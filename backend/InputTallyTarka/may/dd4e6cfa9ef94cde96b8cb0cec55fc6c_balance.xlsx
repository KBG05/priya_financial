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drawings/drawing1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a73749d83d5e9dd/Desktop/PriyaFil/PMC Files and related/"/>
    </mc:Choice>
  </mc:AlternateContent>
  <xr:revisionPtr revIDLastSave="15" documentId="13_ncr:1_{74602F79-6AE5-482E-9176-2C96FE856BA5}" xr6:coauthVersionLast="47" xr6:coauthVersionMax="47" xr10:uidLastSave="{4A1DCF9D-B62C-432A-9205-EA4D909DFA85}"/>
  <bookViews>
    <workbookView xWindow="-108" yWindow="-108" windowWidth="23256" windowHeight="12456" firstSheet="4" activeTab="9" xr2:uid="{00000000-000D-0000-FFFF-FFFF00000000}"/>
  </bookViews>
  <sheets>
    <sheet name="Table of Contents" sheetId="170" r:id="rId1"/>
    <sheet name="Reconcile(HMT)" sheetId="162" r:id="rId2"/>
    <sheet name="Inventory Sales" sheetId="146" r:id="rId3"/>
    <sheet name="Stock Valuation (FIFO)" sheetId="119" r:id="rId4"/>
    <sheet name="Purchase" sheetId="147" r:id="rId5"/>
    <sheet name="Direct Expns" sheetId="134" r:id="rId6"/>
    <sheet name="Indirect Expns" sheetId="133" r:id="rId7"/>
    <sheet name="CONSUMPTION" sheetId="155" r:id="rId8"/>
    <sheet name="PAL I" sheetId="132" r:id="rId9"/>
    <sheet name="MTY" sheetId="176" r:id="rId10"/>
    <sheet name="Balance Sheet" sheetId="174" r:id="rId11"/>
    <sheet name="P&amp;L" sheetId="181" r:id="rId12"/>
    <sheet name="Cash Flow" sheetId="173" r:id="rId13"/>
    <sheet name="Funds Flow" sheetId="179" r:id="rId14"/>
    <sheet name="KPI's" sheetId="172" r:id="rId15"/>
    <sheet name=" Qty Analysis" sheetId="131" r:id="rId16"/>
    <sheet name="Fin Analysis" sheetId="153" r:id="rId17"/>
    <sheet name="Trading PL" sheetId="135" r:id="rId18"/>
    <sheet name="PAL II" sheetId="125" r:id="rId19"/>
    <sheet name="Abt Ratios" sheetId="180" r:id="rId20"/>
    <sheet name="Costing" sheetId="136" r:id="rId21"/>
    <sheet name="Sircilla" sheetId="171" r:id="rId22"/>
    <sheet name="Ins &amp;  Disp Costing" sheetId="154" r:id="rId23"/>
    <sheet name="Sales Summary" sheetId="139" r:id="rId24"/>
  </sheets>
  <externalReferences>
    <externalReference r:id="rId25"/>
    <externalReference r:id="rId26"/>
  </externalReferences>
  <definedNames>
    <definedName name="_xlnm._FilterDatabase" localSheetId="5" hidden="1">'Direct Expns'!$B$1:$B$40</definedName>
    <definedName name="_xlnm.Print_Area" localSheetId="15">' Qty Analysis'!#REF!</definedName>
    <definedName name="_xlnm.Print_Area" localSheetId="7">CONSUMPTION!$A$1:$AN$74</definedName>
    <definedName name="_xlnm.Print_Area" localSheetId="20">Costing!$AG$1:$AS$7</definedName>
    <definedName name="_xlnm.Print_Area" localSheetId="5">'Direct Expns'!$R$3:$AE$44</definedName>
    <definedName name="_xlnm.Print_Area" localSheetId="6">'Indirect Expns'!$S$1:$AF$14</definedName>
    <definedName name="_xlnm.Print_Area" localSheetId="9">MTY!$A$2:$AO$73</definedName>
    <definedName name="_xlnm.Print_Area" localSheetId="8">'PAL I'!$AJ$2:$AO$28</definedName>
    <definedName name="_xlnm.Print_Area" localSheetId="18">'PAL II'!$B$1:$BB$46</definedName>
    <definedName name="_xlnm.Print_Area" localSheetId="3">'Stock Valuation (FIFO)'!$AL$2:$AN$32</definedName>
    <definedName name="_xlnm.Print_Area" localSheetId="17">'Trading PL'!$A$1:$AN$27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176" l="1"/>
  <c r="F64" i="176"/>
  <c r="F70" i="176"/>
  <c r="F55" i="176"/>
  <c r="AN43" i="146"/>
  <c r="G42" i="146"/>
  <c r="F43" i="146"/>
  <c r="E42" i="146"/>
  <c r="C31" i="176"/>
  <c r="C36" i="134"/>
  <c r="B36" i="134"/>
  <c r="C29" i="176"/>
  <c r="E46" i="146"/>
  <c r="G45" i="146"/>
  <c r="G46" i="146" s="1"/>
  <c r="E45" i="146"/>
  <c r="T31" i="134"/>
  <c r="T47" i="134" s="1"/>
  <c r="S31" i="134"/>
  <c r="S19" i="134"/>
  <c r="T46" i="134"/>
  <c r="F42" i="176" s="1"/>
  <c r="F34" i="176"/>
  <c r="J30" i="176"/>
  <c r="F31" i="176"/>
  <c r="F30" i="176"/>
  <c r="T38" i="134"/>
  <c r="AE37" i="134"/>
  <c r="AE45" i="134"/>
  <c r="AE44" i="134"/>
  <c r="AC47" i="134"/>
  <c r="AB47" i="134"/>
  <c r="AA47" i="134"/>
  <c r="Z47" i="134"/>
  <c r="Y47" i="134"/>
  <c r="X47" i="134"/>
  <c r="W47" i="134"/>
  <c r="V47" i="134"/>
  <c r="U47" i="134"/>
  <c r="AD46" i="134"/>
  <c r="AC46" i="134"/>
  <c r="AB46" i="134"/>
  <c r="AA46" i="134"/>
  <c r="Z46" i="134"/>
  <c r="Y46" i="134"/>
  <c r="X46" i="134"/>
  <c r="W46" i="134"/>
  <c r="V46" i="134"/>
  <c r="U46" i="134"/>
  <c r="AD45" i="134"/>
  <c r="AC45" i="134"/>
  <c r="AB45" i="134"/>
  <c r="AA45" i="134"/>
  <c r="Z45" i="134"/>
  <c r="Y45" i="134"/>
  <c r="X45" i="134"/>
  <c r="W45" i="134"/>
  <c r="V45" i="134"/>
  <c r="U45" i="134"/>
  <c r="AD44" i="134"/>
  <c r="AC44" i="134"/>
  <c r="AB44" i="134"/>
  <c r="AA44" i="134"/>
  <c r="Z44" i="134"/>
  <c r="Y44" i="134"/>
  <c r="X44" i="134"/>
  <c r="W44" i="134"/>
  <c r="V44" i="134"/>
  <c r="U44" i="134"/>
  <c r="AD43" i="134"/>
  <c r="AC43" i="134"/>
  <c r="AB43" i="134"/>
  <c r="AA43" i="134"/>
  <c r="Z43" i="134"/>
  <c r="Y43" i="134"/>
  <c r="X43" i="134"/>
  <c r="W43" i="134"/>
  <c r="V43" i="134"/>
  <c r="U43" i="134"/>
  <c r="T45" i="134"/>
  <c r="F41" i="176" s="1"/>
  <c r="T44" i="134"/>
  <c r="F40" i="176" s="1"/>
  <c r="AN10" i="132"/>
  <c r="AM10" i="132"/>
  <c r="E41" i="155"/>
  <c r="O17" i="147"/>
  <c r="O16" i="147"/>
  <c r="O15" i="147"/>
  <c r="O14" i="147"/>
  <c r="O13" i="147"/>
  <c r="O12" i="147"/>
  <c r="O11" i="147"/>
  <c r="O10" i="147"/>
  <c r="O9" i="147"/>
  <c r="O8" i="147"/>
  <c r="O7" i="147"/>
  <c r="O5" i="147"/>
  <c r="O6" i="147"/>
  <c r="C112" i="155"/>
  <c r="N26" i="134"/>
  <c r="N36" i="134"/>
  <c r="T30" i="134"/>
  <c r="T29" i="134"/>
  <c r="T28" i="134"/>
  <c r="T24" i="134"/>
  <c r="S30" i="134"/>
  <c r="S29" i="134"/>
  <c r="S28" i="134"/>
  <c r="T19" i="134"/>
  <c r="T18" i="134"/>
  <c r="T17" i="134"/>
  <c r="T15" i="134"/>
  <c r="T13" i="134"/>
  <c r="T12" i="134"/>
  <c r="T11" i="134"/>
  <c r="T10" i="134"/>
  <c r="T9" i="134"/>
  <c r="T8" i="134"/>
  <c r="T6" i="134"/>
  <c r="B20" i="134"/>
  <c r="E37" i="147"/>
  <c r="F46" i="146" l="1"/>
  <c r="F45" i="146"/>
  <c r="S18" i="134"/>
  <c r="D63" i="176"/>
  <c r="C42" i="176"/>
  <c r="A43" i="176"/>
  <c r="A42" i="176"/>
  <c r="A41" i="176"/>
  <c r="A40" i="176"/>
  <c r="A39" i="176"/>
  <c r="A38" i="176"/>
  <c r="C34" i="176"/>
  <c r="A34" i="176"/>
  <c r="A33" i="176"/>
  <c r="C30" i="176" l="1"/>
  <c r="A31" i="176"/>
  <c r="A30" i="176"/>
  <c r="A29" i="176"/>
  <c r="A28" i="176"/>
  <c r="N5" i="176"/>
  <c r="N4" i="176"/>
  <c r="K5" i="176"/>
  <c r="K4" i="176"/>
  <c r="H5" i="176"/>
  <c r="H4" i="176"/>
  <c r="E5" i="176"/>
  <c r="G30" i="176" s="1"/>
  <c r="E4" i="176"/>
  <c r="B4" i="176"/>
  <c r="AM21" i="119" l="1"/>
  <c r="AN20" i="119"/>
  <c r="AB44" i="146"/>
  <c r="T44" i="146"/>
  <c r="S44" i="146"/>
  <c r="P44" i="146"/>
  <c r="K44" i="146"/>
  <c r="H44" i="146"/>
  <c r="D44" i="146"/>
  <c r="U43" i="146"/>
  <c r="AK42" i="146"/>
  <c r="AI42" i="146"/>
  <c r="AH42" i="146"/>
  <c r="AF42" i="146"/>
  <c r="AE42" i="146"/>
  <c r="AC42" i="146"/>
  <c r="AB42" i="146"/>
  <c r="Z42" i="146"/>
  <c r="Y42" i="146"/>
  <c r="W42" i="146"/>
  <c r="V42" i="146"/>
  <c r="T42" i="146"/>
  <c r="S42" i="146"/>
  <c r="Q42" i="146"/>
  <c r="P42" i="146"/>
  <c r="N42" i="146"/>
  <c r="M42" i="146"/>
  <c r="K42" i="146"/>
  <c r="J42" i="146"/>
  <c r="H42" i="146"/>
  <c r="D42" i="146"/>
  <c r="B42" i="146"/>
  <c r="AL42" i="146" s="1"/>
  <c r="AR40" i="146"/>
  <c r="Y36" i="146"/>
  <c r="AN35" i="146"/>
  <c r="AE34" i="146"/>
  <c r="AE36" i="146" s="1"/>
  <c r="AE37" i="146" s="1"/>
  <c r="Y34" i="146"/>
  <c r="V34" i="146"/>
  <c r="V36" i="146" s="1"/>
  <c r="S34" i="146"/>
  <c r="S36" i="146" s="1"/>
  <c r="S38" i="146" s="1"/>
  <c r="AK33" i="146"/>
  <c r="AK34" i="146" s="1"/>
  <c r="AK36" i="146" s="1"/>
  <c r="AH33" i="146"/>
  <c r="AH34" i="146" s="1"/>
  <c r="AH36" i="146" s="1"/>
  <c r="AE33" i="146"/>
  <c r="AB33" i="146"/>
  <c r="AB34" i="146" s="1"/>
  <c r="AB36" i="146" s="1"/>
  <c r="AB37" i="146" s="1"/>
  <c r="Y33" i="146"/>
  <c r="V33" i="146"/>
  <c r="S33" i="146"/>
  <c r="P33" i="146"/>
  <c r="P34" i="146" s="1"/>
  <c r="P36" i="146" s="1"/>
  <c r="M33" i="146"/>
  <c r="M34" i="146" s="1"/>
  <c r="M36" i="146" s="1"/>
  <c r="J33" i="146"/>
  <c r="J34" i="146" s="1"/>
  <c r="J36" i="146" s="1"/>
  <c r="G33" i="146"/>
  <c r="G34" i="146" s="1"/>
  <c r="G36" i="146" s="1"/>
  <c r="D33" i="146"/>
  <c r="D34" i="146" s="1"/>
  <c r="D36" i="146" s="1"/>
  <c r="AN32" i="146"/>
  <c r="AN31" i="146"/>
  <c r="AN33" i="146" s="1"/>
  <c r="AN30" i="146"/>
  <c r="AN28" i="146"/>
  <c r="AI27" i="146"/>
  <c r="AJ27" i="146" s="1"/>
  <c r="AH27" i="146"/>
  <c r="AH38" i="146" s="1"/>
  <c r="Z27" i="146"/>
  <c r="AA27" i="146" s="1"/>
  <c r="S27" i="146"/>
  <c r="S29" i="146" s="1"/>
  <c r="K27" i="146"/>
  <c r="L27" i="146" s="1"/>
  <c r="J27" i="146"/>
  <c r="J38" i="146" s="1"/>
  <c r="B27" i="146"/>
  <c r="AK26" i="146"/>
  <c r="AJ26" i="146"/>
  <c r="AI26" i="146"/>
  <c r="AH26" i="146"/>
  <c r="AG26" i="146"/>
  <c r="AF26" i="146"/>
  <c r="AC26" i="146"/>
  <c r="AD26" i="146" s="1"/>
  <c r="AB26" i="146"/>
  <c r="AA26" i="146"/>
  <c r="Z26" i="146"/>
  <c r="Y26" i="146"/>
  <c r="Y27" i="146" s="1"/>
  <c r="X26" i="146"/>
  <c r="W26" i="146"/>
  <c r="V26" i="146"/>
  <c r="T26" i="146"/>
  <c r="U26" i="146" s="1"/>
  <c r="S26" i="146"/>
  <c r="Q26" i="146"/>
  <c r="Q27" i="146" s="1"/>
  <c r="R27" i="146" s="1"/>
  <c r="P26" i="146"/>
  <c r="O26" i="146"/>
  <c r="N26" i="146"/>
  <c r="M26" i="146"/>
  <c r="L26" i="146"/>
  <c r="K26" i="146"/>
  <c r="J26" i="146"/>
  <c r="H26" i="146"/>
  <c r="I26" i="146" s="1"/>
  <c r="G26" i="146"/>
  <c r="E26" i="146"/>
  <c r="D26" i="146"/>
  <c r="C26" i="146" s="1"/>
  <c r="B26" i="146"/>
  <c r="AN25" i="146"/>
  <c r="AL25" i="146"/>
  <c r="AM25" i="146" s="1"/>
  <c r="AJ25" i="146"/>
  <c r="AG25" i="146"/>
  <c r="AG43" i="146" s="1"/>
  <c r="AD25" i="146"/>
  <c r="AD43" i="146" s="1"/>
  <c r="AA25" i="146"/>
  <c r="AA43" i="146" s="1"/>
  <c r="X25" i="146"/>
  <c r="X43" i="146" s="1"/>
  <c r="U25" i="146"/>
  <c r="R25" i="146"/>
  <c r="R43" i="146" s="1"/>
  <c r="O25" i="146"/>
  <c r="O43" i="146" s="1"/>
  <c r="L25" i="146"/>
  <c r="L43" i="146" s="1"/>
  <c r="I25" i="146"/>
  <c r="I43" i="146" s="1"/>
  <c r="F25" i="146"/>
  <c r="C25" i="146"/>
  <c r="C43" i="146" s="1"/>
  <c r="AN24" i="146"/>
  <c r="AM24" i="146" s="1"/>
  <c r="AL24" i="146"/>
  <c r="AJ24" i="146"/>
  <c r="AG24" i="146"/>
  <c r="AD24" i="146"/>
  <c r="AA24" i="146"/>
  <c r="X24" i="146"/>
  <c r="U24" i="146"/>
  <c r="R24" i="146"/>
  <c r="O24" i="146"/>
  <c r="L24" i="146"/>
  <c r="I24" i="146"/>
  <c r="F24" i="146"/>
  <c r="C24" i="146"/>
  <c r="AN23" i="146"/>
  <c r="AL23" i="146"/>
  <c r="AM23" i="146" s="1"/>
  <c r="AJ23" i="146"/>
  <c r="AG23" i="146"/>
  <c r="AD23" i="146"/>
  <c r="AA23" i="146"/>
  <c r="X23" i="146"/>
  <c r="R23" i="146"/>
  <c r="O23" i="146"/>
  <c r="L23" i="146"/>
  <c r="C23" i="146"/>
  <c r="AN22" i="146"/>
  <c r="AL22" i="146"/>
  <c r="AM22" i="146" s="1"/>
  <c r="AJ22" i="146"/>
  <c r="AG22" i="146"/>
  <c r="AD22" i="146"/>
  <c r="AA22" i="146"/>
  <c r="X22" i="146"/>
  <c r="R22" i="146"/>
  <c r="AN21" i="146"/>
  <c r="AM21" i="146" s="1"/>
  <c r="AL21" i="146"/>
  <c r="AJ21" i="146"/>
  <c r="AG21" i="146"/>
  <c r="AD21" i="146"/>
  <c r="AA21" i="146"/>
  <c r="X21" i="146"/>
  <c r="U21" i="146"/>
  <c r="R21" i="146"/>
  <c r="O21" i="146"/>
  <c r="L21" i="146"/>
  <c r="I21" i="146"/>
  <c r="F21" i="146"/>
  <c r="C21" i="146"/>
  <c r="AN20" i="146"/>
  <c r="AL20" i="146"/>
  <c r="AM20" i="146" s="1"/>
  <c r="AG20" i="146"/>
  <c r="AD20" i="146"/>
  <c r="AA20" i="146"/>
  <c r="X20" i="146"/>
  <c r="R20" i="146"/>
  <c r="F20" i="146"/>
  <c r="AN19" i="146"/>
  <c r="AL19" i="146"/>
  <c r="AJ19" i="146"/>
  <c r="AG19" i="146"/>
  <c r="AD19" i="146"/>
  <c r="AA19" i="146"/>
  <c r="X19" i="146"/>
  <c r="R19" i="146"/>
  <c r="F19" i="146"/>
  <c r="AK18" i="146"/>
  <c r="AI18" i="146"/>
  <c r="AJ18" i="146" s="1"/>
  <c r="AH18" i="146"/>
  <c r="AG18" i="146"/>
  <c r="AF18" i="146"/>
  <c r="AE18" i="146"/>
  <c r="AD18" i="146"/>
  <c r="AC18" i="146"/>
  <c r="AB18" i="146"/>
  <c r="Z18" i="146"/>
  <c r="AA18" i="146" s="1"/>
  <c r="Y18" i="146"/>
  <c r="W18" i="146"/>
  <c r="X18" i="146" s="1"/>
  <c r="V18" i="146"/>
  <c r="U18" i="146"/>
  <c r="T18" i="146"/>
  <c r="S18" i="146"/>
  <c r="R18" i="146"/>
  <c r="Q18" i="146"/>
  <c r="P18" i="146"/>
  <c r="N18" i="146"/>
  <c r="O18" i="146" s="1"/>
  <c r="M18" i="146"/>
  <c r="K18" i="146"/>
  <c r="L18" i="146" s="1"/>
  <c r="J18" i="146"/>
  <c r="I18" i="146"/>
  <c r="H18" i="146"/>
  <c r="G18" i="146"/>
  <c r="E18" i="146"/>
  <c r="D18" i="146"/>
  <c r="B18" i="146"/>
  <c r="C18" i="146" s="1"/>
  <c r="AN17" i="146"/>
  <c r="AL17" i="146"/>
  <c r="AJ17" i="146"/>
  <c r="AG17" i="146"/>
  <c r="AD17" i="146"/>
  <c r="AA17" i="146"/>
  <c r="X17" i="146"/>
  <c r="U17" i="146"/>
  <c r="R17" i="146"/>
  <c r="O17" i="146"/>
  <c r="L17" i="146"/>
  <c r="I17" i="146"/>
  <c r="F17" i="146"/>
  <c r="C17" i="146"/>
  <c r="AN16" i="146"/>
  <c r="AL16" i="146"/>
  <c r="AJ16" i="146"/>
  <c r="AG16" i="146"/>
  <c r="AD16" i="146"/>
  <c r="AA16" i="146"/>
  <c r="X16" i="146"/>
  <c r="U16" i="146"/>
  <c r="R16" i="146"/>
  <c r="O16" i="146"/>
  <c r="I16" i="146"/>
  <c r="C16" i="146"/>
  <c r="AN15" i="146"/>
  <c r="AL15" i="146"/>
  <c r="AJ15" i="146"/>
  <c r="AD15" i="146"/>
  <c r="AA15" i="146"/>
  <c r="X15" i="146"/>
  <c r="R15" i="146"/>
  <c r="O15" i="146"/>
  <c r="C15" i="146"/>
  <c r="AN14" i="146"/>
  <c r="AL14" i="146"/>
  <c r="AJ14" i="146"/>
  <c r="AG14" i="146"/>
  <c r="AD14" i="146"/>
  <c r="AA14" i="146"/>
  <c r="X14" i="146"/>
  <c r="U14" i="146"/>
  <c r="R14" i="146"/>
  <c r="O14" i="146"/>
  <c r="L14" i="146"/>
  <c r="I14" i="146"/>
  <c r="F14" i="146"/>
  <c r="C14" i="146"/>
  <c r="AN13" i="146"/>
  <c r="AL13" i="146"/>
  <c r="AJ13" i="146"/>
  <c r="AG13" i="146"/>
  <c r="AD13" i="146"/>
  <c r="AA13" i="146"/>
  <c r="X13" i="146"/>
  <c r="U13" i="146"/>
  <c r="R13" i="146"/>
  <c r="L13" i="146"/>
  <c r="I13" i="146"/>
  <c r="F13" i="146"/>
  <c r="C13" i="146"/>
  <c r="AN12" i="146"/>
  <c r="AM12" i="146" s="1"/>
  <c r="AL12" i="146"/>
  <c r="AL18" i="146" s="1"/>
  <c r="AJ12" i="146"/>
  <c r="AG12" i="146"/>
  <c r="AD12" i="146"/>
  <c r="AA12" i="146"/>
  <c r="X12" i="146"/>
  <c r="U12" i="146"/>
  <c r="R12" i="146"/>
  <c r="O12" i="146"/>
  <c r="I12" i="146"/>
  <c r="F12" i="146"/>
  <c r="C12" i="146"/>
  <c r="AK11" i="146"/>
  <c r="AK27" i="146" s="1"/>
  <c r="AI11" i="146"/>
  <c r="AJ11" i="146" s="1"/>
  <c r="AH11" i="146"/>
  <c r="AG11" i="146"/>
  <c r="AF11" i="146"/>
  <c r="AF27" i="146" s="1"/>
  <c r="AG27" i="146" s="1"/>
  <c r="AE11" i="146"/>
  <c r="AE27" i="146" s="1"/>
  <c r="AD11" i="146"/>
  <c r="AC11" i="146"/>
  <c r="AC27" i="146" s="1"/>
  <c r="AD27" i="146" s="1"/>
  <c r="AB11" i="146"/>
  <c r="AB27" i="146" s="1"/>
  <c r="Z11" i="146"/>
  <c r="Z44" i="146" s="1"/>
  <c r="Y11" i="146"/>
  <c r="Y44" i="146" s="1"/>
  <c r="W11" i="146"/>
  <c r="W27" i="146" s="1"/>
  <c r="X27" i="146" s="1"/>
  <c r="V11" i="146"/>
  <c r="V27" i="146" s="1"/>
  <c r="U11" i="146"/>
  <c r="T11" i="146"/>
  <c r="T27" i="146" s="1"/>
  <c r="U27" i="146" s="1"/>
  <c r="S11" i="146"/>
  <c r="R11" i="146"/>
  <c r="Q11" i="146"/>
  <c r="Q44" i="146" s="1"/>
  <c r="P11" i="146"/>
  <c r="P27" i="146" s="1"/>
  <c r="N11" i="146"/>
  <c r="O11" i="146" s="1"/>
  <c r="M11" i="146"/>
  <c r="M27" i="146" s="1"/>
  <c r="K11" i="146"/>
  <c r="L11" i="146" s="1"/>
  <c r="J11" i="146"/>
  <c r="J44" i="146" s="1"/>
  <c r="I44" i="146" s="1"/>
  <c r="I11" i="146"/>
  <c r="H11" i="146"/>
  <c r="H27" i="146" s="1"/>
  <c r="I27" i="146" s="1"/>
  <c r="G11" i="146"/>
  <c r="G27" i="146" s="1"/>
  <c r="E11" i="146"/>
  <c r="E27" i="146" s="1"/>
  <c r="D11" i="146"/>
  <c r="D27" i="146" s="1"/>
  <c r="B11" i="146"/>
  <c r="B44" i="146" s="1"/>
  <c r="AN10" i="146"/>
  <c r="AL10" i="146"/>
  <c r="AJ10" i="146"/>
  <c r="AG10" i="146"/>
  <c r="AD10" i="146"/>
  <c r="AA10" i="146"/>
  <c r="X10" i="146"/>
  <c r="U10" i="146"/>
  <c r="R10" i="146"/>
  <c r="O10" i="146"/>
  <c r="L10" i="146"/>
  <c r="I10" i="146"/>
  <c r="F10" i="146"/>
  <c r="C10" i="146"/>
  <c r="AN9" i="146"/>
  <c r="AL9" i="146"/>
  <c r="AJ9" i="146"/>
  <c r="AG9" i="146"/>
  <c r="AD9" i="146"/>
  <c r="AA9" i="146"/>
  <c r="X9" i="146"/>
  <c r="U9" i="146"/>
  <c r="R9" i="146"/>
  <c r="O9" i="146"/>
  <c r="L9" i="146"/>
  <c r="I9" i="146"/>
  <c r="F9" i="146"/>
  <c r="C9" i="146"/>
  <c r="AN8" i="146"/>
  <c r="AM8" i="146"/>
  <c r="AL8" i="146"/>
  <c r="AJ8" i="146"/>
  <c r="AG8" i="146"/>
  <c r="AD8" i="146"/>
  <c r="AA8" i="146"/>
  <c r="X8" i="146"/>
  <c r="U8" i="146"/>
  <c r="R8" i="146"/>
  <c r="L8" i="146"/>
  <c r="I8" i="146"/>
  <c r="C8" i="146"/>
  <c r="AN7" i="146"/>
  <c r="AL7" i="146"/>
  <c r="AM7" i="146" s="1"/>
  <c r="AJ7" i="146"/>
  <c r="AG7" i="146"/>
  <c r="AD7" i="146"/>
  <c r="AA7" i="146"/>
  <c r="X7" i="146"/>
  <c r="R7" i="146"/>
  <c r="L7" i="146"/>
  <c r="I7" i="146"/>
  <c r="C7" i="146"/>
  <c r="AN6" i="146"/>
  <c r="AM6" i="146" s="1"/>
  <c r="AL6" i="146"/>
  <c r="AJ6" i="146"/>
  <c r="AG6" i="146"/>
  <c r="AD6" i="146"/>
  <c r="AA6" i="146"/>
  <c r="X6" i="146"/>
  <c r="U6" i="146"/>
  <c r="R6" i="146"/>
  <c r="O6" i="146"/>
  <c r="L6" i="146"/>
  <c r="I6" i="146"/>
  <c r="F6" i="146"/>
  <c r="C6" i="146"/>
  <c r="AN5" i="146"/>
  <c r="AM5" i="146"/>
  <c r="AL5" i="146"/>
  <c r="AL11" i="146" s="1"/>
  <c r="AJ5" i="146"/>
  <c r="AG5" i="146"/>
  <c r="AD5" i="146"/>
  <c r="AA5" i="146"/>
  <c r="X5" i="146"/>
  <c r="U5" i="146"/>
  <c r="R5" i="146"/>
  <c r="O5" i="146"/>
  <c r="L5" i="146"/>
  <c r="I5" i="146"/>
  <c r="F5" i="146"/>
  <c r="C5" i="146"/>
  <c r="M55" i="119"/>
  <c r="K55" i="119"/>
  <c r="S51" i="119"/>
  <c r="Q51" i="119"/>
  <c r="P51" i="119"/>
  <c r="N51" i="119"/>
  <c r="G51" i="119"/>
  <c r="E51" i="119"/>
  <c r="V48" i="119"/>
  <c r="S48" i="119"/>
  <c r="Q48" i="119"/>
  <c r="R48" i="119" s="1"/>
  <c r="N48" i="119"/>
  <c r="E48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M51" i="119" s="1"/>
  <c r="H47" i="119"/>
  <c r="I47" i="119" s="1"/>
  <c r="G47" i="119"/>
  <c r="F47" i="119"/>
  <c r="E47" i="119"/>
  <c r="D47" i="119"/>
  <c r="C47" i="119"/>
  <c r="B47" i="119"/>
  <c r="V46" i="119"/>
  <c r="U46" i="119"/>
  <c r="T46" i="119"/>
  <c r="T48" i="119" s="1"/>
  <c r="U48" i="119" s="1"/>
  <c r="S46" i="119"/>
  <c r="Q46" i="119"/>
  <c r="R46" i="119" s="1"/>
  <c r="N46" i="119"/>
  <c r="Q50" i="119" s="1"/>
  <c r="Q52" i="119" s="1"/>
  <c r="E46" i="119"/>
  <c r="AK40" i="119"/>
  <c r="AJ39" i="119"/>
  <c r="AK39" i="119" s="1"/>
  <c r="AQ37" i="119"/>
  <c r="AQ38" i="119" s="1"/>
  <c r="AQ40" i="119" s="1"/>
  <c r="AJ36" i="119"/>
  <c r="V36" i="119"/>
  <c r="V37" i="119" s="1"/>
  <c r="S36" i="119"/>
  <c r="S37" i="119" s="1"/>
  <c r="S38" i="119" s="1"/>
  <c r="V35" i="119"/>
  <c r="S35" i="119"/>
  <c r="P35" i="119"/>
  <c r="M35" i="119"/>
  <c r="J35" i="119"/>
  <c r="G35" i="119"/>
  <c r="V34" i="119"/>
  <c r="S34" i="119"/>
  <c r="P34" i="119"/>
  <c r="P36" i="119" s="1"/>
  <c r="G34" i="119"/>
  <c r="AK32" i="119"/>
  <c r="AH32" i="119"/>
  <c r="AE32" i="119"/>
  <c r="AC32" i="119"/>
  <c r="AB32" i="119"/>
  <c r="Z32" i="119"/>
  <c r="Y32" i="119"/>
  <c r="W32" i="119"/>
  <c r="V32" i="119"/>
  <c r="T32" i="119"/>
  <c r="S32" i="119"/>
  <c r="Q32" i="119"/>
  <c r="P32" i="119"/>
  <c r="N32" i="119"/>
  <c r="M32" i="119"/>
  <c r="K32" i="119"/>
  <c r="J32" i="119"/>
  <c r="H32" i="119"/>
  <c r="G32" i="119"/>
  <c r="E32" i="119"/>
  <c r="AR30" i="119"/>
  <c r="AK29" i="119"/>
  <c r="AH29" i="119"/>
  <c r="AE29" i="119"/>
  <c r="AC29" i="119"/>
  <c r="AB29" i="119"/>
  <c r="Z29" i="119"/>
  <c r="Y29" i="119"/>
  <c r="W29" i="119"/>
  <c r="V29" i="119"/>
  <c r="T29" i="119"/>
  <c r="S29" i="119"/>
  <c r="Q29" i="119"/>
  <c r="P29" i="119"/>
  <c r="N29" i="119"/>
  <c r="M29" i="119"/>
  <c r="K29" i="119"/>
  <c r="J29" i="119"/>
  <c r="H29" i="119"/>
  <c r="G29" i="119"/>
  <c r="E29" i="119"/>
  <c r="AQ27" i="119"/>
  <c r="AQ26" i="119"/>
  <c r="AI26" i="119"/>
  <c r="AJ26" i="119" s="1"/>
  <c r="AC26" i="119"/>
  <c r="AA26" i="119"/>
  <c r="Z26" i="119"/>
  <c r="AC27" i="119" s="1"/>
  <c r="AC28" i="119" s="1"/>
  <c r="S26" i="119"/>
  <c r="Q26" i="119"/>
  <c r="R26" i="119" s="1"/>
  <c r="E26" i="119"/>
  <c r="AQ25" i="119"/>
  <c r="AO25" i="119"/>
  <c r="AP25" i="119" s="1"/>
  <c r="AJ25" i="119"/>
  <c r="AI25" i="119"/>
  <c r="AF25" i="119"/>
  <c r="AF26" i="119" s="1"/>
  <c r="AD25" i="119"/>
  <c r="AC25" i="119"/>
  <c r="Z25" i="119"/>
  <c r="AA25" i="119" s="1"/>
  <c r="T25" i="119"/>
  <c r="U25" i="119" s="1"/>
  <c r="S25" i="119"/>
  <c r="Q25" i="119"/>
  <c r="R25" i="119" s="1"/>
  <c r="P25" i="119"/>
  <c r="P26" i="119" s="1"/>
  <c r="S27" i="119" s="1"/>
  <c r="E25" i="119"/>
  <c r="AU23" i="119"/>
  <c r="AR23" i="119"/>
  <c r="AN23" i="119"/>
  <c r="AK23" i="119"/>
  <c r="AH23" i="119"/>
  <c r="AE23" i="119"/>
  <c r="AB23" i="119"/>
  <c r="Y23" i="119"/>
  <c r="V23" i="119"/>
  <c r="S23" i="119"/>
  <c r="P23" i="119"/>
  <c r="M23" i="119"/>
  <c r="J23" i="119"/>
  <c r="G23" i="119"/>
  <c r="AU22" i="119"/>
  <c r="AR22" i="119"/>
  <c r="AN21" i="119"/>
  <c r="AL21" i="119"/>
  <c r="AI21" i="119"/>
  <c r="AH21" i="119"/>
  <c r="AF21" i="119"/>
  <c r="AE21" i="119"/>
  <c r="AC21" i="119"/>
  <c r="AB21" i="119"/>
  <c r="AA21" i="119"/>
  <c r="Z21" i="119"/>
  <c r="Y21" i="119"/>
  <c r="X21" i="119"/>
  <c r="W21" i="119"/>
  <c r="V21" i="119"/>
  <c r="U21" i="119"/>
  <c r="T21" i="119"/>
  <c r="S21" i="119"/>
  <c r="R21" i="119"/>
  <c r="Q21" i="119"/>
  <c r="P21" i="119"/>
  <c r="O21" i="119"/>
  <c r="N21" i="119"/>
  <c r="M21" i="119"/>
  <c r="K21" i="119"/>
  <c r="L21" i="119" s="1"/>
  <c r="J21" i="119"/>
  <c r="H21" i="119"/>
  <c r="G21" i="119"/>
  <c r="F21" i="119"/>
  <c r="E21" i="119"/>
  <c r="D21" i="119"/>
  <c r="C21" i="119"/>
  <c r="B21" i="119"/>
  <c r="BA20" i="119"/>
  <c r="AX20" i="119"/>
  <c r="AY20" i="119" s="1"/>
  <c r="AQ20" i="119"/>
  <c r="AP20" i="119"/>
  <c r="AO20" i="119"/>
  <c r="AL20" i="119"/>
  <c r="AK20" i="119"/>
  <c r="AK25" i="119" s="1"/>
  <c r="AK26" i="119" s="1"/>
  <c r="AI20" i="119"/>
  <c r="AH20" i="119"/>
  <c r="AF20" i="119"/>
  <c r="AE20" i="119"/>
  <c r="AC20" i="119"/>
  <c r="AB20" i="119"/>
  <c r="Z20" i="119"/>
  <c r="Y20" i="119"/>
  <c r="Y25" i="119" s="1"/>
  <c r="Y26" i="119" s="1"/>
  <c r="W20" i="119"/>
  <c r="V20" i="119"/>
  <c r="T20" i="119"/>
  <c r="S20" i="119"/>
  <c r="Q20" i="119"/>
  <c r="P20" i="119"/>
  <c r="N20" i="119"/>
  <c r="N25" i="119" s="1"/>
  <c r="M20" i="119"/>
  <c r="K20" i="119"/>
  <c r="J20" i="119"/>
  <c r="H20" i="119"/>
  <c r="G20" i="119"/>
  <c r="F20" i="119"/>
  <c r="E20" i="119"/>
  <c r="D20" i="119"/>
  <c r="C20" i="119" s="1"/>
  <c r="B20" i="119"/>
  <c r="AP19" i="119"/>
  <c r="AA19" i="119"/>
  <c r="X19" i="119"/>
  <c r="U19" i="119"/>
  <c r="O19" i="119"/>
  <c r="L19" i="119"/>
  <c r="I19" i="119"/>
  <c r="F19" i="119"/>
  <c r="C19" i="119"/>
  <c r="AA18" i="119"/>
  <c r="O18" i="119"/>
  <c r="L18" i="119"/>
  <c r="I18" i="119"/>
  <c r="F18" i="119"/>
  <c r="AY17" i="119"/>
  <c r="AX17" i="119"/>
  <c r="AA17" i="119"/>
  <c r="X17" i="119"/>
  <c r="U17" i="119"/>
  <c r="O17" i="119"/>
  <c r="L17" i="119"/>
  <c r="I17" i="119"/>
  <c r="F17" i="119"/>
  <c r="C17" i="119"/>
  <c r="AY16" i="119"/>
  <c r="AX16" i="119"/>
  <c r="AA16" i="119"/>
  <c r="X16" i="119"/>
  <c r="U16" i="119"/>
  <c r="O16" i="119"/>
  <c r="L16" i="119"/>
  <c r="I16" i="119"/>
  <c r="F16" i="119"/>
  <c r="C16" i="119"/>
  <c r="BB15" i="119"/>
  <c r="AY15" i="119"/>
  <c r="AX15" i="119"/>
  <c r="AU15" i="119"/>
  <c r="AR15" i="119"/>
  <c r="AP15" i="119"/>
  <c r="AD15" i="119"/>
  <c r="AA15" i="119"/>
  <c r="X15" i="119"/>
  <c r="U15" i="119"/>
  <c r="O15" i="119"/>
  <c r="L15" i="119"/>
  <c r="I15" i="119"/>
  <c r="F15" i="119"/>
  <c r="C15" i="119"/>
  <c r="BC14" i="119"/>
  <c r="BC20" i="119" s="1"/>
  <c r="AY14" i="119"/>
  <c r="AX14" i="119"/>
  <c r="AU14" i="119"/>
  <c r="AR14" i="119"/>
  <c r="AT14" i="119" s="1"/>
  <c r="AP14" i="119"/>
  <c r="AD14" i="119"/>
  <c r="AA14" i="119"/>
  <c r="X14" i="119"/>
  <c r="G14" i="119"/>
  <c r="F14" i="119"/>
  <c r="D14" i="119"/>
  <c r="BE12" i="119"/>
  <c r="BC12" i="119"/>
  <c r="BB12" i="119" s="1"/>
  <c r="BA12" i="119"/>
  <c r="AQ12" i="119"/>
  <c r="AP12" i="119"/>
  <c r="AO12" i="119"/>
  <c r="AL12" i="119"/>
  <c r="AK12" i="119"/>
  <c r="AI12" i="119"/>
  <c r="AH12" i="119"/>
  <c r="AH25" i="119" s="1"/>
  <c r="AH26" i="119" s="1"/>
  <c r="AF12" i="119"/>
  <c r="AC12" i="119"/>
  <c r="Z12" i="119"/>
  <c r="Y12" i="119"/>
  <c r="X12" i="119"/>
  <c r="W12" i="119"/>
  <c r="W25" i="119" s="1"/>
  <c r="V12" i="119"/>
  <c r="T12" i="119"/>
  <c r="S12" i="119"/>
  <c r="Q12" i="119"/>
  <c r="P12" i="119"/>
  <c r="P46" i="119" s="1"/>
  <c r="N12" i="119"/>
  <c r="K12" i="119"/>
  <c r="K46" i="119" s="1"/>
  <c r="J12" i="119"/>
  <c r="H12" i="119"/>
  <c r="J34" i="119" s="1"/>
  <c r="J36" i="119" s="1"/>
  <c r="E12" i="119"/>
  <c r="B12" i="119"/>
  <c r="B46" i="119" s="1"/>
  <c r="BC11" i="119"/>
  <c r="AY11" i="119"/>
  <c r="AX11" i="119"/>
  <c r="AU11" i="119"/>
  <c r="AW11" i="119" s="1"/>
  <c r="AR11" i="119"/>
  <c r="AT11" i="119" s="1"/>
  <c r="AP11" i="119"/>
  <c r="AN11" i="119"/>
  <c r="AN12" i="119" s="1"/>
  <c r="AM11" i="119"/>
  <c r="AK11" i="119"/>
  <c r="AJ11" i="119"/>
  <c r="AH11" i="119"/>
  <c r="AE11" i="119"/>
  <c r="AA11" i="119"/>
  <c r="AB11" i="119" s="1"/>
  <c r="AB12" i="119" s="1"/>
  <c r="AB25" i="119" s="1"/>
  <c r="AB26" i="119" s="1"/>
  <c r="U11" i="119"/>
  <c r="R11" i="119"/>
  <c r="P11" i="119"/>
  <c r="M11" i="119"/>
  <c r="M12" i="119" s="1"/>
  <c r="L11" i="119"/>
  <c r="G11" i="119"/>
  <c r="F11" i="119"/>
  <c r="D11" i="119"/>
  <c r="C11" i="119"/>
  <c r="B11" i="119"/>
  <c r="BC10" i="119"/>
  <c r="AY10" i="119"/>
  <c r="AX10" i="119"/>
  <c r="AU10" i="119"/>
  <c r="AW10" i="119" s="1"/>
  <c r="AR10" i="119"/>
  <c r="AT10" i="119" s="1"/>
  <c r="AP10" i="119"/>
  <c r="AN10" i="119"/>
  <c r="AK10" i="119"/>
  <c r="AH10" i="119"/>
  <c r="AE10" i="119"/>
  <c r="AE12" i="119" s="1"/>
  <c r="AE25" i="119" s="1"/>
  <c r="AE26" i="119" s="1"/>
  <c r="AB10" i="119"/>
  <c r="P10" i="119"/>
  <c r="M10" i="119"/>
  <c r="G10" i="119"/>
  <c r="G12" i="119" s="1"/>
  <c r="F10" i="119"/>
  <c r="E10" i="119"/>
  <c r="D10" i="119"/>
  <c r="D12" i="119" s="1"/>
  <c r="BE8" i="119"/>
  <c r="BC8" i="119"/>
  <c r="BB8" i="119" s="1"/>
  <c r="BA8" i="119"/>
  <c r="BA25" i="119" s="1"/>
  <c r="AY8" i="119"/>
  <c r="AX8" i="119"/>
  <c r="AQ8" i="119"/>
  <c r="AP8" i="119"/>
  <c r="AO8" i="119"/>
  <c r="AN8" i="119"/>
  <c r="AM8" i="119"/>
  <c r="AL8" i="119"/>
  <c r="AL25" i="119" s="1"/>
  <c r="AK8" i="119"/>
  <c r="AJ8" i="119"/>
  <c r="AI8" i="119"/>
  <c r="AH8" i="119"/>
  <c r="AG8" i="119"/>
  <c r="AF8" i="119"/>
  <c r="AE8" i="119"/>
  <c r="AD8" i="119"/>
  <c r="AC8" i="119"/>
  <c r="AB8" i="119"/>
  <c r="AA8" i="119"/>
  <c r="Z8" i="119"/>
  <c r="Y8" i="119"/>
  <c r="X8" i="119"/>
  <c r="W8" i="119"/>
  <c r="V8" i="119"/>
  <c r="U8" i="119" s="1"/>
  <c r="T8" i="119"/>
  <c r="S8" i="119"/>
  <c r="R8" i="119"/>
  <c r="Q8" i="119"/>
  <c r="P8" i="119"/>
  <c r="O8" i="119"/>
  <c r="N8" i="119"/>
  <c r="M8" i="119"/>
  <c r="L8" i="119"/>
  <c r="K8" i="119"/>
  <c r="J8" i="119"/>
  <c r="I8" i="119" s="1"/>
  <c r="H8" i="119"/>
  <c r="G8" i="119"/>
  <c r="F8" i="119"/>
  <c r="E8" i="119"/>
  <c r="D8" i="119"/>
  <c r="C8" i="119"/>
  <c r="AJ37" i="119" s="1"/>
  <c r="AK37" i="119" s="1"/>
  <c r="B8" i="119"/>
  <c r="BC7" i="119"/>
  <c r="AY7" i="119"/>
  <c r="AX7" i="119"/>
  <c r="AU7" i="119"/>
  <c r="AW7" i="119" s="1"/>
  <c r="AR7" i="119"/>
  <c r="AP7" i="119"/>
  <c r="AJ7" i="119"/>
  <c r="AA7" i="119"/>
  <c r="X7" i="119"/>
  <c r="U7" i="119"/>
  <c r="R7" i="119"/>
  <c r="O7" i="119"/>
  <c r="L7" i="119"/>
  <c r="I7" i="119"/>
  <c r="F7" i="119"/>
  <c r="C7" i="119"/>
  <c r="BC6" i="119"/>
  <c r="AY6" i="119"/>
  <c r="AX6" i="119"/>
  <c r="AU6" i="119"/>
  <c r="AW6" i="119" s="1"/>
  <c r="AR6" i="119"/>
  <c r="AT6" i="119" s="1"/>
  <c r="AP6" i="119"/>
  <c r="AJ6" i="119"/>
  <c r="AA6" i="119"/>
  <c r="X6" i="119"/>
  <c r="U6" i="119"/>
  <c r="R6" i="119"/>
  <c r="O6" i="119"/>
  <c r="L6" i="119"/>
  <c r="I6" i="119"/>
  <c r="F6" i="119"/>
  <c r="C6" i="119"/>
  <c r="BC5" i="119"/>
  <c r="BA5" i="119"/>
  <c r="AX5" i="119"/>
  <c r="AY5" i="119" s="1"/>
  <c r="AU5" i="119"/>
  <c r="AW5" i="119" s="1"/>
  <c r="AR5" i="119"/>
  <c r="AT5" i="119" s="1"/>
  <c r="AP5" i="119"/>
  <c r="AJ5" i="119"/>
  <c r="AA5" i="119"/>
  <c r="X5" i="119"/>
  <c r="U5" i="119"/>
  <c r="R5" i="119"/>
  <c r="O5" i="119"/>
  <c r="L5" i="119"/>
  <c r="I5" i="119"/>
  <c r="F5" i="119"/>
  <c r="C5" i="119"/>
  <c r="F74" i="133"/>
  <c r="M73" i="133"/>
  <c r="L73" i="133"/>
  <c r="K73" i="133"/>
  <c r="J73" i="133"/>
  <c r="I73" i="133"/>
  <c r="H73" i="133"/>
  <c r="G73" i="133"/>
  <c r="F73" i="133"/>
  <c r="E73" i="133"/>
  <c r="D73" i="133"/>
  <c r="C73" i="133"/>
  <c r="B73" i="133"/>
  <c r="M72" i="133"/>
  <c r="L72" i="133"/>
  <c r="K72" i="133"/>
  <c r="J72" i="133"/>
  <c r="I72" i="133"/>
  <c r="G72" i="133"/>
  <c r="G74" i="133" s="1"/>
  <c r="F72" i="133"/>
  <c r="E72" i="133"/>
  <c r="D72" i="133"/>
  <c r="C72" i="133"/>
  <c r="B72" i="133"/>
  <c r="AD71" i="133"/>
  <c r="AC71" i="133"/>
  <c r="AB71" i="133"/>
  <c r="AA71" i="133"/>
  <c r="Z71" i="133"/>
  <c r="Y71" i="133"/>
  <c r="X71" i="133"/>
  <c r="W71" i="133"/>
  <c r="V71" i="133"/>
  <c r="U71" i="133"/>
  <c r="T71" i="133"/>
  <c r="S71" i="133"/>
  <c r="R71" i="133"/>
  <c r="Q71" i="133"/>
  <c r="M71" i="133"/>
  <c r="L71" i="133"/>
  <c r="K71" i="133"/>
  <c r="J71" i="133"/>
  <c r="I71" i="133"/>
  <c r="H71" i="133"/>
  <c r="G71" i="133"/>
  <c r="F71" i="133"/>
  <c r="D71" i="133"/>
  <c r="C71" i="133"/>
  <c r="B71" i="133"/>
  <c r="AD70" i="133"/>
  <c r="AC70" i="133"/>
  <c r="AB70" i="133"/>
  <c r="AA70" i="133"/>
  <c r="Z70" i="133"/>
  <c r="Y70" i="133"/>
  <c r="X70" i="133"/>
  <c r="W70" i="133"/>
  <c r="V70" i="133"/>
  <c r="U70" i="133"/>
  <c r="T70" i="133"/>
  <c r="S70" i="133"/>
  <c r="R70" i="133"/>
  <c r="Q70" i="133"/>
  <c r="M70" i="133"/>
  <c r="M74" i="133" s="1"/>
  <c r="L70" i="133"/>
  <c r="L74" i="133" s="1"/>
  <c r="K70" i="133"/>
  <c r="K74" i="133" s="1"/>
  <c r="J70" i="133"/>
  <c r="J74" i="133" s="1"/>
  <c r="I70" i="133"/>
  <c r="I74" i="133" s="1"/>
  <c r="H70" i="133"/>
  <c r="H74" i="133" s="1"/>
  <c r="G70" i="133"/>
  <c r="F70" i="133"/>
  <c r="E70" i="133"/>
  <c r="E74" i="133" s="1"/>
  <c r="D70" i="133"/>
  <c r="D74" i="133" s="1"/>
  <c r="C70" i="133"/>
  <c r="B70" i="133"/>
  <c r="B74" i="133" s="1"/>
  <c r="IT69" i="133"/>
  <c r="IS69" i="133"/>
  <c r="IR69" i="133"/>
  <c r="IQ69" i="133"/>
  <c r="IP69" i="133"/>
  <c r="IO69" i="133"/>
  <c r="IN69" i="133"/>
  <c r="IM69" i="133"/>
  <c r="IL69" i="133"/>
  <c r="IK69" i="133"/>
  <c r="IJ69" i="133"/>
  <c r="II69" i="133"/>
  <c r="IH69" i="133"/>
  <c r="IG69" i="133"/>
  <c r="IF69" i="133"/>
  <c r="IE69" i="133"/>
  <c r="ID69" i="133"/>
  <c r="IC69" i="133"/>
  <c r="IB69" i="133"/>
  <c r="IA69" i="133"/>
  <c r="HZ69" i="133"/>
  <c r="HY69" i="133"/>
  <c r="HX69" i="133"/>
  <c r="HW69" i="133"/>
  <c r="HV69" i="133"/>
  <c r="HU69" i="133"/>
  <c r="HT69" i="133"/>
  <c r="HS69" i="133"/>
  <c r="HR69" i="133"/>
  <c r="HQ69" i="133"/>
  <c r="HP69" i="133"/>
  <c r="HO69" i="133"/>
  <c r="HN69" i="133"/>
  <c r="HM69" i="133"/>
  <c r="HL69" i="133"/>
  <c r="HK69" i="133"/>
  <c r="HJ69" i="133"/>
  <c r="HI69" i="133"/>
  <c r="HH69" i="133"/>
  <c r="HG69" i="133"/>
  <c r="HF69" i="133"/>
  <c r="HE69" i="133"/>
  <c r="HD69" i="133"/>
  <c r="HC69" i="133"/>
  <c r="HB69" i="133"/>
  <c r="HA69" i="133"/>
  <c r="GZ69" i="133"/>
  <c r="GY69" i="133"/>
  <c r="GX69" i="133"/>
  <c r="GW69" i="133"/>
  <c r="GV69" i="133"/>
  <c r="GU69" i="133"/>
  <c r="GT69" i="133"/>
  <c r="GS69" i="133"/>
  <c r="GR69" i="133"/>
  <c r="GQ69" i="133"/>
  <c r="GP69" i="133"/>
  <c r="GO69" i="133"/>
  <c r="GN69" i="133"/>
  <c r="GM69" i="133"/>
  <c r="GL69" i="133"/>
  <c r="GK69" i="133"/>
  <c r="GJ69" i="133"/>
  <c r="GI69" i="133"/>
  <c r="GH69" i="133"/>
  <c r="GG69" i="133"/>
  <c r="GF69" i="133"/>
  <c r="GE69" i="133"/>
  <c r="GD69" i="133"/>
  <c r="GC69" i="133"/>
  <c r="GB69" i="133"/>
  <c r="GA69" i="133"/>
  <c r="FZ69" i="133"/>
  <c r="FY69" i="133"/>
  <c r="FX69" i="133"/>
  <c r="FW69" i="133"/>
  <c r="FV69" i="133"/>
  <c r="FU69" i="133"/>
  <c r="FT69" i="133"/>
  <c r="FS69" i="133"/>
  <c r="FR69" i="133"/>
  <c r="FQ69" i="133"/>
  <c r="FP69" i="133"/>
  <c r="FO69" i="133"/>
  <c r="FN69" i="133"/>
  <c r="FM69" i="133"/>
  <c r="FL69" i="133"/>
  <c r="FK69" i="133"/>
  <c r="FJ69" i="133"/>
  <c r="FI69" i="133"/>
  <c r="FH69" i="133"/>
  <c r="FG69" i="133"/>
  <c r="FF69" i="133"/>
  <c r="FE69" i="133"/>
  <c r="FD69" i="133"/>
  <c r="FC69" i="133"/>
  <c r="FB69" i="133"/>
  <c r="FA69" i="133"/>
  <c r="EZ69" i="133"/>
  <c r="EY69" i="133"/>
  <c r="EX69" i="133"/>
  <c r="EW69" i="133"/>
  <c r="EV69" i="133"/>
  <c r="EU69" i="133"/>
  <c r="ET69" i="133"/>
  <c r="ES69" i="133"/>
  <c r="ER69" i="133"/>
  <c r="EQ69" i="133"/>
  <c r="EP69" i="133"/>
  <c r="EO69" i="133"/>
  <c r="EN69" i="133"/>
  <c r="EM69" i="133"/>
  <c r="EL69" i="133"/>
  <c r="EK69" i="133"/>
  <c r="EJ69" i="133"/>
  <c r="EI69" i="133"/>
  <c r="EH69" i="133"/>
  <c r="EG69" i="133"/>
  <c r="EF69" i="133"/>
  <c r="EE69" i="133"/>
  <c r="ED69" i="133"/>
  <c r="EC69" i="133"/>
  <c r="EB69" i="133"/>
  <c r="EA69" i="133"/>
  <c r="DZ69" i="133"/>
  <c r="DY69" i="133"/>
  <c r="DX69" i="133"/>
  <c r="DW69" i="133"/>
  <c r="DV69" i="133"/>
  <c r="DU69" i="133"/>
  <c r="DT69" i="133"/>
  <c r="DS69" i="133"/>
  <c r="DR69" i="133"/>
  <c r="DQ69" i="133"/>
  <c r="DP69" i="133"/>
  <c r="DO69" i="133"/>
  <c r="DN69" i="133"/>
  <c r="DM69" i="133"/>
  <c r="DL69" i="133"/>
  <c r="DK69" i="133"/>
  <c r="DJ69" i="133"/>
  <c r="DI69" i="133"/>
  <c r="DH69" i="133"/>
  <c r="DG69" i="133"/>
  <c r="DF69" i="133"/>
  <c r="DE69" i="133"/>
  <c r="DD69" i="133"/>
  <c r="DC69" i="133"/>
  <c r="DB69" i="133"/>
  <c r="DA69" i="133"/>
  <c r="CZ69" i="133"/>
  <c r="CY69" i="133"/>
  <c r="CX69" i="133"/>
  <c r="CW69" i="133"/>
  <c r="CV69" i="133"/>
  <c r="CU69" i="133"/>
  <c r="CT69" i="133"/>
  <c r="CS69" i="133"/>
  <c r="CR69" i="133"/>
  <c r="CQ69" i="133"/>
  <c r="CP69" i="133"/>
  <c r="CO69" i="133"/>
  <c r="CN69" i="133"/>
  <c r="CM69" i="133"/>
  <c r="CL69" i="133"/>
  <c r="CK69" i="133"/>
  <c r="CJ69" i="133"/>
  <c r="CI69" i="133"/>
  <c r="CH69" i="133"/>
  <c r="CG69" i="133"/>
  <c r="CF69" i="133"/>
  <c r="CE69" i="133"/>
  <c r="CD69" i="133"/>
  <c r="CC69" i="133"/>
  <c r="CB69" i="133"/>
  <c r="CA69" i="133"/>
  <c r="BZ69" i="133"/>
  <c r="BY69" i="133"/>
  <c r="BX69" i="133"/>
  <c r="BW69" i="133"/>
  <c r="BV69" i="133"/>
  <c r="BU69" i="133"/>
  <c r="BT69" i="133"/>
  <c r="BS69" i="133"/>
  <c r="BR69" i="133"/>
  <c r="BQ69" i="133"/>
  <c r="BP69" i="133"/>
  <c r="BO69" i="133"/>
  <c r="BN69" i="133"/>
  <c r="BM69" i="133"/>
  <c r="BL69" i="133"/>
  <c r="BK69" i="133"/>
  <c r="BJ69" i="133"/>
  <c r="BI69" i="133"/>
  <c r="BH69" i="133"/>
  <c r="BG69" i="133"/>
  <c r="BF69" i="133"/>
  <c r="BE69" i="133"/>
  <c r="BD69" i="133"/>
  <c r="BC69" i="133"/>
  <c r="BB69" i="133"/>
  <c r="BA69" i="133"/>
  <c r="AZ69" i="133"/>
  <c r="AY69" i="133"/>
  <c r="AX69" i="133"/>
  <c r="AW69" i="133"/>
  <c r="AV69" i="133"/>
  <c r="AU69" i="133"/>
  <c r="AT69" i="133"/>
  <c r="AS69" i="133"/>
  <c r="AR69" i="133"/>
  <c r="AQ69" i="133"/>
  <c r="AP69" i="133"/>
  <c r="AO69" i="133"/>
  <c r="AN69" i="133"/>
  <c r="AM69" i="133"/>
  <c r="AL69" i="133"/>
  <c r="AK69" i="133"/>
  <c r="AJ69" i="133"/>
  <c r="AI69" i="133"/>
  <c r="AH69" i="133"/>
  <c r="AG69" i="133"/>
  <c r="AF69" i="133"/>
  <c r="AE69" i="133"/>
  <c r="P69" i="133"/>
  <c r="O69" i="133"/>
  <c r="IT68" i="133"/>
  <c r="IS68" i="133"/>
  <c r="IR68" i="133"/>
  <c r="IQ68" i="133"/>
  <c r="IP68" i="133"/>
  <c r="IO68" i="133"/>
  <c r="IN68" i="133"/>
  <c r="IM68" i="133"/>
  <c r="IL68" i="133"/>
  <c r="IK68" i="133"/>
  <c r="IJ68" i="133"/>
  <c r="II68" i="133"/>
  <c r="IH68" i="133"/>
  <c r="IG68" i="133"/>
  <c r="IF68" i="133"/>
  <c r="IE68" i="133"/>
  <c r="ID68" i="133"/>
  <c r="IC68" i="133"/>
  <c r="IB68" i="133"/>
  <c r="IA68" i="133"/>
  <c r="HZ68" i="133"/>
  <c r="HY68" i="133"/>
  <c r="HX68" i="133"/>
  <c r="HW68" i="133"/>
  <c r="HV68" i="133"/>
  <c r="HU68" i="133"/>
  <c r="HT68" i="133"/>
  <c r="HS68" i="133"/>
  <c r="HR68" i="133"/>
  <c r="HQ68" i="133"/>
  <c r="HP68" i="133"/>
  <c r="HO68" i="133"/>
  <c r="HN68" i="133"/>
  <c r="HM68" i="133"/>
  <c r="HL68" i="133"/>
  <c r="HK68" i="133"/>
  <c r="HJ68" i="133"/>
  <c r="HI68" i="133"/>
  <c r="HH68" i="133"/>
  <c r="HG68" i="133"/>
  <c r="HF68" i="133"/>
  <c r="HE68" i="133"/>
  <c r="HD68" i="133"/>
  <c r="HC68" i="133"/>
  <c r="HB68" i="133"/>
  <c r="HA68" i="133"/>
  <c r="GZ68" i="133"/>
  <c r="GY68" i="133"/>
  <c r="GX68" i="133"/>
  <c r="GW68" i="133"/>
  <c r="GV68" i="133"/>
  <c r="GU68" i="133"/>
  <c r="GT68" i="133"/>
  <c r="GS68" i="133"/>
  <c r="GR68" i="133"/>
  <c r="GQ68" i="133"/>
  <c r="GP68" i="133"/>
  <c r="GO68" i="133"/>
  <c r="GN68" i="133"/>
  <c r="GM68" i="133"/>
  <c r="GL68" i="133"/>
  <c r="GK68" i="133"/>
  <c r="GJ68" i="133"/>
  <c r="GI68" i="133"/>
  <c r="GH68" i="133"/>
  <c r="GG68" i="133"/>
  <c r="GF68" i="133"/>
  <c r="GE68" i="133"/>
  <c r="GD68" i="133"/>
  <c r="GC68" i="133"/>
  <c r="GB68" i="133"/>
  <c r="GA68" i="133"/>
  <c r="FZ68" i="133"/>
  <c r="FY68" i="133"/>
  <c r="FX68" i="133"/>
  <c r="FW68" i="133"/>
  <c r="FV68" i="133"/>
  <c r="FU68" i="133"/>
  <c r="FT68" i="133"/>
  <c r="FS68" i="133"/>
  <c r="FR68" i="133"/>
  <c r="FQ68" i="133"/>
  <c r="FP68" i="133"/>
  <c r="FO68" i="133"/>
  <c r="FN68" i="133"/>
  <c r="FM68" i="133"/>
  <c r="FL68" i="133"/>
  <c r="FK68" i="133"/>
  <c r="FJ68" i="133"/>
  <c r="FI68" i="133"/>
  <c r="FH68" i="133"/>
  <c r="FG68" i="133"/>
  <c r="FF68" i="133"/>
  <c r="FE68" i="133"/>
  <c r="FD68" i="133"/>
  <c r="FC68" i="133"/>
  <c r="FB68" i="133"/>
  <c r="FA68" i="133"/>
  <c r="EZ68" i="133"/>
  <c r="EY68" i="133"/>
  <c r="EX68" i="133"/>
  <c r="EW68" i="133"/>
  <c r="EV68" i="133"/>
  <c r="EU68" i="133"/>
  <c r="ET68" i="133"/>
  <c r="ES68" i="133"/>
  <c r="ER68" i="133"/>
  <c r="EQ68" i="133"/>
  <c r="EP68" i="133"/>
  <c r="EO68" i="133"/>
  <c r="EN68" i="133"/>
  <c r="EM68" i="133"/>
  <c r="EL68" i="133"/>
  <c r="EK68" i="133"/>
  <c r="EJ68" i="133"/>
  <c r="EI68" i="133"/>
  <c r="EH68" i="133"/>
  <c r="EG68" i="133"/>
  <c r="EF68" i="133"/>
  <c r="EE68" i="133"/>
  <c r="ED68" i="133"/>
  <c r="EC68" i="133"/>
  <c r="EB68" i="133"/>
  <c r="EA68" i="133"/>
  <c r="DZ68" i="133"/>
  <c r="DY68" i="133"/>
  <c r="DX68" i="133"/>
  <c r="DW68" i="133"/>
  <c r="DV68" i="133"/>
  <c r="DU68" i="133"/>
  <c r="DT68" i="133"/>
  <c r="DS68" i="133"/>
  <c r="DR68" i="133"/>
  <c r="DQ68" i="133"/>
  <c r="DP68" i="133"/>
  <c r="DO68" i="133"/>
  <c r="DN68" i="133"/>
  <c r="DM68" i="133"/>
  <c r="DL68" i="133"/>
  <c r="DK68" i="133"/>
  <c r="DJ68" i="133"/>
  <c r="DI68" i="133"/>
  <c r="DH68" i="133"/>
  <c r="DG68" i="133"/>
  <c r="DF68" i="133"/>
  <c r="DE68" i="133"/>
  <c r="DD68" i="133"/>
  <c r="DC68" i="133"/>
  <c r="DB68" i="133"/>
  <c r="DA68" i="133"/>
  <c r="CZ68" i="133"/>
  <c r="CY68" i="133"/>
  <c r="CX68" i="133"/>
  <c r="CW68" i="133"/>
  <c r="CV68" i="133"/>
  <c r="CU68" i="133"/>
  <c r="CT68" i="133"/>
  <c r="CS68" i="133"/>
  <c r="CR68" i="133"/>
  <c r="CQ68" i="133"/>
  <c r="CP68" i="133"/>
  <c r="CO68" i="133"/>
  <c r="CN68" i="133"/>
  <c r="CM68" i="133"/>
  <c r="CL68" i="133"/>
  <c r="CK68" i="133"/>
  <c r="CJ68" i="133"/>
  <c r="CI68" i="133"/>
  <c r="CH68" i="133"/>
  <c r="CG68" i="133"/>
  <c r="CF68" i="133"/>
  <c r="CE68" i="133"/>
  <c r="CD68" i="133"/>
  <c r="CC68" i="133"/>
  <c r="CB68" i="133"/>
  <c r="CA68" i="133"/>
  <c r="BZ68" i="133"/>
  <c r="BY68" i="133"/>
  <c r="BX68" i="133"/>
  <c r="BW68" i="133"/>
  <c r="BV68" i="133"/>
  <c r="BU68" i="133"/>
  <c r="BT68" i="133"/>
  <c r="BS68" i="133"/>
  <c r="BR68" i="133"/>
  <c r="BQ68" i="133"/>
  <c r="BP68" i="133"/>
  <c r="BO68" i="133"/>
  <c r="BN68" i="133"/>
  <c r="BM68" i="133"/>
  <c r="BL68" i="133"/>
  <c r="BK68" i="133"/>
  <c r="BJ68" i="133"/>
  <c r="BI68" i="133"/>
  <c r="BH68" i="133"/>
  <c r="BG68" i="133"/>
  <c r="BF68" i="133"/>
  <c r="BE68" i="133"/>
  <c r="BD68" i="133"/>
  <c r="BC68" i="133"/>
  <c r="BB68" i="133"/>
  <c r="BA68" i="133"/>
  <c r="AZ68" i="133"/>
  <c r="AY68" i="133"/>
  <c r="AX68" i="133"/>
  <c r="AW68" i="133"/>
  <c r="AV68" i="133"/>
  <c r="AU68" i="133"/>
  <c r="AT68" i="133"/>
  <c r="AS68" i="133"/>
  <c r="AR68" i="133"/>
  <c r="AQ68" i="133"/>
  <c r="AP68" i="133"/>
  <c r="AO68" i="133"/>
  <c r="AN68" i="133"/>
  <c r="AM68" i="133"/>
  <c r="AL68" i="133"/>
  <c r="AK68" i="133"/>
  <c r="AJ68" i="133"/>
  <c r="AI68" i="133"/>
  <c r="AH68" i="133"/>
  <c r="AG68" i="133"/>
  <c r="AF68" i="133"/>
  <c r="AE68" i="133"/>
  <c r="P68" i="133"/>
  <c r="O68" i="133"/>
  <c r="M68" i="133"/>
  <c r="K68" i="133"/>
  <c r="J68" i="133"/>
  <c r="E68" i="133"/>
  <c r="A68" i="133"/>
  <c r="I67" i="133"/>
  <c r="I69" i="133" s="1"/>
  <c r="I75" i="133" s="1"/>
  <c r="H67" i="133"/>
  <c r="H69" i="133" s="1"/>
  <c r="H75" i="133" s="1"/>
  <c r="N64" i="133"/>
  <c r="N63" i="133"/>
  <c r="N62" i="133"/>
  <c r="N61" i="133"/>
  <c r="N60" i="133"/>
  <c r="N59" i="133"/>
  <c r="N58" i="133"/>
  <c r="N57" i="133"/>
  <c r="N56" i="133"/>
  <c r="N55" i="133"/>
  <c r="N54" i="133"/>
  <c r="N53" i="133"/>
  <c r="M52" i="133"/>
  <c r="L52" i="133"/>
  <c r="L68" i="133" s="1"/>
  <c r="K52" i="133"/>
  <c r="K65" i="133" s="1"/>
  <c r="J52" i="133"/>
  <c r="I52" i="133"/>
  <c r="I68" i="133" s="1"/>
  <c r="H52" i="133"/>
  <c r="H68" i="133" s="1"/>
  <c r="G52" i="133"/>
  <c r="G68" i="133" s="1"/>
  <c r="F52" i="133"/>
  <c r="F65" i="133" s="1"/>
  <c r="F79" i="133" s="1"/>
  <c r="E52" i="133"/>
  <c r="D52" i="133"/>
  <c r="D68" i="133" s="1"/>
  <c r="C52" i="133"/>
  <c r="C68" i="133" s="1"/>
  <c r="B52" i="133"/>
  <c r="B68" i="133" s="1"/>
  <c r="N51" i="133"/>
  <c r="N50" i="133"/>
  <c r="N49" i="133"/>
  <c r="N71" i="133" s="1"/>
  <c r="N48" i="133"/>
  <c r="N72" i="133" s="1"/>
  <c r="N47" i="133"/>
  <c r="N46" i="133"/>
  <c r="N45" i="133"/>
  <c r="N44" i="133"/>
  <c r="N43" i="133"/>
  <c r="N42" i="133"/>
  <c r="M41" i="133"/>
  <c r="M65" i="133" s="1"/>
  <c r="L41" i="133"/>
  <c r="L65" i="133" s="1"/>
  <c r="K41" i="133"/>
  <c r="J41" i="133"/>
  <c r="J65" i="133" s="1"/>
  <c r="I41" i="133"/>
  <c r="H41" i="133"/>
  <c r="H65" i="133" s="1"/>
  <c r="H79" i="133" s="1"/>
  <c r="G41" i="133"/>
  <c r="F41" i="133"/>
  <c r="E41" i="133"/>
  <c r="D41" i="133"/>
  <c r="D65" i="133" s="1"/>
  <c r="D79" i="133" s="1"/>
  <c r="C41" i="133"/>
  <c r="B41" i="133"/>
  <c r="N40" i="133"/>
  <c r="N39" i="133"/>
  <c r="N38" i="133"/>
  <c r="N37" i="133"/>
  <c r="N36" i="133"/>
  <c r="N35" i="133"/>
  <c r="N34" i="133"/>
  <c r="N33" i="133"/>
  <c r="N32" i="133"/>
  <c r="N31" i="133"/>
  <c r="N30" i="133"/>
  <c r="N29" i="133"/>
  <c r="N28" i="133"/>
  <c r="N27" i="133"/>
  <c r="N26" i="133"/>
  <c r="N25" i="133"/>
  <c r="N24" i="133"/>
  <c r="N23" i="133"/>
  <c r="N22" i="133"/>
  <c r="N21" i="133"/>
  <c r="N20" i="133"/>
  <c r="N19" i="133"/>
  <c r="N18" i="133"/>
  <c r="N17" i="133"/>
  <c r="N16" i="133"/>
  <c r="N15" i="133"/>
  <c r="N14" i="133"/>
  <c r="AC13" i="133"/>
  <c r="AB13" i="133"/>
  <c r="AA13" i="133"/>
  <c r="Z13" i="133"/>
  <c r="Y13" i="133"/>
  <c r="X13" i="133"/>
  <c r="W13" i="133"/>
  <c r="V13" i="133"/>
  <c r="U13" i="133"/>
  <c r="T13" i="133"/>
  <c r="S13" i="133"/>
  <c r="R13" i="133"/>
  <c r="N13" i="133"/>
  <c r="AD12" i="133"/>
  <c r="N12" i="133"/>
  <c r="AD11" i="133"/>
  <c r="N11" i="133"/>
  <c r="AD10" i="133"/>
  <c r="N10" i="133"/>
  <c r="AD9" i="133"/>
  <c r="N9" i="133"/>
  <c r="AD8" i="133"/>
  <c r="N8" i="133"/>
  <c r="AD7" i="133"/>
  <c r="AD13" i="133" s="1"/>
  <c r="N7" i="133"/>
  <c r="AC6" i="133"/>
  <c r="AC14" i="133" s="1"/>
  <c r="AB6" i="133"/>
  <c r="AB14" i="133" s="1"/>
  <c r="AA6" i="133"/>
  <c r="AA14" i="133" s="1"/>
  <c r="Z6" i="133"/>
  <c r="Z14" i="133" s="1"/>
  <c r="Y6" i="133"/>
  <c r="Y14" i="133" s="1"/>
  <c r="X6" i="133"/>
  <c r="X14" i="133" s="1"/>
  <c r="W6" i="133"/>
  <c r="W14" i="133" s="1"/>
  <c r="V6" i="133"/>
  <c r="V14" i="133" s="1"/>
  <c r="U6" i="133"/>
  <c r="U14" i="133" s="1"/>
  <c r="T6" i="133"/>
  <c r="T14" i="133" s="1"/>
  <c r="S6" i="133"/>
  <c r="S14" i="133" s="1"/>
  <c r="R6" i="133"/>
  <c r="R14" i="133" s="1"/>
  <c r="N6" i="133"/>
  <c r="AD5" i="133"/>
  <c r="N5" i="133"/>
  <c r="AD4" i="133"/>
  <c r="N4" i="133"/>
  <c r="AD3" i="133"/>
  <c r="AD6" i="133" s="1"/>
  <c r="AD14" i="133" s="1"/>
  <c r="M3" i="133"/>
  <c r="M67" i="133" s="1"/>
  <c r="M69" i="133" s="1"/>
  <c r="L3" i="133"/>
  <c r="L67" i="133" s="1"/>
  <c r="L69" i="133" s="1"/>
  <c r="L75" i="133" s="1"/>
  <c r="K3" i="133"/>
  <c r="K67" i="133" s="1"/>
  <c r="K69" i="133" s="1"/>
  <c r="K75" i="133" s="1"/>
  <c r="J3" i="133"/>
  <c r="J67" i="133" s="1"/>
  <c r="J69" i="133" s="1"/>
  <c r="J75" i="133" s="1"/>
  <c r="I3" i="133"/>
  <c r="H3" i="133"/>
  <c r="G3" i="133"/>
  <c r="G67" i="133" s="1"/>
  <c r="G69" i="133" s="1"/>
  <c r="G75" i="133" s="1"/>
  <c r="F3" i="133"/>
  <c r="F67" i="133" s="1"/>
  <c r="E3" i="133"/>
  <c r="E67" i="133" s="1"/>
  <c r="E69" i="133" s="1"/>
  <c r="D3" i="133"/>
  <c r="D67" i="133" s="1"/>
  <c r="D69" i="133" s="1"/>
  <c r="D75" i="133" s="1"/>
  <c r="C3" i="133"/>
  <c r="C67" i="133" s="1"/>
  <c r="AD50" i="134"/>
  <c r="AC50" i="134"/>
  <c r="AB50" i="134"/>
  <c r="AA50" i="134"/>
  <c r="Z50" i="134"/>
  <c r="Y50" i="134"/>
  <c r="X50" i="134"/>
  <c r="W50" i="134"/>
  <c r="V50" i="134"/>
  <c r="U50" i="134"/>
  <c r="T50" i="134"/>
  <c r="S46" i="134"/>
  <c r="AA48" i="134"/>
  <c r="T43" i="134"/>
  <c r="F39" i="176" s="1"/>
  <c r="AD40" i="134"/>
  <c r="AC40" i="134"/>
  <c r="AB40" i="134"/>
  <c r="AA40" i="134"/>
  <c r="Z40" i="134"/>
  <c r="Y40" i="134"/>
  <c r="X40" i="134"/>
  <c r="W40" i="134"/>
  <c r="V40" i="134"/>
  <c r="U40" i="134"/>
  <c r="T40" i="134"/>
  <c r="S40" i="134"/>
  <c r="L40" i="134"/>
  <c r="D40" i="134"/>
  <c r="Z39" i="134"/>
  <c r="X39" i="134"/>
  <c r="W39" i="134"/>
  <c r="S37" i="134"/>
  <c r="AD36" i="134"/>
  <c r="AC36" i="134"/>
  <c r="AB36" i="134"/>
  <c r="AA36" i="134"/>
  <c r="Z36" i="134"/>
  <c r="Y36" i="134"/>
  <c r="X36" i="134"/>
  <c r="W36" i="134"/>
  <c r="V36" i="134"/>
  <c r="U36" i="134"/>
  <c r="T36" i="134"/>
  <c r="F29" i="176" s="1"/>
  <c r="M36" i="134"/>
  <c r="L36" i="134"/>
  <c r="K36" i="134"/>
  <c r="J36" i="134"/>
  <c r="I36" i="134"/>
  <c r="H36" i="134"/>
  <c r="G36" i="134"/>
  <c r="F36" i="134"/>
  <c r="E36" i="134"/>
  <c r="D36" i="134"/>
  <c r="N35" i="134"/>
  <c r="B35" i="134"/>
  <c r="N34" i="134"/>
  <c r="N33" i="134"/>
  <c r="AD32" i="134"/>
  <c r="AD39" i="134" s="1"/>
  <c r="AC32" i="134"/>
  <c r="AC39" i="134" s="1"/>
  <c r="AB32" i="134"/>
  <c r="AB39" i="134" s="1"/>
  <c r="AA32" i="134"/>
  <c r="AA39" i="134" s="1"/>
  <c r="Z32" i="134"/>
  <c r="Y32" i="134"/>
  <c r="Y39" i="134" s="1"/>
  <c r="X32" i="134"/>
  <c r="W32" i="134"/>
  <c r="V32" i="134"/>
  <c r="V39" i="134" s="1"/>
  <c r="U32" i="134"/>
  <c r="U39" i="134" s="1"/>
  <c r="T32" i="134"/>
  <c r="AE31" i="134"/>
  <c r="AG31" i="134" s="1"/>
  <c r="M31" i="134"/>
  <c r="K31" i="134"/>
  <c r="E31" i="134"/>
  <c r="AE30" i="134"/>
  <c r="AE29" i="134"/>
  <c r="S45" i="134"/>
  <c r="C41" i="176" s="1"/>
  <c r="M29" i="134"/>
  <c r="L29" i="134"/>
  <c r="K29" i="134"/>
  <c r="J29" i="134"/>
  <c r="I29" i="134"/>
  <c r="H29" i="134"/>
  <c r="G29" i="134"/>
  <c r="F29" i="134"/>
  <c r="E29" i="134"/>
  <c r="D29" i="134"/>
  <c r="C29" i="134"/>
  <c r="B29" i="134"/>
  <c r="AE28" i="134"/>
  <c r="AG27" i="134"/>
  <c r="AE27" i="134"/>
  <c r="AE40" i="134" s="1"/>
  <c r="M27" i="134"/>
  <c r="L27" i="134"/>
  <c r="L31" i="134" s="1"/>
  <c r="K27" i="134"/>
  <c r="J27" i="134"/>
  <c r="J31" i="134" s="1"/>
  <c r="I27" i="134"/>
  <c r="I31" i="134" s="1"/>
  <c r="H27" i="134"/>
  <c r="H31" i="134" s="1"/>
  <c r="G27" i="134"/>
  <c r="G31" i="134" s="1"/>
  <c r="F27" i="134"/>
  <c r="F31" i="134" s="1"/>
  <c r="E27" i="134"/>
  <c r="D27" i="134"/>
  <c r="D31" i="134" s="1"/>
  <c r="C27" i="134"/>
  <c r="C31" i="134" s="1"/>
  <c r="AE26" i="134"/>
  <c r="AG26" i="134" s="1"/>
  <c r="O26" i="134"/>
  <c r="AE25" i="134"/>
  <c r="AG25" i="134" s="1"/>
  <c r="M25" i="134"/>
  <c r="L25" i="134"/>
  <c r="K25" i="134"/>
  <c r="I25" i="134"/>
  <c r="H25" i="134"/>
  <c r="G25" i="134"/>
  <c r="F25" i="134"/>
  <c r="E25" i="134"/>
  <c r="D25" i="134"/>
  <c r="C25" i="134"/>
  <c r="B25" i="134"/>
  <c r="S24" i="134"/>
  <c r="M22" i="134"/>
  <c r="M24" i="134" s="1"/>
  <c r="M28" i="134" s="1"/>
  <c r="M30" i="134" s="1"/>
  <c r="L22" i="134"/>
  <c r="L24" i="134" s="1"/>
  <c r="L28" i="134" s="1"/>
  <c r="L30" i="134" s="1"/>
  <c r="K22" i="134"/>
  <c r="K40" i="134" s="1"/>
  <c r="J22" i="134"/>
  <c r="J40" i="134" s="1"/>
  <c r="I22" i="134"/>
  <c r="I24" i="134" s="1"/>
  <c r="I28" i="134" s="1"/>
  <c r="I30" i="134" s="1"/>
  <c r="I37" i="134" s="1"/>
  <c r="H22" i="134"/>
  <c r="H24" i="134" s="1"/>
  <c r="H28" i="134" s="1"/>
  <c r="H30" i="134" s="1"/>
  <c r="G22" i="134"/>
  <c r="G24" i="134" s="1"/>
  <c r="G28" i="134" s="1"/>
  <c r="G30" i="134" s="1"/>
  <c r="F22" i="134"/>
  <c r="F24" i="134" s="1"/>
  <c r="F28" i="134" s="1"/>
  <c r="F30" i="134" s="1"/>
  <c r="E22" i="134"/>
  <c r="E24" i="134" s="1"/>
  <c r="E28" i="134" s="1"/>
  <c r="E30" i="134" s="1"/>
  <c r="D22" i="134"/>
  <c r="D24" i="134" s="1"/>
  <c r="D28" i="134" s="1"/>
  <c r="D30" i="134" s="1"/>
  <c r="C22" i="134"/>
  <c r="C40" i="134" s="1"/>
  <c r="B22" i="134"/>
  <c r="O21" i="134"/>
  <c r="AC20" i="134"/>
  <c r="AB20" i="134"/>
  <c r="AA20" i="134"/>
  <c r="Z20" i="134"/>
  <c r="Y20" i="134"/>
  <c r="X20" i="134"/>
  <c r="W20" i="134"/>
  <c r="V20" i="134"/>
  <c r="U20" i="134"/>
  <c r="T20" i="134"/>
  <c r="N20" i="134"/>
  <c r="O20" i="134" s="1"/>
  <c r="AD19" i="134"/>
  <c r="S38" i="134"/>
  <c r="O19" i="134"/>
  <c r="N19" i="134"/>
  <c r="AD18" i="134"/>
  <c r="N18" i="134"/>
  <c r="O18" i="134" s="1"/>
  <c r="B18" i="134"/>
  <c r="AD17" i="134"/>
  <c r="N17" i="134"/>
  <c r="O17" i="134" s="1"/>
  <c r="AD16" i="134"/>
  <c r="AC16" i="134"/>
  <c r="AC48" i="134" s="1"/>
  <c r="AB16" i="134"/>
  <c r="AA16" i="134"/>
  <c r="Z16" i="134"/>
  <c r="Y16" i="134"/>
  <c r="Y21" i="134" s="1"/>
  <c r="X16" i="134"/>
  <c r="W16" i="134"/>
  <c r="W21" i="134" s="1"/>
  <c r="V16" i="134"/>
  <c r="U16" i="134"/>
  <c r="U48" i="134" s="1"/>
  <c r="T16" i="134"/>
  <c r="N16" i="134"/>
  <c r="O16" i="134" s="1"/>
  <c r="AE15" i="134"/>
  <c r="AG15" i="134" s="1"/>
  <c r="S15" i="134"/>
  <c r="N15" i="134"/>
  <c r="O15" i="134" s="1"/>
  <c r="AE14" i="134"/>
  <c r="AG14" i="134" s="1"/>
  <c r="N14" i="134"/>
  <c r="O14" i="134" s="1"/>
  <c r="AE13" i="134"/>
  <c r="AG13" i="134" s="1"/>
  <c r="S13" i="134"/>
  <c r="N13" i="134"/>
  <c r="N25" i="134" s="1"/>
  <c r="O25" i="134" s="1"/>
  <c r="AG12" i="134"/>
  <c r="AE12" i="134"/>
  <c r="S12" i="134"/>
  <c r="N12" i="134"/>
  <c r="O12" i="134" s="1"/>
  <c r="S11" i="134"/>
  <c r="AE11" i="134" s="1"/>
  <c r="N11" i="134"/>
  <c r="O11" i="134" s="1"/>
  <c r="S10" i="134"/>
  <c r="AE10" i="134" s="1"/>
  <c r="N10" i="134"/>
  <c r="O10" i="134" s="1"/>
  <c r="S9" i="134"/>
  <c r="AE9" i="134" s="1"/>
  <c r="N9" i="134"/>
  <c r="O9" i="134" s="1"/>
  <c r="N8" i="134"/>
  <c r="O8" i="134" s="1"/>
  <c r="AE7" i="134"/>
  <c r="B7" i="134"/>
  <c r="B27" i="134" s="1"/>
  <c r="S6" i="134"/>
  <c r="AE6" i="134" s="1"/>
  <c r="N6" i="134"/>
  <c r="N29" i="134" s="1"/>
  <c r="O29" i="134" s="1"/>
  <c r="AE5" i="134"/>
  <c r="AG5" i="134" s="1"/>
  <c r="N5" i="134"/>
  <c r="O5" i="134" s="1"/>
  <c r="AE4" i="134"/>
  <c r="AG4" i="134" s="1"/>
  <c r="N4" i="134"/>
  <c r="AD2" i="134"/>
  <c r="AC2" i="134"/>
  <c r="AB2" i="134"/>
  <c r="AA2" i="134"/>
  <c r="Z2" i="134"/>
  <c r="Y2" i="134"/>
  <c r="X2" i="134"/>
  <c r="W2" i="134"/>
  <c r="V2" i="134"/>
  <c r="U2" i="134"/>
  <c r="T2" i="134"/>
  <c r="S2" i="134"/>
  <c r="N71" i="147"/>
  <c r="N73" i="147" s="1"/>
  <c r="O66" i="147"/>
  <c r="F64" i="147"/>
  <c r="E64" i="147"/>
  <c r="G64" i="147" s="1"/>
  <c r="C64" i="147"/>
  <c r="B64" i="147"/>
  <c r="D64" i="147" s="1"/>
  <c r="L63" i="147"/>
  <c r="J63" i="147"/>
  <c r="I63" i="147"/>
  <c r="H63" i="147"/>
  <c r="G63" i="147"/>
  <c r="D63" i="147"/>
  <c r="J62" i="147"/>
  <c r="I62" i="147"/>
  <c r="H62" i="147"/>
  <c r="G62" i="147"/>
  <c r="D62" i="147"/>
  <c r="L61" i="147"/>
  <c r="J61" i="147"/>
  <c r="I61" i="147"/>
  <c r="H61" i="147"/>
  <c r="G61" i="147"/>
  <c r="D61" i="147"/>
  <c r="L60" i="147"/>
  <c r="J60" i="147"/>
  <c r="I60" i="147"/>
  <c r="H60" i="147"/>
  <c r="G60" i="147"/>
  <c r="D60" i="147"/>
  <c r="L59" i="147"/>
  <c r="J59" i="147"/>
  <c r="I59" i="147"/>
  <c r="H59" i="147"/>
  <c r="G59" i="147"/>
  <c r="D59" i="147"/>
  <c r="J58" i="147"/>
  <c r="I58" i="147"/>
  <c r="H58" i="147"/>
  <c r="G58" i="147"/>
  <c r="D58" i="147"/>
  <c r="L57" i="147"/>
  <c r="J57" i="147"/>
  <c r="I57" i="147"/>
  <c r="H57" i="147"/>
  <c r="G57" i="147"/>
  <c r="D57" i="147"/>
  <c r="L56" i="147"/>
  <c r="J56" i="147"/>
  <c r="I56" i="147"/>
  <c r="H56" i="147"/>
  <c r="G56" i="147"/>
  <c r="D56" i="147"/>
  <c r="L55" i="147"/>
  <c r="J55" i="147"/>
  <c r="I55" i="147"/>
  <c r="H55" i="147"/>
  <c r="G55" i="147"/>
  <c r="D55" i="147"/>
  <c r="J54" i="147"/>
  <c r="I54" i="147"/>
  <c r="H54" i="147"/>
  <c r="G54" i="147"/>
  <c r="D54" i="147"/>
  <c r="I53" i="147"/>
  <c r="H53" i="147"/>
  <c r="H64" i="147" s="1"/>
  <c r="G53" i="147"/>
  <c r="D53" i="147"/>
  <c r="I52" i="147"/>
  <c r="H52" i="147"/>
  <c r="G52" i="147"/>
  <c r="D52" i="147"/>
  <c r="I49" i="147"/>
  <c r="H49" i="147"/>
  <c r="J49" i="147" s="1"/>
  <c r="E49" i="147"/>
  <c r="C49" i="147"/>
  <c r="B49" i="147"/>
  <c r="D49" i="147" s="1"/>
  <c r="L48" i="147"/>
  <c r="K48" i="147"/>
  <c r="M48" i="147" s="1"/>
  <c r="J48" i="147"/>
  <c r="G48" i="147"/>
  <c r="D48" i="147"/>
  <c r="M47" i="147"/>
  <c r="L47" i="147"/>
  <c r="L62" i="147" s="1"/>
  <c r="K47" i="147"/>
  <c r="K62" i="147" s="1"/>
  <c r="M62" i="147" s="1"/>
  <c r="J47" i="147"/>
  <c r="G47" i="147"/>
  <c r="D47" i="147"/>
  <c r="M46" i="147"/>
  <c r="L46" i="147"/>
  <c r="K46" i="147"/>
  <c r="K61" i="147" s="1"/>
  <c r="M61" i="147" s="1"/>
  <c r="J46" i="147"/>
  <c r="G46" i="147"/>
  <c r="D46" i="147"/>
  <c r="L45" i="147"/>
  <c r="K45" i="147"/>
  <c r="M45" i="147" s="1"/>
  <c r="J45" i="147"/>
  <c r="G45" i="147"/>
  <c r="D45" i="147"/>
  <c r="L44" i="147"/>
  <c r="K44" i="147"/>
  <c r="M44" i="147" s="1"/>
  <c r="J44" i="147"/>
  <c r="G44" i="147"/>
  <c r="D44" i="147"/>
  <c r="M43" i="147"/>
  <c r="L43" i="147"/>
  <c r="L58" i="147" s="1"/>
  <c r="K43" i="147"/>
  <c r="K58" i="147" s="1"/>
  <c r="M58" i="147" s="1"/>
  <c r="J43" i="147"/>
  <c r="G43" i="147"/>
  <c r="D43" i="147"/>
  <c r="M42" i="147"/>
  <c r="L42" i="147"/>
  <c r="K42" i="147"/>
  <c r="K57" i="147" s="1"/>
  <c r="M57" i="147" s="1"/>
  <c r="J42" i="147"/>
  <c r="G42" i="147"/>
  <c r="D42" i="147"/>
  <c r="L41" i="147"/>
  <c r="K41" i="147"/>
  <c r="M41" i="147" s="1"/>
  <c r="J41" i="147"/>
  <c r="G41" i="147"/>
  <c r="D41" i="147"/>
  <c r="M40" i="147"/>
  <c r="L40" i="147"/>
  <c r="K40" i="147"/>
  <c r="K55" i="147" s="1"/>
  <c r="M55" i="147" s="1"/>
  <c r="J40" i="147"/>
  <c r="G40" i="147"/>
  <c r="D40" i="147"/>
  <c r="M39" i="147"/>
  <c r="L39" i="147"/>
  <c r="L54" i="147" s="1"/>
  <c r="K39" i="147"/>
  <c r="K54" i="147" s="1"/>
  <c r="M54" i="147" s="1"/>
  <c r="J39" i="147"/>
  <c r="G39" i="147"/>
  <c r="D39" i="147"/>
  <c r="L38" i="147"/>
  <c r="K38" i="147"/>
  <c r="J38" i="147"/>
  <c r="G38" i="147"/>
  <c r="D38" i="147"/>
  <c r="K37" i="147"/>
  <c r="M37" i="147" s="1"/>
  <c r="J37" i="147"/>
  <c r="F37" i="147"/>
  <c r="L37" i="147" s="1"/>
  <c r="D37" i="147"/>
  <c r="Q34" i="147"/>
  <c r="M34" i="147"/>
  <c r="H34" i="147"/>
  <c r="P33" i="147"/>
  <c r="R33" i="147" s="1"/>
  <c r="N33" i="147"/>
  <c r="K33" i="147"/>
  <c r="J33" i="147"/>
  <c r="I33" i="147"/>
  <c r="O33" i="147" s="1"/>
  <c r="G33" i="147"/>
  <c r="D33" i="147"/>
  <c r="O32" i="147"/>
  <c r="N32" i="147"/>
  <c r="J32" i="147"/>
  <c r="P32" i="147" s="1"/>
  <c r="R32" i="147" s="1"/>
  <c r="I32" i="147"/>
  <c r="K32" i="147" s="1"/>
  <c r="G32" i="147"/>
  <c r="D32" i="147"/>
  <c r="P31" i="147"/>
  <c r="R31" i="147" s="1"/>
  <c r="O31" i="147"/>
  <c r="N31" i="147"/>
  <c r="J31" i="147"/>
  <c r="I31" i="147"/>
  <c r="K31" i="147" s="1"/>
  <c r="G31" i="147"/>
  <c r="D31" i="147"/>
  <c r="P30" i="147"/>
  <c r="R30" i="147" s="1"/>
  <c r="N30" i="147"/>
  <c r="J30" i="147"/>
  <c r="I30" i="147"/>
  <c r="O30" i="147" s="1"/>
  <c r="G30" i="147"/>
  <c r="D30" i="147"/>
  <c r="N29" i="147"/>
  <c r="K29" i="147"/>
  <c r="J29" i="147"/>
  <c r="P29" i="147" s="1"/>
  <c r="R29" i="147" s="1"/>
  <c r="I29" i="147"/>
  <c r="O29" i="147" s="1"/>
  <c r="G29" i="147"/>
  <c r="D29" i="147"/>
  <c r="N28" i="147"/>
  <c r="K28" i="147"/>
  <c r="J28" i="147"/>
  <c r="P28" i="147" s="1"/>
  <c r="R28" i="147" s="1"/>
  <c r="I28" i="147"/>
  <c r="O28" i="147" s="1"/>
  <c r="G28" i="147"/>
  <c r="D28" i="147"/>
  <c r="N27" i="147"/>
  <c r="J27" i="147"/>
  <c r="P27" i="147" s="1"/>
  <c r="R27" i="147" s="1"/>
  <c r="I27" i="147"/>
  <c r="O27" i="147" s="1"/>
  <c r="G27" i="147"/>
  <c r="D27" i="147"/>
  <c r="O26" i="147"/>
  <c r="N26" i="147"/>
  <c r="K26" i="147"/>
  <c r="J26" i="147"/>
  <c r="P26" i="147" s="1"/>
  <c r="R26" i="147" s="1"/>
  <c r="I26" i="147"/>
  <c r="G26" i="147"/>
  <c r="D26" i="147"/>
  <c r="P25" i="147"/>
  <c r="R25" i="147" s="1"/>
  <c r="N25" i="147"/>
  <c r="K25" i="147"/>
  <c r="J25" i="147"/>
  <c r="I25" i="147"/>
  <c r="O25" i="147" s="1"/>
  <c r="G25" i="147"/>
  <c r="D25" i="147"/>
  <c r="O24" i="147"/>
  <c r="N24" i="147"/>
  <c r="K24" i="147"/>
  <c r="J24" i="147"/>
  <c r="P24" i="147" s="1"/>
  <c r="R24" i="147" s="1"/>
  <c r="I24" i="147"/>
  <c r="G24" i="147"/>
  <c r="D24" i="147"/>
  <c r="N23" i="147"/>
  <c r="J23" i="147"/>
  <c r="P23" i="147" s="1"/>
  <c r="R23" i="147" s="1"/>
  <c r="I23" i="147"/>
  <c r="O23" i="147" s="1"/>
  <c r="G23" i="147"/>
  <c r="D23" i="147"/>
  <c r="L22" i="147"/>
  <c r="L34" i="147" s="1"/>
  <c r="C22" i="147"/>
  <c r="F22" i="147" s="1"/>
  <c r="B22" i="147"/>
  <c r="E22" i="147" s="1"/>
  <c r="N17" i="147"/>
  <c r="I17" i="147"/>
  <c r="H17" i="147"/>
  <c r="J17" i="147" s="1"/>
  <c r="F17" i="147"/>
  <c r="E17" i="147"/>
  <c r="G17" i="147" s="1"/>
  <c r="C17" i="147"/>
  <c r="B17" i="147"/>
  <c r="D17" i="147" s="1"/>
  <c r="P16" i="147"/>
  <c r="L16" i="147"/>
  <c r="K16" i="147"/>
  <c r="M16" i="147" s="1"/>
  <c r="J16" i="147"/>
  <c r="G16" i="147"/>
  <c r="D16" i="147"/>
  <c r="P15" i="147"/>
  <c r="L15" i="147"/>
  <c r="K15" i="147"/>
  <c r="M15" i="147" s="1"/>
  <c r="J15" i="147"/>
  <c r="G15" i="147"/>
  <c r="D15" i="147"/>
  <c r="P14" i="147"/>
  <c r="L14" i="147"/>
  <c r="K14" i="147"/>
  <c r="M14" i="147" s="1"/>
  <c r="J14" i="147"/>
  <c r="G14" i="147"/>
  <c r="D14" i="147"/>
  <c r="P13" i="147"/>
  <c r="L13" i="147"/>
  <c r="K13" i="147"/>
  <c r="M13" i="147" s="1"/>
  <c r="J13" i="147"/>
  <c r="G13" i="147"/>
  <c r="D13" i="147"/>
  <c r="P12" i="147"/>
  <c r="L12" i="147"/>
  <c r="K12" i="147"/>
  <c r="M12" i="147" s="1"/>
  <c r="J12" i="147"/>
  <c r="G12" i="147"/>
  <c r="D12" i="147"/>
  <c r="P11" i="147"/>
  <c r="L11" i="147"/>
  <c r="K11" i="147"/>
  <c r="M11" i="147" s="1"/>
  <c r="J11" i="147"/>
  <c r="G11" i="147"/>
  <c r="D11" i="147"/>
  <c r="P10" i="147"/>
  <c r="L10" i="147"/>
  <c r="K10" i="147"/>
  <c r="M10" i="147" s="1"/>
  <c r="J10" i="147"/>
  <c r="G10" i="147"/>
  <c r="D10" i="147"/>
  <c r="P9" i="147"/>
  <c r="L9" i="147"/>
  <c r="K9" i="147"/>
  <c r="M9" i="147" s="1"/>
  <c r="J9" i="147"/>
  <c r="G9" i="147"/>
  <c r="D9" i="147"/>
  <c r="P8" i="147"/>
  <c r="L8" i="147"/>
  <c r="K8" i="147"/>
  <c r="M8" i="147" s="1"/>
  <c r="J8" i="147"/>
  <c r="G8" i="147"/>
  <c r="D8" i="147"/>
  <c r="P7" i="147"/>
  <c r="L7" i="147"/>
  <c r="K7" i="147"/>
  <c r="M7" i="147" s="1"/>
  <c r="J7" i="147"/>
  <c r="G7" i="147"/>
  <c r="D7" i="147"/>
  <c r="P6" i="147"/>
  <c r="L6" i="147"/>
  <c r="L17" i="147" s="1"/>
  <c r="O69" i="147" s="1"/>
  <c r="P69" i="147" s="1"/>
  <c r="K6" i="147"/>
  <c r="J6" i="147"/>
  <c r="G6" i="147"/>
  <c r="D6" i="147"/>
  <c r="P5" i="147"/>
  <c r="L5" i="147"/>
  <c r="K5" i="147"/>
  <c r="M5" i="147" s="1"/>
  <c r="J5" i="147"/>
  <c r="G5" i="147"/>
  <c r="D5" i="147"/>
  <c r="H37" i="134" l="1"/>
  <c r="AU20" i="119"/>
  <c r="I21" i="119"/>
  <c r="J51" i="119"/>
  <c r="H51" i="119"/>
  <c r="K51" i="119"/>
  <c r="J37" i="119"/>
  <c r="H46" i="119"/>
  <c r="H25" i="119"/>
  <c r="H26" i="119" s="1"/>
  <c r="H27" i="119" s="1"/>
  <c r="H28" i="119" s="1"/>
  <c r="AN26" i="146"/>
  <c r="F26" i="146"/>
  <c r="AL26" i="146"/>
  <c r="AL27" i="146" s="1"/>
  <c r="AN42" i="146"/>
  <c r="AM19" i="146"/>
  <c r="AM17" i="146"/>
  <c r="F18" i="146"/>
  <c r="AM14" i="146"/>
  <c r="AM15" i="146"/>
  <c r="AM13" i="146"/>
  <c r="AM16" i="146"/>
  <c r="F27" i="146"/>
  <c r="F11" i="146"/>
  <c r="AN11" i="146"/>
  <c r="AM10" i="146"/>
  <c r="AM9" i="146"/>
  <c r="T39" i="134"/>
  <c r="F33" i="176" s="1"/>
  <c r="C69" i="133"/>
  <c r="N73" i="133"/>
  <c r="N41" i="133"/>
  <c r="N70" i="133"/>
  <c r="N74" i="133" s="1"/>
  <c r="C74" i="133"/>
  <c r="C75" i="133" s="1"/>
  <c r="C65" i="133"/>
  <c r="C79" i="133" s="1"/>
  <c r="AE24" i="134"/>
  <c r="B24" i="134"/>
  <c r="B28" i="134" s="1"/>
  <c r="AE36" i="134"/>
  <c r="O13" i="134"/>
  <c r="O6" i="134"/>
  <c r="K53" i="147"/>
  <c r="J53" i="147"/>
  <c r="L53" i="147"/>
  <c r="I64" i="147"/>
  <c r="M38" i="147"/>
  <c r="M53" i="147"/>
  <c r="N34" i="147"/>
  <c r="K23" i="147"/>
  <c r="M6" i="147"/>
  <c r="N18" i="147"/>
  <c r="P17" i="147"/>
  <c r="K17" i="147"/>
  <c r="M17" i="147" s="1"/>
  <c r="AR8" i="119"/>
  <c r="AW14" i="119"/>
  <c r="AW20" i="119" s="1"/>
  <c r="AR12" i="119"/>
  <c r="AD20" i="134"/>
  <c r="AD47" i="134" s="1"/>
  <c r="AR20" i="119"/>
  <c r="AR25" i="119" s="1"/>
  <c r="AR26" i="119" s="1"/>
  <c r="AR27" i="119" s="1"/>
  <c r="AT7" i="119"/>
  <c r="AT8" i="119" s="1"/>
  <c r="AT12" i="119"/>
  <c r="AT34" i="119" s="1"/>
  <c r="AU12" i="119"/>
  <c r="L18" i="147"/>
  <c r="O72" i="147"/>
  <c r="P72" i="147" s="1"/>
  <c r="AT20" i="119"/>
  <c r="AT35" i="119"/>
  <c r="AW12" i="119"/>
  <c r="L37" i="134"/>
  <c r="AW8" i="119"/>
  <c r="AU8" i="119"/>
  <c r="AE2" i="134"/>
  <c r="AF25" i="134" s="1"/>
  <c r="D37" i="134"/>
  <c r="M37" i="134"/>
  <c r="G37" i="134"/>
  <c r="E37" i="134"/>
  <c r="F37" i="134"/>
  <c r="S32" i="134"/>
  <c r="S39" i="134" s="1"/>
  <c r="C33" i="176" s="1"/>
  <c r="AE18" i="134"/>
  <c r="AG18" i="134" s="1"/>
  <c r="AN25" i="119"/>
  <c r="AN26" i="119" s="1"/>
  <c r="AN33" i="119" s="1"/>
  <c r="AN44" i="146"/>
  <c r="P38" i="146"/>
  <c r="P29" i="146"/>
  <c r="P39" i="146"/>
  <c r="X44" i="146"/>
  <c r="G38" i="146"/>
  <c r="G29" i="146"/>
  <c r="G39" i="146"/>
  <c r="AB38" i="146"/>
  <c r="AB29" i="146"/>
  <c r="AB39" i="146"/>
  <c r="AK38" i="146"/>
  <c r="AK29" i="146"/>
  <c r="AK39" i="146"/>
  <c r="R44" i="146"/>
  <c r="AM11" i="146"/>
  <c r="Y39" i="146"/>
  <c r="Y29" i="146"/>
  <c r="Y38" i="146"/>
  <c r="Y37" i="146"/>
  <c r="AN37" i="146" s="1"/>
  <c r="AA44" i="146"/>
  <c r="O44" i="146"/>
  <c r="AE38" i="146"/>
  <c r="AE39" i="146"/>
  <c r="AE29" i="146"/>
  <c r="D39" i="146"/>
  <c r="D38" i="146"/>
  <c r="D29" i="146"/>
  <c r="M38" i="146"/>
  <c r="M29" i="146"/>
  <c r="M39" i="146"/>
  <c r="V29" i="146"/>
  <c r="V39" i="146"/>
  <c r="V38" i="146"/>
  <c r="C27" i="146"/>
  <c r="AN34" i="146"/>
  <c r="C44" i="146"/>
  <c r="E44" i="146"/>
  <c r="AL44" i="146" s="1"/>
  <c r="M44" i="146"/>
  <c r="L44" i="146" s="1"/>
  <c r="X11" i="146"/>
  <c r="AN18" i="146"/>
  <c r="AN29" i="146" s="1"/>
  <c r="R26" i="146"/>
  <c r="J39" i="146"/>
  <c r="AH39" i="146"/>
  <c r="N44" i="146"/>
  <c r="V44" i="146"/>
  <c r="U44" i="146" s="1"/>
  <c r="AO18" i="146"/>
  <c r="AO25" i="146" s="1"/>
  <c r="J29" i="146"/>
  <c r="AH29" i="146"/>
  <c r="G44" i="146"/>
  <c r="W44" i="146"/>
  <c r="N27" i="146"/>
  <c r="O27" i="146" s="1"/>
  <c r="C11" i="146"/>
  <c r="AA11" i="146"/>
  <c r="AL29" i="146"/>
  <c r="S39" i="146"/>
  <c r="AB27" i="119"/>
  <c r="AH30" i="119"/>
  <c r="AH31" i="119" s="1"/>
  <c r="M25" i="119"/>
  <c r="M46" i="119"/>
  <c r="M37" i="119"/>
  <c r="AF27" i="119"/>
  <c r="BA26" i="119"/>
  <c r="BB25" i="119"/>
  <c r="S50" i="119"/>
  <c r="S52" i="119" s="1"/>
  <c r="P48" i="119"/>
  <c r="O48" i="119" s="1"/>
  <c r="O46" i="119"/>
  <c r="G25" i="119"/>
  <c r="N26" i="119"/>
  <c r="O25" i="119"/>
  <c r="B48" i="119"/>
  <c r="E50" i="119"/>
  <c r="E52" i="119" s="1"/>
  <c r="K54" i="119"/>
  <c r="K56" i="119" s="1"/>
  <c r="AK41" i="119"/>
  <c r="D46" i="119"/>
  <c r="C12" i="119"/>
  <c r="AJ38" i="119" s="1"/>
  <c r="AK38" i="119" s="1"/>
  <c r="AH27" i="119"/>
  <c r="AE27" i="119"/>
  <c r="AK30" i="119"/>
  <c r="AK31" i="119" s="1"/>
  <c r="AK27" i="119"/>
  <c r="AL26" i="119"/>
  <c r="AM25" i="119"/>
  <c r="W26" i="119"/>
  <c r="X25" i="119"/>
  <c r="AG26" i="119"/>
  <c r="AI27" i="119"/>
  <c r="F12" i="119"/>
  <c r="G46" i="119"/>
  <c r="N50" i="119"/>
  <c r="N52" i="119" s="1"/>
  <c r="K50" i="119"/>
  <c r="K52" i="119" s="1"/>
  <c r="K48" i="119"/>
  <c r="BC25" i="119"/>
  <c r="BC26" i="119" s="1"/>
  <c r="BC27" i="119" s="1"/>
  <c r="BB20" i="119"/>
  <c r="S28" i="119"/>
  <c r="V25" i="119"/>
  <c r="T26" i="119"/>
  <c r="P37" i="119"/>
  <c r="M34" i="119"/>
  <c r="M36" i="119" s="1"/>
  <c r="P38" i="119"/>
  <c r="AG25" i="119"/>
  <c r="AD26" i="119"/>
  <c r="T27" i="119"/>
  <c r="T28" i="119" s="1"/>
  <c r="AX12" i="119"/>
  <c r="AY12" i="119" s="1"/>
  <c r="B25" i="119"/>
  <c r="J25" i="119"/>
  <c r="I25" i="119" s="1"/>
  <c r="K25" i="119"/>
  <c r="J46" i="119"/>
  <c r="D25" i="119"/>
  <c r="AL33" i="119"/>
  <c r="J76" i="133"/>
  <c r="J79" i="133"/>
  <c r="M75" i="133"/>
  <c r="L76" i="133"/>
  <c r="L79" i="133"/>
  <c r="M79" i="133"/>
  <c r="M76" i="133"/>
  <c r="K76" i="133"/>
  <c r="K79" i="133"/>
  <c r="E75" i="133"/>
  <c r="G65" i="133"/>
  <c r="G79" i="133" s="1"/>
  <c r="N52" i="133"/>
  <c r="I65" i="133"/>
  <c r="I79" i="133" s="1"/>
  <c r="F68" i="133"/>
  <c r="F69" i="133" s="1"/>
  <c r="F75" i="133" s="1"/>
  <c r="E65" i="133"/>
  <c r="E79" i="133" s="1"/>
  <c r="B3" i="133"/>
  <c r="AF14" i="134"/>
  <c r="AF31" i="134"/>
  <c r="AF4" i="134"/>
  <c r="AF5" i="134"/>
  <c r="AF28" i="134"/>
  <c r="AG28" i="134"/>
  <c r="AG9" i="134"/>
  <c r="W35" i="134"/>
  <c r="W41" i="134" s="1"/>
  <c r="W33" i="134"/>
  <c r="AF26" i="134"/>
  <c r="T48" i="134"/>
  <c r="AB48" i="134"/>
  <c r="B30" i="134"/>
  <c r="B37" i="134" s="1"/>
  <c r="AG30" i="134"/>
  <c r="V48" i="134"/>
  <c r="AD48" i="134"/>
  <c r="Y35" i="134"/>
  <c r="Y41" i="134" s="1"/>
  <c r="Y33" i="134"/>
  <c r="AG6" i="134"/>
  <c r="AF6" i="134"/>
  <c r="AF10" i="134"/>
  <c r="AG10" i="134"/>
  <c r="W48" i="134"/>
  <c r="B31" i="134"/>
  <c r="N27" i="134"/>
  <c r="X48" i="134"/>
  <c r="Z48" i="134"/>
  <c r="AF11" i="134"/>
  <c r="AG11" i="134"/>
  <c r="J24" i="134"/>
  <c r="J28" i="134" s="1"/>
  <c r="J30" i="134" s="1"/>
  <c r="J37" i="134" s="1"/>
  <c r="S20" i="134"/>
  <c r="AA21" i="134"/>
  <c r="C24" i="134"/>
  <c r="C28" i="134" s="1"/>
  <c r="C30" i="134" s="1"/>
  <c r="C37" i="134" s="1"/>
  <c r="T34" i="134" s="1"/>
  <c r="K24" i="134"/>
  <c r="K28" i="134" s="1"/>
  <c r="K30" i="134" s="1"/>
  <c r="K37" i="134" s="1"/>
  <c r="E40" i="134"/>
  <c r="S8" i="134"/>
  <c r="AE8" i="134" s="1"/>
  <c r="AE16" i="134" s="1"/>
  <c r="AE46" i="134" s="1"/>
  <c r="S16" i="134"/>
  <c r="T21" i="134"/>
  <c r="AB21" i="134"/>
  <c r="AG29" i="134"/>
  <c r="F40" i="134"/>
  <c r="S44" i="134"/>
  <c r="C40" i="176" s="1"/>
  <c r="Y48" i="134"/>
  <c r="Z21" i="134"/>
  <c r="O4" i="134"/>
  <c r="N7" i="134"/>
  <c r="O7" i="134" s="1"/>
  <c r="AF13" i="134"/>
  <c r="AE19" i="134"/>
  <c r="U21" i="134"/>
  <c r="AC21" i="134"/>
  <c r="S36" i="134"/>
  <c r="G40" i="134"/>
  <c r="S50" i="134"/>
  <c r="AE17" i="134"/>
  <c r="V21" i="134"/>
  <c r="AD21" i="134"/>
  <c r="H40" i="134"/>
  <c r="I40" i="134"/>
  <c r="S43" i="134"/>
  <c r="C39" i="176" s="1"/>
  <c r="AF7" i="134"/>
  <c r="X21" i="134"/>
  <c r="B40" i="134"/>
  <c r="AG7" i="134"/>
  <c r="J64" i="147"/>
  <c r="E34" i="147"/>
  <c r="G22" i="147"/>
  <c r="L52" i="147"/>
  <c r="L64" i="147" s="1"/>
  <c r="L49" i="147"/>
  <c r="J22" i="147"/>
  <c r="P22" i="147" s="1"/>
  <c r="F34" i="147"/>
  <c r="G37" i="147"/>
  <c r="K49" i="147"/>
  <c r="J52" i="147"/>
  <c r="I22" i="147"/>
  <c r="B45" i="146" s="1"/>
  <c r="AL45" i="146" s="1"/>
  <c r="K27" i="147"/>
  <c r="K52" i="147"/>
  <c r="K56" i="147"/>
  <c r="M56" i="147" s="1"/>
  <c r="K59" i="147"/>
  <c r="M59" i="147" s="1"/>
  <c r="K60" i="147"/>
  <c r="M60" i="147" s="1"/>
  <c r="K63" i="147"/>
  <c r="M63" i="147" s="1"/>
  <c r="F49" i="147"/>
  <c r="G49" i="147" s="1"/>
  <c r="D22" i="147"/>
  <c r="K30" i="147"/>
  <c r="B34" i="147"/>
  <c r="N22" i="147"/>
  <c r="C34" i="147"/>
  <c r="D45" i="146" l="1"/>
  <c r="AT36" i="119"/>
  <c r="B5" i="176"/>
  <c r="B46" i="146"/>
  <c r="AL46" i="146" s="1"/>
  <c r="AF24" i="134"/>
  <c r="AE43" i="134"/>
  <c r="H48" i="119"/>
  <c r="H50" i="119"/>
  <c r="H52" i="119" s="1"/>
  <c r="AM26" i="146"/>
  <c r="AM29" i="146"/>
  <c r="AE32" i="134"/>
  <c r="AE39" i="134" s="1"/>
  <c r="AG24" i="134"/>
  <c r="AG32" i="134" s="1"/>
  <c r="AE50" i="134"/>
  <c r="AU25" i="119"/>
  <c r="AU26" i="119" s="1"/>
  <c r="AU30" i="119" s="1"/>
  <c r="AF12" i="134"/>
  <c r="AF30" i="134"/>
  <c r="AF9" i="134"/>
  <c r="AF27" i="134"/>
  <c r="AF15" i="134"/>
  <c r="AF23" i="134"/>
  <c r="AW25" i="119"/>
  <c r="AW26" i="119" s="1"/>
  <c r="AT25" i="119"/>
  <c r="AT26" i="119" s="1"/>
  <c r="AF18" i="134"/>
  <c r="S47" i="134"/>
  <c r="C43" i="176"/>
  <c r="C70" i="176" s="1"/>
  <c r="J34" i="147"/>
  <c r="G34" i="147"/>
  <c r="AF29" i="134"/>
  <c r="AN27" i="119"/>
  <c r="AM18" i="146"/>
  <c r="C45" i="146"/>
  <c r="AN45" i="146"/>
  <c r="AM45" i="146" s="1"/>
  <c r="D46" i="146"/>
  <c r="AQ31" i="146"/>
  <c r="AR34" i="146"/>
  <c r="AN36" i="146"/>
  <c r="AM44" i="146"/>
  <c r="AN27" i="146"/>
  <c r="AM27" i="146" s="1"/>
  <c r="F44" i="146"/>
  <c r="W27" i="119"/>
  <c r="W28" i="119" s="1"/>
  <c r="U26" i="119"/>
  <c r="AC30" i="119"/>
  <c r="AC31" i="119" s="1"/>
  <c r="X26" i="119"/>
  <c r="Z27" i="119"/>
  <c r="Z28" i="119" s="1"/>
  <c r="AQ35" i="119"/>
  <c r="V38" i="119"/>
  <c r="V26" i="119"/>
  <c r="AK28" i="119"/>
  <c r="AJ27" i="119"/>
  <c r="C46" i="119"/>
  <c r="G50" i="119"/>
  <c r="G52" i="119" s="1"/>
  <c r="M54" i="119"/>
  <c r="M56" i="119" s="1"/>
  <c r="D48" i="119"/>
  <c r="C48" i="119" s="1"/>
  <c r="C25" i="119"/>
  <c r="D26" i="119"/>
  <c r="J50" i="119"/>
  <c r="J52" i="119" s="1"/>
  <c r="G48" i="119"/>
  <c r="F48" i="119" s="1"/>
  <c r="F46" i="119"/>
  <c r="AD27" i="119"/>
  <c r="AE28" i="119"/>
  <c r="G38" i="119"/>
  <c r="G37" i="119"/>
  <c r="G26" i="119"/>
  <c r="F25" i="119"/>
  <c r="L46" i="119"/>
  <c r="P50" i="119"/>
  <c r="P52" i="119" s="1"/>
  <c r="M48" i="119"/>
  <c r="L48" i="119" s="1"/>
  <c r="AL27" i="119"/>
  <c r="AM26" i="119"/>
  <c r="J48" i="119"/>
  <c r="I48" i="119" s="1"/>
  <c r="I46" i="119"/>
  <c r="M50" i="119"/>
  <c r="M52" i="119" s="1"/>
  <c r="L25" i="119"/>
  <c r="K26" i="119"/>
  <c r="AH28" i="119"/>
  <c r="AG27" i="119"/>
  <c r="AO30" i="119"/>
  <c r="M26" i="119"/>
  <c r="P27" i="119" s="1"/>
  <c r="M38" i="119"/>
  <c r="J26" i="119"/>
  <c r="J38" i="119"/>
  <c r="B26" i="119"/>
  <c r="AX25" i="119"/>
  <c r="AY25" i="119" s="1"/>
  <c r="O26" i="119"/>
  <c r="Q27" i="119"/>
  <c r="AB28" i="119"/>
  <c r="N68" i="133"/>
  <c r="B67" i="133"/>
  <c r="B69" i="133" s="1"/>
  <c r="B75" i="133" s="1"/>
  <c r="N3" i="133"/>
  <c r="N67" i="133" s="1"/>
  <c r="B65" i="133"/>
  <c r="B79" i="133" s="1"/>
  <c r="AD35" i="134"/>
  <c r="AD41" i="134" s="1"/>
  <c r="AD33" i="134"/>
  <c r="V35" i="134"/>
  <c r="V41" i="134" s="1"/>
  <c r="V33" i="134"/>
  <c r="Z33" i="134"/>
  <c r="Z35" i="134"/>
  <c r="Z41" i="134" s="1"/>
  <c r="AG8" i="134"/>
  <c r="AG16" i="134" s="1"/>
  <c r="AF8" i="134"/>
  <c r="O27" i="134"/>
  <c r="N31" i="134"/>
  <c r="O31" i="134" s="1"/>
  <c r="AB33" i="134"/>
  <c r="AB35" i="134"/>
  <c r="AB41" i="134" s="1"/>
  <c r="S21" i="134"/>
  <c r="AE38" i="134"/>
  <c r="AG19" i="134"/>
  <c r="AF19" i="134"/>
  <c r="AF16" i="134"/>
  <c r="S48" i="134"/>
  <c r="AC35" i="134"/>
  <c r="AC41" i="134" s="1"/>
  <c r="AC33" i="134"/>
  <c r="N28" i="134"/>
  <c r="X35" i="134"/>
  <c r="X41" i="134" s="1"/>
  <c r="X33" i="134"/>
  <c r="AA33" i="134"/>
  <c r="AA35" i="134"/>
  <c r="AA41" i="134" s="1"/>
  <c r="AG17" i="134"/>
  <c r="AE20" i="134"/>
  <c r="AE47" i="134" s="1"/>
  <c r="AF17" i="134"/>
  <c r="T33" i="134"/>
  <c r="T35" i="134"/>
  <c r="O22" i="134"/>
  <c r="N22" i="134"/>
  <c r="U35" i="134"/>
  <c r="U41" i="134" s="1"/>
  <c r="U33" i="134"/>
  <c r="D34" i="147"/>
  <c r="I34" i="147"/>
  <c r="K64" i="147"/>
  <c r="M64" i="147" s="1"/>
  <c r="M52" i="147"/>
  <c r="P34" i="147"/>
  <c r="O68" i="147" s="1"/>
  <c r="R22" i="147"/>
  <c r="R34" i="147" s="1"/>
  <c r="O22" i="147"/>
  <c r="O34" i="147" s="1"/>
  <c r="K22" i="147"/>
  <c r="O70" i="147"/>
  <c r="P70" i="147" s="1"/>
  <c r="M49" i="147"/>
  <c r="K50" i="147"/>
  <c r="AV26" i="119" l="1"/>
  <c r="AU27" i="119"/>
  <c r="AF32" i="134"/>
  <c r="T41" i="134"/>
  <c r="F28" i="176"/>
  <c r="M27" i="119"/>
  <c r="M28" i="119" s="1"/>
  <c r="I26" i="119"/>
  <c r="N69" i="133"/>
  <c r="N75" i="133" s="1"/>
  <c r="AW30" i="119"/>
  <c r="AV30" i="119" s="1"/>
  <c r="K34" i="147"/>
  <c r="AS26" i="119"/>
  <c r="AT30" i="119"/>
  <c r="AS30" i="119" s="1"/>
  <c r="AT27" i="119"/>
  <c r="AS27" i="119" s="1"/>
  <c r="AW27" i="119"/>
  <c r="AV27" i="119" s="1"/>
  <c r="AM27" i="119"/>
  <c r="AN46" i="146"/>
  <c r="AM46" i="146" s="1"/>
  <c r="C46" i="146"/>
  <c r="AN41" i="146"/>
  <c r="AN38" i="146"/>
  <c r="AO27" i="146"/>
  <c r="AO36" i="146"/>
  <c r="AN39" i="146"/>
  <c r="AN40" i="146" s="1"/>
  <c r="AP31" i="146"/>
  <c r="Q28" i="119"/>
  <c r="R27" i="119"/>
  <c r="AE30" i="119"/>
  <c r="AE31" i="119" s="1"/>
  <c r="Y27" i="119"/>
  <c r="V27" i="119"/>
  <c r="AB30" i="119"/>
  <c r="AB31" i="119" s="1"/>
  <c r="P30" i="119"/>
  <c r="P31" i="119" s="1"/>
  <c r="BC30" i="119"/>
  <c r="AN30" i="119"/>
  <c r="Y30" i="119"/>
  <c r="Y31" i="119" s="1"/>
  <c r="M30" i="119"/>
  <c r="M31" i="119" s="1"/>
  <c r="V30" i="119"/>
  <c r="V31" i="119" s="1"/>
  <c r="J30" i="119"/>
  <c r="J31" i="119" s="1"/>
  <c r="S30" i="119"/>
  <c r="S31" i="119" s="1"/>
  <c r="G30" i="119"/>
  <c r="G31" i="119" s="1"/>
  <c r="G27" i="119"/>
  <c r="G28" i="119" s="1"/>
  <c r="C26" i="119"/>
  <c r="E27" i="119"/>
  <c r="E28" i="119" s="1"/>
  <c r="Z30" i="119"/>
  <c r="Z31" i="119" s="1"/>
  <c r="N30" i="119"/>
  <c r="N31" i="119" s="1"/>
  <c r="AL30" i="119"/>
  <c r="W30" i="119"/>
  <c r="W31" i="119" s="1"/>
  <c r="K30" i="119"/>
  <c r="K31" i="119" s="1"/>
  <c r="T30" i="119"/>
  <c r="T31" i="119" s="1"/>
  <c r="H30" i="119"/>
  <c r="H31" i="119" s="1"/>
  <c r="Q30" i="119"/>
  <c r="Q31" i="119" s="1"/>
  <c r="E30" i="119"/>
  <c r="E31" i="119" s="1"/>
  <c r="N27" i="119"/>
  <c r="N28" i="119" s="1"/>
  <c r="L26" i="119"/>
  <c r="K27" i="119"/>
  <c r="K28" i="119" s="1"/>
  <c r="AA27" i="119"/>
  <c r="P28" i="119"/>
  <c r="J27" i="119"/>
  <c r="J28" i="119" s="1"/>
  <c r="F26" i="119"/>
  <c r="N65" i="133"/>
  <c r="N79" i="133" s="1"/>
  <c r="N80" i="133" s="1"/>
  <c r="N30" i="134"/>
  <c r="O28" i="134"/>
  <c r="AF20" i="134"/>
  <c r="AE48" i="134"/>
  <c r="N42" i="134"/>
  <c r="N24" i="134"/>
  <c r="O24" i="134" s="1"/>
  <c r="N40" i="134"/>
  <c r="AG20" i="134"/>
  <c r="AG21" i="134" s="1"/>
  <c r="S33" i="134"/>
  <c r="S34" i="134" s="1"/>
  <c r="S35" i="134"/>
  <c r="AE21" i="134"/>
  <c r="AE35" i="134" s="1"/>
  <c r="P68" i="147"/>
  <c r="O71" i="147"/>
  <c r="S41" i="134" l="1"/>
  <c r="C28" i="176"/>
  <c r="U27" i="119"/>
  <c r="V28" i="119"/>
  <c r="X27" i="119"/>
  <c r="Y28" i="119"/>
  <c r="O27" i="119"/>
  <c r="AF22" i="134"/>
  <c r="AF21" i="134"/>
  <c r="AE41" i="134"/>
  <c r="AE33" i="134"/>
  <c r="AF33" i="134" s="1"/>
  <c r="O30" i="134"/>
  <c r="N37" i="134"/>
  <c r="O73" i="147"/>
  <c r="P73" i="147" s="1"/>
  <c r="Q73" i="147" s="1"/>
  <c r="P71" i="147"/>
  <c r="AE40" i="155" l="1"/>
  <c r="Z40" i="155"/>
  <c r="Y40" i="155"/>
  <c r="W40" i="155"/>
  <c r="AB40" i="155"/>
  <c r="AO25" i="155"/>
  <c r="AO17" i="155"/>
  <c r="AK5" i="155"/>
  <c r="AH5" i="155"/>
  <c r="J5" i="155"/>
  <c r="D5" i="155"/>
  <c r="AE5" i="155"/>
  <c r="AB5" i="155"/>
  <c r="Y5" i="155"/>
  <c r="V5" i="155"/>
  <c r="S5" i="155"/>
  <c r="P5" i="155"/>
  <c r="M5" i="155"/>
  <c r="G5" i="155"/>
  <c r="AO9" i="155" l="1"/>
  <c r="L20" i="179"/>
  <c r="N22" i="172" l="1"/>
  <c r="N16" i="172"/>
  <c r="N14" i="172"/>
  <c r="N13" i="172"/>
  <c r="N26" i="172"/>
  <c r="B46" i="173" l="1"/>
  <c r="M53" i="173"/>
  <c r="L53" i="173"/>
  <c r="K53" i="173"/>
  <c r="J53" i="173"/>
  <c r="I53" i="173"/>
  <c r="H53" i="173"/>
  <c r="G53" i="173"/>
  <c r="F53" i="173"/>
  <c r="E53" i="173"/>
  <c r="D53" i="173"/>
  <c r="C53" i="173"/>
  <c r="M52" i="173"/>
  <c r="L52" i="173"/>
  <c r="K52" i="173"/>
  <c r="J52" i="173"/>
  <c r="I52" i="173"/>
  <c r="H52" i="173"/>
  <c r="G52" i="173"/>
  <c r="F52" i="173"/>
  <c r="E52" i="173"/>
  <c r="D52" i="173"/>
  <c r="C52" i="173"/>
  <c r="M50" i="173"/>
  <c r="L50" i="173"/>
  <c r="K50" i="173"/>
  <c r="J50" i="173"/>
  <c r="I50" i="173"/>
  <c r="H50" i="173"/>
  <c r="G50" i="173"/>
  <c r="F50" i="173"/>
  <c r="E50" i="173"/>
  <c r="D50" i="173"/>
  <c r="C50" i="173"/>
  <c r="M49" i="173"/>
  <c r="L49" i="173"/>
  <c r="K49" i="173"/>
  <c r="J49" i="173"/>
  <c r="I49" i="173"/>
  <c r="H49" i="173"/>
  <c r="G49" i="173"/>
  <c r="F49" i="173"/>
  <c r="E49" i="173"/>
  <c r="D49" i="173"/>
  <c r="C49" i="173"/>
  <c r="B52" i="173"/>
  <c r="B49" i="173"/>
  <c r="M39" i="173"/>
  <c r="L39" i="173"/>
  <c r="K39" i="173"/>
  <c r="J39" i="173"/>
  <c r="I39" i="173"/>
  <c r="H39" i="173"/>
  <c r="G39" i="173"/>
  <c r="F39" i="173"/>
  <c r="E39" i="173"/>
  <c r="D39" i="173"/>
  <c r="C39" i="173"/>
  <c r="B39" i="173"/>
  <c r="M37" i="173"/>
  <c r="L37" i="173"/>
  <c r="K37" i="173"/>
  <c r="J37" i="173"/>
  <c r="I37" i="173"/>
  <c r="H37" i="173"/>
  <c r="G37" i="173"/>
  <c r="F37" i="173"/>
  <c r="E37" i="173"/>
  <c r="D37" i="173"/>
  <c r="C37" i="173"/>
  <c r="B37" i="173"/>
  <c r="M33" i="173"/>
  <c r="L33" i="173"/>
  <c r="K33" i="173"/>
  <c r="J33" i="173"/>
  <c r="I33" i="173"/>
  <c r="H33" i="173"/>
  <c r="G33" i="173"/>
  <c r="F33" i="173"/>
  <c r="E33" i="173"/>
  <c r="D33" i="173"/>
  <c r="C33" i="173"/>
  <c r="B33" i="173"/>
  <c r="M27" i="173"/>
  <c r="L27" i="173"/>
  <c r="K27" i="173"/>
  <c r="J27" i="173"/>
  <c r="J43" i="173" s="1"/>
  <c r="I27" i="173"/>
  <c r="H27" i="173"/>
  <c r="G27" i="173"/>
  <c r="G43" i="173" s="1"/>
  <c r="F27" i="173"/>
  <c r="E27" i="173"/>
  <c r="D27" i="173"/>
  <c r="C27" i="173"/>
  <c r="B27" i="173"/>
  <c r="B43" i="173" s="1"/>
  <c r="M23" i="173"/>
  <c r="L23" i="173"/>
  <c r="K23" i="173"/>
  <c r="J23" i="173"/>
  <c r="I23" i="173"/>
  <c r="I43" i="173" s="1"/>
  <c r="H23" i="173"/>
  <c r="H43" i="173" s="1"/>
  <c r="G23" i="173"/>
  <c r="F23" i="173"/>
  <c r="F43" i="173" s="1"/>
  <c r="E23" i="173"/>
  <c r="D23" i="173"/>
  <c r="C23" i="173"/>
  <c r="C43" i="173" s="1"/>
  <c r="B23" i="173"/>
  <c r="M18" i="173"/>
  <c r="L18" i="173"/>
  <c r="K18" i="173"/>
  <c r="J18" i="173"/>
  <c r="I18" i="173"/>
  <c r="H18" i="173"/>
  <c r="G18" i="173"/>
  <c r="F18" i="173"/>
  <c r="E18" i="173"/>
  <c r="D18" i="173"/>
  <c r="C18" i="173"/>
  <c r="B18" i="173"/>
  <c r="M15" i="173"/>
  <c r="L15" i="173"/>
  <c r="K15" i="173"/>
  <c r="J15" i="173"/>
  <c r="I15" i="173"/>
  <c r="H15" i="173"/>
  <c r="G15" i="173"/>
  <c r="F15" i="173"/>
  <c r="E15" i="173"/>
  <c r="D15" i="173"/>
  <c r="C15" i="173"/>
  <c r="B15" i="173"/>
  <c r="M13" i="173"/>
  <c r="L13" i="173"/>
  <c r="K13" i="173"/>
  <c r="J13" i="173"/>
  <c r="I13" i="173"/>
  <c r="H13" i="173"/>
  <c r="G13" i="173"/>
  <c r="F13" i="173"/>
  <c r="E13" i="173"/>
  <c r="D13" i="173"/>
  <c r="C13" i="173"/>
  <c r="B13" i="173"/>
  <c r="M9" i="173"/>
  <c r="L9" i="173"/>
  <c r="K9" i="173"/>
  <c r="J9" i="173"/>
  <c r="I9" i="173"/>
  <c r="H9" i="173"/>
  <c r="G9" i="173"/>
  <c r="F9" i="173"/>
  <c r="E9" i="173"/>
  <c r="D9" i="173"/>
  <c r="C9" i="173"/>
  <c r="B9" i="173"/>
  <c r="M4" i="173"/>
  <c r="M21" i="173" s="1"/>
  <c r="L4" i="173"/>
  <c r="L21" i="173" s="1"/>
  <c r="K4" i="173"/>
  <c r="J4" i="173"/>
  <c r="I4" i="173"/>
  <c r="H4" i="173"/>
  <c r="G4" i="173"/>
  <c r="F4" i="173"/>
  <c r="E4" i="173"/>
  <c r="E21" i="173" s="1"/>
  <c r="D4" i="173"/>
  <c r="D21" i="173" s="1"/>
  <c r="C4" i="173"/>
  <c r="B4" i="173"/>
  <c r="L55" i="174"/>
  <c r="M55" i="174"/>
  <c r="O13" i="174"/>
  <c r="N24" i="181"/>
  <c r="M24" i="181"/>
  <c r="M23" i="181" s="1"/>
  <c r="M29" i="174"/>
  <c r="M4" i="174"/>
  <c r="M30" i="174" s="1"/>
  <c r="M13" i="174"/>
  <c r="J58" i="181"/>
  <c r="M54" i="181"/>
  <c r="L54" i="181"/>
  <c r="K54" i="181"/>
  <c r="J54" i="181"/>
  <c r="M52" i="181"/>
  <c r="M64" i="181"/>
  <c r="M58" i="181" s="1"/>
  <c r="M36" i="181"/>
  <c r="M29" i="181"/>
  <c r="M19" i="181"/>
  <c r="M22" i="181" s="1"/>
  <c r="M4" i="181"/>
  <c r="M17" i="181" s="1"/>
  <c r="AJ47" i="176"/>
  <c r="AJ46" i="176"/>
  <c r="AJ65" i="176" l="1"/>
  <c r="H21" i="173"/>
  <c r="H44" i="173" s="1"/>
  <c r="C21" i="173"/>
  <c r="C44" i="173" s="1"/>
  <c r="K21" i="173"/>
  <c r="G21" i="173"/>
  <c r="G44" i="173" s="1"/>
  <c r="F21" i="173"/>
  <c r="F44" i="173" s="1"/>
  <c r="B21" i="173"/>
  <c r="B44" i="173" s="1"/>
  <c r="J21" i="173"/>
  <c r="J44" i="173" s="1"/>
  <c r="K43" i="173"/>
  <c r="D43" i="173"/>
  <c r="L43" i="173"/>
  <c r="L44" i="173" s="1"/>
  <c r="D44" i="173"/>
  <c r="I21" i="173"/>
  <c r="I44" i="173" s="1"/>
  <c r="E43" i="173"/>
  <c r="E44" i="173" s="1"/>
  <c r="M43" i="173"/>
  <c r="M44" i="173" s="1"/>
  <c r="M68" i="181"/>
  <c r="M18" i="181"/>
  <c r="M27" i="181" s="1"/>
  <c r="K44" i="173" l="1"/>
  <c r="M46" i="181"/>
  <c r="M35" i="181"/>
  <c r="M45" i="181" s="1"/>
  <c r="M47" i="181"/>
  <c r="AJ30" i="176" l="1"/>
  <c r="AJ4" i="176"/>
  <c r="AI4" i="176"/>
  <c r="B42" i="155"/>
  <c r="B41" i="155"/>
  <c r="AQ5" i="132"/>
  <c r="AQ8" i="132"/>
  <c r="AJ18" i="176"/>
  <c r="AI18" i="176"/>
  <c r="AK7" i="132"/>
  <c r="AJ7" i="132"/>
  <c r="AI8" i="155"/>
  <c r="AF8" i="155"/>
  <c r="AC8" i="155"/>
  <c r="Z8" i="155"/>
  <c r="AK59" i="155"/>
  <c r="AN59" i="155" s="1"/>
  <c r="AI59" i="155"/>
  <c r="AL59" i="155" s="1"/>
  <c r="AK41" i="155"/>
  <c r="AI41" i="155"/>
  <c r="AL7" i="132" l="1"/>
  <c r="AJ41" i="155"/>
  <c r="AI96" i="155"/>
  <c r="B68" i="155"/>
  <c r="AK96" i="155"/>
  <c r="B84" i="155"/>
  <c r="AI23" i="176"/>
  <c r="AM16" i="162"/>
  <c r="AM15" i="162"/>
  <c r="AM13" i="162"/>
  <c r="AM12" i="162"/>
  <c r="AM11" i="162"/>
  <c r="AM6" i="162"/>
  <c r="AM5" i="162"/>
  <c r="AM4" i="162"/>
  <c r="AL12" i="162"/>
  <c r="AL17" i="162"/>
  <c r="AL18" i="162" s="1"/>
  <c r="H19" i="179" l="1"/>
  <c r="H10" i="179"/>
  <c r="H9" i="179"/>
  <c r="W46" i="174"/>
  <c r="W43" i="174"/>
  <c r="W34" i="174"/>
  <c r="W27" i="174"/>
  <c r="W18" i="174"/>
  <c r="W10" i="174"/>
  <c r="O8" i="174"/>
  <c r="L8" i="174"/>
  <c r="L29" i="174"/>
  <c r="K29" i="174"/>
  <c r="K8" i="174"/>
  <c r="M14" i="172"/>
  <c r="M13" i="172"/>
  <c r="M26" i="172"/>
  <c r="K52" i="174"/>
  <c r="L4" i="174"/>
  <c r="M22" i="172" s="1"/>
  <c r="L19" i="179"/>
  <c r="L13" i="174"/>
  <c r="L24" i="181"/>
  <c r="L23" i="181"/>
  <c r="L36" i="181"/>
  <c r="L29" i="181"/>
  <c r="L19" i="181"/>
  <c r="L22" i="181" s="1"/>
  <c r="L4" i="181"/>
  <c r="L17" i="181" s="1"/>
  <c r="L55" i="181"/>
  <c r="M55" i="181" l="1"/>
  <c r="AK8" i="132"/>
  <c r="AJ19" i="176"/>
  <c r="AJ23" i="176"/>
  <c r="M16" i="172"/>
  <c r="L18" i="181"/>
  <c r="L27" i="181" s="1"/>
  <c r="L68" i="181"/>
  <c r="L46" i="181" l="1"/>
  <c r="L35" i="181"/>
  <c r="L45" i="181" s="1"/>
  <c r="L47" i="181"/>
  <c r="AI12" i="162" l="1"/>
  <c r="AJ15" i="162"/>
  <c r="AJ16" i="162"/>
  <c r="AJ13" i="162"/>
  <c r="AJ12" i="162"/>
  <c r="AJ11" i="162"/>
  <c r="AJ9" i="162"/>
  <c r="AJ8" i="162"/>
  <c r="AJ6" i="162"/>
  <c r="AJ5" i="162"/>
  <c r="AJ4" i="162"/>
  <c r="AG30" i="176" l="1"/>
  <c r="AG47" i="176"/>
  <c r="AG46" i="176"/>
  <c r="AG65" i="176" s="1"/>
  <c r="AA18" i="176"/>
  <c r="C19" i="176"/>
  <c r="B19" i="176"/>
  <c r="AG18" i="176"/>
  <c r="AF18" i="176"/>
  <c r="AH41" i="155"/>
  <c r="AF41" i="155"/>
  <c r="AF13" i="155"/>
  <c r="AH59" i="155"/>
  <c r="AH7" i="132"/>
  <c r="AG7" i="132"/>
  <c r="AI7" i="132" s="1"/>
  <c r="AG23" i="176"/>
  <c r="AF59" i="155"/>
  <c r="M69" i="181"/>
  <c r="AF23" i="176" l="1"/>
  <c r="AH96" i="155"/>
  <c r="AG59" i="155"/>
  <c r="AF96" i="155"/>
  <c r="AG41" i="155"/>
  <c r="K13" i="174"/>
  <c r="L18" i="179"/>
  <c r="N29" i="181"/>
  <c r="K24" i="181"/>
  <c r="K4" i="181"/>
  <c r="K69" i="181"/>
  <c r="K64" i="181"/>
  <c r="K36" i="181"/>
  <c r="K29" i="181"/>
  <c r="K23" i="181"/>
  <c r="K19" i="181"/>
  <c r="K22" i="181" s="1"/>
  <c r="K17" i="181"/>
  <c r="J49" i="174"/>
  <c r="K43" i="174"/>
  <c r="J29" i="174"/>
  <c r="K4" i="174"/>
  <c r="AD47" i="176"/>
  <c r="AD46" i="176"/>
  <c r="AD65" i="176" s="1"/>
  <c r="AD30" i="176"/>
  <c r="AD18" i="176"/>
  <c r="AC18" i="176"/>
  <c r="AE7" i="132"/>
  <c r="AD7" i="132"/>
  <c r="AE41" i="155"/>
  <c r="AB41" i="155"/>
  <c r="AC41" i="155"/>
  <c r="Z13" i="155"/>
  <c r="AB13" i="155"/>
  <c r="AE8" i="132"/>
  <c r="AD23" i="176"/>
  <c r="AE59" i="155"/>
  <c r="AE96" i="155" s="1"/>
  <c r="AC59" i="155"/>
  <c r="AF12" i="162"/>
  <c r="K55" i="181" l="1"/>
  <c r="AD19" i="176"/>
  <c r="AD59" i="155"/>
  <c r="AG96" i="155"/>
  <c r="AC23" i="176"/>
  <c r="L62" i="181"/>
  <c r="AC96" i="155"/>
  <c r="AF7" i="132"/>
  <c r="K68" i="181"/>
  <c r="K18" i="181"/>
  <c r="K27" i="181" s="1"/>
  <c r="AD41" i="155"/>
  <c r="K47" i="181" l="1"/>
  <c r="K46" i="181"/>
  <c r="K35" i="181"/>
  <c r="K45" i="181" s="1"/>
  <c r="L17" i="179" l="1"/>
  <c r="K22" i="172" l="1"/>
  <c r="K16" i="172"/>
  <c r="I55" i="174"/>
  <c r="J36" i="181"/>
  <c r="J29" i="181"/>
  <c r="J23" i="181"/>
  <c r="J19" i="181"/>
  <c r="J22" i="181" s="1"/>
  <c r="J4" i="181"/>
  <c r="AC12" i="162"/>
  <c r="AD16" i="162"/>
  <c r="AE16" i="162" s="1"/>
  <c r="AD15" i="162"/>
  <c r="AE15" i="162" s="1"/>
  <c r="AD14" i="162"/>
  <c r="AE14" i="162" s="1"/>
  <c r="AD13" i="162"/>
  <c r="AE13" i="162" s="1"/>
  <c r="AD12" i="162"/>
  <c r="AE12" i="162" s="1"/>
  <c r="AD11" i="162"/>
  <c r="AE11" i="162" s="1"/>
  <c r="AD9" i="162"/>
  <c r="AE9" i="162" s="1"/>
  <c r="AD8" i="162"/>
  <c r="AE8" i="162" s="1"/>
  <c r="AD6" i="162"/>
  <c r="AE6" i="162" s="1"/>
  <c r="AD5" i="162"/>
  <c r="AE5" i="162" s="1"/>
  <c r="AD4" i="162"/>
  <c r="J68" i="181" l="1"/>
  <c r="J18" i="181"/>
  <c r="J27" i="181" s="1"/>
  <c r="J17" i="181"/>
  <c r="C30" i="172"/>
  <c r="Z41" i="155"/>
  <c r="Z4" i="176"/>
  <c r="AA47" i="176"/>
  <c r="AA46" i="176"/>
  <c r="AA30" i="176"/>
  <c r="AJ6" i="176"/>
  <c r="AI6" i="176"/>
  <c r="AG6" i="176"/>
  <c r="AF6" i="176"/>
  <c r="AG4" i="176"/>
  <c r="AF4" i="176"/>
  <c r="AD6" i="176"/>
  <c r="AC6" i="176"/>
  <c r="AD4" i="176"/>
  <c r="AC4" i="176"/>
  <c r="Z18" i="176"/>
  <c r="Z7" i="176"/>
  <c r="AA6" i="176"/>
  <c r="Z6" i="176"/>
  <c r="AA4" i="176"/>
  <c r="AB7" i="132"/>
  <c r="AK7" i="125" s="1"/>
  <c r="AA7" i="132"/>
  <c r="AJ7" i="125" s="1"/>
  <c r="Z18" i="135"/>
  <c r="AL18" i="135" s="1"/>
  <c r="AA21" i="135"/>
  <c r="Z59" i="155"/>
  <c r="Z96" i="155" s="1"/>
  <c r="J69" i="181"/>
  <c r="L64" i="181"/>
  <c r="M62" i="181" s="1"/>
  <c r="J64" i="181"/>
  <c r="K62" i="181" s="1"/>
  <c r="AB8" i="132" l="1"/>
  <c r="J55" i="181"/>
  <c r="AA19" i="176"/>
  <c r="M65" i="181"/>
  <c r="M71" i="181" s="1"/>
  <c r="M66" i="181"/>
  <c r="AA65" i="176"/>
  <c r="AB59" i="155"/>
  <c r="AB96" i="155" s="1"/>
  <c r="AA18" i="135"/>
  <c r="AM18" i="135" s="1"/>
  <c r="L66" i="181"/>
  <c r="L65" i="181"/>
  <c r="L71" i="181" s="1"/>
  <c r="Z23" i="176"/>
  <c r="AA23" i="176"/>
  <c r="K66" i="181"/>
  <c r="K65" i="181"/>
  <c r="K71" i="181" s="1"/>
  <c r="J47" i="181"/>
  <c r="J35" i="181"/>
  <c r="J45" i="181" s="1"/>
  <c r="J46" i="181"/>
  <c r="AA41" i="155"/>
  <c r="AC7" i="132"/>
  <c r="B55" i="155"/>
  <c r="Y13" i="155"/>
  <c r="W13" i="155"/>
  <c r="F15" i="153"/>
  <c r="F14" i="153"/>
  <c r="F13" i="153"/>
  <c r="F12" i="153"/>
  <c r="D15" i="153"/>
  <c r="D14" i="153"/>
  <c r="D13" i="153"/>
  <c r="D12" i="153"/>
  <c r="AA9" i="162"/>
  <c r="Z12" i="162"/>
  <c r="AK8" i="125" l="1"/>
  <c r="AA59" i="155"/>
  <c r="AA16" i="162"/>
  <c r="AA14" i="162"/>
  <c r="AA13" i="162"/>
  <c r="AA12" i="162"/>
  <c r="AA11" i="162"/>
  <c r="AA8" i="162"/>
  <c r="AA6" i="162"/>
  <c r="AA5" i="162"/>
  <c r="AA4" i="162"/>
  <c r="J22" i="172"/>
  <c r="I22" i="172"/>
  <c r="H22" i="172"/>
  <c r="G22" i="172"/>
  <c r="F22" i="172"/>
  <c r="E22" i="172"/>
  <c r="D22" i="172"/>
  <c r="J16" i="172"/>
  <c r="J14" i="172"/>
  <c r="J13" i="172"/>
  <c r="J26" i="172"/>
  <c r="G16" i="179"/>
  <c r="I13" i="174"/>
  <c r="I29" i="174"/>
  <c r="L16" i="179" s="1"/>
  <c r="O4" i="174"/>
  <c r="H55" i="174"/>
  <c r="G55" i="174"/>
  <c r="F55" i="174"/>
  <c r="J4" i="174"/>
  <c r="I8" i="174"/>
  <c r="I7" i="174"/>
  <c r="I4" i="174" s="1"/>
  <c r="I38" i="181" l="1"/>
  <c r="H38" i="181"/>
  <c r="H36" i="181"/>
  <c r="I39" i="181"/>
  <c r="D39" i="181"/>
  <c r="D36" i="181" s="1"/>
  <c r="C39" i="181"/>
  <c r="C36" i="181" s="1"/>
  <c r="I36" i="181"/>
  <c r="G36" i="181"/>
  <c r="F36" i="181"/>
  <c r="E36" i="181"/>
  <c r="B36" i="181"/>
  <c r="E38" i="181"/>
  <c r="I54" i="181"/>
  <c r="H54" i="181"/>
  <c r="G54" i="181"/>
  <c r="F54" i="181"/>
  <c r="E54" i="181"/>
  <c r="D54" i="181"/>
  <c r="C54" i="181"/>
  <c r="B54" i="181"/>
  <c r="G37" i="181" l="1"/>
  <c r="G38" i="181"/>
  <c r="D98" i="181"/>
  <c r="C98" i="181"/>
  <c r="B98" i="181"/>
  <c r="E94" i="181"/>
  <c r="C91" i="181"/>
  <c r="D90" i="181"/>
  <c r="D94" i="181" s="1"/>
  <c r="C90" i="181"/>
  <c r="C94" i="181" s="1"/>
  <c r="B90" i="181"/>
  <c r="B94" i="181" s="1"/>
  <c r="D68" i="181"/>
  <c r="C68" i="181"/>
  <c r="B68" i="181"/>
  <c r="D47" i="181"/>
  <c r="C47" i="181"/>
  <c r="B47" i="181"/>
  <c r="D46" i="181"/>
  <c r="C46" i="181"/>
  <c r="B46" i="181"/>
  <c r="P44" i="181"/>
  <c r="P43" i="181"/>
  <c r="I29" i="181"/>
  <c r="H29" i="181"/>
  <c r="F29" i="181"/>
  <c r="E29" i="181"/>
  <c r="N26" i="181"/>
  <c r="N25" i="181"/>
  <c r="I24" i="181"/>
  <c r="I23" i="181" s="1"/>
  <c r="H24" i="181"/>
  <c r="H23" i="181" s="1"/>
  <c r="G24" i="181"/>
  <c r="G23" i="181" s="1"/>
  <c r="F24" i="181"/>
  <c r="E23" i="181"/>
  <c r="E98" i="181" s="1"/>
  <c r="G22" i="181"/>
  <c r="G68" i="181" s="1"/>
  <c r="N19" i="181"/>
  <c r="I19" i="181"/>
  <c r="I22" i="181" s="1"/>
  <c r="H19" i="181"/>
  <c r="H22" i="181" s="1"/>
  <c r="F19" i="181"/>
  <c r="F22" i="181" s="1"/>
  <c r="F68" i="181" s="1"/>
  <c r="E19" i="181"/>
  <c r="E22" i="181" s="1"/>
  <c r="D18" i="181"/>
  <c r="C18" i="181"/>
  <c r="B18" i="181"/>
  <c r="N4" i="181"/>
  <c r="I4" i="181"/>
  <c r="I17" i="181" s="1"/>
  <c r="H4" i="181"/>
  <c r="G4" i="181"/>
  <c r="G17" i="181" s="1"/>
  <c r="F4" i="181"/>
  <c r="F17" i="181" s="1"/>
  <c r="E4" i="181"/>
  <c r="E95" i="181" s="1"/>
  <c r="D4" i="181"/>
  <c r="D95" i="181" s="1"/>
  <c r="C4" i="181"/>
  <c r="C95" i="181" s="1"/>
  <c r="B4" i="181"/>
  <c r="B95" i="181" s="1"/>
  <c r="N36" i="181" l="1"/>
  <c r="N23" i="181"/>
  <c r="E100" i="181"/>
  <c r="C96" i="181"/>
  <c r="D17" i="181"/>
  <c r="G18" i="181"/>
  <c r="G27" i="181" s="1"/>
  <c r="G47" i="181" s="1"/>
  <c r="E96" i="181"/>
  <c r="N22" i="181"/>
  <c r="N68" i="181" s="1"/>
  <c r="B100" i="181"/>
  <c r="C100" i="181"/>
  <c r="D100" i="181"/>
  <c r="E18" i="181"/>
  <c r="E27" i="181" s="1"/>
  <c r="E68" i="181"/>
  <c r="H18" i="181"/>
  <c r="H27" i="181" s="1"/>
  <c r="H68" i="181"/>
  <c r="I68" i="181"/>
  <c r="I18" i="181"/>
  <c r="B96" i="181"/>
  <c r="D96" i="181"/>
  <c r="B17" i="181"/>
  <c r="N17" i="181"/>
  <c r="F23" i="181"/>
  <c r="F18" i="181" s="1"/>
  <c r="F27" i="181" s="1"/>
  <c r="I27" i="181"/>
  <c r="C17" i="181"/>
  <c r="H17" i="181"/>
  <c r="E17" i="181"/>
  <c r="N18" i="181" l="1"/>
  <c r="N27" i="181" s="1"/>
  <c r="G35" i="181"/>
  <c r="G45" i="181" s="1"/>
  <c r="G46" i="181"/>
  <c r="I47" i="181"/>
  <c r="I46" i="181"/>
  <c r="I35" i="181"/>
  <c r="I45" i="181" s="1"/>
  <c r="H46" i="181"/>
  <c r="H47" i="181"/>
  <c r="H35" i="181"/>
  <c r="H45" i="181" s="1"/>
  <c r="F35" i="181"/>
  <c r="F45" i="181" s="1"/>
  <c r="F47" i="181"/>
  <c r="F46" i="181"/>
  <c r="E35" i="181"/>
  <c r="E45" i="181" s="1"/>
  <c r="E46" i="181"/>
  <c r="E47" i="181"/>
  <c r="N46" i="181" l="1"/>
  <c r="N47" i="181"/>
  <c r="N35" i="181"/>
  <c r="N45" i="181" s="1"/>
  <c r="R45" i="181" s="1"/>
  <c r="X47" i="176" l="1"/>
  <c r="X46" i="176"/>
  <c r="X30" i="176"/>
  <c r="C8" i="132"/>
  <c r="X8" i="132"/>
  <c r="B55" i="181"/>
  <c r="X18" i="176"/>
  <c r="W18" i="176"/>
  <c r="W7" i="176"/>
  <c r="X6" i="176"/>
  <c r="D11" i="153" s="1"/>
  <c r="W6" i="176"/>
  <c r="X4" i="176"/>
  <c r="W4" i="176"/>
  <c r="X21" i="135"/>
  <c r="X23" i="176"/>
  <c r="W23" i="176"/>
  <c r="Y59" i="155"/>
  <c r="Y96" i="155" s="1"/>
  <c r="Y7" i="132"/>
  <c r="AG7" i="125" s="1"/>
  <c r="X7" i="132"/>
  <c r="Y41" i="155"/>
  <c r="AC19" i="176" l="1"/>
  <c r="AD8" i="132"/>
  <c r="AF8" i="132" s="1"/>
  <c r="AF19" i="176"/>
  <c r="AG8" i="132"/>
  <c r="AJ8" i="132"/>
  <c r="AL8" i="132" s="1"/>
  <c r="AI19" i="176"/>
  <c r="W41" i="155"/>
  <c r="X41" i="155" s="1"/>
  <c r="X5" i="176"/>
  <c r="W19" i="176"/>
  <c r="Z19" i="176"/>
  <c r="AA8" i="132"/>
  <c r="F11" i="153"/>
  <c r="X65" i="176"/>
  <c r="W18" i="135"/>
  <c r="W59" i="155"/>
  <c r="W96" i="155" s="1"/>
  <c r="X96" i="155" s="1"/>
  <c r="X18" i="135"/>
  <c r="O64" i="181"/>
  <c r="I64" i="181"/>
  <c r="AH8" i="132"/>
  <c r="AG19" i="176"/>
  <c r="D8" i="132"/>
  <c r="Z7" i="132"/>
  <c r="W5" i="176"/>
  <c r="Y30" i="176" s="1"/>
  <c r="AF7" i="125"/>
  <c r="AH7" i="125" s="1"/>
  <c r="X16" i="162"/>
  <c r="X15" i="162"/>
  <c r="X12" i="162"/>
  <c r="X13" i="162"/>
  <c r="X11" i="162"/>
  <c r="X9" i="162"/>
  <c r="X8" i="162"/>
  <c r="X6" i="162"/>
  <c r="X5" i="162"/>
  <c r="X4" i="162"/>
  <c r="W3" i="176" l="1"/>
  <c r="AC3" i="176"/>
  <c r="AC5" i="176"/>
  <c r="AE30" i="176" s="1"/>
  <c r="AF3" i="176"/>
  <c r="AF5" i="176"/>
  <c r="AH30" i="176" s="1"/>
  <c r="AI3" i="176"/>
  <c r="AI5" i="176"/>
  <c r="AK30" i="176" s="1"/>
  <c r="AJ8" i="125"/>
  <c r="AC8" i="132"/>
  <c r="X19" i="176"/>
  <c r="X61" i="176" s="1"/>
  <c r="I55" i="181"/>
  <c r="Y8" i="132"/>
  <c r="Z5" i="176"/>
  <c r="AB30" i="176" s="1"/>
  <c r="J62" i="181"/>
  <c r="N64" i="181"/>
  <c r="AI8" i="132"/>
  <c r="U16" i="176"/>
  <c r="H69" i="181"/>
  <c r="X3" i="176"/>
  <c r="B11" i="153" s="1"/>
  <c r="L15" i="179"/>
  <c r="AJ5" i="176" l="1"/>
  <c r="AJ61" i="176" s="1"/>
  <c r="AD5" i="176"/>
  <c r="AD61" i="176" s="1"/>
  <c r="Z3" i="176"/>
  <c r="AA5" i="176"/>
  <c r="AA61" i="176" s="1"/>
  <c r="AA3" i="176"/>
  <c r="B12" i="153" s="1"/>
  <c r="J65" i="181"/>
  <c r="J71" i="181" s="1"/>
  <c r="J66" i="181"/>
  <c r="AD3" i="176" l="1"/>
  <c r="B13" i="153" s="1"/>
  <c r="AJ3" i="176"/>
  <c r="B15" i="153" s="1"/>
  <c r="B15" i="135" l="1"/>
  <c r="B14" i="135"/>
  <c r="N38" i="135"/>
  <c r="O37" i="135"/>
  <c r="P37" i="135" s="1"/>
  <c r="N37" i="135"/>
  <c r="N36" i="135"/>
  <c r="N35" i="135"/>
  <c r="N34" i="135"/>
  <c r="L38" i="135"/>
  <c r="M38" i="135" s="1"/>
  <c r="K38" i="135"/>
  <c r="L37" i="135"/>
  <c r="M37" i="135" s="1"/>
  <c r="K37" i="135"/>
  <c r="L36" i="135"/>
  <c r="K36" i="135"/>
  <c r="L35" i="135"/>
  <c r="K35" i="135"/>
  <c r="L34" i="135"/>
  <c r="K34" i="135"/>
  <c r="B34" i="135"/>
  <c r="C34" i="135"/>
  <c r="D34" i="135" s="1"/>
  <c r="E34" i="135"/>
  <c r="F34" i="135"/>
  <c r="I34" i="135"/>
  <c r="Q34" i="135"/>
  <c r="R34" i="135"/>
  <c r="S34" i="135" s="1"/>
  <c r="T34" i="135"/>
  <c r="U34" i="135"/>
  <c r="B35" i="135"/>
  <c r="C35" i="135"/>
  <c r="E35" i="135"/>
  <c r="F35" i="135"/>
  <c r="I35" i="135"/>
  <c r="Q35" i="135"/>
  <c r="R35" i="135"/>
  <c r="T35" i="135"/>
  <c r="U35" i="135"/>
  <c r="B36" i="135"/>
  <c r="C36" i="135"/>
  <c r="E36" i="135"/>
  <c r="F36" i="135"/>
  <c r="I36" i="135"/>
  <c r="Q36" i="135"/>
  <c r="R36" i="135"/>
  <c r="T36" i="135"/>
  <c r="U36" i="135"/>
  <c r="B37" i="135"/>
  <c r="C37" i="135"/>
  <c r="D37" i="135" s="1"/>
  <c r="E37" i="135"/>
  <c r="F37" i="135"/>
  <c r="G37" i="135" s="1"/>
  <c r="I37" i="135"/>
  <c r="J37" i="135" s="1"/>
  <c r="S37" i="135"/>
  <c r="V37" i="135"/>
  <c r="Q38" i="135"/>
  <c r="R38" i="135"/>
  <c r="S38" i="135" s="1"/>
  <c r="T38" i="135"/>
  <c r="U38" i="135"/>
  <c r="M10" i="135"/>
  <c r="B38" i="135"/>
  <c r="C38" i="135"/>
  <c r="D38" i="135" s="1"/>
  <c r="E38" i="135"/>
  <c r="F38" i="135"/>
  <c r="G38" i="135" s="1"/>
  <c r="I38" i="135"/>
  <c r="J38" i="135" s="1"/>
  <c r="C43" i="135"/>
  <c r="C42" i="135"/>
  <c r="C41" i="135"/>
  <c r="B43" i="135"/>
  <c r="B41" i="135"/>
  <c r="B42" i="135"/>
  <c r="U16" i="135"/>
  <c r="U15" i="135"/>
  <c r="U14" i="135"/>
  <c r="U13" i="135"/>
  <c r="U12" i="135"/>
  <c r="R16" i="135"/>
  <c r="R15" i="135"/>
  <c r="R14" i="135"/>
  <c r="R12" i="135"/>
  <c r="O16" i="135"/>
  <c r="O15" i="135"/>
  <c r="O14" i="135"/>
  <c r="O13" i="135"/>
  <c r="O12" i="135"/>
  <c r="L16" i="135"/>
  <c r="L15" i="135"/>
  <c r="L14" i="135"/>
  <c r="L13" i="135"/>
  <c r="L12" i="135"/>
  <c r="I16" i="135"/>
  <c r="I15" i="135"/>
  <c r="I14" i="135"/>
  <c r="I13" i="135"/>
  <c r="I12" i="135"/>
  <c r="F12" i="135"/>
  <c r="F16" i="135"/>
  <c r="F15" i="135"/>
  <c r="F14" i="135"/>
  <c r="F13" i="135"/>
  <c r="C16" i="135"/>
  <c r="C15" i="135"/>
  <c r="C14" i="135"/>
  <c r="C13" i="135"/>
  <c r="C12" i="135"/>
  <c r="O16" i="172"/>
  <c r="I16" i="172"/>
  <c r="H16" i="172"/>
  <c r="G16" i="172"/>
  <c r="F16" i="172"/>
  <c r="E16" i="172"/>
  <c r="D16" i="172"/>
  <c r="I14" i="172"/>
  <c r="H14" i="172"/>
  <c r="G14" i="172"/>
  <c r="F14" i="172"/>
  <c r="E14" i="172"/>
  <c r="D14" i="172"/>
  <c r="I13" i="172"/>
  <c r="H13" i="172"/>
  <c r="G13" i="172"/>
  <c r="F13" i="172"/>
  <c r="E13" i="172"/>
  <c r="D13" i="172"/>
  <c r="I26" i="172"/>
  <c r="T13" i="155"/>
  <c r="N13" i="155"/>
  <c r="T42" i="155"/>
  <c r="Q40" i="155"/>
  <c r="U18" i="176"/>
  <c r="R18" i="176"/>
  <c r="T18" i="176"/>
  <c r="O18" i="176"/>
  <c r="L18" i="176"/>
  <c r="I18" i="176"/>
  <c r="F18" i="176"/>
  <c r="C18" i="176"/>
  <c r="U46" i="176"/>
  <c r="U47" i="176"/>
  <c r="R47" i="176"/>
  <c r="O47" i="176"/>
  <c r="L47" i="176"/>
  <c r="I47" i="176"/>
  <c r="F47" i="176"/>
  <c r="C47" i="176"/>
  <c r="U30" i="176"/>
  <c r="U6" i="176"/>
  <c r="D10" i="153" s="1"/>
  <c r="T6" i="176"/>
  <c r="U4" i="176"/>
  <c r="T4" i="176"/>
  <c r="P40" i="155"/>
  <c r="S40" i="155"/>
  <c r="V40" i="155"/>
  <c r="T40" i="155"/>
  <c r="U19" i="176" l="1"/>
  <c r="H55" i="181"/>
  <c r="V8" i="132"/>
  <c r="T19" i="176"/>
  <c r="U8" i="132"/>
  <c r="V34" i="135"/>
  <c r="G35" i="135"/>
  <c r="D95" i="155"/>
  <c r="D54" i="155"/>
  <c r="AM23" i="176"/>
  <c r="B54" i="155"/>
  <c r="AL23" i="176"/>
  <c r="B95" i="155"/>
  <c r="F10" i="153"/>
  <c r="O62" i="181"/>
  <c r="B62" i="181"/>
  <c r="M35" i="135"/>
  <c r="V35" i="135"/>
  <c r="G34" i="135"/>
  <c r="S36" i="135"/>
  <c r="S35" i="135"/>
  <c r="V36" i="135"/>
  <c r="D36" i="135"/>
  <c r="G36" i="135"/>
  <c r="M36" i="135"/>
  <c r="M34" i="135"/>
  <c r="V38" i="135"/>
  <c r="D35" i="135"/>
  <c r="V41" i="155"/>
  <c r="T41" i="155"/>
  <c r="U65" i="176"/>
  <c r="T84" i="155" l="1"/>
  <c r="T68" i="155"/>
  <c r="N62" i="181"/>
  <c r="N66" i="181" s="1"/>
  <c r="D7" i="132"/>
  <c r="H30" i="174" l="1"/>
  <c r="H29" i="174"/>
  <c r="H4" i="174"/>
  <c r="R13" i="135"/>
  <c r="T12" i="135"/>
  <c r="T15" i="135"/>
  <c r="U10" i="135"/>
  <c r="T10" i="135"/>
  <c r="U23" i="176"/>
  <c r="T23" i="176"/>
  <c r="B12" i="135"/>
  <c r="G64" i="181" l="1"/>
  <c r="S59" i="155"/>
  <c r="S96" i="155" s="1"/>
  <c r="R18" i="135"/>
  <c r="E59" i="155"/>
  <c r="E18" i="135"/>
  <c r="T59" i="155"/>
  <c r="T18" i="135"/>
  <c r="H64" i="181"/>
  <c r="V59" i="155"/>
  <c r="V96" i="155" s="1"/>
  <c r="U18" i="135"/>
  <c r="B64" i="181"/>
  <c r="D59" i="155"/>
  <c r="D96" i="155" s="1"/>
  <c r="C18" i="135"/>
  <c r="C64" i="181"/>
  <c r="D62" i="181" s="1"/>
  <c r="F18" i="135"/>
  <c r="G59" i="155"/>
  <c r="G96" i="155" s="1"/>
  <c r="D64" i="181"/>
  <c r="E62" i="181" s="1"/>
  <c r="I18" i="135"/>
  <c r="J59" i="155"/>
  <c r="J96" i="155" s="1"/>
  <c r="K18" i="135"/>
  <c r="K59" i="155"/>
  <c r="E64" i="181"/>
  <c r="F62" i="181" s="1"/>
  <c r="L18" i="135"/>
  <c r="M59" i="155"/>
  <c r="M96" i="155" s="1"/>
  <c r="N59" i="155"/>
  <c r="N96" i="155" s="1"/>
  <c r="N18" i="135"/>
  <c r="B59" i="155"/>
  <c r="B96" i="155" s="1"/>
  <c r="B18" i="135"/>
  <c r="Q59" i="155"/>
  <c r="Q18" i="135"/>
  <c r="V10" i="135"/>
  <c r="U29" i="176"/>
  <c r="T96" i="155" l="1"/>
  <c r="U96" i="155" s="1"/>
  <c r="U59" i="155"/>
  <c r="F59" i="155"/>
  <c r="E96" i="155"/>
  <c r="F96" i="155" s="1"/>
  <c r="C62" i="181"/>
  <c r="B66" i="181"/>
  <c r="D65" i="181"/>
  <c r="D71" i="181" s="1"/>
  <c r="D66" i="181"/>
  <c r="I62" i="181"/>
  <c r="L59" i="155"/>
  <c r="K96" i="155"/>
  <c r="L96" i="155" s="1"/>
  <c r="E65" i="181"/>
  <c r="E71" i="181" s="1"/>
  <c r="E66" i="181"/>
  <c r="R59" i="155"/>
  <c r="Q96" i="155"/>
  <c r="R96" i="155" s="1"/>
  <c r="H62" i="181"/>
  <c r="N19" i="176" l="1"/>
  <c r="O8" i="132"/>
  <c r="K19" i="176"/>
  <c r="L8" i="132"/>
  <c r="Q19" i="176"/>
  <c r="R8" i="132"/>
  <c r="R19" i="176"/>
  <c r="G55" i="181"/>
  <c r="S8" i="132"/>
  <c r="L19" i="176"/>
  <c r="E55" i="181"/>
  <c r="M8" i="132"/>
  <c r="O19" i="176"/>
  <c r="F55" i="181"/>
  <c r="P8" i="132"/>
  <c r="F19" i="176"/>
  <c r="C55" i="181"/>
  <c r="G8" i="132"/>
  <c r="I19" i="176"/>
  <c r="D55" i="181"/>
  <c r="J8" i="132"/>
  <c r="E19" i="176"/>
  <c r="F8" i="132"/>
  <c r="H19" i="176"/>
  <c r="I8" i="132"/>
  <c r="C66" i="181"/>
  <c r="C65" i="181"/>
  <c r="C71" i="181" s="1"/>
  <c r="H66" i="181"/>
  <c r="H65" i="181"/>
  <c r="H71" i="181" s="1"/>
  <c r="I66" i="181"/>
  <c r="I65" i="181"/>
  <c r="I71" i="181" s="1"/>
  <c r="M41" i="155"/>
  <c r="N41" i="155"/>
  <c r="Q41" i="155"/>
  <c r="D41" i="155"/>
  <c r="J41" i="155"/>
  <c r="H41" i="155"/>
  <c r="P41" i="155"/>
  <c r="G41" i="155"/>
  <c r="K41" i="155"/>
  <c r="T5" i="176"/>
  <c r="V30" i="176" s="1"/>
  <c r="U41" i="155"/>
  <c r="AL41" i="155"/>
  <c r="S41" i="155"/>
  <c r="AN41" i="155" l="1"/>
  <c r="AM41" i="155" s="1"/>
  <c r="AO41" i="155"/>
  <c r="L41" i="155"/>
  <c r="C41" i="155"/>
  <c r="F41" i="155"/>
  <c r="I41" i="155"/>
  <c r="O41" i="155"/>
  <c r="R41" i="155"/>
  <c r="AP41" i="155" l="1"/>
  <c r="T16" i="135"/>
  <c r="Q16" i="135"/>
  <c r="N16" i="135"/>
  <c r="K16" i="135"/>
  <c r="M16" i="135" s="1"/>
  <c r="H16" i="135"/>
  <c r="E16" i="135"/>
  <c r="B16" i="135"/>
  <c r="AN48" i="155"/>
  <c r="AL48" i="155"/>
  <c r="V7" i="132"/>
  <c r="U7" i="132"/>
  <c r="H12" i="135"/>
  <c r="R11" i="162"/>
  <c r="T9" i="162"/>
  <c r="U16" i="162"/>
  <c r="U15" i="162"/>
  <c r="U13" i="162"/>
  <c r="U12" i="162"/>
  <c r="U11" i="162"/>
  <c r="U9" i="162"/>
  <c r="U6" i="162"/>
  <c r="U5" i="162"/>
  <c r="U4" i="162"/>
  <c r="Q21" i="131"/>
  <c r="U17" i="162" l="1"/>
  <c r="AC7" i="125"/>
  <c r="W7" i="132"/>
  <c r="AB7" i="125"/>
  <c r="AB8" i="125"/>
  <c r="AC8" i="125"/>
  <c r="S16" i="135"/>
  <c r="V16" i="135"/>
  <c r="V15" i="135"/>
  <c r="P16" i="135"/>
  <c r="F9" i="179"/>
  <c r="AA16" i="179"/>
  <c r="Y16" i="179"/>
  <c r="Z16" i="179"/>
  <c r="J5" i="179"/>
  <c r="L14" i="179"/>
  <c r="L13" i="179"/>
  <c r="L12" i="179"/>
  <c r="L11" i="179"/>
  <c r="L10" i="179"/>
  <c r="L9" i="179"/>
  <c r="D20" i="179"/>
  <c r="D19" i="179"/>
  <c r="D18" i="179"/>
  <c r="D17" i="179"/>
  <c r="D16" i="179"/>
  <c r="D15" i="179"/>
  <c r="D14" i="179"/>
  <c r="D13" i="179"/>
  <c r="D12" i="179"/>
  <c r="D11" i="179"/>
  <c r="D10" i="179"/>
  <c r="D9" i="179"/>
  <c r="E14" i="179"/>
  <c r="E13" i="179"/>
  <c r="E12" i="179"/>
  <c r="E11" i="179"/>
  <c r="E10" i="179"/>
  <c r="E9" i="179"/>
  <c r="C14" i="179"/>
  <c r="C13" i="179"/>
  <c r="C12" i="179"/>
  <c r="C11" i="179"/>
  <c r="C10" i="179"/>
  <c r="C9" i="179"/>
  <c r="AD7" i="125" l="1"/>
  <c r="AD8" i="125"/>
  <c r="O36" i="172"/>
  <c r="O14" i="172"/>
  <c r="O13" i="172"/>
  <c r="C22" i="172"/>
  <c r="C16" i="172"/>
  <c r="C14" i="172"/>
  <c r="C13" i="172"/>
  <c r="B55" i="176"/>
  <c r="O25" i="172" l="1"/>
  <c r="H26" i="172"/>
  <c r="O26" i="172" s="1"/>
  <c r="G26" i="172"/>
  <c r="F26" i="172"/>
  <c r="E26" i="172"/>
  <c r="D26" i="172"/>
  <c r="C26" i="172"/>
  <c r="Q39" i="172"/>
  <c r="Q38" i="172"/>
  <c r="G29" i="174" l="1"/>
  <c r="F29" i="174"/>
  <c r="G4" i="174"/>
  <c r="U8" i="162"/>
  <c r="R30" i="176" l="1"/>
  <c r="S7" i="132"/>
  <c r="R7" i="132"/>
  <c r="P7" i="132"/>
  <c r="O7" i="132"/>
  <c r="M7" i="132"/>
  <c r="L7" i="132"/>
  <c r="J7" i="132"/>
  <c r="I7" i="132"/>
  <c r="G7" i="132"/>
  <c r="F7" i="132"/>
  <c r="E7" i="125"/>
  <c r="C7" i="132"/>
  <c r="B8" i="125"/>
  <c r="B7" i="125"/>
  <c r="M14" i="125"/>
  <c r="L14" i="125"/>
  <c r="D14" i="125"/>
  <c r="Y14" i="125"/>
  <c r="X14" i="125"/>
  <c r="U14" i="125"/>
  <c r="T14" i="125"/>
  <c r="Q14" i="125"/>
  <c r="P14" i="125"/>
  <c r="I14" i="125"/>
  <c r="H14" i="125"/>
  <c r="E14" i="125"/>
  <c r="Q18" i="176"/>
  <c r="R5" i="135"/>
  <c r="J14" i="125" l="1"/>
  <c r="Y7" i="125"/>
  <c r="U7" i="125"/>
  <c r="I7" i="125"/>
  <c r="Q7" i="125"/>
  <c r="M7" i="125"/>
  <c r="F14" i="125"/>
  <c r="D7" i="125"/>
  <c r="T7" i="125"/>
  <c r="X7" i="125"/>
  <c r="X8" i="125"/>
  <c r="H7" i="125"/>
  <c r="L7" i="125"/>
  <c r="P7" i="125"/>
  <c r="N14" i="125"/>
  <c r="Z14" i="125"/>
  <c r="V14" i="125"/>
  <c r="R14" i="125"/>
  <c r="E7" i="132"/>
  <c r="F7" i="125" s="1"/>
  <c r="R29" i="176"/>
  <c r="T7" i="132"/>
  <c r="Z7" i="125" s="1"/>
  <c r="Q7" i="132"/>
  <c r="V7" i="125" s="1"/>
  <c r="N7" i="132"/>
  <c r="R7" i="125" s="1"/>
  <c r="K7" i="132"/>
  <c r="N7" i="125" s="1"/>
  <c r="H7" i="132"/>
  <c r="J7" i="125" s="1"/>
  <c r="R46" i="176" l="1"/>
  <c r="Q4" i="176"/>
  <c r="R65" i="176" l="1"/>
  <c r="F9" i="153"/>
  <c r="Q5" i="176"/>
  <c r="S30" i="176" s="1"/>
  <c r="B6" i="176"/>
  <c r="S21" i="179"/>
  <c r="M20" i="179"/>
  <c r="M18" i="179"/>
  <c r="L21" i="179" s="1"/>
  <c r="M17" i="179"/>
  <c r="V16" i="179"/>
  <c r="V18" i="179" s="1"/>
  <c r="T16" i="179"/>
  <c r="T18" i="179" s="1"/>
  <c r="T19" i="179" s="1"/>
  <c r="G9" i="179" s="1"/>
  <c r="S16" i="179"/>
  <c r="S18" i="179" s="1"/>
  <c r="S19" i="179" s="1"/>
  <c r="F10" i="179"/>
  <c r="F11" i="179" s="1"/>
  <c r="X9" i="179"/>
  <c r="Y9" i="179" s="1"/>
  <c r="M9" i="179"/>
  <c r="M10" i="179" s="1"/>
  <c r="M11" i="179" s="1"/>
  <c r="M12" i="179" s="1"/>
  <c r="M13" i="179" s="1"/>
  <c r="M14" i="179" s="1"/>
  <c r="T8" i="179"/>
  <c r="S8" i="179"/>
  <c r="S7" i="179"/>
  <c r="V7" i="179" s="1"/>
  <c r="S6" i="179"/>
  <c r="V6" i="179" s="1"/>
  <c r="Y5" i="179"/>
  <c r="S5" i="179"/>
  <c r="V5" i="179" s="1"/>
  <c r="Y4" i="179"/>
  <c r="T4" i="179"/>
  <c r="T9" i="179" s="1"/>
  <c r="S4" i="179"/>
  <c r="V4" i="179" s="1"/>
  <c r="C4" i="179"/>
  <c r="N4" i="179" s="1"/>
  <c r="Y3" i="179"/>
  <c r="T3" i="179"/>
  <c r="S3" i="179"/>
  <c r="V3" i="179" s="1"/>
  <c r="N3" i="179"/>
  <c r="D3" i="179"/>
  <c r="O3" i="179" s="1"/>
  <c r="O2" i="179"/>
  <c r="N2" i="179"/>
  <c r="N5" i="179" s="1"/>
  <c r="I2" i="179"/>
  <c r="D2" i="179"/>
  <c r="M19" i="179" l="1"/>
  <c r="M15" i="179"/>
  <c r="M16" i="179" s="1"/>
  <c r="S9" i="179"/>
  <c r="T10" i="179" s="1"/>
  <c r="I9" i="179"/>
  <c r="J9" i="179" s="1"/>
  <c r="N9" i="179" s="1"/>
  <c r="O9" i="179" s="1"/>
  <c r="P9" i="179" s="1"/>
  <c r="G10" i="179"/>
  <c r="G11" i="179" s="1"/>
  <c r="G12" i="179" s="1"/>
  <c r="G13" i="179" s="1"/>
  <c r="G14" i="179" s="1"/>
  <c r="O5" i="179"/>
  <c r="D4" i="179"/>
  <c r="O4" i="179" s="1"/>
  <c r="C5" i="179"/>
  <c r="D5" i="179" s="1"/>
  <c r="V8" i="179"/>
  <c r="V9" i="179" s="1"/>
  <c r="F12" i="179"/>
  <c r="I10" i="179" l="1"/>
  <c r="J10" i="179" s="1"/>
  <c r="N10" i="179" s="1"/>
  <c r="O10" i="179" s="1"/>
  <c r="P10" i="179" s="1"/>
  <c r="I11" i="179"/>
  <c r="J11" i="179" s="1"/>
  <c r="N11" i="179" s="1"/>
  <c r="O11" i="179" s="1"/>
  <c r="P11" i="179" s="1"/>
  <c r="K9" i="179"/>
  <c r="I12" i="179"/>
  <c r="J12" i="179" s="1"/>
  <c r="K12" i="179" s="1"/>
  <c r="F13" i="179"/>
  <c r="F14" i="179" s="1"/>
  <c r="W7" i="179"/>
  <c r="W3" i="179"/>
  <c r="W6" i="179"/>
  <c r="W5" i="179"/>
  <c r="W4" i="179"/>
  <c r="W8" i="179"/>
  <c r="K11" i="179" l="1"/>
  <c r="I13" i="179"/>
  <c r="J13" i="179" s="1"/>
  <c r="K13" i="179" s="1"/>
  <c r="K10" i="179"/>
  <c r="N12" i="179"/>
  <c r="O12" i="179" s="1"/>
  <c r="P12" i="179" s="1"/>
  <c r="W9" i="179"/>
  <c r="N13" i="179" l="1"/>
  <c r="O13" i="179" s="1"/>
  <c r="P13" i="179" s="1"/>
  <c r="I14" i="179"/>
  <c r="J14" i="179" s="1"/>
  <c r="E55" i="174"/>
  <c r="D55" i="174"/>
  <c r="C55" i="174"/>
  <c r="B55" i="174"/>
  <c r="F8" i="174"/>
  <c r="C13" i="174"/>
  <c r="O46" i="174"/>
  <c r="M46" i="174"/>
  <c r="L46" i="174"/>
  <c r="K46" i="174"/>
  <c r="J46" i="174"/>
  <c r="I46" i="174"/>
  <c r="H46" i="174"/>
  <c r="G46" i="174"/>
  <c r="F46" i="174"/>
  <c r="E46" i="174"/>
  <c r="D46" i="174"/>
  <c r="C46" i="174"/>
  <c r="B46" i="174"/>
  <c r="O43" i="174"/>
  <c r="M43" i="174"/>
  <c r="L43" i="174"/>
  <c r="J43" i="174"/>
  <c r="I43" i="174"/>
  <c r="H43" i="174"/>
  <c r="G43" i="174"/>
  <c r="F43" i="174"/>
  <c r="E43" i="174"/>
  <c r="D43" i="174"/>
  <c r="C43" i="174"/>
  <c r="B43" i="174"/>
  <c r="O34" i="174"/>
  <c r="M34" i="174"/>
  <c r="L34" i="174"/>
  <c r="K34" i="174"/>
  <c r="J34" i="174"/>
  <c r="I34" i="174"/>
  <c r="H34" i="174"/>
  <c r="G34" i="174"/>
  <c r="F34" i="174"/>
  <c r="E34" i="174"/>
  <c r="D34" i="174"/>
  <c r="C34" i="174"/>
  <c r="B34" i="174"/>
  <c r="B27" i="174"/>
  <c r="C28" i="174" s="1"/>
  <c r="C27" i="174" s="1"/>
  <c r="D28" i="174" s="1"/>
  <c r="D27" i="174" s="1"/>
  <c r="E28" i="174" s="1"/>
  <c r="E27" i="174" s="1"/>
  <c r="F28" i="174" s="1"/>
  <c r="F27" i="174" s="1"/>
  <c r="G28" i="174" s="1"/>
  <c r="G27" i="174" s="1"/>
  <c r="O18" i="174"/>
  <c r="M18" i="174"/>
  <c r="E20" i="179" s="1"/>
  <c r="L18" i="174"/>
  <c r="E19" i="179" s="1"/>
  <c r="K18" i="174"/>
  <c r="E18" i="179" s="1"/>
  <c r="J18" i="174"/>
  <c r="E17" i="179" s="1"/>
  <c r="I18" i="174"/>
  <c r="E16" i="179" s="1"/>
  <c r="H18" i="174"/>
  <c r="E15" i="179" s="1"/>
  <c r="G18" i="174"/>
  <c r="F18" i="174"/>
  <c r="E18" i="174"/>
  <c r="D18" i="174"/>
  <c r="C18" i="174"/>
  <c r="B18" i="174"/>
  <c r="D13" i="174"/>
  <c r="D10" i="174" s="1"/>
  <c r="C10" i="174"/>
  <c r="B13" i="174"/>
  <c r="O10" i="174"/>
  <c r="O37" i="172" s="1"/>
  <c r="M10" i="174"/>
  <c r="L10" i="174"/>
  <c r="K10" i="174"/>
  <c r="J10" i="174"/>
  <c r="I10" i="174"/>
  <c r="H10" i="174"/>
  <c r="G10" i="174"/>
  <c r="B10" i="174"/>
  <c r="C8" i="174"/>
  <c r="D8" i="174" s="1"/>
  <c r="E8" i="174" s="1"/>
  <c r="C7" i="174"/>
  <c r="D7" i="174" s="1"/>
  <c r="D5" i="174"/>
  <c r="E5" i="174" s="1"/>
  <c r="C5" i="174"/>
  <c r="Q4" i="174"/>
  <c r="C4" i="174"/>
  <c r="B4" i="174"/>
  <c r="B53" i="173"/>
  <c r="J47" i="173" l="1"/>
  <c r="G47" i="173"/>
  <c r="M51" i="173"/>
  <c r="J46" i="173"/>
  <c r="M56" i="174"/>
  <c r="C20" i="179"/>
  <c r="G20" i="179" s="1"/>
  <c r="L14" i="172"/>
  <c r="L13" i="172"/>
  <c r="K55" i="174"/>
  <c r="L26" i="172"/>
  <c r="L16" i="172"/>
  <c r="L22" i="172"/>
  <c r="O22" i="172" s="1"/>
  <c r="K13" i="172"/>
  <c r="K14" i="172"/>
  <c r="J55" i="174"/>
  <c r="O55" i="174"/>
  <c r="K26" i="172"/>
  <c r="Q10" i="174"/>
  <c r="Q11" i="174" s="1"/>
  <c r="R10" i="174" s="1"/>
  <c r="S10" i="174" s="1"/>
  <c r="C15" i="179"/>
  <c r="F15" i="179" s="1"/>
  <c r="H51" i="173"/>
  <c r="D54" i="173"/>
  <c r="L54" i="173"/>
  <c r="F46" i="173"/>
  <c r="C47" i="173"/>
  <c r="E54" i="173"/>
  <c r="M54" i="173"/>
  <c r="H47" i="173"/>
  <c r="K47" i="173"/>
  <c r="L46" i="173"/>
  <c r="D46" i="173"/>
  <c r="K46" i="173"/>
  <c r="F54" i="173"/>
  <c r="E46" i="173"/>
  <c r="J54" i="173"/>
  <c r="M47" i="173"/>
  <c r="B54" i="173"/>
  <c r="G46" i="173"/>
  <c r="B50" i="173"/>
  <c r="B51" i="173" s="1"/>
  <c r="C46" i="173"/>
  <c r="M46" i="173"/>
  <c r="D51" i="173"/>
  <c r="G54" i="173"/>
  <c r="L51" i="173"/>
  <c r="K54" i="173"/>
  <c r="C54" i="173"/>
  <c r="I54" i="173"/>
  <c r="L47" i="173"/>
  <c r="H54" i="173"/>
  <c r="K51" i="173"/>
  <c r="I47" i="173"/>
  <c r="N14" i="179"/>
  <c r="O14" i="179" s="1"/>
  <c r="P14" i="179" s="1"/>
  <c r="K14" i="179"/>
  <c r="F30" i="174"/>
  <c r="H28" i="174"/>
  <c r="H27" i="174" s="1"/>
  <c r="I28" i="174" s="1"/>
  <c r="I27" i="174" s="1"/>
  <c r="G30" i="174"/>
  <c r="E51" i="173"/>
  <c r="C51" i="173"/>
  <c r="F51" i="173"/>
  <c r="C30" i="174"/>
  <c r="B30" i="174"/>
  <c r="E13" i="174"/>
  <c r="E10" i="174" s="1"/>
  <c r="F5" i="174"/>
  <c r="D4" i="174"/>
  <c r="E7" i="174"/>
  <c r="F7" i="174" s="1"/>
  <c r="Q5" i="174"/>
  <c r="J51" i="173"/>
  <c r="H46" i="173"/>
  <c r="G51" i="173"/>
  <c r="I46" i="173"/>
  <c r="I51" i="173"/>
  <c r="J48" i="173" l="1"/>
  <c r="J56" i="173" s="1"/>
  <c r="G48" i="173"/>
  <c r="G56" i="173" s="1"/>
  <c r="B47" i="173"/>
  <c r="H48" i="173"/>
  <c r="H56" i="173" s="1"/>
  <c r="L48" i="173"/>
  <c r="L56" i="173" s="1"/>
  <c r="K48" i="173"/>
  <c r="K56" i="173" s="1"/>
  <c r="R4" i="174"/>
  <c r="R5" i="174"/>
  <c r="J28" i="174"/>
  <c r="J27" i="174" s="1"/>
  <c r="I30" i="174"/>
  <c r="C16" i="179" s="1"/>
  <c r="I56" i="174"/>
  <c r="H56" i="174"/>
  <c r="G15" i="179"/>
  <c r="I15" i="179"/>
  <c r="J15" i="179" s="1"/>
  <c r="N15" i="179" s="1"/>
  <c r="O15" i="179" s="1"/>
  <c r="P15" i="179" s="1"/>
  <c r="C48" i="173"/>
  <c r="C56" i="173" s="1"/>
  <c r="I48" i="173"/>
  <c r="I56" i="173" s="1"/>
  <c r="E47" i="173"/>
  <c r="E48" i="173" s="1"/>
  <c r="E56" i="173" s="1"/>
  <c r="M48" i="173"/>
  <c r="M56" i="173" s="1"/>
  <c r="D47" i="173"/>
  <c r="D48" i="173" s="1"/>
  <c r="D56" i="173" s="1"/>
  <c r="G56" i="174"/>
  <c r="F47" i="173"/>
  <c r="F48" i="173" s="1"/>
  <c r="F56" i="173" s="1"/>
  <c r="C56" i="174"/>
  <c r="B56" i="174"/>
  <c r="R11" i="174"/>
  <c r="S11" i="174" s="1"/>
  <c r="U11" i="174" s="1"/>
  <c r="D30" i="174"/>
  <c r="E4" i="174"/>
  <c r="F13" i="174"/>
  <c r="F10" i="174" s="1"/>
  <c r="F4" i="174"/>
  <c r="K28" i="174" l="1"/>
  <c r="K27" i="174" s="1"/>
  <c r="J30" i="174"/>
  <c r="F16" i="179"/>
  <c r="I16" i="179" s="1"/>
  <c r="J16" i="179" s="1"/>
  <c r="N16" i="179" s="1"/>
  <c r="O16" i="179" s="1"/>
  <c r="P16" i="179" s="1"/>
  <c r="K15" i="179"/>
  <c r="E30" i="174"/>
  <c r="F56" i="174"/>
  <c r="D56" i="174"/>
  <c r="L28" i="174" l="1"/>
  <c r="L27" i="174" s="1"/>
  <c r="L30" i="174" s="1"/>
  <c r="K30" i="174"/>
  <c r="J56" i="174"/>
  <c r="C17" i="179"/>
  <c r="K16" i="179"/>
  <c r="E56" i="174"/>
  <c r="Q23" i="176"/>
  <c r="R6" i="176"/>
  <c r="D9" i="153" s="1"/>
  <c r="Q6" i="176"/>
  <c r="R4" i="176"/>
  <c r="S4" i="176" s="1"/>
  <c r="I23" i="176"/>
  <c r="F23" i="176"/>
  <c r="E23" i="176"/>
  <c r="B23" i="176"/>
  <c r="L23" i="176"/>
  <c r="K18" i="176"/>
  <c r="O46" i="176"/>
  <c r="F8" i="153" s="1"/>
  <c r="L46" i="176"/>
  <c r="F7" i="153" s="1"/>
  <c r="I46" i="176"/>
  <c r="F6" i="153" s="1"/>
  <c r="F46" i="176"/>
  <c r="F5" i="153" s="1"/>
  <c r="C46" i="176"/>
  <c r="F4" i="153" s="1"/>
  <c r="O6" i="176"/>
  <c r="D8" i="153" s="1"/>
  <c r="N6" i="176"/>
  <c r="O4" i="176"/>
  <c r="L6" i="176"/>
  <c r="D7" i="153" s="1"/>
  <c r="K6" i="176"/>
  <c r="L4" i="176"/>
  <c r="I6" i="176"/>
  <c r="D6" i="153" s="1"/>
  <c r="H6" i="176"/>
  <c r="I4" i="176"/>
  <c r="F6" i="176"/>
  <c r="D5" i="153" s="1"/>
  <c r="E6" i="176"/>
  <c r="F4" i="176"/>
  <c r="N18" i="176"/>
  <c r="H18" i="176"/>
  <c r="E18" i="176"/>
  <c r="B18" i="176"/>
  <c r="Y3" i="176"/>
  <c r="AB3" i="176"/>
  <c r="AE3" i="176"/>
  <c r="AK3" i="176"/>
  <c r="C4" i="176"/>
  <c r="V4" i="176"/>
  <c r="Y4" i="176"/>
  <c r="AE4" i="176"/>
  <c r="AH4" i="176"/>
  <c r="AK4" i="176"/>
  <c r="Y5" i="176"/>
  <c r="AB5" i="176"/>
  <c r="AE5" i="176"/>
  <c r="C6" i="176"/>
  <c r="D4" i="153" s="1"/>
  <c r="V6" i="176"/>
  <c r="Y6" i="176"/>
  <c r="AB6" i="176"/>
  <c r="AE6" i="176"/>
  <c r="AH6" i="176"/>
  <c r="AK6" i="176"/>
  <c r="AK18" i="176"/>
  <c r="AH18" i="176"/>
  <c r="AE18" i="176"/>
  <c r="AB18" i="176"/>
  <c r="Y18" i="176"/>
  <c r="V18" i="176"/>
  <c r="N16" i="176"/>
  <c r="K16" i="176"/>
  <c r="H16" i="176"/>
  <c r="E16" i="176"/>
  <c r="B16" i="176"/>
  <c r="AN38" i="176"/>
  <c r="L42" i="176"/>
  <c r="L71" i="176" s="1"/>
  <c r="Q38" i="176"/>
  <c r="N38" i="176"/>
  <c r="K38" i="176"/>
  <c r="H38" i="176"/>
  <c r="O30" i="176"/>
  <c r="P30" i="176" s="1"/>
  <c r="L30" i="176"/>
  <c r="I30" i="176"/>
  <c r="E38" i="176"/>
  <c r="A35" i="176"/>
  <c r="C20" i="131"/>
  <c r="B81" i="131"/>
  <c r="B123" i="131" s="1"/>
  <c r="N143" i="131"/>
  <c r="K167" i="131"/>
  <c r="L161" i="131"/>
  <c r="O42" i="176"/>
  <c r="O71" i="176" s="1"/>
  <c r="AJ147" i="131"/>
  <c r="AG147" i="131"/>
  <c r="AD147" i="131"/>
  <c r="AA147" i="131"/>
  <c r="X147" i="131"/>
  <c r="U147" i="131"/>
  <c r="R147" i="131"/>
  <c r="AJ146" i="131"/>
  <c r="AI146" i="131"/>
  <c r="AK146" i="131" s="1"/>
  <c r="AG146" i="131"/>
  <c r="AF146" i="131"/>
  <c r="AH146" i="131" s="1"/>
  <c r="AD146" i="131"/>
  <c r="AC146" i="131"/>
  <c r="AE146" i="131" s="1"/>
  <c r="AA146" i="131"/>
  <c r="Z146" i="131"/>
  <c r="AB146" i="131" s="1"/>
  <c r="X146" i="131"/>
  <c r="W146" i="131"/>
  <c r="Y146" i="131" s="1"/>
  <c r="U146" i="131"/>
  <c r="T146" i="131"/>
  <c r="V146" i="131" s="1"/>
  <c r="R146" i="131"/>
  <c r="Q146" i="131"/>
  <c r="S146" i="131" s="1"/>
  <c r="N146" i="131"/>
  <c r="K146" i="131"/>
  <c r="H146" i="131"/>
  <c r="E146" i="131"/>
  <c r="N95" i="131"/>
  <c r="N144" i="131" s="1"/>
  <c r="N5" i="131"/>
  <c r="K5" i="131"/>
  <c r="H5" i="131"/>
  <c r="E5" i="131"/>
  <c r="B5" i="131"/>
  <c r="P24" i="155"/>
  <c r="N24" i="155"/>
  <c r="M24" i="155"/>
  <c r="K24" i="155"/>
  <c r="D24" i="155"/>
  <c r="B24" i="155"/>
  <c r="L106" i="131"/>
  <c r="K106" i="131"/>
  <c r="C106" i="131"/>
  <c r="B106" i="131"/>
  <c r="O104" i="131"/>
  <c r="N104" i="131"/>
  <c r="AM108" i="131"/>
  <c r="AL108" i="131"/>
  <c r="C19" i="179" l="1"/>
  <c r="L56" i="174"/>
  <c r="C18" i="179"/>
  <c r="K56" i="174"/>
  <c r="O27" i="174"/>
  <c r="O30" i="174" s="1"/>
  <c r="M28" i="174"/>
  <c r="M27" i="174" s="1"/>
  <c r="F17" i="179"/>
  <c r="G17" i="179"/>
  <c r="O161" i="131"/>
  <c r="C23" i="176"/>
  <c r="I20" i="179"/>
  <c r="J20" i="179" s="1"/>
  <c r="S6" i="176"/>
  <c r="S19" i="176"/>
  <c r="M6" i="176"/>
  <c r="G6" i="176"/>
  <c r="D6" i="176"/>
  <c r="J6" i="176"/>
  <c r="P6" i="176"/>
  <c r="Z8" i="176"/>
  <c r="P4" i="176"/>
  <c r="W8" i="176"/>
  <c r="AK5" i="176"/>
  <c r="AB4" i="176"/>
  <c r="O56" i="174" l="1"/>
  <c r="P29" i="174"/>
  <c r="P30" i="174"/>
  <c r="G18" i="179"/>
  <c r="G19" i="179" s="1"/>
  <c r="I17" i="179"/>
  <c r="J17" i="179" s="1"/>
  <c r="F18" i="179"/>
  <c r="K20" i="179"/>
  <c r="N20" i="179"/>
  <c r="O20" i="179" s="1"/>
  <c r="P20" i="179" s="1"/>
  <c r="N33" i="131"/>
  <c r="AL33" i="131" s="1"/>
  <c r="N21" i="131"/>
  <c r="AL21" i="131" s="1"/>
  <c r="N8" i="131"/>
  <c r="R15" i="162"/>
  <c r="R13" i="162"/>
  <c r="R12" i="162"/>
  <c r="I18" i="179" l="1"/>
  <c r="J18" i="179" s="1"/>
  <c r="K18" i="179" s="1"/>
  <c r="I19" i="179"/>
  <c r="J19" i="179" s="1"/>
  <c r="K17" i="179"/>
  <c r="N17" i="179"/>
  <c r="O17" i="179" s="1"/>
  <c r="P17" i="179" s="1"/>
  <c r="O18" i="131"/>
  <c r="O8" i="131"/>
  <c r="AM8" i="131" s="1"/>
  <c r="O5" i="131"/>
  <c r="N18" i="179" l="1"/>
  <c r="O18" i="179" s="1"/>
  <c r="P18" i="179" s="1"/>
  <c r="K19" i="179"/>
  <c r="N19" i="179"/>
  <c r="O19" i="179" s="1"/>
  <c r="P19" i="179" s="1"/>
  <c r="O9" i="135"/>
  <c r="N9" i="135"/>
  <c r="O115" i="131"/>
  <c r="O120" i="131"/>
  <c r="P120" i="131" s="1"/>
  <c r="P119" i="131"/>
  <c r="O118" i="131"/>
  <c r="P118" i="131" s="1"/>
  <c r="O117" i="131"/>
  <c r="P117" i="131" s="1"/>
  <c r="P116" i="131"/>
  <c r="O116" i="131"/>
  <c r="O110" i="131"/>
  <c r="P110" i="131" s="1"/>
  <c r="P109" i="131"/>
  <c r="P108" i="131"/>
  <c r="P107" i="131"/>
  <c r="P105" i="131"/>
  <c r="P104" i="131"/>
  <c r="N65" i="131"/>
  <c r="O63" i="131"/>
  <c r="O49" i="131"/>
  <c r="P49" i="131" s="1"/>
  <c r="P31" i="131"/>
  <c r="P19" i="131"/>
  <c r="P18" i="131"/>
  <c r="P5" i="131"/>
  <c r="O32" i="131"/>
  <c r="P32" i="131" s="1"/>
  <c r="O33" i="131"/>
  <c r="AM33" i="131" s="1"/>
  <c r="O21" i="131"/>
  <c r="AM21" i="131" s="1"/>
  <c r="O30" i="131"/>
  <c r="P30" i="131" s="1"/>
  <c r="O20" i="131"/>
  <c r="F69" i="181"/>
  <c r="L5" i="131"/>
  <c r="O106" i="131"/>
  <c r="N106" i="131"/>
  <c r="N13" i="176"/>
  <c r="O131" i="131"/>
  <c r="L131" i="131"/>
  <c r="K104" i="131"/>
  <c r="I115" i="131"/>
  <c r="H116" i="131"/>
  <c r="H115" i="131"/>
  <c r="B104" i="131"/>
  <c r="N77" i="131"/>
  <c r="N58" i="131"/>
  <c r="N48" i="131"/>
  <c r="N51" i="131" s="1"/>
  <c r="K48" i="131"/>
  <c r="K33" i="131"/>
  <c r="L33" i="131"/>
  <c r="L32" i="131"/>
  <c r="M32" i="131" s="1"/>
  <c r="L21" i="131"/>
  <c r="O17" i="131" s="1"/>
  <c r="I5" i="131"/>
  <c r="B21" i="131"/>
  <c r="B33" i="131"/>
  <c r="B32" i="131"/>
  <c r="H33" i="131"/>
  <c r="E33" i="131"/>
  <c r="K21" i="131"/>
  <c r="H21" i="131"/>
  <c r="E21" i="131"/>
  <c r="K8" i="131"/>
  <c r="H8" i="131"/>
  <c r="E8" i="131"/>
  <c r="B8" i="131"/>
  <c r="B10" i="131" s="1"/>
  <c r="AL131" i="131"/>
  <c r="AM130" i="131"/>
  <c r="AL130" i="131"/>
  <c r="AM129" i="131"/>
  <c r="AL129" i="131"/>
  <c r="AM127" i="131"/>
  <c r="AL127" i="131"/>
  <c r="K110" i="131"/>
  <c r="E110" i="131"/>
  <c r="B110" i="131"/>
  <c r="H104" i="131"/>
  <c r="E104" i="131"/>
  <c r="L13" i="176" l="1"/>
  <c r="E51" i="181"/>
  <c r="P9" i="135"/>
  <c r="O16" i="176"/>
  <c r="O14" i="131"/>
  <c r="P14" i="131" s="1"/>
  <c r="O7" i="131"/>
  <c r="P7" i="131" s="1"/>
  <c r="O5" i="135"/>
  <c r="R16" i="162"/>
  <c r="S16" i="162" s="1"/>
  <c r="P106" i="131"/>
  <c r="T8" i="125"/>
  <c r="O89" i="131"/>
  <c r="P89" i="131" s="1"/>
  <c r="P63" i="131"/>
  <c r="P20" i="131"/>
  <c r="M33" i="131"/>
  <c r="N57" i="131"/>
  <c r="B34" i="131"/>
  <c r="B37" i="131" s="1"/>
  <c r="O111" i="131"/>
  <c r="O121" i="131"/>
  <c r="O22" i="131"/>
  <c r="O58" i="131"/>
  <c r="P58" i="131" s="1"/>
  <c r="P143" i="131" s="1"/>
  <c r="O143" i="131" s="1"/>
  <c r="P115" i="131"/>
  <c r="O29" i="131"/>
  <c r="O34" i="131" s="1"/>
  <c r="O92" i="131"/>
  <c r="AM92" i="131" s="1"/>
  <c r="O41" i="131"/>
  <c r="O25" i="131"/>
  <c r="AM90" i="131"/>
  <c r="AL90" i="131"/>
  <c r="AN90" i="131" s="1"/>
  <c r="AL76" i="131"/>
  <c r="AL74" i="131"/>
  <c r="K63" i="131"/>
  <c r="H63" i="131"/>
  <c r="E63" i="131"/>
  <c r="AL59" i="131"/>
  <c r="AL62" i="131"/>
  <c r="AM50" i="131"/>
  <c r="AL50" i="131"/>
  <c r="AL49" i="131"/>
  <c r="AL58" i="131" s="1"/>
  <c r="AL32" i="131"/>
  <c r="AM36" i="131"/>
  <c r="AL36" i="131"/>
  <c r="AN36" i="131" s="1"/>
  <c r="AM35" i="131"/>
  <c r="AL35" i="131"/>
  <c r="AN35" i="131" s="1"/>
  <c r="AM31" i="131"/>
  <c r="AL31" i="131"/>
  <c r="AN31" i="131" s="1"/>
  <c r="AL30" i="131"/>
  <c r="AM24" i="131"/>
  <c r="AL24" i="131"/>
  <c r="AN24" i="131" s="1"/>
  <c r="AM23" i="131"/>
  <c r="AL23" i="131"/>
  <c r="AN23" i="131" s="1"/>
  <c r="AM19" i="131"/>
  <c r="AL19" i="131"/>
  <c r="AN19" i="131" s="1"/>
  <c r="AL18" i="131"/>
  <c r="AL7" i="131"/>
  <c r="AM12" i="131"/>
  <c r="AL12" i="131"/>
  <c r="AN12" i="131" s="1"/>
  <c r="AM11" i="131"/>
  <c r="AL11" i="131"/>
  <c r="AN11" i="131" s="1"/>
  <c r="AM9" i="131"/>
  <c r="AL9" i="131"/>
  <c r="AN9" i="131" s="1"/>
  <c r="AM6" i="131"/>
  <c r="AL6" i="131"/>
  <c r="AN6" i="131" s="1"/>
  <c r="AN130" i="131"/>
  <c r="AN129" i="131"/>
  <c r="AN127" i="131"/>
  <c r="AN40" i="131"/>
  <c r="AL5" i="131"/>
  <c r="C32" i="131"/>
  <c r="C33" i="131" s="1"/>
  <c r="F29" i="131" s="1"/>
  <c r="B20" i="131"/>
  <c r="C18" i="131"/>
  <c r="I131" i="131"/>
  <c r="F131" i="131"/>
  <c r="M130" i="131"/>
  <c r="M129" i="131"/>
  <c r="J130" i="131"/>
  <c r="J129" i="131"/>
  <c r="G130" i="131"/>
  <c r="G129" i="131"/>
  <c r="M119" i="131"/>
  <c r="M114" i="131"/>
  <c r="M109" i="131"/>
  <c r="M108" i="131"/>
  <c r="M106" i="131"/>
  <c r="M105" i="131"/>
  <c r="J119" i="131"/>
  <c r="J114" i="131"/>
  <c r="J109" i="131"/>
  <c r="J108" i="131"/>
  <c r="J105" i="131"/>
  <c r="G119" i="131"/>
  <c r="G114" i="131"/>
  <c r="G109" i="131"/>
  <c r="G108" i="131"/>
  <c r="G105" i="131"/>
  <c r="L120" i="131"/>
  <c r="K120" i="131"/>
  <c r="L118" i="131"/>
  <c r="K118" i="131"/>
  <c r="M118" i="131" s="1"/>
  <c r="L117" i="131"/>
  <c r="K117" i="131"/>
  <c r="L116" i="131"/>
  <c r="K116" i="131"/>
  <c r="I120" i="131"/>
  <c r="H120" i="131"/>
  <c r="I118" i="131"/>
  <c r="H118" i="131"/>
  <c r="J118" i="131" s="1"/>
  <c r="I117" i="131"/>
  <c r="H117" i="131"/>
  <c r="I116" i="131"/>
  <c r="J116" i="131" s="1"/>
  <c r="F120" i="131"/>
  <c r="E120" i="131"/>
  <c r="F118" i="131"/>
  <c r="E118" i="131"/>
  <c r="G118" i="131" s="1"/>
  <c r="F117" i="131"/>
  <c r="E117" i="131"/>
  <c r="F116" i="131"/>
  <c r="E116" i="131"/>
  <c r="C120" i="131"/>
  <c r="C118" i="131"/>
  <c r="C117" i="131"/>
  <c r="B120" i="131"/>
  <c r="B118" i="131"/>
  <c r="B117" i="131"/>
  <c r="B116" i="131"/>
  <c r="L115" i="131"/>
  <c r="K115" i="131"/>
  <c r="M115" i="131" s="1"/>
  <c r="J115" i="131"/>
  <c r="E115" i="131"/>
  <c r="F115" i="131"/>
  <c r="C115" i="131"/>
  <c r="B115" i="131"/>
  <c r="L110" i="131"/>
  <c r="M110" i="131" s="1"/>
  <c r="I110" i="131"/>
  <c r="F110" i="131"/>
  <c r="G110" i="131" s="1"/>
  <c r="C110" i="131"/>
  <c r="D110" i="131" s="1"/>
  <c r="M107" i="131"/>
  <c r="J107" i="131"/>
  <c r="G107" i="131"/>
  <c r="D107" i="131"/>
  <c r="L104" i="131"/>
  <c r="I104" i="131"/>
  <c r="J104" i="131" s="1"/>
  <c r="F104" i="131"/>
  <c r="G104" i="131" s="1"/>
  <c r="C104" i="131"/>
  <c r="D104" i="131" s="1"/>
  <c r="M90" i="131"/>
  <c r="J90" i="131"/>
  <c r="G90" i="131"/>
  <c r="L89" i="131"/>
  <c r="M78" i="131"/>
  <c r="J78" i="131"/>
  <c r="G78" i="131"/>
  <c r="M64" i="131"/>
  <c r="J64" i="131"/>
  <c r="G64" i="131"/>
  <c r="L49" i="131"/>
  <c r="L58" i="131" s="1"/>
  <c r="I49" i="131"/>
  <c r="J49" i="131" s="1"/>
  <c r="C49" i="131"/>
  <c r="C58" i="131" s="1"/>
  <c r="F49" i="131"/>
  <c r="F58" i="131" s="1"/>
  <c r="B63" i="131"/>
  <c r="L63" i="131"/>
  <c r="I63" i="131"/>
  <c r="F63" i="131"/>
  <c r="C63" i="131"/>
  <c r="L45" i="131"/>
  <c r="L44" i="131"/>
  <c r="I45" i="131"/>
  <c r="I44" i="131"/>
  <c r="F45" i="131"/>
  <c r="F44" i="131"/>
  <c r="M36" i="131"/>
  <c r="M35" i="131"/>
  <c r="M31" i="131"/>
  <c r="J36" i="131"/>
  <c r="J35" i="131"/>
  <c r="J31" i="131"/>
  <c r="G36" i="131"/>
  <c r="G35" i="131"/>
  <c r="G31" i="131"/>
  <c r="I33" i="131"/>
  <c r="L29" i="131" s="1"/>
  <c r="F33" i="131"/>
  <c r="I29" i="131" s="1"/>
  <c r="L30" i="131"/>
  <c r="M30" i="131" s="1"/>
  <c r="I30" i="131"/>
  <c r="J30" i="131" s="1"/>
  <c r="F30" i="131"/>
  <c r="G30" i="131" s="1"/>
  <c r="C30" i="131"/>
  <c r="D30" i="131" s="1"/>
  <c r="M24" i="131"/>
  <c r="M23" i="131"/>
  <c r="M19" i="131"/>
  <c r="J24" i="131"/>
  <c r="J23" i="131"/>
  <c r="J19" i="131"/>
  <c r="G24" i="131"/>
  <c r="G23" i="131"/>
  <c r="G19" i="131"/>
  <c r="L20" i="131"/>
  <c r="I20" i="131"/>
  <c r="J20" i="131" s="1"/>
  <c r="F20" i="131"/>
  <c r="G20" i="131" s="1"/>
  <c r="I21" i="131"/>
  <c r="L17" i="131" s="1"/>
  <c r="L18" i="131"/>
  <c r="M18" i="131" s="1"/>
  <c r="I18" i="131"/>
  <c r="J18" i="131" s="1"/>
  <c r="M12" i="131"/>
  <c r="M11" i="131"/>
  <c r="M9" i="131"/>
  <c r="M6" i="131"/>
  <c r="J12" i="131"/>
  <c r="J11" i="131"/>
  <c r="J9" i="131"/>
  <c r="J6" i="131"/>
  <c r="J5" i="131"/>
  <c r="C5" i="131"/>
  <c r="D5" i="131" s="1"/>
  <c r="L8" i="131"/>
  <c r="I8" i="131"/>
  <c r="L4" i="131" s="1"/>
  <c r="F21" i="131"/>
  <c r="I17" i="131" s="1"/>
  <c r="C21" i="131"/>
  <c r="F17" i="131" s="1"/>
  <c r="F18" i="131"/>
  <c r="G12" i="131"/>
  <c r="G11" i="131"/>
  <c r="G9" i="131"/>
  <c r="G6" i="131"/>
  <c r="F8" i="131"/>
  <c r="I4" i="131" s="1"/>
  <c r="F5" i="131"/>
  <c r="G5" i="131" s="1"/>
  <c r="D130" i="131"/>
  <c r="D129" i="131"/>
  <c r="D127" i="131"/>
  <c r="C116" i="131"/>
  <c r="D119" i="131"/>
  <c r="D114" i="131"/>
  <c r="D109" i="131"/>
  <c r="D108" i="131"/>
  <c r="D106" i="131"/>
  <c r="D105" i="131"/>
  <c r="E88" i="131"/>
  <c r="D90" i="131"/>
  <c r="D78" i="131"/>
  <c r="D64" i="131"/>
  <c r="C45" i="131"/>
  <c r="C44" i="131"/>
  <c r="D40" i="131"/>
  <c r="D36" i="131"/>
  <c r="D35" i="131"/>
  <c r="D31" i="131"/>
  <c r="C29" i="131"/>
  <c r="D24" i="131"/>
  <c r="D23" i="131"/>
  <c r="D19" i="131"/>
  <c r="C17" i="131"/>
  <c r="AM17" i="131" s="1"/>
  <c r="D12" i="131"/>
  <c r="D11" i="131"/>
  <c r="D9" i="131"/>
  <c r="D6" i="131"/>
  <c r="C8" i="131"/>
  <c r="F4" i="131" s="1"/>
  <c r="C7" i="131"/>
  <c r="C4" i="131"/>
  <c r="AM4" i="131" s="1"/>
  <c r="AM118" i="131"/>
  <c r="AM119" i="131"/>
  <c r="L112" i="131"/>
  <c r="O103" i="131" s="1"/>
  <c r="D12" i="155"/>
  <c r="C9" i="139"/>
  <c r="C45" i="139"/>
  <c r="S8" i="139" s="1"/>
  <c r="C44" i="139"/>
  <c r="C43" i="139"/>
  <c r="C42" i="139"/>
  <c r="D115" i="131" l="1"/>
  <c r="O146" i="131"/>
  <c r="O63" i="176"/>
  <c r="P63" i="176" s="1"/>
  <c r="P16" i="176"/>
  <c r="G4" i="176"/>
  <c r="J4" i="176"/>
  <c r="M4" i="176"/>
  <c r="B65" i="131"/>
  <c r="N23" i="176"/>
  <c r="F112" i="131"/>
  <c r="I103" i="131" s="1"/>
  <c r="I112" i="131"/>
  <c r="L103" i="131" s="1"/>
  <c r="C112" i="131"/>
  <c r="F103" i="131" s="1"/>
  <c r="E143" i="131"/>
  <c r="M63" i="131"/>
  <c r="H143" i="131"/>
  <c r="K143" i="131"/>
  <c r="B146" i="131"/>
  <c r="B143" i="131"/>
  <c r="O155" i="131"/>
  <c r="P155" i="131" s="1"/>
  <c r="P146" i="131"/>
  <c r="D7" i="131"/>
  <c r="J120" i="131"/>
  <c r="M120" i="131"/>
  <c r="AM20" i="131"/>
  <c r="AM63" i="131"/>
  <c r="L22" i="131"/>
  <c r="F34" i="131"/>
  <c r="G63" i="131"/>
  <c r="D20" i="131"/>
  <c r="I34" i="131"/>
  <c r="AM18" i="131"/>
  <c r="AM30" i="131"/>
  <c r="AN30" i="131" s="1"/>
  <c r="L34" i="131"/>
  <c r="AM5" i="131"/>
  <c r="AN5" i="131" s="1"/>
  <c r="AM49" i="131"/>
  <c r="AM58" i="131" s="1"/>
  <c r="AN58" i="131" s="1"/>
  <c r="I22" i="131"/>
  <c r="G116" i="131"/>
  <c r="AL20" i="131"/>
  <c r="AL63" i="131"/>
  <c r="AM32" i="131"/>
  <c r="AN32" i="131" s="1"/>
  <c r="G115" i="131"/>
  <c r="D32" i="131"/>
  <c r="F22" i="131"/>
  <c r="AM29" i="131"/>
  <c r="C34" i="131"/>
  <c r="O37" i="131"/>
  <c r="B22" i="131"/>
  <c r="B25" i="131" s="1"/>
  <c r="F25" i="131"/>
  <c r="D29" i="131"/>
  <c r="D17" i="131"/>
  <c r="C22" i="131"/>
  <c r="D4" i="131"/>
  <c r="C10" i="131"/>
  <c r="O4" i="131"/>
  <c r="O10" i="131" s="1"/>
  <c r="L41" i="131"/>
  <c r="L37" i="131"/>
  <c r="J63" i="131"/>
  <c r="I121" i="131"/>
  <c r="L111" i="131"/>
  <c r="M116" i="131"/>
  <c r="F121" i="131"/>
  <c r="G117" i="131"/>
  <c r="J117" i="131"/>
  <c r="M117" i="131"/>
  <c r="G120" i="131"/>
  <c r="F37" i="131"/>
  <c r="M104" i="131"/>
  <c r="L121" i="131"/>
  <c r="L25" i="131"/>
  <c r="I25" i="131"/>
  <c r="D18" i="131"/>
  <c r="D117" i="131"/>
  <c r="D120" i="131"/>
  <c r="D116" i="131"/>
  <c r="F41" i="131"/>
  <c r="I41" i="131"/>
  <c r="I37" i="131"/>
  <c r="M49" i="131"/>
  <c r="I58" i="131"/>
  <c r="G49" i="131"/>
  <c r="D63" i="131"/>
  <c r="G18" i="131"/>
  <c r="M20" i="131"/>
  <c r="M5" i="131"/>
  <c r="C111" i="131"/>
  <c r="C41" i="131"/>
  <c r="C121" i="131"/>
  <c r="D118" i="131"/>
  <c r="C13" i="131"/>
  <c r="D10" i="131" s="1"/>
  <c r="C37" i="131"/>
  <c r="C25" i="131"/>
  <c r="D49" i="131"/>
  <c r="O15" i="162"/>
  <c r="O14" i="162"/>
  <c r="O13" i="162"/>
  <c r="O12" i="162"/>
  <c r="I15" i="162"/>
  <c r="I14" i="162"/>
  <c r="I13" i="162"/>
  <c r="I12" i="162"/>
  <c r="F15" i="162"/>
  <c r="F14" i="162"/>
  <c r="F13" i="162"/>
  <c r="F12" i="162"/>
  <c r="C14" i="162"/>
  <c r="C13" i="162"/>
  <c r="C15" i="162"/>
  <c r="C12" i="162"/>
  <c r="C11" i="162"/>
  <c r="C9" i="162"/>
  <c r="C8" i="162"/>
  <c r="C6" i="162"/>
  <c r="C5" i="162"/>
  <c r="C4" i="162"/>
  <c r="D4" i="176" l="1"/>
  <c r="L113" i="131"/>
  <c r="L147" i="131" s="1"/>
  <c r="AL143" i="131"/>
  <c r="AM22" i="131"/>
  <c r="AN20" i="131"/>
  <c r="AL146" i="131"/>
  <c r="AN63" i="131"/>
  <c r="AN143" i="131" s="1"/>
  <c r="AN18" i="131"/>
  <c r="AM34" i="131"/>
  <c r="AM37" i="131" s="1"/>
  <c r="AN49" i="131"/>
  <c r="D22" i="131"/>
  <c r="O13" i="131"/>
  <c r="O43" i="131"/>
  <c r="C43" i="131"/>
  <c r="C46" i="131" s="1"/>
  <c r="AG8" i="125"/>
  <c r="X15" i="132"/>
  <c r="Y15" i="132"/>
  <c r="Y17" i="132"/>
  <c r="X21" i="132"/>
  <c r="Z21" i="132" s="1"/>
  <c r="Y21" i="132"/>
  <c r="X22" i="132"/>
  <c r="AF8" i="125" l="1"/>
  <c r="AH8" i="125" s="1"/>
  <c r="Z8" i="132"/>
  <c r="AM143" i="131"/>
  <c r="L122" i="131"/>
  <c r="O46" i="131"/>
  <c r="AM25" i="131"/>
  <c r="X33" i="132"/>
  <c r="AM41" i="131" l="1"/>
  <c r="L39" i="135"/>
  <c r="K12" i="135" l="1"/>
  <c r="K14" i="135"/>
  <c r="E69" i="181" l="1"/>
  <c r="L16" i="176" l="1"/>
  <c r="L14" i="131"/>
  <c r="M14" i="131" s="1"/>
  <c r="L7" i="131"/>
  <c r="M7" i="131" l="1"/>
  <c r="L146" i="131"/>
  <c r="L13" i="131"/>
  <c r="L10" i="131"/>
  <c r="L43" i="131" s="1"/>
  <c r="L46" i="131" s="1"/>
  <c r="L63" i="176"/>
  <c r="M63" i="176" s="1"/>
  <c r="M16" i="176"/>
  <c r="L29" i="176"/>
  <c r="K88" i="131"/>
  <c r="K77" i="131"/>
  <c r="K58" i="131"/>
  <c r="M58" i="131" s="1"/>
  <c r="M143" i="131" s="1"/>
  <c r="L143" i="131" s="1"/>
  <c r="H48" i="131"/>
  <c r="K89" i="131" l="1"/>
  <c r="P8" i="125"/>
  <c r="M18" i="176"/>
  <c r="L155" i="131"/>
  <c r="M146" i="131"/>
  <c r="M19" i="176"/>
  <c r="H110" i="131"/>
  <c r="J110" i="131" s="1"/>
  <c r="H106" i="131"/>
  <c r="I39" i="135"/>
  <c r="M89" i="131" l="1"/>
  <c r="K95" i="131"/>
  <c r="M30" i="176" s="1"/>
  <c r="E89" i="131"/>
  <c r="E95" i="131" s="1"/>
  <c r="H8" i="125"/>
  <c r="L8" i="125"/>
  <c r="Q8" i="125"/>
  <c r="N8" i="132"/>
  <c r="R8" i="125" s="1"/>
  <c r="M155" i="131"/>
  <c r="L156" i="131"/>
  <c r="K144" i="131"/>
  <c r="H89" i="131"/>
  <c r="I26" i="135"/>
  <c r="D69" i="181"/>
  <c r="M30" i="125" l="1"/>
  <c r="I39" i="176"/>
  <c r="I16" i="176"/>
  <c r="I14" i="131"/>
  <c r="J14" i="131" s="1"/>
  <c r="I7" i="131"/>
  <c r="D15" i="125"/>
  <c r="H95" i="131"/>
  <c r="E144" i="131"/>
  <c r="I13" i="131" l="1"/>
  <c r="J7" i="131"/>
  <c r="I146" i="131"/>
  <c r="I10" i="131"/>
  <c r="I43" i="131" s="1"/>
  <c r="I46" i="131" s="1"/>
  <c r="J16" i="176"/>
  <c r="I63" i="176"/>
  <c r="J63" i="176" s="1"/>
  <c r="H144" i="131"/>
  <c r="I155" i="131" l="1"/>
  <c r="J155" i="131" s="1"/>
  <c r="J146" i="131"/>
  <c r="I106" i="131"/>
  <c r="I13" i="176" l="1"/>
  <c r="D51" i="181"/>
  <c r="F13" i="176"/>
  <c r="C51" i="181"/>
  <c r="C13" i="176"/>
  <c r="B51" i="181"/>
  <c r="I161" i="131"/>
  <c r="I42" i="176"/>
  <c r="I71" i="176" s="1"/>
  <c r="I29" i="176"/>
  <c r="I89" i="131"/>
  <c r="J89" i="131" s="1"/>
  <c r="I111" i="131"/>
  <c r="I113" i="131" s="1"/>
  <c r="J106" i="131"/>
  <c r="I122" i="131" l="1"/>
  <c r="I147" i="131"/>
  <c r="I156" i="131" s="1"/>
  <c r="H77" i="131"/>
  <c r="H75" i="131"/>
  <c r="H65" i="131"/>
  <c r="M8" i="125" l="1"/>
  <c r="B13" i="155"/>
  <c r="D13" i="155"/>
  <c r="F24" i="135" l="1"/>
  <c r="E13" i="135"/>
  <c r="C69" i="181" l="1"/>
  <c r="F16" i="176" l="1"/>
  <c r="F14" i="131"/>
  <c r="G14" i="131" s="1"/>
  <c r="F7" i="131"/>
  <c r="F89" i="131"/>
  <c r="G89" i="131" s="1"/>
  <c r="F106" i="131"/>
  <c r="E106" i="131"/>
  <c r="G19" i="176" l="1"/>
  <c r="G16" i="176"/>
  <c r="F63" i="176"/>
  <c r="G63" i="176" s="1"/>
  <c r="F146" i="131"/>
  <c r="F13" i="131"/>
  <c r="F10" i="131"/>
  <c r="F43" i="131" s="1"/>
  <c r="F46" i="131" s="1"/>
  <c r="G7" i="131"/>
  <c r="G18" i="176"/>
  <c r="AM106" i="131"/>
  <c r="F111" i="131"/>
  <c r="F113" i="131" s="1"/>
  <c r="AL106" i="131"/>
  <c r="G106" i="131"/>
  <c r="G146" i="131" l="1"/>
  <c r="F155" i="131"/>
  <c r="G155" i="131" s="1"/>
  <c r="I8" i="125"/>
  <c r="F147" i="131"/>
  <c r="F156" i="131" s="1"/>
  <c r="F122" i="131"/>
  <c r="E77" i="131"/>
  <c r="E75" i="131"/>
  <c r="E65" i="131"/>
  <c r="E48" i="131"/>
  <c r="E79" i="131" l="1"/>
  <c r="D21" i="132"/>
  <c r="C22" i="132"/>
  <c r="C21" i="132"/>
  <c r="D17" i="132"/>
  <c r="C65" i="176" s="1"/>
  <c r="D15" i="132"/>
  <c r="E12" i="135"/>
  <c r="B13" i="135"/>
  <c r="B7" i="135"/>
  <c r="C45" i="135"/>
  <c r="C103" i="131" s="1"/>
  <c r="B45" i="135"/>
  <c r="B11" i="135" s="1"/>
  <c r="D43" i="135"/>
  <c r="AM103" i="131" l="1"/>
  <c r="D103" i="131"/>
  <c r="C113" i="131"/>
  <c r="D45" i="135"/>
  <c r="C33" i="132"/>
  <c r="C11" i="135"/>
  <c r="D11" i="135" s="1"/>
  <c r="C122" i="131" l="1"/>
  <c r="AO24" i="155"/>
  <c r="AO16" i="155"/>
  <c r="C87" i="131"/>
  <c r="AI13" i="135"/>
  <c r="Q13" i="135"/>
  <c r="Q8" i="135"/>
  <c r="F5" i="135"/>
  <c r="E5" i="135"/>
  <c r="D87" i="131" l="1"/>
  <c r="AM87" i="131"/>
  <c r="D24" i="132" l="1"/>
  <c r="B45" i="131"/>
  <c r="D45" i="131" s="1"/>
  <c r="B111" i="131"/>
  <c r="W88" i="131"/>
  <c r="B88" i="131"/>
  <c r="B75" i="131"/>
  <c r="AL75" i="131" s="1"/>
  <c r="B77" i="131"/>
  <c r="AL77" i="131" s="1"/>
  <c r="B69" i="131"/>
  <c r="B70" i="131" s="1"/>
  <c r="B58" i="131"/>
  <c r="B48" i="131"/>
  <c r="AL48" i="131" s="1"/>
  <c r="W37" i="131"/>
  <c r="D8" i="125" l="1"/>
  <c r="B89" i="131"/>
  <c r="B91" i="131" s="1"/>
  <c r="C89" i="131"/>
  <c r="AM89" i="131" s="1"/>
  <c r="D58" i="131"/>
  <c r="D111" i="131"/>
  <c r="B51" i="131"/>
  <c r="B57" i="131" s="1"/>
  <c r="D34" i="131"/>
  <c r="D22" i="132"/>
  <c r="K7" i="171"/>
  <c r="K8" i="171"/>
  <c r="K9" i="171"/>
  <c r="K10" i="171"/>
  <c r="K11" i="171"/>
  <c r="K12" i="171"/>
  <c r="K13" i="171"/>
  <c r="K14" i="171"/>
  <c r="K15" i="171"/>
  <c r="K16" i="171"/>
  <c r="K17" i="171"/>
  <c r="K6" i="171"/>
  <c r="E7" i="171"/>
  <c r="E8" i="171"/>
  <c r="E9" i="171"/>
  <c r="E10" i="171"/>
  <c r="E11" i="171"/>
  <c r="E12" i="171"/>
  <c r="E13" i="171"/>
  <c r="E14" i="171"/>
  <c r="E15" i="171"/>
  <c r="E16" i="171"/>
  <c r="E17" i="171"/>
  <c r="E6" i="171"/>
  <c r="N17" i="171"/>
  <c r="M17" i="171"/>
  <c r="N16" i="171"/>
  <c r="M16" i="171"/>
  <c r="N15" i="171"/>
  <c r="M15" i="171"/>
  <c r="N14" i="171"/>
  <c r="M14" i="171"/>
  <c r="N13" i="171"/>
  <c r="M13" i="171"/>
  <c r="N12" i="171"/>
  <c r="M12" i="171"/>
  <c r="N11" i="171"/>
  <c r="M11" i="171"/>
  <c r="N10" i="171"/>
  <c r="M10" i="171"/>
  <c r="N9" i="171"/>
  <c r="M9" i="171"/>
  <c r="N8" i="171"/>
  <c r="M8" i="171"/>
  <c r="N7" i="171"/>
  <c r="M7" i="171"/>
  <c r="N6" i="171"/>
  <c r="M6" i="171"/>
  <c r="J18" i="171"/>
  <c r="I18" i="171"/>
  <c r="H18" i="171"/>
  <c r="D18" i="171"/>
  <c r="C18" i="171"/>
  <c r="AL19" i="176" l="1"/>
  <c r="AL5" i="176"/>
  <c r="B95" i="131"/>
  <c r="D30" i="176" s="1"/>
  <c r="D89" i="131"/>
  <c r="AL89" i="131"/>
  <c r="AN89" i="131" s="1"/>
  <c r="D143" i="131"/>
  <c r="C143" i="131" s="1"/>
  <c r="B60" i="131"/>
  <c r="K18" i="171"/>
  <c r="D33" i="132"/>
  <c r="E33" i="132" s="1"/>
  <c r="J19" i="171"/>
  <c r="E18" i="171"/>
  <c r="M18" i="171"/>
  <c r="N18" i="171"/>
  <c r="E8" i="125" l="1"/>
  <c r="B144" i="131"/>
  <c r="AL95" i="131"/>
  <c r="B61" i="131"/>
  <c r="AK16" i="155"/>
  <c r="AI16" i="155"/>
  <c r="AH16" i="155"/>
  <c r="AF16" i="155"/>
  <c r="AL144" i="131" l="1"/>
  <c r="AK13" i="155"/>
  <c r="AK43" i="155"/>
  <c r="AK42" i="155"/>
  <c r="AK40" i="155"/>
  <c r="AI42" i="155"/>
  <c r="AI40" i="155"/>
  <c r="AH43" i="155"/>
  <c r="AH42" i="155"/>
  <c r="AH40" i="155"/>
  <c r="AF42" i="155"/>
  <c r="AF40" i="155"/>
  <c r="AC40" i="155"/>
  <c r="AC42" i="155"/>
  <c r="AG14" i="135"/>
  <c r="AJ22" i="132"/>
  <c r="AJ21" i="132"/>
  <c r="AJ13" i="135"/>
  <c r="AJ24" i="135"/>
  <c r="AJ39" i="135"/>
  <c r="AJ14" i="135"/>
  <c r="AK84" i="155" l="1"/>
  <c r="AK68" i="155"/>
  <c r="AC84" i="155"/>
  <c r="AC68" i="155"/>
  <c r="AF84" i="155"/>
  <c r="AF68" i="155"/>
  <c r="AG68" i="155" s="1"/>
  <c r="AI68" i="155"/>
  <c r="AJ68" i="155" s="1"/>
  <c r="AI84" i="155"/>
  <c r="AH84" i="155"/>
  <c r="AH68" i="155"/>
  <c r="AF45" i="155"/>
  <c r="AH45" i="155"/>
  <c r="AH49" i="155" s="1"/>
  <c r="AH110" i="155" s="1"/>
  <c r="AG42" i="155"/>
  <c r="AJ42" i="155"/>
  <c r="AK45" i="155"/>
  <c r="AK49" i="155" s="1"/>
  <c r="AK110" i="155" s="1"/>
  <c r="AJ40" i="155"/>
  <c r="AI45" i="155"/>
  <c r="AL68" i="131"/>
  <c r="AI79" i="131"/>
  <c r="AI69" i="131"/>
  <c r="AF69" i="131"/>
  <c r="AI65" i="131"/>
  <c r="AI58" i="131"/>
  <c r="AF58" i="131"/>
  <c r="AI51" i="131"/>
  <c r="AJ13" i="176" l="1"/>
  <c r="M51" i="181"/>
  <c r="AJ84" i="155"/>
  <c r="AG84" i="155"/>
  <c r="AI57" i="131"/>
  <c r="AG45" i="155"/>
  <c r="AJ45" i="155"/>
  <c r="AM47" i="176"/>
  <c r="AM46" i="176"/>
  <c r="AJ16" i="176" l="1"/>
  <c r="AJ63" i="176" s="1"/>
  <c r="AK63" i="176" s="1"/>
  <c r="AK8" i="155"/>
  <c r="AH13" i="155"/>
  <c r="AS12" i="125"/>
  <c r="AR12" i="125"/>
  <c r="AG21" i="132" l="1"/>
  <c r="AG22" i="132"/>
  <c r="AG24" i="135"/>
  <c r="AF39" i="135" l="1"/>
  <c r="AG13" i="135"/>
  <c r="AH22" i="132"/>
  <c r="AF13" i="176"/>
  <c r="AC69" i="131"/>
  <c r="AC58" i="131"/>
  <c r="AG16" i="176" l="1"/>
  <c r="AG63" i="176" s="1"/>
  <c r="AH63" i="176" s="1"/>
  <c r="AH8" i="155"/>
  <c r="L51" i="181"/>
  <c r="AG13" i="176"/>
  <c r="AF18" i="135"/>
  <c r="AE43" i="155"/>
  <c r="AE16" i="155"/>
  <c r="AC16" i="155"/>
  <c r="AB16" i="155"/>
  <c r="Z16" i="155"/>
  <c r="AO12" i="125"/>
  <c r="AN12" i="125"/>
  <c r="AE13" i="155"/>
  <c r="AC13" i="155"/>
  <c r="AD22" i="132"/>
  <c r="AA22" i="132"/>
  <c r="AD33" i="132" l="1"/>
  <c r="AD24" i="135" l="1"/>
  <c r="AD39" i="135"/>
  <c r="Z69" i="131" l="1"/>
  <c r="AC51" i="131"/>
  <c r="AC57" i="131" s="1"/>
  <c r="AC43" i="131"/>
  <c r="AM115" i="131"/>
  <c r="AD12" i="135"/>
  <c r="K51" i="181" l="1"/>
  <c r="AD13" i="176"/>
  <c r="D5" i="132"/>
  <c r="AE42" i="155"/>
  <c r="AK12" i="125"/>
  <c r="AJ12" i="125"/>
  <c r="AE45" i="155" l="1"/>
  <c r="AE49" i="155" s="1"/>
  <c r="AE110" i="155" s="1"/>
  <c r="AE84" i="155"/>
  <c r="AD84" i="155" s="1"/>
  <c r="AE68" i="155"/>
  <c r="AD68" i="155" s="1"/>
  <c r="AD42" i="155"/>
  <c r="AC45" i="155"/>
  <c r="AA39" i="135"/>
  <c r="AD45" i="155" l="1"/>
  <c r="Z8" i="135"/>
  <c r="AA10" i="135"/>
  <c r="Z10" i="135"/>
  <c r="AB10" i="135" l="1"/>
  <c r="Z88" i="131" l="1"/>
  <c r="W69" i="131"/>
  <c r="Z65" i="131"/>
  <c r="Z58" i="131"/>
  <c r="Z51" i="131"/>
  <c r="I12" i="125"/>
  <c r="H12" i="125"/>
  <c r="Z57" i="131" l="1"/>
  <c r="Z16" i="176"/>
  <c r="AA16" i="176" l="1"/>
  <c r="AA63" i="176" s="1"/>
  <c r="AB63" i="176" s="1"/>
  <c r="L69" i="181"/>
  <c r="AB8" i="155"/>
  <c r="AB16" i="176"/>
  <c r="AB43" i="155"/>
  <c r="AB42" i="155"/>
  <c r="AA12" i="135"/>
  <c r="J51" i="181" l="1"/>
  <c r="AA13" i="176"/>
  <c r="AB84" i="155"/>
  <c r="AB68" i="155"/>
  <c r="AB45" i="155"/>
  <c r="AB49" i="155" s="1"/>
  <c r="AB110" i="155" s="1"/>
  <c r="Z42" i="155"/>
  <c r="Y67" i="155"/>
  <c r="D16" i="155"/>
  <c r="G16" i="155"/>
  <c r="N21" i="155"/>
  <c r="AK85" i="155"/>
  <c r="AH85" i="155"/>
  <c r="AE85" i="155"/>
  <c r="AB85" i="155"/>
  <c r="Y16" i="155"/>
  <c r="W16" i="155"/>
  <c r="V16" i="155"/>
  <c r="V8" i="155" s="1"/>
  <c r="T16" i="155"/>
  <c r="S16" i="155"/>
  <c r="Q16" i="155"/>
  <c r="P16" i="155"/>
  <c r="P8" i="155" s="1"/>
  <c r="N16" i="155"/>
  <c r="M16" i="155"/>
  <c r="M8" i="155" s="1"/>
  <c r="J16" i="155"/>
  <c r="J8" i="155" s="1"/>
  <c r="H16" i="155"/>
  <c r="K16" i="155"/>
  <c r="E16" i="155"/>
  <c r="B16" i="155"/>
  <c r="E8" i="155"/>
  <c r="Q12" i="125"/>
  <c r="U12" i="125"/>
  <c r="Y12" i="125"/>
  <c r="X12" i="125"/>
  <c r="AC12" i="125"/>
  <c r="AG12" i="125"/>
  <c r="M12" i="125"/>
  <c r="D12" i="125"/>
  <c r="U21" i="132"/>
  <c r="AB27" i="125" s="1"/>
  <c r="R10" i="135"/>
  <c r="Q10" i="135"/>
  <c r="W83" i="155"/>
  <c r="T67" i="155"/>
  <c r="Q67" i="155"/>
  <c r="Z84" i="155" l="1"/>
  <c r="AA84" i="155" s="1"/>
  <c r="Z68" i="155"/>
  <c r="AA68" i="155" s="1"/>
  <c r="S10" i="135"/>
  <c r="E12" i="125"/>
  <c r="AM6" i="176"/>
  <c r="W67" i="155"/>
  <c r="X67" i="155" s="1"/>
  <c r="AF12" i="125"/>
  <c r="W16" i="176"/>
  <c r="Y8" i="155"/>
  <c r="AA42" i="155"/>
  <c r="K8" i="155"/>
  <c r="P12" i="125"/>
  <c r="Q8" i="155"/>
  <c r="T8" i="155"/>
  <c r="AB12" i="125"/>
  <c r="H8" i="155"/>
  <c r="L12" i="125"/>
  <c r="N8" i="155"/>
  <c r="T12" i="125"/>
  <c r="B8" i="155"/>
  <c r="W8" i="155"/>
  <c r="X16" i="176" l="1"/>
  <c r="X63" i="176" s="1"/>
  <c r="Y63" i="176" s="1"/>
  <c r="I69" i="181"/>
  <c r="Y16" i="176"/>
  <c r="U22" i="132"/>
  <c r="X24" i="135"/>
  <c r="AM116" i="131"/>
  <c r="Y43" i="155"/>
  <c r="Y85" i="155" s="1"/>
  <c r="Y42" i="155"/>
  <c r="W42" i="155"/>
  <c r="X12" i="135"/>
  <c r="W84" i="155" l="1"/>
  <c r="W68" i="155"/>
  <c r="Y84" i="155"/>
  <c r="Y68" i="155"/>
  <c r="X42" i="155"/>
  <c r="W45" i="155"/>
  <c r="T69" i="131"/>
  <c r="W65" i="131"/>
  <c r="W58" i="131"/>
  <c r="T58" i="131"/>
  <c r="W51" i="131"/>
  <c r="W20" i="176" l="1"/>
  <c r="W55" i="155"/>
  <c r="X13" i="176"/>
  <c r="I51" i="181"/>
  <c r="X68" i="155"/>
  <c r="X84" i="155"/>
  <c r="W57" i="131"/>
  <c r="T21" i="155"/>
  <c r="V13" i="155"/>
  <c r="V43" i="155"/>
  <c r="V85" i="155" s="1"/>
  <c r="S43" i="155"/>
  <c r="S85" i="155" s="1"/>
  <c r="W5" i="155"/>
  <c r="V83" i="155" l="1"/>
  <c r="V67" i="155"/>
  <c r="S83" i="155"/>
  <c r="S67" i="155"/>
  <c r="X5" i="155"/>
  <c r="U14" i="176" l="1"/>
  <c r="X12" i="176" s="1"/>
  <c r="H52" i="181"/>
  <c r="I50" i="181" s="1"/>
  <c r="R67" i="155"/>
  <c r="U67" i="155"/>
  <c r="U24" i="135"/>
  <c r="T14" i="135"/>
  <c r="T13" i="135"/>
  <c r="U5" i="135"/>
  <c r="T5" i="135"/>
  <c r="U39" i="135"/>
  <c r="U26" i="135" l="1"/>
  <c r="U63" i="176"/>
  <c r="V63" i="176" s="1"/>
  <c r="T16" i="176"/>
  <c r="V16" i="176" l="1"/>
  <c r="V42" i="155"/>
  <c r="T13" i="176"/>
  <c r="Q69" i="131"/>
  <c r="T65" i="131"/>
  <c r="U13" i="176" l="1"/>
  <c r="H51" i="181"/>
  <c r="V84" i="155"/>
  <c r="U84" i="155" s="1"/>
  <c r="V68" i="155"/>
  <c r="U68" i="155" s="1"/>
  <c r="V45" i="155"/>
  <c r="V49" i="155" s="1"/>
  <c r="V110" i="155" s="1"/>
  <c r="S15" i="162"/>
  <c r="V15" i="162"/>
  <c r="S13" i="155"/>
  <c r="Q13" i="155"/>
  <c r="V86" i="155" l="1"/>
  <c r="U42" i="155"/>
  <c r="R22" i="132" l="1"/>
  <c r="R21" i="132"/>
  <c r="O22" i="132"/>
  <c r="O21" i="132"/>
  <c r="S21" i="132"/>
  <c r="R13" i="176" l="1"/>
  <c r="G51" i="181"/>
  <c r="R8" i="135"/>
  <c r="G69" i="181" l="1"/>
  <c r="S8" i="155"/>
  <c r="R16" i="176"/>
  <c r="R63" i="176" s="1"/>
  <c r="S63" i="176" s="1"/>
  <c r="S22" i="132" l="1"/>
  <c r="Q55" i="155"/>
  <c r="S5" i="132"/>
  <c r="N69" i="131"/>
  <c r="Q65" i="131"/>
  <c r="Q58" i="131"/>
  <c r="S42" i="155" l="1"/>
  <c r="Q42" i="155"/>
  <c r="N40" i="155"/>
  <c r="Q68" i="155" l="1"/>
  <c r="Q84" i="155"/>
  <c r="S84" i="155"/>
  <c r="S68" i="155"/>
  <c r="S18" i="176"/>
  <c r="P83" i="155"/>
  <c r="P67" i="155"/>
  <c r="S86" i="155"/>
  <c r="N83" i="155"/>
  <c r="N67" i="155"/>
  <c r="R42" i="155"/>
  <c r="P21" i="132"/>
  <c r="G47" i="132"/>
  <c r="J47" i="132" s="1"/>
  <c r="M47" i="132" s="1"/>
  <c r="R84" i="155" l="1"/>
  <c r="O83" i="155"/>
  <c r="R68" i="155"/>
  <c r="Y8" i="125"/>
  <c r="T8" i="132"/>
  <c r="Z8" i="125" s="1"/>
  <c r="O67" i="155"/>
  <c r="O33" i="132"/>
  <c r="O24" i="135"/>
  <c r="O14" i="176" l="1"/>
  <c r="R12" i="176" s="1"/>
  <c r="F52" i="181"/>
  <c r="G50" i="181" s="1"/>
  <c r="P43" i="155" l="1"/>
  <c r="P85" i="155" s="1"/>
  <c r="N79" i="131"/>
  <c r="K69" i="131"/>
  <c r="O13" i="176" l="1"/>
  <c r="F51" i="181"/>
  <c r="N51" i="181" s="1"/>
  <c r="V13" i="176"/>
  <c r="P13" i="176"/>
  <c r="AH13" i="176"/>
  <c r="AM7" i="131"/>
  <c r="AP8" i="131" s="1"/>
  <c r="P42" i="155"/>
  <c r="N42" i="155"/>
  <c r="AL43" i="155"/>
  <c r="AM43" i="155" s="1"/>
  <c r="M43" i="155"/>
  <c r="M85" i="155" s="1"/>
  <c r="M40" i="155"/>
  <c r="K40" i="155"/>
  <c r="J43" i="155"/>
  <c r="J85" i="155" s="1"/>
  <c r="J40" i="155"/>
  <c r="H40" i="155"/>
  <c r="E40" i="155"/>
  <c r="G40" i="155"/>
  <c r="D40" i="155"/>
  <c r="C44" i="155"/>
  <c r="C43" i="155"/>
  <c r="B40" i="155"/>
  <c r="D20" i="155"/>
  <c r="O51" i="181" l="1"/>
  <c r="AM13" i="176"/>
  <c r="P84" i="155"/>
  <c r="P86" i="155" s="1"/>
  <c r="P68" i="155"/>
  <c r="N84" i="155"/>
  <c r="N68" i="155"/>
  <c r="O68" i="155" s="1"/>
  <c r="P19" i="176"/>
  <c r="P18" i="176"/>
  <c r="V19" i="176"/>
  <c r="AM43" i="131"/>
  <c r="AM46" i="131" s="1"/>
  <c r="AM10" i="131"/>
  <c r="AM13" i="131" s="1"/>
  <c r="AN7" i="131"/>
  <c r="M83" i="155"/>
  <c r="M67" i="155"/>
  <c r="D83" i="155"/>
  <c r="D67" i="155"/>
  <c r="J83" i="155"/>
  <c r="J67" i="155"/>
  <c r="G83" i="155"/>
  <c r="G67" i="155"/>
  <c r="H83" i="155"/>
  <c r="H67" i="155"/>
  <c r="B83" i="155"/>
  <c r="B67" i="155"/>
  <c r="E83" i="155"/>
  <c r="E67" i="155"/>
  <c r="K83" i="155"/>
  <c r="K67" i="155"/>
  <c r="P45" i="155"/>
  <c r="P49" i="155" s="1"/>
  <c r="P110" i="155" s="1"/>
  <c r="O42" i="155"/>
  <c r="N45" i="155"/>
  <c r="L40" i="155"/>
  <c r="I40" i="155"/>
  <c r="M13" i="155"/>
  <c r="K13" i="155"/>
  <c r="L22" i="132"/>
  <c r="L21" i="132"/>
  <c r="F21" i="132"/>
  <c r="F22" i="132"/>
  <c r="I22" i="132"/>
  <c r="AM21" i="135"/>
  <c r="AM20" i="135"/>
  <c r="AM16" i="135"/>
  <c r="L24" i="135"/>
  <c r="O84" i="155" l="1"/>
  <c r="L14" i="176"/>
  <c r="E52" i="181"/>
  <c r="F50" i="181" s="1"/>
  <c r="F53" i="181" s="1"/>
  <c r="AH19" i="176"/>
  <c r="L83" i="155"/>
  <c r="AK19" i="176"/>
  <c r="AB19" i="176"/>
  <c r="AE19" i="176"/>
  <c r="Y19" i="176"/>
  <c r="U8" i="125"/>
  <c r="Q8" i="132"/>
  <c r="V8" i="125" s="1"/>
  <c r="F83" i="155"/>
  <c r="I83" i="155"/>
  <c r="L33" i="132"/>
  <c r="C83" i="155"/>
  <c r="F67" i="155"/>
  <c r="L67" i="155"/>
  <c r="I67" i="155"/>
  <c r="C67" i="155"/>
  <c r="O45" i="155"/>
  <c r="F33" i="132"/>
  <c r="L26" i="135"/>
  <c r="K5" i="135"/>
  <c r="K79" i="131" l="1"/>
  <c r="H69" i="131"/>
  <c r="H58" i="131"/>
  <c r="J58" i="131" s="1"/>
  <c r="J143" i="131" s="1"/>
  <c r="I143" i="131" s="1"/>
  <c r="K42" i="155" l="1"/>
  <c r="M42" i="155"/>
  <c r="K68" i="155" l="1"/>
  <c r="K84" i="155"/>
  <c r="M84" i="155"/>
  <c r="M68" i="155"/>
  <c r="K86" i="155"/>
  <c r="M45" i="155"/>
  <c r="M86" i="155"/>
  <c r="K45" i="155"/>
  <c r="K49" i="155" s="1"/>
  <c r="K110" i="155" s="1"/>
  <c r="L42" i="155"/>
  <c r="L84" i="155" l="1"/>
  <c r="L68" i="155"/>
  <c r="L86" i="155"/>
  <c r="L45" i="155"/>
  <c r="B6" i="135" l="1"/>
  <c r="H13" i="135"/>
  <c r="H13" i="155"/>
  <c r="J13" i="155"/>
  <c r="L28" i="125"/>
  <c r="I21" i="132"/>
  <c r="I33" i="132" s="1"/>
  <c r="J21" i="132"/>
  <c r="C68" i="131"/>
  <c r="C56" i="131"/>
  <c r="C81" i="131" l="1"/>
  <c r="C123" i="131" s="1"/>
  <c r="D68" i="131"/>
  <c r="AM68" i="131"/>
  <c r="AN68" i="131" s="1"/>
  <c r="D56" i="131"/>
  <c r="C59" i="131" s="1"/>
  <c r="AM56" i="131"/>
  <c r="AM21" i="132"/>
  <c r="L27" i="125"/>
  <c r="E39" i="135"/>
  <c r="AM117" i="131"/>
  <c r="D59" i="131" l="1"/>
  <c r="C75" i="131"/>
  <c r="D75" i="131" s="1"/>
  <c r="E69" i="131"/>
  <c r="AL69" i="131" s="1"/>
  <c r="AL70" i="131" s="1"/>
  <c r="E58" i="131"/>
  <c r="G58" i="131" s="1"/>
  <c r="G143" i="131" s="1"/>
  <c r="F143" i="131" s="1"/>
  <c r="AQ21" i="132"/>
  <c r="H42" i="155" l="1"/>
  <c r="J42" i="155"/>
  <c r="H84" i="155" l="1"/>
  <c r="H68" i="155"/>
  <c r="J84" i="155"/>
  <c r="J68" i="155"/>
  <c r="B86" i="155"/>
  <c r="J45" i="155"/>
  <c r="J86" i="155"/>
  <c r="I42" i="155"/>
  <c r="H45" i="155"/>
  <c r="H49" i="155" s="1"/>
  <c r="H110" i="155" s="1"/>
  <c r="B45" i="155"/>
  <c r="B49" i="155" s="1"/>
  <c r="B110" i="155" s="1"/>
  <c r="I68" i="155" l="1"/>
  <c r="I84" i="155"/>
  <c r="H86" i="155"/>
  <c r="I86" i="155" s="1"/>
  <c r="I45" i="155"/>
  <c r="E5" i="155" l="1"/>
  <c r="B5" i="155"/>
  <c r="E13" i="155"/>
  <c r="G13" i="155"/>
  <c r="H5" i="155"/>
  <c r="F7" i="135"/>
  <c r="F5" i="155" l="1"/>
  <c r="E7" i="135" l="1"/>
  <c r="E94" i="131" l="1"/>
  <c r="E96" i="131" s="1"/>
  <c r="E142" i="131" s="1"/>
  <c r="E145" i="131" s="1"/>
  <c r="E3" i="176"/>
  <c r="AM120" i="131"/>
  <c r="AM121" i="131" s="1"/>
  <c r="E42" i="155" l="1"/>
  <c r="G42" i="155"/>
  <c r="E13" i="176"/>
  <c r="G13" i="176" s="1"/>
  <c r="E51" i="131"/>
  <c r="E57" i="131" s="1"/>
  <c r="G84" i="155" l="1"/>
  <c r="E84" i="155"/>
  <c r="F84" i="155" s="1"/>
  <c r="E68" i="155"/>
  <c r="F42" i="155"/>
  <c r="E45" i="155"/>
  <c r="E49" i="155" s="1"/>
  <c r="E110" i="155" s="1"/>
  <c r="AL42" i="155"/>
  <c r="AL68" i="155" s="1"/>
  <c r="G43" i="155"/>
  <c r="G68" i="155" s="1"/>
  <c r="B12" i="155"/>
  <c r="B20" i="155"/>
  <c r="D4" i="155"/>
  <c r="B4" i="155"/>
  <c r="F68" i="155" l="1"/>
  <c r="E86" i="155"/>
  <c r="G45" i="155"/>
  <c r="F45" i="155" s="1"/>
  <c r="G85" i="155"/>
  <c r="G86" i="155" s="1"/>
  <c r="C24" i="135"/>
  <c r="C39" i="135"/>
  <c r="C26" i="135" l="1"/>
  <c r="F86" i="155"/>
  <c r="B8" i="135"/>
  <c r="AM7" i="176"/>
  <c r="F11" i="135" l="1"/>
  <c r="AI88" i="131"/>
  <c r="AF88" i="131"/>
  <c r="AC88" i="131"/>
  <c r="T88" i="131"/>
  <c r="Q88" i="131"/>
  <c r="N88" i="131"/>
  <c r="H88" i="131"/>
  <c r="D12" i="135" l="1"/>
  <c r="AO13" i="155" l="1"/>
  <c r="AO42" i="155"/>
  <c r="D42" i="155"/>
  <c r="C151" i="131"/>
  <c r="AO43" i="155"/>
  <c r="AO68" i="155" l="1"/>
  <c r="AO65" i="155"/>
  <c r="D84" i="155"/>
  <c r="C84" i="155" s="1"/>
  <c r="AM19" i="176"/>
  <c r="E30" i="125"/>
  <c r="C5" i="132"/>
  <c r="B13" i="176"/>
  <c r="D13" i="176" s="1"/>
  <c r="D43" i="155"/>
  <c r="D45" i="155" s="1"/>
  <c r="AN42" i="155"/>
  <c r="C42" i="155"/>
  <c r="F8" i="162"/>
  <c r="AG39" i="176"/>
  <c r="O8" i="135"/>
  <c r="AC8" i="135"/>
  <c r="AF14" i="135"/>
  <c r="AF13" i="135"/>
  <c r="AD13" i="135"/>
  <c r="AC13" i="135"/>
  <c r="K13" i="135"/>
  <c r="AI39" i="135"/>
  <c r="AK38" i="135"/>
  <c r="AK37" i="135"/>
  <c r="AK36" i="135"/>
  <c r="AK35" i="135"/>
  <c r="AK34" i="135"/>
  <c r="AG39" i="135"/>
  <c r="AH38" i="135"/>
  <c r="AH37" i="135"/>
  <c r="AH36" i="135"/>
  <c r="AH35" i="135"/>
  <c r="AH34" i="135"/>
  <c r="AC39" i="135"/>
  <c r="AE38" i="135"/>
  <c r="AE37" i="135"/>
  <c r="AE36" i="135"/>
  <c r="AE35" i="135"/>
  <c r="AE34" i="135"/>
  <c r="Z39" i="135"/>
  <c r="AB38" i="135"/>
  <c r="AB37" i="135"/>
  <c r="AB36" i="135"/>
  <c r="AB35" i="135"/>
  <c r="AB34" i="135"/>
  <c r="X39" i="135"/>
  <c r="W39" i="135"/>
  <c r="Y38" i="135"/>
  <c r="Y37" i="135"/>
  <c r="Y36" i="135"/>
  <c r="Y35" i="135"/>
  <c r="Y34" i="135"/>
  <c r="T39" i="135"/>
  <c r="R39" i="135"/>
  <c r="Q39" i="135"/>
  <c r="N39" i="135"/>
  <c r="K39" i="135"/>
  <c r="F39" i="135"/>
  <c r="AJ7" i="176"/>
  <c r="AG7" i="176"/>
  <c r="AD7" i="176"/>
  <c r="AC7" i="176"/>
  <c r="AA7" i="176"/>
  <c r="X7" i="176"/>
  <c r="U7" i="176"/>
  <c r="C10" i="153" s="1"/>
  <c r="T7" i="176"/>
  <c r="T3" i="176"/>
  <c r="R7" i="176"/>
  <c r="C9" i="153" s="1"/>
  <c r="Q7" i="176"/>
  <c r="O7" i="176"/>
  <c r="C8" i="153" s="1"/>
  <c r="N7" i="176"/>
  <c r="P7" i="176" s="1"/>
  <c r="L7" i="176"/>
  <c r="C7" i="153" s="1"/>
  <c r="K7" i="176"/>
  <c r="I7" i="176"/>
  <c r="C6" i="153" s="1"/>
  <c r="H7" i="176"/>
  <c r="J7" i="176" s="1"/>
  <c r="F7" i="176"/>
  <c r="C5" i="153" s="1"/>
  <c r="E7" i="176"/>
  <c r="AJ14" i="176"/>
  <c r="D52" i="181"/>
  <c r="E50" i="181" s="1"/>
  <c r="E53" i="181" s="1"/>
  <c r="B12" i="176"/>
  <c r="AC25" i="131"/>
  <c r="AM17" i="162"/>
  <c r="AN17" i="162" s="1"/>
  <c r="AN16" i="162"/>
  <c r="AN15" i="162"/>
  <c r="AN14" i="162"/>
  <c r="AN13" i="162"/>
  <c r="AN12" i="162"/>
  <c r="AN11" i="162"/>
  <c r="AM10" i="162"/>
  <c r="AN10" i="162" s="1"/>
  <c r="AL10" i="162"/>
  <c r="AN9" i="162"/>
  <c r="AN8" i="162"/>
  <c r="AM7" i="162"/>
  <c r="AL7" i="162"/>
  <c r="AN6" i="162"/>
  <c r="AN5" i="162"/>
  <c r="AN4" i="162"/>
  <c r="AI17" i="162"/>
  <c r="AK16" i="162"/>
  <c r="AK15" i="162"/>
  <c r="AK14" i="162"/>
  <c r="AK13" i="162"/>
  <c r="AK12" i="162"/>
  <c r="AI10" i="162"/>
  <c r="AI7" i="162"/>
  <c r="AF17" i="162"/>
  <c r="AH16" i="162"/>
  <c r="AH15" i="162"/>
  <c r="AH14" i="162"/>
  <c r="AH13" i="162"/>
  <c r="AH12" i="162"/>
  <c r="AF10" i="162"/>
  <c r="AF7" i="162"/>
  <c r="AC17" i="162"/>
  <c r="AC10" i="162"/>
  <c r="AC7" i="162"/>
  <c r="Z17" i="162"/>
  <c r="AB16" i="162"/>
  <c r="AB15" i="162"/>
  <c r="AB14" i="162"/>
  <c r="AB13" i="162"/>
  <c r="AB12" i="162"/>
  <c r="Z10" i="162"/>
  <c r="Z7" i="162"/>
  <c r="W17" i="162"/>
  <c r="Y16" i="162"/>
  <c r="Y15" i="162"/>
  <c r="Y14" i="162"/>
  <c r="Y13" i="162"/>
  <c r="Y12" i="162"/>
  <c r="W10" i="162"/>
  <c r="W7" i="162"/>
  <c r="T17" i="162"/>
  <c r="V14" i="162"/>
  <c r="V13" i="162"/>
  <c r="V12" i="162"/>
  <c r="T10" i="162"/>
  <c r="V9" i="162"/>
  <c r="T7" i="162"/>
  <c r="Q17" i="162"/>
  <c r="S14" i="162"/>
  <c r="S13" i="162"/>
  <c r="S12" i="162"/>
  <c r="Q10" i="162"/>
  <c r="Q7" i="162"/>
  <c r="N17" i="162"/>
  <c r="P16" i="162"/>
  <c r="P15" i="162"/>
  <c r="P14" i="162"/>
  <c r="P13" i="162"/>
  <c r="P12" i="162"/>
  <c r="N10" i="162"/>
  <c r="N7" i="162"/>
  <c r="K17" i="162"/>
  <c r="M16" i="162"/>
  <c r="K10" i="162"/>
  <c r="K7" i="162"/>
  <c r="H17" i="162"/>
  <c r="J16" i="162"/>
  <c r="J15" i="162"/>
  <c r="J14" i="162"/>
  <c r="J13" i="162"/>
  <c r="J12" i="162"/>
  <c r="H10" i="162"/>
  <c r="H7" i="162"/>
  <c r="B17" i="162"/>
  <c r="C17" i="162"/>
  <c r="B10" i="162"/>
  <c r="C10" i="162"/>
  <c r="B7" i="162"/>
  <c r="C7" i="162"/>
  <c r="T36" i="154"/>
  <c r="T37" i="154" s="1"/>
  <c r="S53" i="154"/>
  <c r="S52" i="154"/>
  <c r="S51" i="154"/>
  <c r="S50" i="154"/>
  <c r="S49" i="154"/>
  <c r="S48" i="154"/>
  <c r="S47" i="154"/>
  <c r="S46" i="154"/>
  <c r="S45" i="154"/>
  <c r="S44" i="154"/>
  <c r="S43" i="154"/>
  <c r="S42" i="154"/>
  <c r="S41" i="154"/>
  <c r="AP42" i="155" l="1"/>
  <c r="D68" i="155"/>
  <c r="AM14" i="176"/>
  <c r="C12" i="176"/>
  <c r="AM12" i="176" s="1"/>
  <c r="O50" i="181"/>
  <c r="B50" i="181"/>
  <c r="N50" i="181" s="1"/>
  <c r="AG14" i="176"/>
  <c r="AJ12" i="176" s="1"/>
  <c r="L52" i="181"/>
  <c r="R14" i="176"/>
  <c r="R15" i="176" s="1"/>
  <c r="R17" i="176" s="1"/>
  <c r="G52" i="181"/>
  <c r="AA14" i="176"/>
  <c r="AD12" i="176" s="1"/>
  <c r="J52" i="181"/>
  <c r="K50" i="181" s="1"/>
  <c r="X14" i="176"/>
  <c r="AA12" i="176" s="1"/>
  <c r="O52" i="181"/>
  <c r="I52" i="181"/>
  <c r="F14" i="176"/>
  <c r="I12" i="176" s="1"/>
  <c r="C52" i="181"/>
  <c r="D50" i="181" s="1"/>
  <c r="D53" i="181" s="1"/>
  <c r="AD14" i="176"/>
  <c r="AG12" i="176" s="1"/>
  <c r="K52" i="181"/>
  <c r="L50" i="181" s="1"/>
  <c r="C15" i="153"/>
  <c r="AJ8" i="176"/>
  <c r="AI7" i="176"/>
  <c r="C12" i="153"/>
  <c r="AB7" i="176"/>
  <c r="AA8" i="176"/>
  <c r="C11" i="153"/>
  <c r="Y7" i="176"/>
  <c r="X8" i="176"/>
  <c r="C14" i="153"/>
  <c r="AF7" i="176"/>
  <c r="C13" i="153"/>
  <c r="AD8" i="176"/>
  <c r="AE7" i="176"/>
  <c r="AC8" i="176"/>
  <c r="O55" i="181"/>
  <c r="N55" i="181"/>
  <c r="M7" i="176"/>
  <c r="U5" i="176"/>
  <c r="H94" i="131"/>
  <c r="H96" i="131" s="1"/>
  <c r="H142" i="131" s="1"/>
  <c r="H145" i="131" s="1"/>
  <c r="H3" i="176"/>
  <c r="F94" i="131"/>
  <c r="I94" i="131"/>
  <c r="K94" i="131"/>
  <c r="K96" i="131" s="1"/>
  <c r="K142" i="131" s="1"/>
  <c r="K145" i="131" s="1"/>
  <c r="K3" i="176"/>
  <c r="G7" i="176"/>
  <c r="E8" i="176"/>
  <c r="T8" i="176"/>
  <c r="Q3" i="176"/>
  <c r="O94" i="131"/>
  <c r="L94" i="131"/>
  <c r="N94" i="131"/>
  <c r="N96" i="131" s="1"/>
  <c r="N142" i="131" s="1"/>
  <c r="N145" i="131" s="1"/>
  <c r="N3" i="176"/>
  <c r="V7" i="176"/>
  <c r="S7" i="176"/>
  <c r="AL12" i="176"/>
  <c r="M10" i="125"/>
  <c r="I14" i="176"/>
  <c r="AC18" i="135"/>
  <c r="M39" i="135"/>
  <c r="G39" i="135"/>
  <c r="F26" i="135"/>
  <c r="AK39" i="135"/>
  <c r="AH39" i="135"/>
  <c r="AG18" i="135"/>
  <c r="AG26" i="135"/>
  <c r="AE39" i="135"/>
  <c r="AB39" i="135"/>
  <c r="AM42" i="155"/>
  <c r="V39" i="135"/>
  <c r="X26" i="135"/>
  <c r="AN43" i="155"/>
  <c r="AP43" i="155" s="1"/>
  <c r="D85" i="155"/>
  <c r="Y39" i="135"/>
  <c r="S39" i="135"/>
  <c r="N18" i="162"/>
  <c r="N20" i="162" s="1"/>
  <c r="AK12" i="132"/>
  <c r="Y12" i="132"/>
  <c r="X9" i="176" s="1"/>
  <c r="AL20" i="162"/>
  <c r="C61" i="131"/>
  <c r="F56" i="131" s="1"/>
  <c r="Q18" i="162"/>
  <c r="Q20" i="162" s="1"/>
  <c r="X12" i="132"/>
  <c r="T18" i="162"/>
  <c r="T20" i="162" s="1"/>
  <c r="W18" i="162"/>
  <c r="W20" i="162" s="1"/>
  <c r="B18" i="162"/>
  <c r="B20" i="162" s="1"/>
  <c r="Z18" i="162"/>
  <c r="Z20" i="162" s="1"/>
  <c r="AF18" i="162"/>
  <c r="AF20" i="162" s="1"/>
  <c r="AM18" i="162"/>
  <c r="AN18" i="162" s="1"/>
  <c r="K18" i="162"/>
  <c r="K20" i="162" s="1"/>
  <c r="AI18" i="162"/>
  <c r="AI20" i="162" s="1"/>
  <c r="H18" i="162"/>
  <c r="H20" i="162" s="1"/>
  <c r="AC18" i="162"/>
  <c r="AC20" i="162" s="1"/>
  <c r="AN7" i="162"/>
  <c r="C18" i="162"/>
  <c r="C20" i="162" s="1"/>
  <c r="P37" i="154"/>
  <c r="O37" i="154"/>
  <c r="N37" i="154"/>
  <c r="L37" i="154"/>
  <c r="K37" i="154"/>
  <c r="I37" i="154"/>
  <c r="G37" i="154"/>
  <c r="D37" i="154"/>
  <c r="V36" i="154"/>
  <c r="S36" i="154"/>
  <c r="E36" i="154"/>
  <c r="U36" i="154" s="1"/>
  <c r="C36" i="154"/>
  <c r="R36" i="154" s="1"/>
  <c r="B36" i="154"/>
  <c r="Q36" i="154" s="1"/>
  <c r="V35" i="154"/>
  <c r="S35" i="154"/>
  <c r="E35" i="154"/>
  <c r="U35" i="154" s="1"/>
  <c r="C35" i="154"/>
  <c r="R35" i="154" s="1"/>
  <c r="B35" i="154"/>
  <c r="Q35" i="154" s="1"/>
  <c r="V34" i="154"/>
  <c r="S34" i="154"/>
  <c r="E34" i="154"/>
  <c r="U34" i="154" s="1"/>
  <c r="C34" i="154"/>
  <c r="R34" i="154" s="1"/>
  <c r="B34" i="154"/>
  <c r="Q34" i="154" s="1"/>
  <c r="V33" i="154"/>
  <c r="S33" i="154"/>
  <c r="E33" i="154"/>
  <c r="U33" i="154" s="1"/>
  <c r="C33" i="154"/>
  <c r="R33" i="154" s="1"/>
  <c r="B33" i="154"/>
  <c r="Q33" i="154" s="1"/>
  <c r="V32" i="154"/>
  <c r="S32" i="154"/>
  <c r="E32" i="154"/>
  <c r="U32" i="154" s="1"/>
  <c r="C32" i="154"/>
  <c r="R32" i="154" s="1"/>
  <c r="B32" i="154"/>
  <c r="Q32" i="154" s="1"/>
  <c r="V31" i="154"/>
  <c r="S31" i="154"/>
  <c r="E31" i="154"/>
  <c r="U31" i="154" s="1"/>
  <c r="C31" i="154"/>
  <c r="R31" i="154" s="1"/>
  <c r="B31" i="154"/>
  <c r="Q31" i="154" s="1"/>
  <c r="V30" i="154"/>
  <c r="S30" i="154"/>
  <c r="H30" i="154"/>
  <c r="E30" i="154"/>
  <c r="U30" i="154" s="1"/>
  <c r="C30" i="154"/>
  <c r="B30" i="154"/>
  <c r="Q30" i="154" s="1"/>
  <c r="V29" i="154"/>
  <c r="S29" i="154"/>
  <c r="E29" i="154"/>
  <c r="U29" i="154" s="1"/>
  <c r="C29" i="154"/>
  <c r="R29" i="154" s="1"/>
  <c r="B29" i="154"/>
  <c r="Q29" i="154" s="1"/>
  <c r="V28" i="154"/>
  <c r="S28" i="154"/>
  <c r="J28" i="154"/>
  <c r="J37" i="154" s="1"/>
  <c r="E28" i="154"/>
  <c r="C28" i="154"/>
  <c r="R28" i="154" s="1"/>
  <c r="B28" i="154"/>
  <c r="Q28" i="154" s="1"/>
  <c r="S27" i="154"/>
  <c r="H27" i="154"/>
  <c r="F27" i="154"/>
  <c r="V27" i="154" s="1"/>
  <c r="E27" i="154"/>
  <c r="U27" i="154" s="1"/>
  <c r="C27" i="154"/>
  <c r="B27" i="154"/>
  <c r="Q27" i="154" s="1"/>
  <c r="S26" i="154"/>
  <c r="M26" i="154"/>
  <c r="H26" i="154"/>
  <c r="F26" i="154"/>
  <c r="V26" i="154" s="1"/>
  <c r="E26" i="154"/>
  <c r="U26" i="154" s="1"/>
  <c r="C26" i="154"/>
  <c r="B26" i="154"/>
  <c r="Q26" i="154" s="1"/>
  <c r="S25" i="154"/>
  <c r="M25" i="154"/>
  <c r="H25" i="154"/>
  <c r="F25" i="154"/>
  <c r="V25" i="154" s="1"/>
  <c r="E25" i="154"/>
  <c r="U25" i="154" s="1"/>
  <c r="C25" i="154"/>
  <c r="B25" i="154"/>
  <c r="Q25" i="154" s="1"/>
  <c r="AW12" i="125"/>
  <c r="AV12" i="125"/>
  <c r="AJ39" i="176"/>
  <c r="AJ42" i="176"/>
  <c r="AJ71" i="176" s="1"/>
  <c r="AJ71" i="155"/>
  <c r="AJ58" i="155"/>
  <c r="AJ57" i="155"/>
  <c r="AJ56" i="155"/>
  <c r="AJ31" i="155"/>
  <c r="AK30" i="155"/>
  <c r="AI30" i="155"/>
  <c r="AJ30" i="155" s="1"/>
  <c r="AK21" i="155"/>
  <c r="AI21" i="155"/>
  <c r="AK25" i="155"/>
  <c r="AN25" i="155" s="1"/>
  <c r="AJ24" i="155"/>
  <c r="AJ23" i="155"/>
  <c r="AJ22" i="155"/>
  <c r="AK65" i="155"/>
  <c r="AI13" i="155"/>
  <c r="AJ16" i="155"/>
  <c r="AK17" i="155"/>
  <c r="AN17" i="155" s="1"/>
  <c r="AK9" i="155"/>
  <c r="AN9" i="155" s="1"/>
  <c r="AI5" i="155"/>
  <c r="AI64" i="155" s="1"/>
  <c r="AJ15" i="155"/>
  <c r="AJ14" i="155"/>
  <c r="AJ43" i="176" l="1"/>
  <c r="S15" i="153"/>
  <c r="AJ29" i="176"/>
  <c r="N52" i="181"/>
  <c r="M50" i="181"/>
  <c r="M53" i="181" s="1"/>
  <c r="X17" i="176"/>
  <c r="X15" i="176"/>
  <c r="W9" i="176"/>
  <c r="Z17" i="132"/>
  <c r="Y9" i="176"/>
  <c r="D12" i="176"/>
  <c r="N11" i="172"/>
  <c r="N12" i="172"/>
  <c r="AN68" i="155"/>
  <c r="AM68" i="155" s="1"/>
  <c r="AE8" i="176"/>
  <c r="H50" i="181"/>
  <c r="H53" i="181" s="1"/>
  <c r="G53" i="181"/>
  <c r="J50" i="181"/>
  <c r="J53" i="181" s="1"/>
  <c r="I53" i="181"/>
  <c r="U12" i="176"/>
  <c r="U17" i="176" s="1"/>
  <c r="L53" i="181"/>
  <c r="K53" i="181"/>
  <c r="AK7" i="176"/>
  <c r="AI8" i="176"/>
  <c r="AK8" i="176" s="1"/>
  <c r="K11" i="172"/>
  <c r="AB8" i="176"/>
  <c r="K12" i="172"/>
  <c r="Y8" i="176"/>
  <c r="J11" i="172"/>
  <c r="K4" i="172"/>
  <c r="J12" i="172"/>
  <c r="L11" i="172"/>
  <c r="L12" i="172"/>
  <c r="L4" i="172"/>
  <c r="AH7" i="176"/>
  <c r="AF8" i="176"/>
  <c r="U61" i="176"/>
  <c r="V5" i="176"/>
  <c r="K8" i="176"/>
  <c r="F5" i="176"/>
  <c r="P12" i="132"/>
  <c r="O9" i="176" s="1"/>
  <c r="Y15" i="125"/>
  <c r="R5" i="176"/>
  <c r="N8" i="176"/>
  <c r="L5" i="176"/>
  <c r="H8" i="176"/>
  <c r="O5" i="176"/>
  <c r="D16" i="125"/>
  <c r="Q8" i="176"/>
  <c r="AJ15" i="176"/>
  <c r="AJ17" i="176"/>
  <c r="AA15" i="176"/>
  <c r="AA17" i="176"/>
  <c r="I15" i="176"/>
  <c r="L12" i="176"/>
  <c r="AG15" i="176"/>
  <c r="AG17" i="176"/>
  <c r="AD15" i="176"/>
  <c r="AN12" i="176"/>
  <c r="D61" i="131"/>
  <c r="Z12" i="132"/>
  <c r="Z30" i="132"/>
  <c r="G18" i="135"/>
  <c r="J12" i="132"/>
  <c r="I9" i="176" s="1"/>
  <c r="C4" i="132"/>
  <c r="AJ9" i="176"/>
  <c r="AJ96" i="155"/>
  <c r="AJ21" i="155"/>
  <c r="AJ34" i="176"/>
  <c r="AN85" i="155"/>
  <c r="D86" i="155"/>
  <c r="C86" i="155" s="1"/>
  <c r="W22" i="162"/>
  <c r="W21" i="162"/>
  <c r="W36" i="154"/>
  <c r="X36" i="154" s="1"/>
  <c r="S12" i="132"/>
  <c r="W34" i="154"/>
  <c r="X34" i="154" s="1"/>
  <c r="W35" i="154"/>
  <c r="Y35" i="154" s="1"/>
  <c r="U52" i="154" s="1"/>
  <c r="W31" i="154"/>
  <c r="Y31" i="154" s="1"/>
  <c r="U48" i="154" s="1"/>
  <c r="W27" i="154"/>
  <c r="Y27" i="154" s="1"/>
  <c r="U44" i="154" s="1"/>
  <c r="W33" i="154"/>
  <c r="X33" i="154" s="1"/>
  <c r="AM20" i="162"/>
  <c r="AN20" i="162" s="1"/>
  <c r="W29" i="154"/>
  <c r="Y29" i="154" s="1"/>
  <c r="U46" i="154" s="1"/>
  <c r="W32" i="154"/>
  <c r="X32" i="154" s="1"/>
  <c r="AT11" i="135"/>
  <c r="W25" i="154"/>
  <c r="Y25" i="154" s="1"/>
  <c r="U42" i="154" s="1"/>
  <c r="AJ31" i="176"/>
  <c r="AJ70" i="176" s="1"/>
  <c r="W26" i="154"/>
  <c r="Y26" i="154" s="1"/>
  <c r="U43" i="154" s="1"/>
  <c r="W30" i="154"/>
  <c r="Y30" i="154" s="1"/>
  <c r="U47" i="154" s="1"/>
  <c r="AJ59" i="155"/>
  <c r="AK33" i="155"/>
  <c r="AK107" i="155" s="1"/>
  <c r="AI66" i="155"/>
  <c r="AK66" i="155"/>
  <c r="AK29" i="155"/>
  <c r="AK106" i="155" s="1"/>
  <c r="R25" i="154"/>
  <c r="R26" i="154"/>
  <c r="R30" i="154"/>
  <c r="B37" i="154"/>
  <c r="S37" i="154"/>
  <c r="T39" i="154" s="1"/>
  <c r="C37" i="154"/>
  <c r="F37" i="154"/>
  <c r="H37" i="154"/>
  <c r="R27" i="154"/>
  <c r="M37" i="154"/>
  <c r="U28" i="154"/>
  <c r="Q37" i="154"/>
  <c r="V37" i="154"/>
  <c r="E37" i="154"/>
  <c r="AK64" i="155"/>
  <c r="AI65" i="155"/>
  <c r="AJ65" i="155" s="1"/>
  <c r="AI29" i="155"/>
  <c r="AI106" i="155" s="1"/>
  <c r="AJ13" i="155"/>
  <c r="AJ5" i="155"/>
  <c r="AI8" i="135"/>
  <c r="AJ106" i="155" l="1"/>
  <c r="AL22" i="176"/>
  <c r="AL103" i="155"/>
  <c r="U3" i="176"/>
  <c r="B10" i="153" s="1"/>
  <c r="U15" i="176"/>
  <c r="AG3" i="176"/>
  <c r="AG5" i="176"/>
  <c r="S5" i="176"/>
  <c r="R61" i="176"/>
  <c r="M5" i="176"/>
  <c r="L61" i="176"/>
  <c r="L3" i="176"/>
  <c r="B7" i="153" s="1"/>
  <c r="G5" i="176"/>
  <c r="F61" i="176"/>
  <c r="F3" i="176"/>
  <c r="B5" i="153" s="1"/>
  <c r="R3" i="176"/>
  <c r="B9" i="153" s="1"/>
  <c r="P5" i="176"/>
  <c r="O61" i="176"/>
  <c r="O3" i="176"/>
  <c r="B8" i="153" s="1"/>
  <c r="I5" i="176"/>
  <c r="R9" i="176"/>
  <c r="I17" i="176"/>
  <c r="L15" i="176"/>
  <c r="L17" i="176" s="1"/>
  <c r="X35" i="154"/>
  <c r="Y34" i="154"/>
  <c r="U51" i="154" s="1"/>
  <c r="AJ66" i="155"/>
  <c r="AJ29" i="155"/>
  <c r="X27" i="154"/>
  <c r="X31" i="154"/>
  <c r="X25" i="154"/>
  <c r="X30" i="154"/>
  <c r="Y36" i="154"/>
  <c r="U53" i="154" s="1"/>
  <c r="Y33" i="154"/>
  <c r="U50" i="154" s="1"/>
  <c r="X29" i="154"/>
  <c r="Y32" i="154"/>
  <c r="U49" i="154" s="1"/>
  <c r="X26" i="154"/>
  <c r="U37" i="154"/>
  <c r="W37" i="154" s="1"/>
  <c r="W28" i="154"/>
  <c r="AK73" i="155"/>
  <c r="R37" i="154"/>
  <c r="V39" i="154"/>
  <c r="AJ64" i="155"/>
  <c r="AL87" i="131"/>
  <c r="AN87" i="131" s="1"/>
  <c r="AI121" i="131"/>
  <c r="AI111" i="131"/>
  <c r="AJ40" i="176"/>
  <c r="V3" i="176" l="1"/>
  <c r="U8" i="176"/>
  <c r="J4" i="172" s="1"/>
  <c r="AH5" i="176"/>
  <c r="AG61" i="176"/>
  <c r="AJ28" i="176"/>
  <c r="B14" i="153"/>
  <c r="AH3" i="176"/>
  <c r="AG8" i="176"/>
  <c r="N4" i="172" s="1"/>
  <c r="L8" i="176"/>
  <c r="M3" i="176"/>
  <c r="O8" i="176"/>
  <c r="P3" i="176"/>
  <c r="J5" i="176"/>
  <c r="I3" i="176"/>
  <c r="B6" i="153" s="1"/>
  <c r="R8" i="176"/>
  <c r="R10" i="176" s="1"/>
  <c r="S3" i="176"/>
  <c r="V8" i="176"/>
  <c r="E15" i="125"/>
  <c r="F8" i="176"/>
  <c r="G3" i="176"/>
  <c r="AI147" i="131"/>
  <c r="AK147" i="131" s="1"/>
  <c r="U39" i="154"/>
  <c r="X39" i="154" s="1"/>
  <c r="Y28" i="154"/>
  <c r="U45" i="154" s="1"/>
  <c r="X28" i="154"/>
  <c r="U38" i="154"/>
  <c r="T38" i="154"/>
  <c r="X37" i="154"/>
  <c r="Y37" i="154"/>
  <c r="V38" i="154"/>
  <c r="AF16" i="176"/>
  <c r="AH16" i="176" s="1"/>
  <c r="I11" i="172" l="1"/>
  <c r="I12" i="172"/>
  <c r="AH8" i="176"/>
  <c r="M11" i="172"/>
  <c r="M12" i="172"/>
  <c r="M4" i="172"/>
  <c r="AJ32" i="176"/>
  <c r="Q15" i="153"/>
  <c r="I4" i="172"/>
  <c r="I8" i="176"/>
  <c r="F4" i="172" s="1"/>
  <c r="J3" i="176"/>
  <c r="AI32" i="155"/>
  <c r="AI112" i="155" s="1"/>
  <c r="AI16" i="176"/>
  <c r="AK16" i="176" s="1"/>
  <c r="G11" i="172"/>
  <c r="G4" i="172"/>
  <c r="P8" i="176"/>
  <c r="D12" i="172"/>
  <c r="D11" i="172"/>
  <c r="G8" i="176"/>
  <c r="E16" i="125"/>
  <c r="H4" i="172"/>
  <c r="H12" i="172"/>
  <c r="G12" i="172"/>
  <c r="H11" i="172"/>
  <c r="S8" i="176"/>
  <c r="F12" i="172"/>
  <c r="F11" i="172"/>
  <c r="M8" i="176"/>
  <c r="X38" i="154"/>
  <c r="AI13" i="176"/>
  <c r="AK13" i="176" s="1"/>
  <c r="AK55" i="155" l="1"/>
  <c r="AJ20" i="176"/>
  <c r="AJ56" i="176" s="1"/>
  <c r="AJ64" i="176" s="1"/>
  <c r="AK64" i="176" s="1"/>
  <c r="AI72" i="155"/>
  <c r="E12" i="172"/>
  <c r="E11" i="172"/>
  <c r="E4" i="172"/>
  <c r="J8" i="176"/>
  <c r="AI83" i="155"/>
  <c r="AI86" i="155" s="1"/>
  <c r="AI67" i="155"/>
  <c r="AK83" i="155" l="1"/>
  <c r="AK67" i="155"/>
  <c r="AJ67" i="155" l="1"/>
  <c r="AK86" i="155"/>
  <c r="AJ86" i="155" s="1"/>
  <c r="AJ83" i="155"/>
  <c r="AG42" i="176"/>
  <c r="AG71" i="176" s="1"/>
  <c r="AG71" i="155"/>
  <c r="AG58" i="155"/>
  <c r="AG57" i="155"/>
  <c r="AG56" i="155"/>
  <c r="AF39" i="155"/>
  <c r="AF49" i="155" s="1"/>
  <c r="AF110" i="155" s="1"/>
  <c r="AG110" i="155" s="1"/>
  <c r="AG31" i="155"/>
  <c r="AH30" i="155"/>
  <c r="AF30" i="155"/>
  <c r="AG30" i="155" s="1"/>
  <c r="AH21" i="155"/>
  <c r="AH66" i="155" s="1"/>
  <c r="AF21" i="155"/>
  <c r="AF66" i="155" s="1"/>
  <c r="AG66" i="155" s="1"/>
  <c r="AG24" i="155"/>
  <c r="AG23" i="155"/>
  <c r="AG22" i="155"/>
  <c r="AF65" i="155"/>
  <c r="AG16" i="155"/>
  <c r="AG15" i="155"/>
  <c r="AG14" i="155"/>
  <c r="AH9" i="155"/>
  <c r="AF5" i="155"/>
  <c r="AF64" i="155" s="1"/>
  <c r="H37" i="162"/>
  <c r="H30" i="162"/>
  <c r="H24" i="162"/>
  <c r="H27" i="162" s="1"/>
  <c r="G16" i="162"/>
  <c r="D16" i="162"/>
  <c r="G15" i="162"/>
  <c r="D15" i="162"/>
  <c r="G14" i="162"/>
  <c r="D14" i="162"/>
  <c r="I33" i="162"/>
  <c r="G13" i="162"/>
  <c r="D13" i="162"/>
  <c r="G12" i="162"/>
  <c r="D12" i="162"/>
  <c r="I31" i="162"/>
  <c r="E17" i="162"/>
  <c r="D17" i="162"/>
  <c r="I29" i="162"/>
  <c r="D9" i="162"/>
  <c r="I28" i="162"/>
  <c r="E10" i="162"/>
  <c r="D8" i="162"/>
  <c r="I26" i="162"/>
  <c r="D6" i="162"/>
  <c r="I25" i="162"/>
  <c r="D5" i="162"/>
  <c r="E7" i="162"/>
  <c r="D4" i="162"/>
  <c r="AG49" i="155" l="1"/>
  <c r="AG43" i="176"/>
  <c r="AK4" i="155"/>
  <c r="AG34" i="176"/>
  <c r="H38" i="162"/>
  <c r="H40" i="162" s="1"/>
  <c r="AG5" i="155"/>
  <c r="AF32" i="155"/>
  <c r="AF112" i="155" s="1"/>
  <c r="AG21" i="155"/>
  <c r="AG13" i="155"/>
  <c r="AF29" i="155"/>
  <c r="AF106" i="155" s="1"/>
  <c r="AH64" i="155"/>
  <c r="AG64" i="155" s="1"/>
  <c r="E18" i="162"/>
  <c r="E20" i="162" s="1"/>
  <c r="I30" i="162"/>
  <c r="I24" i="162"/>
  <c r="I27" i="162" s="1"/>
  <c r="AH65" i="155"/>
  <c r="AG65" i="155" s="1"/>
  <c r="AH29" i="155"/>
  <c r="AH106" i="155" s="1"/>
  <c r="AG106" i="155" s="1"/>
  <c r="D7" i="162"/>
  <c r="G8" i="162"/>
  <c r="D11" i="162"/>
  <c r="I32" i="162"/>
  <c r="I37" i="162" s="1"/>
  <c r="D10" i="162"/>
  <c r="AH25" i="155"/>
  <c r="AH17" i="155"/>
  <c r="AC16" i="176"/>
  <c r="AF67" i="155"/>
  <c r="AF72" i="155" l="1"/>
  <c r="U14" i="153"/>
  <c r="AK12" i="155"/>
  <c r="AK18" i="155" s="1"/>
  <c r="AK20" i="155"/>
  <c r="AK26" i="155" s="1"/>
  <c r="AF83" i="155"/>
  <c r="AG29" i="155"/>
  <c r="AH32" i="155"/>
  <c r="AH112" i="155" s="1"/>
  <c r="AG8" i="155"/>
  <c r="AI95" i="155"/>
  <c r="AH33" i="155"/>
  <c r="AH107" i="155" s="1"/>
  <c r="Q21" i="162"/>
  <c r="I38" i="162"/>
  <c r="I40" i="162" s="1"/>
  <c r="AG112" i="155" l="1"/>
  <c r="AK28" i="155"/>
  <c r="AK105" i="155" s="1"/>
  <c r="AF86" i="155"/>
  <c r="AI97" i="155"/>
  <c r="AH72" i="155"/>
  <c r="AG32" i="155"/>
  <c r="D18" i="162"/>
  <c r="H22" i="162"/>
  <c r="H21" i="162"/>
  <c r="AK108" i="155" l="1"/>
  <c r="AG72" i="155"/>
  <c r="AI101" i="155"/>
  <c r="D20" i="162"/>
  <c r="E22" i="162"/>
  <c r="E21" i="162"/>
  <c r="Q22" i="162"/>
  <c r="N22" i="162"/>
  <c r="K21" i="162"/>
  <c r="K22" i="162"/>
  <c r="N21" i="162"/>
  <c r="T21" i="162"/>
  <c r="T22" i="162"/>
  <c r="AF65" i="131"/>
  <c r="AG40" i="176" l="1"/>
  <c r="AH83" i="155"/>
  <c r="AH67" i="155"/>
  <c r="AG67" i="155" s="1"/>
  <c r="AG40" i="155"/>
  <c r="AD39" i="176"/>
  <c r="AD42" i="176"/>
  <c r="AD71" i="176" s="1"/>
  <c r="AD71" i="155"/>
  <c r="N13" i="135"/>
  <c r="E14" i="135"/>
  <c r="W14" i="135"/>
  <c r="Q5" i="135"/>
  <c r="AD58" i="155"/>
  <c r="AD57" i="155"/>
  <c r="AD56" i="155"/>
  <c r="AC39" i="155"/>
  <c r="AC49" i="155" s="1"/>
  <c r="AC110" i="155" s="1"/>
  <c r="AD110" i="155" s="1"/>
  <c r="AD31" i="155"/>
  <c r="AE30" i="155"/>
  <c r="AC30" i="155"/>
  <c r="AD30" i="155" s="1"/>
  <c r="AE21" i="155"/>
  <c r="AC21" i="155"/>
  <c r="AD24" i="155"/>
  <c r="AD23" i="155"/>
  <c r="AD22" i="155"/>
  <c r="AE65" i="155"/>
  <c r="AC65" i="155"/>
  <c r="AD16" i="155"/>
  <c r="AD15" i="155"/>
  <c r="AD14" i="155"/>
  <c r="AC5" i="155"/>
  <c r="AD14" i="135"/>
  <c r="AE25" i="155"/>
  <c r="AE17" i="155"/>
  <c r="AE9" i="155"/>
  <c r="AD49" i="155" l="1"/>
  <c r="AG31" i="176"/>
  <c r="AG70" i="176" s="1"/>
  <c r="AD43" i="176"/>
  <c r="S14" i="153"/>
  <c r="AG29" i="176"/>
  <c r="AH4" i="155"/>
  <c r="AH10" i="155" s="1"/>
  <c r="AH12" i="155"/>
  <c r="AH18" i="155" s="1"/>
  <c r="AH86" i="155"/>
  <c r="AG86" i="155" s="1"/>
  <c r="AG83" i="155"/>
  <c r="AD34" i="176"/>
  <c r="AD21" i="155"/>
  <c r="AC29" i="155"/>
  <c r="AC106" i="155" s="1"/>
  <c r="AE29" i="155"/>
  <c r="AE106" i="155" s="1"/>
  <c r="AD106" i="155" s="1"/>
  <c r="AC64" i="155"/>
  <c r="AC66" i="155"/>
  <c r="AH20" i="155"/>
  <c r="AH26" i="155" s="1"/>
  <c r="AD65" i="155"/>
  <c r="AE33" i="155"/>
  <c r="AE107" i="155" s="1"/>
  <c r="AE64" i="155"/>
  <c r="AD5" i="155"/>
  <c r="AC32" i="155"/>
  <c r="AC112" i="155" s="1"/>
  <c r="AD13" i="155"/>
  <c r="AE66" i="155"/>
  <c r="AC65" i="131"/>
  <c r="M18" i="172" l="1"/>
  <c r="M17" i="172"/>
  <c r="AH28" i="155"/>
  <c r="AD66" i="155"/>
  <c r="AD29" i="155"/>
  <c r="AD64" i="155"/>
  <c r="AC72" i="155"/>
  <c r="AH34" i="155" l="1"/>
  <c r="AH51" i="155" s="1"/>
  <c r="AH105" i="155"/>
  <c r="Q14" i="153"/>
  <c r="AG28" i="176"/>
  <c r="AH108" i="155" l="1"/>
  <c r="AD31" i="176"/>
  <c r="AD70" i="176" s="1"/>
  <c r="AG32" i="176"/>
  <c r="AE83" i="155"/>
  <c r="AE86" i="155" s="1"/>
  <c r="AE67" i="155"/>
  <c r="S13" i="153" l="1"/>
  <c r="AD29" i="176"/>
  <c r="AH109" i="155"/>
  <c r="AA71" i="155"/>
  <c r="AA58" i="155"/>
  <c r="AA57" i="155"/>
  <c r="AA56" i="155"/>
  <c r="AA31" i="155"/>
  <c r="AB30" i="155"/>
  <c r="Z30" i="155"/>
  <c r="AA30" i="155" s="1"/>
  <c r="AB25" i="155"/>
  <c r="AB21" i="155"/>
  <c r="AB66" i="155" s="1"/>
  <c r="Z21" i="155"/>
  <c r="Z66" i="155" s="1"/>
  <c r="AB17" i="155"/>
  <c r="AA16" i="155"/>
  <c r="AB65" i="155"/>
  <c r="Z65" i="155"/>
  <c r="AB9" i="155"/>
  <c r="AB64" i="155"/>
  <c r="Z5" i="155"/>
  <c r="AA24" i="155"/>
  <c r="AA23" i="155"/>
  <c r="AA22" i="155"/>
  <c r="AA15" i="155"/>
  <c r="AA14" i="155"/>
  <c r="AA42" i="176"/>
  <c r="AA71" i="176" s="1"/>
  <c r="AA39" i="176"/>
  <c r="AH111" i="155" l="1"/>
  <c r="J25" i="132"/>
  <c r="AA66" i="155"/>
  <c r="AE4" i="155"/>
  <c r="AE20" i="155"/>
  <c r="AE26" i="155" s="1"/>
  <c r="AE12" i="155"/>
  <c r="AE18" i="155" s="1"/>
  <c r="AA34" i="176"/>
  <c r="AA5" i="155"/>
  <c r="Z32" i="155"/>
  <c r="Z112" i="155" s="1"/>
  <c r="AA31" i="176"/>
  <c r="AB33" i="155"/>
  <c r="AB107" i="155" s="1"/>
  <c r="AA13" i="155"/>
  <c r="AA65" i="155"/>
  <c r="Z64" i="155"/>
  <c r="AB29" i="155"/>
  <c r="AB106" i="155" s="1"/>
  <c r="Z29" i="155"/>
  <c r="Z106" i="155" s="1"/>
  <c r="AA21" i="155"/>
  <c r="AA106" i="155" l="1"/>
  <c r="Z72" i="155"/>
  <c r="AA43" i="176"/>
  <c r="AA70" i="176" s="1"/>
  <c r="S12" i="153"/>
  <c r="AA29" i="176"/>
  <c r="AE28" i="155"/>
  <c r="AE105" i="155" s="1"/>
  <c r="AA8" i="155"/>
  <c r="AA29" i="155"/>
  <c r="AA28" i="176"/>
  <c r="AA64" i="155"/>
  <c r="Z45" i="155"/>
  <c r="AE108" i="155" l="1"/>
  <c r="AA32" i="176"/>
  <c r="AA45" i="155"/>
  <c r="AB32" i="155"/>
  <c r="AB112" i="155" s="1"/>
  <c r="Z83" i="155"/>
  <c r="Z86" i="155" s="1"/>
  <c r="Z67" i="155"/>
  <c r="X71" i="155"/>
  <c r="Y58" i="155"/>
  <c r="W58" i="155"/>
  <c r="X58" i="155" s="1"/>
  <c r="X57" i="155"/>
  <c r="X56" i="155"/>
  <c r="Y21" i="155"/>
  <c r="Y66" i="155" s="1"/>
  <c r="W21" i="155"/>
  <c r="W66" i="155" s="1"/>
  <c r="W65" i="155"/>
  <c r="X31" i="155"/>
  <c r="Y30" i="155"/>
  <c r="W30" i="155"/>
  <c r="X30" i="155" s="1"/>
  <c r="Y25" i="155"/>
  <c r="X24" i="155"/>
  <c r="X23" i="155"/>
  <c r="X22" i="155"/>
  <c r="Y17" i="155"/>
  <c r="X15" i="155"/>
  <c r="X14" i="155"/>
  <c r="Y9" i="155"/>
  <c r="Y64" i="155"/>
  <c r="W64" i="155"/>
  <c r="X43" i="176"/>
  <c r="X42" i="176"/>
  <c r="X71" i="176" s="1"/>
  <c r="X14" i="135"/>
  <c r="X13" i="135"/>
  <c r="AA112" i="155" l="1"/>
  <c r="S11" i="153"/>
  <c r="X29" i="176"/>
  <c r="X39" i="176"/>
  <c r="X34" i="176"/>
  <c r="AB72" i="155"/>
  <c r="AA32" i="155"/>
  <c r="AB83" i="155"/>
  <c r="AB67" i="155"/>
  <c r="Y65" i="155"/>
  <c r="X65" i="155" s="1"/>
  <c r="Y29" i="155"/>
  <c r="Y106" i="155" s="1"/>
  <c r="X106" i="155" s="1"/>
  <c r="AB20" i="155"/>
  <c r="AB26" i="155" s="1"/>
  <c r="AB12" i="155"/>
  <c r="AB18" i="155" s="1"/>
  <c r="AB4" i="155"/>
  <c r="AB10" i="155" s="1"/>
  <c r="W32" i="155"/>
  <c r="W112" i="155" s="1"/>
  <c r="X17" i="135"/>
  <c r="X8" i="155"/>
  <c r="I12" i="153"/>
  <c r="AA40" i="155"/>
  <c r="X66" i="155"/>
  <c r="X31" i="176"/>
  <c r="X70" i="176" s="1"/>
  <c r="Y32" i="155"/>
  <c r="Y112" i="155" s="1"/>
  <c r="X64" i="155"/>
  <c r="X21" i="155"/>
  <c r="X13" i="155"/>
  <c r="W29" i="155"/>
  <c r="W106" i="155" s="1"/>
  <c r="Y33" i="155"/>
  <c r="Y107" i="155" s="1"/>
  <c r="X16" i="155"/>
  <c r="W5" i="135"/>
  <c r="X112" i="155" l="1"/>
  <c r="Y72" i="155"/>
  <c r="W72" i="155"/>
  <c r="AB28" i="155"/>
  <c r="AB105" i="155" s="1"/>
  <c r="AA67" i="155"/>
  <c r="N12" i="153"/>
  <c r="AA72" i="155"/>
  <c r="AB86" i="155"/>
  <c r="AA83" i="155"/>
  <c r="X32" i="155"/>
  <c r="X29" i="155"/>
  <c r="AB34" i="155" l="1"/>
  <c r="AB108" i="155"/>
  <c r="X72" i="155"/>
  <c r="AB51" i="155"/>
  <c r="W79" i="131"/>
  <c r="AB109" i="155" l="1"/>
  <c r="X40" i="176"/>
  <c r="AO86" i="155"/>
  <c r="AB111" i="155" l="1"/>
  <c r="Y83" i="155"/>
  <c r="Y45" i="155"/>
  <c r="Y49" i="155" s="1"/>
  <c r="Y110" i="155" s="1"/>
  <c r="X40" i="155"/>
  <c r="Y24" i="132"/>
  <c r="X45" i="155" l="1"/>
  <c r="Y86" i="155"/>
  <c r="AN83" i="155"/>
  <c r="X83" i="155"/>
  <c r="Y22" i="132" l="1"/>
  <c r="Y33" i="132" l="1"/>
  <c r="Z33" i="132" s="1"/>
  <c r="Z22" i="132"/>
  <c r="U15" i="153"/>
  <c r="I43" i="176"/>
  <c r="U43" i="176"/>
  <c r="R43" i="176"/>
  <c r="U42" i="176"/>
  <c r="U71" i="176" s="1"/>
  <c r="P13" i="155"/>
  <c r="D79" i="155"/>
  <c r="B79" i="155"/>
  <c r="U71" i="155"/>
  <c r="V58" i="155"/>
  <c r="T58" i="155"/>
  <c r="U58" i="155" s="1"/>
  <c r="U57" i="155"/>
  <c r="U56" i="155"/>
  <c r="U31" i="155"/>
  <c r="V30" i="155"/>
  <c r="T30" i="155"/>
  <c r="U30" i="155" s="1"/>
  <c r="P25" i="155"/>
  <c r="M25" i="155"/>
  <c r="J25" i="155"/>
  <c r="G25" i="155"/>
  <c r="D25" i="155"/>
  <c r="V21" i="155"/>
  <c r="V66" i="155" s="1"/>
  <c r="S21" i="155"/>
  <c r="Q21" i="155"/>
  <c r="P21" i="155"/>
  <c r="M21" i="155"/>
  <c r="K21" i="155"/>
  <c r="J21" i="155"/>
  <c r="H21" i="155"/>
  <c r="G21" i="155"/>
  <c r="E21" i="155"/>
  <c r="D21" i="155"/>
  <c r="B21" i="155"/>
  <c r="K5" i="155"/>
  <c r="P17" i="155"/>
  <c r="M17" i="155"/>
  <c r="J17" i="155"/>
  <c r="G17" i="155"/>
  <c r="D17" i="155"/>
  <c r="U16" i="155"/>
  <c r="R16" i="155"/>
  <c r="O16" i="155"/>
  <c r="V65" i="155"/>
  <c r="T65" i="155"/>
  <c r="U24" i="155"/>
  <c r="U23" i="155"/>
  <c r="U22" i="155"/>
  <c r="U15" i="155"/>
  <c r="U14" i="155"/>
  <c r="V9" i="155"/>
  <c r="P9" i="155"/>
  <c r="M9" i="155"/>
  <c r="J9" i="155"/>
  <c r="G9" i="155"/>
  <c r="D9" i="155"/>
  <c r="U39" i="176" l="1"/>
  <c r="AP9" i="155"/>
  <c r="L21" i="155"/>
  <c r="U34" i="176"/>
  <c r="O21" i="155"/>
  <c r="L13" i="155"/>
  <c r="I21" i="155"/>
  <c r="G4" i="155"/>
  <c r="U21" i="155"/>
  <c r="I16" i="155"/>
  <c r="U65" i="155"/>
  <c r="U13" i="155"/>
  <c r="L16" i="155"/>
  <c r="Y4" i="155"/>
  <c r="Y10" i="155" s="1"/>
  <c r="T32" i="155"/>
  <c r="T112" i="155" s="1"/>
  <c r="L5" i="155"/>
  <c r="R21" i="155"/>
  <c r="F16" i="155"/>
  <c r="O13" i="155"/>
  <c r="U8" i="155"/>
  <c r="V32" i="155"/>
  <c r="V112" i="155" s="1"/>
  <c r="T66" i="155"/>
  <c r="U66" i="155" s="1"/>
  <c r="F13" i="155"/>
  <c r="R13" i="155"/>
  <c r="F21" i="155"/>
  <c r="I13" i="155"/>
  <c r="U112" i="155" l="1"/>
  <c r="T72" i="155"/>
  <c r="V72" i="155"/>
  <c r="U32" i="155"/>
  <c r="T5" i="155"/>
  <c r="Q5" i="155"/>
  <c r="N5" i="155"/>
  <c r="U72" i="155" l="1"/>
  <c r="AL16" i="176"/>
  <c r="Q16" i="176"/>
  <c r="U5" i="155"/>
  <c r="T29" i="155"/>
  <c r="T106" i="155" s="1"/>
  <c r="T64" i="155"/>
  <c r="V29" i="155"/>
  <c r="V106" i="155" s="1"/>
  <c r="U106" i="155" s="1"/>
  <c r="V64" i="155"/>
  <c r="V25" i="155"/>
  <c r="AP25" i="155" s="1"/>
  <c r="V17" i="155"/>
  <c r="AP17" i="155" s="1"/>
  <c r="S16" i="176" l="1"/>
  <c r="Y12" i="155"/>
  <c r="Y18" i="155" s="1"/>
  <c r="R8" i="155"/>
  <c r="Y20" i="155"/>
  <c r="Y26" i="155" s="1"/>
  <c r="V33" i="155"/>
  <c r="V107" i="155" s="1"/>
  <c r="U64" i="155"/>
  <c r="U29" i="155"/>
  <c r="T79" i="131"/>
  <c r="Y28" i="155" l="1"/>
  <c r="Y105" i="155" s="1"/>
  <c r="Y108" i="155" l="1"/>
  <c r="Y34" i="155"/>
  <c r="Y51" i="155" s="1"/>
  <c r="U31" i="176"/>
  <c r="U70" i="176" s="1"/>
  <c r="Y109" i="155" l="1"/>
  <c r="T45" i="155"/>
  <c r="U45" i="155" s="1"/>
  <c r="T83" i="155"/>
  <c r="U83" i="155" s="1"/>
  <c r="U40" i="155"/>
  <c r="S10" i="153"/>
  <c r="E95" i="155"/>
  <c r="AN79" i="155"/>
  <c r="AM71" i="155"/>
  <c r="R71" i="155"/>
  <c r="O71" i="155"/>
  <c r="L71" i="155"/>
  <c r="I71" i="155"/>
  <c r="F71" i="155"/>
  <c r="C71" i="155"/>
  <c r="S58" i="155"/>
  <c r="Q58" i="155"/>
  <c r="R58" i="155" s="1"/>
  <c r="P58" i="155"/>
  <c r="N58" i="155"/>
  <c r="O58" i="155" s="1"/>
  <c r="M58" i="155"/>
  <c r="K58" i="155"/>
  <c r="L58" i="155" s="1"/>
  <c r="J58" i="155"/>
  <c r="H58" i="155"/>
  <c r="I58" i="155" s="1"/>
  <c r="G58" i="155"/>
  <c r="E58" i="155"/>
  <c r="F58" i="155" s="1"/>
  <c r="D58" i="155"/>
  <c r="B58" i="155"/>
  <c r="R57" i="155"/>
  <c r="O57" i="155"/>
  <c r="L57" i="155"/>
  <c r="I57" i="155"/>
  <c r="F57" i="155"/>
  <c r="C57" i="155"/>
  <c r="R56" i="155"/>
  <c r="O56" i="155"/>
  <c r="L56" i="155"/>
  <c r="I56" i="155"/>
  <c r="F56" i="155"/>
  <c r="C56" i="155"/>
  <c r="AN54" i="155"/>
  <c r="AL54" i="155"/>
  <c r="AM48" i="155"/>
  <c r="L48" i="155"/>
  <c r="I48" i="155"/>
  <c r="F48" i="155"/>
  <c r="C48" i="155"/>
  <c r="AN47" i="155"/>
  <c r="AM47" i="155"/>
  <c r="M47" i="155"/>
  <c r="M49" i="155" s="1"/>
  <c r="M110" i="155" s="1"/>
  <c r="L110" i="155" s="1"/>
  <c r="L47" i="155"/>
  <c r="J47" i="155"/>
  <c r="J49" i="155" s="1"/>
  <c r="J110" i="155" s="1"/>
  <c r="I110" i="155" s="1"/>
  <c r="I47" i="155"/>
  <c r="G47" i="155"/>
  <c r="G49" i="155" s="1"/>
  <c r="G110" i="155" s="1"/>
  <c r="F110" i="155" s="1"/>
  <c r="F47" i="155"/>
  <c r="D47" i="155"/>
  <c r="D49" i="155" s="1"/>
  <c r="D110" i="155" s="1"/>
  <c r="C110" i="155" s="1"/>
  <c r="C47" i="155"/>
  <c r="L46" i="155"/>
  <c r="I46" i="155"/>
  <c r="F46" i="155"/>
  <c r="C46" i="155"/>
  <c r="C45" i="155"/>
  <c r="AN39" i="155"/>
  <c r="AL39" i="155"/>
  <c r="AM39" i="155" s="1"/>
  <c r="T39" i="155"/>
  <c r="Q39" i="155"/>
  <c r="N39" i="155"/>
  <c r="N49" i="155" s="1"/>
  <c r="N110" i="155" s="1"/>
  <c r="O110" i="155" s="1"/>
  <c r="L39" i="155"/>
  <c r="I39" i="155"/>
  <c r="F39" i="155"/>
  <c r="C39" i="155"/>
  <c r="R31" i="155"/>
  <c r="O31" i="155"/>
  <c r="L31" i="155"/>
  <c r="I31" i="155"/>
  <c r="F31" i="155"/>
  <c r="C31" i="155"/>
  <c r="S30" i="155"/>
  <c r="Q30" i="155"/>
  <c r="R30" i="155" s="1"/>
  <c r="P30" i="155"/>
  <c r="N30" i="155"/>
  <c r="O30" i="155" s="1"/>
  <c r="M30" i="155"/>
  <c r="K30" i="155"/>
  <c r="L30" i="155" s="1"/>
  <c r="J30" i="155"/>
  <c r="H30" i="155"/>
  <c r="I30" i="155" s="1"/>
  <c r="G30" i="155"/>
  <c r="E30" i="155"/>
  <c r="F30" i="155" s="1"/>
  <c r="D30" i="155"/>
  <c r="B30" i="155"/>
  <c r="C30" i="155" s="1"/>
  <c r="S20" i="155"/>
  <c r="M20" i="155"/>
  <c r="J20" i="155"/>
  <c r="G20" i="155"/>
  <c r="R24" i="155"/>
  <c r="O24" i="155"/>
  <c r="L24" i="155"/>
  <c r="I24" i="155"/>
  <c r="F24" i="155"/>
  <c r="AN24" i="155"/>
  <c r="C24" i="155"/>
  <c r="R23" i="155"/>
  <c r="O23" i="155"/>
  <c r="L23" i="155"/>
  <c r="I23" i="155"/>
  <c r="F23" i="155"/>
  <c r="C23" i="155"/>
  <c r="R22" i="155"/>
  <c r="O22" i="155"/>
  <c r="L22" i="155"/>
  <c r="I22" i="155"/>
  <c r="F22" i="155"/>
  <c r="C22" i="155"/>
  <c r="S66" i="155"/>
  <c r="P66" i="155"/>
  <c r="N66" i="155"/>
  <c r="M66" i="155"/>
  <c r="K66" i="155"/>
  <c r="J66" i="155"/>
  <c r="H66" i="155"/>
  <c r="G66" i="155"/>
  <c r="E66" i="155"/>
  <c r="C21" i="155"/>
  <c r="P20" i="155"/>
  <c r="P26" i="155" s="1"/>
  <c r="AN20" i="155"/>
  <c r="S12" i="155"/>
  <c r="P12" i="155"/>
  <c r="M12" i="155"/>
  <c r="C16" i="155"/>
  <c r="R15" i="155"/>
  <c r="O15" i="155"/>
  <c r="L15" i="155"/>
  <c r="I15" i="155"/>
  <c r="F15" i="155"/>
  <c r="C15" i="155"/>
  <c r="R14" i="155"/>
  <c r="O14" i="155"/>
  <c r="L14" i="155"/>
  <c r="I14" i="155"/>
  <c r="F14" i="155"/>
  <c r="C14" i="155"/>
  <c r="S65" i="155"/>
  <c r="Q65" i="155"/>
  <c r="P65" i="155"/>
  <c r="N65" i="155"/>
  <c r="M65" i="155"/>
  <c r="K65" i="155"/>
  <c r="J65" i="155"/>
  <c r="G65" i="155"/>
  <c r="E65" i="155"/>
  <c r="B65" i="155"/>
  <c r="G12" i="155"/>
  <c r="AN12" i="155"/>
  <c r="AL12" i="155"/>
  <c r="S4" i="155"/>
  <c r="P4" i="155"/>
  <c r="J4" i="155"/>
  <c r="S32" i="155"/>
  <c r="S112" i="155" s="1"/>
  <c r="C7" i="155"/>
  <c r="AL7" i="155" s="1"/>
  <c r="C6" i="155"/>
  <c r="AL6" i="155" s="1"/>
  <c r="S64" i="155"/>
  <c r="K64" i="155"/>
  <c r="G64" i="155"/>
  <c r="D64" i="155"/>
  <c r="Y111" i="155" l="1"/>
  <c r="L49" i="155"/>
  <c r="F49" i="155"/>
  <c r="S72" i="155"/>
  <c r="I49" i="155"/>
  <c r="O49" i="155"/>
  <c r="T49" i="155"/>
  <c r="T110" i="155" s="1"/>
  <c r="U110" i="155" s="1"/>
  <c r="L66" i="155"/>
  <c r="I66" i="155"/>
  <c r="AN46" i="155"/>
  <c r="AL46" i="155"/>
  <c r="Z12" i="125"/>
  <c r="W39" i="155"/>
  <c r="W49" i="155" s="1"/>
  <c r="W110" i="155" s="1"/>
  <c r="F66" i="155"/>
  <c r="AM12" i="155"/>
  <c r="R5" i="155"/>
  <c r="AL15" i="155"/>
  <c r="AL56" i="155"/>
  <c r="AL14" i="155"/>
  <c r="P28" i="155"/>
  <c r="P105" i="155" s="1"/>
  <c r="AL22" i="155"/>
  <c r="AL57" i="155"/>
  <c r="D18" i="155"/>
  <c r="F65" i="155"/>
  <c r="C5" i="155"/>
  <c r="P29" i="155"/>
  <c r="P106" i="155" s="1"/>
  <c r="O106" i="155" s="1"/>
  <c r="O65" i="155"/>
  <c r="J26" i="155"/>
  <c r="R65" i="155"/>
  <c r="C54" i="155"/>
  <c r="M26" i="155"/>
  <c r="P64" i="155"/>
  <c r="Q64" i="155"/>
  <c r="R64" i="155" s="1"/>
  <c r="S29" i="155"/>
  <c r="S106" i="155" s="1"/>
  <c r="AN16" i="155"/>
  <c r="P33" i="155"/>
  <c r="P107" i="155" s="1"/>
  <c r="I4" i="153"/>
  <c r="G29" i="155"/>
  <c r="G106" i="155" s="1"/>
  <c r="G18" i="155"/>
  <c r="G26" i="155"/>
  <c r="D28" i="155"/>
  <c r="D105" i="155" s="1"/>
  <c r="O5" i="155"/>
  <c r="G33" i="155"/>
  <c r="G107" i="155" s="1"/>
  <c r="K29" i="155"/>
  <c r="K106" i="155" s="1"/>
  <c r="E64" i="155"/>
  <c r="AL5" i="155"/>
  <c r="D65" i="155"/>
  <c r="AN13" i="155"/>
  <c r="AP13" i="155" s="1"/>
  <c r="AL16" i="155"/>
  <c r="M18" i="155"/>
  <c r="C12" i="155"/>
  <c r="O66" i="155"/>
  <c r="J33" i="155"/>
  <c r="J107" i="155" s="1"/>
  <c r="M4" i="155"/>
  <c r="J12" i="155"/>
  <c r="H64" i="155"/>
  <c r="H29" i="155"/>
  <c r="H106" i="155" s="1"/>
  <c r="I5" i="155"/>
  <c r="G28" i="155"/>
  <c r="G105" i="155" s="1"/>
  <c r="S28" i="155"/>
  <c r="S105" i="155" s="1"/>
  <c r="AN5" i="155"/>
  <c r="E29" i="155"/>
  <c r="E106" i="155" s="1"/>
  <c r="N64" i="155"/>
  <c r="N29" i="155"/>
  <c r="N106" i="155" s="1"/>
  <c r="C20" i="155"/>
  <c r="Q66" i="155"/>
  <c r="R66" i="155" s="1"/>
  <c r="AL79" i="155"/>
  <c r="C79" i="155"/>
  <c r="B28" i="155"/>
  <c r="C13" i="155"/>
  <c r="C4" i="155"/>
  <c r="AL4" i="155"/>
  <c r="M64" i="155"/>
  <c r="L64" i="155" s="1"/>
  <c r="M29" i="155"/>
  <c r="M106" i="155" s="1"/>
  <c r="P18" i="155"/>
  <c r="L65" i="155"/>
  <c r="AL13" i="155"/>
  <c r="AL20" i="155"/>
  <c r="AM54" i="155"/>
  <c r="B29" i="155"/>
  <c r="B106" i="155" s="1"/>
  <c r="J64" i="155"/>
  <c r="J29" i="155"/>
  <c r="J106" i="155" s="1"/>
  <c r="I106" i="155" s="1"/>
  <c r="Q32" i="155"/>
  <c r="Q112" i="155" s="1"/>
  <c r="D33" i="155"/>
  <c r="D107" i="155" s="1"/>
  <c r="M33" i="155"/>
  <c r="M107" i="155" s="1"/>
  <c r="B66" i="155"/>
  <c r="AL21" i="155"/>
  <c r="AL30" i="155"/>
  <c r="AL31" i="155"/>
  <c r="B64" i="155"/>
  <c r="Q29" i="155"/>
  <c r="Q106" i="155" s="1"/>
  <c r="AN58" i="155"/>
  <c r="AN4" i="155"/>
  <c r="H65" i="155"/>
  <c r="I65" i="155" s="1"/>
  <c r="D66" i="155"/>
  <c r="AN21" i="155"/>
  <c r="AL23" i="155"/>
  <c r="D26" i="155"/>
  <c r="D29" i="155"/>
  <c r="D106" i="155" s="1"/>
  <c r="AL24" i="155"/>
  <c r="AM24" i="155" s="1"/>
  <c r="AL58" i="155"/>
  <c r="AM58" i="155" s="1"/>
  <c r="C58" i="155"/>
  <c r="AN95" i="155"/>
  <c r="D108" i="155" l="1"/>
  <c r="F106" i="155"/>
  <c r="L106" i="155"/>
  <c r="G108" i="155"/>
  <c r="R106" i="155"/>
  <c r="P108" i="155"/>
  <c r="R112" i="155"/>
  <c r="X110" i="155"/>
  <c r="U49" i="155"/>
  <c r="X49" i="155"/>
  <c r="N9" i="153"/>
  <c r="B105" i="155"/>
  <c r="C66" i="155"/>
  <c r="AN28" i="155"/>
  <c r="AN105" i="155" s="1"/>
  <c r="AM79" i="155"/>
  <c r="AN65" i="155"/>
  <c r="AP65" i="155" s="1"/>
  <c r="Z39" i="155"/>
  <c r="Z49" i="155" s="1"/>
  <c r="Z110" i="155" s="1"/>
  <c r="U28" i="176"/>
  <c r="AM16" i="155"/>
  <c r="R29" i="155"/>
  <c r="L29" i="155"/>
  <c r="O29" i="155"/>
  <c r="D63" i="155"/>
  <c r="F29" i="155"/>
  <c r="C65" i="155"/>
  <c r="M28" i="155"/>
  <c r="M105" i="155" s="1"/>
  <c r="F64" i="155"/>
  <c r="AL66" i="155"/>
  <c r="AM21" i="155"/>
  <c r="I29" i="155"/>
  <c r="B63" i="155"/>
  <c r="C28" i="155"/>
  <c r="AL28" i="155"/>
  <c r="AL105" i="155" s="1"/>
  <c r="AN64" i="155"/>
  <c r="AN29" i="155"/>
  <c r="AN106" i="155" s="1"/>
  <c r="I64" i="155"/>
  <c r="J18" i="155"/>
  <c r="AL64" i="155"/>
  <c r="AL29" i="155"/>
  <c r="AL106" i="155" s="1"/>
  <c r="AM5" i="155"/>
  <c r="AN66" i="155"/>
  <c r="AL65" i="155"/>
  <c r="AM13" i="155"/>
  <c r="C64" i="155"/>
  <c r="Q72" i="155"/>
  <c r="R72" i="155" s="1"/>
  <c r="R32" i="155"/>
  <c r="AM4" i="155"/>
  <c r="O64" i="155"/>
  <c r="C29" i="155"/>
  <c r="AM20" i="155"/>
  <c r="J28" i="155"/>
  <c r="J105" i="155" s="1"/>
  <c r="J108" i="155" s="1"/>
  <c r="AM106" i="155" l="1"/>
  <c r="M108" i="155"/>
  <c r="AM105" i="155"/>
  <c r="AA110" i="155"/>
  <c r="AA49" i="155"/>
  <c r="U32" i="176"/>
  <c r="AN63" i="155"/>
  <c r="C105" i="155"/>
  <c r="AM65" i="155"/>
  <c r="AI39" i="155"/>
  <c r="AI49" i="155" s="1"/>
  <c r="AI110" i="155" s="1"/>
  <c r="AJ110" i="155" s="1"/>
  <c r="AM29" i="155"/>
  <c r="AM28" i="155"/>
  <c r="AL63" i="155"/>
  <c r="AM66" i="155"/>
  <c r="C63" i="155"/>
  <c r="AM64" i="155"/>
  <c r="AJ49" i="155" l="1"/>
  <c r="AM63" i="155"/>
  <c r="R42" i="176" l="1"/>
  <c r="R71" i="176" s="1"/>
  <c r="R34" i="176" l="1"/>
  <c r="R31" i="176" l="1"/>
  <c r="R70" i="176" s="1"/>
  <c r="Y30" i="125"/>
  <c r="R39" i="176"/>
  <c r="S15" i="132"/>
  <c r="R15" i="132"/>
  <c r="R12" i="132" s="1"/>
  <c r="Q9" i="176" s="1"/>
  <c r="S9" i="176" s="1"/>
  <c r="S25" i="155"/>
  <c r="AN26" i="155" s="1"/>
  <c r="S17" i="155"/>
  <c r="AN18" i="155" s="1"/>
  <c r="S9" i="155"/>
  <c r="AN33" i="155" s="1"/>
  <c r="AN107" i="155" s="1"/>
  <c r="AN108" i="155" s="1"/>
  <c r="V20" i="155" l="1"/>
  <c r="V26" i="155" s="1"/>
  <c r="S26" i="155"/>
  <c r="V12" i="155"/>
  <c r="V18" i="155" s="1"/>
  <c r="S18" i="155"/>
  <c r="V4" i="155"/>
  <c r="S10" i="155"/>
  <c r="S33" i="155"/>
  <c r="S107" i="155" s="1"/>
  <c r="S108" i="155" s="1"/>
  <c r="S109" i="155" s="1"/>
  <c r="V28" i="155" l="1"/>
  <c r="V105" i="155" s="1"/>
  <c r="V10" i="155"/>
  <c r="S34" i="155"/>
  <c r="Q51" i="131"/>
  <c r="Q57" i="131" s="1"/>
  <c r="V108" i="155" l="1"/>
  <c r="V34" i="155"/>
  <c r="V51" i="155" s="1"/>
  <c r="V109" i="155" l="1"/>
  <c r="Q12" i="135"/>
  <c r="Q13" i="176"/>
  <c r="S9" i="153"/>
  <c r="V111" i="155" l="1"/>
  <c r="S13" i="176"/>
  <c r="S45" i="155"/>
  <c r="S49" i="155" s="1"/>
  <c r="S110" i="155" s="1"/>
  <c r="S111" i="155" s="1"/>
  <c r="X15" i="125"/>
  <c r="Q83" i="155" l="1"/>
  <c r="S51" i="155"/>
  <c r="C49" i="155"/>
  <c r="C40" i="155"/>
  <c r="O34" i="176"/>
  <c r="O43" i="176"/>
  <c r="R28" i="176" l="1"/>
  <c r="U8" i="153"/>
  <c r="O152" i="131"/>
  <c r="R83" i="155"/>
  <c r="R40" i="155"/>
  <c r="Q45" i="155"/>
  <c r="B32" i="155"/>
  <c r="B112" i="155" s="1"/>
  <c r="C68" i="155"/>
  <c r="E32" i="155"/>
  <c r="E112" i="155" s="1"/>
  <c r="J12" i="125"/>
  <c r="V12" i="125"/>
  <c r="R12" i="125"/>
  <c r="N12" i="125"/>
  <c r="AO40" i="155"/>
  <c r="R32" i="176" l="1"/>
  <c r="O54" i="181"/>
  <c r="N54" i="181"/>
  <c r="AN7" i="132"/>
  <c r="AR7" i="132" s="1"/>
  <c r="AM18" i="176"/>
  <c r="D19" i="132"/>
  <c r="R45" i="155"/>
  <c r="Q49" i="155"/>
  <c r="Q110" i="155" s="1"/>
  <c r="R110" i="155" s="1"/>
  <c r="K32" i="155"/>
  <c r="K112" i="155" s="1"/>
  <c r="H32" i="155"/>
  <c r="H112" i="155" s="1"/>
  <c r="AL8" i="155"/>
  <c r="N32" i="155"/>
  <c r="N112" i="155" s="1"/>
  <c r="E72" i="155"/>
  <c r="B72" i="155"/>
  <c r="O29" i="176"/>
  <c r="O40" i="176"/>
  <c r="L43" i="176"/>
  <c r="BA7" i="125" l="1"/>
  <c r="R49" i="155"/>
  <c r="O31" i="176"/>
  <c r="O70" i="176" s="1"/>
  <c r="O160" i="131"/>
  <c r="H72" i="155"/>
  <c r="S8" i="153"/>
  <c r="O151" i="131"/>
  <c r="AL32" i="155"/>
  <c r="AL112" i="155" s="1"/>
  <c r="K72" i="155"/>
  <c r="N72" i="155"/>
  <c r="O40" i="155"/>
  <c r="K55" i="155"/>
  <c r="O28" i="176" l="1"/>
  <c r="AL72" i="155"/>
  <c r="O32" i="176" l="1"/>
  <c r="Q8" i="153"/>
  <c r="O150" i="131"/>
  <c r="K65" i="131"/>
  <c r="M5" i="132" l="1"/>
  <c r="K13" i="176" l="1"/>
  <c r="M13" i="176" s="1"/>
  <c r="L160" i="131"/>
  <c r="L31" i="176"/>
  <c r="L70" i="176" s="1"/>
  <c r="M22" i="132"/>
  <c r="S7" i="153" l="1"/>
  <c r="L151" i="131"/>
  <c r="L28" i="176"/>
  <c r="L32" i="176" l="1"/>
  <c r="I34" i="176" l="1"/>
  <c r="L34" i="176"/>
  <c r="J5" i="132"/>
  <c r="H55" i="155"/>
  <c r="H13" i="176"/>
  <c r="J13" i="176" s="1"/>
  <c r="I10" i="135"/>
  <c r="H10" i="135"/>
  <c r="H51" i="131" l="1"/>
  <c r="J10" i="135"/>
  <c r="I31" i="176" l="1"/>
  <c r="I70" i="176" s="1"/>
  <c r="I160" i="131"/>
  <c r="H57" i="131"/>
  <c r="J32" i="155"/>
  <c r="J112" i="155" s="1"/>
  <c r="J109" i="155" l="1"/>
  <c r="I112" i="155"/>
  <c r="I8" i="155"/>
  <c r="J10" i="155"/>
  <c r="J72" i="155"/>
  <c r="J34" i="155"/>
  <c r="J51" i="155" s="1"/>
  <c r="I32" i="155"/>
  <c r="J111" i="155" l="1"/>
  <c r="N6" i="153"/>
  <c r="I72" i="155"/>
  <c r="F71" i="176" l="1"/>
  <c r="F161" i="131"/>
  <c r="S6" i="153"/>
  <c r="I151" i="131"/>
  <c r="I28" i="176"/>
  <c r="I32" i="176" l="1"/>
  <c r="I30" i="125"/>
  <c r="Q30" i="125" l="1"/>
  <c r="L39" i="176"/>
  <c r="U30" i="125"/>
  <c r="O39" i="176"/>
  <c r="F160" i="131" l="1"/>
  <c r="AN40" i="155"/>
  <c r="AN67" i="155" s="1"/>
  <c r="F40" i="155"/>
  <c r="AP40" i="155" l="1"/>
  <c r="AN45" i="155"/>
  <c r="AN49" i="155" s="1"/>
  <c r="AN110" i="155" s="1"/>
  <c r="T17" i="154"/>
  <c r="P17" i="154"/>
  <c r="O17" i="154"/>
  <c r="N17" i="154"/>
  <c r="M17" i="154"/>
  <c r="K17" i="154"/>
  <c r="I17" i="154"/>
  <c r="H17" i="154"/>
  <c r="C17" i="154"/>
  <c r="R16" i="154"/>
  <c r="Q16" i="154"/>
  <c r="J16" i="154"/>
  <c r="F16" i="154"/>
  <c r="V16" i="154" s="1"/>
  <c r="E16" i="154"/>
  <c r="D16" i="154"/>
  <c r="S16" i="154" s="1"/>
  <c r="R15" i="154"/>
  <c r="Q15" i="154"/>
  <c r="J15" i="154"/>
  <c r="F15" i="154"/>
  <c r="V15" i="154" s="1"/>
  <c r="E15" i="154"/>
  <c r="D15" i="154"/>
  <c r="S15" i="154" s="1"/>
  <c r="S14" i="154"/>
  <c r="R14" i="154"/>
  <c r="Q14" i="154"/>
  <c r="J14" i="154"/>
  <c r="F14" i="154"/>
  <c r="V14" i="154" s="1"/>
  <c r="E14" i="154"/>
  <c r="S13" i="154"/>
  <c r="R13" i="154"/>
  <c r="Q13" i="154"/>
  <c r="J13" i="154"/>
  <c r="F13" i="154"/>
  <c r="V13" i="154" s="1"/>
  <c r="E13" i="154"/>
  <c r="S12" i="154"/>
  <c r="R12" i="154"/>
  <c r="Q12" i="154"/>
  <c r="J12" i="154"/>
  <c r="F12" i="154"/>
  <c r="V12" i="154" s="1"/>
  <c r="E12" i="154"/>
  <c r="S11" i="154"/>
  <c r="R11" i="154"/>
  <c r="Q11" i="154"/>
  <c r="J11" i="154"/>
  <c r="F11" i="154"/>
  <c r="V11" i="154" s="1"/>
  <c r="E11" i="154"/>
  <c r="S10" i="154"/>
  <c r="R10" i="154"/>
  <c r="Q10" i="154"/>
  <c r="J10" i="154"/>
  <c r="F10" i="154"/>
  <c r="V10" i="154" s="1"/>
  <c r="E10" i="154"/>
  <c r="S9" i="154"/>
  <c r="R9" i="154"/>
  <c r="Q9" i="154"/>
  <c r="J9" i="154"/>
  <c r="F9" i="154"/>
  <c r="V9" i="154" s="1"/>
  <c r="E9" i="154"/>
  <c r="S8" i="154"/>
  <c r="R8" i="154"/>
  <c r="Q8" i="154"/>
  <c r="J8" i="154"/>
  <c r="F8" i="154"/>
  <c r="V8" i="154" s="1"/>
  <c r="E8" i="154"/>
  <c r="S7" i="154"/>
  <c r="R7" i="154"/>
  <c r="Q7" i="154"/>
  <c r="J7" i="154"/>
  <c r="F7" i="154"/>
  <c r="V7" i="154" s="1"/>
  <c r="E7" i="154"/>
  <c r="S6" i="154"/>
  <c r="R6" i="154"/>
  <c r="Q6" i="154"/>
  <c r="J6" i="154"/>
  <c r="F6" i="154"/>
  <c r="V6" i="154" s="1"/>
  <c r="E6" i="154"/>
  <c r="S5" i="154"/>
  <c r="R5" i="154"/>
  <c r="Q5" i="154"/>
  <c r="J5" i="154"/>
  <c r="F5" i="154"/>
  <c r="V5" i="154" s="1"/>
  <c r="E5" i="154"/>
  <c r="K4" i="154"/>
  <c r="P4" i="154" s="1"/>
  <c r="V4" i="154" s="1"/>
  <c r="J4" i="154"/>
  <c r="O4" i="154" s="1"/>
  <c r="U4" i="154" s="1"/>
  <c r="I4" i="154"/>
  <c r="N4" i="154" s="1"/>
  <c r="S4" i="154" s="1"/>
  <c r="H4" i="154"/>
  <c r="M4" i="154" s="1"/>
  <c r="R4" i="154" s="1"/>
  <c r="G4" i="154"/>
  <c r="L4" i="154" s="1"/>
  <c r="Q4" i="154" s="1"/>
  <c r="I18" i="153" l="1"/>
  <c r="AP68" i="155"/>
  <c r="U6" i="154"/>
  <c r="W6" i="154" s="1"/>
  <c r="X6" i="154" s="1"/>
  <c r="U11" i="154"/>
  <c r="W11" i="154" s="1"/>
  <c r="U16" i="154"/>
  <c r="W16" i="154" s="1"/>
  <c r="Y16" i="154" s="1"/>
  <c r="T53" i="154" s="1"/>
  <c r="U10" i="154"/>
  <c r="W10" i="154" s="1"/>
  <c r="X10" i="154" s="1"/>
  <c r="U7" i="154"/>
  <c r="W7" i="154" s="1"/>
  <c r="X7" i="154" s="1"/>
  <c r="U8" i="154"/>
  <c r="W8" i="154" s="1"/>
  <c r="X8" i="154" s="1"/>
  <c r="U13" i="154"/>
  <c r="W13" i="154" s="1"/>
  <c r="Y13" i="154" s="1"/>
  <c r="T50" i="154" s="1"/>
  <c r="F17" i="154"/>
  <c r="U9" i="154"/>
  <c r="W9" i="154" s="1"/>
  <c r="X9" i="154" s="1"/>
  <c r="V17" i="154"/>
  <c r="U14" i="154"/>
  <c r="W14" i="154" s="1"/>
  <c r="Y14" i="154" s="1"/>
  <c r="T51" i="154" s="1"/>
  <c r="U15" i="154"/>
  <c r="W15" i="154" s="1"/>
  <c r="Y15" i="154" s="1"/>
  <c r="T52" i="154" s="1"/>
  <c r="E17" i="154"/>
  <c r="J17" i="154"/>
  <c r="U12" i="154"/>
  <c r="W12" i="154" s="1"/>
  <c r="X12" i="154" s="1"/>
  <c r="R17" i="154"/>
  <c r="T18" i="154" s="1"/>
  <c r="U5" i="154"/>
  <c r="W5" i="154" s="1"/>
  <c r="S17" i="154"/>
  <c r="T19" i="154" s="1"/>
  <c r="D17" i="154"/>
  <c r="AL15" i="153"/>
  <c r="AL14" i="153"/>
  <c r="AL13" i="153"/>
  <c r="AL12" i="153"/>
  <c r="AL11" i="153"/>
  <c r="AL10" i="153"/>
  <c r="AL9" i="153"/>
  <c r="AL8" i="153"/>
  <c r="AL7" i="153"/>
  <c r="AL6" i="153"/>
  <c r="AL5" i="153"/>
  <c r="AL4" i="153"/>
  <c r="S5" i="153" l="1"/>
  <c r="F151" i="131"/>
  <c r="Y8" i="154"/>
  <c r="T45" i="154" s="1"/>
  <c r="X15" i="154"/>
  <c r="X11" i="154"/>
  <c r="Y11" i="154"/>
  <c r="T48" i="154" s="1"/>
  <c r="Y6" i="154"/>
  <c r="T43" i="154" s="1"/>
  <c r="X16" i="154"/>
  <c r="Y7" i="154"/>
  <c r="T44" i="154" s="1"/>
  <c r="V19" i="154"/>
  <c r="X14" i="154"/>
  <c r="X13" i="154"/>
  <c r="Y9" i="154"/>
  <c r="T46" i="154" s="1"/>
  <c r="Y12" i="154"/>
  <c r="T49" i="154" s="1"/>
  <c r="Y10" i="154"/>
  <c r="T47" i="154" s="1"/>
  <c r="V18" i="154"/>
  <c r="U17" i="154"/>
  <c r="W17" i="154" s="1"/>
  <c r="Y5" i="154"/>
  <c r="T42" i="154" s="1"/>
  <c r="X5" i="154"/>
  <c r="F32" i="176" l="1"/>
  <c r="U18" i="154"/>
  <c r="X18" i="154" s="1"/>
  <c r="U19" i="154"/>
  <c r="X19" i="154" s="1"/>
  <c r="Y17" i="154"/>
  <c r="X17" i="154"/>
  <c r="C71" i="176" l="1"/>
  <c r="C161" i="131"/>
  <c r="O25" i="181" l="1"/>
  <c r="AM43" i="176"/>
  <c r="C15" i="132"/>
  <c r="W20" i="153" l="1"/>
  <c r="AM34" i="176"/>
  <c r="AM161" i="131"/>
  <c r="AM42" i="176"/>
  <c r="AM71" i="176" s="1"/>
  <c r="C14" i="176" l="1"/>
  <c r="B52" i="181"/>
  <c r="C50" i="181" s="1"/>
  <c r="C53" i="181" s="1"/>
  <c r="F12" i="176"/>
  <c r="C15" i="176"/>
  <c r="B97" i="155"/>
  <c r="AL95" i="155"/>
  <c r="C95" i="155"/>
  <c r="G95" i="155"/>
  <c r="D97" i="155"/>
  <c r="D101" i="155" s="1"/>
  <c r="C96" i="155"/>
  <c r="AM10" i="135"/>
  <c r="AJ8" i="135"/>
  <c r="AG8" i="135"/>
  <c r="AF8" i="135"/>
  <c r="AH8" i="135" l="1"/>
  <c r="F15" i="176"/>
  <c r="F95" i="155"/>
  <c r="AM95" i="155"/>
  <c r="B101" i="155"/>
  <c r="C101" i="155" s="1"/>
  <c r="C97" i="155"/>
  <c r="D42" i="135"/>
  <c r="D41" i="135"/>
  <c r="F17" i="176" l="1"/>
  <c r="U4" i="153"/>
  <c r="C152" i="131"/>
  <c r="AA14" i="135"/>
  <c r="Y73" i="155" l="1"/>
  <c r="AB63" i="155" s="1"/>
  <c r="AB54" i="155"/>
  <c r="AL29" i="131" l="1"/>
  <c r="AL17" i="131"/>
  <c r="AL4" i="131"/>
  <c r="AN4" i="131" s="1"/>
  <c r="AN17" i="131" l="1"/>
  <c r="AL22" i="131"/>
  <c r="AL34" i="131"/>
  <c r="AN29" i="131"/>
  <c r="E56" i="131"/>
  <c r="G56" i="131" s="1"/>
  <c r="F59" i="131" s="1"/>
  <c r="AL25" i="131" l="1"/>
  <c r="AN25" i="131" s="1"/>
  <c r="AN22" i="131"/>
  <c r="AL37" i="131"/>
  <c r="AN34" i="131"/>
  <c r="G59" i="131"/>
  <c r="F75" i="131"/>
  <c r="AO5" i="155"/>
  <c r="B63" i="181" l="1"/>
  <c r="B65" i="181" s="1"/>
  <c r="B71" i="181" s="1"/>
  <c r="D55" i="155"/>
  <c r="C160" i="131"/>
  <c r="G75" i="131"/>
  <c r="D6" i="132"/>
  <c r="AM35" i="135"/>
  <c r="AK15" i="132"/>
  <c r="AM110" i="131"/>
  <c r="AM7" i="132"/>
  <c r="AO21" i="155"/>
  <c r="AO29" i="155" s="1"/>
  <c r="B20" i="176" l="1"/>
  <c r="C20" i="176"/>
  <c r="C56" i="176" s="1"/>
  <c r="AP29" i="155"/>
  <c r="AZ7" i="125"/>
  <c r="AO7" i="132"/>
  <c r="BB7" i="125" s="1"/>
  <c r="AL18" i="176"/>
  <c r="AM15" i="176"/>
  <c r="AO13" i="135"/>
  <c r="AL110" i="131"/>
  <c r="AP5" i="155"/>
  <c r="AO64" i="155"/>
  <c r="AP64" i="155" s="1"/>
  <c r="AO66" i="155"/>
  <c r="AP66" i="155" s="1"/>
  <c r="AP21" i="155"/>
  <c r="AK21" i="132"/>
  <c r="AK17" i="132"/>
  <c r="AH17" i="132"/>
  <c r="AI12" i="135"/>
  <c r="AJ12" i="135"/>
  <c r="AJ17" i="135" s="1"/>
  <c r="AJ5" i="135"/>
  <c r="AJ7" i="135"/>
  <c r="AI7" i="135"/>
  <c r="AJ6" i="135"/>
  <c r="AI6" i="135"/>
  <c r="AM160" i="131" l="1"/>
  <c r="AM31" i="176"/>
  <c r="AP31" i="176" s="1"/>
  <c r="D20" i="176"/>
  <c r="AC83" i="155"/>
  <c r="AL83" i="155" s="1"/>
  <c r="AM83" i="155" s="1"/>
  <c r="AC67" i="155"/>
  <c r="AJ4" i="135"/>
  <c r="AD40" i="155"/>
  <c r="AL40" i="155"/>
  <c r="S4" i="153"/>
  <c r="AK10" i="135"/>
  <c r="AM70" i="176" l="1"/>
  <c r="AM29" i="176"/>
  <c r="S20" i="153"/>
  <c r="AM151" i="131"/>
  <c r="AD67" i="155"/>
  <c r="AW13" i="125"/>
  <c r="AJ11" i="135"/>
  <c r="AD83" i="155"/>
  <c r="AC86" i="155"/>
  <c r="AD86" i="155" s="1"/>
  <c r="AL45" i="155"/>
  <c r="AL67" i="155"/>
  <c r="AM67" i="155" s="1"/>
  <c r="AM40" i="155"/>
  <c r="C32" i="176" l="1"/>
  <c r="Q4" i="153"/>
  <c r="C150" i="131"/>
  <c r="AM45" i="155"/>
  <c r="AL49" i="155"/>
  <c r="AL110" i="155" s="1"/>
  <c r="AM110" i="155" l="1"/>
  <c r="AM49" i="155"/>
  <c r="AK54" i="155" l="1"/>
  <c r="AH73" i="155"/>
  <c r="AK63" i="155" s="1"/>
  <c r="AK95" i="155"/>
  <c r="AF6" i="135"/>
  <c r="AF5" i="135"/>
  <c r="AK97" i="155" l="1"/>
  <c r="AJ95" i="155"/>
  <c r="AK101" i="155" l="1"/>
  <c r="AE21" i="132"/>
  <c r="AE17" i="132"/>
  <c r="AD15" i="132"/>
  <c r="AH95" i="155"/>
  <c r="AF95" i="155"/>
  <c r="AH97" i="155" l="1"/>
  <c r="AG95" i="155"/>
  <c r="AF97" i="155"/>
  <c r="AD96" i="155"/>
  <c r="AC14" i="135"/>
  <c r="Z13" i="135"/>
  <c r="AC12" i="135"/>
  <c r="AD8" i="135"/>
  <c r="AC6" i="135"/>
  <c r="AH101" i="155" l="1"/>
  <c r="AG97" i="155"/>
  <c r="AF101" i="155"/>
  <c r="AC17" i="135"/>
  <c r="AG101" i="155" l="1"/>
  <c r="AB15" i="132" l="1"/>
  <c r="AA15" i="132"/>
  <c r="AC95" i="155"/>
  <c r="AA24" i="135"/>
  <c r="AA5" i="135"/>
  <c r="Z6" i="135"/>
  <c r="U12" i="153" l="1"/>
  <c r="AC97" i="155"/>
  <c r="AE95" i="155"/>
  <c r="AA5" i="132" l="1"/>
  <c r="Z13" i="176"/>
  <c r="AB13" i="176" s="1"/>
  <c r="AE97" i="155"/>
  <c r="AD97" i="155" s="1"/>
  <c r="AA96" i="155"/>
  <c r="AD95" i="155"/>
  <c r="AC101" i="155"/>
  <c r="Z12" i="135"/>
  <c r="AB95" i="155"/>
  <c r="Z55" i="155" l="1"/>
  <c r="Z20" i="176"/>
  <c r="AB55" i="155"/>
  <c r="AA20" i="176"/>
  <c r="AA56" i="176" s="1"/>
  <c r="AA64" i="176" s="1"/>
  <c r="AB64" i="176" s="1"/>
  <c r="AE101" i="155"/>
  <c r="AD101" i="155" s="1"/>
  <c r="AB97" i="155"/>
  <c r="AB101" i="155" s="1"/>
  <c r="Z95" i="155"/>
  <c r="W43" i="131"/>
  <c r="W52" i="131" s="1"/>
  <c r="W128" i="131" s="1"/>
  <c r="AA55" i="155" l="1"/>
  <c r="X59" i="155"/>
  <c r="AA95" i="155"/>
  <c r="Z97" i="155"/>
  <c r="AA97" i="155" l="1"/>
  <c r="Z101" i="155"/>
  <c r="AA101" i="155" s="1"/>
  <c r="W53" i="131"/>
  <c r="Y5" i="132"/>
  <c r="X5" i="132" l="1"/>
  <c r="Z5" i="132" s="1"/>
  <c r="W13" i="176"/>
  <c r="Y13" i="176" s="1"/>
  <c r="E6" i="135" l="1"/>
  <c r="B5" i="135"/>
  <c r="B4" i="135" s="1"/>
  <c r="V21" i="132" l="1"/>
  <c r="V17" i="132"/>
  <c r="Y95" i="155" l="1"/>
  <c r="Y97" i="155" l="1"/>
  <c r="W95" i="155"/>
  <c r="U5" i="132"/>
  <c r="AB5" i="125" s="1"/>
  <c r="T20" i="176" l="1"/>
  <c r="T55" i="155"/>
  <c r="Y101" i="155"/>
  <c r="AA86" i="155"/>
  <c r="X95" i="155"/>
  <c r="W97" i="155"/>
  <c r="V22" i="132"/>
  <c r="T43" i="131"/>
  <c r="V33" i="132" l="1"/>
  <c r="W22" i="132"/>
  <c r="W101" i="155"/>
  <c r="X101" i="155" s="1"/>
  <c r="S17" i="132" l="1"/>
  <c r="M32" i="155" l="1"/>
  <c r="M112" i="155" s="1"/>
  <c r="S12" i="135"/>
  <c r="M109" i="155" l="1"/>
  <c r="L112" i="155"/>
  <c r="L8" i="155"/>
  <c r="M10" i="155"/>
  <c r="M72" i="155"/>
  <c r="M34" i="155"/>
  <c r="M51" i="155" s="1"/>
  <c r="L32" i="155"/>
  <c r="M111" i="155" l="1"/>
  <c r="V95" i="155"/>
  <c r="V97" i="155" s="1"/>
  <c r="V101" i="155" s="1"/>
  <c r="L72" i="155"/>
  <c r="N7" i="153"/>
  <c r="T95" i="155"/>
  <c r="P17" i="132"/>
  <c r="O65" i="176" s="1"/>
  <c r="W86" i="155" l="1"/>
  <c r="X86" i="155" s="1"/>
  <c r="U95" i="155"/>
  <c r="T97" i="155"/>
  <c r="T101" i="155" l="1"/>
  <c r="U101" i="155" s="1"/>
  <c r="U97" i="155"/>
  <c r="N14" i="135"/>
  <c r="N5" i="135"/>
  <c r="T86" i="155" l="1"/>
  <c r="U86" i="155" s="1"/>
  <c r="P32" i="155" l="1"/>
  <c r="P112" i="155" s="1"/>
  <c r="P22" i="132"/>
  <c r="P33" i="132" s="1"/>
  <c r="Q33" i="132" s="1"/>
  <c r="P109" i="155" l="1"/>
  <c r="O112" i="155"/>
  <c r="O8" i="155"/>
  <c r="P10" i="155"/>
  <c r="P72" i="155"/>
  <c r="P34" i="155"/>
  <c r="P51" i="155" s="1"/>
  <c r="O32" i="155"/>
  <c r="P111" i="155" l="1"/>
  <c r="O72" i="155"/>
  <c r="N8" i="153"/>
  <c r="AB41" i="136" l="1"/>
  <c r="AA41" i="136"/>
  <c r="Y41" i="136"/>
  <c r="W41" i="136"/>
  <c r="U41" i="136"/>
  <c r="S41" i="136"/>
  <c r="Q41" i="136"/>
  <c r="O41" i="136"/>
  <c r="M41" i="136"/>
  <c r="Z40" i="136"/>
  <c r="AA40" i="136" s="1"/>
  <c r="X40" i="136"/>
  <c r="Y40" i="136" s="1"/>
  <c r="V40" i="136"/>
  <c r="W40" i="136" s="1"/>
  <c r="T40" i="136"/>
  <c r="U40" i="136" s="1"/>
  <c r="R40" i="136"/>
  <c r="S40" i="136" s="1"/>
  <c r="P40" i="136"/>
  <c r="Q40" i="136" s="1"/>
  <c r="N40" i="136"/>
  <c r="O40" i="136" s="1"/>
  <c r="L40" i="136"/>
  <c r="M40" i="136" s="1"/>
  <c r="J40" i="136"/>
  <c r="K40" i="136" s="1"/>
  <c r="AB39" i="136"/>
  <c r="AA39" i="136"/>
  <c r="Y39" i="136"/>
  <c r="W39" i="136"/>
  <c r="U39" i="136"/>
  <c r="S39" i="136"/>
  <c r="Q39" i="136"/>
  <c r="O39" i="136"/>
  <c r="M39" i="136"/>
  <c r="K39" i="136"/>
  <c r="AB38" i="136"/>
  <c r="AC38" i="136" s="1"/>
  <c r="AA38" i="136"/>
  <c r="Y38" i="136"/>
  <c r="W38" i="136"/>
  <c r="U38" i="136"/>
  <c r="S38" i="136"/>
  <c r="Q38" i="136"/>
  <c r="O38" i="136"/>
  <c r="M38" i="136"/>
  <c r="K38" i="136"/>
  <c r="I38" i="136"/>
  <c r="G38" i="136"/>
  <c r="E38" i="136"/>
  <c r="AA37" i="136"/>
  <c r="Y37" i="136"/>
  <c r="W37" i="136"/>
  <c r="U37" i="136"/>
  <c r="S37" i="136"/>
  <c r="Q37" i="136"/>
  <c r="O37" i="136"/>
  <c r="M37" i="136"/>
  <c r="K37" i="136"/>
  <c r="D37" i="136"/>
  <c r="F37" i="136" s="1"/>
  <c r="F40" i="136" s="1"/>
  <c r="AB36" i="136"/>
  <c r="AA36" i="136"/>
  <c r="Y36" i="136"/>
  <c r="W36" i="136"/>
  <c r="U36" i="136"/>
  <c r="S36" i="136"/>
  <c r="Q36" i="136"/>
  <c r="O36" i="136"/>
  <c r="M36" i="136"/>
  <c r="K36" i="136"/>
  <c r="AB35" i="136"/>
  <c r="AA35" i="136"/>
  <c r="Y35" i="136"/>
  <c r="W35" i="136"/>
  <c r="U35" i="136"/>
  <c r="S35" i="136"/>
  <c r="Q35" i="136"/>
  <c r="O35" i="136"/>
  <c r="M35" i="136"/>
  <c r="K35" i="136"/>
  <c r="H32" i="136"/>
  <c r="I39" i="136" s="1"/>
  <c r="F32" i="136"/>
  <c r="G39" i="136" s="1"/>
  <c r="D32" i="136"/>
  <c r="E39" i="136" s="1"/>
  <c r="G35" i="136" l="1"/>
  <c r="E36" i="136"/>
  <c r="G36" i="136"/>
  <c r="E35" i="136"/>
  <c r="E37" i="136"/>
  <c r="G41" i="136"/>
  <c r="G40" i="136"/>
  <c r="AB32" i="136"/>
  <c r="AC35" i="136" s="1"/>
  <c r="G37" i="136"/>
  <c r="I36" i="136"/>
  <c r="H37" i="136"/>
  <c r="AB37" i="136" s="1"/>
  <c r="D40" i="136"/>
  <c r="I35" i="136"/>
  <c r="AC37" i="136" l="1"/>
  <c r="AC39" i="136"/>
  <c r="AB40" i="136"/>
  <c r="E41" i="136"/>
  <c r="E40" i="136"/>
  <c r="AC36" i="136"/>
  <c r="H40" i="136"/>
  <c r="I37" i="136"/>
  <c r="I41" i="136" l="1"/>
  <c r="I40" i="136"/>
  <c r="AC40" i="136"/>
  <c r="AC41" i="136"/>
  <c r="O28" i="136" l="1"/>
  <c r="N28" i="136"/>
  <c r="M28" i="136"/>
  <c r="L28" i="136"/>
  <c r="K28" i="136"/>
  <c r="J28" i="136"/>
  <c r="I28" i="136"/>
  <c r="H28" i="136"/>
  <c r="D28" i="136"/>
  <c r="B28" i="136"/>
  <c r="P27" i="136"/>
  <c r="E26" i="136"/>
  <c r="E28" i="136" s="1"/>
  <c r="P25" i="136"/>
  <c r="P24" i="136"/>
  <c r="O22" i="136"/>
  <c r="O29" i="136" s="1"/>
  <c r="N22" i="136"/>
  <c r="N29" i="136" s="1"/>
  <c r="M22" i="136"/>
  <c r="M29" i="136" s="1"/>
  <c r="L22" i="136"/>
  <c r="L29" i="136" s="1"/>
  <c r="K22" i="136"/>
  <c r="K29" i="136" s="1"/>
  <c r="J22" i="136"/>
  <c r="J29" i="136" s="1"/>
  <c r="I22" i="136"/>
  <c r="I29" i="136" s="1"/>
  <c r="H22" i="136"/>
  <c r="H29" i="136" s="1"/>
  <c r="G22" i="136"/>
  <c r="F22" i="136"/>
  <c r="E22" i="136"/>
  <c r="D22" i="136"/>
  <c r="D29" i="136" s="1"/>
  <c r="B22" i="136"/>
  <c r="B29" i="136" s="1"/>
  <c r="P21" i="136"/>
  <c r="P20" i="136"/>
  <c r="P22" i="136" l="1"/>
  <c r="E29" i="136"/>
  <c r="F26" i="136"/>
  <c r="G26" i="136" l="1"/>
  <c r="F28" i="136"/>
  <c r="F29" i="136" s="1"/>
  <c r="G28" i="136" l="1"/>
  <c r="G29" i="136" s="1"/>
  <c r="P26" i="136"/>
  <c r="P28" i="136" s="1"/>
  <c r="P29" i="136" s="1"/>
  <c r="M21" i="132" l="1"/>
  <c r="M33" i="132" s="1"/>
  <c r="N33" i="132" s="1"/>
  <c r="M17" i="132"/>
  <c r="L65" i="176" s="1"/>
  <c r="N95" i="155" l="1"/>
  <c r="Q86" i="155" s="1"/>
  <c r="P95" i="155" l="1"/>
  <c r="O95" i="155" s="1"/>
  <c r="K51" i="131"/>
  <c r="K57" i="131" l="1"/>
  <c r="L5" i="132"/>
  <c r="R86" i="155" l="1"/>
  <c r="L40" i="176" l="1"/>
  <c r="L8" i="135" l="1"/>
  <c r="K8" i="135"/>
  <c r="L6" i="135"/>
  <c r="K6" i="135"/>
  <c r="L5" i="135"/>
  <c r="J17" i="132" l="1"/>
  <c r="I65" i="176" s="1"/>
  <c r="J15" i="132"/>
  <c r="I15" i="132"/>
  <c r="I12" i="132" s="1"/>
  <c r="H9" i="176" s="1"/>
  <c r="J9" i="176" s="1"/>
  <c r="C8" i="135"/>
  <c r="C6" i="135"/>
  <c r="C7" i="135"/>
  <c r="C5" i="135"/>
  <c r="M8" i="135"/>
  <c r="M6" i="135"/>
  <c r="M5" i="135"/>
  <c r="L7" i="135"/>
  <c r="L4" i="135" s="1"/>
  <c r="K7" i="135"/>
  <c r="K4" i="135" s="1"/>
  <c r="D6" i="135" l="1"/>
  <c r="C4" i="135"/>
  <c r="D4" i="135" s="1"/>
  <c r="M4" i="135"/>
  <c r="D8" i="135"/>
  <c r="D5" i="135"/>
  <c r="M7" i="135"/>
  <c r="M64" i="125"/>
  <c r="Q13" i="125" l="1"/>
  <c r="N86" i="155"/>
  <c r="M95" i="155"/>
  <c r="P13" i="125"/>
  <c r="J24" i="132"/>
  <c r="R13" i="125" l="1"/>
  <c r="M97" i="155"/>
  <c r="M101" i="155" s="1"/>
  <c r="G32" i="155"/>
  <c r="G112" i="155" s="1"/>
  <c r="G10" i="155"/>
  <c r="F8" i="155"/>
  <c r="F112" i="155" l="1"/>
  <c r="G109" i="155"/>
  <c r="I6" i="132"/>
  <c r="L6" i="125" s="1"/>
  <c r="H20" i="176"/>
  <c r="O86" i="155"/>
  <c r="AN84" i="155"/>
  <c r="J22" i="132"/>
  <c r="G72" i="155"/>
  <c r="N5" i="153" s="1"/>
  <c r="G34" i="155"/>
  <c r="G51" i="155" s="1"/>
  <c r="F32" i="155"/>
  <c r="G111" i="155" l="1"/>
  <c r="J33" i="132"/>
  <c r="K33" i="132" s="1"/>
  <c r="AN86" i="155"/>
  <c r="F72" i="155"/>
  <c r="G21" i="132"/>
  <c r="F15" i="132"/>
  <c r="F12" i="132" s="1"/>
  <c r="E9" i="176" s="1"/>
  <c r="F6" i="135"/>
  <c r="F8" i="135"/>
  <c r="H111" i="131"/>
  <c r="K111" i="131"/>
  <c r="E111" i="131"/>
  <c r="E8" i="135"/>
  <c r="E4" i="135" s="1"/>
  <c r="F4" i="135" l="1"/>
  <c r="AO12" i="135"/>
  <c r="M111" i="131"/>
  <c r="G111" i="131"/>
  <c r="J111" i="131"/>
  <c r="G4" i="135"/>
  <c r="AP86" i="155"/>
  <c r="AM104" i="131"/>
  <c r="AM111" i="131" l="1"/>
  <c r="I13" i="125"/>
  <c r="J95" i="155"/>
  <c r="J97" i="155" s="1"/>
  <c r="J101" i="155" s="1"/>
  <c r="G97" i="155"/>
  <c r="G101" i="155" s="1"/>
  <c r="E97" i="155"/>
  <c r="H95" i="155"/>
  <c r="I95" i="155" l="1"/>
  <c r="F97" i="155"/>
  <c r="E101" i="155"/>
  <c r="F101" i="155" s="1"/>
  <c r="AO14" i="135" l="1"/>
  <c r="AL104" i="131"/>
  <c r="E55" i="155"/>
  <c r="D7" i="135" l="1"/>
  <c r="D13" i="125"/>
  <c r="AM11" i="135"/>
  <c r="B79" i="131" l="1"/>
  <c r="AF25" i="131"/>
  <c r="D37" i="131"/>
  <c r="D25" i="131"/>
  <c r="B43" i="131" l="1"/>
  <c r="D43" i="131" s="1"/>
  <c r="D48" i="131" s="1"/>
  <c r="C48" i="131" s="1"/>
  <c r="B80" i="131"/>
  <c r="B71" i="131"/>
  <c r="B72" i="131" s="1"/>
  <c r="AL6" i="176" l="1"/>
  <c r="AN6" i="176" s="1"/>
  <c r="AZ14" i="125"/>
  <c r="AL4" i="176"/>
  <c r="C94" i="131"/>
  <c r="AM94" i="131" s="1"/>
  <c r="B94" i="131"/>
  <c r="B3" i="176"/>
  <c r="F5" i="162"/>
  <c r="D21" i="131"/>
  <c r="C51" i="131"/>
  <c r="D51" i="131" s="1"/>
  <c r="C57" i="131"/>
  <c r="F6" i="162"/>
  <c r="D33" i="131"/>
  <c r="B52" i="131"/>
  <c r="F9" i="162"/>
  <c r="E68" i="131"/>
  <c r="E70" i="131" s="1"/>
  <c r="B92" i="131" l="1"/>
  <c r="B93" i="131" s="1"/>
  <c r="B96" i="131"/>
  <c r="C60" i="131"/>
  <c r="D57" i="131"/>
  <c r="C52" i="131"/>
  <c r="B53" i="131"/>
  <c r="B17" i="155"/>
  <c r="G5" i="162"/>
  <c r="E71" i="131"/>
  <c r="E72" i="131" s="1"/>
  <c r="E8" i="132"/>
  <c r="F8" i="125" s="1"/>
  <c r="C6" i="132"/>
  <c r="C9" i="132" s="1"/>
  <c r="AJ18" i="135"/>
  <c r="AI18" i="135"/>
  <c r="AE54" i="155"/>
  <c r="AN96" i="155"/>
  <c r="I10" i="125"/>
  <c r="AS64" i="125"/>
  <c r="AE8" i="155"/>
  <c r="AG64" i="125"/>
  <c r="G64" i="125"/>
  <c r="AW22" i="125"/>
  <c r="AV22" i="125"/>
  <c r="AC23" i="125"/>
  <c r="AB17" i="132"/>
  <c r="AK23" i="125" s="1"/>
  <c r="AW27" i="125"/>
  <c r="AV28" i="125"/>
  <c r="AV27" i="125"/>
  <c r="AJ15" i="132"/>
  <c r="AI14" i="135"/>
  <c r="AI17" i="135" s="1"/>
  <c r="AK16" i="135"/>
  <c r="AI5" i="135"/>
  <c r="AI44" i="131"/>
  <c r="AI25" i="131"/>
  <c r="AL116" i="131"/>
  <c r="AN116" i="131" s="1"/>
  <c r="AV15" i="125"/>
  <c r="AL119" i="131"/>
  <c r="AN119" i="131" s="1"/>
  <c r="AL118" i="131"/>
  <c r="AN118" i="131" s="1"/>
  <c r="AL120" i="131"/>
  <c r="AL115" i="131"/>
  <c r="AN115" i="131" s="1"/>
  <c r="K19" i="139"/>
  <c r="B19" i="139"/>
  <c r="U64" i="125"/>
  <c r="I14" i="153"/>
  <c r="AS23" i="125"/>
  <c r="AH15" i="132"/>
  <c r="AN15" i="125"/>
  <c r="AH21" i="132"/>
  <c r="AH33" i="132" s="1"/>
  <c r="AR28" i="125"/>
  <c r="AR27" i="125"/>
  <c r="AG15" i="132"/>
  <c r="AR15" i="125"/>
  <c r="AG12" i="135"/>
  <c r="AF12" i="135"/>
  <c r="AG7" i="135"/>
  <c r="AG6" i="135"/>
  <c r="AH6" i="135" s="1"/>
  <c r="AG5" i="135"/>
  <c r="AF7" i="135"/>
  <c r="AF4" i="135" s="1"/>
  <c r="AF11" i="135" s="1"/>
  <c r="AC5" i="135"/>
  <c r="AH24" i="132"/>
  <c r="AS28" i="125"/>
  <c r="W12" i="135"/>
  <c r="Y14" i="135"/>
  <c r="AO22" i="125"/>
  <c r="AN22" i="125"/>
  <c r="I13" i="153"/>
  <c r="AN28" i="125"/>
  <c r="AN27" i="125"/>
  <c r="AO23" i="125"/>
  <c r="AE15" i="132"/>
  <c r="AD17" i="135"/>
  <c r="AA8" i="135"/>
  <c r="X8" i="135"/>
  <c r="AD7" i="135"/>
  <c r="AC7" i="135"/>
  <c r="AD6" i="135"/>
  <c r="AD5" i="135"/>
  <c r="Z5" i="135"/>
  <c r="Z4" i="135" s="1"/>
  <c r="AC52" i="131"/>
  <c r="AC128" i="131" s="1"/>
  <c r="AC37" i="131"/>
  <c r="Z37" i="131"/>
  <c r="AK22" i="125"/>
  <c r="AJ22" i="125"/>
  <c r="AA13" i="135"/>
  <c r="Z14" i="135"/>
  <c r="W13" i="135"/>
  <c r="AB12" i="135"/>
  <c r="AB16" i="135"/>
  <c r="AA6" i="135"/>
  <c r="AA7" i="135"/>
  <c r="AA4" i="135" s="1"/>
  <c r="Z7" i="135"/>
  <c r="AJ27" i="125"/>
  <c r="AB21" i="132"/>
  <c r="AG27" i="125"/>
  <c r="Z79" i="131"/>
  <c r="Z43" i="131"/>
  <c r="Z52" i="131" s="1"/>
  <c r="Z128" i="131" s="1"/>
  <c r="AB24" i="132"/>
  <c r="AJ15" i="125"/>
  <c r="AB5" i="132"/>
  <c r="AG5" i="125"/>
  <c r="K9" i="136"/>
  <c r="K10" i="136"/>
  <c r="K11" i="136"/>
  <c r="K12" i="136"/>
  <c r="K13" i="136"/>
  <c r="K14" i="136"/>
  <c r="B6" i="139"/>
  <c r="C6" i="139"/>
  <c r="E6" i="139"/>
  <c r="F6" i="139"/>
  <c r="H6" i="139"/>
  <c r="I6" i="139"/>
  <c r="K6" i="139"/>
  <c r="L6" i="139"/>
  <c r="B7" i="139"/>
  <c r="C7" i="139"/>
  <c r="E7" i="139"/>
  <c r="F7" i="139"/>
  <c r="H7" i="139"/>
  <c r="I7" i="139"/>
  <c r="K7" i="139"/>
  <c r="L7" i="139"/>
  <c r="B8" i="139"/>
  <c r="C8" i="139"/>
  <c r="E8" i="139"/>
  <c r="F8" i="139"/>
  <c r="H8" i="139"/>
  <c r="I8" i="139"/>
  <c r="K8" i="139"/>
  <c r="L8" i="139"/>
  <c r="B9" i="139"/>
  <c r="E9" i="139"/>
  <c r="F9" i="139"/>
  <c r="H9" i="139"/>
  <c r="I9" i="139"/>
  <c r="K9" i="139"/>
  <c r="L9" i="139"/>
  <c r="B10" i="139"/>
  <c r="C10" i="139"/>
  <c r="E10" i="139"/>
  <c r="F10" i="139"/>
  <c r="H10" i="139"/>
  <c r="I10" i="139"/>
  <c r="K10" i="139"/>
  <c r="L10" i="139"/>
  <c r="B11" i="139"/>
  <c r="C11" i="139"/>
  <c r="E11" i="139"/>
  <c r="F11" i="139"/>
  <c r="K11" i="139"/>
  <c r="L11" i="139"/>
  <c r="B12" i="139"/>
  <c r="C12" i="139"/>
  <c r="E12" i="139"/>
  <c r="F12" i="139"/>
  <c r="H12" i="139"/>
  <c r="I12" i="139"/>
  <c r="K12" i="139"/>
  <c r="L12" i="139"/>
  <c r="B13" i="139"/>
  <c r="C13" i="139"/>
  <c r="E13" i="139"/>
  <c r="F13" i="139"/>
  <c r="H13" i="139"/>
  <c r="I13" i="139"/>
  <c r="K13" i="139"/>
  <c r="L13" i="139"/>
  <c r="B14" i="139"/>
  <c r="C14" i="139"/>
  <c r="E14" i="139"/>
  <c r="F14" i="139"/>
  <c r="H14" i="139"/>
  <c r="I14" i="139"/>
  <c r="K14" i="139"/>
  <c r="L14" i="139"/>
  <c r="B15" i="139"/>
  <c r="C15" i="139"/>
  <c r="E15" i="139"/>
  <c r="F15" i="139"/>
  <c r="H15" i="139"/>
  <c r="I15" i="139"/>
  <c r="M15" i="139"/>
  <c r="B16" i="139"/>
  <c r="C16" i="139"/>
  <c r="E16" i="139"/>
  <c r="F16" i="139"/>
  <c r="H16" i="139"/>
  <c r="I16" i="139"/>
  <c r="M16" i="139"/>
  <c r="B17" i="139"/>
  <c r="C17" i="139"/>
  <c r="E17" i="139"/>
  <c r="F17" i="139"/>
  <c r="H17" i="139"/>
  <c r="I17" i="139"/>
  <c r="M17" i="139"/>
  <c r="B25" i="139"/>
  <c r="C25" i="139"/>
  <c r="E25" i="139"/>
  <c r="F25" i="139"/>
  <c r="H25" i="139"/>
  <c r="I25" i="139"/>
  <c r="K25" i="139"/>
  <c r="L25" i="139"/>
  <c r="B26" i="139"/>
  <c r="C26" i="139"/>
  <c r="E26" i="139"/>
  <c r="F26" i="139"/>
  <c r="H26" i="139"/>
  <c r="I26" i="139"/>
  <c r="K26" i="139"/>
  <c r="L26" i="139"/>
  <c r="B27" i="139"/>
  <c r="C27" i="139"/>
  <c r="E27" i="139"/>
  <c r="F27" i="139"/>
  <c r="H27" i="139"/>
  <c r="I27" i="139"/>
  <c r="K27" i="139"/>
  <c r="L27" i="139"/>
  <c r="B28" i="139"/>
  <c r="C28" i="139"/>
  <c r="E28" i="139"/>
  <c r="F28" i="139"/>
  <c r="H28" i="139"/>
  <c r="I28" i="139"/>
  <c r="K28" i="139"/>
  <c r="L28" i="139"/>
  <c r="B29" i="139"/>
  <c r="C29" i="139"/>
  <c r="E29" i="139"/>
  <c r="F29" i="139"/>
  <c r="H29" i="139"/>
  <c r="I29" i="139"/>
  <c r="K29" i="139"/>
  <c r="L29" i="139"/>
  <c r="B30" i="139"/>
  <c r="C30" i="139"/>
  <c r="E30" i="139"/>
  <c r="F30" i="139"/>
  <c r="H30" i="139"/>
  <c r="I30" i="139"/>
  <c r="K30" i="139"/>
  <c r="L30" i="139"/>
  <c r="B31" i="139"/>
  <c r="C31" i="139"/>
  <c r="E31" i="139"/>
  <c r="F31" i="139"/>
  <c r="H31" i="139"/>
  <c r="I31" i="139"/>
  <c r="K31" i="139"/>
  <c r="L31" i="139"/>
  <c r="B32" i="139"/>
  <c r="C32" i="139"/>
  <c r="E32" i="139"/>
  <c r="F32" i="139"/>
  <c r="H32" i="139"/>
  <c r="I32" i="139"/>
  <c r="K32" i="139"/>
  <c r="L32" i="139"/>
  <c r="B33" i="139"/>
  <c r="C33" i="139"/>
  <c r="E33" i="139"/>
  <c r="F33" i="139"/>
  <c r="H33" i="139"/>
  <c r="I33" i="139"/>
  <c r="K33" i="139"/>
  <c r="L33" i="139"/>
  <c r="B34" i="139"/>
  <c r="C34" i="139"/>
  <c r="E34" i="139"/>
  <c r="F34" i="139"/>
  <c r="H34" i="139"/>
  <c r="I34" i="139"/>
  <c r="K34" i="139"/>
  <c r="L34" i="139"/>
  <c r="B35" i="139"/>
  <c r="C35" i="139"/>
  <c r="G35" i="139"/>
  <c r="H35" i="139"/>
  <c r="J35" i="139" s="1"/>
  <c r="I35" i="139"/>
  <c r="K35" i="139"/>
  <c r="L35" i="139"/>
  <c r="B36" i="139"/>
  <c r="C36" i="139"/>
  <c r="E36" i="139"/>
  <c r="F36" i="139"/>
  <c r="J36" i="139"/>
  <c r="K36" i="139"/>
  <c r="L36" i="139"/>
  <c r="B42" i="139"/>
  <c r="E42" i="139"/>
  <c r="G42" i="139" s="1"/>
  <c r="H42" i="139"/>
  <c r="I42" i="139"/>
  <c r="L42" i="139"/>
  <c r="B43" i="139"/>
  <c r="E43" i="139"/>
  <c r="F43" i="139"/>
  <c r="H43" i="139"/>
  <c r="I43" i="139"/>
  <c r="L43" i="139"/>
  <c r="P43" i="139"/>
  <c r="B44" i="139"/>
  <c r="E44" i="139"/>
  <c r="F44" i="139"/>
  <c r="H44" i="139"/>
  <c r="I44" i="139"/>
  <c r="L44" i="139"/>
  <c r="P44" i="139"/>
  <c r="B45" i="139"/>
  <c r="E45" i="139"/>
  <c r="F45" i="139"/>
  <c r="S9" i="139" s="1"/>
  <c r="H45" i="139"/>
  <c r="I45" i="139"/>
  <c r="L45" i="139"/>
  <c r="P45" i="139"/>
  <c r="B46" i="139"/>
  <c r="C46" i="139"/>
  <c r="E46" i="139"/>
  <c r="F46" i="139"/>
  <c r="H46" i="139"/>
  <c r="I46" i="139"/>
  <c r="L46" i="139"/>
  <c r="P46" i="139"/>
  <c r="B47" i="139"/>
  <c r="C47" i="139"/>
  <c r="E47" i="139"/>
  <c r="F47" i="139"/>
  <c r="H47" i="139"/>
  <c r="I47" i="139"/>
  <c r="L47" i="139"/>
  <c r="P47" i="139"/>
  <c r="B48" i="139"/>
  <c r="C48" i="139"/>
  <c r="E48" i="139"/>
  <c r="F48" i="139"/>
  <c r="H48" i="139"/>
  <c r="J48" i="139" s="1"/>
  <c r="P48" i="139"/>
  <c r="B49" i="139"/>
  <c r="C49" i="139"/>
  <c r="E49" i="139"/>
  <c r="F49" i="139"/>
  <c r="H49" i="139"/>
  <c r="I49" i="139"/>
  <c r="L49" i="139"/>
  <c r="P49" i="139"/>
  <c r="B50" i="139"/>
  <c r="C50" i="139"/>
  <c r="E50" i="139"/>
  <c r="F50" i="139"/>
  <c r="H50" i="139"/>
  <c r="I50" i="139"/>
  <c r="L50" i="139"/>
  <c r="P50" i="139"/>
  <c r="B51" i="139"/>
  <c r="C51" i="139"/>
  <c r="E51" i="139"/>
  <c r="F51" i="139"/>
  <c r="J51" i="139"/>
  <c r="L51" i="139"/>
  <c r="P51" i="139"/>
  <c r="B52" i="139"/>
  <c r="C52" i="139"/>
  <c r="E52" i="139"/>
  <c r="F52" i="139"/>
  <c r="H52" i="139"/>
  <c r="I52" i="139"/>
  <c r="L52" i="139"/>
  <c r="P52" i="139"/>
  <c r="B53" i="139"/>
  <c r="C53" i="139"/>
  <c r="E53" i="139"/>
  <c r="F53" i="139"/>
  <c r="J53" i="139"/>
  <c r="P53" i="139"/>
  <c r="BD4" i="125"/>
  <c r="CY4" i="125"/>
  <c r="BL5" i="125"/>
  <c r="BP5" i="125"/>
  <c r="BQ5" i="125" s="1"/>
  <c r="CY5" i="125"/>
  <c r="BL6" i="125"/>
  <c r="BP6" i="125"/>
  <c r="BQ6" i="125" s="1"/>
  <c r="CY6" i="125"/>
  <c r="BJ8" i="125"/>
  <c r="BK8" i="125"/>
  <c r="BP8" i="125"/>
  <c r="BQ8" i="125" s="1"/>
  <c r="CY8" i="125"/>
  <c r="BL9" i="125"/>
  <c r="BO9" i="125"/>
  <c r="BO11" i="125" s="1"/>
  <c r="CY9" i="125"/>
  <c r="BL10" i="125"/>
  <c r="BP10" i="125"/>
  <c r="BQ10" i="125" s="1"/>
  <c r="CY10" i="125"/>
  <c r="BL11" i="125"/>
  <c r="CY11" i="125"/>
  <c r="I5" i="153"/>
  <c r="I6" i="153"/>
  <c r="I7" i="153"/>
  <c r="I8" i="153"/>
  <c r="I9" i="153"/>
  <c r="BJ12" i="125"/>
  <c r="BK12" i="125"/>
  <c r="BP12" i="125"/>
  <c r="BQ12" i="125" s="1"/>
  <c r="CY12" i="125"/>
  <c r="BL13" i="125"/>
  <c r="BP13" i="125"/>
  <c r="BQ13" i="125" s="1"/>
  <c r="CY13" i="125"/>
  <c r="BL15" i="125"/>
  <c r="BP15" i="125"/>
  <c r="BQ15" i="125" s="1"/>
  <c r="CY15" i="125"/>
  <c r="BO17" i="125"/>
  <c r="BP16" i="125"/>
  <c r="BQ16" i="125" s="1"/>
  <c r="CY16" i="125"/>
  <c r="BL17" i="125"/>
  <c r="CX17" i="125"/>
  <c r="BL18" i="125"/>
  <c r="BO18" i="125"/>
  <c r="BP18" i="125"/>
  <c r="BO19" i="125"/>
  <c r="BO24" i="125" s="1"/>
  <c r="BP19" i="125"/>
  <c r="BP20" i="125"/>
  <c r="BQ20" i="125" s="1"/>
  <c r="BJ21" i="125"/>
  <c r="BK21" i="125"/>
  <c r="BP21" i="125"/>
  <c r="BQ21" i="125" s="1"/>
  <c r="BZ21" i="125"/>
  <c r="BZ23" i="125" s="1"/>
  <c r="BZ25" i="125" s="1"/>
  <c r="CA21" i="125"/>
  <c r="CD20" i="125" s="1"/>
  <c r="D22" i="125"/>
  <c r="H22" i="125"/>
  <c r="L22" i="125"/>
  <c r="P22" i="125"/>
  <c r="T22" i="125"/>
  <c r="U22" i="125"/>
  <c r="X22" i="125"/>
  <c r="Y22" i="125"/>
  <c r="AB22" i="125"/>
  <c r="AC22" i="125"/>
  <c r="AF22" i="125"/>
  <c r="AG22" i="125"/>
  <c r="BP22" i="125"/>
  <c r="BQ22" i="125" s="1"/>
  <c r="CA22" i="125"/>
  <c r="AW23" i="125"/>
  <c r="BL23" i="125"/>
  <c r="BP23" i="125"/>
  <c r="BQ23" i="125" s="1"/>
  <c r="CA24" i="125"/>
  <c r="BA30" i="125"/>
  <c r="M37" i="125"/>
  <c r="Q37" i="125"/>
  <c r="D42" i="125"/>
  <c r="H42" i="125"/>
  <c r="AZ42" i="125"/>
  <c r="BA59" i="125"/>
  <c r="BA60" i="125"/>
  <c r="M61" i="125"/>
  <c r="AK61" i="125"/>
  <c r="AK63" i="125" s="1"/>
  <c r="BA62" i="125"/>
  <c r="D9" i="135"/>
  <c r="G9" i="135"/>
  <c r="V9" i="135"/>
  <c r="Y9" i="135"/>
  <c r="AB9" i="135"/>
  <c r="AE9" i="135"/>
  <c r="AH9" i="135"/>
  <c r="AK9" i="135"/>
  <c r="AL9" i="135"/>
  <c r="AM9" i="135"/>
  <c r="G5" i="135"/>
  <c r="H5" i="135"/>
  <c r="I5" i="135"/>
  <c r="X5" i="135"/>
  <c r="G6" i="135"/>
  <c r="H6" i="135"/>
  <c r="I6" i="135"/>
  <c r="N6" i="135"/>
  <c r="O6" i="135"/>
  <c r="Q6" i="135"/>
  <c r="R6" i="135"/>
  <c r="R4" i="135" s="1"/>
  <c r="T6" i="135"/>
  <c r="U6" i="135"/>
  <c r="W6" i="135"/>
  <c r="W4" i="135" s="1"/>
  <c r="X6" i="135"/>
  <c r="AK6" i="135"/>
  <c r="G7" i="135"/>
  <c r="H7" i="135"/>
  <c r="I7" i="135"/>
  <c r="N7" i="135"/>
  <c r="O7" i="135"/>
  <c r="Q7" i="135"/>
  <c r="R7" i="135"/>
  <c r="T7" i="135"/>
  <c r="U7" i="135"/>
  <c r="W7" i="135"/>
  <c r="X7" i="135"/>
  <c r="AK7" i="135"/>
  <c r="E13" i="125"/>
  <c r="G8" i="135"/>
  <c r="H8" i="135"/>
  <c r="I8" i="135"/>
  <c r="N8" i="135"/>
  <c r="T8" i="135"/>
  <c r="U8" i="135"/>
  <c r="U4" i="135" s="1"/>
  <c r="W8" i="135"/>
  <c r="AK8" i="135"/>
  <c r="G12" i="135"/>
  <c r="N12" i="135"/>
  <c r="G13" i="135"/>
  <c r="J13" i="135"/>
  <c r="G14" i="135"/>
  <c r="H14" i="135"/>
  <c r="Q14" i="135"/>
  <c r="D16" i="135"/>
  <c r="G16" i="135"/>
  <c r="J16" i="135"/>
  <c r="Y16" i="135"/>
  <c r="AH16" i="135"/>
  <c r="M20" i="135"/>
  <c r="AM22" i="135"/>
  <c r="D23" i="135"/>
  <c r="G23" i="135"/>
  <c r="M23" i="135"/>
  <c r="P23" i="135"/>
  <c r="S23" i="135"/>
  <c r="V23" i="135"/>
  <c r="AM23" i="135"/>
  <c r="I24" i="135"/>
  <c r="I152" i="131" s="1"/>
  <c r="R24" i="135"/>
  <c r="AD28" i="176"/>
  <c r="AL34" i="135"/>
  <c r="AM34" i="135"/>
  <c r="AM39" i="135" s="1"/>
  <c r="AL35" i="135"/>
  <c r="AN35" i="135" s="1"/>
  <c r="AL37" i="135"/>
  <c r="AN37" i="135" s="1"/>
  <c r="AL38" i="135"/>
  <c r="AN38" i="135" s="1"/>
  <c r="B39" i="135"/>
  <c r="C48" i="135"/>
  <c r="D49" i="135"/>
  <c r="C49" i="135" s="1"/>
  <c r="G49" i="135"/>
  <c r="J49" i="135" s="1"/>
  <c r="M49" i="135" s="1"/>
  <c r="H49" i="135"/>
  <c r="K49" i="135" s="1"/>
  <c r="P49" i="135"/>
  <c r="S49" i="135"/>
  <c r="V49" i="135"/>
  <c r="Y49" i="135"/>
  <c r="AB49" i="135"/>
  <c r="AE49" i="135"/>
  <c r="AH49" i="135"/>
  <c r="AK49" i="135"/>
  <c r="AL49" i="135"/>
  <c r="AN49" i="135" s="1"/>
  <c r="AM49" i="135"/>
  <c r="B50" i="135"/>
  <c r="D50" i="135" s="1"/>
  <c r="E50" i="135"/>
  <c r="G50" i="135" s="1"/>
  <c r="J50" i="135"/>
  <c r="L50" i="135" s="1"/>
  <c r="M50" i="135"/>
  <c r="O50" i="135" s="1"/>
  <c r="P50" i="135"/>
  <c r="R50" i="135" s="1"/>
  <c r="S50" i="135"/>
  <c r="V50" i="135"/>
  <c r="Y50" i="135"/>
  <c r="AB50" i="135"/>
  <c r="AE50" i="135"/>
  <c r="AH50" i="135"/>
  <c r="AK50" i="135"/>
  <c r="AR14" i="132"/>
  <c r="E22" i="125"/>
  <c r="G15" i="132"/>
  <c r="M22" i="125"/>
  <c r="L15" i="132"/>
  <c r="M15" i="132"/>
  <c r="O15" i="132"/>
  <c r="O12" i="132" s="1"/>
  <c r="N9" i="176" s="1"/>
  <c r="P9" i="176" s="1"/>
  <c r="P15" i="132"/>
  <c r="U15" i="132"/>
  <c r="V15" i="132"/>
  <c r="AR16" i="132"/>
  <c r="E23" i="125"/>
  <c r="G17" i="132"/>
  <c r="F65" i="176" s="1"/>
  <c r="M23" i="125"/>
  <c r="U23" i="125"/>
  <c r="AG23" i="125"/>
  <c r="AN20" i="132"/>
  <c r="AR20" i="132" s="1"/>
  <c r="H27" i="125"/>
  <c r="X27" i="125"/>
  <c r="Y27" i="125"/>
  <c r="P28" i="125"/>
  <c r="T28" i="125"/>
  <c r="X28" i="125"/>
  <c r="AF28" i="125"/>
  <c r="C26" i="132"/>
  <c r="F26" i="132"/>
  <c r="I26" i="132"/>
  <c r="L26" i="132"/>
  <c r="O26" i="132"/>
  <c r="R26" i="132"/>
  <c r="U26" i="132"/>
  <c r="AD26" i="132"/>
  <c r="AG26" i="132"/>
  <c r="AJ26" i="132"/>
  <c r="AM26" i="132"/>
  <c r="AR27" i="132"/>
  <c r="AN30" i="132"/>
  <c r="M37" i="132"/>
  <c r="E10" i="125"/>
  <c r="B78" i="155"/>
  <c r="B13" i="131"/>
  <c r="D13" i="131" s="1"/>
  <c r="Q13" i="131"/>
  <c r="T13" i="131"/>
  <c r="W13" i="131"/>
  <c r="Z13" i="131"/>
  <c r="AC13" i="131"/>
  <c r="AF13" i="131"/>
  <c r="AI13" i="131"/>
  <c r="T25" i="131"/>
  <c r="W25" i="131"/>
  <c r="Z25" i="131"/>
  <c r="Q37" i="131"/>
  <c r="T37" i="131"/>
  <c r="AF37" i="131"/>
  <c r="AI37" i="131"/>
  <c r="T52" i="131"/>
  <c r="T128" i="131" s="1"/>
  <c r="AF43" i="131"/>
  <c r="AF52" i="131" s="1"/>
  <c r="AF128" i="131" s="1"/>
  <c r="B44" i="131"/>
  <c r="E44" i="131"/>
  <c r="G44" i="131" s="1"/>
  <c r="H44" i="131"/>
  <c r="J44" i="131" s="1"/>
  <c r="K44" i="131"/>
  <c r="M44" i="131" s="1"/>
  <c r="N44" i="131"/>
  <c r="Q44" i="131"/>
  <c r="T44" i="131"/>
  <c r="W44" i="131"/>
  <c r="Z44" i="131"/>
  <c r="AC44" i="131"/>
  <c r="AF44" i="131"/>
  <c r="E45" i="131"/>
  <c r="G45" i="131" s="1"/>
  <c r="H45" i="131"/>
  <c r="J45" i="131" s="1"/>
  <c r="K45" i="131"/>
  <c r="M45" i="131" s="1"/>
  <c r="N45" i="131"/>
  <c r="Q45" i="131"/>
  <c r="T45" i="131"/>
  <c r="W45" i="131"/>
  <c r="Z45" i="131"/>
  <c r="AC45" i="131"/>
  <c r="AF45" i="131"/>
  <c r="AI45" i="131"/>
  <c r="AL47" i="131"/>
  <c r="T51" i="131"/>
  <c r="T57" i="131" s="1"/>
  <c r="AL51" i="131"/>
  <c r="AL57" i="131" s="1"/>
  <c r="AF51" i="131"/>
  <c r="AF57" i="131" s="1"/>
  <c r="AL56" i="131"/>
  <c r="AN56" i="131" s="1"/>
  <c r="BD8" i="125"/>
  <c r="AL64" i="131"/>
  <c r="H79" i="131"/>
  <c r="Q79" i="131"/>
  <c r="AL78" i="131"/>
  <c r="AC79" i="131"/>
  <c r="AF79" i="131"/>
  <c r="AL103" i="131"/>
  <c r="AN104" i="131"/>
  <c r="AL105" i="131"/>
  <c r="AN105" i="131" s="1"/>
  <c r="AN106" i="131"/>
  <c r="AN107" i="131"/>
  <c r="AN108" i="131"/>
  <c r="AL109" i="131"/>
  <c r="AN109" i="131" s="1"/>
  <c r="AN110" i="131"/>
  <c r="N111" i="131"/>
  <c r="P111" i="131" s="1"/>
  <c r="Q111" i="131"/>
  <c r="T111" i="131"/>
  <c r="W111" i="131"/>
  <c r="Z111" i="131"/>
  <c r="AC111" i="131"/>
  <c r="AF111" i="131"/>
  <c r="AL114" i="131"/>
  <c r="AN114" i="131" s="1"/>
  <c r="B121" i="131"/>
  <c r="E121" i="131"/>
  <c r="H121" i="131"/>
  <c r="K121" i="131"/>
  <c r="N121" i="131"/>
  <c r="Q121" i="131"/>
  <c r="T121" i="131"/>
  <c r="W121" i="131"/>
  <c r="Z121" i="131"/>
  <c r="AC121" i="131"/>
  <c r="AF121" i="131"/>
  <c r="H19" i="139"/>
  <c r="R40" i="176"/>
  <c r="AO36" i="125"/>
  <c r="I38" i="125"/>
  <c r="AO38" i="125"/>
  <c r="I39" i="125"/>
  <c r="Q39" i="125"/>
  <c r="AG28" i="125"/>
  <c r="J19" i="132"/>
  <c r="J23" i="132" s="1"/>
  <c r="J26" i="132" s="1"/>
  <c r="Y19" i="132"/>
  <c r="S33" i="132"/>
  <c r="E35" i="125"/>
  <c r="G24" i="132"/>
  <c r="P24" i="132"/>
  <c r="S24" i="132"/>
  <c r="AG35" i="125"/>
  <c r="AE24" i="132"/>
  <c r="AK24" i="132"/>
  <c r="I5" i="132"/>
  <c r="L5" i="125" s="1"/>
  <c r="O5" i="132"/>
  <c r="P5" i="132"/>
  <c r="R5" i="132"/>
  <c r="V5" i="132"/>
  <c r="AC5" i="125" s="1"/>
  <c r="AE5" i="132"/>
  <c r="AG5" i="132"/>
  <c r="AJ5" i="132"/>
  <c r="AV5" i="125" s="1"/>
  <c r="AK5" i="132"/>
  <c r="E15" i="135"/>
  <c r="H15" i="135"/>
  <c r="K15" i="135"/>
  <c r="K17" i="135" s="1"/>
  <c r="N15" i="135"/>
  <c r="H11" i="139"/>
  <c r="BU6" i="125"/>
  <c r="BV6" i="125" s="1"/>
  <c r="E17" i="131"/>
  <c r="E22" i="131" s="1"/>
  <c r="I27" i="125"/>
  <c r="H28" i="125"/>
  <c r="T27" i="125"/>
  <c r="U27" i="125"/>
  <c r="AC27" i="125"/>
  <c r="D27" i="125"/>
  <c r="M27" i="125"/>
  <c r="AB22" i="132"/>
  <c r="D4" i="125"/>
  <c r="I11" i="139"/>
  <c r="I19" i="139"/>
  <c r="U28" i="125"/>
  <c r="U38" i="125"/>
  <c r="M35" i="125"/>
  <c r="I48" i="139"/>
  <c r="Q21" i="132"/>
  <c r="Q23" i="125"/>
  <c r="E38" i="125"/>
  <c r="AI43" i="131"/>
  <c r="AI52" i="131" s="1"/>
  <c r="AI128" i="131" s="1"/>
  <c r="AE13" i="135"/>
  <c r="AK12" i="135"/>
  <c r="K8" i="132"/>
  <c r="N8" i="125" s="1"/>
  <c r="D14" i="135"/>
  <c r="L15" i="125"/>
  <c r="M15" i="125" s="1"/>
  <c r="T4" i="135" l="1"/>
  <c r="X4" i="135"/>
  <c r="AJ6" i="132"/>
  <c r="AI55" i="155"/>
  <c r="AJ55" i="155" s="1"/>
  <c r="AI20" i="176"/>
  <c r="AC55" i="155"/>
  <c r="AC20" i="176"/>
  <c r="AF55" i="155"/>
  <c r="AF20" i="176"/>
  <c r="AL13" i="176"/>
  <c r="AN13" i="176" s="1"/>
  <c r="AC13" i="176"/>
  <c r="AE13" i="176" s="1"/>
  <c r="Q4" i="135"/>
  <c r="O4" i="135"/>
  <c r="N4" i="135"/>
  <c r="I4" i="135"/>
  <c r="H4" i="135"/>
  <c r="H11" i="135" s="1"/>
  <c r="AD32" i="176"/>
  <c r="I40" i="176"/>
  <c r="C12" i="132"/>
  <c r="B9" i="176" s="1"/>
  <c r="B7" i="176"/>
  <c r="AD16" i="176"/>
  <c r="AD63" i="176" s="1"/>
  <c r="AE63" i="176" s="1"/>
  <c r="C5" i="176"/>
  <c r="AL96" i="131"/>
  <c r="AL142" i="131" s="1"/>
  <c r="AL145" i="131" s="1"/>
  <c r="B142" i="131"/>
  <c r="B145" i="131" s="1"/>
  <c r="C7" i="176"/>
  <c r="C4" i="153" s="1"/>
  <c r="U6" i="132"/>
  <c r="AB6" i="125" s="1"/>
  <c r="P15" i="135"/>
  <c r="E20" i="176"/>
  <c r="Q15" i="135"/>
  <c r="S15" i="135" s="1"/>
  <c r="G55" i="155"/>
  <c r="AB15" i="125"/>
  <c r="AC15" i="125" s="1"/>
  <c r="AD15" i="125" s="1"/>
  <c r="W8" i="132"/>
  <c r="J12" i="139"/>
  <c r="AM4" i="176"/>
  <c r="AN4" i="176" s="1"/>
  <c r="BA14" i="125"/>
  <c r="BB14" i="125" s="1"/>
  <c r="R6" i="132"/>
  <c r="Q20" i="176"/>
  <c r="L6" i="132"/>
  <c r="P6" i="125" s="1"/>
  <c r="K20" i="176"/>
  <c r="AN120" i="131"/>
  <c r="AL117" i="131"/>
  <c r="AN117" i="131" s="1"/>
  <c r="O17" i="135"/>
  <c r="AF147" i="131"/>
  <c r="AH147" i="131" s="1"/>
  <c r="H147" i="131"/>
  <c r="J156" i="131" s="1"/>
  <c r="AC147" i="131"/>
  <c r="AE147" i="131" s="1"/>
  <c r="Z147" i="131"/>
  <c r="AB147" i="131" s="1"/>
  <c r="B147" i="131"/>
  <c r="W147" i="131"/>
  <c r="Y147" i="131" s="1"/>
  <c r="T147" i="131"/>
  <c r="V147" i="131" s="1"/>
  <c r="Q147" i="131"/>
  <c r="S147" i="131" s="1"/>
  <c r="G121" i="131"/>
  <c r="E147" i="131"/>
  <c r="G156" i="131" s="1"/>
  <c r="M121" i="131"/>
  <c r="K147" i="131"/>
  <c r="M156" i="131" s="1"/>
  <c r="P121" i="131"/>
  <c r="N147" i="131"/>
  <c r="AN103" i="131"/>
  <c r="AN78" i="131"/>
  <c r="AL79" i="131"/>
  <c r="AN64" i="131"/>
  <c r="AL65" i="131"/>
  <c r="G22" i="131"/>
  <c r="E25" i="131"/>
  <c r="G25" i="131" s="1"/>
  <c r="J121" i="131"/>
  <c r="G17" i="131"/>
  <c r="C53" i="131"/>
  <c r="D121" i="131"/>
  <c r="D52" i="131"/>
  <c r="B46" i="131"/>
  <c r="D46" i="131" s="1"/>
  <c r="D44" i="131"/>
  <c r="D60" i="131"/>
  <c r="C62" i="131"/>
  <c r="C65" i="131" s="1"/>
  <c r="D65" i="131" s="1"/>
  <c r="C71" i="131"/>
  <c r="F68" i="131" s="1"/>
  <c r="AK17" i="135"/>
  <c r="I17" i="135"/>
  <c r="E11" i="135"/>
  <c r="G11" i="135" s="1"/>
  <c r="F71" i="131"/>
  <c r="I9" i="162"/>
  <c r="Z19" i="132"/>
  <c r="Y23" i="132"/>
  <c r="AL45" i="131"/>
  <c r="AN45" i="131" s="1"/>
  <c r="B88" i="155"/>
  <c r="E78" i="155" s="1"/>
  <c r="C17" i="155"/>
  <c r="E32" i="125"/>
  <c r="D12" i="132"/>
  <c r="AK80" i="125"/>
  <c r="AO15" i="125"/>
  <c r="AN17" i="132"/>
  <c r="E80" i="131"/>
  <c r="AN21" i="132"/>
  <c r="AD4" i="135"/>
  <c r="AD11" i="135" s="1"/>
  <c r="AF17" i="135"/>
  <c r="B18" i="155"/>
  <c r="C18" i="155" s="1"/>
  <c r="AG17" i="135"/>
  <c r="AC46" i="131"/>
  <c r="AG4" i="135"/>
  <c r="AS13" i="125" s="1"/>
  <c r="G5" i="132"/>
  <c r="I5" i="125" s="1"/>
  <c r="AO15" i="135"/>
  <c r="AO17" i="135" s="1"/>
  <c r="AF15" i="125"/>
  <c r="AG15" i="125" s="1"/>
  <c r="AH15" i="125" s="1"/>
  <c r="AJ16" i="125"/>
  <c r="AJ67" i="125" s="1"/>
  <c r="AK15" i="125"/>
  <c r="AL15" i="125" s="1"/>
  <c r="AE7" i="135"/>
  <c r="D13" i="135"/>
  <c r="AE6" i="135"/>
  <c r="AK37" i="125"/>
  <c r="Z17" i="135"/>
  <c r="AA17" i="135"/>
  <c r="AJ13" i="125"/>
  <c r="AF13" i="125"/>
  <c r="Y5" i="135"/>
  <c r="W54" i="155"/>
  <c r="W17" i="135"/>
  <c r="U40" i="176"/>
  <c r="AC32" i="125"/>
  <c r="T17" i="135"/>
  <c r="E12" i="155"/>
  <c r="F12" i="155" s="1"/>
  <c r="V7" i="135"/>
  <c r="R17" i="135"/>
  <c r="Y13" i="125"/>
  <c r="Y16" i="125" s="1"/>
  <c r="X13" i="125"/>
  <c r="X16" i="125" s="1"/>
  <c r="P5" i="135"/>
  <c r="J10" i="139"/>
  <c r="J29" i="139"/>
  <c r="P7" i="135"/>
  <c r="AD27" i="125"/>
  <c r="AS5" i="135"/>
  <c r="AT5" i="135" s="1"/>
  <c r="AS8" i="135"/>
  <c r="AT8" i="135" s="1"/>
  <c r="AS6" i="135"/>
  <c r="AT6" i="135" s="1"/>
  <c r="AQ22" i="132"/>
  <c r="AS7" i="135"/>
  <c r="AT7" i="135" s="1"/>
  <c r="G9" i="162"/>
  <c r="F10" i="162"/>
  <c r="G10" i="162" s="1"/>
  <c r="I37" i="125"/>
  <c r="J26" i="139"/>
  <c r="AW32" i="125"/>
  <c r="AV16" i="125"/>
  <c r="AW15" i="125"/>
  <c r="AX15" i="125" s="1"/>
  <c r="AW64" i="125"/>
  <c r="AW74" i="125" s="1"/>
  <c r="AK32" i="155"/>
  <c r="AK112" i="155" s="1"/>
  <c r="U11" i="153"/>
  <c r="Q9" i="153"/>
  <c r="U9" i="153"/>
  <c r="U6" i="153"/>
  <c r="Q10" i="153"/>
  <c r="U10" i="153"/>
  <c r="S8" i="135"/>
  <c r="S6" i="135"/>
  <c r="AM14" i="135"/>
  <c r="AM12" i="135"/>
  <c r="AM13" i="135"/>
  <c r="AD5" i="132"/>
  <c r="AN5" i="125" s="1"/>
  <c r="Q13" i="153"/>
  <c r="U13" i="153"/>
  <c r="AN34" i="135"/>
  <c r="AR16" i="125"/>
  <c r="AS15" i="125"/>
  <c r="AD18" i="135"/>
  <c r="AS27" i="125"/>
  <c r="AT27" i="125" s="1"/>
  <c r="AO31" i="125"/>
  <c r="AD40" i="176"/>
  <c r="AN16" i="125"/>
  <c r="AN67" i="125" s="1"/>
  <c r="AD41" i="176"/>
  <c r="AF54" i="155"/>
  <c r="AA41" i="176"/>
  <c r="AB73" i="155"/>
  <c r="AE63" i="155" s="1"/>
  <c r="AA40" i="176"/>
  <c r="J34" i="139"/>
  <c r="AA26" i="135"/>
  <c r="I11" i="153"/>
  <c r="AH12" i="125"/>
  <c r="AO64" i="125"/>
  <c r="AO74" i="125" s="1"/>
  <c r="AB33" i="132"/>
  <c r="I10" i="153"/>
  <c r="AD12" i="125"/>
  <c r="J54" i="155"/>
  <c r="G73" i="155"/>
  <c r="AL78" i="155"/>
  <c r="B80" i="155"/>
  <c r="N54" i="155"/>
  <c r="AL96" i="155"/>
  <c r="T54" i="155"/>
  <c r="Z54" i="155"/>
  <c r="L152" i="131"/>
  <c r="P54" i="155"/>
  <c r="M73" i="155"/>
  <c r="V54" i="155"/>
  <c r="S73" i="155"/>
  <c r="U41" i="176"/>
  <c r="Z15" i="125"/>
  <c r="Y32" i="125"/>
  <c r="R41" i="176"/>
  <c r="R67" i="176" s="1"/>
  <c r="J31" i="139"/>
  <c r="D31" i="139"/>
  <c r="V6" i="135"/>
  <c r="S5" i="135"/>
  <c r="S13" i="135"/>
  <c r="O33" i="176"/>
  <c r="O35" i="176" s="1"/>
  <c r="S14" i="135"/>
  <c r="AC64" i="125"/>
  <c r="AC74" i="125" s="1"/>
  <c r="Y31" i="125"/>
  <c r="Y33" i="125" s="1"/>
  <c r="AS38" i="125"/>
  <c r="N11" i="135"/>
  <c r="AK36" i="125"/>
  <c r="AC39" i="125"/>
  <c r="AS36" i="125"/>
  <c r="AS39" i="125"/>
  <c r="Y38" i="125"/>
  <c r="F13" i="125"/>
  <c r="AW36" i="125"/>
  <c r="P12" i="135"/>
  <c r="D46" i="139"/>
  <c r="H8" i="132"/>
  <c r="J8" i="125" s="1"/>
  <c r="P15" i="125"/>
  <c r="I41" i="176"/>
  <c r="J7" i="139"/>
  <c r="J28" i="139"/>
  <c r="J45" i="139"/>
  <c r="J7" i="135"/>
  <c r="J27" i="139"/>
  <c r="H13" i="125"/>
  <c r="AM7" i="135"/>
  <c r="I15" i="153"/>
  <c r="J43" i="139"/>
  <c r="AK19" i="132"/>
  <c r="AN9" i="135"/>
  <c r="F5" i="132"/>
  <c r="AM8" i="135"/>
  <c r="G19" i="132"/>
  <c r="AL44" i="131"/>
  <c r="AN44" i="131" s="1"/>
  <c r="AM6" i="135"/>
  <c r="AN21" i="131"/>
  <c r="AM5" i="135"/>
  <c r="J17" i="139"/>
  <c r="AI53" i="131"/>
  <c r="AI46" i="131"/>
  <c r="D52" i="139"/>
  <c r="M33" i="139"/>
  <c r="AI4" i="135"/>
  <c r="AL10" i="135"/>
  <c r="AN10" i="135" s="1"/>
  <c r="AK22" i="132"/>
  <c r="G53" i="139"/>
  <c r="G52" i="139"/>
  <c r="D36" i="139"/>
  <c r="G36" i="139"/>
  <c r="D53" i="139"/>
  <c r="G17" i="139"/>
  <c r="D17" i="139"/>
  <c r="AK13" i="135"/>
  <c r="AK14" i="135"/>
  <c r="AX27" i="125"/>
  <c r="AJ26" i="135"/>
  <c r="M12" i="135"/>
  <c r="AC21" i="132"/>
  <c r="AH7" i="135"/>
  <c r="AK18" i="135"/>
  <c r="AH13" i="135"/>
  <c r="AH14" i="135"/>
  <c r="J52" i="139"/>
  <c r="M35" i="139"/>
  <c r="D35" i="139"/>
  <c r="AH5" i="135"/>
  <c r="J16" i="139"/>
  <c r="D16" i="139"/>
  <c r="AE5" i="135"/>
  <c r="AC4" i="135"/>
  <c r="AS37" i="125"/>
  <c r="J15" i="139"/>
  <c r="AD26" i="135"/>
  <c r="G51" i="139"/>
  <c r="G50" i="139"/>
  <c r="G49" i="139"/>
  <c r="AE22" i="132"/>
  <c r="AE33" i="132" s="1"/>
  <c r="J14" i="139"/>
  <c r="AE19" i="132"/>
  <c r="AE16" i="135"/>
  <c r="J13" i="139"/>
  <c r="AC53" i="131"/>
  <c r="W21" i="132"/>
  <c r="Y8" i="135"/>
  <c r="G34" i="139"/>
  <c r="D51" i="139"/>
  <c r="M34" i="139"/>
  <c r="G15" i="139"/>
  <c r="D15" i="139"/>
  <c r="D34" i="139"/>
  <c r="AE12" i="135"/>
  <c r="AE14" i="135"/>
  <c r="AB6" i="135"/>
  <c r="V8" i="135"/>
  <c r="D30" i="139"/>
  <c r="AB5" i="135"/>
  <c r="M12" i="139"/>
  <c r="W46" i="131"/>
  <c r="AA33" i="132"/>
  <c r="V5" i="135"/>
  <c r="F49" i="135"/>
  <c r="AB14" i="135"/>
  <c r="D50" i="139"/>
  <c r="AK64" i="125"/>
  <c r="J50" i="139"/>
  <c r="J33" i="139"/>
  <c r="AB7" i="135"/>
  <c r="AB8" i="135"/>
  <c r="D33" i="139"/>
  <c r="G33" i="139"/>
  <c r="M14" i="139"/>
  <c r="G14" i="139"/>
  <c r="AB13" i="135"/>
  <c r="Y13" i="135"/>
  <c r="D49" i="139"/>
  <c r="J49" i="139"/>
  <c r="Y7" i="135"/>
  <c r="J32" i="139"/>
  <c r="M32" i="139"/>
  <c r="D32" i="139"/>
  <c r="M13" i="139"/>
  <c r="G13" i="139"/>
  <c r="D13" i="139"/>
  <c r="U17" i="135"/>
  <c r="G48" i="139"/>
  <c r="BK16" i="125"/>
  <c r="BK22" i="125" s="1"/>
  <c r="V12" i="135"/>
  <c r="AC36" i="125"/>
  <c r="V24" i="132"/>
  <c r="AC35" i="125" s="1"/>
  <c r="S7" i="135"/>
  <c r="Y64" i="125"/>
  <c r="G31" i="139"/>
  <c r="L49" i="135"/>
  <c r="D29" i="139"/>
  <c r="D28" i="139"/>
  <c r="V13" i="135"/>
  <c r="V14" i="135"/>
  <c r="D48" i="139"/>
  <c r="M31" i="139"/>
  <c r="G12" i="139"/>
  <c r="AJ12" i="132"/>
  <c r="AI9" i="176" s="1"/>
  <c r="P19" i="132"/>
  <c r="P23" i="132" s="1"/>
  <c r="Y28" i="125"/>
  <c r="Z28" i="125" s="1"/>
  <c r="G7" i="139"/>
  <c r="G6" i="139"/>
  <c r="G28" i="139"/>
  <c r="P55" i="155"/>
  <c r="AE12" i="132"/>
  <c r="AD9" i="176" s="1"/>
  <c r="I49" i="135"/>
  <c r="J6" i="135"/>
  <c r="BQ18" i="125"/>
  <c r="S19" i="132"/>
  <c r="S23" i="132" s="1"/>
  <c r="D47" i="139"/>
  <c r="G47" i="139"/>
  <c r="J47" i="139"/>
  <c r="J30" i="139"/>
  <c r="M30" i="139"/>
  <c r="M11" i="139"/>
  <c r="J11" i="139"/>
  <c r="G11" i="139"/>
  <c r="D11" i="139"/>
  <c r="AO5" i="125"/>
  <c r="AG33" i="132"/>
  <c r="AS22" i="125"/>
  <c r="AW80" i="125" s="1"/>
  <c r="AZ4" i="125"/>
  <c r="AC37" i="125"/>
  <c r="AG74" i="125"/>
  <c r="AK35" i="125"/>
  <c r="X5" i="125"/>
  <c r="N5" i="132"/>
  <c r="AN47" i="132"/>
  <c r="M48" i="132"/>
  <c r="Q22" i="125"/>
  <c r="AR22" i="125"/>
  <c r="AZ22" i="125" s="1"/>
  <c r="AL50" i="135"/>
  <c r="AN50" i="135" s="1"/>
  <c r="C50" i="135"/>
  <c r="I22" i="125"/>
  <c r="AN15" i="132"/>
  <c r="AQ15" i="132" s="1"/>
  <c r="AQ12" i="132" s="1"/>
  <c r="G46" i="139"/>
  <c r="J46" i="139"/>
  <c r="M29" i="139"/>
  <c r="M10" i="139"/>
  <c r="G10" i="139"/>
  <c r="P14" i="135"/>
  <c r="P13" i="135"/>
  <c r="Q5" i="132"/>
  <c r="AG39" i="125"/>
  <c r="M14" i="135"/>
  <c r="G45" i="139"/>
  <c r="AJ33" i="132"/>
  <c r="M13" i="135"/>
  <c r="E4" i="125"/>
  <c r="Q28" i="125"/>
  <c r="R28" i="125" s="1"/>
  <c r="O53" i="139"/>
  <c r="M24" i="132"/>
  <c r="Q35" i="125" s="1"/>
  <c r="U10" i="125"/>
  <c r="CD5" i="125"/>
  <c r="F6" i="132"/>
  <c r="AD12" i="132"/>
  <c r="AC9" i="176" s="1"/>
  <c r="D45" i="139"/>
  <c r="M28" i="139"/>
  <c r="M9" i="139"/>
  <c r="J9" i="139"/>
  <c r="G9" i="139"/>
  <c r="BP9" i="125"/>
  <c r="BP11" i="125" s="1"/>
  <c r="BL21" i="125"/>
  <c r="BL12" i="125"/>
  <c r="AH18" i="135"/>
  <c r="T21" i="132"/>
  <c r="S55" i="155"/>
  <c r="R55" i="155" s="1"/>
  <c r="J15" i="135"/>
  <c r="J8" i="135"/>
  <c r="J12" i="135"/>
  <c r="AK38" i="125"/>
  <c r="V27" i="125"/>
  <c r="K5" i="132"/>
  <c r="X6" i="132"/>
  <c r="AC38" i="125"/>
  <c r="J14" i="135"/>
  <c r="U33" i="132"/>
  <c r="M4" i="125"/>
  <c r="R26" i="135"/>
  <c r="H68" i="131"/>
  <c r="H70" i="131" s="1"/>
  <c r="AB28" i="125"/>
  <c r="BO26" i="125"/>
  <c r="Q64" i="125"/>
  <c r="Q74" i="125" s="1"/>
  <c r="J5" i="135"/>
  <c r="BA61" i="125"/>
  <c r="BA63" i="125" s="1"/>
  <c r="D44" i="139"/>
  <c r="J25" i="139"/>
  <c r="AG12" i="132"/>
  <c r="AF9" i="176" s="1"/>
  <c r="G27" i="139"/>
  <c r="J8" i="139"/>
  <c r="M27" i="139"/>
  <c r="F19" i="139"/>
  <c r="G8" i="139"/>
  <c r="C19" i="139"/>
  <c r="D8" i="139"/>
  <c r="J44" i="139"/>
  <c r="G44" i="139"/>
  <c r="M8" i="139"/>
  <c r="L19" i="139"/>
  <c r="M38" i="125"/>
  <c r="Y35" i="125"/>
  <c r="AC28" i="125"/>
  <c r="H17" i="131"/>
  <c r="AK39" i="125"/>
  <c r="BQ19" i="125"/>
  <c r="G22" i="132"/>
  <c r="G33" i="132" s="1"/>
  <c r="BL8" i="125"/>
  <c r="Y36" i="125"/>
  <c r="AL12" i="125"/>
  <c r="AA12" i="132"/>
  <c r="Z9" i="176" s="1"/>
  <c r="BP17" i="125"/>
  <c r="M39" i="125"/>
  <c r="AF27" i="125"/>
  <c r="AH27" i="125" s="1"/>
  <c r="B17" i="135"/>
  <c r="E17" i="135"/>
  <c r="U39" i="125"/>
  <c r="Z46" i="131"/>
  <c r="I4" i="125"/>
  <c r="CA23" i="125"/>
  <c r="CB5" i="125" s="1"/>
  <c r="M74" i="125"/>
  <c r="CY17" i="125"/>
  <c r="AT28" i="125"/>
  <c r="D43" i="139"/>
  <c r="G43" i="139"/>
  <c r="M26" i="139"/>
  <c r="G26" i="139"/>
  <c r="M7" i="139"/>
  <c r="D7" i="139"/>
  <c r="I36" i="125"/>
  <c r="I40" i="125" s="1"/>
  <c r="AO35" i="125"/>
  <c r="Y12" i="135"/>
  <c r="Y23" i="125"/>
  <c r="AG36" i="125"/>
  <c r="BD12" i="125"/>
  <c r="P27" i="125"/>
  <c r="O42" i="139"/>
  <c r="AT12" i="125"/>
  <c r="U12" i="132"/>
  <c r="AL16" i="135"/>
  <c r="AN16" i="135" s="1"/>
  <c r="O17" i="139"/>
  <c r="O7" i="139"/>
  <c r="O6" i="139"/>
  <c r="AL12" i="135"/>
  <c r="AP12" i="135" s="1"/>
  <c r="Q38" i="125"/>
  <c r="O30" i="139"/>
  <c r="AO39" i="125"/>
  <c r="AO40" i="125" s="1"/>
  <c r="Q27" i="125"/>
  <c r="E21" i="132"/>
  <c r="AH12" i="135"/>
  <c r="M28" i="125"/>
  <c r="AL39" i="135"/>
  <c r="AN39" i="135" s="1"/>
  <c r="BP24" i="125"/>
  <c r="E27" i="125"/>
  <c r="F27" i="125" s="1"/>
  <c r="E29" i="131"/>
  <c r="E34" i="131" s="1"/>
  <c r="Z27" i="125"/>
  <c r="AL14" i="135"/>
  <c r="AP14" i="135" s="1"/>
  <c r="AI21" i="132"/>
  <c r="I64" i="125"/>
  <c r="Q36" i="125"/>
  <c r="AF21" i="132"/>
  <c r="D39" i="135"/>
  <c r="N16" i="139"/>
  <c r="N10" i="139"/>
  <c r="N36" i="139"/>
  <c r="O26" i="139"/>
  <c r="M25" i="139"/>
  <c r="K37" i="139"/>
  <c r="D10" i="139"/>
  <c r="O52" i="139"/>
  <c r="O49" i="139"/>
  <c r="O48" i="139"/>
  <c r="O31" i="139"/>
  <c r="AK76" i="125"/>
  <c r="AC76" i="125"/>
  <c r="N27" i="139"/>
  <c r="AE8" i="135"/>
  <c r="G16" i="139"/>
  <c r="N32" i="139"/>
  <c r="N30" i="139"/>
  <c r="N29" i="139"/>
  <c r="O16" i="139"/>
  <c r="O15" i="139"/>
  <c r="N9" i="139"/>
  <c r="AP12" i="125"/>
  <c r="N35" i="139"/>
  <c r="O51" i="139"/>
  <c r="O50" i="139"/>
  <c r="O44" i="139"/>
  <c r="C54" i="139"/>
  <c r="O36" i="139"/>
  <c r="O35" i="139"/>
  <c r="O33" i="139"/>
  <c r="C18" i="139"/>
  <c r="F12" i="125"/>
  <c r="J6" i="139"/>
  <c r="D27" i="139"/>
  <c r="N13" i="139"/>
  <c r="N31" i="139"/>
  <c r="N8" i="139"/>
  <c r="O11" i="139"/>
  <c r="I23" i="125"/>
  <c r="O45" i="139"/>
  <c r="D42" i="139"/>
  <c r="O27" i="139"/>
  <c r="H18" i="139"/>
  <c r="N17" i="139"/>
  <c r="G30" i="139"/>
  <c r="D9" i="139"/>
  <c r="O47" i="139"/>
  <c r="O43" i="139"/>
  <c r="O34" i="139"/>
  <c r="O14" i="139"/>
  <c r="N14" i="139"/>
  <c r="M76" i="125"/>
  <c r="O29" i="139"/>
  <c r="O13" i="139"/>
  <c r="O12" i="139"/>
  <c r="N12" i="139"/>
  <c r="AX12" i="125"/>
  <c r="N25" i="139"/>
  <c r="D25" i="139"/>
  <c r="G25" i="139"/>
  <c r="N42" i="139"/>
  <c r="N54" i="139" s="1"/>
  <c r="AM15" i="132"/>
  <c r="B54" i="139"/>
  <c r="O25" i="139"/>
  <c r="E39" i="125"/>
  <c r="E36" i="125"/>
  <c r="AN8" i="132"/>
  <c r="AR8" i="132" s="1"/>
  <c r="AM24" i="135"/>
  <c r="AL11" i="135"/>
  <c r="AO11" i="135" s="1"/>
  <c r="D47" i="135"/>
  <c r="D46" i="135"/>
  <c r="AL111" i="131"/>
  <c r="T53" i="131"/>
  <c r="Z53" i="131"/>
  <c r="T46" i="131"/>
  <c r="AF46" i="131"/>
  <c r="B112" i="131"/>
  <c r="B113" i="131" s="1"/>
  <c r="E60" i="131"/>
  <c r="BR8" i="125"/>
  <c r="BR21" i="125"/>
  <c r="BR5" i="125"/>
  <c r="BR6" i="125"/>
  <c r="BR10" i="125"/>
  <c r="BD5" i="125"/>
  <c r="AW10" i="125"/>
  <c r="AS10" i="125"/>
  <c r="AO10" i="125"/>
  <c r="AK10" i="125"/>
  <c r="BA10" i="125" s="1"/>
  <c r="AG10" i="125"/>
  <c r="AC10" i="125"/>
  <c r="Y10" i="125"/>
  <c r="Q10" i="125"/>
  <c r="AW76" i="125"/>
  <c r="AO76" i="125"/>
  <c r="AG76" i="125"/>
  <c r="U76" i="125"/>
  <c r="E18" i="139"/>
  <c r="AK5" i="135"/>
  <c r="AS74" i="125"/>
  <c r="L37" i="139"/>
  <c r="C37" i="139"/>
  <c r="N34" i="139"/>
  <c r="N15" i="139"/>
  <c r="N33" i="139"/>
  <c r="D14" i="139"/>
  <c r="Y6" i="135"/>
  <c r="O32" i="139"/>
  <c r="G32" i="139"/>
  <c r="AL5" i="135"/>
  <c r="D12" i="139"/>
  <c r="I54" i="139"/>
  <c r="F54" i="139"/>
  <c r="N11" i="139"/>
  <c r="F18" i="139"/>
  <c r="E37" i="139"/>
  <c r="AL8" i="135"/>
  <c r="L18" i="139"/>
  <c r="P8" i="135"/>
  <c r="O10" i="139"/>
  <c r="I37" i="139"/>
  <c r="E54" i="139"/>
  <c r="N28" i="139"/>
  <c r="U74" i="125"/>
  <c r="E19" i="139"/>
  <c r="BA12" i="125"/>
  <c r="I18" i="139"/>
  <c r="H37" i="139"/>
  <c r="O46" i="139"/>
  <c r="AL7" i="135"/>
  <c r="AZ12" i="125"/>
  <c r="G29" i="139"/>
  <c r="P6" i="135"/>
  <c r="F37" i="139"/>
  <c r="B37" i="139"/>
  <c r="O8" i="139"/>
  <c r="M21" i="135"/>
  <c r="M24" i="135"/>
  <c r="AL6" i="135"/>
  <c r="O28" i="139"/>
  <c r="S7" i="139" s="1"/>
  <c r="O9" i="139"/>
  <c r="B18" i="139"/>
  <c r="D26" i="139"/>
  <c r="K18" i="139"/>
  <c r="N7" i="139"/>
  <c r="N26" i="139"/>
  <c r="L54" i="139"/>
  <c r="E76" i="125"/>
  <c r="H54" i="139"/>
  <c r="J42" i="139"/>
  <c r="AL7" i="176"/>
  <c r="D21" i="135"/>
  <c r="D20" i="135"/>
  <c r="D24" i="135"/>
  <c r="N6" i="139"/>
  <c r="M6" i="139"/>
  <c r="D6" i="139"/>
  <c r="M32" i="125"/>
  <c r="AK32" i="125"/>
  <c r="AG38" i="125"/>
  <c r="M36" i="125"/>
  <c r="E37" i="125"/>
  <c r="AW37" i="125"/>
  <c r="AW38" i="125"/>
  <c r="AW39" i="125"/>
  <c r="U36" i="125"/>
  <c r="Y39" i="125"/>
  <c r="U37" i="125"/>
  <c r="AS31" i="125"/>
  <c r="U31" i="125"/>
  <c r="Q31" i="125"/>
  <c r="AW31" i="125"/>
  <c r="AG31" i="125"/>
  <c r="V28" i="125"/>
  <c r="AM22" i="132"/>
  <c r="AM33" i="132" s="1"/>
  <c r="N21" i="132"/>
  <c r="R33" i="132"/>
  <c r="N27" i="125"/>
  <c r="AJ28" i="125"/>
  <c r="AH28" i="125"/>
  <c r="K21" i="132"/>
  <c r="D28" i="125"/>
  <c r="J27" i="125"/>
  <c r="AL21" i="132"/>
  <c r="AK27" i="125"/>
  <c r="AO27" i="125"/>
  <c r="H21" i="132"/>
  <c r="AW35" i="125"/>
  <c r="V50" i="125"/>
  <c r="Q22" i="132"/>
  <c r="AI22" i="132"/>
  <c r="K22" i="132"/>
  <c r="I35" i="125"/>
  <c r="V19" i="132"/>
  <c r="V23" i="132" s="1"/>
  <c r="AS35" i="125"/>
  <c r="AK28" i="125"/>
  <c r="AC22" i="132"/>
  <c r="U35" i="125"/>
  <c r="J55" i="155"/>
  <c r="I55" i="155" s="1"/>
  <c r="AM8" i="132"/>
  <c r="AZ8" i="125" s="1"/>
  <c r="AL13" i="135"/>
  <c r="AP13" i="135" s="1"/>
  <c r="AA6" i="132"/>
  <c r="D6" i="125"/>
  <c r="AG6" i="132"/>
  <c r="AD6" i="132"/>
  <c r="AV6" i="125"/>
  <c r="P5" i="125"/>
  <c r="U5" i="125"/>
  <c r="AF5" i="125"/>
  <c r="Q5" i="125"/>
  <c r="AR5" i="125"/>
  <c r="AK5" i="125"/>
  <c r="C17" i="135"/>
  <c r="AW5" i="125"/>
  <c r="AX5" i="125" s="1"/>
  <c r="AL5" i="132"/>
  <c r="T5" i="125"/>
  <c r="AH5" i="132"/>
  <c r="AC5" i="132"/>
  <c r="AJ5" i="125"/>
  <c r="D5" i="125"/>
  <c r="AH6" i="132" l="1"/>
  <c r="AS6" i="125" s="1"/>
  <c r="AH55" i="155"/>
  <c r="AH69" i="155" s="1"/>
  <c r="AH70" i="155" s="1"/>
  <c r="AG20" i="176"/>
  <c r="AG56" i="176" s="1"/>
  <c r="AG64" i="176" s="1"/>
  <c r="AH64" i="176" s="1"/>
  <c r="G69" i="155"/>
  <c r="G70" i="155" s="1"/>
  <c r="F55" i="155"/>
  <c r="AG55" i="155"/>
  <c r="AC69" i="155"/>
  <c r="AC70" i="155" s="1"/>
  <c r="X20" i="176"/>
  <c r="X56" i="176" s="1"/>
  <c r="X64" i="176" s="1"/>
  <c r="Y64" i="176" s="1"/>
  <c r="Y55" i="155"/>
  <c r="Y6" i="132"/>
  <c r="AG6" i="125" s="1"/>
  <c r="N20" i="176"/>
  <c r="N55" i="155"/>
  <c r="O55" i="155" s="1"/>
  <c r="AE6" i="132"/>
  <c r="AO6" i="125" s="1"/>
  <c r="AE55" i="155"/>
  <c r="AD55" i="155" s="1"/>
  <c r="AD20" i="176"/>
  <c r="AD56" i="176" s="1"/>
  <c r="AD64" i="176" s="1"/>
  <c r="AE64" i="176" s="1"/>
  <c r="U20" i="176"/>
  <c r="V55" i="155"/>
  <c r="U55" i="155" s="1"/>
  <c r="AJ112" i="155"/>
  <c r="AK109" i="155"/>
  <c r="AN7" i="176"/>
  <c r="AL121" i="131"/>
  <c r="AL147" i="131" s="1"/>
  <c r="AA44" i="176"/>
  <c r="AA67" i="176"/>
  <c r="AM4" i="135"/>
  <c r="AV4" i="135" s="1"/>
  <c r="AD67" i="176"/>
  <c r="AD44" i="176"/>
  <c r="AL4" i="135"/>
  <c r="O38" i="181"/>
  <c r="O24" i="181"/>
  <c r="O39" i="181"/>
  <c r="P39" i="181" s="1"/>
  <c r="O37" i="181"/>
  <c r="Q11" i="153"/>
  <c r="X28" i="176"/>
  <c r="Q11" i="135"/>
  <c r="AB16" i="125"/>
  <c r="AD23" i="125" s="1"/>
  <c r="F158" i="131"/>
  <c r="F67" i="176"/>
  <c r="F44" i="176"/>
  <c r="I158" i="131"/>
  <c r="C158" i="131"/>
  <c r="I44" i="176"/>
  <c r="I67" i="176"/>
  <c r="O41" i="176"/>
  <c r="O158" i="131"/>
  <c r="U67" i="176"/>
  <c r="U44" i="176"/>
  <c r="R44" i="176"/>
  <c r="D5" i="176"/>
  <c r="C3" i="176"/>
  <c r="B4" i="153" s="1"/>
  <c r="AE16" i="176"/>
  <c r="AD17" i="176"/>
  <c r="C147" i="131"/>
  <c r="C64" i="176"/>
  <c r="D64" i="176" s="1"/>
  <c r="D7" i="176"/>
  <c r="B8" i="176"/>
  <c r="S6" i="132"/>
  <c r="Y6" i="125" s="1"/>
  <c r="P6" i="132"/>
  <c r="U6" i="125" s="1"/>
  <c r="J6" i="132"/>
  <c r="M6" i="125" s="1"/>
  <c r="F20" i="176"/>
  <c r="F56" i="176" s="1"/>
  <c r="G64" i="176" s="1"/>
  <c r="G6" i="132"/>
  <c r="I6" i="125" s="1"/>
  <c r="I9" i="125" s="1"/>
  <c r="I11" i="125" s="1"/>
  <c r="G63" i="132" s="1"/>
  <c r="V6" i="132"/>
  <c r="AC6" i="125" s="1"/>
  <c r="Q17" i="135"/>
  <c r="S17" i="135" s="1"/>
  <c r="G15" i="135"/>
  <c r="F17" i="135"/>
  <c r="F19" i="135" s="1"/>
  <c r="D18" i="135"/>
  <c r="I20" i="176"/>
  <c r="O6" i="132"/>
  <c r="AM6" i="132" s="1"/>
  <c r="O20" i="176"/>
  <c r="U56" i="176"/>
  <c r="BA8" i="125"/>
  <c r="R20" i="176"/>
  <c r="U13" i="125"/>
  <c r="O11" i="135"/>
  <c r="C9" i="176"/>
  <c r="D9" i="176" s="1"/>
  <c r="H148" i="131"/>
  <c r="S6" i="139"/>
  <c r="S10" i="139" s="1"/>
  <c r="S12" i="139" s="1"/>
  <c r="W17" i="132"/>
  <c r="T9" i="176"/>
  <c r="J147" i="131"/>
  <c r="AM65" i="176"/>
  <c r="B148" i="131"/>
  <c r="Q6" i="153"/>
  <c r="I150" i="131"/>
  <c r="F150" i="131"/>
  <c r="F152" i="131"/>
  <c r="M147" i="131"/>
  <c r="K148" i="131"/>
  <c r="N148" i="131"/>
  <c r="G147" i="131"/>
  <c r="E148" i="131"/>
  <c r="D113" i="131"/>
  <c r="B122" i="131"/>
  <c r="H71" i="131"/>
  <c r="H72" i="131" s="1"/>
  <c r="J17" i="131"/>
  <c r="H22" i="131"/>
  <c r="G29" i="131"/>
  <c r="BD6" i="125"/>
  <c r="BD9" i="125" s="1"/>
  <c r="AN111" i="131"/>
  <c r="AN33" i="131"/>
  <c r="AN37" i="131"/>
  <c r="E61" i="131"/>
  <c r="H56" i="131" s="1"/>
  <c r="H60" i="131" s="1"/>
  <c r="H61" i="131" s="1"/>
  <c r="K56" i="131" s="1"/>
  <c r="I68" i="131"/>
  <c r="G71" i="131"/>
  <c r="G68" i="131"/>
  <c r="I5" i="162"/>
  <c r="G21" i="131"/>
  <c r="E103" i="131"/>
  <c r="D112" i="131"/>
  <c r="D88" i="155"/>
  <c r="G78" i="155" s="1"/>
  <c r="B14" i="176"/>
  <c r="D8" i="131"/>
  <c r="C69" i="131"/>
  <c r="D62" i="131"/>
  <c r="D71" i="131"/>
  <c r="C83" i="131"/>
  <c r="B41" i="131"/>
  <c r="Y17" i="135"/>
  <c r="C19" i="135"/>
  <c r="C25" i="135" s="1"/>
  <c r="C27" i="135" s="1"/>
  <c r="AB69" i="155"/>
  <c r="AB70" i="155" s="1"/>
  <c r="AB74" i="155" s="1"/>
  <c r="V69" i="155"/>
  <c r="V70" i="155" s="1"/>
  <c r="I71" i="131"/>
  <c r="L68" i="131" s="1"/>
  <c r="L9" i="162"/>
  <c r="F4" i="162"/>
  <c r="L11" i="135"/>
  <c r="I36" i="176"/>
  <c r="E4" i="131"/>
  <c r="E10" i="131" s="1"/>
  <c r="E19" i="135"/>
  <c r="D25" i="132"/>
  <c r="D17" i="135"/>
  <c r="B19" i="135"/>
  <c r="Q5" i="153"/>
  <c r="AV79" i="125"/>
  <c r="AT15" i="125"/>
  <c r="AP15" i="125"/>
  <c r="Q15" i="125"/>
  <c r="R15" i="125" s="1"/>
  <c r="AV13" i="125"/>
  <c r="AX13" i="125" s="1"/>
  <c r="AI11" i="135"/>
  <c r="AK11" i="135" s="1"/>
  <c r="AI54" i="155"/>
  <c r="AJ54" i="155" s="1"/>
  <c r="AW28" i="125"/>
  <c r="AX28" i="125" s="1"/>
  <c r="AK33" i="132"/>
  <c r="AL33" i="132" s="1"/>
  <c r="AX50" i="125" s="1"/>
  <c r="AF16" i="125"/>
  <c r="AH17" i="135"/>
  <c r="P17" i="139"/>
  <c r="AG36" i="176"/>
  <c r="H33" i="132"/>
  <c r="J50" i="125" s="1"/>
  <c r="AN22" i="132"/>
  <c r="AN33" i="132" s="1"/>
  <c r="AH54" i="155"/>
  <c r="AH60" i="155" s="1"/>
  <c r="AH113" i="155" s="1"/>
  <c r="AG11" i="135"/>
  <c r="AD19" i="135"/>
  <c r="AF19" i="135"/>
  <c r="AK13" i="125"/>
  <c r="U5" i="153"/>
  <c r="AC11" i="135"/>
  <c r="AE11" i="135" s="1"/>
  <c r="AE4" i="135"/>
  <c r="R33" i="176"/>
  <c r="R35" i="176" s="1"/>
  <c r="AE18" i="135"/>
  <c r="AO4" i="135"/>
  <c r="AB17" i="135"/>
  <c r="AO13" i="125"/>
  <c r="D69" i="155"/>
  <c r="AB4" i="135"/>
  <c r="Z11" i="135"/>
  <c r="AG13" i="125"/>
  <c r="AA11" i="135"/>
  <c r="AA19" i="135" s="1"/>
  <c r="AA25" i="135" s="1"/>
  <c r="X11" i="135"/>
  <c r="X19" i="135" s="1"/>
  <c r="Y62" i="132" s="1"/>
  <c r="Y54" i="155"/>
  <c r="Y60" i="155" s="1"/>
  <c r="Y113" i="155" s="1"/>
  <c r="Y4" i="135"/>
  <c r="I11" i="135"/>
  <c r="AZ49" i="125"/>
  <c r="AN73" i="155"/>
  <c r="S4" i="135"/>
  <c r="S69" i="155"/>
  <c r="S70" i="155" s="1"/>
  <c r="T13" i="125"/>
  <c r="P4" i="135"/>
  <c r="N17" i="135"/>
  <c r="P63" i="155"/>
  <c r="K69" i="155"/>
  <c r="K70" i="155" s="1"/>
  <c r="M31" i="125"/>
  <c r="M33" i="125" s="1"/>
  <c r="AF5" i="132"/>
  <c r="M13" i="125"/>
  <c r="AU11" i="135"/>
  <c r="B25" i="155"/>
  <c r="G6" i="162"/>
  <c r="B9" i="155"/>
  <c r="L13" i="125"/>
  <c r="L16" i="125" s="1"/>
  <c r="J63" i="155"/>
  <c r="AB18" i="135"/>
  <c r="I31" i="125"/>
  <c r="D23" i="132"/>
  <c r="AJ8" i="155"/>
  <c r="AJ32" i="155"/>
  <c r="AK10" i="155"/>
  <c r="AG32" i="125"/>
  <c r="AI69" i="155"/>
  <c r="AI70" i="155" s="1"/>
  <c r="AK69" i="155"/>
  <c r="AK60" i="155"/>
  <c r="AK113" i="155" s="1"/>
  <c r="AS32" i="125"/>
  <c r="AS33" i="125" s="1"/>
  <c r="AH12" i="132"/>
  <c r="U7" i="153"/>
  <c r="AH4" i="135"/>
  <c r="AR13" i="125"/>
  <c r="AT13" i="125" s="1"/>
  <c r="AJ19" i="135"/>
  <c r="AJ25" i="135" s="1"/>
  <c r="AK23" i="135"/>
  <c r="I16" i="153"/>
  <c r="I19" i="153" s="1"/>
  <c r="AH23" i="135"/>
  <c r="AO32" i="125"/>
  <c r="AO33" i="125" s="1"/>
  <c r="AO51" i="125" s="1"/>
  <c r="AE32" i="155"/>
  <c r="AE112" i="155" s="1"/>
  <c r="AD8" i="155"/>
  <c r="AE10" i="155"/>
  <c r="AI33" i="132"/>
  <c r="AT50" i="125" s="1"/>
  <c r="AE23" i="135"/>
  <c r="AN13" i="125"/>
  <c r="AE73" i="155"/>
  <c r="AH24" i="135"/>
  <c r="AH20" i="135"/>
  <c r="AK31" i="125"/>
  <c r="AK33" i="125" s="1"/>
  <c r="AE23" i="132"/>
  <c r="AA54" i="155"/>
  <c r="O54" i="155"/>
  <c r="AK4" i="125"/>
  <c r="AB12" i="132"/>
  <c r="T22" i="132"/>
  <c r="AG17" i="125"/>
  <c r="AB13" i="125"/>
  <c r="U54" i="155"/>
  <c r="AL80" i="155"/>
  <c r="M54" i="155"/>
  <c r="J73" i="155"/>
  <c r="Q54" i="155"/>
  <c r="G54" i="155"/>
  <c r="G60" i="155" s="1"/>
  <c r="G113" i="155" s="1"/>
  <c r="G114" i="155" s="1"/>
  <c r="D73" i="155"/>
  <c r="V63" i="155"/>
  <c r="H54" i="155"/>
  <c r="E54" i="155"/>
  <c r="C59" i="155"/>
  <c r="V73" i="155"/>
  <c r="Y63" i="155" s="1"/>
  <c r="U33" i="176"/>
  <c r="U35" i="176" s="1"/>
  <c r="Z13" i="125"/>
  <c r="AS40" i="125"/>
  <c r="AS41" i="125" s="1"/>
  <c r="V12" i="132"/>
  <c r="U9" i="176" s="1"/>
  <c r="H17" i="132"/>
  <c r="N15" i="125"/>
  <c r="K17" i="132"/>
  <c r="T17" i="125"/>
  <c r="T15" i="125"/>
  <c r="U15" i="125" s="1"/>
  <c r="V15" i="125" s="1"/>
  <c r="M12" i="132"/>
  <c r="L9" i="176" s="1"/>
  <c r="J13" i="125"/>
  <c r="H5" i="132"/>
  <c r="M18" i="135"/>
  <c r="S24" i="135"/>
  <c r="Q32" i="125"/>
  <c r="Q33" i="125" s="1"/>
  <c r="AH21" i="135"/>
  <c r="AK4" i="135"/>
  <c r="P20" i="135"/>
  <c r="U32" i="125"/>
  <c r="U33" i="125" s="1"/>
  <c r="X67" i="125"/>
  <c r="CB17" i="125"/>
  <c r="H15" i="125"/>
  <c r="I15" i="125" s="1"/>
  <c r="H5" i="125"/>
  <c r="AZ5" i="125" s="1"/>
  <c r="AN24" i="132"/>
  <c r="AQ24" i="132" s="1"/>
  <c r="AQ19" i="132" s="1"/>
  <c r="AM5" i="132"/>
  <c r="P7" i="139"/>
  <c r="M19" i="132"/>
  <c r="M23" i="132" s="1"/>
  <c r="L36" i="176"/>
  <c r="BG12" i="125"/>
  <c r="N6" i="125"/>
  <c r="J23" i="135"/>
  <c r="D16" i="153"/>
  <c r="J24" i="135"/>
  <c r="AS76" i="125"/>
  <c r="G20" i="135"/>
  <c r="C35" i="176"/>
  <c r="AH50" i="125"/>
  <c r="AN8" i="135"/>
  <c r="I74" i="125"/>
  <c r="E31" i="125"/>
  <c r="E33" i="125" s="1"/>
  <c r="AR67" i="125"/>
  <c r="AK23" i="132"/>
  <c r="R50" i="125"/>
  <c r="E6" i="132"/>
  <c r="AK6" i="132"/>
  <c r="AL6" i="132" s="1"/>
  <c r="AK74" i="125"/>
  <c r="AW4" i="125"/>
  <c r="AL22" i="132"/>
  <c r="P36" i="139"/>
  <c r="AX23" i="125"/>
  <c r="AE17" i="135"/>
  <c r="AS4" i="125"/>
  <c r="P15" i="139"/>
  <c r="P30" i="139"/>
  <c r="V5" i="125"/>
  <c r="E22" i="132"/>
  <c r="AC33" i="132"/>
  <c r="AL50" i="125" s="1"/>
  <c r="P34" i="139"/>
  <c r="P35" i="139"/>
  <c r="P16" i="139"/>
  <c r="AE21" i="135"/>
  <c r="AE24" i="135"/>
  <c r="G24" i="135"/>
  <c r="P11" i="139"/>
  <c r="AO28" i="125"/>
  <c r="AP28" i="125" s="1"/>
  <c r="AF22" i="132"/>
  <c r="H6" i="125"/>
  <c r="AO17" i="125"/>
  <c r="AO4" i="125"/>
  <c r="T33" i="132"/>
  <c r="Z50" i="125" s="1"/>
  <c r="E28" i="125"/>
  <c r="F28" i="125" s="1"/>
  <c r="AF6" i="125"/>
  <c r="N22" i="132"/>
  <c r="Y76" i="125"/>
  <c r="BA22" i="125"/>
  <c r="AG4" i="125"/>
  <c r="AV67" i="125"/>
  <c r="P33" i="139"/>
  <c r="P14" i="139"/>
  <c r="AB6" i="132"/>
  <c r="AK6" i="125" s="1"/>
  <c r="P32" i="139"/>
  <c r="P13" i="139"/>
  <c r="V17" i="135"/>
  <c r="Q40" i="125"/>
  <c r="Q41" i="125" s="1"/>
  <c r="AM50" i="135"/>
  <c r="AC40" i="125"/>
  <c r="AC41" i="125" s="1"/>
  <c r="AC4" i="125"/>
  <c r="P42" i="139"/>
  <c r="AF17" i="125"/>
  <c r="G23" i="132"/>
  <c r="AB19" i="132"/>
  <c r="P31" i="139"/>
  <c r="AN12" i="135"/>
  <c r="AK40" i="125"/>
  <c r="P12" i="139"/>
  <c r="W33" i="132"/>
  <c r="AD50" i="125" s="1"/>
  <c r="H17" i="135"/>
  <c r="T19" i="132"/>
  <c r="AL15" i="135"/>
  <c r="AP15" i="135" s="1"/>
  <c r="Z23" i="125"/>
  <c r="S20" i="135"/>
  <c r="Y4" i="125"/>
  <c r="Y74" i="125"/>
  <c r="BA4" i="125"/>
  <c r="F4" i="125"/>
  <c r="BF4" i="125"/>
  <c r="H24" i="132"/>
  <c r="AD28" i="125"/>
  <c r="Y40" i="125"/>
  <c r="Y41" i="125" s="1"/>
  <c r="R27" i="125"/>
  <c r="M5" i="125"/>
  <c r="M9" i="125" s="1"/>
  <c r="CB20" i="125"/>
  <c r="Q76" i="125"/>
  <c r="U4" i="125"/>
  <c r="Q17" i="132"/>
  <c r="CB12" i="125"/>
  <c r="Q19" i="132"/>
  <c r="P24" i="135"/>
  <c r="AR15" i="132"/>
  <c r="P29" i="139"/>
  <c r="P10" i="139"/>
  <c r="D18" i="139"/>
  <c r="S21" i="135"/>
  <c r="AE20" i="135"/>
  <c r="L12" i="132"/>
  <c r="K9" i="176" s="1"/>
  <c r="P26" i="139"/>
  <c r="F50" i="125"/>
  <c r="BQ9" i="125"/>
  <c r="AF33" i="132"/>
  <c r="AP50" i="125" s="1"/>
  <c r="Q4" i="125"/>
  <c r="N28" i="125"/>
  <c r="P28" i="139"/>
  <c r="P9" i="139"/>
  <c r="K6" i="132"/>
  <c r="AW33" i="125"/>
  <c r="G18" i="139"/>
  <c r="AL28" i="125"/>
  <c r="E6" i="125"/>
  <c r="J21" i="135"/>
  <c r="J20" i="135"/>
  <c r="AT17" i="135"/>
  <c r="AN7" i="135"/>
  <c r="P27" i="139"/>
  <c r="J4" i="135"/>
  <c r="P8" i="139"/>
  <c r="D54" i="139"/>
  <c r="N50" i="125"/>
  <c r="CB6" i="125"/>
  <c r="CC6" i="125" s="1"/>
  <c r="CA25" i="125"/>
  <c r="BJ16" i="125"/>
  <c r="CB10" i="125"/>
  <c r="CB16" i="125"/>
  <c r="G12" i="132"/>
  <c r="F9" i="176" s="1"/>
  <c r="G9" i="176" s="1"/>
  <c r="CB9" i="125"/>
  <c r="CB13" i="125"/>
  <c r="CB18" i="125"/>
  <c r="CB8" i="125"/>
  <c r="CB11" i="125"/>
  <c r="CB21" i="125"/>
  <c r="CB23" i="125" s="1"/>
  <c r="CB22" i="125"/>
  <c r="CB15" i="125"/>
  <c r="CB19" i="125"/>
  <c r="G21" i="135"/>
  <c r="I76" i="125"/>
  <c r="BA23" i="125"/>
  <c r="M37" i="139"/>
  <c r="AO8" i="132"/>
  <c r="BB8" i="125" s="1"/>
  <c r="AN14" i="135"/>
  <c r="AO41" i="125"/>
  <c r="AZ28" i="125"/>
  <c r="AG40" i="125"/>
  <c r="AG41" i="125" s="1"/>
  <c r="BK28" i="125"/>
  <c r="BK26" i="125"/>
  <c r="BP26" i="125"/>
  <c r="BS24" i="125" s="1"/>
  <c r="AW40" i="125"/>
  <c r="AW41" i="125" s="1"/>
  <c r="BA39" i="125"/>
  <c r="E5" i="125"/>
  <c r="E5" i="132"/>
  <c r="AH19" i="132"/>
  <c r="AH23" i="132" s="1"/>
  <c r="AN5" i="135"/>
  <c r="BR9" i="125"/>
  <c r="BR11" i="125" s="1"/>
  <c r="O37" i="139"/>
  <c r="J18" i="139"/>
  <c r="O54" i="139"/>
  <c r="P25" i="139"/>
  <c r="D37" i="139"/>
  <c r="E24" i="132"/>
  <c r="AN11" i="135"/>
  <c r="P21" i="135"/>
  <c r="AF53" i="131"/>
  <c r="AR17" i="132"/>
  <c r="AL30" i="132"/>
  <c r="AL17" i="132"/>
  <c r="AV17" i="125"/>
  <c r="AK20" i="135"/>
  <c r="AK24" i="135"/>
  <c r="AK21" i="135"/>
  <c r="AR17" i="125"/>
  <c r="AI17" i="132"/>
  <c r="AI30" i="132"/>
  <c r="G54" i="139"/>
  <c r="AF17" i="132"/>
  <c r="AB21" i="135"/>
  <c r="AB23" i="135"/>
  <c r="AB24" i="135"/>
  <c r="AB20" i="135"/>
  <c r="J54" i="139"/>
  <c r="AC30" i="132"/>
  <c r="AC17" i="132"/>
  <c r="AJ17" i="125"/>
  <c r="M18" i="139"/>
  <c r="Y21" i="135"/>
  <c r="Y23" i="135"/>
  <c r="Y24" i="135"/>
  <c r="Y20" i="135"/>
  <c r="J37" i="139"/>
  <c r="V21" i="135"/>
  <c r="V24" i="135"/>
  <c r="V20" i="135"/>
  <c r="T17" i="132"/>
  <c r="BB12" i="125"/>
  <c r="G37" i="139"/>
  <c r="N37" i="139"/>
  <c r="BE12" i="125"/>
  <c r="F20" i="139"/>
  <c r="K30" i="132"/>
  <c r="O18" i="139"/>
  <c r="AN6" i="135"/>
  <c r="E20" i="139"/>
  <c r="H30" i="132"/>
  <c r="E30" i="132"/>
  <c r="O19" i="139"/>
  <c r="N19" i="139"/>
  <c r="P6" i="139"/>
  <c r="N18" i="139"/>
  <c r="I32" i="125"/>
  <c r="AG33" i="125"/>
  <c r="BA37" i="125"/>
  <c r="BA38" i="125"/>
  <c r="U40" i="125"/>
  <c r="U41" i="125" s="1"/>
  <c r="M40" i="125"/>
  <c r="E40" i="125"/>
  <c r="BA36" i="125"/>
  <c r="AC31" i="125"/>
  <c r="AC33" i="125" s="1"/>
  <c r="AZ27" i="125"/>
  <c r="AP27" i="125"/>
  <c r="AL27" i="125"/>
  <c r="BA27" i="125"/>
  <c r="AO21" i="132"/>
  <c r="AR21" i="132"/>
  <c r="I41" i="125"/>
  <c r="I28" i="125"/>
  <c r="H22" i="132"/>
  <c r="AN13" i="135"/>
  <c r="W6" i="132"/>
  <c r="X6" i="125"/>
  <c r="AI6" i="132"/>
  <c r="AR6" i="125"/>
  <c r="AT6" i="125" s="1"/>
  <c r="AJ6" i="125"/>
  <c r="AN6" i="125"/>
  <c r="AF6" i="132"/>
  <c r="AH5" i="125"/>
  <c r="R5" i="125"/>
  <c r="Y5" i="125"/>
  <c r="AN5" i="132"/>
  <c r="T5" i="132"/>
  <c r="AL5" i="125"/>
  <c r="AI5" i="132"/>
  <c r="AS5" i="125"/>
  <c r="W5" i="132"/>
  <c r="AP5" i="125"/>
  <c r="D9" i="125"/>
  <c r="D15" i="135"/>
  <c r="D158" i="131" l="1"/>
  <c r="AN121" i="131"/>
  <c r="H6" i="132"/>
  <c r="AJ41" i="176"/>
  <c r="P158" i="131"/>
  <c r="AE60" i="155"/>
  <c r="AE113" i="155" s="1"/>
  <c r="Z6" i="132"/>
  <c r="AH6" i="125"/>
  <c r="AG9" i="125"/>
  <c r="AG11" i="125" s="1"/>
  <c r="Y63" i="132" s="1"/>
  <c r="AO9" i="125"/>
  <c r="AO11" i="125" s="1"/>
  <c r="X55" i="155"/>
  <c r="Y69" i="155"/>
  <c r="Y70" i="155" s="1"/>
  <c r="Y74" i="155" s="1"/>
  <c r="AP6" i="125"/>
  <c r="AJ79" i="125"/>
  <c r="Y114" i="155"/>
  <c r="AK111" i="155"/>
  <c r="AK114" i="155" s="1"/>
  <c r="AE109" i="155"/>
  <c r="AD112" i="155"/>
  <c r="AH23" i="125"/>
  <c r="AB67" i="125"/>
  <c r="AH114" i="155"/>
  <c r="M5" i="153"/>
  <c r="D70" i="155"/>
  <c r="G20" i="176"/>
  <c r="F21" i="176"/>
  <c r="V9" i="176"/>
  <c r="AA36" i="176"/>
  <c r="AG41" i="176"/>
  <c r="Y25" i="132"/>
  <c r="Y26" i="132" s="1"/>
  <c r="Z26" i="132" s="1"/>
  <c r="X36" i="176"/>
  <c r="Q39" i="181"/>
  <c r="P38" i="181"/>
  <c r="AB60" i="155"/>
  <c r="AB113" i="155" s="1"/>
  <c r="G158" i="131"/>
  <c r="P25" i="132"/>
  <c r="P26" i="132" s="1"/>
  <c r="O36" i="176"/>
  <c r="O36" i="181"/>
  <c r="P36" i="181" s="1"/>
  <c r="O45" i="181" s="1"/>
  <c r="P45" i="181" s="1"/>
  <c r="P37" i="181"/>
  <c r="X41" i="176"/>
  <c r="X32" i="176"/>
  <c r="AI19" i="135"/>
  <c r="AI25" i="135" s="1"/>
  <c r="D147" i="131"/>
  <c r="U9" i="125"/>
  <c r="U11" i="125" s="1"/>
  <c r="J60" i="155"/>
  <c r="J113" i="155" s="1"/>
  <c r="J114" i="155" s="1"/>
  <c r="AM40" i="176"/>
  <c r="I33" i="176"/>
  <c r="I35" i="176" s="1"/>
  <c r="J158" i="131"/>
  <c r="C44" i="176"/>
  <c r="C67" i="176"/>
  <c r="AM41" i="176"/>
  <c r="F35" i="176"/>
  <c r="L33" i="176"/>
  <c r="L35" i="176" s="1"/>
  <c r="L41" i="176"/>
  <c r="L158" i="131"/>
  <c r="M158" i="131" s="1"/>
  <c r="O44" i="176"/>
  <c r="O67" i="176"/>
  <c r="V25" i="132"/>
  <c r="V26" i="132" s="1"/>
  <c r="U36" i="176"/>
  <c r="C8" i="176"/>
  <c r="D8" i="176" s="1"/>
  <c r="D3" i="176"/>
  <c r="T6" i="132"/>
  <c r="U64" i="176"/>
  <c r="J69" i="155"/>
  <c r="J70" i="155" s="1"/>
  <c r="Q6" i="132"/>
  <c r="T6" i="125"/>
  <c r="V6" i="125" s="1"/>
  <c r="M15" i="135"/>
  <c r="L17" i="135"/>
  <c r="M17" i="135" s="1"/>
  <c r="AL20" i="176"/>
  <c r="AL55" i="155"/>
  <c r="F25" i="135"/>
  <c r="F27" i="135" s="1"/>
  <c r="F29" i="135" s="1"/>
  <c r="I26" i="125"/>
  <c r="I25" i="125" s="1"/>
  <c r="G19" i="135"/>
  <c r="G17" i="135"/>
  <c r="AC19" i="135"/>
  <c r="AE19" i="135" s="1"/>
  <c r="V13" i="125"/>
  <c r="AL3" i="176"/>
  <c r="AL8" i="176" s="1"/>
  <c r="T60" i="155"/>
  <c r="T113" i="155" s="1"/>
  <c r="T69" i="155"/>
  <c r="U69" i="155" s="1"/>
  <c r="V60" i="155"/>
  <c r="V113" i="155" s="1"/>
  <c r="AB20" i="176"/>
  <c r="AA21" i="176"/>
  <c r="Y20" i="176"/>
  <c r="X21" i="176"/>
  <c r="AF60" i="155"/>
  <c r="AF113" i="155" s="1"/>
  <c r="V20" i="176"/>
  <c r="U21" i="176"/>
  <c r="P20" i="176"/>
  <c r="AH20" i="176"/>
  <c r="AG21" i="176"/>
  <c r="AK20" i="176"/>
  <c r="AJ21" i="176"/>
  <c r="J20" i="176"/>
  <c r="I56" i="176"/>
  <c r="I64" i="176" s="1"/>
  <c r="J64" i="176" s="1"/>
  <c r="AE20" i="176"/>
  <c r="AD21" i="176"/>
  <c r="T11" i="135"/>
  <c r="W11" i="135" s="1"/>
  <c r="Y18" i="135" s="1"/>
  <c r="AN18" i="135"/>
  <c r="S20" i="176"/>
  <c r="R21" i="176"/>
  <c r="AM152" i="131"/>
  <c r="AM30" i="176"/>
  <c r="AN30" i="176" s="1"/>
  <c r="N19" i="135"/>
  <c r="AS17" i="125"/>
  <c r="AG9" i="176"/>
  <c r="AK17" i="125"/>
  <c r="AA9" i="176"/>
  <c r="AB9" i="176" s="1"/>
  <c r="AN12" i="132"/>
  <c r="M9" i="176"/>
  <c r="AL148" i="131"/>
  <c r="E12" i="176"/>
  <c r="B15" i="176"/>
  <c r="D14" i="176"/>
  <c r="Q16" i="125"/>
  <c r="G7" i="153" s="1"/>
  <c r="Q7" i="153"/>
  <c r="L150" i="131"/>
  <c r="AP21" i="132"/>
  <c r="G10" i="131"/>
  <c r="E13" i="131"/>
  <c r="G13" i="131" s="1"/>
  <c r="J22" i="131"/>
  <c r="H25" i="131"/>
  <c r="J25" i="131" s="1"/>
  <c r="G34" i="131"/>
  <c r="E43" i="131"/>
  <c r="E37" i="131"/>
  <c r="G37" i="131" s="1"/>
  <c r="E112" i="131"/>
  <c r="E113" i="131" s="1"/>
  <c r="G103" i="131"/>
  <c r="D41" i="131"/>
  <c r="I6" i="162"/>
  <c r="G33" i="131"/>
  <c r="J71" i="131"/>
  <c r="J68" i="131"/>
  <c r="L5" i="162"/>
  <c r="J21" i="131"/>
  <c r="C88" i="155"/>
  <c r="G4" i="131"/>
  <c r="D69" i="131"/>
  <c r="C76" i="131" s="1"/>
  <c r="C70" i="131"/>
  <c r="C72" i="131" s="1"/>
  <c r="D72" i="131" s="1"/>
  <c r="AL13" i="125"/>
  <c r="P17" i="135"/>
  <c r="AF69" i="155"/>
  <c r="AG69" i="155" s="1"/>
  <c r="D10" i="125"/>
  <c r="D19" i="135"/>
  <c r="AG16" i="125"/>
  <c r="D26" i="132"/>
  <c r="C36" i="176"/>
  <c r="C37" i="176" s="1"/>
  <c r="AP4" i="135"/>
  <c r="I19" i="135"/>
  <c r="E4" i="155"/>
  <c r="F4" i="155" s="1"/>
  <c r="AH13" i="125"/>
  <c r="B26" i="155"/>
  <c r="C26" i="155" s="1"/>
  <c r="H29" i="131"/>
  <c r="H34" i="131" s="1"/>
  <c r="AF67" i="125"/>
  <c r="U16" i="153"/>
  <c r="U20" i="153"/>
  <c r="AI60" i="155"/>
  <c r="AI113" i="155" s="1"/>
  <c r="AG54" i="155"/>
  <c r="X54" i="155"/>
  <c r="AM96" i="155"/>
  <c r="AJ36" i="176"/>
  <c r="AM59" i="155"/>
  <c r="Z69" i="155"/>
  <c r="AA69" i="155" s="1"/>
  <c r="AD25" i="135"/>
  <c r="AD27" i="135" s="1"/>
  <c r="AG19" i="135"/>
  <c r="AH11" i="135"/>
  <c r="AE69" i="155"/>
  <c r="AE70" i="155" s="1"/>
  <c r="AD36" i="176"/>
  <c r="AO33" i="132"/>
  <c r="AP13" i="125"/>
  <c r="AB11" i="135"/>
  <c r="Z19" i="135"/>
  <c r="AB19" i="135" s="1"/>
  <c r="X25" i="135"/>
  <c r="X27" i="135" s="1"/>
  <c r="AN97" i="155"/>
  <c r="AC17" i="125"/>
  <c r="B10" i="155"/>
  <c r="R36" i="176"/>
  <c r="C9" i="155"/>
  <c r="N13" i="125"/>
  <c r="D60" i="155"/>
  <c r="Q95" i="155"/>
  <c r="N97" i="155"/>
  <c r="N101" i="155" s="1"/>
  <c r="AR24" i="132"/>
  <c r="AL97" i="155"/>
  <c r="Q19" i="135"/>
  <c r="C25" i="155"/>
  <c r="E20" i="155"/>
  <c r="F20" i="155" s="1"/>
  <c r="H83" i="131"/>
  <c r="L8" i="162"/>
  <c r="B33" i="155"/>
  <c r="M63" i="155"/>
  <c r="L17" i="125"/>
  <c r="N39" i="125" s="1"/>
  <c r="J17" i="135"/>
  <c r="G4" i="162"/>
  <c r="F7" i="162"/>
  <c r="AQ23" i="132"/>
  <c r="AQ26" i="132" s="1"/>
  <c r="E60" i="155"/>
  <c r="E113" i="155" s="1"/>
  <c r="F113" i="155" s="1"/>
  <c r="G63" i="155"/>
  <c r="G74" i="155" s="1"/>
  <c r="E12" i="132"/>
  <c r="AK72" i="155"/>
  <c r="AK34" i="155"/>
  <c r="AJ33" i="176"/>
  <c r="AJ35" i="176" s="1"/>
  <c r="AJ69" i="155"/>
  <c r="AK70" i="155"/>
  <c r="AR5" i="132"/>
  <c r="AK25" i="132"/>
  <c r="AK26" i="132" s="1"/>
  <c r="AG33" i="176"/>
  <c r="AH63" i="155"/>
  <c r="AH74" i="155" s="1"/>
  <c r="AH25" i="132"/>
  <c r="AD33" i="176"/>
  <c r="AZ13" i="125"/>
  <c r="AE72" i="155"/>
  <c r="AD32" i="155"/>
  <c r="AE34" i="155"/>
  <c r="AE51" i="155" s="1"/>
  <c r="Q12" i="153"/>
  <c r="AE25" i="132"/>
  <c r="AE26" i="132" s="1"/>
  <c r="X33" i="176"/>
  <c r="W69" i="155"/>
  <c r="W60" i="155"/>
  <c r="W113" i="155" s="1"/>
  <c r="X113" i="155" s="1"/>
  <c r="AT40" i="125"/>
  <c r="L13" i="136" s="1"/>
  <c r="F78" i="155"/>
  <c r="AS51" i="125"/>
  <c r="AB25" i="132"/>
  <c r="AK9" i="125"/>
  <c r="AK11" i="125" s="1"/>
  <c r="AB63" i="132" s="1"/>
  <c r="J11" i="135"/>
  <c r="X9" i="153"/>
  <c r="Q60" i="155"/>
  <c r="Q113" i="155" s="1"/>
  <c r="J5" i="125"/>
  <c r="F54" i="155"/>
  <c r="B60" i="155"/>
  <c r="B113" i="155" s="1"/>
  <c r="C55" i="155"/>
  <c r="B69" i="155"/>
  <c r="AG26" i="125"/>
  <c r="AH26" i="125" s="1"/>
  <c r="I54" i="155"/>
  <c r="Q69" i="155"/>
  <c r="V74" i="155"/>
  <c r="T16" i="125"/>
  <c r="S25" i="132"/>
  <c r="H16" i="125"/>
  <c r="D17" i="125"/>
  <c r="F32" i="125" s="1"/>
  <c r="N30" i="132"/>
  <c r="P16" i="125"/>
  <c r="X8" i="153"/>
  <c r="H12" i="132"/>
  <c r="I16" i="125"/>
  <c r="G5" i="153" s="1"/>
  <c r="M17" i="125"/>
  <c r="K30" i="125" s="1"/>
  <c r="M16" i="125"/>
  <c r="G6" i="153" s="1"/>
  <c r="U17" i="125"/>
  <c r="V17" i="125" s="1"/>
  <c r="U16" i="125"/>
  <c r="L67" i="125"/>
  <c r="N23" i="125"/>
  <c r="P11" i="135"/>
  <c r="N5" i="125"/>
  <c r="BB4" i="125"/>
  <c r="BE8" i="125"/>
  <c r="J15" i="125"/>
  <c r="AZ15" i="125"/>
  <c r="K17" i="131"/>
  <c r="K22" i="131" s="1"/>
  <c r="F6" i="125"/>
  <c r="BE32" i="125"/>
  <c r="M11" i="125"/>
  <c r="J6" i="125"/>
  <c r="F5" i="125"/>
  <c r="F16" i="153"/>
  <c r="AW51" i="125"/>
  <c r="AF19" i="132"/>
  <c r="G62" i="132"/>
  <c r="AS13" i="132"/>
  <c r="AS18" i="132" s="1"/>
  <c r="AK16" i="125"/>
  <c r="G12" i="153" s="1"/>
  <c r="AS14" i="135"/>
  <c r="AT14" i="135" s="1"/>
  <c r="AK41" i="125"/>
  <c r="AL41" i="125" s="1"/>
  <c r="AK51" i="125"/>
  <c r="AL40" i="125"/>
  <c r="L11" i="136" s="1"/>
  <c r="AW6" i="125"/>
  <c r="AC12" i="132"/>
  <c r="AW75" i="125"/>
  <c r="AW26" i="125"/>
  <c r="AX26" i="125" s="1"/>
  <c r="T12" i="132"/>
  <c r="AC19" i="132"/>
  <c r="P17" i="125"/>
  <c r="R40" i="125" s="1"/>
  <c r="L6" i="136" s="1"/>
  <c r="AI12" i="132"/>
  <c r="AL17" i="135"/>
  <c r="AP17" i="135" s="1"/>
  <c r="AS16" i="125"/>
  <c r="BA35" i="125"/>
  <c r="AC6" i="132"/>
  <c r="Q51" i="125"/>
  <c r="AS3" i="136"/>
  <c r="AS7" i="136" s="1"/>
  <c r="AO16" i="125"/>
  <c r="BA31" i="125"/>
  <c r="AF30" i="132"/>
  <c r="AF12" i="132"/>
  <c r="AN17" i="125"/>
  <c r="AP40" i="125" s="1"/>
  <c r="L12" i="136" s="1"/>
  <c r="AE63" i="132"/>
  <c r="AO56" i="125"/>
  <c r="AM11" i="125"/>
  <c r="AB23" i="132"/>
  <c r="AO18" i="125"/>
  <c r="AH33" i="125"/>
  <c r="I10" i="136" s="1"/>
  <c r="AA19" i="132"/>
  <c r="AD6" i="125"/>
  <c r="S18" i="135"/>
  <c r="BG4" i="125"/>
  <c r="K12" i="132"/>
  <c r="Y17" i="125"/>
  <c r="Y51" i="125"/>
  <c r="T30" i="132"/>
  <c r="X17" i="125"/>
  <c r="Z38" i="125" s="1"/>
  <c r="E17" i="125"/>
  <c r="AL6" i="125"/>
  <c r="Q12" i="132"/>
  <c r="AM12" i="132"/>
  <c r="AL9" i="176" s="1"/>
  <c r="V35" i="125"/>
  <c r="K7" i="136" s="1"/>
  <c r="Q30" i="132"/>
  <c r="N12" i="132"/>
  <c r="N17" i="132"/>
  <c r="Q17" i="125"/>
  <c r="N19" i="132"/>
  <c r="P63" i="132"/>
  <c r="M25" i="132"/>
  <c r="AH41" i="125"/>
  <c r="AH17" i="125"/>
  <c r="BA76" i="125"/>
  <c r="AO5" i="132"/>
  <c r="I33" i="125"/>
  <c r="I51" i="125" s="1"/>
  <c r="AH40" i="125"/>
  <c r="L10" i="136" s="1"/>
  <c r="E9" i="125"/>
  <c r="E11" i="125" s="1"/>
  <c r="AT17" i="125"/>
  <c r="AS15" i="135"/>
  <c r="AT15" i="135" s="1"/>
  <c r="O56" i="139"/>
  <c r="AQ19" i="135"/>
  <c r="AS13" i="135"/>
  <c r="AT13" i="135" s="1"/>
  <c r="AX41" i="125"/>
  <c r="AL33" i="125"/>
  <c r="I11" i="136" s="1"/>
  <c r="AX40" i="125"/>
  <c r="L14" i="136" s="1"/>
  <c r="BA32" i="125"/>
  <c r="G25" i="132"/>
  <c r="I17" i="125"/>
  <c r="BJ22" i="125"/>
  <c r="BL16" i="125"/>
  <c r="AX33" i="125"/>
  <c r="I14" i="136" s="1"/>
  <c r="F36" i="176"/>
  <c r="AT33" i="125"/>
  <c r="I13" i="136" s="1"/>
  <c r="AI19" i="132"/>
  <c r="BS12" i="125"/>
  <c r="BS13" i="125"/>
  <c r="BS17" i="125"/>
  <c r="BS6" i="125"/>
  <c r="BS15" i="125"/>
  <c r="BS5" i="125"/>
  <c r="BS18" i="125"/>
  <c r="BS19" i="125"/>
  <c r="BS10" i="125"/>
  <c r="BS21" i="125"/>
  <c r="BS16" i="125"/>
  <c r="BS23" i="125"/>
  <c r="BS8" i="125"/>
  <c r="BS22" i="125"/>
  <c r="BS11" i="125"/>
  <c r="BS9" i="125"/>
  <c r="BS20" i="125"/>
  <c r="AB17" i="125"/>
  <c r="AD41" i="125" s="1"/>
  <c r="W30" i="132"/>
  <c r="W12" i="132"/>
  <c r="E19" i="132"/>
  <c r="P37" i="139"/>
  <c r="AM4" i="132"/>
  <c r="E17" i="132"/>
  <c r="AL17" i="125"/>
  <c r="BE31" i="125"/>
  <c r="E51" i="125"/>
  <c r="B83" i="131"/>
  <c r="AT41" i="125"/>
  <c r="AT53" i="125" s="1"/>
  <c r="AT54" i="125" s="1"/>
  <c r="V41" i="125"/>
  <c r="V36" i="125"/>
  <c r="V33" i="125"/>
  <c r="I7" i="136" s="1"/>
  <c r="V37" i="125"/>
  <c r="V39" i="125"/>
  <c r="V38" i="125"/>
  <c r="AN22" i="135"/>
  <c r="AN4" i="135"/>
  <c r="AN20" i="135"/>
  <c r="AN21" i="135"/>
  <c r="AN23" i="135"/>
  <c r="AN24" i="135"/>
  <c r="BD13" i="125"/>
  <c r="P19" i="139"/>
  <c r="P18" i="139"/>
  <c r="N56" i="139"/>
  <c r="M51" i="125"/>
  <c r="AG51" i="125"/>
  <c r="V40" i="125"/>
  <c r="L7" i="136" s="1"/>
  <c r="BG38" i="125"/>
  <c r="BJ36" i="125"/>
  <c r="BA40" i="125"/>
  <c r="M41" i="125"/>
  <c r="AW53" i="125"/>
  <c r="AW54" i="125" s="1"/>
  <c r="U51" i="125"/>
  <c r="E41" i="125"/>
  <c r="AC51" i="125"/>
  <c r="BB27" i="125"/>
  <c r="AO22" i="132"/>
  <c r="AR22" i="132"/>
  <c r="W19" i="132"/>
  <c r="X19" i="132" s="1"/>
  <c r="X26" i="132" s="1"/>
  <c r="J28" i="125"/>
  <c r="BA28" i="125"/>
  <c r="AN19" i="132"/>
  <c r="AL19" i="132"/>
  <c r="K19" i="132"/>
  <c r="H19" i="132"/>
  <c r="Z6" i="125"/>
  <c r="BE5" i="125"/>
  <c r="AS9" i="125"/>
  <c r="AT5" i="125"/>
  <c r="AC9" i="125"/>
  <c r="AD5" i="125"/>
  <c r="M55" i="155"/>
  <c r="L55" i="155" s="1"/>
  <c r="Z5" i="125"/>
  <c r="Y9" i="125"/>
  <c r="BA5" i="125"/>
  <c r="F37" i="176" l="1"/>
  <c r="AJ44" i="176"/>
  <c r="AP44" i="176" s="1"/>
  <c r="AJ67" i="176"/>
  <c r="AG18" i="125"/>
  <c r="AE11" i="125"/>
  <c r="U113" i="155"/>
  <c r="V114" i="155"/>
  <c r="AE111" i="155"/>
  <c r="AJ113" i="155"/>
  <c r="AG113" i="155"/>
  <c r="AB114" i="155"/>
  <c r="X60" i="155"/>
  <c r="M4" i="153"/>
  <c r="D113" i="155"/>
  <c r="C113" i="155" s="1"/>
  <c r="M12" i="153"/>
  <c r="AG60" i="155"/>
  <c r="AJ60" i="155"/>
  <c r="F60" i="155"/>
  <c r="M6" i="153"/>
  <c r="X12" i="153"/>
  <c r="AA33" i="176"/>
  <c r="AA35" i="176" s="1"/>
  <c r="AA37" i="176" s="1"/>
  <c r="AG67" i="176"/>
  <c r="AG44" i="176"/>
  <c r="AG35" i="176"/>
  <c r="V64" i="176"/>
  <c r="AD35" i="176"/>
  <c r="X44" i="176"/>
  <c r="X67" i="176"/>
  <c r="X35" i="176"/>
  <c r="J74" i="155"/>
  <c r="AZ6" i="125"/>
  <c r="AZ9" i="125" s="1"/>
  <c r="X7" i="153"/>
  <c r="L44" i="176"/>
  <c r="L67" i="176"/>
  <c r="X6" i="153"/>
  <c r="X5" i="153"/>
  <c r="C4" i="172"/>
  <c r="C12" i="172"/>
  <c r="C11" i="172"/>
  <c r="D4" i="172"/>
  <c r="L19" i="135"/>
  <c r="L25" i="135" s="1"/>
  <c r="L27" i="135" s="1"/>
  <c r="P69" i="155"/>
  <c r="P70" i="155" s="1"/>
  <c r="M6" i="132"/>
  <c r="U60" i="155"/>
  <c r="T70" i="155"/>
  <c r="U70" i="155" s="1"/>
  <c r="AM28" i="176"/>
  <c r="AM5" i="176"/>
  <c r="Z70" i="155"/>
  <c r="AA70" i="155" s="1"/>
  <c r="W19" i="135"/>
  <c r="W25" i="135" s="1"/>
  <c r="W26" i="135" s="1"/>
  <c r="T19" i="135"/>
  <c r="Y11" i="135"/>
  <c r="AF70" i="155"/>
  <c r="AO55" i="155"/>
  <c r="AO69" i="155" s="1"/>
  <c r="AO70" i="155" s="1"/>
  <c r="L20" i="176"/>
  <c r="AO18" i="135"/>
  <c r="AO19" i="135" s="1"/>
  <c r="AL10" i="176"/>
  <c r="AN25" i="132"/>
  <c r="W7" i="153"/>
  <c r="AM9" i="176"/>
  <c r="AR12" i="132"/>
  <c r="B17" i="176"/>
  <c r="D15" i="176"/>
  <c r="G12" i="176"/>
  <c r="Q20" i="153"/>
  <c r="AM150" i="131"/>
  <c r="G113" i="131"/>
  <c r="E122" i="131"/>
  <c r="M22" i="131"/>
  <c r="K25" i="131"/>
  <c r="M25" i="131" s="1"/>
  <c r="J29" i="131"/>
  <c r="E52" i="131"/>
  <c r="G43" i="131"/>
  <c r="G48" i="131" s="1"/>
  <c r="F48" i="131" s="1"/>
  <c r="E46" i="131"/>
  <c r="G46" i="131" s="1"/>
  <c r="I8" i="162"/>
  <c r="H103" i="131"/>
  <c r="G112" i="131"/>
  <c r="F61" i="131"/>
  <c r="M17" i="131"/>
  <c r="D76" i="131"/>
  <c r="D70" i="131"/>
  <c r="C77" i="131" s="1"/>
  <c r="D83" i="131"/>
  <c r="I25" i="135"/>
  <c r="I27" i="135" s="1"/>
  <c r="B34" i="155"/>
  <c r="B51" i="155" s="1"/>
  <c r="B107" i="155"/>
  <c r="B108" i="155" s="1"/>
  <c r="B109" i="155" s="1"/>
  <c r="Z25" i="135"/>
  <c r="Z26" i="135" s="1"/>
  <c r="AD72" i="155"/>
  <c r="E25" i="132"/>
  <c r="X15" i="153"/>
  <c r="N14" i="153"/>
  <c r="W4" i="153"/>
  <c r="AW9" i="125"/>
  <c r="AW11" i="125" s="1"/>
  <c r="AW56" i="125" s="1"/>
  <c r="AX6" i="125"/>
  <c r="AK51" i="155"/>
  <c r="AJ72" i="155"/>
  <c r="AG25" i="135"/>
  <c r="AG27" i="135" s="1"/>
  <c r="AD69" i="155"/>
  <c r="D62" i="132"/>
  <c r="N60" i="155"/>
  <c r="N113" i="155" s="1"/>
  <c r="N69" i="155"/>
  <c r="AH19" i="135"/>
  <c r="AN101" i="155"/>
  <c r="AV24" i="132"/>
  <c r="U18" i="125"/>
  <c r="C60" i="155"/>
  <c r="S26" i="132"/>
  <c r="Q97" i="155"/>
  <c r="AL101" i="155"/>
  <c r="AM97" i="155"/>
  <c r="AS28" i="132"/>
  <c r="G8" i="153"/>
  <c r="W8" i="153"/>
  <c r="H69" i="155"/>
  <c r="H70" i="155" s="1"/>
  <c r="I70" i="155" s="1"/>
  <c r="C33" i="155"/>
  <c r="B73" i="155"/>
  <c r="E63" i="155" s="1"/>
  <c r="N36" i="125"/>
  <c r="N37" i="125"/>
  <c r="E28" i="155"/>
  <c r="E105" i="155" s="1"/>
  <c r="F105" i="155" s="1"/>
  <c r="M60" i="155"/>
  <c r="M113" i="155" s="1"/>
  <c r="N35" i="125"/>
  <c r="K5" i="136" s="1"/>
  <c r="N38" i="125"/>
  <c r="N40" i="125"/>
  <c r="L5" i="136" s="1"/>
  <c r="N33" i="125"/>
  <c r="I5" i="136" s="1"/>
  <c r="N41" i="125"/>
  <c r="G7" i="162"/>
  <c r="AL69" i="155"/>
  <c r="J6" i="162"/>
  <c r="E69" i="155"/>
  <c r="J5" i="162"/>
  <c r="X4" i="153"/>
  <c r="B25" i="135"/>
  <c r="AL26" i="132"/>
  <c r="AK74" i="155"/>
  <c r="AJ70" i="155"/>
  <c r="X13" i="153"/>
  <c r="AI11" i="125"/>
  <c r="X14" i="153"/>
  <c r="AW17" i="125"/>
  <c r="AL12" i="132"/>
  <c r="AK19" i="135"/>
  <c r="AF26" i="132"/>
  <c r="AD70" i="155"/>
  <c r="AE74" i="155"/>
  <c r="X69" i="155"/>
  <c r="W70" i="155"/>
  <c r="X70" i="155" s="1"/>
  <c r="AK18" i="125"/>
  <c r="AK56" i="125"/>
  <c r="X11" i="153"/>
  <c r="X10" i="153"/>
  <c r="F23" i="125"/>
  <c r="D67" i="125"/>
  <c r="S11" i="125"/>
  <c r="R69" i="155"/>
  <c r="Q70" i="155"/>
  <c r="C69" i="155"/>
  <c r="B70" i="155"/>
  <c r="W26" i="132"/>
  <c r="BE13" i="125"/>
  <c r="K33" i="125"/>
  <c r="K28" i="125"/>
  <c r="K27" i="125"/>
  <c r="T67" i="125"/>
  <c r="V23" i="125"/>
  <c r="P67" i="125"/>
  <c r="R23" i="125"/>
  <c r="G26" i="132"/>
  <c r="H26" i="132" s="1"/>
  <c r="M18" i="125"/>
  <c r="N17" i="125"/>
  <c r="W5" i="153"/>
  <c r="W6" i="153"/>
  <c r="N17" i="131"/>
  <c r="F38" i="125"/>
  <c r="F39" i="125"/>
  <c r="F31" i="125"/>
  <c r="F33" i="125"/>
  <c r="F40" i="125"/>
  <c r="F37" i="125"/>
  <c r="AW77" i="125"/>
  <c r="F35" i="125"/>
  <c r="F36" i="125"/>
  <c r="AP16" i="125"/>
  <c r="D12" i="136" s="1"/>
  <c r="H67" i="125"/>
  <c r="J23" i="125"/>
  <c r="H17" i="125"/>
  <c r="J17" i="125" s="1"/>
  <c r="AZ16" i="125"/>
  <c r="E21" i="139" s="1"/>
  <c r="E22" i="139" s="1"/>
  <c r="AO12" i="132"/>
  <c r="Z40" i="125"/>
  <c r="L8" i="136" s="1"/>
  <c r="J63" i="132"/>
  <c r="K11" i="125"/>
  <c r="R17" i="125"/>
  <c r="R39" i="125"/>
  <c r="R35" i="125"/>
  <c r="K6" i="136" s="1"/>
  <c r="Z35" i="125"/>
  <c r="K8" i="136" s="1"/>
  <c r="R37" i="125"/>
  <c r="Z36" i="125"/>
  <c r="Z37" i="125"/>
  <c r="AH16" i="125"/>
  <c r="D10" i="136" s="1"/>
  <c r="G11" i="153"/>
  <c r="AL16" i="125"/>
  <c r="D11" i="136" s="1"/>
  <c r="AT16" i="125"/>
  <c r="D13" i="136" s="1"/>
  <c r="E6" i="153"/>
  <c r="E8" i="153"/>
  <c r="AB26" i="132"/>
  <c r="AM9" i="132"/>
  <c r="AU9" i="132" s="1"/>
  <c r="AO17" i="132"/>
  <c r="G33" i="125"/>
  <c r="AJ27" i="135"/>
  <c r="AW25" i="125"/>
  <c r="AX25" i="125" s="1"/>
  <c r="G28" i="125"/>
  <c r="BD40" i="125"/>
  <c r="R38" i="125"/>
  <c r="R36" i="125"/>
  <c r="Z33" i="125"/>
  <c r="I8" i="136" s="1"/>
  <c r="AA27" i="135"/>
  <c r="V16" i="125"/>
  <c r="D7" i="136" s="1"/>
  <c r="R33" i="125"/>
  <c r="I6" i="136" s="1"/>
  <c r="Z39" i="125"/>
  <c r="R41" i="125"/>
  <c r="Z41" i="125"/>
  <c r="D11" i="125"/>
  <c r="BJ35" i="125"/>
  <c r="BJ37" i="125" s="1"/>
  <c r="BA33" i="125"/>
  <c r="BD39" i="125" s="1"/>
  <c r="AF25" i="135"/>
  <c r="AF26" i="135" s="1"/>
  <c r="G11" i="125"/>
  <c r="AP41" i="125"/>
  <c r="AP17" i="125"/>
  <c r="AP33" i="125"/>
  <c r="I12" i="136" s="1"/>
  <c r="AA26" i="132"/>
  <c r="V18" i="135"/>
  <c r="AG75" i="125"/>
  <c r="C31" i="125"/>
  <c r="F17" i="125"/>
  <c r="C35" i="125"/>
  <c r="C27" i="125"/>
  <c r="C28" i="125"/>
  <c r="C37" i="125"/>
  <c r="C40" i="125"/>
  <c r="C38" i="125"/>
  <c r="C33" i="125"/>
  <c r="C39" i="125"/>
  <c r="C36" i="125"/>
  <c r="C32" i="125"/>
  <c r="Z17" i="125"/>
  <c r="AO24" i="132"/>
  <c r="C11" i="125"/>
  <c r="AH26" i="132"/>
  <c r="J26" i="125"/>
  <c r="N16" i="125"/>
  <c r="D5" i="136" s="1"/>
  <c r="M26" i="132"/>
  <c r="N25" i="135"/>
  <c r="N26" i="135" s="1"/>
  <c r="AC25" i="135"/>
  <c r="I18" i="125"/>
  <c r="AH62" i="132"/>
  <c r="AS26" i="125"/>
  <c r="AT26" i="125" s="1"/>
  <c r="AK26" i="125"/>
  <c r="AL26" i="125" s="1"/>
  <c r="AB62" i="132"/>
  <c r="AE62" i="132"/>
  <c r="AO26" i="125"/>
  <c r="AP26" i="125" s="1"/>
  <c r="H25" i="132"/>
  <c r="M26" i="125"/>
  <c r="M25" i="125" s="1"/>
  <c r="J62" i="132"/>
  <c r="E18" i="125"/>
  <c r="F9" i="125"/>
  <c r="AT16" i="135"/>
  <c r="AT18" i="135" s="1"/>
  <c r="AD33" i="125"/>
  <c r="I9" i="136" s="1"/>
  <c r="G27" i="125"/>
  <c r="BJ28" i="125"/>
  <c r="BJ26" i="125"/>
  <c r="BL26" i="125" s="1"/>
  <c r="BL22" i="125"/>
  <c r="H4" i="125"/>
  <c r="F10" i="125"/>
  <c r="AD38" i="125"/>
  <c r="AD39" i="125"/>
  <c r="AD36" i="125"/>
  <c r="AD37" i="125"/>
  <c r="AD17" i="125"/>
  <c r="AD40" i="125"/>
  <c r="L9" i="136" s="1"/>
  <c r="BS26" i="125"/>
  <c r="E25" i="135"/>
  <c r="E26" i="135" s="1"/>
  <c r="BU15" i="125"/>
  <c r="BD41" i="125"/>
  <c r="F41" i="125"/>
  <c r="C41" i="125"/>
  <c r="E54" i="125"/>
  <c r="E53" i="125"/>
  <c r="I53" i="125" s="1"/>
  <c r="BA41" i="125"/>
  <c r="BB28" i="125"/>
  <c r="BB50" i="125"/>
  <c r="BA49" i="125"/>
  <c r="BB49" i="125" s="1"/>
  <c r="AO19" i="132"/>
  <c r="AN23" i="132"/>
  <c r="E23" i="132"/>
  <c r="BB5" i="125"/>
  <c r="E26" i="125"/>
  <c r="AS11" i="125"/>
  <c r="AM15" i="135"/>
  <c r="AM17" i="135" s="1"/>
  <c r="AV5" i="135" s="1"/>
  <c r="Y11" i="125"/>
  <c r="AC11" i="125"/>
  <c r="BE6" i="125" l="1"/>
  <c r="BE9" i="125" s="1"/>
  <c r="M114" i="155"/>
  <c r="AE114" i="155"/>
  <c r="B111" i="155"/>
  <c r="B114" i="155" s="1"/>
  <c r="D29" i="176"/>
  <c r="D28" i="176"/>
  <c r="AM32" i="176"/>
  <c r="C108" i="155"/>
  <c r="C107" i="155"/>
  <c r="AD37" i="176"/>
  <c r="AG37" i="176"/>
  <c r="AM20" i="176"/>
  <c r="AM56" i="176" s="1"/>
  <c r="AM64" i="176" s="1"/>
  <c r="AN64" i="176" s="1"/>
  <c r="N63" i="181"/>
  <c r="N65" i="181" s="1"/>
  <c r="O63" i="181"/>
  <c r="O20" i="181" s="1"/>
  <c r="R70" i="155"/>
  <c r="O69" i="155"/>
  <c r="Q6" i="125"/>
  <c r="N6" i="132"/>
  <c r="AN6" i="132"/>
  <c r="AR6" i="132" s="1"/>
  <c r="AN55" i="155"/>
  <c r="AP55" i="155" s="1"/>
  <c r="AG70" i="155"/>
  <c r="Y19" i="135"/>
  <c r="AN5" i="176"/>
  <c r="L56" i="176"/>
  <c r="L64" i="176" s="1"/>
  <c r="M64" i="176" s="1"/>
  <c r="M20" i="176"/>
  <c r="L21" i="176"/>
  <c r="F26" i="125"/>
  <c r="E25" i="125"/>
  <c r="AM36" i="176"/>
  <c r="B21" i="176"/>
  <c r="P17" i="131"/>
  <c r="N22" i="131"/>
  <c r="J34" i="131"/>
  <c r="H37" i="131"/>
  <c r="J37" i="131" s="1"/>
  <c r="F57" i="131"/>
  <c r="F51" i="131"/>
  <c r="G51" i="131" s="1"/>
  <c r="F52" i="131" s="1"/>
  <c r="F53" i="131" s="1"/>
  <c r="E128" i="131"/>
  <c r="E53" i="131"/>
  <c r="H112" i="131"/>
  <c r="H113" i="131" s="1"/>
  <c r="J103" i="131"/>
  <c r="L6" i="162"/>
  <c r="J33" i="131"/>
  <c r="I56" i="131"/>
  <c r="F83" i="131"/>
  <c r="G61" i="131"/>
  <c r="M21" i="131"/>
  <c r="C74" i="131"/>
  <c r="K29" i="131"/>
  <c r="K34" i="131" s="1"/>
  <c r="D77" i="131"/>
  <c r="F11" i="125"/>
  <c r="F56" i="125" s="1"/>
  <c r="AW18" i="125"/>
  <c r="F28" i="155"/>
  <c r="C106" i="155"/>
  <c r="M14" i="153"/>
  <c r="N70" i="155"/>
  <c r="AM101" i="155"/>
  <c r="I69" i="155"/>
  <c r="C73" i="155"/>
  <c r="Q101" i="155"/>
  <c r="M69" i="155"/>
  <c r="M70" i="155" s="1"/>
  <c r="AW16" i="125"/>
  <c r="AL60" i="155"/>
  <c r="AL113" i="155" s="1"/>
  <c r="F69" i="155"/>
  <c r="E70" i="155"/>
  <c r="E17" i="155"/>
  <c r="E25" i="155"/>
  <c r="AX17" i="125"/>
  <c r="AU11" i="125"/>
  <c r="K26" i="132"/>
  <c r="G14" i="153"/>
  <c r="G13" i="153"/>
  <c r="N13" i="153"/>
  <c r="M13" i="153"/>
  <c r="AC26" i="132"/>
  <c r="Q26" i="132"/>
  <c r="K26" i="125"/>
  <c r="N26" i="125"/>
  <c r="R8" i="153"/>
  <c r="M11" i="153"/>
  <c r="N11" i="153"/>
  <c r="T6" i="153"/>
  <c r="T26" i="132"/>
  <c r="B74" i="155"/>
  <c r="C70" i="155"/>
  <c r="F63" i="155"/>
  <c r="AL70" i="155"/>
  <c r="AZ17" i="125"/>
  <c r="BB39" i="125" s="1"/>
  <c r="J33" i="125"/>
  <c r="E13" i="153"/>
  <c r="E11" i="153"/>
  <c r="E14" i="153"/>
  <c r="E12" i="153"/>
  <c r="Y6" i="153"/>
  <c r="R6" i="153"/>
  <c r="T8" i="153"/>
  <c r="Y8" i="153"/>
  <c r="BA17" i="125"/>
  <c r="BA53" i="125"/>
  <c r="BA54" i="125" s="1"/>
  <c r="M7" i="153"/>
  <c r="BB23" i="125"/>
  <c r="AZ67" i="125"/>
  <c r="BU13" i="125"/>
  <c r="BV13" i="125" s="1"/>
  <c r="J35" i="125"/>
  <c r="K4" i="136" s="1"/>
  <c r="J32" i="125"/>
  <c r="J37" i="125"/>
  <c r="J41" i="125"/>
  <c r="J31" i="125"/>
  <c r="J39" i="125"/>
  <c r="J36" i="125"/>
  <c r="J38" i="125"/>
  <c r="J40" i="125"/>
  <c r="L4" i="136" s="1"/>
  <c r="AO25" i="132"/>
  <c r="E7" i="153"/>
  <c r="AQ14" i="153"/>
  <c r="W14" i="153"/>
  <c r="AO14" i="153"/>
  <c r="G9" i="153"/>
  <c r="W12" i="153"/>
  <c r="AQ12" i="153"/>
  <c r="G7" i="136"/>
  <c r="AQ13" i="153"/>
  <c r="AO13" i="153"/>
  <c r="W13" i="153"/>
  <c r="AQ8" i="153"/>
  <c r="AQ6" i="153"/>
  <c r="W11" i="153"/>
  <c r="AQ11" i="153"/>
  <c r="E5" i="153"/>
  <c r="AS75" i="125"/>
  <c r="AW29" i="125"/>
  <c r="AW42" i="125" s="1"/>
  <c r="AU42" i="125" s="1"/>
  <c r="AK75" i="125"/>
  <c r="N26" i="132"/>
  <c r="D18" i="125"/>
  <c r="AO75" i="125"/>
  <c r="AL19" i="135"/>
  <c r="Z16" i="125"/>
  <c r="D8" i="136" s="1"/>
  <c r="AI26" i="132"/>
  <c r="T25" i="135"/>
  <c r="T26" i="135" s="1"/>
  <c r="AS25" i="125"/>
  <c r="AT25" i="125" s="1"/>
  <c r="Q25" i="135"/>
  <c r="Q26" i="135" s="1"/>
  <c r="AG25" i="125"/>
  <c r="R16" i="125"/>
  <c r="D6" i="136" s="1"/>
  <c r="AO25" i="125"/>
  <c r="AG77" i="125"/>
  <c r="AK25" i="125"/>
  <c r="K60" i="131"/>
  <c r="M75" i="125"/>
  <c r="J16" i="125"/>
  <c r="D4" i="136" s="1"/>
  <c r="I75" i="125"/>
  <c r="G26" i="125"/>
  <c r="AR19" i="132"/>
  <c r="J4" i="125"/>
  <c r="H9" i="125"/>
  <c r="BV15" i="125"/>
  <c r="E83" i="131"/>
  <c r="M53" i="125"/>
  <c r="I54" i="125"/>
  <c r="AN26" i="132"/>
  <c r="AR26" i="132" s="1"/>
  <c r="G15" i="136"/>
  <c r="E26" i="132"/>
  <c r="W11" i="125"/>
  <c r="S63" i="132"/>
  <c r="Y18" i="125"/>
  <c r="C26" i="125"/>
  <c r="E75" i="125"/>
  <c r="AA11" i="125"/>
  <c r="AC18" i="125"/>
  <c r="V63" i="132"/>
  <c r="AS18" i="125"/>
  <c r="AQ11" i="125"/>
  <c r="AH63" i="132"/>
  <c r="AS56" i="125"/>
  <c r="AN15" i="135"/>
  <c r="AM3" i="176" l="1"/>
  <c r="AN3" i="176" s="1"/>
  <c r="AN20" i="176"/>
  <c r="N71" i="181"/>
  <c r="AN52" i="132"/>
  <c r="AO6" i="132"/>
  <c r="R6" i="125"/>
  <c r="Q9" i="125"/>
  <c r="Q11" i="125" s="1"/>
  <c r="BA6" i="125"/>
  <c r="D31" i="176"/>
  <c r="D33" i="176"/>
  <c r="D32" i="176"/>
  <c r="D34" i="176"/>
  <c r="J113" i="131"/>
  <c r="H122" i="131"/>
  <c r="P22" i="131"/>
  <c r="N25" i="131"/>
  <c r="P25" i="131" s="1"/>
  <c r="G52" i="131"/>
  <c r="R5" i="162"/>
  <c r="P21" i="131"/>
  <c r="M34" i="131"/>
  <c r="K37" i="131"/>
  <c r="M37" i="131" s="1"/>
  <c r="G57" i="131"/>
  <c r="F60" i="131"/>
  <c r="C88" i="131"/>
  <c r="C91" i="131" s="1"/>
  <c r="K103" i="131"/>
  <c r="J112" i="131"/>
  <c r="M29" i="131"/>
  <c r="G83" i="131"/>
  <c r="J56" i="131"/>
  <c r="I59" i="131" s="1"/>
  <c r="K17" i="155"/>
  <c r="O5" i="162"/>
  <c r="P5" i="162" s="1"/>
  <c r="E3" i="136"/>
  <c r="C79" i="131"/>
  <c r="D74" i="131"/>
  <c r="F70" i="155"/>
  <c r="O70" i="155"/>
  <c r="AP19" i="135"/>
  <c r="AL25" i="135"/>
  <c r="AL26" i="135" s="1"/>
  <c r="E15" i="153"/>
  <c r="AW79" i="125"/>
  <c r="AX79" i="125" s="1"/>
  <c r="L69" i="155"/>
  <c r="Q17" i="131"/>
  <c r="M5" i="162"/>
  <c r="AX16" i="125"/>
  <c r="D14" i="136" s="1"/>
  <c r="F14" i="136" s="1"/>
  <c r="I29" i="135"/>
  <c r="L29" i="135" s="1"/>
  <c r="AM55" i="155"/>
  <c r="AN60" i="155"/>
  <c r="AN113" i="155" s="1"/>
  <c r="AM113" i="155" s="1"/>
  <c r="AN69" i="155"/>
  <c r="AN70" i="155" s="1"/>
  <c r="H17" i="155"/>
  <c r="F25" i="155"/>
  <c r="H20" i="155"/>
  <c r="E26" i="155"/>
  <c r="F26" i="155" s="1"/>
  <c r="F17" i="155"/>
  <c r="H12" i="155"/>
  <c r="E18" i="155"/>
  <c r="F18" i="155" s="1"/>
  <c r="E21" i="153"/>
  <c r="H14" i="153"/>
  <c r="Y14" i="153"/>
  <c r="H13" i="153"/>
  <c r="Y13" i="153"/>
  <c r="BB31" i="125"/>
  <c r="BF29" i="125"/>
  <c r="AN10" i="153"/>
  <c r="H12" i="153"/>
  <c r="L70" i="155"/>
  <c r="M74" i="155"/>
  <c r="BB38" i="125"/>
  <c r="BB32" i="125"/>
  <c r="BB41" i="125"/>
  <c r="BB30" i="125"/>
  <c r="BB37" i="125"/>
  <c r="BB33" i="125"/>
  <c r="I15" i="136" s="1"/>
  <c r="BB35" i="125"/>
  <c r="K15" i="136" s="1"/>
  <c r="BB40" i="125"/>
  <c r="L15" i="136" s="1"/>
  <c r="BB36" i="125"/>
  <c r="H11" i="153"/>
  <c r="E9" i="153"/>
  <c r="AY33" i="125"/>
  <c r="BC41" i="125"/>
  <c r="AY32" i="125"/>
  <c r="BC35" i="125"/>
  <c r="BE55" i="125" s="1"/>
  <c r="T5" i="153"/>
  <c r="R5" i="153"/>
  <c r="Y5" i="153"/>
  <c r="AY41" i="125"/>
  <c r="AY37" i="125"/>
  <c r="BC39" i="125"/>
  <c r="BE53" i="125" s="1"/>
  <c r="AY28" i="125"/>
  <c r="BC36" i="125"/>
  <c r="BE52" i="125" s="1"/>
  <c r="BC37" i="125"/>
  <c r="BB17" i="125"/>
  <c r="BC30" i="125"/>
  <c r="BF17" i="125"/>
  <c r="AY30" i="125"/>
  <c r="BC32" i="125"/>
  <c r="AY31" i="125"/>
  <c r="AY38" i="125"/>
  <c r="AY35" i="125"/>
  <c r="BC38" i="125"/>
  <c r="BE54" i="125" s="1"/>
  <c r="BC40" i="125"/>
  <c r="BC27" i="125"/>
  <c r="AY39" i="125"/>
  <c r="BC28" i="125"/>
  <c r="AY27" i="125"/>
  <c r="Y7" i="153"/>
  <c r="R7" i="153"/>
  <c r="T7" i="153"/>
  <c r="AY40" i="125"/>
  <c r="AY36" i="125"/>
  <c r="M29" i="125"/>
  <c r="K29" i="125" s="1"/>
  <c r="BC31" i="125"/>
  <c r="M77" i="125"/>
  <c r="AS77" i="125"/>
  <c r="K61" i="131"/>
  <c r="G8" i="136"/>
  <c r="AR23" i="132"/>
  <c r="AQ9" i="153"/>
  <c r="AO9" i="153"/>
  <c r="W9" i="153"/>
  <c r="H7" i="153"/>
  <c r="AQ7" i="153"/>
  <c r="AO7" i="153"/>
  <c r="AO15" i="153"/>
  <c r="AQ5" i="153"/>
  <c r="AU29" i="125"/>
  <c r="AX29" i="125"/>
  <c r="AK77" i="125"/>
  <c r="AO77" i="125"/>
  <c r="AK29" i="125"/>
  <c r="AN12" i="153" s="1"/>
  <c r="AL25" i="125"/>
  <c r="F11" i="136" s="1"/>
  <c r="F13" i="136"/>
  <c r="AS29" i="125"/>
  <c r="AP25" i="125"/>
  <c r="F12" i="136" s="1"/>
  <c r="AO29" i="125"/>
  <c r="AN13" i="153" s="1"/>
  <c r="AG29" i="125"/>
  <c r="AH25" i="125"/>
  <c r="F10" i="136" s="1"/>
  <c r="N25" i="125"/>
  <c r="F5" i="136" s="1"/>
  <c r="K25" i="125"/>
  <c r="J25" i="125"/>
  <c r="F4" i="136" s="1"/>
  <c r="G25" i="125"/>
  <c r="I29" i="125"/>
  <c r="I77" i="125"/>
  <c r="J9" i="125"/>
  <c r="H80" i="131"/>
  <c r="Q53" i="125"/>
  <c r="M54" i="125"/>
  <c r="AO26" i="132"/>
  <c r="M62" i="132"/>
  <c r="Q26" i="125"/>
  <c r="AM19" i="135"/>
  <c r="AM25" i="135" s="1"/>
  <c r="AN17" i="135"/>
  <c r="E29" i="125"/>
  <c r="C25" i="125"/>
  <c r="F25" i="125"/>
  <c r="M18" i="153" l="1"/>
  <c r="M16" i="153"/>
  <c r="AM8" i="176"/>
  <c r="O4" i="172" s="1"/>
  <c r="O12" i="172"/>
  <c r="O11" i="172"/>
  <c r="BA9" i="125"/>
  <c r="BB6" i="125"/>
  <c r="M63" i="132"/>
  <c r="O11" i="125"/>
  <c r="Q18" i="125"/>
  <c r="R26" i="125"/>
  <c r="Q25" i="125"/>
  <c r="D79" i="131"/>
  <c r="D80" i="131"/>
  <c r="D88" i="131"/>
  <c r="N56" i="131"/>
  <c r="AL61" i="131"/>
  <c r="G60" i="131"/>
  <c r="F62" i="131"/>
  <c r="N29" i="131"/>
  <c r="N34" i="131" s="1"/>
  <c r="D91" i="131"/>
  <c r="K112" i="131"/>
  <c r="K113" i="131" s="1"/>
  <c r="M103" i="131"/>
  <c r="J59" i="131"/>
  <c r="I75" i="131"/>
  <c r="L17" i="155"/>
  <c r="N12" i="155"/>
  <c r="O12" i="155" s="1"/>
  <c r="K25" i="155"/>
  <c r="O6" i="162"/>
  <c r="S5" i="162"/>
  <c r="W15" i="153"/>
  <c r="N15" i="153"/>
  <c r="M15" i="153"/>
  <c r="R15" i="153"/>
  <c r="AQ15" i="153"/>
  <c r="G15" i="153"/>
  <c r="V6" i="162"/>
  <c r="AM60" i="155"/>
  <c r="N17" i="155"/>
  <c r="AM69" i="155"/>
  <c r="AP69" i="155"/>
  <c r="AP70" i="155" s="1"/>
  <c r="AM70" i="155"/>
  <c r="M6" i="162"/>
  <c r="I17" i="155"/>
  <c r="K12" i="155"/>
  <c r="I12" i="155"/>
  <c r="H18" i="155"/>
  <c r="I18" i="155" s="1"/>
  <c r="I20" i="155"/>
  <c r="M42" i="125"/>
  <c r="N42" i="125" s="1"/>
  <c r="Y15" i="153"/>
  <c r="AN15" i="153"/>
  <c r="AN14" i="153"/>
  <c r="R14" i="153"/>
  <c r="R13" i="153"/>
  <c r="AN11" i="153"/>
  <c r="R12" i="153"/>
  <c r="R11" i="153"/>
  <c r="N29" i="125"/>
  <c r="AP25" i="135"/>
  <c r="H9" i="153"/>
  <c r="R9" i="153"/>
  <c r="Y9" i="153"/>
  <c r="BC33" i="125"/>
  <c r="BE51" i="125" s="1"/>
  <c r="CE20" i="125"/>
  <c r="BR20" i="125"/>
  <c r="CE22" i="125"/>
  <c r="CE5" i="125"/>
  <c r="BR23" i="125"/>
  <c r="CE21" i="125"/>
  <c r="CE25" i="125"/>
  <c r="CE24" i="125"/>
  <c r="BQ26" i="125"/>
  <c r="BR19" i="125"/>
  <c r="H6" i="153"/>
  <c r="AN6" i="153"/>
  <c r="AO5" i="153"/>
  <c r="AN5" i="153"/>
  <c r="H8" i="153"/>
  <c r="AH29" i="125"/>
  <c r="AE29" i="125"/>
  <c r="AG42" i="125"/>
  <c r="AP29" i="125"/>
  <c r="AM29" i="125"/>
  <c r="AO42" i="125"/>
  <c r="AI29" i="125"/>
  <c r="AL29" i="125"/>
  <c r="AK42" i="125"/>
  <c r="K68" i="131"/>
  <c r="AT29" i="125"/>
  <c r="AS42" i="125"/>
  <c r="AQ29" i="125"/>
  <c r="G29" i="125"/>
  <c r="J29" i="125"/>
  <c r="I42" i="125"/>
  <c r="Q54" i="125"/>
  <c r="U53" i="125"/>
  <c r="F67" i="125"/>
  <c r="E67" i="125" s="1"/>
  <c r="AT19" i="135"/>
  <c r="AT20" i="135" s="1"/>
  <c r="F29" i="125"/>
  <c r="C29" i="125"/>
  <c r="E42" i="125"/>
  <c r="O26" i="125"/>
  <c r="Q75" i="125"/>
  <c r="AR19" i="135"/>
  <c r="AN62" i="132"/>
  <c r="AN19" i="135"/>
  <c r="AM10" i="176" l="1"/>
  <c r="AN8" i="176"/>
  <c r="BA11" i="125"/>
  <c r="BB9" i="125"/>
  <c r="D81" i="131"/>
  <c r="M113" i="131"/>
  <c r="K122" i="131"/>
  <c r="P34" i="131"/>
  <c r="N37" i="131"/>
  <c r="P37" i="131" s="1"/>
  <c r="P29" i="131"/>
  <c r="N60" i="131"/>
  <c r="F69" i="131"/>
  <c r="G62" i="131"/>
  <c r="F65" i="131"/>
  <c r="G65" i="131" s="1"/>
  <c r="N103" i="131"/>
  <c r="M112" i="131"/>
  <c r="K70" i="131"/>
  <c r="M68" i="131"/>
  <c r="J75" i="131"/>
  <c r="P6" i="162"/>
  <c r="L25" i="155"/>
  <c r="N20" i="155"/>
  <c r="O8" i="162"/>
  <c r="P8" i="162" s="1"/>
  <c r="V5" i="162"/>
  <c r="H15" i="153"/>
  <c r="AB6" i="162"/>
  <c r="Y6" i="162"/>
  <c r="Q17" i="155"/>
  <c r="P89" i="155"/>
  <c r="O17" i="155"/>
  <c r="Q12" i="155"/>
  <c r="N18" i="155"/>
  <c r="O18" i="155" s="1"/>
  <c r="K18" i="155"/>
  <c r="L18" i="155" s="1"/>
  <c r="L12" i="155"/>
  <c r="H25" i="155"/>
  <c r="J9" i="162"/>
  <c r="J8" i="162"/>
  <c r="K42" i="125"/>
  <c r="T13" i="153"/>
  <c r="T14" i="153"/>
  <c r="BR24" i="125"/>
  <c r="AO6" i="153"/>
  <c r="H5" i="153"/>
  <c r="AQ42" i="125"/>
  <c r="AT42" i="125"/>
  <c r="AP42" i="125"/>
  <c r="AM42" i="125"/>
  <c r="AH42" i="125"/>
  <c r="AE42" i="125"/>
  <c r="AI42" i="125"/>
  <c r="AL42" i="125"/>
  <c r="J42" i="125"/>
  <c r="G42" i="125"/>
  <c r="Y53" i="125"/>
  <c r="U54" i="125"/>
  <c r="AN25" i="135"/>
  <c r="BA75" i="125"/>
  <c r="Q77" i="125"/>
  <c r="Q29" i="125"/>
  <c r="O25" i="125"/>
  <c r="R25" i="125"/>
  <c r="F6" i="136" s="1"/>
  <c r="F42" i="125"/>
  <c r="C42" i="125"/>
  <c r="AY11" i="125" l="1"/>
  <c r="AN63" i="132"/>
  <c r="BC11" i="125"/>
  <c r="BE48" i="125" s="1"/>
  <c r="BA18" i="125"/>
  <c r="BA56" i="125"/>
  <c r="G21" i="153"/>
  <c r="BF11" i="125"/>
  <c r="K80" i="131"/>
  <c r="L61" i="131"/>
  <c r="O56" i="131" s="1"/>
  <c r="P56" i="131" s="1"/>
  <c r="O59" i="131" s="1"/>
  <c r="P59" i="131" s="1"/>
  <c r="R6" i="162"/>
  <c r="S6" i="162" s="1"/>
  <c r="P33" i="131"/>
  <c r="K71" i="131"/>
  <c r="K72" i="131" s="1"/>
  <c r="N112" i="131"/>
  <c r="P103" i="131"/>
  <c r="N61" i="131"/>
  <c r="G69" i="131"/>
  <c r="F76" i="131" s="1"/>
  <c r="G76" i="131" s="1"/>
  <c r="F70" i="131"/>
  <c r="O20" i="155"/>
  <c r="AD17" i="162"/>
  <c r="AE17" i="162" s="1"/>
  <c r="AB11" i="162"/>
  <c r="AA17" i="162"/>
  <c r="AB17" i="162" s="1"/>
  <c r="Y5" i="162"/>
  <c r="V17" i="162"/>
  <c r="V11" i="162"/>
  <c r="R17" i="155"/>
  <c r="T12" i="155"/>
  <c r="S79" i="155"/>
  <c r="I10" i="162"/>
  <c r="R12" i="155"/>
  <c r="Q18" i="155"/>
  <c r="R18" i="155" s="1"/>
  <c r="I25" i="155"/>
  <c r="K20" i="155"/>
  <c r="H26" i="155"/>
  <c r="I26" i="155" s="1"/>
  <c r="E88" i="155"/>
  <c r="T12" i="153"/>
  <c r="T11" i="153"/>
  <c r="T9" i="153"/>
  <c r="AN7" i="153"/>
  <c r="Y54" i="125"/>
  <c r="AC53" i="125"/>
  <c r="O29" i="125"/>
  <c r="R29" i="125"/>
  <c r="Q42" i="125"/>
  <c r="N113" i="131" l="1"/>
  <c r="AL112" i="131"/>
  <c r="M61" i="131"/>
  <c r="G70" i="131"/>
  <c r="F77" i="131" s="1"/>
  <c r="G77" i="131" s="1"/>
  <c r="F72" i="131"/>
  <c r="G72" i="131" s="1"/>
  <c r="O75" i="131"/>
  <c r="P75" i="131" s="1"/>
  <c r="AM61" i="131"/>
  <c r="L71" i="131"/>
  <c r="O68" i="131" s="1"/>
  <c r="Q103" i="131"/>
  <c r="Q112" i="131" s="1"/>
  <c r="T103" i="131" s="1"/>
  <c r="T112" i="131" s="1"/>
  <c r="W103" i="131" s="1"/>
  <c r="W112" i="131" s="1"/>
  <c r="Z103" i="131" s="1"/>
  <c r="Z112" i="131" s="1"/>
  <c r="AC103" i="131" s="1"/>
  <c r="AC112" i="131" s="1"/>
  <c r="AF103" i="131" s="1"/>
  <c r="AF112" i="131" s="1"/>
  <c r="AI103" i="131" s="1"/>
  <c r="AI112" i="131" s="1"/>
  <c r="O9" i="162"/>
  <c r="P9" i="162" s="1"/>
  <c r="N68" i="131"/>
  <c r="K83" i="131"/>
  <c r="R8" i="162"/>
  <c r="Q56" i="131"/>
  <c r="Q60" i="131" s="1"/>
  <c r="Q61" i="131" s="1"/>
  <c r="T56" i="131" s="1"/>
  <c r="T60" i="131" s="1"/>
  <c r="T61" i="131" s="1"/>
  <c r="M88" i="155"/>
  <c r="T15" i="153"/>
  <c r="AB5" i="162"/>
  <c r="J10" i="162"/>
  <c r="U7" i="162"/>
  <c r="V7" i="162" s="1"/>
  <c r="V4" i="162"/>
  <c r="S89" i="155"/>
  <c r="U12" i="155"/>
  <c r="M8" i="162"/>
  <c r="K88" i="155"/>
  <c r="I61" i="131"/>
  <c r="L56" i="131" s="1"/>
  <c r="M56" i="131" s="1"/>
  <c r="L20" i="155"/>
  <c r="K26" i="155"/>
  <c r="G88" i="155"/>
  <c r="H78" i="155"/>
  <c r="AB89" i="155"/>
  <c r="Y89" i="155"/>
  <c r="S16" i="153"/>
  <c r="AC54" i="125"/>
  <c r="AG53" i="125"/>
  <c r="R42" i="125"/>
  <c r="O42" i="125"/>
  <c r="F74" i="131" l="1"/>
  <c r="F79" i="131" s="1"/>
  <c r="G79" i="131" s="1"/>
  <c r="AL113" i="131"/>
  <c r="N122" i="131"/>
  <c r="O10" i="162"/>
  <c r="P10" i="162" s="1"/>
  <c r="L83" i="131"/>
  <c r="M83" i="131" s="1"/>
  <c r="M71" i="131"/>
  <c r="S8" i="162"/>
  <c r="N70" i="131"/>
  <c r="P68" i="131"/>
  <c r="W56" i="131"/>
  <c r="W60" i="131" s="1"/>
  <c r="W61" i="131" s="1"/>
  <c r="J61" i="131"/>
  <c r="I83" i="131"/>
  <c r="AJ17" i="162"/>
  <c r="AK11" i="162"/>
  <c r="AG17" i="162"/>
  <c r="AH17" i="162" s="1"/>
  <c r="AH11" i="162"/>
  <c r="AE79" i="155"/>
  <c r="AB79" i="155"/>
  <c r="Y8" i="162"/>
  <c r="X17" i="162"/>
  <c r="Y17" i="162" s="1"/>
  <c r="Y11" i="162"/>
  <c r="V89" i="155"/>
  <c r="V79" i="155"/>
  <c r="G58" i="181"/>
  <c r="H57" i="181" s="1"/>
  <c r="N78" i="155"/>
  <c r="F88" i="155"/>
  <c r="J78" i="155"/>
  <c r="P78" i="155"/>
  <c r="L88" i="155"/>
  <c r="AK53" i="125"/>
  <c r="AG54" i="125"/>
  <c r="H58" i="181" l="1"/>
  <c r="I57" i="181" s="1"/>
  <c r="G74" i="131"/>
  <c r="F88" i="131"/>
  <c r="G88" i="131" s="1"/>
  <c r="G80" i="131"/>
  <c r="G81" i="131" s="1"/>
  <c r="AL122" i="131"/>
  <c r="N71" i="131"/>
  <c r="N72" i="131" s="1"/>
  <c r="N80" i="131"/>
  <c r="O61" i="131"/>
  <c r="P61" i="131" s="1"/>
  <c r="J83" i="131"/>
  <c r="L59" i="131"/>
  <c r="L75" i="131" s="1"/>
  <c r="AH6" i="162"/>
  <c r="AK17" i="162"/>
  <c r="AH5" i="162"/>
  <c r="Z56" i="131"/>
  <c r="Z60" i="131" s="1"/>
  <c r="Y79" i="155"/>
  <c r="U22" i="176"/>
  <c r="Y4" i="162"/>
  <c r="X7" i="162"/>
  <c r="V8" i="162"/>
  <c r="U10" i="162"/>
  <c r="I78" i="155"/>
  <c r="AE89" i="155"/>
  <c r="O78" i="155"/>
  <c r="Q80" i="131"/>
  <c r="AK54" i="125"/>
  <c r="AO53" i="125"/>
  <c r="AO54" i="125" s="1"/>
  <c r="H59" i="181" l="1"/>
  <c r="H77" i="181" s="1"/>
  <c r="U24" i="176"/>
  <c r="U25" i="176" s="1"/>
  <c r="U55" i="176"/>
  <c r="H70" i="181"/>
  <c r="R9" i="162"/>
  <c r="Q68" i="131"/>
  <c r="Q70" i="131" s="1"/>
  <c r="Q71" i="131" s="1"/>
  <c r="Q83" i="131" s="1"/>
  <c r="N83" i="131"/>
  <c r="AM59" i="131"/>
  <c r="M59" i="131"/>
  <c r="AL60" i="131" s="1"/>
  <c r="AM75" i="131"/>
  <c r="AK6" i="162"/>
  <c r="AH79" i="155"/>
  <c r="AA7" i="162"/>
  <c r="AB4" i="162"/>
  <c r="Y7" i="162"/>
  <c r="V10" i="162"/>
  <c r="U18" i="162"/>
  <c r="AH89" i="155"/>
  <c r="Z61" i="131"/>
  <c r="AC56" i="131" s="1"/>
  <c r="AC60" i="131" s="1"/>
  <c r="H72" i="181" l="1"/>
  <c r="H73" i="181" s="1"/>
  <c r="H60" i="181"/>
  <c r="H67" i="181"/>
  <c r="H76" i="181" s="1"/>
  <c r="H79" i="181"/>
  <c r="U60" i="176"/>
  <c r="U62" i="176" s="1"/>
  <c r="U57" i="176"/>
  <c r="I10" i="172" s="1"/>
  <c r="I9" i="172" s="1"/>
  <c r="T68" i="131"/>
  <c r="T70" i="131" s="1"/>
  <c r="T71" i="131" s="1"/>
  <c r="W68" i="131" s="1"/>
  <c r="S9" i="162"/>
  <c r="R10" i="162"/>
  <c r="S10" i="162" s="1"/>
  <c r="AN59" i="131"/>
  <c r="M75" i="131"/>
  <c r="AN75" i="131" s="1"/>
  <c r="AK5" i="162"/>
  <c r="AB8" i="162"/>
  <c r="AB7" i="162"/>
  <c r="AC61" i="131"/>
  <c r="U20" i="162"/>
  <c r="V20" i="162" s="1"/>
  <c r="V18" i="162"/>
  <c r="AK79" i="155"/>
  <c r="P40" i="132"/>
  <c r="T80" i="131"/>
  <c r="V62" i="176" l="1"/>
  <c r="U66" i="176"/>
  <c r="AF56" i="131"/>
  <c r="AF60" i="131" s="1"/>
  <c r="AK89" i="155"/>
  <c r="AN89" i="155" s="1"/>
  <c r="AH8" i="162"/>
  <c r="Y9" i="162"/>
  <c r="X10" i="162"/>
  <c r="W70" i="131"/>
  <c r="W71" i="131" s="1"/>
  <c r="T83" i="131"/>
  <c r="U68" i="176" l="1"/>
  <c r="I5" i="172"/>
  <c r="V66" i="176"/>
  <c r="O71" i="131"/>
  <c r="AD7" i="162"/>
  <c r="AE4" i="162"/>
  <c r="Z68" i="131"/>
  <c r="Z70" i="131" s="1"/>
  <c r="Z71" i="131" s="1"/>
  <c r="T88" i="155"/>
  <c r="Y10" i="162"/>
  <c r="X18" i="162"/>
  <c r="P88" i="155"/>
  <c r="AF61" i="131"/>
  <c r="AI56" i="131" s="1"/>
  <c r="AI60" i="131" s="1"/>
  <c r="V88" i="155"/>
  <c r="W80" i="131"/>
  <c r="U69" i="176" l="1"/>
  <c r="V68" i="176"/>
  <c r="P71" i="131"/>
  <c r="O83" i="131"/>
  <c r="AG7" i="162"/>
  <c r="AH4" i="162"/>
  <c r="AE7" i="162"/>
  <c r="W78" i="155"/>
  <c r="Y78" i="155"/>
  <c r="Y80" i="155" s="1"/>
  <c r="X20" i="162"/>
  <c r="Y20" i="162" s="1"/>
  <c r="Y18" i="162"/>
  <c r="S78" i="155"/>
  <c r="S80" i="155" s="1"/>
  <c r="P90" i="155"/>
  <c r="M9" i="162"/>
  <c r="L10" i="162"/>
  <c r="H88" i="155"/>
  <c r="J88" i="155"/>
  <c r="AI61" i="131"/>
  <c r="V10" i="132"/>
  <c r="V90" i="155"/>
  <c r="U88" i="155"/>
  <c r="W83" i="131"/>
  <c r="I18" i="172" l="1"/>
  <c r="I17" i="172"/>
  <c r="U72" i="176"/>
  <c r="I6" i="172"/>
  <c r="V69" i="176"/>
  <c r="Y4" i="132"/>
  <c r="Y9" i="132" s="1"/>
  <c r="P83" i="131"/>
  <c r="AL88" i="131"/>
  <c r="AL91" i="131" s="1"/>
  <c r="AK8" i="162"/>
  <c r="AD10" i="162"/>
  <c r="AB9" i="162"/>
  <c r="AA10" i="162"/>
  <c r="AH7" i="162"/>
  <c r="X78" i="155"/>
  <c r="M10" i="162"/>
  <c r="M78" i="155"/>
  <c r="I88" i="155"/>
  <c r="K78" i="155"/>
  <c r="Q88" i="155"/>
  <c r="S88" i="155"/>
  <c r="Z80" i="131"/>
  <c r="I20" i="172" l="1"/>
  <c r="I21" i="172" s="1"/>
  <c r="I7" i="172"/>
  <c r="V72" i="176"/>
  <c r="BU9" i="125"/>
  <c r="BV9" i="125" s="1"/>
  <c r="BR18" i="125" s="1"/>
  <c r="AL71" i="131"/>
  <c r="AL72" i="131" s="1"/>
  <c r="AL80" i="131"/>
  <c r="AJ7" i="162"/>
  <c r="AK7" i="162" s="1"/>
  <c r="AK4" i="162"/>
  <c r="L58" i="181"/>
  <c r="M57" i="181" s="1"/>
  <c r="AB10" i="162"/>
  <c r="AA18" i="162"/>
  <c r="AE10" i="162"/>
  <c r="AD18" i="162"/>
  <c r="Z88" i="155"/>
  <c r="L78" i="155"/>
  <c r="S10" i="132"/>
  <c r="V78" i="155"/>
  <c r="V80" i="155" s="1"/>
  <c r="V92" i="155" s="1"/>
  <c r="S90" i="155"/>
  <c r="S92" i="155" s="1"/>
  <c r="R88" i="155"/>
  <c r="T78" i="155"/>
  <c r="AC68" i="131"/>
  <c r="AC70" i="131" s="1"/>
  <c r="Z83" i="131"/>
  <c r="M59" i="181" l="1"/>
  <c r="M77" i="181" s="1"/>
  <c r="M70" i="181"/>
  <c r="BR15" i="125"/>
  <c r="BR13" i="125"/>
  <c r="BR16" i="125"/>
  <c r="BR22" i="125"/>
  <c r="BR12" i="125"/>
  <c r="AL83" i="131"/>
  <c r="AD20" i="162"/>
  <c r="AE20" i="162" s="1"/>
  <c r="AE18" i="162"/>
  <c r="AB18" i="162"/>
  <c r="AA20" i="162"/>
  <c r="AB20" i="162" s="1"/>
  <c r="AC78" i="155"/>
  <c r="V100" i="155"/>
  <c r="U78" i="155"/>
  <c r="S100" i="155"/>
  <c r="S115" i="155" s="1"/>
  <c r="J9" i="153"/>
  <c r="AO8" i="153"/>
  <c r="V4" i="132"/>
  <c r="AC80" i="131"/>
  <c r="AC71" i="131"/>
  <c r="M72" i="181" l="1"/>
  <c r="M73" i="181" s="1"/>
  <c r="M67" i="181"/>
  <c r="M76" i="181" s="1"/>
  <c r="M79" i="181"/>
  <c r="M60" i="181"/>
  <c r="V102" i="155"/>
  <c r="V115" i="155"/>
  <c r="V116" i="155" s="1"/>
  <c r="BR17" i="125"/>
  <c r="AH9" i="162"/>
  <c r="AG10" i="162"/>
  <c r="V38" i="132"/>
  <c r="AC68" i="125" s="1"/>
  <c r="V9" i="132"/>
  <c r="V11" i="132" s="1"/>
  <c r="V117" i="155" s="1"/>
  <c r="K9" i="153"/>
  <c r="V103" i="155"/>
  <c r="AC19" i="125"/>
  <c r="AF68" i="131"/>
  <c r="AF70" i="131" s="1"/>
  <c r="AF71" i="131" s="1"/>
  <c r="AC83" i="131"/>
  <c r="V118" i="155" l="1"/>
  <c r="V13" i="132"/>
  <c r="U26" i="176"/>
  <c r="AF83" i="131"/>
  <c r="AH10" i="162"/>
  <c r="AG18" i="162"/>
  <c r="W88" i="155"/>
  <c r="L9" i="153"/>
  <c r="AE88" i="155"/>
  <c r="AO11" i="153"/>
  <c r="Y11" i="153"/>
  <c r="AC24" i="125"/>
  <c r="AD24" i="125" s="1"/>
  <c r="AF80" i="131"/>
  <c r="Y10" i="132" l="1"/>
  <c r="V18" i="132"/>
  <c r="V28" i="132" s="1"/>
  <c r="V31" i="132" s="1"/>
  <c r="U49" i="176"/>
  <c r="Y38" i="132"/>
  <c r="Y11" i="132"/>
  <c r="AK9" i="162"/>
  <c r="AJ10" i="162"/>
  <c r="AG20" i="162"/>
  <c r="AH20" i="162" s="1"/>
  <c r="AH18" i="162"/>
  <c r="AH78" i="155"/>
  <c r="AH80" i="155" s="1"/>
  <c r="Y88" i="155"/>
  <c r="AB78" i="155" s="1"/>
  <c r="AB80" i="155" s="1"/>
  <c r="Z78" i="155"/>
  <c r="AI68" i="131"/>
  <c r="AI70" i="131" s="1"/>
  <c r="AC88" i="155"/>
  <c r="AE90" i="155"/>
  <c r="V51" i="132"/>
  <c r="AA24" i="125"/>
  <c r="X26" i="176" l="1"/>
  <c r="Y117" i="155"/>
  <c r="I58" i="181"/>
  <c r="O58" i="181"/>
  <c r="O21" i="181" s="1"/>
  <c r="AC47" i="125"/>
  <c r="U51" i="176"/>
  <c r="U73" i="176"/>
  <c r="U74" i="176" s="1"/>
  <c r="AH10" i="132"/>
  <c r="Y13" i="132"/>
  <c r="Y51" i="132"/>
  <c r="Y64" i="132" s="1"/>
  <c r="AI80" i="131"/>
  <c r="AI71" i="131"/>
  <c r="X88" i="155"/>
  <c r="AJ18" i="162"/>
  <c r="AK10" i="162"/>
  <c r="Y90" i="155"/>
  <c r="Y92" i="155" s="1"/>
  <c r="Y100" i="155" s="1"/>
  <c r="Y115" i="155" s="1"/>
  <c r="Y116" i="155" s="1"/>
  <c r="Y118" i="155" s="1"/>
  <c r="AF78" i="155"/>
  <c r="AA78" i="155"/>
  <c r="AB4" i="132"/>
  <c r="AB9" i="132" s="1"/>
  <c r="AG68" i="125"/>
  <c r="AH88" i="155"/>
  <c r="AF88" i="155"/>
  <c r="AE10" i="132"/>
  <c r="AD88" i="155"/>
  <c r="AB88" i="155"/>
  <c r="W28" i="132"/>
  <c r="AG19" i="125" l="1"/>
  <c r="AG24" i="125" s="1"/>
  <c r="AH24" i="125" s="1"/>
  <c r="Y103" i="155"/>
  <c r="X22" i="176"/>
  <c r="J57" i="181"/>
  <c r="N58" i="181"/>
  <c r="I59" i="181"/>
  <c r="I77" i="181" s="1"/>
  <c r="I70" i="181"/>
  <c r="J11" i="153"/>
  <c r="K11" i="153" s="1"/>
  <c r="O11" i="153" s="1"/>
  <c r="Y18" i="132"/>
  <c r="Y28" i="132" s="1"/>
  <c r="Y31" i="132" s="1"/>
  <c r="X49" i="176"/>
  <c r="AG78" i="155"/>
  <c r="Y102" i="155"/>
  <c r="AI83" i="131"/>
  <c r="AJ20" i="162"/>
  <c r="AK20" i="162" s="1"/>
  <c r="AK18" i="162"/>
  <c r="AI78" i="155"/>
  <c r="AK78" i="155"/>
  <c r="AK80" i="155" s="1"/>
  <c r="AH4" i="132"/>
  <c r="AH9" i="132" s="1"/>
  <c r="AE78" i="155"/>
  <c r="AE80" i="155" s="1"/>
  <c r="AE92" i="155" s="1"/>
  <c r="AG44" i="125"/>
  <c r="AE24" i="125"/>
  <c r="AG34" i="125"/>
  <c r="AH34" i="125" s="1"/>
  <c r="AG88" i="155"/>
  <c r="AH90" i="155"/>
  <c r="AH92" i="155" s="1"/>
  <c r="AK4" i="132"/>
  <c r="AK9" i="132" s="1"/>
  <c r="AA88" i="155"/>
  <c r="AB90" i="155"/>
  <c r="AO10" i="153"/>
  <c r="AB10" i="132"/>
  <c r="L11" i="153" l="1"/>
  <c r="X24" i="176"/>
  <c r="X25" i="176" s="1"/>
  <c r="X55" i="176"/>
  <c r="I72" i="181"/>
  <c r="I73" i="181" s="1"/>
  <c r="I67" i="181"/>
  <c r="I76" i="181" s="1"/>
  <c r="I79" i="181"/>
  <c r="I60" i="181"/>
  <c r="Z28" i="132"/>
  <c r="AG22" i="176"/>
  <c r="X51" i="176"/>
  <c r="X73" i="176"/>
  <c r="AI88" i="155"/>
  <c r="AL88" i="155" s="1"/>
  <c r="AH11" i="132"/>
  <c r="AH117" i="155" s="1"/>
  <c r="AH38" i="132"/>
  <c r="AS68" i="125" s="1"/>
  <c r="AD78" i="155"/>
  <c r="AJ78" i="155"/>
  <c r="AG47" i="125"/>
  <c r="V11" i="153"/>
  <c r="Z11" i="153" s="1"/>
  <c r="AM11" i="153"/>
  <c r="P11" i="153"/>
  <c r="AH44" i="125"/>
  <c r="AG46" i="125"/>
  <c r="AE44" i="125"/>
  <c r="J14" i="153"/>
  <c r="K14" i="153" s="1"/>
  <c r="O14" i="153" s="1"/>
  <c r="AH100" i="155"/>
  <c r="AH115" i="155" s="1"/>
  <c r="AH116" i="155" s="1"/>
  <c r="AH102" i="155"/>
  <c r="J13" i="153"/>
  <c r="K13" i="153" s="1"/>
  <c r="O13" i="153" s="1"/>
  <c r="AB92" i="155"/>
  <c r="J12" i="153" s="1"/>
  <c r="AB11" i="132"/>
  <c r="AB117" i="155" s="1"/>
  <c r="AB38" i="132"/>
  <c r="AK68" i="125" s="1"/>
  <c r="AE4" i="132"/>
  <c r="AS19" i="125"/>
  <c r="AH118" i="155" l="1"/>
  <c r="X60" i="176"/>
  <c r="X62" i="176" s="1"/>
  <c r="X57" i="176"/>
  <c r="J10" i="172" s="1"/>
  <c r="J9" i="172" s="1"/>
  <c r="AG24" i="176"/>
  <c r="AG25" i="176" s="1"/>
  <c r="AG52" i="176" s="1"/>
  <c r="AG55" i="176"/>
  <c r="AK19" i="125"/>
  <c r="AK24" i="125" s="1"/>
  <c r="AL24" i="125" s="1"/>
  <c r="AB103" i="155"/>
  <c r="AA22" i="176"/>
  <c r="AO19" i="125"/>
  <c r="AO24" i="125" s="1"/>
  <c r="AP24" i="125" s="1"/>
  <c r="AE103" i="155"/>
  <c r="AD22" i="176"/>
  <c r="AB13" i="132"/>
  <c r="AA26" i="176"/>
  <c r="AH13" i="132"/>
  <c r="AG26" i="176"/>
  <c r="AH51" i="132"/>
  <c r="AH64" i="132" s="1"/>
  <c r="AK88" i="155"/>
  <c r="AN88" i="155" s="1"/>
  <c r="AA11" i="153"/>
  <c r="AP11" i="153"/>
  <c r="L14" i="153"/>
  <c r="L13" i="153"/>
  <c r="AE102" i="155"/>
  <c r="AE100" i="155"/>
  <c r="AE115" i="155" s="1"/>
  <c r="AE116" i="155" s="1"/>
  <c r="AE9" i="132"/>
  <c r="AE11" i="132" s="1"/>
  <c r="AE117" i="155" s="1"/>
  <c r="K12" i="153"/>
  <c r="O12" i="153" s="1"/>
  <c r="AB102" i="155"/>
  <c r="AB100" i="155"/>
  <c r="AB115" i="155" s="1"/>
  <c r="AB116" i="155" s="1"/>
  <c r="AB118" i="155" s="1"/>
  <c r="AB51" i="132"/>
  <c r="AB64" i="132" s="1"/>
  <c r="AE38" i="132"/>
  <c r="AO68" i="125" s="1"/>
  <c r="AS24" i="125"/>
  <c r="AT24" i="125" s="1"/>
  <c r="AE118" i="155" l="1"/>
  <c r="AG60" i="176"/>
  <c r="AG62" i="176" s="1"/>
  <c r="AG57" i="176"/>
  <c r="M10" i="172" s="1"/>
  <c r="M9" i="172" s="1"/>
  <c r="AA24" i="176"/>
  <c r="AA25" i="176" s="1"/>
  <c r="AA52" i="176" s="1"/>
  <c r="AA55" i="176"/>
  <c r="AD24" i="176"/>
  <c r="AD25" i="176" s="1"/>
  <c r="AD52" i="176" s="1"/>
  <c r="AD55" i="176"/>
  <c r="X66" i="176"/>
  <c r="Y62" i="176"/>
  <c r="AH18" i="132"/>
  <c r="AH28" i="132" s="1"/>
  <c r="AG49" i="176"/>
  <c r="AB18" i="132"/>
  <c r="AB28" i="132" s="1"/>
  <c r="AB31" i="132" s="1"/>
  <c r="AA73" i="176" s="1"/>
  <c r="AA49" i="176"/>
  <c r="AS47" i="125"/>
  <c r="AH31" i="132"/>
  <c r="AG73" i="176" s="1"/>
  <c r="AE13" i="132"/>
  <c r="AD26" i="176"/>
  <c r="AK90" i="155"/>
  <c r="AK92" i="155" s="1"/>
  <c r="AK100" i="155" s="1"/>
  <c r="AK115" i="155" s="1"/>
  <c r="AK116" i="155" s="1"/>
  <c r="AJ88" i="155"/>
  <c r="AK10" i="132"/>
  <c r="AR10" i="132" s="1"/>
  <c r="V14" i="153"/>
  <c r="Z14" i="153" s="1"/>
  <c r="AM14" i="153"/>
  <c r="P14" i="153"/>
  <c r="V13" i="153"/>
  <c r="Z13" i="153" s="1"/>
  <c r="P13" i="153"/>
  <c r="AM13" i="153"/>
  <c r="V12" i="153"/>
  <c r="L12" i="153"/>
  <c r="AE51" i="132"/>
  <c r="AE64" i="132" s="1"/>
  <c r="AS34" i="125"/>
  <c r="AS44" i="125"/>
  <c r="AQ24" i="125"/>
  <c r="AI24" i="125"/>
  <c r="AK44" i="125"/>
  <c r="AK34" i="125"/>
  <c r="AM24" i="125"/>
  <c r="AO34" i="125"/>
  <c r="AO44" i="125"/>
  <c r="AA27" i="176" l="1"/>
  <c r="J5" i="172"/>
  <c r="X68" i="176"/>
  <c r="Y66" i="176"/>
  <c r="AA57" i="176"/>
  <c r="K10" i="172" s="1"/>
  <c r="K9" i="172" s="1"/>
  <c r="AA60" i="176"/>
  <c r="AA62" i="176" s="1"/>
  <c r="AD57" i="176"/>
  <c r="L10" i="172" s="1"/>
  <c r="L9" i="172" s="1"/>
  <c r="AD60" i="176"/>
  <c r="AD62" i="176" s="1"/>
  <c r="AD27" i="176"/>
  <c r="AH62" i="176"/>
  <c r="AG66" i="176"/>
  <c r="AI28" i="132"/>
  <c r="AG51" i="176"/>
  <c r="AG53" i="176" s="1"/>
  <c r="AE18" i="132"/>
  <c r="AE28" i="132" s="1"/>
  <c r="AD51" i="176" s="1"/>
  <c r="AD53" i="176" s="1"/>
  <c r="AD49" i="176"/>
  <c r="AK47" i="125"/>
  <c r="AA51" i="176"/>
  <c r="AA53" i="176" s="1"/>
  <c r="AC28" i="132"/>
  <c r="AK102" i="155"/>
  <c r="J15" i="153"/>
  <c r="K15" i="153" s="1"/>
  <c r="O15" i="153" s="1"/>
  <c r="AK11" i="132"/>
  <c r="AK38" i="132"/>
  <c r="AW68" i="125" s="1"/>
  <c r="AA14" i="153"/>
  <c r="AP14" i="153"/>
  <c r="AP13" i="153"/>
  <c r="AA13" i="153"/>
  <c r="AM12" i="153"/>
  <c r="P12" i="153"/>
  <c r="AP44" i="125"/>
  <c r="AT44" i="125"/>
  <c r="AQ44" i="125"/>
  <c r="AS46" i="125"/>
  <c r="AT34" i="125"/>
  <c r="AQ34" i="125"/>
  <c r="AP34" i="125"/>
  <c r="AM34" i="125"/>
  <c r="AL34" i="125"/>
  <c r="AL44" i="125"/>
  <c r="AI44" i="125"/>
  <c r="AK46" i="125"/>
  <c r="AO46" i="125"/>
  <c r="AM44" i="125"/>
  <c r="AJ26" i="176" l="1"/>
  <c r="AK117" i="155"/>
  <c r="AW19" i="125"/>
  <c r="AW24" i="125" s="1"/>
  <c r="AX24" i="125" s="1"/>
  <c r="AJ22" i="176"/>
  <c r="AE31" i="132"/>
  <c r="AD73" i="176" s="1"/>
  <c r="AE62" i="176"/>
  <c r="AD66" i="176"/>
  <c r="AF28" i="132"/>
  <c r="AB62" i="176"/>
  <c r="AA66" i="176"/>
  <c r="M5" i="172"/>
  <c r="AG68" i="176"/>
  <c r="AH66" i="176"/>
  <c r="X69" i="176"/>
  <c r="Y68" i="176"/>
  <c r="AO47" i="125"/>
  <c r="L15" i="153"/>
  <c r="AK13" i="132"/>
  <c r="AO12" i="153"/>
  <c r="Y12" i="153"/>
  <c r="Z12" i="153"/>
  <c r="AW44" i="125" l="1"/>
  <c r="AU44" i="125" s="1"/>
  <c r="AK118" i="155"/>
  <c r="AU24" i="125"/>
  <c r="AW34" i="125"/>
  <c r="AX34" i="125" s="1"/>
  <c r="AX42" i="125" s="1"/>
  <c r="AK18" i="132"/>
  <c r="AK28" i="132" s="1"/>
  <c r="AJ51" i="176" s="1"/>
  <c r="AJ49" i="176"/>
  <c r="AJ24" i="176"/>
  <c r="AJ25" i="176" s="1"/>
  <c r="AJ52" i="176" s="1"/>
  <c r="AJ55" i="176"/>
  <c r="K5" i="172"/>
  <c r="AA68" i="176"/>
  <c r="AB66" i="176"/>
  <c r="J6" i="172"/>
  <c r="J18" i="172"/>
  <c r="Y69" i="176"/>
  <c r="X72" i="176"/>
  <c r="J17" i="172"/>
  <c r="AG69" i="176"/>
  <c r="AH68" i="176"/>
  <c r="L5" i="172"/>
  <c r="AD68" i="176"/>
  <c r="AE66" i="176"/>
  <c r="AX44" i="125"/>
  <c r="P15" i="153"/>
  <c r="V15" i="153"/>
  <c r="Z15" i="153" s="1"/>
  <c r="AM15" i="153"/>
  <c r="AL28" i="132"/>
  <c r="AP12" i="153"/>
  <c r="AA12" i="153"/>
  <c r="AW46" i="125" l="1"/>
  <c r="AJ53" i="176"/>
  <c r="AW47" i="125"/>
  <c r="AW49" i="125" s="1"/>
  <c r="AK31" i="132"/>
  <c r="AJ73" i="176" s="1"/>
  <c r="AJ57" i="176"/>
  <c r="N10" i="172" s="1"/>
  <c r="N9" i="172" s="1"/>
  <c r="AJ60" i="176"/>
  <c r="AJ62" i="176" s="1"/>
  <c r="Y72" i="176"/>
  <c r="J20" i="172"/>
  <c r="J21" i="172" s="1"/>
  <c r="J7" i="172"/>
  <c r="AD69" i="176"/>
  <c r="AE68" i="176"/>
  <c r="AA69" i="176"/>
  <c r="AB68" i="176"/>
  <c r="AG72" i="176"/>
  <c r="M6" i="172"/>
  <c r="AH69" i="176"/>
  <c r="AP15" i="153"/>
  <c r="AA15" i="153"/>
  <c r="F16" i="125"/>
  <c r="F15" i="125" s="1"/>
  <c r="BA15" i="125"/>
  <c r="AJ66" i="176" l="1"/>
  <c r="AK62" i="176"/>
  <c r="N17" i="172"/>
  <c r="N18" i="172"/>
  <c r="M7" i="172"/>
  <c r="M20" i="172"/>
  <c r="M21" i="172" s="1"/>
  <c r="AH72" i="176"/>
  <c r="K6" i="172"/>
  <c r="K18" i="172"/>
  <c r="K17" i="172"/>
  <c r="AA72" i="176"/>
  <c r="AB69" i="176"/>
  <c r="AD72" i="176"/>
  <c r="L6" i="172"/>
  <c r="AE69" i="176"/>
  <c r="BB15" i="125"/>
  <c r="D3" i="136"/>
  <c r="F3" i="136" s="1"/>
  <c r="E4" i="153"/>
  <c r="AQ4" i="153"/>
  <c r="N5" i="172" l="1"/>
  <c r="AJ68" i="176"/>
  <c r="AK66" i="176"/>
  <c r="L18" i="172"/>
  <c r="L17" i="172"/>
  <c r="K20" i="172"/>
  <c r="K21" i="172" s="1"/>
  <c r="K7" i="172"/>
  <c r="AB72" i="176"/>
  <c r="L20" i="172"/>
  <c r="L21" i="172" s="1"/>
  <c r="L7" i="172"/>
  <c r="AE72" i="176"/>
  <c r="T4" i="153"/>
  <c r="Y4" i="153"/>
  <c r="R4" i="153"/>
  <c r="I3" i="136"/>
  <c r="K3" i="136"/>
  <c r="O3" i="136"/>
  <c r="G3" i="136"/>
  <c r="H3" i="136" s="1"/>
  <c r="L3" i="136"/>
  <c r="AN4" i="153"/>
  <c r="Q16" i="153"/>
  <c r="X16" i="153"/>
  <c r="AO4" i="153"/>
  <c r="AO16" i="153" s="1"/>
  <c r="AJ69" i="176" l="1"/>
  <c r="AK68" i="176"/>
  <c r="J3" i="136"/>
  <c r="M3" i="136" s="1"/>
  <c r="N6" i="172" l="1"/>
  <c r="AK69" i="176"/>
  <c r="AJ72" i="176"/>
  <c r="AK72" i="176" l="1"/>
  <c r="N7" i="172"/>
  <c r="N20" i="172"/>
  <c r="N21" i="172" s="1"/>
  <c r="AM158" i="131" l="1"/>
  <c r="AN158" i="131" s="1"/>
  <c r="AM39" i="176"/>
  <c r="AM67" i="176" s="1"/>
  <c r="AM44" i="176" l="1"/>
  <c r="AQ44" i="176" s="1"/>
  <c r="X20" i="153"/>
  <c r="X21" i="153" s="1"/>
  <c r="AM33" i="176"/>
  <c r="AM35" i="176" l="1"/>
  <c r="AM37" i="176" s="1"/>
  <c r="AP34" i="176"/>
  <c r="D78" i="155" l="1"/>
  <c r="B24" i="172" l="1"/>
  <c r="D4" i="132"/>
  <c r="AN4" i="132" s="1"/>
  <c r="AN78" i="155"/>
  <c r="AM78" i="155" s="1"/>
  <c r="C78" i="155"/>
  <c r="D80" i="155"/>
  <c r="AM22" i="176" l="1"/>
  <c r="AN103" i="155"/>
  <c r="B57" i="181"/>
  <c r="O57" i="181"/>
  <c r="O19" i="181" s="1"/>
  <c r="O22" i="181" s="1"/>
  <c r="E4" i="132"/>
  <c r="D9" i="132"/>
  <c r="E9" i="132" s="1"/>
  <c r="AN80" i="155"/>
  <c r="C80" i="155"/>
  <c r="AO4" i="132"/>
  <c r="AN9" i="132"/>
  <c r="N57" i="181" l="1"/>
  <c r="BA19" i="125"/>
  <c r="AQ9" i="132"/>
  <c r="AQ11" i="132" s="1"/>
  <c r="AQ13" i="132" s="1"/>
  <c r="AQ18" i="132" s="1"/>
  <c r="AQ28" i="132" s="1"/>
  <c r="AM80" i="155"/>
  <c r="AO9" i="132"/>
  <c r="AR4" i="132"/>
  <c r="AM24" i="176" l="1"/>
  <c r="N59" i="181"/>
  <c r="N77" i="181" s="1"/>
  <c r="N70" i="181"/>
  <c r="AQ32" i="132"/>
  <c r="AR9" i="132"/>
  <c r="C131" i="131" l="1"/>
  <c r="AM131" i="131" s="1"/>
  <c r="BD22" i="125" l="1"/>
  <c r="AN61" i="131" l="1"/>
  <c r="AL94" i="131" l="1"/>
  <c r="AL92" i="131" l="1"/>
  <c r="AL93" i="131" s="1"/>
  <c r="BD16" i="125"/>
  <c r="BD17" i="125" l="1"/>
  <c r="BE16" i="125"/>
  <c r="BF18" i="125" s="1"/>
  <c r="BE17" i="125" l="1"/>
  <c r="B124" i="131"/>
  <c r="B128" i="131"/>
  <c r="E87" i="131"/>
  <c r="B125" i="131" l="1"/>
  <c r="B132" i="131"/>
  <c r="E91" i="131"/>
  <c r="F11" i="162"/>
  <c r="B89" i="155"/>
  <c r="C92" i="131"/>
  <c r="C93" i="131" s="1"/>
  <c r="D93" i="131" s="1"/>
  <c r="D89" i="155"/>
  <c r="E92" i="131" l="1"/>
  <c r="E127" i="131"/>
  <c r="D94" i="131"/>
  <c r="C95" i="131" s="1"/>
  <c r="D92" i="131"/>
  <c r="B90" i="155"/>
  <c r="C89" i="155"/>
  <c r="E79" i="155"/>
  <c r="G79" i="155"/>
  <c r="G80" i="155" s="1"/>
  <c r="D90" i="155"/>
  <c r="D92" i="155" s="1"/>
  <c r="D46" i="132"/>
  <c r="D48" i="132" s="1"/>
  <c r="D10" i="132"/>
  <c r="F87" i="131"/>
  <c r="C124" i="131"/>
  <c r="C10" i="132"/>
  <c r="G11" i="162"/>
  <c r="F17" i="162"/>
  <c r="B58" i="181" l="1"/>
  <c r="H87" i="131"/>
  <c r="H91" i="131" s="1"/>
  <c r="H92" i="131" s="1"/>
  <c r="D124" i="131"/>
  <c r="C125" i="131"/>
  <c r="D125" i="131" s="1"/>
  <c r="E124" i="131"/>
  <c r="I11" i="162"/>
  <c r="I17" i="162" s="1"/>
  <c r="E93" i="131"/>
  <c r="C96" i="131"/>
  <c r="D95" i="131"/>
  <c r="E132" i="131"/>
  <c r="F91" i="131"/>
  <c r="G87" i="131"/>
  <c r="E10" i="132"/>
  <c r="E41" i="132" s="1"/>
  <c r="F4" i="132"/>
  <c r="C11" i="132"/>
  <c r="B117" i="155" s="1"/>
  <c r="D11" i="132"/>
  <c r="D38" i="132"/>
  <c r="E68" i="125" s="1"/>
  <c r="E70" i="125" s="1"/>
  <c r="G4" i="132"/>
  <c r="F79" i="155"/>
  <c r="E80" i="155"/>
  <c r="B22" i="176"/>
  <c r="B24" i="176" s="1"/>
  <c r="B25" i="176" s="1"/>
  <c r="C90" i="155"/>
  <c r="B92" i="155"/>
  <c r="B100" i="155" s="1"/>
  <c r="B115" i="155" s="1"/>
  <c r="B116" i="155" s="1"/>
  <c r="G17" i="162"/>
  <c r="F18" i="162"/>
  <c r="D100" i="155"/>
  <c r="J4" i="153"/>
  <c r="AN92" i="131"/>
  <c r="AL124" i="131"/>
  <c r="AL125" i="131" s="1"/>
  <c r="C22" i="176"/>
  <c r="C26" i="176" l="1"/>
  <c r="D117" i="155"/>
  <c r="C117" i="155" s="1"/>
  <c r="B118" i="155"/>
  <c r="D102" i="155"/>
  <c r="D115" i="155"/>
  <c r="C57" i="181"/>
  <c r="B59" i="181"/>
  <c r="B77" i="181" s="1"/>
  <c r="B70" i="181"/>
  <c r="C24" i="176"/>
  <c r="B26" i="176"/>
  <c r="B27" i="176" s="1"/>
  <c r="D19" i="125"/>
  <c r="D24" i="125" s="1"/>
  <c r="D20" i="125" s="1"/>
  <c r="E19" i="125"/>
  <c r="E24" i="125" s="1"/>
  <c r="E80" i="125" s="1"/>
  <c r="H93" i="131"/>
  <c r="J11" i="162"/>
  <c r="G89" i="155"/>
  <c r="J79" i="155" s="1"/>
  <c r="J80" i="155" s="1"/>
  <c r="D96" i="131"/>
  <c r="E89" i="155"/>
  <c r="E90" i="155" s="1"/>
  <c r="E92" i="155" s="1"/>
  <c r="E100" i="155" s="1"/>
  <c r="E115" i="155" s="1"/>
  <c r="E125" i="131"/>
  <c r="G91" i="131"/>
  <c r="H124" i="131"/>
  <c r="K87" i="131"/>
  <c r="K91" i="131" s="1"/>
  <c r="H127" i="131"/>
  <c r="J127" i="131" s="1"/>
  <c r="F80" i="155"/>
  <c r="B102" i="155"/>
  <c r="C100" i="155"/>
  <c r="G9" i="132"/>
  <c r="G18" i="162"/>
  <c r="F20" i="162"/>
  <c r="G20" i="162" s="1"/>
  <c r="E11" i="132"/>
  <c r="E13" i="132" s="1"/>
  <c r="C13" i="132"/>
  <c r="D13" i="132"/>
  <c r="F9" i="132"/>
  <c r="H4" i="132"/>
  <c r="J17" i="162"/>
  <c r="C102" i="155" l="1"/>
  <c r="D18" i="132"/>
  <c r="C49" i="176"/>
  <c r="F19" i="125"/>
  <c r="F92" i="131"/>
  <c r="G94" i="131" s="1"/>
  <c r="F95" i="131" s="1"/>
  <c r="G95" i="131" s="1"/>
  <c r="G144" i="131" s="1"/>
  <c r="F144" i="131" s="1"/>
  <c r="G46" i="132"/>
  <c r="G48" i="132" s="1"/>
  <c r="D44" i="176"/>
  <c r="D40" i="176"/>
  <c r="D42" i="176"/>
  <c r="D39" i="176"/>
  <c r="D41" i="176"/>
  <c r="D43" i="176"/>
  <c r="G90" i="155"/>
  <c r="G92" i="155" s="1"/>
  <c r="G100" i="155" s="1"/>
  <c r="G10" i="132"/>
  <c r="J4" i="132" s="1"/>
  <c r="J9" i="132" s="1"/>
  <c r="E81" i="125"/>
  <c r="F80" i="125"/>
  <c r="F89" i="155"/>
  <c r="H79" i="155"/>
  <c r="H80" i="155" s="1"/>
  <c r="I80" i="155" s="1"/>
  <c r="H125" i="131"/>
  <c r="K92" i="131"/>
  <c r="H89" i="155"/>
  <c r="L11" i="162"/>
  <c r="E102" i="155"/>
  <c r="F24" i="125"/>
  <c r="C24" i="125"/>
  <c r="E34" i="125"/>
  <c r="H9" i="132"/>
  <c r="G102" i="155" l="1"/>
  <c r="G115" i="155"/>
  <c r="G116" i="155" s="1"/>
  <c r="F96" i="131"/>
  <c r="F93" i="131"/>
  <c r="G93" i="131" s="1"/>
  <c r="I87" i="131"/>
  <c r="J87" i="131" s="1"/>
  <c r="G92" i="131"/>
  <c r="F124" i="131"/>
  <c r="F125" i="131" s="1"/>
  <c r="G125" i="131" s="1"/>
  <c r="D28" i="132"/>
  <c r="D35" i="132"/>
  <c r="D36" i="132" s="1"/>
  <c r="F90" i="155"/>
  <c r="G11" i="132"/>
  <c r="J5" i="153"/>
  <c r="K5" i="153" s="1"/>
  <c r="G38" i="132"/>
  <c r="I68" i="125" s="1"/>
  <c r="E82" i="125"/>
  <c r="F81" i="125"/>
  <c r="C58" i="181"/>
  <c r="I79" i="155"/>
  <c r="K93" i="131"/>
  <c r="G96" i="131"/>
  <c r="G142" i="131" s="1"/>
  <c r="F142" i="131" s="1"/>
  <c r="F145" i="131" s="1"/>
  <c r="K79" i="155"/>
  <c r="K80" i="155" s="1"/>
  <c r="H90" i="155"/>
  <c r="H92" i="155" s="1"/>
  <c r="H100" i="155" s="1"/>
  <c r="H115" i="155" s="1"/>
  <c r="J89" i="155"/>
  <c r="J46" i="132"/>
  <c r="I92" i="131"/>
  <c r="M11" i="162"/>
  <c r="N87" i="131"/>
  <c r="K124" i="131"/>
  <c r="C34" i="125"/>
  <c r="F34" i="125"/>
  <c r="I4" i="136" s="1"/>
  <c r="E44" i="125"/>
  <c r="F100" i="155"/>
  <c r="F102" i="155"/>
  <c r="N89" i="155"/>
  <c r="G51" i="132" l="1"/>
  <c r="G64" i="132" s="1"/>
  <c r="G117" i="155"/>
  <c r="D57" i="181"/>
  <c r="C70" i="181"/>
  <c r="C59" i="181"/>
  <c r="C77" i="181" s="1"/>
  <c r="G124" i="131"/>
  <c r="F26" i="176"/>
  <c r="C166" i="131"/>
  <c r="E28" i="132"/>
  <c r="D31" i="132"/>
  <c r="E47" i="125"/>
  <c r="G13" i="132"/>
  <c r="G18" i="132" s="1"/>
  <c r="F82" i="125"/>
  <c r="E83" i="125"/>
  <c r="F83" i="125" s="1"/>
  <c r="K125" i="131"/>
  <c r="F148" i="131"/>
  <c r="G148" i="131" s="1"/>
  <c r="F154" i="131"/>
  <c r="G145" i="131"/>
  <c r="F128" i="131"/>
  <c r="AN46" i="132"/>
  <c r="AN48" i="132" s="1"/>
  <c r="J48" i="132"/>
  <c r="N91" i="131"/>
  <c r="N92" i="131"/>
  <c r="I124" i="131"/>
  <c r="L87" i="131"/>
  <c r="M87" i="131" s="1"/>
  <c r="J92" i="131"/>
  <c r="O11" i="162"/>
  <c r="K89" i="155"/>
  <c r="J10" i="132"/>
  <c r="I89" i="155"/>
  <c r="J90" i="155"/>
  <c r="M79" i="155"/>
  <c r="O89" i="155"/>
  <c r="Q79" i="155"/>
  <c r="L5" i="153"/>
  <c r="O5" i="153"/>
  <c r="C44" i="125"/>
  <c r="E46" i="125"/>
  <c r="G118" i="155" l="1"/>
  <c r="C72" i="181"/>
  <c r="C73" i="181" s="1"/>
  <c r="C60" i="181"/>
  <c r="C79" i="181"/>
  <c r="C67" i="181"/>
  <c r="C76" i="181" s="1"/>
  <c r="D58" i="181"/>
  <c r="E57" i="181" s="1"/>
  <c r="F49" i="176"/>
  <c r="G28" i="132"/>
  <c r="H28" i="132" s="1"/>
  <c r="G35" i="132"/>
  <c r="G36" i="132" s="1"/>
  <c r="D41" i="132"/>
  <c r="C51" i="176"/>
  <c r="C73" i="176"/>
  <c r="C31" i="132"/>
  <c r="F22" i="176"/>
  <c r="I19" i="125"/>
  <c r="I24" i="125" s="1"/>
  <c r="E84" i="125"/>
  <c r="J124" i="131"/>
  <c r="I125" i="131"/>
  <c r="J125" i="131" s="1"/>
  <c r="F157" i="131"/>
  <c r="G154" i="131"/>
  <c r="F132" i="131"/>
  <c r="G132" i="131" s="1"/>
  <c r="G128" i="131"/>
  <c r="M80" i="155"/>
  <c r="L80" i="155" s="1"/>
  <c r="L79" i="155"/>
  <c r="J92" i="155"/>
  <c r="I90" i="155"/>
  <c r="M89" i="155"/>
  <c r="L92" i="131"/>
  <c r="N93" i="131"/>
  <c r="O17" i="162"/>
  <c r="P17" i="162" s="1"/>
  <c r="P11" i="162"/>
  <c r="M4" i="132"/>
  <c r="M9" i="132" s="1"/>
  <c r="J11" i="132"/>
  <c r="J38" i="132"/>
  <c r="M68" i="125" s="1"/>
  <c r="I22" i="176"/>
  <c r="Q87" i="131"/>
  <c r="Q92" i="131" s="1"/>
  <c r="N124" i="131"/>
  <c r="P92" i="131"/>
  <c r="K90" i="155"/>
  <c r="K92" i="155" s="1"/>
  <c r="K100" i="155" s="1"/>
  <c r="K115" i="155" s="1"/>
  <c r="N79" i="155"/>
  <c r="N80" i="155" s="1"/>
  <c r="R79" i="155"/>
  <c r="P5" i="153"/>
  <c r="V5" i="153"/>
  <c r="Z5" i="153" s="1"/>
  <c r="AM5" i="153"/>
  <c r="D59" i="181" l="1"/>
  <c r="D77" i="181" s="1"/>
  <c r="I26" i="176"/>
  <c r="J117" i="155"/>
  <c r="D70" i="181"/>
  <c r="D79" i="181" s="1"/>
  <c r="G31" i="132"/>
  <c r="F73" i="176" s="1"/>
  <c r="F166" i="131"/>
  <c r="I47" i="125"/>
  <c r="I48" i="125" s="1"/>
  <c r="F60" i="176"/>
  <c r="F57" i="176"/>
  <c r="D10" i="172" s="1"/>
  <c r="D9" i="172" s="1"/>
  <c r="I34" i="125"/>
  <c r="G24" i="125"/>
  <c r="J24" i="125"/>
  <c r="I44" i="125"/>
  <c r="I80" i="125"/>
  <c r="F24" i="176"/>
  <c r="F25" i="176" s="1"/>
  <c r="F52" i="176" s="1"/>
  <c r="I24" i="176"/>
  <c r="N125" i="131"/>
  <c r="M19" i="125"/>
  <c r="M24" i="125" s="1"/>
  <c r="G157" i="131"/>
  <c r="F159" i="131"/>
  <c r="F162" i="131" s="1"/>
  <c r="F164" i="131" s="1"/>
  <c r="R17" i="162"/>
  <c r="S17" i="162" s="1"/>
  <c r="S11" i="162"/>
  <c r="M10" i="132"/>
  <c r="M38" i="132" s="1"/>
  <c r="Q68" i="125" s="1"/>
  <c r="J6" i="153"/>
  <c r="K6" i="153" s="1"/>
  <c r="J100" i="155"/>
  <c r="J115" i="155" s="1"/>
  <c r="J116" i="155" s="1"/>
  <c r="L89" i="155"/>
  <c r="P79" i="155"/>
  <c r="M90" i="155"/>
  <c r="M92" i="155" s="1"/>
  <c r="J13" i="132"/>
  <c r="J51" i="132"/>
  <c r="J64" i="132" s="1"/>
  <c r="Q124" i="131"/>
  <c r="T87" i="131"/>
  <c r="T92" i="131" s="1"/>
  <c r="O87" i="131"/>
  <c r="P87" i="131" s="1"/>
  <c r="M92" i="131"/>
  <c r="L124" i="131"/>
  <c r="BC19" i="125"/>
  <c r="BG5" i="125"/>
  <c r="J21" i="153"/>
  <c r="BB19" i="125"/>
  <c r="BG18" i="125"/>
  <c r="BA24" i="125"/>
  <c r="AY19" i="125"/>
  <c r="AA5" i="153"/>
  <c r="AP5" i="153"/>
  <c r="AN38" i="132"/>
  <c r="BA68" i="125" s="1"/>
  <c r="AN11" i="132"/>
  <c r="J118" i="155" l="1"/>
  <c r="D67" i="181"/>
  <c r="D76" i="181" s="1"/>
  <c r="D60" i="181"/>
  <c r="AM26" i="176"/>
  <c r="AN117" i="155"/>
  <c r="D72" i="181"/>
  <c r="D73" i="181" s="1"/>
  <c r="E58" i="181"/>
  <c r="F167" i="131"/>
  <c r="F31" i="132"/>
  <c r="F51" i="176"/>
  <c r="F53" i="176" s="1"/>
  <c r="G32" i="132"/>
  <c r="I52" i="125" s="1"/>
  <c r="F62" i="176"/>
  <c r="I81" i="125"/>
  <c r="J80" i="125"/>
  <c r="I46" i="125"/>
  <c r="J44" i="125"/>
  <c r="G44" i="125"/>
  <c r="G34" i="125"/>
  <c r="J34" i="125"/>
  <c r="J18" i="132"/>
  <c r="I49" i="176"/>
  <c r="M34" i="125"/>
  <c r="K34" i="125" s="1"/>
  <c r="M80" i="125"/>
  <c r="M124" i="131"/>
  <c r="L125" i="131"/>
  <c r="M125" i="131" s="1"/>
  <c r="K24" i="125"/>
  <c r="M44" i="125"/>
  <c r="K44" i="125" s="1"/>
  <c r="N24" i="125"/>
  <c r="L90" i="155"/>
  <c r="M100" i="155"/>
  <c r="M115" i="155" s="1"/>
  <c r="M116" i="155" s="1"/>
  <c r="J7" i="153"/>
  <c r="J102" i="155"/>
  <c r="I100" i="155"/>
  <c r="T124" i="131"/>
  <c r="W87" i="131"/>
  <c r="W92" i="131" s="1"/>
  <c r="P80" i="155"/>
  <c r="O79" i="155"/>
  <c r="O6" i="153"/>
  <c r="L6" i="153"/>
  <c r="Q89" i="155"/>
  <c r="M11" i="132"/>
  <c r="P4" i="132"/>
  <c r="AN90" i="155"/>
  <c r="L22" i="176"/>
  <c r="L55" i="176" s="1"/>
  <c r="AY24" i="125"/>
  <c r="BB24" i="125"/>
  <c r="O21" i="153"/>
  <c r="AN53" i="132"/>
  <c r="AR11" i="132"/>
  <c r="AN13" i="132"/>
  <c r="AM49" i="176" s="1"/>
  <c r="AN65" i="132"/>
  <c r="AN51" i="132"/>
  <c r="BE49" i="125"/>
  <c r="BC20" i="125"/>
  <c r="L26" i="176" l="1"/>
  <c r="M117" i="155"/>
  <c r="F57" i="181"/>
  <c r="E59" i="181"/>
  <c r="E77" i="181" s="1"/>
  <c r="E70" i="181"/>
  <c r="F66" i="176"/>
  <c r="F68" i="176" s="1"/>
  <c r="G68" i="176" s="1"/>
  <c r="G62" i="176"/>
  <c r="J28" i="132"/>
  <c r="I166" i="131" s="1"/>
  <c r="J35" i="132"/>
  <c r="J36" i="132" s="1"/>
  <c r="L60" i="176"/>
  <c r="L57" i="176"/>
  <c r="F10" i="172" s="1"/>
  <c r="F9" i="172" s="1"/>
  <c r="L24" i="176"/>
  <c r="L25" i="176" s="1"/>
  <c r="I82" i="125"/>
  <c r="J81" i="125"/>
  <c r="N34" i="125"/>
  <c r="M81" i="125"/>
  <c r="N80" i="125"/>
  <c r="N44" i="125"/>
  <c r="M46" i="125"/>
  <c r="M47" i="125" s="1"/>
  <c r="Q19" i="125"/>
  <c r="Q24" i="125" s="1"/>
  <c r="AN92" i="155"/>
  <c r="J18" i="153" s="1"/>
  <c r="M13" i="132"/>
  <c r="M51" i="132"/>
  <c r="M64" i="132" s="1"/>
  <c r="P92" i="155"/>
  <c r="O80" i="155"/>
  <c r="W124" i="131"/>
  <c r="Z87" i="131"/>
  <c r="Z92" i="131" s="1"/>
  <c r="P6" i="153"/>
  <c r="AM6" i="153"/>
  <c r="V6" i="153"/>
  <c r="Z6" i="153" s="1"/>
  <c r="R89" i="155"/>
  <c r="T79" i="155"/>
  <c r="Q90" i="155"/>
  <c r="R90" i="155" s="1"/>
  <c r="K7" i="153"/>
  <c r="P9" i="132"/>
  <c r="T89" i="155"/>
  <c r="M102" i="155"/>
  <c r="L100" i="155"/>
  <c r="AN18" i="132"/>
  <c r="AN35" i="132" s="1"/>
  <c r="AN36" i="132" s="1"/>
  <c r="AR13" i="132"/>
  <c r="AN64" i="132"/>
  <c r="AN66" i="132" s="1"/>
  <c r="M118" i="155" l="1"/>
  <c r="J31" i="132"/>
  <c r="J32" i="132" s="1"/>
  <c r="M52" i="125" s="1"/>
  <c r="K28" i="132"/>
  <c r="E72" i="181"/>
  <c r="E73" i="181" s="1"/>
  <c r="E60" i="181"/>
  <c r="E67" i="181"/>
  <c r="E76" i="181" s="1"/>
  <c r="E79" i="181"/>
  <c r="D5" i="172"/>
  <c r="G66" i="176"/>
  <c r="L62" i="176"/>
  <c r="F69" i="176"/>
  <c r="G69" i="176" s="1"/>
  <c r="I51" i="176"/>
  <c r="J82" i="125"/>
  <c r="I83" i="125"/>
  <c r="J83" i="125" s="1"/>
  <c r="M18" i="132"/>
  <c r="L49" i="176"/>
  <c r="Q34" i="125"/>
  <c r="Q80" i="125"/>
  <c r="M48" i="125"/>
  <c r="O24" i="125"/>
  <c r="R24" i="125"/>
  <c r="Q44" i="125"/>
  <c r="M82" i="125"/>
  <c r="N81" i="125"/>
  <c r="T90" i="155"/>
  <c r="U90" i="155" s="1"/>
  <c r="U89" i="155"/>
  <c r="W79" i="155"/>
  <c r="L7" i="153"/>
  <c r="O7" i="153"/>
  <c r="W89" i="155"/>
  <c r="T80" i="155"/>
  <c r="U79" i="155"/>
  <c r="AP6" i="153"/>
  <c r="AA6" i="153"/>
  <c r="J8" i="153"/>
  <c r="P100" i="155"/>
  <c r="P115" i="155" s="1"/>
  <c r="Z124" i="131"/>
  <c r="AC87" i="131"/>
  <c r="AC92" i="131" s="1"/>
  <c r="AN100" i="155"/>
  <c r="AN115" i="155" s="1"/>
  <c r="BD24" i="125"/>
  <c r="BE24" i="125" s="1"/>
  <c r="AR18" i="132"/>
  <c r="AN28" i="132"/>
  <c r="AM166" i="131" s="1"/>
  <c r="I31" i="132" l="1"/>
  <c r="I73" i="176"/>
  <c r="L66" i="176"/>
  <c r="L68" i="176" s="1"/>
  <c r="M68" i="176" s="1"/>
  <c r="M62" i="176"/>
  <c r="F72" i="176"/>
  <c r="D6" i="172"/>
  <c r="D18" i="172"/>
  <c r="D17" i="172"/>
  <c r="U52" i="176"/>
  <c r="U53" i="176" s="1"/>
  <c r="U27" i="176"/>
  <c r="M28" i="132"/>
  <c r="L166" i="131" s="1"/>
  <c r="M35" i="132"/>
  <c r="M36" i="132" s="1"/>
  <c r="R80" i="125"/>
  <c r="Q81" i="125"/>
  <c r="Q46" i="125"/>
  <c r="Q48" i="125" s="1"/>
  <c r="O44" i="125"/>
  <c r="R44" i="125"/>
  <c r="O34" i="125"/>
  <c r="R34" i="125"/>
  <c r="N82" i="125"/>
  <c r="M83" i="125"/>
  <c r="N83" i="125" s="1"/>
  <c r="AF87" i="131"/>
  <c r="AF92" i="131" s="1"/>
  <c r="AC124" i="131"/>
  <c r="Z79" i="155"/>
  <c r="W90" i="155"/>
  <c r="X90" i="155" s="1"/>
  <c r="X89" i="155"/>
  <c r="AM7" i="153"/>
  <c r="V7" i="153"/>
  <c r="Z7" i="153" s="1"/>
  <c r="P7" i="153"/>
  <c r="U80" i="155"/>
  <c r="T92" i="155"/>
  <c r="AN102" i="155"/>
  <c r="K8" i="153"/>
  <c r="X79" i="155"/>
  <c r="W80" i="155"/>
  <c r="Z89" i="155"/>
  <c r="AN31" i="132"/>
  <c r="AO28" i="132"/>
  <c r="AR28" i="132"/>
  <c r="BA47" i="125"/>
  <c r="F5" i="172" l="1"/>
  <c r="M66" i="176"/>
  <c r="D20" i="172"/>
  <c r="D21" i="172" s="1"/>
  <c r="G72" i="176"/>
  <c r="F74" i="176"/>
  <c r="D7" i="172"/>
  <c r="M31" i="132"/>
  <c r="L51" i="176" s="1"/>
  <c r="N28" i="132"/>
  <c r="Q47" i="125"/>
  <c r="AM51" i="176"/>
  <c r="AM73" i="176"/>
  <c r="L69" i="176"/>
  <c r="M69" i="176" s="1"/>
  <c r="Q82" i="125"/>
  <c r="R81" i="125"/>
  <c r="T100" i="155"/>
  <c r="T115" i="155" s="1"/>
  <c r="U92" i="155"/>
  <c r="AF124" i="131"/>
  <c r="AI87" i="131"/>
  <c r="AI92" i="131" s="1"/>
  <c r="L8" i="153"/>
  <c r="AC89" i="155"/>
  <c r="AA7" i="153"/>
  <c r="AP7" i="153"/>
  <c r="AC79" i="155"/>
  <c r="AA89" i="155"/>
  <c r="Z90" i="155"/>
  <c r="AA90" i="155" s="1"/>
  <c r="W92" i="155"/>
  <c r="X80" i="155"/>
  <c r="AN104" i="155"/>
  <c r="AA79" i="155"/>
  <c r="Z80" i="155"/>
  <c r="Z20" i="153"/>
  <c r="AQ29" i="132"/>
  <c r="AM31" i="132"/>
  <c r="L72" i="176" l="1"/>
  <c r="M72" i="176" s="1"/>
  <c r="F6" i="172"/>
  <c r="F17" i="172"/>
  <c r="F18" i="172"/>
  <c r="L73" i="176"/>
  <c r="M32" i="132"/>
  <c r="Q52" i="125" s="1"/>
  <c r="R82" i="125"/>
  <c r="Q83" i="125"/>
  <c r="R83" i="125" s="1"/>
  <c r="AF89" i="155"/>
  <c r="AI124" i="131"/>
  <c r="W100" i="155"/>
  <c r="W115" i="155" s="1"/>
  <c r="X92" i="155"/>
  <c r="AA80" i="155"/>
  <c r="Z92" i="155"/>
  <c r="AD79" i="155"/>
  <c r="AC80" i="155"/>
  <c r="AD89" i="155"/>
  <c r="AF79" i="155"/>
  <c r="AC90" i="155"/>
  <c r="AD90" i="155" s="1"/>
  <c r="T102" i="155"/>
  <c r="U102" i="155" s="1"/>
  <c r="U100" i="155"/>
  <c r="AC92" i="155" l="1"/>
  <c r="AD92" i="155" s="1"/>
  <c r="L74" i="176"/>
  <c r="F7" i="172"/>
  <c r="F20" i="172"/>
  <c r="F21" i="172" s="1"/>
  <c r="AF90" i="155"/>
  <c r="AG90" i="155" s="1"/>
  <c r="AG89" i="155"/>
  <c r="AI79" i="155"/>
  <c r="AF80" i="155"/>
  <c r="AG79" i="155"/>
  <c r="W102" i="155"/>
  <c r="X102" i="155" s="1"/>
  <c r="X100" i="155"/>
  <c r="AD80" i="155"/>
  <c r="Z102" i="155"/>
  <c r="AA102" i="155" s="1"/>
  <c r="Z100" i="155"/>
  <c r="AA92" i="155"/>
  <c r="AI89" i="155"/>
  <c r="AL89" i="155" s="1"/>
  <c r="AM89" i="155" s="1"/>
  <c r="AA100" i="155" l="1"/>
  <c r="Z115" i="155"/>
  <c r="Z17" i="153"/>
  <c r="AJ89" i="155"/>
  <c r="AI90" i="155"/>
  <c r="AJ90" i="155" s="1"/>
  <c r="AC100" i="155"/>
  <c r="AC102" i="155"/>
  <c r="AD102" i="155" s="1"/>
  <c r="AI80" i="155"/>
  <c r="AJ79" i="155"/>
  <c r="AG80" i="155"/>
  <c r="AF92" i="155"/>
  <c r="G8" i="131"/>
  <c r="E41" i="131"/>
  <c r="G41" i="131" s="1"/>
  <c r="H4" i="131"/>
  <c r="AD100" i="155" l="1"/>
  <c r="AC115" i="155"/>
  <c r="AI92" i="155"/>
  <c r="AJ80" i="155"/>
  <c r="AF102" i="155"/>
  <c r="AG102" i="155" s="1"/>
  <c r="AG92" i="155"/>
  <c r="AF100" i="155"/>
  <c r="J4" i="131"/>
  <c r="H10" i="131"/>
  <c r="K4" i="131"/>
  <c r="I4" i="162"/>
  <c r="E9" i="155"/>
  <c r="H41" i="131"/>
  <c r="J41" i="131" s="1"/>
  <c r="J8" i="131"/>
  <c r="E14" i="176"/>
  <c r="AG100" i="155" l="1"/>
  <c r="AF115" i="155"/>
  <c r="H12" i="176"/>
  <c r="G14" i="176"/>
  <c r="E15" i="176"/>
  <c r="AJ92" i="155"/>
  <c r="AI102" i="155"/>
  <c r="AJ102" i="155" s="1"/>
  <c r="AI100" i="155"/>
  <c r="J10" i="131"/>
  <c r="H13" i="131"/>
  <c r="J13" i="131" s="1"/>
  <c r="H43" i="131"/>
  <c r="M4" i="131"/>
  <c r="K10" i="131"/>
  <c r="H10" i="125"/>
  <c r="M8" i="131"/>
  <c r="K41" i="131"/>
  <c r="M41" i="131" s="1"/>
  <c r="N4" i="131"/>
  <c r="N10" i="131" s="1"/>
  <c r="L4" i="162"/>
  <c r="H9" i="155"/>
  <c r="H14" i="176"/>
  <c r="H4" i="155"/>
  <c r="E10" i="155"/>
  <c r="F10" i="155" s="1"/>
  <c r="F35" i="155" s="1"/>
  <c r="E33" i="155"/>
  <c r="E107" i="155" s="1"/>
  <c r="F9" i="155"/>
  <c r="I7" i="162"/>
  <c r="J4" i="162"/>
  <c r="AJ100" i="155" l="1"/>
  <c r="AI115" i="155"/>
  <c r="E108" i="155"/>
  <c r="F107" i="155"/>
  <c r="E17" i="176"/>
  <c r="G15" i="176"/>
  <c r="K12" i="176"/>
  <c r="M12" i="176" s="1"/>
  <c r="J14" i="176"/>
  <c r="H15" i="176"/>
  <c r="J12" i="176"/>
  <c r="N43" i="131"/>
  <c r="P10" i="131"/>
  <c r="N13" i="131"/>
  <c r="P13" i="131" s="1"/>
  <c r="M10" i="131"/>
  <c r="K13" i="131"/>
  <c r="M13" i="131" s="1"/>
  <c r="K43" i="131"/>
  <c r="J43" i="131"/>
  <c r="J48" i="131" s="1"/>
  <c r="I48" i="131" s="1"/>
  <c r="H52" i="131"/>
  <c r="H46" i="131"/>
  <c r="J46" i="131" s="1"/>
  <c r="P4" i="131"/>
  <c r="K9" i="155"/>
  <c r="O4" i="162"/>
  <c r="K14" i="176"/>
  <c r="M14" i="176" s="1"/>
  <c r="F33" i="155"/>
  <c r="E34" i="155"/>
  <c r="E73" i="155"/>
  <c r="I4" i="155"/>
  <c r="H28" i="155"/>
  <c r="H105" i="155" s="1"/>
  <c r="H10" i="155"/>
  <c r="I10" i="155" s="1"/>
  <c r="I35" i="155" s="1"/>
  <c r="L10" i="125"/>
  <c r="K4" i="155"/>
  <c r="H33" i="155"/>
  <c r="H107" i="155" s="1"/>
  <c r="I107" i="155" s="1"/>
  <c r="I9" i="155"/>
  <c r="F10" i="132"/>
  <c r="J7" i="162"/>
  <c r="I18" i="162"/>
  <c r="L4" i="125"/>
  <c r="H11" i="125"/>
  <c r="J10" i="125"/>
  <c r="M4" i="162"/>
  <c r="L7" i="162"/>
  <c r="I105" i="155" l="1"/>
  <c r="H108" i="155"/>
  <c r="F108" i="155"/>
  <c r="E109" i="155"/>
  <c r="G29" i="176"/>
  <c r="G28" i="176"/>
  <c r="E21" i="176"/>
  <c r="G17" i="176"/>
  <c r="H17" i="176"/>
  <c r="J15" i="176"/>
  <c r="K15" i="176"/>
  <c r="N12" i="176"/>
  <c r="P43" i="131"/>
  <c r="P48" i="131" s="1"/>
  <c r="O48" i="131" s="1"/>
  <c r="N52" i="131"/>
  <c r="N46" i="131"/>
  <c r="P46" i="131" s="1"/>
  <c r="H128" i="131"/>
  <c r="H53" i="131"/>
  <c r="I57" i="131"/>
  <c r="I51" i="131"/>
  <c r="J51" i="131" s="1"/>
  <c r="I52" i="131" s="1"/>
  <c r="J52" i="131" s="1"/>
  <c r="M43" i="131"/>
  <c r="M48" i="131" s="1"/>
  <c r="L48" i="131" s="1"/>
  <c r="K46" i="131"/>
  <c r="M46" i="131" s="1"/>
  <c r="K52" i="131"/>
  <c r="N10" i="125"/>
  <c r="P4" i="125"/>
  <c r="M7" i="162"/>
  <c r="P10" i="125"/>
  <c r="H10" i="132"/>
  <c r="H41" i="132" s="1"/>
  <c r="G41" i="132" s="1"/>
  <c r="I4" i="132"/>
  <c r="F11" i="132"/>
  <c r="E22" i="176"/>
  <c r="E24" i="176" s="1"/>
  <c r="P4" i="162"/>
  <c r="O7" i="162"/>
  <c r="H18" i="125"/>
  <c r="J11" i="125"/>
  <c r="I33" i="155"/>
  <c r="N4" i="125"/>
  <c r="L9" i="125"/>
  <c r="L4" i="155"/>
  <c r="K28" i="155"/>
  <c r="K105" i="155" s="1"/>
  <c r="K10" i="155"/>
  <c r="L10" i="155" s="1"/>
  <c r="L35" i="155" s="1"/>
  <c r="F73" i="155"/>
  <c r="E74" i="155"/>
  <c r="F74" i="155" s="1"/>
  <c r="H63" i="155"/>
  <c r="N4" i="155"/>
  <c r="K33" i="155"/>
  <c r="K107" i="155" s="1"/>
  <c r="L107" i="155" s="1"/>
  <c r="L9" i="155"/>
  <c r="I28" i="155"/>
  <c r="H34" i="155"/>
  <c r="I20" i="162"/>
  <c r="J20" i="162" s="1"/>
  <c r="J18" i="162"/>
  <c r="F34" i="155"/>
  <c r="F36" i="155" s="1"/>
  <c r="E51" i="155"/>
  <c r="F51" i="155" s="1"/>
  <c r="K108" i="155" l="1"/>
  <c r="L105" i="155"/>
  <c r="E111" i="155"/>
  <c r="F109" i="155"/>
  <c r="E25" i="176"/>
  <c r="I108" i="155"/>
  <c r="H109" i="155"/>
  <c r="E26" i="176"/>
  <c r="E117" i="155"/>
  <c r="J29" i="176"/>
  <c r="J28" i="176"/>
  <c r="H19" i="125"/>
  <c r="H24" i="125" s="1"/>
  <c r="H20" i="125" s="1"/>
  <c r="G33" i="176"/>
  <c r="G32" i="176"/>
  <c r="G34" i="176"/>
  <c r="G31" i="176"/>
  <c r="G21" i="176"/>
  <c r="H21" i="176"/>
  <c r="J17" i="176"/>
  <c r="M15" i="176"/>
  <c r="K17" i="176"/>
  <c r="AM48" i="131"/>
  <c r="AM57" i="131" s="1"/>
  <c r="N53" i="131"/>
  <c r="N128" i="131"/>
  <c r="O57" i="131"/>
  <c r="O51" i="131"/>
  <c r="P51" i="131" s="1"/>
  <c r="O52" i="131" s="1"/>
  <c r="J57" i="131"/>
  <c r="I60" i="131"/>
  <c r="L57" i="131"/>
  <c r="L51" i="131"/>
  <c r="M51" i="131" s="1"/>
  <c r="L52" i="131" s="1"/>
  <c r="I53" i="131"/>
  <c r="K53" i="131"/>
  <c r="K128" i="131"/>
  <c r="H132" i="131"/>
  <c r="K34" i="155"/>
  <c r="L28" i="155"/>
  <c r="K4" i="132"/>
  <c r="I9" i="132"/>
  <c r="F13" i="132"/>
  <c r="H11" i="132"/>
  <c r="H13" i="132" s="1"/>
  <c r="O18" i="162"/>
  <c r="P7" i="162"/>
  <c r="R10" i="125"/>
  <c r="T4" i="125"/>
  <c r="R4" i="125"/>
  <c r="P9" i="125"/>
  <c r="I63" i="155"/>
  <c r="L10" i="132"/>
  <c r="J56" i="125"/>
  <c r="O4" i="136" s="1"/>
  <c r="J67" i="125"/>
  <c r="I67" i="125" s="1"/>
  <c r="I70" i="125" s="1"/>
  <c r="E4" i="136"/>
  <c r="N28" i="155"/>
  <c r="N105" i="155" s="1"/>
  <c r="O4" i="155"/>
  <c r="I34" i="155"/>
  <c r="I36" i="155" s="1"/>
  <c r="H51" i="155"/>
  <c r="I51" i="155" s="1"/>
  <c r="K73" i="155"/>
  <c r="L33" i="155"/>
  <c r="N9" i="125"/>
  <c r="L11" i="125"/>
  <c r="O105" i="155" l="1"/>
  <c r="L108" i="155"/>
  <c r="K109" i="155"/>
  <c r="H111" i="155"/>
  <c r="I109" i="155"/>
  <c r="E114" i="155"/>
  <c r="E116" i="155" s="1"/>
  <c r="E118" i="155" s="1"/>
  <c r="F111" i="155"/>
  <c r="F117" i="155"/>
  <c r="M17" i="176"/>
  <c r="M29" i="176"/>
  <c r="M28" i="176"/>
  <c r="K21" i="176"/>
  <c r="M31" i="176" s="1"/>
  <c r="G41" i="176"/>
  <c r="G39" i="176"/>
  <c r="G44" i="176"/>
  <c r="G42" i="176"/>
  <c r="G40" i="176"/>
  <c r="G43" i="176"/>
  <c r="G25" i="176"/>
  <c r="J31" i="176"/>
  <c r="J32" i="176"/>
  <c r="J34" i="176"/>
  <c r="J33" i="176"/>
  <c r="L52" i="176"/>
  <c r="L53" i="176" s="1"/>
  <c r="O12" i="176"/>
  <c r="AM51" i="131"/>
  <c r="AN51" i="131" s="1"/>
  <c r="O53" i="131"/>
  <c r="P52" i="131"/>
  <c r="P57" i="131"/>
  <c r="O60" i="131"/>
  <c r="L53" i="131"/>
  <c r="M57" i="131"/>
  <c r="L60" i="131"/>
  <c r="M52" i="131"/>
  <c r="K127" i="131"/>
  <c r="J60" i="131"/>
  <c r="I62" i="131"/>
  <c r="I65" i="131" s="1"/>
  <c r="J65" i="131" s="1"/>
  <c r="AN57" i="131"/>
  <c r="AM60" i="131"/>
  <c r="V4" i="125"/>
  <c r="T9" i="125"/>
  <c r="K9" i="132"/>
  <c r="O4" i="132"/>
  <c r="N10" i="132"/>
  <c r="P18" i="162"/>
  <c r="O20" i="162"/>
  <c r="P20" i="162" s="1"/>
  <c r="G4" i="136"/>
  <c r="H4" i="136" s="1"/>
  <c r="J4" i="136" s="1"/>
  <c r="M4" i="136" s="1"/>
  <c r="R9" i="125"/>
  <c r="P11" i="125"/>
  <c r="L73" i="155"/>
  <c r="N63" i="155"/>
  <c r="O28" i="155"/>
  <c r="N11" i="125"/>
  <c r="L18" i="125"/>
  <c r="K51" i="155"/>
  <c r="L51" i="155" s="1"/>
  <c r="L34" i="155"/>
  <c r="L36" i="155" s="1"/>
  <c r="K111" i="155" l="1"/>
  <c r="L109" i="155"/>
  <c r="I111" i="155"/>
  <c r="M32" i="176"/>
  <c r="M21" i="176"/>
  <c r="M34" i="176"/>
  <c r="M33" i="176"/>
  <c r="O15" i="176"/>
  <c r="P12" i="176"/>
  <c r="P60" i="131"/>
  <c r="O62" i="131"/>
  <c r="AN60" i="131"/>
  <c r="AM62" i="131"/>
  <c r="AN62" i="131" s="1"/>
  <c r="M127" i="131"/>
  <c r="K132" i="131"/>
  <c r="L62" i="131"/>
  <c r="M60" i="131"/>
  <c r="J62" i="131"/>
  <c r="I69" i="131"/>
  <c r="V9" i="125"/>
  <c r="Q4" i="132"/>
  <c r="O9" i="132"/>
  <c r="N56" i="125"/>
  <c r="O5" i="136" s="1"/>
  <c r="N67" i="125"/>
  <c r="M67" i="125" s="1"/>
  <c r="M70" i="125" s="1"/>
  <c r="E5" i="136"/>
  <c r="O63" i="155"/>
  <c r="R11" i="125"/>
  <c r="P18" i="125"/>
  <c r="L111" i="155" l="1"/>
  <c r="O17" i="176"/>
  <c r="O65" i="131"/>
  <c r="P65" i="131" s="1"/>
  <c r="O69" i="131"/>
  <c r="P62" i="131"/>
  <c r="AM65" i="131"/>
  <c r="AN65" i="131" s="1"/>
  <c r="N127" i="131"/>
  <c r="N132" i="131" s="1"/>
  <c r="J69" i="131"/>
  <c r="I76" i="131" s="1"/>
  <c r="I70" i="131"/>
  <c r="I72" i="131" s="1"/>
  <c r="J72" i="131" s="1"/>
  <c r="L65" i="131"/>
  <c r="M65" i="131" s="1"/>
  <c r="L69" i="131"/>
  <c r="M62" i="131"/>
  <c r="Q9" i="132"/>
  <c r="G5" i="136"/>
  <c r="H5" i="136" s="1"/>
  <c r="J5" i="136" s="1"/>
  <c r="M5" i="136" s="1"/>
  <c r="R56" i="125"/>
  <c r="O6" i="136" s="1"/>
  <c r="E6" i="136"/>
  <c r="R67" i="125"/>
  <c r="Q67" i="125" s="1"/>
  <c r="Q70" i="125" s="1"/>
  <c r="O21" i="176" l="1"/>
  <c r="P69" i="131"/>
  <c r="O76" i="131" s="1"/>
  <c r="O70" i="131"/>
  <c r="O72" i="131" s="1"/>
  <c r="P72" i="131" s="1"/>
  <c r="M69" i="131"/>
  <c r="L70" i="131"/>
  <c r="L72" i="131" s="1"/>
  <c r="M72" i="131" s="1"/>
  <c r="AM69" i="131"/>
  <c r="J70" i="131"/>
  <c r="I77" i="131" s="1"/>
  <c r="J76" i="131"/>
  <c r="Q127" i="131"/>
  <c r="G6" i="136"/>
  <c r="H6" i="136" s="1"/>
  <c r="J6" i="136" s="1"/>
  <c r="M6" i="136" s="1"/>
  <c r="I74" i="131" l="1"/>
  <c r="I88" i="131" s="1"/>
  <c r="P70" i="131"/>
  <c r="O77" i="131" s="1"/>
  <c r="P77" i="131" s="1"/>
  <c r="P76" i="131"/>
  <c r="J77" i="131"/>
  <c r="M70" i="131"/>
  <c r="L77" i="131" s="1"/>
  <c r="M77" i="131" s="1"/>
  <c r="AM70" i="131"/>
  <c r="AN69" i="131"/>
  <c r="L76" i="131"/>
  <c r="I79" i="131" l="1"/>
  <c r="J74" i="131"/>
  <c r="O74" i="131"/>
  <c r="M76" i="131"/>
  <c r="AM76" i="131"/>
  <c r="AM77" i="131"/>
  <c r="AN77" i="131" s="1"/>
  <c r="AN70" i="131"/>
  <c r="L74" i="131"/>
  <c r="J88" i="131"/>
  <c r="I91" i="131"/>
  <c r="I93" i="131" s="1"/>
  <c r="J93" i="131" s="1"/>
  <c r="Q29" i="131"/>
  <c r="Q33" i="131" s="1"/>
  <c r="T29" i="131" s="1"/>
  <c r="T33" i="131" s="1"/>
  <c r="J79" i="131" l="1"/>
  <c r="J80" i="131"/>
  <c r="P74" i="131"/>
  <c r="O88" i="131"/>
  <c r="O79" i="131"/>
  <c r="M74" i="131"/>
  <c r="L79" i="131"/>
  <c r="L88" i="131"/>
  <c r="AM74" i="131"/>
  <c r="J94" i="131"/>
  <c r="I95" i="131" s="1"/>
  <c r="J91" i="131"/>
  <c r="AN76" i="131"/>
  <c r="N25" i="155"/>
  <c r="W29" i="131"/>
  <c r="W33" i="131" s="1"/>
  <c r="J81" i="131" l="1"/>
  <c r="I96" i="131"/>
  <c r="J95" i="131"/>
  <c r="J144" i="131" s="1"/>
  <c r="I144" i="131" s="1"/>
  <c r="M79" i="131"/>
  <c r="M80" i="131"/>
  <c r="P79" i="131"/>
  <c r="P80" i="131"/>
  <c r="P88" i="131"/>
  <c r="O91" i="131"/>
  <c r="O93" i="131" s="1"/>
  <c r="P93" i="131" s="1"/>
  <c r="AN74" i="131"/>
  <c r="AM88" i="131"/>
  <c r="AM79" i="131"/>
  <c r="AN80" i="131" s="1"/>
  <c r="M88" i="131"/>
  <c r="L91" i="131"/>
  <c r="L93" i="131" s="1"/>
  <c r="M93" i="131" s="1"/>
  <c r="Q25" i="155"/>
  <c r="Z29" i="131"/>
  <c r="Z33" i="131" s="1"/>
  <c r="T25" i="155"/>
  <c r="N26" i="155"/>
  <c r="O26" i="155" s="1"/>
  <c r="O25" i="155"/>
  <c r="Q20" i="155"/>
  <c r="J96" i="131" l="1"/>
  <c r="J142" i="131" s="1"/>
  <c r="I142" i="131" s="1"/>
  <c r="I145" i="131" s="1"/>
  <c r="P81" i="131"/>
  <c r="M81" i="131"/>
  <c r="P94" i="131"/>
  <c r="O95" i="131" s="1"/>
  <c r="P91" i="131"/>
  <c r="AN79" i="131"/>
  <c r="AN81" i="131" s="1"/>
  <c r="AM71" i="131"/>
  <c r="AM72" i="131" s="1"/>
  <c r="AN72" i="131" s="1"/>
  <c r="M91" i="131"/>
  <c r="M94" i="131"/>
  <c r="L95" i="131" s="1"/>
  <c r="AM91" i="131"/>
  <c r="AM93" i="131" s="1"/>
  <c r="AN93" i="131" s="1"/>
  <c r="AN88" i="131"/>
  <c r="Q26" i="155"/>
  <c r="R26" i="155" s="1"/>
  <c r="R20" i="155"/>
  <c r="AC29" i="131"/>
  <c r="AC33" i="131" s="1"/>
  <c r="W25" i="155"/>
  <c r="R25" i="155"/>
  <c r="T20" i="155"/>
  <c r="W20" i="155"/>
  <c r="U25" i="155"/>
  <c r="I148" i="131" l="1"/>
  <c r="J148" i="131" s="1"/>
  <c r="I154" i="131"/>
  <c r="J145" i="131"/>
  <c r="I128" i="131"/>
  <c r="L96" i="131"/>
  <c r="M95" i="131"/>
  <c r="M144" i="131" s="1"/>
  <c r="L144" i="131" s="1"/>
  <c r="AM95" i="131"/>
  <c r="O96" i="131"/>
  <c r="P95" i="131"/>
  <c r="P144" i="131" s="1"/>
  <c r="O144" i="131" s="1"/>
  <c r="AN91" i="131"/>
  <c r="AN94" i="131"/>
  <c r="AM83" i="131"/>
  <c r="AN71" i="131"/>
  <c r="Z20" i="155"/>
  <c r="X25" i="155"/>
  <c r="AF29" i="131"/>
  <c r="AF33" i="131" s="1"/>
  <c r="Z25" i="155"/>
  <c r="W26" i="155"/>
  <c r="X26" i="155" s="1"/>
  <c r="X20" i="155"/>
  <c r="T26" i="155"/>
  <c r="U26" i="155" s="1"/>
  <c r="U20" i="155"/>
  <c r="P96" i="131" l="1"/>
  <c r="P142" i="131" s="1"/>
  <c r="O142" i="131" s="1"/>
  <c r="O145" i="131" s="1"/>
  <c r="AN95" i="131"/>
  <c r="AN144" i="131" s="1"/>
  <c r="AM144" i="131" s="1"/>
  <c r="I157" i="131"/>
  <c r="J154" i="131"/>
  <c r="I132" i="131"/>
  <c r="J132" i="131" s="1"/>
  <c r="J128" i="131"/>
  <c r="AM96" i="131"/>
  <c r="M96" i="131"/>
  <c r="M142" i="131" s="1"/>
  <c r="L142" i="131" s="1"/>
  <c r="L145" i="131" s="1"/>
  <c r="AN83" i="131"/>
  <c r="AC25" i="155"/>
  <c r="Z26" i="155"/>
  <c r="AA26" i="155" s="1"/>
  <c r="AA20" i="155"/>
  <c r="AC20" i="155"/>
  <c r="AC26" i="155" s="1"/>
  <c r="AD26" i="155" s="1"/>
  <c r="AA25" i="155"/>
  <c r="AI29" i="131"/>
  <c r="AI33" i="131" s="1"/>
  <c r="P145" i="131" l="1"/>
  <c r="O128" i="131"/>
  <c r="P128" i="131" s="1"/>
  <c r="AN96" i="131"/>
  <c r="AN142" i="131" s="1"/>
  <c r="AM142" i="131" s="1"/>
  <c r="AM145" i="131" s="1"/>
  <c r="AN145" i="131" s="1"/>
  <c r="J157" i="131"/>
  <c r="I159" i="131"/>
  <c r="I162" i="131" s="1"/>
  <c r="I164" i="131" s="1"/>
  <c r="I167" i="131" s="1"/>
  <c r="L154" i="131"/>
  <c r="L148" i="131"/>
  <c r="M148" i="131" s="1"/>
  <c r="O154" i="131"/>
  <c r="M145" i="131"/>
  <c r="L128" i="131"/>
  <c r="AF20" i="155"/>
  <c r="AD25" i="155"/>
  <c r="AD20" i="155"/>
  <c r="AF25" i="155"/>
  <c r="O132" i="131" l="1"/>
  <c r="P132" i="131" s="1"/>
  <c r="AM154" i="131"/>
  <c r="L157" i="131"/>
  <c r="M154" i="131"/>
  <c r="P154" i="131"/>
  <c r="L132" i="131"/>
  <c r="M132" i="131" s="1"/>
  <c r="M128" i="131"/>
  <c r="AG20" i="155"/>
  <c r="AF26" i="155"/>
  <c r="AG26" i="155" s="1"/>
  <c r="AI25" i="155"/>
  <c r="AL25" i="155" s="1"/>
  <c r="AM25" i="155" s="1"/>
  <c r="AI20" i="155"/>
  <c r="AG25" i="155"/>
  <c r="AL26" i="155" l="1"/>
  <c r="AM26" i="155" s="1"/>
  <c r="AN154" i="131"/>
  <c r="L159" i="131"/>
  <c r="L162" i="131" s="1"/>
  <c r="L164" i="131" s="1"/>
  <c r="L167" i="131" s="1"/>
  <c r="M157" i="131"/>
  <c r="AJ25" i="155"/>
  <c r="AI26" i="155"/>
  <c r="AJ26" i="155" s="1"/>
  <c r="AJ20" i="155"/>
  <c r="AL8" i="131"/>
  <c r="AN8" i="131" s="1"/>
  <c r="Q4" i="131"/>
  <c r="Q8" i="131" s="1"/>
  <c r="R4" i="162"/>
  <c r="R7" i="162" s="1"/>
  <c r="N41" i="131"/>
  <c r="P41" i="131" s="1"/>
  <c r="P8" i="131"/>
  <c r="N9" i="155"/>
  <c r="S4" i="162" l="1"/>
  <c r="N14" i="176"/>
  <c r="Q12" i="176" s="1"/>
  <c r="BD10" i="125"/>
  <c r="BD11" i="125" s="1"/>
  <c r="BD18" i="125" s="1"/>
  <c r="AL10" i="131"/>
  <c r="AN10" i="131" s="1"/>
  <c r="R18" i="162"/>
  <c r="S7" i="162"/>
  <c r="Q4" i="155"/>
  <c r="O9" i="155"/>
  <c r="N33" i="155"/>
  <c r="N107" i="155" s="1"/>
  <c r="N10" i="155"/>
  <c r="O10" i="155" s="1"/>
  <c r="O35" i="155" s="1"/>
  <c r="Q9" i="155"/>
  <c r="T4" i="131"/>
  <c r="T8" i="131" s="1"/>
  <c r="AL41" i="131"/>
  <c r="AN41" i="131" s="1"/>
  <c r="O107" i="155" l="1"/>
  <c r="N108" i="155"/>
  <c r="Q14" i="176"/>
  <c r="S14" i="176" s="1"/>
  <c r="S12" i="176"/>
  <c r="Q15" i="176"/>
  <c r="P14" i="176"/>
  <c r="N15" i="176"/>
  <c r="T10" i="125"/>
  <c r="T11" i="125" s="1"/>
  <c r="AL43" i="131"/>
  <c r="AL13" i="131"/>
  <c r="AN13" i="131" s="1"/>
  <c r="R20" i="162"/>
  <c r="S20" i="162" s="1"/>
  <c r="S18" i="162"/>
  <c r="N73" i="155"/>
  <c r="N34" i="155"/>
  <c r="O33" i="155"/>
  <c r="W4" i="131"/>
  <c r="W8" i="131" s="1"/>
  <c r="X10" i="125"/>
  <c r="T4" i="155"/>
  <c r="Q33" i="155"/>
  <c r="Q107" i="155" s="1"/>
  <c r="R107" i="155" s="1"/>
  <c r="R9" i="155"/>
  <c r="R4" i="155"/>
  <c r="Q28" i="155"/>
  <c r="Q105" i="155" s="1"/>
  <c r="Q10" i="155"/>
  <c r="R10" i="155" s="1"/>
  <c r="R35" i="155" s="1"/>
  <c r="Q108" i="155" l="1"/>
  <c r="R105" i="155"/>
  <c r="O108" i="155"/>
  <c r="N109" i="155"/>
  <c r="T12" i="176"/>
  <c r="V12" i="176" s="1"/>
  <c r="S15" i="176"/>
  <c r="Q17" i="176"/>
  <c r="V10" i="125"/>
  <c r="X4" i="125"/>
  <c r="X9" i="125" s="1"/>
  <c r="N17" i="176"/>
  <c r="P15" i="176"/>
  <c r="AL52" i="131"/>
  <c r="AL46" i="131"/>
  <c r="AN46" i="131" s="1"/>
  <c r="AN43" i="131"/>
  <c r="AN48" i="131" s="1"/>
  <c r="R33" i="155"/>
  <c r="Q73" i="155"/>
  <c r="Z10" i="125"/>
  <c r="AB4" i="125"/>
  <c r="R10" i="132"/>
  <c r="N74" i="155"/>
  <c r="Q63" i="155"/>
  <c r="T9" i="155"/>
  <c r="O34" i="155"/>
  <c r="O36" i="155" s="1"/>
  <c r="N51" i="155"/>
  <c r="O51" i="155" s="1"/>
  <c r="U4" i="155"/>
  <c r="T28" i="155"/>
  <c r="T105" i="155" s="1"/>
  <c r="R28" i="155"/>
  <c r="Q34" i="155"/>
  <c r="Z4" i="131"/>
  <c r="Z8" i="131" s="1"/>
  <c r="V11" i="125"/>
  <c r="T18" i="125"/>
  <c r="U105" i="155" l="1"/>
  <c r="N111" i="155"/>
  <c r="O109" i="155"/>
  <c r="Q109" i="155"/>
  <c r="R108" i="155"/>
  <c r="P29" i="176"/>
  <c r="P28" i="176"/>
  <c r="Q21" i="176"/>
  <c r="S29" i="176"/>
  <c r="S28" i="176"/>
  <c r="Z4" i="125"/>
  <c r="S17" i="176"/>
  <c r="N21" i="176"/>
  <c r="P17" i="176"/>
  <c r="AL53" i="131"/>
  <c r="AM52" i="131"/>
  <c r="Z9" i="125"/>
  <c r="X11" i="125"/>
  <c r="W9" i="155"/>
  <c r="U28" i="155"/>
  <c r="T63" i="155"/>
  <c r="R73" i="155"/>
  <c r="AC4" i="131"/>
  <c r="AC8" i="131" s="1"/>
  <c r="Q74" i="155"/>
  <c r="Q51" i="155"/>
  <c r="R51" i="155" s="1"/>
  <c r="R34" i="155"/>
  <c r="R36" i="155" s="1"/>
  <c r="AB9" i="125"/>
  <c r="AD4" i="125"/>
  <c r="E7" i="136"/>
  <c r="V56" i="125"/>
  <c r="O7" i="136" s="1"/>
  <c r="U4" i="132"/>
  <c r="T10" i="132"/>
  <c r="W4" i="155"/>
  <c r="U9" i="155"/>
  <c r="T10" i="155"/>
  <c r="U10" i="155" s="1"/>
  <c r="U35" i="155" s="1"/>
  <c r="Q111" i="155" l="1"/>
  <c r="R109" i="155"/>
  <c r="O111" i="155"/>
  <c r="N114" i="155"/>
  <c r="S33" i="176"/>
  <c r="S31" i="176"/>
  <c r="S34" i="176"/>
  <c r="S32" i="176"/>
  <c r="S21" i="176"/>
  <c r="P33" i="176"/>
  <c r="P34" i="176"/>
  <c r="P31" i="176"/>
  <c r="P32" i="176"/>
  <c r="P21" i="176"/>
  <c r="AM53" i="131"/>
  <c r="AN52" i="131"/>
  <c r="X18" i="125"/>
  <c r="Z11" i="125"/>
  <c r="AD9" i="125"/>
  <c r="U63" i="155"/>
  <c r="AF4" i="131"/>
  <c r="AF8" i="131" s="1"/>
  <c r="X9" i="155"/>
  <c r="Z4" i="155"/>
  <c r="X4" i="155"/>
  <c r="W10" i="155"/>
  <c r="X10" i="155" s="1"/>
  <c r="X35" i="155" s="1"/>
  <c r="Z9" i="155"/>
  <c r="U9" i="132"/>
  <c r="W4" i="132"/>
  <c r="R111" i="155" l="1"/>
  <c r="Q114" i="155"/>
  <c r="Z10" i="155"/>
  <c r="AA10" i="155" s="1"/>
  <c r="AA35" i="155" s="1"/>
  <c r="AA4" i="155"/>
  <c r="W9" i="132"/>
  <c r="AI4" i="131"/>
  <c r="AI8" i="131" s="1"/>
  <c r="AC4" i="155"/>
  <c r="AA9" i="155"/>
  <c r="AC9" i="155"/>
  <c r="E8" i="136"/>
  <c r="Z56" i="125"/>
  <c r="O8" i="136" s="1"/>
  <c r="AD9" i="155" l="1"/>
  <c r="AF4" i="155"/>
  <c r="AF9" i="155"/>
  <c r="AD4" i="155"/>
  <c r="AC10" i="155"/>
  <c r="AD10" i="155" s="1"/>
  <c r="AD35" i="155" s="1"/>
  <c r="AI9" i="155" l="1"/>
  <c r="AL9" i="155" s="1"/>
  <c r="AL10" i="155" s="1"/>
  <c r="AF10" i="155"/>
  <c r="AG10" i="155" s="1"/>
  <c r="AG35" i="155" s="1"/>
  <c r="AG4" i="155"/>
  <c r="AG9" i="155"/>
  <c r="AI4" i="155"/>
  <c r="AM9" i="155" l="1"/>
  <c r="AJ9" i="155"/>
  <c r="AI10" i="155"/>
  <c r="AJ10" i="155" s="1"/>
  <c r="AJ35" i="155" s="1"/>
  <c r="AJ4" i="155"/>
  <c r="N88" i="155" l="1"/>
  <c r="AM88" i="155" l="1"/>
  <c r="AL90" i="155"/>
  <c r="Q78" i="155"/>
  <c r="N90" i="155"/>
  <c r="O88" i="155"/>
  <c r="O10" i="132"/>
  <c r="AL92" i="155" l="1"/>
  <c r="AM90" i="155"/>
  <c r="Q22" i="176"/>
  <c r="N22" i="176"/>
  <c r="N24" i="176" s="1"/>
  <c r="N25" i="176" s="1"/>
  <c r="N92" i="155"/>
  <c r="O90" i="155"/>
  <c r="R4" i="132"/>
  <c r="O11" i="132"/>
  <c r="Q80" i="155"/>
  <c r="R78" i="155"/>
  <c r="N26" i="176" l="1"/>
  <c r="N117" i="155"/>
  <c r="Q24" i="176"/>
  <c r="Q25" i="176" s="1"/>
  <c r="AL100" i="155"/>
  <c r="AL115" i="155" s="1"/>
  <c r="AM92" i="155"/>
  <c r="R9" i="132"/>
  <c r="O92" i="155"/>
  <c r="N100" i="155"/>
  <c r="N115" i="155" s="1"/>
  <c r="N116" i="155" s="1"/>
  <c r="N118" i="155" s="1"/>
  <c r="T19" i="125"/>
  <c r="N103" i="155"/>
  <c r="Q92" i="155"/>
  <c r="R80" i="155"/>
  <c r="Q103" i="155"/>
  <c r="X19" i="125"/>
  <c r="X24" i="125" s="1"/>
  <c r="O13" i="132"/>
  <c r="AL102" i="155" l="1"/>
  <c r="AM100" i="155"/>
  <c r="S39" i="176"/>
  <c r="S40" i="176"/>
  <c r="S41" i="176"/>
  <c r="S44" i="176"/>
  <c r="S43" i="176"/>
  <c r="S42" i="176"/>
  <c r="R92" i="155"/>
  <c r="Q100" i="155"/>
  <c r="Q115" i="155" s="1"/>
  <c r="Q116" i="155" s="1"/>
  <c r="T24" i="125"/>
  <c r="O100" i="155"/>
  <c r="N102" i="155"/>
  <c r="R11" i="132"/>
  <c r="Q26" i="176" l="1"/>
  <c r="Q27" i="176" s="1"/>
  <c r="Q117" i="155"/>
  <c r="Q118" i="155" s="1"/>
  <c r="AM102" i="155"/>
  <c r="P43" i="176"/>
  <c r="P39" i="176"/>
  <c r="P41" i="176"/>
  <c r="P40" i="176"/>
  <c r="P44" i="176"/>
  <c r="P42" i="176"/>
  <c r="N104" i="155"/>
  <c r="R13" i="132"/>
  <c r="Q102" i="155"/>
  <c r="R100" i="155"/>
  <c r="C144" i="131" l="1"/>
  <c r="D144" i="131" s="1"/>
  <c r="D142" i="131"/>
  <c r="C142" i="131" s="1"/>
  <c r="C145" i="131" l="1"/>
  <c r="C128" i="131" s="1"/>
  <c r="C154" i="131" l="1"/>
  <c r="D145" i="131"/>
  <c r="C132" i="131"/>
  <c r="D128" i="131"/>
  <c r="AM128" i="131"/>
  <c r="D154" i="131" l="1"/>
  <c r="F127" i="131"/>
  <c r="G127" i="131" s="1"/>
  <c r="D132" i="131"/>
  <c r="AM132" i="131"/>
  <c r="AN19" i="176"/>
  <c r="AM61" i="176"/>
  <c r="AN18" i="176" l="1"/>
  <c r="Q41" i="131" l="1"/>
  <c r="Q22" i="131"/>
  <c r="Q43" i="131" s="1"/>
  <c r="T17" i="131"/>
  <c r="T21" i="131" s="1"/>
  <c r="Q25" i="131" l="1"/>
  <c r="T41" i="131"/>
  <c r="W17" i="131"/>
  <c r="W21" i="131" s="1"/>
  <c r="Q46" i="131"/>
  <c r="Q52" i="131"/>
  <c r="Q53" i="131" l="1"/>
  <c r="Q128" i="131"/>
  <c r="Z17" i="131"/>
  <c r="Z21" i="131" s="1"/>
  <c r="W41" i="131"/>
  <c r="T17" i="155"/>
  <c r="T14" i="176" l="1"/>
  <c r="AB10" i="125"/>
  <c r="T33" i="155"/>
  <c r="T107" i="155" s="1"/>
  <c r="T18" i="155"/>
  <c r="U18" i="155" s="1"/>
  <c r="W12" i="155"/>
  <c r="U17" i="155"/>
  <c r="W17" i="155"/>
  <c r="AC17" i="131"/>
  <c r="AC21" i="131" s="1"/>
  <c r="Z41" i="131"/>
  <c r="AL128" i="131"/>
  <c r="Q132" i="131"/>
  <c r="T127" i="131" s="1"/>
  <c r="T132" i="131" s="1"/>
  <c r="W127" i="131" s="1"/>
  <c r="W132" i="131" s="1"/>
  <c r="Z127" i="131" s="1"/>
  <c r="Z132" i="131" s="1"/>
  <c r="AC127" i="131" s="1"/>
  <c r="AC132" i="131" s="1"/>
  <c r="AF127" i="131" s="1"/>
  <c r="AF132" i="131" s="1"/>
  <c r="AI127" i="131" s="1"/>
  <c r="AI132" i="131" s="1"/>
  <c r="U107" i="155" l="1"/>
  <c r="T108" i="155"/>
  <c r="V14" i="176"/>
  <c r="U33" i="155"/>
  <c r="T34" i="155"/>
  <c r="T73" i="155"/>
  <c r="AL132" i="131"/>
  <c r="AN132" i="131" s="1"/>
  <c r="AN128" i="131"/>
  <c r="W18" i="155"/>
  <c r="X18" i="155" s="1"/>
  <c r="X12" i="155"/>
  <c r="W28" i="155"/>
  <c r="W105" i="155" s="1"/>
  <c r="AC41" i="131"/>
  <c r="AF17" i="131"/>
  <c r="AF21" i="131" s="1"/>
  <c r="U10" i="132"/>
  <c r="AF10" i="125"/>
  <c r="W14" i="176"/>
  <c r="AF4" i="125"/>
  <c r="AB11" i="125"/>
  <c r="AD10" i="125"/>
  <c r="Z17" i="155"/>
  <c r="Z12" i="155"/>
  <c r="X17" i="155"/>
  <c r="W33" i="155"/>
  <c r="W107" i="155" s="1"/>
  <c r="X107" i="155" s="1"/>
  <c r="T17" i="176"/>
  <c r="W12" i="176"/>
  <c r="Y12" i="176" s="1"/>
  <c r="T15" i="176"/>
  <c r="V15" i="176" s="1"/>
  <c r="W108" i="155" l="1"/>
  <c r="X105" i="155"/>
  <c r="T109" i="155"/>
  <c r="U108" i="155"/>
  <c r="V29" i="176"/>
  <c r="V28" i="176"/>
  <c r="Z14" i="176"/>
  <c r="AB14" i="176" s="1"/>
  <c r="Z12" i="176"/>
  <c r="AB12" i="176" s="1"/>
  <c r="Y14" i="176"/>
  <c r="Z18" i="155"/>
  <c r="AA18" i="155" s="1"/>
  <c r="AA12" i="155"/>
  <c r="X28" i="155"/>
  <c r="W34" i="155"/>
  <c r="AJ4" i="125"/>
  <c r="AH10" i="125"/>
  <c r="U11" i="132"/>
  <c r="T117" i="155" s="1"/>
  <c r="W10" i="132"/>
  <c r="W41" i="132" s="1"/>
  <c r="V41" i="132" s="1"/>
  <c r="X4" i="132"/>
  <c r="Z33" i="155"/>
  <c r="Z107" i="155" s="1"/>
  <c r="AA107" i="155" s="1"/>
  <c r="AA17" i="155"/>
  <c r="AC12" i="155"/>
  <c r="W63" i="155"/>
  <c r="U73" i="155"/>
  <c r="T74" i="155"/>
  <c r="U74" i="155" s="1"/>
  <c r="AJ10" i="125"/>
  <c r="AZ10" i="125" s="1"/>
  <c r="AD11" i="125"/>
  <c r="AB18" i="125"/>
  <c r="V17" i="176"/>
  <c r="T21" i="176"/>
  <c r="AF9" i="125"/>
  <c r="AH4" i="125"/>
  <c r="Z28" i="155"/>
  <c r="Z105" i="155" s="1"/>
  <c r="W73" i="155"/>
  <c r="X33" i="155"/>
  <c r="X10" i="132"/>
  <c r="AI17" i="131"/>
  <c r="AI21" i="131" s="1"/>
  <c r="AF41" i="131"/>
  <c r="U34" i="155"/>
  <c r="T51" i="155"/>
  <c r="U51" i="155" s="1"/>
  <c r="W17" i="176"/>
  <c r="W15" i="176"/>
  <c r="Y15" i="176" s="1"/>
  <c r="T22" i="176"/>
  <c r="AC17" i="155"/>
  <c r="AC12" i="176" l="1"/>
  <c r="AE12" i="176" s="1"/>
  <c r="Z108" i="155"/>
  <c r="AA105" i="155"/>
  <c r="T111" i="155"/>
  <c r="U109" i="155"/>
  <c r="W109" i="155"/>
  <c r="X108" i="155"/>
  <c r="U117" i="155"/>
  <c r="W21" i="176"/>
  <c r="Y31" i="176" s="1"/>
  <c r="Y29" i="176"/>
  <c r="Y28" i="176"/>
  <c r="U36" i="155"/>
  <c r="T24" i="176"/>
  <c r="T25" i="176" s="1"/>
  <c r="V22" i="176"/>
  <c r="AZ11" i="125"/>
  <c r="BE10" i="125"/>
  <c r="BE11" i="125" s="1"/>
  <c r="BB10" i="125"/>
  <c r="V31" i="176"/>
  <c r="V33" i="176"/>
  <c r="V34" i="176"/>
  <c r="V32" i="176"/>
  <c r="Z17" i="176"/>
  <c r="Z15" i="176"/>
  <c r="AB15" i="176" s="1"/>
  <c r="AH9" i="125"/>
  <c r="AF11" i="125"/>
  <c r="X63" i="155"/>
  <c r="W74" i="155"/>
  <c r="X74" i="155" s="1"/>
  <c r="V21" i="176"/>
  <c r="AC18" i="155"/>
  <c r="AD18" i="155" s="1"/>
  <c r="AD12" i="155"/>
  <c r="AL4" i="125"/>
  <c r="AJ9" i="125"/>
  <c r="Z10" i="132"/>
  <c r="AA4" i="132"/>
  <c r="E9" i="136"/>
  <c r="AD56" i="125"/>
  <c r="O9" i="136" s="1"/>
  <c r="X34" i="155"/>
  <c r="X36" i="155" s="1"/>
  <c r="W51" i="155"/>
  <c r="X51" i="155" s="1"/>
  <c r="Z63" i="155"/>
  <c r="X73" i="155"/>
  <c r="AL10" i="125"/>
  <c r="AN4" i="125"/>
  <c r="AC28" i="155"/>
  <c r="AC105" i="155" s="1"/>
  <c r="AA33" i="155"/>
  <c r="W11" i="132"/>
  <c r="W13" i="132" s="1"/>
  <c r="T26" i="176"/>
  <c r="U13" i="132"/>
  <c r="AN10" i="125"/>
  <c r="AC14" i="176"/>
  <c r="AF12" i="155"/>
  <c r="AD17" i="155"/>
  <c r="AC33" i="155"/>
  <c r="AC107" i="155" s="1"/>
  <c r="AD107" i="155" s="1"/>
  <c r="AB19" i="125"/>
  <c r="AB24" i="125" s="1"/>
  <c r="T103" i="155"/>
  <c r="Z34" i="155"/>
  <c r="AA28" i="155"/>
  <c r="AA10" i="132"/>
  <c r="X9" i="132"/>
  <c r="Z4" i="132"/>
  <c r="Y17" i="176"/>
  <c r="AF17" i="155"/>
  <c r="AI41" i="131"/>
  <c r="AC108" i="155" l="1"/>
  <c r="AD105" i="155"/>
  <c r="Y32" i="176"/>
  <c r="Z109" i="155"/>
  <c r="AA108" i="155"/>
  <c r="Y33" i="176"/>
  <c r="Y34" i="176"/>
  <c r="X109" i="155"/>
  <c r="W111" i="155"/>
  <c r="T114" i="155"/>
  <c r="T116" i="155" s="1"/>
  <c r="T118" i="155" s="1"/>
  <c r="U111" i="155"/>
  <c r="AB29" i="176"/>
  <c r="AB28" i="176"/>
  <c r="W103" i="155"/>
  <c r="W22" i="176"/>
  <c r="W24" i="176" s="1"/>
  <c r="W25" i="176" s="1"/>
  <c r="Y44" i="176" s="1"/>
  <c r="AJ19" i="125"/>
  <c r="AZ18" i="125"/>
  <c r="AZ56" i="125"/>
  <c r="BB11" i="125"/>
  <c r="Z21" i="176"/>
  <c r="AB32" i="176" s="1"/>
  <c r="AF12" i="176"/>
  <c r="AH12" i="176" s="1"/>
  <c r="AE14" i="176"/>
  <c r="T27" i="176"/>
  <c r="AB17" i="176"/>
  <c r="AC15" i="176"/>
  <c r="AE15" i="176" s="1"/>
  <c r="G9" i="136"/>
  <c r="AF19" i="125"/>
  <c r="AA63" i="155"/>
  <c r="AC4" i="132"/>
  <c r="AA9" i="132"/>
  <c r="V42" i="176"/>
  <c r="V39" i="176"/>
  <c r="V44" i="176"/>
  <c r="V41" i="176"/>
  <c r="V43" i="176"/>
  <c r="V25" i="176"/>
  <c r="V40" i="176"/>
  <c r="AI17" i="155"/>
  <c r="AL17" i="155" s="1"/>
  <c r="AL18" i="155" s="1"/>
  <c r="AM18" i="155" s="1"/>
  <c r="AC73" i="155"/>
  <c r="AD33" i="155"/>
  <c r="AF28" i="155"/>
  <c r="AF105" i="155" s="1"/>
  <c r="AI12" i="155"/>
  <c r="AG17" i="155"/>
  <c r="AF33" i="155"/>
  <c r="AF107" i="155" s="1"/>
  <c r="AG107" i="155" s="1"/>
  <c r="K58" i="181"/>
  <c r="L57" i="181" s="1"/>
  <c r="Z9" i="132"/>
  <c r="X11" i="132"/>
  <c r="W117" i="155" s="1"/>
  <c r="X117" i="155" s="1"/>
  <c r="AR10" i="125"/>
  <c r="AF14" i="176"/>
  <c r="AC10" i="132"/>
  <c r="AD4" i="132"/>
  <c r="AG12" i="155"/>
  <c r="AF18" i="155"/>
  <c r="AG18" i="155" s="1"/>
  <c r="Z41" i="132"/>
  <c r="Y41" i="132" s="1"/>
  <c r="AL9" i="125"/>
  <c r="AJ11" i="125"/>
  <c r="AC17" i="176"/>
  <c r="Y21" i="176"/>
  <c r="Z51" i="155"/>
  <c r="AA51" i="155" s="1"/>
  <c r="AA34" i="155"/>
  <c r="AA36" i="155" s="1"/>
  <c r="AR4" i="125"/>
  <c r="AP10" i="125"/>
  <c r="AD28" i="155"/>
  <c r="AC34" i="155"/>
  <c r="AF18" i="125"/>
  <c r="AH11" i="125"/>
  <c r="AD10" i="132"/>
  <c r="AN9" i="125"/>
  <c r="AP4" i="125"/>
  <c r="AM17" i="155" l="1"/>
  <c r="AF108" i="155"/>
  <c r="AG105" i="155"/>
  <c r="AB21" i="176"/>
  <c r="AC109" i="155"/>
  <c r="AD108" i="155"/>
  <c r="AA109" i="155"/>
  <c r="Z111" i="155"/>
  <c r="AA111" i="155" s="1"/>
  <c r="W114" i="155"/>
  <c r="W116" i="155" s="1"/>
  <c r="W118" i="155" s="1"/>
  <c r="X111" i="155"/>
  <c r="AE29" i="176"/>
  <c r="AE28" i="176"/>
  <c r="AL33" i="155"/>
  <c r="AB33" i="176"/>
  <c r="K57" i="181"/>
  <c r="J70" i="181"/>
  <c r="J59" i="181"/>
  <c r="J77" i="181" s="1"/>
  <c r="AZ19" i="125"/>
  <c r="AZ24" i="125" s="1"/>
  <c r="Z103" i="155"/>
  <c r="Z22" i="176"/>
  <c r="Z24" i="176" s="1"/>
  <c r="Z25" i="176" s="1"/>
  <c r="AB42" i="176" s="1"/>
  <c r="L59" i="181"/>
  <c r="L77" i="181" s="1"/>
  <c r="L70" i="181"/>
  <c r="AB31" i="176"/>
  <c r="BB56" i="125"/>
  <c r="O15" i="136" s="1"/>
  <c r="E15" i="136"/>
  <c r="BC15" i="125"/>
  <c r="AB34" i="176"/>
  <c r="AI12" i="176"/>
  <c r="AK12" i="176" s="1"/>
  <c r="AH14" i="176"/>
  <c r="BE18" i="125"/>
  <c r="AF24" i="125"/>
  <c r="AF15" i="176"/>
  <c r="AH15" i="176" s="1"/>
  <c r="AF17" i="176"/>
  <c r="AT4" i="125"/>
  <c r="AR9" i="125"/>
  <c r="AJ56" i="125"/>
  <c r="AL57" i="125" s="1"/>
  <c r="AL11" i="125"/>
  <c r="AJ18" i="125"/>
  <c r="AJ24" i="125" s="1"/>
  <c r="AG10" i="132"/>
  <c r="AV10" i="125"/>
  <c r="AX10" i="125" s="1"/>
  <c r="AI14" i="176"/>
  <c r="AC9" i="132"/>
  <c r="AA11" i="132"/>
  <c r="Z117" i="155" s="1"/>
  <c r="AA117" i="155" s="1"/>
  <c r="AJ12" i="155"/>
  <c r="AI18" i="155"/>
  <c r="AJ18" i="155" s="1"/>
  <c r="AG33" i="155"/>
  <c r="AI28" i="155"/>
  <c r="AI105" i="155" s="1"/>
  <c r="AF73" i="155"/>
  <c r="X13" i="132"/>
  <c r="W26" i="176"/>
  <c r="W27" i="176" s="1"/>
  <c r="Z11" i="132"/>
  <c r="Z13" i="132" s="1"/>
  <c r="AF34" i="155"/>
  <c r="AG28" i="155"/>
  <c r="AP9" i="125"/>
  <c r="AN11" i="125"/>
  <c r="AH67" i="125"/>
  <c r="AG67" i="125" s="1"/>
  <c r="AG70" i="125" s="1"/>
  <c r="E10" i="136"/>
  <c r="AH56" i="125"/>
  <c r="O10" i="136" s="1"/>
  <c r="AC21" i="176"/>
  <c r="AE17" i="176"/>
  <c r="AF10" i="132"/>
  <c r="AG4" i="132"/>
  <c r="AV4" i="125"/>
  <c r="AT10" i="125"/>
  <c r="Y39" i="176"/>
  <c r="Y43" i="176"/>
  <c r="Y42" i="176"/>
  <c r="Y40" i="176"/>
  <c r="Y41" i="176"/>
  <c r="AF4" i="132"/>
  <c r="AD9" i="132"/>
  <c r="AC51" i="155"/>
  <c r="AD51" i="155" s="1"/>
  <c r="AD34" i="155"/>
  <c r="AD36" i="155" s="1"/>
  <c r="AD73" i="155"/>
  <c r="AF63" i="155"/>
  <c r="AI33" i="155"/>
  <c r="AI107" i="155" s="1"/>
  <c r="AJ107" i="155" s="1"/>
  <c r="AJ17" i="155"/>
  <c r="AL34" i="155" l="1"/>
  <c r="AL51" i="155" s="1"/>
  <c r="AL107" i="155"/>
  <c r="AI108" i="155"/>
  <c r="AJ105" i="155"/>
  <c r="AF109" i="155"/>
  <c r="AG108" i="155"/>
  <c r="AC111" i="155"/>
  <c r="AD111" i="155" s="1"/>
  <c r="AD109" i="155"/>
  <c r="AH29" i="176"/>
  <c r="AH28" i="176"/>
  <c r="AM33" i="155"/>
  <c r="AL73" i="155"/>
  <c r="AM73" i="155" s="1"/>
  <c r="AB44" i="176"/>
  <c r="AL14" i="176"/>
  <c r="AN14" i="176" s="1"/>
  <c r="AK14" i="176"/>
  <c r="AB39" i="176"/>
  <c r="AB40" i="176"/>
  <c r="AB43" i="176"/>
  <c r="AC103" i="155"/>
  <c r="AC22" i="176"/>
  <c r="AC24" i="176" s="1"/>
  <c r="AC25" i="176" s="1"/>
  <c r="AI15" i="176"/>
  <c r="AK15" i="176" s="1"/>
  <c r="AB41" i="176"/>
  <c r="AI17" i="176"/>
  <c r="J72" i="181"/>
  <c r="J73" i="181" s="1"/>
  <c r="J79" i="181"/>
  <c r="J67" i="181"/>
  <c r="J76" i="181" s="1"/>
  <c r="J60" i="181"/>
  <c r="L72" i="181"/>
  <c r="L73" i="181" s="1"/>
  <c r="L67" i="181"/>
  <c r="L76" i="181" s="1"/>
  <c r="L79" i="181"/>
  <c r="L60" i="181"/>
  <c r="K70" i="181"/>
  <c r="K59" i="181"/>
  <c r="K77" i="181" s="1"/>
  <c r="AF21" i="176"/>
  <c r="AH21" i="176" s="1"/>
  <c r="BF24" i="125"/>
  <c r="BF44" i="125" s="1"/>
  <c r="BG44" i="125" s="1"/>
  <c r="AZ20" i="125"/>
  <c r="AE32" i="176"/>
  <c r="AE31" i="176"/>
  <c r="AE34" i="176"/>
  <c r="AE33" i="176"/>
  <c r="AH17" i="176"/>
  <c r="AI10" i="132"/>
  <c r="AJ4" i="132"/>
  <c r="AE21" i="176"/>
  <c r="AG34" i="155"/>
  <c r="AG36" i="155" s="1"/>
  <c r="AF51" i="155"/>
  <c r="AG51" i="155" s="1"/>
  <c r="AC11" i="132"/>
  <c r="AC13" i="132" s="1"/>
  <c r="Z26" i="176"/>
  <c r="Z27" i="176" s="1"/>
  <c r="AA13" i="132"/>
  <c r="AV9" i="125"/>
  <c r="AX4" i="125"/>
  <c r="AL56" i="125"/>
  <c r="O11" i="136" s="1"/>
  <c r="AL67" i="125"/>
  <c r="AK67" i="125" s="1"/>
  <c r="AK70" i="125" s="1"/>
  <c r="E11" i="136"/>
  <c r="AJ33" i="155"/>
  <c r="AI73" i="155"/>
  <c r="AJ73" i="155" s="1"/>
  <c r="AG63" i="155"/>
  <c r="AF74" i="155"/>
  <c r="AG74" i="155" s="1"/>
  <c r="AJ10" i="132"/>
  <c r="AL58" i="125"/>
  <c r="AN19" i="125"/>
  <c r="AP11" i="125"/>
  <c r="AN56" i="125"/>
  <c r="AP57" i="125" s="1"/>
  <c r="AN18" i="125"/>
  <c r="AJ28" i="155"/>
  <c r="AI34" i="155"/>
  <c r="AT9" i="125"/>
  <c r="AR11" i="125"/>
  <c r="AF9" i="132"/>
  <c r="AD11" i="132"/>
  <c r="AC117" i="155" s="1"/>
  <c r="AD117" i="155" s="1"/>
  <c r="G10" i="136"/>
  <c r="H10" i="136" s="1"/>
  <c r="J10" i="136" s="1"/>
  <c r="M10" i="136" s="1"/>
  <c r="AG9" i="132"/>
  <c r="AI4" i="132"/>
  <c r="AG73" i="155"/>
  <c r="AI63" i="155"/>
  <c r="AL10" i="132" l="1"/>
  <c r="AM107" i="155"/>
  <c r="AL108" i="155"/>
  <c r="AL15" i="176"/>
  <c r="AL17" i="176" s="1"/>
  <c r="AI109" i="155"/>
  <c r="AJ108" i="155"/>
  <c r="AF111" i="155"/>
  <c r="AG109" i="155"/>
  <c r="AK29" i="176"/>
  <c r="AK28" i="176"/>
  <c r="AL74" i="155"/>
  <c r="AI21" i="176"/>
  <c r="AK21" i="176" s="1"/>
  <c r="AK17" i="176"/>
  <c r="AL104" i="155"/>
  <c r="AR19" i="125"/>
  <c r="AF22" i="176"/>
  <c r="AF24" i="176" s="1"/>
  <c r="AF25" i="176" s="1"/>
  <c r="K72" i="181"/>
  <c r="K73" i="181" s="1"/>
  <c r="K60" i="181"/>
  <c r="K79" i="181"/>
  <c r="K67" i="181"/>
  <c r="K76" i="181" s="1"/>
  <c r="AH34" i="176"/>
  <c r="AH31" i="176"/>
  <c r="AH32" i="176"/>
  <c r="AH33" i="176"/>
  <c r="AN24" i="125"/>
  <c r="AP58" i="125"/>
  <c r="G11" i="136"/>
  <c r="H11" i="136" s="1"/>
  <c r="J11" i="136" s="1"/>
  <c r="M11" i="136" s="1"/>
  <c r="AI22" i="176"/>
  <c r="AI24" i="176" s="1"/>
  <c r="AE41" i="176"/>
  <c r="AE39" i="176"/>
  <c r="AE42" i="176"/>
  <c r="AE40" i="176"/>
  <c r="AE44" i="176"/>
  <c r="AE43" i="176"/>
  <c r="AJ63" i="155"/>
  <c r="AI74" i="155"/>
  <c r="AJ74" i="155" s="1"/>
  <c r="AG11" i="132"/>
  <c r="AF117" i="155" s="1"/>
  <c r="AG117" i="155" s="1"/>
  <c r="AI9" i="132"/>
  <c r="AP67" i="125"/>
  <c r="AO67" i="125" s="1"/>
  <c r="AO70" i="125" s="1"/>
  <c r="E12" i="136"/>
  <c r="AP56" i="125"/>
  <c r="O12" i="136" s="1"/>
  <c r="AR56" i="125"/>
  <c r="AT57" i="125" s="1"/>
  <c r="AT11" i="125"/>
  <c r="AR18" i="125"/>
  <c r="AL4" i="132"/>
  <c r="AJ9" i="132"/>
  <c r="AC26" i="176"/>
  <c r="AC27" i="176" s="1"/>
  <c r="AD13" i="132"/>
  <c r="AF11" i="132"/>
  <c r="AF13" i="132" s="1"/>
  <c r="AV11" i="125"/>
  <c r="AX9" i="125"/>
  <c r="AI51" i="155"/>
  <c r="AJ51" i="155" s="1"/>
  <c r="AJ34" i="155"/>
  <c r="AJ36" i="155" s="1"/>
  <c r="AR24" i="125" l="1"/>
  <c r="AN15" i="176"/>
  <c r="AM108" i="155"/>
  <c r="AL109" i="155"/>
  <c r="AL111" i="155" s="1"/>
  <c r="AL114" i="155" s="1"/>
  <c r="AL116" i="155" s="1"/>
  <c r="AM11" i="132"/>
  <c r="AO10" i="132"/>
  <c r="AO41" i="132" s="1"/>
  <c r="AN41" i="132" s="1"/>
  <c r="AI111" i="155"/>
  <c r="AJ109" i="155"/>
  <c r="AG111" i="155"/>
  <c r="AF114" i="155"/>
  <c r="AF116" i="155" s="1"/>
  <c r="AF118" i="155" s="1"/>
  <c r="AN29" i="176"/>
  <c r="AN28" i="176"/>
  <c r="AI25" i="176"/>
  <c r="AK39" i="176" s="1"/>
  <c r="AK34" i="176"/>
  <c r="AK33" i="176"/>
  <c r="AK31" i="176"/>
  <c r="AK32" i="176"/>
  <c r="AL24" i="176"/>
  <c r="AN22" i="176"/>
  <c r="AL21" i="176"/>
  <c r="AH40" i="176"/>
  <c r="AH43" i="176"/>
  <c r="AH42" i="176"/>
  <c r="AH39" i="176"/>
  <c r="AH41" i="176"/>
  <c r="AH44" i="176"/>
  <c r="AT58" i="125"/>
  <c r="AT67" i="125"/>
  <c r="AS67" i="125" s="1"/>
  <c r="AS70" i="125" s="1"/>
  <c r="E13" i="136"/>
  <c r="AT56" i="125"/>
  <c r="O13" i="136" s="1"/>
  <c r="AV19" i="125"/>
  <c r="AV56" i="125"/>
  <c r="AV18" i="125"/>
  <c r="AX11" i="125"/>
  <c r="G12" i="136"/>
  <c r="H12" i="136" s="1"/>
  <c r="J12" i="136" s="1"/>
  <c r="M12" i="136" s="1"/>
  <c r="AJ11" i="132"/>
  <c r="AL9" i="132"/>
  <c r="AI11" i="132"/>
  <c r="AI13" i="132" s="1"/>
  <c r="AG13" i="132"/>
  <c r="AF26" i="176"/>
  <c r="AF27" i="176" s="1"/>
  <c r="AK43" i="176" l="1"/>
  <c r="AL117" i="155"/>
  <c r="AM117" i="155" s="1"/>
  <c r="AO11" i="132"/>
  <c r="AO13" i="132" s="1"/>
  <c r="AL26" i="176"/>
  <c r="AM13" i="132"/>
  <c r="AM14" i="132" s="1"/>
  <c r="AK41" i="176"/>
  <c r="AK42" i="176"/>
  <c r="AI26" i="176"/>
  <c r="AI27" i="176" s="1"/>
  <c r="AI117" i="155"/>
  <c r="AJ117" i="155" s="1"/>
  <c r="AI114" i="155"/>
  <c r="AI116" i="155" s="1"/>
  <c r="AJ111" i="155"/>
  <c r="AK44" i="176"/>
  <c r="AK40" i="176"/>
  <c r="AL25" i="176"/>
  <c r="AN34" i="176"/>
  <c r="AN31" i="176"/>
  <c r="AN33" i="176"/>
  <c r="AN32" i="176"/>
  <c r="AV24" i="125"/>
  <c r="AX56" i="125"/>
  <c r="O14" i="136" s="1"/>
  <c r="E14" i="136"/>
  <c r="AX67" i="125"/>
  <c r="AW67" i="125" s="1"/>
  <c r="AW70" i="125" s="1"/>
  <c r="AL11" i="132"/>
  <c r="AL13" i="132" s="1"/>
  <c r="AJ13" i="132"/>
  <c r="AJ14" i="132" s="1"/>
  <c r="G13" i="136"/>
  <c r="H13" i="136" s="1"/>
  <c r="J13" i="136" s="1"/>
  <c r="M13" i="136" s="1"/>
  <c r="AI118" i="155" l="1"/>
  <c r="AN44" i="176"/>
  <c r="AN43" i="176"/>
  <c r="AN42" i="176"/>
  <c r="AN39" i="176"/>
  <c r="AN40" i="176"/>
  <c r="AN41" i="176"/>
  <c r="AL27" i="176"/>
  <c r="G14" i="136"/>
  <c r="H14" i="136" s="1"/>
  <c r="J14" i="136" s="1"/>
  <c r="M14" i="136" s="1"/>
  <c r="U11" i="135" l="1"/>
  <c r="V4" i="135" l="1"/>
  <c r="AC13" i="125"/>
  <c r="AD13" i="125" s="1"/>
  <c r="V11" i="135"/>
  <c r="U19" i="135"/>
  <c r="U25" i="135" s="1"/>
  <c r="AC16" i="125"/>
  <c r="C16" i="153"/>
  <c r="BA13" i="125"/>
  <c r="BB13" i="125" l="1"/>
  <c r="BG13" i="125"/>
  <c r="BA16" i="125"/>
  <c r="AC75" i="125"/>
  <c r="AC77" i="125" s="1"/>
  <c r="U27" i="135"/>
  <c r="V62" i="132"/>
  <c r="V64" i="132" s="1"/>
  <c r="V19" i="135"/>
  <c r="AC26" i="125"/>
  <c r="AK79" i="125"/>
  <c r="AL79" i="125" s="1"/>
  <c r="AD16" i="125"/>
  <c r="D9" i="136" s="1"/>
  <c r="AD26" i="125" l="1"/>
  <c r="AC25" i="125"/>
  <c r="BG16" i="125"/>
  <c r="F21" i="139"/>
  <c r="F22" i="139" s="1"/>
  <c r="BB16" i="125"/>
  <c r="D15" i="136" s="1"/>
  <c r="M10" i="153"/>
  <c r="T10" i="153"/>
  <c r="W10" i="153"/>
  <c r="W16" i="153" s="1"/>
  <c r="G10" i="153"/>
  <c r="B16" i="153"/>
  <c r="J10" i="153"/>
  <c r="J16" i="153" s="1"/>
  <c r="J19" i="153" s="1"/>
  <c r="R10" i="153"/>
  <c r="N10" i="153"/>
  <c r="AQ10" i="153"/>
  <c r="AQ16" i="153" s="1"/>
  <c r="E10" i="153"/>
  <c r="Y10" i="153" s="1"/>
  <c r="K10" i="153" l="1"/>
  <c r="O10" i="153" s="1"/>
  <c r="H10" i="153"/>
  <c r="AD25" i="125"/>
  <c r="AC29" i="125"/>
  <c r="E16" i="153"/>
  <c r="Y16" i="153" s="1"/>
  <c r="AM10" i="153" l="1"/>
  <c r="P10" i="153"/>
  <c r="V10" i="153"/>
  <c r="Z10" i="153" s="1"/>
  <c r="T16" i="153"/>
  <c r="L10" i="153"/>
  <c r="E20" i="153"/>
  <c r="R16" i="153"/>
  <c r="AA29" i="125"/>
  <c r="AC34" i="125"/>
  <c r="AC42" i="125"/>
  <c r="AD29" i="125"/>
  <c r="AD67" i="125"/>
  <c r="AC67" i="125" s="1"/>
  <c r="AC70" i="125" s="1"/>
  <c r="F9" i="136"/>
  <c r="H9" i="136" s="1"/>
  <c r="J9" i="136" s="1"/>
  <c r="M9" i="136" s="1"/>
  <c r="AD42" i="125" l="1"/>
  <c r="AC44" i="125"/>
  <c r="AD44" i="125" s="1"/>
  <c r="AA42" i="125"/>
  <c r="AA34" i="125"/>
  <c r="AD34" i="125"/>
  <c r="AP10" i="153"/>
  <c r="AA10" i="153"/>
  <c r="AA44" i="125" l="1"/>
  <c r="AC46" i="125"/>
  <c r="D18" i="176" l="1"/>
  <c r="D19" i="176" l="1"/>
  <c r="C61" i="176"/>
  <c r="J19" i="176" l="1"/>
  <c r="I61" i="176"/>
  <c r="I55" i="176"/>
  <c r="I57" i="176" l="1"/>
  <c r="E10" i="172" s="1"/>
  <c r="E9" i="172" s="1"/>
  <c r="I60" i="176"/>
  <c r="I62" i="176" s="1"/>
  <c r="I21" i="176"/>
  <c r="J18" i="176"/>
  <c r="I66" i="176" l="1"/>
  <c r="J66" i="176" s="1"/>
  <c r="J62" i="176"/>
  <c r="I25" i="176"/>
  <c r="J21" i="176"/>
  <c r="E5" i="172" l="1"/>
  <c r="I68" i="176"/>
  <c r="I69" i="176" s="1"/>
  <c r="I52" i="176"/>
  <c r="I53" i="176" s="1"/>
  <c r="AL84" i="155"/>
  <c r="H23" i="176"/>
  <c r="H38" i="135"/>
  <c r="L14" i="162" s="1"/>
  <c r="M14" i="162" s="1"/>
  <c r="K23" i="176"/>
  <c r="J36" i="135"/>
  <c r="H37" i="135"/>
  <c r="L15" i="162" s="1"/>
  <c r="M15" i="162" s="1"/>
  <c r="H36" i="135"/>
  <c r="H35" i="135"/>
  <c r="L12" i="162" s="1"/>
  <c r="H34" i="135"/>
  <c r="J68" i="176" l="1"/>
  <c r="J69" i="176"/>
  <c r="E6" i="172"/>
  <c r="I72" i="176"/>
  <c r="E7" i="172" s="1"/>
  <c r="E17" i="172"/>
  <c r="E18" i="172"/>
  <c r="H18" i="135"/>
  <c r="H39" i="135"/>
  <c r="J35" i="135"/>
  <c r="AL86" i="155"/>
  <c r="AM86" i="155" s="1"/>
  <c r="AM84" i="155"/>
  <c r="I10" i="132"/>
  <c r="J39" i="135"/>
  <c r="M12" i="162"/>
  <c r="L13" i="162"/>
  <c r="M13" i="162" s="1"/>
  <c r="J34" i="135"/>
  <c r="H59" i="155"/>
  <c r="E20" i="172" l="1"/>
  <c r="E21" i="172" s="1"/>
  <c r="I74" i="176"/>
  <c r="J72" i="176"/>
  <c r="J18" i="135"/>
  <c r="K11" i="135"/>
  <c r="H19" i="135"/>
  <c r="L4" i="132"/>
  <c r="K10" i="132"/>
  <c r="K41" i="132" s="1"/>
  <c r="J41" i="132" s="1"/>
  <c r="I11" i="132"/>
  <c r="H117" i="155" s="1"/>
  <c r="L17" i="162"/>
  <c r="K54" i="155"/>
  <c r="H73" i="155"/>
  <c r="I59" i="155"/>
  <c r="H60" i="155"/>
  <c r="H113" i="155" s="1"/>
  <c r="H96" i="155"/>
  <c r="I113" i="155" l="1"/>
  <c r="H114" i="155"/>
  <c r="H116" i="155" s="1"/>
  <c r="H118" i="155" s="1"/>
  <c r="I117" i="155"/>
  <c r="I60" i="155"/>
  <c r="J19" i="135"/>
  <c r="H25" i="135"/>
  <c r="H26" i="135" s="1"/>
  <c r="H22" i="176"/>
  <c r="H24" i="176" s="1"/>
  <c r="H25" i="176" s="1"/>
  <c r="L19" i="125"/>
  <c r="L24" i="125" s="1"/>
  <c r="I13" i="132"/>
  <c r="H26" i="176"/>
  <c r="K11" i="132"/>
  <c r="K13" i="132" s="1"/>
  <c r="K95" i="155"/>
  <c r="H97" i="155"/>
  <c r="I96" i="155"/>
  <c r="N4" i="132"/>
  <c r="N41" i="132" s="1"/>
  <c r="M41" i="132" s="1"/>
  <c r="L9" i="132"/>
  <c r="H74" i="155"/>
  <c r="I74" i="155" s="1"/>
  <c r="I73" i="155"/>
  <c r="K63" i="155"/>
  <c r="K19" i="135"/>
  <c r="M11" i="135"/>
  <c r="M17" i="162"/>
  <c r="L18" i="162"/>
  <c r="K22" i="176"/>
  <c r="P19" i="125"/>
  <c r="P24" i="125" s="1"/>
  <c r="K60" i="155"/>
  <c r="K113" i="155" s="1"/>
  <c r="L54" i="155"/>
  <c r="L113" i="155" l="1"/>
  <c r="K114" i="155"/>
  <c r="K116" i="155" s="1"/>
  <c r="L60" i="155"/>
  <c r="M19" i="135"/>
  <c r="K25" i="135"/>
  <c r="K26" i="135" s="1"/>
  <c r="L95" i="155"/>
  <c r="K97" i="155"/>
  <c r="L63" i="155"/>
  <c r="K74" i="155"/>
  <c r="L74" i="155" s="1"/>
  <c r="J25" i="176"/>
  <c r="J41" i="176"/>
  <c r="J43" i="176"/>
  <c r="J42" i="176"/>
  <c r="J39" i="176"/>
  <c r="J40" i="176"/>
  <c r="J44" i="176"/>
  <c r="N9" i="132"/>
  <c r="L11" i="132"/>
  <c r="K117" i="155" s="1"/>
  <c r="M18" i="162"/>
  <c r="L20" i="162"/>
  <c r="M20" i="162" s="1"/>
  <c r="K24" i="176"/>
  <c r="K25" i="176" s="1"/>
  <c r="M22" i="176"/>
  <c r="I97" i="155"/>
  <c r="H101" i="155"/>
  <c r="K118" i="155" l="1"/>
  <c r="L117" i="155"/>
  <c r="N11" i="132"/>
  <c r="N13" i="132" s="1"/>
  <c r="L13" i="132"/>
  <c r="K26" i="176"/>
  <c r="K101" i="155"/>
  <c r="L97" i="155"/>
  <c r="I101" i="155"/>
  <c r="H102" i="155"/>
  <c r="I102" i="155" s="1"/>
  <c r="M44" i="176"/>
  <c r="M39" i="176"/>
  <c r="M25" i="176"/>
  <c r="M40" i="176"/>
  <c r="M41" i="176"/>
  <c r="M42" i="176"/>
  <c r="M43" i="176"/>
  <c r="L101" i="155" l="1"/>
  <c r="K102" i="155"/>
  <c r="L102" i="155" s="1"/>
  <c r="AN8" i="153"/>
  <c r="AN9" i="153"/>
  <c r="R23" i="176"/>
  <c r="R56" i="176" s="1"/>
  <c r="R64" i="176" s="1"/>
  <c r="S64" i="176" s="1"/>
  <c r="O38" i="135"/>
  <c r="P38" i="135" s="1"/>
  <c r="O23" i="176"/>
  <c r="O56" i="176" s="1"/>
  <c r="O64" i="176" s="1"/>
  <c r="P64" i="176" s="1"/>
  <c r="O36" i="135"/>
  <c r="P36" i="135" s="1"/>
  <c r="O35" i="135"/>
  <c r="P35" i="135" s="1"/>
  <c r="O112" i="131"/>
  <c r="O124" i="131" s="1"/>
  <c r="O34" i="135"/>
  <c r="P34" i="135" s="1"/>
  <c r="AN16" i="153" l="1"/>
  <c r="P112" i="131"/>
  <c r="F64" i="181"/>
  <c r="O18" i="135"/>
  <c r="O19" i="135" s="1"/>
  <c r="P10" i="132"/>
  <c r="Q10" i="132" s="1"/>
  <c r="Q41" i="132" s="1"/>
  <c r="O113" i="131"/>
  <c r="P113" i="131" s="1"/>
  <c r="O39" i="135"/>
  <c r="P39" i="135" s="1"/>
  <c r="P18" i="135"/>
  <c r="R11" i="135"/>
  <c r="O125" i="131"/>
  <c r="P125" i="131" s="1"/>
  <c r="P124" i="131"/>
  <c r="P59" i="155"/>
  <c r="AM112" i="131"/>
  <c r="O122" i="131" l="1"/>
  <c r="P38" i="132"/>
  <c r="U68" i="125" s="1"/>
  <c r="F58" i="181"/>
  <c r="G62" i="181"/>
  <c r="F65" i="181"/>
  <c r="F71" i="181" s="1"/>
  <c r="F66" i="181"/>
  <c r="S4" i="132"/>
  <c r="S38" i="132" s="1"/>
  <c r="Y68" i="125" s="1"/>
  <c r="O26" i="135"/>
  <c r="AM26" i="135" s="1"/>
  <c r="AM27" i="135" s="1"/>
  <c r="P11" i="132"/>
  <c r="P117" i="155" s="1"/>
  <c r="O117" i="155" s="1"/>
  <c r="O147" i="131"/>
  <c r="O156" i="131" s="1"/>
  <c r="O148" i="131"/>
  <c r="P148" i="131" s="1"/>
  <c r="P147" i="131"/>
  <c r="R19" i="135"/>
  <c r="S11" i="135"/>
  <c r="P62" i="132"/>
  <c r="O25" i="135"/>
  <c r="P19" i="135"/>
  <c r="U26" i="125"/>
  <c r="AM124" i="131"/>
  <c r="AN112" i="131"/>
  <c r="AM113" i="131"/>
  <c r="S54" i="155"/>
  <c r="O59" i="155"/>
  <c r="P73" i="155"/>
  <c r="P96" i="155"/>
  <c r="P60" i="155"/>
  <c r="P113" i="155" s="1"/>
  <c r="P13" i="132"/>
  <c r="Q11" i="132"/>
  <c r="Q13" i="132" s="1"/>
  <c r="O26" i="176"/>
  <c r="P51" i="132"/>
  <c r="P156" i="131"/>
  <c r="O157" i="131"/>
  <c r="O113" i="155" l="1"/>
  <c r="P114" i="155"/>
  <c r="P116" i="155" s="1"/>
  <c r="P118" i="155" s="1"/>
  <c r="G66" i="181"/>
  <c r="G65" i="181"/>
  <c r="G71" i="181" s="1"/>
  <c r="G57" i="181"/>
  <c r="F70" i="181"/>
  <c r="F59" i="181"/>
  <c r="F77" i="181" s="1"/>
  <c r="T4" i="132"/>
  <c r="T41" i="132" s="1"/>
  <c r="AN26" i="135"/>
  <c r="S9" i="132"/>
  <c r="S11" i="132" s="1"/>
  <c r="S117" i="155" s="1"/>
  <c r="R117" i="155" s="1"/>
  <c r="AP24" i="135"/>
  <c r="P64" i="132"/>
  <c r="AN124" i="131"/>
  <c r="AM125" i="131"/>
  <c r="AN125" i="131" s="1"/>
  <c r="V26" i="125"/>
  <c r="U25" i="125"/>
  <c r="O60" i="155"/>
  <c r="M8" i="153"/>
  <c r="O22" i="176"/>
  <c r="U19" i="125"/>
  <c r="P103" i="155"/>
  <c r="O96" i="155"/>
  <c r="P97" i="155"/>
  <c r="S95" i="155"/>
  <c r="O73" i="155"/>
  <c r="S63" i="155"/>
  <c r="P74" i="155"/>
  <c r="O74" i="155" s="1"/>
  <c r="R22" i="176"/>
  <c r="S103" i="155"/>
  <c r="Y19" i="125"/>
  <c r="Y24" i="125" s="1"/>
  <c r="U75" i="125"/>
  <c r="U77" i="125" s="1"/>
  <c r="O27" i="135"/>
  <c r="O29" i="135" s="1"/>
  <c r="O49" i="176"/>
  <c r="P18" i="132"/>
  <c r="P157" i="131"/>
  <c r="O159" i="131"/>
  <c r="O162" i="131" s="1"/>
  <c r="O164" i="131" s="1"/>
  <c r="S60" i="155"/>
  <c r="S113" i="155" s="1"/>
  <c r="R54" i="155"/>
  <c r="AO27" i="135"/>
  <c r="AN27" i="135"/>
  <c r="AM122" i="131"/>
  <c r="AN113" i="131"/>
  <c r="AM147" i="131"/>
  <c r="S62" i="132"/>
  <c r="S19" i="135"/>
  <c r="Y26" i="125"/>
  <c r="BA26" i="125" s="1"/>
  <c r="R25" i="135"/>
  <c r="R113" i="155" l="1"/>
  <c r="S114" i="155"/>
  <c r="S116" i="155" s="1"/>
  <c r="S118" i="155" s="1"/>
  <c r="T9" i="132"/>
  <c r="F72" i="181"/>
  <c r="F73" i="181" s="1"/>
  <c r="F79" i="181"/>
  <c r="F67" i="181"/>
  <c r="F76" i="181" s="1"/>
  <c r="F60" i="181"/>
  <c r="G70" i="181"/>
  <c r="G59" i="181"/>
  <c r="G77" i="181" s="1"/>
  <c r="BC26" i="125"/>
  <c r="AY26" i="125"/>
  <c r="BB26" i="125"/>
  <c r="P35" i="132"/>
  <c r="P36" i="132" s="1"/>
  <c r="P28" i="132"/>
  <c r="AH22" i="176"/>
  <c r="S74" i="155"/>
  <c r="R74" i="155" s="1"/>
  <c r="R63" i="155"/>
  <c r="Y22" i="176"/>
  <c r="X52" i="176"/>
  <c r="X53" i="176" s="1"/>
  <c r="O8" i="153"/>
  <c r="Y75" i="125"/>
  <c r="Y77" i="125" s="1"/>
  <c r="R27" i="135"/>
  <c r="R29" i="135" s="1"/>
  <c r="U29" i="135" s="1"/>
  <c r="X29" i="135" s="1"/>
  <c r="AA29" i="135" s="1"/>
  <c r="AD29" i="135" s="1"/>
  <c r="AG29" i="135" s="1"/>
  <c r="AJ29" i="135" s="1"/>
  <c r="AM29" i="135" s="1"/>
  <c r="V19" i="125"/>
  <c r="U24" i="125"/>
  <c r="Z26" i="125"/>
  <c r="Y25" i="125"/>
  <c r="O24" i="176"/>
  <c r="O25" i="176" s="1"/>
  <c r="P22" i="176"/>
  <c r="O55" i="176"/>
  <c r="V25" i="125"/>
  <c r="U29" i="125"/>
  <c r="AB22" i="176"/>
  <c r="AB25" i="176"/>
  <c r="Z24" i="125"/>
  <c r="W24" i="125"/>
  <c r="R95" i="155"/>
  <c r="S97" i="155"/>
  <c r="P101" i="155"/>
  <c r="O97" i="155"/>
  <c r="S13" i="132"/>
  <c r="T11" i="132"/>
  <c r="T13" i="132" s="1"/>
  <c r="R26" i="176"/>
  <c r="S51" i="132"/>
  <c r="S64" i="132" s="1"/>
  <c r="R60" i="155"/>
  <c r="M9" i="153"/>
  <c r="O9" i="153" s="1"/>
  <c r="AN147" i="131"/>
  <c r="S22" i="176"/>
  <c r="R55" i="176"/>
  <c r="R24" i="176"/>
  <c r="R25" i="176" s="1"/>
  <c r="AE22" i="176"/>
  <c r="AE25" i="176"/>
  <c r="AK25" i="176" l="1"/>
  <c r="AJ27" i="176"/>
  <c r="G72" i="181"/>
  <c r="G73" i="181" s="1"/>
  <c r="G67" i="181"/>
  <c r="G76" i="181" s="1"/>
  <c r="G60" i="181"/>
  <c r="G79" i="181"/>
  <c r="AH25" i="176"/>
  <c r="AG27" i="176"/>
  <c r="Y25" i="176"/>
  <c r="X27" i="176"/>
  <c r="V29" i="125"/>
  <c r="U42" i="125"/>
  <c r="U44" i="125" s="1"/>
  <c r="S29" i="125"/>
  <c r="R49" i="176"/>
  <c r="S18" i="132"/>
  <c r="F7" i="136"/>
  <c r="H7" i="136" s="1"/>
  <c r="J7" i="136" s="1"/>
  <c r="M7" i="136" s="1"/>
  <c r="V67" i="125"/>
  <c r="U67" i="125" s="1"/>
  <c r="U70" i="125" s="1"/>
  <c r="O60" i="176"/>
  <c r="O62" i="176" s="1"/>
  <c r="O57" i="176"/>
  <c r="G10" i="172" s="1"/>
  <c r="G9" i="172" s="1"/>
  <c r="U47" i="125"/>
  <c r="U48" i="125" s="1"/>
  <c r="O166" i="131"/>
  <c r="O167" i="131" s="1"/>
  <c r="Q28" i="132"/>
  <c r="P31" i="132"/>
  <c r="AM9" i="153"/>
  <c r="P9" i="153"/>
  <c r="V9" i="153"/>
  <c r="Z9" i="153" s="1"/>
  <c r="R52" i="176"/>
  <c r="R27" i="176"/>
  <c r="S25" i="176"/>
  <c r="P25" i="176"/>
  <c r="O52" i="176"/>
  <c r="V8" i="153"/>
  <c r="Z8" i="153" s="1"/>
  <c r="P8" i="153"/>
  <c r="AM8" i="153"/>
  <c r="O101" i="155"/>
  <c r="P102" i="155"/>
  <c r="Z25" i="125"/>
  <c r="Y29" i="125"/>
  <c r="R57" i="176"/>
  <c r="H10" i="172" s="1"/>
  <c r="H9" i="172" s="1"/>
  <c r="R60" i="176"/>
  <c r="R62" i="176" s="1"/>
  <c r="S101" i="155"/>
  <c r="R97" i="155"/>
  <c r="BA25" i="125"/>
  <c r="U34" i="125"/>
  <c r="V24" i="125"/>
  <c r="S24" i="125"/>
  <c r="U80" i="125"/>
  <c r="O66" i="176" l="1"/>
  <c r="P66" i="176" s="1"/>
  <c r="P62" i="176"/>
  <c r="R66" i="176"/>
  <c r="S66" i="176" s="1"/>
  <c r="S62" i="176"/>
  <c r="AA8" i="153"/>
  <c r="AP8" i="153"/>
  <c r="W29" i="125"/>
  <c r="Z29" i="125"/>
  <c r="Y42" i="125"/>
  <c r="Y80" i="125"/>
  <c r="Y34" i="125"/>
  <c r="S28" i="132"/>
  <c r="S35" i="132"/>
  <c r="S36" i="132" s="1"/>
  <c r="S102" i="155"/>
  <c r="R102" i="155" s="1"/>
  <c r="R101" i="155"/>
  <c r="V34" i="125"/>
  <c r="S34" i="125"/>
  <c r="V44" i="125"/>
  <c r="S44" i="125"/>
  <c r="U46" i="125"/>
  <c r="P104" i="155"/>
  <c r="O102" i="155"/>
  <c r="P41" i="132"/>
  <c r="O51" i="176"/>
  <c r="O53" i="176" s="1"/>
  <c r="P32" i="132"/>
  <c r="O73" i="176"/>
  <c r="BB25" i="125"/>
  <c r="AY25" i="125"/>
  <c r="BC25" i="125"/>
  <c r="BC16" i="125"/>
  <c r="BA29" i="125"/>
  <c r="Z67" i="125"/>
  <c r="Y67" i="125" s="1"/>
  <c r="Y70" i="125" s="1"/>
  <c r="F8" i="136"/>
  <c r="H8" i="136" s="1"/>
  <c r="J8" i="136" s="1"/>
  <c r="M8" i="136" s="1"/>
  <c r="M20" i="153"/>
  <c r="V42" i="125"/>
  <c r="S42" i="125"/>
  <c r="V80" i="125"/>
  <c r="U81" i="125"/>
  <c r="AP9" i="153"/>
  <c r="AA9" i="153"/>
  <c r="O68" i="176" l="1"/>
  <c r="G5" i="172"/>
  <c r="R68" i="176"/>
  <c r="R69" i="176" s="1"/>
  <c r="H5" i="172"/>
  <c r="O69" i="176"/>
  <c r="P69" i="176" s="1"/>
  <c r="P68" i="176"/>
  <c r="S31" i="132"/>
  <c r="T28" i="132"/>
  <c r="Y47" i="125"/>
  <c r="Y48" i="125" s="1"/>
  <c r="AC48" i="125" s="1"/>
  <c r="AG48" i="125" s="1"/>
  <c r="AK48" i="125" s="1"/>
  <c r="AO48" i="125" s="1"/>
  <c r="AS48" i="125" s="1"/>
  <c r="AW48" i="125" s="1"/>
  <c r="Z34" i="125"/>
  <c r="W34" i="125"/>
  <c r="BB67" i="125"/>
  <c r="BA67" i="125" s="1"/>
  <c r="BA70" i="125" s="1"/>
  <c r="F15" i="136"/>
  <c r="BF30" i="125"/>
  <c r="U52" i="125"/>
  <c r="U82" i="125"/>
  <c r="V81" i="125"/>
  <c r="Z80" i="125"/>
  <c r="Y81" i="125"/>
  <c r="AW81" i="125"/>
  <c r="Z42" i="125"/>
  <c r="W42" i="125"/>
  <c r="Y44" i="125"/>
  <c r="G6" i="172"/>
  <c r="BC29" i="125"/>
  <c r="BE50" i="125" s="1"/>
  <c r="BE56" i="125" s="1"/>
  <c r="BB29" i="125"/>
  <c r="AY29" i="125"/>
  <c r="BA42" i="125"/>
  <c r="BA34" i="125"/>
  <c r="BA80" i="125"/>
  <c r="BG30" i="125"/>
  <c r="G17" i="172" l="1"/>
  <c r="G18" i="172"/>
  <c r="O72" i="176"/>
  <c r="G20" i="172" s="1"/>
  <c r="G21" i="172" s="1"/>
  <c r="S69" i="176"/>
  <c r="H17" i="172"/>
  <c r="H6" i="172"/>
  <c r="R72" i="176"/>
  <c r="H20" i="172" s="1"/>
  <c r="H21" i="172" s="1"/>
  <c r="H18" i="172"/>
  <c r="S68" i="176"/>
  <c r="R51" i="176"/>
  <c r="R53" i="176" s="1"/>
  <c r="S41" i="132"/>
  <c r="R73" i="176"/>
  <c r="BB80" i="125"/>
  <c r="BA81" i="125"/>
  <c r="V82" i="125"/>
  <c r="U83" i="125"/>
  <c r="V83" i="125" s="1"/>
  <c r="W44" i="125"/>
  <c r="Y46" i="125"/>
  <c r="Z44" i="125"/>
  <c r="S32" i="132"/>
  <c r="E16" i="136"/>
  <c r="J16" i="136" s="1"/>
  <c r="H15" i="136"/>
  <c r="J15" i="136" s="1"/>
  <c r="M15" i="136" s="1"/>
  <c r="BB34" i="125"/>
  <c r="BC34" i="125"/>
  <c r="BA44" i="125"/>
  <c r="AY34" i="125"/>
  <c r="BB42" i="125"/>
  <c r="AY42" i="125"/>
  <c r="Y82" i="125"/>
  <c r="Z81" i="125"/>
  <c r="G7" i="172" l="1"/>
  <c r="O74" i="176"/>
  <c r="P72" i="176"/>
  <c r="H7" i="172"/>
  <c r="S72" i="176"/>
  <c r="R74" i="176"/>
  <c r="Z82" i="125"/>
  <c r="Y83" i="125"/>
  <c r="Z83" i="125" s="1"/>
  <c r="BB81" i="125"/>
  <c r="BA82" i="125"/>
  <c r="BJ38" i="125"/>
  <c r="BJ39" i="125" s="1"/>
  <c r="AY44" i="125"/>
  <c r="BC44" i="125"/>
  <c r="BA46" i="125"/>
  <c r="BA48" i="125" s="1"/>
  <c r="BB44" i="125"/>
  <c r="V32" i="132"/>
  <c r="Y52" i="125"/>
  <c r="BI40" i="125" l="1"/>
  <c r="BK39" i="125"/>
  <c r="AC52" i="125"/>
  <c r="Y32" i="132"/>
  <c r="AB32" i="132" s="1"/>
  <c r="AE32" i="132" s="1"/>
  <c r="AH32" i="132" s="1"/>
  <c r="BA83" i="125"/>
  <c r="BB83" i="125" s="1"/>
  <c r="BB82" i="125"/>
  <c r="AO8" i="155" l="1"/>
  <c r="D8" i="155"/>
  <c r="AK32" i="132"/>
  <c r="AN32" i="132" s="1"/>
  <c r="AM16" i="176"/>
  <c r="AM14" i="131"/>
  <c r="BA64" i="125"/>
  <c r="BA74" i="125" s="1"/>
  <c r="BA77" i="125" s="1"/>
  <c r="N69" i="181"/>
  <c r="E64" i="125"/>
  <c r="C16" i="176"/>
  <c r="B69" i="181"/>
  <c r="C14" i="131"/>
  <c r="AN14" i="131" l="1"/>
  <c r="AM146" i="131"/>
  <c r="N72" i="181"/>
  <c r="N73" i="181" s="1"/>
  <c r="N53" i="181"/>
  <c r="D14" i="131"/>
  <c r="C146" i="131"/>
  <c r="B72" i="181"/>
  <c r="B73" i="181" s="1"/>
  <c r="B53" i="181"/>
  <c r="C17" i="176"/>
  <c r="C55" i="176" s="1"/>
  <c r="D16" i="176"/>
  <c r="C21" i="176"/>
  <c r="C63" i="176"/>
  <c r="D51" i="132"/>
  <c r="E74" i="125"/>
  <c r="E77" i="125" s="1"/>
  <c r="D63" i="132"/>
  <c r="AN8" i="155"/>
  <c r="D32" i="155"/>
  <c r="C8" i="155"/>
  <c r="D10" i="155"/>
  <c r="C10" i="155" s="1"/>
  <c r="C35" i="155" s="1"/>
  <c r="AM17" i="176"/>
  <c r="AN16" i="176"/>
  <c r="AM63" i="176"/>
  <c r="AN63" i="176" s="1"/>
  <c r="B79" i="181" l="1"/>
  <c r="B60" i="181"/>
  <c r="B67" i="181" s="1"/>
  <c r="B76" i="181" s="1"/>
  <c r="D146" i="131"/>
  <c r="C155" i="131"/>
  <c r="C148" i="131"/>
  <c r="D148" i="131" s="1"/>
  <c r="AM48" i="176"/>
  <c r="AN17" i="176"/>
  <c r="AM55" i="176"/>
  <c r="C25" i="176"/>
  <c r="D21" i="176"/>
  <c r="AN146" i="131"/>
  <c r="AM155" i="131"/>
  <c r="AM148" i="131"/>
  <c r="AN148" i="131" s="1"/>
  <c r="AM8" i="155"/>
  <c r="AN10" i="155"/>
  <c r="AM10" i="155" s="1"/>
  <c r="AM35" i="155" s="1"/>
  <c r="AP8" i="155"/>
  <c r="D64" i="132"/>
  <c r="AM21" i="176"/>
  <c r="N79" i="181"/>
  <c r="N67" i="181"/>
  <c r="N76" i="181" s="1"/>
  <c r="N60" i="181"/>
  <c r="D72" i="155"/>
  <c r="C32" i="155"/>
  <c r="AN32" i="155"/>
  <c r="AN112" i="155" s="1"/>
  <c r="D112" i="155"/>
  <c r="D34" i="155"/>
  <c r="D17" i="176"/>
  <c r="C48" i="176"/>
  <c r="AN109" i="155" l="1"/>
  <c r="AM112" i="155"/>
  <c r="D109" i="155"/>
  <c r="D155" i="131"/>
  <c r="C156" i="131"/>
  <c r="D156" i="131" s="1"/>
  <c r="C34" i="155"/>
  <c r="C36" i="155" s="1"/>
  <c r="G4" i="153"/>
  <c r="D51" i="155"/>
  <c r="C51" i="155" s="1"/>
  <c r="C72" i="155"/>
  <c r="D74" i="155"/>
  <c r="C74" i="155" s="1"/>
  <c r="N4" i="153"/>
  <c r="N16" i="153" s="1"/>
  <c r="C57" i="176"/>
  <c r="C10" i="172" s="1"/>
  <c r="C9" i="172" s="1"/>
  <c r="C60" i="176"/>
  <c r="C62" i="176" s="1"/>
  <c r="AN34" i="155"/>
  <c r="AM32" i="155"/>
  <c r="AN72" i="155"/>
  <c r="AM60" i="176"/>
  <c r="AM62" i="176" s="1"/>
  <c r="AM57" i="176"/>
  <c r="O10" i="172" s="1"/>
  <c r="O9" i="172" s="1"/>
  <c r="AM156" i="131"/>
  <c r="AN156" i="131" s="1"/>
  <c r="AN155" i="131"/>
  <c r="AM25" i="176"/>
  <c r="AN21" i="176"/>
  <c r="D25" i="176"/>
  <c r="C52" i="176"/>
  <c r="C53" i="176" s="1"/>
  <c r="AM109" i="155" l="1"/>
  <c r="AN111" i="155"/>
  <c r="AN62" i="176"/>
  <c r="AP62" i="176"/>
  <c r="D111" i="155"/>
  <c r="C109" i="155"/>
  <c r="C66" i="176"/>
  <c r="D66" i="176" s="1"/>
  <c r="D62" i="176"/>
  <c r="N18" i="153"/>
  <c r="N20" i="153" s="1"/>
  <c r="AN74" i="155"/>
  <c r="AM72" i="155"/>
  <c r="AN51" i="155"/>
  <c r="AM51" i="155" s="1"/>
  <c r="AM34" i="155"/>
  <c r="AM36" i="155" s="1"/>
  <c r="G18" i="153"/>
  <c r="AM52" i="176"/>
  <c r="AM53" i="176" s="1"/>
  <c r="AN25" i="176"/>
  <c r="AN27" i="176"/>
  <c r="AM27" i="176"/>
  <c r="C157" i="131"/>
  <c r="AM66" i="176"/>
  <c r="AN66" i="176" s="1"/>
  <c r="G16" i="153"/>
  <c r="K4" i="153"/>
  <c r="O4" i="153" s="1"/>
  <c r="H4" i="153"/>
  <c r="AM157" i="131"/>
  <c r="C5" i="172" l="1"/>
  <c r="AN114" i="155"/>
  <c r="AN116" i="155" s="1"/>
  <c r="AM111" i="155"/>
  <c r="C68" i="176"/>
  <c r="D68" i="176" s="1"/>
  <c r="D114" i="155"/>
  <c r="D116" i="155" s="1"/>
  <c r="D118" i="155" s="1"/>
  <c r="C111" i="155"/>
  <c r="K18" i="153"/>
  <c r="AM74" i="155"/>
  <c r="AM68" i="176"/>
  <c r="AN68" i="176" s="1"/>
  <c r="O5" i="172"/>
  <c r="AO64" i="176"/>
  <c r="AO65" i="176"/>
  <c r="AO63" i="176"/>
  <c r="AN157" i="131"/>
  <c r="AM159" i="131"/>
  <c r="AM162" i="131" s="1"/>
  <c r="AM164" i="131" s="1"/>
  <c r="AM167" i="131" s="1"/>
  <c r="AM4" i="153"/>
  <c r="AM16" i="153" s="1"/>
  <c r="P4" i="153"/>
  <c r="V4" i="153"/>
  <c r="Z4" i="153" s="1"/>
  <c r="K16" i="153"/>
  <c r="L16" i="153" s="1"/>
  <c r="L4" i="153"/>
  <c r="H16" i="153"/>
  <c r="G19" i="153"/>
  <c r="G20" i="153"/>
  <c r="G22" i="153" s="1"/>
  <c r="D157" i="131"/>
  <c r="C159" i="131"/>
  <c r="C162" i="131" s="1"/>
  <c r="C164" i="131" s="1"/>
  <c r="C167" i="131" s="1"/>
  <c r="AO62" i="176"/>
  <c r="C69" i="176" l="1"/>
  <c r="D69" i="176" s="1"/>
  <c r="K19" i="153"/>
  <c r="AM69" i="176"/>
  <c r="AN69" i="176" s="1"/>
  <c r="Z16" i="153"/>
  <c r="AP4" i="153"/>
  <c r="AP16" i="153" s="1"/>
  <c r="AA4" i="153"/>
  <c r="O16" i="153"/>
  <c r="C72" i="176" l="1"/>
  <c r="D72" i="176" s="1"/>
  <c r="C17" i="172"/>
  <c r="C6" i="172"/>
  <c r="C18" i="172"/>
  <c r="C7" i="172"/>
  <c r="C20" i="172"/>
  <c r="C21" i="172" s="1"/>
  <c r="C74" i="176"/>
  <c r="AA16" i="153"/>
  <c r="Z22" i="153"/>
  <c r="Z21" i="153"/>
  <c r="P16" i="153"/>
  <c r="O20" i="153"/>
  <c r="O22" i="153" s="1"/>
  <c r="V16" i="153"/>
  <c r="O17" i="172"/>
  <c r="AM72" i="176"/>
  <c r="AN72" i="176" s="1"/>
  <c r="O6" i="172"/>
  <c r="O18" i="172"/>
  <c r="O7" i="172" l="1"/>
  <c r="O38" i="172"/>
  <c r="AM74" i="176"/>
  <c r="O20" i="172"/>
  <c r="O21" i="172" s="1"/>
  <c r="Z73" i="155"/>
  <c r="AA73" i="155" s="1"/>
  <c r="Z60" i="155"/>
  <c r="Z113" i="155" s="1"/>
  <c r="AC54" i="155"/>
  <c r="AC60" i="155" s="1"/>
  <c r="AC113" i="155" s="1"/>
  <c r="AC114" i="155" l="1"/>
  <c r="AC116" i="155" s="1"/>
  <c r="AC118" i="155" s="1"/>
  <c r="AD113" i="155"/>
  <c r="Z114" i="155"/>
  <c r="Z116" i="155" s="1"/>
  <c r="Z118" i="155" s="1"/>
  <c r="AA113" i="155"/>
  <c r="AD60" i="155"/>
  <c r="AA60" i="155"/>
  <c r="AC63" i="155"/>
  <c r="AC74" i="155" s="1"/>
  <c r="AD74" i="155" s="1"/>
  <c r="AD54" i="155"/>
  <c r="Z74" i="155"/>
  <c r="AA74" i="155" s="1"/>
  <c r="B48" i="173"/>
  <c r="B56" i="173" s="1"/>
  <c r="AD63" i="15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Sudhir Prabhu</author>
  </authors>
  <commentList>
    <comment ref="H19" authorId="0" shapeId="0" xr:uid="{817628A8-6FB5-4835-B34A-F2450B58D6EA}">
      <text>
        <r>
          <rPr>
            <sz val="9"/>
            <color indexed="81"/>
            <rFont val="Tahoma"/>
            <family val="2"/>
          </rPr>
          <t xml:space="preserve">SVFU 80-10=70-6=10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2" authorId="0" shapeId="0" xr:uid="{00000000-0006-0000-1100-000001000000}">
      <text>
        <r>
          <rPr>
            <sz val="11"/>
            <color indexed="81"/>
            <rFont val="Tahoma"/>
            <family val="2"/>
          </rPr>
          <t xml:space="preserve">From Unit 1,2 &amp; 3
</t>
        </r>
      </text>
    </comment>
    <comment ref="C36" authorId="0" shapeId="0" xr:uid="{00000000-0006-0000-1100-000002000000}">
      <text>
        <r>
          <rPr>
            <sz val="11"/>
            <color indexed="81"/>
            <rFont val="Tahoma"/>
            <family val="2"/>
          </rPr>
          <t>Include:
Inspectors, Supervisors,Tailors, Drivers, Helpers 
Unit 3 &amp; 4</t>
        </r>
      </text>
    </comment>
  </commentList>
</comments>
</file>

<file path=xl/sharedStrings.xml><?xml version="1.0" encoding="utf-8"?>
<sst xmlns="http://schemas.openxmlformats.org/spreadsheetml/2006/main" count="2200" uniqueCount="1042">
  <si>
    <t>Total</t>
  </si>
  <si>
    <t>HDPE</t>
  </si>
  <si>
    <t xml:space="preserve"> </t>
  </si>
  <si>
    <t>Sales</t>
  </si>
  <si>
    <t>May</t>
  </si>
  <si>
    <t>Nov</t>
  </si>
  <si>
    <t>Dec</t>
  </si>
  <si>
    <t>Jan</t>
  </si>
  <si>
    <t>Feb</t>
  </si>
  <si>
    <t>Mar</t>
  </si>
  <si>
    <t>Qty</t>
  </si>
  <si>
    <t>HDPE Granules</t>
  </si>
  <si>
    <t>Colour Pigments</t>
  </si>
  <si>
    <t>Oct</t>
  </si>
  <si>
    <t>Rate</t>
  </si>
  <si>
    <t>Value</t>
  </si>
  <si>
    <t>Apr</t>
  </si>
  <si>
    <t>Jun</t>
  </si>
  <si>
    <t>Jul</t>
  </si>
  <si>
    <t>Aug</t>
  </si>
  <si>
    <t>Sep</t>
  </si>
  <si>
    <t>Fabric</t>
  </si>
  <si>
    <t>CP</t>
  </si>
  <si>
    <t>RAW MATERIALS:</t>
  </si>
  <si>
    <t>QTY IN KGS.</t>
  </si>
  <si>
    <t>BASIC RATE</t>
  </si>
  <si>
    <t>BASIC VALUE</t>
  </si>
  <si>
    <t>Master Batches</t>
  </si>
  <si>
    <t>Work in Progress</t>
  </si>
  <si>
    <t>HDPE Tape - Factory</t>
  </si>
  <si>
    <t>HDPE Tape - Job Work</t>
  </si>
  <si>
    <t>FINISHED GOODS:</t>
  </si>
  <si>
    <t>Packing Materials</t>
  </si>
  <si>
    <t>Grand Total</t>
  </si>
  <si>
    <t>Seconds</t>
  </si>
  <si>
    <t>Othr Inc</t>
  </si>
  <si>
    <t>Direct Expns</t>
  </si>
  <si>
    <t>Indirect Expns</t>
  </si>
  <si>
    <t>Total Expns</t>
  </si>
  <si>
    <t>Deprecition</t>
  </si>
  <si>
    <t>Profit (A)</t>
  </si>
  <si>
    <t>HDPE Fishnet Fabrics</t>
  </si>
  <si>
    <t>Fabrication</t>
  </si>
  <si>
    <t>Average</t>
  </si>
  <si>
    <t>SII</t>
  </si>
  <si>
    <t>EII</t>
  </si>
  <si>
    <t>Indirect</t>
  </si>
  <si>
    <t>Deprn</t>
  </si>
  <si>
    <t>RM</t>
  </si>
  <si>
    <t>Fabrn</t>
  </si>
  <si>
    <t>NET</t>
  </si>
  <si>
    <t>Diff in SFG/FG</t>
  </si>
  <si>
    <t>SFG/FG</t>
  </si>
  <si>
    <t>Cl Stk RM Only</t>
  </si>
  <si>
    <t>Employees Remunaration &amp; Benefits</t>
  </si>
  <si>
    <t>Depreciation</t>
  </si>
  <si>
    <t>Fabrication Charges - B-Lore.</t>
  </si>
  <si>
    <t>Factory Repairs &amp; Maintanance</t>
  </si>
  <si>
    <t>Forwarding Charges Paid</t>
  </si>
  <si>
    <t>Freight Inwards</t>
  </si>
  <si>
    <t>Packing Materials (Consumables)</t>
  </si>
  <si>
    <t>Processing Charges</t>
  </si>
  <si>
    <t>Rent</t>
  </si>
  <si>
    <t>Yarn Processing Charges</t>
  </si>
  <si>
    <t>Waste</t>
  </si>
  <si>
    <t>Insurance on Assets</t>
  </si>
  <si>
    <t>Repair &amp; Maintenance AMC</t>
  </si>
  <si>
    <t>Particulars</t>
  </si>
  <si>
    <t>Op Stk RM Only</t>
  </si>
  <si>
    <t>Purchase-RM</t>
  </si>
  <si>
    <t>Purchase-Trading</t>
  </si>
  <si>
    <t>Opening Stock</t>
  </si>
  <si>
    <t>Add:- Purchases</t>
  </si>
  <si>
    <t>Less:- Purchase return</t>
  </si>
  <si>
    <t>Less:- Consumption</t>
  </si>
  <si>
    <t>Closing Stock</t>
  </si>
  <si>
    <t>MB</t>
  </si>
  <si>
    <t>Computation of Wastage</t>
  </si>
  <si>
    <t>Production</t>
  </si>
  <si>
    <t>1. HDPE Monofilament</t>
  </si>
  <si>
    <t>2. HDPE Monofilament-Sec</t>
  </si>
  <si>
    <t>3. Packing Materials</t>
  </si>
  <si>
    <t>Wastage</t>
  </si>
  <si>
    <t>% of Wastage</t>
  </si>
  <si>
    <t>Opening Bal</t>
  </si>
  <si>
    <t>Add:- Prodn</t>
  </si>
  <si>
    <t>Add:- J.W. Production</t>
  </si>
  <si>
    <t>Consumption</t>
  </si>
  <si>
    <t>Job Work</t>
  </si>
  <si>
    <t>Closing Bal</t>
  </si>
  <si>
    <t>HDPE Woven Fabrics</t>
  </si>
  <si>
    <t>HDPE Woven Fabrics- Sec.</t>
  </si>
  <si>
    <t>% of Waste</t>
  </si>
  <si>
    <t>Purchases</t>
  </si>
  <si>
    <t>Less:- Sales</t>
  </si>
  <si>
    <t>Receipts</t>
  </si>
  <si>
    <t>Issued for Processing</t>
  </si>
  <si>
    <t>Buring Loss</t>
  </si>
  <si>
    <t>Op Stk</t>
  </si>
  <si>
    <t>Cl Stk</t>
  </si>
  <si>
    <t>Purchase</t>
  </si>
  <si>
    <t>TOTAL</t>
  </si>
  <si>
    <t>Sale</t>
  </si>
  <si>
    <t>Add:- Job Work Rcpts</t>
  </si>
  <si>
    <t>HDPE Monofilament (Factory)</t>
  </si>
  <si>
    <t>HDPE Monofilament (Fabricator)</t>
  </si>
  <si>
    <t>Op. Balance</t>
  </si>
  <si>
    <t>HDPE Monofilament Receipt</t>
  </si>
  <si>
    <t>Cl.Balance</t>
  </si>
  <si>
    <t>HDPE Woven Fabrics- RF</t>
  </si>
  <si>
    <t>Rope Hanks</t>
  </si>
  <si>
    <t>Staff Room Rent</t>
  </si>
  <si>
    <t>Less :- Sales</t>
  </si>
  <si>
    <t>TOTAL RM CLOSING STOCK</t>
  </si>
  <si>
    <t>Add:- RF.</t>
  </si>
  <si>
    <t>Yarn Closing Stock</t>
  </si>
  <si>
    <t>Receipts Mono Shade</t>
  </si>
  <si>
    <t>TOTAL SFG &amp; FG CLOSING STOCK</t>
  </si>
  <si>
    <t>PAL I</t>
  </si>
  <si>
    <t>Kgs</t>
  </si>
  <si>
    <t>NETT PROFIT</t>
  </si>
  <si>
    <t>CC</t>
  </si>
  <si>
    <t>Nett</t>
  </si>
  <si>
    <t>In House Fabrn</t>
  </si>
  <si>
    <t>Group Summary</t>
  </si>
  <si>
    <t>Manufacturing Expenses</t>
  </si>
  <si>
    <t>Indirect Expenses</t>
  </si>
  <si>
    <t>Administrative Expenses</t>
  </si>
  <si>
    <t>Vehicle Four Wheelers Expenses</t>
  </si>
  <si>
    <t>Audit Fees</t>
  </si>
  <si>
    <t>Books &amp; Periodical</t>
  </si>
  <si>
    <t>Computer Stores &amp; Maint.</t>
  </si>
  <si>
    <t>Conveyance Charges</t>
  </si>
  <si>
    <t>Donation</t>
  </si>
  <si>
    <t>General Expenses</t>
  </si>
  <si>
    <t>General Repairs &amp; Maintanance</t>
  </si>
  <si>
    <t>Medical Expenses</t>
  </si>
  <si>
    <t>Office Maintenance</t>
  </si>
  <si>
    <t>Pooja Expenses</t>
  </si>
  <si>
    <t>Postage,Tel, Telex Charges</t>
  </si>
  <si>
    <t>Printing &amp; Stationary</t>
  </si>
  <si>
    <t>Professional Charges</t>
  </si>
  <si>
    <t>Professional Consultation Charges</t>
  </si>
  <si>
    <t>Rates &amp; Taxes</t>
  </si>
  <si>
    <t>Registration &amp; Renewal</t>
  </si>
  <si>
    <t>Round Off (+-)</t>
  </si>
  <si>
    <t>Seminar, Training, Dvpt. Exp.</t>
  </si>
  <si>
    <t>Subscription &amp; Membership</t>
  </si>
  <si>
    <t>TDS - Interest on TDS</t>
  </si>
  <si>
    <t>Telephone Charges-Airtel</t>
  </si>
  <si>
    <t>Telephone Charges-BSNL</t>
  </si>
  <si>
    <t>Watch &amp; Ward</t>
  </si>
  <si>
    <t>Financial Expenses</t>
  </si>
  <si>
    <t>Bank Charges</t>
  </si>
  <si>
    <t>Interest &amp; Bank Charges -ILC</t>
  </si>
  <si>
    <t>Interest on Car Loans</t>
  </si>
  <si>
    <t>Interest on O.C.C</t>
  </si>
  <si>
    <t>Interest to Depositors</t>
  </si>
  <si>
    <t>Selling Expenses</t>
  </si>
  <si>
    <t>Advertisement</t>
  </si>
  <si>
    <t>Debit Balances Written Off</t>
  </si>
  <si>
    <t>Gift Articles</t>
  </si>
  <si>
    <t>Marketing Expenses</t>
  </si>
  <si>
    <t>Sales Promotion</t>
  </si>
  <si>
    <t>Travelling Expenses</t>
  </si>
  <si>
    <t>Apr-Mar</t>
  </si>
  <si>
    <t>Trading Account:</t>
  </si>
  <si>
    <t>Sales Accounts</t>
  </si>
  <si>
    <t>Cost of Sales :</t>
  </si>
  <si>
    <t>Less: Closing Stock</t>
  </si>
  <si>
    <t>Direct Expenses</t>
  </si>
  <si>
    <t>SALARY &amp; WAGES</t>
  </si>
  <si>
    <t>TRAVELLING CHARGES</t>
  </si>
  <si>
    <t>Gross Profit :</t>
  </si>
  <si>
    <t>MSN</t>
  </si>
  <si>
    <t>TSN</t>
  </si>
  <si>
    <t>PP Sacks</t>
  </si>
  <si>
    <t>Sales  PP Woven Fabrics</t>
  </si>
  <si>
    <t>Sales PP Woven Sacks</t>
  </si>
  <si>
    <t>Receipts Weed Mat</t>
  </si>
  <si>
    <t>Receipts Mulch</t>
  </si>
  <si>
    <t>Receipts PP Fabric</t>
  </si>
  <si>
    <t>Receipts PP Sacks</t>
  </si>
  <si>
    <t>Total Receipts</t>
  </si>
  <si>
    <t>Sales MSN</t>
  </si>
  <si>
    <t>Sales TSN</t>
  </si>
  <si>
    <t>Sales Weed Mat</t>
  </si>
  <si>
    <t>Sales Mulch</t>
  </si>
  <si>
    <t>Sales PP Sacks</t>
  </si>
  <si>
    <t>Sales Total</t>
  </si>
  <si>
    <t>Consumption PP Fabric</t>
  </si>
  <si>
    <t>Consumption Shade Net</t>
  </si>
  <si>
    <t>Less:- Consumption Monofil</t>
  </si>
  <si>
    <t>Consumtion monofil</t>
  </si>
  <si>
    <t>Consumtion Shade Net</t>
  </si>
  <si>
    <t>Comsumption PP Fabric/Sacls</t>
  </si>
  <si>
    <t>Consumption Monofil</t>
  </si>
  <si>
    <t>Finace Cost</t>
  </si>
  <si>
    <t>Consumption monofil</t>
  </si>
  <si>
    <t>Mediclaim Exps</t>
  </si>
  <si>
    <t>Income Tax Exps</t>
  </si>
  <si>
    <t>Sales- Mulch Film Fabric</t>
  </si>
  <si>
    <t>Weed Mat</t>
  </si>
  <si>
    <t>Fabric Total</t>
  </si>
  <si>
    <t>Software maintenance</t>
  </si>
  <si>
    <t xml:space="preserve">       VEHICLE MAINTENANCE</t>
  </si>
  <si>
    <t>Direct Cost</t>
  </si>
  <si>
    <t>Fabrication Cost</t>
  </si>
  <si>
    <t>PPFAB</t>
  </si>
  <si>
    <t>PP Fabric Cl Stk</t>
  </si>
  <si>
    <t>Closing Stk GST 5%</t>
  </si>
  <si>
    <t>Opening Stock GST</t>
  </si>
  <si>
    <t>Commission on sales</t>
  </si>
  <si>
    <t>PP Fabric &amp; Sacks</t>
  </si>
  <si>
    <t>Monofil Sales</t>
  </si>
  <si>
    <t>Total Sales</t>
  </si>
  <si>
    <t>Yarn</t>
  </si>
  <si>
    <t>Admn</t>
  </si>
  <si>
    <t>Selling</t>
  </si>
  <si>
    <t>EBITDA</t>
  </si>
  <si>
    <t>W Cap Int</t>
  </si>
  <si>
    <t>Term Loan</t>
  </si>
  <si>
    <t>Int On Others</t>
  </si>
  <si>
    <t>FIN Cost</t>
  </si>
  <si>
    <t>DIRECT COST</t>
  </si>
  <si>
    <t>Indirect COST</t>
  </si>
  <si>
    <t>Trading</t>
  </si>
  <si>
    <t>Month</t>
  </si>
  <si>
    <t>MAY</t>
  </si>
  <si>
    <t>NOV</t>
  </si>
  <si>
    <t>DEC</t>
  </si>
  <si>
    <t>JAN</t>
  </si>
  <si>
    <t>FEB</t>
  </si>
  <si>
    <t>Consumables</t>
  </si>
  <si>
    <t>Gratuity</t>
  </si>
  <si>
    <t>Loan Processing charges</t>
  </si>
  <si>
    <t xml:space="preserve">Discount Allowed </t>
  </si>
  <si>
    <t>SFG RM (FIFO)</t>
  </si>
  <si>
    <t>FG RM (FIFO)</t>
  </si>
  <si>
    <t>Direct Y</t>
  </si>
  <si>
    <t>Fabr</t>
  </si>
  <si>
    <t>MF Sale</t>
  </si>
  <si>
    <t>Interest on PNB Housing Finance</t>
  </si>
  <si>
    <t>PNBH Int</t>
  </si>
  <si>
    <t xml:space="preserve">Gross </t>
  </si>
  <si>
    <t>Finance</t>
  </si>
  <si>
    <t>Consmpn</t>
  </si>
  <si>
    <t>Direct</t>
  </si>
  <si>
    <t>Other Inc</t>
  </si>
  <si>
    <t>Extra</t>
  </si>
  <si>
    <t>PFCO</t>
  </si>
  <si>
    <t>CGR</t>
  </si>
  <si>
    <t>Diff</t>
  </si>
  <si>
    <t>P/L</t>
  </si>
  <si>
    <t>MCF</t>
  </si>
  <si>
    <t>WM</t>
  </si>
  <si>
    <t>INH</t>
  </si>
  <si>
    <t>Misc</t>
  </si>
  <si>
    <t>Avg Overheads</t>
  </si>
  <si>
    <t>YARN</t>
  </si>
  <si>
    <t>MONTN</t>
  </si>
  <si>
    <t>FABRIC</t>
  </si>
  <si>
    <t>APRIL</t>
  </si>
  <si>
    <t>JUNE</t>
  </si>
  <si>
    <t>JULY</t>
  </si>
  <si>
    <t>AUGUST</t>
  </si>
  <si>
    <t>SEPT</t>
  </si>
  <si>
    <t>OCTO</t>
  </si>
  <si>
    <t>MARCH</t>
  </si>
  <si>
    <t>PPS</t>
  </si>
  <si>
    <t>Arrears of Tax</t>
  </si>
  <si>
    <t>`</t>
  </si>
  <si>
    <t>Bonus &amp; Exgratia</t>
  </si>
  <si>
    <t>Add: Purchase MSN</t>
  </si>
  <si>
    <t>Add: Purchase PP Sacks</t>
  </si>
  <si>
    <t>Add: Purchase Others</t>
  </si>
  <si>
    <t>Total Purchase</t>
  </si>
  <si>
    <t>GST Refund</t>
  </si>
  <si>
    <t>ITC Reversal 2018-19</t>
  </si>
  <si>
    <t>GST Reversed</t>
  </si>
  <si>
    <t xml:space="preserve">  </t>
  </si>
  <si>
    <t>Transportation charges</t>
  </si>
  <si>
    <t>RM Cons</t>
  </si>
  <si>
    <t>ITC Reversed</t>
  </si>
  <si>
    <t>Manufacturing</t>
  </si>
  <si>
    <t>Indirect W/o Fin</t>
  </si>
  <si>
    <t>Outflow</t>
  </si>
  <si>
    <t>Deprn &amp; INT</t>
  </si>
  <si>
    <t>Outwards Qty</t>
  </si>
  <si>
    <t>Amount</t>
  </si>
  <si>
    <t>Finished Goods</t>
  </si>
  <si>
    <t>WMF</t>
  </si>
  <si>
    <t>PP Woven Sacks</t>
  </si>
  <si>
    <t>Knitted Fabric 8" Red/60" D Green</t>
  </si>
  <si>
    <t>MONOFILAMENT FABRIC INSECT BAGS</t>
  </si>
  <si>
    <t>MONOFILAMENT FABRIC INSECT NET</t>
  </si>
  <si>
    <t>HDPE Monofilament Waste</t>
  </si>
  <si>
    <t>Grand total:</t>
  </si>
  <si>
    <t>Cost %</t>
  </si>
  <si>
    <t>Power</t>
  </si>
  <si>
    <t>Loss</t>
  </si>
  <si>
    <t>Profit</t>
  </si>
  <si>
    <t>STR</t>
  </si>
  <si>
    <t>Cost Of Goods Sold</t>
  </si>
  <si>
    <t>Working Cap Avg</t>
  </si>
  <si>
    <t>Avg Wcap</t>
  </si>
  <si>
    <t>Mtrl Consmd</t>
  </si>
  <si>
    <t>Stock Vary</t>
  </si>
  <si>
    <t>Admn Sellng</t>
  </si>
  <si>
    <t>Work.Cap</t>
  </si>
  <si>
    <t>Deposits</t>
  </si>
  <si>
    <t>PNBH/etc</t>
  </si>
  <si>
    <t>Name</t>
  </si>
  <si>
    <t>Nos</t>
  </si>
  <si>
    <t>CTC</t>
  </si>
  <si>
    <t>Avg</t>
  </si>
  <si>
    <t>Cost</t>
  </si>
  <si>
    <t>Operators</t>
  </si>
  <si>
    <t>Annual</t>
  </si>
  <si>
    <t>Per Mnth</t>
  </si>
  <si>
    <t>Reeling</t>
  </si>
  <si>
    <t>E Asst</t>
  </si>
  <si>
    <t>Inspection</t>
  </si>
  <si>
    <t>Warpers</t>
  </si>
  <si>
    <t>Jobbers</t>
  </si>
  <si>
    <t>MF Sales</t>
  </si>
  <si>
    <t>Winding</t>
  </si>
  <si>
    <t>Weavers</t>
  </si>
  <si>
    <t>Assts</t>
  </si>
  <si>
    <t>GMS&amp; Retd</t>
  </si>
  <si>
    <t>Office</t>
  </si>
  <si>
    <t>P2 Supervisors</t>
  </si>
  <si>
    <t>Inspection Super</t>
  </si>
  <si>
    <t>Drivers</t>
  </si>
  <si>
    <t>ADMIN</t>
  </si>
  <si>
    <t>Warp</t>
  </si>
  <si>
    <t>Analysis Of Salaries &amp; Wages 2019-20</t>
  </si>
  <si>
    <t>Source GVH Fabric Costing &amp; Yarn Costing Sheet</t>
  </si>
  <si>
    <t>Bonus</t>
  </si>
  <si>
    <t>CANTEEN EXPENSES</t>
  </si>
  <si>
    <t>Director Remunaration</t>
  </si>
  <si>
    <t>Employers Contribution to L.W.F</t>
  </si>
  <si>
    <t>EPF</t>
  </si>
  <si>
    <t>EPF ADMN Charges</t>
  </si>
  <si>
    <t>ESI</t>
  </si>
  <si>
    <t>Exgratia</t>
  </si>
  <si>
    <t>Managers Remuneration</t>
  </si>
  <si>
    <t>Salaries &amp; Wages</t>
  </si>
  <si>
    <t>Staff Welfare</t>
  </si>
  <si>
    <t>Staff Welfare 5% - 5407</t>
  </si>
  <si>
    <t>Leave Encashment</t>
  </si>
  <si>
    <t>Details</t>
  </si>
  <si>
    <t>Monthly</t>
  </si>
  <si>
    <t>%age</t>
  </si>
  <si>
    <t>Generation</t>
  </si>
  <si>
    <t xml:space="preserve">Indirect </t>
  </si>
  <si>
    <t>Discount</t>
  </si>
  <si>
    <t>Comsumption PP Fabric/Sales</t>
  </si>
  <si>
    <t>HD Sale</t>
  </si>
  <si>
    <t>Salaries &amp; Wages 2020-21</t>
  </si>
  <si>
    <t>Electricity &amp; power</t>
  </si>
  <si>
    <t>WASTE</t>
  </si>
  <si>
    <t>LABOUR</t>
  </si>
  <si>
    <t>MISC</t>
  </si>
  <si>
    <t>Building Repair &amp; Maintence Exp</t>
  </si>
  <si>
    <t>COVID LOAN Int</t>
  </si>
  <si>
    <t>Covid Int</t>
  </si>
  <si>
    <t>Total Consm</t>
  </si>
  <si>
    <t>OP</t>
  </si>
  <si>
    <t>FIN</t>
  </si>
  <si>
    <t>Income</t>
  </si>
  <si>
    <t>tarka on 27mar</t>
  </si>
  <si>
    <t>Cost Per Unit</t>
  </si>
  <si>
    <t>TOTAL SALES</t>
  </si>
  <si>
    <t>Add:Purchase TSN</t>
  </si>
  <si>
    <t>MONTH</t>
  </si>
  <si>
    <t>tax</t>
  </si>
  <si>
    <t>TCS</t>
  </si>
  <si>
    <t>Gross sales</t>
  </si>
  <si>
    <t>Receipts TSN Job Work</t>
  </si>
  <si>
    <t>Receipts Tape Shade Purchase</t>
  </si>
  <si>
    <t>Other Income</t>
  </si>
  <si>
    <t>In House Qty</t>
  </si>
  <si>
    <t>Fabricators Qty</t>
  </si>
  <si>
    <t>Qty Anly</t>
  </si>
  <si>
    <t>Misc Monofil Purchases</t>
  </si>
  <si>
    <t>Trading Expns</t>
  </si>
  <si>
    <t>Working Profit</t>
  </si>
  <si>
    <t>Yarn Processing Qty (In &amp; Out)</t>
  </si>
  <si>
    <t>CSV Report</t>
  </si>
  <si>
    <t>Costing Report</t>
  </si>
  <si>
    <t>PAL I- FINAL SALES +Less Waste  &amp; Discount</t>
  </si>
  <si>
    <t>Credit Note</t>
  </si>
  <si>
    <t>RM Trading</t>
  </si>
  <si>
    <t>Op. Expns</t>
  </si>
  <si>
    <t>Freight Outwards/Ocean Freight</t>
  </si>
  <si>
    <t>Monofil</t>
  </si>
  <si>
    <t>Fixed Cost</t>
  </si>
  <si>
    <t>Consumption -Trading</t>
  </si>
  <si>
    <t>RM Purchase for sales</t>
  </si>
  <si>
    <t>Trading Consumption</t>
  </si>
  <si>
    <t>Rm Consumption</t>
  </si>
  <si>
    <t>Monofil Consumption</t>
  </si>
  <si>
    <t>Total Generation</t>
  </si>
  <si>
    <t>Sales extract value</t>
  </si>
  <si>
    <t>Sales extract kgs</t>
  </si>
  <si>
    <t>P/L sales</t>
  </si>
  <si>
    <t>Production-JW/Sales Return</t>
  </si>
  <si>
    <t>MONOFILAMENT FABRIC  HAPPA</t>
  </si>
  <si>
    <t>Cooli &amp; Cartage</t>
  </si>
  <si>
    <t>Expns</t>
  </si>
  <si>
    <t>Sheet</t>
  </si>
  <si>
    <t>Projected</t>
  </si>
  <si>
    <t>Salary</t>
  </si>
  <si>
    <t>Cost/Kg</t>
  </si>
  <si>
    <t>WARP COSTING</t>
  </si>
  <si>
    <t>C&amp;Spares</t>
  </si>
  <si>
    <t>Labour</t>
  </si>
  <si>
    <t>Repairs</t>
  </si>
  <si>
    <t>C&amp;S</t>
  </si>
  <si>
    <t>Disp Qty</t>
  </si>
  <si>
    <t>INSPECTION &amp; DISPATCH COSTING</t>
  </si>
  <si>
    <t>Cl Stock</t>
  </si>
  <si>
    <t>Manufacturing SFG/FG</t>
  </si>
  <si>
    <t>Trading SFG/FG</t>
  </si>
  <si>
    <t>Audit Fees GST</t>
  </si>
  <si>
    <t>Interest on Unsecured Loans (Monthly)</t>
  </si>
  <si>
    <t>OCT</t>
  </si>
  <si>
    <t>Fluctuation In Foreign Currency</t>
  </si>
  <si>
    <t>EBS</t>
  </si>
  <si>
    <t>Bank Cl Stk Value</t>
  </si>
  <si>
    <t>Fabrication charges</t>
  </si>
  <si>
    <t>Yarn Processing charges</t>
  </si>
  <si>
    <t>Freight Inward</t>
  </si>
  <si>
    <t>Power Bill</t>
  </si>
  <si>
    <t>R &amp; M-Machinery</t>
  </si>
  <si>
    <t>R &amp; M-Electricals</t>
  </si>
  <si>
    <t>Packing charges</t>
  </si>
  <si>
    <t>Employees welfare exp</t>
  </si>
  <si>
    <t>Directors Remuneration</t>
  </si>
  <si>
    <t>Admn Expns</t>
  </si>
  <si>
    <t>Selling Expns</t>
  </si>
  <si>
    <t>Working Capital-OCC</t>
  </si>
  <si>
    <t>Working Capital-LC</t>
  </si>
  <si>
    <t>Finance Cost-Int On Deposits</t>
  </si>
  <si>
    <t>Working Capital-Bank Charges</t>
  </si>
  <si>
    <t>FIXED EXPNS</t>
  </si>
  <si>
    <t>VARIABLE &amp; DIRECT EXPNS</t>
  </si>
  <si>
    <t>Wages-Yarn</t>
  </si>
  <si>
    <t>Wages-Fabric</t>
  </si>
  <si>
    <t>SFG-Yarn</t>
  </si>
  <si>
    <t xml:space="preserve">%age </t>
  </si>
  <si>
    <t>RM Sales</t>
  </si>
  <si>
    <t>Overheads</t>
  </si>
  <si>
    <t xml:space="preserve"> Total Monofil</t>
  </si>
  <si>
    <t>Less Fabrn</t>
  </si>
  <si>
    <t>PRIYADARSHINI FILAMENTS PVT LTD</t>
  </si>
  <si>
    <t>DESPATCH KGS, SALES KGS SALARY AND OTHER DETAILS APRIL2022-MARCH2023</t>
  </si>
  <si>
    <t>UNITS</t>
  </si>
  <si>
    <t>UNIT1</t>
  </si>
  <si>
    <t>UNIT3</t>
  </si>
  <si>
    <t>UNIT4</t>
  </si>
  <si>
    <t>TRNSFR</t>
  </si>
  <si>
    <t>SALES</t>
  </si>
  <si>
    <t>SALARY RS.</t>
  </si>
  <si>
    <t>POWER</t>
  </si>
  <si>
    <t>Consmbls</t>
  </si>
  <si>
    <t>Transfer</t>
  </si>
  <si>
    <t xml:space="preserve">SALES </t>
  </si>
  <si>
    <t>DESPATCH KGS, SALES KGS SALARY AND OTHER DETAILS APRIL 2023-MARCH 2024</t>
  </si>
  <si>
    <t>Interest to others (VSL)</t>
  </si>
  <si>
    <t>Wages-Inspection &amp; Dispatch</t>
  </si>
  <si>
    <t>Wages</t>
  </si>
  <si>
    <t>Trading RM</t>
  </si>
  <si>
    <t xml:space="preserve">RM </t>
  </si>
  <si>
    <t>Mono Yarn</t>
  </si>
  <si>
    <t>Mono Fab</t>
  </si>
  <si>
    <t>Trd</t>
  </si>
  <si>
    <t>Interest On Term Loan</t>
  </si>
  <si>
    <t>RM CONSUMPTION</t>
  </si>
  <si>
    <t>COGS -HD</t>
  </si>
  <si>
    <t>COGS- MB/CP</t>
  </si>
  <si>
    <t>Consumption HDPE</t>
  </si>
  <si>
    <t>Consumption MB</t>
  </si>
  <si>
    <t>Consumption CP</t>
  </si>
  <si>
    <t>Add:- Consumables</t>
  </si>
  <si>
    <t>Monofil Purchases</t>
  </si>
  <si>
    <t>Add:- Purchases HD</t>
  </si>
  <si>
    <t>Add:- Purchases MB</t>
  </si>
  <si>
    <t>Add:- Purchases CP</t>
  </si>
  <si>
    <t>Add:- Purchase Trading</t>
  </si>
  <si>
    <t>Less :- RM Sales</t>
  </si>
  <si>
    <t>Consumption Trading</t>
  </si>
  <si>
    <t>Consumption RM</t>
  </si>
  <si>
    <t>MONOFIL CONSUMPTION</t>
  </si>
  <si>
    <t>FG-Fabric</t>
  </si>
  <si>
    <t>Op Stock</t>
  </si>
  <si>
    <t>Total Diff in Stocks</t>
  </si>
  <si>
    <t>Difference in Stocks</t>
  </si>
  <si>
    <t>Difference in stocks</t>
  </si>
  <si>
    <t>Trading SaleS</t>
  </si>
  <si>
    <t>PAL II</t>
  </si>
  <si>
    <t>HMT</t>
  </si>
  <si>
    <t>CRK</t>
  </si>
  <si>
    <t>RM Total</t>
  </si>
  <si>
    <t>Yarn Factory</t>
  </si>
  <si>
    <t>Yarn Fabrctr</t>
  </si>
  <si>
    <t>Yarn Total</t>
  </si>
  <si>
    <t>PP Fab</t>
  </si>
  <si>
    <t>Tarka-&gt;</t>
  </si>
  <si>
    <t>Waste Income</t>
  </si>
  <si>
    <t>Variable-Yarn Cost</t>
  </si>
  <si>
    <t>Variable-Fabric Cost</t>
  </si>
  <si>
    <t>Medical Exps</t>
  </si>
  <si>
    <t>Salaries Office</t>
  </si>
  <si>
    <t>Operating Expenses</t>
  </si>
  <si>
    <t>Fixed Expenses</t>
  </si>
  <si>
    <t>OP Profit</t>
  </si>
  <si>
    <t>Gross Profit</t>
  </si>
  <si>
    <t>Variable-Trading</t>
  </si>
  <si>
    <t>Repairs &amp; Service Charges</t>
  </si>
  <si>
    <t>Packing Materials / Old use Batteries</t>
  </si>
  <si>
    <t xml:space="preserve"> Freight charges</t>
  </si>
  <si>
    <t>YTD</t>
  </si>
  <si>
    <t>MF Purchse</t>
  </si>
  <si>
    <t>PAL 1</t>
  </si>
  <si>
    <t>Rm</t>
  </si>
  <si>
    <t>SFG</t>
  </si>
  <si>
    <t>FG</t>
  </si>
  <si>
    <t>Stk frm Tarka as om 01 Apr(Srp)</t>
  </si>
  <si>
    <t>Physical</t>
  </si>
  <si>
    <t>R/o</t>
  </si>
  <si>
    <t>MTR Return</t>
  </si>
  <si>
    <t>Extra Wt Phys</t>
  </si>
  <si>
    <t>R?o</t>
  </si>
  <si>
    <t>Table of Contents</t>
  </si>
  <si>
    <t>Emplys</t>
  </si>
  <si>
    <t>TRNSFR IN KGS</t>
  </si>
  <si>
    <t>SALES IN KGS</t>
  </si>
  <si>
    <t>FY22-23</t>
  </si>
  <si>
    <t>FY23-24</t>
  </si>
  <si>
    <t>Tally (Apr 24</t>
  </si>
  <si>
    <t>MONOFIL SFG &amp; FG</t>
  </si>
  <si>
    <t>PP Fabric</t>
  </si>
  <si>
    <t>WMT</t>
  </si>
  <si>
    <t>Sale of Asset Etc</t>
  </si>
  <si>
    <t>Srp</t>
  </si>
  <si>
    <t>S Dr</t>
  </si>
  <si>
    <t>LC &amp; Cr</t>
  </si>
  <si>
    <t>Flexible Intermediate Bulk Container</t>
  </si>
  <si>
    <t>Installation &amp; Programming Charges</t>
  </si>
  <si>
    <t>Add:- Purchases Yarn</t>
  </si>
  <si>
    <t>Purchase Fabric</t>
  </si>
  <si>
    <t>Purchase Consumables</t>
  </si>
  <si>
    <t>Total Purchases</t>
  </si>
  <si>
    <t>Tempo 6749</t>
  </si>
  <si>
    <t>Leyland 8979</t>
  </si>
  <si>
    <t>SantaFe</t>
  </si>
  <si>
    <t>Tata 407</t>
  </si>
  <si>
    <t>Ertiga</t>
  </si>
  <si>
    <t>Celerio</t>
  </si>
  <si>
    <t>Brezza</t>
  </si>
  <si>
    <t>Veh Expns</t>
  </si>
  <si>
    <t>Hyundai I10</t>
  </si>
  <si>
    <t>Hyundai I20</t>
  </si>
  <si>
    <t>Remarks</t>
  </si>
  <si>
    <t>1 Reconcile sheet is comapring Tally Inventory with Tarka</t>
  </si>
  <si>
    <t>3.Qty Analysis is Made by Accounts dept</t>
  </si>
  <si>
    <t>2.Review Purchase sheet is redundnt Started to compare Purchases &amp; reconcile</t>
  </si>
  <si>
    <t>4. Input -Purchase comes from Tally</t>
  </si>
  <si>
    <t>5.Input-Dirct Expns from Tally</t>
  </si>
  <si>
    <t>6.Input-Indirect Expns from Tally</t>
  </si>
  <si>
    <t>7.Input-Stock Vauation from Tally</t>
  </si>
  <si>
    <t>8.Input-Inventory Sales Recobciles Gross Sales to Net Sales</t>
  </si>
  <si>
    <t>9.Output- Cost OF Good Sold (COGS)</t>
  </si>
  <si>
    <t>10.Output-PAL1 Gross P&amp; L compares  with Tally P&amp; L fro data Validation with Quantities</t>
  </si>
  <si>
    <t>11.Output_Trading PL is checking on Trading monthly performance</t>
  </si>
  <si>
    <t>12.Output PAL II- Break up of PAL I Manufacturing Vs Trading</t>
  </si>
  <si>
    <t>13. OUTPUT -YTD reconiiles Finamncial performance of Prodcution Vs Trading in Monofil ament as well as Raw Material Sales and other Trading to see which margein ids better</t>
  </si>
  <si>
    <t>14,15,16,17 OUTPUT from abve sheets for MIS understanding</t>
  </si>
  <si>
    <t>Qtrly Int.</t>
  </si>
  <si>
    <t>Sales PP Woven  Fabrics/KF</t>
  </si>
  <si>
    <t>Master Batch</t>
  </si>
  <si>
    <t>Add:- Purchases Monofil Yarn</t>
  </si>
  <si>
    <t>Add:- Purchases Monofil Fab</t>
  </si>
  <si>
    <r>
      <t>Incr/</t>
    </r>
    <r>
      <rPr>
        <sz val="11"/>
        <color rgb="FFFF0000"/>
        <rFont val="Trebuchet MS"/>
        <family val="2"/>
      </rPr>
      <t>(Decr)</t>
    </r>
    <r>
      <rPr>
        <sz val="11"/>
        <rFont val="Trebuchet MS"/>
        <family val="2"/>
      </rPr>
      <t>Stk</t>
    </r>
  </si>
  <si>
    <t>Fixed  Expns Break up</t>
  </si>
  <si>
    <t>Salaries</t>
  </si>
  <si>
    <t>Interest</t>
  </si>
  <si>
    <t>Deprnn</t>
  </si>
  <si>
    <t>RCM Freight paid</t>
  </si>
  <si>
    <t>Total CONSUMPTION Priyafil</t>
  </si>
  <si>
    <t>Source: Comsumption Sheet</t>
  </si>
  <si>
    <t>Source Direct Expenses Sheet</t>
  </si>
  <si>
    <t>NWF/Yarn / Twisted Yarn</t>
  </si>
  <si>
    <t xml:space="preserve">      Contract/Consultancy Service Chrgs 18%</t>
  </si>
  <si>
    <t>OP Stock</t>
  </si>
  <si>
    <t>Purchase MonoFil</t>
  </si>
  <si>
    <t>Sales RM</t>
  </si>
  <si>
    <t>Yarn Sold</t>
  </si>
  <si>
    <t>Fabric Purchased</t>
  </si>
  <si>
    <t>SIRCILLA YARN SALES AND FABRIC PURCHASE FOR THE YEAR 2024-2025</t>
  </si>
  <si>
    <t>Qty(Kgs)</t>
  </si>
  <si>
    <t>Qty(Mtrs)</t>
  </si>
  <si>
    <t>Quantitative Analysis of Raw Materials for the Financial Year 2025-26</t>
  </si>
  <si>
    <t>Fabrication Charges-M/H &amp; TN</t>
  </si>
  <si>
    <t xml:space="preserve">Weed Mat </t>
  </si>
  <si>
    <t>Colour Pigment</t>
  </si>
  <si>
    <t>PFCO-TRADING 2025-26</t>
  </si>
  <si>
    <t>Stock Details- 2025-26</t>
  </si>
  <si>
    <t>Apr 25-Mar 26</t>
  </si>
  <si>
    <t>Revenue Growth</t>
  </si>
  <si>
    <t>Gross Margin</t>
  </si>
  <si>
    <t>Current Ratio</t>
  </si>
  <si>
    <t>DIO+DSO-DPO</t>
  </si>
  <si>
    <t>EPS</t>
  </si>
  <si>
    <t>Net Income/Shares</t>
  </si>
  <si>
    <t>PE Ratio</t>
  </si>
  <si>
    <t>EV</t>
  </si>
  <si>
    <t>DIO</t>
  </si>
  <si>
    <t>Days Inventory Outstanding</t>
  </si>
  <si>
    <t>((Op Inventory + Closing Inventor)/2)/COGS X Days</t>
  </si>
  <si>
    <t>DSO</t>
  </si>
  <si>
    <t>Sundry Debtors/Total Sales X Days</t>
  </si>
  <si>
    <t>DPO</t>
  </si>
  <si>
    <t>Days Payable Outstanding</t>
  </si>
  <si>
    <t>Sundry Creditors/Total Sales X Days</t>
  </si>
  <si>
    <t>Shares</t>
  </si>
  <si>
    <t>Sundry Debtors</t>
  </si>
  <si>
    <t>Sundry Creditors</t>
  </si>
  <si>
    <t>Current Assets</t>
  </si>
  <si>
    <t>FIFO Sheet-&gt;</t>
  </si>
  <si>
    <t>Agro Tech Fab-Apr'25 treated Tarding in tally-Rope UVS</t>
  </si>
  <si>
    <t>Finance Cost-Int On Term Loan</t>
  </si>
  <si>
    <t>Lab Testing Charges</t>
  </si>
  <si>
    <t>Monofilament Shade Net -MSN</t>
  </si>
  <si>
    <t>Tape Shade Net-TSN</t>
  </si>
  <si>
    <t>Miscellaneous</t>
  </si>
  <si>
    <t>PP Sacks &amp; Fabric</t>
  </si>
  <si>
    <t>Consumption (Issue to Fabr..)</t>
  </si>
  <si>
    <t>Less:Sales</t>
  </si>
  <si>
    <t>Consumption Details</t>
  </si>
  <si>
    <t>Trading Ac</t>
  </si>
  <si>
    <t>Sales PP Fabric/Knitted</t>
  </si>
  <si>
    <t>Less:- Monofil Trading Sales</t>
  </si>
  <si>
    <t>Monofil Produced Sale</t>
  </si>
  <si>
    <t>Generation From RM Trading</t>
  </si>
  <si>
    <t>Generation From Other Trading</t>
  </si>
  <si>
    <t>Trading RM Consumption Cost</t>
  </si>
  <si>
    <t>Monofil Generation</t>
  </si>
  <si>
    <t>Monofil Expns Yarn</t>
  </si>
  <si>
    <t>Monofil Expns Fabric</t>
  </si>
  <si>
    <t>Other Trading Expns</t>
  </si>
  <si>
    <t>Variable-Finance</t>
  </si>
  <si>
    <t>Finance Cost Incl WC</t>
  </si>
  <si>
    <t xml:space="preserve">EBITDA </t>
  </si>
  <si>
    <t>Total OP. Profit</t>
  </si>
  <si>
    <t>OP Profit from Monofil</t>
  </si>
  <si>
    <t>OP Profit from RM Trading</t>
  </si>
  <si>
    <t>OP Profit from Misc Trading</t>
  </si>
  <si>
    <t>PBT</t>
  </si>
  <si>
    <t>TALLY PROFIT</t>
  </si>
  <si>
    <t>Monofil Generation from Trading Yarn</t>
  </si>
  <si>
    <t>Monofil Generation from Trading Fabric</t>
  </si>
  <si>
    <t>Difference in Inventory</t>
  </si>
  <si>
    <t>Monofil Generation From Production</t>
  </si>
  <si>
    <t>Sales Monofil From Production</t>
  </si>
  <si>
    <t>Sales Monofil from Trading Yarn</t>
  </si>
  <si>
    <t>Sales Monofil from Trading Fabric</t>
  </si>
  <si>
    <t>Sales Trading Others</t>
  </si>
  <si>
    <t>HD -Discount</t>
  </si>
  <si>
    <t>RM -Disc</t>
  </si>
  <si>
    <t>Trading Purchase</t>
  </si>
  <si>
    <t>PAL I Consumption</t>
  </si>
  <si>
    <t>Total Consumption</t>
  </si>
  <si>
    <t>Purchase RM</t>
  </si>
  <si>
    <t>Op stock RM</t>
  </si>
  <si>
    <t>Cl Stock RM</t>
  </si>
  <si>
    <t>PFCo  Consumption</t>
  </si>
  <si>
    <t>Total Expns Tally</t>
  </si>
  <si>
    <t>Total Variable</t>
  </si>
  <si>
    <t>RM Consumption Cost</t>
  </si>
  <si>
    <t>PAL I-&gt;</t>
  </si>
  <si>
    <t>TOTAL SALES-&gt;</t>
  </si>
  <si>
    <t>Monofil Purchase Yarn</t>
  </si>
  <si>
    <t>Monofil Purchase Fabric</t>
  </si>
  <si>
    <t>Monofil Fabric Sales</t>
  </si>
  <si>
    <t>Gross Profit from PAL I</t>
  </si>
  <si>
    <t>GP</t>
  </si>
  <si>
    <t>NP</t>
  </si>
  <si>
    <t>From Monofil Production</t>
  </si>
  <si>
    <t>From Misc Trading</t>
  </si>
  <si>
    <t>From Other Income</t>
  </si>
  <si>
    <t>Stock Difference Monofil</t>
  </si>
  <si>
    <t>Stock DifferenceTrading</t>
  </si>
  <si>
    <t>Total Stock Difference</t>
  </si>
  <si>
    <t>From Monofil Trading Fabric</t>
  </si>
  <si>
    <t>From RM  Sales</t>
  </si>
  <si>
    <t>Profitability</t>
  </si>
  <si>
    <t>Previous Fin Year-PFY, Current Fin Year-CFY</t>
  </si>
  <si>
    <t>GP/Sales</t>
  </si>
  <si>
    <t>Gross Profit/Sales Revenue</t>
  </si>
  <si>
    <t>GP-OPExpns+ Deprn</t>
  </si>
  <si>
    <t>OP Expne=Overheads, Deprn=Depreciation</t>
  </si>
  <si>
    <t>Net Margin</t>
  </si>
  <si>
    <t>EBITDA-Fin Expns &amp; Deprn</t>
  </si>
  <si>
    <t>Fin Expns (Int on Work. Cap &amp; Long term Borrowings)</t>
  </si>
  <si>
    <t>Liquidity</t>
  </si>
  <si>
    <t>CCC</t>
  </si>
  <si>
    <t>Cash Conversion Cycle</t>
  </si>
  <si>
    <t>Days sales Outstanding</t>
  </si>
  <si>
    <t>Current Assets-Current Liabilty</t>
  </si>
  <si>
    <t>&gt; 1 Healthy,&lt;1 Liquidity Issues</t>
  </si>
  <si>
    <t>Quick Ratio</t>
  </si>
  <si>
    <t>Quick Assets-Current Liability</t>
  </si>
  <si>
    <t>Current Asset-Invenotry/ Current Liabilities</t>
  </si>
  <si>
    <t>Leverage</t>
  </si>
  <si>
    <t>Debt Equity</t>
  </si>
  <si>
    <t>Total Debt/Shareholders Equity</t>
  </si>
  <si>
    <t>&lt; 1 Acceptable,&gt;1 High Leverage,Potential risk</t>
  </si>
  <si>
    <t>Debt Coverage</t>
  </si>
  <si>
    <t>EBITDA/(Total Debt+Int)</t>
  </si>
  <si>
    <t>&gt; 1 indicates Sufficient Income,&lt;1 Potential difficulties</t>
  </si>
  <si>
    <t>Interest Coverage</t>
  </si>
  <si>
    <t>EBITDA/Interest</t>
  </si>
  <si>
    <t>&gt;1.5 =Healthy, &lt;1=Challenges</t>
  </si>
  <si>
    <t>Market Metrics</t>
  </si>
  <si>
    <t>To Know Profitability &amp; Growth</t>
  </si>
  <si>
    <t>Share Price/EPS</t>
  </si>
  <si>
    <t>High PE -Healthy,Low PE -Undervaluation Or Low Growth</t>
  </si>
  <si>
    <t>Enterprise Value</t>
  </si>
  <si>
    <t>2025-26</t>
  </si>
  <si>
    <t>(PFM-CFM)/PFM</t>
  </si>
  <si>
    <t>Cash Flow Summary Month Wise FY25-26</t>
  </si>
  <si>
    <t/>
  </si>
  <si>
    <t>Inflow of Cash :</t>
  </si>
  <si>
    <t>Current Liabilities</t>
  </si>
  <si>
    <t>Duties &amp; Taxes</t>
  </si>
  <si>
    <t>Advance &amp; Deposits  (Liabilities)</t>
  </si>
  <si>
    <t>Deposits (Asset)</t>
  </si>
  <si>
    <t>Loans &amp; Advances (Asset)</t>
  </si>
  <si>
    <t>Indirect Incomes</t>
  </si>
  <si>
    <t>Outflow of Cash :</t>
  </si>
  <si>
    <t>Loans (Liability)</t>
  </si>
  <si>
    <t>Unsecured Loans From Share Holders</t>
  </si>
  <si>
    <t>ICICI Bank ILC A/c</t>
  </si>
  <si>
    <t>Vehicle Loan</t>
  </si>
  <si>
    <t>Statutory Liabilities</t>
  </si>
  <si>
    <t>Outstanding Expenses</t>
  </si>
  <si>
    <t>Nett Inflow</t>
  </si>
  <si>
    <t>Operating Inflow</t>
  </si>
  <si>
    <t>Financing Inflow</t>
  </si>
  <si>
    <t>Financing Outflow</t>
  </si>
  <si>
    <t>Investing Inflow</t>
  </si>
  <si>
    <t>Investing Outflow</t>
  </si>
  <si>
    <t>Balance Sheet</t>
  </si>
  <si>
    <t>Apr- Mar</t>
  </si>
  <si>
    <t>Sources of Funds:</t>
  </si>
  <si>
    <t>Capital Account</t>
  </si>
  <si>
    <t>Directors/Shareholders Deposit</t>
  </si>
  <si>
    <t>Share Application Money (P.A)</t>
  </si>
  <si>
    <t>Share Capital</t>
  </si>
  <si>
    <t>Reserves &amp; Surplus</t>
  </si>
  <si>
    <t>Bank OD A/c</t>
  </si>
  <si>
    <t>Secured Loans</t>
  </si>
  <si>
    <t>Canara Bank ILC A/c</t>
  </si>
  <si>
    <t>Term Loans</t>
  </si>
  <si>
    <t>Deferred Tax Liability</t>
  </si>
  <si>
    <t>Loans &amp; Advances (Liabilities)</t>
  </si>
  <si>
    <t>Profit &amp; Loss A/c</t>
  </si>
  <si>
    <t>Opening Balance</t>
  </si>
  <si>
    <t>Current Period</t>
  </si>
  <si>
    <t>Application of Funds:</t>
  </si>
  <si>
    <t>Fixed Assets</t>
  </si>
  <si>
    <t>Motor Vehicles</t>
  </si>
  <si>
    <t>Intangible Assets</t>
  </si>
  <si>
    <t>Office Equipments</t>
  </si>
  <si>
    <t>Plant &amp; Machinery</t>
  </si>
  <si>
    <t>Depreciation - Reserve</t>
  </si>
  <si>
    <t>Electrical &amp; Electrical Fittings</t>
  </si>
  <si>
    <t>Furniture &amp; Fixtures</t>
  </si>
  <si>
    <t>Investments</t>
  </si>
  <si>
    <t>Deferred Tax Assets</t>
  </si>
  <si>
    <t>Loans &amp; Advances</t>
  </si>
  <si>
    <t>Cash-in-hand</t>
  </si>
  <si>
    <t>Bank Accounts</t>
  </si>
  <si>
    <t>GST Receivable</t>
  </si>
  <si>
    <t>Funds Flow Statement</t>
  </si>
  <si>
    <t>Capital</t>
  </si>
  <si>
    <t>No of Shares</t>
  </si>
  <si>
    <t>Deposit</t>
  </si>
  <si>
    <t>Dep</t>
  </si>
  <si>
    <t>Int</t>
  </si>
  <si>
    <t>Reserves</t>
  </si>
  <si>
    <t>USL Others</t>
  </si>
  <si>
    <t>VRP</t>
  </si>
  <si>
    <t>Prabhudham</t>
  </si>
  <si>
    <t>SRP</t>
  </si>
  <si>
    <t>Our Funds</t>
  </si>
  <si>
    <t xml:space="preserve"> Cap + Reserve</t>
  </si>
  <si>
    <t>KDK</t>
  </si>
  <si>
    <t>KRK</t>
  </si>
  <si>
    <t>Months</t>
  </si>
  <si>
    <t>Total Funds Employed</t>
  </si>
  <si>
    <t>Liabilities</t>
  </si>
  <si>
    <t>Balance</t>
  </si>
  <si>
    <t>Actuals Left Over Promoters Funds</t>
  </si>
  <si>
    <t>PUP</t>
  </si>
  <si>
    <t>Bank</t>
  </si>
  <si>
    <t>Other</t>
  </si>
  <si>
    <t>Depositors</t>
  </si>
  <si>
    <t>Settlement</t>
  </si>
  <si>
    <t>OOB</t>
  </si>
  <si>
    <t>Cumulative</t>
  </si>
  <si>
    <t>OTHERS</t>
  </si>
  <si>
    <t>Emp Liability</t>
  </si>
  <si>
    <t>Acturial</t>
  </si>
  <si>
    <t>Priyafil</t>
  </si>
  <si>
    <t>FY 23-24</t>
  </si>
  <si>
    <t>As on 160425</t>
  </si>
  <si>
    <t>Leave</t>
  </si>
  <si>
    <t>CANHSBC</t>
  </si>
  <si>
    <t>To be updated</t>
  </si>
  <si>
    <t>Net Liab</t>
  </si>
  <si>
    <t>Insurance</t>
  </si>
  <si>
    <t>l</t>
  </si>
  <si>
    <t>ANTI BIRD NET / Rope/MULCH/FIBC</t>
  </si>
  <si>
    <t>Monofil Trading Yarn</t>
  </si>
  <si>
    <t>Monofil Trading Fabric</t>
  </si>
  <si>
    <t>Purchase Yarn</t>
  </si>
  <si>
    <t>Purchase-Fabric+ Cons</t>
  </si>
  <si>
    <t>COGS Monofil</t>
  </si>
  <si>
    <t>COGS Misc Trading</t>
  </si>
  <si>
    <t>NET Profit From PAL I-&gt;</t>
  </si>
  <si>
    <t>NET PROFIT From Above-&gt;</t>
  </si>
  <si>
    <t>Operating Expns  Sal/Adm/Sell</t>
  </si>
  <si>
    <t>Nett Profit</t>
  </si>
  <si>
    <t>Office Salaries</t>
  </si>
  <si>
    <t>Operating Profit/EBIT</t>
  </si>
  <si>
    <t>Liquidity Ratio</t>
  </si>
  <si>
    <t>P &amp; L Point</t>
  </si>
  <si>
    <t>1. Current Asset /Current  Liabilities</t>
  </si>
  <si>
    <t>1.5-2.0</t>
  </si>
  <si>
    <t>1. Revenue</t>
  </si>
  <si>
    <t>Look for +ve Groth Rate</t>
  </si>
  <si>
    <t>2. Current Asset-Inventory/Current Liabilities</t>
  </si>
  <si>
    <t>1.0-1.2</t>
  </si>
  <si>
    <t>2. COGS</t>
  </si>
  <si>
    <t>Calc % of Revenue, Higher means Production is faster than Pricing</t>
  </si>
  <si>
    <t>3.Gross Margin</t>
  </si>
  <si>
    <t>Increased GP means Pricing Power &amp; Cost Control</t>
  </si>
  <si>
    <t>4.Salaries</t>
  </si>
  <si>
    <t>Higer Salary than Revenue means Less Effeciency in Costs</t>
  </si>
  <si>
    <t>3. Gross Profit/Income X 100</t>
  </si>
  <si>
    <t>20%-30%</t>
  </si>
  <si>
    <t>5.Selling &amp; Marketing Cost</t>
  </si>
  <si>
    <t>Cost increase should indicate increase in Revenue</t>
  </si>
  <si>
    <t>4. Net Profit/Income X 100</t>
  </si>
  <si>
    <t>9%-10%</t>
  </si>
  <si>
    <t>6.General &amp; Admn</t>
  </si>
  <si>
    <t>Increase YOY means higher overheads</t>
  </si>
  <si>
    <t>7.EBITDA</t>
  </si>
  <si>
    <t>Focus on Operation Performance,Compare with Peers</t>
  </si>
  <si>
    <t>Effeciency Ratio</t>
  </si>
  <si>
    <t>8.Deprn &amp; Amort</t>
  </si>
  <si>
    <t>Asesses Life of Assets</t>
  </si>
  <si>
    <t>5.Inventory Turnover Ratio=COGS/ Avg.Inventory</t>
  </si>
  <si>
    <t>4-6</t>
  </si>
  <si>
    <t>9.Interest</t>
  </si>
  <si>
    <t>Anaylse trend</t>
  </si>
  <si>
    <t>10. PBT</t>
  </si>
  <si>
    <t>Evaluate Op Leverage,Compare F=Growth Rate of Revenue to PBT&amp; Profitability Trend</t>
  </si>
  <si>
    <t>Solvency Ratio</t>
  </si>
  <si>
    <t>11.Tax</t>
  </si>
  <si>
    <t>Unerstand efficient Tax rate, If Fluctuating Why? Whar are the incentives?</t>
  </si>
  <si>
    <t>6. Debt Equity Ratio=Total Debt/SH Equity</t>
  </si>
  <si>
    <t>0.5-1.5</t>
  </si>
  <si>
    <t>12.NP</t>
  </si>
  <si>
    <t>Net Income/Revenue,compare over time</t>
  </si>
  <si>
    <t>7. ICR=EBIT/Interest Expns</t>
  </si>
  <si>
    <t>2.0-3.0</t>
  </si>
  <si>
    <t>Balance Sheet Points</t>
  </si>
  <si>
    <t>Market Ratio</t>
  </si>
  <si>
    <t xml:space="preserve">1.Current Assets </t>
  </si>
  <si>
    <t>Work.Cap to assess Co's Liquidity</t>
  </si>
  <si>
    <t>8.(Market Price/Share)/EPS</t>
  </si>
  <si>
    <t>2. Cash</t>
  </si>
  <si>
    <t>Cash to Short Term liabilities to revoew str</t>
  </si>
  <si>
    <t>9.Price to Book Ratio=(Mkt Price/Biz Value)/Share</t>
  </si>
  <si>
    <t>1-3</t>
  </si>
  <si>
    <t>3.Ac.Recievables</t>
  </si>
  <si>
    <t>DSO helps in asssessing How quickly Inventory to Cash</t>
  </si>
  <si>
    <t>10. Dividend Yield=(Ann Dividend/Share)/(Price/Share)</t>
  </si>
  <si>
    <t>4.Inventory</t>
  </si>
  <si>
    <t>DIO Same as above</t>
  </si>
  <si>
    <t>5. Fixed Assets</t>
  </si>
  <si>
    <t>To assess fair value price of Tangible&amp; Intangibles</t>
  </si>
  <si>
    <t>Growth Ratio</t>
  </si>
  <si>
    <t>6. Current Liabilities</t>
  </si>
  <si>
    <t>For Liquidity Purposes</t>
  </si>
  <si>
    <t>Earnings Growth Rate=(CY NP-LY NP)/LY NP</t>
  </si>
  <si>
    <t>+Ve</t>
  </si>
  <si>
    <t>7.Ac Payable</t>
  </si>
  <si>
    <t>DPO to track paymemt to vendors</t>
  </si>
  <si>
    <t>Revenue Growth Rate=CY Inc-LY Inc)/LY Inc</t>
  </si>
  <si>
    <t>8.Short Term Debt</t>
  </si>
  <si>
    <t>To Keep a check on Co's ability to pay</t>
  </si>
  <si>
    <t>9.Non Current Debt</t>
  </si>
  <si>
    <t>Evaluate Debt Equity to determine Solvency</t>
  </si>
  <si>
    <t>DIO=Avg Inventory/COGS X Days</t>
  </si>
  <si>
    <t>10. Equity</t>
  </si>
  <si>
    <t>To evaluate stability Equity/Debt &amp; ROE-Net Profit/Equity</t>
  </si>
  <si>
    <t>DSO=Sundry Debtors/Sales X No Of days</t>
  </si>
  <si>
    <t>DPO=Sundry Creditor/Sales X No  of Days</t>
  </si>
  <si>
    <t>CCC= (DIO+DSO)-DPO</t>
  </si>
  <si>
    <t>Days</t>
  </si>
  <si>
    <t>Total Assets</t>
  </si>
  <si>
    <t>Mar 25 Rev</t>
  </si>
  <si>
    <t>B</t>
  </si>
  <si>
    <t>Volatility (Beta)</t>
  </si>
  <si>
    <t>Rd</t>
  </si>
  <si>
    <t>Market Rate</t>
  </si>
  <si>
    <t>Re</t>
  </si>
  <si>
    <t>Cost Of Equity</t>
  </si>
  <si>
    <t>Re=Rf + [Be x (Rm-Rf)]</t>
  </si>
  <si>
    <t>WACC</t>
  </si>
  <si>
    <t>[(E/V)xRe] + [(D/V)xRdx(1-Tc)]</t>
  </si>
  <si>
    <t>Last Qtr FY24-25</t>
  </si>
  <si>
    <t>FY 24-25</t>
  </si>
  <si>
    <t>Rf-Fair Rate</t>
  </si>
  <si>
    <t>Govt Bonds</t>
  </si>
  <si>
    <t>Market Cap+Total Debt-Cash &amp; Cash Equivalents</t>
  </si>
  <si>
    <t>Finance Cost</t>
  </si>
  <si>
    <t>Market CAP+Debt - Cash</t>
  </si>
  <si>
    <t>Debt Rate</t>
  </si>
  <si>
    <t>OCF</t>
  </si>
  <si>
    <t>Nett+Dep+WC Change</t>
  </si>
  <si>
    <t>DCF</t>
  </si>
  <si>
    <t>FY 25-26          P &amp; L</t>
  </si>
  <si>
    <t>FY25-26</t>
  </si>
  <si>
    <t>Share Value</t>
  </si>
  <si>
    <t>KPB</t>
  </si>
  <si>
    <t>RRG</t>
  </si>
  <si>
    <t>VRG</t>
  </si>
  <si>
    <t>TOTAL TRADING PURCHASES</t>
  </si>
  <si>
    <t>Other Purchases</t>
  </si>
  <si>
    <t>Add: Weed Mat</t>
  </si>
  <si>
    <t>Porchase Others</t>
  </si>
  <si>
    <t>Trading Total</t>
  </si>
  <si>
    <t>Total Consmpn  Priyafil</t>
  </si>
  <si>
    <t>MONOFIL TOTAL</t>
  </si>
  <si>
    <t>Mono Fabric Pur</t>
  </si>
  <si>
    <t>Yarn Purchase</t>
  </si>
  <si>
    <t>Monofil Fabric Purchase</t>
  </si>
  <si>
    <t>Sales- Mono Shade Net MSN</t>
  </si>
  <si>
    <t>Sales- Tape Shade Net  TSN</t>
  </si>
  <si>
    <t>Sales-Weed Mat Fabrics</t>
  </si>
  <si>
    <t>Apr 25</t>
  </si>
  <si>
    <t>May 25</t>
  </si>
  <si>
    <t>Jun 25</t>
  </si>
  <si>
    <t>Jul 25</t>
  </si>
  <si>
    <t>Aug 25</t>
  </si>
  <si>
    <t>Apr 25  to Mar 26</t>
  </si>
  <si>
    <t>F N F Sales</t>
  </si>
  <si>
    <t>INTERSTATE SALES</t>
  </si>
  <si>
    <t>LOCAL SALES</t>
  </si>
  <si>
    <t>M C F Sales</t>
  </si>
  <si>
    <t>Other Sales</t>
  </si>
  <si>
    <t>Sales Trading</t>
  </si>
  <si>
    <t>Trading Sales</t>
  </si>
  <si>
    <t>Discount Allowed</t>
  </si>
  <si>
    <t>Interstate Sales</t>
  </si>
  <si>
    <t>Intra State Sales</t>
  </si>
  <si>
    <t>Direct Incomes</t>
  </si>
  <si>
    <t>Freight Charges Collected</t>
  </si>
  <si>
    <t>Add: Purchase Accounts</t>
  </si>
  <si>
    <t>Reversal ITC EXPS (GST)</t>
  </si>
  <si>
    <t>Income Statement:</t>
  </si>
  <si>
    <t>Credit Balances Written Off</t>
  </si>
  <si>
    <t>Interest Earned From Canara FD</t>
  </si>
  <si>
    <t>Interest Earned From ICICI FD</t>
  </si>
  <si>
    <t>Interest On Income Tax</t>
  </si>
  <si>
    <t>Extra-Ordinary Items</t>
  </si>
  <si>
    <t>Income Tax Expenses</t>
  </si>
  <si>
    <t>Deferred Tax</t>
  </si>
  <si>
    <t>Trade Discount Allowed (Non-GST)</t>
  </si>
  <si>
    <t>Nett Profit:</t>
  </si>
  <si>
    <t>Operating Profit (EBITDA)</t>
  </si>
  <si>
    <t>RM Op Stock</t>
  </si>
  <si>
    <t>RM Purchases</t>
  </si>
  <si>
    <t>RM Cl Stock</t>
  </si>
  <si>
    <t>A-&gt;</t>
  </si>
  <si>
    <t>MonofilSFG/FG Op Stock</t>
  </si>
  <si>
    <t>Monofil SFG/FG/ CL stock</t>
  </si>
  <si>
    <t>Monfofil Consumption(A+B)</t>
  </si>
  <si>
    <t>Trading Op Stock</t>
  </si>
  <si>
    <t>Trading Purchases</t>
  </si>
  <si>
    <t>Trading Cl Stock</t>
  </si>
  <si>
    <t>Trading Consumption- C</t>
  </si>
  <si>
    <t>Trdg (OS-CS)</t>
  </si>
  <si>
    <t>Consumption For P&amp; L(Row 22)</t>
  </si>
  <si>
    <t xml:space="preserve">  RM For Sale  Consumption</t>
  </si>
  <si>
    <t xml:space="preserve">  Monofil Purchase &amp; Consumed</t>
  </si>
  <si>
    <t xml:space="preserve">  Difference In Stocks Monofil</t>
  </si>
  <si>
    <t xml:space="preserve">     Trading Consumption</t>
  </si>
  <si>
    <t>RM Consumed  by Manufacture</t>
  </si>
  <si>
    <t>Difference in WIP Stck Only</t>
  </si>
  <si>
    <t>TOTAL CONSUMPTION</t>
  </si>
  <si>
    <t>MonoFil Sales</t>
  </si>
  <si>
    <t>From Top</t>
  </si>
  <si>
    <t>Expenses from Above</t>
  </si>
  <si>
    <t>Expns Breakdown</t>
  </si>
  <si>
    <t>Sep 25</t>
  </si>
  <si>
    <t>Oct 25</t>
  </si>
  <si>
    <t>Nov 25</t>
  </si>
  <si>
    <r>
      <t xml:space="preserve">MF Pur Fabric &amp; Consumables      </t>
    </r>
    <r>
      <rPr>
        <b/>
        <i/>
        <sz val="9"/>
        <color theme="1"/>
        <rFont val="Arial"/>
        <family val="2"/>
      </rPr>
      <t>C-&gt;</t>
    </r>
  </si>
  <si>
    <r>
      <t xml:space="preserve">MF Purchases   Yarn                       </t>
    </r>
    <r>
      <rPr>
        <b/>
        <i/>
        <sz val="9"/>
        <color theme="1"/>
        <rFont val="Arial"/>
        <family val="2"/>
      </rPr>
      <t xml:space="preserve">  B-&gt;</t>
    </r>
  </si>
  <si>
    <t>Sravya</t>
  </si>
  <si>
    <t>Source: MTY</t>
  </si>
  <si>
    <t>Expns/Ssalary/P&amp;L</t>
  </si>
  <si>
    <t>Dec 25</t>
  </si>
  <si>
    <t>Jan 26</t>
  </si>
  <si>
    <t>Feb 26</t>
  </si>
  <si>
    <t>Operating Outflow</t>
  </si>
  <si>
    <t>Apr- Feb</t>
  </si>
  <si>
    <t>Water Content Fabricator</t>
  </si>
  <si>
    <t>Mar 26</t>
  </si>
  <si>
    <t>RM Consumption</t>
  </si>
  <si>
    <t>OP Stock RM</t>
  </si>
  <si>
    <t>Closing Stock RM</t>
  </si>
  <si>
    <t>Monofil Produced</t>
  </si>
  <si>
    <t>Monofil Stock Diff</t>
  </si>
  <si>
    <t>Monofil Consumed</t>
  </si>
  <si>
    <t>.</t>
  </si>
  <si>
    <t>Opening Stock 01 Apr 26</t>
  </si>
  <si>
    <t>PL cons</t>
  </si>
  <si>
    <t>PL</t>
  </si>
  <si>
    <t>con</t>
  </si>
  <si>
    <t>Tr</t>
  </si>
  <si>
    <t>Dis</t>
  </si>
  <si>
    <t>Bank Stock Statement</t>
  </si>
  <si>
    <t>Sales From Monofil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</si>
</sst>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.00_);\(0.00\)"/>
    <numFmt numFmtId="167" formatCode="0.0_);[Red]\(0.0\)"/>
    <numFmt numFmtId="168" formatCode="0.0%"/>
    <numFmt numFmtId="169" formatCode="0.0_);\(0.0\)"/>
    <numFmt numFmtId="170" formatCode="0_);\(0\)"/>
    <numFmt numFmtId="171" formatCode="0.\o0_);\(0.00\)"/>
    <numFmt numFmtId="172" formatCode="&quot;&quot;0.00"/>
    <numFmt numFmtId="173" formatCode="&quot;&quot;0"/>
    <numFmt numFmtId="174" formatCode="###0.0"/>
    <numFmt numFmtId="175" formatCode="_(* #,##0_);_(* \(#,##0\);_(* &quot;-&quot;??_);_(@_)"/>
    <numFmt numFmtId="176" formatCode="_(* #,##0.0_);_(* \(#,##0.0\);_(* &quot;-&quot;??_);_(@_)"/>
    <numFmt numFmtId="177" formatCode="_ * #,##0_ ;_ * \-#,##0_ ;_ * &quot;-&quot;??_ ;_ @_ "/>
    <numFmt numFmtId="178" formatCode="0.00_ ;\(0.00\)\ "/>
    <numFmt numFmtId="179" formatCode="0.0_ ;\(0.0\)\ "/>
    <numFmt numFmtId="180" formatCode="[&gt;99999]##\,##\,##0;[&lt;99999]\(##\,##\,##0\);##,##0"/>
    <numFmt numFmtId="181" formatCode="[&gt;999999]##\,##\,##\,##0;[&lt;99999]\(##\,##\,##\,##0\);#,###,##0"/>
    <numFmt numFmtId="182" formatCode="0.0%_);\(0.0%\)"/>
    <numFmt numFmtId="183" formatCode="0.000_ ;\(0.000\)\ "/>
    <numFmt numFmtId="184" formatCode="0.00;[Red]0.00"/>
    <numFmt numFmtId="185" formatCode="0%_);\(0%\)"/>
    <numFmt numFmtId="186" formatCode="0.000000000000"/>
    <numFmt numFmtId="187" formatCode="0.00000000000"/>
    <numFmt numFmtId="188" formatCode="0.00\ ;\(0.00\)\ "/>
    <numFmt numFmtId="189" formatCode="_ * #,##0.0_ ;_ * \-#,##0.0_ ;_ * &quot;-&quot;??_ ;_ @_ "/>
    <numFmt numFmtId="190" formatCode="0.000"/>
    <numFmt numFmtId="191" formatCode="0.00;[Red]\(0.00\)"/>
    <numFmt numFmtId="192" formatCode="&quot;&quot;0.0"/>
    <numFmt numFmtId="193" formatCode="0%;\(0%\)"/>
    <numFmt numFmtId="194" formatCode="0.0%;\(0.0%\)"/>
    <numFmt numFmtId="195" formatCode="0.0_ ;\-0.0\ "/>
    <numFmt numFmtId="196" formatCode="0_ ;\(0\)\ "/>
    <numFmt numFmtId="197" formatCode="0.00;\(0.00\)"/>
    <numFmt numFmtId="198" formatCode="0.0%;[Red]\(0.0%\)"/>
    <numFmt numFmtId="199" formatCode="0.0;\(0.0\)"/>
    <numFmt numFmtId="200" formatCode="0.000000000000000"/>
    <numFmt numFmtId="201" formatCode="0.00_ ;\(0.00\)"/>
    <numFmt numFmtId="202" formatCode="0%;[Red]\(0%\)"/>
    <numFmt numFmtId="203" formatCode="0.00_);[Red]\(0.00\)"/>
    <numFmt numFmtId="204" formatCode="###0.00"/>
    <numFmt numFmtId="205" formatCode="0.0%_);[Red]\(0.0%\)"/>
    <numFmt numFmtId="206" formatCode="0.00_);[Red]\(##,##0.00\)"/>
    <numFmt numFmtId="207" formatCode="0_ ;\(0\)"/>
    <numFmt numFmtId="208" formatCode="0.0_);[Red]\(##,##0.0\)"/>
    <numFmt numFmtId="209" formatCode="0_);[Red]\(##,##0\)"/>
    <numFmt numFmtId="210" formatCode="#,##0.0"/>
    <numFmt numFmtId="211" formatCode="#,##0;[Red]\(#,##0\)"/>
    <numFmt numFmtId="212" formatCode="#,##0.00;[Red]\(#,##0.00\)"/>
    <numFmt numFmtId="213" formatCode="#,##0.00;[Red]#,##0.00"/>
    <numFmt numFmtId="214" formatCode="_(* #,##0.000_);_(* \(#,##0.000\);_(* &quot;-&quot;??_);_(@_)"/>
    <numFmt numFmtId="215" formatCode="0%_);[Red]\(0%\)"/>
    <numFmt numFmtId="216" formatCode="0.0_ ;[Red]\(0.0\)\ "/>
    <numFmt numFmtId="217" formatCode="0.00_ ;[Red]\(0.00\)\ "/>
    <numFmt numFmtId="218" formatCode="0.000000"/>
    <numFmt numFmtId="219" formatCode="0.00_ ;\-0.00\ "/>
  </numFmts>
  <fonts count="9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Trebuchet MS"/>
      <family val="2"/>
    </font>
    <font>
      <b/>
      <sz val="11"/>
      <name val="Trebuchet MS"/>
      <family val="2"/>
    </font>
    <font>
      <b/>
      <i/>
      <sz val="11"/>
      <name val="Trebuchet MS"/>
      <family val="2"/>
    </font>
    <font>
      <i/>
      <sz val="12"/>
      <name val="Trebuchet MS"/>
      <family val="2"/>
    </font>
    <font>
      <b/>
      <i/>
      <sz val="12"/>
      <name val="Trebuchet MS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i/>
      <sz val="10"/>
      <name val="Trebuchet MS"/>
      <family val="2"/>
    </font>
    <font>
      <i/>
      <sz val="11"/>
      <name val="Trebuchet MS"/>
      <family val="2"/>
    </font>
    <font>
      <sz val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i/>
      <sz val="10"/>
      <name val="Arial"/>
      <family val="2"/>
    </font>
    <font>
      <sz val="10"/>
      <name val="Trebuchet MS"/>
      <family val="2"/>
    </font>
    <font>
      <i/>
      <sz val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i/>
      <sz val="9"/>
      <color theme="1"/>
      <name val="Arial"/>
      <family val="2"/>
    </font>
    <font>
      <sz val="9"/>
      <color rgb="FF000000"/>
      <name val="Calibri"/>
      <family val="2"/>
    </font>
    <font>
      <b/>
      <sz val="12"/>
      <color rgb="FF000000"/>
      <name val="Cambria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rgb="FF000000"/>
      <name val="Cambria"/>
      <family val="1"/>
    </font>
    <font>
      <b/>
      <sz val="12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Arial"/>
      <family val="2"/>
    </font>
    <font>
      <sz val="11"/>
      <color rgb="FFFF0000"/>
      <name val="Trebuchet MS"/>
      <family val="2"/>
    </font>
    <font>
      <b/>
      <sz val="11"/>
      <color rgb="FFFF0000"/>
      <name val="Trebuchet MS"/>
      <family val="2"/>
    </font>
    <font>
      <sz val="9"/>
      <color theme="1"/>
      <name val="Calibri"/>
      <family val="2"/>
    </font>
    <font>
      <b/>
      <i/>
      <sz val="10"/>
      <color theme="1"/>
      <name val="Arial"/>
      <family val="2"/>
    </font>
    <font>
      <b/>
      <sz val="11"/>
      <color rgb="FF00B050"/>
      <name val="Trebuchet MS"/>
      <family val="2"/>
    </font>
    <font>
      <sz val="11"/>
      <color theme="1"/>
      <name val="Trebuchet MS"/>
      <family val="2"/>
    </font>
    <font>
      <sz val="10"/>
      <color theme="1"/>
      <name val="Tahoma"/>
      <family val="2"/>
    </font>
    <font>
      <sz val="11"/>
      <color rgb="FF00B050"/>
      <name val="Trebuchet MS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1"/>
      <name val="Tahoma"/>
      <family val="2"/>
    </font>
    <font>
      <sz val="9"/>
      <color rgb="FFFF0000"/>
      <name val="Calibri"/>
      <family val="2"/>
    </font>
    <font>
      <sz val="9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omic Sans MS"/>
      <family val="4"/>
    </font>
    <font>
      <sz val="10"/>
      <color rgb="FF000000"/>
      <name val="Comic Sans MS"/>
      <family val="4"/>
    </font>
    <font>
      <b/>
      <sz val="10"/>
      <color theme="1"/>
      <name val="Tahoma"/>
      <family val="2"/>
    </font>
    <font>
      <sz val="9"/>
      <color rgb="FF000000"/>
      <name val="Cambria"/>
      <family val="1"/>
    </font>
    <font>
      <b/>
      <sz val="10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0"/>
      <color rgb="FF00B050"/>
      <name val="Arial"/>
      <family val="2"/>
    </font>
    <font>
      <sz val="10"/>
      <color rgb="FF000000"/>
      <name val="Calibri"/>
      <family val="2"/>
    </font>
    <font>
      <sz val="10"/>
      <color rgb="FF000000"/>
      <name val="Cambria"/>
      <family val="1"/>
    </font>
    <font>
      <b/>
      <sz val="13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9"/>
      <name val="Calibri"/>
      <family val="2"/>
      <scheme val="minor"/>
    </font>
    <font>
      <b/>
      <sz val="10"/>
      <color rgb="FFFF0000"/>
      <name val="Tahoma"/>
      <family val="2"/>
    </font>
    <font>
      <b/>
      <sz val="9"/>
      <color theme="1"/>
      <name val="Trebuchet MS"/>
      <family val="2"/>
    </font>
    <font>
      <b/>
      <u/>
      <sz val="9"/>
      <color theme="1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name val="Trebuchet MS"/>
      <family val="2"/>
    </font>
    <font>
      <b/>
      <sz val="10"/>
      <name val="Trebuchet MS"/>
      <family val="2"/>
    </font>
    <font>
      <b/>
      <sz val="10"/>
      <color theme="1"/>
      <name val="Trebuchet MS"/>
      <family val="2"/>
    </font>
    <font>
      <sz val="9"/>
      <color rgb="FFFF0000"/>
      <name val="Trebuchet MS"/>
      <family val="2"/>
    </font>
    <font>
      <sz val="10"/>
      <color rgb="FFFF0000"/>
      <name val="Trebuchet MS"/>
      <family val="2"/>
    </font>
    <font>
      <sz val="9"/>
      <color theme="1" tint="4.9989318521683403E-2"/>
      <name val="Trebuchet MS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i/>
      <sz val="9"/>
      <color rgb="FF00B0F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EEB9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59999389629810485"/>
        <bgColor indexed="64"/>
      </patternFill>
    </fill>
  </fills>
  <borders count="2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medium">
        <color indexed="64"/>
      </bottom>
      <diagonal/>
    </border>
    <border>
      <left/>
      <right style="thin">
        <color rgb="FF000000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24" fillId="0" borderId="0"/>
    <xf numFmtId="9" fontId="3" fillId="0" borderId="0" applyFont="0" applyFill="0" applyBorder="0" applyAlignment="0" applyProtection="0"/>
  </cellStyleXfs>
  <cellXfs count="3349">
    <xf numFmtId="0" fontId="0" fillId="0" borderId="0" xfId="0"/>
    <xf numFmtId="165" fontId="0" fillId="0" borderId="1" xfId="0" applyNumberFormat="1" applyBorder="1"/>
    <xf numFmtId="165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1" fontId="0" fillId="0" borderId="0" xfId="0" applyNumberFormat="1"/>
    <xf numFmtId="0" fontId="0" fillId="0" borderId="5" xfId="0" applyBorder="1"/>
    <xf numFmtId="0" fontId="6" fillId="0" borderId="8" xfId="0" applyFont="1" applyBorder="1"/>
    <xf numFmtId="0" fontId="6" fillId="0" borderId="0" xfId="0" applyFont="1"/>
    <xf numFmtId="0" fontId="6" fillId="0" borderId="9" xfId="0" applyFont="1" applyBorder="1"/>
    <xf numFmtId="165" fontId="6" fillId="0" borderId="10" xfId="0" applyNumberFormat="1" applyFont="1" applyBorder="1"/>
    <xf numFmtId="2" fontId="6" fillId="0" borderId="5" xfId="0" applyNumberFormat="1" applyFont="1" applyBorder="1"/>
    <xf numFmtId="2" fontId="6" fillId="0" borderId="11" xfId="0" applyNumberFormat="1" applyFont="1" applyBorder="1"/>
    <xf numFmtId="0" fontId="6" fillId="0" borderId="12" xfId="0" applyFont="1" applyBorder="1"/>
    <xf numFmtId="165" fontId="6" fillId="0" borderId="13" xfId="0" applyNumberFormat="1" applyFont="1" applyBorder="1"/>
    <xf numFmtId="2" fontId="6" fillId="0" borderId="1" xfId="0" applyNumberFormat="1" applyFont="1" applyBorder="1"/>
    <xf numFmtId="2" fontId="6" fillId="0" borderId="14" xfId="0" applyNumberFormat="1" applyFont="1" applyBorder="1"/>
    <xf numFmtId="2" fontId="6" fillId="0" borderId="15" xfId="0" applyNumberFormat="1" applyFont="1" applyBorder="1"/>
    <xf numFmtId="0" fontId="6" fillId="0" borderId="16" xfId="0" applyFont="1" applyBorder="1"/>
    <xf numFmtId="165" fontId="6" fillId="0" borderId="17" xfId="0" applyNumberFormat="1" applyFont="1" applyBorder="1"/>
    <xf numFmtId="2" fontId="6" fillId="0" borderId="3" xfId="0" applyNumberFormat="1" applyFont="1" applyBorder="1"/>
    <xf numFmtId="2" fontId="6" fillId="0" borderId="18" xfId="0" applyNumberFormat="1" applyFont="1" applyBorder="1"/>
    <xf numFmtId="2" fontId="6" fillId="0" borderId="19" xfId="0" applyNumberFormat="1" applyFont="1" applyBorder="1"/>
    <xf numFmtId="0" fontId="6" fillId="0" borderId="7" xfId="0" applyFont="1" applyBorder="1"/>
    <xf numFmtId="2" fontId="6" fillId="0" borderId="7" xfId="0" applyNumberFormat="1" applyFont="1" applyBorder="1"/>
    <xf numFmtId="2" fontId="6" fillId="0" borderId="20" xfId="0" applyNumberFormat="1" applyFont="1" applyBorder="1"/>
    <xf numFmtId="165" fontId="6" fillId="0" borderId="6" xfId="0" applyNumberFormat="1" applyFont="1" applyBorder="1"/>
    <xf numFmtId="2" fontId="6" fillId="0" borderId="21" xfId="0" applyNumberFormat="1" applyFont="1" applyBorder="1"/>
    <xf numFmtId="0" fontId="6" fillId="0" borderId="11" xfId="0" applyFont="1" applyBorder="1"/>
    <xf numFmtId="0" fontId="6" fillId="0" borderId="21" xfId="0" applyFont="1" applyBorder="1"/>
    <xf numFmtId="165" fontId="6" fillId="0" borderId="22" xfId="0" applyNumberFormat="1" applyFont="1" applyBorder="1"/>
    <xf numFmtId="2" fontId="6" fillId="0" borderId="23" xfId="0" applyNumberFormat="1" applyFont="1" applyBorder="1"/>
    <xf numFmtId="2" fontId="6" fillId="0" borderId="24" xfId="0" applyNumberFormat="1" applyFont="1" applyBorder="1"/>
    <xf numFmtId="43" fontId="6" fillId="0" borderId="11" xfId="1" applyNumberFormat="1" applyFont="1" applyBorder="1"/>
    <xf numFmtId="165" fontId="6" fillId="0" borderId="25" xfId="0" applyNumberFormat="1" applyFont="1" applyBorder="1"/>
    <xf numFmtId="2" fontId="6" fillId="0" borderId="0" xfId="0" applyNumberFormat="1" applyFont="1"/>
    <xf numFmtId="0" fontId="6" fillId="0" borderId="26" xfId="0" applyFont="1" applyBorder="1"/>
    <xf numFmtId="0" fontId="6" fillId="0" borderId="27" xfId="0" applyFont="1" applyBorder="1"/>
    <xf numFmtId="2" fontId="6" fillId="0" borderId="28" xfId="0" applyNumberFormat="1" applyFont="1" applyBorder="1"/>
    <xf numFmtId="165" fontId="6" fillId="0" borderId="29" xfId="0" applyNumberFormat="1" applyFont="1" applyBorder="1"/>
    <xf numFmtId="2" fontId="6" fillId="0" borderId="30" xfId="0" applyNumberFormat="1" applyFont="1" applyBorder="1"/>
    <xf numFmtId="0" fontId="6" fillId="0" borderId="31" xfId="0" applyFont="1" applyBorder="1"/>
    <xf numFmtId="2" fontId="6" fillId="0" borderId="32" xfId="0" applyNumberFormat="1" applyFont="1" applyBorder="1"/>
    <xf numFmtId="2" fontId="6" fillId="0" borderId="33" xfId="0" applyNumberFormat="1" applyFont="1" applyBorder="1"/>
    <xf numFmtId="165" fontId="6" fillId="0" borderId="34" xfId="0" applyNumberFormat="1" applyFont="1" applyBorder="1"/>
    <xf numFmtId="0" fontId="6" fillId="0" borderId="35" xfId="0" applyFont="1" applyBorder="1"/>
    <xf numFmtId="170" fontId="0" fillId="0" borderId="0" xfId="0" applyNumberFormat="1"/>
    <xf numFmtId="0" fontId="7" fillId="0" borderId="0" xfId="0" applyFont="1"/>
    <xf numFmtId="0" fontId="0" fillId="0" borderId="37" xfId="0" applyBorder="1"/>
    <xf numFmtId="2" fontId="0" fillId="0" borderId="1" xfId="0" applyNumberFormat="1" applyBorder="1"/>
    <xf numFmtId="0" fontId="6" fillId="0" borderId="4" xfId="0" applyFont="1" applyBorder="1"/>
    <xf numFmtId="0" fontId="6" fillId="0" borderId="22" xfId="0" applyFont="1" applyBorder="1"/>
    <xf numFmtId="0" fontId="6" fillId="0" borderId="17" xfId="0" applyFont="1" applyBorder="1"/>
    <xf numFmtId="2" fontId="6" fillId="0" borderId="38" xfId="0" applyNumberFormat="1" applyFont="1" applyBorder="1"/>
    <xf numFmtId="0" fontId="6" fillId="0" borderId="6" xfId="0" applyFont="1" applyBorder="1"/>
    <xf numFmtId="2" fontId="0" fillId="0" borderId="5" xfId="0" applyNumberFormat="1" applyBorder="1"/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2" fontId="6" fillId="0" borderId="4" xfId="0" applyNumberFormat="1" applyFont="1" applyBorder="1"/>
    <xf numFmtId="0" fontId="6" fillId="0" borderId="45" xfId="0" applyFont="1" applyBorder="1"/>
    <xf numFmtId="165" fontId="6" fillId="0" borderId="9" xfId="0" applyNumberFormat="1" applyFont="1" applyBorder="1"/>
    <xf numFmtId="165" fontId="6" fillId="0" borderId="0" xfId="0" applyNumberFormat="1" applyFont="1"/>
    <xf numFmtId="165" fontId="6" fillId="0" borderId="27" xfId="0" applyNumberFormat="1" applyFont="1" applyBorder="1"/>
    <xf numFmtId="0" fontId="6" fillId="0" borderId="46" xfId="0" applyFont="1" applyBorder="1"/>
    <xf numFmtId="2" fontId="6" fillId="0" borderId="47" xfId="0" applyNumberFormat="1" applyFont="1" applyBorder="1"/>
    <xf numFmtId="165" fontId="6" fillId="0" borderId="46" xfId="0" applyNumberFormat="1" applyFont="1" applyBorder="1"/>
    <xf numFmtId="1" fontId="6" fillId="0" borderId="0" xfId="0" applyNumberFormat="1" applyFont="1"/>
    <xf numFmtId="0" fontId="6" fillId="0" borderId="48" xfId="0" applyFont="1" applyBorder="1"/>
    <xf numFmtId="166" fontId="6" fillId="0" borderId="8" xfId="0" applyNumberFormat="1" applyFont="1" applyBorder="1"/>
    <xf numFmtId="166" fontId="6" fillId="0" borderId="6" xfId="0" applyNumberFormat="1" applyFont="1" applyBorder="1"/>
    <xf numFmtId="166" fontId="6" fillId="0" borderId="21" xfId="0" applyNumberFormat="1" applyFont="1" applyBorder="1"/>
    <xf numFmtId="166" fontId="6" fillId="0" borderId="0" xfId="0" applyNumberFormat="1" applyFont="1"/>
    <xf numFmtId="166" fontId="6" fillId="0" borderId="4" xfId="0" applyNumberFormat="1" applyFont="1" applyBorder="1"/>
    <xf numFmtId="166" fontId="7" fillId="0" borderId="0" xfId="0" applyNumberFormat="1" applyFont="1"/>
    <xf numFmtId="165" fontId="6" fillId="0" borderId="50" xfId="0" applyNumberFormat="1" applyFont="1" applyBorder="1"/>
    <xf numFmtId="2" fontId="6" fillId="0" borderId="51" xfId="0" applyNumberFormat="1" applyFont="1" applyBorder="1"/>
    <xf numFmtId="165" fontId="6" fillId="0" borderId="35" xfId="0" applyNumberFormat="1" applyFont="1" applyBorder="1"/>
    <xf numFmtId="2" fontId="6" fillId="0" borderId="42" xfId="0" applyNumberFormat="1" applyFont="1" applyBorder="1"/>
    <xf numFmtId="165" fontId="6" fillId="0" borderId="52" xfId="0" applyNumberFormat="1" applyFont="1" applyBorder="1"/>
    <xf numFmtId="165" fontId="6" fillId="0" borderId="16" xfId="0" applyNumberFormat="1" applyFont="1" applyBorder="1"/>
    <xf numFmtId="165" fontId="6" fillId="0" borderId="53" xfId="0" applyNumberFormat="1" applyFont="1" applyBorder="1"/>
    <xf numFmtId="169" fontId="6" fillId="0" borderId="9" xfId="0" applyNumberFormat="1" applyFont="1" applyBorder="1"/>
    <xf numFmtId="169" fontId="6" fillId="0" borderId="52" xfId="0" applyNumberFormat="1" applyFont="1" applyBorder="1"/>
    <xf numFmtId="2" fontId="6" fillId="0" borderId="54" xfId="0" applyNumberFormat="1" applyFont="1" applyBorder="1"/>
    <xf numFmtId="168" fontId="6" fillId="0" borderId="27" xfId="3" applyNumberFormat="1" applyFont="1" applyBorder="1"/>
    <xf numFmtId="165" fontId="6" fillId="0" borderId="45" xfId="0" applyNumberFormat="1" applyFont="1" applyBorder="1"/>
    <xf numFmtId="2" fontId="6" fillId="0" borderId="55" xfId="0" applyNumberFormat="1" applyFont="1" applyBorder="1"/>
    <xf numFmtId="2" fontId="6" fillId="0" borderId="56" xfId="0" applyNumberFormat="1" applyFont="1" applyBorder="1"/>
    <xf numFmtId="165" fontId="6" fillId="0" borderId="57" xfId="0" applyNumberFormat="1" applyFont="1" applyBorder="1"/>
    <xf numFmtId="2" fontId="6" fillId="0" borderId="58" xfId="0" applyNumberFormat="1" applyFont="1" applyBorder="1"/>
    <xf numFmtId="166" fontId="0" fillId="0" borderId="0" xfId="0" applyNumberFormat="1"/>
    <xf numFmtId="165" fontId="0" fillId="0" borderId="12" xfId="0" applyNumberFormat="1" applyBorder="1"/>
    <xf numFmtId="0" fontId="0" fillId="0" borderId="6" xfId="0" applyBorder="1"/>
    <xf numFmtId="2" fontId="0" fillId="0" borderId="14" xfId="0" applyNumberFormat="1" applyBorder="1"/>
    <xf numFmtId="0" fontId="4" fillId="0" borderId="10" xfId="0" applyFont="1" applyBorder="1"/>
    <xf numFmtId="2" fontId="0" fillId="0" borderId="11" xfId="0" applyNumberFormat="1" applyBorder="1"/>
    <xf numFmtId="166" fontId="6" fillId="0" borderId="15" xfId="0" applyNumberFormat="1" applyFont="1" applyBorder="1"/>
    <xf numFmtId="169" fontId="6" fillId="0" borderId="45" xfId="0" applyNumberFormat="1" applyFont="1" applyBorder="1"/>
    <xf numFmtId="168" fontId="6" fillId="0" borderId="9" xfId="3" applyNumberFormat="1" applyFont="1" applyBorder="1"/>
    <xf numFmtId="2" fontId="6" fillId="0" borderId="63" xfId="0" applyNumberFormat="1" applyFont="1" applyBorder="1"/>
    <xf numFmtId="165" fontId="6" fillId="0" borderId="42" xfId="0" applyNumberFormat="1" applyFont="1" applyBorder="1"/>
    <xf numFmtId="2" fontId="0" fillId="0" borderId="63" xfId="0" applyNumberFormat="1" applyBorder="1"/>
    <xf numFmtId="49" fontId="27" fillId="0" borderId="0" xfId="0" applyNumberFormat="1" applyFont="1" applyAlignment="1">
      <alignment horizontal="left" vertical="top" indent="2"/>
    </xf>
    <xf numFmtId="169" fontId="6" fillId="0" borderId="66" xfId="0" applyNumberFormat="1" applyFont="1" applyBorder="1"/>
    <xf numFmtId="2" fontId="6" fillId="0" borderId="67" xfId="0" applyNumberFormat="1" applyFont="1" applyBorder="1"/>
    <xf numFmtId="169" fontId="6" fillId="0" borderId="68" xfId="0" applyNumberFormat="1" applyFont="1" applyBorder="1"/>
    <xf numFmtId="166" fontId="6" fillId="0" borderId="20" xfId="0" applyNumberFormat="1" applyFont="1" applyBorder="1"/>
    <xf numFmtId="169" fontId="6" fillId="0" borderId="62" xfId="0" applyNumberFormat="1" applyFont="1" applyBorder="1"/>
    <xf numFmtId="2" fontId="6" fillId="0" borderId="69" xfId="0" applyNumberFormat="1" applyFont="1" applyBorder="1"/>
    <xf numFmtId="2" fontId="0" fillId="0" borderId="50" xfId="0" applyNumberFormat="1" applyBorder="1"/>
    <xf numFmtId="165" fontId="0" fillId="0" borderId="71" xfId="0" applyNumberFormat="1" applyBorder="1"/>
    <xf numFmtId="0" fontId="0" fillId="0" borderId="28" xfId="0" applyBorder="1"/>
    <xf numFmtId="0" fontId="0" fillId="0" borderId="63" xfId="0" applyBorder="1"/>
    <xf numFmtId="2" fontId="0" fillId="0" borderId="56" xfId="0" applyNumberFormat="1" applyBorder="1"/>
    <xf numFmtId="2" fontId="0" fillId="0" borderId="72" xfId="0" applyNumberFormat="1" applyBorder="1"/>
    <xf numFmtId="0" fontId="0" fillId="0" borderId="8" xfId="0" applyBorder="1"/>
    <xf numFmtId="165" fontId="6" fillId="0" borderId="3" xfId="0" applyNumberFormat="1" applyFont="1" applyBorder="1"/>
    <xf numFmtId="0" fontId="7" fillId="0" borderId="9" xfId="0" applyFont="1" applyBorder="1"/>
    <xf numFmtId="165" fontId="7" fillId="0" borderId="52" xfId="0" applyNumberFormat="1" applyFont="1" applyBorder="1"/>
    <xf numFmtId="0" fontId="8" fillId="4" borderId="0" xfId="0" applyFont="1" applyFill="1"/>
    <xf numFmtId="169" fontId="9" fillId="4" borderId="0" xfId="0" applyNumberFormat="1" applyFont="1" applyFill="1"/>
    <xf numFmtId="166" fontId="9" fillId="4" borderId="0" xfId="0" applyNumberFormat="1" applyFont="1" applyFill="1"/>
    <xf numFmtId="168" fontId="6" fillId="0" borderId="0" xfId="3" applyNumberFormat="1" applyFont="1"/>
    <xf numFmtId="169" fontId="6" fillId="0" borderId="0" xfId="0" applyNumberFormat="1" applyFont="1"/>
    <xf numFmtId="2" fontId="6" fillId="0" borderId="52" xfId="0" applyNumberFormat="1" applyFont="1" applyBorder="1"/>
    <xf numFmtId="165" fontId="0" fillId="0" borderId="10" xfId="0" applyNumberFormat="1" applyBorder="1"/>
    <xf numFmtId="165" fontId="0" fillId="0" borderId="13" xfId="0" applyNumberFormat="1" applyBorder="1"/>
    <xf numFmtId="165" fontId="0" fillId="0" borderId="17" xfId="0" applyNumberFormat="1" applyBorder="1"/>
    <xf numFmtId="165" fontId="0" fillId="0" borderId="6" xfId="0" applyNumberFormat="1" applyBorder="1"/>
    <xf numFmtId="165" fontId="0" fillId="0" borderId="70" xfId="0" applyNumberFormat="1" applyBorder="1"/>
    <xf numFmtId="165" fontId="0" fillId="0" borderId="63" xfId="0" applyNumberFormat="1" applyBorder="1"/>
    <xf numFmtId="165" fontId="0" fillId="0" borderId="25" xfId="0" applyNumberFormat="1" applyBorder="1"/>
    <xf numFmtId="165" fontId="0" fillId="0" borderId="57" xfId="0" applyNumberFormat="1" applyBorder="1"/>
    <xf numFmtId="165" fontId="6" fillId="0" borderId="72" xfId="0" applyNumberFormat="1" applyFont="1" applyBorder="1"/>
    <xf numFmtId="165" fontId="6" fillId="0" borderId="71" xfId="0" applyNumberFormat="1" applyFont="1" applyBorder="1"/>
    <xf numFmtId="165" fontId="6" fillId="0" borderId="44" xfId="0" applyNumberFormat="1" applyFont="1" applyBorder="1"/>
    <xf numFmtId="168" fontId="28" fillId="0" borderId="0" xfId="3" applyNumberFormat="1" applyFont="1"/>
    <xf numFmtId="0" fontId="29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48" xfId="0" applyBorder="1"/>
    <xf numFmtId="165" fontId="6" fillId="0" borderId="23" xfId="0" applyNumberFormat="1" applyFont="1" applyBorder="1"/>
    <xf numFmtId="165" fontId="6" fillId="0" borderId="76" xfId="0" applyNumberFormat="1" applyFont="1" applyBorder="1"/>
    <xf numFmtId="0" fontId="0" fillId="0" borderId="7" xfId="0" applyBorder="1" applyAlignment="1">
      <alignment horizontal="center" vertical="center"/>
    </xf>
    <xf numFmtId="0" fontId="0" fillId="0" borderId="7" xfId="0" applyBorder="1"/>
    <xf numFmtId="2" fontId="0" fillId="0" borderId="21" xfId="0" applyNumberFormat="1" applyBorder="1"/>
    <xf numFmtId="166" fontId="6" fillId="0" borderId="14" xfId="0" applyNumberFormat="1" applyFont="1" applyBorder="1"/>
    <xf numFmtId="175" fontId="0" fillId="0" borderId="0" xfId="1" applyNumberFormat="1" applyFont="1"/>
    <xf numFmtId="43" fontId="0" fillId="0" borderId="0" xfId="0" applyNumberFormat="1"/>
    <xf numFmtId="175" fontId="0" fillId="0" borderId="0" xfId="0" applyNumberFormat="1"/>
    <xf numFmtId="0" fontId="0" fillId="0" borderId="13" xfId="0" applyBorder="1"/>
    <xf numFmtId="0" fontId="0" fillId="0" borderId="17" xfId="0" applyBorder="1"/>
    <xf numFmtId="165" fontId="0" fillId="0" borderId="11" xfId="0" applyNumberFormat="1" applyBorder="1"/>
    <xf numFmtId="0" fontId="4" fillId="0" borderId="7" xfId="0" applyFont="1" applyBorder="1" applyAlignment="1">
      <alignment horizontal="center" vertical="center"/>
    </xf>
    <xf numFmtId="0" fontId="6" fillId="0" borderId="43" xfId="0" applyFont="1" applyBorder="1"/>
    <xf numFmtId="0" fontId="6" fillId="0" borderId="41" xfId="0" applyFont="1" applyBorder="1"/>
    <xf numFmtId="0" fontId="6" fillId="0" borderId="77" xfId="0" applyFont="1" applyBorder="1"/>
    <xf numFmtId="0" fontId="6" fillId="0" borderId="78" xfId="0" applyFont="1" applyBorder="1"/>
    <xf numFmtId="0" fontId="6" fillId="0" borderId="40" xfId="0" applyFont="1" applyBorder="1"/>
    <xf numFmtId="2" fontId="4" fillId="0" borderId="3" xfId="0" applyNumberFormat="1" applyFont="1" applyBorder="1"/>
    <xf numFmtId="175" fontId="6" fillId="0" borderId="0" xfId="1" applyNumberFormat="1" applyFont="1"/>
    <xf numFmtId="166" fontId="6" fillId="0" borderId="0" xfId="0" applyNumberFormat="1" applyFont="1" applyAlignment="1">
      <alignment horizontal="right"/>
    </xf>
    <xf numFmtId="0" fontId="0" fillId="0" borderId="29" xfId="0" applyBorder="1"/>
    <xf numFmtId="165" fontId="6" fillId="0" borderId="12" xfId="0" applyNumberFormat="1" applyFont="1" applyBorder="1"/>
    <xf numFmtId="165" fontId="6" fillId="0" borderId="66" xfId="0" applyNumberFormat="1" applyFont="1" applyBorder="1"/>
    <xf numFmtId="0" fontId="0" fillId="0" borderId="79" xfId="0" applyBorder="1"/>
    <xf numFmtId="0" fontId="0" fillId="0" borderId="80" xfId="0" applyBorder="1"/>
    <xf numFmtId="2" fontId="6" fillId="0" borderId="82" xfId="0" applyNumberFormat="1" applyFont="1" applyBorder="1"/>
    <xf numFmtId="165" fontId="6" fillId="0" borderId="12" xfId="3" applyNumberFormat="1" applyFont="1" applyBorder="1"/>
    <xf numFmtId="0" fontId="0" fillId="0" borderId="54" xfId="0" applyBorder="1"/>
    <xf numFmtId="0" fontId="23" fillId="0" borderId="0" xfId="0" applyFont="1" applyAlignment="1">
      <alignment vertical="top"/>
    </xf>
    <xf numFmtId="49" fontId="30" fillId="0" borderId="15" xfId="0" applyNumberFormat="1" applyFont="1" applyBorder="1" applyAlignment="1">
      <alignment horizontal="left" vertical="top" indent="2"/>
    </xf>
    <xf numFmtId="49" fontId="27" fillId="0" borderId="15" xfId="0" applyNumberFormat="1" applyFont="1" applyBorder="1" applyAlignment="1">
      <alignment horizontal="center" vertical="top" wrapText="1"/>
    </xf>
    <xf numFmtId="49" fontId="31" fillId="0" borderId="0" xfId="0" applyNumberFormat="1" applyFont="1" applyAlignment="1">
      <alignment horizontal="left" vertical="top" indent="2"/>
    </xf>
    <xf numFmtId="49" fontId="30" fillId="0" borderId="1" xfId="0" applyNumberFormat="1" applyFont="1" applyBorder="1" applyAlignment="1">
      <alignment horizontal="left" vertical="top" indent="2"/>
    </xf>
    <xf numFmtId="0" fontId="8" fillId="0" borderId="0" xfId="0" applyFont="1"/>
    <xf numFmtId="49" fontId="25" fillId="0" borderId="35" xfId="0" applyNumberFormat="1" applyFont="1" applyBorder="1" applyAlignment="1">
      <alignment horizontal="left" vertical="top" indent="2"/>
    </xf>
    <xf numFmtId="49" fontId="32" fillId="0" borderId="16" xfId="0" applyNumberFormat="1" applyFont="1" applyBorder="1" applyAlignment="1">
      <alignment vertical="top"/>
    </xf>
    <xf numFmtId="49" fontId="31" fillId="0" borderId="17" xfId="0" applyNumberFormat="1" applyFont="1" applyBorder="1" applyAlignment="1">
      <alignment horizontal="center" vertical="top"/>
    </xf>
    <xf numFmtId="49" fontId="31" fillId="0" borderId="18" xfId="0" applyNumberFormat="1" applyFont="1" applyBorder="1" applyAlignment="1">
      <alignment horizontal="center" vertical="top"/>
    </xf>
    <xf numFmtId="49" fontId="31" fillId="0" borderId="19" xfId="0" applyNumberFormat="1" applyFont="1" applyBorder="1" applyAlignment="1">
      <alignment horizontal="center" vertical="top"/>
    </xf>
    <xf numFmtId="172" fontId="30" fillId="0" borderId="21" xfId="0" applyNumberFormat="1" applyFont="1" applyBorder="1" applyAlignment="1">
      <alignment horizontal="right" vertical="top"/>
    </xf>
    <xf numFmtId="49" fontId="27" fillId="0" borderId="40" xfId="0" applyNumberFormat="1" applyFont="1" applyBorder="1" applyAlignment="1">
      <alignment horizontal="left" vertical="top" indent="1"/>
    </xf>
    <xf numFmtId="172" fontId="31" fillId="0" borderId="14" xfId="0" applyNumberFormat="1" applyFont="1" applyBorder="1" applyAlignment="1">
      <alignment horizontal="right" vertical="top"/>
    </xf>
    <xf numFmtId="0" fontId="0" fillId="0" borderId="10" xfId="0" applyBorder="1"/>
    <xf numFmtId="49" fontId="31" fillId="0" borderId="48" xfId="0" applyNumberFormat="1" applyFont="1" applyBorder="1" applyAlignment="1">
      <alignment horizontal="left" vertical="top" indent="1"/>
    </xf>
    <xf numFmtId="172" fontId="30" fillId="0" borderId="14" xfId="0" applyNumberFormat="1" applyFont="1" applyBorder="1" applyAlignment="1">
      <alignment horizontal="right" vertical="top"/>
    </xf>
    <xf numFmtId="49" fontId="27" fillId="0" borderId="40" xfId="0" applyNumberFormat="1" applyFont="1" applyBorder="1" applyAlignment="1">
      <alignment horizontal="left" vertical="top" indent="3"/>
    </xf>
    <xf numFmtId="49" fontId="31" fillId="0" borderId="16" xfId="0" applyNumberFormat="1" applyFont="1" applyBorder="1" applyAlignment="1">
      <alignment horizontal="center" vertical="top"/>
    </xf>
    <xf numFmtId="0" fontId="5" fillId="0" borderId="0" xfId="0" applyFont="1"/>
    <xf numFmtId="0" fontId="0" fillId="0" borderId="56" xfId="0" applyBorder="1"/>
    <xf numFmtId="0" fontId="0" fillId="0" borderId="15" xfId="0" applyBorder="1"/>
    <xf numFmtId="0" fontId="0" fillId="0" borderId="14" xfId="0" applyBorder="1"/>
    <xf numFmtId="0" fontId="5" fillId="0" borderId="26" xfId="0" applyFont="1" applyBorder="1"/>
    <xf numFmtId="0" fontId="5" fillId="0" borderId="21" xfId="0" applyFont="1" applyBorder="1"/>
    <xf numFmtId="0" fontId="0" fillId="0" borderId="11" xfId="0" applyBorder="1"/>
    <xf numFmtId="0" fontId="0" fillId="0" borderId="51" xfId="0" applyBorder="1"/>
    <xf numFmtId="165" fontId="0" fillId="0" borderId="48" xfId="0" applyNumberFormat="1" applyBorder="1"/>
    <xf numFmtId="165" fontId="5" fillId="0" borderId="6" xfId="0" applyNumberFormat="1" applyFont="1" applyBorder="1"/>
    <xf numFmtId="165" fontId="5" fillId="0" borderId="8" xfId="0" applyNumberFormat="1" applyFont="1" applyBorder="1"/>
    <xf numFmtId="173" fontId="31" fillId="0" borderId="51" xfId="0" applyNumberFormat="1" applyFont="1" applyBorder="1" applyAlignment="1">
      <alignment horizontal="right" vertical="top"/>
    </xf>
    <xf numFmtId="49" fontId="31" fillId="0" borderId="57" xfId="0" applyNumberFormat="1" applyFont="1" applyBorder="1" applyAlignment="1">
      <alignment horizontal="center" vertical="top"/>
    </xf>
    <xf numFmtId="49" fontId="31" fillId="0" borderId="58" xfId="0" applyNumberFormat="1" applyFont="1" applyBorder="1" applyAlignment="1">
      <alignment horizontal="center" vertical="top"/>
    </xf>
    <xf numFmtId="49" fontId="31" fillId="0" borderId="38" xfId="0" applyNumberFormat="1" applyFont="1" applyBorder="1" applyAlignment="1">
      <alignment horizontal="center" vertical="top"/>
    </xf>
    <xf numFmtId="2" fontId="4" fillId="0" borderId="21" xfId="0" applyNumberFormat="1" applyFont="1" applyBorder="1"/>
    <xf numFmtId="49" fontId="27" fillId="0" borderId="12" xfId="0" applyNumberFormat="1" applyFont="1" applyBorder="1" applyAlignment="1">
      <alignment horizontal="left" vertical="top" indent="1"/>
    </xf>
    <xf numFmtId="49" fontId="27" fillId="0" borderId="41" xfId="0" applyNumberFormat="1" applyFont="1" applyBorder="1" applyAlignment="1">
      <alignment horizontal="left" vertical="top" indent="1"/>
    </xf>
    <xf numFmtId="165" fontId="5" fillId="0" borderId="57" xfId="0" applyNumberFormat="1" applyFont="1" applyBorder="1"/>
    <xf numFmtId="169" fontId="0" fillId="0" borderId="0" xfId="0" applyNumberFormat="1"/>
    <xf numFmtId="174" fontId="28" fillId="0" borderId="108" xfId="0" applyNumberFormat="1" applyFont="1" applyBorder="1"/>
    <xf numFmtId="0" fontId="6" fillId="0" borderId="1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9" fontId="27" fillId="0" borderId="27" xfId="0" applyNumberFormat="1" applyFont="1" applyBorder="1" applyAlignment="1">
      <alignment horizontal="left" vertical="top" indent="3"/>
    </xf>
    <xf numFmtId="2" fontId="5" fillId="0" borderId="0" xfId="0" applyNumberFormat="1" applyFont="1"/>
    <xf numFmtId="170" fontId="6" fillId="0" borderId="0" xfId="0" applyNumberFormat="1" applyFont="1"/>
    <xf numFmtId="175" fontId="7" fillId="0" borderId="0" xfId="1" applyNumberFormat="1" applyFont="1"/>
    <xf numFmtId="49" fontId="31" fillId="0" borderId="0" xfId="0" applyNumberFormat="1" applyFont="1" applyAlignment="1">
      <alignment horizontal="left" vertical="top"/>
    </xf>
    <xf numFmtId="49" fontId="27" fillId="0" borderId="1" xfId="0" applyNumberFormat="1" applyFont="1" applyBorder="1" applyAlignment="1">
      <alignment horizontal="center" vertical="top" wrapText="1"/>
    </xf>
    <xf numFmtId="0" fontId="4" fillId="0" borderId="46" xfId="0" applyFont="1" applyBorder="1"/>
    <xf numFmtId="0" fontId="0" fillId="0" borderId="46" xfId="0" applyBorder="1"/>
    <xf numFmtId="49" fontId="25" fillId="0" borderId="43" xfId="0" applyNumberFormat="1" applyFont="1" applyBorder="1" applyAlignment="1">
      <alignment horizontal="left" vertical="top" indent="2"/>
    </xf>
    <xf numFmtId="0" fontId="5" fillId="0" borderId="84" xfId="0" applyFont="1" applyBorder="1"/>
    <xf numFmtId="178" fontId="0" fillId="0" borderId="0" xfId="0" applyNumberFormat="1"/>
    <xf numFmtId="172" fontId="31" fillId="0" borderId="19" xfId="0" applyNumberFormat="1" applyFont="1" applyBorder="1" applyAlignment="1">
      <alignment horizontal="right" vertical="top"/>
    </xf>
    <xf numFmtId="172" fontId="31" fillId="0" borderId="0" xfId="0" applyNumberFormat="1" applyFont="1" applyAlignment="1">
      <alignment horizontal="right" vertical="top"/>
    </xf>
    <xf numFmtId="2" fontId="5" fillId="0" borderId="20" xfId="0" applyNumberFormat="1" applyFont="1" applyBorder="1"/>
    <xf numFmtId="169" fontId="0" fillId="0" borderId="46" xfId="0" applyNumberFormat="1" applyBorder="1"/>
    <xf numFmtId="169" fontId="0" fillId="0" borderId="8" xfId="0" applyNumberFormat="1" applyBorder="1"/>
    <xf numFmtId="2" fontId="0" fillId="0" borderId="24" xfId="0" applyNumberFormat="1" applyBorder="1"/>
    <xf numFmtId="2" fontId="0" fillId="0" borderId="47" xfId="0" applyNumberFormat="1" applyBorder="1"/>
    <xf numFmtId="2" fontId="0" fillId="0" borderId="85" xfId="0" applyNumberFormat="1" applyBorder="1"/>
    <xf numFmtId="0" fontId="5" fillId="0" borderId="0" xfId="0" applyFont="1" applyAlignment="1">
      <alignment horizontal="right"/>
    </xf>
    <xf numFmtId="178" fontId="6" fillId="0" borderId="47" xfId="0" applyNumberFormat="1" applyFont="1" applyBorder="1"/>
    <xf numFmtId="178" fontId="6" fillId="0" borderId="18" xfId="0" applyNumberFormat="1" applyFont="1" applyBorder="1"/>
    <xf numFmtId="178" fontId="6" fillId="0" borderId="14" xfId="0" applyNumberFormat="1" applyFont="1" applyBorder="1"/>
    <xf numFmtId="168" fontId="6" fillId="0" borderId="12" xfId="3" applyNumberFormat="1" applyFont="1" applyBorder="1"/>
    <xf numFmtId="169" fontId="6" fillId="0" borderId="15" xfId="0" applyNumberFormat="1" applyFont="1" applyBorder="1"/>
    <xf numFmtId="168" fontId="6" fillId="0" borderId="66" xfId="3" applyNumberFormat="1" applyFont="1" applyBorder="1"/>
    <xf numFmtId="165" fontId="6" fillId="0" borderId="2" xfId="0" applyNumberFormat="1" applyFont="1" applyBorder="1"/>
    <xf numFmtId="165" fontId="6" fillId="0" borderId="8" xfId="0" applyNumberFormat="1" applyFont="1" applyBorder="1"/>
    <xf numFmtId="165" fontId="6" fillId="0" borderId="37" xfId="0" applyNumberFormat="1" applyFont="1" applyBorder="1"/>
    <xf numFmtId="165" fontId="6" fillId="0" borderId="8" xfId="3" applyNumberFormat="1" applyFont="1" applyBorder="1"/>
    <xf numFmtId="2" fontId="6" fillId="0" borderId="0" xfId="0" applyNumberFormat="1" applyFont="1" applyAlignment="1">
      <alignment horizontal="right"/>
    </xf>
    <xf numFmtId="2" fontId="0" fillId="0" borderId="15" xfId="0" applyNumberFormat="1" applyBorder="1"/>
    <xf numFmtId="49" fontId="30" fillId="0" borderId="48" xfId="0" applyNumberFormat="1" applyFont="1" applyBorder="1" applyAlignment="1">
      <alignment horizontal="left" vertical="top" indent="2"/>
    </xf>
    <xf numFmtId="172" fontId="31" fillId="0" borderId="21" xfId="0" applyNumberFormat="1" applyFont="1" applyBorder="1" applyAlignment="1">
      <alignment horizontal="right" vertical="top"/>
    </xf>
    <xf numFmtId="49" fontId="30" fillId="0" borderId="75" xfId="0" applyNumberFormat="1" applyFont="1" applyBorder="1" applyAlignment="1">
      <alignment horizontal="left" vertical="top" indent="1"/>
    </xf>
    <xf numFmtId="49" fontId="27" fillId="0" borderId="31" xfId="0" applyNumberFormat="1" applyFont="1" applyBorder="1" applyAlignment="1">
      <alignment horizontal="left" vertical="top" indent="3"/>
    </xf>
    <xf numFmtId="165" fontId="0" fillId="0" borderId="34" xfId="0" applyNumberFormat="1" applyBorder="1"/>
    <xf numFmtId="172" fontId="31" fillId="0" borderId="86" xfId="0" applyNumberFormat="1" applyFont="1" applyBorder="1" applyAlignment="1">
      <alignment horizontal="right" vertical="top"/>
    </xf>
    <xf numFmtId="0" fontId="4" fillId="0" borderId="87" xfId="0" applyFont="1" applyBorder="1"/>
    <xf numFmtId="169" fontId="0" fillId="0" borderId="87" xfId="0" applyNumberFormat="1" applyBorder="1"/>
    <xf numFmtId="2" fontId="0" fillId="0" borderId="7" xfId="0" applyNumberFormat="1" applyBorder="1"/>
    <xf numFmtId="0" fontId="0" fillId="0" borderId="20" xfId="0" applyBorder="1"/>
    <xf numFmtId="0" fontId="0" fillId="0" borderId="70" xfId="0" applyBorder="1"/>
    <xf numFmtId="165" fontId="0" fillId="0" borderId="8" xfId="0" applyNumberFormat="1" applyBorder="1"/>
    <xf numFmtId="0" fontId="0" fillId="0" borderId="21" xfId="0" applyBorder="1"/>
    <xf numFmtId="49" fontId="27" fillId="0" borderId="26" xfId="0" applyNumberFormat="1" applyFont="1" applyBorder="1" applyAlignment="1">
      <alignment horizontal="left" vertical="top" indent="1"/>
    </xf>
    <xf numFmtId="172" fontId="31" fillId="0" borderId="20" xfId="0" applyNumberFormat="1" applyFont="1" applyBorder="1" applyAlignment="1">
      <alignment horizontal="right" vertical="top"/>
    </xf>
    <xf numFmtId="172" fontId="27" fillId="0" borderId="20" xfId="0" applyNumberFormat="1" applyFont="1" applyBorder="1" applyAlignment="1">
      <alignment horizontal="right" vertical="top"/>
    </xf>
    <xf numFmtId="173" fontId="31" fillId="0" borderId="20" xfId="0" applyNumberFormat="1" applyFont="1" applyBorder="1" applyAlignment="1">
      <alignment horizontal="right" vertical="top"/>
    </xf>
    <xf numFmtId="173" fontId="27" fillId="0" borderId="20" xfId="0" applyNumberFormat="1" applyFont="1" applyBorder="1" applyAlignment="1">
      <alignment horizontal="right" vertical="top"/>
    </xf>
    <xf numFmtId="165" fontId="27" fillId="0" borderId="8" xfId="0" applyNumberFormat="1" applyFont="1" applyBorder="1" applyAlignment="1">
      <alignment horizontal="right" vertical="top"/>
    </xf>
    <xf numFmtId="172" fontId="27" fillId="0" borderId="8" xfId="0" applyNumberFormat="1" applyFont="1" applyBorder="1" applyAlignment="1">
      <alignment horizontal="right" vertical="top"/>
    </xf>
    <xf numFmtId="173" fontId="27" fillId="0" borderId="8" xfId="0" applyNumberFormat="1" applyFont="1" applyBorder="1" applyAlignment="1">
      <alignment horizontal="right" vertical="top"/>
    </xf>
    <xf numFmtId="166" fontId="32" fillId="0" borderId="58" xfId="0" applyNumberFormat="1" applyFont="1" applyBorder="1" applyAlignment="1">
      <alignment horizontal="right" vertical="top"/>
    </xf>
    <xf numFmtId="166" fontId="6" fillId="0" borderId="7" xfId="0" applyNumberFormat="1" applyFont="1" applyBorder="1"/>
    <xf numFmtId="169" fontId="0" fillId="0" borderId="6" xfId="0" applyNumberFormat="1" applyBorder="1"/>
    <xf numFmtId="2" fontId="11" fillId="0" borderId="49" xfId="0" applyNumberFormat="1" applyFont="1" applyBorder="1"/>
    <xf numFmtId="178" fontId="6" fillId="0" borderId="30" xfId="0" applyNumberFormat="1" applyFont="1" applyBorder="1"/>
    <xf numFmtId="49" fontId="30" fillId="0" borderId="8" xfId="0" applyNumberFormat="1" applyFont="1" applyBorder="1" applyAlignment="1">
      <alignment vertical="top"/>
    </xf>
    <xf numFmtId="172" fontId="30" fillId="0" borderId="7" xfId="0" applyNumberFormat="1" applyFont="1" applyBorder="1" applyAlignment="1">
      <alignment horizontal="right" vertical="top"/>
    </xf>
    <xf numFmtId="1" fontId="0" fillId="0" borderId="20" xfId="0" applyNumberFormat="1" applyBorder="1"/>
    <xf numFmtId="1" fontId="6" fillId="0" borderId="4" xfId="0" applyNumberFormat="1" applyFont="1" applyBorder="1"/>
    <xf numFmtId="175" fontId="6" fillId="0" borderId="4" xfId="1" applyNumberFormat="1" applyFont="1" applyBorder="1"/>
    <xf numFmtId="172" fontId="0" fillId="0" borderId="0" xfId="0" applyNumberFormat="1"/>
    <xf numFmtId="166" fontId="6" fillId="0" borderId="18" xfId="0" applyNumberFormat="1" applyFont="1" applyBorder="1"/>
    <xf numFmtId="1" fontId="0" fillId="0" borderId="21" xfId="0" applyNumberFormat="1" applyBorder="1"/>
    <xf numFmtId="0" fontId="6" fillId="0" borderId="62" xfId="0" applyFont="1" applyBorder="1"/>
    <xf numFmtId="2" fontId="6" fillId="0" borderId="39" xfId="0" applyNumberFormat="1" applyFont="1" applyBorder="1"/>
    <xf numFmtId="165" fontId="6" fillId="0" borderId="36" xfId="0" applyNumberFormat="1" applyFont="1" applyBorder="1"/>
    <xf numFmtId="165" fontId="6" fillId="0" borderId="1" xfId="0" applyNumberFormat="1" applyFont="1" applyBorder="1"/>
    <xf numFmtId="2" fontId="6" fillId="0" borderId="61" xfId="0" applyNumberFormat="1" applyFont="1" applyBorder="1"/>
    <xf numFmtId="165" fontId="6" fillId="0" borderId="88" xfId="0" applyNumberFormat="1" applyFont="1" applyBorder="1"/>
    <xf numFmtId="2" fontId="6" fillId="0" borderId="86" xfId="0" applyNumberFormat="1" applyFont="1" applyBorder="1"/>
    <xf numFmtId="165" fontId="6" fillId="0" borderId="32" xfId="0" applyNumberFormat="1" applyFont="1" applyBorder="1"/>
    <xf numFmtId="0" fontId="6" fillId="3" borderId="87" xfId="0" applyFont="1" applyFill="1" applyBorder="1"/>
    <xf numFmtId="166" fontId="7" fillId="3" borderId="85" xfId="0" applyNumberFormat="1" applyFont="1" applyFill="1" applyBorder="1"/>
    <xf numFmtId="166" fontId="7" fillId="3" borderId="49" xfId="0" applyNumberFormat="1" applyFont="1" applyFill="1" applyBorder="1"/>
    <xf numFmtId="165" fontId="6" fillId="3" borderId="79" xfId="0" applyNumberFormat="1" applyFont="1" applyFill="1" applyBorder="1"/>
    <xf numFmtId="2" fontId="7" fillId="0" borderId="5" xfId="0" applyNumberFormat="1" applyFont="1" applyBorder="1"/>
    <xf numFmtId="2" fontId="7" fillId="0" borderId="11" xfId="0" applyNumberFormat="1" applyFont="1" applyBorder="1"/>
    <xf numFmtId="165" fontId="7" fillId="0" borderId="50" xfId="0" applyNumberFormat="1" applyFont="1" applyBorder="1"/>
    <xf numFmtId="165" fontId="7" fillId="0" borderId="5" xfId="0" applyNumberFormat="1" applyFont="1" applyBorder="1"/>
    <xf numFmtId="0" fontId="7" fillId="3" borderId="4" xfId="0" applyFont="1" applyFill="1" applyBorder="1"/>
    <xf numFmtId="166" fontId="7" fillId="3" borderId="4" xfId="0" applyNumberFormat="1" applyFont="1" applyFill="1" applyBorder="1"/>
    <xf numFmtId="2" fontId="7" fillId="3" borderId="4" xfId="0" applyNumberFormat="1" applyFont="1" applyFill="1" applyBorder="1"/>
    <xf numFmtId="2" fontId="7" fillId="3" borderId="49" xfId="0" applyNumberFormat="1" applyFont="1" applyFill="1" applyBorder="1"/>
    <xf numFmtId="0" fontId="6" fillId="5" borderId="8" xfId="0" applyFont="1" applyFill="1" applyBorder="1"/>
    <xf numFmtId="2" fontId="7" fillId="5" borderId="20" xfId="0" applyNumberFormat="1" applyFont="1" applyFill="1" applyBorder="1"/>
    <xf numFmtId="2" fontId="7" fillId="5" borderId="21" xfId="0" applyNumberFormat="1" applyFont="1" applyFill="1" applyBorder="1"/>
    <xf numFmtId="165" fontId="7" fillId="5" borderId="37" xfId="0" applyNumberFormat="1" applyFont="1" applyFill="1" applyBorder="1"/>
    <xf numFmtId="2" fontId="7" fillId="5" borderId="3" xfId="0" applyNumberFormat="1" applyFont="1" applyFill="1" applyBorder="1"/>
    <xf numFmtId="2" fontId="7" fillId="5" borderId="18" xfId="0" applyNumberFormat="1" applyFont="1" applyFill="1" applyBorder="1"/>
    <xf numFmtId="165" fontId="7" fillId="5" borderId="44" xfId="0" applyNumberFormat="1" applyFont="1" applyFill="1" applyBorder="1"/>
    <xf numFmtId="165" fontId="7" fillId="5" borderId="3" xfId="0" applyNumberFormat="1" applyFont="1" applyFill="1" applyBorder="1"/>
    <xf numFmtId="0" fontId="7" fillId="5" borderId="35" xfId="0" applyFont="1" applyFill="1" applyBorder="1"/>
    <xf numFmtId="2" fontId="7" fillId="5" borderId="2" xfId="0" applyNumberFormat="1" applyFont="1" applyFill="1" applyBorder="1"/>
    <xf numFmtId="2" fontId="7" fillId="5" borderId="24" xfId="0" applyNumberFormat="1" applyFont="1" applyFill="1" applyBorder="1"/>
    <xf numFmtId="165" fontId="7" fillId="5" borderId="23" xfId="0" applyNumberFormat="1" applyFont="1" applyFill="1" applyBorder="1"/>
    <xf numFmtId="2" fontId="7" fillId="5" borderId="42" xfId="0" applyNumberFormat="1" applyFont="1" applyFill="1" applyBorder="1"/>
    <xf numFmtId="165" fontId="7" fillId="5" borderId="2" xfId="0" applyNumberFormat="1" applyFont="1" applyFill="1" applyBorder="1"/>
    <xf numFmtId="2" fontId="6" fillId="6" borderId="58" xfId="0" applyNumberFormat="1" applyFont="1" applyFill="1" applyBorder="1"/>
    <xf numFmtId="2" fontId="6" fillId="6" borderId="38" xfId="0" applyNumberFormat="1" applyFont="1" applyFill="1" applyBorder="1"/>
    <xf numFmtId="165" fontId="6" fillId="6" borderId="89" xfId="0" applyNumberFormat="1" applyFont="1" applyFill="1" applyBorder="1"/>
    <xf numFmtId="2" fontId="7" fillId="6" borderId="58" xfId="0" applyNumberFormat="1" applyFont="1" applyFill="1" applyBorder="1"/>
    <xf numFmtId="9" fontId="6" fillId="0" borderId="0" xfId="3" applyFont="1" applyAlignment="1">
      <alignment horizontal="center"/>
    </xf>
    <xf numFmtId="2" fontId="0" fillId="0" borderId="90" xfId="0" applyNumberFormat="1" applyBorder="1"/>
    <xf numFmtId="2" fontId="0" fillId="0" borderId="40" xfId="0" applyNumberFormat="1" applyBorder="1"/>
    <xf numFmtId="1" fontId="5" fillId="0" borderId="0" xfId="0" applyNumberFormat="1" applyFont="1"/>
    <xf numFmtId="165" fontId="0" fillId="0" borderId="5" xfId="0" applyNumberFormat="1" applyBorder="1"/>
    <xf numFmtId="166" fontId="6" fillId="0" borderId="47" xfId="0" applyNumberFormat="1" applyFont="1" applyBorder="1"/>
    <xf numFmtId="0" fontId="6" fillId="0" borderId="0" xfId="0" applyFont="1" applyAlignment="1">
      <alignment horizontal="right"/>
    </xf>
    <xf numFmtId="0" fontId="5" fillId="0" borderId="7" xfId="0" applyFont="1" applyBorder="1"/>
    <xf numFmtId="9" fontId="0" fillId="0" borderId="0" xfId="0" applyNumberFormat="1"/>
    <xf numFmtId="164" fontId="6" fillId="0" borderId="0" xfId="1" applyFont="1"/>
    <xf numFmtId="175" fontId="6" fillId="0" borderId="0" xfId="0" applyNumberFormat="1" applyFont="1"/>
    <xf numFmtId="165" fontId="6" fillId="0" borderId="63" xfId="0" applyNumberFormat="1" applyFont="1" applyBorder="1"/>
    <xf numFmtId="165" fontId="6" fillId="0" borderId="7" xfId="0" applyNumberFormat="1" applyFont="1" applyBorder="1"/>
    <xf numFmtId="43" fontId="15" fillId="0" borderId="0" xfId="0" applyNumberFormat="1" applyFont="1"/>
    <xf numFmtId="0" fontId="6" fillId="0" borderId="0" xfId="0" applyFont="1" applyAlignment="1">
      <alignment horizontal="left" vertical="center" wrapText="1"/>
    </xf>
    <xf numFmtId="175" fontId="6" fillId="0" borderId="0" xfId="1" applyNumberFormat="1" applyFont="1" applyAlignment="1">
      <alignment horizontal="right" vertical="center"/>
    </xf>
    <xf numFmtId="166" fontId="6" fillId="0" borderId="0" xfId="0" applyNumberFormat="1" applyFont="1" applyAlignment="1">
      <alignment vertical="center"/>
    </xf>
    <xf numFmtId="165" fontId="6" fillId="0" borderId="70" xfId="0" applyNumberFormat="1" applyFont="1" applyBorder="1"/>
    <xf numFmtId="0" fontId="5" fillId="0" borderId="6" xfId="0" applyFont="1" applyBorder="1"/>
    <xf numFmtId="168" fontId="0" fillId="0" borderId="0" xfId="3" applyNumberFormat="1" applyFont="1"/>
    <xf numFmtId="165" fontId="5" fillId="0" borderId="0" xfId="0" applyNumberFormat="1" applyFont="1"/>
    <xf numFmtId="175" fontId="5" fillId="0" borderId="0" xfId="1" applyNumberFormat="1" applyFont="1"/>
    <xf numFmtId="0" fontId="14" fillId="0" borderId="0" xfId="0" applyFont="1"/>
    <xf numFmtId="0" fontId="13" fillId="0" borderId="0" xfId="0" applyFont="1"/>
    <xf numFmtId="2" fontId="13" fillId="0" borderId="0" xfId="0" applyNumberFormat="1" applyFont="1"/>
    <xf numFmtId="165" fontId="13" fillId="0" borderId="0" xfId="0" applyNumberFormat="1" applyFont="1"/>
    <xf numFmtId="175" fontId="13" fillId="0" borderId="0" xfId="1" applyNumberFormat="1" applyFont="1"/>
    <xf numFmtId="0" fontId="15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166" fontId="6" fillId="4" borderId="0" xfId="0" applyNumberFormat="1" applyFont="1" applyFill="1"/>
    <xf numFmtId="166" fontId="7" fillId="4" borderId="0" xfId="0" applyNumberFormat="1" applyFont="1" applyFill="1"/>
    <xf numFmtId="173" fontId="23" fillId="0" borderId="20" xfId="0" applyNumberFormat="1" applyFont="1" applyBorder="1" applyAlignment="1">
      <alignment horizontal="right" vertical="top"/>
    </xf>
    <xf numFmtId="178" fontId="6" fillId="0" borderId="56" xfId="0" applyNumberFormat="1" applyFont="1" applyBorder="1"/>
    <xf numFmtId="178" fontId="6" fillId="0" borderId="19" xfId="0" applyNumberFormat="1" applyFont="1" applyBorder="1"/>
    <xf numFmtId="178" fontId="6" fillId="0" borderId="42" xfId="0" applyNumberFormat="1" applyFont="1" applyBorder="1"/>
    <xf numFmtId="178" fontId="6" fillId="0" borderId="15" xfId="0" applyNumberFormat="1" applyFont="1" applyBorder="1"/>
    <xf numFmtId="178" fontId="6" fillId="0" borderId="54" xfId="0" applyNumberFormat="1" applyFont="1" applyBorder="1"/>
    <xf numFmtId="165" fontId="5" fillId="0" borderId="7" xfId="0" applyNumberFormat="1" applyFont="1" applyBorder="1"/>
    <xf numFmtId="165" fontId="4" fillId="0" borderId="0" xfId="0" applyNumberFormat="1" applyFont="1"/>
    <xf numFmtId="166" fontId="0" fillId="0" borderId="1" xfId="0" applyNumberFormat="1" applyBorder="1"/>
    <xf numFmtId="166" fontId="0" fillId="0" borderId="5" xfId="0" applyNumberFormat="1" applyBorder="1"/>
    <xf numFmtId="0" fontId="0" fillId="0" borderId="25" xfId="0" applyBorder="1"/>
    <xf numFmtId="166" fontId="0" fillId="0" borderId="63" xfId="0" applyNumberFormat="1" applyBorder="1"/>
    <xf numFmtId="166" fontId="5" fillId="0" borderId="7" xfId="0" applyNumberFormat="1" applyFont="1" applyBorder="1"/>
    <xf numFmtId="0" fontId="4" fillId="0" borderId="20" xfId="0" applyFont="1" applyBorder="1" applyAlignment="1">
      <alignment horizontal="center" vertical="center"/>
    </xf>
    <xf numFmtId="166" fontId="0" fillId="0" borderId="51" xfId="0" applyNumberFormat="1" applyBorder="1"/>
    <xf numFmtId="166" fontId="0" fillId="0" borderId="15" xfId="0" applyNumberFormat="1" applyBorder="1"/>
    <xf numFmtId="166" fontId="0" fillId="0" borderId="56" xfId="0" applyNumberFormat="1" applyBorder="1"/>
    <xf numFmtId="166" fontId="5" fillId="0" borderId="20" xfId="0" applyNumberFormat="1" applyFont="1" applyBorder="1"/>
    <xf numFmtId="166" fontId="5" fillId="0" borderId="26" xfId="0" applyNumberFormat="1" applyFont="1" applyBorder="1"/>
    <xf numFmtId="0" fontId="5" fillId="0" borderId="26" xfId="0" applyFont="1" applyBorder="1" applyAlignment="1">
      <alignment horizontal="center" vertical="center"/>
    </xf>
    <xf numFmtId="166" fontId="5" fillId="0" borderId="77" xfId="0" applyNumberFormat="1" applyFont="1" applyBorder="1"/>
    <xf numFmtId="166" fontId="5" fillId="0" borderId="40" xfId="0" applyNumberFormat="1" applyFont="1" applyBorder="1"/>
    <xf numFmtId="0" fontId="0" fillId="0" borderId="20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2" fontId="0" fillId="0" borderId="71" xfId="0" applyNumberFormat="1" applyBorder="1"/>
    <xf numFmtId="166" fontId="5" fillId="0" borderId="78" xfId="0" applyNumberFormat="1" applyFont="1" applyBorder="1"/>
    <xf numFmtId="0" fontId="0" fillId="0" borderId="37" xfId="0" applyBorder="1" applyAlignment="1">
      <alignment horizontal="center" vertical="center"/>
    </xf>
    <xf numFmtId="166" fontId="0" fillId="0" borderId="52" xfId="0" applyNumberFormat="1" applyBorder="1"/>
    <xf numFmtId="166" fontId="0" fillId="0" borderId="66" xfId="0" applyNumberFormat="1" applyBorder="1"/>
    <xf numFmtId="166" fontId="0" fillId="0" borderId="90" xfId="0" applyNumberFormat="1" applyBorder="1"/>
    <xf numFmtId="166" fontId="5" fillId="0" borderId="37" xfId="0" applyNumberFormat="1" applyFont="1" applyBorder="1"/>
    <xf numFmtId="0" fontId="6" fillId="0" borderId="73" xfId="0" applyFont="1" applyBorder="1" applyAlignment="1">
      <alignment horizontal="center" vertical="center"/>
    </xf>
    <xf numFmtId="175" fontId="6" fillId="0" borderId="91" xfId="1" applyNumberFormat="1" applyFont="1" applyBorder="1"/>
    <xf numFmtId="175" fontId="6" fillId="0" borderId="92" xfId="1" applyNumberFormat="1" applyFont="1" applyBorder="1"/>
    <xf numFmtId="175" fontId="6" fillId="0" borderId="73" xfId="1" applyNumberFormat="1" applyFont="1" applyBorder="1"/>
    <xf numFmtId="175" fontId="6" fillId="0" borderId="93" xfId="1" applyNumberFormat="1" applyFont="1" applyBorder="1"/>
    <xf numFmtId="175" fontId="7" fillId="0" borderId="73" xfId="1" applyNumberFormat="1" applyFont="1" applyBorder="1"/>
    <xf numFmtId="175" fontId="7" fillId="0" borderId="84" xfId="1" applyNumberFormat="1" applyFont="1" applyBorder="1"/>
    <xf numFmtId="0" fontId="6" fillId="0" borderId="26" xfId="0" applyFont="1" applyBorder="1" applyAlignment="1">
      <alignment horizontal="center" vertical="center"/>
    </xf>
    <xf numFmtId="175" fontId="6" fillId="0" borderId="77" xfId="1" applyNumberFormat="1" applyFont="1" applyBorder="1"/>
    <xf numFmtId="175" fontId="6" fillId="0" borderId="41" xfId="1" applyNumberFormat="1" applyFont="1" applyBorder="1"/>
    <xf numFmtId="175" fontId="6" fillId="0" borderId="26" xfId="1" applyNumberFormat="1" applyFont="1" applyBorder="1"/>
    <xf numFmtId="175" fontId="6" fillId="0" borderId="40" xfId="1" applyNumberFormat="1" applyFont="1" applyBorder="1"/>
    <xf numFmtId="175" fontId="7" fillId="0" borderId="26" xfId="1" applyNumberFormat="1" applyFont="1" applyBorder="1"/>
    <xf numFmtId="175" fontId="7" fillId="0" borderId="75" xfId="1" applyNumberFormat="1" applyFont="1" applyBorder="1"/>
    <xf numFmtId="0" fontId="6" fillId="0" borderId="8" xfId="0" applyFont="1" applyBorder="1" applyAlignment="1">
      <alignment horizontal="center" vertical="center"/>
    </xf>
    <xf numFmtId="0" fontId="7" fillId="0" borderId="8" xfId="0" applyFont="1" applyBorder="1"/>
    <xf numFmtId="0" fontId="6" fillId="0" borderId="73" xfId="0" applyFont="1" applyBorder="1"/>
    <xf numFmtId="175" fontId="7" fillId="0" borderId="26" xfId="0" applyNumberFormat="1" applyFont="1" applyBorder="1"/>
    <xf numFmtId="49" fontId="31" fillId="0" borderId="1" xfId="0" applyNumberFormat="1" applyFont="1" applyBorder="1" applyAlignment="1">
      <alignment horizontal="center" vertical="top" wrapText="1"/>
    </xf>
    <xf numFmtId="172" fontId="27" fillId="0" borderId="54" xfId="0" applyNumberFormat="1" applyFont="1" applyBorder="1" applyAlignment="1">
      <alignment horizontal="right" vertical="top"/>
    </xf>
    <xf numFmtId="2" fontId="30" fillId="0" borderId="7" xfId="0" applyNumberFormat="1" applyFont="1" applyBorder="1" applyAlignment="1">
      <alignment horizontal="right" vertical="top"/>
    </xf>
    <xf numFmtId="172" fontId="31" fillId="0" borderId="54" xfId="0" applyNumberFormat="1" applyFont="1" applyBorder="1" applyAlignment="1">
      <alignment horizontal="right" vertical="top"/>
    </xf>
    <xf numFmtId="172" fontId="30" fillId="0" borderId="51" xfId="0" applyNumberFormat="1" applyFont="1" applyBorder="1" applyAlignment="1">
      <alignment horizontal="right" vertical="top"/>
    </xf>
    <xf numFmtId="172" fontId="31" fillId="0" borderId="56" xfId="0" applyNumberFormat="1" applyFont="1" applyBorder="1" applyAlignment="1">
      <alignment horizontal="right" vertical="top"/>
    </xf>
    <xf numFmtId="174" fontId="28" fillId="0" borderId="112" xfId="0" applyNumberFormat="1" applyFont="1" applyBorder="1"/>
    <xf numFmtId="174" fontId="28" fillId="0" borderId="113" xfId="0" applyNumberFormat="1" applyFont="1" applyBorder="1"/>
    <xf numFmtId="174" fontId="28" fillId="0" borderId="114" xfId="0" applyNumberFormat="1" applyFont="1" applyBorder="1"/>
    <xf numFmtId="174" fontId="28" fillId="0" borderId="115" xfId="0" applyNumberFormat="1" applyFont="1" applyBorder="1"/>
    <xf numFmtId="174" fontId="28" fillId="0" borderId="116" xfId="0" applyNumberFormat="1" applyFont="1" applyBorder="1"/>
    <xf numFmtId="174" fontId="28" fillId="0" borderId="117" xfId="0" applyNumberFormat="1" applyFont="1" applyBorder="1"/>
    <xf numFmtId="174" fontId="28" fillId="0" borderId="118" xfId="0" applyNumberFormat="1" applyFont="1" applyBorder="1"/>
    <xf numFmtId="174" fontId="28" fillId="0" borderId="119" xfId="0" applyNumberFormat="1" applyFont="1" applyBorder="1"/>
    <xf numFmtId="174" fontId="28" fillId="0" borderId="121" xfId="0" applyNumberFormat="1" applyFont="1" applyBorder="1"/>
    <xf numFmtId="174" fontId="28" fillId="0" borderId="110" xfId="0" applyNumberFormat="1" applyFont="1" applyBorder="1"/>
    <xf numFmtId="174" fontId="28" fillId="0" borderId="111" xfId="0" applyNumberFormat="1" applyFont="1" applyBorder="1"/>
    <xf numFmtId="174" fontId="28" fillId="0" borderId="122" xfId="0" applyNumberFormat="1" applyFont="1" applyBorder="1"/>
    <xf numFmtId="174" fontId="28" fillId="0" borderId="123" xfId="0" applyNumberFormat="1" applyFont="1" applyBorder="1"/>
    <xf numFmtId="174" fontId="28" fillId="0" borderId="124" xfId="0" applyNumberFormat="1" applyFont="1" applyBorder="1"/>
    <xf numFmtId="174" fontId="28" fillId="0" borderId="125" xfId="0" applyNumberFormat="1" applyFont="1" applyBorder="1"/>
    <xf numFmtId="174" fontId="28" fillId="0" borderId="109" xfId="0" applyNumberFormat="1" applyFont="1" applyBorder="1"/>
    <xf numFmtId="174" fontId="33" fillId="0" borderId="110" xfId="0" applyNumberFormat="1" applyFont="1" applyBorder="1" applyAlignment="1">
      <alignment horizontal="right" vertical="center"/>
    </xf>
    <xf numFmtId="174" fontId="28" fillId="0" borderId="126" xfId="0" applyNumberFormat="1" applyFont="1" applyBorder="1"/>
    <xf numFmtId="174" fontId="28" fillId="0" borderId="127" xfId="0" applyNumberFormat="1" applyFont="1" applyBorder="1"/>
    <xf numFmtId="174" fontId="28" fillId="0" borderId="128" xfId="0" applyNumberFormat="1" applyFont="1" applyBorder="1"/>
    <xf numFmtId="174" fontId="28" fillId="0" borderId="120" xfId="0" applyNumberFormat="1" applyFont="1" applyBorder="1"/>
    <xf numFmtId="174" fontId="33" fillId="0" borderId="129" xfId="0" applyNumberFormat="1" applyFont="1" applyBorder="1" applyAlignment="1">
      <alignment horizontal="right" vertical="center"/>
    </xf>
    <xf numFmtId="174" fontId="28" fillId="0" borderId="27" xfId="0" applyNumberFormat="1" applyFont="1" applyBorder="1"/>
    <xf numFmtId="174" fontId="33" fillId="0" borderId="7" xfId="0" applyNumberFormat="1" applyFont="1" applyBorder="1" applyAlignment="1">
      <alignment horizontal="right" vertical="center"/>
    </xf>
    <xf numFmtId="174" fontId="33" fillId="0" borderId="21" xfId="0" applyNumberFormat="1" applyFont="1" applyBorder="1" applyAlignment="1">
      <alignment horizontal="right" vertical="center"/>
    </xf>
    <xf numFmtId="174" fontId="28" fillId="0" borderId="131" xfId="0" applyNumberFormat="1" applyFont="1" applyBorder="1"/>
    <xf numFmtId="174" fontId="28" fillId="0" borderId="132" xfId="0" applyNumberFormat="1" applyFont="1" applyBorder="1"/>
    <xf numFmtId="174" fontId="28" fillId="0" borderId="133" xfId="0" applyNumberFormat="1" applyFont="1" applyBorder="1"/>
    <xf numFmtId="174" fontId="28" fillId="0" borderId="130" xfId="0" applyNumberFormat="1" applyFont="1" applyBorder="1"/>
    <xf numFmtId="174" fontId="33" fillId="0" borderId="124" xfId="0" applyNumberFormat="1" applyFont="1" applyBorder="1" applyAlignment="1">
      <alignment horizontal="right" vertical="center"/>
    </xf>
    <xf numFmtId="174" fontId="33" fillId="0" borderId="125" xfId="0" applyNumberFormat="1" applyFont="1" applyBorder="1" applyAlignment="1">
      <alignment horizontal="right" vertical="center"/>
    </xf>
    <xf numFmtId="169" fontId="34" fillId="0" borderId="7" xfId="3" applyNumberFormat="1" applyFont="1" applyBorder="1"/>
    <xf numFmtId="0" fontId="0" fillId="0" borderId="87" xfId="0" applyBorder="1"/>
    <xf numFmtId="168" fontId="28" fillId="0" borderId="79" xfId="3" applyNumberFormat="1" applyFont="1" applyBorder="1"/>
    <xf numFmtId="165" fontId="34" fillId="0" borderId="7" xfId="3" applyNumberFormat="1" applyFont="1" applyBorder="1"/>
    <xf numFmtId="168" fontId="28" fillId="0" borderId="94" xfId="3" applyNumberFormat="1" applyFont="1" applyBorder="1"/>
    <xf numFmtId="174" fontId="35" fillId="0" borderId="112" xfId="0" applyNumberFormat="1" applyFont="1" applyBorder="1"/>
    <xf numFmtId="174" fontId="35" fillId="0" borderId="113" xfId="0" applyNumberFormat="1" applyFont="1" applyBorder="1"/>
    <xf numFmtId="174" fontId="35" fillId="0" borderId="115" xfId="0" applyNumberFormat="1" applyFont="1" applyBorder="1"/>
    <xf numFmtId="174" fontId="35" fillId="0" borderId="109" xfId="0" applyNumberFormat="1" applyFont="1" applyBorder="1"/>
    <xf numFmtId="174" fontId="35" fillId="0" borderId="110" xfId="0" applyNumberFormat="1" applyFont="1" applyBorder="1"/>
    <xf numFmtId="174" fontId="35" fillId="0" borderId="111" xfId="0" applyNumberFormat="1" applyFont="1" applyBorder="1"/>
    <xf numFmtId="0" fontId="33" fillId="0" borderId="8" xfId="0" applyFont="1" applyBorder="1" applyAlignment="1">
      <alignment horizontal="left" vertical="center" wrapText="1"/>
    </xf>
    <xf numFmtId="168" fontId="28" fillId="0" borderId="127" xfId="3" applyNumberFormat="1" applyFont="1" applyBorder="1"/>
    <xf numFmtId="168" fontId="28" fillId="0" borderId="135" xfId="3" applyNumberFormat="1" applyFont="1" applyBorder="1"/>
    <xf numFmtId="174" fontId="28" fillId="0" borderId="48" xfId="0" applyNumberFormat="1" applyFont="1" applyBorder="1"/>
    <xf numFmtId="172" fontId="30" fillId="0" borderId="58" xfId="0" applyNumberFormat="1" applyFont="1" applyBorder="1" applyAlignment="1">
      <alignment horizontal="right" vertical="top"/>
    </xf>
    <xf numFmtId="172" fontId="30" fillId="0" borderId="38" xfId="0" applyNumberFormat="1" applyFont="1" applyBorder="1" applyAlignment="1">
      <alignment horizontal="right" vertical="top"/>
    </xf>
    <xf numFmtId="172" fontId="31" fillId="0" borderId="11" xfId="0" applyNumberFormat="1" applyFont="1" applyBorder="1" applyAlignment="1">
      <alignment horizontal="right" vertical="top"/>
    </xf>
    <xf numFmtId="172" fontId="31" fillId="0" borderId="18" xfId="0" applyNumberFormat="1" applyFont="1" applyBorder="1" applyAlignment="1">
      <alignment horizontal="right" vertical="top"/>
    </xf>
    <xf numFmtId="172" fontId="30" fillId="0" borderId="11" xfId="0" applyNumberFormat="1" applyFont="1" applyBorder="1" applyAlignment="1">
      <alignment horizontal="right" vertical="top"/>
    </xf>
    <xf numFmtId="172" fontId="31" fillId="0" borderId="15" xfId="0" applyNumberFormat="1" applyFont="1" applyBorder="1" applyAlignment="1">
      <alignment horizontal="right" vertical="top"/>
    </xf>
    <xf numFmtId="172" fontId="30" fillId="0" borderId="61" xfId="0" applyNumberFormat="1" applyFont="1" applyBorder="1" applyAlignment="1">
      <alignment horizontal="right" vertical="top"/>
    </xf>
    <xf numFmtId="172" fontId="31" fillId="0" borderId="38" xfId="0" applyNumberFormat="1" applyFont="1" applyBorder="1" applyAlignment="1">
      <alignment horizontal="right" vertical="top"/>
    </xf>
    <xf numFmtId="172" fontId="32" fillId="0" borderId="38" xfId="0" applyNumberFormat="1" applyFont="1" applyBorder="1" applyAlignment="1">
      <alignment horizontal="right" vertical="top"/>
    </xf>
    <xf numFmtId="169" fontId="0" fillId="0" borderId="5" xfId="0" applyNumberFormat="1" applyBorder="1"/>
    <xf numFmtId="169" fontId="5" fillId="0" borderId="7" xfId="0" applyNumberFormat="1" applyFont="1" applyBorder="1"/>
    <xf numFmtId="2" fontId="7" fillId="0" borderId="0" xfId="0" applyNumberFormat="1" applyFont="1"/>
    <xf numFmtId="0" fontId="0" fillId="0" borderId="26" xfId="0" applyBorder="1" applyAlignment="1">
      <alignment horizontal="center" vertical="center"/>
    </xf>
    <xf numFmtId="166" fontId="0" fillId="0" borderId="77" xfId="0" applyNumberFormat="1" applyBorder="1"/>
    <xf numFmtId="0" fontId="0" fillId="0" borderId="0" xfId="0" applyProtection="1">
      <protection locked="0"/>
    </xf>
    <xf numFmtId="0" fontId="16" fillId="0" borderId="0" xfId="0" applyFont="1" applyProtection="1">
      <protection locked="0"/>
    </xf>
    <xf numFmtId="0" fontId="17" fillId="0" borderId="87" xfId="0" applyFont="1" applyBorder="1" applyProtection="1"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/>
      <protection locked="0"/>
    </xf>
    <xf numFmtId="0" fontId="18" fillId="0" borderId="44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0" fontId="17" fillId="0" borderId="9" xfId="0" applyFont="1" applyBorder="1" applyProtection="1">
      <protection locked="0"/>
    </xf>
    <xf numFmtId="165" fontId="17" fillId="0" borderId="5" xfId="0" applyNumberFormat="1" applyFont="1" applyBorder="1" applyProtection="1">
      <protection locked="0"/>
    </xf>
    <xf numFmtId="165" fontId="0" fillId="0" borderId="10" xfId="0" applyNumberFormat="1" applyBorder="1" applyProtection="1">
      <protection locked="0"/>
    </xf>
    <xf numFmtId="2" fontId="0" fillId="0" borderId="5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165" fontId="0" fillId="0" borderId="50" xfId="0" applyNumberFormat="1" applyBorder="1" applyProtection="1">
      <protection locked="0"/>
    </xf>
    <xf numFmtId="2" fontId="0" fillId="0" borderId="51" xfId="0" applyNumberFormat="1" applyBorder="1" applyProtection="1">
      <protection locked="0"/>
    </xf>
    <xf numFmtId="165" fontId="17" fillId="0" borderId="10" xfId="0" applyNumberFormat="1" applyFont="1" applyBorder="1" applyProtection="1">
      <protection locked="0"/>
    </xf>
    <xf numFmtId="0" fontId="17" fillId="0" borderId="12" xfId="0" applyFont="1" applyBorder="1" applyProtection="1">
      <protection locked="0"/>
    </xf>
    <xf numFmtId="165" fontId="17" fillId="0" borderId="1" xfId="0" applyNumberFormat="1" applyFont="1" applyBorder="1" applyProtection="1">
      <protection locked="0"/>
    </xf>
    <xf numFmtId="2" fontId="0" fillId="0" borderId="1" xfId="0" applyNumberFormat="1" applyBorder="1" applyProtection="1">
      <protection locked="0"/>
    </xf>
    <xf numFmtId="165" fontId="0" fillId="0" borderId="71" xfId="0" applyNumberFormat="1" applyBorder="1" applyProtection="1">
      <protection locked="0"/>
    </xf>
    <xf numFmtId="2" fontId="0" fillId="0" borderId="15" xfId="0" applyNumberFormat="1" applyBorder="1" applyProtection="1">
      <protection locked="0"/>
    </xf>
    <xf numFmtId="165" fontId="17" fillId="0" borderId="13" xfId="0" applyNumberFormat="1" applyFont="1" applyBorder="1" applyProtection="1">
      <protection locked="0"/>
    </xf>
    <xf numFmtId="2" fontId="17" fillId="0" borderId="1" xfId="0" applyNumberFormat="1" applyFont="1" applyBorder="1" applyProtection="1">
      <protection locked="0"/>
    </xf>
    <xf numFmtId="165" fontId="17" fillId="0" borderId="71" xfId="0" applyNumberFormat="1" applyFont="1" applyBorder="1" applyProtection="1">
      <protection locked="0"/>
    </xf>
    <xf numFmtId="0" fontId="17" fillId="0" borderId="46" xfId="0" applyFont="1" applyBorder="1" applyProtection="1">
      <protection locked="0"/>
    </xf>
    <xf numFmtId="0" fontId="18" fillId="0" borderId="8" xfId="0" applyFont="1" applyBorder="1" applyProtection="1">
      <protection locked="0"/>
    </xf>
    <xf numFmtId="165" fontId="18" fillId="0" borderId="7" xfId="0" applyNumberFormat="1" applyFont="1" applyBorder="1" applyProtection="1">
      <protection locked="0"/>
    </xf>
    <xf numFmtId="165" fontId="18" fillId="0" borderId="6" xfId="0" applyNumberFormat="1" applyFont="1" applyBorder="1" applyProtection="1">
      <protection locked="0"/>
    </xf>
    <xf numFmtId="2" fontId="18" fillId="0" borderId="7" xfId="0" applyNumberFormat="1" applyFont="1" applyBorder="1" applyProtection="1">
      <protection locked="0"/>
    </xf>
    <xf numFmtId="2" fontId="18" fillId="0" borderId="21" xfId="0" applyNumberFormat="1" applyFont="1" applyBorder="1" applyProtection="1">
      <protection locked="0"/>
    </xf>
    <xf numFmtId="165" fontId="18" fillId="0" borderId="70" xfId="0" applyNumberFormat="1" applyFont="1" applyBorder="1" applyProtection="1">
      <protection locked="0"/>
    </xf>
    <xf numFmtId="2" fontId="18" fillId="0" borderId="20" xfId="0" applyNumberFormat="1" applyFont="1" applyBorder="1" applyProtection="1">
      <protection locked="0"/>
    </xf>
    <xf numFmtId="0" fontId="17" fillId="0" borderId="0" xfId="0" applyFont="1" applyProtection="1">
      <protection locked="0"/>
    </xf>
    <xf numFmtId="165" fontId="17" fillId="0" borderId="0" xfId="0" applyNumberFormat="1" applyFont="1" applyProtection="1">
      <protection locked="0"/>
    </xf>
    <xf numFmtId="2" fontId="17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17" fillId="4" borderId="0" xfId="0" applyFont="1" applyFill="1" applyProtection="1">
      <protection locked="0"/>
    </xf>
    <xf numFmtId="2" fontId="5" fillId="0" borderId="21" xfId="0" applyNumberFormat="1" applyFont="1" applyBorder="1" applyProtection="1"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2" fontId="17" fillId="0" borderId="5" xfId="0" applyNumberFormat="1" applyFont="1" applyBorder="1" applyProtection="1">
      <protection locked="0"/>
    </xf>
    <xf numFmtId="0" fontId="0" fillId="0" borderId="37" xfId="0" applyBorder="1" applyProtection="1">
      <protection locked="0"/>
    </xf>
    <xf numFmtId="0" fontId="17" fillId="0" borderId="8" xfId="0" applyFont="1" applyBorder="1" applyProtection="1">
      <protection locked="0"/>
    </xf>
    <xf numFmtId="0" fontId="0" fillId="0" borderId="73" xfId="0" applyBorder="1" applyProtection="1">
      <protection locked="0"/>
    </xf>
    <xf numFmtId="169" fontId="0" fillId="0" borderId="57" xfId="0" applyNumberFormat="1" applyBorder="1"/>
    <xf numFmtId="49" fontId="27" fillId="0" borderId="46" xfId="0" applyNumberFormat="1" applyFont="1" applyBorder="1" applyAlignment="1">
      <alignment horizontal="left" vertical="top" indent="3"/>
    </xf>
    <xf numFmtId="172" fontId="31" fillId="0" borderId="47" xfId="0" applyNumberFormat="1" applyFont="1" applyBorder="1" applyAlignment="1">
      <alignment horizontal="right" vertical="top"/>
    </xf>
    <xf numFmtId="165" fontId="0" fillId="0" borderId="72" xfId="0" applyNumberFormat="1" applyBorder="1"/>
    <xf numFmtId="49" fontId="30" fillId="0" borderId="57" xfId="0" applyNumberFormat="1" applyFont="1" applyBorder="1" applyAlignment="1">
      <alignment vertical="top"/>
    </xf>
    <xf numFmtId="172" fontId="0" fillId="0" borderId="28" xfId="0" applyNumberFormat="1" applyBorder="1"/>
    <xf numFmtId="49" fontId="30" fillId="0" borderId="8" xfId="0" applyNumberFormat="1" applyFont="1" applyBorder="1" applyAlignment="1">
      <alignment horizontal="left" vertical="top" indent="2"/>
    </xf>
    <xf numFmtId="172" fontId="30" fillId="0" borderId="20" xfId="0" applyNumberFormat="1" applyFont="1" applyBorder="1" applyAlignment="1">
      <alignment horizontal="right" vertical="top"/>
    </xf>
    <xf numFmtId="172" fontId="31" fillId="0" borderId="28" xfId="0" applyNumberFormat="1" applyFont="1" applyBorder="1" applyAlignment="1">
      <alignment horizontal="right" vertical="top"/>
    </xf>
    <xf numFmtId="178" fontId="6" fillId="0" borderId="11" xfId="0" applyNumberFormat="1" applyFont="1" applyBorder="1"/>
    <xf numFmtId="166" fontId="6" fillId="0" borderId="38" xfId="0" applyNumberFormat="1" applyFont="1" applyBorder="1"/>
    <xf numFmtId="2" fontId="0" fillId="0" borderId="48" xfId="0" applyNumberFormat="1" applyBorder="1"/>
    <xf numFmtId="169" fontId="5" fillId="0" borderId="57" xfId="0" applyNumberFormat="1" applyFont="1" applyBorder="1"/>
    <xf numFmtId="17" fontId="0" fillId="0" borderId="0" xfId="0" applyNumberFormat="1"/>
    <xf numFmtId="169" fontId="5" fillId="0" borderId="0" xfId="0" applyNumberFormat="1" applyFont="1"/>
    <xf numFmtId="0" fontId="0" fillId="0" borderId="0" xfId="0" applyAlignment="1">
      <alignment horizontal="right"/>
    </xf>
    <xf numFmtId="164" fontId="0" fillId="0" borderId="1" xfId="1" applyFont="1" applyBorder="1"/>
    <xf numFmtId="0" fontId="0" fillId="0" borderId="47" xfId="0" applyBorder="1"/>
    <xf numFmtId="172" fontId="11" fillId="0" borderId="58" xfId="0" applyNumberFormat="1" applyFont="1" applyBorder="1"/>
    <xf numFmtId="165" fontId="0" fillId="0" borderId="9" xfId="0" applyNumberFormat="1" applyBorder="1"/>
    <xf numFmtId="172" fontId="31" fillId="0" borderId="51" xfId="0" applyNumberFormat="1" applyFont="1" applyBorder="1" applyAlignment="1">
      <alignment horizontal="right" vertical="top"/>
    </xf>
    <xf numFmtId="165" fontId="5" fillId="0" borderId="10" xfId="0" applyNumberFormat="1" applyFont="1" applyBorder="1"/>
    <xf numFmtId="166" fontId="6" fillId="0" borderId="24" xfId="0" applyNumberFormat="1" applyFont="1" applyBorder="1"/>
    <xf numFmtId="166" fontId="6" fillId="0" borderId="55" xfId="0" applyNumberFormat="1" applyFont="1" applyBorder="1"/>
    <xf numFmtId="166" fontId="6" fillId="0" borderId="30" xfId="0" applyNumberFormat="1" applyFont="1" applyBorder="1"/>
    <xf numFmtId="49" fontId="30" fillId="0" borderId="43" xfId="0" applyNumberFormat="1" applyFont="1" applyBorder="1" applyAlignment="1">
      <alignment horizontal="right" vertical="top" indent="2"/>
    </xf>
    <xf numFmtId="166" fontId="19" fillId="0" borderId="0" xfId="0" applyNumberFormat="1" applyFont="1"/>
    <xf numFmtId="166" fontId="8" fillId="0" borderId="7" xfId="0" applyNumberFormat="1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169" fontId="8" fillId="0" borderId="0" xfId="0" applyNumberFormat="1" applyFont="1"/>
    <xf numFmtId="2" fontId="8" fillId="0" borderId="0" xfId="0" applyNumberFormat="1" applyFont="1"/>
    <xf numFmtId="178" fontId="8" fillId="0" borderId="0" xfId="0" applyNumberFormat="1" applyFont="1"/>
    <xf numFmtId="2" fontId="0" fillId="0" borderId="66" xfId="0" applyNumberFormat="1" applyBorder="1"/>
    <xf numFmtId="169" fontId="6" fillId="0" borderId="56" xfId="0" applyNumberFormat="1" applyFont="1" applyBorder="1"/>
    <xf numFmtId="168" fontId="6" fillId="0" borderId="90" xfId="3" applyNumberFormat="1" applyFont="1" applyBorder="1"/>
    <xf numFmtId="165" fontId="6" fillId="0" borderId="90" xfId="0" applyNumberFormat="1" applyFont="1" applyBorder="1"/>
    <xf numFmtId="175" fontId="6" fillId="0" borderId="75" xfId="1" applyNumberFormat="1" applyFont="1" applyBorder="1"/>
    <xf numFmtId="175" fontId="6" fillId="0" borderId="84" xfId="1" applyNumberFormat="1" applyFont="1" applyBorder="1"/>
    <xf numFmtId="166" fontId="6" fillId="0" borderId="9" xfId="3" applyNumberFormat="1" applyFont="1" applyBorder="1"/>
    <xf numFmtId="166" fontId="6" fillId="0" borderId="5" xfId="0" applyNumberFormat="1" applyFont="1" applyBorder="1"/>
    <xf numFmtId="166" fontId="6" fillId="0" borderId="11" xfId="0" applyNumberFormat="1" applyFont="1" applyBorder="1"/>
    <xf numFmtId="166" fontId="6" fillId="0" borderId="9" xfId="0" applyNumberFormat="1" applyFont="1" applyBorder="1"/>
    <xf numFmtId="166" fontId="6" fillId="0" borderId="52" xfId="0" applyNumberFormat="1" applyFont="1" applyBorder="1"/>
    <xf numFmtId="166" fontId="6" fillId="0" borderId="51" xfId="0" applyNumberFormat="1" applyFont="1" applyBorder="1"/>
    <xf numFmtId="166" fontId="6" fillId="0" borderId="56" xfId="0" applyNumberFormat="1" applyFont="1" applyBorder="1"/>
    <xf numFmtId="49" fontId="31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/>
    </xf>
    <xf numFmtId="166" fontId="8" fillId="0" borderId="0" xfId="0" applyNumberFormat="1" applyFont="1"/>
    <xf numFmtId="166" fontId="7" fillId="0" borderId="26" xfId="0" applyNumberFormat="1" applyFont="1" applyBorder="1"/>
    <xf numFmtId="174" fontId="28" fillId="0" borderId="137" xfId="0" applyNumberFormat="1" applyFont="1" applyBorder="1"/>
    <xf numFmtId="174" fontId="28" fillId="0" borderId="138" xfId="0" applyNumberFormat="1" applyFont="1" applyBorder="1"/>
    <xf numFmtId="174" fontId="28" fillId="0" borderId="139" xfId="0" applyNumberFormat="1" applyFont="1" applyBorder="1"/>
    <xf numFmtId="168" fontId="5" fillId="0" borderId="0" xfId="3" applyNumberFormat="1" applyFont="1" applyAlignment="1">
      <alignment horizontal="center"/>
    </xf>
    <xf numFmtId="168" fontId="0" fillId="0" borderId="0" xfId="0" applyNumberFormat="1"/>
    <xf numFmtId="168" fontId="5" fillId="0" borderId="0" xfId="0" applyNumberFormat="1" applyFont="1" applyAlignment="1">
      <alignment horizontal="center"/>
    </xf>
    <xf numFmtId="49" fontId="30" fillId="0" borderId="77" xfId="0" applyNumberFormat="1" applyFont="1" applyBorder="1" applyAlignment="1">
      <alignment horizontal="left" vertical="top" indent="1"/>
    </xf>
    <xf numFmtId="165" fontId="5" fillId="0" borderId="13" xfId="0" applyNumberFormat="1" applyFont="1" applyBorder="1"/>
    <xf numFmtId="172" fontId="5" fillId="0" borderId="0" xfId="0" applyNumberFormat="1" applyFont="1"/>
    <xf numFmtId="2" fontId="19" fillId="0" borderId="0" xfId="0" applyNumberFormat="1" applyFont="1"/>
    <xf numFmtId="170" fontId="6" fillId="0" borderId="4" xfId="0" applyNumberFormat="1" applyFont="1" applyBorder="1"/>
    <xf numFmtId="49" fontId="36" fillId="0" borderId="87" xfId="0" applyNumberFormat="1" applyFont="1" applyBorder="1" applyAlignment="1">
      <alignment vertical="top"/>
    </xf>
    <xf numFmtId="0" fontId="23" fillId="0" borderId="79" xfId="0" applyFont="1" applyBorder="1" applyAlignment="1">
      <alignment vertical="top"/>
    </xf>
    <xf numFmtId="49" fontId="31" fillId="0" borderId="40" xfId="0" applyNumberFormat="1" applyFont="1" applyBorder="1" applyAlignment="1">
      <alignment horizontal="left" vertical="top" indent="2"/>
    </xf>
    <xf numFmtId="49" fontId="31" fillId="0" borderId="74" xfId="0" applyNumberFormat="1" applyFont="1" applyBorder="1" applyAlignment="1">
      <alignment horizontal="left" vertical="top" indent="2"/>
    </xf>
    <xf numFmtId="49" fontId="31" fillId="0" borderId="41" xfId="0" applyNumberFormat="1" applyFont="1" applyBorder="1" applyAlignment="1">
      <alignment horizontal="left" vertical="top" indent="2"/>
    </xf>
    <xf numFmtId="49" fontId="31" fillId="0" borderId="77" xfId="0" applyNumberFormat="1" applyFont="1" applyBorder="1" applyAlignment="1">
      <alignment horizontal="right" vertical="top" indent="2"/>
    </xf>
    <xf numFmtId="168" fontId="0" fillId="0" borderId="0" xfId="3" applyNumberFormat="1" applyFont="1" applyBorder="1"/>
    <xf numFmtId="178" fontId="19" fillId="0" borderId="4" xfId="0" applyNumberFormat="1" applyFont="1" applyBorder="1"/>
    <xf numFmtId="178" fontId="0" fillId="0" borderId="4" xfId="0" applyNumberFormat="1" applyBorder="1"/>
    <xf numFmtId="166" fontId="19" fillId="0" borderId="4" xfId="0" applyNumberFormat="1" applyFont="1" applyBorder="1"/>
    <xf numFmtId="172" fontId="0" fillId="0" borderId="4" xfId="0" applyNumberFormat="1" applyBorder="1"/>
    <xf numFmtId="178" fontId="5" fillId="0" borderId="4" xfId="0" applyNumberFormat="1" applyFont="1" applyBorder="1"/>
    <xf numFmtId="168" fontId="6" fillId="0" borderId="0" xfId="3" applyNumberFormat="1" applyFont="1" applyAlignment="1">
      <alignment horizontal="center"/>
    </xf>
    <xf numFmtId="168" fontId="6" fillId="0" borderId="0" xfId="3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/>
    </xf>
    <xf numFmtId="168" fontId="7" fillId="0" borderId="0" xfId="3" applyNumberFormat="1" applyFont="1" applyAlignment="1">
      <alignment horizontal="center"/>
    </xf>
    <xf numFmtId="166" fontId="6" fillId="0" borderId="2" xfId="0" applyNumberFormat="1" applyFont="1" applyBorder="1"/>
    <xf numFmtId="2" fontId="4" fillId="0" borderId="0" xfId="0" applyNumberFormat="1" applyFont="1"/>
    <xf numFmtId="166" fontId="5" fillId="0" borderId="0" xfId="0" applyNumberFormat="1" applyFont="1"/>
    <xf numFmtId="37" fontId="0" fillId="0" borderId="11" xfId="0" applyNumberFormat="1" applyBorder="1"/>
    <xf numFmtId="0" fontId="7" fillId="5" borderId="46" xfId="0" applyFont="1" applyFill="1" applyBorder="1"/>
    <xf numFmtId="0" fontId="6" fillId="6" borderId="8" xfId="0" applyFont="1" applyFill="1" applyBorder="1"/>
    <xf numFmtId="168" fontId="6" fillId="0" borderId="66" xfId="3" applyNumberFormat="1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48" xfId="0" quotePrefix="1" applyFont="1" applyBorder="1" applyAlignment="1">
      <alignment horizontal="center"/>
    </xf>
    <xf numFmtId="9" fontId="6" fillId="0" borderId="98" xfId="3" applyFont="1" applyBorder="1" applyAlignment="1">
      <alignment horizontal="center"/>
    </xf>
    <xf numFmtId="9" fontId="6" fillId="0" borderId="12" xfId="3" applyFont="1" applyBorder="1" applyAlignment="1">
      <alignment horizontal="center"/>
    </xf>
    <xf numFmtId="9" fontId="6" fillId="0" borderId="27" xfId="3" applyFont="1" applyBorder="1" applyAlignment="1">
      <alignment horizontal="center"/>
    </xf>
    <xf numFmtId="9" fontId="6" fillId="0" borderId="9" xfId="3" applyFont="1" applyBorder="1" applyAlignment="1">
      <alignment horizontal="center"/>
    </xf>
    <xf numFmtId="9" fontId="6" fillId="0" borderId="31" xfId="3" applyFont="1" applyBorder="1" applyAlignment="1">
      <alignment horizontal="center"/>
    </xf>
    <xf numFmtId="165" fontId="6" fillId="0" borderId="5" xfId="0" applyNumberFormat="1" applyFont="1" applyBorder="1"/>
    <xf numFmtId="165" fontId="6" fillId="0" borderId="28" xfId="0" applyNumberFormat="1" applyFont="1" applyBorder="1"/>
    <xf numFmtId="169" fontId="6" fillId="0" borderId="5" xfId="0" applyNumberFormat="1" applyFont="1" applyBorder="1"/>
    <xf numFmtId="169" fontId="6" fillId="0" borderId="1" xfId="0" applyNumberFormat="1" applyFont="1" applyBorder="1"/>
    <xf numFmtId="168" fontId="6" fillId="0" borderId="1" xfId="3" applyNumberFormat="1" applyFont="1" applyBorder="1" applyAlignment="1">
      <alignment horizontal="center"/>
    </xf>
    <xf numFmtId="168" fontId="6" fillId="0" borderId="63" xfId="3" applyNumberFormat="1" applyFont="1" applyBorder="1" applyAlignment="1">
      <alignment horizontal="center"/>
    </xf>
    <xf numFmtId="169" fontId="6" fillId="0" borderId="60" xfId="0" applyNumberFormat="1" applyFont="1" applyBorder="1"/>
    <xf numFmtId="168" fontId="6" fillId="0" borderId="5" xfId="3" applyNumberFormat="1" applyFont="1" applyBorder="1"/>
    <xf numFmtId="166" fontId="6" fillId="0" borderId="5" xfId="3" applyNumberFormat="1" applyFont="1" applyBorder="1"/>
    <xf numFmtId="165" fontId="6" fillId="0" borderId="1" xfId="3" applyNumberFormat="1" applyFont="1" applyBorder="1"/>
    <xf numFmtId="165" fontId="6" fillId="0" borderId="63" xfId="3" applyNumberFormat="1" applyFont="1" applyBorder="1"/>
    <xf numFmtId="165" fontId="7" fillId="5" borderId="7" xfId="3" applyNumberFormat="1" applyFont="1" applyFill="1" applyBorder="1"/>
    <xf numFmtId="168" fontId="6" fillId="0" borderId="2" xfId="3" applyNumberFormat="1" applyFont="1" applyBorder="1"/>
    <xf numFmtId="165" fontId="6" fillId="0" borderId="5" xfId="3" applyNumberFormat="1" applyFont="1" applyBorder="1"/>
    <xf numFmtId="165" fontId="6" fillId="0" borderId="64" xfId="3" applyNumberFormat="1" applyFont="1" applyBorder="1"/>
    <xf numFmtId="165" fontId="6" fillId="0" borderId="28" xfId="3" applyNumberFormat="1" applyFont="1" applyBorder="1"/>
    <xf numFmtId="165" fontId="6" fillId="8" borderId="95" xfId="3" applyNumberFormat="1" applyFont="1" applyFill="1" applyBorder="1"/>
    <xf numFmtId="165" fontId="6" fillId="6" borderId="65" xfId="0" applyNumberFormat="1" applyFont="1" applyFill="1" applyBorder="1"/>
    <xf numFmtId="9" fontId="7" fillId="0" borderId="9" xfId="3" applyFont="1" applyBorder="1" applyAlignment="1">
      <alignment horizontal="center"/>
    </xf>
    <xf numFmtId="9" fontId="7" fillId="5" borderId="8" xfId="3" applyFont="1" applyFill="1" applyBorder="1" applyAlignment="1">
      <alignment horizontal="center"/>
    </xf>
    <xf numFmtId="9" fontId="7" fillId="0" borderId="83" xfId="3" applyFont="1" applyBorder="1" applyAlignment="1">
      <alignment horizontal="center"/>
    </xf>
    <xf numFmtId="9" fontId="6" fillId="5" borderId="9" xfId="3" applyFont="1" applyFill="1" applyBorder="1" applyAlignment="1">
      <alignment horizontal="center"/>
    </xf>
    <xf numFmtId="9" fontId="6" fillId="8" borderId="6" xfId="3" applyFont="1" applyFill="1" applyBorder="1" applyAlignment="1">
      <alignment horizontal="center"/>
    </xf>
    <xf numFmtId="9" fontId="7" fillId="5" borderId="46" xfId="3" applyFont="1" applyFill="1" applyBorder="1" applyAlignment="1">
      <alignment horizontal="center"/>
    </xf>
    <xf numFmtId="9" fontId="7" fillId="0" borderId="45" xfId="3" applyFont="1" applyBorder="1" applyAlignment="1">
      <alignment horizontal="center"/>
    </xf>
    <xf numFmtId="185" fontId="7" fillId="0" borderId="8" xfId="3" applyNumberFormat="1" applyFont="1" applyBorder="1" applyAlignment="1">
      <alignment horizontal="center"/>
    </xf>
    <xf numFmtId="9" fontId="7" fillId="6" borderId="8" xfId="3" applyFont="1" applyFill="1" applyBorder="1" applyAlignment="1">
      <alignment horizontal="center"/>
    </xf>
    <xf numFmtId="9" fontId="7" fillId="0" borderId="99" xfId="3" applyFont="1" applyBorder="1" applyAlignment="1">
      <alignment horizontal="center"/>
    </xf>
    <xf numFmtId="165" fontId="6" fillId="3" borderId="95" xfId="3" applyNumberFormat="1" applyFont="1" applyFill="1" applyBorder="1"/>
    <xf numFmtId="165" fontId="7" fillId="5" borderId="76" xfId="0" applyNumberFormat="1" applyFont="1" applyFill="1" applyBorder="1"/>
    <xf numFmtId="165" fontId="6" fillId="0" borderId="100" xfId="0" applyNumberFormat="1" applyFont="1" applyBorder="1"/>
    <xf numFmtId="165" fontId="7" fillId="5" borderId="53" xfId="0" applyNumberFormat="1" applyFont="1" applyFill="1" applyBorder="1"/>
    <xf numFmtId="165" fontId="6" fillId="6" borderId="4" xfId="0" applyNumberFormat="1" applyFont="1" applyFill="1" applyBorder="1"/>
    <xf numFmtId="0" fontId="6" fillId="0" borderId="17" xfId="0" quotePrefix="1" applyFont="1" applyBorder="1" applyAlignment="1">
      <alignment horizontal="center"/>
    </xf>
    <xf numFmtId="0" fontId="6" fillId="0" borderId="10" xfId="0" applyFont="1" applyBorder="1"/>
    <xf numFmtId="0" fontId="6" fillId="0" borderId="25" xfId="0" applyFont="1" applyBorder="1"/>
    <xf numFmtId="0" fontId="6" fillId="0" borderId="13" xfId="0" applyFont="1" applyBorder="1"/>
    <xf numFmtId="9" fontId="7" fillId="0" borderId="10" xfId="3" applyFont="1" applyBorder="1" applyAlignment="1">
      <alignment horizontal="center"/>
    </xf>
    <xf numFmtId="0" fontId="6" fillId="0" borderId="29" xfId="0" applyFont="1" applyBorder="1"/>
    <xf numFmtId="9" fontId="7" fillId="0" borderId="59" xfId="3" applyFont="1" applyBorder="1" applyAlignment="1">
      <alignment horizontal="center"/>
    </xf>
    <xf numFmtId="9" fontId="6" fillId="0" borderId="101" xfId="3" applyFont="1" applyBorder="1" applyAlignment="1">
      <alignment horizontal="center"/>
    </xf>
    <xf numFmtId="9" fontId="6" fillId="0" borderId="13" xfId="3" applyFont="1" applyBorder="1" applyAlignment="1">
      <alignment horizontal="center"/>
    </xf>
    <xf numFmtId="9" fontId="6" fillId="0" borderId="29" xfId="3" applyFont="1" applyBorder="1" applyAlignment="1">
      <alignment horizontal="center"/>
    </xf>
    <xf numFmtId="9" fontId="7" fillId="5" borderId="6" xfId="3" applyFont="1" applyFill="1" applyBorder="1" applyAlignment="1">
      <alignment horizontal="center"/>
    </xf>
    <xf numFmtId="9" fontId="6" fillId="0" borderId="10" xfId="3" applyFont="1" applyBorder="1" applyAlignment="1">
      <alignment horizontal="center"/>
    </xf>
    <xf numFmtId="9" fontId="6" fillId="0" borderId="34" xfId="3" applyFont="1" applyBorder="1" applyAlignment="1">
      <alignment horizontal="center"/>
    </xf>
    <xf numFmtId="9" fontId="6" fillId="5" borderId="10" xfId="3" applyFont="1" applyFill="1" applyBorder="1" applyAlignment="1">
      <alignment horizontal="center"/>
    </xf>
    <xf numFmtId="9" fontId="7" fillId="5" borderId="25" xfId="3" applyFont="1" applyFill="1" applyBorder="1" applyAlignment="1">
      <alignment horizontal="center"/>
    </xf>
    <xf numFmtId="9" fontId="7" fillId="6" borderId="6" xfId="3" applyFont="1" applyFill="1" applyBorder="1" applyAlignment="1">
      <alignment horizontal="center"/>
    </xf>
    <xf numFmtId="166" fontId="6" fillId="0" borderId="70" xfId="0" applyNumberFormat="1" applyFont="1" applyBorder="1"/>
    <xf numFmtId="185" fontId="7" fillId="0" borderId="6" xfId="3" applyNumberFormat="1" applyFont="1" applyBorder="1" applyAlignment="1">
      <alignment horizontal="center"/>
    </xf>
    <xf numFmtId="9" fontId="6" fillId="3" borderId="79" xfId="3" applyFont="1" applyFill="1" applyBorder="1" applyAlignment="1">
      <alignment horizontal="center"/>
    </xf>
    <xf numFmtId="169" fontId="6" fillId="0" borderId="70" xfId="0" applyNumberFormat="1" applyFont="1" applyBorder="1"/>
    <xf numFmtId="9" fontId="6" fillId="0" borderId="6" xfId="3" applyFont="1" applyBorder="1" applyAlignment="1">
      <alignment horizontal="center"/>
    </xf>
    <xf numFmtId="166" fontId="6" fillId="0" borderId="19" xfId="0" applyNumberFormat="1" applyFont="1" applyBorder="1"/>
    <xf numFmtId="2" fontId="5" fillId="0" borderId="21" xfId="0" applyNumberFormat="1" applyFont="1" applyBorder="1"/>
    <xf numFmtId="168" fontId="6" fillId="0" borderId="24" xfId="0" applyNumberFormat="1" applyFont="1" applyBorder="1"/>
    <xf numFmtId="168" fontId="6" fillId="0" borderId="14" xfId="0" applyNumberFormat="1" applyFont="1" applyBorder="1"/>
    <xf numFmtId="168" fontId="6" fillId="0" borderId="47" xfId="0" applyNumberFormat="1" applyFont="1" applyBorder="1"/>
    <xf numFmtId="168" fontId="6" fillId="0" borderId="21" xfId="0" applyNumberFormat="1" applyFont="1" applyBorder="1"/>
    <xf numFmtId="0" fontId="37" fillId="0" borderId="6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0" xfId="0" applyFont="1" applyAlignment="1">
      <alignment horizontal="center"/>
    </xf>
    <xf numFmtId="9" fontId="5" fillId="0" borderId="0" xfId="3" applyFont="1"/>
    <xf numFmtId="165" fontId="0" fillId="4" borderId="0" xfId="0" applyNumberFormat="1" applyFill="1"/>
    <xf numFmtId="0" fontId="0" fillId="0" borderId="18" xfId="0" applyBorder="1"/>
    <xf numFmtId="9" fontId="5" fillId="0" borderId="4" xfId="3" applyFont="1" applyBorder="1"/>
    <xf numFmtId="0" fontId="5" fillId="0" borderId="6" xfId="0" applyFont="1" applyBorder="1" applyAlignment="1">
      <alignment horizontal="right"/>
    </xf>
    <xf numFmtId="2" fontId="5" fillId="0" borderId="8" xfId="0" applyNumberFormat="1" applyFont="1" applyBorder="1"/>
    <xf numFmtId="9" fontId="5" fillId="0" borderId="37" xfId="3" applyFont="1" applyBorder="1"/>
    <xf numFmtId="0" fontId="4" fillId="0" borderId="52" xfId="0" applyFont="1" applyBorder="1"/>
    <xf numFmtId="165" fontId="0" fillId="0" borderId="52" xfId="0" applyNumberFormat="1" applyBorder="1"/>
    <xf numFmtId="165" fontId="0" fillId="4" borderId="52" xfId="0" applyNumberFormat="1" applyFill="1" applyBorder="1"/>
    <xf numFmtId="173" fontId="31" fillId="0" borderId="0" xfId="0" applyNumberFormat="1" applyFont="1" applyAlignment="1">
      <alignment horizontal="right" vertical="top"/>
    </xf>
    <xf numFmtId="49" fontId="30" fillId="0" borderId="0" xfId="0" applyNumberFormat="1" applyFont="1" applyAlignment="1">
      <alignment horizontal="left" vertical="top" indent="2"/>
    </xf>
    <xf numFmtId="173" fontId="30" fillId="0" borderId="0" xfId="0" applyNumberFormat="1" applyFont="1" applyAlignment="1">
      <alignment horizontal="right" vertical="top"/>
    </xf>
    <xf numFmtId="172" fontId="30" fillId="0" borderId="0" xfId="0" applyNumberFormat="1" applyFont="1" applyAlignment="1">
      <alignment horizontal="right" vertical="top"/>
    </xf>
    <xf numFmtId="173" fontId="38" fillId="0" borderId="0" xfId="0" applyNumberFormat="1" applyFont="1" applyAlignment="1">
      <alignment horizontal="right" vertical="top"/>
    </xf>
    <xf numFmtId="173" fontId="39" fillId="0" borderId="0" xfId="0" applyNumberFormat="1" applyFont="1" applyAlignment="1">
      <alignment horizontal="right" vertical="top"/>
    </xf>
    <xf numFmtId="1" fontId="20" fillId="0" borderId="0" xfId="0" applyNumberFormat="1" applyFont="1"/>
    <xf numFmtId="9" fontId="6" fillId="0" borderId="0" xfId="3" applyFont="1"/>
    <xf numFmtId="1" fontId="20" fillId="0" borderId="1" xfId="0" applyNumberFormat="1" applyFont="1" applyBorder="1"/>
    <xf numFmtId="0" fontId="20" fillId="0" borderId="1" xfId="0" applyFont="1" applyBorder="1"/>
    <xf numFmtId="173" fontId="23" fillId="0" borderId="1" xfId="0" applyNumberFormat="1" applyFont="1" applyBorder="1" applyAlignment="1">
      <alignment horizontal="right" vertical="top"/>
    </xf>
    <xf numFmtId="9" fontId="6" fillId="0" borderId="14" xfId="3" applyFont="1" applyBorder="1" applyAlignment="1">
      <alignment horizontal="center"/>
    </xf>
    <xf numFmtId="49" fontId="31" fillId="0" borderId="13" xfId="0" applyNumberFormat="1" applyFont="1" applyBorder="1" applyAlignment="1">
      <alignment vertical="top"/>
    </xf>
    <xf numFmtId="49" fontId="31" fillId="0" borderId="0" xfId="0" applyNumberFormat="1" applyFont="1" applyAlignment="1">
      <alignment vertical="top"/>
    </xf>
    <xf numFmtId="49" fontId="31" fillId="0" borderId="17" xfId="0" applyNumberFormat="1" applyFont="1" applyBorder="1" applyAlignment="1">
      <alignment vertical="top"/>
    </xf>
    <xf numFmtId="173" fontId="23" fillId="0" borderId="3" xfId="0" applyNumberFormat="1" applyFont="1" applyBorder="1" applyAlignment="1">
      <alignment horizontal="right" vertical="top"/>
    </xf>
    <xf numFmtId="1" fontId="20" fillId="0" borderId="3" xfId="0" applyNumberFormat="1" applyFont="1" applyBorder="1"/>
    <xf numFmtId="9" fontId="6" fillId="0" borderId="18" xfId="3" applyFont="1" applyBorder="1" applyAlignment="1">
      <alignment horizontal="center"/>
    </xf>
    <xf numFmtId="173" fontId="38" fillId="0" borderId="28" xfId="0" applyNumberFormat="1" applyFont="1" applyBorder="1" applyAlignment="1">
      <alignment horizontal="right" vertical="top"/>
    </xf>
    <xf numFmtId="1" fontId="6" fillId="0" borderId="28" xfId="0" applyNumberFormat="1" applyFont="1" applyBorder="1"/>
    <xf numFmtId="9" fontId="7" fillId="0" borderId="30" xfId="3" applyFont="1" applyBorder="1" applyAlignment="1">
      <alignment horizontal="center"/>
    </xf>
    <xf numFmtId="0" fontId="6" fillId="0" borderId="57" xfId="0" applyFont="1" applyBorder="1"/>
    <xf numFmtId="173" fontId="38" fillId="0" borderId="65" xfId="0" applyNumberFormat="1" applyFont="1" applyBorder="1" applyAlignment="1">
      <alignment horizontal="right" vertical="top"/>
    </xf>
    <xf numFmtId="1" fontId="6" fillId="0" borderId="65" xfId="0" applyNumberFormat="1" applyFont="1" applyBorder="1"/>
    <xf numFmtId="9" fontId="7" fillId="0" borderId="38" xfId="0" applyNumberFormat="1" applyFont="1" applyBorder="1" applyAlignment="1">
      <alignment horizontal="center"/>
    </xf>
    <xf numFmtId="49" fontId="31" fillId="0" borderId="6" xfId="0" applyNumberFormat="1" applyFont="1" applyBorder="1" applyAlignment="1">
      <alignment vertical="top"/>
    </xf>
    <xf numFmtId="173" fontId="39" fillId="0" borderId="7" xfId="0" applyNumberFormat="1" applyFont="1" applyBorder="1" applyAlignment="1">
      <alignment horizontal="right" vertical="top"/>
    </xf>
    <xf numFmtId="1" fontId="20" fillId="0" borderId="7" xfId="0" applyNumberFormat="1" applyFont="1" applyBorder="1"/>
    <xf numFmtId="9" fontId="6" fillId="0" borderId="21" xfId="3" applyFont="1" applyBorder="1" applyAlignment="1">
      <alignment horizontal="center"/>
    </xf>
    <xf numFmtId="49" fontId="31" fillId="0" borderId="10" xfId="0" applyNumberFormat="1" applyFont="1" applyBorder="1" applyAlignment="1">
      <alignment vertical="top"/>
    </xf>
    <xf numFmtId="0" fontId="6" fillId="0" borderId="5" xfId="0" applyFont="1" applyBorder="1"/>
    <xf numFmtId="1" fontId="20" fillId="0" borderId="5" xfId="0" applyNumberFormat="1" applyFont="1" applyBorder="1"/>
    <xf numFmtId="9" fontId="6" fillId="0" borderId="11" xfId="3" applyFont="1" applyBorder="1" applyAlignment="1">
      <alignment horizontal="center"/>
    </xf>
    <xf numFmtId="0" fontId="6" fillId="0" borderId="18" xfId="0" quotePrefix="1" applyFont="1" applyBorder="1" applyAlignment="1">
      <alignment horizontal="center"/>
    </xf>
    <xf numFmtId="167" fontId="6" fillId="0" borderId="0" xfId="0" applyNumberFormat="1" applyFont="1"/>
    <xf numFmtId="165" fontId="7" fillId="0" borderId="0" xfId="0" applyNumberFormat="1" applyFont="1"/>
    <xf numFmtId="175" fontId="7" fillId="0" borderId="0" xfId="1" applyNumberFormat="1" applyFont="1" applyFill="1"/>
    <xf numFmtId="9" fontId="6" fillId="0" borderId="0" xfId="0" applyNumberFormat="1" applyFont="1"/>
    <xf numFmtId="169" fontId="0" fillId="0" borderId="63" xfId="0" applyNumberFormat="1" applyBorder="1"/>
    <xf numFmtId="2" fontId="9" fillId="4" borderId="0" xfId="0" applyNumberFormat="1" applyFont="1" applyFill="1"/>
    <xf numFmtId="49" fontId="23" fillId="0" borderId="17" xfId="0" applyNumberFormat="1" applyFont="1" applyBorder="1" applyAlignment="1">
      <alignment horizontal="center" vertical="top"/>
    </xf>
    <xf numFmtId="49" fontId="23" fillId="0" borderId="19" xfId="0" applyNumberFormat="1" applyFont="1" applyBorder="1" applyAlignment="1">
      <alignment horizontal="center" vertical="top"/>
    </xf>
    <xf numFmtId="49" fontId="23" fillId="0" borderId="18" xfId="0" applyNumberFormat="1" applyFont="1" applyBorder="1" applyAlignment="1">
      <alignment horizontal="center" vertical="top"/>
    </xf>
    <xf numFmtId="168" fontId="4" fillId="0" borderId="0" xfId="3" applyNumberFormat="1" applyFont="1" applyBorder="1"/>
    <xf numFmtId="178" fontId="4" fillId="0" borderId="4" xfId="0" applyNumberFormat="1" applyFont="1" applyBorder="1"/>
    <xf numFmtId="165" fontId="4" fillId="0" borderId="6" xfId="0" applyNumberFormat="1" applyFont="1" applyBorder="1"/>
    <xf numFmtId="1" fontId="4" fillId="0" borderId="20" xfId="0" applyNumberFormat="1" applyFont="1" applyBorder="1"/>
    <xf numFmtId="172" fontId="23" fillId="0" borderId="21" xfId="0" applyNumberFormat="1" applyFont="1" applyBorder="1" applyAlignment="1">
      <alignment horizontal="right" vertical="top"/>
    </xf>
    <xf numFmtId="165" fontId="4" fillId="4" borderId="6" xfId="0" applyNumberFormat="1" applyFont="1" applyFill="1" applyBorder="1"/>
    <xf numFmtId="173" fontId="40" fillId="0" borderId="20" xfId="0" applyNumberFormat="1" applyFont="1" applyBorder="1" applyAlignment="1">
      <alignment horizontal="right" vertical="top"/>
    </xf>
    <xf numFmtId="166" fontId="6" fillId="0" borderId="102" xfId="0" applyNumberFormat="1" applyFont="1" applyBorder="1"/>
    <xf numFmtId="174" fontId="28" fillId="0" borderId="140" xfId="0" applyNumberFormat="1" applyFont="1" applyBorder="1"/>
    <xf numFmtId="174" fontId="28" fillId="0" borderId="141" xfId="0" applyNumberFormat="1" applyFont="1" applyBorder="1"/>
    <xf numFmtId="174" fontId="28" fillId="0" borderId="142" xfId="0" applyNumberFormat="1" applyFont="1" applyBorder="1"/>
    <xf numFmtId="174" fontId="28" fillId="0" borderId="135" xfId="0" applyNumberFormat="1" applyFont="1" applyBorder="1"/>
    <xf numFmtId="174" fontId="28" fillId="0" borderId="144" xfId="0" applyNumberFormat="1" applyFont="1" applyBorder="1"/>
    <xf numFmtId="165" fontId="6" fillId="9" borderId="10" xfId="0" applyNumberFormat="1" applyFont="1" applyFill="1" applyBorder="1"/>
    <xf numFmtId="166" fontId="42" fillId="0" borderId="0" xfId="0" applyNumberFormat="1" applyFont="1"/>
    <xf numFmtId="172" fontId="31" fillId="0" borderId="95" xfId="0" applyNumberFormat="1" applyFont="1" applyBorder="1" applyAlignment="1">
      <alignment horizontal="right" vertical="top"/>
    </xf>
    <xf numFmtId="178" fontId="6" fillId="0" borderId="21" xfId="0" applyNumberFormat="1" applyFont="1" applyBorder="1"/>
    <xf numFmtId="165" fontId="28" fillId="0" borderId="146" xfId="0" applyNumberFormat="1" applyFont="1" applyBorder="1"/>
    <xf numFmtId="165" fontId="28" fillId="0" borderId="148" xfId="0" applyNumberFormat="1" applyFont="1" applyBorder="1"/>
    <xf numFmtId="165" fontId="28" fillId="0" borderId="138" xfId="0" applyNumberFormat="1" applyFont="1" applyBorder="1"/>
    <xf numFmtId="165" fontId="28" fillId="0" borderId="139" xfId="0" applyNumberFormat="1" applyFont="1" applyBorder="1"/>
    <xf numFmtId="0" fontId="5" fillId="0" borderId="21" xfId="0" applyFont="1" applyBorder="1" applyAlignment="1">
      <alignment horizontal="center"/>
    </xf>
    <xf numFmtId="0" fontId="0" fillId="10" borderId="0" xfId="0" applyFill="1"/>
    <xf numFmtId="0" fontId="5" fillId="0" borderId="6" xfId="0" applyFont="1" applyBorder="1" applyAlignment="1">
      <alignment horizontal="center"/>
    </xf>
    <xf numFmtId="0" fontId="5" fillId="0" borderId="8" xfId="0" applyFont="1" applyBorder="1"/>
    <xf numFmtId="165" fontId="6" fillId="0" borderId="15" xfId="0" applyNumberFormat="1" applyFont="1" applyBorder="1"/>
    <xf numFmtId="9" fontId="7" fillId="0" borderId="8" xfId="3" applyFont="1" applyBorder="1" applyAlignment="1">
      <alignment horizontal="center"/>
    </xf>
    <xf numFmtId="178" fontId="6" fillId="0" borderId="20" xfId="0" applyNumberFormat="1" applyFont="1" applyBorder="1"/>
    <xf numFmtId="9" fontId="7" fillId="0" borderId="6" xfId="3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28" fillId="0" borderId="117" xfId="0" applyNumberFormat="1" applyFont="1" applyBorder="1"/>
    <xf numFmtId="2" fontId="6" fillId="2" borderId="5" xfId="0" applyNumberFormat="1" applyFont="1" applyFill="1" applyBorder="1"/>
    <xf numFmtId="2" fontId="6" fillId="2" borderId="91" xfId="0" applyNumberFormat="1" applyFont="1" applyFill="1" applyBorder="1"/>
    <xf numFmtId="2" fontId="6" fillId="2" borderId="93" xfId="0" applyNumberFormat="1" applyFont="1" applyFill="1" applyBorder="1"/>
    <xf numFmtId="2" fontId="6" fillId="2" borderId="92" xfId="0" applyNumberFormat="1" applyFont="1" applyFill="1" applyBorder="1"/>
    <xf numFmtId="165" fontId="6" fillId="2" borderId="8" xfId="0" applyNumberFormat="1" applyFont="1" applyFill="1" applyBorder="1"/>
    <xf numFmtId="2" fontId="6" fillId="2" borderId="7" xfId="0" applyNumberFormat="1" applyFont="1" applyFill="1" applyBorder="1"/>
    <xf numFmtId="2" fontId="6" fillId="2" borderId="73" xfId="0" applyNumberFormat="1" applyFont="1" applyFill="1" applyBorder="1"/>
    <xf numFmtId="0" fontId="6" fillId="2" borderId="8" xfId="0" applyFont="1" applyFill="1" applyBorder="1"/>
    <xf numFmtId="0" fontId="6" fillId="2" borderId="7" xfId="0" applyFont="1" applyFill="1" applyBorder="1"/>
    <xf numFmtId="0" fontId="6" fillId="2" borderId="37" xfId="0" applyFont="1" applyFill="1" applyBorder="1"/>
    <xf numFmtId="0" fontId="6" fillId="2" borderId="27" xfId="0" applyFont="1" applyFill="1" applyBorder="1"/>
    <xf numFmtId="0" fontId="6" fillId="2" borderId="28" xfId="0" applyFont="1" applyFill="1" applyBorder="1"/>
    <xf numFmtId="0" fontId="6" fillId="2" borderId="0" xfId="0" applyFont="1" applyFill="1"/>
    <xf numFmtId="0" fontId="6" fillId="2" borderId="12" xfId="0" applyFont="1" applyFill="1" applyBorder="1"/>
    <xf numFmtId="0" fontId="6" fillId="2" borderId="1" xfId="0" applyFont="1" applyFill="1" applyBorder="1"/>
    <xf numFmtId="0" fontId="6" fillId="2" borderId="66" xfId="0" applyFont="1" applyFill="1" applyBorder="1"/>
    <xf numFmtId="0" fontId="6" fillId="2" borderId="31" xfId="0" applyFont="1" applyFill="1" applyBorder="1"/>
    <xf numFmtId="0" fontId="6" fillId="2" borderId="32" xfId="0" applyFont="1" applyFill="1" applyBorder="1"/>
    <xf numFmtId="0" fontId="6" fillId="2" borderId="100" xfId="0" applyFont="1" applyFill="1" applyBorder="1"/>
    <xf numFmtId="165" fontId="6" fillId="2" borderId="6" xfId="0" applyNumberFormat="1" applyFont="1" applyFill="1" applyBorder="1"/>
    <xf numFmtId="2" fontId="6" fillId="2" borderId="21" xfId="0" applyNumberFormat="1" applyFont="1" applyFill="1" applyBorder="1"/>
    <xf numFmtId="177" fontId="6" fillId="0" borderId="0" xfId="0" applyNumberFormat="1" applyFont="1"/>
    <xf numFmtId="175" fontId="6" fillId="0" borderId="0" xfId="1" applyNumberFormat="1" applyFont="1" applyFill="1" applyBorder="1"/>
    <xf numFmtId="1" fontId="6" fillId="0" borderId="0" xfId="3" applyNumberFormat="1" applyFont="1" applyFill="1" applyBorder="1"/>
    <xf numFmtId="169" fontId="10" fillId="0" borderId="0" xfId="0" applyNumberFormat="1" applyFont="1"/>
    <xf numFmtId="0" fontId="10" fillId="0" borderId="0" xfId="0" applyFont="1"/>
    <xf numFmtId="171" fontId="6" fillId="0" borderId="0" xfId="0" applyNumberFormat="1" applyFont="1"/>
    <xf numFmtId="179" fontId="7" fillId="0" borderId="0" xfId="0" applyNumberFormat="1" applyFont="1"/>
    <xf numFmtId="183" fontId="7" fillId="0" borderId="0" xfId="0" applyNumberFormat="1" applyFont="1"/>
    <xf numFmtId="178" fontId="7" fillId="0" borderId="0" xfId="0" applyNumberFormat="1" applyFont="1"/>
    <xf numFmtId="164" fontId="6" fillId="0" borderId="0" xfId="1" applyFont="1" applyFill="1" applyBorder="1"/>
    <xf numFmtId="177" fontId="7" fillId="0" borderId="0" xfId="0" applyNumberFormat="1" applyFont="1"/>
    <xf numFmtId="175" fontId="7" fillId="0" borderId="0" xfId="1" applyNumberFormat="1" applyFont="1" applyFill="1" applyBorder="1"/>
    <xf numFmtId="2" fontId="6" fillId="0" borderId="0" xfId="0" applyNumberFormat="1" applyFont="1" applyAlignment="1">
      <alignment horizontal="center"/>
    </xf>
    <xf numFmtId="2" fontId="7" fillId="0" borderId="0" xfId="0" applyNumberFormat="1" applyFont="1" applyAlignment="1">
      <alignment vertical="center"/>
    </xf>
    <xf numFmtId="180" fontId="6" fillId="0" borderId="0" xfId="1" applyNumberFormat="1" applyFont="1" applyFill="1" applyBorder="1"/>
    <xf numFmtId="0" fontId="7" fillId="0" borderId="0" xfId="0" applyFont="1" applyAlignment="1">
      <alignment horizontal="right"/>
    </xf>
    <xf numFmtId="180" fontId="7" fillId="0" borderId="0" xfId="1" applyNumberFormat="1" applyFont="1" applyFill="1" applyBorder="1"/>
    <xf numFmtId="169" fontId="7" fillId="0" borderId="0" xfId="0" applyNumberFormat="1" applyFont="1" applyAlignment="1">
      <alignment vertical="center"/>
    </xf>
    <xf numFmtId="181" fontId="6" fillId="0" borderId="0" xfId="1" applyNumberFormat="1" applyFont="1" applyFill="1" applyBorder="1"/>
    <xf numFmtId="181" fontId="7" fillId="0" borderId="0" xfId="1" applyNumberFormat="1" applyFont="1" applyFill="1" applyBorder="1"/>
    <xf numFmtId="0" fontId="7" fillId="0" borderId="0" xfId="0" applyFont="1" applyAlignment="1">
      <alignment horizontal="center" vertical="center"/>
    </xf>
    <xf numFmtId="164" fontId="7" fillId="0" borderId="0" xfId="0" applyNumberFormat="1" applyFont="1"/>
    <xf numFmtId="17" fontId="6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41" fillId="0" borderId="0" xfId="0" applyNumberFormat="1" applyFont="1"/>
    <xf numFmtId="43" fontId="6" fillId="0" borderId="0" xfId="1" applyNumberFormat="1" applyFont="1" applyFill="1" applyBorder="1"/>
    <xf numFmtId="169" fontId="9" fillId="0" borderId="0" xfId="0" applyNumberFormat="1" applyFont="1"/>
    <xf numFmtId="166" fontId="9" fillId="0" borderId="0" xfId="0" applyNumberFormat="1" applyFont="1"/>
    <xf numFmtId="165" fontId="6" fillId="4" borderId="0" xfId="0" applyNumberFormat="1" applyFont="1" applyFill="1"/>
    <xf numFmtId="2" fontId="6" fillId="4" borderId="0" xfId="0" applyNumberFormat="1" applyFont="1" applyFill="1"/>
    <xf numFmtId="2" fontId="6" fillId="0" borderId="65" xfId="0" applyNumberFormat="1" applyFont="1" applyBorder="1"/>
    <xf numFmtId="169" fontId="7" fillId="3" borderId="85" xfId="0" applyNumberFormat="1" applyFont="1" applyFill="1" applyBorder="1"/>
    <xf numFmtId="2" fontId="17" fillId="0" borderId="10" xfId="0" applyNumberFormat="1" applyFont="1" applyBorder="1" applyProtection="1">
      <protection locked="0"/>
    </xf>
    <xf numFmtId="174" fontId="28" fillId="0" borderId="134" xfId="0" applyNumberFormat="1" applyFont="1" applyBorder="1"/>
    <xf numFmtId="17" fontId="6" fillId="0" borderId="0" xfId="0" applyNumberFormat="1" applyFont="1" applyAlignment="1">
      <alignment horizontal="center" vertical="center"/>
    </xf>
    <xf numFmtId="17" fontId="6" fillId="0" borderId="0" xfId="0" applyNumberFormat="1" applyFont="1" applyAlignment="1">
      <alignment horizontal="center"/>
    </xf>
    <xf numFmtId="2" fontId="7" fillId="0" borderId="4" xfId="0" applyNumberFormat="1" applyFont="1" applyBorder="1"/>
    <xf numFmtId="2" fontId="7" fillId="0" borderId="37" xfId="0" applyNumberFormat="1" applyFont="1" applyBorder="1"/>
    <xf numFmtId="166" fontId="7" fillId="0" borderId="68" xfId="3" applyNumberFormat="1" applyFont="1" applyBorder="1"/>
    <xf numFmtId="2" fontId="0" fillId="0" borderId="51" xfId="0" applyNumberFormat="1" applyBorder="1"/>
    <xf numFmtId="2" fontId="0" fillId="0" borderId="30" xfId="0" applyNumberFormat="1" applyBorder="1"/>
    <xf numFmtId="166" fontId="6" fillId="0" borderId="0" xfId="3" applyNumberFormat="1" applyFont="1" applyBorder="1"/>
    <xf numFmtId="168" fontId="6" fillId="0" borderId="0" xfId="3" applyNumberFormat="1" applyFont="1" applyBorder="1"/>
    <xf numFmtId="2" fontId="6" fillId="0" borderId="85" xfId="0" applyNumberFormat="1" applyFont="1" applyBorder="1"/>
    <xf numFmtId="2" fontId="5" fillId="0" borderId="70" xfId="0" applyNumberFormat="1" applyFont="1" applyBorder="1"/>
    <xf numFmtId="9" fontId="0" fillId="0" borderId="0" xfId="0" applyNumberFormat="1" applyAlignment="1">
      <alignment horizontal="center"/>
    </xf>
    <xf numFmtId="0" fontId="0" fillId="11" borderId="0" xfId="0" applyFill="1"/>
    <xf numFmtId="170" fontId="0" fillId="0" borderId="0" xfId="1" applyNumberFormat="1" applyFont="1"/>
    <xf numFmtId="172" fontId="27" fillId="0" borderId="0" xfId="0" applyNumberFormat="1" applyFont="1" applyAlignment="1">
      <alignment horizontal="right" vertical="top"/>
    </xf>
    <xf numFmtId="166" fontId="15" fillId="4" borderId="0" xfId="0" applyNumberFormat="1" applyFont="1" applyFill="1"/>
    <xf numFmtId="165" fontId="17" fillId="0" borderId="72" xfId="0" applyNumberFormat="1" applyFont="1" applyBorder="1" applyProtection="1">
      <protection locked="0"/>
    </xf>
    <xf numFmtId="2" fontId="17" fillId="0" borderId="63" xfId="0" applyNumberFormat="1" applyFont="1" applyBorder="1" applyProtection="1">
      <protection locked="0"/>
    </xf>
    <xf numFmtId="165" fontId="17" fillId="0" borderId="25" xfId="0" applyNumberFormat="1" applyFont="1" applyBorder="1" applyProtection="1">
      <protection locked="0"/>
    </xf>
    <xf numFmtId="165" fontId="0" fillId="0" borderId="72" xfId="0" applyNumberFormat="1" applyBorder="1" applyProtection="1">
      <protection locked="0"/>
    </xf>
    <xf numFmtId="2" fontId="0" fillId="0" borderId="56" xfId="0" applyNumberFormat="1" applyBorder="1" applyProtection="1">
      <protection locked="0"/>
    </xf>
    <xf numFmtId="165" fontId="17" fillId="0" borderId="63" xfId="0" applyNumberFormat="1" applyFont="1" applyBorder="1" applyProtection="1">
      <protection locked="0"/>
    </xf>
    <xf numFmtId="43" fontId="5" fillId="0" borderId="0" xfId="0" applyNumberFormat="1" applyFont="1" applyAlignment="1">
      <alignment horizontal="center" vertical="center"/>
    </xf>
    <xf numFmtId="43" fontId="5" fillId="0" borderId="0" xfId="0" applyNumberFormat="1" applyFont="1"/>
    <xf numFmtId="176" fontId="5" fillId="0" borderId="7" xfId="1" applyNumberFormat="1" applyFont="1" applyBorder="1" applyProtection="1">
      <protection locked="0"/>
    </xf>
    <xf numFmtId="164" fontId="5" fillId="0" borderId="21" xfId="1" applyFont="1" applyBorder="1" applyProtection="1">
      <protection locked="0"/>
    </xf>
    <xf numFmtId="166" fontId="0" fillId="0" borderId="5" xfId="0" applyNumberFormat="1" applyBorder="1" applyProtection="1">
      <protection locked="0"/>
    </xf>
    <xf numFmtId="165" fontId="5" fillId="0" borderId="50" xfId="0" applyNumberFormat="1" applyFont="1" applyBorder="1" applyProtection="1">
      <protection locked="0"/>
    </xf>
    <xf numFmtId="166" fontId="5" fillId="0" borderId="51" xfId="0" applyNumberFormat="1" applyFont="1" applyBorder="1" applyProtection="1">
      <protection locked="0"/>
    </xf>
    <xf numFmtId="176" fontId="5" fillId="0" borderId="0" xfId="1" applyNumberFormat="1" applyFont="1" applyBorder="1" applyProtection="1">
      <protection locked="0"/>
    </xf>
    <xf numFmtId="164" fontId="5" fillId="0" borderId="0" xfId="1" applyFont="1" applyBorder="1" applyProtection="1">
      <protection locked="0"/>
    </xf>
    <xf numFmtId="165" fontId="11" fillId="0" borderId="12" xfId="0" applyNumberFormat="1" applyFont="1" applyBorder="1"/>
    <xf numFmtId="165" fontId="11" fillId="0" borderId="29" xfId="0" applyNumberFormat="1" applyFont="1" applyBorder="1"/>
    <xf numFmtId="165" fontId="11" fillId="0" borderId="17" xfId="0" applyNumberFormat="1" applyFont="1" applyBorder="1"/>
    <xf numFmtId="165" fontId="11" fillId="0" borderId="13" xfId="0" applyNumberFormat="1" applyFont="1" applyBorder="1"/>
    <xf numFmtId="2" fontId="6" fillId="0" borderId="73" xfId="0" applyNumberFormat="1" applyFont="1" applyBorder="1"/>
    <xf numFmtId="2" fontId="6" fillId="0" borderId="2" xfId="0" applyNumberFormat="1" applyFont="1" applyBorder="1"/>
    <xf numFmtId="172" fontId="27" fillId="0" borderId="56" xfId="0" applyNumberFormat="1" applyFont="1" applyBorder="1" applyAlignment="1">
      <alignment horizontal="right" vertical="top"/>
    </xf>
    <xf numFmtId="172" fontId="25" fillId="0" borderId="58" xfId="0" applyNumberFormat="1" applyFont="1" applyBorder="1" applyAlignment="1">
      <alignment horizontal="right" vertical="top"/>
    </xf>
    <xf numFmtId="172" fontId="23" fillId="0" borderId="38" xfId="0" applyNumberFormat="1" applyFont="1" applyBorder="1" applyAlignment="1">
      <alignment horizontal="right" vertical="top"/>
    </xf>
    <xf numFmtId="165" fontId="4" fillId="0" borderId="10" xfId="0" applyNumberFormat="1" applyFont="1" applyBorder="1"/>
    <xf numFmtId="165" fontId="4" fillId="0" borderId="13" xfId="0" applyNumberFormat="1" applyFont="1" applyBorder="1"/>
    <xf numFmtId="2" fontId="4" fillId="0" borderId="1" xfId="0" applyNumberFormat="1" applyFont="1" applyBorder="1"/>
    <xf numFmtId="172" fontId="23" fillId="0" borderId="14" xfId="0" applyNumberFormat="1" applyFont="1" applyBorder="1" applyAlignment="1">
      <alignment horizontal="right" vertical="top"/>
    </xf>
    <xf numFmtId="165" fontId="4" fillId="0" borderId="17" xfId="0" applyNumberFormat="1" applyFont="1" applyBorder="1"/>
    <xf numFmtId="172" fontId="23" fillId="0" borderId="18" xfId="0" applyNumberFormat="1" applyFont="1" applyBorder="1" applyAlignment="1">
      <alignment horizontal="right" vertical="top"/>
    </xf>
    <xf numFmtId="172" fontId="25" fillId="0" borderId="11" xfId="0" applyNumberFormat="1" applyFont="1" applyBorder="1" applyAlignment="1">
      <alignment horizontal="right" vertical="top"/>
    </xf>
    <xf numFmtId="2" fontId="4" fillId="0" borderId="15" xfId="0" applyNumberFormat="1" applyFont="1" applyBorder="1"/>
    <xf numFmtId="2" fontId="4" fillId="0" borderId="51" xfId="0" applyNumberFormat="1" applyFont="1" applyBorder="1"/>
    <xf numFmtId="172" fontId="23" fillId="0" borderId="11" xfId="0" applyNumberFormat="1" applyFont="1" applyBorder="1" applyAlignment="1">
      <alignment horizontal="right" vertical="top"/>
    </xf>
    <xf numFmtId="2" fontId="4" fillId="0" borderId="19" xfId="0" applyNumberFormat="1" applyFont="1" applyBorder="1"/>
    <xf numFmtId="165" fontId="4" fillId="0" borderId="9" xfId="0" applyNumberFormat="1" applyFont="1" applyBorder="1"/>
    <xf numFmtId="172" fontId="25" fillId="0" borderId="51" xfId="0" applyNumberFormat="1" applyFont="1" applyBorder="1" applyAlignment="1">
      <alignment horizontal="right" vertical="top"/>
    </xf>
    <xf numFmtId="172" fontId="40" fillId="0" borderId="15" xfId="0" applyNumberFormat="1" applyFont="1" applyBorder="1" applyAlignment="1">
      <alignment horizontal="right" vertical="top"/>
    </xf>
    <xf numFmtId="165" fontId="4" fillId="0" borderId="25" xfId="0" applyNumberFormat="1" applyFont="1" applyBorder="1"/>
    <xf numFmtId="165" fontId="4" fillId="0" borderId="34" xfId="0" applyNumberFormat="1" applyFont="1" applyBorder="1"/>
    <xf numFmtId="172" fontId="40" fillId="0" borderId="32" xfId="0" applyNumberFormat="1" applyFont="1" applyBorder="1" applyAlignment="1">
      <alignment horizontal="right" vertical="top"/>
    </xf>
    <xf numFmtId="172" fontId="25" fillId="0" borderId="61" xfId="0" applyNumberFormat="1" applyFont="1" applyBorder="1" applyAlignment="1">
      <alignment horizontal="right" vertical="top"/>
    </xf>
    <xf numFmtId="165" fontId="4" fillId="0" borderId="57" xfId="0" applyNumberFormat="1" applyFont="1" applyBorder="1"/>
    <xf numFmtId="178" fontId="4" fillId="0" borderId="0" xfId="0" applyNumberFormat="1" applyFont="1"/>
    <xf numFmtId="172" fontId="23" fillId="0" borderId="94" xfId="0" applyNumberFormat="1" applyFont="1" applyBorder="1" applyAlignment="1">
      <alignment horizontal="right" vertical="top"/>
    </xf>
    <xf numFmtId="0" fontId="45" fillId="0" borderId="0" xfId="0" applyFont="1" applyAlignment="1">
      <alignment horizontal="center"/>
    </xf>
    <xf numFmtId="165" fontId="45" fillId="0" borderId="0" xfId="0" applyNumberFormat="1" applyFont="1"/>
    <xf numFmtId="0" fontId="45" fillId="0" borderId="0" xfId="0" applyFont="1"/>
    <xf numFmtId="168" fontId="45" fillId="0" borderId="0" xfId="3" applyNumberFormat="1" applyFont="1" applyAlignment="1">
      <alignment horizontal="center"/>
    </xf>
    <xf numFmtId="9" fontId="45" fillId="0" borderId="0" xfId="3" applyFont="1" applyAlignment="1">
      <alignment horizontal="center"/>
    </xf>
    <xf numFmtId="168" fontId="45" fillId="0" borderId="0" xfId="0" applyNumberFormat="1" applyFont="1" applyAlignment="1">
      <alignment horizontal="center"/>
    </xf>
    <xf numFmtId="168" fontId="45" fillId="0" borderId="0" xfId="3" applyNumberFormat="1" applyFont="1" applyAlignment="1">
      <alignment horizontal="center" vertical="center"/>
    </xf>
    <xf numFmtId="182" fontId="45" fillId="0" borderId="0" xfId="3" applyNumberFormat="1" applyFont="1"/>
    <xf numFmtId="165" fontId="45" fillId="0" borderId="4" xfId="0" applyNumberFormat="1" applyFont="1" applyBorder="1"/>
    <xf numFmtId="165" fontId="45" fillId="0" borderId="0" xfId="3" applyNumberFormat="1" applyFont="1" applyAlignment="1">
      <alignment horizontal="right"/>
    </xf>
    <xf numFmtId="165" fontId="45" fillId="0" borderId="37" xfId="3" applyNumberFormat="1" applyFont="1" applyBorder="1" applyAlignment="1">
      <alignment horizontal="right"/>
    </xf>
    <xf numFmtId="165" fontId="46" fillId="0" borderId="16" xfId="0" applyNumberFormat="1" applyFont="1" applyBorder="1"/>
    <xf numFmtId="2" fontId="46" fillId="0" borderId="19" xfId="0" applyNumberFormat="1" applyFont="1" applyBorder="1"/>
    <xf numFmtId="168" fontId="8" fillId="0" borderId="7" xfId="3" applyNumberFormat="1" applyFont="1" applyBorder="1" applyAlignment="1">
      <alignment horizontal="right"/>
    </xf>
    <xf numFmtId="165" fontId="6" fillId="0" borderId="82" xfId="0" applyNumberFormat="1" applyFont="1" applyBorder="1"/>
    <xf numFmtId="166" fontId="6" fillId="0" borderId="1" xfId="0" applyNumberFormat="1" applyFont="1" applyBorder="1"/>
    <xf numFmtId="169" fontId="6" fillId="0" borderId="63" xfId="3" applyNumberFormat="1" applyFont="1" applyBorder="1" applyAlignment="1">
      <alignment horizontal="right"/>
    </xf>
    <xf numFmtId="169" fontId="6" fillId="0" borderId="12" xfId="3" applyNumberFormat="1" applyFont="1" applyBorder="1"/>
    <xf numFmtId="2" fontId="30" fillId="0" borderId="0" xfId="0" applyNumberFormat="1" applyFont="1" applyAlignment="1">
      <alignment horizontal="right" vertical="top"/>
    </xf>
    <xf numFmtId="165" fontId="5" fillId="0" borderId="9" xfId="0" applyNumberFormat="1" applyFont="1" applyBorder="1"/>
    <xf numFmtId="49" fontId="30" fillId="0" borderId="0" xfId="0" applyNumberFormat="1" applyFont="1" applyAlignment="1">
      <alignment horizontal="center" vertical="center"/>
    </xf>
    <xf numFmtId="165" fontId="6" fillId="0" borderId="90" xfId="3" applyNumberFormat="1" applyFont="1" applyBorder="1"/>
    <xf numFmtId="188" fontId="6" fillId="0" borderId="15" xfId="0" applyNumberFormat="1" applyFont="1" applyBorder="1"/>
    <xf numFmtId="9" fontId="6" fillId="0" borderId="57" xfId="3" applyFont="1" applyBorder="1" applyAlignment="1">
      <alignment horizontal="center"/>
    </xf>
    <xf numFmtId="188" fontId="7" fillId="0" borderId="4" xfId="0" applyNumberFormat="1" applyFont="1" applyBorder="1"/>
    <xf numFmtId="188" fontId="7" fillId="0" borderId="0" xfId="0" applyNumberFormat="1" applyFont="1"/>
    <xf numFmtId="1" fontId="8" fillId="0" borderId="0" xfId="0" applyNumberFormat="1" applyFont="1"/>
    <xf numFmtId="172" fontId="11" fillId="0" borderId="54" xfId="0" applyNumberFormat="1" applyFont="1" applyBorder="1" applyAlignment="1">
      <alignment horizontal="right" vertical="top"/>
    </xf>
    <xf numFmtId="166" fontId="25" fillId="0" borderId="51" xfId="0" applyNumberFormat="1" applyFont="1" applyBorder="1" applyProtection="1">
      <protection locked="0"/>
    </xf>
    <xf numFmtId="2" fontId="23" fillId="0" borderId="11" xfId="0" applyNumberFormat="1" applyFont="1" applyBorder="1" applyProtection="1">
      <protection locked="0"/>
    </xf>
    <xf numFmtId="2" fontId="47" fillId="0" borderId="10" xfId="0" applyNumberFormat="1" applyFont="1" applyBorder="1" applyProtection="1">
      <protection locked="0"/>
    </xf>
    <xf numFmtId="43" fontId="6" fillId="0" borderId="0" xfId="0" applyNumberFormat="1" applyFont="1"/>
    <xf numFmtId="165" fontId="6" fillId="0" borderId="4" xfId="0" applyNumberFormat="1" applyFont="1" applyBorder="1"/>
    <xf numFmtId="9" fontId="7" fillId="0" borderId="0" xfId="0" applyNumberFormat="1" applyFont="1"/>
    <xf numFmtId="189" fontId="8" fillId="0" borderId="0" xfId="0" applyNumberFormat="1" applyFont="1" applyAlignment="1">
      <alignment horizontal="right"/>
    </xf>
    <xf numFmtId="175" fontId="15" fillId="0" borderId="0" xfId="1" applyNumberFormat="1" applyFont="1" applyFill="1" applyBorder="1" applyAlignment="1"/>
    <xf numFmtId="188" fontId="7" fillId="3" borderId="49" xfId="0" applyNumberFormat="1" applyFont="1" applyFill="1" applyBorder="1"/>
    <xf numFmtId="168" fontId="7" fillId="0" borderId="0" xfId="0" applyNumberFormat="1" applyFont="1"/>
    <xf numFmtId="2" fontId="46" fillId="0" borderId="0" xfId="0" applyNumberFormat="1" applyFont="1"/>
    <xf numFmtId="169" fontId="6" fillId="0" borderId="0" xfId="3" applyNumberFormat="1" applyFont="1" applyBorder="1"/>
    <xf numFmtId="165" fontId="6" fillId="0" borderId="0" xfId="3" applyNumberFormat="1" applyFont="1" applyBorder="1"/>
    <xf numFmtId="0" fontId="8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2" fontId="0" fillId="0" borderId="52" xfId="0" applyNumberFormat="1" applyBorder="1"/>
    <xf numFmtId="2" fontId="0" fillId="0" borderId="4" xfId="0" applyNumberFormat="1" applyBorder="1"/>
    <xf numFmtId="0" fontId="18" fillId="0" borderId="0" xfId="0" applyFont="1" applyAlignment="1" applyProtection="1">
      <alignment horizontal="center" vertical="center"/>
      <protection locked="0"/>
    </xf>
    <xf numFmtId="49" fontId="30" fillId="0" borderId="66" xfId="0" applyNumberFormat="1" applyFont="1" applyBorder="1" applyAlignment="1">
      <alignment horizontal="left" vertical="top" indent="2"/>
    </xf>
    <xf numFmtId="164" fontId="9" fillId="0" borderId="0" xfId="1" applyFont="1" applyFill="1"/>
    <xf numFmtId="0" fontId="6" fillId="0" borderId="16" xfId="0" quotePrefix="1" applyFont="1" applyBorder="1" applyAlignment="1">
      <alignment horizontal="center"/>
    </xf>
    <xf numFmtId="193" fontId="7" fillId="0" borderId="13" xfId="3" applyNumberFormat="1" applyFont="1" applyBorder="1" applyAlignment="1">
      <alignment horizontal="center"/>
    </xf>
    <xf numFmtId="194" fontId="6" fillId="0" borderId="0" xfId="3" applyNumberFormat="1" applyFont="1"/>
    <xf numFmtId="172" fontId="44" fillId="0" borderId="21" xfId="0" applyNumberFormat="1" applyFont="1" applyBorder="1" applyAlignment="1">
      <alignment horizontal="right" vertical="top"/>
    </xf>
    <xf numFmtId="166" fontId="4" fillId="0" borderId="84" xfId="0" applyNumberFormat="1" applyFont="1" applyBorder="1" applyAlignment="1">
      <alignment horizontal="right"/>
    </xf>
    <xf numFmtId="195" fontId="6" fillId="0" borderId="90" xfId="3" applyNumberFormat="1" applyFont="1" applyBorder="1"/>
    <xf numFmtId="175" fontId="7" fillId="0" borderId="0" xfId="0" applyNumberFormat="1" applyFont="1"/>
    <xf numFmtId="2" fontId="6" fillId="0" borderId="105" xfId="0" applyNumberFormat="1" applyFont="1" applyBorder="1"/>
    <xf numFmtId="166" fontId="6" fillId="0" borderId="50" xfId="0" applyNumberFormat="1" applyFont="1" applyBorder="1"/>
    <xf numFmtId="2" fontId="6" fillId="0" borderId="71" xfId="0" applyNumberFormat="1" applyFont="1" applyBorder="1"/>
    <xf numFmtId="2" fontId="6" fillId="0" borderId="70" xfId="0" applyNumberFormat="1" applyFont="1" applyBorder="1"/>
    <xf numFmtId="2" fontId="6" fillId="0" borderId="50" xfId="0" applyNumberFormat="1" applyFont="1" applyBorder="1"/>
    <xf numFmtId="2" fontId="6" fillId="0" borderId="89" xfId="0" applyNumberFormat="1" applyFont="1" applyBorder="1"/>
    <xf numFmtId="166" fontId="6" fillId="0" borderId="82" xfId="0" applyNumberFormat="1" applyFont="1" applyBorder="1"/>
    <xf numFmtId="166" fontId="6" fillId="0" borderId="106" xfId="0" applyNumberFormat="1" applyFont="1" applyBorder="1"/>
    <xf numFmtId="166" fontId="6" fillId="0" borderId="58" xfId="0" applyNumberFormat="1" applyFont="1" applyBorder="1"/>
    <xf numFmtId="166" fontId="6" fillId="0" borderId="54" xfId="0" applyNumberFormat="1" applyFont="1" applyBorder="1"/>
    <xf numFmtId="165" fontId="6" fillId="0" borderId="65" xfId="0" applyNumberFormat="1" applyFont="1" applyBorder="1"/>
    <xf numFmtId="0" fontId="6" fillId="0" borderId="74" xfId="0" applyFont="1" applyBorder="1"/>
    <xf numFmtId="0" fontId="6" fillId="0" borderId="107" xfId="0" applyFont="1" applyBorder="1"/>
    <xf numFmtId="0" fontId="6" fillId="0" borderId="75" xfId="0" applyFont="1" applyBorder="1"/>
    <xf numFmtId="0" fontId="7" fillId="0" borderId="73" xfId="0" applyFont="1" applyBorder="1"/>
    <xf numFmtId="191" fontId="7" fillId="0" borderId="0" xfId="0" applyNumberFormat="1" applyFont="1"/>
    <xf numFmtId="191" fontId="7" fillId="0" borderId="4" xfId="0" applyNumberFormat="1" applyFont="1" applyBorder="1"/>
    <xf numFmtId="191" fontId="7" fillId="0" borderId="68" xfId="0" applyNumberFormat="1" applyFont="1" applyBorder="1"/>
    <xf numFmtId="190" fontId="0" fillId="0" borderId="0" xfId="0" applyNumberFormat="1"/>
    <xf numFmtId="170" fontId="45" fillId="0" borderId="0" xfId="3" applyNumberFormat="1" applyFont="1" applyAlignment="1">
      <alignment horizontal="center"/>
    </xf>
    <xf numFmtId="170" fontId="45" fillId="0" borderId="0" xfId="0" applyNumberFormat="1" applyFont="1" applyAlignment="1">
      <alignment horizontal="center"/>
    </xf>
    <xf numFmtId="188" fontId="7" fillId="3" borderId="85" xfId="0" applyNumberFormat="1" applyFont="1" applyFill="1" applyBorder="1"/>
    <xf numFmtId="196" fontId="8" fillId="0" borderId="0" xfId="0" applyNumberFormat="1" applyFont="1"/>
    <xf numFmtId="169" fontId="9" fillId="4" borderId="0" xfId="0" applyNumberFormat="1" applyFont="1" applyFill="1" applyAlignment="1">
      <alignment horizontal="right"/>
    </xf>
    <xf numFmtId="165" fontId="6" fillId="0" borderId="89" xfId="0" applyNumberFormat="1" applyFont="1" applyBorder="1"/>
    <xf numFmtId="178" fontId="7" fillId="3" borderId="49" xfId="0" applyNumberFormat="1" applyFont="1" applyFill="1" applyBorder="1"/>
    <xf numFmtId="197" fontId="7" fillId="3" borderId="85" xfId="0" applyNumberFormat="1" applyFont="1" applyFill="1" applyBorder="1"/>
    <xf numFmtId="197" fontId="7" fillId="3" borderId="49" xfId="0" applyNumberFormat="1" applyFont="1" applyFill="1" applyBorder="1"/>
    <xf numFmtId="198" fontId="7" fillId="8" borderId="6" xfId="3" applyNumberFormat="1" applyFont="1" applyFill="1" applyBorder="1" applyAlignment="1">
      <alignment horizontal="center"/>
    </xf>
    <xf numFmtId="165" fontId="19" fillId="0" borderId="0" xfId="0" applyNumberFormat="1" applyFont="1" applyProtection="1">
      <protection locked="0"/>
    </xf>
    <xf numFmtId="2" fontId="19" fillId="0" borderId="0" xfId="0" applyNumberFormat="1" applyFont="1" applyProtection="1">
      <protection locked="0"/>
    </xf>
    <xf numFmtId="165" fontId="0" fillId="0" borderId="52" xfId="0" applyNumberFormat="1" applyBorder="1" applyProtection="1">
      <protection locked="0"/>
    </xf>
    <xf numFmtId="2" fontId="0" fillId="0" borderId="52" xfId="0" applyNumberFormat="1" applyBorder="1" applyProtection="1">
      <protection locked="0"/>
    </xf>
    <xf numFmtId="164" fontId="6" fillId="0" borderId="0" xfId="1" applyFont="1" applyBorder="1"/>
    <xf numFmtId="164" fontId="6" fillId="0" borderId="43" xfId="1" applyFont="1" applyBorder="1"/>
    <xf numFmtId="164" fontId="6" fillId="0" borderId="40" xfId="1" applyFont="1" applyBorder="1"/>
    <xf numFmtId="164" fontId="7" fillId="0" borderId="75" xfId="0" applyNumberFormat="1" applyFont="1" applyBorder="1"/>
    <xf numFmtId="0" fontId="7" fillId="0" borderId="26" xfId="0" applyFont="1" applyBorder="1"/>
    <xf numFmtId="164" fontId="6" fillId="0" borderId="41" xfId="1" applyFont="1" applyBorder="1"/>
    <xf numFmtId="165" fontId="26" fillId="0" borderId="0" xfId="0" applyNumberFormat="1" applyFont="1"/>
    <xf numFmtId="165" fontId="5" fillId="0" borderId="22" xfId="0" applyNumberFormat="1" applyFont="1" applyBorder="1" applyProtection="1">
      <protection locked="0"/>
    </xf>
    <xf numFmtId="166" fontId="5" fillId="0" borderId="42" xfId="0" applyNumberFormat="1" applyFont="1" applyBorder="1" applyProtection="1">
      <protection locked="0"/>
    </xf>
    <xf numFmtId="2" fontId="0" fillId="0" borderId="24" xfId="0" applyNumberFormat="1" applyBorder="1" applyProtection="1">
      <protection locked="0"/>
    </xf>
    <xf numFmtId="165" fontId="5" fillId="0" borderId="10" xfId="0" applyNumberFormat="1" applyFont="1" applyBorder="1" applyProtection="1">
      <protection locked="0"/>
    </xf>
    <xf numFmtId="165" fontId="5" fillId="0" borderId="57" xfId="0" applyNumberFormat="1" applyFont="1" applyBorder="1" applyProtection="1">
      <protection locked="0"/>
    </xf>
    <xf numFmtId="166" fontId="5" fillId="0" borderId="58" xfId="0" applyNumberFormat="1" applyFont="1" applyBorder="1" applyProtection="1">
      <protection locked="0"/>
    </xf>
    <xf numFmtId="2" fontId="0" fillId="0" borderId="38" xfId="0" applyNumberFormat="1" applyBorder="1" applyProtection="1">
      <protection locked="0"/>
    </xf>
    <xf numFmtId="165" fontId="25" fillId="0" borderId="10" xfId="0" applyNumberFormat="1" applyFont="1" applyBorder="1" applyProtection="1">
      <protection locked="0"/>
    </xf>
    <xf numFmtId="1" fontId="19" fillId="0" borderId="0" xfId="0" applyNumberFormat="1" applyFont="1"/>
    <xf numFmtId="1" fontId="13" fillId="0" borderId="0" xfId="0" applyNumberFormat="1" applyFont="1"/>
    <xf numFmtId="165" fontId="17" fillId="0" borderId="22" xfId="0" applyNumberFormat="1" applyFont="1" applyBorder="1" applyProtection="1">
      <protection locked="0"/>
    </xf>
    <xf numFmtId="2" fontId="17" fillId="0" borderId="2" xfId="0" applyNumberFormat="1" applyFont="1" applyBorder="1" applyProtection="1">
      <protection locked="0"/>
    </xf>
    <xf numFmtId="165" fontId="17" fillId="0" borderId="57" xfId="0" applyNumberFormat="1" applyFont="1" applyBorder="1" applyProtection="1">
      <protection locked="0"/>
    </xf>
    <xf numFmtId="2" fontId="17" fillId="0" borderId="65" xfId="0" applyNumberFormat="1" applyFont="1" applyBorder="1" applyProtection="1">
      <protection locked="0"/>
    </xf>
    <xf numFmtId="0" fontId="0" fillId="0" borderId="9" xfId="0" applyBorder="1"/>
    <xf numFmtId="0" fontId="3" fillId="0" borderId="0" xfId="0" applyFont="1"/>
    <xf numFmtId="2" fontId="3" fillId="0" borderId="0" xfId="0" applyNumberFormat="1" applyFont="1"/>
    <xf numFmtId="164" fontId="3" fillId="0" borderId="0" xfId="1" applyFont="1"/>
    <xf numFmtId="0" fontId="3" fillId="0" borderId="4" xfId="0" applyFont="1" applyBorder="1"/>
    <xf numFmtId="164" fontId="5" fillId="0" borderId="0" xfId="1" applyFont="1"/>
    <xf numFmtId="2" fontId="6" fillId="0" borderId="93" xfId="0" applyNumberFormat="1" applyFont="1" applyBorder="1"/>
    <xf numFmtId="2" fontId="6" fillId="0" borderId="53" xfId="0" applyNumberFormat="1" applyFont="1" applyBorder="1"/>
    <xf numFmtId="167" fontId="48" fillId="0" borderId="0" xfId="0" applyNumberFormat="1" applyFont="1" applyAlignment="1">
      <alignment horizontal="center"/>
    </xf>
    <xf numFmtId="167" fontId="48" fillId="0" borderId="0" xfId="0" applyNumberFormat="1" applyFont="1"/>
    <xf numFmtId="0" fontId="5" fillId="0" borderId="35" xfId="0" applyFont="1" applyBorder="1"/>
    <xf numFmtId="0" fontId="0" fillId="0" borderId="12" xfId="0" applyBorder="1"/>
    <xf numFmtId="0" fontId="0" fillId="0" borderId="50" xfId="0" applyBorder="1"/>
    <xf numFmtId="2" fontId="3" fillId="0" borderId="11" xfId="0" applyNumberFormat="1" applyFont="1" applyBorder="1" applyProtection="1">
      <protection locked="0"/>
    </xf>
    <xf numFmtId="165" fontId="6" fillId="0" borderId="27" xfId="3" applyNumberFormat="1" applyFont="1" applyBorder="1"/>
    <xf numFmtId="165" fontId="6" fillId="0" borderId="9" xfId="3" applyNumberFormat="1" applyFont="1" applyBorder="1"/>
    <xf numFmtId="2" fontId="0" fillId="0" borderId="0" xfId="1" applyNumberFormat="1" applyFont="1"/>
    <xf numFmtId="2" fontId="6" fillId="0" borderId="66" xfId="0" applyNumberFormat="1" applyFont="1" applyBorder="1"/>
    <xf numFmtId="165" fontId="7" fillId="5" borderId="7" xfId="0" applyNumberFormat="1" applyFont="1" applyFill="1" applyBorder="1"/>
    <xf numFmtId="165" fontId="3" fillId="0" borderId="13" xfId="0" applyNumberFormat="1" applyFont="1" applyBorder="1"/>
    <xf numFmtId="0" fontId="37" fillId="0" borderId="0" xfId="0" applyFont="1"/>
    <xf numFmtId="165" fontId="0" fillId="0" borderId="26" xfId="0" applyNumberFormat="1" applyBorder="1"/>
    <xf numFmtId="1" fontId="0" fillId="0" borderId="26" xfId="0" applyNumberFormat="1" applyBorder="1"/>
    <xf numFmtId="2" fontId="37" fillId="0" borderId="0" xfId="0" applyNumberFormat="1" applyFont="1"/>
    <xf numFmtId="2" fontId="37" fillId="0" borderId="7" xfId="0" applyNumberFormat="1" applyFont="1" applyBorder="1"/>
    <xf numFmtId="2" fontId="37" fillId="0" borderId="21" xfId="0" applyNumberFormat="1" applyFont="1" applyBorder="1"/>
    <xf numFmtId="165" fontId="0" fillId="0" borderId="47" xfId="0" applyNumberFormat="1" applyBorder="1"/>
    <xf numFmtId="165" fontId="5" fillId="0" borderId="21" xfId="0" applyNumberFormat="1" applyFont="1" applyBorder="1"/>
    <xf numFmtId="0" fontId="3" fillId="0" borderId="25" xfId="0" applyFont="1" applyBorder="1"/>
    <xf numFmtId="0" fontId="37" fillId="0" borderId="8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7" fillId="0" borderId="9" xfId="0" applyFont="1" applyBorder="1"/>
    <xf numFmtId="2" fontId="0" fillId="0" borderId="77" xfId="0" applyNumberFormat="1" applyBorder="1"/>
    <xf numFmtId="0" fontId="37" fillId="0" borderId="12" xfId="0" applyFont="1" applyBorder="1"/>
    <xf numFmtId="0" fontId="37" fillId="0" borderId="46" xfId="0" applyFont="1" applyBorder="1"/>
    <xf numFmtId="2" fontId="37" fillId="0" borderId="37" xfId="0" applyNumberFormat="1" applyFont="1" applyBorder="1"/>
    <xf numFmtId="2" fontId="37" fillId="0" borderId="20" xfId="0" applyNumberFormat="1" applyFont="1" applyBorder="1"/>
    <xf numFmtId="2" fontId="37" fillId="0" borderId="26" xfId="0" applyNumberFormat="1" applyFont="1" applyBorder="1"/>
    <xf numFmtId="165" fontId="49" fillId="0" borderId="0" xfId="0" applyNumberFormat="1" applyFont="1"/>
    <xf numFmtId="2" fontId="50" fillId="0" borderId="0" xfId="0" applyNumberFormat="1" applyFont="1"/>
    <xf numFmtId="0" fontId="5" fillId="0" borderId="87" xfId="0" applyFont="1" applyBorder="1"/>
    <xf numFmtId="164" fontId="0" fillId="0" borderId="3" xfId="1" applyFont="1" applyBorder="1"/>
    <xf numFmtId="164" fontId="0" fillId="0" borderId="5" xfId="1" applyFont="1" applyBorder="1"/>
    <xf numFmtId="0" fontId="0" fillId="0" borderId="16" xfId="0" applyBorder="1"/>
    <xf numFmtId="0" fontId="0" fillId="0" borderId="35" xfId="0" applyBorder="1"/>
    <xf numFmtId="165" fontId="0" fillId="0" borderId="22" xfId="0" applyNumberFormat="1" applyBorder="1"/>
    <xf numFmtId="197" fontId="6" fillId="0" borderId="0" xfId="0" applyNumberFormat="1" applyFont="1"/>
    <xf numFmtId="199" fontId="6" fillId="0" borderId="0" xfId="0" applyNumberFormat="1" applyFont="1"/>
    <xf numFmtId="199" fontId="6" fillId="0" borderId="4" xfId="0" applyNumberFormat="1" applyFont="1" applyBorder="1"/>
    <xf numFmtId="197" fontId="6" fillId="0" borderId="4" xfId="0" applyNumberFormat="1" applyFont="1" applyBorder="1"/>
    <xf numFmtId="178" fontId="6" fillId="0" borderId="0" xfId="1" applyNumberFormat="1" applyFont="1" applyFill="1" applyBorder="1"/>
    <xf numFmtId="169" fontId="6" fillId="0" borderId="4" xfId="0" applyNumberFormat="1" applyFont="1" applyBorder="1"/>
    <xf numFmtId="178" fontId="6" fillId="0" borderId="4" xfId="1" applyNumberFormat="1" applyFont="1" applyFill="1" applyBorder="1"/>
    <xf numFmtId="189" fontId="8" fillId="0" borderId="0" xfId="0" applyNumberFormat="1" applyFont="1"/>
    <xf numFmtId="43" fontId="8" fillId="0" borderId="0" xfId="0" applyNumberFormat="1" applyFont="1"/>
    <xf numFmtId="177" fontId="8" fillId="0" borderId="0" xfId="0" applyNumberFormat="1" applyFont="1"/>
    <xf numFmtId="189" fontId="7" fillId="0" borderId="0" xfId="0" applyNumberFormat="1" applyFont="1"/>
    <xf numFmtId="43" fontId="7" fillId="0" borderId="0" xfId="0" applyNumberFormat="1" applyFont="1"/>
    <xf numFmtId="200" fontId="6" fillId="0" borderId="0" xfId="0" applyNumberFormat="1" applyFont="1"/>
    <xf numFmtId="201" fontId="6" fillId="0" borderId="7" xfId="0" applyNumberFormat="1" applyFont="1" applyBorder="1"/>
    <xf numFmtId="201" fontId="8" fillId="0" borderId="7" xfId="0" applyNumberFormat="1" applyFont="1" applyBorder="1" applyAlignment="1">
      <alignment horizontal="right"/>
    </xf>
    <xf numFmtId="182" fontId="8" fillId="0" borderId="7" xfId="3" applyNumberFormat="1" applyFont="1" applyBorder="1" applyAlignment="1">
      <alignment horizontal="right"/>
    </xf>
    <xf numFmtId="166" fontId="6" fillId="0" borderId="1" xfId="3" applyNumberFormat="1" applyFont="1" applyBorder="1"/>
    <xf numFmtId="201" fontId="6" fillId="0" borderId="0" xfId="0" applyNumberFormat="1" applyFont="1"/>
    <xf numFmtId="201" fontId="7" fillId="0" borderId="0" xfId="0" applyNumberFormat="1" applyFont="1"/>
    <xf numFmtId="201" fontId="7" fillId="3" borderId="49" xfId="0" applyNumberFormat="1" applyFont="1" applyFill="1" applyBorder="1"/>
    <xf numFmtId="201" fontId="6" fillId="0" borderId="18" xfId="0" applyNumberFormat="1" applyFont="1" applyBorder="1"/>
    <xf numFmtId="167" fontId="41" fillId="4" borderId="0" xfId="0" applyNumberFormat="1" applyFont="1" applyFill="1"/>
    <xf numFmtId="167" fontId="41" fillId="4" borderId="4" xfId="0" applyNumberFormat="1" applyFont="1" applyFill="1" applyBorder="1"/>
    <xf numFmtId="167" fontId="48" fillId="4" borderId="37" xfId="3" applyNumberFormat="1" applyFont="1" applyFill="1" applyBorder="1" applyAlignment="1">
      <alignment horizontal="right"/>
    </xf>
    <xf numFmtId="167" fontId="48" fillId="4" borderId="0" xfId="0" applyNumberFormat="1" applyFont="1" applyFill="1"/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74" fontId="53" fillId="0" borderId="117" xfId="0" applyNumberFormat="1" applyFont="1" applyBorder="1"/>
    <xf numFmtId="2" fontId="7" fillId="0" borderId="36" xfId="0" applyNumberFormat="1" applyFont="1" applyBorder="1"/>
    <xf numFmtId="201" fontId="7" fillId="3" borderId="85" xfId="0" applyNumberFormat="1" applyFont="1" applyFill="1" applyBorder="1"/>
    <xf numFmtId="0" fontId="26" fillId="0" borderId="0" xfId="0" applyFont="1"/>
    <xf numFmtId="2" fontId="7" fillId="2" borderId="49" xfId="0" applyNumberFormat="1" applyFont="1" applyFill="1" applyBorder="1"/>
    <xf numFmtId="0" fontId="54" fillId="0" borderId="0" xfId="0" applyFont="1"/>
    <xf numFmtId="0" fontId="3" fillId="0" borderId="7" xfId="0" applyFont="1" applyBorder="1" applyAlignment="1">
      <alignment horizontal="center"/>
    </xf>
    <xf numFmtId="2" fontId="56" fillId="0" borderId="22" xfId="0" applyNumberFormat="1" applyFont="1" applyBorder="1"/>
    <xf numFmtId="0" fontId="0" fillId="0" borderId="2" xfId="0" applyBorder="1"/>
    <xf numFmtId="2" fontId="56" fillId="0" borderId="13" xfId="0" applyNumberFormat="1" applyFont="1" applyBorder="1"/>
    <xf numFmtId="0" fontId="3" fillId="0" borderId="13" xfId="0" applyFont="1" applyBorder="1"/>
    <xf numFmtId="2" fontId="56" fillId="0" borderId="25" xfId="0" applyNumberFormat="1" applyFont="1" applyBorder="1"/>
    <xf numFmtId="2" fontId="56" fillId="0" borderId="0" xfId="0" applyNumberFormat="1" applyFont="1" applyAlignment="1">
      <alignment horizontal="right"/>
    </xf>
    <xf numFmtId="0" fontId="3" fillId="0" borderId="12" xfId="0" applyFont="1" applyBorder="1"/>
    <xf numFmtId="0" fontId="3" fillId="0" borderId="0" xfId="0" applyFont="1" applyAlignment="1">
      <alignment horizontal="center"/>
    </xf>
    <xf numFmtId="175" fontId="5" fillId="0" borderId="0" xfId="1" applyNumberFormat="1" applyFont="1" applyFill="1" applyBorder="1"/>
    <xf numFmtId="175" fontId="0" fillId="0" borderId="0" xfId="1" applyNumberFormat="1" applyFont="1" applyFill="1" applyBorder="1"/>
    <xf numFmtId="0" fontId="3" fillId="0" borderId="9" xfId="0" applyFont="1" applyBorder="1"/>
    <xf numFmtId="9" fontId="3" fillId="0" borderId="0" xfId="3" applyFont="1" applyFill="1" applyAlignment="1">
      <alignment horizontal="center"/>
    </xf>
    <xf numFmtId="0" fontId="3" fillId="0" borderId="46" xfId="0" applyFont="1" applyBorder="1"/>
    <xf numFmtId="175" fontId="5" fillId="4" borderId="6" xfId="1" applyNumberFormat="1" applyFont="1" applyFill="1" applyBorder="1"/>
    <xf numFmtId="175" fontId="5" fillId="4" borderId="21" xfId="1" applyNumberFormat="1" applyFont="1" applyFill="1" applyBorder="1"/>
    <xf numFmtId="175" fontId="5" fillId="4" borderId="73" xfId="1" applyNumberFormat="1" applyFont="1" applyFill="1" applyBorder="1"/>
    <xf numFmtId="0" fontId="3" fillId="0" borderId="27" xfId="0" applyFont="1" applyBorder="1"/>
    <xf numFmtId="37" fontId="3" fillId="0" borderId="10" xfId="0" applyNumberFormat="1" applyFont="1" applyBorder="1"/>
    <xf numFmtId="175" fontId="0" fillId="0" borderId="77" xfId="1" applyNumberFormat="1" applyFont="1" applyBorder="1"/>
    <xf numFmtId="175" fontId="0" fillId="0" borderId="74" xfId="1" applyNumberFormat="1" applyFont="1" applyBorder="1"/>
    <xf numFmtId="175" fontId="5" fillId="4" borderId="26" xfId="1" applyNumberFormat="1" applyFont="1" applyFill="1" applyBorder="1"/>
    <xf numFmtId="202" fontId="3" fillId="0" borderId="0" xfId="3" applyNumberFormat="1" applyFont="1" applyFill="1"/>
    <xf numFmtId="0" fontId="5" fillId="3" borderId="26" xfId="0" quotePrefix="1" applyFont="1" applyFill="1" applyBorder="1" applyAlignment="1">
      <alignment horizontal="center"/>
    </xf>
    <xf numFmtId="9" fontId="5" fillId="3" borderId="77" xfId="3" applyFont="1" applyFill="1" applyBorder="1" applyAlignment="1">
      <alignment horizontal="center"/>
    </xf>
    <xf numFmtId="9" fontId="5" fillId="4" borderId="26" xfId="3" applyFont="1" applyFill="1" applyBorder="1" applyAlignment="1">
      <alignment horizontal="center"/>
    </xf>
    <xf numFmtId="175" fontId="5" fillId="4" borderId="8" xfId="1" applyNumberFormat="1" applyFont="1" applyFill="1" applyBorder="1"/>
    <xf numFmtId="3" fontId="5" fillId="4" borderId="8" xfId="1" applyNumberFormat="1" applyFont="1" applyFill="1" applyBorder="1"/>
    <xf numFmtId="37" fontId="3" fillId="0" borderId="29" xfId="0" applyNumberFormat="1" applyFont="1" applyBorder="1"/>
    <xf numFmtId="37" fontId="0" fillId="0" borderId="30" xfId="0" applyNumberFormat="1" applyBorder="1"/>
    <xf numFmtId="9" fontId="5" fillId="3" borderId="74" xfId="3" applyFont="1" applyFill="1" applyBorder="1" applyAlignment="1">
      <alignment horizontal="center"/>
    </xf>
    <xf numFmtId="175" fontId="0" fillId="2" borderId="91" xfId="1" applyNumberFormat="1" applyFont="1" applyFill="1" applyBorder="1"/>
    <xf numFmtId="175" fontId="0" fillId="2" borderId="94" xfId="1" applyNumberFormat="1" applyFont="1" applyFill="1" applyBorder="1"/>
    <xf numFmtId="0" fontId="5" fillId="14" borderId="37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175" fontId="0" fillId="14" borderId="10" xfId="1" applyNumberFormat="1" applyFont="1" applyFill="1" applyBorder="1"/>
    <xf numFmtId="175" fontId="0" fillId="14" borderId="52" xfId="1" applyNumberFormat="1" applyFont="1" applyFill="1" applyBorder="1"/>
    <xf numFmtId="175" fontId="0" fillId="14" borderId="5" xfId="1" applyNumberFormat="1" applyFont="1" applyFill="1" applyBorder="1"/>
    <xf numFmtId="0" fontId="5" fillId="15" borderId="8" xfId="0" quotePrefix="1" applyFont="1" applyFill="1" applyBorder="1" applyAlignment="1">
      <alignment horizontal="center"/>
    </xf>
    <xf numFmtId="0" fontId="5" fillId="15" borderId="7" xfId="0" quotePrefix="1" applyFont="1" applyFill="1" applyBorder="1" applyAlignment="1">
      <alignment horizontal="center"/>
    </xf>
    <xf numFmtId="0" fontId="5" fillId="15" borderId="26" xfId="0" applyFont="1" applyFill="1" applyBorder="1" applyAlignment="1">
      <alignment horizontal="center"/>
    </xf>
    <xf numFmtId="3" fontId="3" fillId="15" borderId="9" xfId="3" applyNumberFormat="1" applyFont="1" applyFill="1" applyBorder="1" applyAlignment="1">
      <alignment horizontal="right"/>
    </xf>
    <xf numFmtId="3" fontId="3" fillId="15" borderId="5" xfId="3" applyNumberFormat="1" applyFont="1" applyFill="1" applyBorder="1" applyAlignment="1">
      <alignment horizontal="right"/>
    </xf>
    <xf numFmtId="175" fontId="0" fillId="15" borderId="77" xfId="1" applyNumberFormat="1" applyFont="1" applyFill="1" applyBorder="1"/>
    <xf numFmtId="0" fontId="5" fillId="16" borderId="26" xfId="0" applyFont="1" applyFill="1" applyBorder="1" applyAlignment="1">
      <alignment horizontal="center"/>
    </xf>
    <xf numFmtId="175" fontId="0" fillId="16" borderId="9" xfId="1" applyNumberFormat="1" applyFont="1" applyFill="1" applyBorder="1"/>
    <xf numFmtId="0" fontId="5" fillId="16" borderId="20" xfId="0" applyFont="1" applyFill="1" applyBorder="1" applyAlignment="1">
      <alignment horizontal="center"/>
    </xf>
    <xf numFmtId="0" fontId="5" fillId="16" borderId="8" xfId="0" quotePrefix="1" applyFont="1" applyFill="1" applyBorder="1" applyAlignment="1">
      <alignment horizontal="center"/>
    </xf>
    <xf numFmtId="175" fontId="5" fillId="16" borderId="9" xfId="3" applyNumberFormat="1" applyFont="1" applyFill="1" applyBorder="1" applyAlignment="1">
      <alignment horizontal="center"/>
    </xf>
    <xf numFmtId="0" fontId="55" fillId="0" borderId="9" xfId="0" applyFont="1" applyBorder="1" applyAlignment="1">
      <alignment horizontal="left" vertical="center"/>
    </xf>
    <xf numFmtId="0" fontId="55" fillId="0" borderId="12" xfId="0" applyFont="1" applyBorder="1" applyAlignment="1">
      <alignment horizontal="left" vertical="center"/>
    </xf>
    <xf numFmtId="0" fontId="55" fillId="0" borderId="12" xfId="0" applyFont="1" applyBorder="1" applyAlignment="1">
      <alignment horizontal="left" vertical="center" wrapText="1"/>
    </xf>
    <xf numFmtId="0" fontId="55" fillId="0" borderId="46" xfId="0" applyFont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1" fontId="0" fillId="0" borderId="13" xfId="0" applyNumberFormat="1" applyBorder="1"/>
    <xf numFmtId="0" fontId="54" fillId="4" borderId="15" xfId="0" applyFont="1" applyFill="1" applyBorder="1"/>
    <xf numFmtId="0" fontId="54" fillId="13" borderId="15" xfId="0" applyFont="1" applyFill="1" applyBorder="1"/>
    <xf numFmtId="0" fontId="54" fillId="13" borderId="29" xfId="0" applyFont="1" applyFill="1" applyBorder="1" applyAlignment="1">
      <alignment horizontal="center"/>
    </xf>
    <xf numFmtId="0" fontId="54" fillId="13" borderId="71" xfId="0" applyFont="1" applyFill="1" applyBorder="1" applyAlignment="1">
      <alignment horizontal="center"/>
    </xf>
    <xf numFmtId="0" fontId="54" fillId="13" borderId="1" xfId="0" applyFont="1" applyFill="1" applyBorder="1" applyAlignment="1">
      <alignment horizontal="center"/>
    </xf>
    <xf numFmtId="0" fontId="54" fillId="13" borderId="14" xfId="0" applyFont="1" applyFill="1" applyBorder="1" applyAlignment="1">
      <alignment horizontal="center"/>
    </xf>
    <xf numFmtId="0" fontId="54" fillId="13" borderId="71" xfId="0" applyFont="1" applyFill="1" applyBorder="1"/>
    <xf numFmtId="0" fontId="54" fillId="13" borderId="1" xfId="0" applyFont="1" applyFill="1" applyBorder="1"/>
    <xf numFmtId="0" fontId="54" fillId="13" borderId="14" xfId="0" applyFont="1" applyFill="1" applyBorder="1"/>
    <xf numFmtId="0" fontId="54" fillId="13" borderId="54" xfId="0" applyFont="1" applyFill="1" applyBorder="1" applyAlignment="1">
      <alignment horizontal="center"/>
    </xf>
    <xf numFmtId="0" fontId="54" fillId="13" borderId="0" xfId="0" applyFont="1" applyFill="1" applyAlignment="1">
      <alignment horizontal="center"/>
    </xf>
    <xf numFmtId="0" fontId="54" fillId="9" borderId="15" xfId="0" applyFont="1" applyFill="1" applyBorder="1"/>
    <xf numFmtId="1" fontId="54" fillId="9" borderId="17" xfId="0" applyNumberFormat="1" applyFont="1" applyFill="1" applyBorder="1"/>
    <xf numFmtId="165" fontId="54" fillId="9" borderId="44" xfId="0" applyNumberFormat="1" applyFont="1" applyFill="1" applyBorder="1"/>
    <xf numFmtId="165" fontId="54" fillId="9" borderId="3" xfId="0" applyNumberFormat="1" applyFont="1" applyFill="1" applyBorder="1"/>
    <xf numFmtId="2" fontId="54" fillId="9" borderId="3" xfId="0" applyNumberFormat="1" applyFont="1" applyFill="1" applyBorder="1"/>
    <xf numFmtId="2" fontId="54" fillId="9" borderId="18" xfId="0" applyNumberFormat="1" applyFont="1" applyFill="1" applyBorder="1"/>
    <xf numFmtId="2" fontId="37" fillId="9" borderId="0" xfId="0" applyNumberFormat="1" applyFont="1" applyFill="1"/>
    <xf numFmtId="2" fontId="54" fillId="0" borderId="0" xfId="0" applyNumberFormat="1" applyFont="1"/>
    <xf numFmtId="2" fontId="5" fillId="0" borderId="79" xfId="0" applyNumberFormat="1" applyFont="1" applyBorder="1"/>
    <xf numFmtId="188" fontId="6" fillId="0" borderId="20" xfId="0" applyNumberFormat="1" applyFont="1" applyBorder="1"/>
    <xf numFmtId="0" fontId="0" fillId="0" borderId="26" xfId="0" applyBorder="1"/>
    <xf numFmtId="0" fontId="5" fillId="3" borderId="2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75" fontId="5" fillId="0" borderId="0" xfId="0" applyNumberFormat="1" applyFont="1" applyAlignment="1">
      <alignment horizontal="center" vertical="center"/>
    </xf>
    <xf numFmtId="0" fontId="5" fillId="14" borderId="21" xfId="0" applyFont="1" applyFill="1" applyBorder="1" applyAlignment="1">
      <alignment horizontal="center"/>
    </xf>
    <xf numFmtId="175" fontId="0" fillId="14" borderId="14" xfId="1" applyNumberFormat="1" applyFont="1" applyFill="1" applyBorder="1"/>
    <xf numFmtId="175" fontId="5" fillId="0" borderId="0" xfId="0" applyNumberFormat="1" applyFont="1" applyAlignment="1">
      <alignment vertical="center"/>
    </xf>
    <xf numFmtId="0" fontId="0" fillId="0" borderId="27" xfId="0" applyBorder="1"/>
    <xf numFmtId="165" fontId="0" fillId="0" borderId="29" xfId="0" applyNumberFormat="1" applyBorder="1"/>
    <xf numFmtId="164" fontId="0" fillId="0" borderId="0" xfId="1" applyFont="1"/>
    <xf numFmtId="0" fontId="33" fillId="0" borderId="8" xfId="0" applyFont="1" applyBorder="1" applyAlignment="1">
      <alignment horizontal="center" vertical="center" wrapText="1"/>
    </xf>
    <xf numFmtId="0" fontId="47" fillId="0" borderId="12" xfId="0" applyFont="1" applyBorder="1" applyProtection="1">
      <protection locked="0"/>
    </xf>
    <xf numFmtId="2" fontId="47" fillId="0" borderId="5" xfId="0" applyNumberFormat="1" applyFont="1" applyBorder="1" applyProtection="1">
      <protection locked="0"/>
    </xf>
    <xf numFmtId="165" fontId="47" fillId="0" borderId="10" xfId="0" applyNumberFormat="1" applyFont="1" applyBorder="1" applyProtection="1">
      <protection locked="0"/>
    </xf>
    <xf numFmtId="165" fontId="47" fillId="0" borderId="22" xfId="0" applyNumberFormat="1" applyFont="1" applyBorder="1" applyProtection="1">
      <protection locked="0"/>
    </xf>
    <xf numFmtId="2" fontId="47" fillId="0" borderId="2" xfId="0" applyNumberFormat="1" applyFont="1" applyBorder="1" applyProtection="1">
      <protection locked="0"/>
    </xf>
    <xf numFmtId="2" fontId="23" fillId="0" borderId="24" xfId="0" applyNumberFormat="1" applyFont="1" applyBorder="1" applyProtection="1">
      <protection locked="0"/>
    </xf>
    <xf numFmtId="0" fontId="23" fillId="0" borderId="0" xfId="0" applyFont="1"/>
    <xf numFmtId="165" fontId="23" fillId="0" borderId="10" xfId="0" applyNumberFormat="1" applyFont="1" applyBorder="1" applyProtection="1">
      <protection locked="0"/>
    </xf>
    <xf numFmtId="166" fontId="23" fillId="0" borderId="5" xfId="0" applyNumberFormat="1" applyFont="1" applyBorder="1" applyProtection="1">
      <protection locked="0"/>
    </xf>
    <xf numFmtId="165" fontId="23" fillId="0" borderId="50" xfId="0" applyNumberFormat="1" applyFont="1" applyBorder="1" applyProtection="1">
      <protection locked="0"/>
    </xf>
    <xf numFmtId="2" fontId="23" fillId="0" borderId="5" xfId="0" applyNumberFormat="1" applyFont="1" applyBorder="1" applyProtection="1">
      <protection locked="0"/>
    </xf>
    <xf numFmtId="165" fontId="25" fillId="0" borderId="22" xfId="0" applyNumberFormat="1" applyFont="1" applyBorder="1" applyProtection="1">
      <protection locked="0"/>
    </xf>
    <xf numFmtId="166" fontId="25" fillId="0" borderId="42" xfId="0" applyNumberFormat="1" applyFont="1" applyBorder="1" applyProtection="1">
      <protection locked="0"/>
    </xf>
    <xf numFmtId="1" fontId="40" fillId="0" borderId="0" xfId="0" applyNumberFormat="1" applyFont="1"/>
    <xf numFmtId="0" fontId="33" fillId="0" borderId="8" xfId="0" applyFont="1" applyBorder="1" applyAlignment="1">
      <alignment vertical="center" wrapText="1"/>
    </xf>
    <xf numFmtId="0" fontId="33" fillId="0" borderId="37" xfId="0" applyFont="1" applyBorder="1" applyAlignment="1">
      <alignment vertical="center" wrapText="1"/>
    </xf>
    <xf numFmtId="0" fontId="33" fillId="0" borderId="73" xfId="0" applyFont="1" applyBorder="1" applyAlignment="1">
      <alignment vertical="center" wrapText="1"/>
    </xf>
    <xf numFmtId="0" fontId="33" fillId="0" borderId="27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94" xfId="0" applyFont="1" applyBorder="1" applyAlignment="1">
      <alignment vertical="center" wrapText="1"/>
    </xf>
    <xf numFmtId="174" fontId="28" fillId="0" borderId="150" xfId="0" applyNumberFormat="1" applyFont="1" applyBorder="1"/>
    <xf numFmtId="174" fontId="28" fillId="0" borderId="153" xfId="0" applyNumberFormat="1" applyFont="1" applyBorder="1"/>
    <xf numFmtId="174" fontId="28" fillId="0" borderId="155" xfId="0" applyNumberFormat="1" applyFont="1" applyBorder="1"/>
    <xf numFmtId="174" fontId="28" fillId="0" borderId="147" xfId="0" applyNumberFormat="1" applyFont="1" applyBorder="1"/>
    <xf numFmtId="174" fontId="28" fillId="0" borderId="156" xfId="0" applyNumberFormat="1" applyFont="1" applyBorder="1"/>
    <xf numFmtId="174" fontId="28" fillId="0" borderId="157" xfId="0" applyNumberFormat="1" applyFont="1" applyBorder="1"/>
    <xf numFmtId="174" fontId="28" fillId="0" borderId="159" xfId="0" applyNumberFormat="1" applyFont="1" applyBorder="1"/>
    <xf numFmtId="174" fontId="28" fillId="0" borderId="160" xfId="0" applyNumberFormat="1" applyFont="1" applyBorder="1"/>
    <xf numFmtId="174" fontId="28" fillId="0" borderId="161" xfId="0" applyNumberFormat="1" applyFont="1" applyBorder="1"/>
    <xf numFmtId="174" fontId="28" fillId="0" borderId="162" xfId="0" applyNumberFormat="1" applyFont="1" applyBorder="1"/>
    <xf numFmtId="174" fontId="28" fillId="0" borderId="164" xfId="0" applyNumberFormat="1" applyFont="1" applyBorder="1"/>
    <xf numFmtId="174" fontId="28" fillId="0" borderId="165" xfId="0" applyNumberFormat="1" applyFont="1" applyBorder="1"/>
    <xf numFmtId="174" fontId="28" fillId="0" borderId="166" xfId="0" applyNumberFormat="1" applyFont="1" applyBorder="1"/>
    <xf numFmtId="174" fontId="28" fillId="0" borderId="167" xfId="0" applyNumberFormat="1" applyFont="1" applyBorder="1"/>
    <xf numFmtId="204" fontId="28" fillId="0" borderId="138" xfId="0" applyNumberFormat="1" applyFont="1" applyBorder="1"/>
    <xf numFmtId="204" fontId="33" fillId="0" borderId="0" xfId="0" applyNumberFormat="1" applyFont="1" applyAlignment="1">
      <alignment vertical="center" wrapText="1"/>
    </xf>
    <xf numFmtId="204" fontId="28" fillId="0" borderId="115" xfId="0" applyNumberFormat="1" applyFont="1" applyBorder="1"/>
    <xf numFmtId="204" fontId="28" fillId="0" borderId="118" xfId="0" applyNumberFormat="1" applyFont="1" applyBorder="1"/>
    <xf numFmtId="204" fontId="33" fillId="0" borderId="94" xfId="0" applyNumberFormat="1" applyFont="1" applyBorder="1" applyAlignment="1">
      <alignment vertical="center" wrapText="1"/>
    </xf>
    <xf numFmtId="204" fontId="28" fillId="0" borderId="128" xfId="0" applyNumberFormat="1" applyFont="1" applyBorder="1"/>
    <xf numFmtId="204" fontId="28" fillId="0" borderId="114" xfId="0" applyNumberFormat="1" applyFont="1" applyBorder="1"/>
    <xf numFmtId="204" fontId="28" fillId="0" borderId="124" xfId="0" applyNumberFormat="1" applyFont="1" applyBorder="1"/>
    <xf numFmtId="204" fontId="28" fillId="0" borderId="146" xfId="0" applyNumberFormat="1" applyFont="1" applyBorder="1"/>
    <xf numFmtId="204" fontId="28" fillId="0" borderId="148" xfId="0" applyNumberFormat="1" applyFont="1" applyBorder="1"/>
    <xf numFmtId="204" fontId="28" fillId="0" borderId="141" xfId="0" applyNumberFormat="1" applyFont="1" applyBorder="1"/>
    <xf numFmtId="204" fontId="28" fillId="0" borderId="142" xfId="0" applyNumberFormat="1" applyFont="1" applyBorder="1"/>
    <xf numFmtId="204" fontId="28" fillId="0" borderId="145" xfId="0" applyNumberFormat="1" applyFont="1" applyBorder="1"/>
    <xf numFmtId="204" fontId="28" fillId="0" borderId="169" xfId="0" applyNumberFormat="1" applyFont="1" applyBorder="1"/>
    <xf numFmtId="204" fontId="28" fillId="0" borderId="170" xfId="0" applyNumberFormat="1" applyFont="1" applyBorder="1"/>
    <xf numFmtId="174" fontId="33" fillId="0" borderId="137" xfId="0" applyNumberFormat="1" applyFont="1" applyBorder="1" applyAlignment="1">
      <alignment horizontal="right" vertical="center"/>
    </xf>
    <xf numFmtId="174" fontId="33" fillId="0" borderId="138" xfId="0" applyNumberFormat="1" applyFont="1" applyBorder="1" applyAlignment="1">
      <alignment horizontal="right" vertical="center"/>
    </xf>
    <xf numFmtId="174" fontId="33" fillId="0" borderId="139" xfId="0" applyNumberFormat="1" applyFont="1" applyBorder="1" applyAlignment="1">
      <alignment horizontal="right" vertical="center"/>
    </xf>
    <xf numFmtId="174" fontId="33" fillId="0" borderId="163" xfId="0" applyNumberFormat="1" applyFont="1" applyBorder="1" applyAlignment="1">
      <alignment horizontal="right" vertical="center"/>
    </xf>
    <xf numFmtId="174" fontId="33" fillId="0" borderId="151" xfId="0" applyNumberFormat="1" applyFont="1" applyBorder="1" applyAlignment="1">
      <alignment horizontal="right" vertical="center"/>
    </xf>
    <xf numFmtId="174" fontId="28" fillId="0" borderId="35" xfId="0" applyNumberFormat="1" applyFont="1" applyBorder="1"/>
    <xf numFmtId="174" fontId="28" fillId="0" borderId="171" xfId="0" applyNumberFormat="1" applyFont="1" applyBorder="1"/>
    <xf numFmtId="204" fontId="28" fillId="0" borderId="172" xfId="0" applyNumberFormat="1" applyFont="1" applyBorder="1"/>
    <xf numFmtId="174" fontId="28" fillId="0" borderId="172" xfId="0" applyNumberFormat="1" applyFont="1" applyBorder="1"/>
    <xf numFmtId="174" fontId="28" fillId="0" borderId="169" xfId="0" applyNumberFormat="1" applyFont="1" applyBorder="1"/>
    <xf numFmtId="174" fontId="28" fillId="0" borderId="173" xfId="0" applyNumberFormat="1" applyFont="1" applyBorder="1"/>
    <xf numFmtId="174" fontId="28" fillId="0" borderId="170" xfId="0" applyNumberFormat="1" applyFont="1" applyBorder="1"/>
    <xf numFmtId="174" fontId="58" fillId="0" borderId="137" xfId="0" applyNumberFormat="1" applyFont="1" applyBorder="1" applyAlignment="1">
      <alignment horizontal="right" vertical="center"/>
    </xf>
    <xf numFmtId="204" fontId="58" fillId="0" borderId="139" xfId="0" applyNumberFormat="1" applyFont="1" applyBorder="1" applyAlignment="1">
      <alignment horizontal="right" vertical="center"/>
    </xf>
    <xf numFmtId="174" fontId="28" fillId="0" borderId="9" xfId="0" applyNumberFormat="1" applyFont="1" applyBorder="1"/>
    <xf numFmtId="174" fontId="28" fillId="0" borderId="174" xfId="0" applyNumberFormat="1" applyFont="1" applyBorder="1"/>
    <xf numFmtId="174" fontId="28" fillId="0" borderId="175" xfId="0" applyNumberFormat="1" applyFont="1" applyBorder="1"/>
    <xf numFmtId="174" fontId="59" fillId="0" borderId="8" xfId="0" applyNumberFormat="1" applyFont="1" applyBorder="1"/>
    <xf numFmtId="174" fontId="59" fillId="0" borderId="109" xfId="0" applyNumberFormat="1" applyFont="1" applyBorder="1"/>
    <xf numFmtId="204" fontId="59" fillId="0" borderId="129" xfId="0" applyNumberFormat="1" applyFont="1" applyBorder="1"/>
    <xf numFmtId="204" fontId="59" fillId="0" borderId="21" xfId="0" applyNumberFormat="1" applyFont="1" applyBorder="1"/>
    <xf numFmtId="174" fontId="59" fillId="0" borderId="0" xfId="0" applyNumberFormat="1" applyFont="1"/>
    <xf numFmtId="204" fontId="28" fillId="0" borderId="150" xfId="0" applyNumberFormat="1" applyFont="1" applyBorder="1"/>
    <xf numFmtId="174" fontId="28" fillId="0" borderId="176" xfId="0" applyNumberFormat="1" applyFont="1" applyBorder="1"/>
    <xf numFmtId="204" fontId="28" fillId="0" borderId="49" xfId="0" applyNumberFormat="1" applyFont="1" applyBorder="1"/>
    <xf numFmtId="204" fontId="28" fillId="0" borderId="177" xfId="0" applyNumberFormat="1" applyFont="1" applyBorder="1"/>
    <xf numFmtId="204" fontId="33" fillId="9" borderId="0" xfId="0" applyNumberFormat="1" applyFont="1" applyFill="1" applyAlignment="1">
      <alignment vertical="center" wrapText="1"/>
    </xf>
    <xf numFmtId="197" fontId="5" fillId="9" borderId="0" xfId="0" applyNumberFormat="1" applyFont="1" applyFill="1"/>
    <xf numFmtId="204" fontId="28" fillId="0" borderId="152" xfId="0" applyNumberFormat="1" applyFont="1" applyBorder="1"/>
    <xf numFmtId="204" fontId="28" fillId="0" borderId="119" xfId="0" applyNumberFormat="1" applyFont="1" applyBorder="1"/>
    <xf numFmtId="204" fontId="28" fillId="0" borderId="135" xfId="0" applyNumberFormat="1" applyFont="1" applyBorder="1"/>
    <xf numFmtId="2" fontId="28" fillId="0" borderId="152" xfId="0" applyNumberFormat="1" applyFont="1" applyBorder="1"/>
    <xf numFmtId="2" fontId="28" fillId="0" borderId="135" xfId="0" applyNumberFormat="1" applyFont="1" applyBorder="1"/>
    <xf numFmtId="2" fontId="28" fillId="0" borderId="170" xfId="0" applyNumberFormat="1" applyFont="1" applyBorder="1"/>
    <xf numFmtId="2" fontId="28" fillId="0" borderId="175" xfId="0" applyNumberFormat="1" applyFont="1" applyBorder="1"/>
    <xf numFmtId="2" fontId="28" fillId="0" borderId="115" xfId="0" applyNumberFormat="1" applyFont="1" applyBorder="1"/>
    <xf numFmtId="2" fontId="28" fillId="0" borderId="128" xfId="0" applyNumberFormat="1" applyFont="1" applyBorder="1"/>
    <xf numFmtId="2" fontId="28" fillId="0" borderId="169" xfId="0" applyNumberFormat="1" applyFont="1" applyBorder="1"/>
    <xf numFmtId="2" fontId="28" fillId="0" borderId="142" xfId="0" applyNumberFormat="1" applyFont="1" applyBorder="1"/>
    <xf numFmtId="169" fontId="8" fillId="9" borderId="0" xfId="0" applyNumberFormat="1" applyFont="1" applyFill="1"/>
    <xf numFmtId="166" fontId="8" fillId="9" borderId="0" xfId="0" applyNumberFormat="1" applyFont="1" applyFill="1"/>
    <xf numFmtId="204" fontId="28" fillId="0" borderId="108" xfId="0" applyNumberFormat="1" applyFont="1" applyBorder="1"/>
    <xf numFmtId="204" fontId="28" fillId="0" borderId="30" xfId="0" applyNumberFormat="1" applyFont="1" applyBorder="1"/>
    <xf numFmtId="174" fontId="28" fillId="0" borderId="179" xfId="0" applyNumberFormat="1" applyFont="1" applyBorder="1"/>
    <xf numFmtId="0" fontId="33" fillId="0" borderId="4" xfId="0" applyFont="1" applyBorder="1" applyAlignment="1">
      <alignment vertical="center" wrapText="1"/>
    </xf>
    <xf numFmtId="204" fontId="33" fillId="0" borderId="4" xfId="0" applyNumberFormat="1" applyFont="1" applyBorder="1" applyAlignment="1">
      <alignment vertical="center" wrapText="1"/>
    </xf>
    <xf numFmtId="174" fontId="59" fillId="0" borderId="27" xfId="0" applyNumberFormat="1" applyFont="1" applyBorder="1"/>
    <xf numFmtId="204" fontId="59" fillId="0" borderId="0" xfId="0" applyNumberFormat="1" applyFont="1"/>
    <xf numFmtId="165" fontId="28" fillId="0" borderId="0" xfId="0" applyNumberFormat="1" applyFont="1"/>
    <xf numFmtId="204" fontId="28" fillId="0" borderId="94" xfId="0" applyNumberFormat="1" applyFont="1" applyBorder="1"/>
    <xf numFmtId="204" fontId="28" fillId="0" borderId="93" xfId="0" applyNumberFormat="1" applyFont="1" applyBorder="1"/>
    <xf numFmtId="204" fontId="28" fillId="0" borderId="38" xfId="0" applyNumberFormat="1" applyFont="1" applyBorder="1"/>
    <xf numFmtId="174" fontId="35" fillId="0" borderId="122" xfId="0" applyNumberFormat="1" applyFont="1" applyBorder="1"/>
    <xf numFmtId="204" fontId="35" fillId="0" borderId="30" xfId="0" applyNumberFormat="1" applyFont="1" applyBorder="1"/>
    <xf numFmtId="204" fontId="35" fillId="0" borderId="141" xfId="0" applyNumberFormat="1" applyFont="1" applyBorder="1"/>
    <xf numFmtId="204" fontId="35" fillId="0" borderId="94" xfId="0" applyNumberFormat="1" applyFont="1" applyBorder="1"/>
    <xf numFmtId="204" fontId="0" fillId="0" borderId="0" xfId="0" applyNumberFormat="1"/>
    <xf numFmtId="174" fontId="59" fillId="3" borderId="8" xfId="0" applyNumberFormat="1" applyFont="1" applyFill="1" applyBorder="1"/>
    <xf numFmtId="174" fontId="59" fillId="3" borderId="6" xfId="0" applyNumberFormat="1" applyFont="1" applyFill="1" applyBorder="1"/>
    <xf numFmtId="204" fontId="59" fillId="3" borderId="7" xfId="0" applyNumberFormat="1" applyFont="1" applyFill="1" applyBorder="1"/>
    <xf numFmtId="204" fontId="59" fillId="3" borderId="21" xfId="0" applyNumberFormat="1" applyFont="1" applyFill="1" applyBorder="1"/>
    <xf numFmtId="2" fontId="11" fillId="0" borderId="1" xfId="0" applyNumberFormat="1" applyFont="1" applyBorder="1"/>
    <xf numFmtId="0" fontId="0" fillId="0" borderId="24" xfId="0" applyBorder="1"/>
    <xf numFmtId="2" fontId="11" fillId="0" borderId="14" xfId="0" applyNumberFormat="1" applyFont="1" applyBorder="1"/>
    <xf numFmtId="2" fontId="11" fillId="0" borderId="63" xfId="0" applyNumberFormat="1" applyFont="1" applyBorder="1"/>
    <xf numFmtId="0" fontId="11" fillId="0" borderId="5" xfId="0" applyFont="1" applyBorder="1"/>
    <xf numFmtId="165" fontId="12" fillId="0" borderId="7" xfId="0" applyNumberFormat="1" applyFont="1" applyBorder="1"/>
    <xf numFmtId="2" fontId="12" fillId="0" borderId="7" xfId="0" applyNumberFormat="1" applyFont="1" applyBorder="1"/>
    <xf numFmtId="2" fontId="12" fillId="0" borderId="21" xfId="0" applyNumberFormat="1" applyFont="1" applyBorder="1"/>
    <xf numFmtId="2" fontId="11" fillId="0" borderId="47" xfId="0" applyNumberFormat="1" applyFont="1" applyBorder="1"/>
    <xf numFmtId="2" fontId="11" fillId="0" borderId="5" xfId="0" applyNumberFormat="1" applyFont="1" applyBorder="1"/>
    <xf numFmtId="188" fontId="5" fillId="0" borderId="21" xfId="0" applyNumberFormat="1" applyFont="1" applyBorder="1"/>
    <xf numFmtId="0" fontId="0" fillId="0" borderId="30" xfId="0" applyBorder="1"/>
    <xf numFmtId="0" fontId="0" fillId="0" borderId="23" xfId="0" applyBorder="1"/>
    <xf numFmtId="165" fontId="12" fillId="0" borderId="70" xfId="0" applyNumberFormat="1" applyFont="1" applyBorder="1"/>
    <xf numFmtId="169" fontId="5" fillId="0" borderId="70" xfId="0" applyNumberFormat="1" applyFont="1" applyBorder="1"/>
    <xf numFmtId="0" fontId="0" fillId="0" borderId="81" xfId="0" applyBorder="1"/>
    <xf numFmtId="0" fontId="0" fillId="0" borderId="22" xfId="0" applyBorder="1"/>
    <xf numFmtId="165" fontId="11" fillId="0" borderId="25" xfId="0" applyNumberFormat="1" applyFont="1" applyBorder="1"/>
    <xf numFmtId="165" fontId="12" fillId="0" borderId="6" xfId="0" applyNumberFormat="1" applyFont="1" applyBorder="1"/>
    <xf numFmtId="169" fontId="5" fillId="0" borderId="6" xfId="0" applyNumberFormat="1" applyFont="1" applyBorder="1"/>
    <xf numFmtId="0" fontId="0" fillId="0" borderId="42" xfId="0" applyBorder="1"/>
    <xf numFmtId="2" fontId="12" fillId="0" borderId="20" xfId="0" applyNumberFormat="1" applyFont="1" applyBorder="1"/>
    <xf numFmtId="188" fontId="5" fillId="0" borderId="20" xfId="0" applyNumberFormat="1" applyFont="1" applyBorder="1"/>
    <xf numFmtId="2" fontId="11" fillId="0" borderId="2" xfId="0" applyNumberFormat="1" applyFont="1" applyBorder="1"/>
    <xf numFmtId="169" fontId="0" fillId="0" borderId="25" xfId="0" applyNumberFormat="1" applyBorder="1"/>
    <xf numFmtId="188" fontId="0" fillId="0" borderId="47" xfId="0" applyNumberFormat="1" applyBorder="1"/>
    <xf numFmtId="169" fontId="0" fillId="0" borderId="22" xfId="0" applyNumberFormat="1" applyBorder="1"/>
    <xf numFmtId="178" fontId="0" fillId="0" borderId="24" xfId="0" applyNumberFormat="1" applyBorder="1"/>
    <xf numFmtId="178" fontId="0" fillId="0" borderId="47" xfId="0" applyNumberFormat="1" applyBorder="1"/>
    <xf numFmtId="178" fontId="5" fillId="0" borderId="21" xfId="0" applyNumberFormat="1" applyFont="1" applyBorder="1"/>
    <xf numFmtId="178" fontId="11" fillId="0" borderId="2" xfId="0" applyNumberFormat="1" applyFont="1" applyBorder="1"/>
    <xf numFmtId="178" fontId="11" fillId="0" borderId="63" xfId="0" applyNumberFormat="1" applyFont="1" applyBorder="1"/>
    <xf numFmtId="178" fontId="12" fillId="0" borderId="7" xfId="0" applyNumberFormat="1" applyFont="1" applyBorder="1"/>
    <xf numFmtId="179" fontId="0" fillId="0" borderId="22" xfId="0" applyNumberFormat="1" applyBorder="1"/>
    <xf numFmtId="179" fontId="0" fillId="0" borderId="25" xfId="0" applyNumberFormat="1" applyBorder="1"/>
    <xf numFmtId="179" fontId="5" fillId="0" borderId="6" xfId="0" applyNumberFormat="1" applyFont="1" applyBorder="1"/>
    <xf numFmtId="0" fontId="5" fillId="0" borderId="46" xfId="0" applyFont="1" applyBorder="1"/>
    <xf numFmtId="204" fontId="59" fillId="4" borderId="21" xfId="0" applyNumberFormat="1" applyFont="1" applyFill="1" applyBorder="1"/>
    <xf numFmtId="174" fontId="59" fillId="0" borderId="4" xfId="0" applyNumberFormat="1" applyFont="1" applyBorder="1"/>
    <xf numFmtId="174" fontId="59" fillId="4" borderId="8" xfId="0" applyNumberFormat="1" applyFont="1" applyFill="1" applyBorder="1"/>
    <xf numFmtId="174" fontId="59" fillId="4" borderId="109" xfId="0" applyNumberFormat="1" applyFont="1" applyFill="1" applyBorder="1"/>
    <xf numFmtId="204" fontId="59" fillId="4" borderId="129" xfId="0" applyNumberFormat="1" applyFont="1" applyFill="1" applyBorder="1"/>
    <xf numFmtId="197" fontId="5" fillId="0" borderId="0" xfId="0" applyNumberFormat="1" applyFont="1"/>
    <xf numFmtId="0" fontId="5" fillId="0" borderId="9" xfId="0" applyFont="1" applyBorder="1"/>
    <xf numFmtId="0" fontId="60" fillId="3" borderId="17" xfId="0" applyFont="1" applyFill="1" applyBorder="1" applyAlignment="1">
      <alignment horizontal="center"/>
    </xf>
    <xf numFmtId="0" fontId="60" fillId="3" borderId="18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9" xfId="0" applyBorder="1" applyAlignment="1">
      <alignment horizontal="center"/>
    </xf>
    <xf numFmtId="169" fontId="0" fillId="3" borderId="10" xfId="0" applyNumberFormat="1" applyFill="1" applyBorder="1"/>
    <xf numFmtId="169" fontId="0" fillId="3" borderId="5" xfId="0" applyNumberFormat="1" applyFill="1" applyBorder="1"/>
    <xf numFmtId="169" fontId="0" fillId="3" borderId="11" xfId="0" applyNumberFormat="1" applyFill="1" applyBorder="1"/>
    <xf numFmtId="169" fontId="0" fillId="0" borderId="10" xfId="0" applyNumberFormat="1" applyBorder="1"/>
    <xf numFmtId="169" fontId="0" fillId="0" borderId="11" xfId="0" applyNumberFormat="1" applyBorder="1"/>
    <xf numFmtId="169" fontId="0" fillId="3" borderId="13" xfId="0" applyNumberFormat="1" applyFill="1" applyBorder="1"/>
    <xf numFmtId="169" fontId="0" fillId="3" borderId="14" xfId="0" applyNumberFormat="1" applyFill="1" applyBorder="1"/>
    <xf numFmtId="169" fontId="0" fillId="0" borderId="13" xfId="0" applyNumberFormat="1" applyBorder="1"/>
    <xf numFmtId="169" fontId="0" fillId="0" borderId="1" xfId="0" applyNumberFormat="1" applyBorder="1"/>
    <xf numFmtId="169" fontId="0" fillId="3" borderId="25" xfId="0" applyNumberFormat="1" applyFill="1" applyBorder="1"/>
    <xf numFmtId="169" fontId="0" fillId="3" borderId="47" xfId="0" applyNumberFormat="1" applyFill="1" applyBorder="1"/>
    <xf numFmtId="169" fontId="0" fillId="3" borderId="6" xfId="0" applyNumberFormat="1" applyFill="1" applyBorder="1"/>
    <xf numFmtId="169" fontId="0" fillId="3" borderId="7" xfId="0" applyNumberFormat="1" applyFill="1" applyBorder="1"/>
    <xf numFmtId="169" fontId="0" fillId="3" borderId="21" xfId="0" applyNumberFormat="1" applyFill="1" applyBorder="1"/>
    <xf numFmtId="169" fontId="0" fillId="0" borderId="7" xfId="0" applyNumberFormat="1" applyBorder="1"/>
    <xf numFmtId="169" fontId="0" fillId="0" borderId="21" xfId="0" applyNumberFormat="1" applyBorder="1"/>
    <xf numFmtId="0" fontId="61" fillId="0" borderId="0" xfId="0" applyFont="1"/>
    <xf numFmtId="167" fontId="54" fillId="0" borderId="0" xfId="0" applyNumberFormat="1" applyFont="1"/>
    <xf numFmtId="165" fontId="61" fillId="0" borderId="26" xfId="0" applyNumberFormat="1" applyFont="1" applyBorder="1"/>
    <xf numFmtId="167" fontId="60" fillId="0" borderId="26" xfId="0" applyNumberFormat="1" applyFont="1" applyBorder="1"/>
    <xf numFmtId="0" fontId="54" fillId="0" borderId="26" xfId="0" applyFont="1" applyBorder="1"/>
    <xf numFmtId="165" fontId="60" fillId="0" borderId="26" xfId="0" applyNumberFormat="1" applyFont="1" applyBorder="1"/>
    <xf numFmtId="164" fontId="5" fillId="0" borderId="1" xfId="1" applyFont="1" applyBorder="1"/>
    <xf numFmtId="164" fontId="5" fillId="0" borderId="7" xfId="1" applyFont="1" applyBorder="1"/>
    <xf numFmtId="164" fontId="0" fillId="0" borderId="7" xfId="1" applyFont="1" applyBorder="1"/>
    <xf numFmtId="165" fontId="0" fillId="0" borderId="81" xfId="0" applyNumberFormat="1" applyBorder="1"/>
    <xf numFmtId="0" fontId="3" fillId="0" borderId="40" xfId="0" applyFont="1" applyBorder="1"/>
    <xf numFmtId="0" fontId="3" fillId="0" borderId="78" xfId="0" applyFont="1" applyBorder="1"/>
    <xf numFmtId="205" fontId="7" fillId="0" borderId="0" xfId="3" applyNumberFormat="1" applyFont="1" applyAlignment="1">
      <alignment horizontal="center"/>
    </xf>
    <xf numFmtId="205" fontId="7" fillId="0" borderId="0" xfId="3" applyNumberFormat="1" applyFont="1"/>
    <xf numFmtId="204" fontId="28" fillId="0" borderId="176" xfId="0" applyNumberFormat="1" applyFont="1" applyBorder="1"/>
    <xf numFmtId="2" fontId="56" fillId="0" borderId="10" xfId="0" applyNumberFormat="1" applyFont="1" applyBorder="1"/>
    <xf numFmtId="0" fontId="55" fillId="0" borderId="35" xfId="0" applyFont="1" applyBorder="1" applyAlignment="1">
      <alignment horizontal="left" vertical="center"/>
    </xf>
    <xf numFmtId="0" fontId="55" fillId="0" borderId="48" xfId="0" applyFont="1" applyBorder="1" applyAlignment="1">
      <alignment horizontal="left" vertical="center"/>
    </xf>
    <xf numFmtId="2" fontId="0" fillId="0" borderId="54" xfId="0" applyNumberFormat="1" applyBorder="1"/>
    <xf numFmtId="0" fontId="33" fillId="17" borderId="8" xfId="0" applyFont="1" applyFill="1" applyBorder="1" applyAlignment="1">
      <alignment vertical="center" wrapText="1"/>
    </xf>
    <xf numFmtId="0" fontId="33" fillId="17" borderId="20" xfId="0" applyFont="1" applyFill="1" applyBorder="1" applyAlignment="1">
      <alignment vertical="center" wrapText="1"/>
    </xf>
    <xf numFmtId="0" fontId="33" fillId="17" borderId="21" xfId="0" applyFont="1" applyFill="1" applyBorder="1" applyAlignment="1">
      <alignment vertical="center" wrapText="1"/>
    </xf>
    <xf numFmtId="174" fontId="28" fillId="17" borderId="155" xfId="0" applyNumberFormat="1" applyFont="1" applyFill="1" applyBorder="1"/>
    <xf numFmtId="204" fontId="28" fillId="17" borderId="150" xfId="0" applyNumberFormat="1" applyFont="1" applyFill="1" applyBorder="1"/>
    <xf numFmtId="204" fontId="28" fillId="17" borderId="49" xfId="0" applyNumberFormat="1" applyFont="1" applyFill="1" applyBorder="1"/>
    <xf numFmtId="174" fontId="28" fillId="17" borderId="156" xfId="0" applyNumberFormat="1" applyFont="1" applyFill="1" applyBorder="1"/>
    <xf numFmtId="204" fontId="28" fillId="17" borderId="168" xfId="0" applyNumberFormat="1" applyFont="1" applyFill="1" applyBorder="1"/>
    <xf numFmtId="204" fontId="28" fillId="17" borderId="178" xfId="0" applyNumberFormat="1" applyFont="1" applyFill="1" applyBorder="1"/>
    <xf numFmtId="174" fontId="28" fillId="17" borderId="157" xfId="0" applyNumberFormat="1" applyFont="1" applyFill="1" applyBorder="1"/>
    <xf numFmtId="174" fontId="28" fillId="17" borderId="135" xfId="0" applyNumberFormat="1" applyFont="1" applyFill="1" applyBorder="1"/>
    <xf numFmtId="204" fontId="28" fillId="17" borderId="143" xfId="0" applyNumberFormat="1" applyFont="1" applyFill="1" applyBorder="1"/>
    <xf numFmtId="174" fontId="28" fillId="17" borderId="35" xfId="0" applyNumberFormat="1" applyFont="1" applyFill="1" applyBorder="1"/>
    <xf numFmtId="174" fontId="28" fillId="17" borderId="170" xfId="0" applyNumberFormat="1" applyFont="1" applyFill="1" applyBorder="1"/>
    <xf numFmtId="204" fontId="28" fillId="17" borderId="24" xfId="0" applyNumberFormat="1" applyFont="1" applyFill="1" applyBorder="1"/>
    <xf numFmtId="204" fontId="28" fillId="17" borderId="175" xfId="0" applyNumberFormat="1" applyFont="1" applyFill="1" applyBorder="1"/>
    <xf numFmtId="174" fontId="59" fillId="17" borderId="8" xfId="0" applyNumberFormat="1" applyFont="1" applyFill="1" applyBorder="1"/>
    <xf numFmtId="204" fontId="59" fillId="17" borderId="129" xfId="0" applyNumberFormat="1" applyFont="1" applyFill="1" applyBorder="1"/>
    <xf numFmtId="204" fontId="59" fillId="17" borderId="21" xfId="0" applyNumberFormat="1" applyFont="1" applyFill="1" applyBorder="1"/>
    <xf numFmtId="0" fontId="33" fillId="17" borderId="27" xfId="0" applyFont="1" applyFill="1" applyBorder="1" applyAlignment="1">
      <alignment vertical="center" wrapText="1"/>
    </xf>
    <xf numFmtId="0" fontId="33" fillId="17" borderId="28" xfId="0" applyFont="1" applyFill="1" applyBorder="1" applyAlignment="1">
      <alignment vertical="center" wrapText="1"/>
    </xf>
    <xf numFmtId="204" fontId="33" fillId="17" borderId="94" xfId="0" applyNumberFormat="1" applyFont="1" applyFill="1" applyBorder="1" applyAlignment="1">
      <alignment vertical="center" wrapText="1"/>
    </xf>
    <xf numFmtId="174" fontId="59" fillId="17" borderId="109" xfId="0" applyNumberFormat="1" applyFont="1" applyFill="1" applyBorder="1"/>
    <xf numFmtId="174" fontId="28" fillId="17" borderId="176" xfId="0" applyNumberFormat="1" applyFont="1" applyFill="1" applyBorder="1"/>
    <xf numFmtId="204" fontId="28" fillId="17" borderId="146" xfId="0" applyNumberFormat="1" applyFont="1" applyFill="1" applyBorder="1"/>
    <xf numFmtId="204" fontId="28" fillId="17" borderId="148" xfId="0" applyNumberFormat="1" applyFont="1" applyFill="1" applyBorder="1"/>
    <xf numFmtId="204" fontId="28" fillId="17" borderId="180" xfId="0" applyNumberFormat="1" applyFont="1" applyFill="1" applyBorder="1"/>
    <xf numFmtId="174" fontId="28" fillId="17" borderId="158" xfId="0" applyNumberFormat="1" applyFont="1" applyFill="1" applyBorder="1"/>
    <xf numFmtId="204" fontId="28" fillId="17" borderId="108" xfId="0" applyNumberFormat="1" applyFont="1" applyFill="1" applyBorder="1"/>
    <xf numFmtId="204" fontId="28" fillId="17" borderId="30" xfId="0" applyNumberFormat="1" applyFont="1" applyFill="1" applyBorder="1"/>
    <xf numFmtId="174" fontId="35" fillId="17" borderId="122" xfId="0" applyNumberFormat="1" applyFont="1" applyFill="1" applyBorder="1"/>
    <xf numFmtId="204" fontId="35" fillId="17" borderId="30" xfId="0" applyNumberFormat="1" applyFont="1" applyFill="1" applyBorder="1"/>
    <xf numFmtId="174" fontId="28" fillId="17" borderId="122" xfId="0" applyNumberFormat="1" applyFont="1" applyFill="1" applyBorder="1"/>
    <xf numFmtId="204" fontId="28" fillId="17" borderId="94" xfId="0" applyNumberFormat="1" applyFont="1" applyFill="1" applyBorder="1"/>
    <xf numFmtId="204" fontId="28" fillId="17" borderId="93" xfId="0" applyNumberFormat="1" applyFont="1" applyFill="1" applyBorder="1"/>
    <xf numFmtId="174" fontId="28" fillId="17" borderId="137" xfId="0" applyNumberFormat="1" applyFont="1" applyFill="1" applyBorder="1"/>
    <xf numFmtId="204" fontId="28" fillId="17" borderId="145" xfId="0" applyNumberFormat="1" applyFont="1" applyFill="1" applyBorder="1"/>
    <xf numFmtId="204" fontId="28" fillId="17" borderId="38" xfId="0" applyNumberFormat="1" applyFont="1" applyFill="1" applyBorder="1"/>
    <xf numFmtId="204" fontId="35" fillId="17" borderId="141" xfId="0" applyNumberFormat="1" applyFont="1" applyFill="1" applyBorder="1"/>
    <xf numFmtId="204" fontId="35" fillId="17" borderId="94" xfId="0" applyNumberFormat="1" applyFont="1" applyFill="1" applyBorder="1"/>
    <xf numFmtId="174" fontId="28" fillId="17" borderId="171" xfId="0" applyNumberFormat="1" applyFont="1" applyFill="1" applyBorder="1"/>
    <xf numFmtId="204" fontId="28" fillId="17" borderId="172" xfId="0" applyNumberFormat="1" applyFont="1" applyFill="1" applyBorder="1"/>
    <xf numFmtId="204" fontId="28" fillId="17" borderId="169" xfId="0" applyNumberFormat="1" applyFont="1" applyFill="1" applyBorder="1"/>
    <xf numFmtId="204" fontId="28" fillId="17" borderId="141" xfId="0" applyNumberFormat="1" applyFont="1" applyFill="1" applyBorder="1"/>
    <xf numFmtId="165" fontId="0" fillId="17" borderId="13" xfId="0" applyNumberFormat="1" applyFill="1" applyBorder="1"/>
    <xf numFmtId="2" fontId="11" fillId="17" borderId="1" xfId="0" applyNumberFormat="1" applyFont="1" applyFill="1" applyBorder="1"/>
    <xf numFmtId="2" fontId="0" fillId="17" borderId="14" xfId="0" applyNumberFormat="1" applyFill="1" applyBorder="1"/>
    <xf numFmtId="165" fontId="0" fillId="17" borderId="25" xfId="0" applyNumberFormat="1" applyFill="1" applyBorder="1"/>
    <xf numFmtId="2" fontId="11" fillId="17" borderId="63" xfId="0" applyNumberFormat="1" applyFont="1" applyFill="1" applyBorder="1"/>
    <xf numFmtId="2" fontId="0" fillId="17" borderId="47" xfId="0" applyNumberFormat="1" applyFill="1" applyBorder="1"/>
    <xf numFmtId="165" fontId="12" fillId="17" borderId="6" xfId="0" applyNumberFormat="1" applyFont="1" applyFill="1" applyBorder="1"/>
    <xf numFmtId="2" fontId="12" fillId="17" borderId="7" xfId="0" applyNumberFormat="1" applyFont="1" applyFill="1" applyBorder="1"/>
    <xf numFmtId="2" fontId="12" fillId="17" borderId="21" xfId="0" applyNumberFormat="1" applyFont="1" applyFill="1" applyBorder="1"/>
    <xf numFmtId="0" fontId="0" fillId="17" borderId="29" xfId="0" applyFill="1" applyBorder="1"/>
    <xf numFmtId="0" fontId="0" fillId="17" borderId="28" xfId="0" applyFill="1" applyBorder="1"/>
    <xf numFmtId="0" fontId="0" fillId="17" borderId="30" xfId="0" applyFill="1" applyBorder="1"/>
    <xf numFmtId="169" fontId="0" fillId="17" borderId="22" xfId="0" applyNumberFormat="1" applyFill="1" applyBorder="1"/>
    <xf numFmtId="178" fontId="11" fillId="17" borderId="2" xfId="0" applyNumberFormat="1" applyFont="1" applyFill="1" applyBorder="1"/>
    <xf numFmtId="169" fontId="0" fillId="17" borderId="25" xfId="0" applyNumberFormat="1" applyFill="1" applyBorder="1"/>
    <xf numFmtId="178" fontId="11" fillId="17" borderId="63" xfId="0" applyNumberFormat="1" applyFont="1" applyFill="1" applyBorder="1"/>
    <xf numFmtId="188" fontId="0" fillId="17" borderId="47" xfId="0" applyNumberFormat="1" applyFill="1" applyBorder="1"/>
    <xf numFmtId="175" fontId="0" fillId="16" borderId="51" xfId="1" applyNumberFormat="1" applyFont="1" applyFill="1" applyBorder="1"/>
    <xf numFmtId="175" fontId="5" fillId="0" borderId="52" xfId="1" applyNumberFormat="1" applyFont="1" applyBorder="1"/>
    <xf numFmtId="166" fontId="18" fillId="0" borderId="20" xfId="0" applyNumberFormat="1" applyFont="1" applyBorder="1" applyProtection="1">
      <protection locked="0"/>
    </xf>
    <xf numFmtId="204" fontId="35" fillId="0" borderId="108" xfId="0" applyNumberFormat="1" applyFont="1" applyBorder="1"/>
    <xf numFmtId="164" fontId="7" fillId="0" borderId="0" xfId="1" applyFont="1" applyFill="1"/>
    <xf numFmtId="0" fontId="5" fillId="0" borderId="27" xfId="0" applyFont="1" applyBorder="1"/>
    <xf numFmtId="165" fontId="6" fillId="0" borderId="60" xfId="0" applyNumberFormat="1" applyFont="1" applyBorder="1"/>
    <xf numFmtId="2" fontId="8" fillId="9" borderId="0" xfId="0" applyNumberFormat="1" applyFont="1" applyFill="1" applyAlignment="1">
      <alignment horizontal="center"/>
    </xf>
    <xf numFmtId="203" fontId="6" fillId="0" borderId="0" xfId="0" applyNumberFormat="1" applyFont="1"/>
    <xf numFmtId="2" fontId="45" fillId="0" borderId="0" xfId="0" applyNumberFormat="1" applyFont="1"/>
    <xf numFmtId="2" fontId="62" fillId="0" borderId="0" xfId="0" applyNumberFormat="1" applyFont="1"/>
    <xf numFmtId="2" fontId="62" fillId="0" borderId="53" xfId="0" applyNumberFormat="1" applyFont="1" applyBorder="1"/>
    <xf numFmtId="174" fontId="28" fillId="18" borderId="135" xfId="0" applyNumberFormat="1" applyFont="1" applyFill="1" applyBorder="1"/>
    <xf numFmtId="199" fontId="0" fillId="0" borderId="0" xfId="0" applyNumberFormat="1"/>
    <xf numFmtId="197" fontId="0" fillId="0" borderId="0" xfId="0" applyNumberFormat="1"/>
    <xf numFmtId="0" fontId="55" fillId="0" borderId="43" xfId="0" applyFont="1" applyBorder="1" applyAlignment="1">
      <alignment horizontal="left" vertical="center"/>
    </xf>
    <xf numFmtId="164" fontId="0" fillId="0" borderId="0" xfId="0" applyNumberFormat="1"/>
    <xf numFmtId="207" fontId="3" fillId="0" borderId="2" xfId="1" applyNumberFormat="1" applyFont="1" applyBorder="1"/>
    <xf numFmtId="207" fontId="3" fillId="0" borderId="5" xfId="1" applyNumberFormat="1" applyFont="1" applyBorder="1"/>
    <xf numFmtId="207" fontId="3" fillId="0" borderId="65" xfId="1" applyNumberFormat="1" applyFont="1" applyFill="1" applyBorder="1"/>
    <xf numFmtId="207" fontId="3" fillId="0" borderId="1" xfId="1" applyNumberFormat="1" applyFont="1" applyFill="1" applyBorder="1"/>
    <xf numFmtId="207" fontId="5" fillId="0" borderId="8" xfId="0" applyNumberFormat="1" applyFont="1" applyBorder="1"/>
    <xf numFmtId="207" fontId="5" fillId="0" borderId="7" xfId="0" applyNumberFormat="1" applyFont="1" applyBorder="1"/>
    <xf numFmtId="207" fontId="5" fillId="0" borderId="7" xfId="1" applyNumberFormat="1" applyFont="1" applyBorder="1"/>
    <xf numFmtId="207" fontId="5" fillId="3" borderId="21" xfId="0" applyNumberFormat="1" applyFont="1" applyFill="1" applyBorder="1"/>
    <xf numFmtId="207" fontId="5" fillId="0" borderId="57" xfId="0" applyNumberFormat="1" applyFont="1" applyBorder="1"/>
    <xf numFmtId="207" fontId="5" fillId="0" borderId="57" xfId="1" applyNumberFormat="1" applyFont="1" applyBorder="1"/>
    <xf numFmtId="207" fontId="5" fillId="3" borderId="38" xfId="0" applyNumberFormat="1" applyFont="1" applyFill="1" applyBorder="1"/>
    <xf numFmtId="207" fontId="0" fillId="0" borderId="0" xfId="0" applyNumberFormat="1"/>
    <xf numFmtId="207" fontId="3" fillId="0" borderId="0" xfId="1" applyNumberFormat="1" applyFont="1"/>
    <xf numFmtId="207" fontId="3" fillId="0" borderId="0" xfId="3" applyNumberFormat="1" applyFont="1" applyFill="1" applyBorder="1" applyAlignment="1">
      <alignment horizontal="center"/>
    </xf>
    <xf numFmtId="207" fontId="3" fillId="0" borderId="1" xfId="1" applyNumberFormat="1" applyFont="1" applyBorder="1"/>
    <xf numFmtId="207" fontId="5" fillId="17" borderId="0" xfId="0" applyNumberFormat="1" applyFont="1" applyFill="1"/>
    <xf numFmtId="207" fontId="5" fillId="0" borderId="0" xfId="0" applyNumberFormat="1" applyFont="1"/>
    <xf numFmtId="165" fontId="3" fillId="0" borderId="9" xfId="0" applyNumberFormat="1" applyFont="1" applyBorder="1"/>
    <xf numFmtId="204" fontId="28" fillId="0" borderId="147" xfId="0" applyNumberFormat="1" applyFont="1" applyBorder="1"/>
    <xf numFmtId="204" fontId="33" fillId="0" borderId="139" xfId="0" applyNumberFormat="1" applyFont="1" applyBorder="1" applyAlignment="1">
      <alignment horizontal="right" vertical="center"/>
    </xf>
    <xf numFmtId="204" fontId="28" fillId="0" borderId="159" xfId="0" applyNumberFormat="1" applyFont="1" applyBorder="1"/>
    <xf numFmtId="204" fontId="28" fillId="0" borderId="0" xfId="0" applyNumberFormat="1" applyFont="1"/>
    <xf numFmtId="204" fontId="59" fillId="0" borderId="4" xfId="0" applyNumberFormat="1" applyFont="1" applyBorder="1"/>
    <xf numFmtId="204" fontId="0" fillId="0" borderId="5" xfId="0" applyNumberFormat="1" applyBorder="1"/>
    <xf numFmtId="204" fontId="59" fillId="0" borderId="73" xfId="0" applyNumberFormat="1" applyFont="1" applyBorder="1"/>
    <xf numFmtId="204" fontId="28" fillId="0" borderId="181" xfId="0" applyNumberFormat="1" applyFont="1" applyBorder="1"/>
    <xf numFmtId="204" fontId="59" fillId="0" borderId="182" xfId="0" applyNumberFormat="1" applyFont="1" applyBorder="1"/>
    <xf numFmtId="174" fontId="59" fillId="0" borderId="154" xfId="0" applyNumberFormat="1" applyFont="1" applyBorder="1"/>
    <xf numFmtId="204" fontId="58" fillId="0" borderId="84" xfId="0" applyNumberFormat="1" applyFont="1" applyBorder="1" applyAlignment="1">
      <alignment horizontal="right" vertical="center"/>
    </xf>
    <xf numFmtId="174" fontId="58" fillId="0" borderId="163" xfId="0" applyNumberFormat="1" applyFont="1" applyBorder="1" applyAlignment="1">
      <alignment horizontal="right" vertical="center"/>
    </xf>
    <xf numFmtId="207" fontId="3" fillId="0" borderId="5" xfId="0" applyNumberFormat="1" applyFont="1" applyBorder="1" applyAlignment="1">
      <alignment horizontal="right"/>
    </xf>
    <xf numFmtId="207" fontId="3" fillId="0" borderId="1" xfId="0" applyNumberFormat="1" applyFont="1" applyBorder="1" applyAlignment="1">
      <alignment horizontal="right"/>
    </xf>
    <xf numFmtId="207" fontId="3" fillId="0" borderId="63" xfId="0" applyNumberFormat="1" applyFont="1" applyBorder="1" applyAlignment="1">
      <alignment horizontal="right"/>
    </xf>
    <xf numFmtId="204" fontId="28" fillId="0" borderId="175" xfId="0" applyNumberFormat="1" applyFont="1" applyBorder="1"/>
    <xf numFmtId="204" fontId="58" fillId="0" borderId="151" xfId="0" applyNumberFormat="1" applyFont="1" applyBorder="1" applyAlignment="1">
      <alignment horizontal="right" vertical="center"/>
    </xf>
    <xf numFmtId="204" fontId="59" fillId="0" borderId="37" xfId="0" applyNumberFormat="1" applyFont="1" applyBorder="1"/>
    <xf numFmtId="204" fontId="59" fillId="0" borderId="20" xfId="0" applyNumberFormat="1" applyFont="1" applyBorder="1"/>
    <xf numFmtId="204" fontId="28" fillId="0" borderId="85" xfId="0" applyNumberFormat="1" applyFont="1" applyBorder="1"/>
    <xf numFmtId="204" fontId="28" fillId="0" borderId="168" xfId="0" applyNumberFormat="1" applyFont="1" applyBorder="1"/>
    <xf numFmtId="204" fontId="28" fillId="0" borderId="183" xfId="0" applyNumberFormat="1" applyFont="1" applyBorder="1"/>
    <xf numFmtId="204" fontId="28" fillId="0" borderId="12" xfId="0" applyNumberFormat="1" applyFont="1" applyBorder="1"/>
    <xf numFmtId="174" fontId="63" fillId="0" borderId="137" xfId="0" applyNumberFormat="1" applyFont="1" applyBorder="1" applyAlignment="1">
      <alignment horizontal="right" vertical="center"/>
    </xf>
    <xf numFmtId="204" fontId="63" fillId="0" borderId="139" xfId="0" applyNumberFormat="1" applyFont="1" applyBorder="1" applyAlignment="1">
      <alignment horizontal="right" vertical="center"/>
    </xf>
    <xf numFmtId="174" fontId="28" fillId="0" borderId="137" xfId="0" applyNumberFormat="1" applyFont="1" applyBorder="1" applyAlignment="1">
      <alignment horizontal="right" vertical="center"/>
    </xf>
    <xf numFmtId="204" fontId="0" fillId="0" borderId="42" xfId="0" applyNumberFormat="1" applyBorder="1"/>
    <xf numFmtId="204" fontId="12" fillId="0" borderId="20" xfId="0" applyNumberFormat="1" applyFont="1" applyBorder="1"/>
    <xf numFmtId="2" fontId="3" fillId="0" borderId="47" xfId="0" applyNumberFormat="1" applyFont="1" applyBorder="1"/>
    <xf numFmtId="204" fontId="28" fillId="0" borderId="139" xfId="0" applyNumberFormat="1" applyFont="1" applyBorder="1" applyAlignment="1">
      <alignment horizontal="right" vertical="center"/>
    </xf>
    <xf numFmtId="178" fontId="0" fillId="0" borderId="42" xfId="0" applyNumberFormat="1" applyBorder="1"/>
    <xf numFmtId="178" fontId="0" fillId="0" borderId="56" xfId="0" applyNumberFormat="1" applyBorder="1"/>
    <xf numFmtId="178" fontId="5" fillId="0" borderId="20" xfId="0" applyNumberFormat="1" applyFont="1" applyBorder="1"/>
    <xf numFmtId="165" fontId="11" fillId="0" borderId="22" xfId="0" applyNumberFormat="1" applyFont="1" applyBorder="1"/>
    <xf numFmtId="204" fontId="0" fillId="0" borderId="30" xfId="0" applyNumberFormat="1" applyBorder="1"/>
    <xf numFmtId="207" fontId="3" fillId="0" borderId="1" xfId="1" applyNumberFormat="1" applyFont="1" applyFill="1" applyBorder="1" applyAlignment="1">
      <alignment horizontal="right"/>
    </xf>
    <xf numFmtId="207" fontId="3" fillId="0" borderId="65" xfId="0" applyNumberFormat="1" applyFont="1" applyBorder="1" applyAlignment="1">
      <alignment horizontal="right"/>
    </xf>
    <xf numFmtId="174" fontId="64" fillId="0" borderId="163" xfId="0" applyNumberFormat="1" applyFont="1" applyBorder="1" applyAlignment="1">
      <alignment horizontal="right" vertical="center"/>
    </xf>
    <xf numFmtId="204" fontId="64" fillId="0" borderId="151" xfId="0" applyNumberFormat="1" applyFont="1" applyBorder="1" applyAlignment="1">
      <alignment horizontal="right" vertical="center"/>
    </xf>
    <xf numFmtId="204" fontId="28" fillId="0" borderId="40" xfId="0" applyNumberFormat="1" applyFont="1" applyBorder="1"/>
    <xf numFmtId="204" fontId="28" fillId="0" borderId="66" xfId="0" applyNumberFormat="1" applyFont="1" applyBorder="1"/>
    <xf numFmtId="204" fontId="28" fillId="0" borderId="58" xfId="0" applyNumberFormat="1" applyFont="1" applyBorder="1"/>
    <xf numFmtId="204" fontId="35" fillId="0" borderId="0" xfId="0" applyNumberFormat="1" applyFont="1"/>
    <xf numFmtId="204" fontId="59" fillId="4" borderId="20" xfId="0" applyNumberFormat="1" applyFont="1" applyFill="1" applyBorder="1"/>
    <xf numFmtId="204" fontId="35" fillId="0" borderId="150" xfId="0" applyNumberFormat="1" applyFont="1" applyBorder="1"/>
    <xf numFmtId="2" fontId="3" fillId="0" borderId="56" xfId="0" applyNumberFormat="1" applyFont="1" applyBorder="1"/>
    <xf numFmtId="0" fontId="5" fillId="17" borderId="0" xfId="0" applyFont="1" applyFill="1"/>
    <xf numFmtId="177" fontId="5" fillId="0" borderId="0" xfId="0" applyNumberFormat="1" applyFont="1"/>
    <xf numFmtId="0" fontId="5" fillId="16" borderId="37" xfId="0" quotePrefix="1" applyFont="1" applyFill="1" applyBorder="1" applyAlignment="1">
      <alignment horizontal="center"/>
    </xf>
    <xf numFmtId="3" fontId="3" fillId="16" borderId="52" xfId="3" applyNumberFormat="1" applyFont="1" applyFill="1" applyBorder="1" applyAlignment="1"/>
    <xf numFmtId="175" fontId="3" fillId="0" borderId="0" xfId="0" applyNumberFormat="1" applyFont="1"/>
    <xf numFmtId="209" fontId="5" fillId="0" borderId="0" xfId="1" applyNumberFormat="1" applyFont="1"/>
    <xf numFmtId="43" fontId="5" fillId="0" borderId="0" xfId="0" applyNumberFormat="1" applyFont="1" applyAlignment="1">
      <alignment horizontal="right"/>
    </xf>
    <xf numFmtId="177" fontId="5" fillId="0" borderId="0" xfId="0" applyNumberFormat="1" applyFont="1" applyAlignment="1">
      <alignment horizontal="center" vertical="center"/>
    </xf>
    <xf numFmtId="0" fontId="5" fillId="3" borderId="75" xfId="0" quotePrefix="1" applyFont="1" applyFill="1" applyBorder="1" applyAlignment="1">
      <alignment horizontal="center"/>
    </xf>
    <xf numFmtId="0" fontId="5" fillId="2" borderId="75" xfId="0" quotePrefix="1" applyFont="1" applyFill="1" applyBorder="1" applyAlignment="1">
      <alignment horizontal="center"/>
    </xf>
    <xf numFmtId="175" fontId="0" fillId="2" borderId="9" xfId="1" applyNumberFormat="1" applyFont="1" applyFill="1" applyBorder="1"/>
    <xf numFmtId="175" fontId="0" fillId="2" borderId="27" xfId="1" applyNumberFormat="1" applyFont="1" applyFill="1" applyBorder="1"/>
    <xf numFmtId="0" fontId="5" fillId="2" borderId="48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3" fontId="3" fillId="2" borderId="91" xfId="3" applyNumberFormat="1" applyFont="1" applyFill="1" applyBorder="1" applyAlignment="1">
      <alignment horizontal="right"/>
    </xf>
    <xf numFmtId="165" fontId="6" fillId="3" borderId="0" xfId="0" applyNumberFormat="1" applyFont="1" applyFill="1"/>
    <xf numFmtId="2" fontId="6" fillId="3" borderId="0" xfId="0" applyNumberFormat="1" applyFont="1" applyFill="1"/>
    <xf numFmtId="175" fontId="6" fillId="3" borderId="0" xfId="0" applyNumberFormat="1" applyFont="1" applyFill="1"/>
    <xf numFmtId="175" fontId="6" fillId="3" borderId="0" xfId="1" applyNumberFormat="1" applyFont="1" applyFill="1" applyBorder="1"/>
    <xf numFmtId="165" fontId="6" fillId="2" borderId="0" xfId="0" applyNumberFormat="1" applyFont="1" applyFill="1"/>
    <xf numFmtId="175" fontId="6" fillId="2" borderId="0" xfId="0" applyNumberFormat="1" applyFont="1" applyFill="1"/>
    <xf numFmtId="172" fontId="0" fillId="0" borderId="81" xfId="0" applyNumberFormat="1" applyBorder="1"/>
    <xf numFmtId="172" fontId="31" fillId="0" borderId="79" xfId="0" applyNumberFormat="1" applyFont="1" applyBorder="1" applyAlignment="1">
      <alignment horizontal="right" vertical="top"/>
    </xf>
    <xf numFmtId="15" fontId="0" fillId="0" borderId="0" xfId="0" applyNumberFormat="1" applyAlignment="1">
      <alignment horizontal="center"/>
    </xf>
    <xf numFmtId="165" fontId="60" fillId="0" borderId="0" xfId="0" applyNumberFormat="1" applyFont="1"/>
    <xf numFmtId="165" fontId="54" fillId="0" borderId="0" xfId="0" applyNumberFormat="1" applyFont="1"/>
    <xf numFmtId="0" fontId="65" fillId="0" borderId="0" xfId="0" applyFont="1"/>
    <xf numFmtId="17" fontId="5" fillId="0" borderId="15" xfId="0" applyNumberFormat="1" applyFont="1" applyBorder="1" applyAlignment="1">
      <alignment horizontal="left"/>
    </xf>
    <xf numFmtId="49" fontId="21" fillId="0" borderId="0" xfId="0" applyNumberFormat="1" applyFont="1" applyAlignment="1">
      <alignment horizontal="left" vertical="top" indent="2"/>
    </xf>
    <xf numFmtId="179" fontId="0" fillId="0" borderId="0" xfId="0" applyNumberFormat="1"/>
    <xf numFmtId="165" fontId="7" fillId="2" borderId="103" xfId="0" applyNumberFormat="1" applyFont="1" applyFill="1" applyBorder="1"/>
    <xf numFmtId="2" fontId="7" fillId="2" borderId="85" xfId="0" applyNumberFormat="1" applyFont="1" applyFill="1" applyBorder="1"/>
    <xf numFmtId="2" fontId="6" fillId="0" borderId="92" xfId="0" applyNumberFormat="1" applyFont="1" applyBorder="1"/>
    <xf numFmtId="165" fontId="7" fillId="0" borderId="8" xfId="0" applyNumberFormat="1" applyFont="1" applyBorder="1"/>
    <xf numFmtId="2" fontId="7" fillId="0" borderId="7" xfId="0" applyNumberFormat="1" applyFont="1" applyBorder="1"/>
    <xf numFmtId="2" fontId="7" fillId="0" borderId="73" xfId="0" applyNumberFormat="1" applyFont="1" applyBorder="1"/>
    <xf numFmtId="165" fontId="8" fillId="0" borderId="0" xfId="0" applyNumberFormat="1" applyFont="1"/>
    <xf numFmtId="197" fontId="11" fillId="0" borderId="2" xfId="0" applyNumberFormat="1" applyFont="1" applyBorder="1"/>
    <xf numFmtId="197" fontId="11" fillId="0" borderId="63" xfId="0" applyNumberFormat="1" applyFont="1" applyBorder="1"/>
    <xf numFmtId="197" fontId="12" fillId="0" borderId="7" xfId="0" applyNumberFormat="1" applyFont="1" applyBorder="1"/>
    <xf numFmtId="199" fontId="0" fillId="0" borderId="22" xfId="0" applyNumberFormat="1" applyBorder="1"/>
    <xf numFmtId="203" fontId="7" fillId="0" borderId="0" xfId="0" applyNumberFormat="1" applyFont="1"/>
    <xf numFmtId="175" fontId="8" fillId="0" borderId="0" xfId="1" applyNumberFormat="1" applyFont="1"/>
    <xf numFmtId="2" fontId="19" fillId="0" borderId="0" xfId="0" applyNumberFormat="1" applyFont="1" applyAlignment="1">
      <alignment horizontal="right"/>
    </xf>
    <xf numFmtId="9" fontId="6" fillId="0" borderId="65" xfId="3" applyFont="1" applyBorder="1"/>
    <xf numFmtId="197" fontId="6" fillId="0" borderId="14" xfId="0" applyNumberFormat="1" applyFont="1" applyBorder="1"/>
    <xf numFmtId="176" fontId="0" fillId="0" borderId="0" xfId="1" applyNumberFormat="1" applyFont="1"/>
    <xf numFmtId="172" fontId="30" fillId="0" borderId="1" xfId="0" applyNumberFormat="1" applyFont="1" applyBorder="1" applyAlignment="1">
      <alignment horizontal="right" vertical="top"/>
    </xf>
    <xf numFmtId="2" fontId="7" fillId="4" borderId="4" xfId="0" applyNumberFormat="1" applyFont="1" applyFill="1" applyBorder="1"/>
    <xf numFmtId="199" fontId="59" fillId="0" borderId="21" xfId="0" applyNumberFormat="1" applyFont="1" applyBorder="1"/>
    <xf numFmtId="204" fontId="28" fillId="0" borderId="14" xfId="0" applyNumberFormat="1" applyFont="1" applyBorder="1"/>
    <xf numFmtId="165" fontId="12" fillId="0" borderId="29" xfId="0" applyNumberFormat="1" applyFont="1" applyBorder="1"/>
    <xf numFmtId="2" fontId="12" fillId="0" borderId="28" xfId="0" applyNumberFormat="1" applyFont="1" applyBorder="1"/>
    <xf numFmtId="2" fontId="12" fillId="0" borderId="30" xfId="0" applyNumberFormat="1" applyFont="1" applyBorder="1"/>
    <xf numFmtId="165" fontId="12" fillId="0" borderId="81" xfId="0" applyNumberFormat="1" applyFont="1" applyBorder="1"/>
    <xf numFmtId="2" fontId="12" fillId="0" borderId="54" xfId="0" applyNumberFormat="1" applyFont="1" applyBorder="1"/>
    <xf numFmtId="165" fontId="12" fillId="0" borderId="28" xfId="0" applyNumberFormat="1" applyFont="1" applyBorder="1"/>
    <xf numFmtId="204" fontId="12" fillId="0" borderId="54" xfId="0" applyNumberFormat="1" applyFont="1" applyBorder="1"/>
    <xf numFmtId="165" fontId="12" fillId="0" borderId="149" xfId="0" applyNumberFormat="1" applyFont="1" applyBorder="1"/>
    <xf numFmtId="2" fontId="12" fillId="0" borderId="95" xfId="0" applyNumberFormat="1" applyFont="1" applyBorder="1"/>
    <xf numFmtId="2" fontId="12" fillId="0" borderId="85" xfId="0" applyNumberFormat="1" applyFont="1" applyBorder="1"/>
    <xf numFmtId="165" fontId="12" fillId="17" borderId="29" xfId="0" applyNumberFormat="1" applyFont="1" applyFill="1" applyBorder="1"/>
    <xf numFmtId="2" fontId="12" fillId="17" borderId="28" xfId="0" applyNumberFormat="1" applyFont="1" applyFill="1" applyBorder="1"/>
    <xf numFmtId="2" fontId="12" fillId="17" borderId="30" xfId="0" applyNumberFormat="1" applyFont="1" applyFill="1" applyBorder="1"/>
    <xf numFmtId="2" fontId="11" fillId="0" borderId="28" xfId="0" applyNumberFormat="1" applyFont="1" applyBorder="1"/>
    <xf numFmtId="2" fontId="11" fillId="0" borderId="30" xfId="0" applyNumberFormat="1" applyFont="1" applyBorder="1"/>
    <xf numFmtId="165" fontId="11" fillId="0" borderId="81" xfId="0" applyNumberFormat="1" applyFont="1" applyBorder="1"/>
    <xf numFmtId="2" fontId="11" fillId="0" borderId="54" xfId="0" applyNumberFormat="1" applyFont="1" applyBorder="1"/>
    <xf numFmtId="197" fontId="11" fillId="0" borderId="30" xfId="0" applyNumberFormat="1" applyFont="1" applyBorder="1"/>
    <xf numFmtId="165" fontId="11" fillId="0" borderId="28" xfId="0" applyNumberFormat="1" applyFont="1" applyBorder="1"/>
    <xf numFmtId="199" fontId="11" fillId="17" borderId="29" xfId="0" applyNumberFormat="1" applyFont="1" applyFill="1" applyBorder="1"/>
    <xf numFmtId="197" fontId="11" fillId="17" borderId="28" xfId="0" applyNumberFormat="1" applyFont="1" applyFill="1" applyBorder="1"/>
    <xf numFmtId="2" fontId="11" fillId="17" borderId="30" xfId="0" applyNumberFormat="1" applyFont="1" applyFill="1" applyBorder="1"/>
    <xf numFmtId="204" fontId="0" fillId="0" borderId="24" xfId="0" applyNumberFormat="1" applyBorder="1"/>
    <xf numFmtId="0" fontId="0" fillId="17" borderId="22" xfId="0" applyFill="1" applyBorder="1"/>
    <xf numFmtId="0" fontId="0" fillId="17" borderId="2" xfId="0" applyFill="1" applyBorder="1"/>
    <xf numFmtId="0" fontId="0" fillId="17" borderId="24" xfId="0" applyFill="1" applyBorder="1"/>
    <xf numFmtId="0" fontId="3" fillId="0" borderId="16" xfId="0" applyFont="1" applyBorder="1"/>
    <xf numFmtId="2" fontId="11" fillId="0" borderId="3" xfId="0" applyNumberFormat="1" applyFont="1" applyBorder="1"/>
    <xf numFmtId="2" fontId="0" fillId="0" borderId="18" xfId="0" applyNumberFormat="1" applyBorder="1"/>
    <xf numFmtId="174" fontId="63" fillId="17" borderId="156" xfId="0" applyNumberFormat="1" applyFont="1" applyFill="1" applyBorder="1"/>
    <xf numFmtId="2" fontId="3" fillId="17" borderId="1" xfId="0" applyNumberFormat="1" applyFont="1" applyFill="1" applyBorder="1"/>
    <xf numFmtId="204" fontId="63" fillId="17" borderId="178" xfId="0" applyNumberFormat="1" applyFont="1" applyFill="1" applyBorder="1"/>
    <xf numFmtId="174" fontId="63" fillId="17" borderId="27" xfId="0" applyNumberFormat="1" applyFont="1" applyFill="1" applyBorder="1"/>
    <xf numFmtId="2" fontId="3" fillId="17" borderId="28" xfId="0" applyNumberFormat="1" applyFont="1" applyFill="1" applyBorder="1"/>
    <xf numFmtId="174" fontId="63" fillId="17" borderId="184" xfId="0" applyNumberFormat="1" applyFont="1" applyFill="1" applyBorder="1"/>
    <xf numFmtId="204" fontId="63" fillId="17" borderId="185" xfId="0" applyNumberFormat="1" applyFont="1" applyFill="1" applyBorder="1"/>
    <xf numFmtId="165" fontId="12" fillId="0" borderId="103" xfId="0" applyNumberFormat="1" applyFont="1" applyBorder="1"/>
    <xf numFmtId="204" fontId="11" fillId="0" borderId="30" xfId="0" applyNumberFormat="1" applyFont="1" applyBorder="1"/>
    <xf numFmtId="2" fontId="12" fillId="0" borderId="49" xfId="0" applyNumberFormat="1" applyFont="1" applyBorder="1"/>
    <xf numFmtId="165" fontId="11" fillId="0" borderId="71" xfId="0" applyNumberFormat="1" applyFont="1" applyBorder="1"/>
    <xf numFmtId="165" fontId="11" fillId="0" borderId="72" xfId="0" applyNumberFormat="1" applyFont="1" applyBorder="1"/>
    <xf numFmtId="0" fontId="11" fillId="0" borderId="2" xfId="0" applyFont="1" applyBorder="1"/>
    <xf numFmtId="0" fontId="11" fillId="0" borderId="24" xfId="0" applyFont="1" applyBorder="1"/>
    <xf numFmtId="0" fontId="5" fillId="0" borderId="48" xfId="0" applyFont="1" applyBorder="1"/>
    <xf numFmtId="169" fontId="12" fillId="0" borderId="57" xfId="0" applyNumberFormat="1" applyFont="1" applyBorder="1"/>
    <xf numFmtId="178" fontId="12" fillId="0" borderId="65" xfId="0" applyNumberFormat="1" applyFont="1" applyBorder="1"/>
    <xf numFmtId="2" fontId="12" fillId="0" borderId="38" xfId="0" applyNumberFormat="1" applyFont="1" applyBorder="1"/>
    <xf numFmtId="165" fontId="12" fillId="0" borderId="89" xfId="0" applyNumberFormat="1" applyFont="1" applyBorder="1"/>
    <xf numFmtId="2" fontId="12" fillId="0" borderId="65" xfId="0" applyNumberFormat="1" applyFont="1" applyBorder="1"/>
    <xf numFmtId="2" fontId="12" fillId="0" borderId="58" xfId="0" applyNumberFormat="1" applyFont="1" applyBorder="1"/>
    <xf numFmtId="201" fontId="12" fillId="0" borderId="65" xfId="0" applyNumberFormat="1" applyFont="1" applyBorder="1"/>
    <xf numFmtId="197" fontId="12" fillId="0" borderId="38" xfId="0" applyNumberFormat="1" applyFont="1" applyBorder="1"/>
    <xf numFmtId="165" fontId="12" fillId="0" borderId="57" xfId="0" applyNumberFormat="1" applyFont="1" applyBorder="1"/>
    <xf numFmtId="199" fontId="12" fillId="17" borderId="57" xfId="0" applyNumberFormat="1" applyFont="1" applyFill="1" applyBorder="1"/>
    <xf numFmtId="197" fontId="12" fillId="17" borderId="65" xfId="0" applyNumberFormat="1" applyFont="1" applyFill="1" applyBorder="1"/>
    <xf numFmtId="165" fontId="12" fillId="0" borderId="37" xfId="0" applyNumberFormat="1" applyFont="1" applyBorder="1"/>
    <xf numFmtId="2" fontId="12" fillId="0" borderId="37" xfId="0" applyNumberFormat="1" applyFont="1" applyBorder="1"/>
    <xf numFmtId="2" fontId="12" fillId="0" borderId="73" xfId="0" applyNumberFormat="1" applyFont="1" applyBorder="1"/>
    <xf numFmtId="204" fontId="28" fillId="0" borderId="134" xfId="0" applyNumberFormat="1" applyFont="1" applyBorder="1"/>
    <xf numFmtId="174" fontId="28" fillId="0" borderId="186" xfId="0" applyNumberFormat="1" applyFont="1" applyBorder="1"/>
    <xf numFmtId="174" fontId="28" fillId="0" borderId="187" xfId="0" applyNumberFormat="1" applyFont="1" applyBorder="1"/>
    <xf numFmtId="204" fontId="28" fillId="0" borderId="188" xfId="0" applyNumberFormat="1" applyFont="1" applyBorder="1"/>
    <xf numFmtId="204" fontId="28" fillId="0" borderId="96" xfId="0" applyNumberFormat="1" applyFont="1" applyBorder="1"/>
    <xf numFmtId="174" fontId="28" fillId="0" borderId="189" xfId="0" applyNumberFormat="1" applyFont="1" applyBorder="1"/>
    <xf numFmtId="204" fontId="28" fillId="0" borderId="190" xfId="0" applyNumberFormat="1" applyFont="1" applyBorder="1"/>
    <xf numFmtId="204" fontId="28" fillId="0" borderId="191" xfId="0" applyNumberFormat="1" applyFont="1" applyBorder="1"/>
    <xf numFmtId="174" fontId="28" fillId="17" borderId="187" xfId="0" applyNumberFormat="1" applyFont="1" applyFill="1" applyBorder="1"/>
    <xf numFmtId="174" fontId="35" fillId="0" borderId="8" xfId="0" applyNumberFormat="1" applyFont="1" applyBorder="1"/>
    <xf numFmtId="204" fontId="35" fillId="0" borderId="110" xfId="0" applyNumberFormat="1" applyFont="1" applyBorder="1"/>
    <xf numFmtId="204" fontId="35" fillId="0" borderId="21" xfId="0" applyNumberFormat="1" applyFont="1" applyBorder="1"/>
    <xf numFmtId="204" fontId="35" fillId="17" borderId="21" xfId="0" applyNumberFormat="1" applyFont="1" applyFill="1" applyBorder="1"/>
    <xf numFmtId="174" fontId="35" fillId="17" borderId="109" xfId="0" applyNumberFormat="1" applyFont="1" applyFill="1" applyBorder="1"/>
    <xf numFmtId="204" fontId="35" fillId="17" borderId="110" xfId="0" applyNumberFormat="1" applyFont="1" applyFill="1" applyBorder="1"/>
    <xf numFmtId="174" fontId="35" fillId="0" borderId="156" xfId="0" applyNumberFormat="1" applyFont="1" applyBorder="1"/>
    <xf numFmtId="174" fontId="35" fillId="0" borderId="160" xfId="0" applyNumberFormat="1" applyFont="1" applyBorder="1"/>
    <xf numFmtId="175" fontId="0" fillId="0" borderId="1" xfId="1" applyNumberFormat="1" applyFont="1" applyBorder="1"/>
    <xf numFmtId="175" fontId="0" fillId="0" borderId="3" xfId="1" applyNumberFormat="1" applyFont="1" applyBorder="1"/>
    <xf numFmtId="175" fontId="0" fillId="0" borderId="63" xfId="1" applyNumberFormat="1" applyFont="1" applyBorder="1"/>
    <xf numFmtId="175" fontId="0" fillId="0" borderId="5" xfId="1" applyNumberFormat="1" applyFont="1" applyBorder="1"/>
    <xf numFmtId="175" fontId="5" fillId="0" borderId="7" xfId="1" applyNumberFormat="1" applyFont="1" applyBorder="1"/>
    <xf numFmtId="0" fontId="19" fillId="3" borderId="6" xfId="0" applyFont="1" applyFill="1" applyBorder="1"/>
    <xf numFmtId="175" fontId="19" fillId="3" borderId="7" xfId="1" applyNumberFormat="1" applyFont="1" applyFill="1" applyBorder="1"/>
    <xf numFmtId="175" fontId="19" fillId="3" borderId="21" xfId="1" applyNumberFormat="1" applyFont="1" applyFill="1" applyBorder="1"/>
    <xf numFmtId="175" fontId="5" fillId="0" borderId="21" xfId="1" applyNumberFormat="1" applyFont="1" applyBorder="1"/>
    <xf numFmtId="0" fontId="5" fillId="0" borderId="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5" fontId="0" fillId="0" borderId="2" xfId="1" applyNumberFormat="1" applyFont="1" applyBorder="1"/>
    <xf numFmtId="0" fontId="0" fillId="0" borderId="34" xfId="0" applyBorder="1"/>
    <xf numFmtId="175" fontId="0" fillId="0" borderId="32" xfId="1" applyNumberFormat="1" applyFont="1" applyBorder="1"/>
    <xf numFmtId="0" fontId="0" fillId="3" borderId="10" xfId="0" applyFill="1" applyBorder="1"/>
    <xf numFmtId="175" fontId="0" fillId="3" borderId="5" xfId="1" applyNumberFormat="1" applyFont="1" applyFill="1" applyBorder="1"/>
    <xf numFmtId="175" fontId="5" fillId="0" borderId="11" xfId="1" applyNumberFormat="1" applyFont="1" applyBorder="1"/>
    <xf numFmtId="175" fontId="5" fillId="0" borderId="14" xfId="1" applyNumberFormat="1" applyFont="1" applyBorder="1"/>
    <xf numFmtId="175" fontId="5" fillId="0" borderId="47" xfId="1" applyNumberFormat="1" applyFont="1" applyBorder="1"/>
    <xf numFmtId="175" fontId="5" fillId="0" borderId="24" xfId="1" applyNumberFormat="1" applyFont="1" applyBorder="1"/>
    <xf numFmtId="175" fontId="5" fillId="0" borderId="61" xfId="1" applyNumberFormat="1" applyFont="1" applyBorder="1"/>
    <xf numFmtId="175" fontId="5" fillId="3" borderId="11" xfId="1" applyNumberFormat="1" applyFont="1" applyFill="1" applyBorder="1"/>
    <xf numFmtId="175" fontId="5" fillId="0" borderId="18" xfId="1" applyNumberFormat="1" applyFont="1" applyBorder="1"/>
    <xf numFmtId="0" fontId="5" fillId="3" borderId="6" xfId="0" applyFont="1" applyFill="1" applyBorder="1"/>
    <xf numFmtId="175" fontId="5" fillId="3" borderId="7" xfId="1" applyNumberFormat="1" applyFont="1" applyFill="1" applyBorder="1"/>
    <xf numFmtId="175" fontId="5" fillId="3" borderId="21" xfId="1" applyNumberFormat="1" applyFont="1" applyFill="1" applyBorder="1"/>
    <xf numFmtId="186" fontId="6" fillId="0" borderId="0" xfId="0" applyNumberFormat="1" applyFont="1"/>
    <xf numFmtId="166" fontId="6" fillId="0" borderId="3" xfId="0" applyNumberFormat="1" applyFont="1" applyBorder="1"/>
    <xf numFmtId="166" fontId="6" fillId="0" borderId="42" xfId="0" applyNumberFormat="1" applyFont="1" applyBorder="1"/>
    <xf numFmtId="164" fontId="0" fillId="0" borderId="0" xfId="1" applyFont="1" applyBorder="1"/>
    <xf numFmtId="166" fontId="5" fillId="0" borderId="4" xfId="0" applyNumberFormat="1" applyFont="1" applyBorder="1"/>
    <xf numFmtId="169" fontId="0" fillId="0" borderId="72" xfId="0" applyNumberFormat="1" applyBorder="1"/>
    <xf numFmtId="169" fontId="0" fillId="0" borderId="9" xfId="0" applyNumberFormat="1" applyBorder="1"/>
    <xf numFmtId="169" fontId="0" fillId="0" borderId="12" xfId="0" applyNumberFormat="1" applyBorder="1"/>
    <xf numFmtId="169" fontId="0" fillId="0" borderId="91" xfId="0" applyNumberFormat="1" applyBorder="1"/>
    <xf numFmtId="169" fontId="0" fillId="0" borderId="2" xfId="0" applyNumberFormat="1" applyBorder="1"/>
    <xf numFmtId="204" fontId="28" fillId="0" borderId="136" xfId="0" applyNumberFormat="1" applyFont="1" applyBorder="1"/>
    <xf numFmtId="0" fontId="11" fillId="17" borderId="2" xfId="0" applyFont="1" applyFill="1" applyBorder="1"/>
    <xf numFmtId="164" fontId="3" fillId="0" borderId="0" xfId="1" applyFont="1" applyAlignment="1">
      <alignment horizontal="center"/>
    </xf>
    <xf numFmtId="172" fontId="23" fillId="0" borderId="51" xfId="0" applyNumberFormat="1" applyFont="1" applyBorder="1" applyAlignment="1">
      <alignment horizontal="right" vertical="top"/>
    </xf>
    <xf numFmtId="174" fontId="58" fillId="19" borderId="48" xfId="0" applyNumberFormat="1" applyFont="1" applyFill="1" applyBorder="1" applyAlignment="1">
      <alignment horizontal="right" vertical="center"/>
    </xf>
    <xf numFmtId="204" fontId="28" fillId="19" borderId="153" xfId="0" applyNumberFormat="1" applyFont="1" applyFill="1" applyBorder="1"/>
    <xf numFmtId="204" fontId="58" fillId="19" borderId="38" xfId="0" applyNumberFormat="1" applyFont="1" applyFill="1" applyBorder="1" applyAlignment="1">
      <alignment horizontal="right" vertical="center"/>
    </xf>
    <xf numFmtId="174" fontId="28" fillId="19" borderId="176" xfId="0" applyNumberFormat="1" applyFont="1" applyFill="1" applyBorder="1"/>
    <xf numFmtId="204" fontId="28" fillId="19" borderId="124" xfId="0" applyNumberFormat="1" applyFont="1" applyFill="1" applyBorder="1"/>
    <xf numFmtId="204" fontId="28" fillId="19" borderId="148" xfId="0" applyNumberFormat="1" applyFont="1" applyFill="1" applyBorder="1"/>
    <xf numFmtId="165" fontId="12" fillId="19" borderId="103" xfId="0" applyNumberFormat="1" applyFont="1" applyFill="1" applyBorder="1"/>
    <xf numFmtId="2" fontId="12" fillId="19" borderId="95" xfId="0" applyNumberFormat="1" applyFont="1" applyFill="1" applyBorder="1"/>
    <xf numFmtId="2" fontId="12" fillId="19" borderId="49" xfId="0" applyNumberFormat="1" applyFont="1" applyFill="1" applyBorder="1"/>
    <xf numFmtId="169" fontId="5" fillId="19" borderId="6" xfId="0" applyNumberFormat="1" applyFont="1" applyFill="1" applyBorder="1"/>
    <xf numFmtId="2" fontId="12" fillId="19" borderId="7" xfId="0" applyNumberFormat="1" applyFont="1" applyFill="1" applyBorder="1"/>
    <xf numFmtId="188" fontId="5" fillId="19" borderId="21" xfId="0" applyNumberFormat="1" applyFont="1" applyFill="1" applyBorder="1"/>
    <xf numFmtId="178" fontId="12" fillId="19" borderId="7" xfId="0" applyNumberFormat="1" applyFont="1" applyFill="1" applyBorder="1"/>
    <xf numFmtId="2" fontId="42" fillId="0" borderId="37" xfId="0" applyNumberFormat="1" applyFont="1" applyBorder="1"/>
    <xf numFmtId="2" fontId="41" fillId="0" borderId="0" xfId="0" applyNumberFormat="1" applyFont="1"/>
    <xf numFmtId="0" fontId="41" fillId="0" borderId="0" xfId="0" applyFont="1"/>
    <xf numFmtId="167" fontId="54" fillId="2" borderId="0" xfId="0" applyNumberFormat="1" applyFont="1" applyFill="1"/>
    <xf numFmtId="198" fontId="54" fillId="2" borderId="0" xfId="3" applyNumberFormat="1" applyFont="1" applyFill="1" applyBorder="1"/>
    <xf numFmtId="167" fontId="54" fillId="2" borderId="8" xfId="0" applyNumberFormat="1" applyFont="1" applyFill="1" applyBorder="1"/>
    <xf numFmtId="198" fontId="54" fillId="2" borderId="73" xfId="3" applyNumberFormat="1" applyFont="1" applyFill="1" applyBorder="1"/>
    <xf numFmtId="0" fontId="6" fillId="0" borderId="0" xfId="0" applyFont="1" applyAlignment="1">
      <alignment horizontal="center" vertical="center" wrapText="1"/>
    </xf>
    <xf numFmtId="43" fontId="6" fillId="0" borderId="0" xfId="1" applyNumberFormat="1" applyFont="1" applyBorder="1"/>
    <xf numFmtId="198" fontId="54" fillId="0" borderId="0" xfId="3" applyNumberFormat="1" applyFont="1" applyFill="1" applyBorder="1"/>
    <xf numFmtId="165" fontId="6" fillId="15" borderId="53" xfId="0" applyNumberFormat="1" applyFont="1" applyFill="1" applyBorder="1"/>
    <xf numFmtId="2" fontId="6" fillId="15" borderId="19" xfId="0" applyNumberFormat="1" applyFont="1" applyFill="1" applyBorder="1"/>
    <xf numFmtId="169" fontId="6" fillId="15" borderId="66" xfId="0" applyNumberFormat="1" applyFont="1" applyFill="1" applyBorder="1"/>
    <xf numFmtId="201" fontId="6" fillId="15" borderId="15" xfId="0" applyNumberFormat="1" applyFont="1" applyFill="1" applyBorder="1"/>
    <xf numFmtId="197" fontId="12" fillId="0" borderId="58" xfId="0" applyNumberFormat="1" applyFont="1" applyBorder="1"/>
    <xf numFmtId="201" fontId="5" fillId="0" borderId="20" xfId="0" applyNumberFormat="1" applyFont="1" applyBorder="1"/>
    <xf numFmtId="0" fontId="3" fillId="0" borderId="0" xfId="0" applyFont="1" applyAlignment="1">
      <alignment vertical="top"/>
    </xf>
    <xf numFmtId="49" fontId="21" fillId="0" borderId="15" xfId="0" applyNumberFormat="1" applyFont="1" applyBorder="1" applyAlignment="1">
      <alignment horizontal="center" vertical="top" wrapText="1"/>
    </xf>
    <xf numFmtId="172" fontId="3" fillId="0" borderId="0" xfId="0" applyNumberFormat="1" applyFont="1"/>
    <xf numFmtId="174" fontId="28" fillId="20" borderId="176" xfId="0" applyNumberFormat="1" applyFont="1" applyFill="1" applyBorder="1"/>
    <xf numFmtId="204" fontId="28" fillId="20" borderId="124" xfId="0" applyNumberFormat="1" applyFont="1" applyFill="1" applyBorder="1"/>
    <xf numFmtId="204" fontId="28" fillId="20" borderId="148" xfId="0" applyNumberFormat="1" applyFont="1" applyFill="1" applyBorder="1"/>
    <xf numFmtId="174" fontId="58" fillId="20" borderId="48" xfId="0" applyNumberFormat="1" applyFont="1" applyFill="1" applyBorder="1" applyAlignment="1">
      <alignment horizontal="right" vertical="center"/>
    </xf>
    <xf numFmtId="204" fontId="28" fillId="20" borderId="153" xfId="0" applyNumberFormat="1" applyFont="1" applyFill="1" applyBorder="1"/>
    <xf numFmtId="204" fontId="58" fillId="20" borderId="38" xfId="0" applyNumberFormat="1" applyFont="1" applyFill="1" applyBorder="1" applyAlignment="1">
      <alignment horizontal="right" vertical="center"/>
    </xf>
    <xf numFmtId="174" fontId="58" fillId="20" borderId="9" xfId="0" applyNumberFormat="1" applyFont="1" applyFill="1" applyBorder="1" applyAlignment="1">
      <alignment horizontal="right" vertical="center"/>
    </xf>
    <xf numFmtId="204" fontId="28" fillId="20" borderId="175" xfId="0" applyNumberFormat="1" applyFont="1" applyFill="1" applyBorder="1"/>
    <xf numFmtId="204" fontId="58" fillId="20" borderId="11" xfId="0" applyNumberFormat="1" applyFont="1" applyFill="1" applyBorder="1" applyAlignment="1">
      <alignment horizontal="right" vertical="center"/>
    </xf>
    <xf numFmtId="175" fontId="5" fillId="4" borderId="20" xfId="1" applyNumberFormat="1" applyFont="1" applyFill="1" applyBorder="1"/>
    <xf numFmtId="2" fontId="34" fillId="0" borderId="7" xfId="3" applyNumberFormat="1" applyFont="1" applyFill="1" applyBorder="1"/>
    <xf numFmtId="2" fontId="3" fillId="0" borderId="1" xfId="0" applyNumberFormat="1" applyFont="1" applyBorder="1"/>
    <xf numFmtId="165" fontId="0" fillId="20" borderId="1" xfId="0" applyNumberFormat="1" applyFill="1" applyBorder="1"/>
    <xf numFmtId="0" fontId="0" fillId="20" borderId="1" xfId="0" applyFill="1" applyBorder="1"/>
    <xf numFmtId="2" fontId="0" fillId="20" borderId="1" xfId="0" applyNumberFormat="1" applyFill="1" applyBorder="1"/>
    <xf numFmtId="3" fontId="3" fillId="21" borderId="5" xfId="3" applyNumberFormat="1" applyFont="1" applyFill="1" applyBorder="1" applyAlignment="1">
      <alignment horizontal="right"/>
    </xf>
    <xf numFmtId="49" fontId="31" fillId="0" borderId="0" xfId="0" applyNumberFormat="1" applyFont="1" applyAlignment="1">
      <alignment horizontal="center"/>
    </xf>
    <xf numFmtId="174" fontId="64" fillId="0" borderId="137" xfId="0" applyNumberFormat="1" applyFont="1" applyBorder="1" applyAlignment="1">
      <alignment horizontal="right" vertical="center"/>
    </xf>
    <xf numFmtId="204" fontId="64" fillId="0" borderId="139" xfId="0" applyNumberFormat="1" applyFont="1" applyBorder="1" applyAlignment="1">
      <alignment horizontal="right" vertical="center"/>
    </xf>
    <xf numFmtId="169" fontId="5" fillId="20" borderId="6" xfId="0" applyNumberFormat="1" applyFont="1" applyFill="1" applyBorder="1"/>
    <xf numFmtId="207" fontId="3" fillId="0" borderId="5" xfId="0" applyNumberFormat="1" applyFont="1" applyBorder="1"/>
    <xf numFmtId="9" fontId="0" fillId="0" borderId="0" xfId="3" applyFont="1"/>
    <xf numFmtId="209" fontId="3" fillId="0" borderId="0" xfId="1" applyNumberFormat="1" applyFont="1"/>
    <xf numFmtId="175" fontId="0" fillId="0" borderId="0" xfId="0" applyNumberFormat="1" applyAlignment="1">
      <alignment horizontal="center"/>
    </xf>
    <xf numFmtId="175" fontId="3" fillId="0" borderId="0" xfId="0" applyNumberFormat="1" applyFont="1" applyAlignment="1">
      <alignment horizontal="center"/>
    </xf>
    <xf numFmtId="166" fontId="7" fillId="22" borderId="0" xfId="1" applyNumberFormat="1" applyFont="1" applyFill="1"/>
    <xf numFmtId="165" fontId="7" fillId="22" borderId="0" xfId="0" applyNumberFormat="1" applyFont="1" applyFill="1"/>
    <xf numFmtId="0" fontId="7" fillId="22" borderId="0" xfId="0" applyFont="1" applyFill="1"/>
    <xf numFmtId="165" fontId="0" fillId="0" borderId="4" xfId="0" applyNumberFormat="1" applyBorder="1"/>
    <xf numFmtId="204" fontId="0" fillId="0" borderId="4" xfId="0" applyNumberFormat="1" applyBorder="1"/>
    <xf numFmtId="203" fontId="0" fillId="0" borderId="0" xfId="0" applyNumberFormat="1"/>
    <xf numFmtId="0" fontId="5" fillId="0" borderId="0" xfId="0" applyFont="1" applyAlignment="1">
      <alignment horizontal="center"/>
    </xf>
    <xf numFmtId="1" fontId="5" fillId="0" borderId="26" xfId="0" applyNumberFormat="1" applyFont="1" applyBorder="1"/>
    <xf numFmtId="1" fontId="5" fillId="0" borderId="43" xfId="0" applyNumberFormat="1" applyFont="1" applyBorder="1"/>
    <xf numFmtId="1" fontId="5" fillId="0" borderId="41" xfId="0" applyNumberFormat="1" applyFont="1" applyBorder="1"/>
    <xf numFmtId="4" fontId="0" fillId="0" borderId="1" xfId="0" applyNumberFormat="1" applyBorder="1"/>
    <xf numFmtId="4" fontId="0" fillId="0" borderId="0" xfId="0" applyNumberFormat="1"/>
    <xf numFmtId="210" fontId="0" fillId="0" borderId="1" xfId="0" applyNumberFormat="1" applyBorder="1"/>
    <xf numFmtId="208" fontId="0" fillId="0" borderId="22" xfId="0" applyNumberFormat="1" applyBorder="1"/>
    <xf numFmtId="206" fontId="0" fillId="0" borderId="24" xfId="0" applyNumberFormat="1" applyBorder="1"/>
    <xf numFmtId="208" fontId="0" fillId="0" borderId="13" xfId="0" applyNumberFormat="1" applyBorder="1"/>
    <xf numFmtId="206" fontId="0" fillId="0" borderId="14" xfId="0" applyNumberFormat="1" applyBorder="1"/>
    <xf numFmtId="208" fontId="0" fillId="0" borderId="25" xfId="0" applyNumberFormat="1" applyBorder="1"/>
    <xf numFmtId="206" fontId="0" fillId="0" borderId="47" xfId="0" applyNumberFormat="1" applyBorder="1"/>
    <xf numFmtId="208" fontId="5" fillId="0" borderId="6" xfId="0" applyNumberFormat="1" applyFont="1" applyBorder="1"/>
    <xf numFmtId="206" fontId="5" fillId="0" borderId="21" xfId="0" applyNumberFormat="1" applyFont="1" applyBorder="1"/>
    <xf numFmtId="0" fontId="54" fillId="0" borderId="6" xfId="0" applyFont="1" applyBorder="1" applyAlignment="1">
      <alignment horizontal="center"/>
    </xf>
    <xf numFmtId="0" fontId="54" fillId="0" borderId="21" xfId="0" applyFont="1" applyBorder="1" applyAlignment="1">
      <alignment horizontal="center"/>
    </xf>
    <xf numFmtId="4" fontId="0" fillId="0" borderId="63" xfId="0" applyNumberFormat="1" applyBorder="1"/>
    <xf numFmtId="0" fontId="54" fillId="0" borderId="6" xfId="0" applyFont="1" applyBorder="1"/>
    <xf numFmtId="4" fontId="54" fillId="0" borderId="7" xfId="0" applyNumberFormat="1" applyFont="1" applyBorder="1"/>
    <xf numFmtId="210" fontId="0" fillId="0" borderId="63" xfId="0" applyNumberFormat="1" applyBorder="1"/>
    <xf numFmtId="210" fontId="54" fillId="0" borderId="7" xfId="0" applyNumberFormat="1" applyFont="1" applyBorder="1"/>
    <xf numFmtId="4" fontId="0" fillId="0" borderId="5" xfId="0" applyNumberFormat="1" applyBorder="1"/>
    <xf numFmtId="0" fontId="54" fillId="0" borderId="7" xfId="0" applyFont="1" applyBorder="1" applyAlignment="1">
      <alignment horizontal="center"/>
    </xf>
    <xf numFmtId="210" fontId="0" fillId="0" borderId="5" xfId="0" applyNumberFormat="1" applyBorder="1"/>
    <xf numFmtId="0" fontId="54" fillId="0" borderId="20" xfId="0" applyFont="1" applyBorder="1" applyAlignment="1">
      <alignment horizontal="center"/>
    </xf>
    <xf numFmtId="4" fontId="0" fillId="0" borderId="51" xfId="0" applyNumberFormat="1" applyBorder="1"/>
    <xf numFmtId="4" fontId="0" fillId="0" borderId="15" xfId="0" applyNumberFormat="1" applyBorder="1"/>
    <xf numFmtId="4" fontId="0" fillId="0" borderId="56" xfId="0" applyNumberFormat="1" applyBorder="1"/>
    <xf numFmtId="4" fontId="54" fillId="0" borderId="20" xfId="0" applyNumberFormat="1" applyFont="1" applyBorder="1"/>
    <xf numFmtId="4" fontId="0" fillId="0" borderId="40" xfId="0" applyNumberFormat="1" applyBorder="1"/>
    <xf numFmtId="4" fontId="0" fillId="0" borderId="77" xfId="0" applyNumberFormat="1" applyBorder="1"/>
    <xf numFmtId="0" fontId="54" fillId="0" borderId="26" xfId="0" applyFont="1" applyBorder="1" applyAlignment="1">
      <alignment horizontal="center"/>
    </xf>
    <xf numFmtId="4" fontId="0" fillId="0" borderId="78" xfId="0" applyNumberFormat="1" applyBorder="1"/>
    <xf numFmtId="4" fontId="0" fillId="0" borderId="26" xfId="0" applyNumberFormat="1" applyBorder="1"/>
    <xf numFmtId="0" fontId="54" fillId="0" borderId="104" xfId="0" applyFont="1" applyBorder="1" applyAlignment="1">
      <alignment horizontal="center"/>
    </xf>
    <xf numFmtId="2" fontId="0" fillId="0" borderId="41" xfId="0" applyNumberFormat="1" applyBorder="1"/>
    <xf numFmtId="2" fontId="0" fillId="0" borderId="43" xfId="0" applyNumberFormat="1" applyBorder="1"/>
    <xf numFmtId="2" fontId="5" fillId="0" borderId="75" xfId="0" applyNumberFormat="1" applyFont="1" applyBorder="1"/>
    <xf numFmtId="17" fontId="0" fillId="0" borderId="10" xfId="0" applyNumberFormat="1" applyBorder="1"/>
    <xf numFmtId="17" fontId="0" fillId="0" borderId="13" xfId="0" applyNumberFormat="1" applyBorder="1"/>
    <xf numFmtId="17" fontId="0" fillId="0" borderId="25" xfId="0" applyNumberFormat="1" applyBorder="1"/>
    <xf numFmtId="178" fontId="5" fillId="19" borderId="21" xfId="0" applyNumberFormat="1" applyFont="1" applyFill="1" applyBorder="1"/>
    <xf numFmtId="178" fontId="0" fillId="17" borderId="24" xfId="0" applyNumberFormat="1" applyFill="1" applyBorder="1"/>
    <xf numFmtId="178" fontId="12" fillId="17" borderId="38" xfId="0" applyNumberFormat="1" applyFont="1" applyFill="1" applyBorder="1"/>
    <xf numFmtId="201" fontId="0" fillId="0" borderId="0" xfId="0" applyNumberFormat="1"/>
    <xf numFmtId="0" fontId="5" fillId="0" borderId="4" xfId="0" applyFont="1" applyBorder="1"/>
    <xf numFmtId="177" fontId="0" fillId="0" borderId="0" xfId="1" applyNumberFormat="1" applyFont="1"/>
    <xf numFmtId="177" fontId="0" fillId="0" borderId="0" xfId="0" applyNumberFormat="1"/>
    <xf numFmtId="188" fontId="7" fillId="0" borderId="37" xfId="0" applyNumberFormat="1" applyFont="1" applyBorder="1"/>
    <xf numFmtId="166" fontId="59" fillId="17" borderId="129" xfId="0" applyNumberFormat="1" applyFont="1" applyFill="1" applyBorder="1"/>
    <xf numFmtId="166" fontId="59" fillId="17" borderId="21" xfId="0" applyNumberFormat="1" applyFont="1" applyFill="1" applyBorder="1"/>
    <xf numFmtId="17" fontId="5" fillId="0" borderId="0" xfId="1" applyNumberFormat="1" applyFont="1" applyAlignment="1">
      <alignment horizontal="left"/>
    </xf>
    <xf numFmtId="204" fontId="69" fillId="20" borderId="153" xfId="0" applyNumberFormat="1" applyFont="1" applyFill="1" applyBorder="1"/>
    <xf numFmtId="174" fontId="70" fillId="20" borderId="48" xfId="0" applyNumberFormat="1" applyFont="1" applyFill="1" applyBorder="1" applyAlignment="1">
      <alignment horizontal="right" vertical="center"/>
    </xf>
    <xf numFmtId="204" fontId="70" fillId="20" borderId="38" xfId="0" applyNumberFormat="1" applyFont="1" applyFill="1" applyBorder="1" applyAlignment="1">
      <alignment horizontal="right" vertical="center"/>
    </xf>
    <xf numFmtId="3" fontId="3" fillId="21" borderId="9" xfId="3" applyNumberFormat="1" applyFont="1" applyFill="1" applyBorder="1" applyAlignment="1">
      <alignment horizontal="right"/>
    </xf>
    <xf numFmtId="175" fontId="0" fillId="23" borderId="9" xfId="1" applyNumberFormat="1" applyFont="1" applyFill="1" applyBorder="1"/>
    <xf numFmtId="201" fontId="0" fillId="0" borderId="24" xfId="0" applyNumberFormat="1" applyBorder="1"/>
    <xf numFmtId="169" fontId="19" fillId="3" borderId="3" xfId="0" applyNumberFormat="1" applyFont="1" applyFill="1" applyBorder="1" applyAlignment="1">
      <alignment horizontal="center"/>
    </xf>
    <xf numFmtId="2" fontId="6" fillId="0" borderId="90" xfId="0" applyNumberFormat="1" applyFont="1" applyBorder="1"/>
    <xf numFmtId="2" fontId="6" fillId="0" borderId="96" xfId="0" applyNumberFormat="1" applyFont="1" applyBorder="1"/>
    <xf numFmtId="0" fontId="3" fillId="0" borderId="15" xfId="0" applyFont="1" applyBorder="1"/>
    <xf numFmtId="0" fontId="3" fillId="0" borderId="56" xfId="0" applyFont="1" applyBorder="1"/>
    <xf numFmtId="204" fontId="28" fillId="0" borderId="113" xfId="0" applyNumberFormat="1" applyFont="1" applyBorder="1"/>
    <xf numFmtId="204" fontId="28" fillId="0" borderId="117" xfId="0" applyNumberFormat="1" applyFont="1" applyBorder="1"/>
    <xf numFmtId="204" fontId="28" fillId="0" borderId="127" xfId="0" applyNumberFormat="1" applyFont="1" applyBorder="1"/>
    <xf numFmtId="168" fontId="28" fillId="0" borderId="128" xfId="3" applyNumberFormat="1" applyFont="1" applyBorder="1"/>
    <xf numFmtId="2" fontId="28" fillId="0" borderId="113" xfId="0" applyNumberFormat="1" applyFont="1" applyBorder="1"/>
    <xf numFmtId="2" fontId="28" fillId="0" borderId="124" xfId="0" applyNumberFormat="1" applyFont="1" applyBorder="1"/>
    <xf numFmtId="2" fontId="28" fillId="0" borderId="117" xfId="0" applyNumberFormat="1" applyFont="1" applyBorder="1"/>
    <xf numFmtId="2" fontId="28" fillId="0" borderId="127" xfId="0" applyNumberFormat="1" applyFont="1" applyBorder="1"/>
    <xf numFmtId="2" fontId="35" fillId="0" borderId="113" xfId="0" applyNumberFormat="1" applyFont="1" applyBorder="1"/>
    <xf numFmtId="165" fontId="28" fillId="0" borderId="119" xfId="0" applyNumberFormat="1" applyFont="1" applyBorder="1"/>
    <xf numFmtId="174" fontId="28" fillId="0" borderId="192" xfId="0" applyNumberFormat="1" applyFont="1" applyBorder="1"/>
    <xf numFmtId="174" fontId="28" fillId="0" borderId="129" xfId="0" applyNumberFormat="1" applyFont="1" applyBorder="1"/>
    <xf numFmtId="174" fontId="28" fillId="0" borderId="151" xfId="0" applyNumberFormat="1" applyFont="1" applyBorder="1"/>
    <xf numFmtId="174" fontId="33" fillId="0" borderId="20" xfId="0" applyNumberFormat="1" applyFont="1" applyBorder="1" applyAlignment="1">
      <alignment horizontal="right" vertical="center"/>
    </xf>
    <xf numFmtId="165" fontId="28" fillId="0" borderId="168" xfId="0" applyNumberFormat="1" applyFont="1" applyBorder="1"/>
    <xf numFmtId="165" fontId="28" fillId="0" borderId="151" xfId="0" applyNumberFormat="1" applyFont="1" applyBorder="1"/>
    <xf numFmtId="174" fontId="28" fillId="0" borderId="152" xfId="0" applyNumberFormat="1" applyFont="1" applyBorder="1"/>
    <xf numFmtId="174" fontId="28" fillId="0" borderId="196" xfId="0" applyNumberFormat="1" applyFont="1" applyBorder="1"/>
    <xf numFmtId="174" fontId="33" fillId="0" borderId="153" xfId="0" applyNumberFormat="1" applyFont="1" applyBorder="1" applyAlignment="1">
      <alignment horizontal="right" vertical="center"/>
    </xf>
    <xf numFmtId="169" fontId="34" fillId="0" borderId="20" xfId="3" applyNumberFormat="1" applyFont="1" applyBorder="1"/>
    <xf numFmtId="2" fontId="34" fillId="0" borderId="20" xfId="3" applyNumberFormat="1" applyFont="1" applyBorder="1"/>
    <xf numFmtId="174" fontId="35" fillId="0" borderId="152" xfId="0" applyNumberFormat="1" applyFont="1" applyBorder="1"/>
    <xf numFmtId="174" fontId="52" fillId="0" borderId="119" xfId="0" applyNumberFormat="1" applyFont="1" applyBorder="1"/>
    <xf numFmtId="174" fontId="35" fillId="0" borderId="129" xfId="0" applyNumberFormat="1" applyFont="1" applyBorder="1"/>
    <xf numFmtId="168" fontId="28" fillId="0" borderId="0" xfId="3" applyNumberFormat="1" applyFont="1" applyBorder="1"/>
    <xf numFmtId="165" fontId="28" fillId="0" borderId="118" xfId="0" applyNumberFormat="1" applyFont="1" applyBorder="1"/>
    <xf numFmtId="174" fontId="28" fillId="0" borderId="8" xfId="0" applyNumberFormat="1" applyFont="1" applyBorder="1"/>
    <xf numFmtId="174" fontId="33" fillId="0" borderId="8" xfId="0" applyNumberFormat="1" applyFont="1" applyBorder="1" applyAlignment="1">
      <alignment horizontal="right" vertical="center"/>
    </xf>
    <xf numFmtId="174" fontId="33" fillId="0" borderId="111" xfId="0" applyNumberFormat="1" applyFont="1" applyBorder="1" applyAlignment="1">
      <alignment horizontal="right" vertical="center"/>
    </xf>
    <xf numFmtId="174" fontId="28" fillId="0" borderId="158" xfId="0" applyNumberFormat="1" applyFont="1" applyBorder="1"/>
    <xf numFmtId="165" fontId="28" fillId="0" borderId="12" xfId="0" applyNumberFormat="1" applyFont="1" applyBorder="1"/>
    <xf numFmtId="165" fontId="28" fillId="0" borderId="48" xfId="0" applyNumberFormat="1" applyFont="1" applyBorder="1"/>
    <xf numFmtId="168" fontId="28" fillId="0" borderId="157" xfId="3" applyNumberFormat="1" applyFont="1" applyBorder="1"/>
    <xf numFmtId="174" fontId="28" fillId="0" borderId="198" xfId="0" applyNumberFormat="1" applyFont="1" applyBorder="1"/>
    <xf numFmtId="174" fontId="33" fillId="0" borderId="109" xfId="0" applyNumberFormat="1" applyFont="1" applyBorder="1" applyAlignment="1">
      <alignment horizontal="right" vertical="center"/>
    </xf>
    <xf numFmtId="174" fontId="53" fillId="0" borderId="118" xfId="0" applyNumberFormat="1" applyFont="1" applyBorder="1"/>
    <xf numFmtId="169" fontId="34" fillId="0" borderId="21" xfId="3" applyNumberFormat="1" applyFont="1" applyBorder="1"/>
    <xf numFmtId="168" fontId="28" fillId="0" borderId="87" xfId="3" applyNumberFormat="1" applyFont="1" applyBorder="1"/>
    <xf numFmtId="168" fontId="28" fillId="0" borderId="80" xfId="3" applyNumberFormat="1" applyFont="1" applyBorder="1"/>
    <xf numFmtId="2" fontId="34" fillId="0" borderId="21" xfId="3" applyNumberFormat="1" applyFont="1" applyBorder="1"/>
    <xf numFmtId="168" fontId="28" fillId="0" borderId="27" xfId="3" applyNumberFormat="1" applyFont="1" applyBorder="1"/>
    <xf numFmtId="174" fontId="35" fillId="0" borderId="155" xfId="0" applyNumberFormat="1" applyFont="1" applyBorder="1"/>
    <xf numFmtId="174" fontId="52" fillId="0" borderId="118" xfId="0" applyNumberFormat="1" applyFont="1" applyBorder="1"/>
    <xf numFmtId="174" fontId="33" fillId="4" borderId="8" xfId="0" applyNumberFormat="1" applyFont="1" applyFill="1" applyBorder="1" applyAlignment="1">
      <alignment horizontal="right" vertical="center"/>
    </xf>
    <xf numFmtId="165" fontId="28" fillId="0" borderId="162" xfId="0" applyNumberFormat="1" applyFont="1" applyBorder="1"/>
    <xf numFmtId="204" fontId="28" fillId="0" borderId="192" xfId="0" applyNumberFormat="1" applyFont="1" applyBorder="1"/>
    <xf numFmtId="174" fontId="28" fillId="0" borderId="193" xfId="0" applyNumberFormat="1" applyFont="1" applyBorder="1"/>
    <xf numFmtId="2" fontId="28" fillId="0" borderId="193" xfId="0" applyNumberFormat="1" applyFont="1" applyBorder="1"/>
    <xf numFmtId="2" fontId="28" fillId="0" borderId="121" xfId="0" applyNumberFormat="1" applyFont="1" applyBorder="1"/>
    <xf numFmtId="204" fontId="28" fillId="0" borderId="110" xfId="0" applyNumberFormat="1" applyFont="1" applyBorder="1"/>
    <xf numFmtId="2" fontId="28" fillId="0" borderId="138" xfId="0" applyNumberFormat="1" applyFont="1" applyBorder="1"/>
    <xf numFmtId="204" fontId="33" fillId="0" borderId="110" xfId="0" applyNumberFormat="1" applyFont="1" applyBorder="1" applyAlignment="1">
      <alignment horizontal="right" vertical="center"/>
    </xf>
    <xf numFmtId="2" fontId="33" fillId="0" borderId="110" xfId="0" applyNumberFormat="1" applyFont="1" applyBorder="1" applyAlignment="1">
      <alignment horizontal="right" vertical="center"/>
    </xf>
    <xf numFmtId="204" fontId="28" fillId="0" borderId="121" xfId="0" applyNumberFormat="1" applyFont="1" applyBorder="1"/>
    <xf numFmtId="204" fontId="33" fillId="0" borderId="129" xfId="0" applyNumberFormat="1" applyFont="1" applyBorder="1" applyAlignment="1">
      <alignment horizontal="right" vertical="center"/>
    </xf>
    <xf numFmtId="2" fontId="33" fillId="0" borderId="129" xfId="0" applyNumberFormat="1" applyFont="1" applyBorder="1" applyAlignment="1">
      <alignment horizontal="right" vertical="center"/>
    </xf>
    <xf numFmtId="204" fontId="33" fillId="0" borderId="7" xfId="0" applyNumberFormat="1" applyFont="1" applyBorder="1" applyAlignment="1">
      <alignment horizontal="right" vertical="center"/>
    </xf>
    <xf numFmtId="204" fontId="35" fillId="0" borderId="138" xfId="0" applyNumberFormat="1" applyFont="1" applyBorder="1"/>
    <xf numFmtId="2" fontId="28" fillId="0" borderId="146" xfId="0" applyNumberFormat="1" applyFont="1" applyBorder="1"/>
    <xf numFmtId="168" fontId="35" fillId="0" borderId="127" xfId="3" applyNumberFormat="1" applyFont="1" applyFill="1" applyBorder="1" applyAlignment="1">
      <alignment horizontal="right"/>
    </xf>
    <xf numFmtId="204" fontId="28" fillId="0" borderId="195" xfId="0" applyNumberFormat="1" applyFont="1" applyBorder="1"/>
    <xf numFmtId="204" fontId="28" fillId="0" borderId="194" xfId="0" applyNumberFormat="1" applyFont="1" applyBorder="1"/>
    <xf numFmtId="204" fontId="35" fillId="0" borderId="124" xfId="0" applyNumberFormat="1" applyFont="1" applyBorder="1"/>
    <xf numFmtId="204" fontId="28" fillId="0" borderId="132" xfId="0" applyNumberFormat="1" applyFont="1" applyBorder="1"/>
    <xf numFmtId="2" fontId="28" fillId="0" borderId="132" xfId="0" applyNumberFormat="1" applyFont="1" applyBorder="1"/>
    <xf numFmtId="204" fontId="33" fillId="0" borderId="124" xfId="0" applyNumberFormat="1" applyFont="1" applyBorder="1" applyAlignment="1">
      <alignment horizontal="right" vertical="center"/>
    </xf>
    <xf numFmtId="204" fontId="34" fillId="0" borderId="7" xfId="3" applyNumberFormat="1" applyFont="1" applyFill="1" applyBorder="1"/>
    <xf numFmtId="168" fontId="28" fillId="0" borderId="79" xfId="3" applyNumberFormat="1" applyFont="1" applyFill="1" applyBorder="1"/>
    <xf numFmtId="204" fontId="28" fillId="0" borderId="79" xfId="3" applyNumberFormat="1" applyFont="1" applyFill="1" applyBorder="1"/>
    <xf numFmtId="2" fontId="28" fillId="0" borderId="79" xfId="3" applyNumberFormat="1" applyFont="1" applyFill="1" applyBorder="1"/>
    <xf numFmtId="204" fontId="35" fillId="0" borderId="113" xfId="0" applyNumberFormat="1" applyFont="1" applyBorder="1"/>
    <xf numFmtId="174" fontId="35" fillId="0" borderId="137" xfId="0" applyNumberFormat="1" applyFont="1" applyBorder="1"/>
    <xf numFmtId="204" fontId="28" fillId="0" borderId="129" xfId="0" applyNumberFormat="1" applyFont="1" applyBorder="1"/>
    <xf numFmtId="204" fontId="28" fillId="0" borderId="151" xfId="0" applyNumberFormat="1" applyFont="1" applyBorder="1"/>
    <xf numFmtId="203" fontId="28" fillId="0" borderId="151" xfId="0" applyNumberFormat="1" applyFont="1" applyBorder="1"/>
    <xf numFmtId="203" fontId="28" fillId="0" borderId="172" xfId="0" applyNumberFormat="1" applyFont="1" applyBorder="1"/>
    <xf numFmtId="0" fontId="33" fillId="0" borderId="48" xfId="0" applyFont="1" applyBorder="1" applyAlignment="1">
      <alignment vertical="center" wrapText="1"/>
    </xf>
    <xf numFmtId="0" fontId="33" fillId="18" borderId="8" xfId="0" applyFont="1" applyFill="1" applyBorder="1" applyAlignment="1">
      <alignment vertical="center" wrapText="1"/>
    </xf>
    <xf numFmtId="0" fontId="33" fillId="18" borderId="48" xfId="0" applyFont="1" applyFill="1" applyBorder="1" applyAlignment="1">
      <alignment vertical="center" wrapText="1"/>
    </xf>
    <xf numFmtId="174" fontId="35" fillId="18" borderId="27" xfId="0" applyNumberFormat="1" applyFont="1" applyFill="1" applyBorder="1"/>
    <xf numFmtId="174" fontId="28" fillId="0" borderId="160" xfId="0" applyNumberFormat="1" applyFont="1" applyBorder="1" applyAlignment="1">
      <alignment horizontal="right"/>
    </xf>
    <xf numFmtId="174" fontId="28" fillId="0" borderId="8" xfId="0" applyNumberFormat="1" applyFont="1" applyBorder="1" applyAlignment="1">
      <alignment horizontal="right"/>
    </xf>
    <xf numFmtId="0" fontId="33" fillId="0" borderId="155" xfId="0" applyFont="1" applyBorder="1" applyAlignment="1">
      <alignment horizontal="left" vertical="center" wrapText="1"/>
    </xf>
    <xf numFmtId="0" fontId="33" fillId="0" borderId="158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left" vertical="center" wrapText="1"/>
    </xf>
    <xf numFmtId="0" fontId="33" fillId="18" borderId="158" xfId="0" applyFont="1" applyFill="1" applyBorder="1" applyAlignment="1">
      <alignment horizontal="left" vertical="center" wrapText="1"/>
    </xf>
    <xf numFmtId="0" fontId="33" fillId="0" borderId="156" xfId="0" applyFont="1" applyBorder="1" applyAlignment="1">
      <alignment horizontal="left" vertical="center" wrapText="1"/>
    </xf>
    <xf numFmtId="0" fontId="33" fillId="0" borderId="157" xfId="0" applyFont="1" applyBorder="1" applyAlignment="1">
      <alignment horizontal="left" vertical="center" wrapText="1"/>
    </xf>
    <xf numFmtId="174" fontId="34" fillId="18" borderId="8" xfId="0" applyNumberFormat="1" applyFont="1" applyFill="1" applyBorder="1"/>
    <xf numFmtId="174" fontId="28" fillId="0" borderId="163" xfId="0" applyNumberFormat="1" applyFont="1" applyBorder="1"/>
    <xf numFmtId="174" fontId="33" fillId="0" borderId="154" xfId="0" applyNumberFormat="1" applyFont="1" applyBorder="1" applyAlignment="1">
      <alignment horizontal="right" vertical="center"/>
    </xf>
    <xf numFmtId="174" fontId="28" fillId="0" borderId="154" xfId="0" applyNumberFormat="1" applyFont="1" applyBorder="1"/>
    <xf numFmtId="174" fontId="33" fillId="0" borderId="70" xfId="0" applyNumberFormat="1" applyFont="1" applyBorder="1" applyAlignment="1">
      <alignment horizontal="right" vertical="center"/>
    </xf>
    <xf numFmtId="165" fontId="28" fillId="0" borderId="186" xfId="0" applyNumberFormat="1" applyFont="1" applyBorder="1"/>
    <xf numFmtId="165" fontId="28" fillId="0" borderId="163" xfId="0" applyNumberFormat="1" applyFont="1" applyBorder="1"/>
    <xf numFmtId="168" fontId="28" fillId="0" borderId="164" xfId="3" applyNumberFormat="1" applyFont="1" applyFill="1" applyBorder="1"/>
    <xf numFmtId="174" fontId="28" fillId="0" borderId="199" xfId="0" applyNumberFormat="1" applyFont="1" applyBorder="1"/>
    <xf numFmtId="174" fontId="33" fillId="0" borderId="179" xfId="0" applyNumberFormat="1" applyFont="1" applyBorder="1" applyAlignment="1">
      <alignment horizontal="right" vertical="center"/>
    </xf>
    <xf numFmtId="169" fontId="34" fillId="0" borderId="70" xfId="3" applyNumberFormat="1" applyFont="1" applyFill="1" applyBorder="1"/>
    <xf numFmtId="165" fontId="34" fillId="0" borderId="70" xfId="3" applyNumberFormat="1" applyFont="1" applyFill="1" applyBorder="1"/>
    <xf numFmtId="174" fontId="35" fillId="0" borderId="163" xfId="0" applyNumberFormat="1" applyFont="1" applyBorder="1"/>
    <xf numFmtId="174" fontId="35" fillId="0" borderId="161" xfId="0" applyNumberFormat="1" applyFont="1" applyBorder="1"/>
    <xf numFmtId="174" fontId="35" fillId="0" borderId="154" xfId="0" applyNumberFormat="1" applyFont="1" applyBorder="1"/>
    <xf numFmtId="167" fontId="28" fillId="0" borderId="162" xfId="0" applyNumberFormat="1" applyFont="1" applyBorder="1"/>
    <xf numFmtId="204" fontId="28" fillId="0" borderId="125" xfId="0" applyNumberFormat="1" applyFont="1" applyBorder="1"/>
    <xf numFmtId="204" fontId="35" fillId="0" borderId="111" xfId="0" applyNumberFormat="1" applyFont="1" applyBorder="1"/>
    <xf numFmtId="204" fontId="28" fillId="0" borderId="11" xfId="0" applyNumberFormat="1" applyFont="1" applyBorder="1"/>
    <xf numFmtId="204" fontId="28" fillId="0" borderId="111" xfId="0" applyNumberFormat="1" applyFont="1" applyBorder="1"/>
    <xf numFmtId="204" fontId="28" fillId="0" borderId="139" xfId="0" applyNumberFormat="1" applyFont="1" applyBorder="1"/>
    <xf numFmtId="174" fontId="33" fillId="0" borderId="6" xfId="0" applyNumberFormat="1" applyFont="1" applyBorder="1" applyAlignment="1">
      <alignment horizontal="right" vertical="center"/>
    </xf>
    <xf numFmtId="165" fontId="28" fillId="0" borderId="176" xfId="0" applyNumberFormat="1" applyFont="1" applyBorder="1"/>
    <xf numFmtId="165" fontId="28" fillId="0" borderId="137" xfId="0" applyNumberFormat="1" applyFont="1" applyBorder="1"/>
    <xf numFmtId="168" fontId="28" fillId="0" borderId="126" xfId="3" applyNumberFormat="1" applyFont="1" applyFill="1" applyBorder="1"/>
    <xf numFmtId="204" fontId="28" fillId="0" borderId="128" xfId="3" applyNumberFormat="1" applyFont="1" applyFill="1" applyBorder="1"/>
    <xf numFmtId="204" fontId="28" fillId="0" borderId="200" xfId="0" applyNumberFormat="1" applyFont="1" applyBorder="1"/>
    <xf numFmtId="174" fontId="35" fillId="0" borderId="130" xfId="0" applyNumberFormat="1" applyFont="1" applyBorder="1"/>
    <xf numFmtId="204" fontId="35" fillId="0" borderId="14" xfId="0" applyNumberFormat="1" applyFont="1" applyBorder="1"/>
    <xf numFmtId="204" fontId="28" fillId="0" borderId="201" xfId="0" applyNumberFormat="1" applyFont="1" applyBorder="1"/>
    <xf numFmtId="174" fontId="33" fillId="0" borderId="130" xfId="0" applyNumberFormat="1" applyFont="1" applyBorder="1" applyAlignment="1">
      <alignment horizontal="right" vertical="center"/>
    </xf>
    <xf numFmtId="169" fontId="34" fillId="0" borderId="6" xfId="3" applyNumberFormat="1" applyFont="1" applyFill="1" applyBorder="1"/>
    <xf numFmtId="168" fontId="28" fillId="0" borderId="87" xfId="3" applyNumberFormat="1" applyFont="1" applyFill="1" applyBorder="1"/>
    <xf numFmtId="168" fontId="28" fillId="0" borderId="80" xfId="3" applyNumberFormat="1" applyFont="1" applyFill="1" applyBorder="1"/>
    <xf numFmtId="165" fontId="34" fillId="0" borderId="6" xfId="3" applyNumberFormat="1" applyFont="1" applyFill="1" applyBorder="1"/>
    <xf numFmtId="165" fontId="34" fillId="0" borderId="21" xfId="3" applyNumberFormat="1" applyFont="1" applyFill="1" applyBorder="1"/>
    <xf numFmtId="204" fontId="28" fillId="0" borderId="0" xfId="3" applyNumberFormat="1" applyFont="1" applyBorder="1"/>
    <xf numFmtId="204" fontId="28" fillId="0" borderId="18" xfId="0" applyNumberFormat="1" applyFont="1" applyBorder="1"/>
    <xf numFmtId="204" fontId="35" fillId="0" borderId="38" xfId="0" applyNumberFormat="1" applyFont="1" applyBorder="1"/>
    <xf numFmtId="204" fontId="35" fillId="0" borderId="11" xfId="0" applyNumberFormat="1" applyFont="1" applyBorder="1"/>
    <xf numFmtId="165" fontId="28" fillId="0" borderId="116" xfId="0" applyNumberFormat="1" applyFont="1" applyBorder="1"/>
    <xf numFmtId="165" fontId="28" fillId="0" borderId="109" xfId="0" applyNumberFormat="1" applyFont="1" applyBorder="1"/>
    <xf numFmtId="203" fontId="28" fillId="0" borderId="11" xfId="0" applyNumberFormat="1" applyFont="1" applyBorder="1"/>
    <xf numFmtId="203" fontId="28" fillId="0" borderId="14" xfId="0" applyNumberFormat="1" applyFont="1" applyBorder="1"/>
    <xf numFmtId="203" fontId="28" fillId="0" borderId="136" xfId="0" applyNumberFormat="1" applyFont="1" applyBorder="1"/>
    <xf numFmtId="203" fontId="28" fillId="0" borderId="169" xfId="0" applyNumberFormat="1" applyFont="1" applyBorder="1"/>
    <xf numFmtId="203" fontId="28" fillId="0" borderId="139" xfId="0" applyNumberFormat="1" applyFont="1" applyBorder="1"/>
    <xf numFmtId="203" fontId="35" fillId="0" borderId="111" xfId="0" applyNumberFormat="1" applyFont="1" applyBorder="1"/>
    <xf numFmtId="2" fontId="28" fillId="0" borderId="0" xfId="3" applyNumberFormat="1" applyFont="1" applyBorder="1"/>
    <xf numFmtId="167" fontId="28" fillId="0" borderId="116" xfId="0" applyNumberFormat="1" applyFont="1" applyBorder="1"/>
    <xf numFmtId="204" fontId="28" fillId="0" borderId="15" xfId="0" applyNumberFormat="1" applyFont="1" applyBorder="1"/>
    <xf numFmtId="204" fontId="28" fillId="0" borderId="153" xfId="0" applyNumberFormat="1" applyFont="1" applyBorder="1"/>
    <xf numFmtId="204" fontId="35" fillId="0" borderId="129" xfId="0" applyNumberFormat="1" applyFont="1" applyBorder="1"/>
    <xf numFmtId="204" fontId="28" fillId="0" borderId="51" xfId="0" applyNumberFormat="1" applyFont="1" applyBorder="1"/>
    <xf numFmtId="204" fontId="28" fillId="0" borderId="197" xfId="0" applyNumberFormat="1" applyFont="1" applyBorder="1"/>
    <xf numFmtId="204" fontId="28" fillId="0" borderId="135" xfId="3" applyNumberFormat="1" applyFont="1" applyFill="1" applyBorder="1"/>
    <xf numFmtId="204" fontId="28" fillId="0" borderId="202" xfId="0" applyNumberFormat="1" applyFont="1" applyBorder="1"/>
    <xf numFmtId="204" fontId="35" fillId="0" borderId="15" xfId="0" applyNumberFormat="1" applyFont="1" applyBorder="1"/>
    <xf numFmtId="204" fontId="28" fillId="0" borderId="203" xfId="0" applyNumberFormat="1" applyFont="1" applyBorder="1"/>
    <xf numFmtId="165" fontId="34" fillId="0" borderId="20" xfId="3" applyNumberFormat="1" applyFont="1" applyFill="1" applyBorder="1"/>
    <xf numFmtId="204" fontId="28" fillId="0" borderId="19" xfId="0" applyNumberFormat="1" applyFont="1" applyBorder="1"/>
    <xf numFmtId="204" fontId="35" fillId="0" borderId="58" xfId="0" applyNumberFormat="1" applyFont="1" applyBorder="1"/>
    <xf numFmtId="204" fontId="35" fillId="0" borderId="51" xfId="0" applyNumberFormat="1" applyFont="1" applyBorder="1"/>
    <xf numFmtId="168" fontId="28" fillId="0" borderId="164" xfId="3" applyNumberFormat="1" applyFont="1" applyBorder="1"/>
    <xf numFmtId="169" fontId="34" fillId="0" borderId="70" xfId="3" applyNumberFormat="1" applyFont="1" applyBorder="1"/>
    <xf numFmtId="165" fontId="34" fillId="0" borderId="70" xfId="3" applyNumberFormat="1" applyFont="1" applyBorder="1"/>
    <xf numFmtId="165" fontId="34" fillId="0" borderId="20" xfId="3" applyNumberFormat="1" applyFont="1" applyBorder="1"/>
    <xf numFmtId="168" fontId="28" fillId="0" borderId="126" xfId="3" applyNumberFormat="1" applyFont="1" applyBorder="1"/>
    <xf numFmtId="169" fontId="34" fillId="0" borderId="6" xfId="3" applyNumberFormat="1" applyFont="1" applyBorder="1"/>
    <xf numFmtId="165" fontId="34" fillId="0" borderId="6" xfId="3" applyNumberFormat="1" applyFont="1" applyBorder="1"/>
    <xf numFmtId="165" fontId="34" fillId="0" borderId="21" xfId="3" applyNumberFormat="1" applyFont="1" applyBorder="1"/>
    <xf numFmtId="174" fontId="53" fillId="0" borderId="116" xfId="0" applyNumberFormat="1" applyFont="1" applyBorder="1"/>
    <xf numFmtId="2" fontId="34" fillId="0" borderId="70" xfId="3" applyNumberFormat="1" applyFont="1" applyFill="1" applyBorder="1"/>
    <xf numFmtId="2" fontId="34" fillId="0" borderId="20" xfId="3" applyNumberFormat="1" applyFont="1" applyFill="1" applyBorder="1"/>
    <xf numFmtId="2" fontId="34" fillId="0" borderId="6" xfId="3" applyNumberFormat="1" applyFont="1" applyBorder="1"/>
    <xf numFmtId="174" fontId="52" fillId="0" borderId="116" xfId="0" applyNumberFormat="1" applyFont="1" applyBorder="1"/>
    <xf numFmtId="169" fontId="34" fillId="4" borderId="8" xfId="3" applyNumberFormat="1" applyFont="1" applyFill="1" applyBorder="1"/>
    <xf numFmtId="9" fontId="28" fillId="0" borderId="87" xfId="3" applyFont="1" applyBorder="1"/>
    <xf numFmtId="2" fontId="34" fillId="4" borderId="8" xfId="3" applyNumberFormat="1" applyFont="1" applyFill="1" applyBorder="1"/>
    <xf numFmtId="204" fontId="28" fillId="0" borderId="156" xfId="0" applyNumberFormat="1" applyFont="1" applyBorder="1"/>
    <xf numFmtId="204" fontId="71" fillId="0" borderId="85" xfId="0" applyNumberFormat="1" applyFont="1" applyBorder="1"/>
    <xf numFmtId="204" fontId="28" fillId="0" borderId="204" xfId="0" applyNumberFormat="1" applyFont="1" applyBorder="1"/>
    <xf numFmtId="0" fontId="33" fillId="0" borderId="21" xfId="0" applyFont="1" applyBorder="1" applyAlignment="1">
      <alignment vertical="center" wrapText="1"/>
    </xf>
    <xf numFmtId="204" fontId="28" fillId="0" borderId="21" xfId="0" applyNumberFormat="1" applyFont="1" applyBorder="1"/>
    <xf numFmtId="204" fontId="28" fillId="0" borderId="61" xfId="0" applyNumberFormat="1" applyFont="1" applyBorder="1"/>
    <xf numFmtId="204" fontId="28" fillId="0" borderId="205" xfId="0" applyNumberFormat="1" applyFont="1" applyBorder="1"/>
    <xf numFmtId="168" fontId="28" fillId="0" borderId="30" xfId="3" applyNumberFormat="1" applyFont="1" applyBorder="1"/>
    <xf numFmtId="174" fontId="33" fillId="4" borderId="109" xfId="0" applyNumberFormat="1" applyFont="1" applyFill="1" applyBorder="1" applyAlignment="1">
      <alignment horizontal="right" vertical="center"/>
    </xf>
    <xf numFmtId="204" fontId="28" fillId="0" borderId="158" xfId="0" applyNumberFormat="1" applyFont="1" applyBorder="1"/>
    <xf numFmtId="204" fontId="28" fillId="0" borderId="206" xfId="0" applyNumberFormat="1" applyFont="1" applyBorder="1"/>
    <xf numFmtId="204" fontId="28" fillId="0" borderId="8" xfId="0" applyNumberFormat="1" applyFont="1" applyBorder="1"/>
    <xf numFmtId="204" fontId="33" fillId="4" borderId="109" xfId="0" applyNumberFormat="1" applyFont="1" applyFill="1" applyBorder="1" applyAlignment="1">
      <alignment horizontal="right" vertical="center"/>
    </xf>
    <xf numFmtId="2" fontId="28" fillId="0" borderId="179" xfId="0" applyNumberFormat="1" applyFont="1" applyBorder="1"/>
    <xf numFmtId="2" fontId="28" fillId="0" borderId="164" xfId="0" applyNumberFormat="1" applyFont="1" applyBorder="1"/>
    <xf numFmtId="204" fontId="28" fillId="0" borderId="157" xfId="0" applyNumberFormat="1" applyFont="1" applyBorder="1"/>
    <xf numFmtId="204" fontId="35" fillId="4" borderId="21" xfId="0" applyNumberFormat="1" applyFont="1" applyFill="1" applyBorder="1"/>
    <xf numFmtId="204" fontId="33" fillId="4" borderId="8" xfId="0" applyNumberFormat="1" applyFont="1" applyFill="1" applyBorder="1" applyAlignment="1">
      <alignment horizontal="right" vertical="center"/>
    </xf>
    <xf numFmtId="204" fontId="35" fillId="4" borderId="111" xfId="0" applyNumberFormat="1" applyFont="1" applyFill="1" applyBorder="1"/>
    <xf numFmtId="204" fontId="28" fillId="0" borderId="155" xfId="0" applyNumberFormat="1" applyFont="1" applyBorder="1"/>
    <xf numFmtId="204" fontId="28" fillId="0" borderId="207" xfId="0" applyNumberFormat="1" applyFont="1" applyBorder="1"/>
    <xf numFmtId="204" fontId="28" fillId="4" borderId="11" xfId="0" applyNumberFormat="1" applyFont="1" applyFill="1" applyBorder="1"/>
    <xf numFmtId="166" fontId="34" fillId="0" borderId="7" xfId="3" applyNumberFormat="1" applyFont="1" applyFill="1" applyBorder="1"/>
    <xf numFmtId="2" fontId="34" fillId="4" borderId="21" xfId="3" applyNumberFormat="1" applyFont="1" applyFill="1" applyBorder="1"/>
    <xf numFmtId="167" fontId="28" fillId="0" borderId="130" xfId="0" applyNumberFormat="1" applyFont="1" applyBorder="1"/>
    <xf numFmtId="167" fontId="28" fillId="0" borderId="179" xfId="0" applyNumberFormat="1" applyFont="1" applyBorder="1"/>
    <xf numFmtId="174" fontId="43" fillId="0" borderId="126" xfId="0" applyNumberFormat="1" applyFont="1" applyBorder="1"/>
    <xf numFmtId="204" fontId="43" fillId="0" borderId="127" xfId="0" applyNumberFormat="1" applyFont="1" applyBorder="1"/>
    <xf numFmtId="167" fontId="43" fillId="0" borderId="126" xfId="0" applyNumberFormat="1" applyFont="1" applyBorder="1"/>
    <xf numFmtId="167" fontId="43" fillId="0" borderId="164" xfId="0" applyNumberFormat="1" applyFont="1" applyBorder="1"/>
    <xf numFmtId="174" fontId="43" fillId="0" borderId="164" xfId="0" applyNumberFormat="1" applyFont="1" applyBorder="1"/>
    <xf numFmtId="174" fontId="43" fillId="0" borderId="127" xfId="0" applyNumberFormat="1" applyFont="1" applyBorder="1"/>
    <xf numFmtId="174" fontId="43" fillId="0" borderId="135" xfId="0" applyNumberFormat="1" applyFont="1" applyBorder="1"/>
    <xf numFmtId="174" fontId="43" fillId="0" borderId="128" xfId="0" applyNumberFormat="1" applyFont="1" applyBorder="1"/>
    <xf numFmtId="204" fontId="33" fillId="0" borderId="138" xfId="0" applyNumberFormat="1" applyFont="1" applyBorder="1" applyAlignment="1">
      <alignment horizontal="right" vertical="center"/>
    </xf>
    <xf numFmtId="167" fontId="33" fillId="0" borderId="137" xfId="0" applyNumberFormat="1" applyFont="1" applyBorder="1" applyAlignment="1">
      <alignment horizontal="right" vertical="center"/>
    </xf>
    <xf numFmtId="167" fontId="33" fillId="0" borderId="163" xfId="0" applyNumberFormat="1" applyFont="1" applyBorder="1" applyAlignment="1">
      <alignment horizontal="right" vertical="center"/>
    </xf>
    <xf numFmtId="174" fontId="33" fillId="0" borderId="48" xfId="0" applyNumberFormat="1" applyFont="1" applyBorder="1" applyAlignment="1">
      <alignment horizontal="right" vertical="center"/>
    </xf>
    <xf numFmtId="167" fontId="28" fillId="0" borderId="126" xfId="0" applyNumberFormat="1" applyFont="1" applyBorder="1"/>
    <xf numFmtId="167" fontId="28" fillId="0" borderId="164" xfId="0" applyNumberFormat="1" applyFont="1" applyBorder="1"/>
    <xf numFmtId="204" fontId="28" fillId="0" borderId="116" xfId="0" applyNumberFormat="1" applyFont="1" applyBorder="1"/>
    <xf numFmtId="204" fontId="28" fillId="0" borderId="122" xfId="0" applyNumberFormat="1" applyFont="1" applyBorder="1"/>
    <xf numFmtId="165" fontId="72" fillId="0" borderId="6" xfId="0" applyNumberFormat="1" applyFont="1" applyBorder="1" applyProtection="1">
      <protection locked="0"/>
    </xf>
    <xf numFmtId="166" fontId="72" fillId="0" borderId="7" xfId="0" applyNumberFormat="1" applyFont="1" applyBorder="1" applyProtection="1">
      <protection locked="0"/>
    </xf>
    <xf numFmtId="165" fontId="72" fillId="0" borderId="70" xfId="0" applyNumberFormat="1" applyFont="1" applyBorder="1" applyProtection="1">
      <protection locked="0"/>
    </xf>
    <xf numFmtId="2" fontId="72" fillId="0" borderId="7" xfId="0" applyNumberFormat="1" applyFont="1" applyBorder="1" applyProtection="1">
      <protection locked="0"/>
    </xf>
    <xf numFmtId="166" fontId="34" fillId="0" borderId="20" xfId="3" applyNumberFormat="1" applyFont="1" applyFill="1" applyBorder="1"/>
    <xf numFmtId="204" fontId="28" fillId="0" borderId="26" xfId="0" applyNumberFormat="1" applyFont="1" applyBorder="1"/>
    <xf numFmtId="204" fontId="35" fillId="0" borderId="26" xfId="0" applyNumberFormat="1" applyFont="1" applyBorder="1"/>
    <xf numFmtId="166" fontId="8" fillId="9" borderId="0" xfId="0" applyNumberFormat="1" applyFont="1" applyFill="1" applyAlignment="1">
      <alignment horizontal="center"/>
    </xf>
    <xf numFmtId="169" fontId="0" fillId="4" borderId="5" xfId="0" applyNumberFormat="1" applyFill="1" applyBorder="1"/>
    <xf numFmtId="204" fontId="28" fillId="0" borderId="22" xfId="0" applyNumberFormat="1" applyFont="1" applyBorder="1"/>
    <xf numFmtId="204" fontId="28" fillId="0" borderId="54" xfId="0" applyNumberFormat="1" applyFont="1" applyBorder="1"/>
    <xf numFmtId="0" fontId="33" fillId="18" borderId="4" xfId="0" applyFont="1" applyFill="1" applyBorder="1" applyAlignment="1">
      <alignment vertical="center" wrapText="1"/>
    </xf>
    <xf numFmtId="174" fontId="33" fillId="0" borderId="158" xfId="0" applyNumberFormat="1" applyFont="1" applyBorder="1" applyAlignment="1">
      <alignment horizontal="right" vertical="center"/>
    </xf>
    <xf numFmtId="174" fontId="28" fillId="0" borderId="62" xfId="0" applyNumberFormat="1" applyFont="1" applyBorder="1"/>
    <xf numFmtId="174" fontId="28" fillId="0" borderId="208" xfId="0" applyNumberFormat="1" applyFont="1" applyBorder="1"/>
    <xf numFmtId="204" fontId="28" fillId="0" borderId="209" xfId="0" applyNumberFormat="1" applyFont="1" applyBorder="1"/>
    <xf numFmtId="174" fontId="28" fillId="0" borderId="210" xfId="0" applyNumberFormat="1" applyFont="1" applyBorder="1"/>
    <xf numFmtId="204" fontId="28" fillId="0" borderId="211" xfId="0" applyNumberFormat="1" applyFont="1" applyBorder="1"/>
    <xf numFmtId="174" fontId="28" fillId="0" borderId="194" xfId="0" applyNumberFormat="1" applyFont="1" applyBorder="1"/>
    <xf numFmtId="174" fontId="28" fillId="0" borderId="211" xfId="0" applyNumberFormat="1" applyFont="1" applyBorder="1"/>
    <xf numFmtId="174" fontId="28" fillId="0" borderId="209" xfId="0" applyNumberFormat="1" applyFont="1" applyBorder="1"/>
    <xf numFmtId="174" fontId="28" fillId="0" borderId="184" xfId="0" applyNumberFormat="1" applyFont="1" applyBorder="1"/>
    <xf numFmtId="174" fontId="28" fillId="0" borderId="212" xfId="0" applyNumberFormat="1" applyFont="1" applyBorder="1"/>
    <xf numFmtId="204" fontId="28" fillId="0" borderId="213" xfId="0" applyNumberFormat="1" applyFont="1" applyBorder="1"/>
    <xf numFmtId="174" fontId="28" fillId="0" borderId="214" xfId="0" applyNumberFormat="1" applyFont="1" applyBorder="1"/>
    <xf numFmtId="174" fontId="28" fillId="0" borderId="213" xfId="0" applyNumberFormat="1" applyFont="1" applyBorder="1"/>
    <xf numFmtId="174" fontId="28" fillId="0" borderId="215" xfId="0" applyNumberFormat="1" applyFont="1" applyBorder="1"/>
    <xf numFmtId="174" fontId="28" fillId="0" borderId="216" xfId="0" applyNumberFormat="1" applyFont="1" applyBorder="1"/>
    <xf numFmtId="0" fontId="33" fillId="0" borderId="160" xfId="0" applyFont="1" applyBorder="1" applyAlignment="1">
      <alignment horizontal="left" vertical="center" wrapText="1"/>
    </xf>
    <xf numFmtId="204" fontId="28" fillId="0" borderId="47" xfId="0" applyNumberFormat="1" applyFont="1" applyBorder="1"/>
    <xf numFmtId="204" fontId="28" fillId="0" borderId="56" xfId="0" applyNumberFormat="1" applyFont="1" applyBorder="1"/>
    <xf numFmtId="204" fontId="71" fillId="0" borderId="79" xfId="0" applyNumberFormat="1" applyFont="1" applyBorder="1"/>
    <xf numFmtId="204" fontId="28" fillId="0" borderId="24" xfId="0" applyNumberFormat="1" applyFont="1" applyBorder="1"/>
    <xf numFmtId="204" fontId="28" fillId="0" borderId="42" xfId="0" applyNumberFormat="1" applyFont="1" applyBorder="1"/>
    <xf numFmtId="174" fontId="53" fillId="0" borderId="112" xfId="0" applyNumberFormat="1" applyFont="1" applyBorder="1"/>
    <xf numFmtId="174" fontId="53" fillId="0" borderId="152" xfId="0" applyNumberFormat="1" applyFont="1" applyBorder="1"/>
    <xf numFmtId="174" fontId="53" fillId="0" borderId="115" xfId="0" applyNumberFormat="1" applyFont="1" applyBorder="1"/>
    <xf numFmtId="204" fontId="28" fillId="0" borderId="217" xfId="0" applyNumberFormat="1" applyFont="1" applyBorder="1"/>
    <xf numFmtId="204" fontId="28" fillId="0" borderId="218" xfId="0" applyNumberFormat="1" applyFont="1" applyBorder="1"/>
    <xf numFmtId="204" fontId="28" fillId="0" borderId="219" xfId="0" applyNumberFormat="1" applyFont="1" applyBorder="1"/>
    <xf numFmtId="204" fontId="28" fillId="0" borderId="33" xfId="0" applyNumberFormat="1" applyFont="1" applyBorder="1"/>
    <xf numFmtId="204" fontId="28" fillId="0" borderId="91" xfId="0" applyNumberFormat="1" applyFont="1" applyBorder="1"/>
    <xf numFmtId="204" fontId="28" fillId="4" borderId="91" xfId="0" applyNumberFormat="1" applyFont="1" applyFill="1" applyBorder="1"/>
    <xf numFmtId="204" fontId="28" fillId="0" borderId="97" xfId="0" applyNumberFormat="1" applyFont="1" applyBorder="1"/>
    <xf numFmtId="204" fontId="28" fillId="0" borderId="221" xfId="0" applyNumberFormat="1" applyFont="1" applyBorder="1"/>
    <xf numFmtId="204" fontId="28" fillId="0" borderId="222" xfId="0" applyNumberFormat="1" applyFont="1" applyBorder="1"/>
    <xf numFmtId="204" fontId="33" fillId="0" borderId="223" xfId="0" applyNumberFormat="1" applyFont="1" applyBorder="1" applyAlignment="1">
      <alignment horizontal="right" vertical="center"/>
    </xf>
    <xf numFmtId="166" fontId="34" fillId="4" borderId="7" xfId="3" applyNumberFormat="1" applyFont="1" applyFill="1" applyBorder="1"/>
    <xf numFmtId="204" fontId="28" fillId="0" borderId="224" xfId="0" applyNumberFormat="1" applyFont="1" applyBorder="1"/>
    <xf numFmtId="204" fontId="28" fillId="0" borderId="225" xfId="0" applyNumberFormat="1" applyFont="1" applyBorder="1"/>
    <xf numFmtId="204" fontId="28" fillId="0" borderId="226" xfId="0" applyNumberFormat="1" applyFont="1" applyBorder="1"/>
    <xf numFmtId="174" fontId="28" fillId="0" borderId="64" xfId="0" applyNumberFormat="1" applyFont="1" applyBorder="1"/>
    <xf numFmtId="174" fontId="28" fillId="0" borderId="0" xfId="0" applyNumberFormat="1" applyFont="1"/>
    <xf numFmtId="168" fontId="28" fillId="0" borderId="0" xfId="3" applyNumberFormat="1" applyFont="1" applyFill="1" applyBorder="1"/>
    <xf numFmtId="204" fontId="28" fillId="0" borderId="0" xfId="3" applyNumberFormat="1" applyFont="1" applyFill="1" applyBorder="1"/>
    <xf numFmtId="0" fontId="33" fillId="0" borderId="99" xfId="0" applyFont="1" applyBorder="1" applyAlignment="1">
      <alignment horizontal="left" vertical="center" wrapText="1"/>
    </xf>
    <xf numFmtId="174" fontId="33" fillId="0" borderId="227" xfId="0" applyNumberFormat="1" applyFont="1" applyBorder="1" applyAlignment="1">
      <alignment horizontal="right" vertical="center"/>
    </xf>
    <xf numFmtId="204" fontId="33" fillId="0" borderId="228" xfId="0" applyNumberFormat="1" applyFont="1" applyBorder="1" applyAlignment="1">
      <alignment horizontal="right" vertical="center"/>
    </xf>
    <xf numFmtId="174" fontId="33" fillId="0" borderId="229" xfId="0" applyNumberFormat="1" applyFont="1" applyBorder="1" applyAlignment="1">
      <alignment horizontal="right" vertical="center"/>
    </xf>
    <xf numFmtId="204" fontId="28" fillId="0" borderId="230" xfId="0" applyNumberFormat="1" applyFont="1" applyBorder="1"/>
    <xf numFmtId="174" fontId="33" fillId="0" borderId="228" xfId="0" applyNumberFormat="1" applyFont="1" applyBorder="1" applyAlignment="1">
      <alignment horizontal="right" vertical="center"/>
    </xf>
    <xf numFmtId="174" fontId="33" fillId="0" borderId="201" xfId="0" applyNumberFormat="1" applyFont="1" applyBorder="1" applyAlignment="1">
      <alignment horizontal="right" vertical="center"/>
    </xf>
    <xf numFmtId="174" fontId="33" fillId="0" borderId="203" xfId="0" applyNumberFormat="1" applyFont="1" applyBorder="1" applyAlignment="1">
      <alignment horizontal="right" vertical="center"/>
    </xf>
    <xf numFmtId="174" fontId="33" fillId="0" borderId="99" xfId="0" applyNumberFormat="1" applyFont="1" applyBorder="1" applyAlignment="1">
      <alignment horizontal="right" vertical="center"/>
    </xf>
    <xf numFmtId="204" fontId="33" fillId="0" borderId="231" xfId="0" applyNumberFormat="1" applyFont="1" applyBorder="1" applyAlignment="1">
      <alignment horizontal="right" vertical="center"/>
    </xf>
    <xf numFmtId="204" fontId="28" fillId="0" borderId="232" xfId="0" applyNumberFormat="1" applyFont="1" applyBorder="1"/>
    <xf numFmtId="204" fontId="28" fillId="0" borderId="140" xfId="0" applyNumberFormat="1" applyFont="1" applyBorder="1"/>
    <xf numFmtId="204" fontId="35" fillId="4" borderId="11" xfId="0" applyNumberFormat="1" applyFont="1" applyFill="1" applyBorder="1"/>
    <xf numFmtId="204" fontId="28" fillId="0" borderId="2" xfId="0" applyNumberFormat="1" applyFont="1" applyBorder="1"/>
    <xf numFmtId="174" fontId="35" fillId="0" borderId="35" xfId="0" applyNumberFormat="1" applyFont="1" applyBorder="1"/>
    <xf numFmtId="174" fontId="35" fillId="0" borderId="171" xfId="0" applyNumberFormat="1" applyFont="1" applyBorder="1"/>
    <xf numFmtId="174" fontId="35" fillId="0" borderId="172" xfId="0" applyNumberFormat="1" applyFont="1" applyBorder="1"/>
    <xf numFmtId="174" fontId="35" fillId="0" borderId="169" xfId="0" applyNumberFormat="1" applyFont="1" applyBorder="1"/>
    <xf numFmtId="174" fontId="35" fillId="0" borderId="173" xfId="0" applyNumberFormat="1" applyFont="1" applyBorder="1"/>
    <xf numFmtId="174" fontId="35" fillId="0" borderId="170" xfId="0" applyNumberFormat="1" applyFont="1" applyBorder="1"/>
    <xf numFmtId="167" fontId="0" fillId="0" borderId="0" xfId="0" applyNumberFormat="1"/>
    <xf numFmtId="0" fontId="33" fillId="0" borderId="4" xfId="0" applyFont="1" applyBorder="1" applyAlignment="1">
      <alignment horizontal="left" vertical="center" wrapText="1"/>
    </xf>
    <xf numFmtId="174" fontId="33" fillId="0" borderId="4" xfId="0" applyNumberFormat="1" applyFont="1" applyBorder="1" applyAlignment="1">
      <alignment horizontal="right" vertical="center"/>
    </xf>
    <xf numFmtId="204" fontId="33" fillId="0" borderId="4" xfId="0" applyNumberFormat="1" applyFont="1" applyBorder="1" applyAlignment="1">
      <alignment horizontal="right" vertical="center"/>
    </xf>
    <xf numFmtId="2" fontId="33" fillId="0" borderId="4" xfId="0" applyNumberFormat="1" applyFont="1" applyBorder="1" applyAlignment="1">
      <alignment horizontal="right" vertical="center"/>
    </xf>
    <xf numFmtId="174" fontId="35" fillId="0" borderId="48" xfId="0" applyNumberFormat="1" applyFont="1" applyBorder="1"/>
    <xf numFmtId="168" fontId="28" fillId="0" borderId="85" xfId="3" applyNumberFormat="1" applyFont="1" applyBorder="1"/>
    <xf numFmtId="190" fontId="34" fillId="4" borderId="20" xfId="3" applyNumberFormat="1" applyFont="1" applyFill="1" applyBorder="1"/>
    <xf numFmtId="168" fontId="28" fillId="0" borderId="54" xfId="3" applyNumberFormat="1" applyFont="1" applyBorder="1"/>
    <xf numFmtId="204" fontId="28" fillId="0" borderId="233" xfId="0" applyNumberFormat="1" applyFont="1" applyBorder="1"/>
    <xf numFmtId="204" fontId="35" fillId="0" borderId="220" xfId="0" applyNumberFormat="1" applyFont="1" applyBorder="1"/>
    <xf numFmtId="204" fontId="33" fillId="4" borderId="234" xfId="0" applyNumberFormat="1" applyFont="1" applyFill="1" applyBorder="1" applyAlignment="1">
      <alignment horizontal="right" vertical="center"/>
    </xf>
    <xf numFmtId="204" fontId="28" fillId="0" borderId="235" xfId="0" applyNumberFormat="1" applyFont="1" applyBorder="1"/>
    <xf numFmtId="204" fontId="35" fillId="0" borderId="4" xfId="0" applyNumberFormat="1" applyFont="1" applyBorder="1"/>
    <xf numFmtId="204" fontId="28" fillId="0" borderId="123" xfId="0" applyNumberFormat="1" applyFont="1" applyBorder="1"/>
    <xf numFmtId="165" fontId="28" fillId="0" borderId="122" xfId="0" applyNumberFormat="1" applyFont="1" applyBorder="1"/>
    <xf numFmtId="165" fontId="28" fillId="0" borderId="165" xfId="0" applyNumberFormat="1" applyFont="1" applyBorder="1"/>
    <xf numFmtId="165" fontId="28" fillId="0" borderId="123" xfId="0" applyNumberFormat="1" applyFont="1" applyBorder="1"/>
    <xf numFmtId="165" fontId="28" fillId="0" borderId="159" xfId="0" applyNumberFormat="1" applyFont="1" applyBorder="1"/>
    <xf numFmtId="165" fontId="28" fillId="0" borderId="108" xfId="0" applyNumberFormat="1" applyFont="1" applyBorder="1"/>
    <xf numFmtId="165" fontId="28" fillId="0" borderId="27" xfId="0" applyNumberFormat="1" applyFont="1" applyBorder="1"/>
    <xf numFmtId="2" fontId="28" fillId="0" borderId="213" xfId="0" applyNumberFormat="1" applyFont="1" applyBorder="1"/>
    <xf numFmtId="204" fontId="28" fillId="0" borderId="237" xfId="0" applyNumberFormat="1" applyFont="1" applyBorder="1"/>
    <xf numFmtId="0" fontId="20" fillId="0" borderId="0" xfId="0" applyFont="1"/>
    <xf numFmtId="49" fontId="73" fillId="0" borderId="104" xfId="0" applyNumberFormat="1" applyFont="1" applyBorder="1" applyAlignment="1">
      <alignment horizontal="center" vertical="top"/>
    </xf>
    <xf numFmtId="2" fontId="20" fillId="0" borderId="0" xfId="0" applyNumberFormat="1" applyFont="1"/>
    <xf numFmtId="49" fontId="76" fillId="0" borderId="74" xfId="0" applyNumberFormat="1" applyFont="1" applyBorder="1" applyAlignment="1">
      <alignment vertical="center"/>
    </xf>
    <xf numFmtId="169" fontId="76" fillId="0" borderId="50" xfId="0" applyNumberFormat="1" applyFont="1" applyBorder="1" applyAlignment="1">
      <alignment horizontal="right" vertical="top"/>
    </xf>
    <xf numFmtId="172" fontId="76" fillId="0" borderId="2" xfId="0" applyNumberFormat="1" applyFont="1" applyBorder="1" applyAlignment="1">
      <alignment horizontal="right" vertical="top"/>
    </xf>
    <xf numFmtId="172" fontId="76" fillId="0" borderId="51" xfId="0" applyNumberFormat="1" applyFont="1" applyBorder="1" applyAlignment="1">
      <alignment horizontal="right" vertical="top"/>
    </xf>
    <xf numFmtId="169" fontId="76" fillId="0" borderId="10" xfId="0" applyNumberFormat="1" applyFont="1" applyBorder="1" applyAlignment="1">
      <alignment horizontal="right" vertical="top"/>
    </xf>
    <xf numFmtId="172" fontId="76" fillId="0" borderId="95" xfId="0" applyNumberFormat="1" applyFont="1" applyBorder="1" applyAlignment="1">
      <alignment horizontal="right" vertical="top"/>
    </xf>
    <xf numFmtId="172" fontId="76" fillId="0" borderId="11" xfId="0" applyNumberFormat="1" applyFont="1" applyBorder="1" applyAlignment="1">
      <alignment horizontal="right" vertical="top"/>
    </xf>
    <xf numFmtId="172" fontId="76" fillId="0" borderId="5" xfId="0" applyNumberFormat="1" applyFont="1" applyBorder="1" applyAlignment="1">
      <alignment horizontal="right" vertical="top"/>
    </xf>
    <xf numFmtId="169" fontId="76" fillId="0" borderId="87" xfId="0" applyNumberFormat="1" applyFont="1" applyBorder="1" applyAlignment="1">
      <alignment horizontal="right" vertical="top"/>
    </xf>
    <xf numFmtId="172" fontId="76" fillId="0" borderId="85" xfId="0" applyNumberFormat="1" applyFont="1" applyBorder="1" applyAlignment="1">
      <alignment horizontal="right" vertical="top"/>
    </xf>
    <xf numFmtId="166" fontId="76" fillId="0" borderId="49" xfId="0" applyNumberFormat="1" applyFont="1" applyBorder="1" applyAlignment="1">
      <alignment horizontal="right" vertical="top"/>
    </xf>
    <xf numFmtId="166" fontId="20" fillId="0" borderId="0" xfId="0" applyNumberFormat="1" applyFont="1"/>
    <xf numFmtId="169" fontId="76" fillId="0" borderId="71" xfId="0" applyNumberFormat="1" applyFont="1" applyBorder="1" applyAlignment="1">
      <alignment horizontal="right" vertical="top"/>
    </xf>
    <xf numFmtId="172" fontId="76" fillId="0" borderId="15" xfId="0" applyNumberFormat="1" applyFont="1" applyBorder="1" applyAlignment="1">
      <alignment horizontal="right" vertical="top"/>
    </xf>
    <xf numFmtId="172" fontId="76" fillId="0" borderId="63" xfId="0" applyNumberFormat="1" applyFont="1" applyBorder="1" applyAlignment="1">
      <alignment horizontal="right" vertical="top"/>
    </xf>
    <xf numFmtId="172" fontId="76" fillId="0" borderId="14" xfId="0" applyNumberFormat="1" applyFont="1" applyBorder="1" applyAlignment="1">
      <alignment horizontal="right" vertical="top"/>
    </xf>
    <xf numFmtId="169" fontId="76" fillId="0" borderId="13" xfId="0" applyNumberFormat="1" applyFont="1" applyBorder="1" applyAlignment="1">
      <alignment horizontal="right" vertical="top"/>
    </xf>
    <xf numFmtId="172" fontId="76" fillId="0" borderId="1" xfId="0" applyNumberFormat="1" applyFont="1" applyBorder="1" applyAlignment="1">
      <alignment horizontal="right" vertical="top"/>
    </xf>
    <xf numFmtId="166" fontId="76" fillId="0" borderId="14" xfId="0" applyNumberFormat="1" applyFont="1" applyBorder="1" applyAlignment="1">
      <alignment horizontal="right" vertical="top"/>
    </xf>
    <xf numFmtId="49" fontId="76" fillId="0" borderId="74" xfId="0" applyNumberFormat="1" applyFont="1" applyBorder="1" applyAlignment="1">
      <alignment vertical="top"/>
    </xf>
    <xf numFmtId="169" fontId="76" fillId="0" borderId="72" xfId="0" applyNumberFormat="1" applyFont="1" applyBorder="1" applyAlignment="1">
      <alignment horizontal="right" vertical="top"/>
    </xf>
    <xf numFmtId="172" fontId="76" fillId="0" borderId="3" xfId="0" applyNumberFormat="1" applyFont="1" applyBorder="1" applyAlignment="1">
      <alignment horizontal="right" vertical="top"/>
    </xf>
    <xf numFmtId="172" fontId="76" fillId="0" borderId="56" xfId="0" applyNumberFormat="1" applyFont="1" applyBorder="1" applyAlignment="1">
      <alignment horizontal="right" vertical="top"/>
    </xf>
    <xf numFmtId="169" fontId="76" fillId="0" borderId="25" xfId="0" applyNumberFormat="1" applyFont="1" applyBorder="1" applyAlignment="1">
      <alignment horizontal="right" vertical="top"/>
    </xf>
    <xf numFmtId="172" fontId="76" fillId="0" borderId="47" xfId="0" applyNumberFormat="1" applyFont="1" applyBorder="1" applyAlignment="1">
      <alignment horizontal="right" vertical="top"/>
    </xf>
    <xf numFmtId="169" fontId="76" fillId="0" borderId="9" xfId="0" applyNumberFormat="1" applyFont="1" applyBorder="1" applyAlignment="1">
      <alignment horizontal="right" vertical="top"/>
    </xf>
    <xf numFmtId="166" fontId="76" fillId="0" borderId="11" xfId="0" applyNumberFormat="1" applyFont="1" applyBorder="1" applyAlignment="1">
      <alignment horizontal="right" vertical="top"/>
    </xf>
    <xf numFmtId="49" fontId="76" fillId="0" borderId="26" xfId="0" applyNumberFormat="1" applyFont="1" applyBorder="1" applyAlignment="1">
      <alignment vertical="center"/>
    </xf>
    <xf numFmtId="169" fontId="73" fillId="0" borderId="70" xfId="0" applyNumberFormat="1" applyFont="1" applyBorder="1" applyAlignment="1">
      <alignment horizontal="right" vertical="top"/>
    </xf>
    <xf numFmtId="172" fontId="73" fillId="0" borderId="7" xfId="0" applyNumberFormat="1" applyFont="1" applyBorder="1" applyAlignment="1">
      <alignment horizontal="right" vertical="top"/>
    </xf>
    <xf numFmtId="172" fontId="73" fillId="0" borderId="20" xfId="0" applyNumberFormat="1" applyFont="1" applyBorder="1" applyAlignment="1">
      <alignment horizontal="right" vertical="top"/>
    </xf>
    <xf numFmtId="169" fontId="73" fillId="0" borderId="6" xfId="0" applyNumberFormat="1" applyFont="1" applyBorder="1" applyAlignment="1">
      <alignment horizontal="right" vertical="top"/>
    </xf>
    <xf numFmtId="172" fontId="73" fillId="0" borderId="21" xfId="0" applyNumberFormat="1" applyFont="1" applyBorder="1" applyAlignment="1">
      <alignment horizontal="right" vertical="top"/>
    </xf>
    <xf numFmtId="172" fontId="73" fillId="0" borderId="65" xfId="0" applyNumberFormat="1" applyFont="1" applyBorder="1" applyAlignment="1">
      <alignment horizontal="right" vertical="top"/>
    </xf>
    <xf numFmtId="169" fontId="76" fillId="0" borderId="76" xfId="0" applyNumberFormat="1" applyFont="1" applyBorder="1" applyAlignment="1">
      <alignment horizontal="right" vertical="top"/>
    </xf>
    <xf numFmtId="172" fontId="76" fillId="0" borderId="76" xfId="0" applyNumberFormat="1" applyFont="1" applyBorder="1" applyAlignment="1">
      <alignment horizontal="right" vertical="top"/>
    </xf>
    <xf numFmtId="169" fontId="76" fillId="0" borderId="35" xfId="0" applyNumberFormat="1" applyFont="1" applyBorder="1" applyAlignment="1">
      <alignment horizontal="right" vertical="top"/>
    </xf>
    <xf numFmtId="172" fontId="76" fillId="0" borderId="97" xfId="0" applyNumberFormat="1" applyFont="1" applyBorder="1" applyAlignment="1">
      <alignment horizontal="right" vertical="top"/>
    </xf>
    <xf numFmtId="169" fontId="20" fillId="0" borderId="0" xfId="0" applyNumberFormat="1" applyFont="1"/>
    <xf numFmtId="169" fontId="76" fillId="0" borderId="66" xfId="0" applyNumberFormat="1" applyFont="1" applyBorder="1" applyAlignment="1">
      <alignment horizontal="right" vertical="top"/>
    </xf>
    <xf numFmtId="172" fontId="76" fillId="0" borderId="66" xfId="0" applyNumberFormat="1" applyFont="1" applyBorder="1" applyAlignment="1">
      <alignment horizontal="right" vertical="top"/>
    </xf>
    <xf numFmtId="169" fontId="76" fillId="0" borderId="12" xfId="0" applyNumberFormat="1" applyFont="1" applyBorder="1" applyAlignment="1">
      <alignment horizontal="right" vertical="top"/>
    </xf>
    <xf numFmtId="172" fontId="76" fillId="0" borderId="93" xfId="0" applyNumberFormat="1" applyFont="1" applyBorder="1" applyAlignment="1">
      <alignment horizontal="right" vertical="top"/>
    </xf>
    <xf numFmtId="165" fontId="20" fillId="0" borderId="0" xfId="0" applyNumberFormat="1" applyFont="1"/>
    <xf numFmtId="169" fontId="76" fillId="0" borderId="90" xfId="0" applyNumberFormat="1" applyFont="1" applyBorder="1" applyAlignment="1">
      <alignment horizontal="right" vertical="top"/>
    </xf>
    <xf numFmtId="172" fontId="76" fillId="0" borderId="90" xfId="0" applyNumberFormat="1" applyFont="1" applyBorder="1" applyAlignment="1">
      <alignment horizontal="right" vertical="top"/>
    </xf>
    <xf numFmtId="169" fontId="76" fillId="0" borderId="46" xfId="0" applyNumberFormat="1" applyFont="1" applyBorder="1" applyAlignment="1">
      <alignment horizontal="right" vertical="top"/>
    </xf>
    <xf numFmtId="172" fontId="76" fillId="0" borderId="96" xfId="0" applyNumberFormat="1" applyFont="1" applyBorder="1" applyAlignment="1">
      <alignment horizontal="right" vertical="top"/>
    </xf>
    <xf numFmtId="0" fontId="20" fillId="0" borderId="26" xfId="0" applyFont="1" applyBorder="1"/>
    <xf numFmtId="169" fontId="79" fillId="0" borderId="8" xfId="0" applyNumberFormat="1" applyFont="1" applyBorder="1"/>
    <xf numFmtId="172" fontId="79" fillId="0" borderId="73" xfId="0" applyNumberFormat="1" applyFont="1" applyBorder="1"/>
    <xf numFmtId="49" fontId="80" fillId="0" borderId="74" xfId="0" applyNumberFormat="1" applyFont="1" applyBorder="1" applyAlignment="1">
      <alignment vertical="top"/>
    </xf>
    <xf numFmtId="169" fontId="76" fillId="0" borderId="52" xfId="0" applyNumberFormat="1" applyFont="1" applyBorder="1" applyAlignment="1">
      <alignment horizontal="right" vertical="top"/>
    </xf>
    <xf numFmtId="172" fontId="76" fillId="0" borderId="52" xfId="0" applyNumberFormat="1" applyFont="1" applyBorder="1" applyAlignment="1">
      <alignment horizontal="right" vertical="top"/>
    </xf>
    <xf numFmtId="172" fontId="76" fillId="0" borderId="91" xfId="0" applyNumberFormat="1" applyFont="1" applyBorder="1" applyAlignment="1">
      <alignment horizontal="right" vertical="top"/>
    </xf>
    <xf numFmtId="166" fontId="76" fillId="0" borderId="47" xfId="0" applyNumberFormat="1" applyFont="1" applyBorder="1" applyAlignment="1">
      <alignment horizontal="right" vertical="top"/>
    </xf>
    <xf numFmtId="49" fontId="76" fillId="0" borderId="26" xfId="0" applyNumberFormat="1" applyFont="1" applyBorder="1" applyAlignment="1">
      <alignment vertical="top"/>
    </xf>
    <xf numFmtId="169" fontId="73" fillId="0" borderId="37" xfId="0" applyNumberFormat="1" applyFont="1" applyBorder="1" applyAlignment="1">
      <alignment horizontal="right" vertical="top"/>
    </xf>
    <xf numFmtId="172" fontId="73" fillId="0" borderId="37" xfId="0" applyNumberFormat="1" applyFont="1" applyBorder="1" applyAlignment="1">
      <alignment horizontal="right" vertical="top"/>
    </xf>
    <xf numFmtId="169" fontId="73" fillId="0" borderId="8" xfId="0" applyNumberFormat="1" applyFont="1" applyBorder="1" applyAlignment="1">
      <alignment horizontal="right" vertical="top"/>
    </xf>
    <xf numFmtId="172" fontId="73" fillId="0" borderId="73" xfId="0" applyNumberFormat="1" applyFont="1" applyBorder="1" applyAlignment="1">
      <alignment horizontal="right" vertical="top"/>
    </xf>
    <xf numFmtId="49" fontId="73" fillId="0" borderId="26" xfId="0" applyNumberFormat="1" applyFont="1" applyBorder="1" applyAlignment="1">
      <alignment vertical="top"/>
    </xf>
    <xf numFmtId="184" fontId="73" fillId="0" borderId="37" xfId="0" applyNumberFormat="1" applyFont="1" applyBorder="1" applyAlignment="1">
      <alignment horizontal="right" vertical="center"/>
    </xf>
    <xf numFmtId="169" fontId="73" fillId="0" borderId="8" xfId="0" applyNumberFormat="1" applyFont="1" applyBorder="1" applyAlignment="1">
      <alignment horizontal="right" vertical="center"/>
    </xf>
    <xf numFmtId="184" fontId="73" fillId="0" borderId="73" xfId="0" applyNumberFormat="1" applyFont="1" applyBorder="1" applyAlignment="1">
      <alignment horizontal="right" vertical="center"/>
    </xf>
    <xf numFmtId="169" fontId="73" fillId="0" borderId="48" xfId="0" applyNumberFormat="1" applyFont="1" applyBorder="1" applyAlignment="1">
      <alignment horizontal="right" vertical="center"/>
    </xf>
    <xf numFmtId="184" fontId="73" fillId="0" borderId="21" xfId="0" applyNumberFormat="1" applyFont="1" applyBorder="1" applyAlignment="1">
      <alignment horizontal="right" vertical="center"/>
    </xf>
    <xf numFmtId="184" fontId="20" fillId="0" borderId="0" xfId="0" applyNumberFormat="1" applyFont="1"/>
    <xf numFmtId="49" fontId="73" fillId="0" borderId="74" xfId="0" applyNumberFormat="1" applyFont="1" applyBorder="1" applyAlignment="1">
      <alignment horizontal="right" vertical="top"/>
    </xf>
    <xf numFmtId="2" fontId="78" fillId="0" borderId="0" xfId="0" applyNumberFormat="1" applyFont="1"/>
    <xf numFmtId="0" fontId="78" fillId="0" borderId="0" xfId="0" applyFont="1"/>
    <xf numFmtId="166" fontId="78" fillId="0" borderId="0" xfId="0" applyNumberFormat="1" applyFont="1" applyAlignment="1">
      <alignment horizontal="right" vertical="top"/>
    </xf>
    <xf numFmtId="184" fontId="78" fillId="0" borderId="0" xfId="0" applyNumberFormat="1" applyFont="1"/>
    <xf numFmtId="176" fontId="75" fillId="0" borderId="0" xfId="1" applyNumberFormat="1" applyFont="1"/>
    <xf numFmtId="2" fontId="75" fillId="0" borderId="0" xfId="0" applyNumberFormat="1" applyFont="1"/>
    <xf numFmtId="164" fontId="75" fillId="0" borderId="0" xfId="1" applyFont="1"/>
    <xf numFmtId="166" fontId="80" fillId="0" borderId="0" xfId="0" applyNumberFormat="1" applyFont="1" applyAlignment="1">
      <alignment horizontal="right" vertical="top"/>
    </xf>
    <xf numFmtId="165" fontId="81" fillId="0" borderId="0" xfId="0" applyNumberFormat="1" applyFont="1"/>
    <xf numFmtId="49" fontId="76" fillId="0" borderId="0" xfId="0" applyNumberFormat="1" applyFont="1" applyAlignment="1">
      <alignment vertical="top"/>
    </xf>
    <xf numFmtId="166" fontId="77" fillId="0" borderId="0" xfId="0" applyNumberFormat="1" applyFont="1" applyAlignment="1">
      <alignment horizontal="right" vertical="top"/>
    </xf>
    <xf numFmtId="184" fontId="81" fillId="0" borderId="0" xfId="0" applyNumberFormat="1" applyFont="1"/>
    <xf numFmtId="184" fontId="39" fillId="12" borderId="0" xfId="0" applyNumberFormat="1" applyFont="1" applyFill="1"/>
    <xf numFmtId="166" fontId="82" fillId="4" borderId="0" xfId="0" applyNumberFormat="1" applyFont="1" applyFill="1" applyAlignment="1">
      <alignment horizontal="right" vertical="top"/>
    </xf>
    <xf numFmtId="184" fontId="79" fillId="12" borderId="0" xfId="0" applyNumberFormat="1" applyFont="1" applyFill="1"/>
    <xf numFmtId="164" fontId="78" fillId="13" borderId="0" xfId="1" applyFont="1" applyFill="1"/>
    <xf numFmtId="49" fontId="81" fillId="0" borderId="0" xfId="0" applyNumberFormat="1" applyFont="1" applyAlignment="1">
      <alignment horizontal="right"/>
    </xf>
    <xf numFmtId="164" fontId="20" fillId="0" borderId="0" xfId="1" applyFont="1"/>
    <xf numFmtId="0" fontId="20" fillId="0" borderId="4" xfId="0" applyFont="1" applyBorder="1"/>
    <xf numFmtId="2" fontId="20" fillId="0" borderId="4" xfId="0" applyNumberFormat="1" applyFont="1" applyBorder="1"/>
    <xf numFmtId="206" fontId="78" fillId="0" borderId="0" xfId="0" applyNumberFormat="1" applyFont="1"/>
    <xf numFmtId="187" fontId="20" fillId="0" borderId="0" xfId="0" applyNumberFormat="1" applyFont="1"/>
    <xf numFmtId="204" fontId="35" fillId="0" borderId="24" xfId="0" applyNumberFormat="1" applyFont="1" applyBorder="1"/>
    <xf numFmtId="204" fontId="35" fillId="0" borderId="217" xfId="0" applyNumberFormat="1" applyFont="1" applyBorder="1"/>
    <xf numFmtId="174" fontId="35" fillId="0" borderId="157" xfId="0" applyNumberFormat="1" applyFont="1" applyBorder="1"/>
    <xf numFmtId="174" fontId="59" fillId="0" borderId="126" xfId="0" applyNumberFormat="1" applyFont="1" applyBorder="1"/>
    <xf numFmtId="204" fontId="83" fillId="0" borderId="4" xfId="0" applyNumberFormat="1" applyFont="1" applyBorder="1"/>
    <xf numFmtId="204" fontId="35" fillId="0" borderId="18" xfId="0" applyNumberFormat="1" applyFont="1" applyBorder="1"/>
    <xf numFmtId="174" fontId="35" fillId="0" borderId="126" xfId="0" applyNumberFormat="1" applyFont="1" applyBorder="1"/>
    <xf numFmtId="174" fontId="35" fillId="0" borderId="127" xfId="0" applyNumberFormat="1" applyFont="1" applyBorder="1"/>
    <xf numFmtId="174" fontId="35" fillId="0" borderId="128" xfId="0" applyNumberFormat="1" applyFont="1" applyBorder="1"/>
    <xf numFmtId="174" fontId="35" fillId="0" borderId="164" xfId="0" applyNumberFormat="1" applyFont="1" applyBorder="1"/>
    <xf numFmtId="174" fontId="35" fillId="0" borderId="135" xfId="0" applyNumberFormat="1" applyFont="1" applyBorder="1"/>
    <xf numFmtId="204" fontId="35" fillId="0" borderId="236" xfId="0" applyNumberFormat="1" applyFont="1" applyBorder="1"/>
    <xf numFmtId="174" fontId="59" fillId="0" borderId="5" xfId="0" applyNumberFormat="1" applyFont="1" applyBorder="1"/>
    <xf numFmtId="174" fontId="35" fillId="0" borderId="37" xfId="0" applyNumberFormat="1" applyFont="1" applyBorder="1"/>
    <xf numFmtId="174" fontId="59" fillId="0" borderId="37" xfId="0" applyNumberFormat="1" applyFont="1" applyBorder="1"/>
    <xf numFmtId="204" fontId="83" fillId="0" borderId="37" xfId="0" applyNumberFormat="1" applyFont="1" applyBorder="1"/>
    <xf numFmtId="204" fontId="35" fillId="0" borderId="37" xfId="0" applyNumberFormat="1" applyFont="1" applyBorder="1"/>
    <xf numFmtId="204" fontId="0" fillId="0" borderId="37" xfId="0" applyNumberFormat="1" applyBorder="1"/>
    <xf numFmtId="2" fontId="0" fillId="0" borderId="37" xfId="0" applyNumberFormat="1" applyBorder="1"/>
    <xf numFmtId="174" fontId="28" fillId="0" borderId="27" xfId="0" applyNumberFormat="1" applyFont="1" applyBorder="1" applyAlignment="1">
      <alignment horizontal="right"/>
    </xf>
    <xf numFmtId="203" fontId="28" fillId="0" borderId="0" xfId="0" applyNumberFormat="1" applyFont="1"/>
    <xf numFmtId="0" fontId="3" fillId="0" borderId="1" xfId="0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174" fontId="28" fillId="0" borderId="5" xfId="0" applyNumberFormat="1" applyFont="1" applyBorder="1"/>
    <xf numFmtId="204" fontId="59" fillId="0" borderId="5" xfId="0" applyNumberFormat="1" applyFont="1" applyBorder="1"/>
    <xf numFmtId="174" fontId="28" fillId="0" borderId="3" xfId="0" applyNumberFormat="1" applyFont="1" applyBorder="1"/>
    <xf numFmtId="174" fontId="63" fillId="0" borderId="3" xfId="0" applyNumberFormat="1" applyFont="1" applyBorder="1"/>
    <xf numFmtId="204" fontId="84" fillId="0" borderId="3" xfId="0" applyNumberFormat="1" applyFont="1" applyBorder="1"/>
    <xf numFmtId="204" fontId="28" fillId="0" borderId="3" xfId="0" applyNumberFormat="1" applyFont="1" applyBorder="1"/>
    <xf numFmtId="0" fontId="3" fillId="0" borderId="63" xfId="0" applyFont="1" applyBorder="1"/>
    <xf numFmtId="174" fontId="5" fillId="0" borderId="63" xfId="0" applyNumberFormat="1" applyFont="1" applyBorder="1"/>
    <xf numFmtId="204" fontId="5" fillId="0" borderId="63" xfId="0" applyNumberFormat="1" applyFont="1" applyBorder="1"/>
    <xf numFmtId="2" fontId="5" fillId="0" borderId="63" xfId="0" applyNumberFormat="1" applyFont="1" applyBorder="1"/>
    <xf numFmtId="174" fontId="35" fillId="0" borderId="6" xfId="0" applyNumberFormat="1" applyFont="1" applyBorder="1"/>
    <xf numFmtId="174" fontId="5" fillId="0" borderId="7" xfId="0" applyNumberFormat="1" applyFont="1" applyBorder="1"/>
    <xf numFmtId="204" fontId="5" fillId="0" borderId="7" xfId="0" applyNumberFormat="1" applyFont="1" applyBorder="1"/>
    <xf numFmtId="204" fontId="59" fillId="0" borderId="51" xfId="0" applyNumberFormat="1" applyFont="1" applyBorder="1"/>
    <xf numFmtId="2" fontId="5" fillId="0" borderId="15" xfId="0" applyNumberFormat="1" applyFont="1" applyBorder="1"/>
    <xf numFmtId="2" fontId="5" fillId="0" borderId="56" xfId="0" applyNumberFormat="1" applyFont="1" applyBorder="1"/>
    <xf numFmtId="174" fontId="63" fillId="0" borderId="44" xfId="0" applyNumberFormat="1" applyFont="1" applyBorder="1"/>
    <xf numFmtId="174" fontId="59" fillId="0" borderId="50" xfId="0" applyNumberFormat="1" applyFont="1" applyBorder="1"/>
    <xf numFmtId="165" fontId="5" fillId="0" borderId="71" xfId="0" applyNumberFormat="1" applyFont="1" applyBorder="1"/>
    <xf numFmtId="174" fontId="5" fillId="0" borderId="72" xfId="0" applyNumberFormat="1" applyFont="1" applyBorder="1"/>
    <xf numFmtId="174" fontId="63" fillId="0" borderId="17" xfId="0" applyNumberFormat="1" applyFont="1" applyBorder="1"/>
    <xf numFmtId="174" fontId="59" fillId="0" borderId="10" xfId="0" applyNumberFormat="1" applyFont="1" applyBorder="1"/>
    <xf numFmtId="204" fontId="59" fillId="0" borderId="11" xfId="0" applyNumberFormat="1" applyFont="1" applyBorder="1"/>
    <xf numFmtId="2" fontId="5" fillId="0" borderId="14" xfId="0" applyNumberFormat="1" applyFont="1" applyBorder="1"/>
    <xf numFmtId="174" fontId="5" fillId="0" borderId="25" xfId="0" applyNumberFormat="1" applyFont="1" applyBorder="1"/>
    <xf numFmtId="2" fontId="5" fillId="0" borderId="47" xfId="0" applyNumberFormat="1" applyFont="1" applyBorder="1"/>
    <xf numFmtId="0" fontId="5" fillId="0" borderId="20" xfId="0" applyFont="1" applyBorder="1"/>
    <xf numFmtId="174" fontId="28" fillId="0" borderId="19" xfId="0" applyNumberFormat="1" applyFont="1" applyBorder="1"/>
    <xf numFmtId="174" fontId="28" fillId="0" borderId="51" xfId="0" applyNumberFormat="1" applyFont="1" applyBorder="1"/>
    <xf numFmtId="174" fontId="63" fillId="0" borderId="5" xfId="0" applyNumberFormat="1" applyFont="1" applyBorder="1"/>
    <xf numFmtId="204" fontId="84" fillId="0" borderId="5" xfId="0" applyNumberFormat="1" applyFont="1" applyBorder="1"/>
    <xf numFmtId="174" fontId="63" fillId="0" borderId="10" xfId="0" applyNumberFormat="1" applyFont="1" applyBorder="1"/>
    <xf numFmtId="174" fontId="63" fillId="0" borderId="50" xfId="0" applyNumberFormat="1" applyFont="1" applyBorder="1"/>
    <xf numFmtId="204" fontId="28" fillId="0" borderId="5" xfId="0" applyNumberFormat="1" applyFont="1" applyBorder="1"/>
    <xf numFmtId="174" fontId="5" fillId="0" borderId="6" xfId="0" applyNumberFormat="1" applyFont="1" applyBorder="1"/>
    <xf numFmtId="164" fontId="5" fillId="0" borderId="0" xfId="1" applyFont="1" applyFill="1" applyBorder="1"/>
    <xf numFmtId="164" fontId="3" fillId="0" borderId="0" xfId="1" applyFont="1" applyFill="1" applyBorder="1"/>
    <xf numFmtId="164" fontId="5" fillId="0" borderId="0" xfId="1" applyFont="1" applyBorder="1"/>
    <xf numFmtId="174" fontId="28" fillId="0" borderId="28" xfId="0" applyNumberFormat="1" applyFont="1" applyBorder="1"/>
    <xf numFmtId="174" fontId="63" fillId="0" borderId="28" xfId="0" applyNumberFormat="1" applyFont="1" applyBorder="1"/>
    <xf numFmtId="174" fontId="28" fillId="0" borderId="54" xfId="0" applyNumberFormat="1" applyFont="1" applyBorder="1"/>
    <xf numFmtId="204" fontId="63" fillId="0" borderId="28" xfId="0" applyNumberFormat="1" applyFont="1" applyBorder="1"/>
    <xf numFmtId="0" fontId="33" fillId="18" borderId="8" xfId="0" applyFont="1" applyFill="1" applyBorder="1" applyAlignment="1">
      <alignment horizontal="left" vertical="center" wrapText="1"/>
    </xf>
    <xf numFmtId="0" fontId="33" fillId="0" borderId="79" xfId="0" applyFont="1" applyBorder="1" applyAlignment="1">
      <alignment horizontal="left" vertical="center" wrapText="1"/>
    </xf>
    <xf numFmtId="174" fontId="33" fillId="0" borderId="79" xfId="0" applyNumberFormat="1" applyFont="1" applyBorder="1" applyAlignment="1">
      <alignment horizontal="right" vertical="center"/>
    </xf>
    <xf numFmtId="204" fontId="33" fillId="0" borderId="79" xfId="0" applyNumberFormat="1" applyFont="1" applyBorder="1" applyAlignment="1">
      <alignment horizontal="right" vertical="center"/>
    </xf>
    <xf numFmtId="204" fontId="35" fillId="0" borderId="79" xfId="0" applyNumberFormat="1" applyFont="1" applyBorder="1"/>
    <xf numFmtId="174" fontId="43" fillId="0" borderId="130" xfId="0" applyNumberFormat="1" applyFont="1" applyBorder="1"/>
    <xf numFmtId="204" fontId="43" fillId="0" borderId="124" xfId="0" applyNumberFormat="1" applyFont="1" applyBorder="1"/>
    <xf numFmtId="174" fontId="34" fillId="18" borderId="27" xfId="0" applyNumberFormat="1" applyFont="1" applyFill="1" applyBorder="1"/>
    <xf numFmtId="165" fontId="34" fillId="0" borderId="27" xfId="3" applyNumberFormat="1" applyFont="1" applyFill="1" applyBorder="1"/>
    <xf numFmtId="204" fontId="34" fillId="0" borderId="0" xfId="3" applyNumberFormat="1" applyFont="1" applyFill="1" applyBorder="1"/>
    <xf numFmtId="165" fontId="34" fillId="0" borderId="94" xfId="3" applyNumberFormat="1" applyFont="1" applyFill="1" applyBorder="1"/>
    <xf numFmtId="165" fontId="34" fillId="0" borderId="0" xfId="3" applyNumberFormat="1" applyFont="1" applyFill="1" applyBorder="1"/>
    <xf numFmtId="165" fontId="34" fillId="0" borderId="0" xfId="3" applyNumberFormat="1" applyFont="1" applyBorder="1"/>
    <xf numFmtId="165" fontId="34" fillId="0" borderId="27" xfId="3" applyNumberFormat="1" applyFont="1" applyBorder="1"/>
    <xf numFmtId="165" fontId="34" fillId="0" borderId="94" xfId="3" applyNumberFormat="1" applyFont="1" applyBorder="1"/>
    <xf numFmtId="2" fontId="34" fillId="0" borderId="0" xfId="3" applyNumberFormat="1" applyFont="1" applyFill="1" applyBorder="1"/>
    <xf numFmtId="2" fontId="34" fillId="0" borderId="27" xfId="3" applyNumberFormat="1" applyFont="1" applyBorder="1"/>
    <xf numFmtId="2" fontId="34" fillId="0" borderId="0" xfId="3" applyNumberFormat="1" applyFont="1" applyBorder="1"/>
    <xf numFmtId="2" fontId="34" fillId="0" borderId="94" xfId="3" applyNumberFormat="1" applyFont="1" applyBorder="1"/>
    <xf numFmtId="2" fontId="34" fillId="4" borderId="27" xfId="3" applyNumberFormat="1" applyFont="1" applyFill="1" applyBorder="1"/>
    <xf numFmtId="190" fontId="34" fillId="4" borderId="54" xfId="3" applyNumberFormat="1" applyFont="1" applyFill="1" applyBorder="1"/>
    <xf numFmtId="2" fontId="34" fillId="4" borderId="30" xfId="3" applyNumberFormat="1" applyFont="1" applyFill="1" applyBorder="1"/>
    <xf numFmtId="174" fontId="64" fillId="0" borderId="4" xfId="0" applyNumberFormat="1" applyFont="1" applyBorder="1" applyAlignment="1">
      <alignment horizontal="right" vertical="center"/>
    </xf>
    <xf numFmtId="204" fontId="64" fillId="0" borderId="4" xfId="0" applyNumberFormat="1" applyFont="1" applyBorder="1" applyAlignment="1">
      <alignment horizontal="right" vertical="center"/>
    </xf>
    <xf numFmtId="179" fontId="33" fillId="0" borderId="79" xfId="0" applyNumberFormat="1" applyFont="1" applyBorder="1" applyAlignment="1">
      <alignment horizontal="right" vertical="center"/>
    </xf>
    <xf numFmtId="178" fontId="33" fillId="0" borderId="79" xfId="0" applyNumberFormat="1" applyFont="1" applyBorder="1" applyAlignment="1">
      <alignment horizontal="right" vertical="center"/>
    </xf>
    <xf numFmtId="166" fontId="33" fillId="0" borderId="79" xfId="0" applyNumberFormat="1" applyFont="1" applyBorder="1" applyAlignment="1">
      <alignment horizontal="right" vertical="center"/>
    </xf>
    <xf numFmtId="166" fontId="35" fillId="0" borderId="79" xfId="0" applyNumberFormat="1" applyFont="1" applyBorder="1"/>
    <xf numFmtId="174" fontId="28" fillId="0" borderId="65" xfId="0" applyNumberFormat="1" applyFont="1" applyBorder="1"/>
    <xf numFmtId="174" fontId="28" fillId="0" borderId="1" xfId="0" applyNumberFormat="1" applyFont="1" applyBorder="1"/>
    <xf numFmtId="204" fontId="28" fillId="0" borderId="1" xfId="0" applyNumberFormat="1" applyFont="1" applyBorder="1"/>
    <xf numFmtId="165" fontId="0" fillId="0" borderId="2" xfId="0" applyNumberFormat="1" applyBorder="1"/>
    <xf numFmtId="204" fontId="28" fillId="0" borderId="63" xfId="0" applyNumberFormat="1" applyFont="1" applyBorder="1"/>
    <xf numFmtId="165" fontId="0" fillId="0" borderId="7" xfId="0" applyNumberFormat="1" applyBorder="1"/>
    <xf numFmtId="204" fontId="28" fillId="0" borderId="7" xfId="0" applyNumberFormat="1" applyFont="1" applyBorder="1"/>
    <xf numFmtId="204" fontId="28" fillId="4" borderId="0" xfId="0" applyNumberFormat="1" applyFont="1" applyFill="1"/>
    <xf numFmtId="164" fontId="84" fillId="0" borderId="5" xfId="1" applyFont="1" applyBorder="1"/>
    <xf numFmtId="164" fontId="63" fillId="0" borderId="28" xfId="1" applyFont="1" applyBorder="1"/>
    <xf numFmtId="164" fontId="84" fillId="0" borderId="3" xfId="1" applyFont="1" applyBorder="1"/>
    <xf numFmtId="164" fontId="59" fillId="0" borderId="5" xfId="1" applyFont="1" applyBorder="1"/>
    <xf numFmtId="164" fontId="5" fillId="0" borderId="63" xfId="1" applyFont="1" applyBorder="1"/>
    <xf numFmtId="176" fontId="0" fillId="0" borderId="0" xfId="0" applyNumberFormat="1"/>
    <xf numFmtId="176" fontId="0" fillId="0" borderId="1" xfId="1" applyNumberFormat="1" applyFont="1" applyBorder="1"/>
    <xf numFmtId="164" fontId="3" fillId="0" borderId="1" xfId="1" applyFont="1" applyBorder="1"/>
    <xf numFmtId="164" fontId="0" fillId="0" borderId="2" xfId="1" applyFont="1" applyBorder="1"/>
    <xf numFmtId="164" fontId="0" fillId="0" borderId="14" xfId="1" applyFont="1" applyBorder="1"/>
    <xf numFmtId="176" fontId="0" fillId="0" borderId="3" xfId="1" applyNumberFormat="1" applyFont="1" applyBorder="1"/>
    <xf numFmtId="164" fontId="0" fillId="0" borderId="18" xfId="1" applyFont="1" applyBorder="1"/>
    <xf numFmtId="176" fontId="0" fillId="0" borderId="5" xfId="1" applyNumberFormat="1" applyFont="1" applyBorder="1"/>
    <xf numFmtId="176" fontId="3" fillId="0" borderId="3" xfId="1" applyNumberFormat="1" applyFont="1" applyBorder="1"/>
    <xf numFmtId="164" fontId="5" fillId="3" borderId="5" xfId="1" applyFont="1" applyFill="1" applyBorder="1"/>
    <xf numFmtId="164" fontId="0" fillId="3" borderId="7" xfId="1" applyFont="1" applyFill="1" applyBorder="1"/>
    <xf numFmtId="164" fontId="0" fillId="3" borderId="21" xfId="1" applyFont="1" applyFill="1" applyBorder="1"/>
    <xf numFmtId="164" fontId="5" fillId="0" borderId="21" xfId="1" applyFont="1" applyBorder="1"/>
    <xf numFmtId="176" fontId="0" fillId="0" borderId="0" xfId="1" applyNumberFormat="1" applyFont="1" applyBorder="1"/>
    <xf numFmtId="164" fontId="0" fillId="0" borderId="24" xfId="1" applyFont="1" applyBorder="1"/>
    <xf numFmtId="164" fontId="0" fillId="0" borderId="47" xfId="1" applyFont="1" applyBorder="1"/>
    <xf numFmtId="0" fontId="3" fillId="3" borderId="9" xfId="0" applyFont="1" applyFill="1" applyBorder="1"/>
    <xf numFmtId="0" fontId="3" fillId="3" borderId="8" xfId="0" applyFont="1" applyFill="1" applyBorder="1"/>
    <xf numFmtId="176" fontId="0" fillId="0" borderId="10" xfId="1" applyNumberFormat="1" applyFont="1" applyBorder="1"/>
    <xf numFmtId="176" fontId="0" fillId="0" borderId="13" xfId="1" applyNumberFormat="1" applyFont="1" applyBorder="1"/>
    <xf numFmtId="176" fontId="0" fillId="0" borderId="17" xfId="1" applyNumberFormat="1" applyFont="1" applyBorder="1"/>
    <xf numFmtId="176" fontId="5" fillId="3" borderId="10" xfId="1" applyNumberFormat="1" applyFont="1" applyFill="1" applyBorder="1"/>
    <xf numFmtId="176" fontId="3" fillId="0" borderId="17" xfId="1" applyNumberFormat="1" applyFont="1" applyBorder="1"/>
    <xf numFmtId="176" fontId="0" fillId="3" borderId="6" xfId="1" applyNumberFormat="1" applyFont="1" applyFill="1" applyBorder="1"/>
    <xf numFmtId="208" fontId="0" fillId="3" borderId="57" xfId="1" applyNumberFormat="1" applyFont="1" applyFill="1" applyBorder="1"/>
    <xf numFmtId="164" fontId="0" fillId="0" borderId="51" xfId="0" applyNumberFormat="1" applyBorder="1"/>
    <xf numFmtId="164" fontId="0" fillId="0" borderId="15" xfId="1" applyFont="1" applyBorder="1"/>
    <xf numFmtId="164" fontId="0" fillId="0" borderId="19" xfId="1" applyFont="1" applyBorder="1"/>
    <xf numFmtId="164" fontId="0" fillId="3" borderId="20" xfId="1" applyFont="1" applyFill="1" applyBorder="1"/>
    <xf numFmtId="164" fontId="0" fillId="3" borderId="58" xfId="1" applyFont="1" applyFill="1" applyBorder="1"/>
    <xf numFmtId="164" fontId="5" fillId="0" borderId="20" xfId="1" applyFont="1" applyBorder="1"/>
    <xf numFmtId="0" fontId="0" fillId="0" borderId="71" xfId="0" applyBorder="1"/>
    <xf numFmtId="0" fontId="0" fillId="3" borderId="50" xfId="0" applyFill="1" applyBorder="1"/>
    <xf numFmtId="0" fontId="5" fillId="0" borderId="70" xfId="0" applyFont="1" applyBorder="1"/>
    <xf numFmtId="164" fontId="0" fillId="0" borderId="42" xfId="1" applyFont="1" applyBorder="1"/>
    <xf numFmtId="164" fontId="0" fillId="0" borderId="56" xfId="1" applyFont="1" applyBorder="1"/>
    <xf numFmtId="0" fontId="0" fillId="0" borderId="72" xfId="0" applyBorder="1"/>
    <xf numFmtId="164" fontId="0" fillId="0" borderId="23" xfId="1" applyFont="1" applyBorder="1"/>
    <xf numFmtId="164" fontId="0" fillId="0" borderId="71" xfId="1" applyFont="1" applyBorder="1"/>
    <xf numFmtId="164" fontId="0" fillId="0" borderId="72" xfId="1" applyFont="1" applyBorder="1"/>
    <xf numFmtId="164" fontId="0" fillId="0" borderId="22" xfId="1" applyFont="1" applyBorder="1"/>
    <xf numFmtId="164" fontId="0" fillId="0" borderId="13" xfId="1" applyFont="1" applyBorder="1"/>
    <xf numFmtId="164" fontId="0" fillId="0" borderId="25" xfId="1" applyFont="1" applyBorder="1"/>
    <xf numFmtId="164" fontId="5" fillId="0" borderId="6" xfId="1" applyFont="1" applyBorder="1"/>
    <xf numFmtId="164" fontId="5" fillId="0" borderId="21" xfId="0" applyNumberFormat="1" applyFont="1" applyBorder="1"/>
    <xf numFmtId="164" fontId="5" fillId="0" borderId="20" xfId="0" applyNumberFormat="1" applyFont="1" applyBorder="1"/>
    <xf numFmtId="164" fontId="0" fillId="3" borderId="47" xfId="1" applyFont="1" applyFill="1" applyBorder="1"/>
    <xf numFmtId="0" fontId="0" fillId="3" borderId="25" xfId="0" applyFill="1" applyBorder="1"/>
    <xf numFmtId="0" fontId="0" fillId="3" borderId="72" xfId="0" applyFill="1" applyBorder="1"/>
    <xf numFmtId="164" fontId="0" fillId="3" borderId="56" xfId="1" applyFont="1" applyFill="1" applyBorder="1"/>
    <xf numFmtId="164" fontId="0" fillId="3" borderId="25" xfId="1" applyFont="1" applyFill="1" applyBorder="1"/>
    <xf numFmtId="164" fontId="0" fillId="3" borderId="11" xfId="1" applyFont="1" applyFill="1" applyBorder="1"/>
    <xf numFmtId="164" fontId="0" fillId="3" borderId="51" xfId="1" applyFont="1" applyFill="1" applyBorder="1"/>
    <xf numFmtId="164" fontId="0" fillId="3" borderId="10" xfId="1" applyFont="1" applyFill="1" applyBorder="1"/>
    <xf numFmtId="164" fontId="0" fillId="0" borderId="12" xfId="1" applyFont="1" applyBorder="1"/>
    <xf numFmtId="164" fontId="5" fillId="0" borderId="8" xfId="1" applyFont="1" applyBorder="1"/>
    <xf numFmtId="164" fontId="5" fillId="0" borderId="73" xfId="1" applyFont="1" applyBorder="1"/>
    <xf numFmtId="164" fontId="0" fillId="0" borderId="35" xfId="1" applyFont="1" applyBorder="1"/>
    <xf numFmtId="164" fontId="0" fillId="0" borderId="46" xfId="1" applyFont="1" applyBorder="1"/>
    <xf numFmtId="164" fontId="0" fillId="3" borderId="9" xfId="1" applyFont="1" applyFill="1" applyBorder="1"/>
    <xf numFmtId="164" fontId="0" fillId="3" borderId="46" xfId="1" applyFont="1" applyFill="1" applyBorder="1"/>
    <xf numFmtId="164" fontId="5" fillId="0" borderId="8" xfId="0" applyNumberFormat="1" applyFont="1" applyBorder="1"/>
    <xf numFmtId="164" fontId="0" fillId="3" borderId="18" xfId="1" applyFont="1" applyFill="1" applyBorder="1"/>
    <xf numFmtId="0" fontId="0" fillId="3" borderId="51" xfId="0" applyFill="1" applyBorder="1"/>
    <xf numFmtId="0" fontId="0" fillId="3" borderId="56" xfId="0" applyFill="1" applyBorder="1"/>
    <xf numFmtId="176" fontId="0" fillId="0" borderId="9" xfId="1" applyNumberFormat="1" applyFont="1" applyBorder="1"/>
    <xf numFmtId="176" fontId="0" fillId="0" borderId="12" xfId="1" applyNumberFormat="1" applyFont="1" applyBorder="1"/>
    <xf numFmtId="176" fontId="0" fillId="0" borderId="16" xfId="1" applyNumberFormat="1" applyFont="1" applyBorder="1"/>
    <xf numFmtId="176" fontId="5" fillId="3" borderId="9" xfId="1" applyNumberFormat="1" applyFont="1" applyFill="1" applyBorder="1"/>
    <xf numFmtId="164" fontId="0" fillId="3" borderId="5" xfId="1" applyFont="1" applyFill="1" applyBorder="1"/>
    <xf numFmtId="0" fontId="5" fillId="3" borderId="35" xfId="0" applyFont="1" applyFill="1" applyBorder="1"/>
    <xf numFmtId="176" fontId="5" fillId="3" borderId="35" xfId="1" applyNumberFormat="1" applyFont="1" applyFill="1" applyBorder="1"/>
    <xf numFmtId="164" fontId="5" fillId="3" borderId="2" xfId="1" applyFont="1" applyFill="1" applyBorder="1"/>
    <xf numFmtId="164" fontId="5" fillId="3" borderId="35" xfId="1" applyFont="1" applyFill="1" applyBorder="1"/>
    <xf numFmtId="164" fontId="5" fillId="3" borderId="24" xfId="1" applyFont="1" applyFill="1" applyBorder="1"/>
    <xf numFmtId="175" fontId="7" fillId="0" borderId="0" xfId="1" applyNumberFormat="1" applyFont="1" applyAlignment="1"/>
    <xf numFmtId="165" fontId="0" fillId="3" borderId="37" xfId="0" applyNumberFormat="1" applyFill="1" applyBorder="1"/>
    <xf numFmtId="164" fontId="0" fillId="3" borderId="37" xfId="1" applyFont="1" applyFill="1" applyBorder="1"/>
    <xf numFmtId="165" fontId="0" fillId="3" borderId="8" xfId="0" applyNumberFormat="1" applyFill="1" applyBorder="1"/>
    <xf numFmtId="165" fontId="0" fillId="0" borderId="35" xfId="0" applyNumberFormat="1" applyBorder="1"/>
    <xf numFmtId="174" fontId="0" fillId="0" borderId="12" xfId="0" applyNumberFormat="1" applyBorder="1"/>
    <xf numFmtId="174" fontId="0" fillId="0" borderId="46" xfId="0" applyNumberFormat="1" applyBorder="1"/>
    <xf numFmtId="164" fontId="0" fillId="0" borderId="20" xfId="1" applyFont="1" applyBorder="1"/>
    <xf numFmtId="2" fontId="0" fillId="3" borderId="21" xfId="0" applyNumberFormat="1" applyFill="1" applyBorder="1"/>
    <xf numFmtId="164" fontId="5" fillId="3" borderId="51" xfId="1" applyFont="1" applyFill="1" applyBorder="1"/>
    <xf numFmtId="176" fontId="3" fillId="0" borderId="16" xfId="1" applyNumberFormat="1" applyFont="1" applyBorder="1"/>
    <xf numFmtId="176" fontId="0" fillId="3" borderId="8" xfId="1" applyNumberFormat="1" applyFont="1" applyFill="1" applyBorder="1"/>
    <xf numFmtId="208" fontId="0" fillId="3" borderId="48" xfId="1" applyNumberFormat="1" applyFont="1" applyFill="1" applyBorder="1"/>
    <xf numFmtId="176" fontId="5" fillId="0" borderId="8" xfId="1" applyNumberFormat="1" applyFont="1" applyBorder="1"/>
    <xf numFmtId="164" fontId="0" fillId="0" borderId="11" xfId="1" applyFont="1" applyBorder="1"/>
    <xf numFmtId="165" fontId="0" fillId="0" borderId="65" xfId="0" applyNumberFormat="1" applyBorder="1"/>
    <xf numFmtId="0" fontId="0" fillId="3" borderId="35" xfId="0" applyFill="1" applyBorder="1"/>
    <xf numFmtId="0" fontId="0" fillId="3" borderId="16" xfId="0" applyFill="1" applyBorder="1"/>
    <xf numFmtId="165" fontId="0" fillId="3" borderId="2" xfId="0" applyNumberFormat="1" applyFill="1" applyBorder="1"/>
    <xf numFmtId="165" fontId="0" fillId="3" borderId="3" xfId="0" applyNumberFormat="1" applyFill="1" applyBorder="1"/>
    <xf numFmtId="2" fontId="0" fillId="3" borderId="24" xfId="0" applyNumberFormat="1" applyFill="1" applyBorder="1"/>
    <xf numFmtId="2" fontId="0" fillId="3" borderId="18" xfId="0" applyNumberFormat="1" applyFill="1" applyBorder="1"/>
    <xf numFmtId="2" fontId="5" fillId="0" borderId="38" xfId="0" applyNumberFormat="1" applyFont="1" applyBorder="1"/>
    <xf numFmtId="164" fontId="0" fillId="3" borderId="42" xfId="1" applyFont="1" applyFill="1" applyBorder="1"/>
    <xf numFmtId="164" fontId="0" fillId="3" borderId="19" xfId="1" applyFont="1" applyFill="1" applyBorder="1"/>
    <xf numFmtId="164" fontId="5" fillId="0" borderId="58" xfId="1" applyFont="1" applyBorder="1"/>
    <xf numFmtId="2" fontId="0" fillId="0" borderId="49" xfId="0" applyNumberFormat="1" applyBorder="1"/>
    <xf numFmtId="0" fontId="3" fillId="0" borderId="43" xfId="0" applyFont="1" applyBorder="1"/>
    <xf numFmtId="0" fontId="5" fillId="0" borderId="26" xfId="0" applyFont="1" applyBorder="1" applyAlignment="1">
      <alignment horizontal="right"/>
    </xf>
    <xf numFmtId="0" fontId="5" fillId="3" borderId="26" xfId="0" applyFont="1" applyFill="1" applyBorder="1" applyAlignment="1">
      <alignment horizontal="right"/>
    </xf>
    <xf numFmtId="0" fontId="0" fillId="3" borderId="21" xfId="0" applyFill="1" applyBorder="1"/>
    <xf numFmtId="165" fontId="0" fillId="0" borderId="20" xfId="0" applyNumberFormat="1" applyBorder="1"/>
    <xf numFmtId="206" fontId="0" fillId="0" borderId="0" xfId="0" applyNumberFormat="1"/>
    <xf numFmtId="204" fontId="28" fillId="0" borderId="20" xfId="0" applyNumberFormat="1" applyFont="1" applyBorder="1"/>
    <xf numFmtId="176" fontId="3" fillId="3" borderId="9" xfId="1" applyNumberFormat="1" applyFont="1" applyFill="1" applyBorder="1"/>
    <xf numFmtId="164" fontId="3" fillId="3" borderId="5" xfId="1" applyFont="1" applyFill="1" applyBorder="1"/>
    <xf numFmtId="49" fontId="36" fillId="0" borderId="90" xfId="0" applyNumberFormat="1" applyFont="1" applyBorder="1" applyAlignment="1">
      <alignment vertical="top"/>
    </xf>
    <xf numFmtId="164" fontId="0" fillId="3" borderId="28" xfId="1" applyFont="1" applyFill="1" applyBorder="1"/>
    <xf numFmtId="164" fontId="0" fillId="3" borderId="30" xfId="1" applyFont="1" applyFill="1" applyBorder="1"/>
    <xf numFmtId="0" fontId="3" fillId="3" borderId="48" xfId="0" applyFont="1" applyFill="1" applyBorder="1" applyAlignment="1">
      <alignment vertical="top"/>
    </xf>
    <xf numFmtId="0" fontId="3" fillId="3" borderId="43" xfId="0" applyFont="1" applyFill="1" applyBorder="1" applyAlignment="1">
      <alignment vertical="top"/>
    </xf>
    <xf numFmtId="208" fontId="0" fillId="3" borderId="35" xfId="1" applyNumberFormat="1" applyFont="1" applyFill="1" applyBorder="1"/>
    <xf numFmtId="206" fontId="0" fillId="3" borderId="2" xfId="1" applyNumberFormat="1" applyFont="1" applyFill="1" applyBorder="1"/>
    <xf numFmtId="164" fontId="0" fillId="3" borderId="2" xfId="1" applyFont="1" applyFill="1" applyBorder="1"/>
    <xf numFmtId="208" fontId="0" fillId="3" borderId="22" xfId="1" applyNumberFormat="1" applyFont="1" applyFill="1" applyBorder="1"/>
    <xf numFmtId="164" fontId="0" fillId="3" borderId="24" xfId="1" applyFont="1" applyFill="1" applyBorder="1"/>
    <xf numFmtId="0" fontId="3" fillId="3" borderId="41" xfId="0" applyFont="1" applyFill="1" applyBorder="1" applyAlignment="1">
      <alignment vertical="top"/>
    </xf>
    <xf numFmtId="164" fontId="0" fillId="3" borderId="3" xfId="1" applyFont="1" applyFill="1" applyBorder="1"/>
    <xf numFmtId="208" fontId="0" fillId="3" borderId="17" xfId="1" applyNumberFormat="1" applyFont="1" applyFill="1" applyBorder="1"/>
    <xf numFmtId="164" fontId="0" fillId="3" borderId="16" xfId="1" applyFont="1" applyFill="1" applyBorder="1"/>
    <xf numFmtId="164" fontId="0" fillId="0" borderId="2" xfId="1" applyFont="1" applyFill="1" applyBorder="1"/>
    <xf numFmtId="164" fontId="0" fillId="0" borderId="1" xfId="1" applyFont="1" applyFill="1" applyBorder="1"/>
    <xf numFmtId="164" fontId="0" fillId="0" borderId="63" xfId="1" applyFont="1" applyFill="1" applyBorder="1"/>
    <xf numFmtId="164" fontId="0" fillId="0" borderId="15" xfId="1" applyFont="1" applyFill="1" applyBorder="1"/>
    <xf numFmtId="164" fontId="3" fillId="0" borderId="15" xfId="1" applyFont="1" applyFill="1" applyBorder="1"/>
    <xf numFmtId="164" fontId="0" fillId="0" borderId="19" xfId="1" applyFont="1" applyFill="1" applyBorder="1"/>
    <xf numFmtId="164" fontId="0" fillId="0" borderId="24" xfId="1" applyFont="1" applyFill="1" applyBorder="1"/>
    <xf numFmtId="164" fontId="0" fillId="0" borderId="14" xfId="1" applyFont="1" applyFill="1" applyBorder="1"/>
    <xf numFmtId="164" fontId="0" fillId="0" borderId="47" xfId="1" applyFont="1" applyFill="1" applyBorder="1"/>
    <xf numFmtId="165" fontId="3" fillId="0" borderId="4" xfId="0" applyNumberFormat="1" applyFont="1" applyBorder="1"/>
    <xf numFmtId="177" fontId="0" fillId="0" borderId="0" xfId="1" applyNumberFormat="1" applyFont="1" applyBorder="1"/>
    <xf numFmtId="175" fontId="0" fillId="0" borderId="0" xfId="1" applyNumberFormat="1" applyFont="1" applyBorder="1"/>
    <xf numFmtId="177" fontId="37" fillId="0" borderId="0" xfId="1" applyNumberFormat="1" applyFont="1" applyBorder="1"/>
    <xf numFmtId="211" fontId="37" fillId="0" borderId="7" xfId="0" applyNumberFormat="1" applyFont="1" applyBorder="1" applyAlignment="1">
      <alignment horizontal="center"/>
    </xf>
    <xf numFmtId="211" fontId="37" fillId="0" borderId="21" xfId="0" applyNumberFormat="1" applyFont="1" applyBorder="1" applyAlignment="1">
      <alignment horizontal="center"/>
    </xf>
    <xf numFmtId="198" fontId="0" fillId="0" borderId="5" xfId="3" applyNumberFormat="1" applyFont="1" applyBorder="1" applyAlignment="1">
      <alignment horizontal="right"/>
    </xf>
    <xf numFmtId="198" fontId="0" fillId="0" borderId="11" xfId="3" applyNumberFormat="1" applyFont="1" applyBorder="1" applyAlignment="1">
      <alignment horizontal="right"/>
    </xf>
    <xf numFmtId="1" fontId="0" fillId="0" borderId="5" xfId="0" applyNumberFormat="1" applyBorder="1"/>
    <xf numFmtId="1" fontId="0" fillId="0" borderId="11" xfId="0" applyNumberFormat="1" applyBorder="1"/>
    <xf numFmtId="1" fontId="0" fillId="0" borderId="1" xfId="0" applyNumberFormat="1" applyBorder="1"/>
    <xf numFmtId="1" fontId="0" fillId="0" borderId="14" xfId="0" applyNumberFormat="1" applyBorder="1"/>
    <xf numFmtId="165" fontId="0" fillId="0" borderId="14" xfId="0" applyNumberFormat="1" applyBorder="1"/>
    <xf numFmtId="212" fontId="0" fillId="0" borderId="1" xfId="0" applyNumberFormat="1" applyBorder="1"/>
    <xf numFmtId="212" fontId="0" fillId="0" borderId="14" xfId="0" applyNumberFormat="1" applyBorder="1"/>
    <xf numFmtId="212" fontId="0" fillId="0" borderId="63" xfId="0" applyNumberFormat="1" applyBorder="1"/>
    <xf numFmtId="212" fontId="0" fillId="0" borderId="47" xfId="0" applyNumberFormat="1" applyBorder="1"/>
    <xf numFmtId="212" fontId="0" fillId="0" borderId="5" xfId="0" applyNumberFormat="1" applyBorder="1"/>
    <xf numFmtId="212" fontId="0" fillId="0" borderId="11" xfId="0" applyNumberFormat="1" applyBorder="1"/>
    <xf numFmtId="177" fontId="0" fillId="0" borderId="3" xfId="1" applyNumberFormat="1" applyFont="1" applyBorder="1"/>
    <xf numFmtId="177" fontId="0" fillId="0" borderId="18" xfId="1" applyNumberFormat="1" applyFont="1" applyBorder="1"/>
    <xf numFmtId="211" fontId="37" fillId="0" borderId="20" xfId="0" applyNumberFormat="1" applyFont="1" applyBorder="1" applyAlignment="1">
      <alignment horizontal="center"/>
    </xf>
    <xf numFmtId="211" fontId="23" fillId="0" borderId="0" xfId="0" applyNumberFormat="1" applyFont="1" applyAlignment="1">
      <alignment vertical="top"/>
    </xf>
    <xf numFmtId="211" fontId="0" fillId="0" borderId="0" xfId="0" applyNumberFormat="1"/>
    <xf numFmtId="49" fontId="30" fillId="0" borderId="6" xfId="0" applyNumberFormat="1" applyFont="1" applyBorder="1" applyAlignment="1">
      <alignment horizontal="right" vertical="top" indent="2"/>
    </xf>
    <xf numFmtId="49" fontId="85" fillId="0" borderId="0" xfId="0" applyNumberFormat="1" applyFont="1" applyAlignment="1">
      <alignment vertical="top"/>
    </xf>
    <xf numFmtId="49" fontId="30" fillId="0" borderId="22" xfId="0" applyNumberFormat="1" applyFont="1" applyBorder="1" applyAlignment="1">
      <alignment vertical="top"/>
    </xf>
    <xf numFmtId="49" fontId="31" fillId="0" borderId="13" xfId="0" applyNumberFormat="1" applyFont="1" applyBorder="1" applyAlignment="1">
      <alignment horizontal="left" vertical="top" indent="2"/>
    </xf>
    <xf numFmtId="49" fontId="31" fillId="0" borderId="13" xfId="0" applyNumberFormat="1" applyFont="1" applyBorder="1" applyAlignment="1">
      <alignment horizontal="left" vertical="top" indent="1"/>
    </xf>
    <xf numFmtId="49" fontId="31" fillId="0" borderId="25" xfId="0" applyNumberFormat="1" applyFont="1" applyBorder="1" applyAlignment="1">
      <alignment horizontal="left" vertical="top" indent="1"/>
    </xf>
    <xf numFmtId="212" fontId="0" fillId="0" borderId="0" xfId="1" applyNumberFormat="1" applyFont="1"/>
    <xf numFmtId="0" fontId="37" fillId="0" borderId="22" xfId="0" applyFont="1" applyBorder="1"/>
    <xf numFmtId="212" fontId="0" fillId="0" borderId="2" xfId="1" applyNumberFormat="1" applyFont="1" applyBorder="1"/>
    <xf numFmtId="0" fontId="37" fillId="0" borderId="25" xfId="0" applyFont="1" applyBorder="1"/>
    <xf numFmtId="212" fontId="0" fillId="0" borderId="63" xfId="1" applyNumberFormat="1" applyFont="1" applyBorder="1"/>
    <xf numFmtId="0" fontId="37" fillId="0" borderId="6" xfId="0" applyFont="1" applyBorder="1"/>
    <xf numFmtId="212" fontId="37" fillId="0" borderId="7" xfId="1" applyNumberFormat="1" applyFont="1" applyBorder="1"/>
    <xf numFmtId="0" fontId="37" fillId="0" borderId="10" xfId="0" applyFont="1" applyBorder="1"/>
    <xf numFmtId="212" fontId="0" fillId="0" borderId="5" xfId="1" applyNumberFormat="1" applyFont="1" applyBorder="1"/>
    <xf numFmtId="212" fontId="0" fillId="0" borderId="37" xfId="1" applyNumberFormat="1" applyFont="1" applyBorder="1"/>
    <xf numFmtId="0" fontId="37" fillId="0" borderId="57" xfId="0" applyFont="1" applyBorder="1"/>
    <xf numFmtId="212" fontId="37" fillId="0" borderId="65" xfId="1" applyNumberFormat="1" applyFont="1" applyBorder="1"/>
    <xf numFmtId="49" fontId="36" fillId="0" borderId="6" xfId="0" applyNumberFormat="1" applyFont="1" applyBorder="1" applyAlignment="1">
      <alignment vertical="top"/>
    </xf>
    <xf numFmtId="49" fontId="31" fillId="0" borderId="7" xfId="0" applyNumberFormat="1" applyFont="1" applyBorder="1" applyAlignment="1">
      <alignment horizontal="center" vertical="top" wrapText="1"/>
    </xf>
    <xf numFmtId="49" fontId="27" fillId="0" borderId="7" xfId="0" applyNumberFormat="1" applyFont="1" applyBorder="1" applyAlignment="1">
      <alignment horizontal="center" vertical="top" wrapText="1"/>
    </xf>
    <xf numFmtId="49" fontId="31" fillId="0" borderId="20" xfId="0" applyNumberFormat="1" applyFont="1" applyBorder="1" applyAlignment="1">
      <alignment horizontal="center" vertical="top" wrapText="1"/>
    </xf>
    <xf numFmtId="49" fontId="31" fillId="0" borderId="73" xfId="0" applyNumberFormat="1" applyFont="1" applyBorder="1" applyAlignment="1">
      <alignment horizontal="center" vertical="top" wrapText="1"/>
    </xf>
    <xf numFmtId="49" fontId="31" fillId="0" borderId="26" xfId="0" applyNumberFormat="1" applyFont="1" applyBorder="1" applyAlignment="1">
      <alignment horizontal="center" vertical="top" wrapText="1"/>
    </xf>
    <xf numFmtId="49" fontId="31" fillId="0" borderId="8" xfId="0" applyNumberFormat="1" applyFont="1" applyBorder="1" applyAlignment="1">
      <alignment horizontal="center" vertical="top" wrapText="1"/>
    </xf>
    <xf numFmtId="49" fontId="85" fillId="0" borderId="29" xfId="0" applyNumberFormat="1" applyFont="1" applyBorder="1" applyAlignment="1">
      <alignment vertical="top"/>
    </xf>
    <xf numFmtId="49" fontId="23" fillId="0" borderId="28" xfId="0" applyNumberFormat="1" applyFont="1" applyBorder="1" applyAlignment="1">
      <alignment horizontal="right" vertical="top"/>
    </xf>
    <xf numFmtId="0" fontId="23" fillId="0" borderId="54" xfId="0" applyFont="1" applyBorder="1" applyAlignment="1">
      <alignment vertical="top"/>
    </xf>
    <xf numFmtId="0" fontId="23" fillId="0" borderId="28" xfId="0" applyFont="1" applyBorder="1" applyAlignment="1">
      <alignment vertical="top"/>
    </xf>
    <xf numFmtId="0" fontId="23" fillId="0" borderId="94" xfId="0" applyFont="1" applyBorder="1" applyAlignment="1">
      <alignment vertical="top"/>
    </xf>
    <xf numFmtId="0" fontId="23" fillId="0" borderId="74" xfId="0" applyFont="1" applyBorder="1" applyAlignment="1">
      <alignment vertical="top"/>
    </xf>
    <xf numFmtId="0" fontId="23" fillId="0" borderId="27" xfId="0" applyFont="1" applyBorder="1" applyAlignment="1">
      <alignment vertical="top"/>
    </xf>
    <xf numFmtId="0" fontId="23" fillId="0" borderId="104" xfId="0" applyFont="1" applyBorder="1" applyAlignment="1">
      <alignment vertical="top"/>
    </xf>
    <xf numFmtId="213" fontId="0" fillId="0" borderId="0" xfId="0" applyNumberFormat="1"/>
    <xf numFmtId="212" fontId="21" fillId="0" borderId="1" xfId="0" applyNumberFormat="1" applyFont="1" applyBorder="1" applyAlignment="1">
      <alignment horizontal="right" vertical="top"/>
    </xf>
    <xf numFmtId="212" fontId="31" fillId="0" borderId="1" xfId="0" applyNumberFormat="1" applyFont="1" applyBorder="1" applyAlignment="1">
      <alignment horizontal="right" vertical="top"/>
    </xf>
    <xf numFmtId="212" fontId="27" fillId="0" borderId="15" xfId="0" applyNumberFormat="1" applyFont="1" applyBorder="1" applyAlignment="1">
      <alignment horizontal="right" vertical="top"/>
    </xf>
    <xf numFmtId="212" fontId="27" fillId="0" borderId="1" xfId="0" applyNumberFormat="1" applyFont="1" applyBorder="1" applyAlignment="1">
      <alignment horizontal="right" vertical="top"/>
    </xf>
    <xf numFmtId="212" fontId="27" fillId="0" borderId="66" xfId="0" applyNumberFormat="1" applyFont="1" applyBorder="1" applyAlignment="1">
      <alignment horizontal="right" vertical="top"/>
    </xf>
    <xf numFmtId="212" fontId="27" fillId="0" borderId="40" xfId="0" applyNumberFormat="1" applyFont="1" applyBorder="1" applyAlignment="1">
      <alignment horizontal="right" vertical="top"/>
    </xf>
    <xf numFmtId="212" fontId="86" fillId="0" borderId="1" xfId="0" applyNumberFormat="1" applyFont="1" applyBorder="1" applyAlignment="1">
      <alignment horizontal="right" vertical="top"/>
    </xf>
    <xf numFmtId="212" fontId="31" fillId="0" borderId="15" xfId="0" applyNumberFormat="1" applyFont="1" applyBorder="1" applyAlignment="1">
      <alignment horizontal="right" vertical="top"/>
    </xf>
    <xf numFmtId="212" fontId="31" fillId="0" borderId="66" xfId="0" applyNumberFormat="1" applyFont="1" applyBorder="1" applyAlignment="1">
      <alignment horizontal="right" vertical="top"/>
    </xf>
    <xf numFmtId="212" fontId="31" fillId="0" borderId="40" xfId="0" applyNumberFormat="1" applyFont="1" applyBorder="1" applyAlignment="1">
      <alignment horizontal="right" vertical="top"/>
    </xf>
    <xf numFmtId="49" fontId="31" fillId="0" borderId="17" xfId="0" applyNumberFormat="1" applyFont="1" applyBorder="1" applyAlignment="1">
      <alignment horizontal="left" vertical="top" indent="1"/>
    </xf>
    <xf numFmtId="212" fontId="21" fillId="0" borderId="3" xfId="0" applyNumberFormat="1" applyFont="1" applyBorder="1" applyAlignment="1">
      <alignment horizontal="right" vertical="top"/>
    </xf>
    <xf numFmtId="212" fontId="21" fillId="0" borderId="19" xfId="0" applyNumberFormat="1" applyFont="1" applyBorder="1" applyAlignment="1">
      <alignment horizontal="right" vertical="top"/>
    </xf>
    <xf numFmtId="212" fontId="21" fillId="0" borderId="53" xfId="0" applyNumberFormat="1" applyFont="1" applyBorder="1" applyAlignment="1">
      <alignment horizontal="right" vertical="top"/>
    </xf>
    <xf numFmtId="212" fontId="21" fillId="0" borderId="41" xfId="0" applyNumberFormat="1" applyFont="1" applyBorder="1" applyAlignment="1">
      <alignment horizontal="right" vertical="top"/>
    </xf>
    <xf numFmtId="212" fontId="27" fillId="0" borderId="41" xfId="0" applyNumberFormat="1" applyFont="1" applyBorder="1" applyAlignment="1">
      <alignment horizontal="right" vertical="top"/>
    </xf>
    <xf numFmtId="49" fontId="31" fillId="0" borderId="29" xfId="0" applyNumberFormat="1" applyFont="1" applyBorder="1" applyAlignment="1">
      <alignment horizontal="left" vertical="top" indent="1"/>
    </xf>
    <xf numFmtId="212" fontId="27" fillId="0" borderId="28" xfId="0" applyNumberFormat="1" applyFont="1" applyBorder="1" applyAlignment="1">
      <alignment horizontal="right" vertical="top"/>
    </xf>
    <xf numFmtId="212" fontId="31" fillId="0" borderId="28" xfId="0" applyNumberFormat="1" applyFont="1" applyBorder="1" applyAlignment="1">
      <alignment horizontal="right" vertical="top"/>
    </xf>
    <xf numFmtId="212" fontId="27" fillId="0" borderId="94" xfId="0" applyNumberFormat="1" applyFont="1" applyBorder="1" applyAlignment="1">
      <alignment horizontal="right" vertical="top"/>
    </xf>
    <xf numFmtId="212" fontId="27" fillId="0" borderId="74" xfId="0" applyNumberFormat="1" applyFont="1" applyBorder="1" applyAlignment="1">
      <alignment horizontal="right" vertical="top"/>
    </xf>
    <xf numFmtId="212" fontId="27" fillId="0" borderId="27" xfId="0" applyNumberFormat="1" applyFont="1" applyBorder="1" applyAlignment="1">
      <alignment horizontal="right" vertical="top"/>
    </xf>
    <xf numFmtId="212" fontId="27" fillId="0" borderId="75" xfId="0" applyNumberFormat="1" applyFont="1" applyBorder="1" applyAlignment="1">
      <alignment horizontal="right" vertical="top"/>
    </xf>
    <xf numFmtId="212" fontId="30" fillId="4" borderId="97" xfId="0" applyNumberFormat="1" applyFont="1" applyFill="1" applyBorder="1" applyAlignment="1">
      <alignment horizontal="right" vertical="top"/>
    </xf>
    <xf numFmtId="213" fontId="37" fillId="0" borderId="0" xfId="0" applyNumberFormat="1" applyFont="1"/>
    <xf numFmtId="212" fontId="27" fillId="0" borderId="93" xfId="0" applyNumberFormat="1" applyFont="1" applyBorder="1" applyAlignment="1">
      <alignment horizontal="right" vertical="top"/>
    </xf>
    <xf numFmtId="164" fontId="37" fillId="0" borderId="0" xfId="1" applyFont="1"/>
    <xf numFmtId="212" fontId="21" fillId="0" borderId="93" xfId="0" applyNumberFormat="1" applyFont="1" applyBorder="1" applyAlignment="1">
      <alignment horizontal="right" vertical="top"/>
    </xf>
    <xf numFmtId="212" fontId="27" fillId="0" borderId="3" xfId="0" applyNumberFormat="1" applyFont="1" applyBorder="1" applyAlignment="1">
      <alignment horizontal="right" vertical="top"/>
    </xf>
    <xf numFmtId="212" fontId="31" fillId="0" borderId="3" xfId="0" applyNumberFormat="1" applyFont="1" applyBorder="1" applyAlignment="1">
      <alignment horizontal="right" vertical="top"/>
    </xf>
    <xf numFmtId="212" fontId="27" fillId="0" borderId="19" xfId="0" applyNumberFormat="1" applyFont="1" applyBorder="1" applyAlignment="1">
      <alignment horizontal="right" vertical="top"/>
    </xf>
    <xf numFmtId="212" fontId="27" fillId="0" borderId="92" xfId="0" applyNumberFormat="1" applyFont="1" applyBorder="1" applyAlignment="1">
      <alignment horizontal="right" vertical="top"/>
    </xf>
    <xf numFmtId="212" fontId="27" fillId="0" borderId="78" xfId="0" applyNumberFormat="1" applyFont="1" applyBorder="1" applyAlignment="1">
      <alignment horizontal="right" vertical="top"/>
    </xf>
    <xf numFmtId="212" fontId="27" fillId="0" borderId="54" xfId="0" applyNumberFormat="1" applyFont="1" applyBorder="1" applyAlignment="1">
      <alignment horizontal="right" vertical="top"/>
    </xf>
    <xf numFmtId="212" fontId="27" fillId="0" borderId="26" xfId="0" applyNumberFormat="1" applyFont="1" applyBorder="1" applyAlignment="1">
      <alignment horizontal="right" vertical="top"/>
    </xf>
    <xf numFmtId="49" fontId="27" fillId="0" borderId="13" xfId="0" applyNumberFormat="1" applyFont="1" applyBorder="1" applyAlignment="1">
      <alignment horizontal="left" vertical="top" indent="1"/>
    </xf>
    <xf numFmtId="49" fontId="27" fillId="0" borderId="17" xfId="0" applyNumberFormat="1" applyFont="1" applyBorder="1" applyAlignment="1">
      <alignment horizontal="left" vertical="top" indent="1"/>
    </xf>
    <xf numFmtId="49" fontId="30" fillId="0" borderId="57" xfId="0" applyNumberFormat="1" applyFont="1" applyBorder="1" applyAlignment="1">
      <alignment horizontal="right" vertical="top" indent="2"/>
    </xf>
    <xf numFmtId="212" fontId="30" fillId="0" borderId="65" xfId="0" applyNumberFormat="1" applyFont="1" applyBorder="1" applyAlignment="1">
      <alignment horizontal="right" vertical="top"/>
    </xf>
    <xf numFmtId="212" fontId="30" fillId="0" borderId="58" xfId="0" applyNumberFormat="1" applyFont="1" applyBorder="1" applyAlignment="1">
      <alignment horizontal="right" vertical="top"/>
    </xf>
    <xf numFmtId="212" fontId="23" fillId="0" borderId="0" xfId="0" applyNumberFormat="1" applyFont="1" applyAlignment="1">
      <alignment horizontal="right" vertical="top"/>
    </xf>
    <xf numFmtId="212" fontId="23" fillId="0" borderId="0" xfId="0" applyNumberFormat="1" applyFont="1" applyAlignment="1">
      <alignment vertical="top"/>
    </xf>
    <xf numFmtId="212" fontId="23" fillId="0" borderId="28" xfId="0" applyNumberFormat="1" applyFont="1" applyBorder="1" applyAlignment="1">
      <alignment vertical="top"/>
    </xf>
    <xf numFmtId="212" fontId="23" fillId="0" borderId="94" xfId="0" applyNumberFormat="1" applyFont="1" applyBorder="1" applyAlignment="1">
      <alignment vertical="top"/>
    </xf>
    <xf numFmtId="212" fontId="23" fillId="0" borderId="74" xfId="0" applyNumberFormat="1" applyFont="1" applyBorder="1" applyAlignment="1">
      <alignment vertical="top"/>
    </xf>
    <xf numFmtId="212" fontId="30" fillId="4" borderId="76" xfId="0" applyNumberFormat="1" applyFont="1" applyFill="1" applyBorder="1" applyAlignment="1">
      <alignment horizontal="right" vertical="top"/>
    </xf>
    <xf numFmtId="212" fontId="21" fillId="0" borderId="15" xfId="0" applyNumberFormat="1" applyFont="1" applyBorder="1" applyAlignment="1">
      <alignment horizontal="right" vertical="top"/>
    </xf>
    <xf numFmtId="212" fontId="21" fillId="0" borderId="66" xfId="0" applyNumberFormat="1" applyFont="1" applyBorder="1" applyAlignment="1">
      <alignment horizontal="right" vertical="top"/>
    </xf>
    <xf numFmtId="212" fontId="21" fillId="0" borderId="40" xfId="0" applyNumberFormat="1" applyFont="1" applyBorder="1" applyAlignment="1">
      <alignment horizontal="right" vertical="top"/>
    </xf>
    <xf numFmtId="172" fontId="21" fillId="0" borderId="66" xfId="0" applyNumberFormat="1" applyFont="1" applyBorder="1" applyAlignment="1">
      <alignment horizontal="right" vertical="top"/>
    </xf>
    <xf numFmtId="172" fontId="21" fillId="0" borderId="40" xfId="0" applyNumberFormat="1" applyFont="1" applyBorder="1" applyAlignment="1">
      <alignment horizontal="right" vertical="top"/>
    </xf>
    <xf numFmtId="172" fontId="21" fillId="0" borderId="93" xfId="0" applyNumberFormat="1" applyFont="1" applyBorder="1" applyAlignment="1">
      <alignment horizontal="right" vertical="top"/>
    </xf>
    <xf numFmtId="172" fontId="27" fillId="0" borderId="40" xfId="0" applyNumberFormat="1" applyFont="1" applyBorder="1" applyAlignment="1">
      <alignment horizontal="right" vertical="top"/>
    </xf>
    <xf numFmtId="212" fontId="21" fillId="0" borderId="5" xfId="0" applyNumberFormat="1" applyFont="1" applyBorder="1" applyAlignment="1">
      <alignment horizontal="right" vertical="top"/>
    </xf>
    <xf numFmtId="212" fontId="21" fillId="0" borderId="71" xfId="0" applyNumberFormat="1" applyFont="1" applyBorder="1" applyAlignment="1">
      <alignment horizontal="right" vertical="top"/>
    </xf>
    <xf numFmtId="212" fontId="11" fillId="0" borderId="66" xfId="0" applyNumberFormat="1" applyFont="1" applyBorder="1" applyAlignment="1">
      <alignment horizontal="right" vertical="top"/>
    </xf>
    <xf numFmtId="172" fontId="21" fillId="0" borderId="92" xfId="0" applyNumberFormat="1" applyFont="1" applyBorder="1" applyAlignment="1">
      <alignment horizontal="right" vertical="top"/>
    </xf>
    <xf numFmtId="172" fontId="21" fillId="0" borderId="41" xfId="0" applyNumberFormat="1" applyFont="1" applyBorder="1" applyAlignment="1">
      <alignment horizontal="right" vertical="top"/>
    </xf>
    <xf numFmtId="172" fontId="27" fillId="0" borderId="41" xfId="0" applyNumberFormat="1" applyFont="1" applyBorder="1" applyAlignment="1">
      <alignment horizontal="right" vertical="top"/>
    </xf>
    <xf numFmtId="172" fontId="27" fillId="0" borderId="78" xfId="0" applyNumberFormat="1" applyFont="1" applyBorder="1" applyAlignment="1">
      <alignment horizontal="right" vertical="top"/>
    </xf>
    <xf numFmtId="49" fontId="27" fillId="0" borderId="29" xfId="0" applyNumberFormat="1" applyFont="1" applyBorder="1" applyAlignment="1">
      <alignment horizontal="left" vertical="top" indent="1"/>
    </xf>
    <xf numFmtId="212" fontId="21" fillId="0" borderId="28" xfId="0" applyNumberFormat="1" applyFont="1" applyBorder="1" applyAlignment="1">
      <alignment horizontal="right" vertical="top"/>
    </xf>
    <xf numFmtId="212" fontId="11" fillId="0" borderId="28" xfId="0" applyNumberFormat="1" applyFont="1" applyBorder="1" applyAlignment="1">
      <alignment horizontal="right" vertical="top"/>
    </xf>
    <xf numFmtId="212" fontId="21" fillId="0" borderId="54" xfId="0" applyNumberFormat="1" applyFont="1" applyBorder="1" applyAlignment="1">
      <alignment horizontal="right" vertical="top"/>
    </xf>
    <xf numFmtId="212" fontId="21" fillId="0" borderId="94" xfId="0" applyNumberFormat="1" applyFont="1" applyBorder="1" applyAlignment="1">
      <alignment horizontal="right" vertical="top"/>
    </xf>
    <xf numFmtId="212" fontId="21" fillId="0" borderId="74" xfId="0" applyNumberFormat="1" applyFont="1" applyBorder="1" applyAlignment="1">
      <alignment horizontal="right" vertical="top"/>
    </xf>
    <xf numFmtId="212" fontId="30" fillId="4" borderId="80" xfId="0" applyNumberFormat="1" applyFont="1" applyFill="1" applyBorder="1" applyAlignment="1">
      <alignment horizontal="right" vertical="top"/>
    </xf>
    <xf numFmtId="212" fontId="21" fillId="0" borderId="92" xfId="0" applyNumberFormat="1" applyFont="1" applyBorder="1" applyAlignment="1">
      <alignment horizontal="right" vertical="top"/>
    </xf>
    <xf numFmtId="172" fontId="27" fillId="0" borderId="1" xfId="0" applyNumberFormat="1" applyFont="1" applyBorder="1" applyAlignment="1">
      <alignment horizontal="right" vertical="top"/>
    </xf>
    <xf numFmtId="172" fontId="31" fillId="0" borderId="93" xfId="0" applyNumberFormat="1" applyFont="1" applyBorder="1" applyAlignment="1">
      <alignment horizontal="right" vertical="top"/>
    </xf>
    <xf numFmtId="212" fontId="27" fillId="0" borderId="63" xfId="0" applyNumberFormat="1" applyFont="1" applyBorder="1" applyAlignment="1">
      <alignment horizontal="right" vertical="top"/>
    </xf>
    <xf numFmtId="212" fontId="31" fillId="0" borderId="63" xfId="0" applyNumberFormat="1" applyFont="1" applyBorder="1" applyAlignment="1">
      <alignment horizontal="right" vertical="top"/>
    </xf>
    <xf numFmtId="212" fontId="27" fillId="0" borderId="56" xfId="0" applyNumberFormat="1" applyFont="1" applyBorder="1" applyAlignment="1">
      <alignment horizontal="right" vertical="top"/>
    </xf>
    <xf numFmtId="212" fontId="27" fillId="0" borderId="96" xfId="0" applyNumberFormat="1" applyFont="1" applyBorder="1" applyAlignment="1">
      <alignment horizontal="right" vertical="top"/>
    </xf>
    <xf numFmtId="212" fontId="30" fillId="0" borderId="7" xfId="0" applyNumberFormat="1" applyFont="1" applyBorder="1" applyAlignment="1">
      <alignment horizontal="right" vertical="top"/>
    </xf>
    <xf numFmtId="212" fontId="30" fillId="4" borderId="2" xfId="0" applyNumberFormat="1" applyFont="1" applyFill="1" applyBorder="1" applyAlignment="1">
      <alignment horizontal="right" vertical="top"/>
    </xf>
    <xf numFmtId="212" fontId="30" fillId="4" borderId="42" xfId="0" applyNumberFormat="1" applyFont="1" applyFill="1" applyBorder="1" applyAlignment="1">
      <alignment horizontal="right" vertical="top"/>
    </xf>
    <xf numFmtId="212" fontId="12" fillId="4" borderId="2" xfId="0" applyNumberFormat="1" applyFont="1" applyFill="1" applyBorder="1" applyAlignment="1">
      <alignment horizontal="right" vertical="top"/>
    </xf>
    <xf numFmtId="212" fontId="12" fillId="4" borderId="42" xfId="0" applyNumberFormat="1" applyFont="1" applyFill="1" applyBorder="1" applyAlignment="1">
      <alignment horizontal="right" vertical="top"/>
    </xf>
    <xf numFmtId="212" fontId="32" fillId="4" borderId="104" xfId="0" applyNumberFormat="1" applyFont="1" applyFill="1" applyBorder="1" applyAlignment="1">
      <alignment horizontal="right" vertical="top"/>
    </xf>
    <xf numFmtId="212" fontId="30" fillId="4" borderId="79" xfId="0" applyNumberFormat="1" applyFont="1" applyFill="1" applyBorder="1" applyAlignment="1">
      <alignment horizontal="right" vertical="top"/>
    </xf>
    <xf numFmtId="212" fontId="30" fillId="4" borderId="95" xfId="0" applyNumberFormat="1" applyFont="1" applyFill="1" applyBorder="1" applyAlignment="1">
      <alignment horizontal="right" vertical="top"/>
    </xf>
    <xf numFmtId="0" fontId="37" fillId="0" borderId="27" xfId="0" applyFont="1" applyBorder="1"/>
    <xf numFmtId="175" fontId="37" fillId="0" borderId="0" xfId="1" applyNumberFormat="1" applyFont="1" applyBorder="1"/>
    <xf numFmtId="164" fontId="37" fillId="0" borderId="0" xfId="0" applyNumberFormat="1" applyFont="1"/>
    <xf numFmtId="177" fontId="37" fillId="0" borderId="0" xfId="1" applyNumberFormat="1" applyFont="1"/>
    <xf numFmtId="0" fontId="0" fillId="0" borderId="94" xfId="0" applyBorder="1"/>
    <xf numFmtId="175" fontId="2" fillId="0" borderId="0" xfId="1" applyNumberFormat="1" applyFont="1" applyBorder="1"/>
    <xf numFmtId="177" fontId="37" fillId="0" borderId="0" xfId="1" applyNumberFormat="1" applyFont="1" applyBorder="1" applyAlignment="1">
      <alignment horizontal="center" vertical="center"/>
    </xf>
    <xf numFmtId="177" fontId="0" fillId="0" borderId="5" xfId="0" applyNumberFormat="1" applyBorder="1"/>
    <xf numFmtId="177" fontId="0" fillId="0" borderId="11" xfId="1" applyNumberFormat="1" applyFont="1" applyBorder="1"/>
    <xf numFmtId="9" fontId="0" fillId="0" borderId="0" xfId="3" applyFont="1" applyAlignment="1">
      <alignment horizontal="center"/>
    </xf>
    <xf numFmtId="177" fontId="37" fillId="0" borderId="0" xfId="0" applyNumberFormat="1" applyFont="1"/>
    <xf numFmtId="175" fontId="2" fillId="0" borderId="4" xfId="1" applyNumberFormat="1" applyFont="1" applyBorder="1"/>
    <xf numFmtId="164" fontId="0" fillId="0" borderId="4" xfId="0" applyNumberFormat="1" applyBorder="1"/>
    <xf numFmtId="175" fontId="0" fillId="0" borderId="4" xfId="0" applyNumberFormat="1" applyBorder="1"/>
    <xf numFmtId="177" fontId="0" fillId="0" borderId="1" xfId="1" applyNumberFormat="1" applyFont="1" applyBorder="1"/>
    <xf numFmtId="177" fontId="0" fillId="0" borderId="14" xfId="1" applyNumberFormat="1" applyFont="1" applyBorder="1"/>
    <xf numFmtId="211" fontId="37" fillId="0" borderId="0" xfId="1" applyNumberFormat="1" applyFont="1"/>
    <xf numFmtId="175" fontId="37" fillId="0" borderId="0" xfId="0" applyNumberFormat="1" applyFont="1"/>
    <xf numFmtId="0" fontId="37" fillId="0" borderId="87" xfId="0" applyFont="1" applyBorder="1" applyAlignment="1">
      <alignment horizontal="center" wrapText="1"/>
    </xf>
    <xf numFmtId="0" fontId="37" fillId="0" borderId="17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48" xfId="0" applyFont="1" applyBorder="1" applyAlignment="1">
      <alignment horizontal="center" wrapText="1"/>
    </xf>
    <xf numFmtId="177" fontId="0" fillId="0" borderId="63" xfId="1" applyNumberFormat="1" applyFont="1" applyBorder="1"/>
    <xf numFmtId="177" fontId="0" fillId="0" borderId="47" xfId="1" applyNumberFormat="1" applyFont="1" applyBorder="1"/>
    <xf numFmtId="17" fontId="0" fillId="0" borderId="77" xfId="0" applyNumberFormat="1" applyBorder="1"/>
    <xf numFmtId="175" fontId="0" fillId="0" borderId="10" xfId="1" applyNumberFormat="1" applyFont="1" applyBorder="1"/>
    <xf numFmtId="175" fontId="37" fillId="0" borderId="11" xfId="1" applyNumberFormat="1" applyFont="1" applyBorder="1"/>
    <xf numFmtId="175" fontId="0" fillId="0" borderId="9" xfId="0" applyNumberFormat="1" applyBorder="1"/>
    <xf numFmtId="9" fontId="0" fillId="0" borderId="9" xfId="3" applyFont="1" applyBorder="1"/>
    <xf numFmtId="175" fontId="0" fillId="0" borderId="77" xfId="0" applyNumberFormat="1" applyBorder="1"/>
    <xf numFmtId="175" fontId="37" fillId="0" borderId="10" xfId="1" applyNumberFormat="1" applyFont="1" applyBorder="1"/>
    <xf numFmtId="164" fontId="37" fillId="0" borderId="5" xfId="0" applyNumberFormat="1" applyFont="1" applyBorder="1"/>
    <xf numFmtId="202" fontId="87" fillId="0" borderId="11" xfId="3" applyNumberFormat="1" applyFont="1" applyBorder="1"/>
    <xf numFmtId="177" fontId="37" fillId="0" borderId="7" xfId="1" applyNumberFormat="1" applyFont="1" applyBorder="1"/>
    <xf numFmtId="177" fontId="37" fillId="0" borderId="21" xfId="1" applyNumberFormat="1" applyFont="1" applyBorder="1"/>
    <xf numFmtId="177" fontId="37" fillId="0" borderId="26" xfId="0" applyNumberFormat="1" applyFont="1" applyBorder="1"/>
    <xf numFmtId="17" fontId="0" fillId="0" borderId="40" xfId="0" applyNumberFormat="1" applyBorder="1"/>
    <xf numFmtId="175" fontId="0" fillId="0" borderId="40" xfId="1" applyNumberFormat="1" applyFont="1" applyBorder="1"/>
    <xf numFmtId="175" fontId="0" fillId="0" borderId="13" xfId="1" applyNumberFormat="1" applyFont="1" applyBorder="1"/>
    <xf numFmtId="175" fontId="37" fillId="0" borderId="14" xfId="1" applyNumberFormat="1" applyFont="1" applyBorder="1"/>
    <xf numFmtId="175" fontId="0" fillId="0" borderId="12" xfId="0" applyNumberFormat="1" applyBorder="1"/>
    <xf numFmtId="175" fontId="0" fillId="0" borderId="12" xfId="1" applyNumberFormat="1" applyFont="1" applyBorder="1"/>
    <xf numFmtId="164" fontId="37" fillId="0" borderId="1" xfId="0" applyNumberFormat="1" applyFont="1" applyBorder="1"/>
    <xf numFmtId="15" fontId="0" fillId="0" borderId="0" xfId="0" applyNumberFormat="1"/>
    <xf numFmtId="175" fontId="0" fillId="0" borderId="40" xfId="0" applyNumberFormat="1" applyBorder="1"/>
    <xf numFmtId="0" fontId="0" fillId="0" borderId="26" xfId="0" applyBorder="1" applyAlignment="1">
      <alignment horizontal="center"/>
    </xf>
    <xf numFmtId="0" fontId="0" fillId="0" borderId="77" xfId="0" applyBorder="1"/>
    <xf numFmtId="177" fontId="0" fillId="0" borderId="77" xfId="1" applyNumberFormat="1" applyFont="1" applyBorder="1"/>
    <xf numFmtId="175" fontId="0" fillId="0" borderId="74" xfId="0" applyNumberFormat="1" applyBorder="1"/>
    <xf numFmtId="0" fontId="0" fillId="0" borderId="40" xfId="0" applyBorder="1"/>
    <xf numFmtId="177" fontId="0" fillId="0" borderId="40" xfId="1" applyNumberFormat="1" applyFont="1" applyBorder="1"/>
    <xf numFmtId="0" fontId="37" fillId="0" borderId="40" xfId="0" applyFont="1" applyBorder="1"/>
    <xf numFmtId="177" fontId="37" fillId="0" borderId="40" xfId="1" applyNumberFormat="1" applyFont="1" applyBorder="1"/>
    <xf numFmtId="0" fontId="37" fillId="0" borderId="41" xfId="0" applyFont="1" applyBorder="1"/>
    <xf numFmtId="177" fontId="37" fillId="0" borderId="41" xfId="0" applyNumberFormat="1" applyFont="1" applyBorder="1"/>
    <xf numFmtId="177" fontId="37" fillId="4" borderId="0" xfId="0" applyNumberFormat="1" applyFont="1" applyFill="1"/>
    <xf numFmtId="17" fontId="0" fillId="0" borderId="41" xfId="0" applyNumberFormat="1" applyBorder="1"/>
    <xf numFmtId="175" fontId="0" fillId="0" borderId="41" xfId="1" applyNumberFormat="1" applyFont="1" applyBorder="1"/>
    <xf numFmtId="175" fontId="0" fillId="0" borderId="57" xfId="1" applyNumberFormat="1" applyFont="1" applyBorder="1"/>
    <xf numFmtId="175" fontId="0" fillId="0" borderId="65" xfId="1" applyNumberFormat="1" applyFont="1" applyBorder="1"/>
    <xf numFmtId="175" fontId="37" fillId="0" borderId="38" xfId="1" applyNumberFormat="1" applyFont="1" applyBorder="1"/>
    <xf numFmtId="175" fontId="0" fillId="0" borderId="48" xfId="0" applyNumberFormat="1" applyBorder="1"/>
    <xf numFmtId="9" fontId="0" fillId="0" borderId="41" xfId="3" applyFont="1" applyBorder="1"/>
    <xf numFmtId="175" fontId="0" fillId="0" borderId="41" xfId="0" applyNumberFormat="1" applyBorder="1"/>
    <xf numFmtId="175" fontId="0" fillId="0" borderId="16" xfId="1" applyNumberFormat="1" applyFont="1" applyBorder="1"/>
    <xf numFmtId="175" fontId="37" fillId="0" borderId="17" xfId="1" applyNumberFormat="1" applyFont="1" applyBorder="1"/>
    <xf numFmtId="164" fontId="37" fillId="0" borderId="65" xfId="0" applyNumberFormat="1" applyFont="1" applyBorder="1"/>
    <xf numFmtId="202" fontId="87" fillId="0" borderId="18" xfId="3" applyNumberFormat="1" applyFont="1" applyBorder="1"/>
    <xf numFmtId="211" fontId="37" fillId="0" borderId="0" xfId="0" applyNumberFormat="1" applyFont="1"/>
    <xf numFmtId="167" fontId="6" fillId="0" borderId="35" xfId="0" applyNumberFormat="1" applyFont="1" applyBorder="1"/>
    <xf numFmtId="0" fontId="8" fillId="24" borderId="0" xfId="0" applyFont="1" applyFill="1"/>
    <xf numFmtId="165" fontId="6" fillId="24" borderId="0" xfId="0" applyNumberFormat="1" applyFont="1" applyFill="1"/>
    <xf numFmtId="2" fontId="6" fillId="24" borderId="0" xfId="0" applyNumberFormat="1" applyFont="1" applyFill="1"/>
    <xf numFmtId="169" fontId="9" fillId="24" borderId="0" xfId="0" applyNumberFormat="1" applyFont="1" applyFill="1"/>
    <xf numFmtId="166" fontId="9" fillId="24" borderId="0" xfId="0" applyNumberFormat="1" applyFont="1" applyFill="1"/>
    <xf numFmtId="169" fontId="8" fillId="25" borderId="0" xfId="0" applyNumberFormat="1" applyFont="1" applyFill="1"/>
    <xf numFmtId="166" fontId="8" fillId="25" borderId="0" xfId="0" applyNumberFormat="1" applyFont="1" applyFill="1" applyAlignment="1">
      <alignment horizontal="center"/>
    </xf>
    <xf numFmtId="166" fontId="8" fillId="25" borderId="0" xfId="0" applyNumberFormat="1" applyFont="1" applyFill="1"/>
    <xf numFmtId="2" fontId="8" fillId="25" borderId="0" xfId="0" applyNumberFormat="1" applyFont="1" applyFill="1" applyAlignment="1">
      <alignment horizontal="center"/>
    </xf>
    <xf numFmtId="214" fontId="0" fillId="0" borderId="51" xfId="0" applyNumberFormat="1" applyBorder="1"/>
    <xf numFmtId="208" fontId="0" fillId="0" borderId="0" xfId="0" applyNumberFormat="1"/>
    <xf numFmtId="206" fontId="0" fillId="3" borderId="58" xfId="1" applyNumberFormat="1" applyFont="1" applyFill="1" applyBorder="1"/>
    <xf numFmtId="206" fontId="0" fillId="3" borderId="3" xfId="1" applyNumberFormat="1" applyFont="1" applyFill="1" applyBorder="1"/>
    <xf numFmtId="167" fontId="0" fillId="3" borderId="16" xfId="1" applyNumberFormat="1" applyFont="1" applyFill="1" applyBorder="1"/>
    <xf numFmtId="175" fontId="6" fillId="0" borderId="78" xfId="1" applyNumberFormat="1" applyFont="1" applyBorder="1"/>
    <xf numFmtId="175" fontId="6" fillId="0" borderId="96" xfId="1" applyNumberFormat="1" applyFont="1" applyBorder="1"/>
    <xf numFmtId="165" fontId="6" fillId="0" borderId="81" xfId="0" applyNumberFormat="1" applyFont="1" applyBorder="1"/>
    <xf numFmtId="2" fontId="0" fillId="0" borderId="93" xfId="0" applyNumberFormat="1" applyBorder="1"/>
    <xf numFmtId="164" fontId="0" fillId="0" borderId="49" xfId="1" applyFont="1" applyBorder="1"/>
    <xf numFmtId="164" fontId="0" fillId="0" borderId="0" xfId="1" applyFont="1" applyFill="1"/>
    <xf numFmtId="164" fontId="5" fillId="0" borderId="1" xfId="0" applyNumberFormat="1" applyFont="1" applyBorder="1"/>
    <xf numFmtId="164" fontId="0" fillId="0" borderId="1" xfId="0" applyNumberFormat="1" applyBorder="1"/>
    <xf numFmtId="0" fontId="5" fillId="0" borderId="22" xfId="0" applyFont="1" applyBorder="1"/>
    <xf numFmtId="165" fontId="5" fillId="0" borderId="2" xfId="0" applyNumberFormat="1" applyFont="1" applyBorder="1"/>
    <xf numFmtId="164" fontId="5" fillId="0" borderId="2" xfId="1" applyFont="1" applyBorder="1"/>
    <xf numFmtId="206" fontId="5" fillId="0" borderId="2" xfId="0" applyNumberFormat="1" applyFont="1" applyBorder="1"/>
    <xf numFmtId="164" fontId="5" fillId="0" borderId="2" xfId="0" applyNumberFormat="1" applyFont="1" applyBorder="1"/>
    <xf numFmtId="0" fontId="5" fillId="0" borderId="24" xfId="0" applyFont="1" applyBorder="1"/>
    <xf numFmtId="0" fontId="3" fillId="0" borderId="13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165" fontId="0" fillId="0" borderId="3" xfId="0" applyNumberFormat="1" applyBorder="1"/>
    <xf numFmtId="164" fontId="5" fillId="0" borderId="3" xfId="1" applyFont="1" applyBorder="1"/>
    <xf numFmtId="0" fontId="3" fillId="0" borderId="22" xfId="0" applyFont="1" applyBorder="1"/>
    <xf numFmtId="0" fontId="3" fillId="0" borderId="17" xfId="0" applyFont="1" applyBorder="1"/>
    <xf numFmtId="0" fontId="5" fillId="0" borderId="10" xfId="0" applyFont="1" applyBorder="1"/>
    <xf numFmtId="165" fontId="5" fillId="0" borderId="5" xfId="0" applyNumberFormat="1" applyFont="1" applyBorder="1"/>
    <xf numFmtId="164" fontId="5" fillId="0" borderId="5" xfId="1" applyFont="1" applyBorder="1"/>
    <xf numFmtId="206" fontId="5" fillId="0" borderId="5" xfId="0" applyNumberFormat="1" applyFont="1" applyBorder="1"/>
    <xf numFmtId="0" fontId="5" fillId="0" borderId="5" xfId="0" applyFont="1" applyBorder="1"/>
    <xf numFmtId="164" fontId="5" fillId="0" borderId="5" xfId="0" applyNumberFormat="1" applyFont="1" applyBorder="1"/>
    <xf numFmtId="0" fontId="5" fillId="0" borderId="11" xfId="0" applyFont="1" applyBorder="1"/>
    <xf numFmtId="164" fontId="6" fillId="0" borderId="2" xfId="1" applyFont="1" applyBorder="1"/>
    <xf numFmtId="175" fontId="6" fillId="0" borderId="24" xfId="1" applyNumberFormat="1" applyFont="1" applyBorder="1"/>
    <xf numFmtId="164" fontId="6" fillId="0" borderId="3" xfId="1" applyFont="1" applyBorder="1"/>
    <xf numFmtId="175" fontId="6" fillId="0" borderId="18" xfId="1" applyNumberFormat="1" applyFont="1" applyBorder="1"/>
    <xf numFmtId="0" fontId="6" fillId="0" borderId="17" xfId="0" applyFont="1" applyBorder="1" applyAlignment="1">
      <alignment horizontal="right"/>
    </xf>
    <xf numFmtId="166" fontId="6" fillId="0" borderId="23" xfId="0" applyNumberFormat="1" applyFont="1" applyBorder="1"/>
    <xf numFmtId="166" fontId="6" fillId="0" borderId="44" xfId="0" applyNumberFormat="1" applyFont="1" applyBorder="1"/>
    <xf numFmtId="166" fontId="6" fillId="0" borderId="22" xfId="0" applyNumberFormat="1" applyFont="1" applyBorder="1"/>
    <xf numFmtId="166" fontId="6" fillId="0" borderId="17" xfId="0" applyNumberFormat="1" applyFont="1" applyBorder="1"/>
    <xf numFmtId="1" fontId="6" fillId="0" borderId="23" xfId="0" applyNumberFormat="1" applyFont="1" applyBorder="1"/>
    <xf numFmtId="1" fontId="6" fillId="0" borderId="44" xfId="0" applyNumberFormat="1" applyFont="1" applyBorder="1"/>
    <xf numFmtId="1" fontId="6" fillId="0" borderId="42" xfId="0" applyNumberFormat="1" applyFont="1" applyBorder="1"/>
    <xf numFmtId="1" fontId="6" fillId="0" borderId="19" xfId="0" applyNumberFormat="1" applyFont="1" applyBorder="1"/>
    <xf numFmtId="1" fontId="6" fillId="0" borderId="22" xfId="0" applyNumberFormat="1" applyFont="1" applyBorder="1"/>
    <xf numFmtId="1" fontId="6" fillId="0" borderId="17" xfId="0" applyNumberFormat="1" applyFont="1" applyBorder="1"/>
    <xf numFmtId="212" fontId="0" fillId="0" borderId="0" xfId="0" applyNumberFormat="1"/>
    <xf numFmtId="212" fontId="0" fillId="0" borderId="4" xfId="0" applyNumberFormat="1" applyBorder="1"/>
    <xf numFmtId="212" fontId="5" fillId="0" borderId="0" xfId="1" applyNumberFormat="1" applyFont="1" applyFill="1"/>
    <xf numFmtId="212" fontId="3" fillId="0" borderId="4" xfId="0" applyNumberFormat="1" applyFont="1" applyBorder="1"/>
    <xf numFmtId="212" fontId="5" fillId="0" borderId="0" xfId="0" applyNumberFormat="1" applyFont="1"/>
    <xf numFmtId="191" fontId="6" fillId="0" borderId="0" xfId="0" applyNumberFormat="1" applyFont="1"/>
    <xf numFmtId="212" fontId="12" fillId="4" borderId="43" xfId="0" applyNumberFormat="1" applyFont="1" applyFill="1" applyBorder="1" applyAlignment="1">
      <alignment horizontal="right" vertical="top"/>
    </xf>
    <xf numFmtId="212" fontId="30" fillId="4" borderId="43" xfId="0" applyNumberFormat="1" applyFont="1" applyFill="1" applyBorder="1" applyAlignment="1">
      <alignment horizontal="right" vertical="top"/>
    </xf>
    <xf numFmtId="212" fontId="30" fillId="4" borderId="104" xfId="0" applyNumberFormat="1" applyFont="1" applyFill="1" applyBorder="1" applyAlignment="1">
      <alignment horizontal="right" vertical="top"/>
    </xf>
    <xf numFmtId="16" fontId="0" fillId="0" borderId="0" xfId="0" quotePrefix="1" applyNumberFormat="1"/>
    <xf numFmtId="0" fontId="0" fillId="0" borderId="0" xfId="0" quotePrefix="1"/>
    <xf numFmtId="177" fontId="0" fillId="0" borderId="40" xfId="1" applyNumberFormat="1" applyFont="1" applyFill="1" applyBorder="1"/>
    <xf numFmtId="0" fontId="0" fillId="0" borderId="0" xfId="0" applyAlignment="1">
      <alignment horizontal="center" vertical="center"/>
    </xf>
    <xf numFmtId="16" fontId="0" fillId="0" borderId="0" xfId="0" applyNumberFormat="1"/>
    <xf numFmtId="169" fontId="3" fillId="0" borderId="25" xfId="0" applyNumberFormat="1" applyFont="1" applyBorder="1"/>
    <xf numFmtId="169" fontId="0" fillId="0" borderId="65" xfId="0" applyNumberFormat="1" applyBorder="1"/>
    <xf numFmtId="0" fontId="0" fillId="0" borderId="0" xfId="0" applyAlignment="1" applyProtection="1">
      <alignment horizontal="center"/>
      <protection locked="0"/>
    </xf>
    <xf numFmtId="0" fontId="47" fillId="0" borderId="9" xfId="0" applyFont="1" applyBorder="1" applyProtection="1">
      <protection locked="0"/>
    </xf>
    <xf numFmtId="0" fontId="17" fillId="0" borderId="41" xfId="0" applyFont="1" applyBorder="1" applyProtection="1">
      <protection locked="0"/>
    </xf>
    <xf numFmtId="2" fontId="5" fillId="0" borderId="51" xfId="0" applyNumberFormat="1" applyFont="1" applyBorder="1"/>
    <xf numFmtId="2" fontId="0" fillId="0" borderId="76" xfId="0" applyNumberFormat="1" applyBorder="1" applyProtection="1">
      <protection locked="0"/>
    </xf>
    <xf numFmtId="2" fontId="0" fillId="0" borderId="2" xfId="0" applyNumberFormat="1" applyBorder="1" applyProtection="1">
      <protection locked="0"/>
    </xf>
    <xf numFmtId="2" fontId="47" fillId="0" borderId="65" xfId="0" applyNumberFormat="1" applyFont="1" applyBorder="1" applyProtection="1">
      <protection locked="0"/>
    </xf>
    <xf numFmtId="165" fontId="57" fillId="0" borderId="6" xfId="0" applyNumberFormat="1" applyFont="1" applyBorder="1" applyProtection="1">
      <protection locked="0"/>
    </xf>
    <xf numFmtId="174" fontId="35" fillId="0" borderId="27" xfId="0" applyNumberFormat="1" applyFont="1" applyBorder="1"/>
    <xf numFmtId="174" fontId="35" fillId="0" borderId="184" xfId="0" applyNumberFormat="1" applyFont="1" applyBorder="1"/>
    <xf numFmtId="164" fontId="27" fillId="0" borderId="0" xfId="1" applyFont="1" applyAlignment="1">
      <alignment horizontal="right" vertical="top"/>
    </xf>
    <xf numFmtId="2" fontId="17" fillId="0" borderId="43" xfId="0" applyNumberFormat="1" applyFont="1" applyBorder="1" applyProtection="1">
      <protection locked="0"/>
    </xf>
    <xf numFmtId="2" fontId="17" fillId="0" borderId="77" xfId="0" applyNumberFormat="1" applyFont="1" applyBorder="1" applyProtection="1">
      <protection locked="0"/>
    </xf>
    <xf numFmtId="2" fontId="17" fillId="0" borderId="75" xfId="0" applyNumberFormat="1" applyFont="1" applyBorder="1" applyProtection="1">
      <protection locked="0"/>
    </xf>
    <xf numFmtId="2" fontId="47" fillId="0" borderId="43" xfId="0" applyNumberFormat="1" applyFont="1" applyBorder="1" applyProtection="1">
      <protection locked="0"/>
    </xf>
    <xf numFmtId="2" fontId="47" fillId="0" borderId="77" xfId="0" applyNumberFormat="1" applyFont="1" applyBorder="1" applyProtection="1">
      <protection locked="0"/>
    </xf>
    <xf numFmtId="2" fontId="17" fillId="0" borderId="40" xfId="0" applyNumberFormat="1" applyFont="1" applyBorder="1" applyProtection="1">
      <protection locked="0"/>
    </xf>
    <xf numFmtId="2" fontId="17" fillId="0" borderId="78" xfId="0" applyNumberFormat="1" applyFont="1" applyBorder="1" applyProtection="1">
      <protection locked="0"/>
    </xf>
    <xf numFmtId="2" fontId="72" fillId="0" borderId="26" xfId="0" applyNumberFormat="1" applyFont="1" applyBorder="1" applyProtection="1">
      <protection locked="0"/>
    </xf>
    <xf numFmtId="165" fontId="6" fillId="2" borderId="27" xfId="0" applyNumberFormat="1" applyFont="1" applyFill="1" applyBorder="1"/>
    <xf numFmtId="2" fontId="6" fillId="2" borderId="0" xfId="0" applyNumberFormat="1" applyFont="1" applyFill="1"/>
    <xf numFmtId="2" fontId="0" fillId="3" borderId="20" xfId="0" applyNumberFormat="1" applyFill="1" applyBorder="1"/>
    <xf numFmtId="165" fontId="0" fillId="0" borderId="23" xfId="0" applyNumberFormat="1" applyBorder="1"/>
    <xf numFmtId="174" fontId="0" fillId="0" borderId="71" xfId="0" applyNumberFormat="1" applyBorder="1"/>
    <xf numFmtId="164" fontId="0" fillId="0" borderId="63" xfId="1" applyFont="1" applyBorder="1"/>
    <xf numFmtId="164" fontId="0" fillId="0" borderId="7" xfId="0" applyNumberFormat="1" applyBorder="1"/>
    <xf numFmtId="164" fontId="0" fillId="3" borderId="7" xfId="0" applyNumberFormat="1" applyFill="1" applyBorder="1"/>
    <xf numFmtId="1" fontId="0" fillId="0" borderId="0" xfId="0" applyNumberFormat="1" applyAlignment="1">
      <alignment horizontal="center"/>
    </xf>
    <xf numFmtId="205" fontId="0" fillId="0" borderId="1" xfId="3" applyNumberFormat="1" applyFont="1" applyBorder="1" applyAlignment="1">
      <alignment horizontal="right"/>
    </xf>
    <xf numFmtId="205" fontId="0" fillId="0" borderId="14" xfId="3" applyNumberFormat="1" applyFont="1" applyBorder="1" applyAlignment="1">
      <alignment horizontal="right"/>
    </xf>
    <xf numFmtId="205" fontId="0" fillId="0" borderId="63" xfId="3" applyNumberFormat="1" applyFont="1" applyBorder="1"/>
    <xf numFmtId="205" fontId="0" fillId="0" borderId="47" xfId="3" applyNumberFormat="1" applyFont="1" applyBorder="1"/>
    <xf numFmtId="212" fontId="5" fillId="0" borderId="0" xfId="1" applyNumberFormat="1" applyFont="1"/>
    <xf numFmtId="212" fontId="0" fillId="0" borderId="4" xfId="1" applyNumberFormat="1" applyFont="1" applyBorder="1"/>
    <xf numFmtId="165" fontId="11" fillId="0" borderId="48" xfId="0" applyNumberFormat="1" applyFont="1" applyBorder="1"/>
    <xf numFmtId="165" fontId="5" fillId="0" borderId="13" xfId="0" applyNumberFormat="1" applyFont="1" applyBorder="1" applyProtection="1">
      <protection locked="0"/>
    </xf>
    <xf numFmtId="165" fontId="47" fillId="0" borderId="5" xfId="0" applyNumberFormat="1" applyFont="1" applyBorder="1" applyProtection="1">
      <protection locked="0"/>
    </xf>
    <xf numFmtId="165" fontId="72" fillId="0" borderId="7" xfId="0" applyNumberFormat="1" applyFont="1" applyBorder="1" applyProtection="1">
      <protection locked="0"/>
    </xf>
    <xf numFmtId="2" fontId="23" fillId="0" borderId="0" xfId="0" applyNumberFormat="1" applyFont="1"/>
    <xf numFmtId="2" fontId="0" fillId="0" borderId="53" xfId="0" applyNumberFormat="1" applyBorder="1"/>
    <xf numFmtId="2" fontId="0" fillId="0" borderId="42" xfId="0" applyNumberFormat="1" applyBorder="1" applyProtection="1">
      <protection locked="0"/>
    </xf>
    <xf numFmtId="2" fontId="5" fillId="0" borderId="95" xfId="0" applyNumberFormat="1" applyFont="1" applyBorder="1" applyProtection="1">
      <protection locked="0"/>
    </xf>
    <xf numFmtId="2" fontId="5" fillId="0" borderId="49" xfId="0" applyNumberFormat="1" applyFont="1" applyBorder="1" applyProtection="1">
      <protection locked="0"/>
    </xf>
    <xf numFmtId="2" fontId="5" fillId="0" borderId="1" xfId="0" applyNumberFormat="1" applyFont="1" applyBorder="1" applyProtection="1">
      <protection locked="0"/>
    </xf>
    <xf numFmtId="2" fontId="5" fillId="0" borderId="14" xfId="0" applyNumberFormat="1" applyFont="1" applyBorder="1" applyProtection="1">
      <protection locked="0"/>
    </xf>
    <xf numFmtId="2" fontId="5" fillId="0" borderId="18" xfId="0" applyNumberFormat="1" applyFont="1" applyBorder="1" applyProtection="1">
      <protection locked="0"/>
    </xf>
    <xf numFmtId="2" fontId="5" fillId="0" borderId="11" xfId="0" applyNumberFormat="1" applyFont="1" applyBorder="1" applyProtection="1">
      <protection locked="0"/>
    </xf>
    <xf numFmtId="2" fontId="5" fillId="0" borderId="2" xfId="0" applyNumberFormat="1" applyFont="1" applyBorder="1" applyProtection="1">
      <protection locked="0"/>
    </xf>
    <xf numFmtId="2" fontId="5" fillId="0" borderId="24" xfId="0" applyNumberFormat="1" applyFont="1" applyBorder="1" applyProtection="1">
      <protection locked="0"/>
    </xf>
    <xf numFmtId="2" fontId="5" fillId="0" borderId="7" xfId="0" applyNumberFormat="1" applyFont="1" applyBorder="1" applyProtection="1">
      <protection locked="0"/>
    </xf>
    <xf numFmtId="165" fontId="5" fillId="0" borderId="87" xfId="0" applyNumberFormat="1" applyFont="1" applyBorder="1" applyProtection="1">
      <protection locked="0"/>
    </xf>
    <xf numFmtId="165" fontId="5" fillId="0" borderId="9" xfId="0" applyNumberFormat="1" applyFont="1" applyBorder="1" applyProtection="1">
      <protection locked="0"/>
    </xf>
    <xf numFmtId="165" fontId="5" fillId="0" borderId="35" xfId="0" applyNumberFormat="1" applyFont="1" applyBorder="1" applyProtection="1">
      <protection locked="0"/>
    </xf>
    <xf numFmtId="165" fontId="5" fillId="0" borderId="8" xfId="0" applyNumberFormat="1" applyFont="1" applyBorder="1" applyProtection="1">
      <protection locked="0"/>
    </xf>
    <xf numFmtId="0" fontId="18" fillId="0" borderId="104" xfId="0" applyFont="1" applyBorder="1" applyAlignment="1" applyProtection="1">
      <alignment horizontal="center"/>
      <protection locked="0"/>
    </xf>
    <xf numFmtId="2" fontId="5" fillId="0" borderId="28" xfId="0" applyNumberFormat="1" applyFont="1" applyBorder="1" applyProtection="1">
      <protection locked="0"/>
    </xf>
    <xf numFmtId="165" fontId="5" fillId="0" borderId="17" xfId="0" applyNumberFormat="1" applyFont="1" applyBorder="1"/>
    <xf numFmtId="165" fontId="5" fillId="0" borderId="27" xfId="0" applyNumberFormat="1" applyFont="1" applyBorder="1" applyProtection="1">
      <protection locked="0"/>
    </xf>
    <xf numFmtId="165" fontId="5" fillId="0" borderId="12" xfId="0" applyNumberFormat="1" applyFont="1" applyBorder="1" applyProtection="1">
      <protection locked="0"/>
    </xf>
    <xf numFmtId="2" fontId="5" fillId="0" borderId="11" xfId="0" applyNumberFormat="1" applyFont="1" applyBorder="1"/>
    <xf numFmtId="2" fontId="5" fillId="0" borderId="18" xfId="0" applyNumberFormat="1" applyFont="1" applyBorder="1"/>
    <xf numFmtId="0" fontId="18" fillId="4" borderId="0" xfId="0" applyFont="1" applyFill="1" applyAlignment="1" applyProtection="1">
      <alignment horizontal="center" vertical="center"/>
      <protection locked="0"/>
    </xf>
    <xf numFmtId="49" fontId="27" fillId="0" borderId="77" xfId="0" applyNumberFormat="1" applyFont="1" applyBorder="1" applyAlignment="1">
      <alignment horizontal="left" vertical="top" indent="1"/>
    </xf>
    <xf numFmtId="2" fontId="4" fillId="0" borderId="5" xfId="0" applyNumberFormat="1" applyFont="1" applyBorder="1"/>
    <xf numFmtId="49" fontId="30" fillId="0" borderId="26" xfId="0" applyNumberFormat="1" applyFont="1" applyBorder="1" applyAlignment="1">
      <alignment vertical="top"/>
    </xf>
    <xf numFmtId="2" fontId="0" fillId="0" borderId="3" xfId="0" applyNumberFormat="1" applyBorder="1"/>
    <xf numFmtId="49" fontId="31" fillId="0" borderId="104" xfId="0" applyNumberFormat="1" applyFont="1" applyBorder="1" applyAlignment="1">
      <alignment horizontal="center" vertical="top"/>
    </xf>
    <xf numFmtId="49" fontId="30" fillId="0" borderId="0" xfId="0" applyNumberFormat="1" applyFont="1" applyAlignment="1">
      <alignment vertical="top"/>
    </xf>
    <xf numFmtId="49" fontId="31" fillId="0" borderId="0" xfId="0" applyNumberFormat="1" applyFont="1" applyAlignment="1">
      <alignment horizontal="left" vertical="top" indent="1"/>
    </xf>
    <xf numFmtId="49" fontId="27" fillId="0" borderId="0" xfId="0" applyNumberFormat="1" applyFont="1" applyAlignment="1">
      <alignment horizontal="left" vertical="top" indent="1"/>
    </xf>
    <xf numFmtId="49" fontId="30" fillId="0" borderId="0" xfId="0" applyNumberFormat="1" applyFont="1" applyAlignment="1">
      <alignment horizontal="left" vertical="top" indent="1"/>
    </xf>
    <xf numFmtId="49" fontId="31" fillId="0" borderId="0" xfId="0" applyNumberFormat="1" applyFont="1" applyAlignment="1">
      <alignment horizontal="left" vertical="top" indent="3"/>
    </xf>
    <xf numFmtId="49" fontId="27" fillId="0" borderId="0" xfId="0" applyNumberFormat="1" applyFont="1" applyAlignment="1">
      <alignment horizontal="left" vertical="top" indent="3"/>
    </xf>
    <xf numFmtId="49" fontId="32" fillId="0" borderId="52" xfId="0" applyNumberFormat="1" applyFont="1" applyBorder="1" applyAlignment="1">
      <alignment vertical="top"/>
    </xf>
    <xf numFmtId="49" fontId="27" fillId="0" borderId="4" xfId="0" applyNumberFormat="1" applyFont="1" applyBorder="1" applyAlignment="1">
      <alignment horizontal="left" vertical="top" indent="1"/>
    </xf>
    <xf numFmtId="49" fontId="32" fillId="0" borderId="0" xfId="0" applyNumberFormat="1" applyFont="1" applyAlignment="1">
      <alignment horizontal="right" vertical="top" indent="1"/>
    </xf>
    <xf numFmtId="49" fontId="32" fillId="0" borderId="0" xfId="0" applyNumberFormat="1" applyFont="1" applyAlignment="1">
      <alignment horizontal="left" vertical="top" indent="1"/>
    </xf>
    <xf numFmtId="191" fontId="37" fillId="0" borderId="0" xfId="0" applyNumberFormat="1" applyFont="1"/>
    <xf numFmtId="49" fontId="32" fillId="3" borderId="0" xfId="0" applyNumberFormat="1" applyFont="1" applyFill="1" applyAlignment="1">
      <alignment horizontal="left" vertical="top" indent="1"/>
    </xf>
    <xf numFmtId="0" fontId="0" fillId="3" borderId="0" xfId="0" applyFill="1"/>
    <xf numFmtId="2" fontId="37" fillId="3" borderId="0" xfId="0" applyNumberFormat="1" applyFont="1" applyFill="1"/>
    <xf numFmtId="49" fontId="27" fillId="3" borderId="0" xfId="0" applyNumberFormat="1" applyFont="1" applyFill="1" applyAlignment="1">
      <alignment horizontal="left" vertical="top" indent="1"/>
    </xf>
    <xf numFmtId="2" fontId="0" fillId="3" borderId="0" xfId="0" applyNumberFormat="1" applyFill="1"/>
    <xf numFmtId="49" fontId="25" fillId="0" borderId="15" xfId="0" applyNumberFormat="1" applyFont="1" applyBorder="1" applyAlignment="1">
      <alignment horizontal="left" vertical="top" indent="2"/>
    </xf>
    <xf numFmtId="206" fontId="37" fillId="0" borderId="0" xfId="0" applyNumberFormat="1" applyFont="1"/>
    <xf numFmtId="214" fontId="0" fillId="0" borderId="0" xfId="0" applyNumberFormat="1"/>
    <xf numFmtId="212" fontId="0" fillId="0" borderId="104" xfId="0" applyNumberFormat="1" applyBorder="1"/>
    <xf numFmtId="212" fontId="30" fillId="0" borderId="28" xfId="0" applyNumberFormat="1" applyFont="1" applyBorder="1" applyAlignment="1">
      <alignment horizontal="right" vertical="top"/>
    </xf>
    <xf numFmtId="212" fontId="30" fillId="0" borderId="0" xfId="0" applyNumberFormat="1" applyFont="1" applyAlignment="1">
      <alignment horizontal="right" vertical="top"/>
    </xf>
    <xf numFmtId="212" fontId="37" fillId="3" borderId="74" xfId="1" applyNumberFormat="1" applyFont="1" applyFill="1" applyBorder="1"/>
    <xf numFmtId="212" fontId="0" fillId="0" borderId="74" xfId="1" applyNumberFormat="1" applyFont="1" applyBorder="1"/>
    <xf numFmtId="212" fontId="27" fillId="0" borderId="5" xfId="0" applyNumberFormat="1" applyFont="1" applyBorder="1" applyAlignment="1">
      <alignment horizontal="right" vertical="top"/>
    </xf>
    <xf numFmtId="212" fontId="31" fillId="0" borderId="5" xfId="0" applyNumberFormat="1" applyFont="1" applyBorder="1" applyAlignment="1">
      <alignment horizontal="right" vertical="top"/>
    </xf>
    <xf numFmtId="212" fontId="0" fillId="0" borderId="77" xfId="1" applyNumberFormat="1" applyFont="1" applyBorder="1"/>
    <xf numFmtId="212" fontId="37" fillId="3" borderId="77" xfId="1" applyNumberFormat="1" applyFont="1" applyFill="1" applyBorder="1"/>
    <xf numFmtId="212" fontId="30" fillId="0" borderId="63" xfId="0" applyNumberFormat="1" applyFont="1" applyBorder="1" applyAlignment="1">
      <alignment horizontal="right" vertical="top"/>
    </xf>
    <xf numFmtId="212" fontId="32" fillId="0" borderId="63" xfId="0" applyNumberFormat="1" applyFont="1" applyBorder="1" applyAlignment="1">
      <alignment horizontal="right" vertical="top"/>
    </xf>
    <xf numFmtId="212" fontId="32" fillId="0" borderId="28" xfId="0" applyNumberFormat="1" applyFont="1" applyBorder="1" applyAlignment="1">
      <alignment horizontal="right" vertical="top"/>
    </xf>
    <xf numFmtId="212" fontId="30" fillId="0" borderId="1" xfId="0" applyNumberFormat="1" applyFont="1" applyBorder="1" applyAlignment="1">
      <alignment horizontal="right" vertical="top"/>
    </xf>
    <xf numFmtId="212" fontId="32" fillId="0" borderId="1" xfId="0" applyNumberFormat="1" applyFont="1" applyBorder="1" applyAlignment="1">
      <alignment horizontal="right" vertical="top"/>
    </xf>
    <xf numFmtId="212" fontId="37" fillId="0" borderId="75" xfId="1" applyNumberFormat="1" applyFont="1" applyBorder="1"/>
    <xf numFmtId="212" fontId="32" fillId="0" borderId="0" xfId="0" applyNumberFormat="1" applyFont="1" applyAlignment="1">
      <alignment horizontal="right" vertical="top"/>
    </xf>
    <xf numFmtId="212" fontId="0" fillId="4" borderId="0" xfId="0" applyNumberFormat="1" applyFill="1"/>
    <xf numFmtId="212" fontId="0" fillId="4" borderId="4" xfId="0" applyNumberFormat="1" applyFill="1" applyBorder="1"/>
    <xf numFmtId="212" fontId="37" fillId="0" borderId="0" xfId="0" applyNumberFormat="1" applyFont="1"/>
    <xf numFmtId="212" fontId="37" fillId="3" borderId="0" xfId="0" applyNumberFormat="1" applyFont="1" applyFill="1"/>
    <xf numFmtId="212" fontId="0" fillId="3" borderId="0" xfId="0" applyNumberFormat="1" applyFill="1"/>
    <xf numFmtId="0" fontId="50" fillId="0" borderId="0" xfId="0" applyFont="1"/>
    <xf numFmtId="2" fontId="89" fillId="0" borderId="0" xfId="0" applyNumberFormat="1" applyFont="1"/>
    <xf numFmtId="0" fontId="89" fillId="0" borderId="0" xfId="0" applyFont="1"/>
    <xf numFmtId="2" fontId="89" fillId="0" borderId="4" xfId="0" applyNumberFormat="1" applyFont="1" applyBorder="1"/>
    <xf numFmtId="164" fontId="62" fillId="0" borderId="0" xfId="1" applyFont="1"/>
    <xf numFmtId="43" fontId="62" fillId="0" borderId="0" xfId="0" applyNumberFormat="1" applyFont="1"/>
    <xf numFmtId="212" fontId="27" fillId="4" borderId="28" xfId="0" applyNumberFormat="1" applyFont="1" applyFill="1" applyBorder="1" applyAlignment="1">
      <alignment horizontal="right" vertical="top"/>
    </xf>
    <xf numFmtId="212" fontId="31" fillId="4" borderId="28" xfId="0" applyNumberFormat="1" applyFont="1" applyFill="1" applyBorder="1" applyAlignment="1">
      <alignment horizontal="right" vertical="top"/>
    </xf>
    <xf numFmtId="169" fontId="0" fillId="0" borderId="95" xfId="0" applyNumberFormat="1" applyBorder="1"/>
    <xf numFmtId="3" fontId="0" fillId="16" borderId="9" xfId="1" applyNumberFormat="1" applyFont="1" applyFill="1" applyBorder="1"/>
    <xf numFmtId="164" fontId="12" fillId="0" borderId="38" xfId="0" applyNumberFormat="1" applyFont="1" applyBorder="1"/>
    <xf numFmtId="0" fontId="6" fillId="9" borderId="0" xfId="0" applyFont="1" applyFill="1"/>
    <xf numFmtId="207" fontId="3" fillId="0" borderId="2" xfId="0" applyNumberFormat="1" applyFont="1" applyBorder="1" applyAlignment="1">
      <alignment horizontal="right"/>
    </xf>
    <xf numFmtId="165" fontId="0" fillId="0" borderId="76" xfId="0" applyNumberFormat="1" applyBorder="1"/>
    <xf numFmtId="165" fontId="0" fillId="0" borderId="66" xfId="0" applyNumberFormat="1" applyBorder="1"/>
    <xf numFmtId="174" fontId="0" fillId="0" borderId="66" xfId="0" applyNumberFormat="1" applyBorder="1"/>
    <xf numFmtId="215" fontId="5" fillId="0" borderId="0" xfId="3" applyNumberFormat="1" applyFont="1"/>
    <xf numFmtId="215" fontId="0" fillId="0" borderId="4" xfId="0" applyNumberFormat="1" applyBorder="1"/>
    <xf numFmtId="215" fontId="0" fillId="0" borderId="0" xfId="0" applyNumberFormat="1"/>
    <xf numFmtId="0" fontId="5" fillId="10" borderId="0" xfId="0" applyFont="1" applyFill="1" applyAlignment="1">
      <alignment horizontal="center"/>
    </xf>
    <xf numFmtId="49" fontId="31" fillId="0" borderId="1" xfId="0" applyNumberFormat="1" applyFont="1" applyBorder="1" applyAlignment="1">
      <alignment horizontal="center" vertical="top"/>
    </xf>
    <xf numFmtId="199" fontId="11" fillId="0" borderId="2" xfId="0" applyNumberFormat="1" applyFont="1" applyBorder="1"/>
    <xf numFmtId="199" fontId="11" fillId="0" borderId="63" xfId="0" applyNumberFormat="1" applyFont="1" applyBorder="1"/>
    <xf numFmtId="199" fontId="12" fillId="0" borderId="7" xfId="0" applyNumberFormat="1" applyFont="1" applyBorder="1"/>
    <xf numFmtId="164" fontId="0" fillId="0" borderId="15" xfId="0" applyNumberFormat="1" applyBorder="1"/>
    <xf numFmtId="164" fontId="0" fillId="0" borderId="85" xfId="1" applyFont="1" applyBorder="1"/>
    <xf numFmtId="164" fontId="0" fillId="0" borderId="51" xfId="1" applyFont="1" applyBorder="1"/>
    <xf numFmtId="212" fontId="12" fillId="4" borderId="35" xfId="0" applyNumberFormat="1" applyFont="1" applyFill="1" applyBorder="1" applyAlignment="1">
      <alignment horizontal="right" vertical="top"/>
    </xf>
    <xf numFmtId="174" fontId="0" fillId="0" borderId="90" xfId="0" applyNumberFormat="1" applyBorder="1"/>
    <xf numFmtId="204" fontId="0" fillId="3" borderId="20" xfId="0" applyNumberFormat="1" applyFill="1" applyBorder="1"/>
    <xf numFmtId="204" fontId="0" fillId="0" borderId="20" xfId="0" applyNumberFormat="1" applyBorder="1"/>
    <xf numFmtId="164" fontId="0" fillId="0" borderId="58" xfId="1" applyFont="1" applyBorder="1"/>
    <xf numFmtId="212" fontId="0" fillId="0" borderId="74" xfId="1" applyNumberFormat="1" applyFont="1" applyFill="1" applyBorder="1"/>
    <xf numFmtId="212" fontId="37" fillId="0" borderId="74" xfId="1" applyNumberFormat="1" applyFont="1" applyFill="1" applyBorder="1"/>
    <xf numFmtId="212" fontId="0" fillId="0" borderId="77" xfId="1" applyNumberFormat="1" applyFont="1" applyFill="1" applyBorder="1"/>
    <xf numFmtId="212" fontId="37" fillId="4" borderId="7" xfId="1" applyNumberFormat="1" applyFont="1" applyFill="1" applyBorder="1"/>
    <xf numFmtId="211" fontId="0" fillId="0" borderId="3" xfId="1" applyNumberFormat="1" applyFont="1" applyBorder="1"/>
    <xf numFmtId="164" fontId="62" fillId="0" borderId="4" xfId="1" applyFont="1" applyBorder="1"/>
    <xf numFmtId="212" fontId="88" fillId="0" borderId="78" xfId="0" applyNumberFormat="1" applyFont="1" applyBorder="1" applyAlignment="1">
      <alignment horizontal="right" vertical="top"/>
    </xf>
    <xf numFmtId="212" fontId="30" fillId="3" borderId="74" xfId="0" applyNumberFormat="1" applyFont="1" applyFill="1" applyBorder="1" applyAlignment="1">
      <alignment horizontal="right" vertical="top"/>
    </xf>
    <xf numFmtId="49" fontId="30" fillId="0" borderId="35" xfId="0" applyNumberFormat="1" applyFont="1" applyBorder="1" applyAlignment="1">
      <alignment vertical="top"/>
    </xf>
    <xf numFmtId="49" fontId="31" fillId="0" borderId="12" xfId="0" applyNumberFormat="1" applyFont="1" applyBorder="1" applyAlignment="1">
      <alignment horizontal="left" vertical="top" indent="1"/>
    </xf>
    <xf numFmtId="49" fontId="31" fillId="0" borderId="16" xfId="0" applyNumberFormat="1" applyFont="1" applyBorder="1" applyAlignment="1">
      <alignment horizontal="left" vertical="top" indent="1"/>
    </xf>
    <xf numFmtId="49" fontId="31" fillId="0" borderId="27" xfId="0" applyNumberFormat="1" applyFont="1" applyBorder="1" applyAlignment="1">
      <alignment horizontal="left" vertical="top" indent="1"/>
    </xf>
    <xf numFmtId="49" fontId="27" fillId="0" borderId="16" xfId="0" applyNumberFormat="1" applyFont="1" applyBorder="1" applyAlignment="1">
      <alignment horizontal="left" vertical="top" indent="1"/>
    </xf>
    <xf numFmtId="49" fontId="30" fillId="0" borderId="48" xfId="0" applyNumberFormat="1" applyFont="1" applyBorder="1" applyAlignment="1">
      <alignment horizontal="right" vertical="top" indent="2"/>
    </xf>
    <xf numFmtId="49" fontId="27" fillId="0" borderId="27" xfId="0" applyNumberFormat="1" applyFont="1" applyBorder="1" applyAlignment="1">
      <alignment horizontal="left" vertical="top" indent="1"/>
    </xf>
    <xf numFmtId="49" fontId="31" fillId="0" borderId="46" xfId="0" applyNumberFormat="1" applyFont="1" applyBorder="1" applyAlignment="1">
      <alignment horizontal="left" vertical="top" indent="1"/>
    </xf>
    <xf numFmtId="49" fontId="30" fillId="0" borderId="8" xfId="0" applyNumberFormat="1" applyFont="1" applyBorder="1" applyAlignment="1">
      <alignment horizontal="right" vertical="top" indent="2"/>
    </xf>
    <xf numFmtId="49" fontId="30" fillId="0" borderId="9" xfId="0" applyNumberFormat="1" applyFont="1" applyBorder="1" applyAlignment="1">
      <alignment vertical="top"/>
    </xf>
    <xf numFmtId="49" fontId="85" fillId="0" borderId="8" xfId="0" applyNumberFormat="1" applyFont="1" applyBorder="1" applyAlignment="1">
      <alignment vertical="top"/>
    </xf>
    <xf numFmtId="175" fontId="0" fillId="0" borderId="78" xfId="1" applyNumberFormat="1" applyFont="1" applyBorder="1"/>
    <xf numFmtId="49" fontId="31" fillId="0" borderId="8" xfId="0" applyNumberFormat="1" applyFont="1" applyBorder="1" applyAlignment="1">
      <alignment horizontal="left" vertical="top" indent="1"/>
    </xf>
    <xf numFmtId="175" fontId="0" fillId="0" borderId="26" xfId="1" applyNumberFormat="1" applyFont="1" applyBorder="1"/>
    <xf numFmtId="49" fontId="31" fillId="0" borderId="75" xfId="0" applyNumberFormat="1" applyFont="1" applyBorder="1" applyAlignment="1">
      <alignment horizontal="left" vertical="top" indent="1"/>
    </xf>
    <xf numFmtId="175" fontId="0" fillId="4" borderId="77" xfId="1" applyNumberFormat="1" applyFont="1" applyFill="1" applyBorder="1"/>
    <xf numFmtId="49" fontId="31" fillId="0" borderId="74" xfId="0" applyNumberFormat="1" applyFont="1" applyBorder="1" applyAlignment="1">
      <alignment horizontal="left" vertical="top" indent="1"/>
    </xf>
    <xf numFmtId="175" fontId="0" fillId="0" borderId="75" xfId="1" applyNumberFormat="1" applyFont="1" applyBorder="1"/>
    <xf numFmtId="175" fontId="0" fillId="0" borderId="28" xfId="1" applyNumberFormat="1" applyFont="1" applyBorder="1"/>
    <xf numFmtId="175" fontId="0" fillId="0" borderId="41" xfId="1" applyNumberFormat="1" applyFont="1" applyFill="1" applyBorder="1"/>
    <xf numFmtId="175" fontId="0" fillId="0" borderId="14" xfId="1" applyNumberFormat="1" applyFont="1" applyFill="1" applyBorder="1"/>
    <xf numFmtId="175" fontId="0" fillId="0" borderId="18" xfId="1" applyNumberFormat="1" applyFont="1" applyFill="1" applyBorder="1"/>
    <xf numFmtId="175" fontId="5" fillId="4" borderId="77" xfId="1" applyNumberFormat="1" applyFont="1" applyFill="1" applyBorder="1"/>
    <xf numFmtId="175" fontId="5" fillId="4" borderId="43" xfId="1" applyNumberFormat="1" applyFont="1" applyFill="1" applyBorder="1"/>
    <xf numFmtId="175" fontId="5" fillId="4" borderId="24" xfId="1" applyNumberFormat="1" applyFont="1" applyFill="1" applyBorder="1"/>
    <xf numFmtId="175" fontId="5" fillId="0" borderId="75" xfId="1" applyNumberFormat="1" applyFont="1" applyBorder="1"/>
    <xf numFmtId="0" fontId="5" fillId="0" borderId="104" xfId="0" applyFont="1" applyBorder="1" applyAlignment="1">
      <alignment horizontal="center"/>
    </xf>
    <xf numFmtId="49" fontId="36" fillId="0" borderId="87" xfId="0" applyNumberFormat="1" applyFont="1" applyBorder="1" applyAlignment="1">
      <alignment horizontal="center" vertical="top"/>
    </xf>
    <xf numFmtId="175" fontId="0" fillId="0" borderId="28" xfId="1" applyNumberFormat="1" applyFont="1" applyFill="1" applyBorder="1"/>
    <xf numFmtId="164" fontId="0" fillId="4" borderId="15" xfId="0" applyNumberFormat="1" applyFill="1" applyBorder="1"/>
    <xf numFmtId="164" fontId="0" fillId="4" borderId="15" xfId="1" applyFont="1" applyFill="1" applyBorder="1"/>
    <xf numFmtId="0" fontId="0" fillId="3" borderId="73" xfId="0" applyFill="1" applyBorder="1"/>
    <xf numFmtId="204" fontId="28" fillId="0" borderId="73" xfId="0" applyNumberFormat="1" applyFont="1" applyBorder="1"/>
    <xf numFmtId="208" fontId="0" fillId="3" borderId="29" xfId="1" applyNumberFormat="1" applyFont="1" applyFill="1" applyBorder="1"/>
    <xf numFmtId="164" fontId="0" fillId="3" borderId="54" xfId="1" applyFont="1" applyFill="1" applyBorder="1"/>
    <xf numFmtId="164" fontId="0" fillId="0" borderId="21" xfId="1" applyFont="1" applyBorder="1"/>
    <xf numFmtId="176" fontId="0" fillId="0" borderId="10" xfId="1" applyNumberFormat="1" applyFont="1" applyFill="1" applyBorder="1"/>
    <xf numFmtId="176" fontId="0" fillId="0" borderId="13" xfId="1" applyNumberFormat="1" applyFont="1" applyFill="1" applyBorder="1"/>
    <xf numFmtId="176" fontId="0" fillId="0" borderId="17" xfId="1" applyNumberFormat="1" applyFont="1" applyFill="1" applyBorder="1"/>
    <xf numFmtId="176" fontId="3" fillId="0" borderId="17" xfId="1" applyNumberFormat="1" applyFont="1" applyFill="1" applyBorder="1"/>
    <xf numFmtId="172" fontId="30" fillId="0" borderId="81" xfId="0" applyNumberFormat="1" applyFont="1" applyBorder="1" applyAlignment="1">
      <alignment horizontal="right" vertical="top"/>
    </xf>
    <xf numFmtId="49" fontId="30" fillId="4" borderId="13" xfId="0" applyNumberFormat="1" applyFont="1" applyFill="1" applyBorder="1" applyAlignment="1">
      <alignment vertical="top"/>
    </xf>
    <xf numFmtId="49" fontId="30" fillId="0" borderId="22" xfId="0" applyNumberFormat="1" applyFont="1" applyBorder="1" applyAlignment="1">
      <alignment horizontal="left" vertical="top" indent="2"/>
    </xf>
    <xf numFmtId="17" fontId="31" fillId="0" borderId="2" xfId="0" applyNumberFormat="1" applyFont="1" applyBorder="1" applyAlignment="1">
      <alignment horizontal="center" vertical="center" wrapText="1"/>
    </xf>
    <xf numFmtId="17" fontId="31" fillId="0" borderId="24" xfId="0" applyNumberFormat="1" applyFont="1" applyBorder="1" applyAlignment="1">
      <alignment horizontal="center" vertical="center" wrapText="1"/>
    </xf>
    <xf numFmtId="49" fontId="85" fillId="0" borderId="13" xfId="0" applyNumberFormat="1" applyFont="1" applyBorder="1" applyAlignment="1">
      <alignment vertical="top"/>
    </xf>
    <xf numFmtId="49" fontId="23" fillId="0" borderId="1" xfId="0" applyNumberFormat="1" applyFont="1" applyBorder="1" applyAlignment="1">
      <alignment horizontal="right" vertical="top"/>
    </xf>
    <xf numFmtId="0" fontId="23" fillId="0" borderId="1" xfId="0" applyFont="1" applyBorder="1" applyAlignment="1">
      <alignment vertical="top"/>
    </xf>
    <xf numFmtId="0" fontId="23" fillId="0" borderId="14" xfId="0" applyFont="1" applyBorder="1" applyAlignment="1">
      <alignment vertical="top"/>
    </xf>
    <xf numFmtId="172" fontId="31" fillId="0" borderId="1" xfId="0" applyNumberFormat="1" applyFont="1" applyBorder="1" applyAlignment="1">
      <alignment horizontal="right" vertical="top"/>
    </xf>
    <xf numFmtId="173" fontId="27" fillId="0" borderId="1" xfId="0" applyNumberFormat="1" applyFont="1" applyBorder="1" applyAlignment="1">
      <alignment horizontal="right" vertical="top"/>
    </xf>
    <xf numFmtId="173" fontId="31" fillId="0" borderId="1" xfId="0" applyNumberFormat="1" applyFont="1" applyBorder="1" applyAlignment="1">
      <alignment horizontal="right" vertical="top"/>
    </xf>
    <xf numFmtId="173" fontId="31" fillId="0" borderId="14" xfId="0" applyNumberFormat="1" applyFont="1" applyBorder="1" applyAlignment="1">
      <alignment horizontal="right" vertical="top"/>
    </xf>
    <xf numFmtId="49" fontId="25" fillId="0" borderId="29" xfId="0" applyNumberFormat="1" applyFont="1" applyBorder="1" applyAlignment="1">
      <alignment horizontal="right" vertical="top" indent="2"/>
    </xf>
    <xf numFmtId="172" fontId="25" fillId="0" borderId="28" xfId="0" applyNumberFormat="1" applyFont="1" applyBorder="1" applyAlignment="1">
      <alignment horizontal="right" vertical="top"/>
    </xf>
    <xf numFmtId="172" fontId="25" fillId="0" borderId="54" xfId="0" applyNumberFormat="1" applyFont="1" applyBorder="1" applyAlignment="1">
      <alignment horizontal="right" vertical="top"/>
    </xf>
    <xf numFmtId="172" fontId="30" fillId="4" borderId="1" xfId="0" applyNumberFormat="1" applyFont="1" applyFill="1" applyBorder="1" applyAlignment="1">
      <alignment horizontal="right" vertical="top"/>
    </xf>
    <xf numFmtId="172" fontId="30" fillId="4" borderId="14" xfId="0" applyNumberFormat="1" applyFont="1" applyFill="1" applyBorder="1" applyAlignment="1">
      <alignment horizontal="right" vertical="top"/>
    </xf>
    <xf numFmtId="172" fontId="32" fillId="4" borderId="1" xfId="0" applyNumberFormat="1" applyFont="1" applyFill="1" applyBorder="1" applyAlignment="1">
      <alignment horizontal="right" vertical="top"/>
    </xf>
    <xf numFmtId="172" fontId="32" fillId="4" borderId="14" xfId="0" applyNumberFormat="1" applyFont="1" applyFill="1" applyBorder="1" applyAlignment="1">
      <alignment horizontal="right" vertical="top"/>
    </xf>
    <xf numFmtId="173" fontId="27" fillId="0" borderId="63" xfId="0" applyNumberFormat="1" applyFont="1" applyBorder="1" applyAlignment="1">
      <alignment horizontal="right" vertical="top"/>
    </xf>
    <xf numFmtId="172" fontId="31" fillId="0" borderId="63" xfId="0" applyNumberFormat="1" applyFont="1" applyBorder="1" applyAlignment="1">
      <alignment horizontal="right" vertical="top"/>
    </xf>
    <xf numFmtId="172" fontId="27" fillId="0" borderId="63" xfId="0" applyNumberFormat="1" applyFont="1" applyBorder="1" applyAlignment="1">
      <alignment horizontal="right" vertical="top"/>
    </xf>
    <xf numFmtId="49" fontId="85" fillId="0" borderId="10" xfId="0" applyNumberFormat="1" applyFont="1" applyBorder="1" applyAlignment="1">
      <alignment vertical="top"/>
    </xf>
    <xf numFmtId="49" fontId="23" fillId="0" borderId="5" xfId="0" applyNumberFormat="1" applyFont="1" applyBorder="1" applyAlignment="1">
      <alignment horizontal="right" vertical="top"/>
    </xf>
    <xf numFmtId="0" fontId="23" fillId="0" borderId="5" xfId="0" applyFont="1" applyBorder="1" applyAlignment="1">
      <alignment vertical="top"/>
    </xf>
    <xf numFmtId="0" fontId="23" fillId="0" borderId="11" xfId="0" applyFont="1" applyBorder="1" applyAlignment="1">
      <alignment vertical="top"/>
    </xf>
    <xf numFmtId="49" fontId="30" fillId="3" borderId="6" xfId="0" applyNumberFormat="1" applyFont="1" applyFill="1" applyBorder="1" applyAlignment="1">
      <alignment horizontal="right" vertical="top" indent="2"/>
    </xf>
    <xf numFmtId="172" fontId="30" fillId="3" borderId="7" xfId="0" applyNumberFormat="1" applyFont="1" applyFill="1" applyBorder="1" applyAlignment="1">
      <alignment horizontal="right" vertical="top"/>
    </xf>
    <xf numFmtId="172" fontId="30" fillId="3" borderId="21" xfId="0" applyNumberFormat="1" applyFont="1" applyFill="1" applyBorder="1" applyAlignment="1">
      <alignment horizontal="right" vertical="top"/>
    </xf>
    <xf numFmtId="49" fontId="30" fillId="3" borderId="13" xfId="0" applyNumberFormat="1" applyFont="1" applyFill="1" applyBorder="1" applyAlignment="1">
      <alignment horizontal="right" vertical="top" indent="2"/>
    </xf>
    <xf numFmtId="172" fontId="30" fillId="3" borderId="1" xfId="0" applyNumberFormat="1" applyFont="1" applyFill="1" applyBorder="1" applyAlignment="1">
      <alignment horizontal="right" vertical="top"/>
    </xf>
    <xf numFmtId="172" fontId="30" fillId="3" borderId="14" xfId="0" applyNumberFormat="1" applyFont="1" applyFill="1" applyBorder="1" applyAlignment="1">
      <alignment horizontal="right" vertical="top"/>
    </xf>
    <xf numFmtId="203" fontId="25" fillId="2" borderId="17" xfId="0" applyNumberFormat="1" applyFont="1" applyFill="1" applyBorder="1" applyAlignment="1">
      <alignment horizontal="right" vertical="top" indent="2"/>
    </xf>
    <xf numFmtId="203" fontId="25" fillId="2" borderId="3" xfId="0" applyNumberFormat="1" applyFont="1" applyFill="1" applyBorder="1" applyAlignment="1">
      <alignment horizontal="right" vertical="top"/>
    </xf>
    <xf numFmtId="203" fontId="25" fillId="2" borderId="18" xfId="0" applyNumberFormat="1" applyFont="1" applyFill="1" applyBorder="1" applyAlignment="1">
      <alignment horizontal="right" vertical="top"/>
    </xf>
    <xf numFmtId="206" fontId="5" fillId="3" borderId="2" xfId="1" applyNumberFormat="1" applyFont="1" applyFill="1" applyBorder="1"/>
    <xf numFmtId="206" fontId="5" fillId="3" borderId="65" xfId="1" applyNumberFormat="1" applyFont="1" applyFill="1" applyBorder="1"/>
    <xf numFmtId="206" fontId="5" fillId="3" borderId="54" xfId="1" applyNumberFormat="1" applyFont="1" applyFill="1" applyBorder="1"/>
    <xf numFmtId="0" fontId="5" fillId="0" borderId="76" xfId="0" applyFont="1" applyBorder="1"/>
    <xf numFmtId="174" fontId="0" fillId="0" borderId="76" xfId="0" applyNumberFormat="1" applyBorder="1"/>
    <xf numFmtId="2" fontId="0" fillId="0" borderId="76" xfId="0" applyNumberFormat="1" applyBorder="1"/>
    <xf numFmtId="204" fontId="0" fillId="0" borderId="76" xfId="0" applyNumberFormat="1" applyBorder="1"/>
    <xf numFmtId="216" fontId="0" fillId="0" borderId="0" xfId="0" applyNumberFormat="1"/>
    <xf numFmtId="216" fontId="5" fillId="0" borderId="0" xfId="0" applyNumberFormat="1" applyFont="1"/>
    <xf numFmtId="174" fontId="0" fillId="0" borderId="0" xfId="0" applyNumberFormat="1"/>
    <xf numFmtId="216" fontId="0" fillId="0" borderId="4" xfId="0" applyNumberFormat="1" applyBorder="1"/>
    <xf numFmtId="2" fontId="5" fillId="0" borderId="4" xfId="0" applyNumberFormat="1" applyFont="1" applyBorder="1"/>
    <xf numFmtId="217" fontId="3" fillId="0" borderId="4" xfId="0" applyNumberFormat="1" applyFont="1" applyBorder="1"/>
    <xf numFmtId="0" fontId="5" fillId="3" borderId="0" xfId="0" applyFont="1" applyFill="1"/>
    <xf numFmtId="165" fontId="0" fillId="3" borderId="0" xfId="0" applyNumberFormat="1" applyFill="1"/>
    <xf numFmtId="204" fontId="0" fillId="3" borderId="0" xfId="0" applyNumberFormat="1" applyFill="1"/>
    <xf numFmtId="0" fontId="5" fillId="3" borderId="4" xfId="0" applyFont="1" applyFill="1" applyBorder="1"/>
    <xf numFmtId="174" fontId="0" fillId="3" borderId="4" xfId="0" applyNumberFormat="1" applyFill="1" applyBorder="1"/>
    <xf numFmtId="2" fontId="0" fillId="3" borderId="4" xfId="0" applyNumberFormat="1" applyFill="1" applyBorder="1"/>
    <xf numFmtId="204" fontId="0" fillId="3" borderId="4" xfId="0" applyNumberFormat="1" applyFill="1" applyBorder="1"/>
    <xf numFmtId="164" fontId="0" fillId="4" borderId="7" xfId="1" applyFont="1" applyFill="1" applyBorder="1"/>
    <xf numFmtId="0" fontId="3" fillId="4" borderId="9" xfId="0" applyFont="1" applyFill="1" applyBorder="1"/>
    <xf numFmtId="164" fontId="0" fillId="4" borderId="85" xfId="1" applyFont="1" applyFill="1" applyBorder="1"/>
    <xf numFmtId="164" fontId="0" fillId="4" borderId="1" xfId="1" applyFont="1" applyFill="1" applyBorder="1"/>
    <xf numFmtId="164" fontId="0" fillId="4" borderId="5" xfId="1" applyFont="1" applyFill="1" applyBorder="1"/>
    <xf numFmtId="164" fontId="0" fillId="4" borderId="95" xfId="1" applyFont="1" applyFill="1" applyBorder="1"/>
    <xf numFmtId="0" fontId="5" fillId="4" borderId="0" xfId="0" applyFont="1" applyFill="1"/>
    <xf numFmtId="2" fontId="0" fillId="4" borderId="0" xfId="0" applyNumberFormat="1" applyFill="1"/>
    <xf numFmtId="204" fontId="0" fillId="4" borderId="0" xfId="0" applyNumberFormat="1" applyFill="1"/>
    <xf numFmtId="165" fontId="0" fillId="0" borderId="76" xfId="0" applyNumberFormat="1" applyBorder="1" applyProtection="1">
      <protection locked="0"/>
    </xf>
    <xf numFmtId="2" fontId="0" fillId="0" borderId="4" xfId="0" applyNumberFormat="1" applyBorder="1" applyProtection="1">
      <protection locked="0"/>
    </xf>
    <xf numFmtId="2" fontId="0" fillId="0" borderId="65" xfId="0" applyNumberFormat="1" applyBorder="1" applyProtection="1">
      <protection locked="0"/>
    </xf>
    <xf numFmtId="2" fontId="0" fillId="0" borderId="58" xfId="0" applyNumberFormat="1" applyBorder="1" applyProtection="1">
      <protection locked="0"/>
    </xf>
    <xf numFmtId="2" fontId="23" fillId="0" borderId="76" xfId="0" applyNumberFormat="1" applyFont="1" applyBorder="1" applyProtection="1">
      <protection locked="0"/>
    </xf>
    <xf numFmtId="2" fontId="23" fillId="0" borderId="2" xfId="0" applyNumberFormat="1" applyFont="1" applyBorder="1" applyProtection="1">
      <protection locked="0"/>
    </xf>
    <xf numFmtId="2" fontId="23" fillId="0" borderId="42" xfId="0" applyNumberFormat="1" applyFont="1" applyBorder="1" applyProtection="1">
      <protection locked="0"/>
    </xf>
    <xf numFmtId="2" fontId="23" fillId="0" borderId="52" xfId="0" applyNumberFormat="1" applyFont="1" applyBorder="1" applyProtection="1">
      <protection locked="0"/>
    </xf>
    <xf numFmtId="2" fontId="23" fillId="0" borderId="51" xfId="0" applyNumberFormat="1" applyFont="1" applyBorder="1" applyProtection="1">
      <protection locked="0"/>
    </xf>
    <xf numFmtId="2" fontId="5" fillId="0" borderId="5" xfId="0" applyNumberFormat="1" applyFont="1" applyBorder="1" applyProtection="1">
      <protection locked="0"/>
    </xf>
    <xf numFmtId="2" fontId="0" fillId="0" borderId="28" xfId="0" applyNumberFormat="1" applyBorder="1" applyProtection="1">
      <protection locked="0"/>
    </xf>
    <xf numFmtId="165" fontId="3" fillId="0" borderId="6" xfId="0" applyNumberFormat="1" applyFont="1" applyBorder="1"/>
    <xf numFmtId="2" fontId="3" fillId="0" borderId="21" xfId="0" applyNumberFormat="1" applyFont="1" applyBorder="1"/>
    <xf numFmtId="165" fontId="0" fillId="0" borderId="13" xfId="0" applyNumberFormat="1" applyBorder="1" applyProtection="1">
      <protection locked="0"/>
    </xf>
    <xf numFmtId="218" fontId="23" fillId="0" borderId="0" xfId="0" applyNumberFormat="1" applyFont="1"/>
    <xf numFmtId="166" fontId="23" fillId="0" borderId="0" xfId="0" applyNumberFormat="1" applyFont="1"/>
    <xf numFmtId="165" fontId="23" fillId="0" borderId="0" xfId="0" applyNumberFormat="1" applyFont="1"/>
    <xf numFmtId="0" fontId="3" fillId="0" borderId="52" xfId="0" applyFont="1" applyBorder="1"/>
    <xf numFmtId="49" fontId="31" fillId="0" borderId="15" xfId="0" applyNumberFormat="1" applyFont="1" applyBorder="1" applyAlignment="1">
      <alignment horizontal="center" vertical="top" wrapText="1"/>
    </xf>
    <xf numFmtId="165" fontId="3" fillId="0" borderId="0" xfId="0" applyNumberFormat="1" applyFont="1"/>
    <xf numFmtId="172" fontId="30" fillId="0" borderId="51" xfId="0" applyNumberFormat="1" applyFont="1" applyBorder="1" applyAlignment="1">
      <alignment horizontal="center" vertical="center"/>
    </xf>
    <xf numFmtId="172" fontId="30" fillId="0" borderId="5" xfId="0" applyNumberFormat="1" applyFont="1" applyBorder="1" applyAlignment="1">
      <alignment horizontal="center" vertical="center"/>
    </xf>
    <xf numFmtId="172" fontId="30" fillId="0" borderId="52" xfId="0" applyNumberFormat="1" applyFont="1" applyBorder="1" applyAlignment="1">
      <alignment horizontal="center" vertical="center"/>
    </xf>
    <xf numFmtId="172" fontId="37" fillId="0" borderId="1" xfId="0" applyNumberFormat="1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2" fontId="12" fillId="0" borderId="56" xfId="0" applyNumberFormat="1" applyFont="1" applyBorder="1" applyAlignment="1">
      <alignment horizontal="right" vertical="center"/>
    </xf>
    <xf numFmtId="172" fontId="12" fillId="0" borderId="63" xfId="0" applyNumberFormat="1" applyFont="1" applyBorder="1" applyAlignment="1">
      <alignment horizontal="right" vertical="center"/>
    </xf>
    <xf numFmtId="172" fontId="12" fillId="0" borderId="56" xfId="0" applyNumberFormat="1" applyFont="1" applyBorder="1" applyAlignment="1">
      <alignment horizontal="right" vertical="top"/>
    </xf>
    <xf numFmtId="172" fontId="30" fillId="0" borderId="56" xfId="0" applyNumberFormat="1" applyFont="1" applyBorder="1" applyAlignment="1">
      <alignment horizontal="right" vertical="top"/>
    </xf>
    <xf numFmtId="172" fontId="12" fillId="0" borderId="28" xfId="0" applyNumberFormat="1" applyFont="1" applyBorder="1" applyAlignment="1">
      <alignment horizontal="right" vertical="top"/>
    </xf>
    <xf numFmtId="172" fontId="12" fillId="0" borderId="63" xfId="0" applyNumberFormat="1" applyFont="1" applyBorder="1" applyAlignment="1">
      <alignment horizontal="right" vertical="top"/>
    </xf>
    <xf numFmtId="172" fontId="30" fillId="0" borderId="28" xfId="0" applyNumberFormat="1" applyFont="1" applyBorder="1" applyAlignment="1">
      <alignment horizontal="right" vertical="top"/>
    </xf>
    <xf numFmtId="172" fontId="12" fillId="0" borderId="28" xfId="0" applyNumberFormat="1" applyFont="1" applyBorder="1" applyAlignment="1">
      <alignment vertical="center"/>
    </xf>
    <xf numFmtId="2" fontId="3" fillId="7" borderId="72" xfId="0" applyNumberFormat="1" applyFont="1" applyFill="1" applyBorder="1" applyAlignment="1">
      <alignment vertical="center"/>
    </xf>
    <xf numFmtId="2" fontId="3" fillId="0" borderId="0" xfId="0" applyNumberFormat="1" applyFont="1" applyAlignment="1">
      <alignment vertical="center"/>
    </xf>
    <xf numFmtId="1" fontId="3" fillId="0" borderId="0" xfId="0" applyNumberFormat="1" applyFont="1"/>
    <xf numFmtId="207" fontId="3" fillId="0" borderId="35" xfId="0" applyNumberFormat="1" applyFont="1" applyBorder="1"/>
    <xf numFmtId="207" fontId="3" fillId="0" borderId="2" xfId="0" applyNumberFormat="1" applyFont="1" applyBorder="1"/>
    <xf numFmtId="207" fontId="3" fillId="9" borderId="24" xfId="3" applyNumberFormat="1" applyFont="1" applyFill="1" applyBorder="1" applyAlignment="1">
      <alignment horizontal="right"/>
    </xf>
    <xf numFmtId="172" fontId="12" fillId="0" borderId="28" xfId="0" applyNumberFormat="1" applyFont="1" applyBorder="1"/>
    <xf numFmtId="2" fontId="3" fillId="7" borderId="72" xfId="0" applyNumberFormat="1" applyFont="1" applyFill="1" applyBorder="1"/>
    <xf numFmtId="207" fontId="3" fillId="0" borderId="9" xfId="0" applyNumberFormat="1" applyFont="1" applyBorder="1"/>
    <xf numFmtId="207" fontId="3" fillId="3" borderId="11" xfId="3" applyNumberFormat="1" applyFont="1" applyFill="1" applyBorder="1" applyAlignment="1">
      <alignment horizontal="right"/>
    </xf>
    <xf numFmtId="172" fontId="30" fillId="0" borderId="54" xfId="0" applyNumberFormat="1" applyFont="1" applyBorder="1" applyAlignment="1">
      <alignment horizontal="right" vertical="top"/>
    </xf>
    <xf numFmtId="172" fontId="12" fillId="0" borderId="54" xfId="0" applyNumberFormat="1" applyFont="1" applyBorder="1" applyAlignment="1">
      <alignment horizontal="right" vertical="top"/>
    </xf>
    <xf numFmtId="207" fontId="3" fillId="0" borderId="48" xfId="0" applyNumberFormat="1" applyFont="1" applyBorder="1"/>
    <xf numFmtId="207" fontId="3" fillId="0" borderId="65" xfId="0" applyNumberFormat="1" applyFont="1" applyBorder="1"/>
    <xf numFmtId="207" fontId="3" fillId="3" borderId="38" xfId="3" applyNumberFormat="1" applyFont="1" applyFill="1" applyBorder="1" applyAlignment="1">
      <alignment horizontal="right"/>
    </xf>
    <xf numFmtId="172" fontId="11" fillId="0" borderId="28" xfId="0" applyNumberFormat="1" applyFont="1" applyBorder="1" applyAlignment="1">
      <alignment horizontal="center" vertical="top"/>
    </xf>
    <xf numFmtId="207" fontId="3" fillId="3" borderId="24" xfId="3" applyNumberFormat="1" applyFont="1" applyFill="1" applyBorder="1" applyAlignment="1">
      <alignment horizontal="right"/>
    </xf>
    <xf numFmtId="207" fontId="3" fillId="0" borderId="51" xfId="0" applyNumberFormat="1" applyFont="1" applyBorder="1"/>
    <xf numFmtId="207" fontId="1" fillId="0" borderId="5" xfId="1" applyNumberFormat="1" applyFont="1" applyFill="1" applyBorder="1"/>
    <xf numFmtId="207" fontId="1" fillId="0" borderId="5" xfId="0" applyNumberFormat="1" applyFont="1" applyBorder="1"/>
    <xf numFmtId="172" fontId="11" fillId="0" borderId="28" xfId="0" applyNumberFormat="1" applyFont="1" applyBorder="1" applyAlignment="1">
      <alignment horizontal="right" vertical="top"/>
    </xf>
    <xf numFmtId="207" fontId="3" fillId="0" borderId="12" xfId="0" applyNumberFormat="1" applyFont="1" applyBorder="1"/>
    <xf numFmtId="207" fontId="3" fillId="0" borderId="1" xfId="0" applyNumberFormat="1" applyFont="1" applyBorder="1"/>
    <xf numFmtId="207" fontId="1" fillId="0" borderId="1" xfId="1" applyNumberFormat="1" applyFont="1" applyBorder="1"/>
    <xf numFmtId="207" fontId="1" fillId="0" borderId="1" xfId="1" applyNumberFormat="1" applyFont="1" applyBorder="1" applyAlignment="1">
      <alignment horizontal="right"/>
    </xf>
    <xf numFmtId="207" fontId="1" fillId="0" borderId="1" xfId="1" applyNumberFormat="1" applyFont="1" applyFill="1" applyBorder="1" applyAlignment="1">
      <alignment horizontal="right"/>
    </xf>
    <xf numFmtId="207" fontId="3" fillId="0" borderId="1" xfId="1" applyNumberFormat="1" applyFont="1" applyBorder="1" applyAlignment="1">
      <alignment horizontal="right"/>
    </xf>
    <xf numFmtId="207" fontId="3" fillId="0" borderId="46" xfId="0" applyNumberFormat="1" applyFont="1" applyBorder="1"/>
    <xf numFmtId="207" fontId="3" fillId="0" borderId="3" xfId="0" applyNumberFormat="1" applyFont="1" applyBorder="1"/>
    <xf numFmtId="207" fontId="3" fillId="0" borderId="90" xfId="0" applyNumberFormat="1" applyFont="1" applyBorder="1"/>
    <xf numFmtId="207" fontId="3" fillId="0" borderId="3" xfId="1" applyNumberFormat="1" applyFont="1" applyBorder="1"/>
    <xf numFmtId="207" fontId="3" fillId="0" borderId="3" xfId="1" applyNumberFormat="1" applyFont="1" applyBorder="1" applyAlignment="1">
      <alignment horizontal="right"/>
    </xf>
    <xf numFmtId="207" fontId="3" fillId="0" borderId="3" xfId="1" applyNumberFormat="1" applyFont="1" applyFill="1" applyBorder="1" applyAlignment="1">
      <alignment horizontal="right"/>
    </xf>
    <xf numFmtId="0" fontId="3" fillId="0" borderId="8" xfId="0" applyFont="1" applyBorder="1"/>
    <xf numFmtId="207" fontId="5" fillId="0" borderId="7" xfId="1" applyNumberFormat="1" applyFont="1" applyFill="1" applyBorder="1"/>
    <xf numFmtId="9" fontId="3" fillId="0" borderId="0" xfId="3" applyFont="1" applyFill="1" applyBorder="1" applyAlignment="1">
      <alignment horizontal="center"/>
    </xf>
    <xf numFmtId="207" fontId="3" fillId="0" borderId="63" xfId="0" applyNumberFormat="1" applyFont="1" applyBorder="1"/>
    <xf numFmtId="207" fontId="3" fillId="0" borderId="63" xfId="1" applyNumberFormat="1" applyFont="1" applyBorder="1"/>
    <xf numFmtId="172" fontId="31" fillId="0" borderId="5" xfId="0" applyNumberFormat="1" applyFont="1" applyBorder="1" applyAlignment="1">
      <alignment horizontal="right" vertical="top"/>
    </xf>
    <xf numFmtId="172" fontId="31" fillId="0" borderId="28" xfId="0" applyNumberFormat="1" applyFont="1" applyBorder="1"/>
    <xf numFmtId="2" fontId="3" fillId="7" borderId="81" xfId="0" applyNumberFormat="1" applyFont="1" applyFill="1" applyBorder="1"/>
    <xf numFmtId="0" fontId="3" fillId="0" borderId="48" xfId="0" applyFont="1" applyBorder="1"/>
    <xf numFmtId="207" fontId="5" fillId="0" borderId="57" xfId="1" applyNumberFormat="1" applyFont="1" applyFill="1" applyBorder="1"/>
    <xf numFmtId="172" fontId="91" fillId="0" borderId="1" xfId="0" applyNumberFormat="1" applyFont="1" applyBorder="1"/>
    <xf numFmtId="172" fontId="91" fillId="0" borderId="15" xfId="0" applyNumberFormat="1" applyFont="1" applyBorder="1"/>
    <xf numFmtId="172" fontId="91" fillId="0" borderId="66" xfId="0" applyNumberFormat="1" applyFont="1" applyBorder="1"/>
    <xf numFmtId="172" fontId="30" fillId="0" borderId="1" xfId="0" applyNumberFormat="1" applyFont="1" applyBorder="1"/>
    <xf numFmtId="2" fontId="3" fillId="7" borderId="71" xfId="0" applyNumberFormat="1" applyFont="1" applyFill="1" applyBorder="1"/>
    <xf numFmtId="207" fontId="3" fillId="0" borderId="0" xfId="0" applyNumberFormat="1" applyFont="1"/>
    <xf numFmtId="207" fontId="5" fillId="0" borderId="0" xfId="0" applyNumberFormat="1" applyFont="1" applyAlignment="1">
      <alignment horizontal="center"/>
    </xf>
    <xf numFmtId="207" fontId="3" fillId="0" borderId="0" xfId="1" applyNumberFormat="1" applyFont="1" applyFill="1" applyBorder="1"/>
    <xf numFmtId="207" fontId="3" fillId="0" borderId="0" xfId="1" applyNumberFormat="1" applyFont="1" applyBorder="1"/>
    <xf numFmtId="207" fontId="3" fillId="0" borderId="0" xfId="3" applyNumberFormat="1" applyFont="1" applyBorder="1" applyAlignment="1">
      <alignment horizontal="center"/>
    </xf>
    <xf numFmtId="2" fontId="3" fillId="7" borderId="104" xfId="0" applyNumberFormat="1" applyFont="1" applyFill="1" applyBorder="1"/>
    <xf numFmtId="207" fontId="3" fillId="3" borderId="2" xfId="0" applyNumberFormat="1" applyFont="1" applyFill="1" applyBorder="1"/>
    <xf numFmtId="166" fontId="3" fillId="0" borderId="0" xfId="0" applyNumberFormat="1" applyFont="1"/>
    <xf numFmtId="2" fontId="3" fillId="7" borderId="74" xfId="0" applyNumberFormat="1" applyFont="1" applyFill="1" applyBorder="1"/>
    <xf numFmtId="2" fontId="3" fillId="23" borderId="0" xfId="0" applyNumberFormat="1" applyFont="1" applyFill="1"/>
    <xf numFmtId="166" fontId="3" fillId="23" borderId="0" xfId="0" applyNumberFormat="1" applyFont="1" applyFill="1"/>
    <xf numFmtId="166" fontId="23" fillId="23" borderId="0" xfId="0" applyNumberFormat="1" applyFont="1" applyFill="1"/>
    <xf numFmtId="207" fontId="1" fillId="0" borderId="1" xfId="0" applyNumberFormat="1" applyFont="1" applyBorder="1"/>
    <xf numFmtId="2" fontId="5" fillId="7" borderId="74" xfId="0" applyNumberFormat="1" applyFont="1" applyFill="1" applyBorder="1"/>
    <xf numFmtId="2" fontId="3" fillId="7" borderId="75" xfId="0" applyNumberFormat="1" applyFont="1" applyFill="1" applyBorder="1"/>
    <xf numFmtId="0" fontId="3" fillId="0" borderId="6" xfId="0" applyFont="1" applyBorder="1"/>
    <xf numFmtId="192" fontId="31" fillId="0" borderId="0" xfId="0" applyNumberFormat="1" applyFont="1" applyAlignment="1">
      <alignment horizontal="right" vertical="top"/>
    </xf>
    <xf numFmtId="192" fontId="3" fillId="0" borderId="0" xfId="0" applyNumberFormat="1" applyFont="1"/>
    <xf numFmtId="173" fontId="3" fillId="0" borderId="0" xfId="0" applyNumberFormat="1" applyFont="1"/>
    <xf numFmtId="207" fontId="5" fillId="3" borderId="0" xfId="0" applyNumberFormat="1" applyFont="1" applyFill="1"/>
    <xf numFmtId="172" fontId="30" fillId="0" borderId="65" xfId="0" applyNumberFormat="1" applyFont="1" applyBorder="1" applyAlignment="1">
      <alignment horizontal="right" vertical="top"/>
    </xf>
    <xf numFmtId="172" fontId="12" fillId="0" borderId="65" xfId="0" applyNumberFormat="1" applyFont="1" applyBorder="1" applyAlignment="1">
      <alignment horizontal="right" vertical="top"/>
    </xf>
    <xf numFmtId="172" fontId="30" fillId="0" borderId="4" xfId="0" applyNumberFormat="1" applyFont="1" applyBorder="1" applyAlignment="1">
      <alignment horizontal="right" vertical="top"/>
    </xf>
    <xf numFmtId="172" fontId="5" fillId="0" borderId="3" xfId="0" applyNumberFormat="1" applyFont="1" applyBorder="1"/>
    <xf numFmtId="2" fontId="0" fillId="0" borderId="28" xfId="0" applyNumberFormat="1" applyBorder="1"/>
    <xf numFmtId="172" fontId="27" fillId="0" borderId="28" xfId="0" applyNumberFormat="1" applyFont="1" applyBorder="1" applyAlignment="1">
      <alignment horizontal="right" vertical="top"/>
    </xf>
    <xf numFmtId="172" fontId="21" fillId="0" borderId="28" xfId="0" applyNumberFormat="1" applyFont="1" applyBorder="1" applyAlignment="1">
      <alignment horizontal="right" vertical="top"/>
    </xf>
    <xf numFmtId="2" fontId="0" fillId="0" borderId="65" xfId="0" applyNumberFormat="1" applyBorder="1"/>
    <xf numFmtId="172" fontId="12" fillId="0" borderId="7" xfId="0" applyNumberFormat="1" applyFont="1" applyBorder="1" applyAlignment="1">
      <alignment horizontal="right" vertical="top"/>
    </xf>
    <xf numFmtId="2" fontId="30" fillId="0" borderId="37" xfId="0" applyNumberFormat="1" applyFont="1" applyBorder="1" applyAlignment="1">
      <alignment horizontal="right" vertical="top"/>
    </xf>
    <xf numFmtId="172" fontId="5" fillId="0" borderId="7" xfId="0" applyNumberFormat="1" applyFont="1" applyBorder="1"/>
    <xf numFmtId="173" fontId="31" fillId="0" borderId="95" xfId="0" applyNumberFormat="1" applyFont="1" applyBorder="1" applyAlignment="1">
      <alignment horizontal="right" vertical="top"/>
    </xf>
    <xf numFmtId="172" fontId="11" fillId="0" borderId="95" xfId="0" applyNumberFormat="1" applyFont="1" applyBorder="1" applyAlignment="1">
      <alignment horizontal="right" vertical="top"/>
    </xf>
    <xf numFmtId="173" fontId="31" fillId="0" borderId="85" xfId="0" applyNumberFormat="1" applyFont="1" applyBorder="1" applyAlignment="1">
      <alignment horizontal="right" vertical="top"/>
    </xf>
    <xf numFmtId="173" fontId="31" fillId="0" borderId="28" xfId="0" applyNumberFormat="1" applyFont="1" applyBorder="1" applyAlignment="1">
      <alignment horizontal="right" vertical="top"/>
    </xf>
    <xf numFmtId="173" fontId="31" fillId="0" borderId="54" xfId="0" applyNumberFormat="1" applyFont="1" applyBorder="1" applyAlignment="1">
      <alignment horizontal="right" vertical="top"/>
    </xf>
    <xf numFmtId="2" fontId="3" fillId="0" borderId="54" xfId="0" applyNumberFormat="1" applyFont="1" applyBorder="1"/>
    <xf numFmtId="172" fontId="3" fillId="0" borderId="28" xfId="0" applyNumberFormat="1" applyFont="1" applyBorder="1"/>
    <xf numFmtId="0" fontId="0" fillId="0" borderId="65" xfId="0" applyBorder="1"/>
    <xf numFmtId="0" fontId="3" fillId="0" borderId="28" xfId="0" applyFont="1" applyBorder="1"/>
    <xf numFmtId="165" fontId="6" fillId="2" borderId="9" xfId="0" applyNumberFormat="1" applyFont="1" applyFill="1" applyBorder="1"/>
    <xf numFmtId="0" fontId="6" fillId="2" borderId="9" xfId="0" applyFont="1" applyFill="1" applyBorder="1"/>
    <xf numFmtId="0" fontId="6" fillId="2" borderId="5" xfId="0" applyFont="1" applyFill="1" applyBorder="1"/>
    <xf numFmtId="0" fontId="6" fillId="2" borderId="52" xfId="0" applyFont="1" applyFill="1" applyBorder="1"/>
    <xf numFmtId="165" fontId="6" fillId="2" borderId="12" xfId="0" applyNumberFormat="1" applyFont="1" applyFill="1" applyBorder="1"/>
    <xf numFmtId="165" fontId="6" fillId="2" borderId="35" xfId="0" applyNumberFormat="1" applyFont="1" applyFill="1" applyBorder="1"/>
    <xf numFmtId="2" fontId="6" fillId="2" borderId="97" xfId="0" applyNumberFormat="1" applyFont="1" applyFill="1" applyBorder="1"/>
    <xf numFmtId="2" fontId="6" fillId="2" borderId="96" xfId="0" applyNumberFormat="1" applyFont="1" applyFill="1" applyBorder="1"/>
    <xf numFmtId="2" fontId="6" fillId="0" borderId="26" xfId="0" applyNumberFormat="1" applyFont="1" applyBorder="1"/>
    <xf numFmtId="2" fontId="6" fillId="0" borderId="11" xfId="1" applyNumberFormat="1" applyFont="1" applyBorder="1"/>
    <xf numFmtId="219" fontId="6" fillId="0" borderId="11" xfId="1" applyNumberFormat="1" applyFont="1" applyBorder="1"/>
    <xf numFmtId="169" fontId="9" fillId="24" borderId="0" xfId="0" applyNumberFormat="1" applyFont="1" applyFill="1" applyAlignment="1">
      <alignment horizontal="right"/>
    </xf>
    <xf numFmtId="166" fontId="15" fillId="24" borderId="0" xfId="0" applyNumberFormat="1" applyFont="1" applyFill="1"/>
    <xf numFmtId="169" fontId="8" fillId="22" borderId="0" xfId="0" applyNumberFormat="1" applyFont="1" applyFill="1"/>
    <xf numFmtId="2" fontId="8" fillId="22" borderId="0" xfId="0" applyNumberFormat="1" applyFont="1" applyFill="1" applyAlignment="1">
      <alignment horizontal="center"/>
    </xf>
    <xf numFmtId="166" fontId="8" fillId="22" borderId="0" xfId="0" applyNumberFormat="1" applyFont="1" applyFill="1"/>
    <xf numFmtId="2" fontId="8" fillId="0" borderId="0" xfId="0" applyNumberFormat="1" applyFont="1" applyAlignment="1">
      <alignment horizontal="center"/>
    </xf>
    <xf numFmtId="169" fontId="76" fillId="11" borderId="10" xfId="0" applyNumberFormat="1" applyFont="1" applyFill="1" applyBorder="1" applyAlignment="1">
      <alignment horizontal="right" vertical="top"/>
    </xf>
    <xf numFmtId="172" fontId="76" fillId="11" borderId="1" xfId="0" applyNumberFormat="1" applyFont="1" applyFill="1" applyBorder="1" applyAlignment="1">
      <alignment horizontal="right" vertical="top"/>
    </xf>
    <xf numFmtId="172" fontId="76" fillId="11" borderId="11" xfId="0" applyNumberFormat="1" applyFont="1" applyFill="1" applyBorder="1" applyAlignment="1">
      <alignment horizontal="right" vertical="top"/>
    </xf>
    <xf numFmtId="166" fontId="76" fillId="0" borderId="13" xfId="0" applyNumberFormat="1" applyFont="1" applyBorder="1" applyAlignment="1">
      <alignment horizontal="right" vertical="top"/>
    </xf>
    <xf numFmtId="169" fontId="76" fillId="11" borderId="13" xfId="0" applyNumberFormat="1" applyFont="1" applyFill="1" applyBorder="1" applyAlignment="1">
      <alignment horizontal="right" vertical="top"/>
    </xf>
    <xf numFmtId="172" fontId="76" fillId="11" borderId="14" xfId="0" applyNumberFormat="1" applyFont="1" applyFill="1" applyBorder="1" applyAlignment="1">
      <alignment horizontal="right" vertical="top"/>
    </xf>
    <xf numFmtId="172" fontId="76" fillId="0" borderId="28" xfId="0" applyNumberFormat="1" applyFont="1" applyBorder="1" applyAlignment="1">
      <alignment horizontal="right" vertical="top"/>
    </xf>
    <xf numFmtId="169" fontId="76" fillId="11" borderId="25" xfId="0" applyNumberFormat="1" applyFont="1" applyFill="1" applyBorder="1" applyAlignment="1">
      <alignment horizontal="right" vertical="top"/>
    </xf>
    <xf numFmtId="172" fontId="76" fillId="11" borderId="47" xfId="0" applyNumberFormat="1" applyFont="1" applyFill="1" applyBorder="1" applyAlignment="1">
      <alignment horizontal="right" vertical="top"/>
    </xf>
    <xf numFmtId="169" fontId="73" fillId="11" borderId="6" xfId="0" applyNumberFormat="1" applyFont="1" applyFill="1" applyBorder="1" applyAlignment="1">
      <alignment horizontal="right" vertical="top"/>
    </xf>
    <xf numFmtId="172" fontId="73" fillId="11" borderId="7" xfId="0" applyNumberFormat="1" applyFont="1" applyFill="1" applyBorder="1" applyAlignment="1">
      <alignment horizontal="right" vertical="top"/>
    </xf>
    <xf numFmtId="172" fontId="73" fillId="11" borderId="21" xfId="0" applyNumberFormat="1" applyFont="1" applyFill="1" applyBorder="1" applyAlignment="1">
      <alignment horizontal="right" vertical="top"/>
    </xf>
    <xf numFmtId="169" fontId="76" fillId="11" borderId="35" xfId="0" applyNumberFormat="1" applyFont="1" applyFill="1" applyBorder="1" applyAlignment="1">
      <alignment horizontal="right" vertical="top"/>
    </xf>
    <xf numFmtId="172" fontId="76" fillId="11" borderId="97" xfId="0" applyNumberFormat="1" applyFont="1" applyFill="1" applyBorder="1" applyAlignment="1">
      <alignment horizontal="right" vertical="top"/>
    </xf>
    <xf numFmtId="169" fontId="76" fillId="11" borderId="12" xfId="0" applyNumberFormat="1" applyFont="1" applyFill="1" applyBorder="1" applyAlignment="1">
      <alignment horizontal="right" vertical="top"/>
    </xf>
    <xf numFmtId="172" fontId="76" fillId="11" borderId="93" xfId="0" applyNumberFormat="1" applyFont="1" applyFill="1" applyBorder="1" applyAlignment="1">
      <alignment horizontal="right" vertical="top"/>
    </xf>
    <xf numFmtId="0" fontId="39" fillId="0" borderId="12" xfId="0" applyFont="1" applyBorder="1"/>
    <xf numFmtId="2" fontId="39" fillId="0" borderId="15" xfId="0" applyNumberFormat="1" applyFont="1" applyBorder="1"/>
    <xf numFmtId="0" fontId="39" fillId="0" borderId="14" xfId="0" applyFont="1" applyBorder="1"/>
    <xf numFmtId="169" fontId="76" fillId="11" borderId="46" xfId="0" applyNumberFormat="1" applyFont="1" applyFill="1" applyBorder="1" applyAlignment="1">
      <alignment horizontal="right" vertical="top"/>
    </xf>
    <xf numFmtId="172" fontId="76" fillId="11" borderId="96" xfId="0" applyNumberFormat="1" applyFont="1" applyFill="1" applyBorder="1" applyAlignment="1">
      <alignment horizontal="right" vertical="top"/>
    </xf>
    <xf numFmtId="169" fontId="79" fillId="0" borderId="37" xfId="0" applyNumberFormat="1" applyFont="1" applyBorder="1"/>
    <xf numFmtId="172" fontId="79" fillId="0" borderId="37" xfId="0" applyNumberFormat="1" applyFont="1" applyBorder="1"/>
    <xf numFmtId="169" fontId="79" fillId="11" borderId="8" xfId="0" applyNumberFormat="1" applyFont="1" applyFill="1" applyBorder="1"/>
    <xf numFmtId="172" fontId="79" fillId="11" borderId="73" xfId="0" applyNumberFormat="1" applyFont="1" applyFill="1" applyBorder="1"/>
    <xf numFmtId="169" fontId="76" fillId="11" borderId="9" xfId="0" applyNumberFormat="1" applyFont="1" applyFill="1" applyBorder="1" applyAlignment="1">
      <alignment horizontal="right" vertical="top"/>
    </xf>
    <xf numFmtId="172" fontId="76" fillId="11" borderId="5" xfId="0" applyNumberFormat="1" applyFont="1" applyFill="1" applyBorder="1" applyAlignment="1">
      <alignment horizontal="right" vertical="top"/>
    </xf>
    <xf numFmtId="172" fontId="76" fillId="11" borderId="91" xfId="0" applyNumberFormat="1" applyFont="1" applyFill="1" applyBorder="1" applyAlignment="1">
      <alignment horizontal="right" vertical="top"/>
    </xf>
    <xf numFmtId="169" fontId="77" fillId="0" borderId="12" xfId="0" applyNumberFormat="1" applyFont="1" applyBorder="1" applyAlignment="1">
      <alignment horizontal="right" vertical="top"/>
    </xf>
    <xf numFmtId="172" fontId="77" fillId="0" borderId="5" xfId="0" applyNumberFormat="1" applyFont="1" applyBorder="1" applyAlignment="1">
      <alignment horizontal="right" vertical="top"/>
    </xf>
    <xf numFmtId="172" fontId="77" fillId="0" borderId="93" xfId="0" applyNumberFormat="1" applyFont="1" applyBorder="1" applyAlignment="1">
      <alignment horizontal="right" vertical="top"/>
    </xf>
    <xf numFmtId="169" fontId="73" fillId="11" borderId="8" xfId="0" applyNumberFormat="1" applyFont="1" applyFill="1" applyBorder="1" applyAlignment="1">
      <alignment horizontal="right" vertical="top"/>
    </xf>
    <xf numFmtId="172" fontId="73" fillId="11" borderId="73" xfId="0" applyNumberFormat="1" applyFont="1" applyFill="1" applyBorder="1" applyAlignment="1">
      <alignment horizontal="right" vertical="top"/>
    </xf>
    <xf numFmtId="166" fontId="73" fillId="0" borderId="8" xfId="0" applyNumberFormat="1" applyFont="1" applyBorder="1" applyAlignment="1">
      <alignment horizontal="right" vertical="center"/>
    </xf>
    <xf numFmtId="184" fontId="78" fillId="10" borderId="0" xfId="0" applyNumberFormat="1" applyFont="1" applyFill="1"/>
    <xf numFmtId="169" fontId="76" fillId="0" borderId="0" xfId="0" applyNumberFormat="1" applyFont="1" applyAlignment="1">
      <alignment horizontal="right" vertical="top"/>
    </xf>
    <xf numFmtId="166" fontId="76" fillId="0" borderId="0" xfId="0" applyNumberFormat="1" applyFont="1" applyAlignment="1">
      <alignment horizontal="right" vertical="top"/>
    </xf>
    <xf numFmtId="172" fontId="88" fillId="0" borderId="15" xfId="0" applyNumberFormat="1" applyFont="1" applyBorder="1" applyAlignment="1">
      <alignment horizontal="right" vertical="top"/>
    </xf>
    <xf numFmtId="2" fontId="0" fillId="26" borderId="0" xfId="0" applyNumberFormat="1" applyFill="1"/>
    <xf numFmtId="164" fontId="0" fillId="0" borderId="54" xfId="1" applyFont="1" applyBorder="1"/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3" fillId="0" borderId="37" xfId="0" applyNumberFormat="1" applyFont="1" applyBorder="1" applyAlignment="1">
      <alignment horizontal="center"/>
    </xf>
    <xf numFmtId="165" fontId="3" fillId="0" borderId="70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2" xfId="0" applyBorder="1" applyAlignment="1">
      <alignment horizontal="center"/>
    </xf>
    <xf numFmtId="0" fontId="60" fillId="3" borderId="22" xfId="0" applyFont="1" applyFill="1" applyBorder="1" applyAlignment="1">
      <alignment horizontal="center" vertical="center"/>
    </xf>
    <xf numFmtId="0" fontId="60" fillId="3" borderId="2" xfId="0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54" fillId="0" borderId="0" xfId="0" applyFont="1" applyAlignment="1">
      <alignment horizontal="center"/>
    </xf>
    <xf numFmtId="49" fontId="74" fillId="0" borderId="104" xfId="0" applyNumberFormat="1" applyFont="1" applyBorder="1" applyAlignment="1">
      <alignment horizontal="center" vertical="center"/>
    </xf>
    <xf numFmtId="49" fontId="74" fillId="0" borderId="75" xfId="0" applyNumberFormat="1" applyFont="1" applyBorder="1" applyAlignment="1">
      <alignment horizontal="center" vertical="center"/>
    </xf>
    <xf numFmtId="17" fontId="38" fillId="0" borderId="79" xfId="0" applyNumberFormat="1" applyFont="1" applyBorder="1" applyAlignment="1">
      <alignment horizontal="center"/>
    </xf>
    <xf numFmtId="0" fontId="38" fillId="0" borderId="79" xfId="0" applyFont="1" applyBorder="1" applyAlignment="1">
      <alignment horizontal="center"/>
    </xf>
    <xf numFmtId="17" fontId="38" fillId="0" borderId="87" xfId="0" applyNumberFormat="1" applyFont="1" applyBorder="1" applyAlignment="1">
      <alignment horizontal="center"/>
    </xf>
    <xf numFmtId="0" fontId="38" fillId="0" borderId="80" xfId="0" applyFont="1" applyBorder="1" applyAlignment="1">
      <alignment horizontal="center"/>
    </xf>
    <xf numFmtId="49" fontId="73" fillId="0" borderId="24" xfId="0" applyNumberFormat="1" applyFont="1" applyBorder="1" applyAlignment="1">
      <alignment horizontal="center" vertical="top"/>
    </xf>
    <xf numFmtId="49" fontId="73" fillId="0" borderId="18" xfId="0" applyNumberFormat="1" applyFont="1" applyBorder="1" applyAlignment="1">
      <alignment horizontal="center" vertical="top"/>
    </xf>
    <xf numFmtId="49" fontId="73" fillId="0" borderId="23" xfId="0" applyNumberFormat="1" applyFont="1" applyBorder="1" applyAlignment="1">
      <alignment horizontal="center" vertical="top" wrapText="1"/>
    </xf>
    <xf numFmtId="49" fontId="73" fillId="0" borderId="44" xfId="0" applyNumberFormat="1" applyFont="1" applyBorder="1" applyAlignment="1">
      <alignment horizontal="center" vertical="top" wrapText="1"/>
    </xf>
    <xf numFmtId="49" fontId="73" fillId="0" borderId="95" xfId="0" applyNumberFormat="1" applyFont="1" applyBorder="1" applyAlignment="1">
      <alignment horizontal="center" vertical="top"/>
    </xf>
    <xf numFmtId="49" fontId="73" fillId="0" borderId="65" xfId="0" applyNumberFormat="1" applyFont="1" applyBorder="1" applyAlignment="1">
      <alignment horizontal="center" vertical="top"/>
    </xf>
    <xf numFmtId="49" fontId="73" fillId="0" borderId="2" xfId="0" applyNumberFormat="1" applyFont="1" applyBorder="1" applyAlignment="1">
      <alignment horizontal="center" vertical="top"/>
    </xf>
    <xf numFmtId="49" fontId="73" fillId="0" borderId="3" xfId="0" applyNumberFormat="1" applyFont="1" applyBorder="1" applyAlignment="1">
      <alignment horizontal="center" vertical="top"/>
    </xf>
    <xf numFmtId="49" fontId="73" fillId="0" borderId="42" xfId="0" applyNumberFormat="1" applyFont="1" applyBorder="1" applyAlignment="1">
      <alignment horizontal="center" vertical="top"/>
    </xf>
    <xf numFmtId="49" fontId="73" fillId="0" borderId="19" xfId="0" applyNumberFormat="1" applyFont="1" applyBorder="1" applyAlignment="1">
      <alignment horizontal="center" vertical="top"/>
    </xf>
    <xf numFmtId="49" fontId="73" fillId="0" borderId="22" xfId="0" applyNumberFormat="1" applyFont="1" applyBorder="1" applyAlignment="1">
      <alignment horizontal="center" vertical="top" wrapText="1"/>
    </xf>
    <xf numFmtId="49" fontId="73" fillId="0" borderId="17" xfId="0" applyNumberFormat="1" applyFont="1" applyBorder="1" applyAlignment="1">
      <alignment horizontal="center" vertical="top" wrapText="1"/>
    </xf>
    <xf numFmtId="49" fontId="75" fillId="0" borderId="24" xfId="0" applyNumberFormat="1" applyFont="1" applyBorder="1" applyAlignment="1">
      <alignment horizontal="center" vertical="top"/>
    </xf>
    <xf numFmtId="49" fontId="75" fillId="0" borderId="18" xfId="0" applyNumberFormat="1" applyFont="1" applyBorder="1" applyAlignment="1">
      <alignment horizontal="center" vertical="top"/>
    </xf>
    <xf numFmtId="49" fontId="75" fillId="0" borderId="22" xfId="0" applyNumberFormat="1" applyFont="1" applyBorder="1" applyAlignment="1">
      <alignment horizontal="center" vertical="top" wrapText="1"/>
    </xf>
    <xf numFmtId="49" fontId="75" fillId="0" borderId="17" xfId="0" applyNumberFormat="1" applyFont="1" applyBorder="1" applyAlignment="1">
      <alignment horizontal="center" vertical="top" wrapText="1"/>
    </xf>
    <xf numFmtId="0" fontId="38" fillId="0" borderId="87" xfId="0" applyFont="1" applyBorder="1" applyAlignment="1">
      <alignment horizontal="center"/>
    </xf>
    <xf numFmtId="49" fontId="73" fillId="0" borderId="35" xfId="0" applyNumberFormat="1" applyFont="1" applyBorder="1" applyAlignment="1">
      <alignment horizontal="center" vertical="top" wrapText="1"/>
    </xf>
    <xf numFmtId="49" fontId="73" fillId="0" borderId="16" xfId="0" applyNumberFormat="1" applyFont="1" applyBorder="1" applyAlignment="1">
      <alignment horizontal="center" vertical="top" wrapText="1"/>
    </xf>
    <xf numFmtId="49" fontId="73" fillId="0" borderId="2" xfId="0" applyNumberFormat="1" applyFont="1" applyBorder="1" applyAlignment="1">
      <alignment horizontal="center" vertical="top" wrapText="1"/>
    </xf>
    <xf numFmtId="49" fontId="73" fillId="0" borderId="3" xfId="0" applyNumberFormat="1" applyFont="1" applyBorder="1" applyAlignment="1">
      <alignment horizontal="center" vertical="top" wrapText="1"/>
    </xf>
    <xf numFmtId="49" fontId="73" fillId="0" borderId="97" xfId="0" applyNumberFormat="1" applyFont="1" applyBorder="1" applyAlignment="1">
      <alignment horizontal="center" vertical="top" wrapText="1"/>
    </xf>
    <xf numFmtId="49" fontId="73" fillId="0" borderId="92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17" fontId="6" fillId="0" borderId="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7" fontId="7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65" fontId="6" fillId="0" borderId="0" xfId="0" applyNumberFormat="1" applyFont="1" applyAlignment="1">
      <alignment horizontal="right"/>
    </xf>
    <xf numFmtId="175" fontId="7" fillId="0" borderId="0" xfId="1" applyNumberFormat="1" applyFont="1" applyAlignment="1"/>
    <xf numFmtId="0" fontId="6" fillId="0" borderId="4" xfId="0" applyFont="1" applyBorder="1" applyAlignment="1">
      <alignment horizontal="center"/>
    </xf>
    <xf numFmtId="0" fontId="6" fillId="0" borderId="3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97" xfId="0" applyFont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73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7" xfId="0" applyFont="1" applyFill="1" applyBorder="1" applyAlignment="1">
      <alignment horizontal="center" vertical="center" wrapText="1"/>
    </xf>
    <xf numFmtId="0" fontId="6" fillId="2" borderId="9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3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20" xfId="0" applyFont="1" applyBorder="1" applyAlignment="1" applyProtection="1">
      <alignment horizontal="center"/>
      <protection locked="0"/>
    </xf>
    <xf numFmtId="0" fontId="17" fillId="0" borderId="37" xfId="0" applyFont="1" applyBorder="1" applyAlignment="1" applyProtection="1">
      <alignment horizontal="center"/>
      <protection locked="0"/>
    </xf>
    <xf numFmtId="0" fontId="17" fillId="0" borderId="8" xfId="0" applyFont="1" applyBorder="1" applyAlignment="1" applyProtection="1">
      <alignment horizontal="center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76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0" fontId="17" fillId="0" borderId="73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8" fillId="0" borderId="8" xfId="0" applyFont="1" applyBorder="1" applyAlignment="1" applyProtection="1">
      <alignment horizontal="center"/>
      <protection locked="0"/>
    </xf>
    <xf numFmtId="0" fontId="18" fillId="0" borderId="37" xfId="0" applyFont="1" applyBorder="1" applyAlignment="1" applyProtection="1">
      <alignment horizontal="center"/>
      <protection locked="0"/>
    </xf>
    <xf numFmtId="0" fontId="3" fillId="0" borderId="10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18" fillId="4" borderId="8" xfId="0" applyFont="1" applyFill="1" applyBorder="1" applyAlignment="1" applyProtection="1">
      <alignment horizontal="center" vertical="center"/>
      <protection locked="0"/>
    </xf>
    <xf numFmtId="0" fontId="18" fillId="4" borderId="37" xfId="0" applyFont="1" applyFill="1" applyBorder="1" applyAlignment="1" applyProtection="1">
      <alignment horizontal="center" vertical="center"/>
      <protection locked="0"/>
    </xf>
    <xf numFmtId="0" fontId="18" fillId="4" borderId="73" xfId="0" applyFont="1" applyFill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37" xfId="0" applyFont="1" applyBorder="1" applyAlignment="1" applyProtection="1">
      <alignment horizontal="center" vertical="center"/>
      <protection locked="0"/>
    </xf>
    <xf numFmtId="0" fontId="18" fillId="0" borderId="73" xfId="0" applyFont="1" applyBorder="1" applyAlignment="1" applyProtection="1">
      <alignment horizontal="center" vertical="center"/>
      <protection locked="0"/>
    </xf>
    <xf numFmtId="165" fontId="5" fillId="4" borderId="8" xfId="0" applyNumberFormat="1" applyFont="1" applyFill="1" applyBorder="1" applyAlignment="1" applyProtection="1">
      <alignment horizontal="center"/>
      <protection locked="0"/>
    </xf>
    <xf numFmtId="165" fontId="5" fillId="4" borderId="37" xfId="0" applyNumberFormat="1" applyFont="1" applyFill="1" applyBorder="1" applyAlignment="1" applyProtection="1">
      <alignment horizontal="center"/>
      <protection locked="0"/>
    </xf>
    <xf numFmtId="165" fontId="5" fillId="4" borderId="73" xfId="0" applyNumberFormat="1" applyFont="1" applyFill="1" applyBorder="1" applyAlignment="1" applyProtection="1">
      <alignment horizontal="center"/>
      <protection locked="0"/>
    </xf>
    <xf numFmtId="49" fontId="23" fillId="0" borderId="0" xfId="0" applyNumberFormat="1" applyFont="1" applyAlignment="1">
      <alignment vertical="top"/>
    </xf>
    <xf numFmtId="49" fontId="36" fillId="0" borderId="90" xfId="0" applyNumberFormat="1" applyFont="1" applyBorder="1" applyAlignment="1">
      <alignment vertical="top"/>
    </xf>
    <xf numFmtId="0" fontId="29" fillId="0" borderId="0" xfId="0" applyFont="1" applyAlignment="1">
      <alignment horizontal="center" vertical="center"/>
    </xf>
    <xf numFmtId="17" fontId="33" fillId="0" borderId="8" xfId="0" applyNumberFormat="1" applyFont="1" applyBorder="1" applyAlignment="1">
      <alignment horizontal="center" vertical="center" wrapText="1"/>
    </xf>
    <xf numFmtId="17" fontId="33" fillId="0" borderId="37" xfId="0" applyNumberFormat="1" applyFont="1" applyBorder="1" applyAlignment="1">
      <alignment horizontal="center" vertical="center" wrapText="1"/>
    </xf>
    <xf numFmtId="17" fontId="33" fillId="0" borderId="73" xfId="0" applyNumberFormat="1" applyFont="1" applyBorder="1" applyAlignment="1">
      <alignment horizontal="center" vertical="center" wrapText="1"/>
    </xf>
    <xf numFmtId="0" fontId="33" fillId="17" borderId="8" xfId="0" applyFont="1" applyFill="1" applyBorder="1" applyAlignment="1">
      <alignment horizontal="center" vertical="center" wrapText="1"/>
    </xf>
    <xf numFmtId="0" fontId="33" fillId="17" borderId="37" xfId="0" applyFont="1" applyFill="1" applyBorder="1" applyAlignment="1">
      <alignment horizontal="center" vertical="center" wrapText="1"/>
    </xf>
    <xf numFmtId="0" fontId="33" fillId="17" borderId="73" xfId="0" applyFont="1" applyFill="1" applyBorder="1" applyAlignment="1">
      <alignment horizontal="center" vertical="center" wrapText="1"/>
    </xf>
    <xf numFmtId="2" fontId="7" fillId="0" borderId="27" xfId="0" applyNumberFormat="1" applyFont="1" applyBorder="1" applyAlignment="1">
      <alignment horizontal="center" vertical="center"/>
    </xf>
    <xf numFmtId="17" fontId="6" fillId="0" borderId="35" xfId="0" applyNumberFormat="1" applyFont="1" applyBorder="1" applyAlignment="1">
      <alignment horizontal="center"/>
    </xf>
    <xf numFmtId="17" fontId="6" fillId="0" borderId="76" xfId="0" applyNumberFormat="1" applyFont="1" applyBorder="1" applyAlignment="1">
      <alignment horizontal="center"/>
    </xf>
    <xf numFmtId="17" fontId="6" fillId="0" borderId="97" xfId="0" applyNumberFormat="1" applyFont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76" xfId="0" applyFont="1" applyFill="1" applyBorder="1" applyAlignment="1">
      <alignment horizontal="center"/>
    </xf>
    <xf numFmtId="0" fontId="6" fillId="3" borderId="97" xfId="0" applyFont="1" applyFill="1" applyBorder="1" applyAlignment="1">
      <alignment horizontal="center"/>
    </xf>
    <xf numFmtId="0" fontId="37" fillId="0" borderId="104" xfId="0" applyFont="1" applyBorder="1" applyAlignment="1">
      <alignment horizontal="center" vertical="center"/>
    </xf>
    <xf numFmtId="0" fontId="37" fillId="0" borderId="75" xfId="0" applyFont="1" applyBorder="1" applyAlignment="1">
      <alignment horizontal="center" vertical="center"/>
    </xf>
    <xf numFmtId="211" fontId="36" fillId="0" borderId="90" xfId="0" applyNumberFormat="1" applyFont="1" applyBorder="1" applyAlignment="1">
      <alignment vertical="top"/>
    </xf>
    <xf numFmtId="0" fontId="37" fillId="0" borderId="87" xfId="0" applyFont="1" applyBorder="1" applyAlignment="1">
      <alignment horizontal="center" vertical="center"/>
    </xf>
    <xf numFmtId="0" fontId="37" fillId="0" borderId="79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84" xfId="0" applyFont="1" applyBorder="1" applyAlignment="1">
      <alignment horizontal="center" vertical="center"/>
    </xf>
    <xf numFmtId="0" fontId="37" fillId="0" borderId="103" xfId="0" applyFont="1" applyBorder="1" applyAlignment="1">
      <alignment horizontal="center"/>
    </xf>
    <xf numFmtId="0" fontId="37" fillId="0" borderId="95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79" xfId="0" applyFont="1" applyBorder="1" applyAlignment="1">
      <alignment horizontal="center"/>
    </xf>
    <xf numFmtId="0" fontId="37" fillId="0" borderId="80" xfId="0" applyFont="1" applyBorder="1" applyAlignment="1">
      <alignment horizontal="center"/>
    </xf>
    <xf numFmtId="0" fontId="0" fillId="0" borderId="8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177" fontId="37" fillId="0" borderId="104" xfId="1" applyNumberFormat="1" applyFont="1" applyBorder="1" applyAlignment="1">
      <alignment horizontal="center" vertical="center"/>
    </xf>
    <xf numFmtId="177" fontId="37" fillId="0" borderId="75" xfId="1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84" xfId="0" applyBorder="1" applyAlignment="1">
      <alignment horizontal="center"/>
    </xf>
    <xf numFmtId="0" fontId="37" fillId="0" borderId="104" xfId="0" applyFont="1" applyBorder="1" applyAlignment="1">
      <alignment horizontal="center" wrapText="1"/>
    </xf>
    <xf numFmtId="0" fontId="37" fillId="0" borderId="75" xfId="0" applyFont="1" applyBorder="1" applyAlignment="1">
      <alignment horizontal="center" wrapText="1"/>
    </xf>
    <xf numFmtId="0" fontId="37" fillId="0" borderId="35" xfId="0" applyFont="1" applyBorder="1" applyAlignment="1">
      <alignment horizontal="center"/>
    </xf>
    <xf numFmtId="0" fontId="37" fillId="0" borderId="76" xfId="0" applyFont="1" applyBorder="1" applyAlignment="1">
      <alignment horizontal="center"/>
    </xf>
    <xf numFmtId="0" fontId="37" fillId="0" borderId="97" xfId="0" applyFont="1" applyBorder="1" applyAlignment="1">
      <alignment horizontal="center"/>
    </xf>
    <xf numFmtId="0" fontId="37" fillId="0" borderId="43" xfId="0" applyFont="1" applyBorder="1" applyAlignment="1">
      <alignment horizontal="center" wrapText="1"/>
    </xf>
    <xf numFmtId="0" fontId="37" fillId="0" borderId="41" xfId="0" applyFont="1" applyBorder="1" applyAlignment="1">
      <alignment horizontal="center" wrapText="1"/>
    </xf>
    <xf numFmtId="0" fontId="37" fillId="0" borderId="8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37" fillId="0" borderId="73" xfId="0" applyFont="1" applyBorder="1" applyAlignment="1">
      <alignment horizontal="center"/>
    </xf>
    <xf numFmtId="0" fontId="33" fillId="0" borderId="8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73" xfId="0" applyFont="1" applyBorder="1" applyAlignment="1">
      <alignment horizontal="center" vertical="center" wrapText="1"/>
    </xf>
    <xf numFmtId="175" fontId="0" fillId="0" borderId="8" xfId="0" applyNumberFormat="1" applyBorder="1" applyAlignment="1">
      <alignment horizontal="center"/>
    </xf>
    <xf numFmtId="175" fontId="0" fillId="0" borderId="37" xfId="0" applyNumberFormat="1" applyBorder="1" applyAlignment="1">
      <alignment horizontal="center"/>
    </xf>
    <xf numFmtId="175" fontId="0" fillId="0" borderId="73" xfId="0" applyNumberFormat="1" applyBorder="1" applyAlignment="1">
      <alignment horizontal="center"/>
    </xf>
    <xf numFmtId="175" fontId="3" fillId="0" borderId="8" xfId="0" applyNumberFormat="1" applyFont="1" applyBorder="1" applyAlignment="1">
      <alignment horizontal="center"/>
    </xf>
    <xf numFmtId="0" fontId="5" fillId="0" borderId="10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14" borderId="8" xfId="0" applyFont="1" applyFill="1" applyBorder="1" applyAlignment="1">
      <alignment horizontal="center"/>
    </xf>
    <xf numFmtId="0" fontId="5" fillId="14" borderId="37" xfId="0" applyFont="1" applyFill="1" applyBorder="1" applyAlignment="1">
      <alignment horizontal="center"/>
    </xf>
    <xf numFmtId="0" fontId="5" fillId="14" borderId="73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80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73" xfId="0" applyFont="1" applyFill="1" applyBorder="1" applyAlignment="1">
      <alignment horizontal="center"/>
    </xf>
    <xf numFmtId="49" fontId="27" fillId="0" borderId="35" xfId="0" applyNumberFormat="1" applyFont="1" applyBorder="1" applyAlignment="1">
      <alignment horizontal="center" vertical="top" wrapText="1"/>
    </xf>
    <xf numFmtId="49" fontId="27" fillId="0" borderId="76" xfId="0" applyNumberFormat="1" applyFont="1" applyBorder="1" applyAlignment="1">
      <alignment horizontal="center" vertical="top" wrapText="1"/>
    </xf>
    <xf numFmtId="49" fontId="27" fillId="0" borderId="97" xfId="0" applyNumberFormat="1" applyFont="1" applyBorder="1" applyAlignment="1">
      <alignment horizontal="center" vertical="top" wrapText="1"/>
    </xf>
    <xf numFmtId="49" fontId="31" fillId="0" borderId="35" xfId="0" applyNumberFormat="1" applyFont="1" applyBorder="1" applyAlignment="1">
      <alignment horizontal="center" vertical="top" wrapText="1"/>
    </xf>
    <xf numFmtId="49" fontId="31" fillId="0" borderId="76" xfId="0" applyNumberFormat="1" applyFont="1" applyBorder="1" applyAlignment="1">
      <alignment horizontal="center" vertical="top" wrapText="1"/>
    </xf>
    <xf numFmtId="49" fontId="31" fillId="0" borderId="97" xfId="0" applyNumberFormat="1" applyFont="1" applyBorder="1" applyAlignment="1">
      <alignment horizontal="center" vertical="top" wrapText="1"/>
    </xf>
    <xf numFmtId="49" fontId="23" fillId="0" borderId="35" xfId="0" applyNumberFormat="1" applyFont="1" applyBorder="1" applyAlignment="1">
      <alignment horizontal="center" vertical="top" wrapText="1"/>
    </xf>
    <xf numFmtId="49" fontId="23" fillId="0" borderId="76" xfId="0" applyNumberFormat="1" applyFont="1" applyBorder="1" applyAlignment="1">
      <alignment horizontal="center" vertical="top" wrapText="1"/>
    </xf>
    <xf numFmtId="49" fontId="23" fillId="0" borderId="97" xfId="0" applyNumberFormat="1" applyFont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76" xfId="0" applyFont="1" applyBorder="1" applyAlignment="1">
      <alignment horizontal="center"/>
    </xf>
    <xf numFmtId="0" fontId="6" fillId="0" borderId="97" xfId="0" applyFont="1" applyBorder="1" applyAlignment="1">
      <alignment horizontal="center"/>
    </xf>
    <xf numFmtId="9" fontId="6" fillId="0" borderId="104" xfId="0" applyNumberFormat="1" applyFont="1" applyBorder="1" applyAlignment="1">
      <alignment horizontal="center" vertical="center"/>
    </xf>
    <xf numFmtId="9" fontId="6" fillId="0" borderId="74" xfId="0" applyNumberFormat="1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/>
    </xf>
    <xf numFmtId="165" fontId="37" fillId="0" borderId="20" xfId="0" applyNumberFormat="1" applyFont="1" applyBorder="1" applyAlignment="1">
      <alignment horizontal="center"/>
    </xf>
    <xf numFmtId="165" fontId="37" fillId="0" borderId="70" xfId="0" applyNumberFormat="1" applyFont="1" applyBorder="1" applyAlignment="1">
      <alignment horizontal="center"/>
    </xf>
    <xf numFmtId="165" fontId="37" fillId="0" borderId="37" xfId="0" applyNumberFormat="1" applyFont="1" applyBorder="1" applyAlignment="1">
      <alignment horizontal="center"/>
    </xf>
    <xf numFmtId="165" fontId="37" fillId="0" borderId="8" xfId="0" applyNumberFormat="1" applyFont="1" applyBorder="1" applyAlignment="1">
      <alignment horizontal="center"/>
    </xf>
    <xf numFmtId="165" fontId="37" fillId="0" borderId="73" xfId="0" applyNumberFormat="1" applyFont="1" applyBorder="1" applyAlignment="1">
      <alignment horizontal="center"/>
    </xf>
    <xf numFmtId="165" fontId="37" fillId="0" borderId="48" xfId="0" applyNumberFormat="1" applyFont="1" applyBorder="1" applyAlignment="1">
      <alignment horizontal="center"/>
    </xf>
    <xf numFmtId="165" fontId="37" fillId="0" borderId="84" xfId="0" applyNumberFormat="1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4" fillId="4" borderId="35" xfId="0" applyFont="1" applyFill="1" applyBorder="1" applyAlignment="1">
      <alignment horizontal="center"/>
    </xf>
    <xf numFmtId="0" fontId="54" fillId="4" borderId="76" xfId="0" applyFont="1" applyFill="1" applyBorder="1" applyAlignment="1">
      <alignment horizontal="center"/>
    </xf>
    <xf numFmtId="0" fontId="54" fillId="4" borderId="97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64" fontId="5" fillId="0" borderId="0" xfId="1" applyFont="1" applyFill="1"/>
    <xf numFmtId="212" fontId="5" fillId="0" borderId="0" xfId="0" applyNumberFormat="1" applyFont="1" applyFill="1"/>
    <xf numFmtId="212" fontId="0" fillId="0" borderId="0" xfId="0" applyNumberFormat="1" applyFill="1"/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9" defaultPivotStyle="PivotStyleLight16"/>
  <colors>
    <mruColors>
      <color rgb="FFC5D9F1"/>
      <color rgb="FFFFCC66"/>
      <color rgb="FFFFFFCC"/>
      <color rgb="FFDDD9C4"/>
      <color rgb="FFFDE9D9"/>
      <color rgb="FFFCD5B4"/>
      <color rgb="FFFFEE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16469816272966"/>
          <c:y val="0.17947658402203859"/>
          <c:w val="0.80250196850393696"/>
          <c:h val="0.67726549677158121"/>
        </c:manualLayout>
      </c:layout>
      <c:lineChart>
        <c:grouping val="standard"/>
        <c:varyColors val="0"/>
        <c:ser>
          <c:idx val="7"/>
          <c:order val="0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cat>
            <c:strRef>
              <c:f>'Fin Analysis'!$A$4:$A$15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'Fin Analysis'!$Z$4:$Z$14</c:f>
              <c:numCache>
                <c:formatCode>_(* #,##0_);_(* \(#,##0\);_(* "-"??_);_(@_)</c:formatCode>
                <c:ptCount val="11"/>
                <c:pt idx="0">
                  <c:v>10548751.949999999</c:v>
                </c:pt>
                <c:pt idx="1">
                  <c:v>11836798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0-44BC-BC00-238695464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4479424"/>
        <c:axId val="-164478880"/>
      </c:lineChart>
      <c:catAx>
        <c:axId val="-1644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4478880"/>
        <c:crosses val="autoZero"/>
        <c:auto val="1"/>
        <c:lblAlgn val="ctr"/>
        <c:lblOffset val="100"/>
        <c:noMultiLvlLbl val="0"/>
      </c:catAx>
      <c:valAx>
        <c:axId val="-1644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4479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5439696251560782E-2"/>
          <c:y val="0.85798138869005014"/>
          <c:w val="0.8990581759804297"/>
          <c:h val="8.8070791577189222E-2"/>
        </c:manualLayout>
      </c:layout>
      <c:overlay val="0"/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Apr 24-Mar 25</a:t>
            </a:r>
          </a:p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IN"/>
          </a:p>
        </c:rich>
      </c:tx>
      <c:layout>
        <c:manualLayout>
          <c:xMode val="edge"/>
          <c:yMode val="edge"/>
          <c:x val="0.46253848677569154"/>
          <c:y val="1.9267702034483258E-2"/>
        </c:manualLayout>
      </c:layout>
      <c:overlay val="0"/>
      <c:spPr>
        <a:effectLst>
          <a:softEdge rad="63500"/>
        </a:effectLst>
      </c:spPr>
    </c:title>
    <c:autoTitleDeleted val="0"/>
    <c:plotArea>
      <c:layout>
        <c:manualLayout>
          <c:layoutTarget val="inner"/>
          <c:xMode val="edge"/>
          <c:yMode val="edge"/>
          <c:x val="0.16416469816272966"/>
          <c:y val="0.17947658402203859"/>
          <c:w val="0.8358353388319042"/>
          <c:h val="0.67726549677158121"/>
        </c:manualLayout>
      </c:layout>
      <c:lineChart>
        <c:grouping val="standard"/>
        <c:varyColors val="0"/>
        <c:ser>
          <c:idx val="3"/>
          <c:order val="0"/>
          <c:tx>
            <c:v>Income</c:v>
          </c:tx>
          <c:cat>
            <c:strLit>
              <c:ptCount val="12"/>
              <c:pt idx="0">
                <c:v>Apr</c:v>
              </c:pt>
              <c:pt idx="1">
                <c:v>May</c:v>
              </c:pt>
              <c:pt idx="2">
                <c:v>Jun</c:v>
              </c:pt>
              <c:pt idx="3">
                <c:v>Jul</c:v>
              </c:pt>
              <c:pt idx="4">
                <c:v>Aug</c:v>
              </c:pt>
              <c:pt idx="5">
                <c:v>Sep</c:v>
              </c:pt>
              <c:pt idx="6">
                <c:v>Oct</c:v>
              </c:pt>
              <c:pt idx="7">
                <c:v>Nov</c:v>
              </c:pt>
              <c:pt idx="8">
                <c:v>Dec</c:v>
              </c:pt>
              <c:pt idx="9">
                <c:v>Jan</c:v>
              </c:pt>
              <c:pt idx="10">
                <c:v>Feb</c:v>
              </c:pt>
              <c:pt idx="11">
                <c:v>Mar</c:v>
              </c:pt>
            </c:strLit>
          </c:cat>
          <c:val>
            <c:numLit>
              <c:formatCode>General</c:formatCode>
              <c:ptCount val="12"/>
              <c:pt idx="0">
                <c:v>313</c:v>
              </c:pt>
              <c:pt idx="1">
                <c:v>313</c:v>
              </c:pt>
              <c:pt idx="2">
                <c:v>363</c:v>
              </c:pt>
              <c:pt idx="3">
                <c:v>276</c:v>
              </c:pt>
              <c:pt idx="4">
                <c:v>163</c:v>
              </c:pt>
              <c:pt idx="5">
                <c:v>250</c:v>
              </c:pt>
              <c:pt idx="6">
                <c:v>144</c:v>
              </c:pt>
              <c:pt idx="7">
                <c:v>181</c:v>
              </c:pt>
              <c:pt idx="8">
                <c:v>266</c:v>
              </c:pt>
              <c:pt idx="9">
                <c:v>267</c:v>
              </c:pt>
              <c:pt idx="10">
                <c:v>271</c:v>
              </c:pt>
              <c:pt idx="11">
                <c:v>374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EBF-4E66-92F9-1E64A92E9464}"/>
            </c:ext>
          </c:extLst>
        </c:ser>
        <c:ser>
          <c:idx val="0"/>
          <c:order val="1"/>
          <c:tx>
            <c:v>Mtrl Consmd</c:v>
          </c:tx>
          <c:cat>
            <c:strLit>
              <c:ptCount val="12"/>
              <c:pt idx="0">
                <c:v>Apr</c:v>
              </c:pt>
              <c:pt idx="1">
                <c:v>May</c:v>
              </c:pt>
              <c:pt idx="2">
                <c:v>Jun</c:v>
              </c:pt>
              <c:pt idx="3">
                <c:v>Jul</c:v>
              </c:pt>
              <c:pt idx="4">
                <c:v>Aug</c:v>
              </c:pt>
              <c:pt idx="5">
                <c:v>Sep</c:v>
              </c:pt>
              <c:pt idx="6">
                <c:v>Oct</c:v>
              </c:pt>
              <c:pt idx="7">
                <c:v>Nov</c:v>
              </c:pt>
              <c:pt idx="8">
                <c:v>Dec</c:v>
              </c:pt>
              <c:pt idx="9">
                <c:v>Jan</c:v>
              </c:pt>
              <c:pt idx="10">
                <c:v>Feb</c:v>
              </c:pt>
              <c:pt idx="11">
                <c:v>Mar</c:v>
              </c:pt>
            </c:strLit>
          </c:cat>
          <c:val>
            <c:numLit>
              <c:formatCode>0_);\(0\)</c:formatCode>
              <c:ptCount val="12"/>
              <c:pt idx="0">
                <c:v>121</c:v>
              </c:pt>
              <c:pt idx="1">
                <c:v>94</c:v>
              </c:pt>
              <c:pt idx="2">
                <c:v>205</c:v>
              </c:pt>
              <c:pt idx="3">
                <c:v>120</c:v>
              </c:pt>
              <c:pt idx="4">
                <c:v>30</c:v>
              </c:pt>
              <c:pt idx="5">
                <c:v>135</c:v>
              </c:pt>
              <c:pt idx="6">
                <c:v>90</c:v>
              </c:pt>
              <c:pt idx="7">
                <c:v>118</c:v>
              </c:pt>
              <c:pt idx="8">
                <c:v>200</c:v>
              </c:pt>
              <c:pt idx="9">
                <c:v>208</c:v>
              </c:pt>
              <c:pt idx="10">
                <c:v>169</c:v>
              </c:pt>
              <c:pt idx="11">
                <c:v>272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EBF-4E66-92F9-1E64A92E9464}"/>
            </c:ext>
          </c:extLst>
        </c:ser>
        <c:ser>
          <c:idx val="1"/>
          <c:order val="2"/>
          <c:tx>
            <c:v>OP. Expns</c:v>
          </c:tx>
          <c:cat>
            <c:strLit>
              <c:ptCount val="12"/>
              <c:pt idx="0">
                <c:v>Apr</c:v>
              </c:pt>
              <c:pt idx="1">
                <c:v>May</c:v>
              </c:pt>
              <c:pt idx="2">
                <c:v>Jun</c:v>
              </c:pt>
              <c:pt idx="3">
                <c:v>Jul</c:v>
              </c:pt>
              <c:pt idx="4">
                <c:v>Aug</c:v>
              </c:pt>
              <c:pt idx="5">
                <c:v>Sep</c:v>
              </c:pt>
              <c:pt idx="6">
                <c:v>Oct</c:v>
              </c:pt>
              <c:pt idx="7">
                <c:v>Nov</c:v>
              </c:pt>
              <c:pt idx="8">
                <c:v>Dec</c:v>
              </c:pt>
              <c:pt idx="9">
                <c:v>Jan</c:v>
              </c:pt>
              <c:pt idx="10">
                <c:v>Feb</c:v>
              </c:pt>
              <c:pt idx="11">
                <c:v>Mar</c:v>
              </c:pt>
            </c:strLit>
          </c:cat>
          <c:val>
            <c:numLit>
              <c:formatCode>0_);\(0\)</c:formatCode>
              <c:ptCount val="12"/>
              <c:pt idx="0">
                <c:v>166</c:v>
              </c:pt>
              <c:pt idx="1">
                <c:v>160</c:v>
              </c:pt>
              <c:pt idx="2">
                <c:v>181</c:v>
              </c:pt>
              <c:pt idx="3">
                <c:v>159</c:v>
              </c:pt>
              <c:pt idx="4">
                <c:v>139</c:v>
              </c:pt>
              <c:pt idx="5">
                <c:v>129</c:v>
              </c:pt>
              <c:pt idx="6">
                <c:v>65</c:v>
              </c:pt>
              <c:pt idx="7">
                <c:v>89</c:v>
              </c:pt>
              <c:pt idx="8">
                <c:v>93</c:v>
              </c:pt>
              <c:pt idx="9">
                <c:v>88</c:v>
              </c:pt>
              <c:pt idx="10">
                <c:v>96</c:v>
              </c:pt>
              <c:pt idx="11">
                <c:v>107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EBF-4E66-92F9-1E64A92E9464}"/>
            </c:ext>
          </c:extLst>
        </c:ser>
        <c:ser>
          <c:idx val="2"/>
          <c:order val="3"/>
          <c:tx>
            <c:v>Finance</c:v>
          </c:tx>
          <c:cat>
            <c:strLit>
              <c:ptCount val="12"/>
              <c:pt idx="0">
                <c:v>Apr</c:v>
              </c:pt>
              <c:pt idx="1">
                <c:v>May</c:v>
              </c:pt>
              <c:pt idx="2">
                <c:v>Jun</c:v>
              </c:pt>
              <c:pt idx="3">
                <c:v>Jul</c:v>
              </c:pt>
              <c:pt idx="4">
                <c:v>Aug</c:v>
              </c:pt>
              <c:pt idx="5">
                <c:v>Sep</c:v>
              </c:pt>
              <c:pt idx="6">
                <c:v>Oct</c:v>
              </c:pt>
              <c:pt idx="7">
                <c:v>Nov</c:v>
              </c:pt>
              <c:pt idx="8">
                <c:v>Dec</c:v>
              </c:pt>
              <c:pt idx="9">
                <c:v>Jan</c:v>
              </c:pt>
              <c:pt idx="10">
                <c:v>Feb</c:v>
              </c:pt>
              <c:pt idx="11">
                <c:v>Mar</c:v>
              </c:pt>
            </c:strLit>
          </c:cat>
          <c:val>
            <c:numLit>
              <c:formatCode>General</c:formatCode>
              <c:ptCount val="12"/>
              <c:pt idx="0">
                <c:v>9</c:v>
              </c:pt>
              <c:pt idx="1">
                <c:v>6</c:v>
              </c:pt>
              <c:pt idx="2">
                <c:v>13</c:v>
              </c:pt>
              <c:pt idx="3">
                <c:v>11</c:v>
              </c:pt>
              <c:pt idx="4">
                <c:v>8</c:v>
              </c:pt>
              <c:pt idx="5">
                <c:v>16</c:v>
              </c:pt>
              <c:pt idx="6">
                <c:v>12</c:v>
              </c:pt>
              <c:pt idx="7">
                <c:v>10</c:v>
              </c:pt>
              <c:pt idx="8">
                <c:v>13</c:v>
              </c:pt>
              <c:pt idx="9">
                <c:v>13</c:v>
              </c:pt>
              <c:pt idx="10">
                <c:v>12</c:v>
              </c:pt>
              <c:pt idx="11">
                <c:v>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EBF-4E66-92F9-1E64A92E9464}"/>
            </c:ext>
          </c:extLst>
        </c:ser>
        <c:ser>
          <c:idx val="7"/>
          <c:order val="4"/>
          <c:tx>
            <c:v>NET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12"/>
              <c:pt idx="0">
                <c:v>Apr</c:v>
              </c:pt>
              <c:pt idx="1">
                <c:v>May</c:v>
              </c:pt>
              <c:pt idx="2">
                <c:v>Jun</c:v>
              </c:pt>
              <c:pt idx="3">
                <c:v>Jul</c:v>
              </c:pt>
              <c:pt idx="4">
                <c:v>Aug</c:v>
              </c:pt>
              <c:pt idx="5">
                <c:v>Sep</c:v>
              </c:pt>
              <c:pt idx="6">
                <c:v>Oct</c:v>
              </c:pt>
              <c:pt idx="7">
                <c:v>Nov</c:v>
              </c:pt>
              <c:pt idx="8">
                <c:v>Dec</c:v>
              </c:pt>
              <c:pt idx="9">
                <c:v>Jan</c:v>
              </c:pt>
              <c:pt idx="10">
                <c:v>Feb</c:v>
              </c:pt>
              <c:pt idx="11">
                <c:v>Mar</c:v>
              </c:pt>
            </c:strLit>
          </c:cat>
          <c:val>
            <c:numLit>
              <c:formatCode>0_);\(0\)</c:formatCode>
              <c:ptCount val="12"/>
              <c:pt idx="0">
                <c:v>15.722936115248054</c:v>
              </c:pt>
              <c:pt idx="1">
                <c:v>51.233906986915244</c:v>
              </c:pt>
              <c:pt idx="2">
                <c:v>-37.070115661934615</c:v>
              </c:pt>
              <c:pt idx="3">
                <c:v>-14.522564355570749</c:v>
              </c:pt>
              <c:pt idx="4">
                <c:v>-14.944761846593282</c:v>
              </c:pt>
              <c:pt idx="5">
                <c:v>-30.397145438226165</c:v>
              </c:pt>
              <c:pt idx="6">
                <c:v>-23.810496244293301</c:v>
              </c:pt>
              <c:pt idx="7">
                <c:v>-37.231076602997554</c:v>
              </c:pt>
              <c:pt idx="8">
                <c:v>-40.914607526447696</c:v>
              </c:pt>
              <c:pt idx="9">
                <c:v>-42.630187783632316</c:v>
              </c:pt>
              <c:pt idx="10">
                <c:v>-7.2900762477491048</c:v>
              </c:pt>
              <c:pt idx="11">
                <c:v>-18.020337389029713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8EBF-4E66-92F9-1E64A92E9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4478336"/>
        <c:axId val="-164474528"/>
      </c:lineChart>
      <c:catAx>
        <c:axId val="-1644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4474528"/>
        <c:crosses val="autoZero"/>
        <c:auto val="1"/>
        <c:lblAlgn val="ctr"/>
        <c:lblOffset val="100"/>
        <c:noMultiLvlLbl val="0"/>
      </c:catAx>
      <c:valAx>
        <c:axId val="-164474528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447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0130308230701944E-3"/>
          <c:y val="0.44089760879337597"/>
          <c:w val="9.4554226394777577E-2"/>
          <c:h val="0.15028088339786255"/>
        </c:manualLayout>
      </c:layout>
      <c:overlay val="0"/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MonoFil Manufacturing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013998250218726E-2"/>
                  <c:y val="5.7905001458151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0D-47CB-AA0B-81FA15720FAC}"/>
                </c:ext>
              </c:extLst>
            </c:dLbl>
            <c:dLbl>
              <c:idx val="2"/>
              <c:layout>
                <c:manualLayout>
                  <c:x val="-5.3125109361329831E-2"/>
                  <c:y val="7.6423519976669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0D-47CB-AA0B-81FA15720FAC}"/>
                </c:ext>
              </c:extLst>
            </c:dLbl>
            <c:dLbl>
              <c:idx val="6"/>
              <c:layout>
                <c:manualLayout>
                  <c:x val="-9.2013998250218831E-2"/>
                  <c:y val="2.5497594050743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0D-47CB-AA0B-81FA15720FAC}"/>
                </c:ext>
              </c:extLst>
            </c:dLbl>
            <c:dLbl>
              <c:idx val="7"/>
              <c:layout>
                <c:manualLayout>
                  <c:x val="-6.9791776027996494E-2"/>
                  <c:y val="-9.9502405949256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0D-47CB-AA0B-81FA15720FAC}"/>
                </c:ext>
              </c:extLst>
            </c:dLbl>
            <c:dLbl>
              <c:idx val="9"/>
              <c:layout>
                <c:manualLayout>
                  <c:x val="-5.6925196850393704E-2"/>
                  <c:y val="4.4016112569262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0D-47CB-AA0B-81FA15720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 Analysis'!$A$4:$A$14</c:f>
              <c:strCache>
                <c:ptCount val="11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</c:strCache>
            </c:strRef>
          </c:cat>
          <c:val>
            <c:numRef>
              <c:f>'Fin Analysis'!$B$4:$B$14</c:f>
              <c:numCache>
                <c:formatCode>_(* #,##0_);_(* \(#,##0\);_(* "-"??_);_(@_)</c:formatCode>
                <c:ptCount val="11"/>
                <c:pt idx="0">
                  <c:v>27350991</c:v>
                </c:pt>
                <c:pt idx="1">
                  <c:v>31976353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D-47CB-AA0B-81FA15720FAC}"/>
            </c:ext>
          </c:extLst>
        </c:ser>
        <c:ser>
          <c:idx val="1"/>
          <c:order val="1"/>
          <c:tx>
            <c:v>Monfil Consumption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7.9784776902887142E-2"/>
                  <c:y val="4.4016112569262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0D-47CB-AA0B-81FA15720FAC}"/>
                </c:ext>
              </c:extLst>
            </c:dLbl>
            <c:dLbl>
              <c:idx val="4"/>
              <c:layout>
                <c:manualLayout>
                  <c:x val="-7.7006999125109415E-2"/>
                  <c:y val="4.8645742198891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0D-47CB-AA0B-81FA15720FAC}"/>
                </c:ext>
              </c:extLst>
            </c:dLbl>
            <c:dLbl>
              <c:idx val="6"/>
              <c:layout>
                <c:manualLayout>
                  <c:x val="-5.478477690288714E-2"/>
                  <c:y val="6.7164260717410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00D-47CB-AA0B-81FA15720FAC}"/>
                </c:ext>
              </c:extLst>
            </c:dLbl>
            <c:dLbl>
              <c:idx val="8"/>
              <c:layout>
                <c:manualLayout>
                  <c:x val="-5.7562226596675314E-2"/>
                  <c:y val="4.401665937591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45822397200347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00D-47CB-AA0B-81FA15720FAC}"/>
                </c:ext>
              </c:extLst>
            </c:dLbl>
            <c:dLbl>
              <c:idx val="10"/>
              <c:layout>
                <c:manualLayout>
                  <c:x val="-2.2692475940508457E-3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00D-47CB-AA0B-81FA15720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 Analysis'!$A$4:$A$14</c:f>
              <c:strCache>
                <c:ptCount val="11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</c:strCache>
            </c:strRef>
          </c:cat>
          <c:val>
            <c:numRef>
              <c:f>'Fin Analysis'!$G$4:$G$14</c:f>
              <c:numCache>
                <c:formatCode>_(* #,##0_);_(* \(#,##0\);_(* "-"??_);_(@_)</c:formatCode>
                <c:ptCount val="11"/>
                <c:pt idx="0">
                  <c:v>7108672</c:v>
                </c:pt>
                <c:pt idx="1">
                  <c:v>7965578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D-47CB-AA0B-81FA15720F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64473984"/>
        <c:axId val="-164472896"/>
      </c:lineChart>
      <c:catAx>
        <c:axId val="-1644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472896"/>
        <c:crosses val="autoZero"/>
        <c:auto val="1"/>
        <c:lblAlgn val="ctr"/>
        <c:lblOffset val="100"/>
        <c:noMultiLvlLbl val="0"/>
      </c:catAx>
      <c:valAx>
        <c:axId val="-1644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47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Where the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 Income Goes</a:t>
            </a:r>
          </a:p>
        </c:rich>
      </c:tx>
      <c:layout>
        <c:manualLayout>
          <c:xMode val="edge"/>
          <c:yMode val="edge"/>
          <c:x val="2.3337756283790465E-2"/>
          <c:y val="5.33875046441112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277777777777776E-2"/>
          <c:y val="0.20633639545056867"/>
          <c:w val="0.81388888888888888"/>
          <c:h val="0.5125113006707494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0B6-46C4-AD4B-0F481BA929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B6-46C4-AD4B-0F481BA929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B6-46C4-AD4B-0F481BA929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B6-46C4-AD4B-0F481BA929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B6-46C4-AD4B-0F481BA929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B6-46C4-AD4B-0F481BA929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0B6-46C4-AD4B-0F481BA9299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B0B6-46C4-AD4B-0F481BA9299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'PAL II'!$BD$48:$BD$55</c:f>
              <c:strCache>
                <c:ptCount val="8"/>
                <c:pt idx="0">
                  <c:v>Mtrl Consmd</c:v>
                </c:pt>
                <c:pt idx="1">
                  <c:v>Stock Vary</c:v>
                </c:pt>
                <c:pt idx="2">
                  <c:v>Op. Expns</c:v>
                </c:pt>
                <c:pt idx="3">
                  <c:v>Admn Sellng</c:v>
                </c:pt>
                <c:pt idx="4">
                  <c:v>Work.Cap</c:v>
                </c:pt>
                <c:pt idx="5">
                  <c:v>Deposits</c:v>
                </c:pt>
                <c:pt idx="6">
                  <c:v>PNBH/etc</c:v>
                </c:pt>
                <c:pt idx="7">
                  <c:v>Deprn</c:v>
                </c:pt>
              </c:strCache>
            </c:strRef>
          </c:cat>
          <c:val>
            <c:numRef>
              <c:f>'PAL II'!$BE$48:$BE$55</c:f>
              <c:numCache>
                <c:formatCode>0.0%</c:formatCode>
                <c:ptCount val="8"/>
                <c:pt idx="0">
                  <c:v>0.68224685322023093</c:v>
                </c:pt>
                <c:pt idx="1">
                  <c:v>0</c:v>
                </c:pt>
                <c:pt idx="2">
                  <c:v>0.32659146049636362</c:v>
                </c:pt>
                <c:pt idx="3">
                  <c:v>1.5230109466672661E-2</c:v>
                </c:pt>
                <c:pt idx="4">
                  <c:v>1.0039955063036399E-2</c:v>
                </c:pt>
                <c:pt idx="5">
                  <c:v>2.6594969720030418E-3</c:v>
                </c:pt>
                <c:pt idx="6">
                  <c:v>0</c:v>
                </c:pt>
                <c:pt idx="7">
                  <c:v>3.9376387643588751E-3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B6-46C4-AD4B-0F481BA92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8001553852331647"/>
          <c:y val="3.2110883399848987E-2"/>
          <c:w val="6.2224220309490152E-2"/>
          <c:h val="0.912874674912211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21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Finishing Cost on</a:t>
            </a:r>
            <a:r>
              <a:rPr lang="en-IN" baseline="0"/>
              <a:t> Sale Qty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 &amp;  Disp Costing'!$T$41</c:f>
              <c:strCache>
                <c:ptCount val="1"/>
                <c:pt idx="0">
                  <c:v>FY22-23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'Ins &amp;  Disp Costing'!$S$42:$S$53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'Ins &amp;  Disp Costing'!$T$42:$T$53</c:f>
              <c:numCache>
                <c:formatCode>0.00</c:formatCode>
                <c:ptCount val="12"/>
                <c:pt idx="0">
                  <c:v>10.200662070145222</c:v>
                </c:pt>
                <c:pt idx="1">
                  <c:v>8.4464474141347345</c:v>
                </c:pt>
                <c:pt idx="2">
                  <c:v>11.522247503139681</c:v>
                </c:pt>
                <c:pt idx="3">
                  <c:v>11.111165136519753</c:v>
                </c:pt>
                <c:pt idx="4">
                  <c:v>14.488972393620427</c:v>
                </c:pt>
                <c:pt idx="5">
                  <c:v>9.5239218979731834</c:v>
                </c:pt>
                <c:pt idx="6">
                  <c:v>17.924259767623255</c:v>
                </c:pt>
                <c:pt idx="7">
                  <c:v>7.5493945403718712</c:v>
                </c:pt>
                <c:pt idx="8">
                  <c:v>7.6035312285433125</c:v>
                </c:pt>
                <c:pt idx="9">
                  <c:v>7.6773935385507652</c:v>
                </c:pt>
                <c:pt idx="10">
                  <c:v>5.2493106108298386</c:v>
                </c:pt>
                <c:pt idx="11">
                  <c:v>5.7044680740493634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9-48DD-8BF6-327FC629E6A4}"/>
            </c:ext>
          </c:extLst>
        </c:ser>
        <c:ser>
          <c:idx val="1"/>
          <c:order val="1"/>
          <c:tx>
            <c:strRef>
              <c:f>'Ins &amp;  Disp Costing'!$U$41</c:f>
              <c:strCache>
                <c:ptCount val="1"/>
                <c:pt idx="0">
                  <c:v>FY23-24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'Ins &amp;  Disp Costing'!$S$42:$S$53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'Ins &amp;  Disp Costing'!$U$42:$U$53</c:f>
              <c:numCache>
                <c:formatCode>0.00</c:formatCode>
                <c:ptCount val="12"/>
                <c:pt idx="0">
                  <c:v>7.6760576086024983</c:v>
                </c:pt>
                <c:pt idx="1">
                  <c:v>7.3800637190964098</c:v>
                </c:pt>
                <c:pt idx="2">
                  <c:v>6.8773168578993822</c:v>
                </c:pt>
                <c:pt idx="3">
                  <c:v>6.9650322510360718</c:v>
                </c:pt>
                <c:pt idx="4">
                  <c:v>5.3839812402849576</c:v>
                </c:pt>
                <c:pt idx="5">
                  <c:v>8.2719092528797429</c:v>
                </c:pt>
                <c:pt idx="6">
                  <c:v>9.815494548089724</c:v>
                </c:pt>
                <c:pt idx="7">
                  <c:v>8.0923834730815454</c:v>
                </c:pt>
                <c:pt idx="8">
                  <c:v>6.4677246243483602</c:v>
                </c:pt>
                <c:pt idx="9">
                  <c:v>6.9046197234910025</c:v>
                </c:pt>
                <c:pt idx="10">
                  <c:v>6.6271522975547681</c:v>
                </c:pt>
                <c:pt idx="11">
                  <c:v>6.0317436663285298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59-48DD-8BF6-327FC629E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26937008"/>
        <c:axId val="-256611024"/>
      </c:lineChart>
      <c:catAx>
        <c:axId val="-42693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6611024"/>
        <c:crosses val="autoZero"/>
        <c:auto val="1"/>
        <c:lblAlgn val="ctr"/>
        <c:lblOffset val="100"/>
        <c:noMultiLvlLbl val="0"/>
      </c:catAx>
      <c:valAx>
        <c:axId val="-2566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2693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Indirect Expns'!A1"/><Relationship Id="rId18" Type="http://schemas.openxmlformats.org/officeDocument/2006/relationships/image" Target="../media/image9.emf"/><Relationship Id="rId26" Type="http://schemas.openxmlformats.org/officeDocument/2006/relationships/image" Target="../media/image13.emf"/><Relationship Id="rId3" Type="http://schemas.openxmlformats.org/officeDocument/2006/relationships/hyperlink" Target="#'Reconcile(HMT)'!A1"/><Relationship Id="rId21" Type="http://schemas.openxmlformats.org/officeDocument/2006/relationships/hyperlink" Target="#'PAL I'!A1"/><Relationship Id="rId34" Type="http://schemas.openxmlformats.org/officeDocument/2006/relationships/image" Target="../media/image17.emf"/><Relationship Id="rId7" Type="http://schemas.openxmlformats.org/officeDocument/2006/relationships/hyperlink" Target="#' Qty Analysis'!A1"/><Relationship Id="rId12" Type="http://schemas.openxmlformats.org/officeDocument/2006/relationships/image" Target="../media/image6.emf"/><Relationship Id="rId17" Type="http://schemas.openxmlformats.org/officeDocument/2006/relationships/hyperlink" Target="#'Inventory Sales'!A1"/><Relationship Id="rId25" Type="http://schemas.openxmlformats.org/officeDocument/2006/relationships/hyperlink" Target="#'PAL II'!A1"/><Relationship Id="rId33" Type="http://schemas.openxmlformats.org/officeDocument/2006/relationships/hyperlink" Target="#'Ins &amp;  Disp Costing'!A1"/><Relationship Id="rId2" Type="http://schemas.openxmlformats.org/officeDocument/2006/relationships/image" Target="../media/image1.emf"/><Relationship Id="rId16" Type="http://schemas.openxmlformats.org/officeDocument/2006/relationships/image" Target="../media/image8.emf"/><Relationship Id="rId20" Type="http://schemas.openxmlformats.org/officeDocument/2006/relationships/image" Target="../media/image10.emf"/><Relationship Id="rId29" Type="http://schemas.openxmlformats.org/officeDocument/2006/relationships/hyperlink" Target="#'Fin Analysis'!A1"/><Relationship Id="rId1" Type="http://schemas.openxmlformats.org/officeDocument/2006/relationships/hyperlink" Target="#'Sheet3'!A1"/><Relationship Id="rId6" Type="http://schemas.openxmlformats.org/officeDocument/2006/relationships/image" Target="../media/image3.emf"/><Relationship Id="rId11" Type="http://schemas.openxmlformats.org/officeDocument/2006/relationships/hyperlink" Target="#'Direct Expns'!A1"/><Relationship Id="rId24" Type="http://schemas.openxmlformats.org/officeDocument/2006/relationships/image" Target="../media/image12.emf"/><Relationship Id="rId32" Type="http://schemas.openxmlformats.org/officeDocument/2006/relationships/image" Target="../media/image16.emf"/><Relationship Id="rId5" Type="http://schemas.openxmlformats.org/officeDocument/2006/relationships/hyperlink" Target="#'Review Purchase'!A1"/><Relationship Id="rId15" Type="http://schemas.openxmlformats.org/officeDocument/2006/relationships/hyperlink" Target="#'Stock Valuation (FIFO)'!A1"/><Relationship Id="rId23" Type="http://schemas.openxmlformats.org/officeDocument/2006/relationships/hyperlink" Target="#'Trading PL'!A1"/><Relationship Id="rId28" Type="http://schemas.openxmlformats.org/officeDocument/2006/relationships/image" Target="../media/image14.emf"/><Relationship Id="rId36" Type="http://schemas.openxmlformats.org/officeDocument/2006/relationships/image" Target="../media/image18.emf"/><Relationship Id="rId10" Type="http://schemas.openxmlformats.org/officeDocument/2006/relationships/image" Target="../media/image5.emf"/><Relationship Id="rId19" Type="http://schemas.openxmlformats.org/officeDocument/2006/relationships/hyperlink" Target="#'COGS'!A1"/><Relationship Id="rId31" Type="http://schemas.openxmlformats.org/officeDocument/2006/relationships/hyperlink" Target="#'Costing'!A1"/><Relationship Id="rId4" Type="http://schemas.openxmlformats.org/officeDocument/2006/relationships/image" Target="../media/image2.emf"/><Relationship Id="rId9" Type="http://schemas.openxmlformats.org/officeDocument/2006/relationships/hyperlink" Target="#'Purchase'!A1"/><Relationship Id="rId14" Type="http://schemas.openxmlformats.org/officeDocument/2006/relationships/image" Target="../media/image7.emf"/><Relationship Id="rId22" Type="http://schemas.openxmlformats.org/officeDocument/2006/relationships/image" Target="../media/image11.emf"/><Relationship Id="rId27" Type="http://schemas.openxmlformats.org/officeDocument/2006/relationships/hyperlink" Target="#'YTD-FY23-24'!A1"/><Relationship Id="rId30" Type="http://schemas.openxmlformats.org/officeDocument/2006/relationships/image" Target="../media/image15.emf"/><Relationship Id="rId35" Type="http://schemas.openxmlformats.org/officeDocument/2006/relationships/hyperlink" Target="#'Sales Summary'!A1"/><Relationship Id="rId8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hyperlink" Target="#'Table Of Contents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'Table Of Contents'!A1"/><Relationship Id="rId1" Type="http://schemas.openxmlformats.org/officeDocument/2006/relationships/chart" Target="../charts/chart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'Table Of Contents'!A1"/><Relationship Id="rId1" Type="http://schemas.openxmlformats.org/officeDocument/2006/relationships/chart" Target="../charts/chart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Table Of Content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229776</xdr:colOff>
      <xdr:row>11</xdr:row>
      <xdr:rowOff>165250</xdr:rowOff>
    </xdr:to>
    <xdr:pic>
      <xdr:nvPicPr>
        <xdr:cNvPr id="10285057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3A5A1-244A-AF98-B930-3816771E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66" b="39913"/>
        <a:stretch>
          <a:fillRect/>
        </a:stretch>
      </xdr:blipFill>
      <xdr:spPr bwMode="auto">
        <a:xfrm>
          <a:off x="327660" y="548640"/>
          <a:ext cx="2668176" cy="150637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165250</xdr:rowOff>
    </xdr:from>
    <xdr:to>
      <xdr:col>5</xdr:col>
      <xdr:colOff>229776</xdr:colOff>
      <xdr:row>13</xdr:row>
      <xdr:rowOff>163345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7E0EC-2C01-21FA-ED5B-75E224F3045C}"/>
            </a:ext>
          </a:extLst>
        </xdr:cNvPr>
        <xdr:cNvSpPr txBox="1"/>
      </xdr:nvSpPr>
      <xdr:spPr>
        <a:xfrm>
          <a:off x="327660" y="2055010"/>
          <a:ext cx="2668176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Sheet3</a:t>
          </a:r>
        </a:p>
      </xdr:txBody>
    </xdr:sp>
    <xdr:clientData/>
  </xdr:twoCellAnchor>
  <xdr:twoCellAnchor editAs="oneCell">
    <xdr:from>
      <xdr:col>6</xdr:col>
      <xdr:colOff>0</xdr:colOff>
      <xdr:row>3</xdr:row>
      <xdr:rowOff>0</xdr:rowOff>
    </xdr:from>
    <xdr:to>
      <xdr:col>10</xdr:col>
      <xdr:colOff>229708</xdr:colOff>
      <xdr:row>11</xdr:row>
      <xdr:rowOff>165240</xdr:rowOff>
    </xdr:to>
    <xdr:pic>
      <xdr:nvPicPr>
        <xdr:cNvPr id="10285058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B8DC9B-138F-FC65-C9EE-0741453F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164" b="39657"/>
        <a:stretch>
          <a:fillRect/>
        </a:stretch>
      </xdr:blipFill>
      <xdr:spPr bwMode="auto">
        <a:xfrm>
          <a:off x="3375660" y="548640"/>
          <a:ext cx="2668108" cy="150636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11</xdr:row>
      <xdr:rowOff>165240</xdr:rowOff>
    </xdr:from>
    <xdr:to>
      <xdr:col>10</xdr:col>
      <xdr:colOff>229708</xdr:colOff>
      <xdr:row>13</xdr:row>
      <xdr:rowOff>163335</xdr:rowOff>
    </xdr:to>
    <xdr:sp macro="" textlink="">
      <xdr:nvSpPr>
        <xdr:cNvPr id="3" name="TextBox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AB54E0-4FD2-DCE2-FF9E-7AD62E096982}"/>
            </a:ext>
          </a:extLst>
        </xdr:cNvPr>
        <xdr:cNvSpPr txBox="1"/>
      </xdr:nvSpPr>
      <xdr:spPr>
        <a:xfrm>
          <a:off x="3375660" y="2055000"/>
          <a:ext cx="2668108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Reconcile(HMT)</a:t>
          </a:r>
        </a:p>
      </xdr:txBody>
    </xdr:sp>
    <xdr:clientData/>
  </xdr:twoCellAnchor>
  <xdr:twoCellAnchor editAs="oneCell">
    <xdr:from>
      <xdr:col>11</xdr:col>
      <xdr:colOff>1</xdr:colOff>
      <xdr:row>3</xdr:row>
      <xdr:rowOff>0</xdr:rowOff>
    </xdr:from>
    <xdr:to>
      <xdr:col>15</xdr:col>
      <xdr:colOff>229626</xdr:colOff>
      <xdr:row>11</xdr:row>
      <xdr:rowOff>165203</xdr:rowOff>
    </xdr:to>
    <xdr:pic>
      <xdr:nvPicPr>
        <xdr:cNvPr id="10285059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A5CE02-648D-80AA-ABCE-561B487FF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815" b="38609"/>
        <a:stretch>
          <a:fillRect/>
        </a:stretch>
      </xdr:blipFill>
      <xdr:spPr bwMode="auto">
        <a:xfrm>
          <a:off x="6423661" y="548640"/>
          <a:ext cx="2668025" cy="1506323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</xdr:colOff>
      <xdr:row>11</xdr:row>
      <xdr:rowOff>165203</xdr:rowOff>
    </xdr:from>
    <xdr:to>
      <xdr:col>15</xdr:col>
      <xdr:colOff>229626</xdr:colOff>
      <xdr:row>13</xdr:row>
      <xdr:rowOff>163298</xdr:rowOff>
    </xdr:to>
    <xdr:sp macro="" textlink="">
      <xdr:nvSpPr>
        <xdr:cNvPr id="4" name="TextBox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213144-5B3D-7336-8315-F3EC7550C16F}"/>
            </a:ext>
          </a:extLst>
        </xdr:cNvPr>
        <xdr:cNvSpPr txBox="1"/>
      </xdr:nvSpPr>
      <xdr:spPr>
        <a:xfrm>
          <a:off x="6423661" y="2054963"/>
          <a:ext cx="2668025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Review Purchase</a:t>
          </a:r>
        </a:p>
      </xdr:txBody>
    </xdr:sp>
    <xdr:clientData/>
  </xdr:twoCellAnchor>
  <xdr:twoCellAnchor editAs="oneCell">
    <xdr:from>
      <xdr:col>1</xdr:col>
      <xdr:colOff>1</xdr:colOff>
      <xdr:row>15</xdr:row>
      <xdr:rowOff>128270</xdr:rowOff>
    </xdr:from>
    <xdr:to>
      <xdr:col>5</xdr:col>
      <xdr:colOff>229542</xdr:colOff>
      <xdr:row>24</xdr:row>
      <xdr:rowOff>125801</xdr:rowOff>
    </xdr:to>
    <xdr:pic>
      <xdr:nvPicPr>
        <xdr:cNvPr id="10285060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E75152-9F18-3E42-F2D3-B4FA88D7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445" b="37707"/>
        <a:stretch>
          <a:fillRect/>
        </a:stretch>
      </xdr:blipFill>
      <xdr:spPr bwMode="auto">
        <a:xfrm>
          <a:off x="327661" y="2688590"/>
          <a:ext cx="2667941" cy="1506291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24</xdr:row>
      <xdr:rowOff>125801</xdr:rowOff>
    </xdr:from>
    <xdr:to>
      <xdr:col>5</xdr:col>
      <xdr:colOff>229542</xdr:colOff>
      <xdr:row>26</xdr:row>
      <xdr:rowOff>123896</xdr:rowOff>
    </xdr:to>
    <xdr:sp macro="" textlink="">
      <xdr:nvSpPr>
        <xdr:cNvPr id="5" name="TextBox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9EB4B2-E369-F1CA-8179-42813CC11DEF}"/>
            </a:ext>
          </a:extLst>
        </xdr:cNvPr>
        <xdr:cNvSpPr txBox="1"/>
      </xdr:nvSpPr>
      <xdr:spPr>
        <a:xfrm>
          <a:off x="327661" y="4194881"/>
          <a:ext cx="2667941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 Qty Analysis</a:t>
          </a:r>
        </a:p>
      </xdr:txBody>
    </xdr:sp>
    <xdr:clientData/>
  </xdr:twoCellAnchor>
  <xdr:twoCellAnchor editAs="oneCell">
    <xdr:from>
      <xdr:col>6</xdr:col>
      <xdr:colOff>0</xdr:colOff>
      <xdr:row>15</xdr:row>
      <xdr:rowOff>128270</xdr:rowOff>
    </xdr:from>
    <xdr:to>
      <xdr:col>10</xdr:col>
      <xdr:colOff>229656</xdr:colOff>
      <xdr:row>24</xdr:row>
      <xdr:rowOff>125852</xdr:rowOff>
    </xdr:to>
    <xdr:pic>
      <xdr:nvPicPr>
        <xdr:cNvPr id="10285061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988E06-3BD9-FE7F-09B7-584B2BB66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9682" b="39137"/>
        <a:stretch>
          <a:fillRect/>
        </a:stretch>
      </xdr:blipFill>
      <xdr:spPr bwMode="auto">
        <a:xfrm>
          <a:off x="3375660" y="2688590"/>
          <a:ext cx="2668056" cy="1506342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24</xdr:row>
      <xdr:rowOff>125852</xdr:rowOff>
    </xdr:from>
    <xdr:to>
      <xdr:col>10</xdr:col>
      <xdr:colOff>229656</xdr:colOff>
      <xdr:row>26</xdr:row>
      <xdr:rowOff>123947</xdr:rowOff>
    </xdr:to>
    <xdr:sp macro="" textlink="">
      <xdr:nvSpPr>
        <xdr:cNvPr id="6" name="TextBox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BADA82-BF77-5A2A-7794-88371EDBF8A6}"/>
            </a:ext>
          </a:extLst>
        </xdr:cNvPr>
        <xdr:cNvSpPr txBox="1"/>
      </xdr:nvSpPr>
      <xdr:spPr>
        <a:xfrm>
          <a:off x="3375660" y="4194932"/>
          <a:ext cx="2668056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Purchase</a:t>
          </a:r>
        </a:p>
      </xdr:txBody>
    </xdr:sp>
    <xdr:clientData/>
  </xdr:twoCellAnchor>
  <xdr:twoCellAnchor editAs="oneCell">
    <xdr:from>
      <xdr:col>11</xdr:col>
      <xdr:colOff>1</xdr:colOff>
      <xdr:row>15</xdr:row>
      <xdr:rowOff>128271</xdr:rowOff>
    </xdr:from>
    <xdr:to>
      <xdr:col>15</xdr:col>
      <xdr:colOff>229492</xdr:colOff>
      <xdr:row>24</xdr:row>
      <xdr:rowOff>125828</xdr:rowOff>
    </xdr:to>
    <xdr:pic>
      <xdr:nvPicPr>
        <xdr:cNvPr id="10285062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358434-F64E-8E88-64EC-F2003FD7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050" b="38430"/>
        <a:stretch>
          <a:fillRect/>
        </a:stretch>
      </xdr:blipFill>
      <xdr:spPr bwMode="auto">
        <a:xfrm>
          <a:off x="6423661" y="2688591"/>
          <a:ext cx="2667891" cy="1506317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</xdr:colOff>
      <xdr:row>24</xdr:row>
      <xdr:rowOff>125828</xdr:rowOff>
    </xdr:from>
    <xdr:to>
      <xdr:col>15</xdr:col>
      <xdr:colOff>229492</xdr:colOff>
      <xdr:row>26</xdr:row>
      <xdr:rowOff>123923</xdr:rowOff>
    </xdr:to>
    <xdr:sp macro="" textlink="">
      <xdr:nvSpPr>
        <xdr:cNvPr id="7" name="TextBox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AE97BD0-D286-29C7-A98D-AF3D6BCCD2BC}"/>
            </a:ext>
          </a:extLst>
        </xdr:cNvPr>
        <xdr:cNvSpPr txBox="1"/>
      </xdr:nvSpPr>
      <xdr:spPr>
        <a:xfrm>
          <a:off x="6423661" y="4194908"/>
          <a:ext cx="2667891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Direct Expns</a:t>
          </a:r>
        </a:p>
      </xdr:txBody>
    </xdr:sp>
    <xdr:clientData/>
  </xdr:twoCellAnchor>
  <xdr:twoCellAnchor editAs="oneCell">
    <xdr:from>
      <xdr:col>1</xdr:col>
      <xdr:colOff>1</xdr:colOff>
      <xdr:row>28</xdr:row>
      <xdr:rowOff>88901</xdr:rowOff>
    </xdr:from>
    <xdr:to>
      <xdr:col>5</xdr:col>
      <xdr:colOff>229492</xdr:colOff>
      <xdr:row>37</xdr:row>
      <xdr:rowOff>86486</xdr:rowOff>
    </xdr:to>
    <xdr:pic>
      <xdr:nvPicPr>
        <xdr:cNvPr id="10285063" name="Picture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3FA5E66-D647-18D1-4B90-4D6519AC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050" b="39224"/>
        <a:stretch>
          <a:fillRect/>
        </a:stretch>
      </xdr:blipFill>
      <xdr:spPr bwMode="auto">
        <a:xfrm>
          <a:off x="327661" y="4828541"/>
          <a:ext cx="2667891" cy="150634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37</xdr:row>
      <xdr:rowOff>86486</xdr:rowOff>
    </xdr:from>
    <xdr:to>
      <xdr:col>5</xdr:col>
      <xdr:colOff>229492</xdr:colOff>
      <xdr:row>39</xdr:row>
      <xdr:rowOff>84581</xdr:rowOff>
    </xdr:to>
    <xdr:sp macro="" textlink="">
      <xdr:nvSpPr>
        <xdr:cNvPr id="8" name="TextBox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7DA7D8-46E1-DE93-9272-0386017FC48F}"/>
            </a:ext>
          </a:extLst>
        </xdr:cNvPr>
        <xdr:cNvSpPr txBox="1"/>
      </xdr:nvSpPr>
      <xdr:spPr>
        <a:xfrm>
          <a:off x="327661" y="6334886"/>
          <a:ext cx="2667891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Indirect Expns</a:t>
          </a:r>
        </a:p>
      </xdr:txBody>
    </xdr:sp>
    <xdr:clientData/>
  </xdr:twoCellAnchor>
  <xdr:twoCellAnchor editAs="oneCell">
    <xdr:from>
      <xdr:col>6</xdr:col>
      <xdr:colOff>0</xdr:colOff>
      <xdr:row>28</xdr:row>
      <xdr:rowOff>88901</xdr:rowOff>
    </xdr:from>
    <xdr:to>
      <xdr:col>10</xdr:col>
      <xdr:colOff>229528</xdr:colOff>
      <xdr:row>37</xdr:row>
      <xdr:rowOff>86474</xdr:rowOff>
    </xdr:to>
    <xdr:pic>
      <xdr:nvPicPr>
        <xdr:cNvPr id="10285064" name="Pictur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246627F-241D-6CE9-5BA7-D94E768B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6083" b="38874"/>
        <a:stretch>
          <a:fillRect/>
        </a:stretch>
      </xdr:blipFill>
      <xdr:spPr bwMode="auto">
        <a:xfrm>
          <a:off x="3375660" y="4828541"/>
          <a:ext cx="2667928" cy="1506333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37</xdr:row>
      <xdr:rowOff>86474</xdr:rowOff>
    </xdr:from>
    <xdr:to>
      <xdr:col>10</xdr:col>
      <xdr:colOff>229528</xdr:colOff>
      <xdr:row>39</xdr:row>
      <xdr:rowOff>84569</xdr:rowOff>
    </xdr:to>
    <xdr:sp macro="" textlink="">
      <xdr:nvSpPr>
        <xdr:cNvPr id="9" name="TextBox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FC41A66-562C-9A91-4F82-162306585B19}"/>
            </a:ext>
          </a:extLst>
        </xdr:cNvPr>
        <xdr:cNvSpPr txBox="1"/>
      </xdr:nvSpPr>
      <xdr:spPr>
        <a:xfrm>
          <a:off x="3375660" y="6334874"/>
          <a:ext cx="2667928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Stock Valuation (FIFO)</a:t>
          </a:r>
        </a:p>
      </xdr:txBody>
    </xdr:sp>
    <xdr:clientData/>
  </xdr:twoCellAnchor>
  <xdr:twoCellAnchor editAs="oneCell">
    <xdr:from>
      <xdr:col>11</xdr:col>
      <xdr:colOff>0</xdr:colOff>
      <xdr:row>28</xdr:row>
      <xdr:rowOff>88900</xdr:rowOff>
    </xdr:from>
    <xdr:to>
      <xdr:col>15</xdr:col>
      <xdr:colOff>229706</xdr:colOff>
      <xdr:row>37</xdr:row>
      <xdr:rowOff>86476</xdr:rowOff>
    </xdr:to>
    <xdr:pic>
      <xdr:nvPicPr>
        <xdr:cNvPr id="10285065" name="Picture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BCF13B1-D7F2-EF25-BC2E-B709AA9F1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101" b="38962"/>
        <a:stretch>
          <a:fillRect/>
        </a:stretch>
      </xdr:blipFill>
      <xdr:spPr bwMode="auto">
        <a:xfrm>
          <a:off x="6423660" y="4828540"/>
          <a:ext cx="2668106" cy="1506336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37</xdr:row>
      <xdr:rowOff>86476</xdr:rowOff>
    </xdr:from>
    <xdr:to>
      <xdr:col>15</xdr:col>
      <xdr:colOff>229706</xdr:colOff>
      <xdr:row>39</xdr:row>
      <xdr:rowOff>84571</xdr:rowOff>
    </xdr:to>
    <xdr:sp macro="" textlink="">
      <xdr:nvSpPr>
        <xdr:cNvPr id="10" name="TextBox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F2EB06F-0089-0B8A-0D38-BC415F1B035D}"/>
            </a:ext>
          </a:extLst>
        </xdr:cNvPr>
        <xdr:cNvSpPr txBox="1"/>
      </xdr:nvSpPr>
      <xdr:spPr>
        <a:xfrm>
          <a:off x="6423660" y="6334876"/>
          <a:ext cx="2668106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Inventory Sales</a:t>
          </a:r>
        </a:p>
      </xdr:txBody>
    </xdr:sp>
    <xdr:clientData/>
  </xdr:twoCellAnchor>
  <xdr:twoCellAnchor editAs="oneCell">
    <xdr:from>
      <xdr:col>1</xdr:col>
      <xdr:colOff>0</xdr:colOff>
      <xdr:row>41</xdr:row>
      <xdr:rowOff>49530</xdr:rowOff>
    </xdr:from>
    <xdr:to>
      <xdr:col>5</xdr:col>
      <xdr:colOff>229713</xdr:colOff>
      <xdr:row>50</xdr:row>
      <xdr:rowOff>47077</xdr:rowOff>
    </xdr:to>
    <xdr:pic>
      <xdr:nvPicPr>
        <xdr:cNvPr id="10285066" name="Picture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5BB9D99-00E2-713D-8C66-19ABFF39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290" b="38161"/>
        <a:stretch>
          <a:fillRect/>
        </a:stretch>
      </xdr:blipFill>
      <xdr:spPr bwMode="auto">
        <a:xfrm>
          <a:off x="327660" y="6968490"/>
          <a:ext cx="2668113" cy="1506307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50</xdr:row>
      <xdr:rowOff>47077</xdr:rowOff>
    </xdr:from>
    <xdr:to>
      <xdr:col>5</xdr:col>
      <xdr:colOff>229713</xdr:colOff>
      <xdr:row>52</xdr:row>
      <xdr:rowOff>45172</xdr:rowOff>
    </xdr:to>
    <xdr:sp macro="" textlink="">
      <xdr:nvSpPr>
        <xdr:cNvPr id="11" name="TextBox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49E101D-4C5C-4BA8-7FBD-E9F780168810}"/>
            </a:ext>
          </a:extLst>
        </xdr:cNvPr>
        <xdr:cNvSpPr txBox="1"/>
      </xdr:nvSpPr>
      <xdr:spPr>
        <a:xfrm>
          <a:off x="327660" y="8474797"/>
          <a:ext cx="2668113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COGS</a:t>
          </a:r>
        </a:p>
      </xdr:txBody>
    </xdr:sp>
    <xdr:clientData/>
  </xdr:twoCellAnchor>
  <xdr:twoCellAnchor editAs="oneCell">
    <xdr:from>
      <xdr:col>6</xdr:col>
      <xdr:colOff>0</xdr:colOff>
      <xdr:row>41</xdr:row>
      <xdr:rowOff>49530</xdr:rowOff>
    </xdr:from>
    <xdr:to>
      <xdr:col>10</xdr:col>
      <xdr:colOff>229722</xdr:colOff>
      <xdr:row>50</xdr:row>
      <xdr:rowOff>47084</xdr:rowOff>
    </xdr:to>
    <xdr:pic>
      <xdr:nvPicPr>
        <xdr:cNvPr id="10285067" name="Picture 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8D0333B-B57A-441F-1316-C9B6FD7E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541" b="38341"/>
        <a:stretch>
          <a:fillRect/>
        </a:stretch>
      </xdr:blipFill>
      <xdr:spPr bwMode="auto">
        <a:xfrm>
          <a:off x="3375660" y="6968490"/>
          <a:ext cx="2668122" cy="1506314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50</xdr:row>
      <xdr:rowOff>47084</xdr:rowOff>
    </xdr:from>
    <xdr:to>
      <xdr:col>10</xdr:col>
      <xdr:colOff>229722</xdr:colOff>
      <xdr:row>52</xdr:row>
      <xdr:rowOff>45179</xdr:rowOff>
    </xdr:to>
    <xdr:sp macro="" textlink="">
      <xdr:nvSpPr>
        <xdr:cNvPr id="12" name="TextBox 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3625F87-EBE9-E209-B8C1-F0122FBCF513}"/>
            </a:ext>
          </a:extLst>
        </xdr:cNvPr>
        <xdr:cNvSpPr txBox="1"/>
      </xdr:nvSpPr>
      <xdr:spPr>
        <a:xfrm>
          <a:off x="3375660" y="8474804"/>
          <a:ext cx="2668122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PAL I</a:t>
          </a:r>
        </a:p>
      </xdr:txBody>
    </xdr:sp>
    <xdr:clientData/>
  </xdr:twoCellAnchor>
  <xdr:twoCellAnchor editAs="oneCell">
    <xdr:from>
      <xdr:col>11</xdr:col>
      <xdr:colOff>1</xdr:colOff>
      <xdr:row>41</xdr:row>
      <xdr:rowOff>49530</xdr:rowOff>
    </xdr:from>
    <xdr:to>
      <xdr:col>15</xdr:col>
      <xdr:colOff>229588</xdr:colOff>
      <xdr:row>50</xdr:row>
      <xdr:rowOff>47130</xdr:rowOff>
    </xdr:to>
    <xdr:pic>
      <xdr:nvPicPr>
        <xdr:cNvPr id="10285068" name="Picture 1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075E3A9-5B7D-A3D5-66C4-5A38CA12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719" b="39657"/>
        <a:stretch>
          <a:fillRect/>
        </a:stretch>
      </xdr:blipFill>
      <xdr:spPr bwMode="auto">
        <a:xfrm>
          <a:off x="6423661" y="6968490"/>
          <a:ext cx="2667987" cy="150636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</xdr:colOff>
      <xdr:row>50</xdr:row>
      <xdr:rowOff>47130</xdr:rowOff>
    </xdr:from>
    <xdr:to>
      <xdr:col>15</xdr:col>
      <xdr:colOff>229588</xdr:colOff>
      <xdr:row>52</xdr:row>
      <xdr:rowOff>45225</xdr:rowOff>
    </xdr:to>
    <xdr:sp macro="" textlink="">
      <xdr:nvSpPr>
        <xdr:cNvPr id="13" name="TextBox 1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08764C3-F911-9F32-F3F7-F4770B9CF37B}"/>
            </a:ext>
          </a:extLst>
        </xdr:cNvPr>
        <xdr:cNvSpPr txBox="1"/>
      </xdr:nvSpPr>
      <xdr:spPr>
        <a:xfrm>
          <a:off x="6423661" y="8474850"/>
          <a:ext cx="2667987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Trading PL</a:t>
          </a:r>
        </a:p>
      </xdr:txBody>
    </xdr:sp>
    <xdr:clientData/>
  </xdr:twoCellAnchor>
  <xdr:twoCellAnchor editAs="oneCell">
    <xdr:from>
      <xdr:col>1</xdr:col>
      <xdr:colOff>1</xdr:colOff>
      <xdr:row>54</xdr:row>
      <xdr:rowOff>10160</xdr:rowOff>
    </xdr:from>
    <xdr:to>
      <xdr:col>5</xdr:col>
      <xdr:colOff>229614</xdr:colOff>
      <xdr:row>63</xdr:row>
      <xdr:rowOff>7658</xdr:rowOff>
    </xdr:to>
    <xdr:pic>
      <xdr:nvPicPr>
        <xdr:cNvPr id="10285069" name="Picture 1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D4F5AC5-DD7B-B810-AB3C-88A0E740E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476" b="36779"/>
        <a:stretch>
          <a:fillRect/>
        </a:stretch>
      </xdr:blipFill>
      <xdr:spPr bwMode="auto">
        <a:xfrm>
          <a:off x="327661" y="9108440"/>
          <a:ext cx="2668013" cy="1506258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</xdr:colOff>
      <xdr:row>63</xdr:row>
      <xdr:rowOff>7658</xdr:rowOff>
    </xdr:from>
    <xdr:to>
      <xdr:col>5</xdr:col>
      <xdr:colOff>229614</xdr:colOff>
      <xdr:row>65</xdr:row>
      <xdr:rowOff>5753</xdr:rowOff>
    </xdr:to>
    <xdr:sp macro="" textlink="">
      <xdr:nvSpPr>
        <xdr:cNvPr id="14" name="TextBox 1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9E04E4D-2CA1-AA7F-360D-5FA70436B7A7}"/>
            </a:ext>
          </a:extLst>
        </xdr:cNvPr>
        <xdr:cNvSpPr txBox="1"/>
      </xdr:nvSpPr>
      <xdr:spPr>
        <a:xfrm>
          <a:off x="327661" y="10614698"/>
          <a:ext cx="2668013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PAL II</a:t>
          </a:r>
        </a:p>
      </xdr:txBody>
    </xdr:sp>
    <xdr:clientData/>
  </xdr:twoCellAnchor>
  <xdr:twoCellAnchor editAs="oneCell">
    <xdr:from>
      <xdr:col>6</xdr:col>
      <xdr:colOff>1</xdr:colOff>
      <xdr:row>54</xdr:row>
      <xdr:rowOff>10161</xdr:rowOff>
    </xdr:from>
    <xdr:to>
      <xdr:col>10</xdr:col>
      <xdr:colOff>229742</xdr:colOff>
      <xdr:row>63</xdr:row>
      <xdr:rowOff>7746</xdr:rowOff>
    </xdr:to>
    <xdr:pic>
      <xdr:nvPicPr>
        <xdr:cNvPr id="10285070" name="Picture 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EAC1FFD8-8EA9-2991-2A01-ADB2119A7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8" b="39224"/>
        <a:stretch>
          <a:fillRect/>
        </a:stretch>
      </xdr:blipFill>
      <xdr:spPr bwMode="auto">
        <a:xfrm>
          <a:off x="3375661" y="9108441"/>
          <a:ext cx="2668141" cy="1506345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</xdr:colOff>
      <xdr:row>63</xdr:row>
      <xdr:rowOff>7746</xdr:rowOff>
    </xdr:from>
    <xdr:to>
      <xdr:col>10</xdr:col>
      <xdr:colOff>229742</xdr:colOff>
      <xdr:row>65</xdr:row>
      <xdr:rowOff>5841</xdr:rowOff>
    </xdr:to>
    <xdr:sp macro="" textlink="">
      <xdr:nvSpPr>
        <xdr:cNvPr id="15" name="TextBox 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D06C36C-25A3-7FF1-F598-13E1C9415AE4}"/>
            </a:ext>
          </a:extLst>
        </xdr:cNvPr>
        <xdr:cNvSpPr txBox="1"/>
      </xdr:nvSpPr>
      <xdr:spPr>
        <a:xfrm>
          <a:off x="3375661" y="10614786"/>
          <a:ext cx="2668141" cy="33337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YTD-FY23-24</a:t>
          </a:r>
        </a:p>
      </xdr:txBody>
    </xdr:sp>
    <xdr:clientData/>
  </xdr:twoCellAnchor>
  <xdr:twoCellAnchor editAs="oneCell">
    <xdr:from>
      <xdr:col>11</xdr:col>
      <xdr:colOff>0</xdr:colOff>
      <xdr:row>54</xdr:row>
      <xdr:rowOff>10160</xdr:rowOff>
    </xdr:from>
    <xdr:to>
      <xdr:col>15</xdr:col>
      <xdr:colOff>229830</xdr:colOff>
      <xdr:row>63</xdr:row>
      <xdr:rowOff>7748</xdr:rowOff>
    </xdr:to>
    <xdr:pic>
      <xdr:nvPicPr>
        <xdr:cNvPr id="10285071" name="Picture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A2D7AA6E-D56C-A030-ADD2-A4A115D30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582" b="39311"/>
        <a:stretch>
          <a:fillRect/>
        </a:stretch>
      </xdr:blipFill>
      <xdr:spPr bwMode="auto">
        <a:xfrm>
          <a:off x="6423660" y="9108440"/>
          <a:ext cx="2668230" cy="1506348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63</xdr:row>
      <xdr:rowOff>7748</xdr:rowOff>
    </xdr:from>
    <xdr:to>
      <xdr:col>15</xdr:col>
      <xdr:colOff>229830</xdr:colOff>
      <xdr:row>65</xdr:row>
      <xdr:rowOff>5843</xdr:rowOff>
    </xdr:to>
    <xdr:sp macro="" textlink="">
      <xdr:nvSpPr>
        <xdr:cNvPr id="16" name="TextBox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70559ECD-B6C7-20BA-D58A-B9738F1C9357}"/>
            </a:ext>
          </a:extLst>
        </xdr:cNvPr>
        <xdr:cNvSpPr txBox="1"/>
      </xdr:nvSpPr>
      <xdr:spPr>
        <a:xfrm>
          <a:off x="6423660" y="10614788"/>
          <a:ext cx="2668230" cy="3333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Fin Analysis</a:t>
          </a:r>
        </a:p>
      </xdr:txBody>
    </xdr:sp>
    <xdr:clientData/>
  </xdr:twoCellAnchor>
  <xdr:twoCellAnchor editAs="oneCell">
    <xdr:from>
      <xdr:col>1</xdr:col>
      <xdr:colOff>0</xdr:colOff>
      <xdr:row>66</xdr:row>
      <xdr:rowOff>138430</xdr:rowOff>
    </xdr:from>
    <xdr:to>
      <xdr:col>5</xdr:col>
      <xdr:colOff>229705</xdr:colOff>
      <xdr:row>75</xdr:row>
      <xdr:rowOff>135980</xdr:rowOff>
    </xdr:to>
    <xdr:pic>
      <xdr:nvPicPr>
        <xdr:cNvPr id="10285072" name="Picture 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C6009ABF-2425-1F6F-15D3-BA21B247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038" b="38251"/>
        <a:stretch>
          <a:fillRect/>
        </a:stretch>
      </xdr:blipFill>
      <xdr:spPr bwMode="auto">
        <a:xfrm>
          <a:off x="327660" y="11248390"/>
          <a:ext cx="2668105" cy="1506310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75</xdr:row>
      <xdr:rowOff>135981</xdr:rowOff>
    </xdr:from>
    <xdr:to>
      <xdr:col>5</xdr:col>
      <xdr:colOff>229705</xdr:colOff>
      <xdr:row>77</xdr:row>
      <xdr:rowOff>134076</xdr:rowOff>
    </xdr:to>
    <xdr:sp macro="" textlink="">
      <xdr:nvSpPr>
        <xdr:cNvPr id="17" name="TextBox 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74C71BE-D156-D210-0C14-2A643861BE10}"/>
            </a:ext>
          </a:extLst>
        </xdr:cNvPr>
        <xdr:cNvSpPr txBox="1"/>
      </xdr:nvSpPr>
      <xdr:spPr>
        <a:xfrm>
          <a:off x="327660" y="12754701"/>
          <a:ext cx="2668105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Costing</a:t>
          </a:r>
        </a:p>
      </xdr:txBody>
    </xdr:sp>
    <xdr:clientData/>
  </xdr:twoCellAnchor>
  <xdr:twoCellAnchor editAs="oneCell">
    <xdr:from>
      <xdr:col>6</xdr:col>
      <xdr:colOff>1</xdr:colOff>
      <xdr:row>66</xdr:row>
      <xdr:rowOff>138430</xdr:rowOff>
    </xdr:from>
    <xdr:to>
      <xdr:col>10</xdr:col>
      <xdr:colOff>229680</xdr:colOff>
      <xdr:row>75</xdr:row>
      <xdr:rowOff>136012</xdr:rowOff>
    </xdr:to>
    <xdr:pic>
      <xdr:nvPicPr>
        <xdr:cNvPr id="10285073" name="Picture 1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E409392-4B1A-3FB2-7AE6-3DF5A608C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0334" b="39137"/>
        <a:stretch>
          <a:fillRect/>
        </a:stretch>
      </xdr:blipFill>
      <xdr:spPr bwMode="auto">
        <a:xfrm>
          <a:off x="3375661" y="11248390"/>
          <a:ext cx="2668079" cy="1506342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</xdr:colOff>
      <xdr:row>75</xdr:row>
      <xdr:rowOff>136012</xdr:rowOff>
    </xdr:from>
    <xdr:to>
      <xdr:col>10</xdr:col>
      <xdr:colOff>229680</xdr:colOff>
      <xdr:row>77</xdr:row>
      <xdr:rowOff>134107</xdr:rowOff>
    </xdr:to>
    <xdr:sp macro="" textlink="">
      <xdr:nvSpPr>
        <xdr:cNvPr id="18" name="TextBox 1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AA8AB29-1B3B-C774-2C17-FC5DCC4DCC09}"/>
            </a:ext>
          </a:extLst>
        </xdr:cNvPr>
        <xdr:cNvSpPr txBox="1"/>
      </xdr:nvSpPr>
      <xdr:spPr>
        <a:xfrm>
          <a:off x="3375661" y="12754732"/>
          <a:ext cx="2668079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Ins &amp;  Disp Costing</a:t>
          </a:r>
        </a:p>
      </xdr:txBody>
    </xdr:sp>
    <xdr:clientData/>
  </xdr:twoCellAnchor>
  <xdr:twoCellAnchor editAs="oneCell">
    <xdr:from>
      <xdr:col>11</xdr:col>
      <xdr:colOff>0</xdr:colOff>
      <xdr:row>66</xdr:row>
      <xdr:rowOff>138430</xdr:rowOff>
    </xdr:from>
    <xdr:to>
      <xdr:col>15</xdr:col>
      <xdr:colOff>229864</xdr:colOff>
      <xdr:row>75</xdr:row>
      <xdr:rowOff>135993</xdr:rowOff>
    </xdr:to>
    <xdr:pic>
      <xdr:nvPicPr>
        <xdr:cNvPr id="10285074" name="Picture 1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1D4514C3-9233-8154-7645-667CB267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536" b="38609"/>
        <a:stretch>
          <a:fillRect/>
        </a:stretch>
      </xdr:blipFill>
      <xdr:spPr bwMode="auto">
        <a:xfrm>
          <a:off x="6423660" y="11248390"/>
          <a:ext cx="2668264" cy="1506323"/>
        </a:xfrm>
        <a:prstGeom prst="rect">
          <a:avLst/>
        </a:prstGeom>
        <a:noFill/>
        <a:ln w="12700">
          <a:solidFill>
            <a:srgbClr val="D5D5D5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75</xdr:row>
      <xdr:rowOff>135993</xdr:rowOff>
    </xdr:from>
    <xdr:to>
      <xdr:col>15</xdr:col>
      <xdr:colOff>229864</xdr:colOff>
      <xdr:row>77</xdr:row>
      <xdr:rowOff>134088</xdr:rowOff>
    </xdr:to>
    <xdr:sp macro="" textlink="">
      <xdr:nvSpPr>
        <xdr:cNvPr id="19" name="TextBox 1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CE4CE577-6CE2-7E8C-B9CA-D7E25DB8ED5B}"/>
            </a:ext>
          </a:extLst>
        </xdr:cNvPr>
        <xdr:cNvSpPr txBox="1"/>
      </xdr:nvSpPr>
      <xdr:spPr>
        <a:xfrm>
          <a:off x="6423660" y="12754713"/>
          <a:ext cx="2668264" cy="3333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 kern="1200">
              <a:solidFill>
                <a:srgbClr val="000000"/>
              </a:solidFill>
            </a:rPr>
            <a:t>Sales Summary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129540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69AE7B-8477-BD90-E0FA-A61F8A7BA78F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131618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86D7D7-CB27-2DFD-D0EC-F851EBBAE3B9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131618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F046B-57FB-4A11-B62A-C9AD534CDAAC}"/>
            </a:ext>
          </a:extLst>
        </xdr:cNvPr>
        <xdr:cNvSpPr/>
      </xdr:nvSpPr>
      <xdr:spPr bwMode="auto">
        <a:xfrm>
          <a:off x="50800" y="50800"/>
          <a:ext cx="762000" cy="280843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114300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8105C7-D96D-68F6-4B28-330FE8DDE69C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114300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CD79D-B826-48F4-AFE4-935B74C21FFF}"/>
            </a:ext>
          </a:extLst>
        </xdr:cNvPr>
        <xdr:cNvSpPr/>
      </xdr:nvSpPr>
      <xdr:spPr bwMode="auto">
        <a:xfrm>
          <a:off x="50800" y="50800"/>
          <a:ext cx="762000" cy="28257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137160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F7077-7F03-B674-A2AC-9E37BA8194D7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137160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BBE7F5-B9FF-4BBA-A301-31AD246304EE}"/>
            </a:ext>
          </a:extLst>
        </xdr:cNvPr>
        <xdr:cNvSpPr/>
      </xdr:nvSpPr>
      <xdr:spPr bwMode="auto">
        <a:xfrm>
          <a:off x="50800" y="50800"/>
          <a:ext cx="762000" cy="24828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137160</xdr:rowOff>
    </xdr:to>
    <xdr:sp macro="" textlink="">
      <xdr:nvSpPr>
        <xdr:cNvPr id="4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BD2956-415F-41DD-9E15-91F708CE9B26}"/>
            </a:ext>
          </a:extLst>
        </xdr:cNvPr>
        <xdr:cNvSpPr/>
      </xdr:nvSpPr>
      <xdr:spPr bwMode="auto">
        <a:xfrm>
          <a:off x="50800" y="50800"/>
          <a:ext cx="762000" cy="248285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135467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A33C9-8A69-3411-9E2F-AFC12B4D13E7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135467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B307-597F-4717-9360-AE26E19D4F04}"/>
            </a:ext>
          </a:extLst>
        </xdr:cNvPr>
        <xdr:cNvSpPr/>
      </xdr:nvSpPr>
      <xdr:spPr bwMode="auto">
        <a:xfrm>
          <a:off x="50800" y="50800"/>
          <a:ext cx="762000" cy="246592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99060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CBB5FF-395E-F8F3-7C73-164389831657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99060</xdr:rowOff>
    </xdr:to>
    <xdr:sp macro="" textlink="">
      <xdr:nvSpPr>
        <xdr:cNvPr id="2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86774-A861-4316-9852-CE04F85CE793}"/>
            </a:ext>
          </a:extLst>
        </xdr:cNvPr>
        <xdr:cNvSpPr/>
      </xdr:nvSpPr>
      <xdr:spPr bwMode="auto">
        <a:xfrm>
          <a:off x="50800" y="50800"/>
          <a:ext cx="762000" cy="25781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107879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A2806-8978-FFDD-B925-4DF37EEAA34E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F6DF46-9149-4B1D-9549-85282BEC042E}"/>
            </a:ext>
          </a:extLst>
        </xdr:cNvPr>
        <xdr:cNvSpPr txBox="1"/>
      </xdr:nvSpPr>
      <xdr:spPr>
        <a:xfrm>
          <a:off x="1679677" y="854608"/>
          <a:ext cx="234029" cy="33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265246" cy="3264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5F13B8-386C-4195-848F-671EFB0B0CEE}"/>
            </a:ext>
          </a:extLst>
        </xdr:cNvPr>
        <xdr:cNvSpPr txBox="1"/>
      </xdr:nvSpPr>
      <xdr:spPr>
        <a:xfrm>
          <a:off x="3777226" y="0"/>
          <a:ext cx="250996" cy="3080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EBF32A-5761-4543-B115-332626CF2BFD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D727650-7AA1-4F3E-B3D5-B54C70C0A7ED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B093E9-DBD4-4811-A2F6-0B09C79BFBB8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FBE8CE-586E-4C1F-9B4B-A511F12CF3FD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5F4960-EBAD-48D7-B8BE-8369F4249A99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358F19-BE45-43C1-BFD9-BEEF82DB7A61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9A69CD-D46D-41C0-8CE0-D17941D1A847}"/>
            </a:ext>
          </a:extLst>
        </xdr:cNvPr>
        <xdr:cNvSpPr txBox="1"/>
      </xdr:nvSpPr>
      <xdr:spPr>
        <a:xfrm>
          <a:off x="4129548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A0C7F01-FEF2-4C38-87DF-1BAA4F3C522A}"/>
            </a:ext>
          </a:extLst>
        </xdr:cNvPr>
        <xdr:cNvSpPr txBox="1"/>
      </xdr:nvSpPr>
      <xdr:spPr>
        <a:xfrm>
          <a:off x="20574000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3DA352-07CD-4719-93C2-892DE4C7E1BF}"/>
            </a:ext>
          </a:extLst>
        </xdr:cNvPr>
        <xdr:cNvSpPr txBox="1"/>
      </xdr:nvSpPr>
      <xdr:spPr>
        <a:xfrm>
          <a:off x="20574000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ED7D9CB-91C7-482C-BBD1-B642D99FA395}"/>
            </a:ext>
          </a:extLst>
        </xdr:cNvPr>
        <xdr:cNvSpPr txBox="1"/>
      </xdr:nvSpPr>
      <xdr:spPr>
        <a:xfrm>
          <a:off x="20574000" y="741946"/>
          <a:ext cx="243390" cy="3059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A5AA9EC-EDF2-4282-B104-605960974182}"/>
            </a:ext>
          </a:extLst>
        </xdr:cNvPr>
        <xdr:cNvSpPr txBox="1"/>
      </xdr:nvSpPr>
      <xdr:spPr>
        <a:xfrm>
          <a:off x="1679677" y="854608"/>
          <a:ext cx="232287" cy="325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0F13A1-73A3-408E-A382-10722C824E02}"/>
            </a:ext>
          </a:extLst>
        </xdr:cNvPr>
        <xdr:cNvSpPr txBox="1"/>
      </xdr:nvSpPr>
      <xdr:spPr>
        <a:xfrm>
          <a:off x="1679677" y="854608"/>
          <a:ext cx="232287" cy="325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C66356B-4D1F-4A70-AE72-36FF254A83B1}"/>
            </a:ext>
          </a:extLst>
        </xdr:cNvPr>
        <xdr:cNvSpPr txBox="1"/>
      </xdr:nvSpPr>
      <xdr:spPr>
        <a:xfrm>
          <a:off x="3922661" y="844366"/>
          <a:ext cx="250996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665893C-6A24-43F9-AD89-7666B15A2D70}"/>
            </a:ext>
          </a:extLst>
        </xdr:cNvPr>
        <xdr:cNvSpPr txBox="1"/>
      </xdr:nvSpPr>
      <xdr:spPr>
        <a:xfrm>
          <a:off x="3922661" y="844366"/>
          <a:ext cx="243390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B428405-6374-49EA-BD34-30BFD91011C8}"/>
            </a:ext>
          </a:extLst>
        </xdr:cNvPr>
        <xdr:cNvSpPr txBox="1"/>
      </xdr:nvSpPr>
      <xdr:spPr>
        <a:xfrm>
          <a:off x="3922661" y="844366"/>
          <a:ext cx="243390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D9F9E25-13C0-4BB2-B48B-29B68E8352A8}"/>
            </a:ext>
          </a:extLst>
        </xdr:cNvPr>
        <xdr:cNvSpPr txBox="1"/>
      </xdr:nvSpPr>
      <xdr:spPr>
        <a:xfrm>
          <a:off x="3922661" y="844366"/>
          <a:ext cx="243390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E62E972-5ADC-4D90-8E38-BF9FADF0C8A1}"/>
            </a:ext>
          </a:extLst>
        </xdr:cNvPr>
        <xdr:cNvSpPr txBox="1"/>
      </xdr:nvSpPr>
      <xdr:spPr>
        <a:xfrm>
          <a:off x="3922661" y="844366"/>
          <a:ext cx="250765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51AC26E-DAD9-4A99-A29F-6A1047D30786}"/>
            </a:ext>
          </a:extLst>
        </xdr:cNvPr>
        <xdr:cNvSpPr txBox="1"/>
      </xdr:nvSpPr>
      <xdr:spPr>
        <a:xfrm>
          <a:off x="3922661" y="844366"/>
          <a:ext cx="250996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759A188-81DB-42BE-8FD6-76CDBF191F84}"/>
            </a:ext>
          </a:extLst>
        </xdr:cNvPr>
        <xdr:cNvSpPr txBox="1"/>
      </xdr:nvSpPr>
      <xdr:spPr>
        <a:xfrm>
          <a:off x="3922661" y="844366"/>
          <a:ext cx="250996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8AE329D-1D30-4B44-9842-5E5D3FE3BAFF}"/>
            </a:ext>
          </a:extLst>
        </xdr:cNvPr>
        <xdr:cNvSpPr txBox="1"/>
      </xdr:nvSpPr>
      <xdr:spPr>
        <a:xfrm>
          <a:off x="3922661" y="844366"/>
          <a:ext cx="250996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2429809-E2C6-4084-A6A0-2BD4809F47DD}"/>
            </a:ext>
          </a:extLst>
        </xdr:cNvPr>
        <xdr:cNvSpPr txBox="1"/>
      </xdr:nvSpPr>
      <xdr:spPr>
        <a:xfrm>
          <a:off x="3922661" y="844366"/>
          <a:ext cx="243390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EC192F4-C29E-404D-956E-5EF80ACE1900}"/>
            </a:ext>
          </a:extLst>
        </xdr:cNvPr>
        <xdr:cNvSpPr txBox="1"/>
      </xdr:nvSpPr>
      <xdr:spPr>
        <a:xfrm>
          <a:off x="3922661" y="844366"/>
          <a:ext cx="243390" cy="337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A339FDB-240A-4969-8C98-8103F2B6F812}"/>
            </a:ext>
          </a:extLst>
        </xdr:cNvPr>
        <xdr:cNvSpPr txBox="1"/>
      </xdr:nvSpPr>
      <xdr:spPr>
        <a:xfrm>
          <a:off x="3922661" y="854608"/>
          <a:ext cx="240030" cy="3270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FF3CC98-1283-47BE-8A79-6FBF4F1B34E9}"/>
            </a:ext>
          </a:extLst>
        </xdr:cNvPr>
        <xdr:cNvSpPr txBox="1"/>
      </xdr:nvSpPr>
      <xdr:spPr>
        <a:xfrm>
          <a:off x="3922661" y="854608"/>
          <a:ext cx="240030" cy="3270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008BA6-CA8F-4A49-8700-A657B307F06A}"/>
            </a:ext>
          </a:extLst>
        </xdr:cNvPr>
        <xdr:cNvSpPr txBox="1"/>
      </xdr:nvSpPr>
      <xdr:spPr>
        <a:xfrm>
          <a:off x="6442753" y="860707"/>
          <a:ext cx="250996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24829F0-6EEC-431E-B166-7AD50BE2C357}"/>
            </a:ext>
          </a:extLst>
        </xdr:cNvPr>
        <xdr:cNvSpPr txBox="1"/>
      </xdr:nvSpPr>
      <xdr:spPr>
        <a:xfrm>
          <a:off x="6442753" y="860707"/>
          <a:ext cx="234029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3BA047-4F21-4565-919E-8761789FBD95}"/>
            </a:ext>
          </a:extLst>
        </xdr:cNvPr>
        <xdr:cNvSpPr txBox="1"/>
      </xdr:nvSpPr>
      <xdr:spPr>
        <a:xfrm>
          <a:off x="6442753" y="860707"/>
          <a:ext cx="234029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FAA4DB-252F-45C0-BE49-71C1B3809F6F}"/>
            </a:ext>
          </a:extLst>
        </xdr:cNvPr>
        <xdr:cNvSpPr txBox="1"/>
      </xdr:nvSpPr>
      <xdr:spPr>
        <a:xfrm>
          <a:off x="6442753" y="860707"/>
          <a:ext cx="234029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3892077-6A13-404B-9B08-6F07C61F69AD}"/>
            </a:ext>
          </a:extLst>
        </xdr:cNvPr>
        <xdr:cNvSpPr txBox="1"/>
      </xdr:nvSpPr>
      <xdr:spPr>
        <a:xfrm>
          <a:off x="6442753" y="860707"/>
          <a:ext cx="250765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BE3CAF1-E4D8-4EEF-8CCC-C4C1E6D034D3}"/>
            </a:ext>
          </a:extLst>
        </xdr:cNvPr>
        <xdr:cNvSpPr txBox="1"/>
      </xdr:nvSpPr>
      <xdr:spPr>
        <a:xfrm>
          <a:off x="6442753" y="860707"/>
          <a:ext cx="250996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49F9415-C55C-413B-9563-FD99F2D27AE2}"/>
            </a:ext>
          </a:extLst>
        </xdr:cNvPr>
        <xdr:cNvSpPr txBox="1"/>
      </xdr:nvSpPr>
      <xdr:spPr>
        <a:xfrm>
          <a:off x="6442753" y="860707"/>
          <a:ext cx="250996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6F9C5FF-3D7F-4932-B7B2-E34B1BE65DE0}"/>
            </a:ext>
          </a:extLst>
        </xdr:cNvPr>
        <xdr:cNvSpPr txBox="1"/>
      </xdr:nvSpPr>
      <xdr:spPr>
        <a:xfrm>
          <a:off x="6442753" y="860707"/>
          <a:ext cx="250996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FE778F7-7A64-4E8D-B9DC-439C3BB990AF}"/>
            </a:ext>
          </a:extLst>
        </xdr:cNvPr>
        <xdr:cNvSpPr txBox="1"/>
      </xdr:nvSpPr>
      <xdr:spPr>
        <a:xfrm>
          <a:off x="6442753" y="860707"/>
          <a:ext cx="234029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A77604A-95B4-492E-8B0D-63002910B8D2}"/>
            </a:ext>
          </a:extLst>
        </xdr:cNvPr>
        <xdr:cNvSpPr txBox="1"/>
      </xdr:nvSpPr>
      <xdr:spPr>
        <a:xfrm>
          <a:off x="6442753" y="860707"/>
          <a:ext cx="234029" cy="329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01C1279-AFFA-4193-A21F-96E7ECC9900C}"/>
            </a:ext>
          </a:extLst>
        </xdr:cNvPr>
        <xdr:cNvSpPr txBox="1"/>
      </xdr:nvSpPr>
      <xdr:spPr>
        <a:xfrm>
          <a:off x="6442753" y="880474"/>
          <a:ext cx="230798" cy="310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C336FCD-08ED-41EF-A5BF-9015E5074787}"/>
            </a:ext>
          </a:extLst>
        </xdr:cNvPr>
        <xdr:cNvSpPr txBox="1"/>
      </xdr:nvSpPr>
      <xdr:spPr>
        <a:xfrm>
          <a:off x="6442753" y="880474"/>
          <a:ext cx="230798" cy="3103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4610E1A-29C7-434A-84A3-8FA843BB3EB0}"/>
            </a:ext>
          </a:extLst>
        </xdr:cNvPr>
        <xdr:cNvSpPr txBox="1"/>
      </xdr:nvSpPr>
      <xdr:spPr>
        <a:xfrm>
          <a:off x="10199242" y="871409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528C31F-91A6-400E-A52F-B2B240C4DBC9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155B174-316D-473B-9E9C-3A2786B39D5B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BC82517-3A18-49AA-82B0-22B07BBF7178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65CDF1C-ED65-499C-A4B9-466A49C0A276}"/>
            </a:ext>
          </a:extLst>
        </xdr:cNvPr>
        <xdr:cNvSpPr txBox="1"/>
      </xdr:nvSpPr>
      <xdr:spPr>
        <a:xfrm>
          <a:off x="8026685" y="860707"/>
          <a:ext cx="24902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4E97FCC-FAE8-4A9D-B268-70603F82E2FE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122A73D-18EC-419A-AD35-85AB92709417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B5B6B14-833E-46AD-83DE-2EE5C89BE67D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A0E4D1C-946C-42BD-BFCC-F37B57A08B32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26080C9-95D0-4A75-9666-64910AF744A8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78F7ADA-29CC-41E8-84F8-A02288459DB8}"/>
            </a:ext>
          </a:extLst>
        </xdr:cNvPr>
        <xdr:cNvSpPr txBox="1"/>
      </xdr:nvSpPr>
      <xdr:spPr>
        <a:xfrm>
          <a:off x="8026685" y="889999"/>
          <a:ext cx="228951" cy="301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BE74EAD-429E-4B84-AAEC-F32487C7CBBE}"/>
            </a:ext>
          </a:extLst>
        </xdr:cNvPr>
        <xdr:cNvSpPr txBox="1"/>
      </xdr:nvSpPr>
      <xdr:spPr>
        <a:xfrm>
          <a:off x="8026685" y="889999"/>
          <a:ext cx="228951" cy="301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AF654FA-A327-4C52-B5FF-8A9F729967DF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CACE341-B060-45D5-9745-827416FB92C5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27099BA-3496-4101-92A4-E11B73C8CBD4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E99C731-48A9-4212-923E-4F23ECCB2481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0C97E39-6FC8-4CEE-80D2-5887769075E5}"/>
            </a:ext>
          </a:extLst>
        </xdr:cNvPr>
        <xdr:cNvSpPr txBox="1"/>
      </xdr:nvSpPr>
      <xdr:spPr>
        <a:xfrm>
          <a:off x="8026685" y="860707"/>
          <a:ext cx="24902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40D9967-B774-4F67-B6F4-C4F018DEC17A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E598BB3-0BA1-4FAF-BFE5-DBCBF9D839F9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C915946-D9AC-4933-BDCB-5600411189FC}"/>
            </a:ext>
          </a:extLst>
        </xdr:cNvPr>
        <xdr:cNvSpPr txBox="1"/>
      </xdr:nvSpPr>
      <xdr:spPr>
        <a:xfrm>
          <a:off x="8026685" y="860707"/>
          <a:ext cx="249253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41400E-8F98-4091-97CC-6AE93E9A5FA3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6F01964-A460-4961-9A8B-43BE24391DAC}"/>
            </a:ext>
          </a:extLst>
        </xdr:cNvPr>
        <xdr:cNvSpPr txBox="1"/>
      </xdr:nvSpPr>
      <xdr:spPr>
        <a:xfrm>
          <a:off x="8026685" y="860707"/>
          <a:ext cx="241578" cy="3304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EA75932-1FAF-4121-894C-FC1BDDBA97F7}"/>
            </a:ext>
          </a:extLst>
        </xdr:cNvPr>
        <xdr:cNvSpPr txBox="1"/>
      </xdr:nvSpPr>
      <xdr:spPr>
        <a:xfrm>
          <a:off x="8026685" y="889999"/>
          <a:ext cx="228951" cy="301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E1A9AA2-6074-4734-8DFF-F9D310DECDF8}"/>
            </a:ext>
          </a:extLst>
        </xdr:cNvPr>
        <xdr:cNvSpPr txBox="1"/>
      </xdr:nvSpPr>
      <xdr:spPr>
        <a:xfrm>
          <a:off x="8026685" y="889999"/>
          <a:ext cx="228951" cy="301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7E3C385-CDAE-442B-BE25-680A8A18FE82}"/>
            </a:ext>
          </a:extLst>
        </xdr:cNvPr>
        <xdr:cNvSpPr txBox="1"/>
      </xdr:nvSpPr>
      <xdr:spPr>
        <a:xfrm>
          <a:off x="10381180" y="880934"/>
          <a:ext cx="247295" cy="3135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394A2BD-AFC9-49F2-991D-A1E300159F3A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57869BF-38AB-4A76-B3D5-D8A5AB262E0F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8DCCCA8-A399-4DAA-8D38-17D7943FD3E8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BE06DAD-6BDE-4DE2-B781-447B89F2C8C2}"/>
            </a:ext>
          </a:extLst>
        </xdr:cNvPr>
        <xdr:cNvSpPr txBox="1"/>
      </xdr:nvSpPr>
      <xdr:spPr>
        <a:xfrm>
          <a:off x="10381180" y="860707"/>
          <a:ext cx="247066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D28FD10-73C9-4492-9BF3-27A13CBFF6D1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CFD38D6-E3BA-4985-ABA3-36B12080A921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077B566-5581-4A8F-9F35-FB4BF73EA46E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F096568-43E0-43A7-867A-FC5EFC5FED48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C608713-CF28-4B5C-81D0-AE6316B355C2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77E2CDD-C1CD-4561-8D26-EE2D604A5CA1}"/>
            </a:ext>
          </a:extLst>
        </xdr:cNvPr>
        <xdr:cNvSpPr txBox="1"/>
      </xdr:nvSpPr>
      <xdr:spPr>
        <a:xfrm>
          <a:off x="10381180" y="891904"/>
          <a:ext cx="227120" cy="300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8A6D140-E968-44D1-9029-932D08FF7BB2}"/>
            </a:ext>
          </a:extLst>
        </xdr:cNvPr>
        <xdr:cNvSpPr txBox="1"/>
      </xdr:nvSpPr>
      <xdr:spPr>
        <a:xfrm>
          <a:off x="10381180" y="891904"/>
          <a:ext cx="227120" cy="300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66C34A2-6FD2-4F5C-8C51-897410C5F4F3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895ECFA-1B47-4799-804D-B43B604C344F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1757335E-F1A0-499F-A908-5654F3BA735F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81B037D-D2EA-402D-9D91-4C54BD007616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F767943-3EA3-4A25-B9FE-75679A00B746}"/>
            </a:ext>
          </a:extLst>
        </xdr:cNvPr>
        <xdr:cNvSpPr txBox="1"/>
      </xdr:nvSpPr>
      <xdr:spPr>
        <a:xfrm>
          <a:off x="10381180" y="860707"/>
          <a:ext cx="247066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CB45F832-6604-41DB-8008-E41C9263CB8F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2F939A5-56FC-4B43-B744-2FA4231BCC83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7C96D4A-57AB-4C48-B422-228C0560707E}"/>
            </a:ext>
          </a:extLst>
        </xdr:cNvPr>
        <xdr:cNvSpPr txBox="1"/>
      </xdr:nvSpPr>
      <xdr:spPr>
        <a:xfrm>
          <a:off x="10381180" y="860707"/>
          <a:ext cx="247295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30C842-DDF3-4F41-BE79-6A0975D80D6D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E09EBB6-35C1-4F34-AD56-F16EDBB435C9}"/>
            </a:ext>
          </a:extLst>
        </xdr:cNvPr>
        <xdr:cNvSpPr txBox="1"/>
      </xdr:nvSpPr>
      <xdr:spPr>
        <a:xfrm>
          <a:off x="10381180" y="860707"/>
          <a:ext cx="249371" cy="330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F70C24F-5A9A-45DE-9202-4B1CC7E0F8FC}"/>
            </a:ext>
          </a:extLst>
        </xdr:cNvPr>
        <xdr:cNvSpPr txBox="1"/>
      </xdr:nvSpPr>
      <xdr:spPr>
        <a:xfrm>
          <a:off x="10381180" y="891904"/>
          <a:ext cx="227120" cy="300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2F62E8A-3E3D-4337-B533-0001330450F4}"/>
            </a:ext>
          </a:extLst>
        </xdr:cNvPr>
        <xdr:cNvSpPr txBox="1"/>
      </xdr:nvSpPr>
      <xdr:spPr>
        <a:xfrm>
          <a:off x="10381180" y="891904"/>
          <a:ext cx="227120" cy="300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ACE58AE-CD79-4E76-B32E-00B42C96E74D}"/>
            </a:ext>
          </a:extLst>
        </xdr:cNvPr>
        <xdr:cNvSpPr txBox="1"/>
      </xdr:nvSpPr>
      <xdr:spPr>
        <a:xfrm>
          <a:off x="1680253" y="893809"/>
          <a:ext cx="223500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D707166-8543-4F4C-8956-4F26983BB10B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28DB4E1-A486-4E5C-A698-26E519D6C77C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AB0482D-8896-4361-AF94-DFC9F6A3C85F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32E096C-F6E6-4D25-8AFB-26E5F3C88417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3442FCB-AB97-41A7-958A-BABBCC2AF216}"/>
            </a:ext>
          </a:extLst>
        </xdr:cNvPr>
        <xdr:cNvSpPr txBox="1"/>
      </xdr:nvSpPr>
      <xdr:spPr>
        <a:xfrm>
          <a:off x="1680253" y="860707"/>
          <a:ext cx="22690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F692163-3984-4319-81EC-3A3C6265FFE5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0D3B48B-B37A-4F05-9BCD-1F2F6C72DD16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05B8E0-9E8E-47EC-B58F-FBEE0CC350FF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FBB3102-DAC9-42C7-A520-EBC50B745212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012552-357E-409E-852B-6EECB0FF043A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86BAA35-C2D2-48AC-8585-942356EA6808}"/>
            </a:ext>
          </a:extLst>
        </xdr:cNvPr>
        <xdr:cNvSpPr txBox="1"/>
      </xdr:nvSpPr>
      <xdr:spPr>
        <a:xfrm>
          <a:off x="1680253" y="893809"/>
          <a:ext cx="233307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94827C-893E-4557-B5A2-7655A29AF360}"/>
            </a:ext>
          </a:extLst>
        </xdr:cNvPr>
        <xdr:cNvSpPr txBox="1"/>
      </xdr:nvSpPr>
      <xdr:spPr>
        <a:xfrm>
          <a:off x="1680253" y="893809"/>
          <a:ext cx="233307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2D1AA42-1EBD-4AE2-9248-94995A87A11B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AC3A207-8A01-4F65-B710-5D0A36A213D1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6E65F05-00F0-4747-901F-5E8015D81521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124B335-3CF5-4BB1-9062-2A7A0C96E161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F11E7234-785E-4FB4-BF5D-23D83A47D1E2}"/>
            </a:ext>
          </a:extLst>
        </xdr:cNvPr>
        <xdr:cNvSpPr txBox="1"/>
      </xdr:nvSpPr>
      <xdr:spPr>
        <a:xfrm>
          <a:off x="1680253" y="860707"/>
          <a:ext cx="254917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C5D7B00-852D-4B71-A188-F5CB2EC30A04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5251AE1-AAD9-4629-BF50-4376DEB59997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145F8F1-02CF-42C7-8844-8BBB8AB60953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1B0E677-D88A-45E2-A53C-B5E815997935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F112281-90B9-4B9E-B476-DBD70E06DDD2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47CB9A3-A74A-4EF2-9F36-4D389DAA9FE8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CC0F35E-8E67-48CC-8693-C9D01C9A753F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D920714C-0DA2-4945-AD3A-72FE0FD6B9CB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766E324-AD30-4842-B535-C985A301F089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359E3C5-55EE-455C-B1CD-67E600A87909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C992D92-6F06-4A75-B624-5F1AE6F702D0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D853C855-5F63-4E97-8BFC-E3D6813373CB}"/>
            </a:ext>
          </a:extLst>
        </xdr:cNvPr>
        <xdr:cNvSpPr txBox="1"/>
      </xdr:nvSpPr>
      <xdr:spPr>
        <a:xfrm>
          <a:off x="1680253" y="860707"/>
          <a:ext cx="23980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D472979-87A8-409E-9DAD-43527C2D12AE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3F6AAB39-1283-412D-8CD4-4403A068E66C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FFB73D5-9056-4B81-B7F2-C2FED3F7BE1D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4D98BBE-4BF0-4D0B-9C65-D3A5342D9E1B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405FCF4-9CDF-402D-81A6-D4A6ECD60064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221C349-9359-4C23-BE25-838F073A515C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20B6442-527B-4D48-BA81-55C6971C7B80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BADA944E-B685-4AC3-AEC6-88FF1DA19BE8}"/>
            </a:ext>
          </a:extLst>
        </xdr:cNvPr>
        <xdr:cNvSpPr txBox="1"/>
      </xdr:nvSpPr>
      <xdr:spPr>
        <a:xfrm>
          <a:off x="1680253" y="890459"/>
          <a:ext cx="245352" cy="29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D917E76-3BB7-4AB9-8DF3-6505178F7338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96C0239-4E2E-4AF2-B3AC-47FF97C92666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C0864A8-3527-4FD1-8AE0-B80AB51A898F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47E6650-C81F-42CF-9D99-B2F1DF6ED4BB}"/>
            </a:ext>
          </a:extLst>
        </xdr:cNvPr>
        <xdr:cNvSpPr txBox="1"/>
      </xdr:nvSpPr>
      <xdr:spPr>
        <a:xfrm>
          <a:off x="1680253" y="860707"/>
          <a:ext cx="24512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5438B33-88D0-45ED-90E9-A4BAE8534C0F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24637A4-9479-4D55-9E1F-EA852A63C851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AC5CDAE-F5D5-4333-830D-E92C88BF72E7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E99CCFA-D25D-4702-A47C-3CD02D4DD580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C27E30B-471D-4135-8E6C-AABB9D0857F5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F76338-68F9-43A6-99BA-0B7924DA9AB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B5F51DB-D051-42E2-8B9F-A8292E7D742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CF94195-E23E-4EF5-8C58-2305EF4DA99A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804A84C-9F02-44AD-99AD-19446BC0D06C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0DEB514-13E5-4D75-9217-246C6E0FB623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B59E863-8DF8-4A7C-B66F-BB211987B405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4E729FCF-21EA-479B-86B4-D8D8EDCE427D}"/>
            </a:ext>
          </a:extLst>
        </xdr:cNvPr>
        <xdr:cNvSpPr txBox="1"/>
      </xdr:nvSpPr>
      <xdr:spPr>
        <a:xfrm>
          <a:off x="1680253" y="860707"/>
          <a:ext cx="24512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D1C4925-E59B-485C-9000-D1F12C64E079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7F1A7AF-EBFA-4172-979F-AB2DCEE5E70A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B30C29F-10FA-42E6-916D-4E4B31D6F2BF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E2E8F79-6292-41B1-8DC6-30942843AAE6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DB5F114-672E-4C5D-BD91-44B46B4E43BF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AD37E6A-9D30-47EA-B796-782C64F1997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E4A7487-CCC2-425B-897C-90530523E56D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5AF4A90D-D9D9-499E-BCAD-068F1B85FBDA}"/>
            </a:ext>
          </a:extLst>
        </xdr:cNvPr>
        <xdr:cNvSpPr txBox="1"/>
      </xdr:nvSpPr>
      <xdr:spPr>
        <a:xfrm>
          <a:off x="1680253" y="890459"/>
          <a:ext cx="245578" cy="29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F0BBCB3-8E12-4F5A-B799-10776F552E34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9C8886F-6651-4D6C-8B5E-ECE863D0B3F0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5ADF9D8-0BB2-4B21-B864-9B415E1F91F8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48A6D4F-195F-43AE-85CC-820F87932E8A}"/>
            </a:ext>
          </a:extLst>
        </xdr:cNvPr>
        <xdr:cNvSpPr txBox="1"/>
      </xdr:nvSpPr>
      <xdr:spPr>
        <a:xfrm>
          <a:off x="1680253" y="860707"/>
          <a:ext cx="24535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88F401DD-CCF5-4A6E-A7E3-6A954641F45F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D64B594-92B9-456F-AFFD-A1E48AC4A06D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9D47A47-9E63-4710-893A-7B25CCD717C1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18FFF7B-3A5B-41F4-9D93-4051D92F3570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1EF20DF-40CF-409F-AAA4-D24CB47E2777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A27778D1-C765-4C86-9E96-B3CAB6117049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2E16C650-9A16-41F3-A22E-3CB33BA59CED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8090677-45CE-4143-A052-CF8DD79D4506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86F5807-146D-43B7-BAAE-3979F97C39C3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6C1A76E5-98D9-4055-A163-C8DBDCB32326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D0F9D1F-B53B-42F8-A280-5701C5CFCC12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441B188-FECE-49E6-BE81-609AD201D81C}"/>
            </a:ext>
          </a:extLst>
        </xdr:cNvPr>
        <xdr:cNvSpPr txBox="1"/>
      </xdr:nvSpPr>
      <xdr:spPr>
        <a:xfrm>
          <a:off x="1680253" y="860707"/>
          <a:ext cx="24535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5B4A7AB-8418-4A2C-B89D-C9EB65D417AD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895EABB-60C1-4A17-81DC-C3E5F1459D97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7186398-AD54-4DF6-98A7-A8FD729D3173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A0991C9-4010-4C2F-BA13-0C5267F4A4E8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2D3481D-5E4C-4A89-B8DD-97612C327770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6561EF9-1A37-4ECE-BEC7-C3760EBAB368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CA4E958-8827-45B4-B2AA-86BA147DEAA7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EC834CA-C827-4B2B-9D1C-EC315FF8A22F}"/>
            </a:ext>
          </a:extLst>
        </xdr:cNvPr>
        <xdr:cNvSpPr txBox="1"/>
      </xdr:nvSpPr>
      <xdr:spPr>
        <a:xfrm>
          <a:off x="1680253" y="893809"/>
          <a:ext cx="223500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0EC926F-896B-49BE-9FC5-60FC896B5A56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977E6320-5B51-4947-8721-D4CA7B8E206E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70AA3CC8-BC41-43F8-A446-0CCFAB03AB2C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EFB53FD-EB90-4757-B1C1-F005CECC46D1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115C6CA-436E-402C-82BE-B196D527FFF6}"/>
            </a:ext>
          </a:extLst>
        </xdr:cNvPr>
        <xdr:cNvSpPr txBox="1"/>
      </xdr:nvSpPr>
      <xdr:spPr>
        <a:xfrm>
          <a:off x="1680253" y="860707"/>
          <a:ext cx="22690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31DF30F-E458-48AD-A46C-8B16F58A7AA3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75DAA59-6264-4881-B989-24797C3815A3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D74988E-1634-4E91-AE59-9BC66C3DDED7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4A430C0-43BF-4C80-93F6-10FFCF75ECD2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6837B32-8E6F-4997-AFD8-1D020854BB2D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5A98275-1BB5-4ED7-A508-7A554A21F3BA}"/>
            </a:ext>
          </a:extLst>
        </xdr:cNvPr>
        <xdr:cNvSpPr txBox="1"/>
      </xdr:nvSpPr>
      <xdr:spPr>
        <a:xfrm>
          <a:off x="1680253" y="893809"/>
          <a:ext cx="233307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A7596DA-30AE-4C8D-9156-D362C10736EF}"/>
            </a:ext>
          </a:extLst>
        </xdr:cNvPr>
        <xdr:cNvSpPr txBox="1"/>
      </xdr:nvSpPr>
      <xdr:spPr>
        <a:xfrm>
          <a:off x="1680253" y="893809"/>
          <a:ext cx="233307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62D9E51-734D-4EFF-A63F-25026DFD5B50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7508D66B-7B97-40C3-983E-10D44550C6B9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462E4B4-0A8F-4554-AA83-AD853A5A72B2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3BBEA0E-D419-4021-83EC-05A3934FAA51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F5EDD51-DF91-417D-B623-6AAFDF179C96}"/>
            </a:ext>
          </a:extLst>
        </xdr:cNvPr>
        <xdr:cNvSpPr txBox="1"/>
      </xdr:nvSpPr>
      <xdr:spPr>
        <a:xfrm>
          <a:off x="1680253" y="860707"/>
          <a:ext cx="254917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D41D9E3-43F6-42D5-B8ED-F32A9157AA13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C5DBEB77-196B-464E-AD0E-CBB61239F5D1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5F367B0-D101-4851-8C9B-21CAFC45B73C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256A5287-10FD-4E18-9F01-D1D1C4D930EA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CCE5DD1-FB5A-4D13-B013-221C8D9FFC8E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6B35195-8CF4-47C0-9D5B-E57CC1CF7739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6E610B3B-D93A-4849-90C4-B405AC5E2E15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705A83B-870C-4627-BC6B-F045676EF1FC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53CD6DD-5388-4AD7-A146-002639BBD27C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87E69F73-F197-4797-A717-B466B1F5AF2A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9EDF5815-34CE-429F-B102-3F769DCA2CF6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938840D-EB81-440F-B75B-3A125C68C7C9}"/>
            </a:ext>
          </a:extLst>
        </xdr:cNvPr>
        <xdr:cNvSpPr txBox="1"/>
      </xdr:nvSpPr>
      <xdr:spPr>
        <a:xfrm>
          <a:off x="1680253" y="860707"/>
          <a:ext cx="23980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5EFDD74-3D7D-4534-8895-3E6EBCC5435F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8DAF011-650E-419D-BC3F-F78D7D035C04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5E12A00E-5421-451D-8292-ECC930B9142C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F7835BA2-A7CB-4DB8-BFE6-766802C64DEA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DAFB0CE6-E35B-4E7F-8871-76D7323193B4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E0467F6-8A00-4308-A75F-811700B4A2C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1F2D3867-6CF6-4374-84E1-5A170E90F1F9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A775167-D431-43A2-BFB1-8C756E158E93}"/>
            </a:ext>
          </a:extLst>
        </xdr:cNvPr>
        <xdr:cNvSpPr txBox="1"/>
      </xdr:nvSpPr>
      <xdr:spPr>
        <a:xfrm>
          <a:off x="1680253" y="890459"/>
          <a:ext cx="245352" cy="29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71F3ADB-6B6E-468A-A458-0F3B91E417C3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1E80418C-9B41-45CC-8846-8F229B9EA039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CFB20EDE-905B-4364-8016-30053E94692A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534183B1-F136-4BF5-B48B-707E5F6B16EC}"/>
            </a:ext>
          </a:extLst>
        </xdr:cNvPr>
        <xdr:cNvSpPr txBox="1"/>
      </xdr:nvSpPr>
      <xdr:spPr>
        <a:xfrm>
          <a:off x="1680253" y="860707"/>
          <a:ext cx="24512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F26F785-80C0-4C3D-B896-B27A323CC6F0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7CAAF91-3374-4AE8-B2D9-E283FBB6E190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299C3D4-F778-4B27-8B4C-B7E3E31FBBAA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B1343F3-4C94-4A28-AD12-943ECE494395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69B7320C-3AA1-40F9-88F1-3D528E6EDEB1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61F9F09-E1B5-4179-85CE-CC2ECA5A6A38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81ACA334-D7FD-45A6-8D9C-6212A2363FBC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89D9F45-A3DA-483B-8A76-21940841E130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BC140A1D-825D-4AE4-8CEC-739546080155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3975930-AFA2-4BF9-B700-317D02F058C4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107D3852-080E-4656-A16E-F955BE620D5B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F8DAB3E-741A-4932-836C-596BF5B75A84}"/>
            </a:ext>
          </a:extLst>
        </xdr:cNvPr>
        <xdr:cNvSpPr txBox="1"/>
      </xdr:nvSpPr>
      <xdr:spPr>
        <a:xfrm>
          <a:off x="1680253" y="860707"/>
          <a:ext cx="24512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77E87FB-9D07-4E80-9ADA-04BD683F4C97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68957C1-631D-4DEF-9056-916B46F4FCCB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16173CA1-4536-4AAF-B45A-887DDB1BB29C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63CEDEAF-9C49-4422-961A-8242C03E620F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9795BB1-AFA2-4D0B-BD83-86D01ABDD5DA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EDDC5D7-9204-4AE5-9F42-20CFBBA30825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37EF805-E930-410F-920F-19E1E3800D78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67B37E90-C6F4-4C88-80D4-067F8FDDB6DD}"/>
            </a:ext>
          </a:extLst>
        </xdr:cNvPr>
        <xdr:cNvSpPr txBox="1"/>
      </xdr:nvSpPr>
      <xdr:spPr>
        <a:xfrm>
          <a:off x="1680253" y="890459"/>
          <a:ext cx="245578" cy="29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CAF1750-3F0D-4BEE-9019-68EC0BAD08C9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65DB114E-2C0C-4EEC-B858-C80A98959ED2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DD648104-8ADB-4509-BB2B-A2DD3346999D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1EEDCF59-D460-4BFC-8232-77E8AECBB85F}"/>
            </a:ext>
          </a:extLst>
        </xdr:cNvPr>
        <xdr:cNvSpPr txBox="1"/>
      </xdr:nvSpPr>
      <xdr:spPr>
        <a:xfrm>
          <a:off x="1680253" y="860707"/>
          <a:ext cx="24535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8E67F227-8EB7-48C0-B8DA-7FE53F6763B6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BFD42A1B-4983-411B-A45F-54EDF15B2932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9C4DE7E-B9F8-4787-ADAB-CF8154542B56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6FC0E890-A039-4DBD-B7FC-F7C883FB87E4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25E7279E-1143-4373-96B7-6D458B49266B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D46FE3B1-F9EF-4E55-8371-1A8D4A53DAF3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CF31E60-6EAB-429F-A18E-5FDD03228C51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A464B286-79AD-4C39-9926-20E45C065893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F18EEC3-E517-47CC-88FF-98844C8857BA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E44C86E-323A-4504-9AC8-929EBC2A3302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EFD7C292-A2CC-4CFF-AE9E-B684874F03D7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D82532D1-5058-43E8-A124-7049CC3A1655}"/>
            </a:ext>
          </a:extLst>
        </xdr:cNvPr>
        <xdr:cNvSpPr txBox="1"/>
      </xdr:nvSpPr>
      <xdr:spPr>
        <a:xfrm>
          <a:off x="1680253" y="860707"/>
          <a:ext cx="24535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FC39CD8F-513D-4106-9EDB-EF887B1DAB7D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3B7402E6-571E-4C97-83A4-F9CD64D3432C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6C1B695-45EF-4917-89EA-9C400FEE4532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246EB2A9-EA43-4E3D-943B-909C3B616D1E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57F90D40-22CF-4701-B8BC-31C447F3990B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8F5B2B43-2782-4684-B38C-A2AD4E41395E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B0DAA1E3-CEA4-447C-A7AB-00E0BFE17E4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C0A6934E-9289-444C-A5FB-2F6C1460D76B}"/>
            </a:ext>
          </a:extLst>
        </xdr:cNvPr>
        <xdr:cNvSpPr txBox="1"/>
      </xdr:nvSpPr>
      <xdr:spPr>
        <a:xfrm>
          <a:off x="1680253" y="893809"/>
          <a:ext cx="223500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4AF0F44E-3D5C-4DE1-82DF-BEC5E32D303B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039724F-9501-40BD-BD58-7D4012EEEBEC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CCF38F90-C091-4B83-9EF5-4916D842772B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CE286008-7448-4096-B1D4-C22D20670000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164091AB-682F-44CC-AB45-BEB841A1C2FA}"/>
            </a:ext>
          </a:extLst>
        </xdr:cNvPr>
        <xdr:cNvSpPr txBox="1"/>
      </xdr:nvSpPr>
      <xdr:spPr>
        <a:xfrm>
          <a:off x="1680253" y="860707"/>
          <a:ext cx="22690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6A64B38-573D-4924-B34D-FE0AD20127F5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21FCCC-49C9-4F88-96EF-BA838A8EBAF0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1F82D881-625B-4381-9363-4E46757481A8}"/>
            </a:ext>
          </a:extLst>
        </xdr:cNvPr>
        <xdr:cNvSpPr txBox="1"/>
      </xdr:nvSpPr>
      <xdr:spPr>
        <a:xfrm>
          <a:off x="1680253" y="860707"/>
          <a:ext cx="22711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65544CA6-7907-40A6-9692-DB822CEC7493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77FC7AF9-80E2-4492-90D2-CD8ADA65517F}"/>
            </a:ext>
          </a:extLst>
        </xdr:cNvPr>
        <xdr:cNvSpPr txBox="1"/>
      </xdr:nvSpPr>
      <xdr:spPr>
        <a:xfrm>
          <a:off x="1680253" y="860707"/>
          <a:ext cx="2273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A9C19802-2EEE-4FC3-A788-B0EC05240C93}"/>
            </a:ext>
          </a:extLst>
        </xdr:cNvPr>
        <xdr:cNvSpPr txBox="1"/>
      </xdr:nvSpPr>
      <xdr:spPr>
        <a:xfrm>
          <a:off x="1680253" y="893809"/>
          <a:ext cx="233307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3D95519F-90F7-41A7-8371-0D0993B3BFD9}"/>
            </a:ext>
          </a:extLst>
        </xdr:cNvPr>
        <xdr:cNvSpPr txBox="1"/>
      </xdr:nvSpPr>
      <xdr:spPr>
        <a:xfrm>
          <a:off x="1680253" y="893809"/>
          <a:ext cx="233307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A26C0AB7-7DB0-4265-B9FF-9276A123725F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B6757A-C5FD-4A75-8893-69F9472E5890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354724A2-57B3-423F-B7C9-483E206A3206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9A7EA5B4-AF82-49F2-8814-36BCB6CDF434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23BECAA0-C2C9-458A-94F5-989B2EA9DD3D}"/>
            </a:ext>
          </a:extLst>
        </xdr:cNvPr>
        <xdr:cNvSpPr txBox="1"/>
      </xdr:nvSpPr>
      <xdr:spPr>
        <a:xfrm>
          <a:off x="1680253" y="860707"/>
          <a:ext cx="254917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0B4F961-896A-417A-855A-0DCF277C02DE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4701D929-FA90-464F-ACAD-0329A7276AA5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5946B9D4-9DEC-4749-BA26-33E4900E6BCC}"/>
            </a:ext>
          </a:extLst>
        </xdr:cNvPr>
        <xdr:cNvSpPr txBox="1"/>
      </xdr:nvSpPr>
      <xdr:spPr>
        <a:xfrm>
          <a:off x="1680253" y="860707"/>
          <a:ext cx="2551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CC68D38D-C9D3-456A-9C6C-475CA2E3A4D9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3EE09B68-6000-476A-9E50-5F2DCB3106D5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6D864E2C-5AD3-45FF-B17C-8E1AB74E15EB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7A87BB15-7353-4FD9-8A3B-57903220D472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160A59F7-21E5-47B6-B9BE-A995C00128A6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C86C6EC9-30F7-428D-9343-CBDBED698B6F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2ADD0417-3EE8-4572-9F35-859B7EFABA34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D34F83C6-D9F1-49C0-9091-61E853B9C62A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61A98BCA-F6F6-47F0-BC9F-83EA41871EB9}"/>
            </a:ext>
          </a:extLst>
        </xdr:cNvPr>
        <xdr:cNvSpPr txBox="1"/>
      </xdr:nvSpPr>
      <xdr:spPr>
        <a:xfrm>
          <a:off x="1680253" y="860707"/>
          <a:ext cx="23980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537251B1-3F4A-4D97-834E-3D222E6CA676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52A5611F-97E9-4A61-8782-025D912ECFC6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3FEA066B-D4D5-4A50-A1BF-6B9A82D1E38C}"/>
            </a:ext>
          </a:extLst>
        </xdr:cNvPr>
        <xdr:cNvSpPr txBox="1"/>
      </xdr:nvSpPr>
      <xdr:spPr>
        <a:xfrm>
          <a:off x="1680253" y="860707"/>
          <a:ext cx="240021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DC74839C-3877-4710-8993-6C8AAD9C23D9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C4D10B9B-3695-4C65-8DB8-2B1D1D8962CC}"/>
            </a:ext>
          </a:extLst>
        </xdr:cNvPr>
        <xdr:cNvSpPr txBox="1"/>
      </xdr:nvSpPr>
      <xdr:spPr>
        <a:xfrm>
          <a:off x="1680253" y="860707"/>
          <a:ext cx="24013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8B928CA-4286-4370-94CF-768721E56FAE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294FF558-BFDE-4B13-9ED2-5F36959A5D10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7768CA75-909D-49A0-AC31-3171910EB6E0}"/>
            </a:ext>
          </a:extLst>
        </xdr:cNvPr>
        <xdr:cNvSpPr txBox="1"/>
      </xdr:nvSpPr>
      <xdr:spPr>
        <a:xfrm>
          <a:off x="1680253" y="890459"/>
          <a:ext cx="245352" cy="29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7E040ACA-7FA3-4EFD-81C5-AD18C9231834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3BA4EF1D-A6AB-4A8F-AB84-F66F1D86C05C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476ABE3E-EF52-4715-A507-8604F993DCE1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C11AF13D-6436-47D0-A912-BE17BD598DB1}"/>
            </a:ext>
          </a:extLst>
        </xdr:cNvPr>
        <xdr:cNvSpPr txBox="1"/>
      </xdr:nvSpPr>
      <xdr:spPr>
        <a:xfrm>
          <a:off x="1680253" y="860707"/>
          <a:ext cx="24512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947C04D0-CD47-4EE8-8D78-329150568FC5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EFEFF757-B27A-481E-9FF2-D2845DBF9135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DC958F95-D5F9-4555-A285-8696ED3E2CD0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2E4CA3FC-C0C8-42E3-A52B-C8D63D6406B8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2815CAE-ACC3-49F2-816D-E766D63E068A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F914F9EA-A61B-48DD-B2DC-B96695D2503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9BDF07A-780D-4CF6-BDCF-9B5145EFDB8B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15298A84-D08D-41E5-886B-6F353863C1BE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0CA12E9-446D-4973-BDA9-2AA695543097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6EAC610-D78B-4519-B6ED-F7FD3FED78E4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FF3B3AD2-E8F2-4D26-B626-F452FB5E277B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5E846CED-316C-4936-8EBC-1D91141F4FDD}"/>
            </a:ext>
          </a:extLst>
        </xdr:cNvPr>
        <xdr:cNvSpPr txBox="1"/>
      </xdr:nvSpPr>
      <xdr:spPr>
        <a:xfrm>
          <a:off x="1680253" y="860707"/>
          <a:ext cx="24512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B268356-7A51-4D02-BF42-F8C95544D23D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D63672B-E77C-4224-981D-639D488B9B8C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4D1FB07E-032A-4229-8D77-B7BBAEAF6901}"/>
            </a:ext>
          </a:extLst>
        </xdr:cNvPr>
        <xdr:cNvSpPr txBox="1"/>
      </xdr:nvSpPr>
      <xdr:spPr>
        <a:xfrm>
          <a:off x="1680253" y="860707"/>
          <a:ext cx="245352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FD982A2-F6F7-46B4-B36F-83DE78827D28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4CF2020-D9E9-42D0-8FCF-21A752695619}"/>
            </a:ext>
          </a:extLst>
        </xdr:cNvPr>
        <xdr:cNvSpPr txBox="1"/>
      </xdr:nvSpPr>
      <xdr:spPr>
        <a:xfrm>
          <a:off x="1680253" y="860707"/>
          <a:ext cx="238576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4B19F296-5E37-46DE-B457-7D29AC6379DF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CC50F6F4-BF64-40DE-A20E-8A2A4D5F248A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8A4613C-1A12-4B2F-943E-2A2E7F8451E9}"/>
            </a:ext>
          </a:extLst>
        </xdr:cNvPr>
        <xdr:cNvSpPr txBox="1"/>
      </xdr:nvSpPr>
      <xdr:spPr>
        <a:xfrm>
          <a:off x="1680253" y="890459"/>
          <a:ext cx="245578" cy="29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A7EB3B5D-F796-4C77-9D50-F0A6C707BC2D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7F2E044A-51C6-4E1D-94EC-86D5A529AF8D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967FED81-45E9-49EE-BCEB-367B61B4DB06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2E5170A0-9D51-40A6-A0D9-E9A53449FD28}"/>
            </a:ext>
          </a:extLst>
        </xdr:cNvPr>
        <xdr:cNvSpPr txBox="1"/>
      </xdr:nvSpPr>
      <xdr:spPr>
        <a:xfrm>
          <a:off x="1680253" y="860707"/>
          <a:ext cx="24535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70C9AE2B-43FC-4536-9DA7-B409A240579F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A9CE3FC-ECB8-44A7-9C91-C5147A215528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54712582-5B67-4F05-87B6-EDBD3725A36F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2C7B16F-53FA-4C97-A632-DCF0D82E8CCD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A6A83E29-2366-4020-9947-CEEDD7269864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C4FAD180-D804-4BEE-A818-74BD03819E9B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F41857AD-22D2-4DBE-9C08-2E889DC7BE4F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C6E02221-3250-4391-941D-523CD2DEA790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25DCB936-538A-4F5E-A780-F98960FD099A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55D0A5E6-1F24-4D9B-86D7-9DBAB7D8EC26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D02931BE-BE32-4FCF-BB6C-8F934FA583CE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4B982CCA-F4F3-43FC-BB54-8E980FA5EAC2}"/>
            </a:ext>
          </a:extLst>
        </xdr:cNvPr>
        <xdr:cNvSpPr txBox="1"/>
      </xdr:nvSpPr>
      <xdr:spPr>
        <a:xfrm>
          <a:off x="1680253" y="860707"/>
          <a:ext cx="245350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442966C-9811-4464-B1A7-9BA6EF17AE21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749DF613-0D60-4BC2-BBD7-AAB698888AC3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9EC2852-CE68-4495-B090-FBF2251DFCDF}"/>
            </a:ext>
          </a:extLst>
        </xdr:cNvPr>
        <xdr:cNvSpPr txBox="1"/>
      </xdr:nvSpPr>
      <xdr:spPr>
        <a:xfrm>
          <a:off x="1680253" y="860707"/>
          <a:ext cx="245578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DA2DEA22-C94A-4D8F-B83D-6E8BBE2CF228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37313A2D-019E-440F-B0C4-3F805A7BB097}"/>
            </a:ext>
          </a:extLst>
        </xdr:cNvPr>
        <xdr:cNvSpPr txBox="1"/>
      </xdr:nvSpPr>
      <xdr:spPr>
        <a:xfrm>
          <a:off x="1680253" y="860707"/>
          <a:ext cx="238795" cy="331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90452CBA-C0F1-4624-A553-F8507D52A3C0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2BCC6052-143A-40B2-9A78-CCB5CB6ED8CF}"/>
            </a:ext>
          </a:extLst>
        </xdr:cNvPr>
        <xdr:cNvSpPr txBox="1"/>
      </xdr:nvSpPr>
      <xdr:spPr>
        <a:xfrm>
          <a:off x="1680253" y="893809"/>
          <a:ext cx="225303" cy="300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73BEBB5D-59EB-4629-816E-EFF9A16F6DC4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17C2DB14-4335-450C-8C7D-49C41C1D0336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E589B518-D54B-4F77-8A10-8039BC02C41E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3C6A1B4-C4F5-468C-87E6-13AED996214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60790D7D-E7E7-48BF-B6DC-9BA4BCF247C0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676602F-9B95-4A1C-9F82-394D085E69B9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F5CD0EA8-A377-4988-9E03-B6617858CE0F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5E74C602-B405-46E9-909B-7712A494530D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37900E96-7037-4924-95C6-13C7BE34845A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415609D0-4061-4D91-B783-F72F62BB4103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8422A8D-A52E-4D22-A5A3-F575BB49EEA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4C950C99-FCF9-4FF7-9071-5F83A27F679E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618FABA4-EE0B-4F0F-B9AB-10E3010F9E52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43D244A9-3D91-4F18-9860-A1247DB7E235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2B48FF14-6F82-4490-8026-9F0B4FB7F8C3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FCE02CD1-1495-4FFE-896E-CD90BE1B51F2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28163A2A-2A02-4E0D-ADAF-4DD0D584B775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7340DC13-E911-4923-B4F6-F61654E75CF9}"/>
            </a:ext>
          </a:extLst>
        </xdr:cNvPr>
        <xdr:cNvSpPr txBox="1"/>
      </xdr:nvSpPr>
      <xdr:spPr>
        <a:xfrm>
          <a:off x="1680253" y="860707"/>
          <a:ext cx="24040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DBA005CC-BC94-4D39-9E55-A48FFF844CD3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5CB9BB3-B7CE-4EAC-AD2F-AB7F8E0E2622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2F3AD628-85DF-4EC0-A28D-B3DDEAFA03E2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E50DEE69-42BF-461F-8F5B-57473578CF2D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9425BA3F-6F12-4DD7-B6F3-30416D4E66D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68EBEABC-5932-4A31-B062-49E9193F3D29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920B0894-50CE-4E4F-9A16-E94B7E7D74D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928A6D7-9C4E-4FAF-8C2D-82071EC23858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800DDEA8-682B-419D-8614-A86C03AD2BE3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46AA5AE6-B2C3-4271-A0DD-DE7373042AC4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B0B2840-4D0F-458E-8FD0-75FD8874C835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9F05D926-3D89-4288-8937-FCFDD12313AC}"/>
            </a:ext>
          </a:extLst>
        </xdr:cNvPr>
        <xdr:cNvSpPr txBox="1"/>
      </xdr:nvSpPr>
      <xdr:spPr>
        <a:xfrm>
          <a:off x="1680253" y="860707"/>
          <a:ext cx="2362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9EB5F81A-4F61-4186-BE88-D8376601800D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BE514BC5-C9F5-4697-8352-C40A18A53745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66492D7D-D761-4145-AA19-F2CDA4406DBF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983F52C9-1420-4A9F-A63A-349AF5F25B66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4FDE6EE1-7D89-469B-A403-77DA5BDE114F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4077AD4F-2A6B-4EA4-BD9C-A23B2EF44F25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5D6A91AE-063D-4B68-A4C3-373E6363E25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A29A3DED-90CA-45FF-A814-2EF6F44F22E1}"/>
            </a:ext>
          </a:extLst>
        </xdr:cNvPr>
        <xdr:cNvSpPr txBox="1"/>
      </xdr:nvSpPr>
      <xdr:spPr>
        <a:xfrm>
          <a:off x="1680253" y="894269"/>
          <a:ext cx="240621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A99F42E-96E0-4EC7-9CDA-D2E418E3CE5A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E739DC08-64F8-4A7A-9F62-637EDBE6A0A6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D267A791-1517-41D6-A304-C21326A240C5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1579D18B-9359-46CC-8517-9B991A640346}"/>
            </a:ext>
          </a:extLst>
        </xdr:cNvPr>
        <xdr:cNvSpPr txBox="1"/>
      </xdr:nvSpPr>
      <xdr:spPr>
        <a:xfrm>
          <a:off x="1680253" y="860707"/>
          <a:ext cx="24039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BFDCAFD6-5103-4448-B3B8-E2A44966FC0B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4983A18A-672C-4FA2-9478-EBD31C73004E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7B8A624-634D-4E02-B29F-B581A2702C98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9CF0890B-6EC3-481D-9AF1-72EC0EDAA2DD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3C7CEF5C-3152-4AF4-91DE-1338C32124A8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D0B5E533-C8C4-43C0-A992-F150CC02870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5B1C83FA-24D8-456E-85CD-90FD3312DF72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23243296-7F1D-4DE5-98D2-9CEFD73C302F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AF664945-5DA9-47BE-B3EB-708C06F42EB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D78A63BE-6A3D-4E0F-AA00-BD54DE1CF778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4AF822C9-80F7-4C3B-8B04-FF20534FEC56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BB6A17DA-7967-4405-941B-01FE117E6DCD}"/>
            </a:ext>
          </a:extLst>
        </xdr:cNvPr>
        <xdr:cNvSpPr txBox="1"/>
      </xdr:nvSpPr>
      <xdr:spPr>
        <a:xfrm>
          <a:off x="1680253" y="860707"/>
          <a:ext cx="24039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978E15AC-511B-41E2-B2C7-F84FF4376490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3C7E6FA9-6338-4030-9192-336687B207C6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58CFE051-FD47-4C90-8D86-1B167D206E9F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7F5E855B-38B0-434E-BC21-ECFEABB53AD2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6D3F6B2F-5883-42E9-A3E0-E65312A50F40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A33C966F-C536-4AAF-ADFE-9C2F060BD14E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455C5A0F-23B3-439A-AD34-2BB438616E4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B3A83980-4267-4C8E-9289-18D3D200FB90}"/>
            </a:ext>
          </a:extLst>
        </xdr:cNvPr>
        <xdr:cNvSpPr txBox="1"/>
      </xdr:nvSpPr>
      <xdr:spPr>
        <a:xfrm>
          <a:off x="1680253" y="894269"/>
          <a:ext cx="240842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EFABFE7A-B5A8-4C70-9C03-219395972F08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D41A58D8-2D44-4F41-9E68-927B6BCDA4AC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383F8BE-6FFB-4A1B-A508-FD05918936BC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631D368-9F54-480E-A5A3-5B68476201B8}"/>
            </a:ext>
          </a:extLst>
        </xdr:cNvPr>
        <xdr:cNvSpPr txBox="1"/>
      </xdr:nvSpPr>
      <xdr:spPr>
        <a:xfrm>
          <a:off x="1680253" y="860707"/>
          <a:ext cx="24061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78847174-8D96-4CCB-BA49-3499ADE41EA1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9967D4F-8CCC-491B-9981-4055FE5394B6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CC4AD102-BC47-4D58-9864-50C107643D69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4C39099D-0944-4C67-BBAC-A1513664596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113ECF3D-3260-4FEC-9571-2111E8A58A3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4B718C81-1C29-44FE-8D1C-A36025859E99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405A5DC2-90D9-457F-B0B8-8BA4B2D174BE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464995B2-CA8F-4CC9-A6ED-786919489E6C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201CE8E-5F7D-4000-909E-414024231C8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BE3F02FB-EABC-4416-A9ED-FA3221DCBB86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16127E57-F391-48DA-9C34-298664EC316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7BE0E3E1-881D-4D31-9BA6-066C81BB338B}"/>
            </a:ext>
          </a:extLst>
        </xdr:cNvPr>
        <xdr:cNvSpPr txBox="1"/>
      </xdr:nvSpPr>
      <xdr:spPr>
        <a:xfrm>
          <a:off x="1680253" y="860707"/>
          <a:ext cx="24061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166CD892-4300-4A94-BC54-464238A3E3E0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1E2EC2E1-EF85-4720-BAF7-C8D9C8629CE4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FA749D8A-74EF-48F8-964D-9669BE571CF4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67323410-95C4-4B7A-8077-F928DF0F5F71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8B151AC3-A75B-4F1B-98B5-3FF78AF5B2E3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C48B79C9-75F8-4787-BCAA-AD6510007DF2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9500AEC3-3818-461E-97FB-132486F757F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8F539DE2-2CBD-4FEB-92F8-FAE35FD94249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7BAAFA5B-3960-4853-B23C-DB66F0B229D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69CB699A-A535-400F-A611-CC666CF0393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59E6FF5C-11A6-4DEF-AFE0-36C11DCF2D99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65A52C82-D204-40F3-87FA-0644F4BA7ED8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8DC08B63-A5CE-468A-9C76-EEFA6B177596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E6A86064-5001-4050-91D0-E29C51A92143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D0F26099-20EE-41D8-8E4D-98D6EF5918CD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B34F00A-7173-4158-AA4B-C400E6D2CDF1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6F22842-66B1-48A3-B08E-9C7D6E618F94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B88A7BD6-7079-4464-A7CE-4B901AEFED1E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DD09E9AF-5E4D-402D-92E8-07DAE23DF48F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ABF223A1-4820-4951-959E-9A5BCBECF27A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F44DFF2-A152-4F90-A7CF-64A19B0101B1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C388D824-30D2-42B2-8EE9-2CE583572CC3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ECCA484A-D7A1-40C4-BB24-C0A8D1AD28D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E6415A94-4340-45CA-B4E9-AFE979A6EAD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AE5E3445-CFEE-4971-8A80-CCD07A441565}"/>
            </a:ext>
          </a:extLst>
        </xdr:cNvPr>
        <xdr:cNvSpPr txBox="1"/>
      </xdr:nvSpPr>
      <xdr:spPr>
        <a:xfrm>
          <a:off x="1680253" y="860707"/>
          <a:ext cx="24154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38BFF449-7C91-445F-9F3E-0D43FD4EEF88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6C51B14-984A-4A97-ADAB-7AD63FA85B38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4DC0AE91-E1CF-4EEB-B7EE-6BD8DFEBEB31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1CC7D615-0164-4602-A717-5EA6DD65FD6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FD4FE90C-58B4-4A35-9FDF-DC6566A4A616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B0F4BD18-5B0C-427C-B3F3-2206F4DF0A2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437AB182-1282-449C-A6BB-B5300A8C623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ED20E62E-CAA1-4978-BF34-EDCAF6BE4928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E893CDA7-CCA8-4D5B-80B0-797126AFC172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24E20121-C222-4926-8C91-7D0A1F757102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F095AFE-3415-4EA4-94B2-B25B6BEDFADC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B20BE50C-47D9-4707-8387-1FB79965AE97}"/>
            </a:ext>
          </a:extLst>
        </xdr:cNvPr>
        <xdr:cNvSpPr txBox="1"/>
      </xdr:nvSpPr>
      <xdr:spPr>
        <a:xfrm>
          <a:off x="1680253" y="860707"/>
          <a:ext cx="22836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A0782C69-59A9-4347-A18E-8EB4FB7361DB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9B9E3460-E1CC-4806-B8D7-03F505817572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44B3DC-6662-4F64-BF06-99C06E6A1544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9A22BDCF-EF10-4B12-A81A-42500268213E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3669CDC-3F51-43B3-848B-752B460ED5F8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74524E3D-9AB0-4955-AB52-666756E0DA5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20E4A69-0A03-4F7B-A6B8-44A17202443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67DEC3FC-82B8-4241-838D-52EDC4491FA9}"/>
            </a:ext>
          </a:extLst>
        </xdr:cNvPr>
        <xdr:cNvSpPr txBox="1"/>
      </xdr:nvSpPr>
      <xdr:spPr>
        <a:xfrm>
          <a:off x="1680253" y="894269"/>
          <a:ext cx="241513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F6149F14-D848-4FA8-B472-A4597DF92641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39435699-AC86-487E-B47F-B5B7CC744ABA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1CFCA1EF-D3FE-42B8-B264-082B2B05748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1457972E-59AE-41A3-B429-32802F5C6165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D3D93513-E20D-4A9C-A415-E5DC5403E78A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10173CE5-09B0-44A9-9323-86AEB8AE4A3E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FD4DCA25-D33C-453E-AE87-D8519C55FE11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21AA5DCA-5367-425D-BA60-217FCD53B603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F7155E76-D3B9-41C7-B8E4-95A9D0B1ED2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86A19E3D-F11A-48A8-A98E-F687F9CC41B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7829CB7F-C318-4794-8298-725E3E85252D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31EF5246-0DF8-4A50-BF20-B895CF89250F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E428CCD-E7E3-4B47-8665-F59DEC1E452B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B3FB0C7B-43C1-42B2-93FD-66D2E7DCE1AE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3CEB906B-22C5-4402-AC5C-BAAD82B8F657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E4F7824-F32A-4DE9-8B18-9E6D6A4129E1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1923432B-6083-4F69-A2DA-2C344B0DBDE5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765ECC82-0ADD-4435-9A76-9E3991B87FEC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DAB53CD9-8C1C-415A-BD7A-E33895BDBE1E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F3609C8C-57D5-4A6A-B173-9B8163559524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85BF5B9-BD9F-48F1-BD15-B4F6BDA9C05B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1876305E-B475-4A9C-90D6-CA24203C675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2439844C-2C36-46E4-9773-0B6BCAB86D63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56C0B201-D035-4E80-AE47-1938FC878709}"/>
            </a:ext>
          </a:extLst>
        </xdr:cNvPr>
        <xdr:cNvSpPr txBox="1"/>
      </xdr:nvSpPr>
      <xdr:spPr>
        <a:xfrm>
          <a:off x="1680253" y="894269"/>
          <a:ext cx="241735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A45E30CD-CC29-4CFD-B867-5E0FCBC8D6D5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AB212784-11EC-4679-A962-ECEB6377A711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8339646E-2EF4-43C6-8D23-4C0AA91DF592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F124B076-5063-4949-BAE9-4006F83E2EBD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C64F8798-E3F9-4A61-A84C-6BEEC88366C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6C053427-8394-4E57-9AF8-2165BA63EA44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6C47AACD-D93B-4B62-A006-036098B63FF0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6B444BE1-49CC-4493-8E06-1AADD7FF0B8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D71526B6-7A10-41E4-8641-B29E4087082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816DF877-3D1D-4E2B-9183-E1CC0247D1A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B2547136-5C6C-49BA-BC04-1B4288B8730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7E929BD4-AF2A-49D1-903F-77FCD7814512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799A4CDC-01FD-4A30-985C-FC5A1327623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4019ED6C-F1BC-40B5-982A-5BC2E6B8164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96455B7E-B048-4C34-8C8A-3B5BDAA0AFA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799D63F8-1B40-4769-AAA3-1B793ECEC640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8E56E4D7-3227-45CD-934D-9241C614BE82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2B6B4983-3A29-4481-BDE1-EA82E8761AB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371F905-5E96-4A4C-842E-61586CF20AF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434615F1-4A8F-4BB8-961C-87C385A27CBE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D22E1A36-4B4B-4775-A014-C0820A708FD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2E8DBF52-FD11-4EFC-8DD4-AB407865C25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890B98D-0085-4ED8-BDC6-7DB490ADCCB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71EC4E3C-8F45-4FEC-869D-B546F6028E15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90673C31-7C64-4B05-A530-3116651FD046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85D53B2C-BEAE-4CF9-A543-B43A66EB2203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3D239ACE-052E-4F83-A0BC-F2096E0B78EA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BC1578DB-BC18-4E7C-9AE8-A197EE839E92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3A9D43A8-F7ED-4324-8897-770C64B76918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365B894E-81F4-48D7-9D06-06DCF8DFFB46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670A3B8B-55CA-4089-9756-E560FDBBB191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24C03DBF-0975-4B4D-A548-2D65A4F256CE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1AE457BA-4F1B-411F-9D8C-5CB66AC60DA8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DF202378-763D-4D8D-BDED-B122EEDC04E0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DE8690DE-D633-42FE-AB5A-ECBEF69C564E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34E04BE6-9A94-4AB6-9F9C-4AA3DDEF1BAF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B55BE1F2-5188-4F1E-829F-615088E62035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E2660057-E1B7-4913-A537-2D0D9E274402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46660BE6-7275-4C4A-B5A7-DDA62FB0EFF9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E43C9A00-F3C9-4E4F-B106-32B1635897E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8A4BE86D-0F8F-4823-B018-EEF406C8061A}"/>
            </a:ext>
          </a:extLst>
        </xdr:cNvPr>
        <xdr:cNvSpPr txBox="1"/>
      </xdr:nvSpPr>
      <xdr:spPr>
        <a:xfrm>
          <a:off x="1680253" y="860707"/>
          <a:ext cx="24154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31095AB7-D963-47B0-B2E6-0EC9D1D7B5BB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38947A66-6F98-4645-91D8-8EE71A2FFEA5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6FA88F0E-D6DD-4754-AE24-B960385F2235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F37515C1-2CAF-4FD3-9524-0168E34FF84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F4474316-4E0E-41C4-B37E-BD4313EB3D81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BFA0BBA-30A3-4A58-8CDA-3594EB70FE8C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75AF4F12-1A49-4EC2-A6DE-6387FD60867D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E6A874B-61DE-433F-9495-6D9EF1C8B651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7D40339-0943-47D9-8C85-1F347B2B9289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7ADA98C5-1FC7-4651-9986-DB5B0841C1C4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6D60B69-5768-49E2-B3E2-FACFE05A2951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5F011421-56D5-479D-9EE3-3912C6759B84}"/>
            </a:ext>
          </a:extLst>
        </xdr:cNvPr>
        <xdr:cNvSpPr txBox="1"/>
      </xdr:nvSpPr>
      <xdr:spPr>
        <a:xfrm>
          <a:off x="1680253" y="860707"/>
          <a:ext cx="22836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2EB5F59F-39A6-42C3-B99A-2EFF31DCE762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6949CA5A-424D-4AB0-B47E-455C04775797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B32E4E88-664F-459E-8766-A65D122E8446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3618AC1E-DD50-460C-A998-4773E49BC8EC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C8A0862C-7F5B-4EC4-964F-D492C4B7956A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361DFEFB-6BB8-4419-9F6A-6855E5568C9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43EE545F-AB70-4267-BEA5-010FECE49BA5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6714E61A-531B-41FC-8D45-823D10D3D364}"/>
            </a:ext>
          </a:extLst>
        </xdr:cNvPr>
        <xdr:cNvSpPr txBox="1"/>
      </xdr:nvSpPr>
      <xdr:spPr>
        <a:xfrm>
          <a:off x="1680253" y="894269"/>
          <a:ext cx="241513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F304B623-376E-4F85-998A-23A0BBF2F1F0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29DB6ED-64B9-4F3D-A2EE-DFD3B2D5AABC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8048086F-4BE9-424C-B52D-E2CF3B94655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3B91F5A-E3D1-4804-9E7C-0FA687FBFD02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CDEB7610-8146-470D-A856-5741B3122EB8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D25C8AB-DF36-4620-9719-D0012B31461C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8C19DFEF-0AB8-487E-AACC-365F94921E21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C451344B-CD17-4397-9A8D-9BFBC774015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42E35A0E-0F8E-41DE-A941-C0FA93903B2E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12D84B77-ECB1-4A9C-A168-A51C37E12B1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A6CC46A4-611B-4257-B810-CD9D86A78F27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8ADFAC52-9BE4-49D2-8C3A-4AD3BF300BA3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4E23597D-7EFE-4692-A6F8-8EF0B17BE36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4F0BB5C4-87E2-49A9-883E-8716A905FA93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189A6537-E51E-4864-B8F4-33FF2204C733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426D9AD1-E46C-4AAE-A85C-BDC871B6F738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39650DCE-FA6B-470D-A10F-F715CB8383F5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DD9511F1-2258-44B4-8440-53D14E45C97A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85653A88-F913-4BB8-A588-FEA252018BF6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E04933E7-BAAB-4B44-B875-E35901CEFAC7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FCB1E70B-C684-438B-AE96-D9D04CC338E1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49D08C58-3F1A-4A87-B36F-3180AA46DE29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DD575510-B58F-46E7-8447-B9D4B1C23B1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969D1244-413D-4CD0-BA9B-1A1E22B7AFC3}"/>
            </a:ext>
          </a:extLst>
        </xdr:cNvPr>
        <xdr:cNvSpPr txBox="1"/>
      </xdr:nvSpPr>
      <xdr:spPr>
        <a:xfrm>
          <a:off x="1680253" y="894269"/>
          <a:ext cx="241735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11341313-E43F-42EA-8746-376DA3249B6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F531A070-54B5-4B4D-8DCD-2CDCCB69AA8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58EB823F-E6BC-4045-9EB1-46C769AF4335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8717906D-8BEB-4DBE-9E5D-CB0D9CE258B4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AB505A72-A09F-4D5D-8220-075D240FB12F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CAA7259C-84F9-4C65-86ED-83321402CD35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E120B9F5-0482-4D0B-BD0A-FDBABA69BB74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C1432249-4698-429D-ADC0-453F74B47DA9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E9E867DA-C78A-4BD6-BCDC-508B8EB5050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D1D64237-4DCF-4CD4-B831-F065358709A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345E1443-6A84-411C-8B25-27697B730593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BADA6E07-9EAF-4AA1-8ADE-9420A6FDDD81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DB6BD57D-F030-4CB3-8A1F-7E92451B6FC8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C8C3B516-75B8-4956-ADB9-F0FCC332780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8CEA03F1-4CBD-4BD0-8BFA-E7B0DA1737A9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4D6BA34E-B52F-4035-B1EA-282E334A3890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561757C2-25D5-4AFC-9648-412C2C4B3171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179BE4AD-C4DB-4545-8975-866E6E46B6AD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B464D446-0E90-43F8-95B8-AD480F478C2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5D8A61BA-CC6E-441B-BB48-361BB632C578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C3D00685-40A5-4616-9F85-207CB761C0B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E5CE65B4-D59E-4175-92A8-01CC5CC4F8E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12114945-345E-4FA3-B0BC-A94F1666459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74B26352-C8E1-45D5-945A-448D5486BA72}"/>
            </a:ext>
          </a:extLst>
        </xdr:cNvPr>
        <xdr:cNvSpPr txBox="1"/>
      </xdr:nvSpPr>
      <xdr:spPr>
        <a:xfrm>
          <a:off x="1680253" y="897619"/>
          <a:ext cx="212866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E1DA5470-E31A-4957-B713-78374279CFB7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3236BCE4-66E0-404E-A6CF-1EB5200AF371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4516CCCB-B987-4E07-9ABD-6CCDD3EBACFC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6306DBC7-5DA7-4A46-8C91-9C427659ED43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ADB08BA5-CC5B-4E55-B853-3621963EB950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4A11556A-546C-4AAE-AAD6-4673F3D19D17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7297E12-4BB6-4835-90E8-6F48E830A10D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1F64F36-536D-41FD-BE45-F02B2D68912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63C3C64-D625-4AA5-B4CF-4A2AF7581270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D262E7AB-6166-46A8-954E-3794F8420419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D40298D4-10A9-42C1-B419-9999D6B9E235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B8E37E7-0C34-4825-B8F7-E208CAB082BC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6A2EFA7D-70B4-4A9A-BCF4-798A34ABD48C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8590B360-004C-404F-9AE8-67E25A5E3BFA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DD9DB706-8526-4C1E-9C2E-6E9758A7D23D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C8844CA1-0AF8-468C-91C8-12258960FDD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E642DF3-2606-419B-9B59-2B32870FD81E}"/>
            </a:ext>
          </a:extLst>
        </xdr:cNvPr>
        <xdr:cNvSpPr txBox="1"/>
      </xdr:nvSpPr>
      <xdr:spPr>
        <a:xfrm>
          <a:off x="1680253" y="860707"/>
          <a:ext cx="24187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3E1F27AC-D094-4E91-B058-7B8661A69688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DB38CC1E-DF9E-4CC5-9946-C931B138CFA9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CFE4F881-A33D-4CBB-AF16-A44827DD7C76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7C2EF49C-614E-4BCD-94C3-9EFD9A48C3D8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5DBEFE1-DABA-4744-A76A-103D08BDB128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195B5796-B6F0-4A85-A71F-0393540CE9B9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3C15DC3E-6DE4-4E31-8EE7-3B6459276D45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83E8F719-4F71-4CC0-9287-0F7A10204D04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5526C597-43FA-402E-AB05-498745694764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0535C02-426F-4F4F-A531-2DFA1F2012BF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F18D0C3F-931A-4468-B870-BDE97F003537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969BD98C-CAC2-41CA-9573-45CE2659B2CB}"/>
            </a:ext>
          </a:extLst>
        </xdr:cNvPr>
        <xdr:cNvSpPr txBox="1"/>
      </xdr:nvSpPr>
      <xdr:spPr>
        <a:xfrm>
          <a:off x="1680253" y="860707"/>
          <a:ext cx="2362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2F8CFB97-8405-4BF1-AAED-9C15DC992C94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4262771E-F512-4625-A958-1D4AE21F67CB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D7C859A2-17B2-43A6-A1C1-747CCDF33D1B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4E86B36B-5CCE-41D5-865A-96CDABB248F8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4F98F7E-D1F7-4EEA-9774-6862577624C6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F2E41065-00F9-4001-8323-64CDD259A024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A2899F40-D128-4E47-8416-28A878722807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BB95D346-C7EE-4790-BA3B-69A7F70A1A49}"/>
            </a:ext>
          </a:extLst>
        </xdr:cNvPr>
        <xdr:cNvSpPr txBox="1"/>
      </xdr:nvSpPr>
      <xdr:spPr>
        <a:xfrm>
          <a:off x="1680253" y="894269"/>
          <a:ext cx="241956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F0082A01-AEE0-4961-B2C9-3203D849949D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D61F193D-0FB2-49CB-9DCF-8839A7E720E2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75825B6E-1AA4-4033-B451-AC6F18E8366A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D5A01623-A9C5-4D52-B13A-F3B24DC31CE7}"/>
            </a:ext>
          </a:extLst>
        </xdr:cNvPr>
        <xdr:cNvSpPr txBox="1"/>
      </xdr:nvSpPr>
      <xdr:spPr>
        <a:xfrm>
          <a:off x="1680253" y="860707"/>
          <a:ext cx="24173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F8A7291-D29A-4063-91ED-E2D14F6B6162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21B2CC44-7E54-4DD0-BD55-725E23A141F2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BF56CB5B-BB44-42CC-9295-203E0F2717AA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66A982CD-6979-48E8-BB94-C8944D6530BB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D4196710-4D45-4647-90EA-68040AE2C7BA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F5AD8A21-256C-40DE-B242-0F1F2EA2D0DE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76C7DC25-F852-42D5-BE7F-A83CA228FFA7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62FDCA62-4CF0-4EF2-9F6E-9DA289B8D437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8403DAC9-7CD8-498F-83AF-C413C0BC9564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6F080A8D-063A-4A1D-BF13-3093308C34FD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D2F01F95-9BE0-4D96-B4E8-269945B9AC44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6606A325-4F98-433D-90F2-D0EB3981E614}"/>
            </a:ext>
          </a:extLst>
        </xdr:cNvPr>
        <xdr:cNvSpPr txBox="1"/>
      </xdr:nvSpPr>
      <xdr:spPr>
        <a:xfrm>
          <a:off x="1680253" y="860707"/>
          <a:ext cx="24173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4B7D1999-063C-4CB3-9534-B1577C8688D4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19F591A-6B7F-44DB-BBFD-DD20AEF95F7A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BC393377-9CD8-40B9-A66B-5EA15736662F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EDE3A54B-1801-453B-A174-E89A88D9E405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C795CAE5-B3ED-4614-96CB-DBC9F433CA9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BC2E5DFD-E49D-437C-833F-4CF3F0120C51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7A1F2963-6F3D-44A6-A783-03A92D1516B1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6B150C1A-0D19-4760-AF36-C924BC282483}"/>
            </a:ext>
          </a:extLst>
        </xdr:cNvPr>
        <xdr:cNvSpPr txBox="1"/>
      </xdr:nvSpPr>
      <xdr:spPr>
        <a:xfrm>
          <a:off x="1680253" y="894269"/>
          <a:ext cx="242178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8C9FDC98-9566-46D0-ACCC-82B64BA157B3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558166C3-2A40-44DB-820A-8563FCEAF2E0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E661DAA0-C2F7-4002-8DA5-EA0145401DBC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B74C7CBA-8FEB-4636-ABC0-C41DA60DB550}"/>
            </a:ext>
          </a:extLst>
        </xdr:cNvPr>
        <xdr:cNvSpPr txBox="1"/>
      </xdr:nvSpPr>
      <xdr:spPr>
        <a:xfrm>
          <a:off x="1680253" y="860707"/>
          <a:ext cx="241954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4CA31E54-842F-4730-944A-970AB4605722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9EB87D48-EEB6-4D91-996F-B57CFBFBCBDA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1F4E4F2E-4E5B-4703-A48A-BE091D9EA85B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6037EAAD-389C-4167-BA11-1AF34A46C1E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74B0D791-18E2-44AF-B3A8-5A082D5BBDA2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FCF66198-7C0F-4DED-9E2C-171C6E1EACBA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20B7BDE-D9CC-44E2-AF5D-41DBB439968D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B363E9C7-9D87-4E1C-8EAC-BBE623D47DE0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65E1A00-1D60-4A7E-AB96-7549D025787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8FEDCF28-6CED-4B7E-8D6A-8E3B93EEF416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16F68BCD-040B-4CE0-9AD8-66202BCB773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F1B9D7D9-7C78-4874-AA81-02B020A5F0F4}"/>
            </a:ext>
          </a:extLst>
        </xdr:cNvPr>
        <xdr:cNvSpPr txBox="1"/>
      </xdr:nvSpPr>
      <xdr:spPr>
        <a:xfrm>
          <a:off x="1680253" y="860707"/>
          <a:ext cx="241954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A1DA073A-778E-447B-8444-D56C2EB3EC9E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F36A332A-C1E0-43DB-BF3D-CBA20780665A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82C9BBBC-E0DC-4913-AE9C-8AD82821ED1A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FBD210E5-80C8-4581-AC63-DBD31AB949D7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8006962E-B93C-430D-BD07-7A6268DA30F2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D36B893-7DFA-4C2F-B9BD-015B602D9672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768F737A-F70B-4865-89CF-FF468887C579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65CFA4E8-DEB0-4E90-B7E2-BED085FDC3EA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C9940A9D-F1CA-45F9-B788-FB2400DED70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9AC3C4D-7BA5-4379-996D-E471527AFE83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64559CD0-6277-4BDF-B51D-72E7D6B45BA1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947D3938-63E0-41E4-A57C-0E31F20B7D3C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AE408D1D-3064-4B20-8118-84AF6C60B6D8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F961AE5B-B98E-4582-A3E8-8296A9CCB8EE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5E378E3-2DA5-4F2F-A2F3-36350861B40E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17AC753-E449-45B8-A7C3-5D6EC2C63918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439E53-D50A-4346-A116-5DDFE6D04291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969620E9-A7DE-4ADE-9C49-3F37E0A83E3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23AC545B-B60D-4E01-847A-BA20072F7BA0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D9E057AE-ABD1-4731-88DA-7D1660F39B63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ED5D30F0-5884-4DE8-94F6-18BC3B7A32EF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6CCC98D1-3853-43BD-8F86-E4706E1515A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1F18023E-4CC2-45B3-8AE1-2E760E643855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71E5505D-0268-4E6C-9BD3-6FD1FF7FD241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B01E0E05-C18E-418B-ADC1-BE4BD5C19B58}"/>
            </a:ext>
          </a:extLst>
        </xdr:cNvPr>
        <xdr:cNvSpPr txBox="1"/>
      </xdr:nvSpPr>
      <xdr:spPr>
        <a:xfrm>
          <a:off x="1680253" y="860707"/>
          <a:ext cx="24040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7A53886B-E77C-4ED0-B509-7684C5582FC3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2E7439CD-CEFF-4C2D-8E30-F9351872AFCB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7A28403E-326F-40EF-B7C1-756385728B14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C02199F3-5CCA-42AD-8394-2693502DD401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F11B9D35-584D-4F72-BFD0-89181484582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1E88490-7898-4922-B894-B40FAD654FAC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393957F7-BB90-47F5-B2DB-B36C36F0FAE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AC706B81-BAC5-4877-9926-A0EE18B36ECF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C7A398E8-055B-4F06-BFA3-3E30B88AEBBA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B44074BD-0A02-4703-96A9-74F854C23974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8611361B-13F8-4269-959E-1CC357DA7BDC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BA6405C3-7AE2-4E79-9C6D-65BA54031FD2}"/>
            </a:ext>
          </a:extLst>
        </xdr:cNvPr>
        <xdr:cNvSpPr txBox="1"/>
      </xdr:nvSpPr>
      <xdr:spPr>
        <a:xfrm>
          <a:off x="1680253" y="860707"/>
          <a:ext cx="2362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2FB7F38B-B2CA-4166-AA18-CE8F96A90563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15CD0D9D-E2D8-426A-9373-8329460CE129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DDC7A628-280F-4CF5-8A6B-96980884D091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5C201AD2-6B45-43BC-BF73-A43362A25DC8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48375B0E-0E95-49DC-BB88-187D5B9190CA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DD20FC4B-5246-4AB4-955C-48BFC322CF8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8277DD28-B3B2-4449-95FE-331ED248C7F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6769B5D0-0DBD-44A2-924A-9C380CCA0FFA}"/>
            </a:ext>
          </a:extLst>
        </xdr:cNvPr>
        <xdr:cNvSpPr txBox="1"/>
      </xdr:nvSpPr>
      <xdr:spPr>
        <a:xfrm>
          <a:off x="1680253" y="894269"/>
          <a:ext cx="240621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BF396EFF-B98B-48EC-8141-A590EC590E4D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1B5EA240-145A-4B65-80C8-0C85903321E1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646BCCC5-C4A5-4988-94DF-BC40674C5DC3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16B8B2D-01B4-4581-9901-54565E2EFE90}"/>
            </a:ext>
          </a:extLst>
        </xdr:cNvPr>
        <xdr:cNvSpPr txBox="1"/>
      </xdr:nvSpPr>
      <xdr:spPr>
        <a:xfrm>
          <a:off x="1680253" y="860707"/>
          <a:ext cx="24039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5C111A0D-7ACB-47E8-A570-7141F6256D45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5BAF30FA-A4B2-498D-95B5-4B751C08F70C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63FBF7A-DAE0-4617-8BF9-318F537EC4DF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5A475137-2C27-4B02-8860-4B293DA7A6B2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1BA1B4A3-113F-4459-8AE8-3A09EE1590DD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D1E72C63-800C-43FC-8C05-B8581FBD1B7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788C9BD9-AF6F-459A-86CA-7ECFEFABCAB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293D0DBF-94B0-434F-A604-1C9BF9B431DE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B62F1ECE-978C-4C77-8596-91B569827A35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617247CC-6571-44DF-B694-7364862CB81D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64A9202-48E3-4B2E-8726-5DE9BF964F95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E0CC5F7C-DE1D-4EB6-AF18-D80AF74B7142}"/>
            </a:ext>
          </a:extLst>
        </xdr:cNvPr>
        <xdr:cNvSpPr txBox="1"/>
      </xdr:nvSpPr>
      <xdr:spPr>
        <a:xfrm>
          <a:off x="1680253" y="860707"/>
          <a:ext cx="24039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14AF5ECA-9900-4A48-9A52-D9919997E2A1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BD319710-EE2A-49F8-841A-6E387D66C657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B70109EA-454B-4A5E-9872-802AAF58829B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B27A7ACB-3756-4A25-9D71-5E1A1883A3A3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CFE6058F-F0AE-4C9E-B4DC-579AEB3F0727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9F9CC1CB-9C49-4FAC-9F46-244643570D09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72A941D9-32D0-4B96-B0CE-4378CC67258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C1964326-B75A-4BF6-8A7D-F601D2A68220}"/>
            </a:ext>
          </a:extLst>
        </xdr:cNvPr>
        <xdr:cNvSpPr txBox="1"/>
      </xdr:nvSpPr>
      <xdr:spPr>
        <a:xfrm>
          <a:off x="1680253" y="894269"/>
          <a:ext cx="240842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94E1D12B-CE8C-4C75-8AD3-BC3BF1516B03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B23AD000-0FBF-4B09-BD83-256C9CBB72A3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83DF1269-36C5-4F10-944E-A070FFACEB8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F0B0327B-F37E-4619-A478-BB54558C3A29}"/>
            </a:ext>
          </a:extLst>
        </xdr:cNvPr>
        <xdr:cNvSpPr txBox="1"/>
      </xdr:nvSpPr>
      <xdr:spPr>
        <a:xfrm>
          <a:off x="1680253" y="860707"/>
          <a:ext cx="24061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BD2958B2-E029-4722-AFC7-99B21492C0B4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F403CE-1006-4476-B9AF-757B3D9F82AB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C23C484B-2E5E-417F-B012-13947133B5AD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6AB0E7B-B1FE-4504-9616-9E06CE4C9DB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C3A19902-0E4E-4B08-A4CD-872239CD8AD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7D07DAAF-86CE-4D39-BAD7-90FECD434CAC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537BD6FA-F510-49B6-95AE-CA17DDF1520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7A5CB6C9-1C13-491A-9055-4A69C530F4CA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F0DB67DC-DB27-4857-98B2-E005CBED1262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C0CD9123-17B3-4923-AA0B-0764741C56B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1ECC4F06-F013-4886-8D1C-55CEE798A8E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3CF8E80E-2395-4E16-981C-64019738AF75}"/>
            </a:ext>
          </a:extLst>
        </xdr:cNvPr>
        <xdr:cNvSpPr txBox="1"/>
      </xdr:nvSpPr>
      <xdr:spPr>
        <a:xfrm>
          <a:off x="1680253" y="860707"/>
          <a:ext cx="24061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57C73F86-E2C4-4350-B787-A53B0C537810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C23F47E4-E540-4015-8EFA-DC191342F598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35E48046-41BA-4455-9946-7C18C87F37A1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A12605DA-3409-4C03-A58A-DBA4CDE2BF7D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662587DC-4838-43E9-A789-FC145EF6004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ECAAF6F2-E5B7-4B3F-A0A9-E20F68A067F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BF009E33-1E22-457F-BB03-EFB16A4249E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02315E9-8998-4311-96CB-96852CE44707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B69EE77C-E22D-473C-928F-5F60ECABCEDD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143B93E0-AA47-4B3C-9DBF-3C0C75C147E5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A5459A32-E48E-4EBB-A02F-B672790D32D7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3D3A480-573C-4CAD-AD2A-0961E008138B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FA9D2586-4A77-416B-AA3A-A53F1B2A9B3A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895538AF-8D78-4485-B54E-DFF04E4B2E08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5B6DA47D-2A54-4F8D-9863-9761A50FFFEF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E76F933C-004B-40BD-B57D-095D864471AD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51346EDE-4DEB-499E-A9FD-F611701A7162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117D4F6D-C3BF-4B73-8E25-9C8F9E723BD6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F203212F-E6BC-4247-AE56-8D99A9E42E60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3EF819D3-7115-42E5-8A1C-70EB7F9FF405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204F74E8-3E77-4337-A0D1-AC49DA45CB21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141C35B4-5212-49B3-9FF0-1EE8B24050E2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B51F8FEA-27FC-4DC8-9B04-C2980A03E8A0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2B4164A-026E-4A67-8C96-14F1044938EE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5A1F203-7114-4F29-8CA7-3531D438C5C6}"/>
            </a:ext>
          </a:extLst>
        </xdr:cNvPr>
        <xdr:cNvSpPr txBox="1"/>
      </xdr:nvSpPr>
      <xdr:spPr>
        <a:xfrm>
          <a:off x="1680253" y="860707"/>
          <a:ext cx="24154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620EA7DD-CAFF-4EE3-A492-87484D30EB51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5BB13604-F95D-430E-AEA2-7FBC3D5ED8F0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54A47E50-6003-4474-BBFA-EBE19701813E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6BD554B4-62D2-47AF-8030-D79A2CF12DE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4B5AC7D7-E1E5-49E7-B4D6-29042C0E690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BFA8B2F-2912-4115-A5A9-FF3FFB89CBD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F4C1F74-9D8A-49F1-A675-7807032206B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9BFF2FA7-71AB-4E3C-9428-F88827D04FAE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1A4A1136-0A79-4E27-82AF-3FBF83C365F3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744412FB-D3A9-42C9-9EBC-8C47C7725DE7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42455B7D-372D-4AA4-A32F-82920452C820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C4F0F54B-78BE-4FE0-B45C-88F09EE487D8}"/>
            </a:ext>
          </a:extLst>
        </xdr:cNvPr>
        <xdr:cNvSpPr txBox="1"/>
      </xdr:nvSpPr>
      <xdr:spPr>
        <a:xfrm>
          <a:off x="1680253" y="860707"/>
          <a:ext cx="22836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75589481-7092-4E50-86A0-5ACE9B5F3E63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7F9223B0-4AB6-46D0-AF6A-C4ADB96ACE1D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579F7451-0BCB-4058-A914-BEF3D9CF877C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ADDA7448-181C-4D31-BE82-91D756D02D89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CC20FBC9-930A-46F3-8E3D-F2388E19E225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452E6CB8-3DC3-4E95-B3F9-2335C927E39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12FC634A-D02E-4F7A-A707-53B1FFE02D95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E99BEE53-00C3-4DF9-A51C-661CC94E6B4C}"/>
            </a:ext>
          </a:extLst>
        </xdr:cNvPr>
        <xdr:cNvSpPr txBox="1"/>
      </xdr:nvSpPr>
      <xdr:spPr>
        <a:xfrm>
          <a:off x="1680253" y="894269"/>
          <a:ext cx="241513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FAB5EC76-C5D6-4B00-BF00-C902871A5CC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71F684C-D183-4195-9959-DF12DC83F9CB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7B8DEAB0-7D33-4144-B385-9FBA789B0E2A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89A9023E-1644-4D72-B08E-21112F9DE0DF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44DFC467-9002-459F-8DCE-70E48EB82CA2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F367F1F0-F38D-4893-8C6B-A54D4CBD3DAE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2300C74E-E2A3-4BB6-BC79-9D4061BF7E17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2C6E324A-BA0E-447A-B130-355D1CCFEE9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FA1C9CEC-FFA4-4054-A42D-C57BC80D45C2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83D0A3BA-083A-42BA-A5D5-A01E11C940E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D8B2DC53-95C8-478E-AB64-04BF872D7532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A141378A-FBD0-448A-BD00-881D086E75A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4AA9E33-B61B-4B19-A93A-4EDA34255236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E19105D4-E8A6-4594-AF53-8134A67BABBF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7F1152B2-11EF-4D0B-BC4E-260CDC16083F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23B152B9-C67E-43AC-890F-E62AEFE3F1B2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E229648-B791-4DF8-9406-A5B034C89CF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1DBFFF24-DF52-4A9E-922C-E642488EBA17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4C34B1BA-1707-4DE9-B4D7-0A08984B9170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3419DCBE-76A2-46CB-BF44-56591C2A9346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F831BB92-5162-46BE-B954-6C09D4DEB76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6C00B0E5-7ABF-4B11-A70F-834BEB05084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C79BED6F-A34D-493A-A7F3-248F41C0F113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33D75B7-93EA-4F0B-BDB5-B9FE2E611305}"/>
            </a:ext>
          </a:extLst>
        </xdr:cNvPr>
        <xdr:cNvSpPr txBox="1"/>
      </xdr:nvSpPr>
      <xdr:spPr>
        <a:xfrm>
          <a:off x="1680253" y="894269"/>
          <a:ext cx="241735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76962EBF-A9E7-4F42-9F2B-84BFEDF2E298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85622A2D-78A2-4ECF-91D6-8B4F4DB0FA0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C4F76D68-47FD-4F79-8B51-277489C129EE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1A59CDB-790D-4D18-A92E-2CEF64B64B0F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D85CBCA2-2023-47D2-BBA1-7A4DDD7708C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E34807B0-1546-445B-B461-9FD8442CB2D9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86C1AB48-C2E7-4EEF-A0E0-F4A44FA15E60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73FA230D-F6A0-4095-9D88-4DAEC1E06FD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F857FF8F-C6DD-457B-9C08-D7E4F1614CC2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9F44358C-F7A3-403F-A08A-9C30BCFDE6B2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ECC1C37-6619-471C-9DA9-11128893973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39A94A49-F162-4B59-908A-A48A20F343A1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5F85E998-BC6D-47D4-8E85-6B0B57463CE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F3ABE132-B64B-4215-BA9E-7B8809D83BC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42A712A2-6479-4EB1-B984-30AEB95D201E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74388EF6-9588-4C00-A42E-3CAF3BB37055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EF2EAAD6-3EE2-409B-B236-E88D37E1C0A9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6CC38200-1279-4B05-86B7-8291A603A07E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5F4C0B07-7650-4070-A9AB-23665726A8C2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F4C1B69D-F15D-45D0-B9F4-8E6A34490A0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E4CC0FE-F10D-4043-84BC-AE2487338548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1E875588-10A9-4715-9CEF-CD45A730F74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5C3DE3BB-2536-41E8-9E87-B8CF486713EE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296DA1AA-B9D1-4ADF-8134-FB59401825A6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749E17CE-5E36-4362-9245-75931E461BAA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4AA725B5-519B-481B-83E7-996F7FE98502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49DD855-5982-413E-929D-74BC8BA41B3F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BD3352BB-79A5-451D-8CD3-610D003B08D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3DF27C53-BB8D-48F4-BA4F-4259F1269C15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EB3ACD18-E826-4C32-AEF4-13720A283F7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3AAEC449-668A-48D2-A472-7FCAB0FA0D66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10C00876-F736-41DE-870C-E1AC22B46777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15E87B46-7C12-4660-A5FB-1A8C8138B697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667AAEF4-2C85-4F28-BBD5-765DFD55EAC1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92BFE4BD-435D-453C-B7FB-954C1C252B1F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BE28B990-8807-428C-8B76-0AB3CF749411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BFAC7499-069F-40FB-97DC-C1719ACF1FFF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480AA65A-D4CA-4BAD-AEC5-F8789948DD3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5D0E144F-3C16-41E7-951B-AFDA908BA3E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34A4A377-C7AF-473F-BCF5-4136268A0D90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FBB7E87C-2A5F-4DD5-AD31-E291B5FBB199}"/>
            </a:ext>
          </a:extLst>
        </xdr:cNvPr>
        <xdr:cNvSpPr txBox="1"/>
      </xdr:nvSpPr>
      <xdr:spPr>
        <a:xfrm>
          <a:off x="1680253" y="860707"/>
          <a:ext cx="24154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8BE7787A-75E5-4777-813B-5B0736C64080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BCFAAB32-19CE-4223-8A10-A4447EF0AE5C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72BAE99B-F1C8-4C13-B9E1-18B09F6311F7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53DF464B-4C9B-4560-8D79-8A1486419266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67E09C9E-E262-403D-A1C4-2959A8923E6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DB04806-4331-4479-B960-D292F1EF272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C6FFDBC3-F7FB-40BD-90A2-7B03735D2F2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CB46A241-B511-47B8-B731-2C1B0B64864B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154C372-C409-4373-A93E-980B74052671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FF67C3D5-4877-4CC8-9839-5D2620C1B901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FC230DE3-9F03-47CC-8B0C-8A6BAA8FDD5E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EDA1FF-2A3D-4374-A6D5-51F837FD846C}"/>
            </a:ext>
          </a:extLst>
        </xdr:cNvPr>
        <xdr:cNvSpPr txBox="1"/>
      </xdr:nvSpPr>
      <xdr:spPr>
        <a:xfrm>
          <a:off x="1680253" y="860707"/>
          <a:ext cx="22836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53AD907F-CFB3-4137-9D0A-D27769235E3D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E8CB14D3-1150-4432-BDA6-8033DD2701C2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7E2C017D-8DC8-4D79-B4C4-FA5515FE56BD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5979EC58-768A-40C8-A45D-D0E9BAF1C12B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2636256A-0B25-4021-BAE1-E1DE4E877553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AEC8F56F-373A-4FC7-BDD9-952739967713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61E02CD8-4838-4C8D-B435-5C4E1EE626E5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A09F662C-A7D9-46B9-B605-8E7076FFCF70}"/>
            </a:ext>
          </a:extLst>
        </xdr:cNvPr>
        <xdr:cNvSpPr txBox="1"/>
      </xdr:nvSpPr>
      <xdr:spPr>
        <a:xfrm>
          <a:off x="1680253" y="894269"/>
          <a:ext cx="241513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D4289CE3-0454-4B93-962A-84CEB19416F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76C93138-4E9C-48C0-B341-2BA65A2FFBB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C8FB4A8B-BC5D-4C17-BBE7-940649925D71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2C8FE725-DC7C-480A-B8DB-759A83573873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D84D3DBD-9950-424A-99BF-FBF9B4D4663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938BB3A5-9AB4-412D-9E7A-1E86141E18DB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4F3AD1E-2DEE-4E2B-BCBD-5860C62E5F9F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6D454126-EC98-47E2-9D1D-79923902C950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766834CF-0EAF-42A8-982D-B0107B5D8AB4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DE6A067-49C9-4582-A931-5A463445222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A2C0CB5A-52FC-41A6-ACEE-33B08E5232C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2D2607C2-C38A-4ABE-843E-B13EA9FDEEF3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3A7129E-BC5A-464E-BECE-CEBB13487CB2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BB3064C5-DE75-4437-813C-CC7F04F58E50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28204438-D859-45AA-A578-3D68BDE0BC69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EDE1F237-2925-4601-AB70-DF618211D80E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988BE0C9-C0E6-403B-A5A3-FE493EA9DD2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585A9F85-B7DE-4FDB-B59C-77AEEF27B8FD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54707C9-85A1-4FB8-A364-5CC682F77FAD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46D72FA1-DE88-4D5A-9DA4-E4AD693DFE73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30AA641D-EDA8-447E-BEEF-5483039DB284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C0EE638-38F5-4FAE-A921-88FFA8686EE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A40E424F-F001-469D-9A6B-3B7BB08AAD6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6D0890AB-5F9B-4814-BEC8-B11CA5318028}"/>
            </a:ext>
          </a:extLst>
        </xdr:cNvPr>
        <xdr:cNvSpPr txBox="1"/>
      </xdr:nvSpPr>
      <xdr:spPr>
        <a:xfrm>
          <a:off x="1680253" y="894269"/>
          <a:ext cx="241735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702BBB5-6287-455A-A0E4-89EF797A4FFD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60B94F61-5461-4007-B72E-1EAD09BF5DF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E7BE02BC-DAB4-4B84-877C-B1F112782EC9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6952FBB2-A843-418D-8213-0582E7EE51AF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AF19D8E5-F1AC-498A-B392-8541AD6BAD3E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F5FC5D90-216D-4390-A0A7-91D396885EE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FB086011-75B7-453B-A250-857FBED9221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C2B69801-6601-4111-B43C-3D203B7B4317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9605944D-ACD7-44E8-B82D-CD5BCC140403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C60A7F10-CF25-4CF9-86B8-4F9846D6527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0520E3C-ED9E-41C3-8709-151B8EF7C56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54DAC5A-F9C3-4C6A-B256-AFB745A9B081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BAF90F9E-1B4B-4AA1-BD54-EC0FF4627DFD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A2BAF86B-C714-4065-AB5C-FC43A0B4EC9C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E9488F53-D94B-4B4E-AB02-40BB8BF9DB80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1E4FA10A-F496-4F58-BCAA-DAF3E4E98F55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4B47059E-C192-498A-A8A5-69D0BD648079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2E149DD3-CFF7-41D9-B844-B09E496EE3AE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4762E725-927D-4305-98A8-691A57F3110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419D7F7D-25C5-421D-88B8-1F9B5782EE33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D8B3BED-434D-4224-A959-DBED856A782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B7D9B7FD-5BF2-46D6-A8A6-8BA22B8CC01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EB8996D9-9802-4440-A0F8-0BB831A37F4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453C87E1-8872-4620-BFE4-B4E14D043113}"/>
            </a:ext>
          </a:extLst>
        </xdr:cNvPr>
        <xdr:cNvSpPr txBox="1"/>
      </xdr:nvSpPr>
      <xdr:spPr>
        <a:xfrm>
          <a:off x="1680253" y="897619"/>
          <a:ext cx="212866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0FE7E0D6-4DD1-49A8-8874-82CEA967871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A925E734-E3B2-4A6A-A2BA-FD3864761D18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2A3F4239-7698-4AEB-83F6-736B2A03D82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B3C59A16-C958-4BD7-A2E8-840D9760936C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7ABEEA-3F5A-42A5-A65F-7BDDDC28722A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3A82B8CE-72EE-48C3-8DB7-50B5A8C4D303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AC042A6D-3B95-411D-9A62-FE2C3994D2BF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598C815D-E698-44FD-B79C-6DDCE4AE76DC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467B8567-05B8-4B74-8148-1F8F7438EBB7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7AA1A369-349F-4C63-A98E-0523ACFBADE9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726DD9DE-B67D-4010-B855-5BBCAA16B586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6D54F31D-AF24-45EB-91A6-4B9394ECA0A5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8EAD2384-827D-4B18-9E4C-23456FD34CF7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96213079-0BB6-4CAA-8B01-906B32D34AE1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D727E1CA-8432-4027-83A1-FC89BFA204A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9A74A39E-56F0-44F5-B7A9-A3DD0A9096B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21FC67F0-A77C-4130-A6CE-97DE037DF1A7}"/>
            </a:ext>
          </a:extLst>
        </xdr:cNvPr>
        <xdr:cNvSpPr txBox="1"/>
      </xdr:nvSpPr>
      <xdr:spPr>
        <a:xfrm>
          <a:off x="1680253" y="860707"/>
          <a:ext cx="24187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45491532-1EC5-4153-AABA-F4F23FACD735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5C6EF133-5DF5-4B3B-A71A-90C7D8BBFD2E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4AF5F605-7DAF-4672-8905-0141F12BE28A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2FDA9312-58F0-40E9-9195-8D5DE5735BE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C7454490-E751-473F-A491-390762BE014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3864691-6024-4416-BD7C-E44856520F7F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F6764FFF-C55E-4028-823C-6D07CAD5E147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7FFCDF7B-58C3-46B4-884A-177F15008E5F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25687556-EBC8-4545-A796-88F5002DD40D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A7F3DFA9-8BE0-4066-9419-8CFFB914230E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82FA8047-C267-49C4-B0F1-D79B256CCBDE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F08FF06D-0947-4801-8AB7-D90F866D27E6}"/>
            </a:ext>
          </a:extLst>
        </xdr:cNvPr>
        <xdr:cNvSpPr txBox="1"/>
      </xdr:nvSpPr>
      <xdr:spPr>
        <a:xfrm>
          <a:off x="1680253" y="860707"/>
          <a:ext cx="2362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9A91B57A-F163-49A4-A4A2-5683BE21C23F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B81CEA63-4780-48C4-AB9A-AFC51DD4BF85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13325001-1F3C-4C7C-901C-6338D01CB6BA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3F0C6875-14FF-4069-AFA5-D5ED7895A606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9F6E7FC0-6D83-4893-93B5-91C17144BED3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9FF7F29F-3CB1-4088-A2AE-3ABDADF72907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55C128B5-0F65-4A1C-9E9F-E04B492AF340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4B2B4DA9-31F9-48D0-B75F-05F77FDFD06B}"/>
            </a:ext>
          </a:extLst>
        </xdr:cNvPr>
        <xdr:cNvSpPr txBox="1"/>
      </xdr:nvSpPr>
      <xdr:spPr>
        <a:xfrm>
          <a:off x="1680253" y="894269"/>
          <a:ext cx="241956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45E88256-C18E-4592-A651-0D6C515B1F77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B5556B7B-F8C1-4D16-8ABA-A3178CE8E197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046636A9-6C9A-4B56-AC32-F8A2E9E6FEEE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7D506027-A54E-4D6B-A3B2-16BF61F80F80}"/>
            </a:ext>
          </a:extLst>
        </xdr:cNvPr>
        <xdr:cNvSpPr txBox="1"/>
      </xdr:nvSpPr>
      <xdr:spPr>
        <a:xfrm>
          <a:off x="1680253" y="860707"/>
          <a:ext cx="24173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E89D26A2-6576-4CF1-9003-F65882EF28EE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3B21526A-C9AA-4D11-9902-36CF5C00C5DA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FD74A7E2-6D23-4067-953F-1D09D8FC411D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F112E3B9-2538-4475-BEEB-12DA5EC2353C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5D82882E-AD39-4D9C-9ED5-D7A9DAA4600E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95FB204A-EFC0-4ABE-AE83-5F532432A1FC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256441BC-17AB-4D58-8FD4-4E8B00FFE2D2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2B623CFD-77B4-4A2C-A30C-03E43BC99427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0895ADDA-0E8C-429D-9C8E-A22EE1D16F7E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1F7D947C-146A-44F3-AD72-6534ECAC3D34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DF2F04CA-E2FA-4B63-96AA-64E0FFBE638F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6E2D4CA4-C38A-4097-8FF2-0A03B56A1124}"/>
            </a:ext>
          </a:extLst>
        </xdr:cNvPr>
        <xdr:cNvSpPr txBox="1"/>
      </xdr:nvSpPr>
      <xdr:spPr>
        <a:xfrm>
          <a:off x="1680253" y="860707"/>
          <a:ext cx="24173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46FF309D-1109-40C9-8006-BCC5646869DD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D690A5B3-2643-41DC-AD64-CDC29D8BCF70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EAE2C298-9549-4E42-877D-1E9D8B6D8C60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FF919672-337E-4B55-8285-D0F2E732678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FD649CC5-6757-40BF-A21F-3C225DFD4EB4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EA2E5F3E-6881-43EC-B202-BB1F27B40D76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25F80484-BE31-42DB-92A9-F1285AC6FB11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CABC4D1D-0446-49D1-9692-E6A80F3B29B2}"/>
            </a:ext>
          </a:extLst>
        </xdr:cNvPr>
        <xdr:cNvSpPr txBox="1"/>
      </xdr:nvSpPr>
      <xdr:spPr>
        <a:xfrm>
          <a:off x="1680253" y="894269"/>
          <a:ext cx="242178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CC50491-01FD-46C5-983B-FC786E349B6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5D89938B-1627-4345-9485-7944877FF90A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F0DA86DC-CA48-4347-82BA-61DC006A216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461F2794-1D12-4887-A164-3E2C319FDD2B}"/>
            </a:ext>
          </a:extLst>
        </xdr:cNvPr>
        <xdr:cNvSpPr txBox="1"/>
      </xdr:nvSpPr>
      <xdr:spPr>
        <a:xfrm>
          <a:off x="1680253" y="860707"/>
          <a:ext cx="241954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862C8C3B-22AC-4BA7-89E6-063D7CFBCEE3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984C575C-2646-42E6-AEB6-12D6C28D77FB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DA978BE1-BC52-4ABF-8F54-B0F851A5694B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E6D38ED5-3A1C-46DB-B47F-450FB8933C43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2DD10FDE-5DE8-4C8C-95A6-27BF0D89A307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B4FCA795-B4C9-43EA-93A3-89E5C41E3B3C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99481ECD-DA84-4D1C-B05A-DEB107B06BAF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75460F9B-191A-4BC7-9166-5F8F60F395B7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1D98129D-CEB1-43E1-954F-3E320E12019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3A1FB55F-33D4-437F-A3DD-356C63A6E0B6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15DABCF4-92C0-4C9D-9C1A-B2E64FEA97CC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789328F-2A53-48E6-B966-D7F06F1CD446}"/>
            </a:ext>
          </a:extLst>
        </xdr:cNvPr>
        <xdr:cNvSpPr txBox="1"/>
      </xdr:nvSpPr>
      <xdr:spPr>
        <a:xfrm>
          <a:off x="1680253" y="860707"/>
          <a:ext cx="241954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87E983AB-71F1-4D1C-AE4B-83A930B747C1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07D629DE-6F9A-4E27-9222-76B4CAEB3E73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A00301B3-0482-4B54-BD01-47E6986420A7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29EFFCCD-8E15-4170-A08B-FB951E3E10B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5CA96FE1-7067-4407-A32C-B8E691C5725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C4DA7049-87BB-45B0-B438-BE769F602073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F4FE4CA3-890E-44A3-BF7D-FEFC5D54D03B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1A472D06-900D-4EE9-B827-293896FFC3AB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F1CAFE1A-A42C-4C5A-BCE6-0FE31EC6019E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8E7A4322-86AB-4FFE-989C-EB566A1BE060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D4EE45BC-F950-4B98-830F-34302B44A30C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DE50447B-2335-442C-8B30-B3C1BD2C551B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A040EDF7-616B-4FCE-8665-31A0AAD0C9F1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6563F2D0-F8AD-4785-8AF2-6B53DAAAC9B0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08BE728F-9462-47EF-8E28-AFE3B08413CF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C3A379B2-FDD8-4BB5-BE85-A74A97D05523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E55A4141-4B00-4A4F-A15A-E12EBAEBB82B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CBC2F7A6-712A-4DFE-9FE9-5E48981D4EB4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12527FC4-55E9-4437-94D1-C29D4D70DC4A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CFBA5BCB-C78D-4988-9539-46E857EB3A33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F15DF604-715F-461E-929D-3EE1EBDF5282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2466ABEB-9F37-412D-89C7-77A6D7C20CE7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08DEB899-6AD4-4A45-A53B-5242E94B3DE1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401C8657-6F77-4203-B665-E3B33EF3A11A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20" cy="309344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098A3C60-FEA5-43FE-B928-E0A5AAA67472}"/>
            </a:ext>
          </a:extLst>
        </xdr:cNvPr>
        <xdr:cNvSpPr txBox="1"/>
      </xdr:nvSpPr>
      <xdr:spPr>
        <a:xfrm>
          <a:off x="1680253" y="860707"/>
          <a:ext cx="24040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01DDF58C-5EAE-43D7-A4CD-4246A1B857D4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2D7B4E71-EB4B-491B-B3E2-AA39EE7BF4AF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43" cy="309344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E17F82D4-9284-4589-B9F2-85A5A3DBB09D}"/>
            </a:ext>
          </a:extLst>
        </xdr:cNvPr>
        <xdr:cNvSpPr txBox="1"/>
      </xdr:nvSpPr>
      <xdr:spPr>
        <a:xfrm>
          <a:off x="1680253" y="860707"/>
          <a:ext cx="24062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108F431-BA6C-4C9A-BB75-F2DB7AB4BBE6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7EE3090C-3A52-4D74-921E-3BC0365761AD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8D1175D1-FD1C-49C3-9D50-894E2BB4B7C5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2A938B35-C9D9-4DF3-85E6-62EA69EE84E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E7281BC-2FFA-4043-AE8E-1D6EE7645064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0A74149E-A9E9-4D6A-9FE9-DF2B3361B281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A9D74BE-7D8B-4849-81D8-5758B200D398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D9603016-1F53-46F9-B882-185181DDFE4C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E5AA3A9D-643C-4B8A-849C-F0E04906C325}"/>
            </a:ext>
          </a:extLst>
        </xdr:cNvPr>
        <xdr:cNvSpPr txBox="1"/>
      </xdr:nvSpPr>
      <xdr:spPr>
        <a:xfrm>
          <a:off x="1680253" y="860707"/>
          <a:ext cx="2362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675FB9A4-6AC8-43D2-9893-770EA9186C7C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9BBEA50C-869E-4066-9F60-76DDC5B335A5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E4E78F05-DDD4-42E8-9EEA-840D39B8A491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412E8E0E-8704-452B-8C55-83548B3F186B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0BBA310E-A157-4B8F-8B2A-B17933554AFA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EEF52E0C-53D7-48B8-929B-6DDFA23B6F7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DE2B4107-62BC-4C29-A76D-CC6412ED8A0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238" cy="278343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A0AEB440-BEF2-47A1-AF6D-8B82E48CB796}"/>
            </a:ext>
          </a:extLst>
        </xdr:cNvPr>
        <xdr:cNvSpPr txBox="1"/>
      </xdr:nvSpPr>
      <xdr:spPr>
        <a:xfrm>
          <a:off x="1680253" y="894269"/>
          <a:ext cx="240621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69D1043A-AE69-4553-BFE6-593D7C25589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C3AE5CAB-C12D-4DEC-ACFA-D5D5A349424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84641654-5500-4820-8714-BC4E8F2E37CF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03F80F5-4D0B-453F-870C-2A2B1590DC02}"/>
            </a:ext>
          </a:extLst>
        </xdr:cNvPr>
        <xdr:cNvSpPr txBox="1"/>
      </xdr:nvSpPr>
      <xdr:spPr>
        <a:xfrm>
          <a:off x="1680253" y="860707"/>
          <a:ext cx="24039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F4B8D68D-9F6A-4211-8F98-6D1D9BE9B382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0D489AC-D825-4ACA-BAFC-53E1A5EF255F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C9380951-018C-42A8-A905-ED50EC06B3B2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D52DD669-17D9-4751-83FF-3199A6A3E39E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CCF85F53-C18A-41C6-918A-7B9348C5CDD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5480AFFF-BBC5-48B7-BF75-63B4E5DA75C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129460EB-0B52-431B-ADF5-8F344DB7C2E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EFB7CC4-AD34-4923-8DF3-5EE6F02C5F8E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394B3FCA-D70B-4288-9577-88DC28393BCB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BE53EEAD-828F-41B8-8652-F30877323660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8924334F-BDAD-4B7D-B935-17BB706580D1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010" cy="309344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39F325D-C4FE-4FA4-A2C5-B27F8935C7A7}"/>
            </a:ext>
          </a:extLst>
        </xdr:cNvPr>
        <xdr:cNvSpPr txBox="1"/>
      </xdr:nvSpPr>
      <xdr:spPr>
        <a:xfrm>
          <a:off x="1680253" y="860707"/>
          <a:ext cx="24039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87AE9F9-2719-42C8-918B-057741B1896C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86D9D51A-FD6F-4928-8230-71CA3ACCA1D6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8" cy="309344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A13EBD97-855D-4DC0-A15B-40CCED37EEDD}"/>
            </a:ext>
          </a:extLst>
        </xdr:cNvPr>
        <xdr:cNvSpPr txBox="1"/>
      </xdr:nvSpPr>
      <xdr:spPr>
        <a:xfrm>
          <a:off x="1680253" y="860707"/>
          <a:ext cx="24062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F7A0719D-BD68-4218-92BC-B4D155D2098A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33538D89-307D-4B52-8B8A-FCB6099ECC0E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B69691DE-7930-4442-B013-6381A0895CD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C044DBE1-4E57-4099-A5F4-FBAEC9DA5C71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3460" cy="278343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44AA91DE-AB21-4C91-B608-D294524E7E6A}"/>
            </a:ext>
          </a:extLst>
        </xdr:cNvPr>
        <xdr:cNvSpPr txBox="1"/>
      </xdr:nvSpPr>
      <xdr:spPr>
        <a:xfrm>
          <a:off x="1680253" y="894269"/>
          <a:ext cx="240842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9DCBCD7B-2C43-4BE6-BA5D-4CA0FA921DA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D63A962-F51E-447D-8E6A-8FF63EDE753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11F8912-019B-4061-96C4-7E9BD00291D2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3E6EB62A-9FDA-4234-8FC4-3ABA386B43DA}"/>
            </a:ext>
          </a:extLst>
        </xdr:cNvPr>
        <xdr:cNvSpPr txBox="1"/>
      </xdr:nvSpPr>
      <xdr:spPr>
        <a:xfrm>
          <a:off x="1680253" y="860707"/>
          <a:ext cx="24061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A4B27BF1-0239-4256-A628-58B12BC02EB8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E5C7CD80-F8F2-4B8B-B2FA-D0745F7D5646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2DA763D0-3B7A-4B16-88BC-AAAEB8F712FC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274F44A1-2B6E-463F-8081-D6BDA82B7AF7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B2DDFC86-2C5F-476A-B278-1F1675678BE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F6C00F11-FDA2-4FD2-9FA8-81C8AE588E12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F1A0E103-021F-4473-838B-4DB8F169986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7E199752-FD71-4F26-9F76-AF0345292311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93D26D2E-FBE5-4A8A-B6E0-97D020978DE8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0F31AC96-06CB-4583-BDF6-1B7259F82EB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E1D20241-53DE-493F-B27E-C47C6B4CAA2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235" cy="309344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BFE64834-78FB-4DC1-AB13-7E5C080978B9}"/>
            </a:ext>
          </a:extLst>
        </xdr:cNvPr>
        <xdr:cNvSpPr txBox="1"/>
      </xdr:nvSpPr>
      <xdr:spPr>
        <a:xfrm>
          <a:off x="1680253" y="860707"/>
          <a:ext cx="24061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5EABE18C-FEA9-42D9-8956-678BD0291BBB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B36C3E26-ABAC-4DD5-B7AC-28C330B2DEE7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460" cy="309344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9179D580-88DF-42F0-B1B3-A41A48D1DC2B}"/>
            </a:ext>
          </a:extLst>
        </xdr:cNvPr>
        <xdr:cNvSpPr txBox="1"/>
      </xdr:nvSpPr>
      <xdr:spPr>
        <a:xfrm>
          <a:off x="1680253" y="860707"/>
          <a:ext cx="2408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2EEE88BC-BBCF-4F18-9BD6-C0DCACC1DCA7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86240E15-ECA8-4AAB-A1CC-3F7684460F08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6D6361AA-7BED-4797-850F-6C260782CD4E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A6746469-CC02-48CF-AF5F-FFE685DB415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16F2221C-9321-46F8-AD89-93BFF5E92192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2C1B381A-6491-4F75-BF08-98A03665FE28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605B12B1-2FB7-4269-8A90-F92AAFDDBCF9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79F7035F-F685-4526-B34F-AB9C00B6EFD1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74C5D32D-81B6-4A37-A202-60A5A164CCB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17D5350-6172-4CE1-A5BF-4B55E1197A58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6D32229B-8BE6-4A2E-8210-6AF43117A18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0BD54DFA-364F-47B7-93CD-8656E3FC1586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9B4ADEB1-69CB-4AE2-9C8A-4C8BAD84E805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8FBD3FF7-A36E-46F0-A355-724D8C7C4A13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57200057-1B65-432B-AF52-C33DEE13B58D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3B63DB85-FBF5-455B-843B-DA86D1A36E2D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A08523AD-DADA-4ADE-854D-020D6F6B8B41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F2516E53-B77E-40A7-BEAF-9AD15F8F4149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F918CD7C-7C5E-4DEF-A117-63980345D16D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4D0F349D-9861-4A51-AEDF-C9D4D35A5CB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65A33186-3F4C-4A70-8814-6D39E16E1F7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F11E3FFB-C351-476F-9638-75F153FA13EA}"/>
            </a:ext>
          </a:extLst>
        </xdr:cNvPr>
        <xdr:cNvSpPr txBox="1"/>
      </xdr:nvSpPr>
      <xdr:spPr>
        <a:xfrm>
          <a:off x="1680253" y="860707"/>
          <a:ext cx="24154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9892C9F1-F3CA-487A-B9DB-4A7105041C6C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CB095800-907B-48CC-BDF8-2EC5EF72C03C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63A71B89-33AA-4711-8950-11F9C7E15BFE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7E713755-2C0E-4397-B3E9-2C0EA45B3A2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256C67A8-3C93-4CCA-933E-7F82D1807616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57AAA1C8-C8D1-4240-8062-D02B48AD05BC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81B73A4E-86DA-4A20-8EC1-3C3F7C294A60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84C3927B-09DD-4C66-A230-95FDCC360E37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CF61427B-5B3D-4567-B5E4-06C2B5249676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5C6300AC-8962-4337-A20B-56D0FC9D9D7B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2B335A08-7FD9-4EFB-B167-B4B466B028DC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9C6FC41C-14B0-4297-801E-6428A082D454}"/>
            </a:ext>
          </a:extLst>
        </xdr:cNvPr>
        <xdr:cNvSpPr txBox="1"/>
      </xdr:nvSpPr>
      <xdr:spPr>
        <a:xfrm>
          <a:off x="1680253" y="860707"/>
          <a:ext cx="22836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C539CDE-9DD0-4E9F-9C67-DFCA9C90C57F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805491F0-0E1B-48E6-B120-D9EE3C4CF1F7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F2129710-3095-4366-BC97-905A5875944A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5002DF99-C405-42EF-9021-0D58442A0FC6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74BB37EB-513B-4D65-9EB4-6126D8E07108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C4EEBBC8-9084-4B45-B95B-E9773844081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8377897B-A72D-4A0C-8490-260ABDEBA563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6958E658-8447-4D68-9BCE-2CF2FF702AFC}"/>
            </a:ext>
          </a:extLst>
        </xdr:cNvPr>
        <xdr:cNvSpPr txBox="1"/>
      </xdr:nvSpPr>
      <xdr:spPr>
        <a:xfrm>
          <a:off x="1680253" y="894269"/>
          <a:ext cx="241513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269C81B4-AAB8-4AC6-AA08-EBAFFE1982C9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1F502FF2-F886-429A-85BB-04F21039C637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E9A48A31-20EC-4E0F-97D3-86770F6A72B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DB7531D-371E-403F-90F2-2A112B8E3368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154D4638-EE84-4263-A2D6-5DCFA2B8322C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8AE830E3-782C-4492-8CAF-C410D0F11DE1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AC32F385-0ACF-4B55-AFD4-C03139031D9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25FD0708-ACE2-4BF0-A233-18B3CF732B11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BA0601A5-846D-4BB2-B56F-09A5B9B573C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C4F9811F-6330-492A-AA2B-313305D13ADE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E92F56AE-225F-48F0-95B0-CA65A39D45D7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186AE3F8-CB9C-4FDA-8DB6-AA3C57F7D24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6582FDFF-95A8-45C6-83E9-8D7A8E6BAB09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86FD2218-6335-4D44-9A28-00B63CD9B8B7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D43F56DB-38A2-476B-8B45-889077B5BFF2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79EC03E-7E9D-496D-BA17-62FD4B2F7612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1C72D5AF-E7EF-41CA-BB62-D5CE99538B42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FDB4DF2F-2868-4898-A66B-166991729B4D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86DAC6C5-5426-4322-B4F3-4E1705C6C3FB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0C0AF5C-2B63-42A0-ACE7-05FE6DC591E2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9A0C49B2-2BEE-4925-9660-19A469351229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E10F70F0-F5F7-414E-9189-D6DD35173E2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E8751829-BF30-4308-A5C4-E3A0E032123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756AB470-E5AC-42B9-A5F8-BDE4731E1AFB}"/>
            </a:ext>
          </a:extLst>
        </xdr:cNvPr>
        <xdr:cNvSpPr txBox="1"/>
      </xdr:nvSpPr>
      <xdr:spPr>
        <a:xfrm>
          <a:off x="1680253" y="894269"/>
          <a:ext cx="241735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306B36F7-21DD-4606-A9BF-24F488D3F37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9B9C18B2-8EA6-444B-9701-47A386272A68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D9BD763C-5E3F-4861-838E-EB285D226E83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521AF3BD-BD2A-4087-B687-0D246CF7BEBB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1B47AE5F-273B-4C7D-92AB-EC238ECCA98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2CD441DF-6D56-4AF4-A205-6AB8B9BAF33D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EE27FE82-8D14-409C-8DCD-A8C229213FF1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A5E68628-0562-4A93-B1B3-B773EC108711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8F57B61-AA02-45F3-B7D4-32ED956353C6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3E7E9ED4-4377-4CAD-9C74-575A76FB947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58A5DA34-1252-4FCE-AE34-1AF9F98A0933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ADFE831A-7100-420D-9332-EC5FAA261A01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92484DE6-8EE5-4C6A-88AE-F2FBD07DBE82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3DF9ACBB-FF24-4784-AE59-F11CBC27235E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B0F9AED2-BABD-4130-863B-1C42B157C96D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E4E4C593-DCC0-41A7-83AE-4C41F441C130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5D422580-1473-4496-8F21-FDE7B72A7E4F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BC990A65-35C3-4EB1-A7C4-B6D4C59FB14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C602EF04-23FE-4919-A604-6FB595404DFC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08BC5237-1DDE-4610-9870-58D4B7AC3BC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C2F8C7F4-9D47-4CF5-9F77-5C3F05120FE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4C51ED4E-63F9-48F6-93E0-243ED4C19D0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E3D2C3B3-D6A4-4712-B5BF-A58477F1ED3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1957" cy="274645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44DBE5C4-0F92-40DE-AFB1-FBA21719B303}"/>
            </a:ext>
          </a:extLst>
        </xdr:cNvPr>
        <xdr:cNvSpPr txBox="1"/>
      </xdr:nvSpPr>
      <xdr:spPr>
        <a:xfrm>
          <a:off x="1680253" y="897619"/>
          <a:ext cx="219662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58280812-FC95-4B0F-BB6E-6B78044CD81B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C5CF1907-1441-4EBB-84CD-73BE082F12D5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11697CE8-CC39-4FF7-88CD-1920D0585A06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A804FBCD-D9D8-4D37-A5E1-EDFEE77B9DA7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30DCE39A-8C12-47A1-AEAA-ACAC27FC2E0F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675775C-2914-42AD-BCBD-76CA4CA43F7B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447BC206-7E4C-4357-B7EB-790466F38ACF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D74965F-79E2-41A3-A86D-80C3DF248A04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3FFB3F22-A833-455E-9389-357D9F3FD9EB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1C60979B-0661-4586-8EB1-2A0CC9EEA229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6EB0BF61-844A-4319-ABD1-3F1E5C7285BE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718D6EC7-D444-4F18-82CA-29D7B197C6B6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9AE0F839-2D05-422E-834D-56EDFB2CC89A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B335BADA-E24A-49C1-8F49-E5C47C35E0D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FC329419-2EEB-43C5-BF06-3EBD112520F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F596F827-9EAD-430E-BC8C-0D83724B300E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34" cy="309344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F7641D4C-6F37-45C0-949E-F29399DB50B6}"/>
            </a:ext>
          </a:extLst>
        </xdr:cNvPr>
        <xdr:cNvSpPr txBox="1"/>
      </xdr:nvSpPr>
      <xdr:spPr>
        <a:xfrm>
          <a:off x="1680253" y="860707"/>
          <a:ext cx="24154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CF22608F-C001-4796-93AA-0ECC40279FF0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9550FEE7-3DA4-4C46-810C-4459C950B6FD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60" cy="309344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93FCFBFF-6871-4D84-911F-41F2DDEB36AE}"/>
            </a:ext>
          </a:extLst>
        </xdr:cNvPr>
        <xdr:cNvSpPr txBox="1"/>
      </xdr:nvSpPr>
      <xdr:spPr>
        <a:xfrm>
          <a:off x="1680253" y="860707"/>
          <a:ext cx="24176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D8A571A0-4787-4331-A251-9BA5E9FEC8B5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84CC324C-233A-4ADC-BF6D-C928FE9B0F3A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69F01856-65DA-40FA-94E7-51805BD7F8E9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6EF45867-50C5-4AB3-8AB3-FA74B9B1F7B6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5C9DABF5-F58D-4E30-9CED-31E7852E3969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C29EE5A0-F227-4382-9A06-0DC43577C8A3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A9EA0445-C891-4DF1-9272-71CBE2BD05C8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636C9F8A-267B-4B8E-887C-21D51C04B12D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216" cy="309344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6F6D9953-683D-46F7-891F-1C2066A454C6}"/>
            </a:ext>
          </a:extLst>
        </xdr:cNvPr>
        <xdr:cNvSpPr txBox="1"/>
      </xdr:nvSpPr>
      <xdr:spPr>
        <a:xfrm>
          <a:off x="1680253" y="860707"/>
          <a:ext cx="22836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B36AA897-2036-4BEA-A6AA-17787FC2015A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2790F062-F5AE-4148-A673-91551288E4ED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0829" cy="309344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8E13E372-A142-403C-B8DB-0E7E33291C2E}"/>
            </a:ext>
          </a:extLst>
        </xdr:cNvPr>
        <xdr:cNvSpPr txBox="1"/>
      </xdr:nvSpPr>
      <xdr:spPr>
        <a:xfrm>
          <a:off x="1680253" y="860707"/>
          <a:ext cx="228577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1C37E80D-6647-4878-BC95-533379C0E8E4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1308" cy="309344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2CE368E8-5ED3-4B13-9CE2-99D436C89BB3}"/>
            </a:ext>
          </a:extLst>
        </xdr:cNvPr>
        <xdr:cNvSpPr txBox="1"/>
      </xdr:nvSpPr>
      <xdr:spPr>
        <a:xfrm>
          <a:off x="1680253" y="860707"/>
          <a:ext cx="22905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FD25EBE8-A494-4255-99D6-F453BFB6551F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1B1999E5-FCF8-4B6F-9434-07E176930B37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502" cy="278343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1CEC2C4-B267-44D0-AABA-5A64AC8DC0C5}"/>
            </a:ext>
          </a:extLst>
        </xdr:cNvPr>
        <xdr:cNvSpPr txBox="1"/>
      </xdr:nvSpPr>
      <xdr:spPr>
        <a:xfrm>
          <a:off x="1680253" y="894269"/>
          <a:ext cx="241513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E40B53A3-1633-43F0-8D39-5F818D8C1DDD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62DC05D2-9C12-404F-B40A-4F03DA965A13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91E9CC51-7643-457E-959E-A3D553244095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E6641D03-DBC7-4FA7-9516-E39476008030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9EEA2321-C72A-4529-8626-221C5997BF1D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470AC0CB-65B3-47E5-9CE6-A1C2A9DE5C84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40233F6A-C63D-4593-9E35-04658AED2289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610B6151-A713-4D02-8457-860737EA2C24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4645DD05-5BF2-4D3A-93A5-6182ED6DC86C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26CB96F8-0873-4A55-8744-3835DC52830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770AC318-4720-402B-A13F-B9E09939C8D4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FDC63D62-E244-443F-B34D-944F7FBFBEBD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C830AA7-2ABC-4493-A694-FC2D6D91DCF1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1704FFAF-E80D-4D9C-9538-11F3E573578B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17144887-988D-4581-9DF1-EEBBFD786B5F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3912" cy="309344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61004035-AF91-46B1-9FCF-54968BAE459D}"/>
            </a:ext>
          </a:extLst>
        </xdr:cNvPr>
        <xdr:cNvSpPr txBox="1"/>
      </xdr:nvSpPr>
      <xdr:spPr>
        <a:xfrm>
          <a:off x="1680253" y="860707"/>
          <a:ext cx="24128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358DBAA9-AC2B-487E-B9A0-D32D9281B493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9465981F-4ED4-4D3B-8B89-51CF8480D6B0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502" cy="309344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A1FA4D3A-0B23-452F-A647-8361FD49B0D5}"/>
            </a:ext>
          </a:extLst>
        </xdr:cNvPr>
        <xdr:cNvSpPr txBox="1"/>
      </xdr:nvSpPr>
      <xdr:spPr>
        <a:xfrm>
          <a:off x="1680253" y="860707"/>
          <a:ext cx="24151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23040A2C-29A5-42D0-89BC-3849337EE927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295" cy="309344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AD117B96-CDBF-4C48-8159-2C2C0A59DA6E}"/>
            </a:ext>
          </a:extLst>
        </xdr:cNvPr>
        <xdr:cNvSpPr txBox="1"/>
      </xdr:nvSpPr>
      <xdr:spPr>
        <a:xfrm>
          <a:off x="1680253" y="860707"/>
          <a:ext cx="22720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D81EE60B-DD19-4FC8-A280-0C9B301C67C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CD90687F-B90A-43B0-9656-85CB50E8FADA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725" cy="278343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B53E0B3-A5C8-4B5A-8653-E8265F17EEA1}"/>
            </a:ext>
          </a:extLst>
        </xdr:cNvPr>
        <xdr:cNvSpPr txBox="1"/>
      </xdr:nvSpPr>
      <xdr:spPr>
        <a:xfrm>
          <a:off x="1680253" y="894269"/>
          <a:ext cx="241735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EBDBA325-014D-422E-B36E-105ED8982509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BCE7AD75-559F-4506-B6ED-7DE503A42251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80FB12AC-3905-4944-BCA7-523C8DA4FE54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754FCC3F-0764-428F-A14F-55C09A11EF1D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F7747097-1EEE-4CCC-BB87-57937E52FE88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8DA80706-41FE-479C-8D9E-79AC845B5119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CDE0E9B6-5FB8-4C9A-9AD7-22A46F047C3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B5823551-930B-48CA-BD4A-E5412D0A0BB3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377BF529-D812-4132-B722-2FB589635BA7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0237B3DD-F2A5-42D5-981F-8019BE9BAFFD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67C544B9-8835-4244-A011-01DD4FAEA232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9790D543-2136-4589-990D-03101C70082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E1767B00-F286-4FEA-A86E-9F4670026869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F0DF3E5E-02CA-4FD9-987D-128D4563CDCD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7DA4AC3-A0CD-4315-8D42-B845714AAF6F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499" cy="309344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EC0F4068-88E5-4A67-BBCC-6E0E9AA5329E}"/>
            </a:ext>
          </a:extLst>
        </xdr:cNvPr>
        <xdr:cNvSpPr txBox="1"/>
      </xdr:nvSpPr>
      <xdr:spPr>
        <a:xfrm>
          <a:off x="1680253" y="860707"/>
          <a:ext cx="241510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1B8939D3-DD86-4768-93DD-358DD0D9975A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44B8FF64-446A-4611-B3FF-0A2AB4773068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5" cy="309344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7744B93C-FFB5-4411-93AB-F5A5120B3AB3}"/>
            </a:ext>
          </a:extLst>
        </xdr:cNvPr>
        <xdr:cNvSpPr txBox="1"/>
      </xdr:nvSpPr>
      <xdr:spPr>
        <a:xfrm>
          <a:off x="1680253" y="860707"/>
          <a:ext cx="24173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13F63189-E6E3-4FB3-8D6A-F5E843A2520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9506" cy="309344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8862A4C9-C14F-4E62-B69F-B7C8718B414B}"/>
            </a:ext>
          </a:extLst>
        </xdr:cNvPr>
        <xdr:cNvSpPr txBox="1"/>
      </xdr:nvSpPr>
      <xdr:spPr>
        <a:xfrm>
          <a:off x="1680253" y="860707"/>
          <a:ext cx="22740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01E77B9-05AC-48DA-821C-255196923E58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23336" cy="274645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99374933-14FA-47BC-BF7C-FB5ECDF9685B}"/>
            </a:ext>
          </a:extLst>
        </xdr:cNvPr>
        <xdr:cNvSpPr txBox="1"/>
      </xdr:nvSpPr>
      <xdr:spPr>
        <a:xfrm>
          <a:off x="1680253" y="897619"/>
          <a:ext cx="221573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6687" cy="274645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ADD9D501-6C87-4683-8BA4-E45824A6D261}"/>
            </a:ext>
          </a:extLst>
        </xdr:cNvPr>
        <xdr:cNvSpPr txBox="1"/>
      </xdr:nvSpPr>
      <xdr:spPr>
        <a:xfrm>
          <a:off x="1680253" y="897619"/>
          <a:ext cx="212866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5BCE61A3-F2F2-4A74-999C-23E04B74B77E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D203CA6D-F499-40EA-B00A-F2AAE9C8F2FA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24C4E807-BC76-4446-9FC6-C6999012B8A4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1539B47D-1D8B-491F-9801-90BD514A1DF8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062" cy="309344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C9EFC71B-B535-440D-8A48-9CDD0E7D6705}"/>
            </a:ext>
          </a:extLst>
        </xdr:cNvPr>
        <xdr:cNvSpPr txBox="1"/>
      </xdr:nvSpPr>
      <xdr:spPr>
        <a:xfrm>
          <a:off x="1680253" y="860707"/>
          <a:ext cx="223285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2AB81013-7190-443E-94A5-1EAD64A056BB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13CB1241-ECB5-4A86-BFD0-3FD17E741742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272" cy="309344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55EDC2CF-16B9-462B-A412-9F25D720B660}"/>
            </a:ext>
          </a:extLst>
        </xdr:cNvPr>
        <xdr:cNvSpPr txBox="1"/>
      </xdr:nvSpPr>
      <xdr:spPr>
        <a:xfrm>
          <a:off x="1680253" y="860707"/>
          <a:ext cx="22349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42C9E44C-6593-49F7-8BBF-88C07BC000AC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25492" cy="309344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8816CDA5-FC3B-4283-AD94-DF9C1543C94C}"/>
            </a:ext>
          </a:extLst>
        </xdr:cNvPr>
        <xdr:cNvSpPr txBox="1"/>
      </xdr:nvSpPr>
      <xdr:spPr>
        <a:xfrm>
          <a:off x="1680253" y="860707"/>
          <a:ext cx="2237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E2425FB5-A8D5-45AA-A97B-8F198B25864E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31965" cy="274645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0D953FF7-B3E6-4D7A-8841-F8910B527B45}"/>
            </a:ext>
          </a:extLst>
        </xdr:cNvPr>
        <xdr:cNvSpPr txBox="1"/>
      </xdr:nvSpPr>
      <xdr:spPr>
        <a:xfrm>
          <a:off x="1680253" y="897619"/>
          <a:ext cx="229957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095FCA3C-773E-4E6C-8488-A1A9827EC05A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2857C09C-C3F9-457C-84A9-7E5EBD19C67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0AA91FE6-9DEE-48BF-A9CD-FED319653D09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7B880E38-2613-4BE9-BC78-D8DE2434D15F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872" cy="309344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79591572-8998-4FBA-BC35-CD2E147F62FE}"/>
            </a:ext>
          </a:extLst>
        </xdr:cNvPr>
        <xdr:cNvSpPr txBox="1"/>
      </xdr:nvSpPr>
      <xdr:spPr>
        <a:xfrm>
          <a:off x="1680253" y="860707"/>
          <a:ext cx="241879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6434CC9E-E05C-4D64-9A99-31313889D072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B62BDA0B-3159-4DAC-A689-CBFEACDB1C7F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096" cy="309344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C536583-F4DC-43AA-B761-E7F1EF245264}"/>
            </a:ext>
          </a:extLst>
        </xdr:cNvPr>
        <xdr:cNvSpPr txBox="1"/>
      </xdr:nvSpPr>
      <xdr:spPr>
        <a:xfrm>
          <a:off x="1680253" y="860707"/>
          <a:ext cx="242101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4B6E7BE3-91FB-42EB-94A8-5E1CFD908AFA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B115D1F5-8E5F-4D50-83FA-D9784DAF84E2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0613006B-8E7F-4708-A4BC-57E7C5C53F66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38EAC5DA-FDBC-4D81-9DD4-0AFAD614EF1D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28CB1978-BF09-4072-BA07-ED0472DD6AEF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7B7D97E9-1076-420B-B46B-2C0DD33297FF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948DE0CA-8773-4BAD-9F42-9187B81F58D5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95D98F9A-991E-4975-8E73-C1A24C84FA2E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8954" cy="3093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87D4AF0D-095C-44BE-BE93-A315DC700838}"/>
            </a:ext>
          </a:extLst>
        </xdr:cNvPr>
        <xdr:cNvSpPr txBox="1"/>
      </xdr:nvSpPr>
      <xdr:spPr>
        <a:xfrm>
          <a:off x="1680253" y="860707"/>
          <a:ext cx="23624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1E2F438E-2592-4D1F-BC15-0C8034EE96DA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A7A55131-49A8-41C9-A7B5-D9D8118752D5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531" cy="309344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A1C65014-F761-41D0-83E6-1749EDF63564}"/>
            </a:ext>
          </a:extLst>
        </xdr:cNvPr>
        <xdr:cNvSpPr txBox="1"/>
      </xdr:nvSpPr>
      <xdr:spPr>
        <a:xfrm>
          <a:off x="1680253" y="860707"/>
          <a:ext cx="236812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9CE4F7D9-CA3A-42D0-8FDA-7EBD385D8356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9394" cy="309344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A4E81C4C-C0B8-4A3E-BCC0-AAFA4CD45F46}"/>
            </a:ext>
          </a:extLst>
        </xdr:cNvPr>
        <xdr:cNvSpPr txBox="1"/>
      </xdr:nvSpPr>
      <xdr:spPr>
        <a:xfrm>
          <a:off x="1680253" y="860707"/>
          <a:ext cx="23692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F4445C97-1327-4A4E-9975-818F0D004C31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B135B155-BCF5-4A01-88B0-569F50F6301E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4949" cy="278343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229DD93B-813C-4ADD-AAC9-44B0E1A6DE93}"/>
            </a:ext>
          </a:extLst>
        </xdr:cNvPr>
        <xdr:cNvSpPr txBox="1"/>
      </xdr:nvSpPr>
      <xdr:spPr>
        <a:xfrm>
          <a:off x="1680253" y="894269"/>
          <a:ext cx="241956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E5CAEBCB-993B-407D-B847-4BE8AD671B48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420FF2BD-5747-403C-A6B9-DAB2F7A4F607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E8E278A8-0AD5-4B44-A545-CE4EA4665E6F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F227819C-CAB9-4934-829B-7363C79691B5}"/>
            </a:ext>
          </a:extLst>
        </xdr:cNvPr>
        <xdr:cNvSpPr txBox="1"/>
      </xdr:nvSpPr>
      <xdr:spPr>
        <a:xfrm>
          <a:off x="1680253" y="860707"/>
          <a:ext cx="24173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525D626D-AA9B-4F6A-BBA6-3DA15216904A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6AC4153-901B-463E-B403-97E9FE521730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CAF2D169-DC1C-47EF-9728-1C8D759ACDAC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0103431E-D62E-481E-B147-C540299F7933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45A142C3-B190-4EAA-9F76-81069D300B25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705A869D-D03A-4EAB-8A77-4BBEE1C8B513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2067B52C-F656-4A3F-A562-50BE40B36976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5A68749C-2F96-4ABB-8DB1-68BABD32F5D1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91E3FF7B-1560-4EDD-9A40-A0DF36D66136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4385A539-9E59-46C1-84E0-3D84B8D012E5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1D0F947C-2EF6-4EBD-A1B0-6AB2C7854618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723" cy="309344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22FEE8BC-AC6E-4F7D-8C17-E22EFAADC084}"/>
            </a:ext>
          </a:extLst>
        </xdr:cNvPr>
        <xdr:cNvSpPr txBox="1"/>
      </xdr:nvSpPr>
      <xdr:spPr>
        <a:xfrm>
          <a:off x="1680253" y="860707"/>
          <a:ext cx="24173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B2A272C0-89D0-4463-A214-A875A5F39580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8B8D989C-0656-4EB1-8D53-EDE23B475D76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9" cy="309344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68DBC3A1-693E-4C1B-9E13-1CE527E31D2E}"/>
            </a:ext>
          </a:extLst>
        </xdr:cNvPr>
        <xdr:cNvSpPr txBox="1"/>
      </xdr:nvSpPr>
      <xdr:spPr>
        <a:xfrm>
          <a:off x="1680253" y="860707"/>
          <a:ext cx="241956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30EE1153-5878-4595-A544-C473B9934593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602" cy="309344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8055B5-5051-4726-A7D0-7B9466889259}"/>
            </a:ext>
          </a:extLst>
        </xdr:cNvPr>
        <xdr:cNvSpPr txBox="1"/>
      </xdr:nvSpPr>
      <xdr:spPr>
        <a:xfrm>
          <a:off x="1680253" y="860707"/>
          <a:ext cx="23503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F1E5192C-F7FB-46BD-9ED2-17C58EC4E0BD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E9FF3FA3-C299-4545-9E1B-AE34EA07857D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36184</xdr:rowOff>
    </xdr:from>
    <xdr:ext cx="245174" cy="278343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81F6F97F-1A24-4EE6-95C7-DA5A1600E4A3}"/>
            </a:ext>
          </a:extLst>
        </xdr:cNvPr>
        <xdr:cNvSpPr txBox="1"/>
      </xdr:nvSpPr>
      <xdr:spPr>
        <a:xfrm>
          <a:off x="1680253" y="894269"/>
          <a:ext cx="242178" cy="296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DC3B7B38-0F51-44B6-A9EC-9B73FD108FE0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4CEF6B56-B92E-4A11-BD96-A788F3721618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7BF5F6B0-89E2-42E6-91DA-DAB20FBAC470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25E2F6D4-2FD3-4E1D-A35C-931C13212AA7}"/>
            </a:ext>
          </a:extLst>
        </xdr:cNvPr>
        <xdr:cNvSpPr txBox="1"/>
      </xdr:nvSpPr>
      <xdr:spPr>
        <a:xfrm>
          <a:off x="1680253" y="860707"/>
          <a:ext cx="241954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EFD80A46-6CDC-4C55-89F4-5BE28C988550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7B66D0D1-0589-49EC-AC3B-08AFC63E95BA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1414054E-52DF-433C-8023-77A20F4EF166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B4FEC527-F8A3-499D-8EF5-87CAD7F0FE2E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AAB19626-2EFE-47A4-87DB-C5A5F41C816A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58B5976C-3676-4704-89CE-30F279BAF310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C5309505-C77E-48C2-804D-B441190295AB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4FEC1EAE-7709-46CF-A153-C96128F9CA0C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2FBA4A24-0A3F-47D9-9B99-22BA319AC447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82230A23-71EC-4A3F-B400-23E2BD82EA6C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E17D02F7-E19A-49A5-98B2-0E45D42F7C94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4947" cy="309344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032F3AC4-C81E-4343-ABB6-15F5CD1A2DB9}"/>
            </a:ext>
          </a:extLst>
        </xdr:cNvPr>
        <xdr:cNvSpPr txBox="1"/>
      </xdr:nvSpPr>
      <xdr:spPr>
        <a:xfrm>
          <a:off x="1680253" y="860707"/>
          <a:ext cx="241954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B06D7BA1-FD42-4AA4-8609-A26AA5E523DE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6DF1C49-1A86-4207-B8FB-1F9C449BEAEC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45174" cy="309344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5CF93F6F-18A7-4531-95E3-FA533DB809D7}"/>
            </a:ext>
          </a:extLst>
        </xdr:cNvPr>
        <xdr:cNvSpPr txBox="1"/>
      </xdr:nvSpPr>
      <xdr:spPr>
        <a:xfrm>
          <a:off x="1680253" y="860707"/>
          <a:ext cx="242178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4B12F4F4-EF00-4942-A685-B0A7318ACD2B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4527</xdr:rowOff>
    </xdr:from>
    <xdr:ext cx="237572" cy="309344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DC25B341-F0EA-4128-ACBA-0B74CD984211}"/>
            </a:ext>
          </a:extLst>
        </xdr:cNvPr>
        <xdr:cNvSpPr txBox="1"/>
      </xdr:nvSpPr>
      <xdr:spPr>
        <a:xfrm>
          <a:off x="1680253" y="860707"/>
          <a:ext cx="235253" cy="332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28A8EE71-8ECC-4D21-A0B1-DA6B22C57965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</xdr:col>
      <xdr:colOff>0</xdr:colOff>
      <xdr:row>4</xdr:row>
      <xdr:rowOff>39534</xdr:rowOff>
    </xdr:from>
    <xdr:ext cx="218033" cy="274645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7647E8A3-7F27-4111-8FD9-47547D422012}"/>
            </a:ext>
          </a:extLst>
        </xdr:cNvPr>
        <xdr:cNvSpPr txBox="1"/>
      </xdr:nvSpPr>
      <xdr:spPr>
        <a:xfrm>
          <a:off x="1680253" y="897619"/>
          <a:ext cx="214188" cy="292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twoCellAnchor>
    <xdr:from>
      <xdr:col>0</xdr:col>
      <xdr:colOff>50800</xdr:colOff>
      <xdr:row>0</xdr:row>
      <xdr:rowOff>50800</xdr:rowOff>
    </xdr:from>
    <xdr:to>
      <xdr:col>1</xdr:col>
      <xdr:colOff>566497</xdr:colOff>
      <xdr:row>1</xdr:row>
      <xdr:rowOff>112376</xdr:rowOff>
    </xdr:to>
    <xdr:sp macro="" textlink="">
      <xdr:nvSpPr>
        <xdr:cNvPr id="1364" name="Rounded Rectangle 1363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FD45C5-99C0-91BB-4D6E-6578ADA2DFFB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106680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9548E-AE44-B0B0-21E7-9C6301ED5B65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312420</xdr:colOff>
      <xdr:row>2</xdr:row>
      <xdr:rowOff>45720</xdr:rowOff>
    </xdr:from>
    <xdr:to>
      <xdr:col>35</xdr:col>
      <xdr:colOff>342900</xdr:colOff>
      <xdr:row>16</xdr:row>
      <xdr:rowOff>144780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8DAD3B4-2A7B-49B8-A71B-B3BBBC4D7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464820</xdr:colOff>
      <xdr:row>20</xdr:row>
      <xdr:rowOff>91440</xdr:rowOff>
    </xdr:from>
    <xdr:to>
      <xdr:col>43</xdr:col>
      <xdr:colOff>518160</xdr:colOff>
      <xdr:row>59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CBB23-1B27-4A03-8B5E-C981E8FB1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495306</xdr:colOff>
      <xdr:row>22</xdr:row>
      <xdr:rowOff>22860</xdr:rowOff>
    </xdr:from>
    <xdr:to>
      <xdr:col>9</xdr:col>
      <xdr:colOff>396246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412036-DB4C-4492-9042-AAE340796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129540</xdr:rowOff>
    </xdr:to>
    <xdr:sp macro="" textlink="">
      <xdr:nvSpPr>
        <xdr:cNvPr id="6" name="Rounded Rectangle 5_ContentButto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139F3C-FD0C-3B88-16F5-7842D08B59AC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0</xdr:col>
      <xdr:colOff>812800</xdr:colOff>
      <xdr:row>1</xdr:row>
      <xdr:rowOff>96253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FDCC5-8974-2EF1-C078-651CB69EC271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45720</xdr:colOff>
      <xdr:row>46</xdr:row>
      <xdr:rowOff>190500</xdr:rowOff>
    </xdr:from>
    <xdr:to>
      <xdr:col>60</xdr:col>
      <xdr:colOff>899160</xdr:colOff>
      <xdr:row>55</xdr:row>
      <xdr:rowOff>198120</xdr:rowOff>
    </xdr:to>
    <xdr:graphicFrame macro="">
      <xdr:nvGraphicFramePr>
        <xdr:cNvPr id="7660324" name="Chart 1">
          <a:extLst>
            <a:ext uri="{FF2B5EF4-FFF2-40B4-BE49-F238E27FC236}">
              <a16:creationId xmlns:a16="http://schemas.microsoft.com/office/drawing/2014/main" id="{15299BF3-5C00-4AFA-A650-9BB90BF7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572604</xdr:colOff>
      <xdr:row>1</xdr:row>
      <xdr:rowOff>114300</xdr:rowOff>
    </xdr:to>
    <xdr:sp macro="" textlink="">
      <xdr:nvSpPr>
        <xdr:cNvPr id="3" name="Rounded Rectangle 2_ContentButt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A1F701-2862-8056-2FD8-C9439706591F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203200</xdr:colOff>
      <xdr:row>1</xdr:row>
      <xdr:rowOff>114300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7D706-D620-CB44-7B7E-BC4ED4535304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83820</xdr:colOff>
      <xdr:row>38</xdr:row>
      <xdr:rowOff>171450</xdr:rowOff>
    </xdr:from>
    <xdr:to>
      <xdr:col>23</xdr:col>
      <xdr:colOff>518160</xdr:colOff>
      <xdr:row>55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439931-5EC9-0EB0-376E-03A5753B1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0</xdr:row>
      <xdr:rowOff>50800</xdr:rowOff>
    </xdr:from>
    <xdr:to>
      <xdr:col>1</xdr:col>
      <xdr:colOff>264160</xdr:colOff>
      <xdr:row>1</xdr:row>
      <xdr:rowOff>121920</xdr:rowOff>
    </xdr:to>
    <xdr:sp macro="" textlink="">
      <xdr:nvSpPr>
        <xdr:cNvPr id="3" name="Rounded Rectangle 2_ContentButt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0A5C95-B593-2B1C-9015-5DFE647ABBF2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50800</xdr:rowOff>
    </xdr:from>
    <xdr:to>
      <xdr:col>1</xdr:col>
      <xdr:colOff>187960</xdr:colOff>
      <xdr:row>1</xdr:row>
      <xdr:rowOff>137160</xdr:rowOff>
    </xdr:to>
    <xdr:sp macro="" textlink="">
      <xdr:nvSpPr>
        <xdr:cNvPr id="3" name="Rounded Rectangle 2_ContentButt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925103-D86F-EC0C-A0DC-41F390A46C11}"/>
            </a:ext>
          </a:extLst>
        </xdr:cNvPr>
        <xdr:cNvSpPr/>
      </xdr:nvSpPr>
      <xdr:spPr bwMode="auto">
        <a:xfrm>
          <a:off x="50800" y="50800"/>
          <a:ext cx="762000" cy="254000"/>
        </a:xfrm>
        <a:prstGeom prst="roundRect">
          <a:avLst/>
        </a:prstGeom>
        <a:solidFill>
          <a:srgbClr val="80808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  <xdr:txBody>
        <a:bodyPr vertOverflow="clip" wrap="square" lIns="18288" tIns="0" rIns="0" bIns="0" rtlCol="0" anchor="ctr" anchorCtr="1" upright="1"/>
        <a:lstStyle/>
        <a:p>
          <a:pPr algn="l"/>
          <a:r>
            <a:rPr lang="en-IN" sz="1000" b="1" kern="1200">
              <a:solidFill>
                <a:srgbClr val="FFFFFF"/>
              </a:solidFill>
            </a:rPr>
            <a:t>TOC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urrent%20FY%202020%20Onwards/Finance/MIS/P&amp;L/2025-26/8.Nov%2025/8.%20MIS%20Nov%2025.xlsx" TargetMode="External"/><Relationship Id="rId2" Type="http://schemas.openxmlformats.org/officeDocument/2006/relationships/externalLinkPath" Target="file:///E:\Current%20FY%202020%20Onwards\Finance\MIS\P&amp;L\2025-26\8.Nov%2025\8.%20MIS%20Nov%2025.xlsx" TargetMode="External"/><Relationship Id="rId1" Type="http://schemas.openxmlformats.org/officeDocument/2006/relationships/externalLinkPath" Target="/Current%20FY%202020%20Onwards/Finance/MIS/P&amp;L/2025-26/8.Nov%2025/8.%20MIS%20Nov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urrent%20FY%202020%20Onwards/Finance/MIS/P&amp;L/2026-27/1.Apr/I%20%20Sales_Pur_Exps-Apr.%2026.xlsx" TargetMode="External"/><Relationship Id="rId2" Type="http://schemas.openxmlformats.org/officeDocument/2006/relationships/externalLinkPath" Target="file:///E:\Current%20FY%202020%20Onwards\Finance\MIS\P&amp;L\2026-27\1.Apr\I%20%20Sales_Pur_Exps-Apr.%2026.xlsx" TargetMode="External"/><Relationship Id="rId1" Type="http://schemas.openxmlformats.org/officeDocument/2006/relationships/externalLinkPath" Target="/Current%20FY%202020%20Onwards/Finance/MIS/P&amp;L/2026-27/1.Apr/I%20%20Sales_Pur_Exps-Apr.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of Contents"/>
      <sheetName val="Reconcile(HMT)"/>
      <sheetName val=" Qty Analysis"/>
      <sheetName val="Inventory Sales"/>
      <sheetName val="Stock Valuation (FIFO)"/>
      <sheetName val="Direct Expns"/>
      <sheetName val="Indirect Expns"/>
      <sheetName val="PAL I"/>
      <sheetName val="Trading PL"/>
      <sheetName val="PAL II"/>
      <sheetName val="MTY"/>
      <sheetName val="Purchase"/>
      <sheetName val="CONSUMPTION"/>
      <sheetName val="Fin Analysis"/>
      <sheetName val="P&amp;L"/>
      <sheetName val="Balance Sheet"/>
      <sheetName val="Cash Flow"/>
      <sheetName val="Funds Flow"/>
      <sheetName val="KPI's"/>
      <sheetName val="Abt Ratios"/>
      <sheetName val="Costing"/>
      <sheetName val="Sircilla"/>
      <sheetName val="Ins &amp;  Disp Costing"/>
      <sheetName val="Sale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urchase"/>
      <sheetName val="Direct Expns"/>
      <sheetName val="Indirect Expns"/>
      <sheetName val="Inventory Sales"/>
      <sheetName val="Stock Valuation (FIFO)"/>
      <sheetName val="Srvaya"/>
    </sheetNames>
    <sheetDataSet>
      <sheetData sheetId="0">
        <row r="22">
          <cell r="I22">
            <v>22533</v>
          </cell>
        </row>
      </sheetData>
      <sheetData sheetId="1"/>
      <sheetData sheetId="2">
        <row r="3">
          <cell r="B3">
            <v>435924</v>
          </cell>
        </row>
        <row r="42">
          <cell r="M42"/>
        </row>
        <row r="43">
          <cell r="M43"/>
        </row>
        <row r="46">
          <cell r="M46"/>
        </row>
        <row r="50">
          <cell r="M50"/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</sheetData>
      <sheetData sheetId="3">
        <row r="11">
          <cell r="B11">
            <v>95994</v>
          </cell>
          <cell r="E11">
            <v>0</v>
          </cell>
          <cell r="H11">
            <v>0</v>
          </cell>
          <cell r="K11">
            <v>0</v>
          </cell>
          <cell r="N11">
            <v>0</v>
          </cell>
          <cell r="Q11">
            <v>0</v>
          </cell>
          <cell r="T11">
            <v>0</v>
          </cell>
          <cell r="W11">
            <v>0</v>
          </cell>
          <cell r="Z11">
            <v>0</v>
          </cell>
          <cell r="AC11">
            <v>0</v>
          </cell>
          <cell r="AF11">
            <v>0</v>
          </cell>
          <cell r="AI11">
            <v>0</v>
          </cell>
        </row>
      </sheetData>
      <sheetData sheetId="4"/>
      <sheetData sheetId="5">
        <row r="29">
          <cell r="B29">
            <v>5222</v>
          </cell>
          <cell r="C29">
            <v>1458702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showGridLines="0" workbookViewId="0">
      <selection activeCell="Q23" sqref="Q23"/>
    </sheetView>
  </sheetViews>
  <sheetFormatPr defaultRowHeight="13.2" x14ac:dyDescent="0.25"/>
  <cols>
    <col min="1" max="1" width="4.6640625" customWidth="1"/>
  </cols>
  <sheetData>
    <row r="2" spans="2:17" ht="16.8" x14ac:dyDescent="0.3">
      <c r="B2" s="1511" t="s">
        <v>535</v>
      </c>
    </row>
    <row r="3" spans="2:17" x14ac:dyDescent="0.25">
      <c r="Q3" s="980" t="s">
        <v>565</v>
      </c>
    </row>
    <row r="4" spans="2:17" x14ac:dyDescent="0.25">
      <c r="Q4" s="980" t="s">
        <v>566</v>
      </c>
    </row>
    <row r="5" spans="2:17" x14ac:dyDescent="0.25">
      <c r="Q5" s="980" t="s">
        <v>568</v>
      </c>
    </row>
    <row r="6" spans="2:17" x14ac:dyDescent="0.25">
      <c r="Q6" s="980" t="s">
        <v>567</v>
      </c>
    </row>
    <row r="7" spans="2:17" x14ac:dyDescent="0.25">
      <c r="Q7" s="980" t="s">
        <v>569</v>
      </c>
    </row>
    <row r="8" spans="2:17" x14ac:dyDescent="0.25">
      <c r="Q8" s="980" t="s">
        <v>570</v>
      </c>
    </row>
    <row r="9" spans="2:17" x14ac:dyDescent="0.25">
      <c r="Q9" s="980" t="s">
        <v>571</v>
      </c>
    </row>
    <row r="10" spans="2:17" x14ac:dyDescent="0.25">
      <c r="Q10" s="980" t="s">
        <v>572</v>
      </c>
    </row>
    <row r="11" spans="2:17" x14ac:dyDescent="0.25">
      <c r="Q11" s="980" t="s">
        <v>573</v>
      </c>
    </row>
    <row r="12" spans="2:17" x14ac:dyDescent="0.25">
      <c r="Q12" s="980" t="s">
        <v>574</v>
      </c>
    </row>
    <row r="13" spans="2:17" x14ac:dyDescent="0.25">
      <c r="Q13" s="980" t="s">
        <v>575</v>
      </c>
    </row>
    <row r="14" spans="2:17" x14ac:dyDescent="0.25">
      <c r="Q14" s="980" t="s">
        <v>576</v>
      </c>
    </row>
    <row r="15" spans="2:17" x14ac:dyDescent="0.25">
      <c r="Q15" s="980" t="s">
        <v>577</v>
      </c>
    </row>
    <row r="16" spans="2:17" x14ac:dyDescent="0.25">
      <c r="Q16" s="980" t="s">
        <v>578</v>
      </c>
    </row>
    <row r="17" spans="17:17" x14ac:dyDescent="0.25">
      <c r="Q17" s="980" t="s">
        <v>579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M11" sqref="AM11:AM16"/>
    </sheetView>
  </sheetViews>
  <sheetFormatPr defaultRowHeight="13.2" x14ac:dyDescent="0.25"/>
  <cols>
    <col min="1" max="1" width="13.6640625" customWidth="1"/>
    <col min="2" max="2" width="9.88671875" bestFit="1" customWidth="1"/>
    <col min="3" max="3" width="11.109375" bestFit="1" customWidth="1"/>
    <col min="4" max="4" width="10" bestFit="1" customWidth="1"/>
    <col min="5" max="6" width="9.33203125" customWidth="1"/>
    <col min="7" max="7" width="4.88671875" bestFit="1" customWidth="1"/>
    <col min="8" max="8" width="9.33203125" customWidth="1"/>
    <col min="9" max="9" width="10.5546875" bestFit="1" customWidth="1"/>
    <col min="10" max="10" width="6.33203125" bestFit="1" customWidth="1"/>
    <col min="11" max="11" width="9.6640625" bestFit="1" customWidth="1"/>
    <col min="12" max="12" width="9.33203125" customWidth="1"/>
    <col min="13" max="13" width="10" bestFit="1" customWidth="1"/>
    <col min="14" max="15" width="9.33203125" customWidth="1"/>
    <col min="16" max="16" width="10" bestFit="1" customWidth="1"/>
    <col min="17" max="17" width="9.6640625" bestFit="1" customWidth="1"/>
    <col min="18" max="18" width="9.33203125" customWidth="1"/>
    <col min="19" max="19" width="9.109375" bestFit="1" customWidth="1"/>
    <col min="20" max="21" width="9.33203125" customWidth="1"/>
    <col min="22" max="22" width="8.6640625" bestFit="1" customWidth="1"/>
    <col min="23" max="24" width="9.33203125" customWidth="1"/>
    <col min="25" max="25" width="7" bestFit="1" customWidth="1"/>
    <col min="26" max="27" width="9.33203125" customWidth="1"/>
    <col min="28" max="28" width="4.6640625" bestFit="1" customWidth="1"/>
    <col min="29" max="29" width="9.33203125" customWidth="1"/>
    <col min="30" max="30" width="10.33203125" bestFit="1" customWidth="1"/>
    <col min="31" max="31" width="4.6640625" bestFit="1" customWidth="1"/>
    <col min="32" max="33" width="9.33203125" customWidth="1"/>
    <col min="34" max="34" width="4.6640625" bestFit="1" customWidth="1"/>
    <col min="35" max="36" width="9.33203125" customWidth="1"/>
    <col min="37" max="37" width="4.6640625" bestFit="1" customWidth="1"/>
    <col min="38" max="39" width="9.33203125" customWidth="1"/>
    <col min="40" max="40" width="8.6640625" bestFit="1" customWidth="1"/>
    <col min="41" max="41" width="10.5546875" bestFit="1" customWidth="1"/>
    <col min="43" max="43" width="10.5546875" bestFit="1" customWidth="1"/>
    <col min="46" max="46" width="10.33203125" bestFit="1" customWidth="1"/>
    <col min="47" max="47" width="9.33203125" bestFit="1" customWidth="1"/>
    <col min="48" max="48" width="10.33203125" bestFit="1" customWidth="1"/>
    <col min="257" max="257" width="13.6640625" customWidth="1"/>
    <col min="258" max="259" width="9.88671875" bestFit="1" customWidth="1"/>
    <col min="260" max="260" width="10" bestFit="1" customWidth="1"/>
    <col min="261" max="262" width="9.33203125" customWidth="1"/>
    <col min="263" max="263" width="4" bestFit="1" customWidth="1"/>
    <col min="264" max="265" width="9.33203125" customWidth="1"/>
    <col min="266" max="266" width="4.6640625" bestFit="1" customWidth="1"/>
    <col min="267" max="268" width="9.33203125" customWidth="1"/>
    <col min="269" max="269" width="10" bestFit="1" customWidth="1"/>
    <col min="270" max="271" width="9.33203125" customWidth="1"/>
    <col min="272" max="272" width="10" bestFit="1" customWidth="1"/>
    <col min="273" max="274" width="9.33203125" customWidth="1"/>
    <col min="275" max="275" width="4.6640625" bestFit="1" customWidth="1"/>
    <col min="276" max="277" width="9.33203125" customWidth="1"/>
    <col min="278" max="278" width="8.6640625" bestFit="1" customWidth="1"/>
    <col min="279" max="280" width="9.33203125" customWidth="1"/>
    <col min="281" max="281" width="7" bestFit="1" customWidth="1"/>
    <col min="282" max="283" width="9.33203125" customWidth="1"/>
    <col min="284" max="284" width="4.6640625" bestFit="1" customWidth="1"/>
    <col min="285" max="285" width="9.33203125" customWidth="1"/>
    <col min="286" max="286" width="10.33203125" bestFit="1" customWidth="1"/>
    <col min="287" max="287" width="9.109375" bestFit="1" customWidth="1"/>
    <col min="288" max="289" width="9.33203125" customWidth="1"/>
    <col min="290" max="290" width="4.6640625" bestFit="1" customWidth="1"/>
    <col min="291" max="292" width="9.33203125" customWidth="1"/>
    <col min="293" max="293" width="4.6640625" bestFit="1" customWidth="1"/>
    <col min="294" max="295" width="9.33203125" customWidth="1"/>
    <col min="296" max="296" width="4" bestFit="1" customWidth="1"/>
    <col min="297" max="297" width="10.5546875" bestFit="1" customWidth="1"/>
    <col min="299" max="299" width="10.5546875" bestFit="1" customWidth="1"/>
    <col min="302" max="302" width="10.33203125" bestFit="1" customWidth="1"/>
    <col min="303" max="303" width="9.33203125" bestFit="1" customWidth="1"/>
    <col min="304" max="304" width="10.33203125" bestFit="1" customWidth="1"/>
    <col min="513" max="513" width="13.6640625" customWidth="1"/>
    <col min="514" max="515" width="9.88671875" bestFit="1" customWidth="1"/>
    <col min="516" max="516" width="10" bestFit="1" customWidth="1"/>
    <col min="517" max="518" width="9.33203125" customWidth="1"/>
    <col min="519" max="519" width="4" bestFit="1" customWidth="1"/>
    <col min="520" max="521" width="9.33203125" customWidth="1"/>
    <col min="522" max="522" width="4.6640625" bestFit="1" customWidth="1"/>
    <col min="523" max="524" width="9.33203125" customWidth="1"/>
    <col min="525" max="525" width="10" bestFit="1" customWidth="1"/>
    <col min="526" max="527" width="9.33203125" customWidth="1"/>
    <col min="528" max="528" width="10" bestFit="1" customWidth="1"/>
    <col min="529" max="530" width="9.33203125" customWidth="1"/>
    <col min="531" max="531" width="4.6640625" bestFit="1" customWidth="1"/>
    <col min="532" max="533" width="9.33203125" customWidth="1"/>
    <col min="534" max="534" width="8.6640625" bestFit="1" customWidth="1"/>
    <col min="535" max="536" width="9.33203125" customWidth="1"/>
    <col min="537" max="537" width="7" bestFit="1" customWidth="1"/>
    <col min="538" max="539" width="9.33203125" customWidth="1"/>
    <col min="540" max="540" width="4.6640625" bestFit="1" customWidth="1"/>
    <col min="541" max="541" width="9.33203125" customWidth="1"/>
    <col min="542" max="542" width="10.33203125" bestFit="1" customWidth="1"/>
    <col min="543" max="543" width="9.109375" bestFit="1" customWidth="1"/>
    <col min="544" max="545" width="9.33203125" customWidth="1"/>
    <col min="546" max="546" width="4.6640625" bestFit="1" customWidth="1"/>
    <col min="547" max="548" width="9.33203125" customWidth="1"/>
    <col min="549" max="549" width="4.6640625" bestFit="1" customWidth="1"/>
    <col min="550" max="551" width="9.33203125" customWidth="1"/>
    <col min="552" max="552" width="4" bestFit="1" customWidth="1"/>
    <col min="553" max="553" width="10.5546875" bestFit="1" customWidth="1"/>
    <col min="555" max="555" width="10.5546875" bestFit="1" customWidth="1"/>
    <col min="558" max="558" width="10.33203125" bestFit="1" customWidth="1"/>
    <col min="559" max="559" width="9.33203125" bestFit="1" customWidth="1"/>
    <col min="560" max="560" width="10.33203125" bestFit="1" customWidth="1"/>
    <col min="769" max="769" width="13.6640625" customWidth="1"/>
    <col min="770" max="771" width="9.88671875" bestFit="1" customWidth="1"/>
    <col min="772" max="772" width="10" bestFit="1" customWidth="1"/>
    <col min="773" max="774" width="9.33203125" customWidth="1"/>
    <col min="775" max="775" width="4" bestFit="1" customWidth="1"/>
    <col min="776" max="777" width="9.33203125" customWidth="1"/>
    <col min="778" max="778" width="4.6640625" bestFit="1" customWidth="1"/>
    <col min="779" max="780" width="9.33203125" customWidth="1"/>
    <col min="781" max="781" width="10" bestFit="1" customWidth="1"/>
    <col min="782" max="783" width="9.33203125" customWidth="1"/>
    <col min="784" max="784" width="10" bestFit="1" customWidth="1"/>
    <col min="785" max="786" width="9.33203125" customWidth="1"/>
    <col min="787" max="787" width="4.6640625" bestFit="1" customWidth="1"/>
    <col min="788" max="789" width="9.33203125" customWidth="1"/>
    <col min="790" max="790" width="8.6640625" bestFit="1" customWidth="1"/>
    <col min="791" max="792" width="9.33203125" customWidth="1"/>
    <col min="793" max="793" width="7" bestFit="1" customWidth="1"/>
    <col min="794" max="795" width="9.33203125" customWidth="1"/>
    <col min="796" max="796" width="4.6640625" bestFit="1" customWidth="1"/>
    <col min="797" max="797" width="9.33203125" customWidth="1"/>
    <col min="798" max="798" width="10.33203125" bestFit="1" customWidth="1"/>
    <col min="799" max="799" width="9.109375" bestFit="1" customWidth="1"/>
    <col min="800" max="801" width="9.33203125" customWidth="1"/>
    <col min="802" max="802" width="4.6640625" bestFit="1" customWidth="1"/>
    <col min="803" max="804" width="9.33203125" customWidth="1"/>
    <col min="805" max="805" width="4.6640625" bestFit="1" customWidth="1"/>
    <col min="806" max="807" width="9.33203125" customWidth="1"/>
    <col min="808" max="808" width="4" bestFit="1" customWidth="1"/>
    <col min="809" max="809" width="10.5546875" bestFit="1" customWidth="1"/>
    <col min="811" max="811" width="10.5546875" bestFit="1" customWidth="1"/>
    <col min="814" max="814" width="10.33203125" bestFit="1" customWidth="1"/>
    <col min="815" max="815" width="9.33203125" bestFit="1" customWidth="1"/>
    <col min="816" max="816" width="10.33203125" bestFit="1" customWidth="1"/>
    <col min="1025" max="1025" width="13.6640625" customWidth="1"/>
    <col min="1026" max="1027" width="9.88671875" bestFit="1" customWidth="1"/>
    <col min="1028" max="1028" width="10" bestFit="1" customWidth="1"/>
    <col min="1029" max="1030" width="9.33203125" customWidth="1"/>
    <col min="1031" max="1031" width="4" bestFit="1" customWidth="1"/>
    <col min="1032" max="1033" width="9.33203125" customWidth="1"/>
    <col min="1034" max="1034" width="4.6640625" bestFit="1" customWidth="1"/>
    <col min="1035" max="1036" width="9.33203125" customWidth="1"/>
    <col min="1037" max="1037" width="10" bestFit="1" customWidth="1"/>
    <col min="1038" max="1039" width="9.33203125" customWidth="1"/>
    <col min="1040" max="1040" width="10" bestFit="1" customWidth="1"/>
    <col min="1041" max="1042" width="9.33203125" customWidth="1"/>
    <col min="1043" max="1043" width="4.6640625" bestFit="1" customWidth="1"/>
    <col min="1044" max="1045" width="9.33203125" customWidth="1"/>
    <col min="1046" max="1046" width="8.6640625" bestFit="1" customWidth="1"/>
    <col min="1047" max="1048" width="9.33203125" customWidth="1"/>
    <col min="1049" max="1049" width="7" bestFit="1" customWidth="1"/>
    <col min="1050" max="1051" width="9.33203125" customWidth="1"/>
    <col min="1052" max="1052" width="4.6640625" bestFit="1" customWidth="1"/>
    <col min="1053" max="1053" width="9.33203125" customWidth="1"/>
    <col min="1054" max="1054" width="10.33203125" bestFit="1" customWidth="1"/>
    <col min="1055" max="1055" width="9.109375" bestFit="1" customWidth="1"/>
    <col min="1056" max="1057" width="9.33203125" customWidth="1"/>
    <col min="1058" max="1058" width="4.6640625" bestFit="1" customWidth="1"/>
    <col min="1059" max="1060" width="9.33203125" customWidth="1"/>
    <col min="1061" max="1061" width="4.6640625" bestFit="1" customWidth="1"/>
    <col min="1062" max="1063" width="9.33203125" customWidth="1"/>
    <col min="1064" max="1064" width="4" bestFit="1" customWidth="1"/>
    <col min="1065" max="1065" width="10.5546875" bestFit="1" customWidth="1"/>
    <col min="1067" max="1067" width="10.5546875" bestFit="1" customWidth="1"/>
    <col min="1070" max="1070" width="10.33203125" bestFit="1" customWidth="1"/>
    <col min="1071" max="1071" width="9.33203125" bestFit="1" customWidth="1"/>
    <col min="1072" max="1072" width="10.33203125" bestFit="1" customWidth="1"/>
    <col min="1281" max="1281" width="13.6640625" customWidth="1"/>
    <col min="1282" max="1283" width="9.88671875" bestFit="1" customWidth="1"/>
    <col min="1284" max="1284" width="10" bestFit="1" customWidth="1"/>
    <col min="1285" max="1286" width="9.33203125" customWidth="1"/>
    <col min="1287" max="1287" width="4" bestFit="1" customWidth="1"/>
    <col min="1288" max="1289" width="9.33203125" customWidth="1"/>
    <col min="1290" max="1290" width="4.6640625" bestFit="1" customWidth="1"/>
    <col min="1291" max="1292" width="9.33203125" customWidth="1"/>
    <col min="1293" max="1293" width="10" bestFit="1" customWidth="1"/>
    <col min="1294" max="1295" width="9.33203125" customWidth="1"/>
    <col min="1296" max="1296" width="10" bestFit="1" customWidth="1"/>
    <col min="1297" max="1298" width="9.33203125" customWidth="1"/>
    <col min="1299" max="1299" width="4.6640625" bestFit="1" customWidth="1"/>
    <col min="1300" max="1301" width="9.33203125" customWidth="1"/>
    <col min="1302" max="1302" width="8.6640625" bestFit="1" customWidth="1"/>
    <col min="1303" max="1304" width="9.33203125" customWidth="1"/>
    <col min="1305" max="1305" width="7" bestFit="1" customWidth="1"/>
    <col min="1306" max="1307" width="9.33203125" customWidth="1"/>
    <col min="1308" max="1308" width="4.6640625" bestFit="1" customWidth="1"/>
    <col min="1309" max="1309" width="9.33203125" customWidth="1"/>
    <col min="1310" max="1310" width="10.33203125" bestFit="1" customWidth="1"/>
    <col min="1311" max="1311" width="9.109375" bestFit="1" customWidth="1"/>
    <col min="1312" max="1313" width="9.33203125" customWidth="1"/>
    <col min="1314" max="1314" width="4.6640625" bestFit="1" customWidth="1"/>
    <col min="1315" max="1316" width="9.33203125" customWidth="1"/>
    <col min="1317" max="1317" width="4.6640625" bestFit="1" customWidth="1"/>
    <col min="1318" max="1319" width="9.33203125" customWidth="1"/>
    <col min="1320" max="1320" width="4" bestFit="1" customWidth="1"/>
    <col min="1321" max="1321" width="10.5546875" bestFit="1" customWidth="1"/>
    <col min="1323" max="1323" width="10.5546875" bestFit="1" customWidth="1"/>
    <col min="1326" max="1326" width="10.33203125" bestFit="1" customWidth="1"/>
    <col min="1327" max="1327" width="9.33203125" bestFit="1" customWidth="1"/>
    <col min="1328" max="1328" width="10.33203125" bestFit="1" customWidth="1"/>
    <col min="1537" max="1537" width="13.6640625" customWidth="1"/>
    <col min="1538" max="1539" width="9.88671875" bestFit="1" customWidth="1"/>
    <col min="1540" max="1540" width="10" bestFit="1" customWidth="1"/>
    <col min="1541" max="1542" width="9.33203125" customWidth="1"/>
    <col min="1543" max="1543" width="4" bestFit="1" customWidth="1"/>
    <col min="1544" max="1545" width="9.33203125" customWidth="1"/>
    <col min="1546" max="1546" width="4.6640625" bestFit="1" customWidth="1"/>
    <col min="1547" max="1548" width="9.33203125" customWidth="1"/>
    <col min="1549" max="1549" width="10" bestFit="1" customWidth="1"/>
    <col min="1550" max="1551" width="9.33203125" customWidth="1"/>
    <col min="1552" max="1552" width="10" bestFit="1" customWidth="1"/>
    <col min="1553" max="1554" width="9.33203125" customWidth="1"/>
    <col min="1555" max="1555" width="4.6640625" bestFit="1" customWidth="1"/>
    <col min="1556" max="1557" width="9.33203125" customWidth="1"/>
    <col min="1558" max="1558" width="8.6640625" bestFit="1" customWidth="1"/>
    <col min="1559" max="1560" width="9.33203125" customWidth="1"/>
    <col min="1561" max="1561" width="7" bestFit="1" customWidth="1"/>
    <col min="1562" max="1563" width="9.33203125" customWidth="1"/>
    <col min="1564" max="1564" width="4.6640625" bestFit="1" customWidth="1"/>
    <col min="1565" max="1565" width="9.33203125" customWidth="1"/>
    <col min="1566" max="1566" width="10.33203125" bestFit="1" customWidth="1"/>
    <col min="1567" max="1567" width="9.109375" bestFit="1" customWidth="1"/>
    <col min="1568" max="1569" width="9.33203125" customWidth="1"/>
    <col min="1570" max="1570" width="4.6640625" bestFit="1" customWidth="1"/>
    <col min="1571" max="1572" width="9.33203125" customWidth="1"/>
    <col min="1573" max="1573" width="4.6640625" bestFit="1" customWidth="1"/>
    <col min="1574" max="1575" width="9.33203125" customWidth="1"/>
    <col min="1576" max="1576" width="4" bestFit="1" customWidth="1"/>
    <col min="1577" max="1577" width="10.5546875" bestFit="1" customWidth="1"/>
    <col min="1579" max="1579" width="10.5546875" bestFit="1" customWidth="1"/>
    <col min="1582" max="1582" width="10.33203125" bestFit="1" customWidth="1"/>
    <col min="1583" max="1583" width="9.33203125" bestFit="1" customWidth="1"/>
    <col min="1584" max="1584" width="10.33203125" bestFit="1" customWidth="1"/>
    <col min="1793" max="1793" width="13.6640625" customWidth="1"/>
    <col min="1794" max="1795" width="9.88671875" bestFit="1" customWidth="1"/>
    <col min="1796" max="1796" width="10" bestFit="1" customWidth="1"/>
    <col min="1797" max="1798" width="9.33203125" customWidth="1"/>
    <col min="1799" max="1799" width="4" bestFit="1" customWidth="1"/>
    <col min="1800" max="1801" width="9.33203125" customWidth="1"/>
    <col min="1802" max="1802" width="4.6640625" bestFit="1" customWidth="1"/>
    <col min="1803" max="1804" width="9.33203125" customWidth="1"/>
    <col min="1805" max="1805" width="10" bestFit="1" customWidth="1"/>
    <col min="1806" max="1807" width="9.33203125" customWidth="1"/>
    <col min="1808" max="1808" width="10" bestFit="1" customWidth="1"/>
    <col min="1809" max="1810" width="9.33203125" customWidth="1"/>
    <col min="1811" max="1811" width="4.6640625" bestFit="1" customWidth="1"/>
    <col min="1812" max="1813" width="9.33203125" customWidth="1"/>
    <col min="1814" max="1814" width="8.6640625" bestFit="1" customWidth="1"/>
    <col min="1815" max="1816" width="9.33203125" customWidth="1"/>
    <col min="1817" max="1817" width="7" bestFit="1" customWidth="1"/>
    <col min="1818" max="1819" width="9.33203125" customWidth="1"/>
    <col min="1820" max="1820" width="4.6640625" bestFit="1" customWidth="1"/>
    <col min="1821" max="1821" width="9.33203125" customWidth="1"/>
    <col min="1822" max="1822" width="10.33203125" bestFit="1" customWidth="1"/>
    <col min="1823" max="1823" width="9.109375" bestFit="1" customWidth="1"/>
    <col min="1824" max="1825" width="9.33203125" customWidth="1"/>
    <col min="1826" max="1826" width="4.6640625" bestFit="1" customWidth="1"/>
    <col min="1827" max="1828" width="9.33203125" customWidth="1"/>
    <col min="1829" max="1829" width="4.6640625" bestFit="1" customWidth="1"/>
    <col min="1830" max="1831" width="9.33203125" customWidth="1"/>
    <col min="1832" max="1832" width="4" bestFit="1" customWidth="1"/>
    <col min="1833" max="1833" width="10.5546875" bestFit="1" customWidth="1"/>
    <col min="1835" max="1835" width="10.5546875" bestFit="1" customWidth="1"/>
    <col min="1838" max="1838" width="10.33203125" bestFit="1" customWidth="1"/>
    <col min="1839" max="1839" width="9.33203125" bestFit="1" customWidth="1"/>
    <col min="1840" max="1840" width="10.33203125" bestFit="1" customWidth="1"/>
    <col min="2049" max="2049" width="13.6640625" customWidth="1"/>
    <col min="2050" max="2051" width="9.88671875" bestFit="1" customWidth="1"/>
    <col min="2052" max="2052" width="10" bestFit="1" customWidth="1"/>
    <col min="2053" max="2054" width="9.33203125" customWidth="1"/>
    <col min="2055" max="2055" width="4" bestFit="1" customWidth="1"/>
    <col min="2056" max="2057" width="9.33203125" customWidth="1"/>
    <col min="2058" max="2058" width="4.6640625" bestFit="1" customWidth="1"/>
    <col min="2059" max="2060" width="9.33203125" customWidth="1"/>
    <col min="2061" max="2061" width="10" bestFit="1" customWidth="1"/>
    <col min="2062" max="2063" width="9.33203125" customWidth="1"/>
    <col min="2064" max="2064" width="10" bestFit="1" customWidth="1"/>
    <col min="2065" max="2066" width="9.33203125" customWidth="1"/>
    <col min="2067" max="2067" width="4.6640625" bestFit="1" customWidth="1"/>
    <col min="2068" max="2069" width="9.33203125" customWidth="1"/>
    <col min="2070" max="2070" width="8.6640625" bestFit="1" customWidth="1"/>
    <col min="2071" max="2072" width="9.33203125" customWidth="1"/>
    <col min="2073" max="2073" width="7" bestFit="1" customWidth="1"/>
    <col min="2074" max="2075" width="9.33203125" customWidth="1"/>
    <col min="2076" max="2076" width="4.6640625" bestFit="1" customWidth="1"/>
    <col min="2077" max="2077" width="9.33203125" customWidth="1"/>
    <col min="2078" max="2078" width="10.33203125" bestFit="1" customWidth="1"/>
    <col min="2079" max="2079" width="9.109375" bestFit="1" customWidth="1"/>
    <col min="2080" max="2081" width="9.33203125" customWidth="1"/>
    <col min="2082" max="2082" width="4.6640625" bestFit="1" customWidth="1"/>
    <col min="2083" max="2084" width="9.33203125" customWidth="1"/>
    <col min="2085" max="2085" width="4.6640625" bestFit="1" customWidth="1"/>
    <col min="2086" max="2087" width="9.33203125" customWidth="1"/>
    <col min="2088" max="2088" width="4" bestFit="1" customWidth="1"/>
    <col min="2089" max="2089" width="10.5546875" bestFit="1" customWidth="1"/>
    <col min="2091" max="2091" width="10.5546875" bestFit="1" customWidth="1"/>
    <col min="2094" max="2094" width="10.33203125" bestFit="1" customWidth="1"/>
    <col min="2095" max="2095" width="9.33203125" bestFit="1" customWidth="1"/>
    <col min="2096" max="2096" width="10.33203125" bestFit="1" customWidth="1"/>
    <col min="2305" max="2305" width="13.6640625" customWidth="1"/>
    <col min="2306" max="2307" width="9.88671875" bestFit="1" customWidth="1"/>
    <col min="2308" max="2308" width="10" bestFit="1" customWidth="1"/>
    <col min="2309" max="2310" width="9.33203125" customWidth="1"/>
    <col min="2311" max="2311" width="4" bestFit="1" customWidth="1"/>
    <col min="2312" max="2313" width="9.33203125" customWidth="1"/>
    <col min="2314" max="2314" width="4.6640625" bestFit="1" customWidth="1"/>
    <col min="2315" max="2316" width="9.33203125" customWidth="1"/>
    <col min="2317" max="2317" width="10" bestFit="1" customWidth="1"/>
    <col min="2318" max="2319" width="9.33203125" customWidth="1"/>
    <col min="2320" max="2320" width="10" bestFit="1" customWidth="1"/>
    <col min="2321" max="2322" width="9.33203125" customWidth="1"/>
    <col min="2323" max="2323" width="4.6640625" bestFit="1" customWidth="1"/>
    <col min="2324" max="2325" width="9.33203125" customWidth="1"/>
    <col min="2326" max="2326" width="8.6640625" bestFit="1" customWidth="1"/>
    <col min="2327" max="2328" width="9.33203125" customWidth="1"/>
    <col min="2329" max="2329" width="7" bestFit="1" customWidth="1"/>
    <col min="2330" max="2331" width="9.33203125" customWidth="1"/>
    <col min="2332" max="2332" width="4.6640625" bestFit="1" customWidth="1"/>
    <col min="2333" max="2333" width="9.33203125" customWidth="1"/>
    <col min="2334" max="2334" width="10.33203125" bestFit="1" customWidth="1"/>
    <col min="2335" max="2335" width="9.109375" bestFit="1" customWidth="1"/>
    <col min="2336" max="2337" width="9.33203125" customWidth="1"/>
    <col min="2338" max="2338" width="4.6640625" bestFit="1" customWidth="1"/>
    <col min="2339" max="2340" width="9.33203125" customWidth="1"/>
    <col min="2341" max="2341" width="4.6640625" bestFit="1" customWidth="1"/>
    <col min="2342" max="2343" width="9.33203125" customWidth="1"/>
    <col min="2344" max="2344" width="4" bestFit="1" customWidth="1"/>
    <col min="2345" max="2345" width="10.5546875" bestFit="1" customWidth="1"/>
    <col min="2347" max="2347" width="10.5546875" bestFit="1" customWidth="1"/>
    <col min="2350" max="2350" width="10.33203125" bestFit="1" customWidth="1"/>
    <col min="2351" max="2351" width="9.33203125" bestFit="1" customWidth="1"/>
    <col min="2352" max="2352" width="10.33203125" bestFit="1" customWidth="1"/>
    <col min="2561" max="2561" width="13.6640625" customWidth="1"/>
    <col min="2562" max="2563" width="9.88671875" bestFit="1" customWidth="1"/>
    <col min="2564" max="2564" width="10" bestFit="1" customWidth="1"/>
    <col min="2565" max="2566" width="9.33203125" customWidth="1"/>
    <col min="2567" max="2567" width="4" bestFit="1" customWidth="1"/>
    <col min="2568" max="2569" width="9.33203125" customWidth="1"/>
    <col min="2570" max="2570" width="4.6640625" bestFit="1" customWidth="1"/>
    <col min="2571" max="2572" width="9.33203125" customWidth="1"/>
    <col min="2573" max="2573" width="10" bestFit="1" customWidth="1"/>
    <col min="2574" max="2575" width="9.33203125" customWidth="1"/>
    <col min="2576" max="2576" width="10" bestFit="1" customWidth="1"/>
    <col min="2577" max="2578" width="9.33203125" customWidth="1"/>
    <col min="2579" max="2579" width="4.6640625" bestFit="1" customWidth="1"/>
    <col min="2580" max="2581" width="9.33203125" customWidth="1"/>
    <col min="2582" max="2582" width="8.6640625" bestFit="1" customWidth="1"/>
    <col min="2583" max="2584" width="9.33203125" customWidth="1"/>
    <col min="2585" max="2585" width="7" bestFit="1" customWidth="1"/>
    <col min="2586" max="2587" width="9.33203125" customWidth="1"/>
    <col min="2588" max="2588" width="4.6640625" bestFit="1" customWidth="1"/>
    <col min="2589" max="2589" width="9.33203125" customWidth="1"/>
    <col min="2590" max="2590" width="10.33203125" bestFit="1" customWidth="1"/>
    <col min="2591" max="2591" width="9.109375" bestFit="1" customWidth="1"/>
    <col min="2592" max="2593" width="9.33203125" customWidth="1"/>
    <col min="2594" max="2594" width="4.6640625" bestFit="1" customWidth="1"/>
    <col min="2595" max="2596" width="9.33203125" customWidth="1"/>
    <col min="2597" max="2597" width="4.6640625" bestFit="1" customWidth="1"/>
    <col min="2598" max="2599" width="9.33203125" customWidth="1"/>
    <col min="2600" max="2600" width="4" bestFit="1" customWidth="1"/>
    <col min="2601" max="2601" width="10.5546875" bestFit="1" customWidth="1"/>
    <col min="2603" max="2603" width="10.5546875" bestFit="1" customWidth="1"/>
    <col min="2606" max="2606" width="10.33203125" bestFit="1" customWidth="1"/>
    <col min="2607" max="2607" width="9.33203125" bestFit="1" customWidth="1"/>
    <col min="2608" max="2608" width="10.33203125" bestFit="1" customWidth="1"/>
    <col min="2817" max="2817" width="13.6640625" customWidth="1"/>
    <col min="2818" max="2819" width="9.88671875" bestFit="1" customWidth="1"/>
    <col min="2820" max="2820" width="10" bestFit="1" customWidth="1"/>
    <col min="2821" max="2822" width="9.33203125" customWidth="1"/>
    <col min="2823" max="2823" width="4" bestFit="1" customWidth="1"/>
    <col min="2824" max="2825" width="9.33203125" customWidth="1"/>
    <col min="2826" max="2826" width="4.6640625" bestFit="1" customWidth="1"/>
    <col min="2827" max="2828" width="9.33203125" customWidth="1"/>
    <col min="2829" max="2829" width="10" bestFit="1" customWidth="1"/>
    <col min="2830" max="2831" width="9.33203125" customWidth="1"/>
    <col min="2832" max="2832" width="10" bestFit="1" customWidth="1"/>
    <col min="2833" max="2834" width="9.33203125" customWidth="1"/>
    <col min="2835" max="2835" width="4.6640625" bestFit="1" customWidth="1"/>
    <col min="2836" max="2837" width="9.33203125" customWidth="1"/>
    <col min="2838" max="2838" width="8.6640625" bestFit="1" customWidth="1"/>
    <col min="2839" max="2840" width="9.33203125" customWidth="1"/>
    <col min="2841" max="2841" width="7" bestFit="1" customWidth="1"/>
    <col min="2842" max="2843" width="9.33203125" customWidth="1"/>
    <col min="2844" max="2844" width="4.6640625" bestFit="1" customWidth="1"/>
    <col min="2845" max="2845" width="9.33203125" customWidth="1"/>
    <col min="2846" max="2846" width="10.33203125" bestFit="1" customWidth="1"/>
    <col min="2847" max="2847" width="9.109375" bestFit="1" customWidth="1"/>
    <col min="2848" max="2849" width="9.33203125" customWidth="1"/>
    <col min="2850" max="2850" width="4.6640625" bestFit="1" customWidth="1"/>
    <col min="2851" max="2852" width="9.33203125" customWidth="1"/>
    <col min="2853" max="2853" width="4.6640625" bestFit="1" customWidth="1"/>
    <col min="2854" max="2855" width="9.33203125" customWidth="1"/>
    <col min="2856" max="2856" width="4" bestFit="1" customWidth="1"/>
    <col min="2857" max="2857" width="10.5546875" bestFit="1" customWidth="1"/>
    <col min="2859" max="2859" width="10.5546875" bestFit="1" customWidth="1"/>
    <col min="2862" max="2862" width="10.33203125" bestFit="1" customWidth="1"/>
    <col min="2863" max="2863" width="9.33203125" bestFit="1" customWidth="1"/>
    <col min="2864" max="2864" width="10.33203125" bestFit="1" customWidth="1"/>
    <col min="3073" max="3073" width="13.6640625" customWidth="1"/>
    <col min="3074" max="3075" width="9.88671875" bestFit="1" customWidth="1"/>
    <col min="3076" max="3076" width="10" bestFit="1" customWidth="1"/>
    <col min="3077" max="3078" width="9.33203125" customWidth="1"/>
    <col min="3079" max="3079" width="4" bestFit="1" customWidth="1"/>
    <col min="3080" max="3081" width="9.33203125" customWidth="1"/>
    <col min="3082" max="3082" width="4.6640625" bestFit="1" customWidth="1"/>
    <col min="3083" max="3084" width="9.33203125" customWidth="1"/>
    <col min="3085" max="3085" width="10" bestFit="1" customWidth="1"/>
    <col min="3086" max="3087" width="9.33203125" customWidth="1"/>
    <col min="3088" max="3088" width="10" bestFit="1" customWidth="1"/>
    <col min="3089" max="3090" width="9.33203125" customWidth="1"/>
    <col min="3091" max="3091" width="4.6640625" bestFit="1" customWidth="1"/>
    <col min="3092" max="3093" width="9.33203125" customWidth="1"/>
    <col min="3094" max="3094" width="8.6640625" bestFit="1" customWidth="1"/>
    <col min="3095" max="3096" width="9.33203125" customWidth="1"/>
    <col min="3097" max="3097" width="7" bestFit="1" customWidth="1"/>
    <col min="3098" max="3099" width="9.33203125" customWidth="1"/>
    <col min="3100" max="3100" width="4.6640625" bestFit="1" customWidth="1"/>
    <col min="3101" max="3101" width="9.33203125" customWidth="1"/>
    <col min="3102" max="3102" width="10.33203125" bestFit="1" customWidth="1"/>
    <col min="3103" max="3103" width="9.109375" bestFit="1" customWidth="1"/>
    <col min="3104" max="3105" width="9.33203125" customWidth="1"/>
    <col min="3106" max="3106" width="4.6640625" bestFit="1" customWidth="1"/>
    <col min="3107" max="3108" width="9.33203125" customWidth="1"/>
    <col min="3109" max="3109" width="4.6640625" bestFit="1" customWidth="1"/>
    <col min="3110" max="3111" width="9.33203125" customWidth="1"/>
    <col min="3112" max="3112" width="4" bestFit="1" customWidth="1"/>
    <col min="3113" max="3113" width="10.5546875" bestFit="1" customWidth="1"/>
    <col min="3115" max="3115" width="10.5546875" bestFit="1" customWidth="1"/>
    <col min="3118" max="3118" width="10.33203125" bestFit="1" customWidth="1"/>
    <col min="3119" max="3119" width="9.33203125" bestFit="1" customWidth="1"/>
    <col min="3120" max="3120" width="10.33203125" bestFit="1" customWidth="1"/>
    <col min="3329" max="3329" width="13.6640625" customWidth="1"/>
    <col min="3330" max="3331" width="9.88671875" bestFit="1" customWidth="1"/>
    <col min="3332" max="3332" width="10" bestFit="1" customWidth="1"/>
    <col min="3333" max="3334" width="9.33203125" customWidth="1"/>
    <col min="3335" max="3335" width="4" bestFit="1" customWidth="1"/>
    <col min="3336" max="3337" width="9.33203125" customWidth="1"/>
    <col min="3338" max="3338" width="4.6640625" bestFit="1" customWidth="1"/>
    <col min="3339" max="3340" width="9.33203125" customWidth="1"/>
    <col min="3341" max="3341" width="10" bestFit="1" customWidth="1"/>
    <col min="3342" max="3343" width="9.33203125" customWidth="1"/>
    <col min="3344" max="3344" width="10" bestFit="1" customWidth="1"/>
    <col min="3345" max="3346" width="9.33203125" customWidth="1"/>
    <col min="3347" max="3347" width="4.6640625" bestFit="1" customWidth="1"/>
    <col min="3348" max="3349" width="9.33203125" customWidth="1"/>
    <col min="3350" max="3350" width="8.6640625" bestFit="1" customWidth="1"/>
    <col min="3351" max="3352" width="9.33203125" customWidth="1"/>
    <col min="3353" max="3353" width="7" bestFit="1" customWidth="1"/>
    <col min="3354" max="3355" width="9.33203125" customWidth="1"/>
    <col min="3356" max="3356" width="4.6640625" bestFit="1" customWidth="1"/>
    <col min="3357" max="3357" width="9.33203125" customWidth="1"/>
    <col min="3358" max="3358" width="10.33203125" bestFit="1" customWidth="1"/>
    <col min="3359" max="3359" width="9.109375" bestFit="1" customWidth="1"/>
    <col min="3360" max="3361" width="9.33203125" customWidth="1"/>
    <col min="3362" max="3362" width="4.6640625" bestFit="1" customWidth="1"/>
    <col min="3363" max="3364" width="9.33203125" customWidth="1"/>
    <col min="3365" max="3365" width="4.6640625" bestFit="1" customWidth="1"/>
    <col min="3366" max="3367" width="9.33203125" customWidth="1"/>
    <col min="3368" max="3368" width="4" bestFit="1" customWidth="1"/>
    <col min="3369" max="3369" width="10.5546875" bestFit="1" customWidth="1"/>
    <col min="3371" max="3371" width="10.5546875" bestFit="1" customWidth="1"/>
    <col min="3374" max="3374" width="10.33203125" bestFit="1" customWidth="1"/>
    <col min="3375" max="3375" width="9.33203125" bestFit="1" customWidth="1"/>
    <col min="3376" max="3376" width="10.33203125" bestFit="1" customWidth="1"/>
    <col min="3585" max="3585" width="13.6640625" customWidth="1"/>
    <col min="3586" max="3587" width="9.88671875" bestFit="1" customWidth="1"/>
    <col min="3588" max="3588" width="10" bestFit="1" customWidth="1"/>
    <col min="3589" max="3590" width="9.33203125" customWidth="1"/>
    <col min="3591" max="3591" width="4" bestFit="1" customWidth="1"/>
    <col min="3592" max="3593" width="9.33203125" customWidth="1"/>
    <col min="3594" max="3594" width="4.6640625" bestFit="1" customWidth="1"/>
    <col min="3595" max="3596" width="9.33203125" customWidth="1"/>
    <col min="3597" max="3597" width="10" bestFit="1" customWidth="1"/>
    <col min="3598" max="3599" width="9.33203125" customWidth="1"/>
    <col min="3600" max="3600" width="10" bestFit="1" customWidth="1"/>
    <col min="3601" max="3602" width="9.33203125" customWidth="1"/>
    <col min="3603" max="3603" width="4.6640625" bestFit="1" customWidth="1"/>
    <col min="3604" max="3605" width="9.33203125" customWidth="1"/>
    <col min="3606" max="3606" width="8.6640625" bestFit="1" customWidth="1"/>
    <col min="3607" max="3608" width="9.33203125" customWidth="1"/>
    <col min="3609" max="3609" width="7" bestFit="1" customWidth="1"/>
    <col min="3610" max="3611" width="9.33203125" customWidth="1"/>
    <col min="3612" max="3612" width="4.6640625" bestFit="1" customWidth="1"/>
    <col min="3613" max="3613" width="9.33203125" customWidth="1"/>
    <col min="3614" max="3614" width="10.33203125" bestFit="1" customWidth="1"/>
    <col min="3615" max="3615" width="9.109375" bestFit="1" customWidth="1"/>
    <col min="3616" max="3617" width="9.33203125" customWidth="1"/>
    <col min="3618" max="3618" width="4.6640625" bestFit="1" customWidth="1"/>
    <col min="3619" max="3620" width="9.33203125" customWidth="1"/>
    <col min="3621" max="3621" width="4.6640625" bestFit="1" customWidth="1"/>
    <col min="3622" max="3623" width="9.33203125" customWidth="1"/>
    <col min="3624" max="3624" width="4" bestFit="1" customWidth="1"/>
    <col min="3625" max="3625" width="10.5546875" bestFit="1" customWidth="1"/>
    <col min="3627" max="3627" width="10.5546875" bestFit="1" customWidth="1"/>
    <col min="3630" max="3630" width="10.33203125" bestFit="1" customWidth="1"/>
    <col min="3631" max="3631" width="9.33203125" bestFit="1" customWidth="1"/>
    <col min="3632" max="3632" width="10.33203125" bestFit="1" customWidth="1"/>
    <col min="3841" max="3841" width="13.6640625" customWidth="1"/>
    <col min="3842" max="3843" width="9.88671875" bestFit="1" customWidth="1"/>
    <col min="3844" max="3844" width="10" bestFit="1" customWidth="1"/>
    <col min="3845" max="3846" width="9.33203125" customWidth="1"/>
    <col min="3847" max="3847" width="4" bestFit="1" customWidth="1"/>
    <col min="3848" max="3849" width="9.33203125" customWidth="1"/>
    <col min="3850" max="3850" width="4.6640625" bestFit="1" customWidth="1"/>
    <col min="3851" max="3852" width="9.33203125" customWidth="1"/>
    <col min="3853" max="3853" width="10" bestFit="1" customWidth="1"/>
    <col min="3854" max="3855" width="9.33203125" customWidth="1"/>
    <col min="3856" max="3856" width="10" bestFit="1" customWidth="1"/>
    <col min="3857" max="3858" width="9.33203125" customWidth="1"/>
    <col min="3859" max="3859" width="4.6640625" bestFit="1" customWidth="1"/>
    <col min="3860" max="3861" width="9.33203125" customWidth="1"/>
    <col min="3862" max="3862" width="8.6640625" bestFit="1" customWidth="1"/>
    <col min="3863" max="3864" width="9.33203125" customWidth="1"/>
    <col min="3865" max="3865" width="7" bestFit="1" customWidth="1"/>
    <col min="3866" max="3867" width="9.33203125" customWidth="1"/>
    <col min="3868" max="3868" width="4.6640625" bestFit="1" customWidth="1"/>
    <col min="3869" max="3869" width="9.33203125" customWidth="1"/>
    <col min="3870" max="3870" width="10.33203125" bestFit="1" customWidth="1"/>
    <col min="3871" max="3871" width="9.109375" bestFit="1" customWidth="1"/>
    <col min="3872" max="3873" width="9.33203125" customWidth="1"/>
    <col min="3874" max="3874" width="4.6640625" bestFit="1" customWidth="1"/>
    <col min="3875" max="3876" width="9.33203125" customWidth="1"/>
    <col min="3877" max="3877" width="4.6640625" bestFit="1" customWidth="1"/>
    <col min="3878" max="3879" width="9.33203125" customWidth="1"/>
    <col min="3880" max="3880" width="4" bestFit="1" customWidth="1"/>
    <col min="3881" max="3881" width="10.5546875" bestFit="1" customWidth="1"/>
    <col min="3883" max="3883" width="10.5546875" bestFit="1" customWidth="1"/>
    <col min="3886" max="3886" width="10.33203125" bestFit="1" customWidth="1"/>
    <col min="3887" max="3887" width="9.33203125" bestFit="1" customWidth="1"/>
    <col min="3888" max="3888" width="10.33203125" bestFit="1" customWidth="1"/>
    <col min="4097" max="4097" width="13.6640625" customWidth="1"/>
    <col min="4098" max="4099" width="9.88671875" bestFit="1" customWidth="1"/>
    <col min="4100" max="4100" width="10" bestFit="1" customWidth="1"/>
    <col min="4101" max="4102" width="9.33203125" customWidth="1"/>
    <col min="4103" max="4103" width="4" bestFit="1" customWidth="1"/>
    <col min="4104" max="4105" width="9.33203125" customWidth="1"/>
    <col min="4106" max="4106" width="4.6640625" bestFit="1" customWidth="1"/>
    <col min="4107" max="4108" width="9.33203125" customWidth="1"/>
    <col min="4109" max="4109" width="10" bestFit="1" customWidth="1"/>
    <col min="4110" max="4111" width="9.33203125" customWidth="1"/>
    <col min="4112" max="4112" width="10" bestFit="1" customWidth="1"/>
    <col min="4113" max="4114" width="9.33203125" customWidth="1"/>
    <col min="4115" max="4115" width="4.6640625" bestFit="1" customWidth="1"/>
    <col min="4116" max="4117" width="9.33203125" customWidth="1"/>
    <col min="4118" max="4118" width="8.6640625" bestFit="1" customWidth="1"/>
    <col min="4119" max="4120" width="9.33203125" customWidth="1"/>
    <col min="4121" max="4121" width="7" bestFit="1" customWidth="1"/>
    <col min="4122" max="4123" width="9.33203125" customWidth="1"/>
    <col min="4124" max="4124" width="4.6640625" bestFit="1" customWidth="1"/>
    <col min="4125" max="4125" width="9.33203125" customWidth="1"/>
    <col min="4126" max="4126" width="10.33203125" bestFit="1" customWidth="1"/>
    <col min="4127" max="4127" width="9.109375" bestFit="1" customWidth="1"/>
    <col min="4128" max="4129" width="9.33203125" customWidth="1"/>
    <col min="4130" max="4130" width="4.6640625" bestFit="1" customWidth="1"/>
    <col min="4131" max="4132" width="9.33203125" customWidth="1"/>
    <col min="4133" max="4133" width="4.6640625" bestFit="1" customWidth="1"/>
    <col min="4134" max="4135" width="9.33203125" customWidth="1"/>
    <col min="4136" max="4136" width="4" bestFit="1" customWidth="1"/>
    <col min="4137" max="4137" width="10.5546875" bestFit="1" customWidth="1"/>
    <col min="4139" max="4139" width="10.5546875" bestFit="1" customWidth="1"/>
    <col min="4142" max="4142" width="10.33203125" bestFit="1" customWidth="1"/>
    <col min="4143" max="4143" width="9.33203125" bestFit="1" customWidth="1"/>
    <col min="4144" max="4144" width="10.33203125" bestFit="1" customWidth="1"/>
    <col min="4353" max="4353" width="13.6640625" customWidth="1"/>
    <col min="4354" max="4355" width="9.88671875" bestFit="1" customWidth="1"/>
    <col min="4356" max="4356" width="10" bestFit="1" customWidth="1"/>
    <col min="4357" max="4358" width="9.33203125" customWidth="1"/>
    <col min="4359" max="4359" width="4" bestFit="1" customWidth="1"/>
    <col min="4360" max="4361" width="9.33203125" customWidth="1"/>
    <col min="4362" max="4362" width="4.6640625" bestFit="1" customWidth="1"/>
    <col min="4363" max="4364" width="9.33203125" customWidth="1"/>
    <col min="4365" max="4365" width="10" bestFit="1" customWidth="1"/>
    <col min="4366" max="4367" width="9.33203125" customWidth="1"/>
    <col min="4368" max="4368" width="10" bestFit="1" customWidth="1"/>
    <col min="4369" max="4370" width="9.33203125" customWidth="1"/>
    <col min="4371" max="4371" width="4.6640625" bestFit="1" customWidth="1"/>
    <col min="4372" max="4373" width="9.33203125" customWidth="1"/>
    <col min="4374" max="4374" width="8.6640625" bestFit="1" customWidth="1"/>
    <col min="4375" max="4376" width="9.33203125" customWidth="1"/>
    <col min="4377" max="4377" width="7" bestFit="1" customWidth="1"/>
    <col min="4378" max="4379" width="9.33203125" customWidth="1"/>
    <col min="4380" max="4380" width="4.6640625" bestFit="1" customWidth="1"/>
    <col min="4381" max="4381" width="9.33203125" customWidth="1"/>
    <col min="4382" max="4382" width="10.33203125" bestFit="1" customWidth="1"/>
    <col min="4383" max="4383" width="9.109375" bestFit="1" customWidth="1"/>
    <col min="4384" max="4385" width="9.33203125" customWidth="1"/>
    <col min="4386" max="4386" width="4.6640625" bestFit="1" customWidth="1"/>
    <col min="4387" max="4388" width="9.33203125" customWidth="1"/>
    <col min="4389" max="4389" width="4.6640625" bestFit="1" customWidth="1"/>
    <col min="4390" max="4391" width="9.33203125" customWidth="1"/>
    <col min="4392" max="4392" width="4" bestFit="1" customWidth="1"/>
    <col min="4393" max="4393" width="10.5546875" bestFit="1" customWidth="1"/>
    <col min="4395" max="4395" width="10.5546875" bestFit="1" customWidth="1"/>
    <col min="4398" max="4398" width="10.33203125" bestFit="1" customWidth="1"/>
    <col min="4399" max="4399" width="9.33203125" bestFit="1" customWidth="1"/>
    <col min="4400" max="4400" width="10.33203125" bestFit="1" customWidth="1"/>
    <col min="4609" max="4609" width="13.6640625" customWidth="1"/>
    <col min="4610" max="4611" width="9.88671875" bestFit="1" customWidth="1"/>
    <col min="4612" max="4612" width="10" bestFit="1" customWidth="1"/>
    <col min="4613" max="4614" width="9.33203125" customWidth="1"/>
    <col min="4615" max="4615" width="4" bestFit="1" customWidth="1"/>
    <col min="4616" max="4617" width="9.33203125" customWidth="1"/>
    <col min="4618" max="4618" width="4.6640625" bestFit="1" customWidth="1"/>
    <col min="4619" max="4620" width="9.33203125" customWidth="1"/>
    <col min="4621" max="4621" width="10" bestFit="1" customWidth="1"/>
    <col min="4622" max="4623" width="9.33203125" customWidth="1"/>
    <col min="4624" max="4624" width="10" bestFit="1" customWidth="1"/>
    <col min="4625" max="4626" width="9.33203125" customWidth="1"/>
    <col min="4627" max="4627" width="4.6640625" bestFit="1" customWidth="1"/>
    <col min="4628" max="4629" width="9.33203125" customWidth="1"/>
    <col min="4630" max="4630" width="8.6640625" bestFit="1" customWidth="1"/>
    <col min="4631" max="4632" width="9.33203125" customWidth="1"/>
    <col min="4633" max="4633" width="7" bestFit="1" customWidth="1"/>
    <col min="4634" max="4635" width="9.33203125" customWidth="1"/>
    <col min="4636" max="4636" width="4.6640625" bestFit="1" customWidth="1"/>
    <col min="4637" max="4637" width="9.33203125" customWidth="1"/>
    <col min="4638" max="4638" width="10.33203125" bestFit="1" customWidth="1"/>
    <col min="4639" max="4639" width="9.109375" bestFit="1" customWidth="1"/>
    <col min="4640" max="4641" width="9.33203125" customWidth="1"/>
    <col min="4642" max="4642" width="4.6640625" bestFit="1" customWidth="1"/>
    <col min="4643" max="4644" width="9.33203125" customWidth="1"/>
    <col min="4645" max="4645" width="4.6640625" bestFit="1" customWidth="1"/>
    <col min="4646" max="4647" width="9.33203125" customWidth="1"/>
    <col min="4648" max="4648" width="4" bestFit="1" customWidth="1"/>
    <col min="4649" max="4649" width="10.5546875" bestFit="1" customWidth="1"/>
    <col min="4651" max="4651" width="10.5546875" bestFit="1" customWidth="1"/>
    <col min="4654" max="4654" width="10.33203125" bestFit="1" customWidth="1"/>
    <col min="4655" max="4655" width="9.33203125" bestFit="1" customWidth="1"/>
    <col min="4656" max="4656" width="10.33203125" bestFit="1" customWidth="1"/>
    <col min="4865" max="4865" width="13.6640625" customWidth="1"/>
    <col min="4866" max="4867" width="9.88671875" bestFit="1" customWidth="1"/>
    <col min="4868" max="4868" width="10" bestFit="1" customWidth="1"/>
    <col min="4869" max="4870" width="9.33203125" customWidth="1"/>
    <col min="4871" max="4871" width="4" bestFit="1" customWidth="1"/>
    <col min="4872" max="4873" width="9.33203125" customWidth="1"/>
    <col min="4874" max="4874" width="4.6640625" bestFit="1" customWidth="1"/>
    <col min="4875" max="4876" width="9.33203125" customWidth="1"/>
    <col min="4877" max="4877" width="10" bestFit="1" customWidth="1"/>
    <col min="4878" max="4879" width="9.33203125" customWidth="1"/>
    <col min="4880" max="4880" width="10" bestFit="1" customWidth="1"/>
    <col min="4881" max="4882" width="9.33203125" customWidth="1"/>
    <col min="4883" max="4883" width="4.6640625" bestFit="1" customWidth="1"/>
    <col min="4884" max="4885" width="9.33203125" customWidth="1"/>
    <col min="4886" max="4886" width="8.6640625" bestFit="1" customWidth="1"/>
    <col min="4887" max="4888" width="9.33203125" customWidth="1"/>
    <col min="4889" max="4889" width="7" bestFit="1" customWidth="1"/>
    <col min="4890" max="4891" width="9.33203125" customWidth="1"/>
    <col min="4892" max="4892" width="4.6640625" bestFit="1" customWidth="1"/>
    <col min="4893" max="4893" width="9.33203125" customWidth="1"/>
    <col min="4894" max="4894" width="10.33203125" bestFit="1" customWidth="1"/>
    <col min="4895" max="4895" width="9.109375" bestFit="1" customWidth="1"/>
    <col min="4896" max="4897" width="9.33203125" customWidth="1"/>
    <col min="4898" max="4898" width="4.6640625" bestFit="1" customWidth="1"/>
    <col min="4899" max="4900" width="9.33203125" customWidth="1"/>
    <col min="4901" max="4901" width="4.6640625" bestFit="1" customWidth="1"/>
    <col min="4902" max="4903" width="9.33203125" customWidth="1"/>
    <col min="4904" max="4904" width="4" bestFit="1" customWidth="1"/>
    <col min="4905" max="4905" width="10.5546875" bestFit="1" customWidth="1"/>
    <col min="4907" max="4907" width="10.5546875" bestFit="1" customWidth="1"/>
    <col min="4910" max="4910" width="10.33203125" bestFit="1" customWidth="1"/>
    <col min="4911" max="4911" width="9.33203125" bestFit="1" customWidth="1"/>
    <col min="4912" max="4912" width="10.33203125" bestFit="1" customWidth="1"/>
    <col min="5121" max="5121" width="13.6640625" customWidth="1"/>
    <col min="5122" max="5123" width="9.88671875" bestFit="1" customWidth="1"/>
    <col min="5124" max="5124" width="10" bestFit="1" customWidth="1"/>
    <col min="5125" max="5126" width="9.33203125" customWidth="1"/>
    <col min="5127" max="5127" width="4" bestFit="1" customWidth="1"/>
    <col min="5128" max="5129" width="9.33203125" customWidth="1"/>
    <col min="5130" max="5130" width="4.6640625" bestFit="1" customWidth="1"/>
    <col min="5131" max="5132" width="9.33203125" customWidth="1"/>
    <col min="5133" max="5133" width="10" bestFit="1" customWidth="1"/>
    <col min="5134" max="5135" width="9.33203125" customWidth="1"/>
    <col min="5136" max="5136" width="10" bestFit="1" customWidth="1"/>
    <col min="5137" max="5138" width="9.33203125" customWidth="1"/>
    <col min="5139" max="5139" width="4.6640625" bestFit="1" customWidth="1"/>
    <col min="5140" max="5141" width="9.33203125" customWidth="1"/>
    <col min="5142" max="5142" width="8.6640625" bestFit="1" customWidth="1"/>
    <col min="5143" max="5144" width="9.33203125" customWidth="1"/>
    <col min="5145" max="5145" width="7" bestFit="1" customWidth="1"/>
    <col min="5146" max="5147" width="9.33203125" customWidth="1"/>
    <col min="5148" max="5148" width="4.6640625" bestFit="1" customWidth="1"/>
    <col min="5149" max="5149" width="9.33203125" customWidth="1"/>
    <col min="5150" max="5150" width="10.33203125" bestFit="1" customWidth="1"/>
    <col min="5151" max="5151" width="9.109375" bestFit="1" customWidth="1"/>
    <col min="5152" max="5153" width="9.33203125" customWidth="1"/>
    <col min="5154" max="5154" width="4.6640625" bestFit="1" customWidth="1"/>
    <col min="5155" max="5156" width="9.33203125" customWidth="1"/>
    <col min="5157" max="5157" width="4.6640625" bestFit="1" customWidth="1"/>
    <col min="5158" max="5159" width="9.33203125" customWidth="1"/>
    <col min="5160" max="5160" width="4" bestFit="1" customWidth="1"/>
    <col min="5161" max="5161" width="10.5546875" bestFit="1" customWidth="1"/>
    <col min="5163" max="5163" width="10.5546875" bestFit="1" customWidth="1"/>
    <col min="5166" max="5166" width="10.33203125" bestFit="1" customWidth="1"/>
    <col min="5167" max="5167" width="9.33203125" bestFit="1" customWidth="1"/>
    <col min="5168" max="5168" width="10.33203125" bestFit="1" customWidth="1"/>
    <col min="5377" max="5377" width="13.6640625" customWidth="1"/>
    <col min="5378" max="5379" width="9.88671875" bestFit="1" customWidth="1"/>
    <col min="5380" max="5380" width="10" bestFit="1" customWidth="1"/>
    <col min="5381" max="5382" width="9.33203125" customWidth="1"/>
    <col min="5383" max="5383" width="4" bestFit="1" customWidth="1"/>
    <col min="5384" max="5385" width="9.33203125" customWidth="1"/>
    <col min="5386" max="5386" width="4.6640625" bestFit="1" customWidth="1"/>
    <col min="5387" max="5388" width="9.33203125" customWidth="1"/>
    <col min="5389" max="5389" width="10" bestFit="1" customWidth="1"/>
    <col min="5390" max="5391" width="9.33203125" customWidth="1"/>
    <col min="5392" max="5392" width="10" bestFit="1" customWidth="1"/>
    <col min="5393" max="5394" width="9.33203125" customWidth="1"/>
    <col min="5395" max="5395" width="4.6640625" bestFit="1" customWidth="1"/>
    <col min="5396" max="5397" width="9.33203125" customWidth="1"/>
    <col min="5398" max="5398" width="8.6640625" bestFit="1" customWidth="1"/>
    <col min="5399" max="5400" width="9.33203125" customWidth="1"/>
    <col min="5401" max="5401" width="7" bestFit="1" customWidth="1"/>
    <col min="5402" max="5403" width="9.33203125" customWidth="1"/>
    <col min="5404" max="5404" width="4.6640625" bestFit="1" customWidth="1"/>
    <col min="5405" max="5405" width="9.33203125" customWidth="1"/>
    <col min="5406" max="5406" width="10.33203125" bestFit="1" customWidth="1"/>
    <col min="5407" max="5407" width="9.109375" bestFit="1" customWidth="1"/>
    <col min="5408" max="5409" width="9.33203125" customWidth="1"/>
    <col min="5410" max="5410" width="4.6640625" bestFit="1" customWidth="1"/>
    <col min="5411" max="5412" width="9.33203125" customWidth="1"/>
    <col min="5413" max="5413" width="4.6640625" bestFit="1" customWidth="1"/>
    <col min="5414" max="5415" width="9.33203125" customWidth="1"/>
    <col min="5416" max="5416" width="4" bestFit="1" customWidth="1"/>
    <col min="5417" max="5417" width="10.5546875" bestFit="1" customWidth="1"/>
    <col min="5419" max="5419" width="10.5546875" bestFit="1" customWidth="1"/>
    <col min="5422" max="5422" width="10.33203125" bestFit="1" customWidth="1"/>
    <col min="5423" max="5423" width="9.33203125" bestFit="1" customWidth="1"/>
    <col min="5424" max="5424" width="10.33203125" bestFit="1" customWidth="1"/>
    <col min="5633" max="5633" width="13.6640625" customWidth="1"/>
    <col min="5634" max="5635" width="9.88671875" bestFit="1" customWidth="1"/>
    <col min="5636" max="5636" width="10" bestFit="1" customWidth="1"/>
    <col min="5637" max="5638" width="9.33203125" customWidth="1"/>
    <col min="5639" max="5639" width="4" bestFit="1" customWidth="1"/>
    <col min="5640" max="5641" width="9.33203125" customWidth="1"/>
    <col min="5642" max="5642" width="4.6640625" bestFit="1" customWidth="1"/>
    <col min="5643" max="5644" width="9.33203125" customWidth="1"/>
    <col min="5645" max="5645" width="10" bestFit="1" customWidth="1"/>
    <col min="5646" max="5647" width="9.33203125" customWidth="1"/>
    <col min="5648" max="5648" width="10" bestFit="1" customWidth="1"/>
    <col min="5649" max="5650" width="9.33203125" customWidth="1"/>
    <col min="5651" max="5651" width="4.6640625" bestFit="1" customWidth="1"/>
    <col min="5652" max="5653" width="9.33203125" customWidth="1"/>
    <col min="5654" max="5654" width="8.6640625" bestFit="1" customWidth="1"/>
    <col min="5655" max="5656" width="9.33203125" customWidth="1"/>
    <col min="5657" max="5657" width="7" bestFit="1" customWidth="1"/>
    <col min="5658" max="5659" width="9.33203125" customWidth="1"/>
    <col min="5660" max="5660" width="4.6640625" bestFit="1" customWidth="1"/>
    <col min="5661" max="5661" width="9.33203125" customWidth="1"/>
    <col min="5662" max="5662" width="10.33203125" bestFit="1" customWidth="1"/>
    <col min="5663" max="5663" width="9.109375" bestFit="1" customWidth="1"/>
    <col min="5664" max="5665" width="9.33203125" customWidth="1"/>
    <col min="5666" max="5666" width="4.6640625" bestFit="1" customWidth="1"/>
    <col min="5667" max="5668" width="9.33203125" customWidth="1"/>
    <col min="5669" max="5669" width="4.6640625" bestFit="1" customWidth="1"/>
    <col min="5670" max="5671" width="9.33203125" customWidth="1"/>
    <col min="5672" max="5672" width="4" bestFit="1" customWidth="1"/>
    <col min="5673" max="5673" width="10.5546875" bestFit="1" customWidth="1"/>
    <col min="5675" max="5675" width="10.5546875" bestFit="1" customWidth="1"/>
    <col min="5678" max="5678" width="10.33203125" bestFit="1" customWidth="1"/>
    <col min="5679" max="5679" width="9.33203125" bestFit="1" customWidth="1"/>
    <col min="5680" max="5680" width="10.33203125" bestFit="1" customWidth="1"/>
    <col min="5889" max="5889" width="13.6640625" customWidth="1"/>
    <col min="5890" max="5891" width="9.88671875" bestFit="1" customWidth="1"/>
    <col min="5892" max="5892" width="10" bestFit="1" customWidth="1"/>
    <col min="5893" max="5894" width="9.33203125" customWidth="1"/>
    <col min="5895" max="5895" width="4" bestFit="1" customWidth="1"/>
    <col min="5896" max="5897" width="9.33203125" customWidth="1"/>
    <col min="5898" max="5898" width="4.6640625" bestFit="1" customWidth="1"/>
    <col min="5899" max="5900" width="9.33203125" customWidth="1"/>
    <col min="5901" max="5901" width="10" bestFit="1" customWidth="1"/>
    <col min="5902" max="5903" width="9.33203125" customWidth="1"/>
    <col min="5904" max="5904" width="10" bestFit="1" customWidth="1"/>
    <col min="5905" max="5906" width="9.33203125" customWidth="1"/>
    <col min="5907" max="5907" width="4.6640625" bestFit="1" customWidth="1"/>
    <col min="5908" max="5909" width="9.33203125" customWidth="1"/>
    <col min="5910" max="5910" width="8.6640625" bestFit="1" customWidth="1"/>
    <col min="5911" max="5912" width="9.33203125" customWidth="1"/>
    <col min="5913" max="5913" width="7" bestFit="1" customWidth="1"/>
    <col min="5914" max="5915" width="9.33203125" customWidth="1"/>
    <col min="5916" max="5916" width="4.6640625" bestFit="1" customWidth="1"/>
    <col min="5917" max="5917" width="9.33203125" customWidth="1"/>
    <col min="5918" max="5918" width="10.33203125" bestFit="1" customWidth="1"/>
    <col min="5919" max="5919" width="9.109375" bestFit="1" customWidth="1"/>
    <col min="5920" max="5921" width="9.33203125" customWidth="1"/>
    <col min="5922" max="5922" width="4.6640625" bestFit="1" customWidth="1"/>
    <col min="5923" max="5924" width="9.33203125" customWidth="1"/>
    <col min="5925" max="5925" width="4.6640625" bestFit="1" customWidth="1"/>
    <col min="5926" max="5927" width="9.33203125" customWidth="1"/>
    <col min="5928" max="5928" width="4" bestFit="1" customWidth="1"/>
    <col min="5929" max="5929" width="10.5546875" bestFit="1" customWidth="1"/>
    <col min="5931" max="5931" width="10.5546875" bestFit="1" customWidth="1"/>
    <col min="5934" max="5934" width="10.33203125" bestFit="1" customWidth="1"/>
    <col min="5935" max="5935" width="9.33203125" bestFit="1" customWidth="1"/>
    <col min="5936" max="5936" width="10.33203125" bestFit="1" customWidth="1"/>
    <col min="6145" max="6145" width="13.6640625" customWidth="1"/>
    <col min="6146" max="6147" width="9.88671875" bestFit="1" customWidth="1"/>
    <col min="6148" max="6148" width="10" bestFit="1" customWidth="1"/>
    <col min="6149" max="6150" width="9.33203125" customWidth="1"/>
    <col min="6151" max="6151" width="4" bestFit="1" customWidth="1"/>
    <col min="6152" max="6153" width="9.33203125" customWidth="1"/>
    <col min="6154" max="6154" width="4.6640625" bestFit="1" customWidth="1"/>
    <col min="6155" max="6156" width="9.33203125" customWidth="1"/>
    <col min="6157" max="6157" width="10" bestFit="1" customWidth="1"/>
    <col min="6158" max="6159" width="9.33203125" customWidth="1"/>
    <col min="6160" max="6160" width="10" bestFit="1" customWidth="1"/>
    <col min="6161" max="6162" width="9.33203125" customWidth="1"/>
    <col min="6163" max="6163" width="4.6640625" bestFit="1" customWidth="1"/>
    <col min="6164" max="6165" width="9.33203125" customWidth="1"/>
    <col min="6166" max="6166" width="8.6640625" bestFit="1" customWidth="1"/>
    <col min="6167" max="6168" width="9.33203125" customWidth="1"/>
    <col min="6169" max="6169" width="7" bestFit="1" customWidth="1"/>
    <col min="6170" max="6171" width="9.33203125" customWidth="1"/>
    <col min="6172" max="6172" width="4.6640625" bestFit="1" customWidth="1"/>
    <col min="6173" max="6173" width="9.33203125" customWidth="1"/>
    <col min="6174" max="6174" width="10.33203125" bestFit="1" customWidth="1"/>
    <col min="6175" max="6175" width="9.109375" bestFit="1" customWidth="1"/>
    <col min="6176" max="6177" width="9.33203125" customWidth="1"/>
    <col min="6178" max="6178" width="4.6640625" bestFit="1" customWidth="1"/>
    <col min="6179" max="6180" width="9.33203125" customWidth="1"/>
    <col min="6181" max="6181" width="4.6640625" bestFit="1" customWidth="1"/>
    <col min="6182" max="6183" width="9.33203125" customWidth="1"/>
    <col min="6184" max="6184" width="4" bestFit="1" customWidth="1"/>
    <col min="6185" max="6185" width="10.5546875" bestFit="1" customWidth="1"/>
    <col min="6187" max="6187" width="10.5546875" bestFit="1" customWidth="1"/>
    <col min="6190" max="6190" width="10.33203125" bestFit="1" customWidth="1"/>
    <col min="6191" max="6191" width="9.33203125" bestFit="1" customWidth="1"/>
    <col min="6192" max="6192" width="10.33203125" bestFit="1" customWidth="1"/>
    <col min="6401" max="6401" width="13.6640625" customWidth="1"/>
    <col min="6402" max="6403" width="9.88671875" bestFit="1" customWidth="1"/>
    <col min="6404" max="6404" width="10" bestFit="1" customWidth="1"/>
    <col min="6405" max="6406" width="9.33203125" customWidth="1"/>
    <col min="6407" max="6407" width="4" bestFit="1" customWidth="1"/>
    <col min="6408" max="6409" width="9.33203125" customWidth="1"/>
    <col min="6410" max="6410" width="4.6640625" bestFit="1" customWidth="1"/>
    <col min="6411" max="6412" width="9.33203125" customWidth="1"/>
    <col min="6413" max="6413" width="10" bestFit="1" customWidth="1"/>
    <col min="6414" max="6415" width="9.33203125" customWidth="1"/>
    <col min="6416" max="6416" width="10" bestFit="1" customWidth="1"/>
    <col min="6417" max="6418" width="9.33203125" customWidth="1"/>
    <col min="6419" max="6419" width="4.6640625" bestFit="1" customWidth="1"/>
    <col min="6420" max="6421" width="9.33203125" customWidth="1"/>
    <col min="6422" max="6422" width="8.6640625" bestFit="1" customWidth="1"/>
    <col min="6423" max="6424" width="9.33203125" customWidth="1"/>
    <col min="6425" max="6425" width="7" bestFit="1" customWidth="1"/>
    <col min="6426" max="6427" width="9.33203125" customWidth="1"/>
    <col min="6428" max="6428" width="4.6640625" bestFit="1" customWidth="1"/>
    <col min="6429" max="6429" width="9.33203125" customWidth="1"/>
    <col min="6430" max="6430" width="10.33203125" bestFit="1" customWidth="1"/>
    <col min="6431" max="6431" width="9.109375" bestFit="1" customWidth="1"/>
    <col min="6432" max="6433" width="9.33203125" customWidth="1"/>
    <col min="6434" max="6434" width="4.6640625" bestFit="1" customWidth="1"/>
    <col min="6435" max="6436" width="9.33203125" customWidth="1"/>
    <col min="6437" max="6437" width="4.6640625" bestFit="1" customWidth="1"/>
    <col min="6438" max="6439" width="9.33203125" customWidth="1"/>
    <col min="6440" max="6440" width="4" bestFit="1" customWidth="1"/>
    <col min="6441" max="6441" width="10.5546875" bestFit="1" customWidth="1"/>
    <col min="6443" max="6443" width="10.5546875" bestFit="1" customWidth="1"/>
    <col min="6446" max="6446" width="10.33203125" bestFit="1" customWidth="1"/>
    <col min="6447" max="6447" width="9.33203125" bestFit="1" customWidth="1"/>
    <col min="6448" max="6448" width="10.33203125" bestFit="1" customWidth="1"/>
    <col min="6657" max="6657" width="13.6640625" customWidth="1"/>
    <col min="6658" max="6659" width="9.88671875" bestFit="1" customWidth="1"/>
    <col min="6660" max="6660" width="10" bestFit="1" customWidth="1"/>
    <col min="6661" max="6662" width="9.33203125" customWidth="1"/>
    <col min="6663" max="6663" width="4" bestFit="1" customWidth="1"/>
    <col min="6664" max="6665" width="9.33203125" customWidth="1"/>
    <col min="6666" max="6666" width="4.6640625" bestFit="1" customWidth="1"/>
    <col min="6667" max="6668" width="9.33203125" customWidth="1"/>
    <col min="6669" max="6669" width="10" bestFit="1" customWidth="1"/>
    <col min="6670" max="6671" width="9.33203125" customWidth="1"/>
    <col min="6672" max="6672" width="10" bestFit="1" customWidth="1"/>
    <col min="6673" max="6674" width="9.33203125" customWidth="1"/>
    <col min="6675" max="6675" width="4.6640625" bestFit="1" customWidth="1"/>
    <col min="6676" max="6677" width="9.33203125" customWidth="1"/>
    <col min="6678" max="6678" width="8.6640625" bestFit="1" customWidth="1"/>
    <col min="6679" max="6680" width="9.33203125" customWidth="1"/>
    <col min="6681" max="6681" width="7" bestFit="1" customWidth="1"/>
    <col min="6682" max="6683" width="9.33203125" customWidth="1"/>
    <col min="6684" max="6684" width="4.6640625" bestFit="1" customWidth="1"/>
    <col min="6685" max="6685" width="9.33203125" customWidth="1"/>
    <col min="6686" max="6686" width="10.33203125" bestFit="1" customWidth="1"/>
    <col min="6687" max="6687" width="9.109375" bestFit="1" customWidth="1"/>
    <col min="6688" max="6689" width="9.33203125" customWidth="1"/>
    <col min="6690" max="6690" width="4.6640625" bestFit="1" customWidth="1"/>
    <col min="6691" max="6692" width="9.33203125" customWidth="1"/>
    <col min="6693" max="6693" width="4.6640625" bestFit="1" customWidth="1"/>
    <col min="6694" max="6695" width="9.33203125" customWidth="1"/>
    <col min="6696" max="6696" width="4" bestFit="1" customWidth="1"/>
    <col min="6697" max="6697" width="10.5546875" bestFit="1" customWidth="1"/>
    <col min="6699" max="6699" width="10.5546875" bestFit="1" customWidth="1"/>
    <col min="6702" max="6702" width="10.33203125" bestFit="1" customWidth="1"/>
    <col min="6703" max="6703" width="9.33203125" bestFit="1" customWidth="1"/>
    <col min="6704" max="6704" width="10.33203125" bestFit="1" customWidth="1"/>
    <col min="6913" max="6913" width="13.6640625" customWidth="1"/>
    <col min="6914" max="6915" width="9.88671875" bestFit="1" customWidth="1"/>
    <col min="6916" max="6916" width="10" bestFit="1" customWidth="1"/>
    <col min="6917" max="6918" width="9.33203125" customWidth="1"/>
    <col min="6919" max="6919" width="4" bestFit="1" customWidth="1"/>
    <col min="6920" max="6921" width="9.33203125" customWidth="1"/>
    <col min="6922" max="6922" width="4.6640625" bestFit="1" customWidth="1"/>
    <col min="6923" max="6924" width="9.33203125" customWidth="1"/>
    <col min="6925" max="6925" width="10" bestFit="1" customWidth="1"/>
    <col min="6926" max="6927" width="9.33203125" customWidth="1"/>
    <col min="6928" max="6928" width="10" bestFit="1" customWidth="1"/>
    <col min="6929" max="6930" width="9.33203125" customWidth="1"/>
    <col min="6931" max="6931" width="4.6640625" bestFit="1" customWidth="1"/>
    <col min="6932" max="6933" width="9.33203125" customWidth="1"/>
    <col min="6934" max="6934" width="8.6640625" bestFit="1" customWidth="1"/>
    <col min="6935" max="6936" width="9.33203125" customWidth="1"/>
    <col min="6937" max="6937" width="7" bestFit="1" customWidth="1"/>
    <col min="6938" max="6939" width="9.33203125" customWidth="1"/>
    <col min="6940" max="6940" width="4.6640625" bestFit="1" customWidth="1"/>
    <col min="6941" max="6941" width="9.33203125" customWidth="1"/>
    <col min="6942" max="6942" width="10.33203125" bestFit="1" customWidth="1"/>
    <col min="6943" max="6943" width="9.109375" bestFit="1" customWidth="1"/>
    <col min="6944" max="6945" width="9.33203125" customWidth="1"/>
    <col min="6946" max="6946" width="4.6640625" bestFit="1" customWidth="1"/>
    <col min="6947" max="6948" width="9.33203125" customWidth="1"/>
    <col min="6949" max="6949" width="4.6640625" bestFit="1" customWidth="1"/>
    <col min="6950" max="6951" width="9.33203125" customWidth="1"/>
    <col min="6952" max="6952" width="4" bestFit="1" customWidth="1"/>
    <col min="6953" max="6953" width="10.5546875" bestFit="1" customWidth="1"/>
    <col min="6955" max="6955" width="10.5546875" bestFit="1" customWidth="1"/>
    <col min="6958" max="6958" width="10.33203125" bestFit="1" customWidth="1"/>
    <col min="6959" max="6959" width="9.33203125" bestFit="1" customWidth="1"/>
    <col min="6960" max="6960" width="10.33203125" bestFit="1" customWidth="1"/>
    <col min="7169" max="7169" width="13.6640625" customWidth="1"/>
    <col min="7170" max="7171" width="9.88671875" bestFit="1" customWidth="1"/>
    <col min="7172" max="7172" width="10" bestFit="1" customWidth="1"/>
    <col min="7173" max="7174" width="9.33203125" customWidth="1"/>
    <col min="7175" max="7175" width="4" bestFit="1" customWidth="1"/>
    <col min="7176" max="7177" width="9.33203125" customWidth="1"/>
    <col min="7178" max="7178" width="4.6640625" bestFit="1" customWidth="1"/>
    <col min="7179" max="7180" width="9.33203125" customWidth="1"/>
    <col min="7181" max="7181" width="10" bestFit="1" customWidth="1"/>
    <col min="7182" max="7183" width="9.33203125" customWidth="1"/>
    <col min="7184" max="7184" width="10" bestFit="1" customWidth="1"/>
    <col min="7185" max="7186" width="9.33203125" customWidth="1"/>
    <col min="7187" max="7187" width="4.6640625" bestFit="1" customWidth="1"/>
    <col min="7188" max="7189" width="9.33203125" customWidth="1"/>
    <col min="7190" max="7190" width="8.6640625" bestFit="1" customWidth="1"/>
    <col min="7191" max="7192" width="9.33203125" customWidth="1"/>
    <col min="7193" max="7193" width="7" bestFit="1" customWidth="1"/>
    <col min="7194" max="7195" width="9.33203125" customWidth="1"/>
    <col min="7196" max="7196" width="4.6640625" bestFit="1" customWidth="1"/>
    <col min="7197" max="7197" width="9.33203125" customWidth="1"/>
    <col min="7198" max="7198" width="10.33203125" bestFit="1" customWidth="1"/>
    <col min="7199" max="7199" width="9.109375" bestFit="1" customWidth="1"/>
    <col min="7200" max="7201" width="9.33203125" customWidth="1"/>
    <col min="7202" max="7202" width="4.6640625" bestFit="1" customWidth="1"/>
    <col min="7203" max="7204" width="9.33203125" customWidth="1"/>
    <col min="7205" max="7205" width="4.6640625" bestFit="1" customWidth="1"/>
    <col min="7206" max="7207" width="9.33203125" customWidth="1"/>
    <col min="7208" max="7208" width="4" bestFit="1" customWidth="1"/>
    <col min="7209" max="7209" width="10.5546875" bestFit="1" customWidth="1"/>
    <col min="7211" max="7211" width="10.5546875" bestFit="1" customWidth="1"/>
    <col min="7214" max="7214" width="10.33203125" bestFit="1" customWidth="1"/>
    <col min="7215" max="7215" width="9.33203125" bestFit="1" customWidth="1"/>
    <col min="7216" max="7216" width="10.33203125" bestFit="1" customWidth="1"/>
    <col min="7425" max="7425" width="13.6640625" customWidth="1"/>
    <col min="7426" max="7427" width="9.88671875" bestFit="1" customWidth="1"/>
    <col min="7428" max="7428" width="10" bestFit="1" customWidth="1"/>
    <col min="7429" max="7430" width="9.33203125" customWidth="1"/>
    <col min="7431" max="7431" width="4" bestFit="1" customWidth="1"/>
    <col min="7432" max="7433" width="9.33203125" customWidth="1"/>
    <col min="7434" max="7434" width="4.6640625" bestFit="1" customWidth="1"/>
    <col min="7435" max="7436" width="9.33203125" customWidth="1"/>
    <col min="7437" max="7437" width="10" bestFit="1" customWidth="1"/>
    <col min="7438" max="7439" width="9.33203125" customWidth="1"/>
    <col min="7440" max="7440" width="10" bestFit="1" customWidth="1"/>
    <col min="7441" max="7442" width="9.33203125" customWidth="1"/>
    <col min="7443" max="7443" width="4.6640625" bestFit="1" customWidth="1"/>
    <col min="7444" max="7445" width="9.33203125" customWidth="1"/>
    <col min="7446" max="7446" width="8.6640625" bestFit="1" customWidth="1"/>
    <col min="7447" max="7448" width="9.33203125" customWidth="1"/>
    <col min="7449" max="7449" width="7" bestFit="1" customWidth="1"/>
    <col min="7450" max="7451" width="9.33203125" customWidth="1"/>
    <col min="7452" max="7452" width="4.6640625" bestFit="1" customWidth="1"/>
    <col min="7453" max="7453" width="9.33203125" customWidth="1"/>
    <col min="7454" max="7454" width="10.33203125" bestFit="1" customWidth="1"/>
    <col min="7455" max="7455" width="9.109375" bestFit="1" customWidth="1"/>
    <col min="7456" max="7457" width="9.33203125" customWidth="1"/>
    <col min="7458" max="7458" width="4.6640625" bestFit="1" customWidth="1"/>
    <col min="7459" max="7460" width="9.33203125" customWidth="1"/>
    <col min="7461" max="7461" width="4.6640625" bestFit="1" customWidth="1"/>
    <col min="7462" max="7463" width="9.33203125" customWidth="1"/>
    <col min="7464" max="7464" width="4" bestFit="1" customWidth="1"/>
    <col min="7465" max="7465" width="10.5546875" bestFit="1" customWidth="1"/>
    <col min="7467" max="7467" width="10.5546875" bestFit="1" customWidth="1"/>
    <col min="7470" max="7470" width="10.33203125" bestFit="1" customWidth="1"/>
    <col min="7471" max="7471" width="9.33203125" bestFit="1" customWidth="1"/>
    <col min="7472" max="7472" width="10.33203125" bestFit="1" customWidth="1"/>
    <col min="7681" max="7681" width="13.6640625" customWidth="1"/>
    <col min="7682" max="7683" width="9.88671875" bestFit="1" customWidth="1"/>
    <col min="7684" max="7684" width="10" bestFit="1" customWidth="1"/>
    <col min="7685" max="7686" width="9.33203125" customWidth="1"/>
    <col min="7687" max="7687" width="4" bestFit="1" customWidth="1"/>
    <col min="7688" max="7689" width="9.33203125" customWidth="1"/>
    <col min="7690" max="7690" width="4.6640625" bestFit="1" customWidth="1"/>
    <col min="7691" max="7692" width="9.33203125" customWidth="1"/>
    <col min="7693" max="7693" width="10" bestFit="1" customWidth="1"/>
    <col min="7694" max="7695" width="9.33203125" customWidth="1"/>
    <col min="7696" max="7696" width="10" bestFit="1" customWidth="1"/>
    <col min="7697" max="7698" width="9.33203125" customWidth="1"/>
    <col min="7699" max="7699" width="4.6640625" bestFit="1" customWidth="1"/>
    <col min="7700" max="7701" width="9.33203125" customWidth="1"/>
    <col min="7702" max="7702" width="8.6640625" bestFit="1" customWidth="1"/>
    <col min="7703" max="7704" width="9.33203125" customWidth="1"/>
    <col min="7705" max="7705" width="7" bestFit="1" customWidth="1"/>
    <col min="7706" max="7707" width="9.33203125" customWidth="1"/>
    <col min="7708" max="7708" width="4.6640625" bestFit="1" customWidth="1"/>
    <col min="7709" max="7709" width="9.33203125" customWidth="1"/>
    <col min="7710" max="7710" width="10.33203125" bestFit="1" customWidth="1"/>
    <col min="7711" max="7711" width="9.109375" bestFit="1" customWidth="1"/>
    <col min="7712" max="7713" width="9.33203125" customWidth="1"/>
    <col min="7714" max="7714" width="4.6640625" bestFit="1" customWidth="1"/>
    <col min="7715" max="7716" width="9.33203125" customWidth="1"/>
    <col min="7717" max="7717" width="4.6640625" bestFit="1" customWidth="1"/>
    <col min="7718" max="7719" width="9.33203125" customWidth="1"/>
    <col min="7720" max="7720" width="4" bestFit="1" customWidth="1"/>
    <col min="7721" max="7721" width="10.5546875" bestFit="1" customWidth="1"/>
    <col min="7723" max="7723" width="10.5546875" bestFit="1" customWidth="1"/>
    <col min="7726" max="7726" width="10.33203125" bestFit="1" customWidth="1"/>
    <col min="7727" max="7727" width="9.33203125" bestFit="1" customWidth="1"/>
    <col min="7728" max="7728" width="10.33203125" bestFit="1" customWidth="1"/>
    <col min="7937" max="7937" width="13.6640625" customWidth="1"/>
    <col min="7938" max="7939" width="9.88671875" bestFit="1" customWidth="1"/>
    <col min="7940" max="7940" width="10" bestFit="1" customWidth="1"/>
    <col min="7941" max="7942" width="9.33203125" customWidth="1"/>
    <col min="7943" max="7943" width="4" bestFit="1" customWidth="1"/>
    <col min="7944" max="7945" width="9.33203125" customWidth="1"/>
    <col min="7946" max="7946" width="4.6640625" bestFit="1" customWidth="1"/>
    <col min="7947" max="7948" width="9.33203125" customWidth="1"/>
    <col min="7949" max="7949" width="10" bestFit="1" customWidth="1"/>
    <col min="7950" max="7951" width="9.33203125" customWidth="1"/>
    <col min="7952" max="7952" width="10" bestFit="1" customWidth="1"/>
    <col min="7953" max="7954" width="9.33203125" customWidth="1"/>
    <col min="7955" max="7955" width="4.6640625" bestFit="1" customWidth="1"/>
    <col min="7956" max="7957" width="9.33203125" customWidth="1"/>
    <col min="7958" max="7958" width="8.6640625" bestFit="1" customWidth="1"/>
    <col min="7959" max="7960" width="9.33203125" customWidth="1"/>
    <col min="7961" max="7961" width="7" bestFit="1" customWidth="1"/>
    <col min="7962" max="7963" width="9.33203125" customWidth="1"/>
    <col min="7964" max="7964" width="4.6640625" bestFit="1" customWidth="1"/>
    <col min="7965" max="7965" width="9.33203125" customWidth="1"/>
    <col min="7966" max="7966" width="10.33203125" bestFit="1" customWidth="1"/>
    <col min="7967" max="7967" width="9.109375" bestFit="1" customWidth="1"/>
    <col min="7968" max="7969" width="9.33203125" customWidth="1"/>
    <col min="7970" max="7970" width="4.6640625" bestFit="1" customWidth="1"/>
    <col min="7971" max="7972" width="9.33203125" customWidth="1"/>
    <col min="7973" max="7973" width="4.6640625" bestFit="1" customWidth="1"/>
    <col min="7974" max="7975" width="9.33203125" customWidth="1"/>
    <col min="7976" max="7976" width="4" bestFit="1" customWidth="1"/>
    <col min="7977" max="7977" width="10.5546875" bestFit="1" customWidth="1"/>
    <col min="7979" max="7979" width="10.5546875" bestFit="1" customWidth="1"/>
    <col min="7982" max="7982" width="10.33203125" bestFit="1" customWidth="1"/>
    <col min="7983" max="7983" width="9.33203125" bestFit="1" customWidth="1"/>
    <col min="7984" max="7984" width="10.33203125" bestFit="1" customWidth="1"/>
    <col min="8193" max="8193" width="13.6640625" customWidth="1"/>
    <col min="8194" max="8195" width="9.88671875" bestFit="1" customWidth="1"/>
    <col min="8196" max="8196" width="10" bestFit="1" customWidth="1"/>
    <col min="8197" max="8198" width="9.33203125" customWidth="1"/>
    <col min="8199" max="8199" width="4" bestFit="1" customWidth="1"/>
    <col min="8200" max="8201" width="9.33203125" customWidth="1"/>
    <col min="8202" max="8202" width="4.6640625" bestFit="1" customWidth="1"/>
    <col min="8203" max="8204" width="9.33203125" customWidth="1"/>
    <col min="8205" max="8205" width="10" bestFit="1" customWidth="1"/>
    <col min="8206" max="8207" width="9.33203125" customWidth="1"/>
    <col min="8208" max="8208" width="10" bestFit="1" customWidth="1"/>
    <col min="8209" max="8210" width="9.33203125" customWidth="1"/>
    <col min="8211" max="8211" width="4.6640625" bestFit="1" customWidth="1"/>
    <col min="8212" max="8213" width="9.33203125" customWidth="1"/>
    <col min="8214" max="8214" width="8.6640625" bestFit="1" customWidth="1"/>
    <col min="8215" max="8216" width="9.33203125" customWidth="1"/>
    <col min="8217" max="8217" width="7" bestFit="1" customWidth="1"/>
    <col min="8218" max="8219" width="9.33203125" customWidth="1"/>
    <col min="8220" max="8220" width="4.6640625" bestFit="1" customWidth="1"/>
    <col min="8221" max="8221" width="9.33203125" customWidth="1"/>
    <col min="8222" max="8222" width="10.33203125" bestFit="1" customWidth="1"/>
    <col min="8223" max="8223" width="9.109375" bestFit="1" customWidth="1"/>
    <col min="8224" max="8225" width="9.33203125" customWidth="1"/>
    <col min="8226" max="8226" width="4.6640625" bestFit="1" customWidth="1"/>
    <col min="8227" max="8228" width="9.33203125" customWidth="1"/>
    <col min="8229" max="8229" width="4.6640625" bestFit="1" customWidth="1"/>
    <col min="8230" max="8231" width="9.33203125" customWidth="1"/>
    <col min="8232" max="8232" width="4" bestFit="1" customWidth="1"/>
    <col min="8233" max="8233" width="10.5546875" bestFit="1" customWidth="1"/>
    <col min="8235" max="8235" width="10.5546875" bestFit="1" customWidth="1"/>
    <col min="8238" max="8238" width="10.33203125" bestFit="1" customWidth="1"/>
    <col min="8239" max="8239" width="9.33203125" bestFit="1" customWidth="1"/>
    <col min="8240" max="8240" width="10.33203125" bestFit="1" customWidth="1"/>
    <col min="8449" max="8449" width="13.6640625" customWidth="1"/>
    <col min="8450" max="8451" width="9.88671875" bestFit="1" customWidth="1"/>
    <col min="8452" max="8452" width="10" bestFit="1" customWidth="1"/>
    <col min="8453" max="8454" width="9.33203125" customWidth="1"/>
    <col min="8455" max="8455" width="4" bestFit="1" customWidth="1"/>
    <col min="8456" max="8457" width="9.33203125" customWidth="1"/>
    <col min="8458" max="8458" width="4.6640625" bestFit="1" customWidth="1"/>
    <col min="8459" max="8460" width="9.33203125" customWidth="1"/>
    <col min="8461" max="8461" width="10" bestFit="1" customWidth="1"/>
    <col min="8462" max="8463" width="9.33203125" customWidth="1"/>
    <col min="8464" max="8464" width="10" bestFit="1" customWidth="1"/>
    <col min="8465" max="8466" width="9.33203125" customWidth="1"/>
    <col min="8467" max="8467" width="4.6640625" bestFit="1" customWidth="1"/>
    <col min="8468" max="8469" width="9.33203125" customWidth="1"/>
    <col min="8470" max="8470" width="8.6640625" bestFit="1" customWidth="1"/>
    <col min="8471" max="8472" width="9.33203125" customWidth="1"/>
    <col min="8473" max="8473" width="7" bestFit="1" customWidth="1"/>
    <col min="8474" max="8475" width="9.33203125" customWidth="1"/>
    <col min="8476" max="8476" width="4.6640625" bestFit="1" customWidth="1"/>
    <col min="8477" max="8477" width="9.33203125" customWidth="1"/>
    <col min="8478" max="8478" width="10.33203125" bestFit="1" customWidth="1"/>
    <col min="8479" max="8479" width="9.109375" bestFit="1" customWidth="1"/>
    <col min="8480" max="8481" width="9.33203125" customWidth="1"/>
    <col min="8482" max="8482" width="4.6640625" bestFit="1" customWidth="1"/>
    <col min="8483" max="8484" width="9.33203125" customWidth="1"/>
    <col min="8485" max="8485" width="4.6640625" bestFit="1" customWidth="1"/>
    <col min="8486" max="8487" width="9.33203125" customWidth="1"/>
    <col min="8488" max="8488" width="4" bestFit="1" customWidth="1"/>
    <col min="8489" max="8489" width="10.5546875" bestFit="1" customWidth="1"/>
    <col min="8491" max="8491" width="10.5546875" bestFit="1" customWidth="1"/>
    <col min="8494" max="8494" width="10.33203125" bestFit="1" customWidth="1"/>
    <col min="8495" max="8495" width="9.33203125" bestFit="1" customWidth="1"/>
    <col min="8496" max="8496" width="10.33203125" bestFit="1" customWidth="1"/>
    <col min="8705" max="8705" width="13.6640625" customWidth="1"/>
    <col min="8706" max="8707" width="9.88671875" bestFit="1" customWidth="1"/>
    <col min="8708" max="8708" width="10" bestFit="1" customWidth="1"/>
    <col min="8709" max="8710" width="9.33203125" customWidth="1"/>
    <col min="8711" max="8711" width="4" bestFit="1" customWidth="1"/>
    <col min="8712" max="8713" width="9.33203125" customWidth="1"/>
    <col min="8714" max="8714" width="4.6640625" bestFit="1" customWidth="1"/>
    <col min="8715" max="8716" width="9.33203125" customWidth="1"/>
    <col min="8717" max="8717" width="10" bestFit="1" customWidth="1"/>
    <col min="8718" max="8719" width="9.33203125" customWidth="1"/>
    <col min="8720" max="8720" width="10" bestFit="1" customWidth="1"/>
    <col min="8721" max="8722" width="9.33203125" customWidth="1"/>
    <col min="8723" max="8723" width="4.6640625" bestFit="1" customWidth="1"/>
    <col min="8724" max="8725" width="9.33203125" customWidth="1"/>
    <col min="8726" max="8726" width="8.6640625" bestFit="1" customWidth="1"/>
    <col min="8727" max="8728" width="9.33203125" customWidth="1"/>
    <col min="8729" max="8729" width="7" bestFit="1" customWidth="1"/>
    <col min="8730" max="8731" width="9.33203125" customWidth="1"/>
    <col min="8732" max="8732" width="4.6640625" bestFit="1" customWidth="1"/>
    <col min="8733" max="8733" width="9.33203125" customWidth="1"/>
    <col min="8734" max="8734" width="10.33203125" bestFit="1" customWidth="1"/>
    <col min="8735" max="8735" width="9.109375" bestFit="1" customWidth="1"/>
    <col min="8736" max="8737" width="9.33203125" customWidth="1"/>
    <col min="8738" max="8738" width="4.6640625" bestFit="1" customWidth="1"/>
    <col min="8739" max="8740" width="9.33203125" customWidth="1"/>
    <col min="8741" max="8741" width="4.6640625" bestFit="1" customWidth="1"/>
    <col min="8742" max="8743" width="9.33203125" customWidth="1"/>
    <col min="8744" max="8744" width="4" bestFit="1" customWidth="1"/>
    <col min="8745" max="8745" width="10.5546875" bestFit="1" customWidth="1"/>
    <col min="8747" max="8747" width="10.5546875" bestFit="1" customWidth="1"/>
    <col min="8750" max="8750" width="10.33203125" bestFit="1" customWidth="1"/>
    <col min="8751" max="8751" width="9.33203125" bestFit="1" customWidth="1"/>
    <col min="8752" max="8752" width="10.33203125" bestFit="1" customWidth="1"/>
    <col min="8961" max="8961" width="13.6640625" customWidth="1"/>
    <col min="8962" max="8963" width="9.88671875" bestFit="1" customWidth="1"/>
    <col min="8964" max="8964" width="10" bestFit="1" customWidth="1"/>
    <col min="8965" max="8966" width="9.33203125" customWidth="1"/>
    <col min="8967" max="8967" width="4" bestFit="1" customWidth="1"/>
    <col min="8968" max="8969" width="9.33203125" customWidth="1"/>
    <col min="8970" max="8970" width="4.6640625" bestFit="1" customWidth="1"/>
    <col min="8971" max="8972" width="9.33203125" customWidth="1"/>
    <col min="8973" max="8973" width="10" bestFit="1" customWidth="1"/>
    <col min="8974" max="8975" width="9.33203125" customWidth="1"/>
    <col min="8976" max="8976" width="10" bestFit="1" customWidth="1"/>
    <col min="8977" max="8978" width="9.33203125" customWidth="1"/>
    <col min="8979" max="8979" width="4.6640625" bestFit="1" customWidth="1"/>
    <col min="8980" max="8981" width="9.33203125" customWidth="1"/>
    <col min="8982" max="8982" width="8.6640625" bestFit="1" customWidth="1"/>
    <col min="8983" max="8984" width="9.33203125" customWidth="1"/>
    <col min="8985" max="8985" width="7" bestFit="1" customWidth="1"/>
    <col min="8986" max="8987" width="9.33203125" customWidth="1"/>
    <col min="8988" max="8988" width="4.6640625" bestFit="1" customWidth="1"/>
    <col min="8989" max="8989" width="9.33203125" customWidth="1"/>
    <col min="8990" max="8990" width="10.33203125" bestFit="1" customWidth="1"/>
    <col min="8991" max="8991" width="9.109375" bestFit="1" customWidth="1"/>
    <col min="8992" max="8993" width="9.33203125" customWidth="1"/>
    <col min="8994" max="8994" width="4.6640625" bestFit="1" customWidth="1"/>
    <col min="8995" max="8996" width="9.33203125" customWidth="1"/>
    <col min="8997" max="8997" width="4.6640625" bestFit="1" customWidth="1"/>
    <col min="8998" max="8999" width="9.33203125" customWidth="1"/>
    <col min="9000" max="9000" width="4" bestFit="1" customWidth="1"/>
    <col min="9001" max="9001" width="10.5546875" bestFit="1" customWidth="1"/>
    <col min="9003" max="9003" width="10.5546875" bestFit="1" customWidth="1"/>
    <col min="9006" max="9006" width="10.33203125" bestFit="1" customWidth="1"/>
    <col min="9007" max="9007" width="9.33203125" bestFit="1" customWidth="1"/>
    <col min="9008" max="9008" width="10.33203125" bestFit="1" customWidth="1"/>
    <col min="9217" max="9217" width="13.6640625" customWidth="1"/>
    <col min="9218" max="9219" width="9.88671875" bestFit="1" customWidth="1"/>
    <col min="9220" max="9220" width="10" bestFit="1" customWidth="1"/>
    <col min="9221" max="9222" width="9.33203125" customWidth="1"/>
    <col min="9223" max="9223" width="4" bestFit="1" customWidth="1"/>
    <col min="9224" max="9225" width="9.33203125" customWidth="1"/>
    <col min="9226" max="9226" width="4.6640625" bestFit="1" customWidth="1"/>
    <col min="9227" max="9228" width="9.33203125" customWidth="1"/>
    <col min="9229" max="9229" width="10" bestFit="1" customWidth="1"/>
    <col min="9230" max="9231" width="9.33203125" customWidth="1"/>
    <col min="9232" max="9232" width="10" bestFit="1" customWidth="1"/>
    <col min="9233" max="9234" width="9.33203125" customWidth="1"/>
    <col min="9235" max="9235" width="4.6640625" bestFit="1" customWidth="1"/>
    <col min="9236" max="9237" width="9.33203125" customWidth="1"/>
    <col min="9238" max="9238" width="8.6640625" bestFit="1" customWidth="1"/>
    <col min="9239" max="9240" width="9.33203125" customWidth="1"/>
    <col min="9241" max="9241" width="7" bestFit="1" customWidth="1"/>
    <col min="9242" max="9243" width="9.33203125" customWidth="1"/>
    <col min="9244" max="9244" width="4.6640625" bestFit="1" customWidth="1"/>
    <col min="9245" max="9245" width="9.33203125" customWidth="1"/>
    <col min="9246" max="9246" width="10.33203125" bestFit="1" customWidth="1"/>
    <col min="9247" max="9247" width="9.109375" bestFit="1" customWidth="1"/>
    <col min="9248" max="9249" width="9.33203125" customWidth="1"/>
    <col min="9250" max="9250" width="4.6640625" bestFit="1" customWidth="1"/>
    <col min="9251" max="9252" width="9.33203125" customWidth="1"/>
    <col min="9253" max="9253" width="4.6640625" bestFit="1" customWidth="1"/>
    <col min="9254" max="9255" width="9.33203125" customWidth="1"/>
    <col min="9256" max="9256" width="4" bestFit="1" customWidth="1"/>
    <col min="9257" max="9257" width="10.5546875" bestFit="1" customWidth="1"/>
    <col min="9259" max="9259" width="10.5546875" bestFit="1" customWidth="1"/>
    <col min="9262" max="9262" width="10.33203125" bestFit="1" customWidth="1"/>
    <col min="9263" max="9263" width="9.33203125" bestFit="1" customWidth="1"/>
    <col min="9264" max="9264" width="10.33203125" bestFit="1" customWidth="1"/>
    <col min="9473" max="9473" width="13.6640625" customWidth="1"/>
    <col min="9474" max="9475" width="9.88671875" bestFit="1" customWidth="1"/>
    <col min="9476" max="9476" width="10" bestFit="1" customWidth="1"/>
    <col min="9477" max="9478" width="9.33203125" customWidth="1"/>
    <col min="9479" max="9479" width="4" bestFit="1" customWidth="1"/>
    <col min="9480" max="9481" width="9.33203125" customWidth="1"/>
    <col min="9482" max="9482" width="4.6640625" bestFit="1" customWidth="1"/>
    <col min="9483" max="9484" width="9.33203125" customWidth="1"/>
    <col min="9485" max="9485" width="10" bestFit="1" customWidth="1"/>
    <col min="9486" max="9487" width="9.33203125" customWidth="1"/>
    <col min="9488" max="9488" width="10" bestFit="1" customWidth="1"/>
    <col min="9489" max="9490" width="9.33203125" customWidth="1"/>
    <col min="9491" max="9491" width="4.6640625" bestFit="1" customWidth="1"/>
    <col min="9492" max="9493" width="9.33203125" customWidth="1"/>
    <col min="9494" max="9494" width="8.6640625" bestFit="1" customWidth="1"/>
    <col min="9495" max="9496" width="9.33203125" customWidth="1"/>
    <col min="9497" max="9497" width="7" bestFit="1" customWidth="1"/>
    <col min="9498" max="9499" width="9.33203125" customWidth="1"/>
    <col min="9500" max="9500" width="4.6640625" bestFit="1" customWidth="1"/>
    <col min="9501" max="9501" width="9.33203125" customWidth="1"/>
    <col min="9502" max="9502" width="10.33203125" bestFit="1" customWidth="1"/>
    <col min="9503" max="9503" width="9.109375" bestFit="1" customWidth="1"/>
    <col min="9504" max="9505" width="9.33203125" customWidth="1"/>
    <col min="9506" max="9506" width="4.6640625" bestFit="1" customWidth="1"/>
    <col min="9507" max="9508" width="9.33203125" customWidth="1"/>
    <col min="9509" max="9509" width="4.6640625" bestFit="1" customWidth="1"/>
    <col min="9510" max="9511" width="9.33203125" customWidth="1"/>
    <col min="9512" max="9512" width="4" bestFit="1" customWidth="1"/>
    <col min="9513" max="9513" width="10.5546875" bestFit="1" customWidth="1"/>
    <col min="9515" max="9515" width="10.5546875" bestFit="1" customWidth="1"/>
    <col min="9518" max="9518" width="10.33203125" bestFit="1" customWidth="1"/>
    <col min="9519" max="9519" width="9.33203125" bestFit="1" customWidth="1"/>
    <col min="9520" max="9520" width="10.33203125" bestFit="1" customWidth="1"/>
    <col min="9729" max="9729" width="13.6640625" customWidth="1"/>
    <col min="9730" max="9731" width="9.88671875" bestFit="1" customWidth="1"/>
    <col min="9732" max="9732" width="10" bestFit="1" customWidth="1"/>
    <col min="9733" max="9734" width="9.33203125" customWidth="1"/>
    <col min="9735" max="9735" width="4" bestFit="1" customWidth="1"/>
    <col min="9736" max="9737" width="9.33203125" customWidth="1"/>
    <col min="9738" max="9738" width="4.6640625" bestFit="1" customWidth="1"/>
    <col min="9739" max="9740" width="9.33203125" customWidth="1"/>
    <col min="9741" max="9741" width="10" bestFit="1" customWidth="1"/>
    <col min="9742" max="9743" width="9.33203125" customWidth="1"/>
    <col min="9744" max="9744" width="10" bestFit="1" customWidth="1"/>
    <col min="9745" max="9746" width="9.33203125" customWidth="1"/>
    <col min="9747" max="9747" width="4.6640625" bestFit="1" customWidth="1"/>
    <col min="9748" max="9749" width="9.33203125" customWidth="1"/>
    <col min="9750" max="9750" width="8.6640625" bestFit="1" customWidth="1"/>
    <col min="9751" max="9752" width="9.33203125" customWidth="1"/>
    <col min="9753" max="9753" width="7" bestFit="1" customWidth="1"/>
    <col min="9754" max="9755" width="9.33203125" customWidth="1"/>
    <col min="9756" max="9756" width="4.6640625" bestFit="1" customWidth="1"/>
    <col min="9757" max="9757" width="9.33203125" customWidth="1"/>
    <col min="9758" max="9758" width="10.33203125" bestFit="1" customWidth="1"/>
    <col min="9759" max="9759" width="9.109375" bestFit="1" customWidth="1"/>
    <col min="9760" max="9761" width="9.33203125" customWidth="1"/>
    <col min="9762" max="9762" width="4.6640625" bestFit="1" customWidth="1"/>
    <col min="9763" max="9764" width="9.33203125" customWidth="1"/>
    <col min="9765" max="9765" width="4.6640625" bestFit="1" customWidth="1"/>
    <col min="9766" max="9767" width="9.33203125" customWidth="1"/>
    <col min="9768" max="9768" width="4" bestFit="1" customWidth="1"/>
    <col min="9769" max="9769" width="10.5546875" bestFit="1" customWidth="1"/>
    <col min="9771" max="9771" width="10.5546875" bestFit="1" customWidth="1"/>
    <col min="9774" max="9774" width="10.33203125" bestFit="1" customWidth="1"/>
    <col min="9775" max="9775" width="9.33203125" bestFit="1" customWidth="1"/>
    <col min="9776" max="9776" width="10.33203125" bestFit="1" customWidth="1"/>
    <col min="9985" max="9985" width="13.6640625" customWidth="1"/>
    <col min="9986" max="9987" width="9.88671875" bestFit="1" customWidth="1"/>
    <col min="9988" max="9988" width="10" bestFit="1" customWidth="1"/>
    <col min="9989" max="9990" width="9.33203125" customWidth="1"/>
    <col min="9991" max="9991" width="4" bestFit="1" customWidth="1"/>
    <col min="9992" max="9993" width="9.33203125" customWidth="1"/>
    <col min="9994" max="9994" width="4.6640625" bestFit="1" customWidth="1"/>
    <col min="9995" max="9996" width="9.33203125" customWidth="1"/>
    <col min="9997" max="9997" width="10" bestFit="1" customWidth="1"/>
    <col min="9998" max="9999" width="9.33203125" customWidth="1"/>
    <col min="10000" max="10000" width="10" bestFit="1" customWidth="1"/>
    <col min="10001" max="10002" width="9.33203125" customWidth="1"/>
    <col min="10003" max="10003" width="4.6640625" bestFit="1" customWidth="1"/>
    <col min="10004" max="10005" width="9.33203125" customWidth="1"/>
    <col min="10006" max="10006" width="8.6640625" bestFit="1" customWidth="1"/>
    <col min="10007" max="10008" width="9.33203125" customWidth="1"/>
    <col min="10009" max="10009" width="7" bestFit="1" customWidth="1"/>
    <col min="10010" max="10011" width="9.33203125" customWidth="1"/>
    <col min="10012" max="10012" width="4.6640625" bestFit="1" customWidth="1"/>
    <col min="10013" max="10013" width="9.33203125" customWidth="1"/>
    <col min="10014" max="10014" width="10.33203125" bestFit="1" customWidth="1"/>
    <col min="10015" max="10015" width="9.109375" bestFit="1" customWidth="1"/>
    <col min="10016" max="10017" width="9.33203125" customWidth="1"/>
    <col min="10018" max="10018" width="4.6640625" bestFit="1" customWidth="1"/>
    <col min="10019" max="10020" width="9.33203125" customWidth="1"/>
    <col min="10021" max="10021" width="4.6640625" bestFit="1" customWidth="1"/>
    <col min="10022" max="10023" width="9.33203125" customWidth="1"/>
    <col min="10024" max="10024" width="4" bestFit="1" customWidth="1"/>
    <col min="10025" max="10025" width="10.5546875" bestFit="1" customWidth="1"/>
    <col min="10027" max="10027" width="10.5546875" bestFit="1" customWidth="1"/>
    <col min="10030" max="10030" width="10.33203125" bestFit="1" customWidth="1"/>
    <col min="10031" max="10031" width="9.33203125" bestFit="1" customWidth="1"/>
    <col min="10032" max="10032" width="10.33203125" bestFit="1" customWidth="1"/>
    <col min="10241" max="10241" width="13.6640625" customWidth="1"/>
    <col min="10242" max="10243" width="9.88671875" bestFit="1" customWidth="1"/>
    <col min="10244" max="10244" width="10" bestFit="1" customWidth="1"/>
    <col min="10245" max="10246" width="9.33203125" customWidth="1"/>
    <col min="10247" max="10247" width="4" bestFit="1" customWidth="1"/>
    <col min="10248" max="10249" width="9.33203125" customWidth="1"/>
    <col min="10250" max="10250" width="4.6640625" bestFit="1" customWidth="1"/>
    <col min="10251" max="10252" width="9.33203125" customWidth="1"/>
    <col min="10253" max="10253" width="10" bestFit="1" customWidth="1"/>
    <col min="10254" max="10255" width="9.33203125" customWidth="1"/>
    <col min="10256" max="10256" width="10" bestFit="1" customWidth="1"/>
    <col min="10257" max="10258" width="9.33203125" customWidth="1"/>
    <col min="10259" max="10259" width="4.6640625" bestFit="1" customWidth="1"/>
    <col min="10260" max="10261" width="9.33203125" customWidth="1"/>
    <col min="10262" max="10262" width="8.6640625" bestFit="1" customWidth="1"/>
    <col min="10263" max="10264" width="9.33203125" customWidth="1"/>
    <col min="10265" max="10265" width="7" bestFit="1" customWidth="1"/>
    <col min="10266" max="10267" width="9.33203125" customWidth="1"/>
    <col min="10268" max="10268" width="4.6640625" bestFit="1" customWidth="1"/>
    <col min="10269" max="10269" width="9.33203125" customWidth="1"/>
    <col min="10270" max="10270" width="10.33203125" bestFit="1" customWidth="1"/>
    <col min="10271" max="10271" width="9.109375" bestFit="1" customWidth="1"/>
    <col min="10272" max="10273" width="9.33203125" customWidth="1"/>
    <col min="10274" max="10274" width="4.6640625" bestFit="1" customWidth="1"/>
    <col min="10275" max="10276" width="9.33203125" customWidth="1"/>
    <col min="10277" max="10277" width="4.6640625" bestFit="1" customWidth="1"/>
    <col min="10278" max="10279" width="9.33203125" customWidth="1"/>
    <col min="10280" max="10280" width="4" bestFit="1" customWidth="1"/>
    <col min="10281" max="10281" width="10.5546875" bestFit="1" customWidth="1"/>
    <col min="10283" max="10283" width="10.5546875" bestFit="1" customWidth="1"/>
    <col min="10286" max="10286" width="10.33203125" bestFit="1" customWidth="1"/>
    <col min="10287" max="10287" width="9.33203125" bestFit="1" customWidth="1"/>
    <col min="10288" max="10288" width="10.33203125" bestFit="1" customWidth="1"/>
    <col min="10497" max="10497" width="13.6640625" customWidth="1"/>
    <col min="10498" max="10499" width="9.88671875" bestFit="1" customWidth="1"/>
    <col min="10500" max="10500" width="10" bestFit="1" customWidth="1"/>
    <col min="10501" max="10502" width="9.33203125" customWidth="1"/>
    <col min="10503" max="10503" width="4" bestFit="1" customWidth="1"/>
    <col min="10504" max="10505" width="9.33203125" customWidth="1"/>
    <col min="10506" max="10506" width="4.6640625" bestFit="1" customWidth="1"/>
    <col min="10507" max="10508" width="9.33203125" customWidth="1"/>
    <col min="10509" max="10509" width="10" bestFit="1" customWidth="1"/>
    <col min="10510" max="10511" width="9.33203125" customWidth="1"/>
    <col min="10512" max="10512" width="10" bestFit="1" customWidth="1"/>
    <col min="10513" max="10514" width="9.33203125" customWidth="1"/>
    <col min="10515" max="10515" width="4.6640625" bestFit="1" customWidth="1"/>
    <col min="10516" max="10517" width="9.33203125" customWidth="1"/>
    <col min="10518" max="10518" width="8.6640625" bestFit="1" customWidth="1"/>
    <col min="10519" max="10520" width="9.33203125" customWidth="1"/>
    <col min="10521" max="10521" width="7" bestFit="1" customWidth="1"/>
    <col min="10522" max="10523" width="9.33203125" customWidth="1"/>
    <col min="10524" max="10524" width="4.6640625" bestFit="1" customWidth="1"/>
    <col min="10525" max="10525" width="9.33203125" customWidth="1"/>
    <col min="10526" max="10526" width="10.33203125" bestFit="1" customWidth="1"/>
    <col min="10527" max="10527" width="9.109375" bestFit="1" customWidth="1"/>
    <col min="10528" max="10529" width="9.33203125" customWidth="1"/>
    <col min="10530" max="10530" width="4.6640625" bestFit="1" customWidth="1"/>
    <col min="10531" max="10532" width="9.33203125" customWidth="1"/>
    <col min="10533" max="10533" width="4.6640625" bestFit="1" customWidth="1"/>
    <col min="10534" max="10535" width="9.33203125" customWidth="1"/>
    <col min="10536" max="10536" width="4" bestFit="1" customWidth="1"/>
    <col min="10537" max="10537" width="10.5546875" bestFit="1" customWidth="1"/>
    <col min="10539" max="10539" width="10.5546875" bestFit="1" customWidth="1"/>
    <col min="10542" max="10542" width="10.33203125" bestFit="1" customWidth="1"/>
    <col min="10543" max="10543" width="9.33203125" bestFit="1" customWidth="1"/>
    <col min="10544" max="10544" width="10.33203125" bestFit="1" customWidth="1"/>
    <col min="10753" max="10753" width="13.6640625" customWidth="1"/>
    <col min="10754" max="10755" width="9.88671875" bestFit="1" customWidth="1"/>
    <col min="10756" max="10756" width="10" bestFit="1" customWidth="1"/>
    <col min="10757" max="10758" width="9.33203125" customWidth="1"/>
    <col min="10759" max="10759" width="4" bestFit="1" customWidth="1"/>
    <col min="10760" max="10761" width="9.33203125" customWidth="1"/>
    <col min="10762" max="10762" width="4.6640625" bestFit="1" customWidth="1"/>
    <col min="10763" max="10764" width="9.33203125" customWidth="1"/>
    <col min="10765" max="10765" width="10" bestFit="1" customWidth="1"/>
    <col min="10766" max="10767" width="9.33203125" customWidth="1"/>
    <col min="10768" max="10768" width="10" bestFit="1" customWidth="1"/>
    <col min="10769" max="10770" width="9.33203125" customWidth="1"/>
    <col min="10771" max="10771" width="4.6640625" bestFit="1" customWidth="1"/>
    <col min="10772" max="10773" width="9.33203125" customWidth="1"/>
    <col min="10774" max="10774" width="8.6640625" bestFit="1" customWidth="1"/>
    <col min="10775" max="10776" width="9.33203125" customWidth="1"/>
    <col min="10777" max="10777" width="7" bestFit="1" customWidth="1"/>
    <col min="10778" max="10779" width="9.33203125" customWidth="1"/>
    <col min="10780" max="10780" width="4.6640625" bestFit="1" customWidth="1"/>
    <col min="10781" max="10781" width="9.33203125" customWidth="1"/>
    <col min="10782" max="10782" width="10.33203125" bestFit="1" customWidth="1"/>
    <col min="10783" max="10783" width="9.109375" bestFit="1" customWidth="1"/>
    <col min="10784" max="10785" width="9.33203125" customWidth="1"/>
    <col min="10786" max="10786" width="4.6640625" bestFit="1" customWidth="1"/>
    <col min="10787" max="10788" width="9.33203125" customWidth="1"/>
    <col min="10789" max="10789" width="4.6640625" bestFit="1" customWidth="1"/>
    <col min="10790" max="10791" width="9.33203125" customWidth="1"/>
    <col min="10792" max="10792" width="4" bestFit="1" customWidth="1"/>
    <col min="10793" max="10793" width="10.5546875" bestFit="1" customWidth="1"/>
    <col min="10795" max="10795" width="10.5546875" bestFit="1" customWidth="1"/>
    <col min="10798" max="10798" width="10.33203125" bestFit="1" customWidth="1"/>
    <col min="10799" max="10799" width="9.33203125" bestFit="1" customWidth="1"/>
    <col min="10800" max="10800" width="10.33203125" bestFit="1" customWidth="1"/>
    <col min="11009" max="11009" width="13.6640625" customWidth="1"/>
    <col min="11010" max="11011" width="9.88671875" bestFit="1" customWidth="1"/>
    <col min="11012" max="11012" width="10" bestFit="1" customWidth="1"/>
    <col min="11013" max="11014" width="9.33203125" customWidth="1"/>
    <col min="11015" max="11015" width="4" bestFit="1" customWidth="1"/>
    <col min="11016" max="11017" width="9.33203125" customWidth="1"/>
    <col min="11018" max="11018" width="4.6640625" bestFit="1" customWidth="1"/>
    <col min="11019" max="11020" width="9.33203125" customWidth="1"/>
    <col min="11021" max="11021" width="10" bestFit="1" customWidth="1"/>
    <col min="11022" max="11023" width="9.33203125" customWidth="1"/>
    <col min="11024" max="11024" width="10" bestFit="1" customWidth="1"/>
    <col min="11025" max="11026" width="9.33203125" customWidth="1"/>
    <col min="11027" max="11027" width="4.6640625" bestFit="1" customWidth="1"/>
    <col min="11028" max="11029" width="9.33203125" customWidth="1"/>
    <col min="11030" max="11030" width="8.6640625" bestFit="1" customWidth="1"/>
    <col min="11031" max="11032" width="9.33203125" customWidth="1"/>
    <col min="11033" max="11033" width="7" bestFit="1" customWidth="1"/>
    <col min="11034" max="11035" width="9.33203125" customWidth="1"/>
    <col min="11036" max="11036" width="4.6640625" bestFit="1" customWidth="1"/>
    <col min="11037" max="11037" width="9.33203125" customWidth="1"/>
    <col min="11038" max="11038" width="10.33203125" bestFit="1" customWidth="1"/>
    <col min="11039" max="11039" width="9.109375" bestFit="1" customWidth="1"/>
    <col min="11040" max="11041" width="9.33203125" customWidth="1"/>
    <col min="11042" max="11042" width="4.6640625" bestFit="1" customWidth="1"/>
    <col min="11043" max="11044" width="9.33203125" customWidth="1"/>
    <col min="11045" max="11045" width="4.6640625" bestFit="1" customWidth="1"/>
    <col min="11046" max="11047" width="9.33203125" customWidth="1"/>
    <col min="11048" max="11048" width="4" bestFit="1" customWidth="1"/>
    <col min="11049" max="11049" width="10.5546875" bestFit="1" customWidth="1"/>
    <col min="11051" max="11051" width="10.5546875" bestFit="1" customWidth="1"/>
    <col min="11054" max="11054" width="10.33203125" bestFit="1" customWidth="1"/>
    <col min="11055" max="11055" width="9.33203125" bestFit="1" customWidth="1"/>
    <col min="11056" max="11056" width="10.33203125" bestFit="1" customWidth="1"/>
    <col min="11265" max="11265" width="13.6640625" customWidth="1"/>
    <col min="11266" max="11267" width="9.88671875" bestFit="1" customWidth="1"/>
    <col min="11268" max="11268" width="10" bestFit="1" customWidth="1"/>
    <col min="11269" max="11270" width="9.33203125" customWidth="1"/>
    <col min="11271" max="11271" width="4" bestFit="1" customWidth="1"/>
    <col min="11272" max="11273" width="9.33203125" customWidth="1"/>
    <col min="11274" max="11274" width="4.6640625" bestFit="1" customWidth="1"/>
    <col min="11275" max="11276" width="9.33203125" customWidth="1"/>
    <col min="11277" max="11277" width="10" bestFit="1" customWidth="1"/>
    <col min="11278" max="11279" width="9.33203125" customWidth="1"/>
    <col min="11280" max="11280" width="10" bestFit="1" customWidth="1"/>
    <col min="11281" max="11282" width="9.33203125" customWidth="1"/>
    <col min="11283" max="11283" width="4.6640625" bestFit="1" customWidth="1"/>
    <col min="11284" max="11285" width="9.33203125" customWidth="1"/>
    <col min="11286" max="11286" width="8.6640625" bestFit="1" customWidth="1"/>
    <col min="11287" max="11288" width="9.33203125" customWidth="1"/>
    <col min="11289" max="11289" width="7" bestFit="1" customWidth="1"/>
    <col min="11290" max="11291" width="9.33203125" customWidth="1"/>
    <col min="11292" max="11292" width="4.6640625" bestFit="1" customWidth="1"/>
    <col min="11293" max="11293" width="9.33203125" customWidth="1"/>
    <col min="11294" max="11294" width="10.33203125" bestFit="1" customWidth="1"/>
    <col min="11295" max="11295" width="9.109375" bestFit="1" customWidth="1"/>
    <col min="11296" max="11297" width="9.33203125" customWidth="1"/>
    <col min="11298" max="11298" width="4.6640625" bestFit="1" customWidth="1"/>
    <col min="11299" max="11300" width="9.33203125" customWidth="1"/>
    <col min="11301" max="11301" width="4.6640625" bestFit="1" customWidth="1"/>
    <col min="11302" max="11303" width="9.33203125" customWidth="1"/>
    <col min="11304" max="11304" width="4" bestFit="1" customWidth="1"/>
    <col min="11305" max="11305" width="10.5546875" bestFit="1" customWidth="1"/>
    <col min="11307" max="11307" width="10.5546875" bestFit="1" customWidth="1"/>
    <col min="11310" max="11310" width="10.33203125" bestFit="1" customWidth="1"/>
    <col min="11311" max="11311" width="9.33203125" bestFit="1" customWidth="1"/>
    <col min="11312" max="11312" width="10.33203125" bestFit="1" customWidth="1"/>
    <col min="11521" max="11521" width="13.6640625" customWidth="1"/>
    <col min="11522" max="11523" width="9.88671875" bestFit="1" customWidth="1"/>
    <col min="11524" max="11524" width="10" bestFit="1" customWidth="1"/>
    <col min="11525" max="11526" width="9.33203125" customWidth="1"/>
    <col min="11527" max="11527" width="4" bestFit="1" customWidth="1"/>
    <col min="11528" max="11529" width="9.33203125" customWidth="1"/>
    <col min="11530" max="11530" width="4.6640625" bestFit="1" customWidth="1"/>
    <col min="11531" max="11532" width="9.33203125" customWidth="1"/>
    <col min="11533" max="11533" width="10" bestFit="1" customWidth="1"/>
    <col min="11534" max="11535" width="9.33203125" customWidth="1"/>
    <col min="11536" max="11536" width="10" bestFit="1" customWidth="1"/>
    <col min="11537" max="11538" width="9.33203125" customWidth="1"/>
    <col min="11539" max="11539" width="4.6640625" bestFit="1" customWidth="1"/>
    <col min="11540" max="11541" width="9.33203125" customWidth="1"/>
    <col min="11542" max="11542" width="8.6640625" bestFit="1" customWidth="1"/>
    <col min="11543" max="11544" width="9.33203125" customWidth="1"/>
    <col min="11545" max="11545" width="7" bestFit="1" customWidth="1"/>
    <col min="11546" max="11547" width="9.33203125" customWidth="1"/>
    <col min="11548" max="11548" width="4.6640625" bestFit="1" customWidth="1"/>
    <col min="11549" max="11549" width="9.33203125" customWidth="1"/>
    <col min="11550" max="11550" width="10.33203125" bestFit="1" customWidth="1"/>
    <col min="11551" max="11551" width="9.109375" bestFit="1" customWidth="1"/>
    <col min="11552" max="11553" width="9.33203125" customWidth="1"/>
    <col min="11554" max="11554" width="4.6640625" bestFit="1" customWidth="1"/>
    <col min="11555" max="11556" width="9.33203125" customWidth="1"/>
    <col min="11557" max="11557" width="4.6640625" bestFit="1" customWidth="1"/>
    <col min="11558" max="11559" width="9.33203125" customWidth="1"/>
    <col min="11560" max="11560" width="4" bestFit="1" customWidth="1"/>
    <col min="11561" max="11561" width="10.5546875" bestFit="1" customWidth="1"/>
    <col min="11563" max="11563" width="10.5546875" bestFit="1" customWidth="1"/>
    <col min="11566" max="11566" width="10.33203125" bestFit="1" customWidth="1"/>
    <col min="11567" max="11567" width="9.33203125" bestFit="1" customWidth="1"/>
    <col min="11568" max="11568" width="10.33203125" bestFit="1" customWidth="1"/>
    <col min="11777" max="11777" width="13.6640625" customWidth="1"/>
    <col min="11778" max="11779" width="9.88671875" bestFit="1" customWidth="1"/>
    <col min="11780" max="11780" width="10" bestFit="1" customWidth="1"/>
    <col min="11781" max="11782" width="9.33203125" customWidth="1"/>
    <col min="11783" max="11783" width="4" bestFit="1" customWidth="1"/>
    <col min="11784" max="11785" width="9.33203125" customWidth="1"/>
    <col min="11786" max="11786" width="4.6640625" bestFit="1" customWidth="1"/>
    <col min="11787" max="11788" width="9.33203125" customWidth="1"/>
    <col min="11789" max="11789" width="10" bestFit="1" customWidth="1"/>
    <col min="11790" max="11791" width="9.33203125" customWidth="1"/>
    <col min="11792" max="11792" width="10" bestFit="1" customWidth="1"/>
    <col min="11793" max="11794" width="9.33203125" customWidth="1"/>
    <col min="11795" max="11795" width="4.6640625" bestFit="1" customWidth="1"/>
    <col min="11796" max="11797" width="9.33203125" customWidth="1"/>
    <col min="11798" max="11798" width="8.6640625" bestFit="1" customWidth="1"/>
    <col min="11799" max="11800" width="9.33203125" customWidth="1"/>
    <col min="11801" max="11801" width="7" bestFit="1" customWidth="1"/>
    <col min="11802" max="11803" width="9.33203125" customWidth="1"/>
    <col min="11804" max="11804" width="4.6640625" bestFit="1" customWidth="1"/>
    <col min="11805" max="11805" width="9.33203125" customWidth="1"/>
    <col min="11806" max="11806" width="10.33203125" bestFit="1" customWidth="1"/>
    <col min="11807" max="11807" width="9.109375" bestFit="1" customWidth="1"/>
    <col min="11808" max="11809" width="9.33203125" customWidth="1"/>
    <col min="11810" max="11810" width="4.6640625" bestFit="1" customWidth="1"/>
    <col min="11811" max="11812" width="9.33203125" customWidth="1"/>
    <col min="11813" max="11813" width="4.6640625" bestFit="1" customWidth="1"/>
    <col min="11814" max="11815" width="9.33203125" customWidth="1"/>
    <col min="11816" max="11816" width="4" bestFit="1" customWidth="1"/>
    <col min="11817" max="11817" width="10.5546875" bestFit="1" customWidth="1"/>
    <col min="11819" max="11819" width="10.5546875" bestFit="1" customWidth="1"/>
    <col min="11822" max="11822" width="10.33203125" bestFit="1" customWidth="1"/>
    <col min="11823" max="11823" width="9.33203125" bestFit="1" customWidth="1"/>
    <col min="11824" max="11824" width="10.33203125" bestFit="1" customWidth="1"/>
    <col min="12033" max="12033" width="13.6640625" customWidth="1"/>
    <col min="12034" max="12035" width="9.88671875" bestFit="1" customWidth="1"/>
    <col min="12036" max="12036" width="10" bestFit="1" customWidth="1"/>
    <col min="12037" max="12038" width="9.33203125" customWidth="1"/>
    <col min="12039" max="12039" width="4" bestFit="1" customWidth="1"/>
    <col min="12040" max="12041" width="9.33203125" customWidth="1"/>
    <col min="12042" max="12042" width="4.6640625" bestFit="1" customWidth="1"/>
    <col min="12043" max="12044" width="9.33203125" customWidth="1"/>
    <col min="12045" max="12045" width="10" bestFit="1" customWidth="1"/>
    <col min="12046" max="12047" width="9.33203125" customWidth="1"/>
    <col min="12048" max="12048" width="10" bestFit="1" customWidth="1"/>
    <col min="12049" max="12050" width="9.33203125" customWidth="1"/>
    <col min="12051" max="12051" width="4.6640625" bestFit="1" customWidth="1"/>
    <col min="12052" max="12053" width="9.33203125" customWidth="1"/>
    <col min="12054" max="12054" width="8.6640625" bestFit="1" customWidth="1"/>
    <col min="12055" max="12056" width="9.33203125" customWidth="1"/>
    <col min="12057" max="12057" width="7" bestFit="1" customWidth="1"/>
    <col min="12058" max="12059" width="9.33203125" customWidth="1"/>
    <col min="12060" max="12060" width="4.6640625" bestFit="1" customWidth="1"/>
    <col min="12061" max="12061" width="9.33203125" customWidth="1"/>
    <col min="12062" max="12062" width="10.33203125" bestFit="1" customWidth="1"/>
    <col min="12063" max="12063" width="9.109375" bestFit="1" customWidth="1"/>
    <col min="12064" max="12065" width="9.33203125" customWidth="1"/>
    <col min="12066" max="12066" width="4.6640625" bestFit="1" customWidth="1"/>
    <col min="12067" max="12068" width="9.33203125" customWidth="1"/>
    <col min="12069" max="12069" width="4.6640625" bestFit="1" customWidth="1"/>
    <col min="12070" max="12071" width="9.33203125" customWidth="1"/>
    <col min="12072" max="12072" width="4" bestFit="1" customWidth="1"/>
    <col min="12073" max="12073" width="10.5546875" bestFit="1" customWidth="1"/>
    <col min="12075" max="12075" width="10.5546875" bestFit="1" customWidth="1"/>
    <col min="12078" max="12078" width="10.33203125" bestFit="1" customWidth="1"/>
    <col min="12079" max="12079" width="9.33203125" bestFit="1" customWidth="1"/>
    <col min="12080" max="12080" width="10.33203125" bestFit="1" customWidth="1"/>
    <col min="12289" max="12289" width="13.6640625" customWidth="1"/>
    <col min="12290" max="12291" width="9.88671875" bestFit="1" customWidth="1"/>
    <col min="12292" max="12292" width="10" bestFit="1" customWidth="1"/>
    <col min="12293" max="12294" width="9.33203125" customWidth="1"/>
    <col min="12295" max="12295" width="4" bestFit="1" customWidth="1"/>
    <col min="12296" max="12297" width="9.33203125" customWidth="1"/>
    <col min="12298" max="12298" width="4.6640625" bestFit="1" customWidth="1"/>
    <col min="12299" max="12300" width="9.33203125" customWidth="1"/>
    <col min="12301" max="12301" width="10" bestFit="1" customWidth="1"/>
    <col min="12302" max="12303" width="9.33203125" customWidth="1"/>
    <col min="12304" max="12304" width="10" bestFit="1" customWidth="1"/>
    <col min="12305" max="12306" width="9.33203125" customWidth="1"/>
    <col min="12307" max="12307" width="4.6640625" bestFit="1" customWidth="1"/>
    <col min="12308" max="12309" width="9.33203125" customWidth="1"/>
    <col min="12310" max="12310" width="8.6640625" bestFit="1" customWidth="1"/>
    <col min="12311" max="12312" width="9.33203125" customWidth="1"/>
    <col min="12313" max="12313" width="7" bestFit="1" customWidth="1"/>
    <col min="12314" max="12315" width="9.33203125" customWidth="1"/>
    <col min="12316" max="12316" width="4.6640625" bestFit="1" customWidth="1"/>
    <col min="12317" max="12317" width="9.33203125" customWidth="1"/>
    <col min="12318" max="12318" width="10.33203125" bestFit="1" customWidth="1"/>
    <col min="12319" max="12319" width="9.109375" bestFit="1" customWidth="1"/>
    <col min="12320" max="12321" width="9.33203125" customWidth="1"/>
    <col min="12322" max="12322" width="4.6640625" bestFit="1" customWidth="1"/>
    <col min="12323" max="12324" width="9.33203125" customWidth="1"/>
    <col min="12325" max="12325" width="4.6640625" bestFit="1" customWidth="1"/>
    <col min="12326" max="12327" width="9.33203125" customWidth="1"/>
    <col min="12328" max="12328" width="4" bestFit="1" customWidth="1"/>
    <col min="12329" max="12329" width="10.5546875" bestFit="1" customWidth="1"/>
    <col min="12331" max="12331" width="10.5546875" bestFit="1" customWidth="1"/>
    <col min="12334" max="12334" width="10.33203125" bestFit="1" customWidth="1"/>
    <col min="12335" max="12335" width="9.33203125" bestFit="1" customWidth="1"/>
    <col min="12336" max="12336" width="10.33203125" bestFit="1" customWidth="1"/>
    <col min="12545" max="12545" width="13.6640625" customWidth="1"/>
    <col min="12546" max="12547" width="9.88671875" bestFit="1" customWidth="1"/>
    <col min="12548" max="12548" width="10" bestFit="1" customWidth="1"/>
    <col min="12549" max="12550" width="9.33203125" customWidth="1"/>
    <col min="12551" max="12551" width="4" bestFit="1" customWidth="1"/>
    <col min="12552" max="12553" width="9.33203125" customWidth="1"/>
    <col min="12554" max="12554" width="4.6640625" bestFit="1" customWidth="1"/>
    <col min="12555" max="12556" width="9.33203125" customWidth="1"/>
    <col min="12557" max="12557" width="10" bestFit="1" customWidth="1"/>
    <col min="12558" max="12559" width="9.33203125" customWidth="1"/>
    <col min="12560" max="12560" width="10" bestFit="1" customWidth="1"/>
    <col min="12561" max="12562" width="9.33203125" customWidth="1"/>
    <col min="12563" max="12563" width="4.6640625" bestFit="1" customWidth="1"/>
    <col min="12564" max="12565" width="9.33203125" customWidth="1"/>
    <col min="12566" max="12566" width="8.6640625" bestFit="1" customWidth="1"/>
    <col min="12567" max="12568" width="9.33203125" customWidth="1"/>
    <col min="12569" max="12569" width="7" bestFit="1" customWidth="1"/>
    <col min="12570" max="12571" width="9.33203125" customWidth="1"/>
    <col min="12572" max="12572" width="4.6640625" bestFit="1" customWidth="1"/>
    <col min="12573" max="12573" width="9.33203125" customWidth="1"/>
    <col min="12574" max="12574" width="10.33203125" bestFit="1" customWidth="1"/>
    <col min="12575" max="12575" width="9.109375" bestFit="1" customWidth="1"/>
    <col min="12576" max="12577" width="9.33203125" customWidth="1"/>
    <col min="12578" max="12578" width="4.6640625" bestFit="1" customWidth="1"/>
    <col min="12579" max="12580" width="9.33203125" customWidth="1"/>
    <col min="12581" max="12581" width="4.6640625" bestFit="1" customWidth="1"/>
    <col min="12582" max="12583" width="9.33203125" customWidth="1"/>
    <col min="12584" max="12584" width="4" bestFit="1" customWidth="1"/>
    <col min="12585" max="12585" width="10.5546875" bestFit="1" customWidth="1"/>
    <col min="12587" max="12587" width="10.5546875" bestFit="1" customWidth="1"/>
    <col min="12590" max="12590" width="10.33203125" bestFit="1" customWidth="1"/>
    <col min="12591" max="12591" width="9.33203125" bestFit="1" customWidth="1"/>
    <col min="12592" max="12592" width="10.33203125" bestFit="1" customWidth="1"/>
    <col min="12801" max="12801" width="13.6640625" customWidth="1"/>
    <col min="12802" max="12803" width="9.88671875" bestFit="1" customWidth="1"/>
    <col min="12804" max="12804" width="10" bestFit="1" customWidth="1"/>
    <col min="12805" max="12806" width="9.33203125" customWidth="1"/>
    <col min="12807" max="12807" width="4" bestFit="1" customWidth="1"/>
    <col min="12808" max="12809" width="9.33203125" customWidth="1"/>
    <col min="12810" max="12810" width="4.6640625" bestFit="1" customWidth="1"/>
    <col min="12811" max="12812" width="9.33203125" customWidth="1"/>
    <col min="12813" max="12813" width="10" bestFit="1" customWidth="1"/>
    <col min="12814" max="12815" width="9.33203125" customWidth="1"/>
    <col min="12816" max="12816" width="10" bestFit="1" customWidth="1"/>
    <col min="12817" max="12818" width="9.33203125" customWidth="1"/>
    <col min="12819" max="12819" width="4.6640625" bestFit="1" customWidth="1"/>
    <col min="12820" max="12821" width="9.33203125" customWidth="1"/>
    <col min="12822" max="12822" width="8.6640625" bestFit="1" customWidth="1"/>
    <col min="12823" max="12824" width="9.33203125" customWidth="1"/>
    <col min="12825" max="12825" width="7" bestFit="1" customWidth="1"/>
    <col min="12826" max="12827" width="9.33203125" customWidth="1"/>
    <col min="12828" max="12828" width="4.6640625" bestFit="1" customWidth="1"/>
    <col min="12829" max="12829" width="9.33203125" customWidth="1"/>
    <col min="12830" max="12830" width="10.33203125" bestFit="1" customWidth="1"/>
    <col min="12831" max="12831" width="9.109375" bestFit="1" customWidth="1"/>
    <col min="12832" max="12833" width="9.33203125" customWidth="1"/>
    <col min="12834" max="12834" width="4.6640625" bestFit="1" customWidth="1"/>
    <col min="12835" max="12836" width="9.33203125" customWidth="1"/>
    <col min="12837" max="12837" width="4.6640625" bestFit="1" customWidth="1"/>
    <col min="12838" max="12839" width="9.33203125" customWidth="1"/>
    <col min="12840" max="12840" width="4" bestFit="1" customWidth="1"/>
    <col min="12841" max="12841" width="10.5546875" bestFit="1" customWidth="1"/>
    <col min="12843" max="12843" width="10.5546875" bestFit="1" customWidth="1"/>
    <col min="12846" max="12846" width="10.33203125" bestFit="1" customWidth="1"/>
    <col min="12847" max="12847" width="9.33203125" bestFit="1" customWidth="1"/>
    <col min="12848" max="12848" width="10.33203125" bestFit="1" customWidth="1"/>
    <col min="13057" max="13057" width="13.6640625" customWidth="1"/>
    <col min="13058" max="13059" width="9.88671875" bestFit="1" customWidth="1"/>
    <col min="13060" max="13060" width="10" bestFit="1" customWidth="1"/>
    <col min="13061" max="13062" width="9.33203125" customWidth="1"/>
    <col min="13063" max="13063" width="4" bestFit="1" customWidth="1"/>
    <col min="13064" max="13065" width="9.33203125" customWidth="1"/>
    <col min="13066" max="13066" width="4.6640625" bestFit="1" customWidth="1"/>
    <col min="13067" max="13068" width="9.33203125" customWidth="1"/>
    <col min="13069" max="13069" width="10" bestFit="1" customWidth="1"/>
    <col min="13070" max="13071" width="9.33203125" customWidth="1"/>
    <col min="13072" max="13072" width="10" bestFit="1" customWidth="1"/>
    <col min="13073" max="13074" width="9.33203125" customWidth="1"/>
    <col min="13075" max="13075" width="4.6640625" bestFit="1" customWidth="1"/>
    <col min="13076" max="13077" width="9.33203125" customWidth="1"/>
    <col min="13078" max="13078" width="8.6640625" bestFit="1" customWidth="1"/>
    <col min="13079" max="13080" width="9.33203125" customWidth="1"/>
    <col min="13081" max="13081" width="7" bestFit="1" customWidth="1"/>
    <col min="13082" max="13083" width="9.33203125" customWidth="1"/>
    <col min="13084" max="13084" width="4.6640625" bestFit="1" customWidth="1"/>
    <col min="13085" max="13085" width="9.33203125" customWidth="1"/>
    <col min="13086" max="13086" width="10.33203125" bestFit="1" customWidth="1"/>
    <col min="13087" max="13087" width="9.109375" bestFit="1" customWidth="1"/>
    <col min="13088" max="13089" width="9.33203125" customWidth="1"/>
    <col min="13090" max="13090" width="4.6640625" bestFit="1" customWidth="1"/>
    <col min="13091" max="13092" width="9.33203125" customWidth="1"/>
    <col min="13093" max="13093" width="4.6640625" bestFit="1" customWidth="1"/>
    <col min="13094" max="13095" width="9.33203125" customWidth="1"/>
    <col min="13096" max="13096" width="4" bestFit="1" customWidth="1"/>
    <col min="13097" max="13097" width="10.5546875" bestFit="1" customWidth="1"/>
    <col min="13099" max="13099" width="10.5546875" bestFit="1" customWidth="1"/>
    <col min="13102" max="13102" width="10.33203125" bestFit="1" customWidth="1"/>
    <col min="13103" max="13103" width="9.33203125" bestFit="1" customWidth="1"/>
    <col min="13104" max="13104" width="10.33203125" bestFit="1" customWidth="1"/>
    <col min="13313" max="13313" width="13.6640625" customWidth="1"/>
    <col min="13314" max="13315" width="9.88671875" bestFit="1" customWidth="1"/>
    <col min="13316" max="13316" width="10" bestFit="1" customWidth="1"/>
    <col min="13317" max="13318" width="9.33203125" customWidth="1"/>
    <col min="13319" max="13319" width="4" bestFit="1" customWidth="1"/>
    <col min="13320" max="13321" width="9.33203125" customWidth="1"/>
    <col min="13322" max="13322" width="4.6640625" bestFit="1" customWidth="1"/>
    <col min="13323" max="13324" width="9.33203125" customWidth="1"/>
    <col min="13325" max="13325" width="10" bestFit="1" customWidth="1"/>
    <col min="13326" max="13327" width="9.33203125" customWidth="1"/>
    <col min="13328" max="13328" width="10" bestFit="1" customWidth="1"/>
    <col min="13329" max="13330" width="9.33203125" customWidth="1"/>
    <col min="13331" max="13331" width="4.6640625" bestFit="1" customWidth="1"/>
    <col min="13332" max="13333" width="9.33203125" customWidth="1"/>
    <col min="13334" max="13334" width="8.6640625" bestFit="1" customWidth="1"/>
    <col min="13335" max="13336" width="9.33203125" customWidth="1"/>
    <col min="13337" max="13337" width="7" bestFit="1" customWidth="1"/>
    <col min="13338" max="13339" width="9.33203125" customWidth="1"/>
    <col min="13340" max="13340" width="4.6640625" bestFit="1" customWidth="1"/>
    <col min="13341" max="13341" width="9.33203125" customWidth="1"/>
    <col min="13342" max="13342" width="10.33203125" bestFit="1" customWidth="1"/>
    <col min="13343" max="13343" width="9.109375" bestFit="1" customWidth="1"/>
    <col min="13344" max="13345" width="9.33203125" customWidth="1"/>
    <col min="13346" max="13346" width="4.6640625" bestFit="1" customWidth="1"/>
    <col min="13347" max="13348" width="9.33203125" customWidth="1"/>
    <col min="13349" max="13349" width="4.6640625" bestFit="1" customWidth="1"/>
    <col min="13350" max="13351" width="9.33203125" customWidth="1"/>
    <col min="13352" max="13352" width="4" bestFit="1" customWidth="1"/>
    <col min="13353" max="13353" width="10.5546875" bestFit="1" customWidth="1"/>
    <col min="13355" max="13355" width="10.5546875" bestFit="1" customWidth="1"/>
    <col min="13358" max="13358" width="10.33203125" bestFit="1" customWidth="1"/>
    <col min="13359" max="13359" width="9.33203125" bestFit="1" customWidth="1"/>
    <col min="13360" max="13360" width="10.33203125" bestFit="1" customWidth="1"/>
    <col min="13569" max="13569" width="13.6640625" customWidth="1"/>
    <col min="13570" max="13571" width="9.88671875" bestFit="1" customWidth="1"/>
    <col min="13572" max="13572" width="10" bestFit="1" customWidth="1"/>
    <col min="13573" max="13574" width="9.33203125" customWidth="1"/>
    <col min="13575" max="13575" width="4" bestFit="1" customWidth="1"/>
    <col min="13576" max="13577" width="9.33203125" customWidth="1"/>
    <col min="13578" max="13578" width="4.6640625" bestFit="1" customWidth="1"/>
    <col min="13579" max="13580" width="9.33203125" customWidth="1"/>
    <col min="13581" max="13581" width="10" bestFit="1" customWidth="1"/>
    <col min="13582" max="13583" width="9.33203125" customWidth="1"/>
    <col min="13584" max="13584" width="10" bestFit="1" customWidth="1"/>
    <col min="13585" max="13586" width="9.33203125" customWidth="1"/>
    <col min="13587" max="13587" width="4.6640625" bestFit="1" customWidth="1"/>
    <col min="13588" max="13589" width="9.33203125" customWidth="1"/>
    <col min="13590" max="13590" width="8.6640625" bestFit="1" customWidth="1"/>
    <col min="13591" max="13592" width="9.33203125" customWidth="1"/>
    <col min="13593" max="13593" width="7" bestFit="1" customWidth="1"/>
    <col min="13594" max="13595" width="9.33203125" customWidth="1"/>
    <col min="13596" max="13596" width="4.6640625" bestFit="1" customWidth="1"/>
    <col min="13597" max="13597" width="9.33203125" customWidth="1"/>
    <col min="13598" max="13598" width="10.33203125" bestFit="1" customWidth="1"/>
    <col min="13599" max="13599" width="9.109375" bestFit="1" customWidth="1"/>
    <col min="13600" max="13601" width="9.33203125" customWidth="1"/>
    <col min="13602" max="13602" width="4.6640625" bestFit="1" customWidth="1"/>
    <col min="13603" max="13604" width="9.33203125" customWidth="1"/>
    <col min="13605" max="13605" width="4.6640625" bestFit="1" customWidth="1"/>
    <col min="13606" max="13607" width="9.33203125" customWidth="1"/>
    <col min="13608" max="13608" width="4" bestFit="1" customWidth="1"/>
    <col min="13609" max="13609" width="10.5546875" bestFit="1" customWidth="1"/>
    <col min="13611" max="13611" width="10.5546875" bestFit="1" customWidth="1"/>
    <col min="13614" max="13614" width="10.33203125" bestFit="1" customWidth="1"/>
    <col min="13615" max="13615" width="9.33203125" bestFit="1" customWidth="1"/>
    <col min="13616" max="13616" width="10.33203125" bestFit="1" customWidth="1"/>
    <col min="13825" max="13825" width="13.6640625" customWidth="1"/>
    <col min="13826" max="13827" width="9.88671875" bestFit="1" customWidth="1"/>
    <col min="13828" max="13828" width="10" bestFit="1" customWidth="1"/>
    <col min="13829" max="13830" width="9.33203125" customWidth="1"/>
    <col min="13831" max="13831" width="4" bestFit="1" customWidth="1"/>
    <col min="13832" max="13833" width="9.33203125" customWidth="1"/>
    <col min="13834" max="13834" width="4.6640625" bestFit="1" customWidth="1"/>
    <col min="13835" max="13836" width="9.33203125" customWidth="1"/>
    <col min="13837" max="13837" width="10" bestFit="1" customWidth="1"/>
    <col min="13838" max="13839" width="9.33203125" customWidth="1"/>
    <col min="13840" max="13840" width="10" bestFit="1" customWidth="1"/>
    <col min="13841" max="13842" width="9.33203125" customWidth="1"/>
    <col min="13843" max="13843" width="4.6640625" bestFit="1" customWidth="1"/>
    <col min="13844" max="13845" width="9.33203125" customWidth="1"/>
    <col min="13846" max="13846" width="8.6640625" bestFit="1" customWidth="1"/>
    <col min="13847" max="13848" width="9.33203125" customWidth="1"/>
    <col min="13849" max="13849" width="7" bestFit="1" customWidth="1"/>
    <col min="13850" max="13851" width="9.33203125" customWidth="1"/>
    <col min="13852" max="13852" width="4.6640625" bestFit="1" customWidth="1"/>
    <col min="13853" max="13853" width="9.33203125" customWidth="1"/>
    <col min="13854" max="13854" width="10.33203125" bestFit="1" customWidth="1"/>
    <col min="13855" max="13855" width="9.109375" bestFit="1" customWidth="1"/>
    <col min="13856" max="13857" width="9.33203125" customWidth="1"/>
    <col min="13858" max="13858" width="4.6640625" bestFit="1" customWidth="1"/>
    <col min="13859" max="13860" width="9.33203125" customWidth="1"/>
    <col min="13861" max="13861" width="4.6640625" bestFit="1" customWidth="1"/>
    <col min="13862" max="13863" width="9.33203125" customWidth="1"/>
    <col min="13864" max="13864" width="4" bestFit="1" customWidth="1"/>
    <col min="13865" max="13865" width="10.5546875" bestFit="1" customWidth="1"/>
    <col min="13867" max="13867" width="10.5546875" bestFit="1" customWidth="1"/>
    <col min="13870" max="13870" width="10.33203125" bestFit="1" customWidth="1"/>
    <col min="13871" max="13871" width="9.33203125" bestFit="1" customWidth="1"/>
    <col min="13872" max="13872" width="10.33203125" bestFit="1" customWidth="1"/>
    <col min="14081" max="14081" width="13.6640625" customWidth="1"/>
    <col min="14082" max="14083" width="9.88671875" bestFit="1" customWidth="1"/>
    <col min="14084" max="14084" width="10" bestFit="1" customWidth="1"/>
    <col min="14085" max="14086" width="9.33203125" customWidth="1"/>
    <col min="14087" max="14087" width="4" bestFit="1" customWidth="1"/>
    <col min="14088" max="14089" width="9.33203125" customWidth="1"/>
    <col min="14090" max="14090" width="4.6640625" bestFit="1" customWidth="1"/>
    <col min="14091" max="14092" width="9.33203125" customWidth="1"/>
    <col min="14093" max="14093" width="10" bestFit="1" customWidth="1"/>
    <col min="14094" max="14095" width="9.33203125" customWidth="1"/>
    <col min="14096" max="14096" width="10" bestFit="1" customWidth="1"/>
    <col min="14097" max="14098" width="9.33203125" customWidth="1"/>
    <col min="14099" max="14099" width="4.6640625" bestFit="1" customWidth="1"/>
    <col min="14100" max="14101" width="9.33203125" customWidth="1"/>
    <col min="14102" max="14102" width="8.6640625" bestFit="1" customWidth="1"/>
    <col min="14103" max="14104" width="9.33203125" customWidth="1"/>
    <col min="14105" max="14105" width="7" bestFit="1" customWidth="1"/>
    <col min="14106" max="14107" width="9.33203125" customWidth="1"/>
    <col min="14108" max="14108" width="4.6640625" bestFit="1" customWidth="1"/>
    <col min="14109" max="14109" width="9.33203125" customWidth="1"/>
    <col min="14110" max="14110" width="10.33203125" bestFit="1" customWidth="1"/>
    <col min="14111" max="14111" width="9.109375" bestFit="1" customWidth="1"/>
    <col min="14112" max="14113" width="9.33203125" customWidth="1"/>
    <col min="14114" max="14114" width="4.6640625" bestFit="1" customWidth="1"/>
    <col min="14115" max="14116" width="9.33203125" customWidth="1"/>
    <col min="14117" max="14117" width="4.6640625" bestFit="1" customWidth="1"/>
    <col min="14118" max="14119" width="9.33203125" customWidth="1"/>
    <col min="14120" max="14120" width="4" bestFit="1" customWidth="1"/>
    <col min="14121" max="14121" width="10.5546875" bestFit="1" customWidth="1"/>
    <col min="14123" max="14123" width="10.5546875" bestFit="1" customWidth="1"/>
    <col min="14126" max="14126" width="10.33203125" bestFit="1" customWidth="1"/>
    <col min="14127" max="14127" width="9.33203125" bestFit="1" customWidth="1"/>
    <col min="14128" max="14128" width="10.33203125" bestFit="1" customWidth="1"/>
    <col min="14337" max="14337" width="13.6640625" customWidth="1"/>
    <col min="14338" max="14339" width="9.88671875" bestFit="1" customWidth="1"/>
    <col min="14340" max="14340" width="10" bestFit="1" customWidth="1"/>
    <col min="14341" max="14342" width="9.33203125" customWidth="1"/>
    <col min="14343" max="14343" width="4" bestFit="1" customWidth="1"/>
    <col min="14344" max="14345" width="9.33203125" customWidth="1"/>
    <col min="14346" max="14346" width="4.6640625" bestFit="1" customWidth="1"/>
    <col min="14347" max="14348" width="9.33203125" customWidth="1"/>
    <col min="14349" max="14349" width="10" bestFit="1" customWidth="1"/>
    <col min="14350" max="14351" width="9.33203125" customWidth="1"/>
    <col min="14352" max="14352" width="10" bestFit="1" customWidth="1"/>
    <col min="14353" max="14354" width="9.33203125" customWidth="1"/>
    <col min="14355" max="14355" width="4.6640625" bestFit="1" customWidth="1"/>
    <col min="14356" max="14357" width="9.33203125" customWidth="1"/>
    <col min="14358" max="14358" width="8.6640625" bestFit="1" customWidth="1"/>
    <col min="14359" max="14360" width="9.33203125" customWidth="1"/>
    <col min="14361" max="14361" width="7" bestFit="1" customWidth="1"/>
    <col min="14362" max="14363" width="9.33203125" customWidth="1"/>
    <col min="14364" max="14364" width="4.6640625" bestFit="1" customWidth="1"/>
    <col min="14365" max="14365" width="9.33203125" customWidth="1"/>
    <col min="14366" max="14366" width="10.33203125" bestFit="1" customWidth="1"/>
    <col min="14367" max="14367" width="9.109375" bestFit="1" customWidth="1"/>
    <col min="14368" max="14369" width="9.33203125" customWidth="1"/>
    <col min="14370" max="14370" width="4.6640625" bestFit="1" customWidth="1"/>
    <col min="14371" max="14372" width="9.33203125" customWidth="1"/>
    <col min="14373" max="14373" width="4.6640625" bestFit="1" customWidth="1"/>
    <col min="14374" max="14375" width="9.33203125" customWidth="1"/>
    <col min="14376" max="14376" width="4" bestFit="1" customWidth="1"/>
    <col min="14377" max="14377" width="10.5546875" bestFit="1" customWidth="1"/>
    <col min="14379" max="14379" width="10.5546875" bestFit="1" customWidth="1"/>
    <col min="14382" max="14382" width="10.33203125" bestFit="1" customWidth="1"/>
    <col min="14383" max="14383" width="9.33203125" bestFit="1" customWidth="1"/>
    <col min="14384" max="14384" width="10.33203125" bestFit="1" customWidth="1"/>
    <col min="14593" max="14593" width="13.6640625" customWidth="1"/>
    <col min="14594" max="14595" width="9.88671875" bestFit="1" customWidth="1"/>
    <col min="14596" max="14596" width="10" bestFit="1" customWidth="1"/>
    <col min="14597" max="14598" width="9.33203125" customWidth="1"/>
    <col min="14599" max="14599" width="4" bestFit="1" customWidth="1"/>
    <col min="14600" max="14601" width="9.33203125" customWidth="1"/>
    <col min="14602" max="14602" width="4.6640625" bestFit="1" customWidth="1"/>
    <col min="14603" max="14604" width="9.33203125" customWidth="1"/>
    <col min="14605" max="14605" width="10" bestFit="1" customWidth="1"/>
    <col min="14606" max="14607" width="9.33203125" customWidth="1"/>
    <col min="14608" max="14608" width="10" bestFit="1" customWidth="1"/>
    <col min="14609" max="14610" width="9.33203125" customWidth="1"/>
    <col min="14611" max="14611" width="4.6640625" bestFit="1" customWidth="1"/>
    <col min="14612" max="14613" width="9.33203125" customWidth="1"/>
    <col min="14614" max="14614" width="8.6640625" bestFit="1" customWidth="1"/>
    <col min="14615" max="14616" width="9.33203125" customWidth="1"/>
    <col min="14617" max="14617" width="7" bestFit="1" customWidth="1"/>
    <col min="14618" max="14619" width="9.33203125" customWidth="1"/>
    <col min="14620" max="14620" width="4.6640625" bestFit="1" customWidth="1"/>
    <col min="14621" max="14621" width="9.33203125" customWidth="1"/>
    <col min="14622" max="14622" width="10.33203125" bestFit="1" customWidth="1"/>
    <col min="14623" max="14623" width="9.109375" bestFit="1" customWidth="1"/>
    <col min="14624" max="14625" width="9.33203125" customWidth="1"/>
    <col min="14626" max="14626" width="4.6640625" bestFit="1" customWidth="1"/>
    <col min="14627" max="14628" width="9.33203125" customWidth="1"/>
    <col min="14629" max="14629" width="4.6640625" bestFit="1" customWidth="1"/>
    <col min="14630" max="14631" width="9.33203125" customWidth="1"/>
    <col min="14632" max="14632" width="4" bestFit="1" customWidth="1"/>
    <col min="14633" max="14633" width="10.5546875" bestFit="1" customWidth="1"/>
    <col min="14635" max="14635" width="10.5546875" bestFit="1" customWidth="1"/>
    <col min="14638" max="14638" width="10.33203125" bestFit="1" customWidth="1"/>
    <col min="14639" max="14639" width="9.33203125" bestFit="1" customWidth="1"/>
    <col min="14640" max="14640" width="10.33203125" bestFit="1" customWidth="1"/>
    <col min="14849" max="14849" width="13.6640625" customWidth="1"/>
    <col min="14850" max="14851" width="9.88671875" bestFit="1" customWidth="1"/>
    <col min="14852" max="14852" width="10" bestFit="1" customWidth="1"/>
    <col min="14853" max="14854" width="9.33203125" customWidth="1"/>
    <col min="14855" max="14855" width="4" bestFit="1" customWidth="1"/>
    <col min="14856" max="14857" width="9.33203125" customWidth="1"/>
    <col min="14858" max="14858" width="4.6640625" bestFit="1" customWidth="1"/>
    <col min="14859" max="14860" width="9.33203125" customWidth="1"/>
    <col min="14861" max="14861" width="10" bestFit="1" customWidth="1"/>
    <col min="14862" max="14863" width="9.33203125" customWidth="1"/>
    <col min="14864" max="14864" width="10" bestFit="1" customWidth="1"/>
    <col min="14865" max="14866" width="9.33203125" customWidth="1"/>
    <col min="14867" max="14867" width="4.6640625" bestFit="1" customWidth="1"/>
    <col min="14868" max="14869" width="9.33203125" customWidth="1"/>
    <col min="14870" max="14870" width="8.6640625" bestFit="1" customWidth="1"/>
    <col min="14871" max="14872" width="9.33203125" customWidth="1"/>
    <col min="14873" max="14873" width="7" bestFit="1" customWidth="1"/>
    <col min="14874" max="14875" width="9.33203125" customWidth="1"/>
    <col min="14876" max="14876" width="4.6640625" bestFit="1" customWidth="1"/>
    <col min="14877" max="14877" width="9.33203125" customWidth="1"/>
    <col min="14878" max="14878" width="10.33203125" bestFit="1" customWidth="1"/>
    <col min="14879" max="14879" width="9.109375" bestFit="1" customWidth="1"/>
    <col min="14880" max="14881" width="9.33203125" customWidth="1"/>
    <col min="14882" max="14882" width="4.6640625" bestFit="1" customWidth="1"/>
    <col min="14883" max="14884" width="9.33203125" customWidth="1"/>
    <col min="14885" max="14885" width="4.6640625" bestFit="1" customWidth="1"/>
    <col min="14886" max="14887" width="9.33203125" customWidth="1"/>
    <col min="14888" max="14888" width="4" bestFit="1" customWidth="1"/>
    <col min="14889" max="14889" width="10.5546875" bestFit="1" customWidth="1"/>
    <col min="14891" max="14891" width="10.5546875" bestFit="1" customWidth="1"/>
    <col min="14894" max="14894" width="10.33203125" bestFit="1" customWidth="1"/>
    <col min="14895" max="14895" width="9.33203125" bestFit="1" customWidth="1"/>
    <col min="14896" max="14896" width="10.33203125" bestFit="1" customWidth="1"/>
    <col min="15105" max="15105" width="13.6640625" customWidth="1"/>
    <col min="15106" max="15107" width="9.88671875" bestFit="1" customWidth="1"/>
    <col min="15108" max="15108" width="10" bestFit="1" customWidth="1"/>
    <col min="15109" max="15110" width="9.33203125" customWidth="1"/>
    <col min="15111" max="15111" width="4" bestFit="1" customWidth="1"/>
    <col min="15112" max="15113" width="9.33203125" customWidth="1"/>
    <col min="15114" max="15114" width="4.6640625" bestFit="1" customWidth="1"/>
    <col min="15115" max="15116" width="9.33203125" customWidth="1"/>
    <col min="15117" max="15117" width="10" bestFit="1" customWidth="1"/>
    <col min="15118" max="15119" width="9.33203125" customWidth="1"/>
    <col min="15120" max="15120" width="10" bestFit="1" customWidth="1"/>
    <col min="15121" max="15122" width="9.33203125" customWidth="1"/>
    <col min="15123" max="15123" width="4.6640625" bestFit="1" customWidth="1"/>
    <col min="15124" max="15125" width="9.33203125" customWidth="1"/>
    <col min="15126" max="15126" width="8.6640625" bestFit="1" customWidth="1"/>
    <col min="15127" max="15128" width="9.33203125" customWidth="1"/>
    <col min="15129" max="15129" width="7" bestFit="1" customWidth="1"/>
    <col min="15130" max="15131" width="9.33203125" customWidth="1"/>
    <col min="15132" max="15132" width="4.6640625" bestFit="1" customWidth="1"/>
    <col min="15133" max="15133" width="9.33203125" customWidth="1"/>
    <col min="15134" max="15134" width="10.33203125" bestFit="1" customWidth="1"/>
    <col min="15135" max="15135" width="9.109375" bestFit="1" customWidth="1"/>
    <col min="15136" max="15137" width="9.33203125" customWidth="1"/>
    <col min="15138" max="15138" width="4.6640625" bestFit="1" customWidth="1"/>
    <col min="15139" max="15140" width="9.33203125" customWidth="1"/>
    <col min="15141" max="15141" width="4.6640625" bestFit="1" customWidth="1"/>
    <col min="15142" max="15143" width="9.33203125" customWidth="1"/>
    <col min="15144" max="15144" width="4" bestFit="1" customWidth="1"/>
    <col min="15145" max="15145" width="10.5546875" bestFit="1" customWidth="1"/>
    <col min="15147" max="15147" width="10.5546875" bestFit="1" customWidth="1"/>
    <col min="15150" max="15150" width="10.33203125" bestFit="1" customWidth="1"/>
    <col min="15151" max="15151" width="9.33203125" bestFit="1" customWidth="1"/>
    <col min="15152" max="15152" width="10.33203125" bestFit="1" customWidth="1"/>
    <col min="15361" max="15361" width="13.6640625" customWidth="1"/>
    <col min="15362" max="15363" width="9.88671875" bestFit="1" customWidth="1"/>
    <col min="15364" max="15364" width="10" bestFit="1" customWidth="1"/>
    <col min="15365" max="15366" width="9.33203125" customWidth="1"/>
    <col min="15367" max="15367" width="4" bestFit="1" customWidth="1"/>
    <col min="15368" max="15369" width="9.33203125" customWidth="1"/>
    <col min="15370" max="15370" width="4.6640625" bestFit="1" customWidth="1"/>
    <col min="15371" max="15372" width="9.33203125" customWidth="1"/>
    <col min="15373" max="15373" width="10" bestFit="1" customWidth="1"/>
    <col min="15374" max="15375" width="9.33203125" customWidth="1"/>
    <col min="15376" max="15376" width="10" bestFit="1" customWidth="1"/>
    <col min="15377" max="15378" width="9.33203125" customWidth="1"/>
    <col min="15379" max="15379" width="4.6640625" bestFit="1" customWidth="1"/>
    <col min="15380" max="15381" width="9.33203125" customWidth="1"/>
    <col min="15382" max="15382" width="8.6640625" bestFit="1" customWidth="1"/>
    <col min="15383" max="15384" width="9.33203125" customWidth="1"/>
    <col min="15385" max="15385" width="7" bestFit="1" customWidth="1"/>
    <col min="15386" max="15387" width="9.33203125" customWidth="1"/>
    <col min="15388" max="15388" width="4.6640625" bestFit="1" customWidth="1"/>
    <col min="15389" max="15389" width="9.33203125" customWidth="1"/>
    <col min="15390" max="15390" width="10.33203125" bestFit="1" customWidth="1"/>
    <col min="15391" max="15391" width="9.109375" bestFit="1" customWidth="1"/>
    <col min="15392" max="15393" width="9.33203125" customWidth="1"/>
    <col min="15394" max="15394" width="4.6640625" bestFit="1" customWidth="1"/>
    <col min="15395" max="15396" width="9.33203125" customWidth="1"/>
    <col min="15397" max="15397" width="4.6640625" bestFit="1" customWidth="1"/>
    <col min="15398" max="15399" width="9.33203125" customWidth="1"/>
    <col min="15400" max="15400" width="4" bestFit="1" customWidth="1"/>
    <col min="15401" max="15401" width="10.5546875" bestFit="1" customWidth="1"/>
    <col min="15403" max="15403" width="10.5546875" bestFit="1" customWidth="1"/>
    <col min="15406" max="15406" width="10.33203125" bestFit="1" customWidth="1"/>
    <col min="15407" max="15407" width="9.33203125" bestFit="1" customWidth="1"/>
    <col min="15408" max="15408" width="10.33203125" bestFit="1" customWidth="1"/>
    <col min="15617" max="15617" width="13.6640625" customWidth="1"/>
    <col min="15618" max="15619" width="9.88671875" bestFit="1" customWidth="1"/>
    <col min="15620" max="15620" width="10" bestFit="1" customWidth="1"/>
    <col min="15621" max="15622" width="9.33203125" customWidth="1"/>
    <col min="15623" max="15623" width="4" bestFit="1" customWidth="1"/>
    <col min="15624" max="15625" width="9.33203125" customWidth="1"/>
    <col min="15626" max="15626" width="4.6640625" bestFit="1" customWidth="1"/>
    <col min="15627" max="15628" width="9.33203125" customWidth="1"/>
    <col min="15629" max="15629" width="10" bestFit="1" customWidth="1"/>
    <col min="15630" max="15631" width="9.33203125" customWidth="1"/>
    <col min="15632" max="15632" width="10" bestFit="1" customWidth="1"/>
    <col min="15633" max="15634" width="9.33203125" customWidth="1"/>
    <col min="15635" max="15635" width="4.6640625" bestFit="1" customWidth="1"/>
    <col min="15636" max="15637" width="9.33203125" customWidth="1"/>
    <col min="15638" max="15638" width="8.6640625" bestFit="1" customWidth="1"/>
    <col min="15639" max="15640" width="9.33203125" customWidth="1"/>
    <col min="15641" max="15641" width="7" bestFit="1" customWidth="1"/>
    <col min="15642" max="15643" width="9.33203125" customWidth="1"/>
    <col min="15644" max="15644" width="4.6640625" bestFit="1" customWidth="1"/>
    <col min="15645" max="15645" width="9.33203125" customWidth="1"/>
    <col min="15646" max="15646" width="10.33203125" bestFit="1" customWidth="1"/>
    <col min="15647" max="15647" width="9.109375" bestFit="1" customWidth="1"/>
    <col min="15648" max="15649" width="9.33203125" customWidth="1"/>
    <col min="15650" max="15650" width="4.6640625" bestFit="1" customWidth="1"/>
    <col min="15651" max="15652" width="9.33203125" customWidth="1"/>
    <col min="15653" max="15653" width="4.6640625" bestFit="1" customWidth="1"/>
    <col min="15654" max="15655" width="9.33203125" customWidth="1"/>
    <col min="15656" max="15656" width="4" bestFit="1" customWidth="1"/>
    <col min="15657" max="15657" width="10.5546875" bestFit="1" customWidth="1"/>
    <col min="15659" max="15659" width="10.5546875" bestFit="1" customWidth="1"/>
    <col min="15662" max="15662" width="10.33203125" bestFit="1" customWidth="1"/>
    <col min="15663" max="15663" width="9.33203125" bestFit="1" customWidth="1"/>
    <col min="15664" max="15664" width="10.33203125" bestFit="1" customWidth="1"/>
    <col min="15873" max="15873" width="13.6640625" customWidth="1"/>
    <col min="15874" max="15875" width="9.88671875" bestFit="1" customWidth="1"/>
    <col min="15876" max="15876" width="10" bestFit="1" customWidth="1"/>
    <col min="15877" max="15878" width="9.33203125" customWidth="1"/>
    <col min="15879" max="15879" width="4" bestFit="1" customWidth="1"/>
    <col min="15880" max="15881" width="9.33203125" customWidth="1"/>
    <col min="15882" max="15882" width="4.6640625" bestFit="1" customWidth="1"/>
    <col min="15883" max="15884" width="9.33203125" customWidth="1"/>
    <col min="15885" max="15885" width="10" bestFit="1" customWidth="1"/>
    <col min="15886" max="15887" width="9.33203125" customWidth="1"/>
    <col min="15888" max="15888" width="10" bestFit="1" customWidth="1"/>
    <col min="15889" max="15890" width="9.33203125" customWidth="1"/>
    <col min="15891" max="15891" width="4.6640625" bestFit="1" customWidth="1"/>
    <col min="15892" max="15893" width="9.33203125" customWidth="1"/>
    <col min="15894" max="15894" width="8.6640625" bestFit="1" customWidth="1"/>
    <col min="15895" max="15896" width="9.33203125" customWidth="1"/>
    <col min="15897" max="15897" width="7" bestFit="1" customWidth="1"/>
    <col min="15898" max="15899" width="9.33203125" customWidth="1"/>
    <col min="15900" max="15900" width="4.6640625" bestFit="1" customWidth="1"/>
    <col min="15901" max="15901" width="9.33203125" customWidth="1"/>
    <col min="15902" max="15902" width="10.33203125" bestFit="1" customWidth="1"/>
    <col min="15903" max="15903" width="9.109375" bestFit="1" customWidth="1"/>
    <col min="15904" max="15905" width="9.33203125" customWidth="1"/>
    <col min="15906" max="15906" width="4.6640625" bestFit="1" customWidth="1"/>
    <col min="15907" max="15908" width="9.33203125" customWidth="1"/>
    <col min="15909" max="15909" width="4.6640625" bestFit="1" customWidth="1"/>
    <col min="15910" max="15911" width="9.33203125" customWidth="1"/>
    <col min="15912" max="15912" width="4" bestFit="1" customWidth="1"/>
    <col min="15913" max="15913" width="10.5546875" bestFit="1" customWidth="1"/>
    <col min="15915" max="15915" width="10.5546875" bestFit="1" customWidth="1"/>
    <col min="15918" max="15918" width="10.33203125" bestFit="1" customWidth="1"/>
    <col min="15919" max="15919" width="9.33203125" bestFit="1" customWidth="1"/>
    <col min="15920" max="15920" width="10.33203125" bestFit="1" customWidth="1"/>
    <col min="16129" max="16129" width="13.6640625" customWidth="1"/>
    <col min="16130" max="16131" width="9.88671875" bestFit="1" customWidth="1"/>
    <col min="16132" max="16132" width="10" bestFit="1" customWidth="1"/>
    <col min="16133" max="16134" width="9.33203125" customWidth="1"/>
    <col min="16135" max="16135" width="4" bestFit="1" customWidth="1"/>
    <col min="16136" max="16137" width="9.33203125" customWidth="1"/>
    <col min="16138" max="16138" width="4.6640625" bestFit="1" customWidth="1"/>
    <col min="16139" max="16140" width="9.33203125" customWidth="1"/>
    <col min="16141" max="16141" width="10" bestFit="1" customWidth="1"/>
    <col min="16142" max="16143" width="9.33203125" customWidth="1"/>
    <col min="16144" max="16144" width="10" bestFit="1" customWidth="1"/>
    <col min="16145" max="16146" width="9.33203125" customWidth="1"/>
    <col min="16147" max="16147" width="4.6640625" bestFit="1" customWidth="1"/>
    <col min="16148" max="16149" width="9.33203125" customWidth="1"/>
    <col min="16150" max="16150" width="8.6640625" bestFit="1" customWidth="1"/>
    <col min="16151" max="16152" width="9.33203125" customWidth="1"/>
    <col min="16153" max="16153" width="7" bestFit="1" customWidth="1"/>
    <col min="16154" max="16155" width="9.33203125" customWidth="1"/>
    <col min="16156" max="16156" width="4.6640625" bestFit="1" customWidth="1"/>
    <col min="16157" max="16157" width="9.33203125" customWidth="1"/>
    <col min="16158" max="16158" width="10.33203125" bestFit="1" customWidth="1"/>
    <col min="16159" max="16159" width="9.109375" bestFit="1" customWidth="1"/>
    <col min="16160" max="16161" width="9.33203125" customWidth="1"/>
    <col min="16162" max="16162" width="4.6640625" bestFit="1" customWidth="1"/>
    <col min="16163" max="16164" width="9.33203125" customWidth="1"/>
    <col min="16165" max="16165" width="4.6640625" bestFit="1" customWidth="1"/>
    <col min="16166" max="16167" width="9.33203125" customWidth="1"/>
    <col min="16168" max="16168" width="4" bestFit="1" customWidth="1"/>
    <col min="16169" max="16169" width="10.5546875" bestFit="1" customWidth="1"/>
    <col min="16171" max="16171" width="10.5546875" bestFit="1" customWidth="1"/>
    <col min="16174" max="16174" width="10.33203125" bestFit="1" customWidth="1"/>
    <col min="16175" max="16175" width="9.33203125" bestFit="1" customWidth="1"/>
    <col min="16176" max="16176" width="10.33203125" bestFit="1" customWidth="1"/>
  </cols>
  <sheetData>
    <row r="1" spans="1:48" ht="13.8" thickBot="1" x14ac:dyDescent="0.3"/>
    <row r="2" spans="1:48" ht="14.4" x14ac:dyDescent="0.25">
      <c r="A2" s="1024"/>
      <c r="B2" s="3146" t="s">
        <v>496</v>
      </c>
      <c r="C2" s="3147"/>
      <c r="D2" s="3148"/>
      <c r="E2" s="3149" t="s">
        <v>16</v>
      </c>
      <c r="F2" s="3144"/>
      <c r="G2" s="3150"/>
      <c r="H2" s="3143" t="s">
        <v>4</v>
      </c>
      <c r="I2" s="3144"/>
      <c r="J2" s="3150"/>
      <c r="K2" s="3143" t="s">
        <v>17</v>
      </c>
      <c r="L2" s="3144"/>
      <c r="M2" s="3145"/>
      <c r="N2" s="3149" t="s">
        <v>18</v>
      </c>
      <c r="O2" s="3144"/>
      <c r="P2" s="3150"/>
      <c r="Q2" s="3143" t="s">
        <v>19</v>
      </c>
      <c r="R2" s="3144"/>
      <c r="S2" s="3145"/>
      <c r="T2" s="3149" t="s">
        <v>20</v>
      </c>
      <c r="U2" s="3144"/>
      <c r="V2" s="3150"/>
      <c r="W2" s="3149" t="s">
        <v>13</v>
      </c>
      <c r="X2" s="3144"/>
      <c r="Y2" s="3150"/>
      <c r="Z2" s="3149" t="s">
        <v>5</v>
      </c>
      <c r="AA2" s="3144"/>
      <c r="AB2" s="3150"/>
      <c r="AC2" s="3149" t="s">
        <v>6</v>
      </c>
      <c r="AD2" s="3144"/>
      <c r="AE2" s="3150"/>
      <c r="AF2" s="3149" t="s">
        <v>7</v>
      </c>
      <c r="AG2" s="3144"/>
      <c r="AH2" s="3150"/>
      <c r="AI2" s="3149" t="s">
        <v>8</v>
      </c>
      <c r="AJ2" s="3144"/>
      <c r="AK2" s="3150"/>
      <c r="AL2" s="3149" t="s">
        <v>9</v>
      </c>
      <c r="AM2" s="3144"/>
      <c r="AN2" s="3150"/>
    </row>
    <row r="3" spans="1:48" ht="15" thickBot="1" x14ac:dyDescent="0.35">
      <c r="A3" s="1023"/>
      <c r="B3" s="1301" t="s">
        <v>502</v>
      </c>
      <c r="C3" s="1773" t="s">
        <v>503</v>
      </c>
      <c r="D3" s="1302" t="s">
        <v>252</v>
      </c>
      <c r="E3" s="1303" t="s">
        <v>502</v>
      </c>
      <c r="F3" s="1304" t="s">
        <v>503</v>
      </c>
      <c r="G3" s="1305" t="s">
        <v>252</v>
      </c>
      <c r="H3" s="1306" t="s">
        <v>502</v>
      </c>
      <c r="I3" s="1304" t="s">
        <v>503</v>
      </c>
      <c r="J3" s="1305" t="s">
        <v>252</v>
      </c>
      <c r="K3" s="1306" t="s">
        <v>502</v>
      </c>
      <c r="L3" s="1304" t="s">
        <v>503</v>
      </c>
      <c r="M3" s="1307" t="s">
        <v>252</v>
      </c>
      <c r="N3" s="1303" t="s">
        <v>502</v>
      </c>
      <c r="O3" s="1304" t="s">
        <v>503</v>
      </c>
      <c r="P3" s="1305" t="s">
        <v>252</v>
      </c>
      <c r="Q3" s="1306" t="s">
        <v>502</v>
      </c>
      <c r="R3" s="1304" t="s">
        <v>503</v>
      </c>
      <c r="S3" s="1305" t="s">
        <v>252</v>
      </c>
      <c r="T3" s="1303" t="s">
        <v>502</v>
      </c>
      <c r="U3" s="1304" t="s">
        <v>503</v>
      </c>
      <c r="V3" s="1305" t="s">
        <v>252</v>
      </c>
      <c r="W3" s="1303" t="s">
        <v>502</v>
      </c>
      <c r="X3" s="1304" t="s">
        <v>503</v>
      </c>
      <c r="Y3" s="1305" t="s">
        <v>252</v>
      </c>
      <c r="Z3" s="1303" t="s">
        <v>502</v>
      </c>
      <c r="AA3" s="1304" t="s">
        <v>503</v>
      </c>
      <c r="AB3" s="1305" t="s">
        <v>252</v>
      </c>
      <c r="AC3" s="1303" t="s">
        <v>502</v>
      </c>
      <c r="AD3" s="1304" t="s">
        <v>503</v>
      </c>
      <c r="AE3" s="1305" t="s">
        <v>252</v>
      </c>
      <c r="AF3" s="1303" t="s">
        <v>502</v>
      </c>
      <c r="AG3" s="1304" t="s">
        <v>503</v>
      </c>
      <c r="AH3" s="1305" t="s">
        <v>252</v>
      </c>
      <c r="AI3" s="1303" t="s">
        <v>502</v>
      </c>
      <c r="AJ3" s="1304" t="s">
        <v>503</v>
      </c>
      <c r="AK3" s="1305" t="s">
        <v>252</v>
      </c>
      <c r="AL3" s="1303" t="s">
        <v>502</v>
      </c>
      <c r="AM3" s="1304" t="s">
        <v>503</v>
      </c>
      <c r="AN3" s="1305" t="s">
        <v>252</v>
      </c>
      <c r="AS3" s="3151"/>
      <c r="AT3" s="3151"/>
      <c r="AU3" s="1508"/>
      <c r="AV3" s="4"/>
    </row>
    <row r="4" spans="1:48" x14ac:dyDescent="0.25">
      <c r="A4" s="979" t="s">
        <v>1</v>
      </c>
      <c r="B4" s="1308">
        <v>195845</v>
      </c>
      <c r="C4" s="1309">
        <f>'Stock Valuation (FIFO)'!B5</f>
        <v>141140</v>
      </c>
      <c r="D4" s="1310">
        <f>B4-C4</f>
        <v>54705</v>
      </c>
      <c r="E4" s="1311">
        <v>180315</v>
      </c>
      <c r="F4" s="462">
        <f>'Stock Valuation (FIFO)'!E5</f>
        <v>75695</v>
      </c>
      <c r="G4" s="1312">
        <f>IF(F4=0,0,(E4-F4))</f>
        <v>104620</v>
      </c>
      <c r="H4" s="1311">
        <v>147410</v>
      </c>
      <c r="I4" s="462">
        <f>'Stock Valuation (FIFO)'!H5</f>
        <v>90040</v>
      </c>
      <c r="J4" s="1312">
        <f>IF(I4=0,0,(H4-I4))</f>
        <v>57370</v>
      </c>
      <c r="K4" s="1311">
        <v>164125</v>
      </c>
      <c r="L4" s="462">
        <f>'Stock Valuation (FIFO)'!K5</f>
        <v>0</v>
      </c>
      <c r="M4" s="1312">
        <f>IF(L4=0,0,(K4-L4))</f>
        <v>0</v>
      </c>
      <c r="N4" s="1311">
        <v>146140</v>
      </c>
      <c r="O4" s="462">
        <f>'Stock Valuation (FIFO)'!N5</f>
        <v>0</v>
      </c>
      <c r="P4" s="1312">
        <f>IF(O4=0,0,(N4-O4))</f>
        <v>0</v>
      </c>
      <c r="Q4" s="1311">
        <v>187620</v>
      </c>
      <c r="R4" s="462">
        <f>' Qty Analysis'!N8</f>
        <v>0</v>
      </c>
      <c r="S4" s="1312">
        <f>IF(R4=0,0,(Q4-R4))</f>
        <v>0</v>
      </c>
      <c r="T4" s="1311">
        <v>114680</v>
      </c>
      <c r="U4" s="462">
        <f>'Stock Valuation (FIFO)'!T5</f>
        <v>0</v>
      </c>
      <c r="V4" s="1312">
        <f>IF(U4=0,0,(T4-U4))</f>
        <v>0</v>
      </c>
      <c r="W4" s="1643">
        <v>139725</v>
      </c>
      <c r="X4" s="462">
        <f>'Stock Valuation (FIFO)'!W5</f>
        <v>0</v>
      </c>
      <c r="Y4" s="1312">
        <f>IF(X4=0,0,(W4-X4))</f>
        <v>0</v>
      </c>
      <c r="Z4" s="1311">
        <v>164310</v>
      </c>
      <c r="AA4" s="462">
        <f>'Stock Valuation (FIFO)'!Z5</f>
        <v>0</v>
      </c>
      <c r="AB4" s="1312">
        <f>IF(AA4=0,0,(Z4-AA4))</f>
        <v>0</v>
      </c>
      <c r="AC4" s="1311">
        <v>135475</v>
      </c>
      <c r="AD4" s="462">
        <f>'Stock Valuation (FIFO)'!AC5</f>
        <v>0</v>
      </c>
      <c r="AE4" s="1312">
        <f>IF(AD4=0,0,(AC4-AD4))</f>
        <v>0</v>
      </c>
      <c r="AF4" s="1311">
        <v>174670</v>
      </c>
      <c r="AG4" s="462">
        <v>174670</v>
      </c>
      <c r="AH4" s="1312">
        <f t="shared" ref="AH4:AH18" si="0">IF(AG4=0,0,(AF4-AG4))</f>
        <v>0</v>
      </c>
      <c r="AI4" s="1311">
        <v>154290</v>
      </c>
      <c r="AJ4" s="462">
        <f>'Stock Valuation (FIFO)'!AI5</f>
        <v>0</v>
      </c>
      <c r="AK4" s="1312">
        <f>IF(AJ4=0,0,(AI4-AJ4))</f>
        <v>0</v>
      </c>
      <c r="AL4" s="1311">
        <v>141140</v>
      </c>
      <c r="AM4" s="462">
        <f>'Stock Valuation (FIFO)'!AL5</f>
        <v>0</v>
      </c>
      <c r="AN4" s="1312">
        <f>IF(AM4=0,0,(AL4-AM4))</f>
        <v>0</v>
      </c>
      <c r="AT4" s="2"/>
    </row>
    <row r="5" spans="1:48" x14ac:dyDescent="0.25">
      <c r="A5" s="990" t="s">
        <v>76</v>
      </c>
      <c r="B5" s="1313">
        <v>1664</v>
      </c>
      <c r="C5" s="1309">
        <f>'Stock Valuation (FIFO)'!B6</f>
        <v>2330</v>
      </c>
      <c r="D5" s="1314">
        <f t="shared" ref="D5:D18" si="1">B5-C5</f>
        <v>-666</v>
      </c>
      <c r="E5" s="1315">
        <v>2120.3999999999996</v>
      </c>
      <c r="F5" s="462">
        <f>'Stock Valuation (FIFO)'!E6</f>
        <v>2392</v>
      </c>
      <c r="G5" s="1312">
        <f>IF(F5=0,0,(E5-F5))</f>
        <v>-271.60000000000036</v>
      </c>
      <c r="H5" s="1315">
        <v>2293.6999999999998</v>
      </c>
      <c r="I5" s="462">
        <f>'Stock Valuation (FIFO)'!H6</f>
        <v>2239</v>
      </c>
      <c r="J5" s="1312">
        <f>IF(I5=0,0,(H5-I5))</f>
        <v>54.699999999999818</v>
      </c>
      <c r="K5" s="1315">
        <v>2613.1</v>
      </c>
      <c r="L5" s="462">
        <f>'Stock Valuation (FIFO)'!K6</f>
        <v>0</v>
      </c>
      <c r="M5" s="1312">
        <f>IF(L5=0,0,(K5-L5))</f>
        <v>0</v>
      </c>
      <c r="N5" s="1315">
        <v>2768.7000000000003</v>
      </c>
      <c r="O5" s="462">
        <f>'Stock Valuation (FIFO)'!N6</f>
        <v>0</v>
      </c>
      <c r="P5" s="1312">
        <f>IF(O5=0,0,(N5-O5))</f>
        <v>0</v>
      </c>
      <c r="Q5" s="1315">
        <v>3082.1</v>
      </c>
      <c r="R5" s="462">
        <f>' Qty Analysis'!N21</f>
        <v>0</v>
      </c>
      <c r="S5" s="1312">
        <f>IF(R5=0,0,(Q5-R5))</f>
        <v>0</v>
      </c>
      <c r="T5" s="1315">
        <v>2819.2999999999997</v>
      </c>
      <c r="U5" s="462">
        <f>'Stock Valuation (FIFO)'!T6</f>
        <v>0</v>
      </c>
      <c r="V5" s="1312">
        <f>IF(U5=0,0,(T5-U5))</f>
        <v>0</v>
      </c>
      <c r="W5" s="1644">
        <v>2895.2999999999997</v>
      </c>
      <c r="X5" s="462">
        <f>'Stock Valuation (FIFO)'!W6</f>
        <v>0</v>
      </c>
      <c r="Y5" s="1312">
        <f>IF(X5=0,0,(W5-X5))</f>
        <v>0</v>
      </c>
      <c r="Z5" s="1315">
        <v>2396.4</v>
      </c>
      <c r="AA5" s="462">
        <f>'Stock Valuation (FIFO)'!Z6</f>
        <v>0</v>
      </c>
      <c r="AB5" s="1312">
        <f>IF(AA5=0,0,(Z5-AA5))</f>
        <v>0</v>
      </c>
      <c r="AC5" s="1315">
        <v>2395.1999999999998</v>
      </c>
      <c r="AD5" s="462">
        <f>'Stock Valuation (FIFO)'!AC6</f>
        <v>0</v>
      </c>
      <c r="AE5" s="1312">
        <f>IF(AD5=0,0,(AC5-AD5))</f>
        <v>0</v>
      </c>
      <c r="AF5" s="1315">
        <v>2511.1999999999998</v>
      </c>
      <c r="AG5" s="462">
        <v>2511</v>
      </c>
      <c r="AH5" s="1312">
        <f t="shared" si="0"/>
        <v>0.1999999999998181</v>
      </c>
      <c r="AI5" s="1315">
        <v>3260.0999999999995</v>
      </c>
      <c r="AJ5" s="462">
        <f>'Stock Valuation (FIFO)'!AI6</f>
        <v>0</v>
      </c>
      <c r="AK5" s="1312">
        <f>IF(AJ5=0,0,(AI5-AJ5))</f>
        <v>0</v>
      </c>
      <c r="AL5" s="1315">
        <v>2329.5999999999995</v>
      </c>
      <c r="AM5" s="462">
        <f>'Stock Valuation (FIFO)'!AL6</f>
        <v>0</v>
      </c>
      <c r="AN5" s="1312">
        <f>IF(AM5=0,0,(AL5-AM5))</f>
        <v>0</v>
      </c>
      <c r="AT5" s="2"/>
      <c r="AU5" s="2"/>
      <c r="AV5" s="2"/>
    </row>
    <row r="6" spans="1:48" ht="13.8" thickBot="1" x14ac:dyDescent="0.3">
      <c r="A6" s="224" t="s">
        <v>22</v>
      </c>
      <c r="B6" s="1317">
        <v>32</v>
      </c>
      <c r="C6" s="1309">
        <f>'Stock Valuation (FIFO)'!B7</f>
        <v>19</v>
      </c>
      <c r="D6" s="1318">
        <f t="shared" si="1"/>
        <v>13</v>
      </c>
      <c r="E6" s="1281">
        <v>28.2</v>
      </c>
      <c r="F6" s="462">
        <f>'Stock Valuation (FIFO)'!E7</f>
        <v>21</v>
      </c>
      <c r="G6" s="1312">
        <f>IF(F6=0,0,(E6-F6))</f>
        <v>7.1999999999999993</v>
      </c>
      <c r="H6" s="1281">
        <v>40.1</v>
      </c>
      <c r="I6" s="462">
        <f>'Stock Valuation (FIFO)'!H7</f>
        <v>20</v>
      </c>
      <c r="J6" s="1312">
        <f>IF(I6=0,0,(H6-I6))</f>
        <v>20.100000000000001</v>
      </c>
      <c r="K6" s="1281">
        <v>40.1</v>
      </c>
      <c r="L6" s="462">
        <f>'Stock Valuation (FIFO)'!K7</f>
        <v>0</v>
      </c>
      <c r="M6" s="1312">
        <f>IF(L6=0,0,(K6-L6))</f>
        <v>0</v>
      </c>
      <c r="N6" s="1281">
        <v>38.400000000000006</v>
      </c>
      <c r="O6" s="462">
        <f>'Stock Valuation (FIFO)'!N7</f>
        <v>0</v>
      </c>
      <c r="P6" s="1312">
        <f>IF(O6=0,0,(N6-O6))</f>
        <v>0</v>
      </c>
      <c r="Q6" s="1281">
        <v>25.600000000000005</v>
      </c>
      <c r="R6" s="462">
        <f>' Qty Analysis'!N33</f>
        <v>0</v>
      </c>
      <c r="S6" s="1312">
        <f>IF(R6=0,0,(Q6-R6))</f>
        <v>0</v>
      </c>
      <c r="T6" s="1281">
        <v>16.200000000000003</v>
      </c>
      <c r="U6" s="462">
        <f>'Stock Valuation (FIFO)'!T7</f>
        <v>0</v>
      </c>
      <c r="V6" s="1312">
        <f>IF(U6=0,0,(T6-U6))</f>
        <v>0</v>
      </c>
      <c r="W6" s="231">
        <v>40.900000000000006</v>
      </c>
      <c r="X6" s="462">
        <f>'Stock Valuation (FIFO)'!W7</f>
        <v>0</v>
      </c>
      <c r="Y6" s="1312">
        <f>IF(X6=0,0,(W6-X6))</f>
        <v>0</v>
      </c>
      <c r="Z6" s="1281">
        <v>46.000000000000007</v>
      </c>
      <c r="AA6" s="462">
        <f>'Stock Valuation (FIFO)'!Z7</f>
        <v>0</v>
      </c>
      <c r="AB6" s="1312">
        <f>IF(AA6=0,0,(Z6-AA6))</f>
        <v>0</v>
      </c>
      <c r="AC6" s="1281">
        <v>40.299999999999997</v>
      </c>
      <c r="AD6" s="462">
        <f>'Stock Valuation (FIFO)'!AC7</f>
        <v>0</v>
      </c>
      <c r="AE6" s="1312">
        <f>IF(AD6=0,0,(AC6-AD6))</f>
        <v>0</v>
      </c>
      <c r="AF6" s="1281">
        <v>40.1</v>
      </c>
      <c r="AG6" s="462">
        <v>40</v>
      </c>
      <c r="AH6" s="1312">
        <f t="shared" si="0"/>
        <v>0.10000000000000142</v>
      </c>
      <c r="AI6" s="1281">
        <v>38.800000000000004</v>
      </c>
      <c r="AJ6" s="462">
        <f>'Stock Valuation (FIFO)'!AI7</f>
        <v>0</v>
      </c>
      <c r="AK6" s="1312">
        <f>IF(AJ6=0,0,(AI6-AJ6))</f>
        <v>0</v>
      </c>
      <c r="AL6" s="1281">
        <v>19.000000000000004</v>
      </c>
      <c r="AM6" s="462">
        <f>'Stock Valuation (FIFO)'!AL7</f>
        <v>0</v>
      </c>
      <c r="AN6" s="1312">
        <f>IF(AM6=0,0,(AL6-AM6))</f>
        <v>0</v>
      </c>
      <c r="AT6" s="2"/>
      <c r="AU6" s="2"/>
      <c r="AV6" s="213"/>
    </row>
    <row r="7" spans="1:48" ht="13.8" thickBot="1" x14ac:dyDescent="0.3">
      <c r="A7" s="121" t="s">
        <v>504</v>
      </c>
      <c r="B7" s="1319">
        <f>SUM(B4:B6)</f>
        <v>197541</v>
      </c>
      <c r="C7" s="1320">
        <f>SUM(C4:C6)</f>
        <v>143489</v>
      </c>
      <c r="D7" s="1321">
        <f t="shared" si="1"/>
        <v>54052</v>
      </c>
      <c r="E7" s="272">
        <f>SUM(E4:E6)</f>
        <v>182463.6</v>
      </c>
      <c r="F7" s="1322">
        <f>SUM(F4:F6)</f>
        <v>78108</v>
      </c>
      <c r="G7" s="1323">
        <f>IF(F7=0,0,(E7-F7))</f>
        <v>104355.6</v>
      </c>
      <c r="H7" s="272">
        <f>SUM(H4:H6)</f>
        <v>149743.80000000002</v>
      </c>
      <c r="I7" s="1322">
        <f>SUM(I4:I6)</f>
        <v>92299</v>
      </c>
      <c r="J7" s="1323">
        <f>IF(I7=0,0,(H7-I7))</f>
        <v>57444.800000000017</v>
      </c>
      <c r="K7" s="272">
        <f>SUM(K4:K6)</f>
        <v>166778.20000000001</v>
      </c>
      <c r="L7" s="1322">
        <f>SUM(L4:L6)</f>
        <v>0</v>
      </c>
      <c r="M7" s="1323">
        <f>IF(L7=0,0,(K7-L7))</f>
        <v>0</v>
      </c>
      <c r="N7" s="272">
        <f>SUM(N4:N6)</f>
        <v>148947.1</v>
      </c>
      <c r="O7" s="1322">
        <f>SUM(O4:O6)</f>
        <v>0</v>
      </c>
      <c r="P7" s="1323">
        <f>IF(O7=0,0,(N7-O7))</f>
        <v>0</v>
      </c>
      <c r="Q7" s="272">
        <f>SUM(Q4:Q6)</f>
        <v>190727.7</v>
      </c>
      <c r="R7" s="1322">
        <f>SUM(R4:R6)</f>
        <v>0</v>
      </c>
      <c r="S7" s="1323">
        <f>IF(R7=0,0,(Q7-R7))</f>
        <v>0</v>
      </c>
      <c r="T7" s="272">
        <f>SUM(T4:T6)</f>
        <v>117515.5</v>
      </c>
      <c r="U7" s="1322">
        <f>SUM(U4:U6)</f>
        <v>0</v>
      </c>
      <c r="V7" s="1323">
        <f>IF(U7=0,0,(T7-U7))</f>
        <v>0</v>
      </c>
      <c r="W7" s="272">
        <f>SUM(W4:W6)</f>
        <v>142661.19999999998</v>
      </c>
      <c r="X7" s="1322">
        <f>SUM(X4:X6)</f>
        <v>0</v>
      </c>
      <c r="Y7" s="1323">
        <f>IF(X7=0,0,(W7-X7))</f>
        <v>0</v>
      </c>
      <c r="Z7" s="272">
        <f>SUM(Z4:Z6)</f>
        <v>166752.4</v>
      </c>
      <c r="AA7" s="1322">
        <f>SUM(AA4:AA6)</f>
        <v>0</v>
      </c>
      <c r="AB7" s="1323">
        <f>IF(AA7=0,0,(Z7-AA7))</f>
        <v>0</v>
      </c>
      <c r="AC7" s="272">
        <f>SUM(AC4:AC6)</f>
        <v>137910.5</v>
      </c>
      <c r="AD7" s="1322">
        <f>SUM(AD4:AD6)</f>
        <v>0</v>
      </c>
      <c r="AE7" s="1323">
        <f>IF(AD7=0,0,(AC7-AD7))</f>
        <v>0</v>
      </c>
      <c r="AF7" s="272">
        <f>SUM(AF4:AF6)</f>
        <v>177221.30000000002</v>
      </c>
      <c r="AG7" s="1322">
        <f>SUM(AG4:AG6)</f>
        <v>177221</v>
      </c>
      <c r="AH7" s="1323">
        <f t="shared" si="0"/>
        <v>0.3000000000174623</v>
      </c>
      <c r="AI7" s="272">
        <f>SUM(AI4:AI6)</f>
        <v>157588.9</v>
      </c>
      <c r="AJ7" s="1322">
        <f>SUM(AJ4:AJ6)</f>
        <v>0</v>
      </c>
      <c r="AK7" s="1323">
        <f>IF(AJ7=0,0,(AI7-AJ7))</f>
        <v>0</v>
      </c>
      <c r="AL7" s="272">
        <f>SUM(AL4:AL6)</f>
        <v>143488.6</v>
      </c>
      <c r="AM7" s="1322">
        <f>SUM(AM4:AM6)</f>
        <v>0</v>
      </c>
      <c r="AN7" s="1323">
        <f>IF(AM7=0,0,(AL7-AM7))</f>
        <v>0</v>
      </c>
      <c r="AT7" s="2"/>
      <c r="AU7" s="2"/>
    </row>
    <row r="8" spans="1:48" ht="14.4" x14ac:dyDescent="0.3">
      <c r="A8" s="979" t="s">
        <v>505</v>
      </c>
      <c r="B8" s="1308">
        <v>49725</v>
      </c>
      <c r="C8" s="1309">
        <f>'Stock Valuation (FIFO)'!B10</f>
        <v>37996</v>
      </c>
      <c r="D8" s="1310">
        <f t="shared" si="1"/>
        <v>11729</v>
      </c>
      <c r="E8" s="1311">
        <v>56269.999999999985</v>
      </c>
      <c r="F8" s="462">
        <f>'Stock Valuation (FIFO)'!E10</f>
        <v>26660</v>
      </c>
      <c r="G8" s="1312">
        <f t="shared" ref="G8:G16" si="2">IF(F8=0,0,(E8-F8))</f>
        <v>29609.999999999985</v>
      </c>
      <c r="H8" s="1311">
        <v>46564</v>
      </c>
      <c r="I8" s="462">
        <f>'Stock Valuation (FIFO)'!H10</f>
        <v>17001</v>
      </c>
      <c r="J8" s="1312">
        <f t="shared" ref="J8:J9" si="3">IF(I8=0,0,(H8-I8))</f>
        <v>29563</v>
      </c>
      <c r="K8" s="1311">
        <v>52761.2</v>
      </c>
      <c r="L8" s="462">
        <f>'Stock Valuation (FIFO)'!K10</f>
        <v>0</v>
      </c>
      <c r="M8" s="1312">
        <f t="shared" ref="M8:M9" si="4">IF(L8=0,0,(K8-L8))</f>
        <v>0</v>
      </c>
      <c r="N8" s="1311">
        <v>48737.099999999977</v>
      </c>
      <c r="O8" s="462">
        <f>'Stock Valuation (FIFO)'!N10</f>
        <v>0</v>
      </c>
      <c r="P8" s="1312">
        <f t="shared" ref="P8:P9" si="5">IF(O8=0,0,(N8-O8))</f>
        <v>0</v>
      </c>
      <c r="Q8" s="1311">
        <v>49389.89999999998</v>
      </c>
      <c r="R8" s="462">
        <f>' Qty Analysis'!N61</f>
        <v>77470.799999999974</v>
      </c>
      <c r="S8" s="1312">
        <f t="shared" ref="S8:S9" si="6">IF(R8=0,0,(Q8-R8))</f>
        <v>-28080.899999999994</v>
      </c>
      <c r="T8" s="1311">
        <v>56273.799999999988</v>
      </c>
      <c r="U8" s="462">
        <f>'Stock Valuation (FIFO)'!T10</f>
        <v>0</v>
      </c>
      <c r="V8" s="1312">
        <f t="shared" ref="V8:V9" si="7">IF(U8=0,0,(T8-U8))</f>
        <v>0</v>
      </c>
      <c r="W8" s="1311">
        <v>60795.599999999991</v>
      </c>
      <c r="X8" s="462">
        <f>'Stock Valuation (FIFO)'!W10</f>
        <v>0</v>
      </c>
      <c r="Y8" s="1312">
        <f t="shared" ref="Y8:Y9" si="8">IF(X8=0,0,(W8-X8))</f>
        <v>0</v>
      </c>
      <c r="Z8" s="1311">
        <v>57317.399999999994</v>
      </c>
      <c r="AA8" s="462">
        <f>'Stock Valuation (FIFO)'!Z10</f>
        <v>0</v>
      </c>
      <c r="AB8" s="1312">
        <f t="shared" ref="AB8:AB9" si="9">IF(AA8=0,0,(Z8-AA8))</f>
        <v>0</v>
      </c>
      <c r="AC8" s="1311">
        <v>54865.799999999988</v>
      </c>
      <c r="AD8" s="462">
        <f>'Stock Valuation (FIFO)'!AC10</f>
        <v>0</v>
      </c>
      <c r="AE8" s="1312">
        <f t="shared" ref="AE8:AE9" si="10">IF(AD8=0,0,(AC8-AD8))</f>
        <v>0</v>
      </c>
      <c r="AF8" s="1311">
        <v>47773.199999999983</v>
      </c>
      <c r="AG8" s="462">
        <v>47774</v>
      </c>
      <c r="AH8" s="1312">
        <f t="shared" si="0"/>
        <v>-0.8000000000174623</v>
      </c>
      <c r="AI8" s="1311">
        <v>51821.899999999965</v>
      </c>
      <c r="AJ8" s="462">
        <f>'Stock Valuation (FIFO)'!AI10</f>
        <v>0</v>
      </c>
      <c r="AK8" s="1312">
        <f t="shared" ref="AK8:AK9" si="11">IF(AJ8=0,0,(AI8-AJ8))</f>
        <v>0</v>
      </c>
      <c r="AL8" s="1643">
        <v>37995.999999999971</v>
      </c>
      <c r="AM8" s="243">
        <v>37996</v>
      </c>
      <c r="AN8" s="1312">
        <f t="shared" ref="AN8:AN9" si="12">IF(AM8=0,0,(AL8-AM8))</f>
        <v>-2.9103830456733704E-11</v>
      </c>
      <c r="AT8" s="2"/>
      <c r="AU8" s="2"/>
      <c r="AV8" s="213"/>
    </row>
    <row r="9" spans="1:48" ht="15" thickBot="1" x14ac:dyDescent="0.35">
      <c r="A9" s="224" t="s">
        <v>506</v>
      </c>
      <c r="B9" s="1317">
        <v>76468</v>
      </c>
      <c r="C9" s="1309">
        <f>'Stock Valuation (FIFO)'!B11</f>
        <v>64171</v>
      </c>
      <c r="D9" s="1318">
        <f t="shared" si="1"/>
        <v>12297</v>
      </c>
      <c r="E9" s="1281">
        <v>63905.599999999991</v>
      </c>
      <c r="F9" s="462">
        <f>'Stock Valuation (FIFO)'!E11</f>
        <v>50337</v>
      </c>
      <c r="G9" s="1312">
        <f t="shared" si="2"/>
        <v>13568.599999999991</v>
      </c>
      <c r="H9" s="1281">
        <v>61851.199999999968</v>
      </c>
      <c r="I9" s="462">
        <f>'Stock Valuation (FIFO)'!H11</f>
        <v>56663</v>
      </c>
      <c r="J9" s="1312">
        <f t="shared" si="3"/>
        <v>5188.199999999968</v>
      </c>
      <c r="K9" s="1281">
        <v>66527.999999999956</v>
      </c>
      <c r="L9" s="462">
        <f>'Stock Valuation (FIFO)'!K11</f>
        <v>0</v>
      </c>
      <c r="M9" s="1312">
        <f t="shared" si="4"/>
        <v>0</v>
      </c>
      <c r="N9" s="1281">
        <v>73740.399999999951</v>
      </c>
      <c r="O9" s="462">
        <f>'Stock Valuation (FIFO)'!N11</f>
        <v>0</v>
      </c>
      <c r="P9" s="1312">
        <f t="shared" si="5"/>
        <v>0</v>
      </c>
      <c r="Q9" s="1281">
        <v>77585.999999999942</v>
      </c>
      <c r="R9" s="717">
        <f>' Qty Analysis'!N71</f>
        <v>77584.899999999965</v>
      </c>
      <c r="S9" s="1312">
        <f t="shared" si="6"/>
        <v>1.0999999999767169</v>
      </c>
      <c r="T9" s="2701">
        <f>79105.0999999999-25</f>
        <v>79080.099999999904</v>
      </c>
      <c r="U9" s="717">
        <f>'Stock Valuation (FIFO)'!T11</f>
        <v>0</v>
      </c>
      <c r="V9" s="1312">
        <f t="shared" si="7"/>
        <v>0</v>
      </c>
      <c r="W9" s="1281">
        <v>80193.399999999936</v>
      </c>
      <c r="X9" s="717">
        <f>'Stock Valuation (FIFO)'!W11</f>
        <v>0</v>
      </c>
      <c r="Y9" s="1312">
        <f t="shared" si="8"/>
        <v>0</v>
      </c>
      <c r="Z9" s="1281">
        <v>85004.199999999924</v>
      </c>
      <c r="AA9" s="462">
        <f>'Stock Valuation (FIFO)'!Z11</f>
        <v>0</v>
      </c>
      <c r="AB9" s="1312">
        <f t="shared" si="9"/>
        <v>0</v>
      </c>
      <c r="AC9" s="1281">
        <v>91727.19999999991</v>
      </c>
      <c r="AD9" s="462">
        <f>'Stock Valuation (FIFO)'!AC11</f>
        <v>0</v>
      </c>
      <c r="AE9" s="1312">
        <f t="shared" si="10"/>
        <v>0</v>
      </c>
      <c r="AF9" s="1281">
        <v>91742.199999999895</v>
      </c>
      <c r="AG9" s="717">
        <v>91742</v>
      </c>
      <c r="AH9" s="1312">
        <f t="shared" si="0"/>
        <v>0.19999999989522621</v>
      </c>
      <c r="AI9" s="1281">
        <v>86543.899999999892</v>
      </c>
      <c r="AJ9" s="462">
        <f>'Stock Valuation (FIFO)'!AI11</f>
        <v>0</v>
      </c>
      <c r="AK9" s="1312">
        <f t="shared" si="11"/>
        <v>0</v>
      </c>
      <c r="AL9" s="231">
        <v>84657.289999999921</v>
      </c>
      <c r="AM9" s="122">
        <v>64171</v>
      </c>
      <c r="AN9" s="1312">
        <f t="shared" si="12"/>
        <v>20486.289999999921</v>
      </c>
      <c r="AT9" s="1509"/>
      <c r="AU9" s="1509"/>
      <c r="AV9" s="1509"/>
    </row>
    <row r="10" spans="1:48" ht="15" thickBot="1" x14ac:dyDescent="0.35">
      <c r="A10" s="121" t="s">
        <v>507</v>
      </c>
      <c r="B10" s="1319">
        <f>SUM(B8:B9)</f>
        <v>126193</v>
      </c>
      <c r="C10" s="1320">
        <f>SUM(C8:C9)</f>
        <v>102167</v>
      </c>
      <c r="D10" s="1321">
        <f t="shared" si="1"/>
        <v>24026</v>
      </c>
      <c r="E10" s="272">
        <f>SUM(E8:E9)</f>
        <v>120175.59999999998</v>
      </c>
      <c r="F10" s="1322">
        <f>SUM(F8:F9)</f>
        <v>76997</v>
      </c>
      <c r="G10" s="1323">
        <f>IF(F10=0,0,(E10-F10))</f>
        <v>43178.599999999977</v>
      </c>
      <c r="H10" s="272">
        <f>SUM(H8:H9)</f>
        <v>108415.19999999997</v>
      </c>
      <c r="I10" s="1322">
        <f>SUM(I8:I9)</f>
        <v>73664</v>
      </c>
      <c r="J10" s="1323">
        <f>IF(I10=0,0,(H10-I10))</f>
        <v>34751.199999999968</v>
      </c>
      <c r="K10" s="272">
        <f>SUM(K8:K9)</f>
        <v>119289.19999999995</v>
      </c>
      <c r="L10" s="1322">
        <f>SUM(L8:L9)</f>
        <v>0</v>
      </c>
      <c r="M10" s="1323">
        <f>IF(L10=0,0,(K10-L10))</f>
        <v>0</v>
      </c>
      <c r="N10" s="272">
        <f>SUM(N8:N9)</f>
        <v>122477.49999999993</v>
      </c>
      <c r="O10" s="1322">
        <f>SUM(O8:O9)</f>
        <v>0</v>
      </c>
      <c r="P10" s="1323">
        <f>IF(O10=0,0,(N10-O10))</f>
        <v>0</v>
      </c>
      <c r="Q10" s="272">
        <f>SUM(Q8:Q9)</f>
        <v>126975.89999999992</v>
      </c>
      <c r="R10" s="1322">
        <f>SUM(R8:R9)</f>
        <v>155055.69999999995</v>
      </c>
      <c r="S10" s="1323">
        <f>IF(R10=0,0,(Q10-R10))</f>
        <v>-28079.800000000032</v>
      </c>
      <c r="T10" s="272">
        <f>SUM(T8:T9)</f>
        <v>135353.89999999991</v>
      </c>
      <c r="U10" s="1322">
        <f>SUM(U8:U9)</f>
        <v>0</v>
      </c>
      <c r="V10" s="1323">
        <f>IF(U10=0,0,(T10-U10))</f>
        <v>0</v>
      </c>
      <c r="W10" s="272">
        <f>SUM(W8:W9)</f>
        <v>140988.99999999994</v>
      </c>
      <c r="X10" s="1322">
        <f>SUM(X8:X9)</f>
        <v>0</v>
      </c>
      <c r="Y10" s="1323">
        <f>IF(X10=0,0,(W10-X10))</f>
        <v>0</v>
      </c>
      <c r="Z10" s="272">
        <f>SUM(Z8:Z9)</f>
        <v>142321.59999999992</v>
      </c>
      <c r="AA10" s="1322">
        <f>SUM(AA8:AA9)</f>
        <v>0</v>
      </c>
      <c r="AB10" s="1323">
        <f>IF(AA10=0,0,(Z10-AA10))</f>
        <v>0</v>
      </c>
      <c r="AC10" s="272">
        <f>SUM(AC8:AC9)</f>
        <v>146592.99999999988</v>
      </c>
      <c r="AD10" s="1322">
        <f>SUM(AD8:AD9)</f>
        <v>0</v>
      </c>
      <c r="AE10" s="1323">
        <f>IF(AD10=0,0,(AC10-AD10))</f>
        <v>0</v>
      </c>
      <c r="AF10" s="272">
        <f>SUM(AF8:AF9)</f>
        <v>139515.39999999988</v>
      </c>
      <c r="AG10" s="1322">
        <f>SUM(AG8:AG9)</f>
        <v>139516</v>
      </c>
      <c r="AH10" s="1323">
        <f t="shared" si="0"/>
        <v>-0.60000000012223609</v>
      </c>
      <c r="AI10" s="272">
        <f>SUM(AI8:AI9)</f>
        <v>138365.79999999987</v>
      </c>
      <c r="AJ10" s="1322">
        <f>SUM(AJ8:AJ9)</f>
        <v>0</v>
      </c>
      <c r="AK10" s="1323">
        <f>IF(AJ10=0,0,(AI10-AJ10))</f>
        <v>0</v>
      </c>
      <c r="AL10" s="272">
        <f>SUM(AL8:AL9)</f>
        <v>122653.28999999989</v>
      </c>
      <c r="AM10" s="1322">
        <f>SUM(AM8:AM9)</f>
        <v>102167</v>
      </c>
      <c r="AN10" s="1323">
        <f>IF(AM10=0,0,(AL10-AM10))</f>
        <v>20486.289999999892</v>
      </c>
      <c r="AO10" t="s">
        <v>1025</v>
      </c>
      <c r="AT10" s="1510"/>
      <c r="AU10" s="1510"/>
      <c r="AV10" s="2"/>
    </row>
    <row r="11" spans="1:48" x14ac:dyDescent="0.25">
      <c r="A11" s="979" t="s">
        <v>21</v>
      </c>
      <c r="B11" s="1308">
        <v>206027</v>
      </c>
      <c r="C11" s="1309">
        <f>'Stock Valuation (FIFO)'!B14</f>
        <v>200810</v>
      </c>
      <c r="D11" s="1310">
        <f t="shared" si="1"/>
        <v>5217</v>
      </c>
      <c r="E11" s="1311">
        <v>224044.90000000002</v>
      </c>
      <c r="F11" s="462">
        <f>'Stock Valuation (FIFO)'!E14</f>
        <v>216887</v>
      </c>
      <c r="G11" s="1312">
        <f t="shared" si="2"/>
        <v>7157.9000000000233</v>
      </c>
      <c r="H11" s="1311">
        <v>201846.3</v>
      </c>
      <c r="I11" s="462">
        <f>'Stock Valuation (FIFO)'!H14</f>
        <v>179666</v>
      </c>
      <c r="J11" s="1312">
        <f t="shared" ref="J11:J16" si="13">IF(I11=0,0,(H11-I11))</f>
        <v>22180.299999999988</v>
      </c>
      <c r="K11" s="1311">
        <v>191275.19999999998</v>
      </c>
      <c r="L11" s="462">
        <f>'Stock Valuation (FIFO)'!K14</f>
        <v>0</v>
      </c>
      <c r="M11" s="1312">
        <f t="shared" ref="M11:M16" si="14">IF(L11=0,0,(K11-L11))</f>
        <v>0</v>
      </c>
      <c r="N11" s="1311">
        <v>197795.09999999998</v>
      </c>
      <c r="O11" s="462">
        <f>'Stock Valuation (FIFO)'!N14</f>
        <v>0</v>
      </c>
      <c r="P11" s="1312">
        <f t="shared" ref="P11:P16" si="15">IF(O11=0,0,(N11-O11))</f>
        <v>0</v>
      </c>
      <c r="Q11" s="1311">
        <v>202309.30000000002</v>
      </c>
      <c r="R11" s="1995">
        <f>'Stock Valuation (FIFO)'!Q14</f>
        <v>0</v>
      </c>
      <c r="S11" s="1312">
        <f t="shared" ref="S11:S14" si="16">IF(R11=0,0,(Q11-R11))</f>
        <v>0</v>
      </c>
      <c r="T11" s="1311">
        <v>228721.40000000002</v>
      </c>
      <c r="U11" s="1646">
        <f>'Stock Valuation (FIFO)'!T14</f>
        <v>0</v>
      </c>
      <c r="V11" s="1645">
        <f t="shared" ref="V11:V14" si="17">IF(U11=0,0,(T11-U11))</f>
        <v>0</v>
      </c>
      <c r="W11" s="1311">
        <v>237947.3</v>
      </c>
      <c r="X11" s="1646">
        <f>'Stock Valuation (FIFO)'!W14</f>
        <v>0</v>
      </c>
      <c r="Y11" s="1312">
        <f t="shared" ref="Y11:Y16" si="18">IF(X11=0,0,(W11-X11))</f>
        <v>0</v>
      </c>
      <c r="Z11" s="1311">
        <v>218950.39999999997</v>
      </c>
      <c r="AA11" s="2818">
        <f>'Stock Valuation (FIFO)'!Z14</f>
        <v>0</v>
      </c>
      <c r="AB11" s="1312">
        <f t="shared" ref="AB11:AB16" si="19">IF(AA11=0,0,(Z11-AA11))</f>
        <v>0</v>
      </c>
      <c r="AC11" s="1311">
        <v>255945.59999999998</v>
      </c>
      <c r="AD11" s="462">
        <f>'Stock Valuation (FIFO)'!AC14</f>
        <v>0</v>
      </c>
      <c r="AE11" s="1312">
        <f t="shared" ref="AE11:AE16" si="20">IF(AD11=0,0,(AC11-AD11))</f>
        <v>0</v>
      </c>
      <c r="AF11" s="1311">
        <v>261815</v>
      </c>
      <c r="AG11" s="1646">
        <v>261816</v>
      </c>
      <c r="AH11" s="1312">
        <f t="shared" si="0"/>
        <v>-1</v>
      </c>
      <c r="AI11" s="1311">
        <v>239651.20000000001</v>
      </c>
      <c r="AJ11" s="462">
        <f>'Stock Valuation (FIFO)'!AI14</f>
        <v>0</v>
      </c>
      <c r="AK11" s="1312">
        <f t="shared" ref="AK11:AK16" si="21">IF(AJ11=0,0,(AI11-AJ11))</f>
        <v>0</v>
      </c>
      <c r="AL11" s="1311">
        <v>200810.39999999997</v>
      </c>
      <c r="AM11" s="462">
        <f>'Stock Valuation (FIFO)'!AL14</f>
        <v>0</v>
      </c>
      <c r="AN11" s="1312">
        <f t="shared" ref="AN11:AN16" si="22">IF(AM11=0,0,(AL11-AM11))</f>
        <v>0</v>
      </c>
      <c r="AR11" s="2"/>
      <c r="AV11" s="213"/>
    </row>
    <row r="12" spans="1:48" x14ac:dyDescent="0.25">
      <c r="A12" s="990" t="s">
        <v>175</v>
      </c>
      <c r="B12" s="1313">
        <v>244</v>
      </c>
      <c r="C12" s="1309">
        <f>'Trading PL'!B42</f>
        <v>172</v>
      </c>
      <c r="D12" s="1314">
        <f t="shared" si="1"/>
        <v>72</v>
      </c>
      <c r="E12" s="1315">
        <v>256.60000000000002</v>
      </c>
      <c r="F12" s="462">
        <f>'Trading PL'!B35</f>
        <v>172</v>
      </c>
      <c r="G12" s="1312">
        <f t="shared" si="2"/>
        <v>84.600000000000023</v>
      </c>
      <c r="H12" s="1315">
        <v>257</v>
      </c>
      <c r="I12" s="462">
        <f>'Trading PL'!E35</f>
        <v>340</v>
      </c>
      <c r="J12" s="1312">
        <f t="shared" si="13"/>
        <v>-83</v>
      </c>
      <c r="K12" s="1315">
        <v>197.10000000000002</v>
      </c>
      <c r="L12" s="462">
        <f>'Trading PL'!H35</f>
        <v>0</v>
      </c>
      <c r="M12" s="1312">
        <f t="shared" si="14"/>
        <v>0</v>
      </c>
      <c r="N12" s="1315">
        <v>197.10000000000002</v>
      </c>
      <c r="O12" s="462">
        <f>'Trading PL'!K35</f>
        <v>0</v>
      </c>
      <c r="P12" s="1312">
        <f t="shared" si="15"/>
        <v>0</v>
      </c>
      <c r="Q12" s="1315">
        <v>197.10000000000002</v>
      </c>
      <c r="R12" s="1316">
        <f>'Trading PL'!N35</f>
        <v>0</v>
      </c>
      <c r="S12" s="1312">
        <f t="shared" si="16"/>
        <v>0</v>
      </c>
      <c r="T12" s="1315">
        <v>183.10000000000002</v>
      </c>
      <c r="U12" s="1316">
        <f>'Stock Valuation (FIFO)'!T16</f>
        <v>0</v>
      </c>
      <c r="V12" s="1645">
        <f t="shared" si="17"/>
        <v>0</v>
      </c>
      <c r="W12" s="1315">
        <v>183.10000000000002</v>
      </c>
      <c r="X12" s="1316">
        <f>'Stock Valuation (FIFO)'!W16</f>
        <v>0</v>
      </c>
      <c r="Y12" s="1312">
        <f t="shared" si="18"/>
        <v>0</v>
      </c>
      <c r="Z12" s="1315">
        <f>423.5-36.5</f>
        <v>387</v>
      </c>
      <c r="AA12" s="1316">
        <f>'Stock Valuation (FIFO)'!Z15</f>
        <v>0</v>
      </c>
      <c r="AB12" s="1312">
        <f t="shared" si="19"/>
        <v>0</v>
      </c>
      <c r="AC12" s="1315">
        <f>423.5-AC16</f>
        <v>387</v>
      </c>
      <c r="AD12" s="462">
        <f>'Stock Valuation (FIFO)'!AC15</f>
        <v>0</v>
      </c>
      <c r="AE12" s="1312">
        <f t="shared" si="20"/>
        <v>0</v>
      </c>
      <c r="AF12" s="1315">
        <f>423.5-37</f>
        <v>386.5</v>
      </c>
      <c r="AG12" s="1316">
        <v>387</v>
      </c>
      <c r="AH12" s="1312">
        <f t="shared" si="0"/>
        <v>-0.5</v>
      </c>
      <c r="AI12" s="1315">
        <f>423.5-AI16</f>
        <v>386.5</v>
      </c>
      <c r="AJ12" s="462">
        <f>'Stock Valuation (FIFO)'!AI15</f>
        <v>0</v>
      </c>
      <c r="AK12" s="1312">
        <f t="shared" si="21"/>
        <v>0</v>
      </c>
      <c r="AL12" s="1315">
        <f>423.5-AL16</f>
        <v>386.5</v>
      </c>
      <c r="AM12" s="462">
        <f>'Stock Valuation (FIFO)'!AL15</f>
        <v>0</v>
      </c>
      <c r="AN12" s="1312">
        <f t="shared" si="22"/>
        <v>0</v>
      </c>
      <c r="AR12" s="2"/>
      <c r="AV12" s="213"/>
    </row>
    <row r="13" spans="1:48" x14ac:dyDescent="0.25">
      <c r="A13" s="1072" t="s">
        <v>174</v>
      </c>
      <c r="B13" s="1317">
        <v>387</v>
      </c>
      <c r="C13" s="1309">
        <f>'Trading PL'!B41</f>
        <v>387</v>
      </c>
      <c r="D13" s="1318">
        <f t="shared" si="1"/>
        <v>0</v>
      </c>
      <c r="E13" s="1281">
        <v>387</v>
      </c>
      <c r="F13" s="462">
        <f>'Trading PL'!B34</f>
        <v>387</v>
      </c>
      <c r="G13" s="1312">
        <f t="shared" si="2"/>
        <v>0</v>
      </c>
      <c r="H13" s="1281">
        <v>387</v>
      </c>
      <c r="I13" s="462">
        <f>'Trading PL'!E34</f>
        <v>387</v>
      </c>
      <c r="J13" s="1312">
        <f t="shared" si="13"/>
        <v>0</v>
      </c>
      <c r="K13" s="1281">
        <v>387</v>
      </c>
      <c r="L13" s="462">
        <f>'Trading PL'!H34</f>
        <v>0</v>
      </c>
      <c r="M13" s="1312">
        <f t="shared" si="14"/>
        <v>0</v>
      </c>
      <c r="N13" s="1281">
        <v>387</v>
      </c>
      <c r="O13" s="462">
        <f>'Trading PL'!K34</f>
        <v>0</v>
      </c>
      <c r="P13" s="1312">
        <f t="shared" si="15"/>
        <v>0</v>
      </c>
      <c r="Q13" s="1642">
        <v>404</v>
      </c>
      <c r="R13" s="717">
        <f>'Trading PL'!N34</f>
        <v>0</v>
      </c>
      <c r="S13" s="1312">
        <f t="shared" si="16"/>
        <v>0</v>
      </c>
      <c r="T13" s="1281">
        <v>410</v>
      </c>
      <c r="U13" s="717">
        <f>'Stock Valuation (FIFO)'!T15</f>
        <v>0</v>
      </c>
      <c r="V13" s="1645">
        <f t="shared" si="17"/>
        <v>0</v>
      </c>
      <c r="W13" s="1281">
        <v>410</v>
      </c>
      <c r="X13" s="717">
        <f>'Stock Valuation (FIFO)'!W15</f>
        <v>0</v>
      </c>
      <c r="Y13" s="1312">
        <f t="shared" si="18"/>
        <v>0</v>
      </c>
      <c r="Z13" s="1281">
        <v>183.1</v>
      </c>
      <c r="AA13" s="1316">
        <f>'Stock Valuation (FIFO)'!Z16</f>
        <v>0</v>
      </c>
      <c r="AB13" s="1312">
        <f t="shared" si="19"/>
        <v>0</v>
      </c>
      <c r="AC13" s="1281">
        <v>179.10000000000002</v>
      </c>
      <c r="AD13" s="462">
        <f>'Stock Valuation (FIFO)'!AC16</f>
        <v>0</v>
      </c>
      <c r="AE13" s="1312">
        <f t="shared" si="20"/>
        <v>0</v>
      </c>
      <c r="AF13" s="1281">
        <v>179.10000000000002</v>
      </c>
      <c r="AG13" s="717">
        <v>179</v>
      </c>
      <c r="AH13" s="1312">
        <f t="shared" si="0"/>
        <v>0.10000000000002274</v>
      </c>
      <c r="AI13" s="1281">
        <v>177.90000000000003</v>
      </c>
      <c r="AJ13" s="462">
        <f>'Stock Valuation (FIFO)'!AI16</f>
        <v>0</v>
      </c>
      <c r="AK13" s="1312">
        <f t="shared" si="21"/>
        <v>0</v>
      </c>
      <c r="AL13" s="1281">
        <v>171.90000000000009</v>
      </c>
      <c r="AM13" s="462">
        <f>'Stock Valuation (FIFO)'!AL16</f>
        <v>0</v>
      </c>
      <c r="AN13" s="1312">
        <f t="shared" si="22"/>
        <v>0</v>
      </c>
      <c r="AO13" s="213"/>
      <c r="AP13" s="2"/>
      <c r="AR13" s="2"/>
      <c r="AV13" s="213"/>
    </row>
    <row r="14" spans="1:48" x14ac:dyDescent="0.25">
      <c r="A14" s="1072" t="s">
        <v>176</v>
      </c>
      <c r="B14" s="1317"/>
      <c r="C14" s="1309">
        <f>'Trading PL'!B44</f>
        <v>0</v>
      </c>
      <c r="D14" s="1318">
        <f t="shared" si="1"/>
        <v>0</v>
      </c>
      <c r="E14" s="1281">
        <v>0</v>
      </c>
      <c r="F14" s="462">
        <f>'Trading PL'!B38</f>
        <v>36</v>
      </c>
      <c r="G14" s="1312">
        <f t="shared" si="2"/>
        <v>-36</v>
      </c>
      <c r="H14" s="1281">
        <v>0</v>
      </c>
      <c r="I14" s="462">
        <f>'Trading PL'!E38</f>
        <v>36</v>
      </c>
      <c r="J14" s="1312">
        <f t="shared" si="13"/>
        <v>-36</v>
      </c>
      <c r="K14" s="1281">
        <v>0</v>
      </c>
      <c r="L14" s="462">
        <f>'Trading PL'!H38</f>
        <v>0</v>
      </c>
      <c r="M14" s="1312">
        <f t="shared" si="14"/>
        <v>0</v>
      </c>
      <c r="N14" s="1281">
        <v>0</v>
      </c>
      <c r="O14" s="462">
        <f>'Trading PL'!K38</f>
        <v>0</v>
      </c>
      <c r="P14" s="1312">
        <f t="shared" si="15"/>
        <v>0</v>
      </c>
      <c r="Q14" s="1642"/>
      <c r="R14" s="717"/>
      <c r="S14" s="1312">
        <f t="shared" si="16"/>
        <v>0</v>
      </c>
      <c r="T14" s="1281">
        <v>0</v>
      </c>
      <c r="U14" s="717"/>
      <c r="V14" s="1645">
        <f t="shared" si="17"/>
        <v>0</v>
      </c>
      <c r="W14" s="1281">
        <v>0</v>
      </c>
      <c r="X14" s="717"/>
      <c r="Y14" s="1312">
        <f t="shared" si="18"/>
        <v>0</v>
      </c>
      <c r="Z14" s="1281">
        <v>804.1</v>
      </c>
      <c r="AA14" s="462">
        <f>'Stock Valuation (FIFO)'!Z17</f>
        <v>0</v>
      </c>
      <c r="AB14" s="1312">
        <f t="shared" si="19"/>
        <v>0</v>
      </c>
      <c r="AC14" s="1281">
        <v>391.20000000000027</v>
      </c>
      <c r="AD14" s="462">
        <f>'Stock Valuation (FIFO)'!AC17</f>
        <v>0</v>
      </c>
      <c r="AE14" s="1312">
        <f t="shared" si="20"/>
        <v>0</v>
      </c>
      <c r="AF14" s="1281">
        <v>196.20000000000027</v>
      </c>
      <c r="AG14" s="717">
        <v>196</v>
      </c>
      <c r="AH14" s="1312">
        <f t="shared" si="0"/>
        <v>0.20000000000027285</v>
      </c>
      <c r="AI14" s="1281"/>
      <c r="AJ14" s="462"/>
      <c r="AK14" s="1312">
        <f t="shared" si="21"/>
        <v>0</v>
      </c>
      <c r="AL14" s="1281">
        <v>0</v>
      </c>
      <c r="AM14" s="462"/>
      <c r="AN14" s="1312">
        <f t="shared" si="22"/>
        <v>0</v>
      </c>
      <c r="AO14" s="213"/>
      <c r="AV14" s="213"/>
    </row>
    <row r="15" spans="1:48" x14ac:dyDescent="0.25">
      <c r="A15" s="1072" t="s">
        <v>202</v>
      </c>
      <c r="B15" s="1317">
        <v>75</v>
      </c>
      <c r="C15" s="1309">
        <f>'Trading PL'!B43</f>
        <v>446</v>
      </c>
      <c r="D15" s="1318">
        <f t="shared" si="1"/>
        <v>-371</v>
      </c>
      <c r="E15" s="1281">
        <v>46.800000000000182</v>
      </c>
      <c r="F15" s="462">
        <f>'Trading PL'!B37</f>
        <v>0</v>
      </c>
      <c r="G15" s="1312">
        <f t="shared" si="2"/>
        <v>0</v>
      </c>
      <c r="H15" s="1281">
        <v>36.100000000000136</v>
      </c>
      <c r="I15" s="462">
        <f>'Trading PL'!E37</f>
        <v>0</v>
      </c>
      <c r="J15" s="1312">
        <f t="shared" si="13"/>
        <v>0</v>
      </c>
      <c r="K15" s="1281">
        <v>26.100000000000136</v>
      </c>
      <c r="L15" s="462">
        <f>'Trading PL'!H37</f>
        <v>0</v>
      </c>
      <c r="M15" s="1312">
        <f t="shared" si="14"/>
        <v>0</v>
      </c>
      <c r="N15" s="1281">
        <v>129.10000000000014</v>
      </c>
      <c r="O15" s="462">
        <f>'Trading PL'!K37</f>
        <v>0</v>
      </c>
      <c r="P15" s="1312">
        <f t="shared" si="15"/>
        <v>0</v>
      </c>
      <c r="Q15" s="1642">
        <v>153.10000000000014</v>
      </c>
      <c r="R15" s="1316">
        <f>'Trading PL'!N36</f>
        <v>0</v>
      </c>
      <c r="S15" s="1312">
        <f>IF(R15=0,0,(R15-Q15))</f>
        <v>0</v>
      </c>
      <c r="T15" s="1281">
        <v>450.10000000000014</v>
      </c>
      <c r="U15" s="1316">
        <f>'Stock Valuation (FIFO)'!T17</f>
        <v>0</v>
      </c>
      <c r="V15" s="1645">
        <f>IF(U15=0,0,(T15-U15))</f>
        <v>0</v>
      </c>
      <c r="W15" s="1281">
        <v>172.10000000000014</v>
      </c>
      <c r="X15" s="1316">
        <f>'Stock Valuation (FIFO)'!W17</f>
        <v>0</v>
      </c>
      <c r="Y15" s="1312">
        <f t="shared" si="18"/>
        <v>0</v>
      </c>
      <c r="Z15" s="1281"/>
      <c r="AA15" s="1316"/>
      <c r="AB15" s="1312">
        <f t="shared" si="19"/>
        <v>0</v>
      </c>
      <c r="AC15" s="1281"/>
      <c r="AD15" s="462">
        <f>'Stock Valuation (FIFO)'!AC18</f>
        <v>0</v>
      </c>
      <c r="AE15" s="1312">
        <f t="shared" si="20"/>
        <v>0</v>
      </c>
      <c r="AF15" s="1281"/>
      <c r="AG15" s="1316"/>
      <c r="AH15" s="1312">
        <f t="shared" si="0"/>
        <v>0</v>
      </c>
      <c r="AI15" s="1281">
        <v>446.20000000000027</v>
      </c>
      <c r="AJ15" s="462">
        <f>'Stock Valuation (FIFO)'!AI17</f>
        <v>0</v>
      </c>
      <c r="AK15" s="1312">
        <f t="shared" si="21"/>
        <v>0</v>
      </c>
      <c r="AL15" s="1281">
        <v>446.20000000000027</v>
      </c>
      <c r="AM15" s="462">
        <f>'Stock Valuation (FIFO)'!AL17</f>
        <v>0</v>
      </c>
      <c r="AN15" s="1312">
        <f t="shared" si="22"/>
        <v>0</v>
      </c>
      <c r="AV15" s="213"/>
    </row>
    <row r="16" spans="1:48" ht="13.8" thickBot="1" x14ac:dyDescent="0.3">
      <c r="A16" s="224" t="s">
        <v>543</v>
      </c>
      <c r="B16" s="1317"/>
      <c r="C16" s="1309"/>
      <c r="D16" s="1318">
        <f t="shared" si="1"/>
        <v>0</v>
      </c>
      <c r="E16" s="1281"/>
      <c r="F16" s="1309"/>
      <c r="G16" s="1312">
        <f t="shared" si="2"/>
        <v>0</v>
      </c>
      <c r="H16" s="1281"/>
      <c r="I16" s="717"/>
      <c r="J16" s="1312">
        <f t="shared" si="13"/>
        <v>0</v>
      </c>
      <c r="K16" s="1281"/>
      <c r="L16" s="717"/>
      <c r="M16" s="1312">
        <f t="shared" si="14"/>
        <v>0</v>
      </c>
      <c r="N16" s="1281"/>
      <c r="O16" s="717"/>
      <c r="P16" s="1312">
        <f t="shared" si="15"/>
        <v>0</v>
      </c>
      <c r="Q16" s="1642"/>
      <c r="R16" s="213">
        <f>'Trading PL'!N38</f>
        <v>0</v>
      </c>
      <c r="S16" s="1312">
        <f>IF(R16=0,0,(R16-Q16))</f>
        <v>0</v>
      </c>
      <c r="T16" s="1281"/>
      <c r="U16" s="2702">
        <f>'Stock Valuation (FIFO)'!T19</f>
        <v>0</v>
      </c>
      <c r="W16" s="1281"/>
      <c r="X16" s="717">
        <f>'Stock Valuation (FIFO)'!W19</f>
        <v>0</v>
      </c>
      <c r="Y16" s="1312">
        <f t="shared" si="18"/>
        <v>0</v>
      </c>
      <c r="Z16" s="1281">
        <v>36.5</v>
      </c>
      <c r="AA16" s="717">
        <f>'Stock Valuation (FIFO)'!Z19</f>
        <v>0</v>
      </c>
      <c r="AB16" s="1312">
        <f t="shared" si="19"/>
        <v>0</v>
      </c>
      <c r="AC16" s="1281">
        <v>36.5</v>
      </c>
      <c r="AD16" s="462">
        <f>'Stock Valuation (FIFO)'!AC19</f>
        <v>0</v>
      </c>
      <c r="AE16" s="1312">
        <f t="shared" si="20"/>
        <v>0</v>
      </c>
      <c r="AF16" s="1281">
        <v>37</v>
      </c>
      <c r="AG16" s="717">
        <v>37</v>
      </c>
      <c r="AH16" s="1312">
        <f t="shared" si="0"/>
        <v>0</v>
      </c>
      <c r="AI16" s="1281">
        <v>37</v>
      </c>
      <c r="AJ16" s="462">
        <f>'Stock Valuation (FIFO)'!AI19</f>
        <v>0</v>
      </c>
      <c r="AK16" s="1312">
        <f t="shared" si="21"/>
        <v>0</v>
      </c>
      <c r="AL16" s="1281">
        <v>37</v>
      </c>
      <c r="AM16" s="462">
        <f>'Stock Valuation (FIFO)'!AL19</f>
        <v>0</v>
      </c>
      <c r="AN16" s="1312">
        <f t="shared" si="22"/>
        <v>0</v>
      </c>
      <c r="AV16" s="213"/>
    </row>
    <row r="17" spans="1:48" ht="13.8" thickBot="1" x14ac:dyDescent="0.3">
      <c r="A17" s="121" t="s">
        <v>203</v>
      </c>
      <c r="B17" s="1319">
        <f>SUM(B11:B16)</f>
        <v>206733</v>
      </c>
      <c r="C17" s="1320">
        <f>SUM(C11:C16)</f>
        <v>201815</v>
      </c>
      <c r="D17" s="1321">
        <f t="shared" si="1"/>
        <v>4918</v>
      </c>
      <c r="E17" s="272">
        <f>SUM(E11:E16)</f>
        <v>224735.30000000002</v>
      </c>
      <c r="F17" s="1322">
        <f>SUM(F11:F16)</f>
        <v>217482</v>
      </c>
      <c r="G17" s="1323">
        <f>IF(F17=0,0,(E17-F17))</f>
        <v>7253.3000000000175</v>
      </c>
      <c r="H17" s="272">
        <f>SUM(H11:H16)</f>
        <v>202526.4</v>
      </c>
      <c r="I17" s="1322">
        <f>SUM(I11:I16)</f>
        <v>180429</v>
      </c>
      <c r="J17" s="1323">
        <f>IF(I17=0,0,(H17-I17))</f>
        <v>22097.399999999994</v>
      </c>
      <c r="K17" s="272">
        <f>SUM(K11:K16)</f>
        <v>191885.4</v>
      </c>
      <c r="L17" s="1322">
        <f>SUM(L11:L16)</f>
        <v>0</v>
      </c>
      <c r="M17" s="1323">
        <f>IF(L17=0,0,(K17-L17))</f>
        <v>0</v>
      </c>
      <c r="N17" s="272">
        <f>SUM(N11:N16)</f>
        <v>198508.3</v>
      </c>
      <c r="O17" s="1322">
        <f>SUM(O11:O16)</f>
        <v>0</v>
      </c>
      <c r="P17" s="1323">
        <f>IF(O17=0,0,(N17-O17))</f>
        <v>0</v>
      </c>
      <c r="Q17" s="272">
        <f>SUM(Q11:Q16)</f>
        <v>203063.50000000003</v>
      </c>
      <c r="R17" s="1322">
        <f>SUM(R11:R15)</f>
        <v>0</v>
      </c>
      <c r="S17" s="1323">
        <f>IF(R17=0,0,(Q17-R17))</f>
        <v>0</v>
      </c>
      <c r="T17" s="272">
        <f>SUM(T11:T16)</f>
        <v>229764.60000000003</v>
      </c>
      <c r="U17" s="1322">
        <f>SUM(U11:U16)</f>
        <v>0</v>
      </c>
      <c r="V17" s="1323">
        <f>IF(U17=0,0,(T17-U17))</f>
        <v>0</v>
      </c>
      <c r="W17" s="272">
        <f>SUM(W11:W16)</f>
        <v>238712.5</v>
      </c>
      <c r="X17" s="1322">
        <f>SUM(X11:X16)</f>
        <v>0</v>
      </c>
      <c r="Y17" s="1323">
        <f>IF(X17=0,0,(W17-X17))</f>
        <v>0</v>
      </c>
      <c r="Z17" s="272">
        <f>SUM(Z11:Z16)</f>
        <v>220361.09999999998</v>
      </c>
      <c r="AA17" s="1322">
        <f>SUM(AA11:AA16)</f>
        <v>0</v>
      </c>
      <c r="AB17" s="1323">
        <f>IF(AA17=0,0,(Z17-AA17))</f>
        <v>0</v>
      </c>
      <c r="AC17" s="272">
        <f>SUM(AC11:AC16)</f>
        <v>256939.4</v>
      </c>
      <c r="AD17" s="1322">
        <f>SUM(AD11:AD16)</f>
        <v>0</v>
      </c>
      <c r="AE17" s="1323">
        <f>IF(AD17=0,0,(AC17-AD17))</f>
        <v>0</v>
      </c>
      <c r="AF17" s="272">
        <f>SUM(AF11:AF16)</f>
        <v>262613.8</v>
      </c>
      <c r="AG17" s="1322">
        <f>SUM(AG11:AG16)</f>
        <v>262615</v>
      </c>
      <c r="AH17" s="1323">
        <f t="shared" si="0"/>
        <v>-1.2000000000116415</v>
      </c>
      <c r="AI17" s="272">
        <f>SUM(AI11:AI16)</f>
        <v>240698.80000000002</v>
      </c>
      <c r="AJ17" s="1322">
        <f>SUM(AJ11:AJ16)</f>
        <v>0</v>
      </c>
      <c r="AK17" s="1323">
        <f>IF(AJ17=0,0,(AI17-AJ17))</f>
        <v>0</v>
      </c>
      <c r="AL17" s="272">
        <f>SUM(AL11:AL16)</f>
        <v>201851.99999999997</v>
      </c>
      <c r="AM17" s="1322">
        <f>SUM(AM11:AM16)</f>
        <v>0</v>
      </c>
      <c r="AN17" s="1323">
        <f>IF(AM17=0,0,(AL17-AM17))</f>
        <v>0</v>
      </c>
      <c r="AT17" s="2"/>
      <c r="AV17" s="2"/>
    </row>
    <row r="18" spans="1:48" ht="15" thickBot="1" x14ac:dyDescent="0.35">
      <c r="A18" s="121" t="s">
        <v>101</v>
      </c>
      <c r="B18" s="1319">
        <f>B7+B10+B17</f>
        <v>530467</v>
      </c>
      <c r="C18" s="1320">
        <f>C7+C10+C17</f>
        <v>447471</v>
      </c>
      <c r="D18" s="1321">
        <f t="shared" si="1"/>
        <v>82996</v>
      </c>
      <c r="E18" s="272">
        <f>E7+E10+E17</f>
        <v>527374.5</v>
      </c>
      <c r="F18" s="1322">
        <f>F7+F10+F17</f>
        <v>372587</v>
      </c>
      <c r="G18" s="1323">
        <f>IF(F18=0,0,(E18-F18))</f>
        <v>154787.5</v>
      </c>
      <c r="H18" s="272">
        <f>H7+H10+H17</f>
        <v>460685.4</v>
      </c>
      <c r="I18" s="1322">
        <f>I7+I10+I17</f>
        <v>346392</v>
      </c>
      <c r="J18" s="1323">
        <f>IF(I18=0,0,(H18-I18))</f>
        <v>114293.40000000002</v>
      </c>
      <c r="K18" s="272">
        <f>K7+K10+K17</f>
        <v>477952.79999999993</v>
      </c>
      <c r="L18" s="1322">
        <f>L7+L10+L17</f>
        <v>0</v>
      </c>
      <c r="M18" s="1323">
        <f>IF(L18=0,0,(K18-L18))</f>
        <v>0</v>
      </c>
      <c r="N18" s="272">
        <f>N7+N10+N17</f>
        <v>469932.89999999991</v>
      </c>
      <c r="O18" s="1322">
        <f>O7+O10+O17</f>
        <v>0</v>
      </c>
      <c r="P18" s="1323">
        <f>IF(O18=0,0,(N18-O18))</f>
        <v>0</v>
      </c>
      <c r="Q18" s="272">
        <f>Q7+Q10+Q17</f>
        <v>520767.1</v>
      </c>
      <c r="R18" s="1322">
        <f>R7+R10+R17</f>
        <v>155055.69999999995</v>
      </c>
      <c r="S18" s="1323">
        <f>IF(R18=0,0,(Q18-R18))</f>
        <v>365711.4</v>
      </c>
      <c r="T18" s="272">
        <f>T7+T10+T17</f>
        <v>482633.99999999994</v>
      </c>
      <c r="U18" s="1322">
        <f>U7+U10+U17</f>
        <v>0</v>
      </c>
      <c r="V18" s="1323">
        <f>IF(U18=0,0,(T18-U18))</f>
        <v>0</v>
      </c>
      <c r="W18" s="272">
        <f>W7+W10+W17</f>
        <v>522362.69999999995</v>
      </c>
      <c r="X18" s="1322">
        <f>X7+X10+X17</f>
        <v>0</v>
      </c>
      <c r="Y18" s="1323">
        <f>IF(X18=0,0,(W18-X18))</f>
        <v>0</v>
      </c>
      <c r="Z18" s="272">
        <f>Z7+Z10+Z17</f>
        <v>529435.09999999986</v>
      </c>
      <c r="AA18" s="1322">
        <f>AA7+AA10+AA17</f>
        <v>0</v>
      </c>
      <c r="AB18" s="1323">
        <f>IF(AA18=0,0,(Z18-AA18))</f>
        <v>0</v>
      </c>
      <c r="AC18" s="272">
        <f>AC7+AC10+AC17</f>
        <v>541442.89999999991</v>
      </c>
      <c r="AD18" s="1322">
        <f>AD7+AD10+AD17</f>
        <v>0</v>
      </c>
      <c r="AE18" s="1323">
        <f>IF(AD18=0,0,(AC18-AD18))</f>
        <v>0</v>
      </c>
      <c r="AF18" s="272">
        <f>AF7+AF10+AF17</f>
        <v>579350.49999999988</v>
      </c>
      <c r="AG18" s="1322">
        <f>AG7+AG10+AG17</f>
        <v>579352</v>
      </c>
      <c r="AH18" s="1323">
        <f t="shared" si="0"/>
        <v>-1.5000000001164153</v>
      </c>
      <c r="AI18" s="272">
        <f>AI7+AI10+AI17</f>
        <v>536653.49999999988</v>
      </c>
      <c r="AJ18" s="1322">
        <f>AJ7+AJ10+AJ17</f>
        <v>0</v>
      </c>
      <c r="AK18" s="1323">
        <f>IF(AJ18=0,0,(AI18-AJ18))</f>
        <v>0</v>
      </c>
      <c r="AL18" s="272">
        <f>AL7+AL10+AL17</f>
        <v>467993.8899999999</v>
      </c>
      <c r="AM18" s="1322">
        <f>AM7+AM10+AM17</f>
        <v>102167</v>
      </c>
      <c r="AN18" s="1323">
        <f>IF(AM18=0,0,(AL18-AM18))</f>
        <v>365826.8899999999</v>
      </c>
      <c r="AT18" s="1324"/>
      <c r="AV18" s="2"/>
    </row>
    <row r="19" spans="1:48" ht="13.8" thickBot="1" x14ac:dyDescent="0.3"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</row>
    <row r="20" spans="1:48" ht="13.8" thickBot="1" x14ac:dyDescent="0.3">
      <c r="A20" s="121" t="s">
        <v>52</v>
      </c>
      <c r="B20" s="1319">
        <f>B18-B7</f>
        <v>332926</v>
      </c>
      <c r="C20" s="1320">
        <f>C18-C7</f>
        <v>303982</v>
      </c>
      <c r="D20" s="1321">
        <f>B20-C20</f>
        <v>28944</v>
      </c>
      <c r="E20" s="272">
        <f>E18-E7</f>
        <v>344910.9</v>
      </c>
      <c r="F20" s="1322">
        <f>F18-F7</f>
        <v>294479</v>
      </c>
      <c r="G20" s="1323">
        <f>IF(F20=0,0,(E20-F20))</f>
        <v>50431.900000000023</v>
      </c>
      <c r="H20" s="272">
        <f>H18-H7</f>
        <v>310941.59999999998</v>
      </c>
      <c r="I20" s="1322">
        <f>I18-I7</f>
        <v>254093</v>
      </c>
      <c r="J20" s="1323">
        <f>IF(I20=0,0,(H20-I20))</f>
        <v>56848.599999999977</v>
      </c>
      <c r="K20" s="272">
        <f>K18-K7</f>
        <v>311174.59999999992</v>
      </c>
      <c r="L20" s="1322">
        <f>L18-L7</f>
        <v>0</v>
      </c>
      <c r="M20" s="1323">
        <f>IF(L20=0,0,(K20-L20))</f>
        <v>0</v>
      </c>
      <c r="N20" s="272">
        <f>N18-N7</f>
        <v>320985.79999999993</v>
      </c>
      <c r="O20" s="1322">
        <f>O18-O7</f>
        <v>0</v>
      </c>
      <c r="P20" s="1323">
        <f>IF(O20=0,0,(N20-O20))</f>
        <v>0</v>
      </c>
      <c r="Q20" s="272">
        <f>Q18-Q7</f>
        <v>330039.39999999997</v>
      </c>
      <c r="R20" s="1322">
        <f>R18-R7</f>
        <v>155055.69999999995</v>
      </c>
      <c r="S20" s="1323">
        <f>IF(R20=0,0,(Q20-R20))</f>
        <v>174983.7</v>
      </c>
      <c r="T20" s="272">
        <f>T18-T7</f>
        <v>365118.49999999994</v>
      </c>
      <c r="U20" s="1322">
        <f>U18-U7</f>
        <v>0</v>
      </c>
      <c r="V20" s="1323">
        <f>IF(U20=0,0,(T20-U20))</f>
        <v>0</v>
      </c>
      <c r="W20" s="272">
        <f>W18-W7</f>
        <v>379701.5</v>
      </c>
      <c r="X20" s="1322">
        <f>X18-X7</f>
        <v>0</v>
      </c>
      <c r="Y20" s="1323">
        <f>IF(X20=0,0,(W20-X20))</f>
        <v>0</v>
      </c>
      <c r="Z20" s="272">
        <f>Z18-Z7</f>
        <v>362682.69999999984</v>
      </c>
      <c r="AA20" s="1322">
        <f>AA18-AA7</f>
        <v>0</v>
      </c>
      <c r="AB20" s="1323">
        <f>IF(AA20=0,0,(Z20-AA20))</f>
        <v>0</v>
      </c>
      <c r="AC20" s="272">
        <f>AC18-AC7</f>
        <v>403532.39999999991</v>
      </c>
      <c r="AD20" s="1322">
        <f>AD18-AD7</f>
        <v>0</v>
      </c>
      <c r="AE20" s="1323">
        <f>IF(AD20=0,0,(AC20-AD20))</f>
        <v>0</v>
      </c>
      <c r="AF20" s="272">
        <f>AF18-AF7</f>
        <v>402129.19999999984</v>
      </c>
      <c r="AG20" s="1322">
        <f>AG18-AG7</f>
        <v>402131</v>
      </c>
      <c r="AH20" s="1323">
        <f>IF(AG20=0,0,(AF20-AG20))</f>
        <v>-1.8000000001629815</v>
      </c>
      <c r="AI20" s="272">
        <f>AI18-AI7</f>
        <v>379064.59999999986</v>
      </c>
      <c r="AJ20" s="1322">
        <f>AJ18-AJ7</f>
        <v>0</v>
      </c>
      <c r="AK20" s="1323">
        <f>IF(AJ20=0,0,(AI20-AJ20))</f>
        <v>0</v>
      </c>
      <c r="AL20" s="272">
        <f>AL18-AL7</f>
        <v>324505.28999999992</v>
      </c>
      <c r="AM20" s="1322">
        <f>AM18-AM7</f>
        <v>102167</v>
      </c>
      <c r="AN20" s="1323">
        <f>IF(AM20=0,0,(AL20-AM20))</f>
        <v>222338.28999999992</v>
      </c>
    </row>
    <row r="21" spans="1:48" x14ac:dyDescent="0.25">
      <c r="B21" s="2"/>
      <c r="E21" s="213">
        <f>E20-B20</f>
        <v>11984.900000000023</v>
      </c>
      <c r="H21" s="213">
        <f>H20-E20</f>
        <v>-33969.300000000047</v>
      </c>
      <c r="K21" s="213">
        <f>K20-H20</f>
        <v>232.99999999994179</v>
      </c>
      <c r="N21" s="213">
        <f>N20-K20</f>
        <v>9811.2000000000116</v>
      </c>
      <c r="Q21" s="213">
        <f>Q20-N20</f>
        <v>9053.6000000000349</v>
      </c>
      <c r="T21" s="213">
        <f>T20-Q20</f>
        <v>35079.099999999977</v>
      </c>
      <c r="W21" s="213">
        <f>W20-T20</f>
        <v>14583.000000000058</v>
      </c>
    </row>
    <row r="22" spans="1:48" x14ac:dyDescent="0.25">
      <c r="E22" s="213">
        <f>E20-$B$20</f>
        <v>11984.900000000023</v>
      </c>
      <c r="H22" s="213">
        <f>H20-$B$20</f>
        <v>-21984.400000000023</v>
      </c>
      <c r="K22" s="213">
        <f>K20-$B$20</f>
        <v>-21751.400000000081</v>
      </c>
      <c r="N22" s="213">
        <f>N20-$B$20</f>
        <v>-11940.20000000007</v>
      </c>
      <c r="Q22" s="213">
        <f>Q20-$B$20</f>
        <v>-2886.6000000000349</v>
      </c>
      <c r="T22" s="213">
        <f>T20-$B$20</f>
        <v>32192.499999999942</v>
      </c>
      <c r="W22" s="213">
        <f>W20-$B$20</f>
        <v>46775.5</v>
      </c>
    </row>
    <row r="23" spans="1:48" ht="14.4" x14ac:dyDescent="0.3">
      <c r="A23" s="1058" t="s">
        <v>509</v>
      </c>
    </row>
    <row r="24" spans="1:48" ht="14.4" x14ac:dyDescent="0.3">
      <c r="A24" t="s">
        <v>1</v>
      </c>
      <c r="H24" s="2">
        <f>63410+93000</f>
        <v>156410</v>
      </c>
      <c r="I24" s="1325">
        <f>H4-H24</f>
        <v>-9000</v>
      </c>
    </row>
    <row r="25" spans="1:48" ht="14.4" x14ac:dyDescent="0.3">
      <c r="A25" t="s">
        <v>76</v>
      </c>
      <c r="H25" s="2">
        <v>2240</v>
      </c>
      <c r="I25" s="1325">
        <f>H5-H25</f>
        <v>53.699999999999818</v>
      </c>
    </row>
    <row r="26" spans="1:48" ht="15" thickBot="1" x14ac:dyDescent="0.35">
      <c r="A26" t="s">
        <v>22</v>
      </c>
      <c r="H26" s="2">
        <v>80</v>
      </c>
      <c r="I26" s="1325">
        <f>H6-H26</f>
        <v>-39.9</v>
      </c>
    </row>
    <row r="27" spans="1:48" ht="15" thickBot="1" x14ac:dyDescent="0.35">
      <c r="A27" s="1136" t="s">
        <v>504</v>
      </c>
      <c r="H27" s="1326">
        <f>SUM(H24:H26)</f>
        <v>158730</v>
      </c>
      <c r="I27" s="1326">
        <f>SUM(I24:I26)</f>
        <v>-8986.1999999999989</v>
      </c>
    </row>
    <row r="28" spans="1:48" ht="14.4" x14ac:dyDescent="0.3">
      <c r="A28" t="s">
        <v>505</v>
      </c>
      <c r="H28" s="2">
        <v>30450</v>
      </c>
      <c r="I28" s="1325">
        <f>H8-H28</f>
        <v>16114</v>
      </c>
    </row>
    <row r="29" spans="1:48" ht="15" thickBot="1" x14ac:dyDescent="0.35">
      <c r="A29" s="1143" t="s">
        <v>506</v>
      </c>
      <c r="H29" s="2">
        <v>64627</v>
      </c>
      <c r="I29" s="1325">
        <f>H9-H29</f>
        <v>-2775.800000000032</v>
      </c>
    </row>
    <row r="30" spans="1:48" ht="15" thickBot="1" x14ac:dyDescent="0.35">
      <c r="A30" s="1136" t="s">
        <v>507</v>
      </c>
      <c r="H30" s="1326">
        <f>SUM(H28:H29)</f>
        <v>95077</v>
      </c>
      <c r="I30" s="1326">
        <f>SUM(I28:I29)</f>
        <v>13338.199999999968</v>
      </c>
    </row>
    <row r="31" spans="1:48" ht="14.4" x14ac:dyDescent="0.3">
      <c r="A31" t="s">
        <v>21</v>
      </c>
      <c r="H31" s="2">
        <v>332260</v>
      </c>
      <c r="I31" s="1325">
        <f>H11-H31</f>
        <v>-130413.70000000001</v>
      </c>
    </row>
    <row r="32" spans="1:48" ht="14.4" x14ac:dyDescent="0.3">
      <c r="A32" t="s">
        <v>175</v>
      </c>
      <c r="H32" s="2">
        <v>108</v>
      </c>
      <c r="I32" s="1325">
        <f>H12-H32</f>
        <v>149</v>
      </c>
    </row>
    <row r="33" spans="1:17" ht="14.4" x14ac:dyDescent="0.3">
      <c r="A33" s="980" t="s">
        <v>174</v>
      </c>
      <c r="H33" s="2">
        <v>1015</v>
      </c>
      <c r="I33" s="1325">
        <f>H13-H33</f>
        <v>-628</v>
      </c>
    </row>
    <row r="34" spans="1:17" ht="14.4" x14ac:dyDescent="0.3">
      <c r="A34" s="980" t="s">
        <v>202</v>
      </c>
      <c r="H34" s="2"/>
      <c r="I34" s="1325"/>
    </row>
    <row r="35" spans="1:17" ht="14.4" x14ac:dyDescent="0.3">
      <c r="A35" s="980" t="s">
        <v>508</v>
      </c>
      <c r="H35" s="2"/>
      <c r="I35" s="1325"/>
    </row>
    <row r="36" spans="1:17" ht="15" thickBot="1" x14ac:dyDescent="0.35">
      <c r="A36" t="s">
        <v>176</v>
      </c>
      <c r="H36" s="2"/>
      <c r="I36" s="1325"/>
      <c r="Q36">
        <v>942.6</v>
      </c>
    </row>
    <row r="37" spans="1:17" ht="15" thickBot="1" x14ac:dyDescent="0.35">
      <c r="A37" s="1136" t="s">
        <v>203</v>
      </c>
      <c r="H37" s="1326">
        <f>SUM(H31:H36)</f>
        <v>333383</v>
      </c>
      <c r="I37" s="1327">
        <f>SUM(I31:I36)</f>
        <v>-130892.70000000001</v>
      </c>
    </row>
    <row r="38" spans="1:17" ht="15" thickBot="1" x14ac:dyDescent="0.35">
      <c r="A38" s="1328" t="s">
        <v>101</v>
      </c>
      <c r="H38" s="1329">
        <f>H27+H30+H37</f>
        <v>587190</v>
      </c>
      <c r="I38" s="1329">
        <f>I27+I30+I37</f>
        <v>-126540.70000000004</v>
      </c>
    </row>
    <row r="39" spans="1:17" ht="13.8" thickBot="1" x14ac:dyDescent="0.3">
      <c r="H39" s="2"/>
    </row>
    <row r="40" spans="1:17" ht="13.8" thickBot="1" x14ac:dyDescent="0.3">
      <c r="A40" s="121" t="s">
        <v>52</v>
      </c>
      <c r="H40" s="2">
        <f>H38-H27</f>
        <v>428460</v>
      </c>
      <c r="I40" s="2">
        <f>I38-I27</f>
        <v>-117554.50000000004</v>
      </c>
    </row>
  </sheetData>
  <mergeCells count="14">
    <mergeCell ref="AL2:AN2"/>
    <mergeCell ref="AS3:AT3"/>
    <mergeCell ref="T2:V2"/>
    <mergeCell ref="W2:Y2"/>
    <mergeCell ref="Z2:AB2"/>
    <mergeCell ref="AC2:AE2"/>
    <mergeCell ref="AF2:AH2"/>
    <mergeCell ref="AI2:AK2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6"/>
  <sheetViews>
    <sheetView showZeros="0" zoomScale="88" zoomScaleNormal="88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J34" sqref="J34"/>
    </sheetView>
  </sheetViews>
  <sheetFormatPr defaultColWidth="9.109375" defaultRowHeight="14.4" x14ac:dyDescent="0.35"/>
  <cols>
    <col min="1" max="1" width="43" style="2085" bestFit="1" customWidth="1"/>
    <col min="2" max="2" width="11.33203125" style="2085" customWidth="1"/>
    <col min="3" max="3" width="8.6640625" style="2085" bestFit="1" customWidth="1"/>
    <col min="4" max="4" width="13.33203125" style="2085" bestFit="1" customWidth="1"/>
    <col min="5" max="5" width="11.44140625" style="2085" customWidth="1"/>
    <col min="6" max="6" width="8.44140625" style="2085" customWidth="1"/>
    <col min="7" max="7" width="13.33203125" style="2085" customWidth="1"/>
    <col min="8" max="8" width="11.33203125" style="2085" customWidth="1"/>
    <col min="9" max="9" width="7.6640625" style="2085" customWidth="1"/>
    <col min="10" max="10" width="13.44140625" style="2085" customWidth="1"/>
    <col min="11" max="11" width="10.88671875" style="2085" hidden="1" customWidth="1"/>
    <col min="12" max="12" width="7.44140625" style="2085" hidden="1" customWidth="1"/>
    <col min="13" max="13" width="13.109375" style="2085" hidden="1" customWidth="1"/>
    <col min="14" max="14" width="11.33203125" style="2085" hidden="1" customWidth="1"/>
    <col min="15" max="15" width="7.6640625" style="2085" hidden="1" customWidth="1"/>
    <col min="16" max="16" width="14.109375" style="2085" hidden="1" customWidth="1"/>
    <col min="17" max="17" width="10.5546875" style="2085" hidden="1" customWidth="1"/>
    <col min="18" max="18" width="7.6640625" style="2085" hidden="1" customWidth="1"/>
    <col min="19" max="19" width="14.33203125" style="2085" hidden="1" customWidth="1"/>
    <col min="20" max="20" width="11" style="2085" hidden="1" customWidth="1"/>
    <col min="21" max="21" width="7.6640625" style="2085" hidden="1" customWidth="1"/>
    <col min="22" max="22" width="13" style="2085" hidden="1" customWidth="1"/>
    <col min="23" max="23" width="10.109375" style="2085" hidden="1" customWidth="1"/>
    <col min="24" max="24" width="9.109375" style="2085" hidden="1" customWidth="1"/>
    <col min="25" max="25" width="13.5546875" style="2085" hidden="1" customWidth="1"/>
    <col min="26" max="26" width="10.44140625" style="2085" hidden="1" customWidth="1"/>
    <col min="27" max="27" width="9.109375" style="2085" hidden="1" customWidth="1"/>
    <col min="28" max="28" width="13.5546875" style="2085" hidden="1" customWidth="1"/>
    <col min="29" max="29" width="13.109375" style="2085" hidden="1" customWidth="1"/>
    <col min="30" max="30" width="8.88671875" style="2085" hidden="1" customWidth="1"/>
    <col min="31" max="31" width="14" style="2085" hidden="1" customWidth="1"/>
    <col min="32" max="32" width="12.6640625" style="2085" hidden="1" customWidth="1"/>
    <col min="33" max="33" width="8.88671875" style="2085" hidden="1" customWidth="1"/>
    <col min="34" max="34" width="14.33203125" style="2085" hidden="1" customWidth="1"/>
    <col min="35" max="35" width="11.109375" style="2085" hidden="1" customWidth="1"/>
    <col min="36" max="36" width="8.88671875" style="2085" hidden="1" customWidth="1"/>
    <col min="37" max="37" width="14" style="2085" hidden="1" customWidth="1"/>
    <col min="38" max="38" width="15.33203125" style="2085" bestFit="1" customWidth="1"/>
    <col min="39" max="39" width="7.88671875" style="2085" bestFit="1" customWidth="1"/>
    <col min="40" max="40" width="18.109375" style="2085" bestFit="1" customWidth="1"/>
    <col min="41" max="41" width="15" style="2085" bestFit="1" customWidth="1"/>
    <col min="42" max="42" width="17.6640625" style="2085" bestFit="1" customWidth="1"/>
    <col min="43" max="43" width="15.88671875" style="2085" bestFit="1" customWidth="1"/>
    <col min="44" max="44" width="15" style="2085" bestFit="1" customWidth="1"/>
    <col min="45" max="45" width="9.109375" style="2085"/>
    <col min="46" max="46" width="9.5546875" style="2085" bestFit="1" customWidth="1"/>
    <col min="47" max="47" width="9.109375" style="2085"/>
    <col min="48" max="50" width="9.6640625" style="2085" bestFit="1" customWidth="1"/>
    <col min="51" max="16384" width="9.109375" style="2085"/>
  </cols>
  <sheetData>
    <row r="1" spans="1:44" ht="15" thickBot="1" x14ac:dyDescent="0.4"/>
    <row r="2" spans="1:44" ht="15.6" thickBot="1" x14ac:dyDescent="0.4">
      <c r="A2" s="2086" t="s">
        <v>67</v>
      </c>
      <c r="B2" s="3154" t="s">
        <v>16</v>
      </c>
      <c r="C2" s="3155"/>
      <c r="D2" s="3155"/>
      <c r="E2" s="3156" t="s">
        <v>4</v>
      </c>
      <c r="F2" s="3155"/>
      <c r="G2" s="3157"/>
      <c r="H2" s="3154" t="s">
        <v>17</v>
      </c>
      <c r="I2" s="3155"/>
      <c r="J2" s="3155"/>
      <c r="K2" s="3156" t="s">
        <v>18</v>
      </c>
      <c r="L2" s="3155"/>
      <c r="M2" s="3157"/>
      <c r="N2" s="3154" t="s">
        <v>19</v>
      </c>
      <c r="O2" s="3155"/>
      <c r="P2" s="3155"/>
      <c r="Q2" s="3156" t="s">
        <v>20</v>
      </c>
      <c r="R2" s="3155"/>
      <c r="S2" s="3157"/>
      <c r="T2" s="3154" t="s">
        <v>13</v>
      </c>
      <c r="U2" s="3155"/>
      <c r="V2" s="3155"/>
      <c r="W2" s="3156" t="s">
        <v>5</v>
      </c>
      <c r="X2" s="3155"/>
      <c r="Y2" s="3157"/>
      <c r="Z2" s="3154" t="s">
        <v>6</v>
      </c>
      <c r="AA2" s="3155"/>
      <c r="AB2" s="3155"/>
      <c r="AC2" s="3156" t="s">
        <v>7</v>
      </c>
      <c r="AD2" s="3155"/>
      <c r="AE2" s="3157"/>
      <c r="AF2" s="3154" t="s">
        <v>8</v>
      </c>
      <c r="AG2" s="3155"/>
      <c r="AH2" s="3155"/>
      <c r="AI2" s="3156" t="s">
        <v>9</v>
      </c>
      <c r="AJ2" s="3155"/>
      <c r="AK2" s="3157"/>
      <c r="AL2" s="3174" t="s">
        <v>0</v>
      </c>
      <c r="AM2" s="3155"/>
      <c r="AN2" s="3157"/>
    </row>
    <row r="3" spans="1:44" ht="13.2" customHeight="1" x14ac:dyDescent="0.35">
      <c r="A3" s="3152" t="s">
        <v>290</v>
      </c>
      <c r="B3" s="3160" t="s">
        <v>288</v>
      </c>
      <c r="C3" s="3164" t="s">
        <v>14</v>
      </c>
      <c r="D3" s="3166" t="s">
        <v>289</v>
      </c>
      <c r="E3" s="3168" t="s">
        <v>288</v>
      </c>
      <c r="F3" s="3162" t="s">
        <v>14</v>
      </c>
      <c r="G3" s="3158" t="s">
        <v>289</v>
      </c>
      <c r="H3" s="3160" t="s">
        <v>288</v>
      </c>
      <c r="I3" s="3162" t="s">
        <v>14</v>
      </c>
      <c r="J3" s="3158" t="s">
        <v>289</v>
      </c>
      <c r="K3" s="3168" t="s">
        <v>288</v>
      </c>
      <c r="L3" s="3162" t="s">
        <v>14</v>
      </c>
      <c r="M3" s="3158" t="s">
        <v>289</v>
      </c>
      <c r="N3" s="3168" t="s">
        <v>288</v>
      </c>
      <c r="O3" s="3162" t="s">
        <v>14</v>
      </c>
      <c r="P3" s="3158" t="s">
        <v>289</v>
      </c>
      <c r="Q3" s="3168" t="s">
        <v>288</v>
      </c>
      <c r="R3" s="3162" t="s">
        <v>14</v>
      </c>
      <c r="S3" s="3170" t="s">
        <v>289</v>
      </c>
      <c r="T3" s="3168" t="s">
        <v>288</v>
      </c>
      <c r="U3" s="3162" t="s">
        <v>14</v>
      </c>
      <c r="V3" s="3170" t="s">
        <v>289</v>
      </c>
      <c r="W3" s="3168" t="s">
        <v>288</v>
      </c>
      <c r="X3" s="3162" t="s">
        <v>14</v>
      </c>
      <c r="Y3" s="3158" t="s">
        <v>289</v>
      </c>
      <c r="Z3" s="3172" t="s">
        <v>288</v>
      </c>
      <c r="AA3" s="3162" t="s">
        <v>14</v>
      </c>
      <c r="AB3" s="3170" t="s">
        <v>289</v>
      </c>
      <c r="AC3" s="3172" t="s">
        <v>288</v>
      </c>
      <c r="AD3" s="3162" t="s">
        <v>14</v>
      </c>
      <c r="AE3" s="3170" t="s">
        <v>289</v>
      </c>
      <c r="AF3" s="3168" t="s">
        <v>288</v>
      </c>
      <c r="AG3" s="3162" t="s">
        <v>14</v>
      </c>
      <c r="AH3" s="3158" t="s">
        <v>289</v>
      </c>
      <c r="AI3" s="3168" t="s">
        <v>288</v>
      </c>
      <c r="AJ3" s="3162" t="s">
        <v>14</v>
      </c>
      <c r="AK3" s="3158" t="s">
        <v>289</v>
      </c>
      <c r="AL3" s="3175" t="s">
        <v>288</v>
      </c>
      <c r="AM3" s="3177" t="s">
        <v>14</v>
      </c>
      <c r="AN3" s="3179" t="s">
        <v>289</v>
      </c>
      <c r="AP3" s="2087"/>
      <c r="AQ3" s="2087"/>
    </row>
    <row r="4" spans="1:44" ht="15" thickBot="1" x14ac:dyDescent="0.4">
      <c r="A4" s="3153"/>
      <c r="B4" s="3161"/>
      <c r="C4" s="3165"/>
      <c r="D4" s="3167"/>
      <c r="E4" s="3169"/>
      <c r="F4" s="3163"/>
      <c r="G4" s="3159"/>
      <c r="H4" s="3161"/>
      <c r="I4" s="3163"/>
      <c r="J4" s="3159"/>
      <c r="K4" s="3169"/>
      <c r="L4" s="3163"/>
      <c r="M4" s="3159"/>
      <c r="N4" s="3169"/>
      <c r="O4" s="3163"/>
      <c r="P4" s="3159"/>
      <c r="Q4" s="3169"/>
      <c r="R4" s="3163"/>
      <c r="S4" s="3171"/>
      <c r="T4" s="3169"/>
      <c r="U4" s="3163"/>
      <c r="V4" s="3171"/>
      <c r="W4" s="3169"/>
      <c r="X4" s="3163"/>
      <c r="Y4" s="3159"/>
      <c r="Z4" s="3173"/>
      <c r="AA4" s="3163"/>
      <c r="AB4" s="3171"/>
      <c r="AC4" s="3173"/>
      <c r="AD4" s="3163"/>
      <c r="AE4" s="3171"/>
      <c r="AF4" s="3169"/>
      <c r="AG4" s="3163"/>
      <c r="AH4" s="3159"/>
      <c r="AI4" s="3169"/>
      <c r="AJ4" s="3163"/>
      <c r="AK4" s="3159"/>
      <c r="AL4" s="3176"/>
      <c r="AM4" s="3178"/>
      <c r="AN4" s="3180"/>
      <c r="AP4" s="2087"/>
    </row>
    <row r="5" spans="1:44" x14ac:dyDescent="0.35">
      <c r="A5" s="2088" t="s">
        <v>254</v>
      </c>
      <c r="B5" s="2089">
        <v>29736</v>
      </c>
      <c r="C5" s="2090">
        <f>IF(B5=0,0,D5/B5)</f>
        <v>306.9020715630885</v>
      </c>
      <c r="D5" s="2091">
        <v>9126040</v>
      </c>
      <c r="E5" s="2092">
        <v>42618.06</v>
      </c>
      <c r="F5" s="2090">
        <f>IF(E5=0,0,G5/E5)</f>
        <v>307.64997280495641</v>
      </c>
      <c r="G5" s="2094">
        <v>13111445</v>
      </c>
      <c r="H5" s="2092"/>
      <c r="I5" s="2093">
        <f>IF(H5=0,0,J5/H5)</f>
        <v>0</v>
      </c>
      <c r="J5" s="2094"/>
      <c r="K5" s="2092"/>
      <c r="L5" s="2093">
        <f>IF(K5=0,0,M5/K5)</f>
        <v>0</v>
      </c>
      <c r="M5" s="2094"/>
      <c r="N5" s="2092"/>
      <c r="O5" s="2090">
        <f>IF(N5=0,0,P5/N5)</f>
        <v>0</v>
      </c>
      <c r="P5" s="2094"/>
      <c r="Q5" s="2092"/>
      <c r="R5" s="2105">
        <f>IF(Q5=0,0,S5/Q5)</f>
        <v>0</v>
      </c>
      <c r="S5" s="2094"/>
      <c r="T5" s="2092"/>
      <c r="U5" s="2105">
        <f>IF(T5=0,0,V5/T5)</f>
        <v>0</v>
      </c>
      <c r="V5" s="2094"/>
      <c r="W5" s="2092"/>
      <c r="X5" s="2105">
        <f t="shared" ref="X5:X10" si="0">IF(W5=0,0,Y5/W5)</f>
        <v>0</v>
      </c>
      <c r="Y5" s="2094"/>
      <c r="Z5" s="2092"/>
      <c r="AA5" s="2105">
        <f t="shared" ref="AA5:AA10" si="1">IF(Z5=0,0,AB5/Z5)</f>
        <v>0</v>
      </c>
      <c r="AB5" s="2094"/>
      <c r="AC5" s="2092"/>
      <c r="AD5" s="2105">
        <f>IF(AC5=0,0,AE5/AC5)</f>
        <v>0</v>
      </c>
      <c r="AE5" s="2094"/>
      <c r="AF5" s="2092"/>
      <c r="AG5" s="2105">
        <f>IF(AF5=0,0,AH5/AF5)</f>
        <v>0</v>
      </c>
      <c r="AH5" s="2094"/>
      <c r="AI5" s="3094"/>
      <c r="AJ5" s="3095">
        <f t="shared" ref="AJ5:AJ17" si="2">IF(AI5=0,0,AK5/AI5)</f>
        <v>0</v>
      </c>
      <c r="AK5" s="3096"/>
      <c r="AL5" s="2096">
        <f t="shared" ref="AL5:AL10" si="3">SUM(B5,E5,H5,K5,N5,Q5,T5,W5,Z5,AC5,AF5,AI5)</f>
        <v>72354.06</v>
      </c>
      <c r="AM5" s="2097">
        <f>IF(AL5=0,0,AN5/AL5)</f>
        <v>307.34260109246117</v>
      </c>
      <c r="AN5" s="2098">
        <f>SUM(D5,G5,J5,M5,P5,S5,V5,Y5,AB5,AE5,AH5,AK5)</f>
        <v>22237485</v>
      </c>
      <c r="AQ5" s="2099"/>
      <c r="AR5" s="2099"/>
    </row>
    <row r="6" spans="1:44" x14ac:dyDescent="0.35">
      <c r="A6" s="2088" t="s">
        <v>291</v>
      </c>
      <c r="B6" s="2100">
        <v>60203</v>
      </c>
      <c r="C6" s="2095">
        <f t="shared" ref="C6:C10" si="4">IF(B6=0,0,D6/B6)</f>
        <v>284.90781190306132</v>
      </c>
      <c r="D6" s="2101">
        <v>17152305</v>
      </c>
      <c r="E6" s="2104">
        <v>65542.47</v>
      </c>
      <c r="F6" s="2095">
        <f>IF(E6=0,0,G6/E6)</f>
        <v>276.00742541439161</v>
      </c>
      <c r="G6" s="2103">
        <v>18090208.399999999</v>
      </c>
      <c r="H6" s="3097"/>
      <c r="I6" s="2102">
        <f t="shared" ref="I6:I10" si="5">IF(H6=0,0,J6/H6)</f>
        <v>0</v>
      </c>
      <c r="J6" s="2103"/>
      <c r="K6" s="2104"/>
      <c r="L6" s="2105">
        <f t="shared" ref="L6:L10" si="6">IF(K6=0,0,M6/K6)</f>
        <v>0</v>
      </c>
      <c r="M6" s="2103"/>
      <c r="N6" s="2104"/>
      <c r="O6" s="2105">
        <f t="shared" ref="O6" si="7">IF(N6=0,0,P6/N6)</f>
        <v>0</v>
      </c>
      <c r="P6" s="2103"/>
      <c r="Q6" s="2104"/>
      <c r="R6" s="2105">
        <f t="shared" ref="R6:R10" si="8">IF(Q6=0,0,S6/Q6)</f>
        <v>0</v>
      </c>
      <c r="S6" s="2103"/>
      <c r="T6" s="2104"/>
      <c r="U6" s="2105">
        <f>IF(T6=0,0,V6/T6)</f>
        <v>0</v>
      </c>
      <c r="V6" s="2103"/>
      <c r="W6" s="2104"/>
      <c r="X6" s="2105">
        <f t="shared" si="0"/>
        <v>0</v>
      </c>
      <c r="Y6" s="2103"/>
      <c r="Z6" s="2104"/>
      <c r="AA6" s="2105">
        <f t="shared" si="1"/>
        <v>0</v>
      </c>
      <c r="AB6" s="2103"/>
      <c r="AC6" s="2104"/>
      <c r="AD6" s="2105">
        <f t="shared" ref="AD6:AD10" si="9">IF(AC6=0,0,AE6/AC6)</f>
        <v>0</v>
      </c>
      <c r="AE6" s="2103"/>
      <c r="AF6" s="2104"/>
      <c r="AG6" s="2105">
        <f t="shared" ref="AG6:AG10" si="10">IF(AF6=0,0,AH6/AF6)</f>
        <v>0</v>
      </c>
      <c r="AH6" s="2103"/>
      <c r="AI6" s="3098"/>
      <c r="AJ6" s="3095">
        <f t="shared" si="2"/>
        <v>0</v>
      </c>
      <c r="AK6" s="3099"/>
      <c r="AL6" s="2104">
        <f t="shared" si="3"/>
        <v>125745.47</v>
      </c>
      <c r="AM6" s="2105">
        <f t="shared" ref="AM6:AM25" si="11">IF(AL6=0,0,AN6/AL6)</f>
        <v>280.2686522226208</v>
      </c>
      <c r="AN6" s="2106">
        <f>SUM(D6,G6,J6,M6,P6,S6,V6,Y6,AB6,AE6,AH6,AK6)</f>
        <v>35242513.399999999</v>
      </c>
      <c r="AP6" s="2087"/>
      <c r="AQ6" s="2099"/>
      <c r="AR6" s="2099"/>
    </row>
    <row r="7" spans="1:44" x14ac:dyDescent="0.35">
      <c r="A7" s="2107" t="s">
        <v>294</v>
      </c>
      <c r="B7" s="2100"/>
      <c r="C7" s="2105">
        <f t="shared" si="4"/>
        <v>0</v>
      </c>
      <c r="D7" s="2101"/>
      <c r="E7" s="2104"/>
      <c r="F7" s="2095"/>
      <c r="G7" s="2103"/>
      <c r="H7" s="2104"/>
      <c r="I7" s="2102">
        <f t="shared" si="5"/>
        <v>0</v>
      </c>
      <c r="J7" s="2103"/>
      <c r="K7" s="2104"/>
      <c r="L7" s="2105">
        <f t="shared" si="6"/>
        <v>0</v>
      </c>
      <c r="M7" s="2103"/>
      <c r="N7" s="2104"/>
      <c r="O7" s="2095"/>
      <c r="P7" s="2103"/>
      <c r="Q7" s="2104"/>
      <c r="R7" s="2105">
        <f t="shared" si="8"/>
        <v>0</v>
      </c>
      <c r="S7" s="2103"/>
      <c r="T7" s="2104"/>
      <c r="U7" s="2095"/>
      <c r="V7" s="2103"/>
      <c r="W7" s="2104"/>
      <c r="X7" s="2105">
        <f t="shared" si="0"/>
        <v>0</v>
      </c>
      <c r="Y7" s="2103"/>
      <c r="Z7" s="2104"/>
      <c r="AA7" s="2105">
        <f t="shared" si="1"/>
        <v>0</v>
      </c>
      <c r="AB7" s="2103"/>
      <c r="AC7" s="2104"/>
      <c r="AD7" s="2105">
        <f t="shared" si="9"/>
        <v>0</v>
      </c>
      <c r="AE7" s="2103"/>
      <c r="AF7" s="2104"/>
      <c r="AG7" s="2105">
        <f t="shared" si="10"/>
        <v>0</v>
      </c>
      <c r="AH7" s="2103"/>
      <c r="AI7" s="3098"/>
      <c r="AJ7" s="3095">
        <f t="shared" si="2"/>
        <v>0</v>
      </c>
      <c r="AK7" s="3099"/>
      <c r="AL7" s="2104">
        <f t="shared" si="3"/>
        <v>0</v>
      </c>
      <c r="AM7" s="2105">
        <f>IF(AL7=0,0,AN7/AL7)</f>
        <v>0</v>
      </c>
      <c r="AN7" s="2106">
        <f t="shared" ref="AN7" si="12">SUM(D7,G7,J7,M7,P7,S7,V7,Y7,AB7,AE7,AH7,AK7)</f>
        <v>0</v>
      </c>
      <c r="AQ7" s="2099"/>
      <c r="AR7" s="2099"/>
    </row>
    <row r="8" spans="1:44" x14ac:dyDescent="0.35">
      <c r="A8" s="2107" t="s">
        <v>295</v>
      </c>
      <c r="B8" s="2100"/>
      <c r="C8" s="2105">
        <f t="shared" si="4"/>
        <v>0</v>
      </c>
      <c r="D8" s="2101"/>
      <c r="E8" s="2104"/>
      <c r="F8" s="2095"/>
      <c r="G8" s="2103"/>
      <c r="H8" s="2104"/>
      <c r="I8" s="2105">
        <f t="shared" si="5"/>
        <v>0</v>
      </c>
      <c r="J8" s="2103"/>
      <c r="K8" s="2104"/>
      <c r="L8" s="2105">
        <f t="shared" si="6"/>
        <v>0</v>
      </c>
      <c r="M8" s="2103"/>
      <c r="N8" s="2104"/>
      <c r="O8" s="2095"/>
      <c r="P8" s="2103"/>
      <c r="Q8" s="2104"/>
      <c r="R8" s="2105">
        <f t="shared" si="8"/>
        <v>0</v>
      </c>
      <c r="S8" s="2103"/>
      <c r="T8" s="2104"/>
      <c r="U8" s="2105">
        <f t="shared" ref="U8:U14" si="13">IF(T8=0,0,V8/T8)</f>
        <v>0</v>
      </c>
      <c r="V8" s="2103"/>
      <c r="W8" s="2104"/>
      <c r="X8" s="2105">
        <f t="shared" si="0"/>
        <v>0</v>
      </c>
      <c r="Y8" s="2103"/>
      <c r="Z8" s="2104"/>
      <c r="AA8" s="2105">
        <f t="shared" si="1"/>
        <v>0</v>
      </c>
      <c r="AB8" s="2103"/>
      <c r="AC8" s="2104"/>
      <c r="AD8" s="2105">
        <f t="shared" si="9"/>
        <v>0</v>
      </c>
      <c r="AE8" s="2103"/>
      <c r="AF8" s="2104"/>
      <c r="AG8" s="2105">
        <f t="shared" si="10"/>
        <v>0</v>
      </c>
      <c r="AH8" s="2103"/>
      <c r="AI8" s="3098"/>
      <c r="AJ8" s="3095">
        <f t="shared" si="2"/>
        <v>0</v>
      </c>
      <c r="AK8" s="3099"/>
      <c r="AL8" s="2104">
        <f t="shared" si="3"/>
        <v>0</v>
      </c>
      <c r="AM8" s="2105">
        <f>IF(AL8=0,0,AN8/AL8)</f>
        <v>0</v>
      </c>
      <c r="AN8" s="2106">
        <f>SUM(D8,G8,J8,M8,P8,S8,V8,Y8,AB8,AE8,AH8,AK8)</f>
        <v>0</v>
      </c>
      <c r="AQ8" s="2099"/>
      <c r="AR8" s="2099"/>
    </row>
    <row r="9" spans="1:44" x14ac:dyDescent="0.35">
      <c r="A9" s="2107" t="s">
        <v>408</v>
      </c>
      <c r="B9" s="2100">
        <v>5</v>
      </c>
      <c r="C9" s="2095">
        <f t="shared" si="4"/>
        <v>900</v>
      </c>
      <c r="D9" s="2101">
        <v>4500</v>
      </c>
      <c r="E9" s="2104"/>
      <c r="F9" s="2095">
        <f t="shared" ref="F9:F14" si="14">IF(E9=0,0,G9/E9)</f>
        <v>0</v>
      </c>
      <c r="G9" s="2103"/>
      <c r="H9" s="2104"/>
      <c r="I9" s="2095">
        <f t="shared" si="5"/>
        <v>0</v>
      </c>
      <c r="J9" s="2103"/>
      <c r="K9" s="2104"/>
      <c r="L9" s="2105">
        <f t="shared" si="6"/>
        <v>0</v>
      </c>
      <c r="M9" s="2103"/>
      <c r="N9" s="2104"/>
      <c r="O9" s="2095">
        <f t="shared" ref="O9:O10" si="15">IF(N9=0,0,P9/N9)</f>
        <v>0</v>
      </c>
      <c r="P9" s="2103"/>
      <c r="Q9" s="2104"/>
      <c r="R9" s="2105">
        <f t="shared" si="8"/>
        <v>0</v>
      </c>
      <c r="S9" s="2103"/>
      <c r="T9" s="2104"/>
      <c r="U9" s="2105">
        <f t="shared" si="13"/>
        <v>0</v>
      </c>
      <c r="V9" s="2103"/>
      <c r="W9" s="2104"/>
      <c r="X9" s="2105">
        <f t="shared" si="0"/>
        <v>0</v>
      </c>
      <c r="Y9" s="2103"/>
      <c r="Z9" s="2104"/>
      <c r="AA9" s="2105">
        <f t="shared" si="1"/>
        <v>0</v>
      </c>
      <c r="AB9" s="2103"/>
      <c r="AC9" s="2104"/>
      <c r="AD9" s="2105">
        <f t="shared" si="9"/>
        <v>0</v>
      </c>
      <c r="AE9" s="2103"/>
      <c r="AF9" s="2104"/>
      <c r="AG9" s="2105">
        <f t="shared" si="10"/>
        <v>0</v>
      </c>
      <c r="AH9" s="2103"/>
      <c r="AI9" s="3098"/>
      <c r="AJ9" s="3095">
        <f t="shared" si="2"/>
        <v>0</v>
      </c>
      <c r="AK9" s="3099"/>
      <c r="AL9" s="2104">
        <f t="shared" si="3"/>
        <v>5</v>
      </c>
      <c r="AM9" s="2105">
        <f t="shared" si="11"/>
        <v>900</v>
      </c>
      <c r="AN9" s="2106">
        <f>SUM(D9,G9,J9,M9,P9,S9,V9,Y9,AB9,AE9,AH9,AK9)</f>
        <v>4500</v>
      </c>
      <c r="AQ9" s="2099"/>
      <c r="AR9" s="2099"/>
    </row>
    <row r="10" spans="1:44" ht="15" thickBot="1" x14ac:dyDescent="0.4">
      <c r="A10" s="2107" t="s">
        <v>594</v>
      </c>
      <c r="B10" s="2108">
        <v>6050</v>
      </c>
      <c r="C10" s="2109">
        <f t="shared" si="4"/>
        <v>179.0082644628099</v>
      </c>
      <c r="D10" s="2110">
        <v>1083000</v>
      </c>
      <c r="E10" s="2111">
        <v>4500</v>
      </c>
      <c r="F10" s="2095">
        <f t="shared" si="14"/>
        <v>176.11111111111111</v>
      </c>
      <c r="G10" s="2112">
        <v>792500</v>
      </c>
      <c r="H10" s="2111"/>
      <c r="I10" s="2095">
        <f t="shared" si="5"/>
        <v>0</v>
      </c>
      <c r="J10" s="2112"/>
      <c r="K10" s="2111"/>
      <c r="L10" s="2105">
        <f t="shared" si="6"/>
        <v>0</v>
      </c>
      <c r="M10" s="2112"/>
      <c r="N10" s="2111"/>
      <c r="O10" s="2105">
        <f t="shared" si="15"/>
        <v>0</v>
      </c>
      <c r="P10" s="2112"/>
      <c r="Q10" s="2111"/>
      <c r="R10" s="2105">
        <f t="shared" si="8"/>
        <v>0</v>
      </c>
      <c r="S10" s="2112"/>
      <c r="T10" s="2111"/>
      <c r="U10" s="3100">
        <f t="shared" si="13"/>
        <v>0</v>
      </c>
      <c r="V10" s="2112"/>
      <c r="W10" s="2111"/>
      <c r="X10" s="2105">
        <f t="shared" si="0"/>
        <v>0</v>
      </c>
      <c r="Y10" s="2112"/>
      <c r="Z10" s="2111"/>
      <c r="AA10" s="2105">
        <f t="shared" si="1"/>
        <v>0</v>
      </c>
      <c r="AB10" s="2112"/>
      <c r="AC10" s="2111"/>
      <c r="AD10" s="2105">
        <f t="shared" si="9"/>
        <v>0</v>
      </c>
      <c r="AE10" s="2112"/>
      <c r="AF10" s="2111"/>
      <c r="AG10" s="2105">
        <f t="shared" si="10"/>
        <v>0</v>
      </c>
      <c r="AH10" s="2112"/>
      <c r="AI10" s="3101"/>
      <c r="AJ10" s="3095">
        <f t="shared" si="2"/>
        <v>0</v>
      </c>
      <c r="AK10" s="3102"/>
      <c r="AL10" s="2113">
        <f t="shared" si="3"/>
        <v>10550</v>
      </c>
      <c r="AM10" s="2091">
        <f t="shared" si="11"/>
        <v>177.77251184834122</v>
      </c>
      <c r="AN10" s="2114">
        <f>SUM(D10,G10,J10,M10,P10,S10,V10,Y10,AB10,AE10,AH10,AK10)</f>
        <v>1875500</v>
      </c>
      <c r="AO10" s="2087"/>
      <c r="AQ10" s="2099"/>
      <c r="AR10" s="2099"/>
    </row>
    <row r="11" spans="1:44" ht="15" thickBot="1" x14ac:dyDescent="0.4">
      <c r="A11" s="2115"/>
      <c r="B11" s="2116">
        <f>SUM(B5:B10)</f>
        <v>95994</v>
      </c>
      <c r="C11" s="2117">
        <f>IF(B11=0,0,D11/B11)</f>
        <v>285.0787028355939</v>
      </c>
      <c r="D11" s="2118">
        <f>SUM(D5:D10)</f>
        <v>27365845</v>
      </c>
      <c r="E11" s="2119">
        <f>SUM(E5:E10)</f>
        <v>112660.53</v>
      </c>
      <c r="F11" s="2117">
        <f t="shared" si="14"/>
        <v>283.98724380224377</v>
      </c>
      <c r="G11" s="2120">
        <f>SUM(G5:G10)</f>
        <v>31994153.399999999</v>
      </c>
      <c r="H11" s="2119">
        <f>SUM(H5:H10)</f>
        <v>0</v>
      </c>
      <c r="I11" s="2117">
        <f>IF(H11=0,0,J11/H11)</f>
        <v>0</v>
      </c>
      <c r="J11" s="2120">
        <f>SUM(J5:J10)</f>
        <v>0</v>
      </c>
      <c r="K11" s="2119">
        <f>SUM(K5:K10)</f>
        <v>0</v>
      </c>
      <c r="L11" s="2121">
        <f>IF(K11=0,0,M11/K11)</f>
        <v>0</v>
      </c>
      <c r="M11" s="2120">
        <f>SUM(M5:M10)</f>
        <v>0</v>
      </c>
      <c r="N11" s="2119">
        <f>SUM(N5:N10)</f>
        <v>0</v>
      </c>
      <c r="O11" s="2117">
        <f>IF(N11=0,0,P11/N11)</f>
        <v>0</v>
      </c>
      <c r="P11" s="2120">
        <f>SUM(P5:P10)</f>
        <v>0</v>
      </c>
      <c r="Q11" s="2119">
        <f>SUM(Q5:Q10)</f>
        <v>0</v>
      </c>
      <c r="R11" s="2117">
        <f>IF(Q11=0,0,S11/Q11)</f>
        <v>0</v>
      </c>
      <c r="S11" s="2120">
        <f>SUM(S5:S10)</f>
        <v>0</v>
      </c>
      <c r="T11" s="2119">
        <f>SUM(T5:T10)</f>
        <v>0</v>
      </c>
      <c r="U11" s="2117">
        <f t="shared" si="13"/>
        <v>0</v>
      </c>
      <c r="V11" s="2120">
        <f>SUM(V5:V10)</f>
        <v>0</v>
      </c>
      <c r="W11" s="2119">
        <f>SUM(W5:W10)</f>
        <v>0</v>
      </c>
      <c r="X11" s="2117">
        <f>IF(W11=0,0,Y11/W11)</f>
        <v>0</v>
      </c>
      <c r="Y11" s="2120">
        <f>SUM(Y5:Y10)</f>
        <v>0</v>
      </c>
      <c r="Z11" s="2119">
        <f>SUM(Z5:Z10)</f>
        <v>0</v>
      </c>
      <c r="AA11" s="2117">
        <f>IF(Z11=0,0,AB11/Z11)</f>
        <v>0</v>
      </c>
      <c r="AB11" s="2120">
        <f>SUM(AB5:AB10)</f>
        <v>0</v>
      </c>
      <c r="AC11" s="2119">
        <f>SUM(AC5:AC10)</f>
        <v>0</v>
      </c>
      <c r="AD11" s="2117">
        <f>IF(AC11=0,0,AE11/AC11)</f>
        <v>0</v>
      </c>
      <c r="AE11" s="2120">
        <f>SUM(AE5:AE10)</f>
        <v>0</v>
      </c>
      <c r="AF11" s="2119">
        <f>SUM(AF5:AF10)</f>
        <v>0</v>
      </c>
      <c r="AG11" s="2117">
        <f>IF(AF11=0,0,AH11/AF11)</f>
        <v>0</v>
      </c>
      <c r="AH11" s="2120">
        <f>SUM(AH5:AH10)</f>
        <v>0</v>
      </c>
      <c r="AI11" s="3103">
        <f>SUM(AI5:AI10)</f>
        <v>0</v>
      </c>
      <c r="AJ11" s="3104">
        <f>IF(AI11=0,0,AK11/AI11)</f>
        <v>0</v>
      </c>
      <c r="AK11" s="3105">
        <f>SUM(AK5:AK10)</f>
        <v>0</v>
      </c>
      <c r="AL11" s="2119">
        <f>SUM(AL5:AL10)</f>
        <v>208654.53</v>
      </c>
      <c r="AM11" s="2117">
        <f>IF(AL11=0,0,AN11/AL11)</f>
        <v>284.48938252143387</v>
      </c>
      <c r="AN11" s="2120">
        <f>SUM(AN5:AN10)</f>
        <v>59359998.399999999</v>
      </c>
      <c r="AQ11" s="2099"/>
      <c r="AR11" s="2099"/>
    </row>
    <row r="12" spans="1:44" x14ac:dyDescent="0.35">
      <c r="A12" s="2107" t="s">
        <v>174</v>
      </c>
      <c r="B12" s="2122">
        <v>1148</v>
      </c>
      <c r="C12" s="2105">
        <f>IF(B12=0,0,D12/B12)</f>
        <v>288.71080139372822</v>
      </c>
      <c r="D12" s="2123">
        <v>331440</v>
      </c>
      <c r="E12" s="2124">
        <v>1087</v>
      </c>
      <c r="F12" s="2105">
        <f t="shared" si="14"/>
        <v>306.53032198712054</v>
      </c>
      <c r="G12" s="2125">
        <v>333198.46000000002</v>
      </c>
      <c r="H12" s="2124"/>
      <c r="I12" s="2105">
        <f t="shared" ref="I12:I14" si="16">IF(H12=0,0,J12/H12)</f>
        <v>0</v>
      </c>
      <c r="J12" s="2125"/>
      <c r="K12" s="2124"/>
      <c r="L12" s="2095"/>
      <c r="M12" s="2125"/>
      <c r="N12" s="2124"/>
      <c r="O12" s="2105">
        <f>IF(N12=0,0,P12/N12)</f>
        <v>0</v>
      </c>
      <c r="P12" s="2125"/>
      <c r="Q12" s="2124"/>
      <c r="R12" s="2105">
        <f>IF(Q12=0,0,S12/Q12)</f>
        <v>0</v>
      </c>
      <c r="S12" s="2125"/>
      <c r="T12" s="2129"/>
      <c r="U12" s="2105">
        <f t="shared" si="13"/>
        <v>0</v>
      </c>
      <c r="V12" s="2130"/>
      <c r="W12" s="2124"/>
      <c r="X12" s="2105">
        <f t="shared" ref="X12:X25" si="17">IF(W12=0,0,Y12/W12)</f>
        <v>0</v>
      </c>
      <c r="Y12" s="2125"/>
      <c r="Z12" s="2124"/>
      <c r="AA12" s="2105">
        <f t="shared" ref="AA12:AA17" si="18">IF(Z12=0,0,AB12/Z12)</f>
        <v>0</v>
      </c>
      <c r="AB12" s="2125"/>
      <c r="AC12" s="2124"/>
      <c r="AD12" s="2105">
        <f>IF(AC12=0,0,AE12/AC12)</f>
        <v>0</v>
      </c>
      <c r="AE12" s="2125"/>
      <c r="AF12" s="2124"/>
      <c r="AG12" s="2105">
        <f t="shared" ref="AG12:AG17" si="19">IF(AF12=0,0,AH12/AF12)</f>
        <v>0</v>
      </c>
      <c r="AH12" s="2125"/>
      <c r="AI12" s="3106"/>
      <c r="AJ12" s="3095">
        <f t="shared" si="2"/>
        <v>0</v>
      </c>
      <c r="AK12" s="3107"/>
      <c r="AL12" s="2104">
        <f t="shared" ref="AL12:AL17" si="20">SUM(B12,E12,H12,K12,N12,Q12,T12,W12,Z12,AC12,AF12,AI12)</f>
        <v>2235</v>
      </c>
      <c r="AM12" s="2105">
        <f>IF(AL12=0,0,AN12/AL12)</f>
        <v>297.37738702460848</v>
      </c>
      <c r="AN12" s="2106">
        <f>SUM(D12,G12,J12,M12,P12,S12,V12,Y12,AB12,AE12,AH12,AK12)</f>
        <v>664638.46</v>
      </c>
      <c r="AP12" s="2126"/>
      <c r="AQ12" s="2099"/>
      <c r="AR12" s="2099"/>
    </row>
    <row r="13" spans="1:44" x14ac:dyDescent="0.35">
      <c r="A13" s="2107" t="s">
        <v>175</v>
      </c>
      <c r="B13" s="2127">
        <v>544</v>
      </c>
      <c r="C13" s="2105">
        <f>IF(B13=0,0,D13/B13)</f>
        <v>322.89154411764707</v>
      </c>
      <c r="D13" s="2128">
        <v>175653</v>
      </c>
      <c r="E13" s="2129">
        <v>24</v>
      </c>
      <c r="F13" s="2105">
        <f t="shared" si="14"/>
        <v>312.5</v>
      </c>
      <c r="G13" s="2130">
        <v>7500</v>
      </c>
      <c r="H13" s="2129"/>
      <c r="I13" s="2105">
        <f t="shared" si="16"/>
        <v>0</v>
      </c>
      <c r="J13" s="2130"/>
      <c r="K13" s="2129"/>
      <c r="L13" s="2105">
        <f t="shared" ref="L13:L14" si="21">IF(K13=0,0,M13/K13)</f>
        <v>0</v>
      </c>
      <c r="M13" s="2130"/>
      <c r="N13" s="2129"/>
      <c r="O13" s="2095"/>
      <c r="P13" s="2130"/>
      <c r="Q13" s="2129"/>
      <c r="R13" s="2105">
        <f>IF(Q13=0,0,S13/Q13)</f>
        <v>0</v>
      </c>
      <c r="S13" s="2130"/>
      <c r="T13" s="2129"/>
      <c r="U13" s="2105">
        <f t="shared" si="13"/>
        <v>0</v>
      </c>
      <c r="V13" s="2130"/>
      <c r="W13" s="2129"/>
      <c r="X13" s="2105">
        <f t="shared" si="17"/>
        <v>0</v>
      </c>
      <c r="Y13" s="2130"/>
      <c r="Z13" s="2129"/>
      <c r="AA13" s="2105">
        <f t="shared" si="18"/>
        <v>0</v>
      </c>
      <c r="AB13" s="2130"/>
      <c r="AC13" s="2129"/>
      <c r="AD13" s="2105">
        <f>IF(AC13=0,0,AE13/AC13)</f>
        <v>0</v>
      </c>
      <c r="AE13" s="2130"/>
      <c r="AF13" s="2129"/>
      <c r="AG13" s="2105">
        <f t="shared" si="19"/>
        <v>0</v>
      </c>
      <c r="AH13" s="2130"/>
      <c r="AI13" s="3108"/>
      <c r="AJ13" s="3095">
        <f t="shared" si="2"/>
        <v>0</v>
      </c>
      <c r="AK13" s="3109"/>
      <c r="AL13" s="2104">
        <f t="shared" si="20"/>
        <v>568</v>
      </c>
      <c r="AM13" s="2105">
        <f t="shared" si="11"/>
        <v>322.45246478873241</v>
      </c>
      <c r="AN13" s="2106">
        <f>SUM(D13,G13,J13,M13,P13,S13,V13,Y13,AB13,AE13,AH13,AK13)</f>
        <v>183153</v>
      </c>
      <c r="AP13" s="2126"/>
      <c r="AQ13" s="2099"/>
      <c r="AR13" s="2099"/>
    </row>
    <row r="14" spans="1:44" x14ac:dyDescent="0.35">
      <c r="A14" s="2107" t="s">
        <v>292</v>
      </c>
      <c r="B14" s="2127">
        <v>6124</v>
      </c>
      <c r="C14" s="2105">
        <f t="shared" ref="C14:C15" si="22">IF(B14=0,0,D14/B14)</f>
        <v>247.34634225996081</v>
      </c>
      <c r="D14" s="2128">
        <v>1514749</v>
      </c>
      <c r="E14" s="2129">
        <v>3727.5</v>
      </c>
      <c r="F14" s="2095">
        <f t="shared" si="14"/>
        <v>242.5515761234071</v>
      </c>
      <c r="G14" s="2130">
        <v>904111</v>
      </c>
      <c r="H14" s="2129"/>
      <c r="I14" s="2105">
        <f t="shared" si="16"/>
        <v>0</v>
      </c>
      <c r="J14" s="2130"/>
      <c r="K14" s="2129"/>
      <c r="L14" s="2105">
        <f t="shared" si="21"/>
        <v>0</v>
      </c>
      <c r="M14" s="2130"/>
      <c r="N14" s="2129"/>
      <c r="O14" s="2105">
        <f>IF(N14=0,0,P14/N14)</f>
        <v>0</v>
      </c>
      <c r="P14" s="2130"/>
      <c r="Q14" s="2129"/>
      <c r="R14" s="2105">
        <f t="shared" ref="R14:R17" si="23">IF(Q14=0,0,S14/Q14)</f>
        <v>0</v>
      </c>
      <c r="S14" s="2130"/>
      <c r="T14" s="3110"/>
      <c r="U14" s="3111">
        <f t="shared" si="13"/>
        <v>0</v>
      </c>
      <c r="V14" s="3112"/>
      <c r="W14" s="2129"/>
      <c r="X14" s="2105">
        <f t="shared" si="17"/>
        <v>0</v>
      </c>
      <c r="Y14" s="2130"/>
      <c r="Z14" s="2129"/>
      <c r="AA14" s="2105">
        <f t="shared" si="18"/>
        <v>0</v>
      </c>
      <c r="AB14" s="2130"/>
      <c r="AC14" s="2129"/>
      <c r="AD14" s="2105">
        <f t="shared" ref="AD14:AD17" si="24">IF(AC14=0,0,AE14/AC14)</f>
        <v>0</v>
      </c>
      <c r="AE14" s="2130"/>
      <c r="AF14" s="2129"/>
      <c r="AG14" s="2105">
        <f t="shared" si="19"/>
        <v>0</v>
      </c>
      <c r="AH14" s="2130"/>
      <c r="AI14" s="3108"/>
      <c r="AJ14" s="3095">
        <f t="shared" si="2"/>
        <v>0</v>
      </c>
      <c r="AK14" s="3109"/>
      <c r="AL14" s="2104">
        <f t="shared" si="20"/>
        <v>9851.5</v>
      </c>
      <c r="AM14" s="2105">
        <f t="shared" si="11"/>
        <v>245.53215246409175</v>
      </c>
      <c r="AN14" s="2106">
        <f>SUM(D14,G14,J14,M14,P14,S14,V14,Y14,AB14,AE14,AH14,AK14)</f>
        <v>2418860</v>
      </c>
      <c r="AP14" s="2126"/>
      <c r="AQ14" s="2099"/>
    </row>
    <row r="15" spans="1:44" x14ac:dyDescent="0.35">
      <c r="A15" s="2107" t="s">
        <v>826</v>
      </c>
      <c r="B15" s="2127">
        <v>455</v>
      </c>
      <c r="C15" s="2095">
        <f t="shared" si="22"/>
        <v>197.64835164835165</v>
      </c>
      <c r="D15" s="2128">
        <v>89930</v>
      </c>
      <c r="E15" s="2129"/>
      <c r="F15" s="2095"/>
      <c r="G15" s="2130"/>
      <c r="H15" s="2129"/>
      <c r="I15" s="2095"/>
      <c r="J15" s="2130"/>
      <c r="K15" s="2129"/>
      <c r="L15" s="2095"/>
      <c r="M15" s="2130"/>
      <c r="N15" s="2129"/>
      <c r="O15" s="2095">
        <f t="shared" ref="O15:O16" si="25">IF(N15=0,0,P15/N15)</f>
        <v>0</v>
      </c>
      <c r="P15" s="2130"/>
      <c r="Q15" s="2129"/>
      <c r="R15" s="2105">
        <f t="shared" si="23"/>
        <v>0</v>
      </c>
      <c r="S15" s="2130"/>
      <c r="T15" s="2113"/>
      <c r="U15" s="2095"/>
      <c r="V15" s="2142"/>
      <c r="W15" s="2129"/>
      <c r="X15" s="2105">
        <f t="shared" si="17"/>
        <v>0</v>
      </c>
      <c r="Y15" s="2130"/>
      <c r="Z15" s="2129"/>
      <c r="AA15" s="2105">
        <f t="shared" si="18"/>
        <v>0</v>
      </c>
      <c r="AB15" s="2130"/>
      <c r="AC15" s="2129"/>
      <c r="AD15" s="2105">
        <f t="shared" si="24"/>
        <v>0</v>
      </c>
      <c r="AE15" s="2130"/>
      <c r="AF15" s="2129"/>
      <c r="AG15" s="2095"/>
      <c r="AH15" s="2130"/>
      <c r="AI15" s="3108"/>
      <c r="AJ15" s="3095">
        <f t="shared" si="2"/>
        <v>0</v>
      </c>
      <c r="AK15" s="3109"/>
      <c r="AL15" s="2104">
        <f t="shared" si="20"/>
        <v>455</v>
      </c>
      <c r="AM15" s="2105">
        <f t="shared" si="11"/>
        <v>197.64835164835165</v>
      </c>
      <c r="AN15" s="2106">
        <f t="shared" ref="AN15:AN17" si="26">SUM(D15,G15,J15,M15,P15,S15,V15,Y15,AB15,AE15,AH15,AK15)</f>
        <v>89930</v>
      </c>
      <c r="AO15" s="2131"/>
      <c r="AP15" s="2126"/>
      <c r="AQ15" s="2099"/>
    </row>
    <row r="16" spans="1:44" x14ac:dyDescent="0.35">
      <c r="A16" s="2107" t="s">
        <v>293</v>
      </c>
      <c r="B16" s="2127">
        <v>168</v>
      </c>
      <c r="C16" s="2105">
        <f>IF(B16=0,0,D16/B16)</f>
        <v>608.92857142857144</v>
      </c>
      <c r="D16" s="2128">
        <v>102300</v>
      </c>
      <c r="E16" s="2129"/>
      <c r="F16" s="2095"/>
      <c r="G16" s="2130"/>
      <c r="H16" s="2129"/>
      <c r="I16" s="2105">
        <f t="shared" ref="I16:I17" si="27">IF(H16=0,0,J16/H16)</f>
        <v>0</v>
      </c>
      <c r="J16" s="2130"/>
      <c r="K16" s="2129"/>
      <c r="L16" s="2095"/>
      <c r="M16" s="2130"/>
      <c r="N16" s="2129"/>
      <c r="O16" s="2105">
        <f t="shared" si="25"/>
        <v>0</v>
      </c>
      <c r="P16" s="2130"/>
      <c r="Q16" s="2129"/>
      <c r="R16" s="2105">
        <f t="shared" si="23"/>
        <v>0</v>
      </c>
      <c r="S16" s="2130"/>
      <c r="T16" s="2129"/>
      <c r="U16" s="2105">
        <f>IF(T16=0,0,V16/T16)</f>
        <v>0</v>
      </c>
      <c r="V16" s="2130"/>
      <c r="W16" s="2129"/>
      <c r="X16" s="2105">
        <f t="shared" si="17"/>
        <v>0</v>
      </c>
      <c r="Y16" s="2130"/>
      <c r="Z16" s="2129"/>
      <c r="AA16" s="2105">
        <f t="shared" si="18"/>
        <v>0</v>
      </c>
      <c r="AB16" s="2130"/>
      <c r="AC16" s="2129"/>
      <c r="AD16" s="2105">
        <f t="shared" si="24"/>
        <v>0</v>
      </c>
      <c r="AE16" s="2130"/>
      <c r="AF16" s="2129"/>
      <c r="AG16" s="2105">
        <f t="shared" si="19"/>
        <v>0</v>
      </c>
      <c r="AH16" s="2130"/>
      <c r="AI16" s="3108"/>
      <c r="AJ16" s="3095">
        <f t="shared" si="2"/>
        <v>0</v>
      </c>
      <c r="AK16" s="3109"/>
      <c r="AL16" s="2104">
        <f t="shared" si="20"/>
        <v>168</v>
      </c>
      <c r="AM16" s="2105">
        <f t="shared" si="11"/>
        <v>608.92857142857144</v>
      </c>
      <c r="AN16" s="2106">
        <f t="shared" si="26"/>
        <v>102300</v>
      </c>
      <c r="AP16" s="2126"/>
      <c r="AQ16" s="2087"/>
    </row>
    <row r="17" spans="1:44" ht="15" thickBot="1" x14ac:dyDescent="0.4">
      <c r="A17" s="2107" t="s">
        <v>606</v>
      </c>
      <c r="B17" s="2132">
        <v>1150</v>
      </c>
      <c r="C17" s="2105">
        <f t="shared" ref="C17" si="28">IF(B17=0,0,D17/B17)</f>
        <v>250.86956521739131</v>
      </c>
      <c r="D17" s="2133">
        <v>288500</v>
      </c>
      <c r="E17" s="2134">
        <v>1690.1</v>
      </c>
      <c r="F17" s="2095">
        <f>IF(E17=0,0,G17/E17)</f>
        <v>239.98579965682507</v>
      </c>
      <c r="G17" s="2135">
        <v>405600</v>
      </c>
      <c r="H17" s="2134"/>
      <c r="I17" s="2105">
        <f t="shared" si="27"/>
        <v>0</v>
      </c>
      <c r="J17" s="2135"/>
      <c r="K17" s="2134"/>
      <c r="L17" s="2105">
        <f t="shared" ref="L17" si="29">IF(K17=0,0,M17/K17)</f>
        <v>0</v>
      </c>
      <c r="M17" s="2135"/>
      <c r="N17" s="2134"/>
      <c r="O17" s="2105">
        <f>IF(N17=0,0,P17/N17)</f>
        <v>0</v>
      </c>
      <c r="P17" s="2135"/>
      <c r="Q17" s="2134"/>
      <c r="R17" s="2105">
        <f t="shared" si="23"/>
        <v>0</v>
      </c>
      <c r="S17" s="2135"/>
      <c r="T17" s="2134"/>
      <c r="U17" s="2105">
        <f>IF(T17=0,0,V17/T17)</f>
        <v>0</v>
      </c>
      <c r="V17" s="2135"/>
      <c r="W17" s="2134"/>
      <c r="X17" s="2105">
        <f t="shared" si="17"/>
        <v>0</v>
      </c>
      <c r="Y17" s="2135"/>
      <c r="Z17" s="2134"/>
      <c r="AA17" s="2105">
        <f t="shared" si="18"/>
        <v>0</v>
      </c>
      <c r="AB17" s="2135"/>
      <c r="AC17" s="2134"/>
      <c r="AD17" s="2105">
        <f t="shared" si="24"/>
        <v>0</v>
      </c>
      <c r="AE17" s="2135"/>
      <c r="AF17" s="2134"/>
      <c r="AG17" s="2105">
        <f t="shared" si="19"/>
        <v>0</v>
      </c>
      <c r="AH17" s="2135"/>
      <c r="AI17" s="3113"/>
      <c r="AJ17" s="3095">
        <f t="shared" si="2"/>
        <v>0</v>
      </c>
      <c r="AK17" s="3114"/>
      <c r="AL17" s="2104">
        <f t="shared" si="20"/>
        <v>2840.1</v>
      </c>
      <c r="AM17" s="2105">
        <f t="shared" si="11"/>
        <v>244.39280307031444</v>
      </c>
      <c r="AN17" s="2106">
        <f t="shared" si="26"/>
        <v>694100</v>
      </c>
      <c r="AP17" s="2126"/>
      <c r="AQ17" s="2087"/>
    </row>
    <row r="18" spans="1:44" ht="15" thickBot="1" x14ac:dyDescent="0.4">
      <c r="A18" s="2136"/>
      <c r="B18" s="3115">
        <f>SUM(B12:B17)</f>
        <v>9589</v>
      </c>
      <c r="C18" s="2117">
        <f>IF(B18=0,0,D18/B18)</f>
        <v>260.98362707268745</v>
      </c>
      <c r="D18" s="3116">
        <f>SUM(D12:D17)</f>
        <v>2502572</v>
      </c>
      <c r="E18" s="2137">
        <f>SUM(E12:E17)</f>
        <v>6528.6</v>
      </c>
      <c r="F18" s="2117">
        <f>IF(E18=0,0,G18/E18)</f>
        <v>252.79684158931468</v>
      </c>
      <c r="G18" s="2138">
        <f>SUM(G12:G17)</f>
        <v>1650409.46</v>
      </c>
      <c r="H18" s="2137">
        <f>SUM(H12:H17)</f>
        <v>0</v>
      </c>
      <c r="I18" s="2117">
        <f>IF(H18=0,0,J18/H18)</f>
        <v>0</v>
      </c>
      <c r="J18" s="2138">
        <f>SUM(J12:J17)</f>
        <v>0</v>
      </c>
      <c r="K18" s="2137">
        <f>SUM(K12:K17)</f>
        <v>0</v>
      </c>
      <c r="L18" s="2117">
        <f>IF(K18=0,0,M18/K18)</f>
        <v>0</v>
      </c>
      <c r="M18" s="2138">
        <f>SUM(M12:M17)</f>
        <v>0</v>
      </c>
      <c r="N18" s="2137">
        <f>SUM(N12:N17)</f>
        <v>0</v>
      </c>
      <c r="O18" s="2117">
        <f>IF(N18=0,0,P18/N18)</f>
        <v>0</v>
      </c>
      <c r="P18" s="2138">
        <f>SUM(P12:P17)</f>
        <v>0</v>
      </c>
      <c r="Q18" s="2137">
        <f>SUM(Q12:Q17)</f>
        <v>0</v>
      </c>
      <c r="R18" s="2117">
        <f>IF(Q18=0,0,S18/Q18)</f>
        <v>0</v>
      </c>
      <c r="S18" s="2138">
        <f>SUM(S12:S17)</f>
        <v>0</v>
      </c>
      <c r="T18" s="2137">
        <f>SUM(T12:T17)</f>
        <v>0</v>
      </c>
      <c r="U18" s="2117">
        <f>IF(T18=0,0,V18/T18)</f>
        <v>0</v>
      </c>
      <c r="V18" s="2138">
        <f>SUM(V12:V17)</f>
        <v>0</v>
      </c>
      <c r="W18" s="2137">
        <f>SUM(W12:W17)</f>
        <v>0</v>
      </c>
      <c r="X18" s="2117">
        <f>IF(W18=0,0,Y18/W18)</f>
        <v>0</v>
      </c>
      <c r="Y18" s="2138">
        <f>SUM(Y12:Y17)</f>
        <v>0</v>
      </c>
      <c r="Z18" s="2137">
        <f>SUM(Z12:Z17)</f>
        <v>0</v>
      </c>
      <c r="AA18" s="2117">
        <f>IF(Z18=0,0,AB18/Z18)</f>
        <v>0</v>
      </c>
      <c r="AB18" s="2138">
        <f>SUM(AB12:AB17)</f>
        <v>0</v>
      </c>
      <c r="AC18" s="2137">
        <f>SUM(AC12:AC17)</f>
        <v>0</v>
      </c>
      <c r="AD18" s="2117">
        <f>IF(AC18=0,0,AE18/AC18)</f>
        <v>0</v>
      </c>
      <c r="AE18" s="2138">
        <f>SUM(AE12:AE17)</f>
        <v>0</v>
      </c>
      <c r="AF18" s="2137">
        <f>SUM(AF12:AF17)</f>
        <v>0</v>
      </c>
      <c r="AG18" s="2117">
        <f>IF(AF18=0,0,AH18/AF18)</f>
        <v>0</v>
      </c>
      <c r="AH18" s="2138">
        <f>SUM(AH12:AH17)</f>
        <v>0</v>
      </c>
      <c r="AI18" s="3117">
        <f>SUM(AI12:AI17)</f>
        <v>0</v>
      </c>
      <c r="AJ18" s="3104">
        <f>IF(AI18=0,0,AK18/AI18)</f>
        <v>0</v>
      </c>
      <c r="AK18" s="3118">
        <f>SUM(AK12:AK17)</f>
        <v>0</v>
      </c>
      <c r="AL18" s="2137">
        <f>SUM(AL12:AL17)</f>
        <v>16117.6</v>
      </c>
      <c r="AM18" s="2117">
        <f>IF(AL18=0,0,AN18/AL18)</f>
        <v>257.66748523353351</v>
      </c>
      <c r="AN18" s="2138">
        <f>SUM(AN12:AN17)</f>
        <v>4152981.46</v>
      </c>
      <c r="AO18" s="2087">
        <f>AL11+AL18</f>
        <v>224772.13</v>
      </c>
      <c r="AP18" s="2126"/>
      <c r="AQ18" s="2099"/>
      <c r="AR18" s="2099"/>
    </row>
    <row r="19" spans="1:44" x14ac:dyDescent="0.35">
      <c r="A19" s="2139" t="s">
        <v>549</v>
      </c>
      <c r="B19" s="2140"/>
      <c r="C19" s="2095"/>
      <c r="D19" s="2141"/>
      <c r="E19" s="2113"/>
      <c r="F19" s="2095">
        <f t="shared" ref="F19:F21" si="30">IF(E19=0,0,G19/E19)</f>
        <v>0</v>
      </c>
      <c r="G19" s="2142"/>
      <c r="H19" s="2113"/>
      <c r="I19" s="2095"/>
      <c r="J19" s="2142"/>
      <c r="K19" s="2113"/>
      <c r="L19" s="2095"/>
      <c r="M19" s="2142"/>
      <c r="N19" s="2113"/>
      <c r="O19" s="2095"/>
      <c r="P19" s="2142"/>
      <c r="Q19" s="2113"/>
      <c r="R19" s="2105">
        <f t="shared" ref="R19:R25" si="31">IF(Q19=0,0,S19/Q19)</f>
        <v>0</v>
      </c>
      <c r="S19" s="2142"/>
      <c r="T19" s="2113"/>
      <c r="U19" s="2095"/>
      <c r="V19" s="2142"/>
      <c r="W19" s="2113"/>
      <c r="X19" s="2105">
        <f t="shared" si="17"/>
        <v>0</v>
      </c>
      <c r="Y19" s="2142"/>
      <c r="Z19" s="2113"/>
      <c r="AA19" s="2105">
        <f t="shared" ref="AA19:AA25" si="32">IF(Z19=0,0,AB19/Z19)</f>
        <v>0</v>
      </c>
      <c r="AB19" s="2142"/>
      <c r="AC19" s="2113"/>
      <c r="AD19" s="2105">
        <f t="shared" ref="AD19:AD25" si="33">IF(AC19=0,0,AE19/AC19)</f>
        <v>0</v>
      </c>
      <c r="AE19" s="2142"/>
      <c r="AF19" s="2113"/>
      <c r="AG19" s="2105">
        <f t="shared" ref="AG19:AG25" si="34">IF(AF19=0,0,AH19/AF19)</f>
        <v>0</v>
      </c>
      <c r="AH19" s="2142"/>
      <c r="AI19" s="3119"/>
      <c r="AJ19" s="3120">
        <f t="shared" ref="AJ19" si="35">IF(AI19=0,0,AK19/AI19)</f>
        <v>0</v>
      </c>
      <c r="AK19" s="3121"/>
      <c r="AL19" s="2104">
        <f t="shared" ref="AL19:AL25" si="36">SUM(B19,E19,H19,K19,N19,Q19,T19,W19,Z19,AC19,AF19,AI19)</f>
        <v>0</v>
      </c>
      <c r="AM19" s="2105">
        <f t="shared" si="11"/>
        <v>0</v>
      </c>
      <c r="AN19" s="2106">
        <f t="shared" ref="AN19:AN25" si="37">SUM(D19,G19,J19,M19,P19,S19,V19,Y19,AB19,AE19,AH19,AK19)</f>
        <v>0</v>
      </c>
      <c r="AR19" s="2131"/>
    </row>
    <row r="20" spans="1:44" x14ac:dyDescent="0.35">
      <c r="A20" s="2107" t="s">
        <v>521</v>
      </c>
      <c r="B20" s="2127"/>
      <c r="C20" s="2095"/>
      <c r="D20" s="2128"/>
      <c r="E20" s="3122"/>
      <c r="F20" s="3123">
        <f t="shared" si="30"/>
        <v>0</v>
      </c>
      <c r="G20" s="3124"/>
      <c r="H20" s="2129"/>
      <c r="I20" s="2095"/>
      <c r="J20" s="2130"/>
      <c r="K20" s="2129"/>
      <c r="L20" s="2095"/>
      <c r="M20" s="2130"/>
      <c r="N20" s="2129"/>
      <c r="O20" s="2095"/>
      <c r="P20" s="2130"/>
      <c r="Q20" s="2129"/>
      <c r="R20" s="2105">
        <f t="shared" si="31"/>
        <v>0</v>
      </c>
      <c r="S20" s="2130"/>
      <c r="T20" s="2129"/>
      <c r="U20" s="2095"/>
      <c r="V20" s="2130"/>
      <c r="W20" s="2129"/>
      <c r="X20" s="2105">
        <f t="shared" si="17"/>
        <v>0</v>
      </c>
      <c r="Y20" s="2130"/>
      <c r="Z20" s="2129"/>
      <c r="AA20" s="2105">
        <f t="shared" si="32"/>
        <v>0</v>
      </c>
      <c r="AB20" s="2130"/>
      <c r="AC20" s="2129"/>
      <c r="AD20" s="2105">
        <f t="shared" si="33"/>
        <v>0</v>
      </c>
      <c r="AE20" s="2130"/>
      <c r="AF20" s="2129"/>
      <c r="AG20" s="2105">
        <f t="shared" si="34"/>
        <v>0</v>
      </c>
      <c r="AH20" s="2130"/>
      <c r="AI20" s="3108"/>
      <c r="AJ20" s="3120"/>
      <c r="AK20" s="3109"/>
      <c r="AL20" s="2104">
        <f t="shared" si="36"/>
        <v>0</v>
      </c>
      <c r="AM20" s="2105">
        <f t="shared" si="11"/>
        <v>0</v>
      </c>
      <c r="AN20" s="2106">
        <f t="shared" si="37"/>
        <v>0</v>
      </c>
      <c r="AO20" s="2087"/>
      <c r="AP20" s="2087"/>
    </row>
    <row r="21" spans="1:44" x14ac:dyDescent="0.35">
      <c r="A21" s="2107" t="s">
        <v>296</v>
      </c>
      <c r="B21" s="2127">
        <v>2174</v>
      </c>
      <c r="C21" s="2105">
        <f t="shared" ref="C21:C25" si="38">IF(B21=0,0,D21/B21)</f>
        <v>10</v>
      </c>
      <c r="D21" s="2128">
        <v>21740</v>
      </c>
      <c r="E21" s="2129">
        <v>7460</v>
      </c>
      <c r="F21" s="2105">
        <f t="shared" si="30"/>
        <v>10</v>
      </c>
      <c r="G21" s="2130">
        <v>74600</v>
      </c>
      <c r="H21" s="2129"/>
      <c r="I21" s="2105">
        <f t="shared" ref="I21" si="39">IF(H21=0,0,J21/H21)</f>
        <v>0</v>
      </c>
      <c r="J21" s="2130"/>
      <c r="K21" s="2129"/>
      <c r="L21" s="2105">
        <f t="shared" ref="L21" si="40">IF(K21=0,0,M21/K21)</f>
        <v>0</v>
      </c>
      <c r="M21" s="2130"/>
      <c r="N21" s="2129"/>
      <c r="O21" s="2105">
        <f t="shared" ref="O21" si="41">IF(N21=0,0,P21/N21)</f>
        <v>0</v>
      </c>
      <c r="P21" s="2130"/>
      <c r="Q21" s="2129"/>
      <c r="R21" s="2105">
        <f t="shared" si="31"/>
        <v>0</v>
      </c>
      <c r="S21" s="2130"/>
      <c r="T21" s="2129"/>
      <c r="U21" s="2105">
        <f>IF(T21=0,0,V21/T21)</f>
        <v>0</v>
      </c>
      <c r="V21" s="2130"/>
      <c r="W21" s="2129"/>
      <c r="X21" s="2105">
        <f t="shared" si="17"/>
        <v>0</v>
      </c>
      <c r="Y21" s="2130"/>
      <c r="Z21" s="2129"/>
      <c r="AA21" s="2105">
        <f t="shared" si="32"/>
        <v>0</v>
      </c>
      <c r="AB21" s="2130"/>
      <c r="AC21" s="2129"/>
      <c r="AD21" s="2105">
        <f t="shared" si="33"/>
        <v>0</v>
      </c>
      <c r="AE21" s="2130"/>
      <c r="AF21" s="2129"/>
      <c r="AG21" s="2105">
        <f t="shared" si="34"/>
        <v>0</v>
      </c>
      <c r="AH21" s="2130"/>
      <c r="AI21" s="3108"/>
      <c r="AJ21" s="3095">
        <f t="shared" ref="AJ21:AJ25" si="42">IF(AI21=0,0,AK21/AI21)</f>
        <v>0</v>
      </c>
      <c r="AK21" s="3109"/>
      <c r="AL21" s="2104">
        <f t="shared" si="36"/>
        <v>9634</v>
      </c>
      <c r="AM21" s="2105">
        <f t="shared" si="11"/>
        <v>10</v>
      </c>
      <c r="AN21" s="2106">
        <f t="shared" si="37"/>
        <v>96340</v>
      </c>
    </row>
    <row r="22" spans="1:44" x14ac:dyDescent="0.35">
      <c r="A22" s="2107" t="s">
        <v>545</v>
      </c>
      <c r="B22" s="2100"/>
      <c r="C22" s="2105"/>
      <c r="D22" s="2101"/>
      <c r="E22" s="2104"/>
      <c r="F22" s="2105"/>
      <c r="G22" s="2103"/>
      <c r="H22" s="2104"/>
      <c r="I22" s="2105"/>
      <c r="J22" s="2103"/>
      <c r="K22" s="2104"/>
      <c r="L22" s="2105"/>
      <c r="M22" s="2103"/>
      <c r="N22" s="2104"/>
      <c r="O22" s="2105"/>
      <c r="P22" s="2103"/>
      <c r="Q22" s="2104"/>
      <c r="R22" s="2105">
        <f t="shared" si="31"/>
        <v>0</v>
      </c>
      <c r="S22" s="2103"/>
      <c r="T22" s="2104"/>
      <c r="U22" s="2105"/>
      <c r="V22" s="2103"/>
      <c r="W22" s="2104"/>
      <c r="X22" s="2105">
        <f t="shared" si="17"/>
        <v>0</v>
      </c>
      <c r="Y22" s="2103"/>
      <c r="Z22" s="2104"/>
      <c r="AA22" s="2105">
        <f t="shared" si="32"/>
        <v>0</v>
      </c>
      <c r="AB22" s="2103"/>
      <c r="AC22" s="2104"/>
      <c r="AD22" s="2105">
        <f t="shared" si="33"/>
        <v>0</v>
      </c>
      <c r="AE22" s="2103"/>
      <c r="AF22" s="2104"/>
      <c r="AG22" s="2105">
        <f t="shared" si="34"/>
        <v>0</v>
      </c>
      <c r="AH22" s="2103"/>
      <c r="AI22" s="3098"/>
      <c r="AJ22" s="3095">
        <f t="shared" si="42"/>
        <v>0</v>
      </c>
      <c r="AK22" s="3099"/>
      <c r="AL22" s="2104">
        <f t="shared" si="36"/>
        <v>0</v>
      </c>
      <c r="AM22" s="2105">
        <f t="shared" si="11"/>
        <v>0</v>
      </c>
      <c r="AN22" s="2106">
        <f t="shared" si="37"/>
        <v>0</v>
      </c>
    </row>
    <row r="23" spans="1:44" x14ac:dyDescent="0.35">
      <c r="A23" s="2107" t="s">
        <v>607</v>
      </c>
      <c r="B23" s="2108"/>
      <c r="C23" s="2105">
        <f t="shared" si="38"/>
        <v>0</v>
      </c>
      <c r="D23" s="2110"/>
      <c r="E23" s="2111"/>
      <c r="F23" s="2095"/>
      <c r="G23" s="2112"/>
      <c r="H23" s="2111"/>
      <c r="I23" s="2095"/>
      <c r="J23" s="2112"/>
      <c r="K23" s="2111"/>
      <c r="L23" s="2105">
        <f t="shared" ref="L23:L25" si="43">IF(K23=0,0,M23/K23)</f>
        <v>0</v>
      </c>
      <c r="M23" s="2112"/>
      <c r="N23" s="2111"/>
      <c r="O23" s="2105">
        <f t="shared" ref="O23:O25" si="44">IF(N23=0,0,P23/N23)</f>
        <v>0</v>
      </c>
      <c r="P23" s="2112"/>
      <c r="Q23" s="2111"/>
      <c r="R23" s="2105">
        <f t="shared" si="31"/>
        <v>0</v>
      </c>
      <c r="S23" s="2112"/>
      <c r="T23" s="2111"/>
      <c r="U23" s="2095"/>
      <c r="V23" s="2112"/>
      <c r="W23" s="2111"/>
      <c r="X23" s="2105">
        <f t="shared" si="17"/>
        <v>0</v>
      </c>
      <c r="Y23" s="2112"/>
      <c r="Z23" s="2111"/>
      <c r="AA23" s="2105">
        <f t="shared" si="32"/>
        <v>0</v>
      </c>
      <c r="AB23" s="2112"/>
      <c r="AC23" s="2111"/>
      <c r="AD23" s="2105">
        <f t="shared" si="33"/>
        <v>0</v>
      </c>
      <c r="AE23" s="2112"/>
      <c r="AF23" s="2111"/>
      <c r="AG23" s="2105">
        <f t="shared" si="34"/>
        <v>0</v>
      </c>
      <c r="AH23" s="2112"/>
      <c r="AI23" s="3101"/>
      <c r="AJ23" s="3095">
        <f t="shared" si="42"/>
        <v>0</v>
      </c>
      <c r="AK23" s="3102"/>
      <c r="AL23" s="2111">
        <f t="shared" si="36"/>
        <v>0</v>
      </c>
      <c r="AM23" s="2095">
        <f>IF(AL23=0,0,AN23/AL23)</f>
        <v>0</v>
      </c>
      <c r="AN23" s="2143">
        <f t="shared" si="37"/>
        <v>0</v>
      </c>
    </row>
    <row r="24" spans="1:44" x14ac:dyDescent="0.35">
      <c r="A24" s="2107" t="s">
        <v>582</v>
      </c>
      <c r="B24" s="2108"/>
      <c r="C24" s="2105">
        <f t="shared" si="38"/>
        <v>0</v>
      </c>
      <c r="D24" s="2110"/>
      <c r="E24" s="2111">
        <v>25</v>
      </c>
      <c r="F24" s="2105">
        <f t="shared" ref="F24:F25" si="45">IF(E24=0,0,G24/E24)</f>
        <v>380</v>
      </c>
      <c r="G24" s="2112">
        <v>9500</v>
      </c>
      <c r="H24" s="2111"/>
      <c r="I24" s="2105">
        <f t="shared" ref="I24:I25" si="46">IF(H24=0,0,J24/H24)</f>
        <v>0</v>
      </c>
      <c r="J24" s="2112"/>
      <c r="K24" s="2111"/>
      <c r="L24" s="2105">
        <f t="shared" si="43"/>
        <v>0</v>
      </c>
      <c r="M24" s="2112"/>
      <c r="N24" s="2111"/>
      <c r="O24" s="2105">
        <f t="shared" si="44"/>
        <v>0</v>
      </c>
      <c r="P24" s="2112"/>
      <c r="Q24" s="2111"/>
      <c r="R24" s="2105">
        <f t="shared" si="31"/>
        <v>0</v>
      </c>
      <c r="S24" s="2112"/>
      <c r="T24" s="2111"/>
      <c r="U24" s="2105">
        <f>IF(T24=0,0,V24/T24)</f>
        <v>0</v>
      </c>
      <c r="V24" s="2112"/>
      <c r="W24" s="2111"/>
      <c r="X24" s="2105">
        <f t="shared" si="17"/>
        <v>0</v>
      </c>
      <c r="Y24" s="2112"/>
      <c r="Z24" s="2111"/>
      <c r="AA24" s="2105">
        <f t="shared" si="32"/>
        <v>0</v>
      </c>
      <c r="AB24" s="2112"/>
      <c r="AC24" s="2111"/>
      <c r="AD24" s="2105">
        <f t="shared" si="33"/>
        <v>0</v>
      </c>
      <c r="AE24" s="2112"/>
      <c r="AF24" s="2111"/>
      <c r="AG24" s="2105">
        <f t="shared" si="34"/>
        <v>0</v>
      </c>
      <c r="AH24" s="2112"/>
      <c r="AI24" s="3101"/>
      <c r="AJ24" s="3095">
        <f t="shared" si="42"/>
        <v>0</v>
      </c>
      <c r="AK24" s="3102"/>
      <c r="AL24" s="2111">
        <f t="shared" si="36"/>
        <v>25</v>
      </c>
      <c r="AM24" s="2095">
        <f>IF(AL24=0,0,AN24/AL24)</f>
        <v>380</v>
      </c>
      <c r="AN24" s="2143">
        <f t="shared" si="37"/>
        <v>9500</v>
      </c>
    </row>
    <row r="25" spans="1:44" ht="15" thickBot="1" x14ac:dyDescent="0.4">
      <c r="A25" s="2107" t="s">
        <v>1</v>
      </c>
      <c r="B25" s="2108"/>
      <c r="C25" s="2105">
        <f t="shared" si="38"/>
        <v>0</v>
      </c>
      <c r="D25" s="2110"/>
      <c r="E25" s="2111"/>
      <c r="F25" s="2105">
        <f t="shared" si="45"/>
        <v>0</v>
      </c>
      <c r="G25" s="2112"/>
      <c r="H25" s="2111"/>
      <c r="I25" s="2105">
        <f t="shared" si="46"/>
        <v>0</v>
      </c>
      <c r="J25" s="2112"/>
      <c r="K25" s="2111"/>
      <c r="L25" s="2105">
        <f t="shared" si="43"/>
        <v>0</v>
      </c>
      <c r="M25" s="2112"/>
      <c r="N25" s="2111"/>
      <c r="O25" s="2105">
        <f t="shared" si="44"/>
        <v>0</v>
      </c>
      <c r="P25" s="2112"/>
      <c r="Q25" s="2111"/>
      <c r="R25" s="2105">
        <f t="shared" si="31"/>
        <v>0</v>
      </c>
      <c r="S25" s="2112"/>
      <c r="T25" s="2111"/>
      <c r="U25" s="2105">
        <f>IF(T25=0,0,V25/T25)</f>
        <v>0</v>
      </c>
      <c r="V25" s="2112"/>
      <c r="W25" s="2111"/>
      <c r="X25" s="2105">
        <f t="shared" si="17"/>
        <v>0</v>
      </c>
      <c r="Y25" s="2112"/>
      <c r="Z25" s="2111"/>
      <c r="AA25" s="2105">
        <f t="shared" si="32"/>
        <v>0</v>
      </c>
      <c r="AB25" s="2112"/>
      <c r="AC25" s="2111"/>
      <c r="AD25" s="2105">
        <f t="shared" si="33"/>
        <v>0</v>
      </c>
      <c r="AE25" s="2112"/>
      <c r="AF25" s="2111"/>
      <c r="AG25" s="2105">
        <f t="shared" si="34"/>
        <v>0</v>
      </c>
      <c r="AH25" s="2112"/>
      <c r="AI25" s="3101"/>
      <c r="AJ25" s="3095">
        <f t="shared" si="42"/>
        <v>0</v>
      </c>
      <c r="AK25" s="3102"/>
      <c r="AL25" s="2111">
        <f t="shared" si="36"/>
        <v>0</v>
      </c>
      <c r="AM25" s="2102">
        <f t="shared" si="11"/>
        <v>0</v>
      </c>
      <c r="AN25" s="2143">
        <f t="shared" si="37"/>
        <v>0</v>
      </c>
      <c r="AO25" s="2087">
        <f>AO18+AL25</f>
        <v>224772.13</v>
      </c>
    </row>
    <row r="26" spans="1:44" ht="15" thickBot="1" x14ac:dyDescent="0.4">
      <c r="A26" s="2144"/>
      <c r="B26" s="2145">
        <f>SUM(B19:B25)</f>
        <v>2174</v>
      </c>
      <c r="C26" s="2117">
        <f>IF(B26=0,0,D26/B26)</f>
        <v>10</v>
      </c>
      <c r="D26" s="2146">
        <f>SUM(D19:D25)</f>
        <v>21740</v>
      </c>
      <c r="E26" s="2147">
        <f>SUM(E19:E25)</f>
        <v>7485</v>
      </c>
      <c r="F26" s="2117">
        <f>IF(E26=0,0,G26/E26)</f>
        <v>11.235804943219772</v>
      </c>
      <c r="G26" s="2148">
        <f>SUM(G19:G25)</f>
        <v>84100</v>
      </c>
      <c r="H26" s="2147">
        <f>SUM(H19:H25)</f>
        <v>0</v>
      </c>
      <c r="I26" s="2117">
        <f>IF(H26=0,0,J26/H26)</f>
        <v>0</v>
      </c>
      <c r="J26" s="2148">
        <f>SUM(J19:J25)</f>
        <v>0</v>
      </c>
      <c r="K26" s="2147">
        <f>SUM(K19:K25)</f>
        <v>0</v>
      </c>
      <c r="L26" s="2117">
        <f>IF(K26=0,0,M26/K26)</f>
        <v>0</v>
      </c>
      <c r="M26" s="2148">
        <f>SUM(M19:M25)</f>
        <v>0</v>
      </c>
      <c r="N26" s="2147">
        <f>SUM(N19:N25)</f>
        <v>0</v>
      </c>
      <c r="O26" s="2117">
        <f>IF(N26=0,0,P26/N26)</f>
        <v>0</v>
      </c>
      <c r="P26" s="2148">
        <f>SUM(P19:P25)</f>
        <v>0</v>
      </c>
      <c r="Q26" s="2147">
        <f>SUM(Q19:Q25)</f>
        <v>0</v>
      </c>
      <c r="R26" s="2117">
        <f>IF(Q26=0,0,S26/Q26)</f>
        <v>0</v>
      </c>
      <c r="S26" s="2148">
        <f>SUM(S19:S25)</f>
        <v>0</v>
      </c>
      <c r="T26" s="2147">
        <f>SUM(T19:T25)</f>
        <v>0</v>
      </c>
      <c r="U26" s="2117">
        <f>IF(T26=0,0,V26/T26)</f>
        <v>0</v>
      </c>
      <c r="V26" s="2148">
        <f>SUM(V19:V25)</f>
        <v>0</v>
      </c>
      <c r="W26" s="2147">
        <f>SUM(W19:W25)</f>
        <v>0</v>
      </c>
      <c r="X26" s="2117">
        <f>IF(W26=0,0,Y26/W26)</f>
        <v>0</v>
      </c>
      <c r="Y26" s="2148">
        <f>SUM(Y19:Y25)</f>
        <v>0</v>
      </c>
      <c r="Z26" s="2147">
        <f>SUM(Z19:Z25)</f>
        <v>0</v>
      </c>
      <c r="AA26" s="2117">
        <f>IF(Z26=0,0,AB26/Z26)</f>
        <v>0</v>
      </c>
      <c r="AB26" s="2148">
        <f>SUM(AB19:AB25)</f>
        <v>0</v>
      </c>
      <c r="AC26" s="2147">
        <f>SUM(AC19:AC25)</f>
        <v>0</v>
      </c>
      <c r="AD26" s="2117">
        <f>IF(AC26=0,0,AE26/AC26)</f>
        <v>0</v>
      </c>
      <c r="AE26" s="2148"/>
      <c r="AF26" s="2147">
        <f>SUM(AF19:AF25)</f>
        <v>0</v>
      </c>
      <c r="AG26" s="2117">
        <f>IF(AF26=0,0,AH26/AF26)</f>
        <v>0</v>
      </c>
      <c r="AH26" s="2148">
        <f>SUM(AH19:AH25)</f>
        <v>0</v>
      </c>
      <c r="AI26" s="3125">
        <f>SUM(AI19:AI25)</f>
        <v>0</v>
      </c>
      <c r="AJ26" s="3104">
        <f>IF(AI26=0,0,AK26/AI26)</f>
        <v>0</v>
      </c>
      <c r="AK26" s="3126">
        <f>SUM(AK19:AK25)</f>
        <v>0</v>
      </c>
      <c r="AL26" s="2147">
        <f>SUM(AL19:AL25)</f>
        <v>9659</v>
      </c>
      <c r="AM26" s="2117">
        <f>IF(AL26=0,0,AN26/AL26)</f>
        <v>10.95765607205715</v>
      </c>
      <c r="AN26" s="2148">
        <f>SUM(AN19:AN25)</f>
        <v>105840</v>
      </c>
    </row>
    <row r="27" spans="1:44" ht="15" thickBot="1" x14ac:dyDescent="0.4">
      <c r="A27" s="2149" t="s">
        <v>297</v>
      </c>
      <c r="B27" s="2151">
        <f>SUM(B11,B18,B26)</f>
        <v>107757</v>
      </c>
      <c r="C27" s="2117">
        <f>IF(B27=0,0,D27/B27)</f>
        <v>277.38482882782557</v>
      </c>
      <c r="D27" s="2150">
        <f>SUM(D11,D18,D26)</f>
        <v>29890157</v>
      </c>
      <c r="E27" s="2151">
        <f>SUM(E11,E18,E26)</f>
        <v>126674.13</v>
      </c>
      <c r="F27" s="2117">
        <f>IF(E27=0,0,G27/E27)</f>
        <v>266.26322880607114</v>
      </c>
      <c r="G27" s="2152">
        <f>SUM(G11,G18,G26)</f>
        <v>33728662.859999999</v>
      </c>
      <c r="H27" s="2151">
        <f>SUM(H11,H18,H26)</f>
        <v>0</v>
      </c>
      <c r="I27" s="2117">
        <f>IF(H27=0,0,J27/H27)</f>
        <v>0</v>
      </c>
      <c r="J27" s="2152">
        <f>SUM(J11,J18,J26)</f>
        <v>0</v>
      </c>
      <c r="K27" s="2151">
        <f>SUM(K11,K18,K26)</f>
        <v>0</v>
      </c>
      <c r="L27" s="2117">
        <f>IF(K27=0,0,M27/K27)</f>
        <v>0</v>
      </c>
      <c r="M27" s="2152">
        <f>SUM(M11,M18,M26)</f>
        <v>0</v>
      </c>
      <c r="N27" s="2151">
        <f>SUM(N11,N18,N26)</f>
        <v>0</v>
      </c>
      <c r="O27" s="2117">
        <f>IF(N27=0,0,P27/N27)</f>
        <v>0</v>
      </c>
      <c r="P27" s="2152">
        <f>SUM(P11,P18,P26)</f>
        <v>0</v>
      </c>
      <c r="Q27" s="2151">
        <f>SUM(Q11,Q18,Q26)</f>
        <v>0</v>
      </c>
      <c r="R27" s="2117">
        <f>IF(Q27=0,0,S27/Q27)</f>
        <v>0</v>
      </c>
      <c r="S27" s="2152">
        <f>SUM(S11,S18,S26)</f>
        <v>0</v>
      </c>
      <c r="T27" s="2151">
        <f>SUM(T11,T18,T26)</f>
        <v>0</v>
      </c>
      <c r="U27" s="2117">
        <f>IF(T27=0,0,V27/T27)</f>
        <v>0</v>
      </c>
      <c r="V27" s="2152">
        <f>SUM(V11,V18,V26)</f>
        <v>0</v>
      </c>
      <c r="W27" s="2151">
        <f>SUM(W11,W18,W26)</f>
        <v>0</v>
      </c>
      <c r="X27" s="2117">
        <f>IF(W27=0,0,Y27/W27)</f>
        <v>0</v>
      </c>
      <c r="Y27" s="2152">
        <f>SUM(Y11,Y18,Y26)</f>
        <v>0</v>
      </c>
      <c r="Z27" s="2151">
        <f>SUM(Z11,Z18,Z26)</f>
        <v>0</v>
      </c>
      <c r="AA27" s="2117">
        <f>IF(Z27=0,0,AB27/Z27)</f>
        <v>0</v>
      </c>
      <c r="AB27" s="2152">
        <f>SUM(AB11,AB18,AB26)</f>
        <v>0</v>
      </c>
      <c r="AC27" s="2151">
        <f>SUM(AC11,AC18,AC26)</f>
        <v>0</v>
      </c>
      <c r="AD27" s="2117">
        <f>IF(AC27=0,0,AE27/AC27)</f>
        <v>0</v>
      </c>
      <c r="AE27" s="2152">
        <f>SUM(AE11,AE18,AE26)</f>
        <v>0</v>
      </c>
      <c r="AF27" s="3127">
        <f>SUM(AF11,AF18,AF26)</f>
        <v>0</v>
      </c>
      <c r="AG27" s="2117">
        <f>IF(AF27=0,0,AH27/AF27)</f>
        <v>0</v>
      </c>
      <c r="AH27" s="2152">
        <f>SUM(AH11,AH18,AH26)</f>
        <v>0</v>
      </c>
      <c r="AI27" s="2151">
        <f>SUM(AI11,AI18,AI26)</f>
        <v>0</v>
      </c>
      <c r="AJ27" s="2117">
        <f>IF(AI27=0,0,AK27/AI27)</f>
        <v>0</v>
      </c>
      <c r="AK27" s="2152">
        <f>SUM(AK11,AK18,AK26)</f>
        <v>0</v>
      </c>
      <c r="AL27" s="2153">
        <f>SUM(AL11,AL18,AL26)</f>
        <v>234431.13</v>
      </c>
      <c r="AM27" s="2117">
        <f>IF(AL27=0,0,AN27/AL27)</f>
        <v>271.3753069398249</v>
      </c>
      <c r="AN27" s="2154">
        <f>SUM(AN11,AN18,AN26)</f>
        <v>63618819.859999999</v>
      </c>
      <c r="AO27" s="2155">
        <f>AN27-AN21</f>
        <v>63522479.859999999</v>
      </c>
    </row>
    <row r="28" spans="1:44" x14ac:dyDescent="0.35">
      <c r="A28" s="2156" t="s">
        <v>381</v>
      </c>
      <c r="D28" s="2157">
        <v>65.459999999999994</v>
      </c>
      <c r="G28" s="2158"/>
      <c r="J28" s="2158"/>
      <c r="M28" s="2158"/>
      <c r="P28" s="2158"/>
      <c r="S28" s="2158"/>
      <c r="V28" s="2158"/>
      <c r="Y28" s="2158"/>
      <c r="AB28" s="2158"/>
      <c r="AE28" s="2158"/>
      <c r="AH28" s="2157"/>
      <c r="AK28" s="2158"/>
      <c r="AN28" s="2159">
        <f>SUM(D28,G28,J28,M28,P28,S28,V28,Y28,AB28,AE28,AH28,AK28)</f>
        <v>65.459999999999994</v>
      </c>
    </row>
    <row r="29" spans="1:44" x14ac:dyDescent="0.35">
      <c r="D29" s="2160">
        <f>ROUND((D27-D21),0)</f>
        <v>29868417</v>
      </c>
      <c r="E29" s="2087"/>
      <c r="G29" s="2160">
        <f>ROUND((G27-G21),0)</f>
        <v>33654063</v>
      </c>
      <c r="J29" s="2160">
        <f>ROUND((J27-J21),0)</f>
        <v>0</v>
      </c>
      <c r="M29" s="2160">
        <f>ROUND((M27-M21),0)</f>
        <v>0</v>
      </c>
      <c r="P29" s="2160">
        <f>ROUND((P27-P21),0)</f>
        <v>0</v>
      </c>
      <c r="S29" s="2160">
        <f>ROUND((S27-S21),0)</f>
        <v>0</v>
      </c>
      <c r="T29" s="2087"/>
      <c r="V29" s="2160">
        <f>ROUND((V27-V21),0)</f>
        <v>0</v>
      </c>
      <c r="Y29" s="2160">
        <f>ROUND((Y27-Y21),0)</f>
        <v>0</v>
      </c>
      <c r="AB29" s="2160">
        <f>ROUND((AB27-AB21),0)</f>
        <v>0</v>
      </c>
      <c r="AE29" s="2160">
        <f>ROUND((AE27-AE21),0)</f>
        <v>0</v>
      </c>
      <c r="AH29" s="2160">
        <f>ROUND((AH27-AH21),0)</f>
        <v>0</v>
      </c>
      <c r="AK29" s="2160">
        <f>ROUND((AK27-AK21),0)</f>
        <v>0</v>
      </c>
      <c r="AL29" s="2161">
        <f>AL11+AL18</f>
        <v>224772.13</v>
      </c>
      <c r="AM29" s="2162">
        <f>AN29/AL29</f>
        <v>282.56608085708848</v>
      </c>
      <c r="AN29" s="2163">
        <f>AN11+AN18</f>
        <v>63512979.859999999</v>
      </c>
      <c r="AO29" s="2164"/>
      <c r="AP29" s="2165" t="s">
        <v>404</v>
      </c>
      <c r="AQ29" s="2165" t="s">
        <v>405</v>
      </c>
    </row>
    <row r="30" spans="1:44" x14ac:dyDescent="0.35">
      <c r="A30" s="2166" t="s">
        <v>378</v>
      </c>
      <c r="D30" s="2087">
        <v>31402963.199999999</v>
      </c>
      <c r="G30" s="2087">
        <v>35360570.859999999</v>
      </c>
      <c r="J30" s="2087"/>
      <c r="M30" s="2087"/>
      <c r="P30" s="2087"/>
      <c r="S30" s="2087"/>
      <c r="V30" s="2087"/>
      <c r="Y30" s="2087"/>
      <c r="AB30" s="2087"/>
      <c r="AE30" s="2087"/>
      <c r="AH30" s="2087"/>
      <c r="AK30" s="2087"/>
      <c r="AN30" s="2167">
        <f>SUM(D30,G30,J30,M30,P30,S30,V30,Y30,AB30,AE30,AH30,AK30)</f>
        <v>66763534.060000002</v>
      </c>
      <c r="AP30" s="2087">
        <v>29890156.920000002</v>
      </c>
      <c r="AQ30" s="2085">
        <v>107758.28</v>
      </c>
    </row>
    <row r="31" spans="1:44" x14ac:dyDescent="0.35">
      <c r="A31" s="2085" t="s">
        <v>376</v>
      </c>
      <c r="D31" s="2087">
        <v>1527660.28</v>
      </c>
      <c r="G31" s="2087">
        <v>1649708</v>
      </c>
      <c r="J31" s="2087"/>
      <c r="M31" s="2087"/>
      <c r="P31" s="2087"/>
      <c r="S31" s="2087"/>
      <c r="V31" s="2087"/>
      <c r="Y31" s="2087"/>
      <c r="AB31" s="2087"/>
      <c r="AE31" s="2087"/>
      <c r="AH31" s="2087"/>
      <c r="AK31" s="2087"/>
      <c r="AN31" s="2167">
        <f>SUM(D31,G31,J31,M31,P31,S31,V31,Y31,AB31,AE31,AH31,AK31)</f>
        <v>3177368.2800000003</v>
      </c>
      <c r="AP31" s="2168">
        <f>AN27-AP30</f>
        <v>33728662.939999998</v>
      </c>
      <c r="AQ31" s="2155">
        <f>AL27-AQ30</f>
        <v>126672.85</v>
      </c>
    </row>
    <row r="32" spans="1:44" x14ac:dyDescent="0.35">
      <c r="A32" s="2085" t="s">
        <v>377</v>
      </c>
      <c r="D32" s="2085">
        <v>0</v>
      </c>
      <c r="AL32" s="2155"/>
      <c r="AN32" s="2167">
        <f>SUM(D32,G32,J32,M32,P32,S32,V32,Y32,AB32,AE32,AH32,AK32)</f>
        <v>0</v>
      </c>
      <c r="AP32" s="2155"/>
    </row>
    <row r="33" spans="1:51" x14ac:dyDescent="0.35">
      <c r="A33" s="2166"/>
      <c r="D33" s="2155">
        <f>D31+D32</f>
        <v>1527660.28</v>
      </c>
      <c r="G33" s="2155">
        <f>G31+G32</f>
        <v>1649708</v>
      </c>
      <c r="J33" s="2155">
        <f>J31+J32</f>
        <v>0</v>
      </c>
      <c r="M33" s="2155">
        <f>M31+M32</f>
        <v>0</v>
      </c>
      <c r="P33" s="2155">
        <f>P31+P32</f>
        <v>0</v>
      </c>
      <c r="S33" s="2155">
        <f>S31+S32</f>
        <v>0</v>
      </c>
      <c r="V33" s="2155">
        <f>V31+V32</f>
        <v>0</v>
      </c>
      <c r="Y33" s="2155">
        <f>Y31+Y32</f>
        <v>0</v>
      </c>
      <c r="AB33" s="2155">
        <f>AB31+AB32</f>
        <v>0</v>
      </c>
      <c r="AE33" s="2155">
        <f>AE31+AE32</f>
        <v>0</v>
      </c>
      <c r="AH33" s="2155">
        <f>AH31+AH32</f>
        <v>0</v>
      </c>
      <c r="AK33" s="2155">
        <f>AK31+AK32</f>
        <v>0</v>
      </c>
      <c r="AN33" s="2155">
        <f>SUM(AN31:AN32)</f>
        <v>3177368.2800000003</v>
      </c>
      <c r="AQ33" s="2085" t="s">
        <v>406</v>
      </c>
    </row>
    <row r="34" spans="1:51" x14ac:dyDescent="0.35">
      <c r="D34" s="2169">
        <f>D30-D33</f>
        <v>29875302.919999998</v>
      </c>
      <c r="G34" s="2169">
        <f>G30-G33</f>
        <v>33710862.859999999</v>
      </c>
      <c r="J34" s="2169">
        <f>J30-J33</f>
        <v>0</v>
      </c>
      <c r="M34" s="2169">
        <f>M30-M33</f>
        <v>0</v>
      </c>
      <c r="P34" s="2169">
        <f>P30-P33</f>
        <v>0</v>
      </c>
      <c r="S34" s="2169">
        <f>S30-S33</f>
        <v>0</v>
      </c>
      <c r="V34" s="2169">
        <f>V30-V33</f>
        <v>0</v>
      </c>
      <c r="Y34" s="2169">
        <f>Y30-Y33</f>
        <v>0</v>
      </c>
      <c r="AB34" s="2169">
        <f>AB30-AB33</f>
        <v>0</v>
      </c>
      <c r="AE34" s="2169">
        <f>AE30-AE33</f>
        <v>0</v>
      </c>
      <c r="AH34" s="2169">
        <f>AH30-AH33</f>
        <v>0</v>
      </c>
      <c r="AK34" s="2169">
        <f>AK30-AK33</f>
        <v>0</v>
      </c>
      <c r="AN34" s="3128">
        <f>AN30-AN33</f>
        <v>63586165.780000001</v>
      </c>
      <c r="AQ34" s="2155">
        <v>29875302.920000002</v>
      </c>
      <c r="AR34" s="2155">
        <f>AQ34-AN34</f>
        <v>-33710862.859999999</v>
      </c>
      <c r="AT34" s="2155"/>
      <c r="AU34" s="2155"/>
      <c r="AV34" s="2155"/>
      <c r="AW34" s="2155"/>
      <c r="AX34" s="2155"/>
      <c r="AY34" s="2155"/>
    </row>
    <row r="35" spans="1:51" x14ac:dyDescent="0.35">
      <c r="A35" s="2085" t="s">
        <v>356</v>
      </c>
      <c r="D35" s="2155">
        <v>14854</v>
      </c>
      <c r="G35" s="2155">
        <v>17800</v>
      </c>
      <c r="J35" s="2155"/>
      <c r="M35" s="2155"/>
      <c r="P35" s="2155"/>
      <c r="S35" s="2155"/>
      <c r="V35" s="2155"/>
      <c r="Y35" s="2155"/>
      <c r="AB35" s="2155"/>
      <c r="AE35" s="2155"/>
      <c r="AH35" s="2155"/>
      <c r="AK35" s="2155"/>
      <c r="AN35" s="2167">
        <f>SUM(D35,G35,J35,M35,P35,S35,V35,Y35,AB35,AE35,AH35,AK35)</f>
        <v>32654</v>
      </c>
      <c r="AO35" s="2087"/>
      <c r="AP35" s="2131"/>
      <c r="AQ35" s="2155"/>
      <c r="AR35" s="2155"/>
    </row>
    <row r="36" spans="1:51" x14ac:dyDescent="0.35">
      <c r="D36" s="2155">
        <f>D34+D35-D37</f>
        <v>29890156.919999998</v>
      </c>
      <c r="G36" s="2155">
        <f>G34+G35-G37</f>
        <v>33728662.859999999</v>
      </c>
      <c r="J36" s="2155">
        <f>J34+J35</f>
        <v>0</v>
      </c>
      <c r="M36" s="2155">
        <f>M34+M35-M37</f>
        <v>0</v>
      </c>
      <c r="P36" s="2155">
        <f>P34+P35</f>
        <v>0</v>
      </c>
      <c r="S36" s="2155">
        <f>S34+S35</f>
        <v>0</v>
      </c>
      <c r="V36" s="2155">
        <f>V34+V35</f>
        <v>0</v>
      </c>
      <c r="Y36" s="2155">
        <f>Y34+Y35</f>
        <v>0</v>
      </c>
      <c r="AB36" s="2155">
        <f>AB34+AB35</f>
        <v>0</v>
      </c>
      <c r="AE36" s="2155">
        <f>AE34+AE35</f>
        <v>0</v>
      </c>
      <c r="AH36" s="2155">
        <f>AH34+AH35</f>
        <v>0</v>
      </c>
      <c r="AK36" s="2155">
        <f>AK34+AK35</f>
        <v>0</v>
      </c>
      <c r="AN36" s="2155">
        <f>AN34+AN35</f>
        <v>63618819.780000001</v>
      </c>
      <c r="AO36" s="2155">
        <f>AN27-AN36</f>
        <v>7.9999998211860657E-2</v>
      </c>
      <c r="AQ36" s="2155"/>
      <c r="AR36" s="2168"/>
    </row>
    <row r="37" spans="1:51" x14ac:dyDescent="0.35">
      <c r="A37" s="2085" t="s">
        <v>392</v>
      </c>
      <c r="D37" s="2168"/>
      <c r="G37" s="2168"/>
      <c r="J37" s="2168"/>
      <c r="M37" s="2168"/>
      <c r="P37" s="2168"/>
      <c r="S37" s="2168"/>
      <c r="V37" s="2168"/>
      <c r="Y37" s="2168">
        <f>Y36-Y27</f>
        <v>0</v>
      </c>
      <c r="AB37" s="2168">
        <f>AB36-AB27</f>
        <v>0</v>
      </c>
      <c r="AE37" s="2168">
        <f>AE36-AE27</f>
        <v>0</v>
      </c>
      <c r="AH37" s="2168">
        <v>42540</v>
      </c>
      <c r="AK37" s="2168">
        <v>51048</v>
      </c>
      <c r="AN37" s="2167">
        <f>SUM(D37,G37,J37,M37,P37,S37,V37,Y37,AB37,AE37,AH37,AK37)</f>
        <v>93588</v>
      </c>
      <c r="AO37" s="2087"/>
      <c r="AP37" s="2167"/>
      <c r="AQ37" s="2155"/>
      <c r="AR37" s="2155"/>
      <c r="AT37" s="2087"/>
    </row>
    <row r="38" spans="1:51" x14ac:dyDescent="0.35">
      <c r="D38" s="2168">
        <f>D27-D36</f>
        <v>8.0000001937150955E-2</v>
      </c>
      <c r="G38" s="2168">
        <f>G27-G36</f>
        <v>0</v>
      </c>
      <c r="J38" s="2168">
        <f>J27-J36</f>
        <v>0</v>
      </c>
      <c r="M38" s="2168">
        <f>M27-M36</f>
        <v>0</v>
      </c>
      <c r="P38" s="2168">
        <f>P27-P36</f>
        <v>0</v>
      </c>
      <c r="S38" s="2168">
        <f>S27-S36</f>
        <v>0</v>
      </c>
      <c r="V38" s="2168">
        <f>V27-V36</f>
        <v>0</v>
      </c>
      <c r="Y38" s="2168">
        <f>Y27-Y36</f>
        <v>0</v>
      </c>
      <c r="AB38" s="2168">
        <f>AB27-AB36</f>
        <v>0</v>
      </c>
      <c r="AE38" s="2168">
        <f>AE27-AE36</f>
        <v>0</v>
      </c>
      <c r="AH38" s="2168">
        <f>AH27-AH36</f>
        <v>0</v>
      </c>
      <c r="AK38" s="2168">
        <f>AK27-AK36</f>
        <v>0</v>
      </c>
      <c r="AN38" s="2170">
        <f>AN36-AN27</f>
        <v>-7.9999998211860657E-2</v>
      </c>
      <c r="AO38" s="2087"/>
      <c r="AP38" s="2167"/>
      <c r="AQ38" s="2155"/>
      <c r="AR38" s="2155"/>
    </row>
    <row r="39" spans="1:51" x14ac:dyDescent="0.35">
      <c r="A39" s="2158" t="s">
        <v>391</v>
      </c>
      <c r="D39" s="2171">
        <f>ROUND((D27-(D21+D22+D35)),0)</f>
        <v>29853563</v>
      </c>
      <c r="G39" s="2171">
        <f>ROUND((G27-(G21+G35)),0)</f>
        <v>33636263</v>
      </c>
      <c r="J39" s="2171">
        <f>ROUND((J27-(J21+J22+J35)),0)</f>
        <v>0</v>
      </c>
      <c r="M39" s="2171">
        <f>ROUND((M27-(M21+M22+M35)),0)</f>
        <v>0</v>
      </c>
      <c r="P39" s="2171">
        <f>ROUND((P27-(P21+P22+P35)),0)</f>
        <v>0</v>
      </c>
      <c r="S39" s="2171">
        <f>ROUND((S27-(S21+S22+S35)),0)</f>
        <v>0</v>
      </c>
      <c r="V39" s="2171">
        <f>ROUND((V27-(V21+V22+V35)),0)</f>
        <v>0</v>
      </c>
      <c r="Y39" s="2171">
        <f>ROUND((Y27-(Y21+Y22+Y35)),0)</f>
        <v>0</v>
      </c>
      <c r="AB39" s="2171">
        <f>ROUND((AB27-(AB21+AB22+AB35)),0)</f>
        <v>0</v>
      </c>
      <c r="AE39" s="2171">
        <f>ROUND((AE27-(AE21+AE22+AE35)),0)</f>
        <v>0</v>
      </c>
      <c r="AH39" s="2171">
        <f>ROUND((AH27-(AH21+AH22+AH35)),0)</f>
        <v>0</v>
      </c>
      <c r="AK39" s="2171">
        <f>ROUND((AK27-(AK21+AK22+AK35)),0)</f>
        <v>0</v>
      </c>
      <c r="AN39" s="2172">
        <f>ROUND((AN27-(AN21+AN22+AN35)),0)</f>
        <v>63489826</v>
      </c>
      <c r="AP39" s="2173"/>
      <c r="AQ39" s="2155"/>
      <c r="AR39" s="2155"/>
    </row>
    <row r="40" spans="1:51" x14ac:dyDescent="0.35">
      <c r="AN40" s="2174">
        <f>ROUND((AN39-(AN5+AN6)),0)</f>
        <v>6009828</v>
      </c>
      <c r="AP40" s="2099"/>
      <c r="AR40" s="2155">
        <f>AR38-AR39</f>
        <v>0</v>
      </c>
    </row>
    <row r="41" spans="1:51" ht="15" thickBot="1" x14ac:dyDescent="0.4">
      <c r="A41" s="2175"/>
      <c r="B41" s="2175"/>
      <c r="C41" s="2175"/>
      <c r="D41" s="2175"/>
      <c r="E41" s="2175"/>
      <c r="F41" s="2175"/>
      <c r="G41" s="2175"/>
      <c r="H41" s="2175"/>
      <c r="I41" s="2175"/>
      <c r="J41" s="2175"/>
      <c r="K41" s="2175"/>
      <c r="L41" s="2175"/>
      <c r="M41" s="2175"/>
      <c r="N41" s="2175"/>
      <c r="O41" s="2175"/>
      <c r="P41" s="2175"/>
      <c r="Q41" s="2175"/>
      <c r="R41" s="2175"/>
      <c r="S41" s="2175"/>
      <c r="T41" s="2175"/>
      <c r="U41" s="2175"/>
      <c r="V41" s="2175"/>
      <c r="W41" s="2175"/>
      <c r="X41" s="2175"/>
      <c r="Y41" s="2175"/>
      <c r="Z41" s="2175"/>
      <c r="AA41" s="2175"/>
      <c r="AB41" s="2175"/>
      <c r="AC41" s="2175"/>
      <c r="AD41" s="2175"/>
      <c r="AE41" s="2175"/>
      <c r="AF41" s="2175"/>
      <c r="AG41" s="2175"/>
      <c r="AH41" s="2175"/>
      <c r="AI41" s="2175"/>
      <c r="AJ41" s="2175"/>
      <c r="AK41" s="2175"/>
      <c r="AL41" s="2175"/>
      <c r="AM41" s="2175"/>
      <c r="AN41" s="2176">
        <f>AN36-AN27</f>
        <v>-7.9999998211860657E-2</v>
      </c>
      <c r="AP41" s="2099"/>
      <c r="AQ41" s="2087"/>
      <c r="AR41" s="2155"/>
    </row>
    <row r="42" spans="1:51" x14ac:dyDescent="0.35">
      <c r="A42" s="2087" t="s">
        <v>399</v>
      </c>
      <c r="B42" s="2126">
        <f>B25</f>
        <v>0</v>
      </c>
      <c r="C42" s="2087"/>
      <c r="D42" s="2087">
        <f>ROUND((B25*C42),0)</f>
        <v>0</v>
      </c>
      <c r="E42" s="2126">
        <f>E24</f>
        <v>25</v>
      </c>
      <c r="F42" s="2087">
        <v>375</v>
      </c>
      <c r="G42" s="2087">
        <f>ROUND((E42*F42),0)</f>
        <v>9375</v>
      </c>
      <c r="H42" s="2099">
        <f>H25</f>
        <v>0</v>
      </c>
      <c r="I42" s="2087">
        <v>85.79</v>
      </c>
      <c r="J42" s="2087">
        <f>ROUND((H25*I42),0)</f>
        <v>0</v>
      </c>
      <c r="K42" s="2126">
        <f>K25</f>
        <v>0</v>
      </c>
      <c r="L42" s="2087">
        <v>102.13</v>
      </c>
      <c r="M42" s="2087">
        <f>ROUND((K25*L42),0)</f>
        <v>0</v>
      </c>
      <c r="N42" s="2126">
        <f>N25</f>
        <v>0</v>
      </c>
      <c r="O42" s="2087">
        <v>92.93</v>
      </c>
      <c r="P42" s="2087">
        <f>ROUND((N25*O42),0)</f>
        <v>0</v>
      </c>
      <c r="Q42" s="2126">
        <f>Q25</f>
        <v>0</v>
      </c>
      <c r="R42" s="2087">
        <v>99.79</v>
      </c>
      <c r="S42" s="2087">
        <f>ROUND((Q25*R42),0)</f>
        <v>0</v>
      </c>
      <c r="T42" s="2126">
        <f>T25</f>
        <v>0</v>
      </c>
      <c r="U42" s="2087">
        <v>96.12</v>
      </c>
      <c r="V42" s="2087">
        <f>ROUND((T25*U42),0)</f>
        <v>0</v>
      </c>
      <c r="W42" s="2126">
        <f>W25</f>
        <v>0</v>
      </c>
      <c r="X42" s="2087">
        <v>100.88</v>
      </c>
      <c r="Y42" s="2087">
        <f>ROUND((W25*X42),0)</f>
        <v>0</v>
      </c>
      <c r="Z42" s="2126">
        <f>Z25</f>
        <v>0</v>
      </c>
      <c r="AA42" s="2087">
        <v>97.44</v>
      </c>
      <c r="AB42" s="2087">
        <f>ROUND((Z25*AA42),0)</f>
        <v>0</v>
      </c>
      <c r="AC42" s="2099">
        <f>AC25</f>
        <v>0</v>
      </c>
      <c r="AD42" s="2087">
        <v>96.36</v>
      </c>
      <c r="AE42" s="2087">
        <f>ROUND((AC25*AD42),0)</f>
        <v>0</v>
      </c>
      <c r="AF42" s="2099">
        <f>AF25</f>
        <v>0</v>
      </c>
      <c r="AG42" s="2087">
        <v>98.91</v>
      </c>
      <c r="AH42" s="2087">
        <f>ROUND((AF25*AG42),0)</f>
        <v>0</v>
      </c>
      <c r="AI42" s="2099">
        <f>AI25</f>
        <v>0</v>
      </c>
      <c r="AJ42" s="2087">
        <v>96</v>
      </c>
      <c r="AK42" s="2087">
        <f>ROUND((AI25*AJ42),0)</f>
        <v>0</v>
      </c>
      <c r="AL42" s="2131">
        <f>SUM(B42,E42,H42,K42,N42,Q42,T42,W42,Z42,AC42,AF42,AI42)</f>
        <v>25</v>
      </c>
      <c r="AM42" s="2087"/>
      <c r="AN42" s="2087">
        <f>SUM(D42,G42,J42,M42,P42,S42,V42,Y42,AB42,AE42,AH42,AK42)</f>
        <v>9375</v>
      </c>
      <c r="AP42" s="2087" t="s">
        <v>271</v>
      </c>
      <c r="AQ42" s="2087"/>
    </row>
    <row r="43" spans="1:51" x14ac:dyDescent="0.35">
      <c r="B43" s="2177"/>
      <c r="C43" s="2177">
        <f>C25-C42</f>
        <v>0</v>
      </c>
      <c r="D43" s="2177"/>
      <c r="E43" s="2177"/>
      <c r="F43" s="2177">
        <f>F24-F42</f>
        <v>5</v>
      </c>
      <c r="G43" s="2177"/>
      <c r="H43" s="2177"/>
      <c r="I43" s="2177">
        <f>I25-I42</f>
        <v>-85.79</v>
      </c>
      <c r="J43" s="2177"/>
      <c r="K43" s="2177"/>
      <c r="L43" s="2177">
        <f>L25-L42</f>
        <v>-102.13</v>
      </c>
      <c r="M43" s="2177"/>
      <c r="N43" s="2177"/>
      <c r="O43" s="2177">
        <f>O25-O42</f>
        <v>-92.93</v>
      </c>
      <c r="P43" s="2177"/>
      <c r="Q43" s="2177"/>
      <c r="R43" s="2177">
        <f>R25-R42</f>
        <v>-99.79</v>
      </c>
      <c r="S43" s="2177"/>
      <c r="T43" s="2177"/>
      <c r="U43" s="2177">
        <f>U25-U42</f>
        <v>-96.12</v>
      </c>
      <c r="V43" s="2177"/>
      <c r="W43" s="2177"/>
      <c r="X43" s="2177">
        <f>X25-X42</f>
        <v>-100.88</v>
      </c>
      <c r="Y43" s="2177"/>
      <c r="Z43" s="2177"/>
      <c r="AA43" s="2177">
        <f>AA25-AA42</f>
        <v>-97.44</v>
      </c>
      <c r="AB43" s="2177"/>
      <c r="AC43" s="2177"/>
      <c r="AD43" s="2177">
        <f>AD25-AD42</f>
        <v>-96.36</v>
      </c>
      <c r="AE43" s="2177"/>
      <c r="AF43" s="2177"/>
      <c r="AG43" s="2177">
        <f>AG25-AG42</f>
        <v>-98.91</v>
      </c>
      <c r="AH43" s="2177"/>
      <c r="AI43" s="2177"/>
      <c r="AJ43" s="2177"/>
      <c r="AK43" s="2177"/>
      <c r="AL43" s="2177"/>
      <c r="AM43" s="2177"/>
      <c r="AN43" s="2157">
        <f>AN24-AN42</f>
        <v>125</v>
      </c>
      <c r="AP43" s="2099"/>
    </row>
    <row r="44" spans="1:51" x14ac:dyDescent="0.35">
      <c r="A44" s="2085" t="s">
        <v>686</v>
      </c>
      <c r="B44" s="2131">
        <f>ROUND((B11-(B10)),0)</f>
        <v>89944</v>
      </c>
      <c r="C44" s="2157">
        <f>D44/B44</f>
        <v>292.04828559992882</v>
      </c>
      <c r="D44" s="2087">
        <f>ROUND((D11-(D10+D35)),0)</f>
        <v>26267991</v>
      </c>
      <c r="E44" s="2131">
        <f>E11-(E10)</f>
        <v>108160.53</v>
      </c>
      <c r="F44" s="2157">
        <f>G44/E44</f>
        <v>288.31084130227543</v>
      </c>
      <c r="G44" s="2087">
        <f>G11-(G10+G35)</f>
        <v>31183853.399999999</v>
      </c>
      <c r="H44" s="2131">
        <f>H11-(H10)</f>
        <v>0</v>
      </c>
      <c r="I44" s="2157" t="e">
        <f>J44/H44</f>
        <v>#DIV/0!</v>
      </c>
      <c r="J44" s="2087">
        <f>J11-(J10+J35)</f>
        <v>0</v>
      </c>
      <c r="K44" s="2131">
        <f>K11-(K10)</f>
        <v>0</v>
      </c>
      <c r="L44" s="2157" t="e">
        <f>M44/K44</f>
        <v>#DIV/0!</v>
      </c>
      <c r="M44" s="2087">
        <f>M11-(M10+M35)</f>
        <v>0</v>
      </c>
      <c r="N44" s="2131">
        <f>N11-(N10)</f>
        <v>0</v>
      </c>
      <c r="O44" s="2157" t="e">
        <f>P44/N44</f>
        <v>#DIV/0!</v>
      </c>
      <c r="P44" s="2087">
        <f>P11-(P10+P35)</f>
        <v>0</v>
      </c>
      <c r="Q44" s="2131">
        <f>Q11-(Q10)</f>
        <v>0</v>
      </c>
      <c r="R44" s="2157" t="e">
        <f>S44/Q44</f>
        <v>#DIV/0!</v>
      </c>
      <c r="S44" s="2087">
        <f>S11-(S10+S35)</f>
        <v>0</v>
      </c>
      <c r="T44" s="2131">
        <f>T11-(T10)</f>
        <v>0</v>
      </c>
      <c r="U44" s="2157" t="e">
        <f>V44/T44</f>
        <v>#DIV/0!</v>
      </c>
      <c r="V44" s="2087">
        <f>V11-(V10+V35)</f>
        <v>0</v>
      </c>
      <c r="W44" s="2131">
        <f>W11-(W10)</f>
        <v>0</v>
      </c>
      <c r="X44" s="2157" t="e">
        <f>Y44/W44</f>
        <v>#DIV/0!</v>
      </c>
      <c r="Y44" s="2087">
        <f>Y11-(Y10+Y35)</f>
        <v>0</v>
      </c>
      <c r="Z44" s="2131">
        <f>Z11-(Z10)</f>
        <v>0</v>
      </c>
      <c r="AA44" s="2157" t="e">
        <f>AB44/Z44</f>
        <v>#DIV/0!</v>
      </c>
      <c r="AB44" s="2087">
        <f>AB11-(AB10+AB35)</f>
        <v>0</v>
      </c>
      <c r="AL44" s="3129">
        <f t="shared" ref="AL44:AL46" si="47">SUM(B44,E44,H44,K44,N44,Q44,T44,W44,Z44,AC44,AF44,AI44)</f>
        <v>198104.53</v>
      </c>
      <c r="AM44" s="2157">
        <f>AN44/AL44</f>
        <v>290.00772470977824</v>
      </c>
      <c r="AN44" s="2087">
        <f>ROUND((AN11-(AN10+AN35)),0)</f>
        <v>57451844</v>
      </c>
      <c r="AP44" s="2155"/>
    </row>
    <row r="45" spans="1:51" x14ac:dyDescent="0.35">
      <c r="A45" s="2085" t="s">
        <v>1041</v>
      </c>
      <c r="B45" s="2131">
        <f>Purchase!I22</f>
        <v>22533</v>
      </c>
      <c r="C45" s="2087">
        <f>D45/B45</f>
        <v>292.04828473793992</v>
      </c>
      <c r="D45" s="2087">
        <f>ROUND((B45*C44),0)</f>
        <v>6580724</v>
      </c>
      <c r="E45" s="2131">
        <f>Purchase!I23</f>
        <v>9376</v>
      </c>
      <c r="F45" s="2087">
        <f>G45/E45</f>
        <v>288.31079351535834</v>
      </c>
      <c r="G45" s="2087">
        <f>ROUND((E45*F44),0)</f>
        <v>2703202</v>
      </c>
      <c r="AL45" s="3129">
        <f t="shared" si="47"/>
        <v>31909</v>
      </c>
      <c r="AM45" s="2087">
        <f>AN45/AL45</f>
        <v>290.95007678084551</v>
      </c>
      <c r="AN45" s="3130">
        <f t="shared" ref="AN45:AN46" si="48">SUM(D45,G45,J45,M45,P45,S45,V45,Y45,AB45,AE45,AH45,AK45)</f>
        <v>9283926</v>
      </c>
      <c r="AP45" s="2178"/>
    </row>
    <row r="46" spans="1:51" x14ac:dyDescent="0.35">
      <c r="A46" s="2087"/>
      <c r="B46" s="2131">
        <f>B44-B45</f>
        <v>67411</v>
      </c>
      <c r="C46" s="2087">
        <f>D46/B46</f>
        <v>292.04828588805981</v>
      </c>
      <c r="D46" s="2087">
        <f>D44-D45</f>
        <v>19687267</v>
      </c>
      <c r="E46" s="2131">
        <f>E44-E45</f>
        <v>98784.53</v>
      </c>
      <c r="F46" s="2087">
        <f>G46/E46</f>
        <v>288.31084583790596</v>
      </c>
      <c r="G46" s="2087">
        <f>G44-G45</f>
        <v>28480651.399999999</v>
      </c>
      <c r="AL46" s="3129">
        <f t="shared" si="47"/>
        <v>166195.53</v>
      </c>
      <c r="AM46" s="2087">
        <f>AN46/AL46</f>
        <v>289.82679859079241</v>
      </c>
      <c r="AN46" s="3130">
        <f t="shared" si="48"/>
        <v>48167918.399999999</v>
      </c>
    </row>
  </sheetData>
  <mergeCells count="53">
    <mergeCell ref="AI2:AK2"/>
    <mergeCell ref="AI3:AI4"/>
    <mergeCell ref="AJ3:AJ4"/>
    <mergeCell ref="AK3:AK4"/>
    <mergeCell ref="AL2:AN2"/>
    <mergeCell ref="AL3:AL4"/>
    <mergeCell ref="AM3:AM4"/>
    <mergeCell ref="AN3:AN4"/>
    <mergeCell ref="AC3:AC4"/>
    <mergeCell ref="AD3:AD4"/>
    <mergeCell ref="AE3:AE4"/>
    <mergeCell ref="AF2:AH2"/>
    <mergeCell ref="AF3:AF4"/>
    <mergeCell ref="AG3:AG4"/>
    <mergeCell ref="AH3:AH4"/>
    <mergeCell ref="AC2:AE2"/>
    <mergeCell ref="M3:M4"/>
    <mergeCell ref="N3:N4"/>
    <mergeCell ref="O3:O4"/>
    <mergeCell ref="AB3:AB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P3:P4"/>
    <mergeCell ref="Q2:S2"/>
    <mergeCell ref="T2:V2"/>
    <mergeCell ref="W2:Y2"/>
    <mergeCell ref="Z2:AB2"/>
    <mergeCell ref="N2:P2"/>
    <mergeCell ref="A3:A4"/>
    <mergeCell ref="B2:D2"/>
    <mergeCell ref="E2:G2"/>
    <mergeCell ref="H2:J2"/>
    <mergeCell ref="K2:M2"/>
    <mergeCell ref="G3:G4"/>
    <mergeCell ref="H3:H4"/>
    <mergeCell ref="I3:I4"/>
    <mergeCell ref="J3:J4"/>
    <mergeCell ref="B3:B4"/>
    <mergeCell ref="C3:C4"/>
    <mergeCell ref="D3:D4"/>
    <mergeCell ref="E3:E4"/>
    <mergeCell ref="F3:F4"/>
    <mergeCell ref="K3:K4"/>
    <mergeCell ref="L3:L4"/>
  </mergeCells>
  <phoneticPr fontId="67" type="noConversion"/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106"/>
  <sheetViews>
    <sheetView showZeros="0" zoomScaleNormal="84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I10" sqref="I10"/>
    </sheetView>
  </sheetViews>
  <sheetFormatPr defaultColWidth="9.109375" defaultRowHeight="14.4" x14ac:dyDescent="0.3"/>
  <cols>
    <col min="1" max="1" width="31.109375" style="12" customWidth="1"/>
    <col min="2" max="2" width="14.33203125" style="12" bestFit="1" customWidth="1"/>
    <col min="3" max="3" width="9.33203125" style="12" bestFit="1" customWidth="1"/>
    <col min="4" max="4" width="16.44140625" style="12" bestFit="1" customWidth="1"/>
    <col min="5" max="5" width="12.44140625" style="12" bestFit="1" customWidth="1"/>
    <col min="6" max="6" width="8.6640625" style="12" bestFit="1" customWidth="1"/>
    <col min="7" max="7" width="16.88671875" style="12" bestFit="1" customWidth="1"/>
    <col min="8" max="8" width="10.88671875" style="12" customWidth="1"/>
    <col min="9" max="9" width="8.6640625" style="12" customWidth="1"/>
    <col min="10" max="10" width="16.33203125" style="12" customWidth="1"/>
    <col min="11" max="11" width="11.5546875" style="12" customWidth="1"/>
    <col min="12" max="12" width="8.5546875" style="12" customWidth="1"/>
    <col min="13" max="13" width="16.88671875" style="12" customWidth="1"/>
    <col min="14" max="14" width="11.5546875" style="12" hidden="1" customWidth="1"/>
    <col min="15" max="15" width="11.88671875" style="12" hidden="1" customWidth="1"/>
    <col min="16" max="16" width="16.88671875" style="12" hidden="1" customWidth="1"/>
    <col min="17" max="17" width="13.109375" style="12" hidden="1" customWidth="1"/>
    <col min="18" max="18" width="9.6640625" style="12" hidden="1" customWidth="1"/>
    <col min="19" max="19" width="16.6640625" style="12" hidden="1" customWidth="1"/>
    <col min="20" max="20" width="12.109375" style="12" hidden="1" customWidth="1"/>
    <col min="21" max="21" width="9.6640625" style="12" hidden="1" customWidth="1"/>
    <col min="22" max="22" width="16.5546875" style="12" hidden="1" customWidth="1"/>
    <col min="23" max="23" width="12.44140625" style="12" hidden="1" customWidth="1"/>
    <col min="24" max="24" width="8.6640625" style="12" hidden="1" customWidth="1"/>
    <col min="25" max="25" width="16.44140625" style="12" hidden="1" customWidth="1"/>
    <col min="26" max="26" width="12.44140625" style="12" hidden="1" customWidth="1"/>
    <col min="27" max="27" width="8.6640625" style="12" hidden="1" customWidth="1"/>
    <col min="28" max="28" width="16.44140625" style="12" hidden="1" customWidth="1"/>
    <col min="29" max="29" width="12.88671875" style="12" hidden="1" customWidth="1"/>
    <col min="30" max="30" width="9.88671875" style="12" hidden="1" customWidth="1"/>
    <col min="31" max="31" width="15.88671875" style="12" hidden="1" customWidth="1"/>
    <col min="32" max="32" width="11.5546875" style="12" hidden="1" customWidth="1"/>
    <col min="33" max="33" width="11.109375" style="12" hidden="1" customWidth="1"/>
    <col min="34" max="34" width="16.44140625" style="12" hidden="1" customWidth="1"/>
    <col min="35" max="35" width="11.5546875" style="12" hidden="1" customWidth="1"/>
    <col min="36" max="36" width="9.33203125" style="12" hidden="1" customWidth="1"/>
    <col min="37" max="37" width="15.6640625" style="12" hidden="1" customWidth="1"/>
    <col min="38" max="38" width="12.44140625" style="12" hidden="1" customWidth="1"/>
    <col min="39" max="39" width="10.109375" style="12" hidden="1" customWidth="1"/>
    <col min="40" max="40" width="16.44140625" style="12" hidden="1" customWidth="1"/>
    <col min="41" max="41" width="10" style="12" bestFit="1" customWidth="1"/>
    <col min="42" max="42" width="10.44140625" style="12" customWidth="1"/>
    <col min="43" max="43" width="19.33203125" style="12" bestFit="1" customWidth="1"/>
    <col min="44" max="44" width="11.33203125" style="12" hidden="1" customWidth="1"/>
    <col min="45" max="45" width="10.6640625" style="12" hidden="1" customWidth="1"/>
    <col min="46" max="46" width="17.109375" style="12" hidden="1" customWidth="1"/>
    <col min="47" max="49" width="9.109375" style="12" hidden="1" customWidth="1"/>
    <col min="50" max="50" width="10" style="12" bestFit="1" customWidth="1"/>
    <col min="51" max="51" width="8.5546875" style="12" bestFit="1" customWidth="1"/>
    <col min="52" max="52" width="9.109375" style="12"/>
    <col min="53" max="53" width="12.44140625" style="12" bestFit="1" customWidth="1"/>
    <col min="54" max="54" width="11.33203125" style="12" bestFit="1" customWidth="1"/>
    <col min="55" max="55" width="17.88671875" style="12" customWidth="1"/>
    <col min="56" max="16384" width="9.109375" style="12"/>
  </cols>
  <sheetData>
    <row r="1" spans="1:57" ht="15" thickBot="1" x14ac:dyDescent="0.35">
      <c r="AO1" s="3196"/>
      <c r="AP1" s="3196"/>
      <c r="AQ1" s="3196"/>
    </row>
    <row r="2" spans="1:57" ht="15" thickBot="1" x14ac:dyDescent="0.35">
      <c r="A2" s="11"/>
      <c r="B2" s="3203" t="s">
        <v>1034</v>
      </c>
      <c r="C2" s="3204"/>
      <c r="D2" s="3205"/>
      <c r="E2" s="3182">
        <v>46113</v>
      </c>
      <c r="F2" s="3183"/>
      <c r="G2" s="3184"/>
      <c r="H2" s="3182">
        <v>45778</v>
      </c>
      <c r="I2" s="3183"/>
      <c r="J2" s="3184"/>
      <c r="K2" s="3182">
        <v>45809</v>
      </c>
      <c r="L2" s="3183"/>
      <c r="M2" s="3184"/>
      <c r="N2" s="3182">
        <v>45839</v>
      </c>
      <c r="O2" s="3183"/>
      <c r="P2" s="3184"/>
      <c r="Q2" s="3182">
        <v>45870</v>
      </c>
      <c r="R2" s="3183"/>
      <c r="S2" s="3184"/>
      <c r="T2" s="3182">
        <v>45901</v>
      </c>
      <c r="U2" s="3183"/>
      <c r="V2" s="3184"/>
      <c r="W2" s="3182">
        <v>45931</v>
      </c>
      <c r="X2" s="3183"/>
      <c r="Y2" s="3184"/>
      <c r="Z2" s="3182">
        <v>45962</v>
      </c>
      <c r="AA2" s="3183"/>
      <c r="AB2" s="3184"/>
      <c r="AC2" s="3182">
        <v>45992</v>
      </c>
      <c r="AD2" s="3183"/>
      <c r="AE2" s="3184"/>
      <c r="AF2" s="3182">
        <v>46023</v>
      </c>
      <c r="AG2" s="3183"/>
      <c r="AH2" s="3184"/>
      <c r="AI2" s="3182">
        <v>46054</v>
      </c>
      <c r="AJ2" s="3183"/>
      <c r="AK2" s="3184"/>
      <c r="AL2" s="3182">
        <v>46082</v>
      </c>
      <c r="AM2" s="3183"/>
      <c r="AN2" s="3184"/>
      <c r="AO2" s="3191" t="s">
        <v>1040</v>
      </c>
      <c r="AP2" s="3192"/>
      <c r="AQ2" s="3193"/>
      <c r="AR2" s="3182"/>
      <c r="AS2" s="3183"/>
      <c r="AT2" s="3184"/>
      <c r="AU2" s="3182"/>
      <c r="AV2" s="3183"/>
      <c r="AW2" s="3184"/>
      <c r="AX2" s="560"/>
      <c r="AY2" s="560"/>
    </row>
    <row r="3" spans="1:57" ht="15" customHeight="1" x14ac:dyDescent="0.3">
      <c r="A3" s="3213" t="s">
        <v>23</v>
      </c>
      <c r="B3" s="3206" t="s">
        <v>24</v>
      </c>
      <c r="C3" s="3208" t="s">
        <v>25</v>
      </c>
      <c r="D3" s="3210" t="s">
        <v>26</v>
      </c>
      <c r="E3" s="3185" t="s">
        <v>24</v>
      </c>
      <c r="F3" s="3187" t="s">
        <v>25</v>
      </c>
      <c r="G3" s="3189" t="s">
        <v>26</v>
      </c>
      <c r="H3" s="3185" t="s">
        <v>24</v>
      </c>
      <c r="I3" s="3187" t="s">
        <v>25</v>
      </c>
      <c r="J3" s="3189" t="s">
        <v>26</v>
      </c>
      <c r="K3" s="3185" t="s">
        <v>24</v>
      </c>
      <c r="L3" s="3187" t="s">
        <v>25</v>
      </c>
      <c r="M3" s="3189" t="s">
        <v>26</v>
      </c>
      <c r="N3" s="3185" t="s">
        <v>24</v>
      </c>
      <c r="O3" s="3187" t="s">
        <v>25</v>
      </c>
      <c r="P3" s="3189" t="s">
        <v>26</v>
      </c>
      <c r="Q3" s="3185" t="s">
        <v>24</v>
      </c>
      <c r="R3" s="3187" t="s">
        <v>25</v>
      </c>
      <c r="S3" s="3189" t="s">
        <v>26</v>
      </c>
      <c r="T3" s="3197" t="s">
        <v>24</v>
      </c>
      <c r="U3" s="3187" t="s">
        <v>25</v>
      </c>
      <c r="V3" s="3199" t="s">
        <v>26</v>
      </c>
      <c r="W3" s="3201" t="s">
        <v>24</v>
      </c>
      <c r="X3" s="3187" t="s">
        <v>25</v>
      </c>
      <c r="Y3" s="3189" t="s">
        <v>26</v>
      </c>
      <c r="Z3" s="3185" t="s">
        <v>24</v>
      </c>
      <c r="AA3" s="3187" t="s">
        <v>25</v>
      </c>
      <c r="AB3" s="3189" t="s">
        <v>26</v>
      </c>
      <c r="AC3" s="3185" t="s">
        <v>24</v>
      </c>
      <c r="AD3" s="3187" t="s">
        <v>25</v>
      </c>
      <c r="AE3" s="3189" t="s">
        <v>26</v>
      </c>
      <c r="AF3" s="3185" t="s">
        <v>24</v>
      </c>
      <c r="AG3" s="3187" t="s">
        <v>25</v>
      </c>
      <c r="AH3" s="3189" t="s">
        <v>26</v>
      </c>
      <c r="AI3" s="3185" t="s">
        <v>24</v>
      </c>
      <c r="AJ3" s="3187" t="s">
        <v>25</v>
      </c>
      <c r="AK3" s="3189"/>
      <c r="AL3" s="3185" t="s">
        <v>24</v>
      </c>
      <c r="AM3" s="3187" t="s">
        <v>25</v>
      </c>
      <c r="AN3" s="3189" t="s">
        <v>26</v>
      </c>
      <c r="AO3" s="3185" t="s">
        <v>24</v>
      </c>
      <c r="AP3" s="3187" t="s">
        <v>25</v>
      </c>
      <c r="AQ3" s="3189" t="s">
        <v>26</v>
      </c>
      <c r="AR3" s="3185" t="s">
        <v>24</v>
      </c>
      <c r="AS3" s="3187" t="s">
        <v>25</v>
      </c>
      <c r="AT3" s="3189" t="s">
        <v>26</v>
      </c>
      <c r="AU3" s="3185" t="s">
        <v>24</v>
      </c>
      <c r="AV3" s="3187" t="s">
        <v>25</v>
      </c>
      <c r="AW3" s="3189" t="s">
        <v>26</v>
      </c>
      <c r="AX3" s="1671"/>
      <c r="AY3" s="1671"/>
    </row>
    <row r="4" spans="1:57" ht="15" thickBot="1" x14ac:dyDescent="0.35">
      <c r="A4" s="3214"/>
      <c r="B4" s="3207"/>
      <c r="C4" s="3209"/>
      <c r="D4" s="3211"/>
      <c r="E4" s="3186"/>
      <c r="F4" s="3188"/>
      <c r="G4" s="3190"/>
      <c r="H4" s="3186"/>
      <c r="I4" s="3188"/>
      <c r="J4" s="3190"/>
      <c r="K4" s="3186"/>
      <c r="L4" s="3188"/>
      <c r="M4" s="3190"/>
      <c r="N4" s="3186"/>
      <c r="O4" s="3188"/>
      <c r="P4" s="3190"/>
      <c r="Q4" s="3186"/>
      <c r="R4" s="3188"/>
      <c r="S4" s="3190"/>
      <c r="T4" s="3198"/>
      <c r="U4" s="3188"/>
      <c r="V4" s="3200"/>
      <c r="W4" s="3202"/>
      <c r="X4" s="3188"/>
      <c r="Y4" s="3190"/>
      <c r="Z4" s="3186"/>
      <c r="AA4" s="3188"/>
      <c r="AB4" s="3190"/>
      <c r="AC4" s="3186"/>
      <c r="AD4" s="3188"/>
      <c r="AE4" s="3190"/>
      <c r="AF4" s="3186"/>
      <c r="AG4" s="3188"/>
      <c r="AH4" s="3190"/>
      <c r="AI4" s="3186"/>
      <c r="AJ4" s="3188"/>
      <c r="AK4" s="3190"/>
      <c r="AL4" s="3186"/>
      <c r="AM4" s="3188"/>
      <c r="AN4" s="3190"/>
      <c r="AO4" s="3186"/>
      <c r="AP4" s="3188"/>
      <c r="AQ4" s="3190"/>
      <c r="AR4" s="3186"/>
      <c r="AS4" s="3188"/>
      <c r="AT4" s="3190"/>
      <c r="AU4" s="3186"/>
      <c r="AV4" s="3188"/>
      <c r="AW4" s="3190"/>
      <c r="AX4" s="3215" t="s">
        <v>585</v>
      </c>
      <c r="AY4" s="3216"/>
      <c r="BA4" s="3212" t="s">
        <v>529</v>
      </c>
      <c r="BB4" s="3212"/>
      <c r="BC4" s="3212"/>
      <c r="BE4" s="560" t="s">
        <v>530</v>
      </c>
    </row>
    <row r="5" spans="1:57" x14ac:dyDescent="0.3">
      <c r="A5" s="13" t="s">
        <v>11</v>
      </c>
      <c r="B5" s="3077">
        <v>141140</v>
      </c>
      <c r="C5" s="753">
        <f>D5/B5+0.02</f>
        <v>121.99506730905483</v>
      </c>
      <c r="D5" s="754">
        <v>17215561</v>
      </c>
      <c r="E5" s="14">
        <v>75695</v>
      </c>
      <c r="F5" s="15">
        <f>ROUND(IF(G5=0,0,(G5/E5)),0)</f>
        <v>136</v>
      </c>
      <c r="G5" s="16">
        <v>10273379</v>
      </c>
      <c r="H5" s="14">
        <v>90040</v>
      </c>
      <c r="I5" s="15">
        <f>IF(J5=0,0,(J5/H5))</f>
        <v>152.60895157707685</v>
      </c>
      <c r="J5" s="3131">
        <v>13740910</v>
      </c>
      <c r="K5" s="14"/>
      <c r="L5" s="15">
        <f>IF(M5=0,0,(M5/K5))</f>
        <v>0</v>
      </c>
      <c r="M5" s="16"/>
      <c r="N5" s="14"/>
      <c r="O5" s="15">
        <f>IF(P5=0,0,(P5/N5))</f>
        <v>0</v>
      </c>
      <c r="P5" s="16"/>
      <c r="Q5" s="14"/>
      <c r="R5" s="15">
        <f>IF(S5=0,0,(S5/Q5))</f>
        <v>0</v>
      </c>
      <c r="S5" s="16"/>
      <c r="T5" s="14"/>
      <c r="U5" s="15">
        <f>IF(V5=0,0,(V5/T5))</f>
        <v>0</v>
      </c>
      <c r="V5" s="16"/>
      <c r="W5" s="14"/>
      <c r="X5" s="15">
        <f>IF(Y5=0,0,(Y5/W5))</f>
        <v>0</v>
      </c>
      <c r="Y5" s="16"/>
      <c r="Z5" s="14"/>
      <c r="AA5" s="15">
        <f>IF(AB5=0,0,(AB5/Z5))</f>
        <v>0</v>
      </c>
      <c r="AB5" s="16"/>
      <c r="AC5" s="14"/>
      <c r="AD5" s="15"/>
      <c r="AE5" s="16"/>
      <c r="AF5" s="14"/>
      <c r="AG5" s="15"/>
      <c r="AH5" s="16"/>
      <c r="AI5" s="14"/>
      <c r="AJ5" s="15">
        <f>IF(AK5=0,0,(AK5/AI5))</f>
        <v>0</v>
      </c>
      <c r="AK5" s="16"/>
      <c r="AL5" s="14"/>
      <c r="AM5" s="15"/>
      <c r="AN5" s="16"/>
      <c r="AO5" s="14"/>
      <c r="AP5" s="15">
        <f>IF(AQ5=0,0,(AQ5/AO5))</f>
        <v>0</v>
      </c>
      <c r="AQ5" s="16"/>
      <c r="AR5" s="14">
        <f>'[1] Qty Analysis'!BE15</f>
        <v>0</v>
      </c>
      <c r="AS5" s="15"/>
      <c r="AT5" s="16">
        <f>ROUND((AS5*AR5),0)</f>
        <v>0</v>
      </c>
      <c r="AU5" s="14">
        <f>'[1] Qty Analysis'!BH15</f>
        <v>0</v>
      </c>
      <c r="AV5" s="15"/>
      <c r="AW5" s="16">
        <f>ROUND((AV5*AU5),0)</f>
        <v>0</v>
      </c>
      <c r="AX5" s="1667">
        <f>Z5-B5</f>
        <v>-141140</v>
      </c>
      <c r="AY5" s="1668">
        <f>AX5/B5</f>
        <v>-1</v>
      </c>
      <c r="BA5" s="67">
        <f>125000+40000</f>
        <v>165000</v>
      </c>
      <c r="BB5" s="39">
        <v>101</v>
      </c>
      <c r="BC5" s="165">
        <f>ROUND((BA5*BB5),0)</f>
        <v>16665000</v>
      </c>
      <c r="BE5" s="67">
        <v>163575</v>
      </c>
    </row>
    <row r="6" spans="1:57" x14ac:dyDescent="0.3">
      <c r="A6" s="17" t="s">
        <v>27</v>
      </c>
      <c r="B6" s="3077">
        <v>2330</v>
      </c>
      <c r="C6" s="753">
        <f>D6/B6+0.04</f>
        <v>226.96532188841201</v>
      </c>
      <c r="D6" s="755">
        <v>528736</v>
      </c>
      <c r="E6" s="18">
        <v>2392</v>
      </c>
      <c r="F6" s="15">
        <f>ROUND(IF(G6=0,0,(G6/E6)),0)</f>
        <v>245</v>
      </c>
      <c r="G6" s="20">
        <v>586833</v>
      </c>
      <c r="H6" s="18">
        <v>2239</v>
      </c>
      <c r="I6" s="15">
        <f>IF(J6=0,0,(J6/H6))</f>
        <v>258.7083519428316</v>
      </c>
      <c r="J6" s="20">
        <v>579248</v>
      </c>
      <c r="K6" s="18"/>
      <c r="L6" s="15">
        <f>IF(M6=0,0,(M6/K6))</f>
        <v>0</v>
      </c>
      <c r="M6" s="20"/>
      <c r="N6" s="18"/>
      <c r="O6" s="15">
        <f>IF(P6=0,0,(P6/N6))</f>
        <v>0</v>
      </c>
      <c r="P6" s="20"/>
      <c r="Q6" s="18"/>
      <c r="R6" s="15">
        <f>IF(S6=0,0,(S6/Q6))</f>
        <v>0</v>
      </c>
      <c r="S6" s="20"/>
      <c r="T6" s="18"/>
      <c r="U6" s="15">
        <f>IF(V6=0,0,(V6/T6))</f>
        <v>0</v>
      </c>
      <c r="V6" s="20"/>
      <c r="W6" s="18"/>
      <c r="X6" s="15">
        <f>IF(Y6=0,0,(Y6/W6))</f>
        <v>0</v>
      </c>
      <c r="Y6" s="20"/>
      <c r="Z6" s="18"/>
      <c r="AA6" s="15">
        <f>IF(AB6=0,0,(AB6/Z6))</f>
        <v>0</v>
      </c>
      <c r="AB6" s="20"/>
      <c r="AC6" s="18"/>
      <c r="AD6" s="15"/>
      <c r="AE6" s="20"/>
      <c r="AF6" s="18"/>
      <c r="AG6" s="15"/>
      <c r="AH6" s="20"/>
      <c r="AI6" s="18"/>
      <c r="AJ6" s="15">
        <f>IF(AK6=0,0,(AK6/AI6))</f>
        <v>0</v>
      </c>
      <c r="AK6" s="20"/>
      <c r="AL6" s="18"/>
      <c r="AM6" s="15"/>
      <c r="AN6" s="20"/>
      <c r="AO6" s="18"/>
      <c r="AP6" s="15">
        <f>IF(AQ6=0,0,(AQ6/AO6))</f>
        <v>0</v>
      </c>
      <c r="AQ6" s="20"/>
      <c r="AR6" s="14">
        <f>'[1] Qty Analysis'!BE27</f>
        <v>0</v>
      </c>
      <c r="AS6" s="19"/>
      <c r="AT6" s="20">
        <f>ROUND((AS6*AR6),0)</f>
        <v>0</v>
      </c>
      <c r="AU6" s="14">
        <f>'[1] Qty Analysis'!BH27</f>
        <v>0</v>
      </c>
      <c r="AV6" s="19"/>
      <c r="AW6" s="20">
        <f>ROUND((AV6*AU6),0)</f>
        <v>0</v>
      </c>
      <c r="AX6" s="1667">
        <f t="shared" ref="AX6:AX8" si="0">Z6-B6</f>
        <v>-2330</v>
      </c>
      <c r="AY6" s="1668">
        <f t="shared" ref="AY6:AY8" si="1">AX6/B6</f>
        <v>-1</v>
      </c>
      <c r="BA6" s="67">
        <v>2730</v>
      </c>
      <c r="BB6" s="39">
        <v>215</v>
      </c>
      <c r="BC6" s="165">
        <f>ROUND((BA6*BB6),0)</f>
        <v>586950</v>
      </c>
      <c r="BE6" s="67">
        <v>2645</v>
      </c>
    </row>
    <row r="7" spans="1:57" ht="15" thickBot="1" x14ac:dyDescent="0.35">
      <c r="A7" s="22" t="s">
        <v>12</v>
      </c>
      <c r="B7" s="3077">
        <v>19</v>
      </c>
      <c r="C7" s="753">
        <f>D7/B7-0.37</f>
        <v>1596.9984210526318</v>
      </c>
      <c r="D7" s="756">
        <v>30350</v>
      </c>
      <c r="E7" s="23">
        <v>21</v>
      </c>
      <c r="F7" s="42">
        <f>ROUND(IF(G7=0,0,(G7/E7)),0)</f>
        <v>1515</v>
      </c>
      <c r="G7" s="20">
        <v>31807</v>
      </c>
      <c r="H7" s="23">
        <v>20</v>
      </c>
      <c r="I7" s="42">
        <f>IF(J7=0,0,(J7/H7))</f>
        <v>1568.5</v>
      </c>
      <c r="J7" s="20">
        <v>31370</v>
      </c>
      <c r="K7" s="23"/>
      <c r="L7" s="42">
        <f>IF(M7=0,0,(M7/K7))</f>
        <v>0</v>
      </c>
      <c r="M7" s="20"/>
      <c r="N7" s="23"/>
      <c r="O7" s="15">
        <f>IF(P7=0,0,(P7/N7))</f>
        <v>0</v>
      </c>
      <c r="P7" s="20"/>
      <c r="Q7" s="23"/>
      <c r="R7" s="42">
        <f>IF(S7=0,0,(S7/Q7))</f>
        <v>0</v>
      </c>
      <c r="S7" s="20"/>
      <c r="T7" s="23"/>
      <c r="U7" s="42">
        <f>IF(V7=0,0,(V7/T7))</f>
        <v>0</v>
      </c>
      <c r="V7" s="20"/>
      <c r="W7" s="23"/>
      <c r="X7" s="42">
        <f>IF(Y7=0,0,(Y7/W7))</f>
        <v>0</v>
      </c>
      <c r="Y7" s="20"/>
      <c r="Z7" s="23"/>
      <c r="AA7" s="42">
        <f>IF(AB7=0,0,(AB7/Z7))</f>
        <v>0</v>
      </c>
      <c r="AB7" s="20"/>
      <c r="AC7" s="23"/>
      <c r="AD7" s="42"/>
      <c r="AE7" s="20"/>
      <c r="AF7" s="23"/>
      <c r="AG7" s="42"/>
      <c r="AH7" s="20"/>
      <c r="AI7" s="23"/>
      <c r="AJ7" s="42">
        <f>IF(AK7=0,0,(AK7/AI7))</f>
        <v>0</v>
      </c>
      <c r="AK7" s="20"/>
      <c r="AL7" s="23"/>
      <c r="AM7" s="42"/>
      <c r="AN7" s="20"/>
      <c r="AO7" s="23"/>
      <c r="AP7" s="42">
        <f>IF(AQ7=0,0,(AQ7/AO7))</f>
        <v>0</v>
      </c>
      <c r="AQ7" s="20"/>
      <c r="AR7" s="14">
        <f>'[1] Qty Analysis'!BE39</f>
        <v>0</v>
      </c>
      <c r="AS7" s="24"/>
      <c r="AT7" s="20">
        <f>ROUND((AS7*AR7),0)</f>
        <v>0</v>
      </c>
      <c r="AU7" s="14">
        <f>'[1] Qty Analysis'!BH39</f>
        <v>0</v>
      </c>
      <c r="AV7" s="24"/>
      <c r="AW7" s="20">
        <f>ROUND((AV7*AU7),0)</f>
        <v>0</v>
      </c>
      <c r="AX7" s="1667">
        <f t="shared" si="0"/>
        <v>-19</v>
      </c>
      <c r="AY7" s="1668">
        <f t="shared" si="1"/>
        <v>-1</v>
      </c>
      <c r="BA7" s="67">
        <v>30</v>
      </c>
      <c r="BB7" s="39">
        <v>2280</v>
      </c>
      <c r="BC7" s="165">
        <f>ROUND((BA7*BB7),0)</f>
        <v>68400</v>
      </c>
      <c r="BE7" s="67">
        <v>45.3</v>
      </c>
    </row>
    <row r="8" spans="1:57" ht="15" thickBot="1" x14ac:dyDescent="0.35">
      <c r="A8" s="27" t="s">
        <v>0</v>
      </c>
      <c r="B8" s="757">
        <f>SUM(B5:B7)</f>
        <v>143489</v>
      </c>
      <c r="C8" s="758">
        <f>D8/B8</f>
        <v>123.87463150485404</v>
      </c>
      <c r="D8" s="759">
        <f>SUM(D5:D7)</f>
        <v>17774647</v>
      </c>
      <c r="E8" s="30">
        <f>SUM(E5:E7)</f>
        <v>78108</v>
      </c>
      <c r="F8" s="28">
        <f>IF(G8=0,0,(G8/E8))</f>
        <v>139.4481871255185</v>
      </c>
      <c r="G8" s="31">
        <f>SUM(G5:G7)</f>
        <v>10892019</v>
      </c>
      <c r="H8" s="30">
        <f>SUM(H5:H7)</f>
        <v>92299</v>
      </c>
      <c r="I8" s="28">
        <f>IF(J8=0,0,(J8/H8))</f>
        <v>155.48952859727623</v>
      </c>
      <c r="J8" s="31">
        <f>SUM(J5:J7)</f>
        <v>14351528</v>
      </c>
      <c r="K8" s="30">
        <f>SUM(K5:K7)</f>
        <v>0</v>
      </c>
      <c r="L8" s="28">
        <f>IF(M8=0,0,(M8/K8))</f>
        <v>0</v>
      </c>
      <c r="M8" s="31">
        <f>SUM(M5:M7)</f>
        <v>0</v>
      </c>
      <c r="N8" s="30">
        <f>SUM(N5:N7)</f>
        <v>0</v>
      </c>
      <c r="O8" s="28">
        <f>IF(P8=0,0,(P8/N8))</f>
        <v>0</v>
      </c>
      <c r="P8" s="31">
        <f>SUM(P5:P7)</f>
        <v>0</v>
      </c>
      <c r="Q8" s="30">
        <f>SUM(Q5:Q7)</f>
        <v>0</v>
      </c>
      <c r="R8" s="28">
        <f>IF(S8=0,0,(S8/Q8))</f>
        <v>0</v>
      </c>
      <c r="S8" s="31">
        <f>ROUND(SUM(S5:S7),0)</f>
        <v>0</v>
      </c>
      <c r="T8" s="30">
        <f>SUM(T5:T7)</f>
        <v>0</v>
      </c>
      <c r="U8" s="28">
        <f>IF(V8=0,0,(V8/T8))</f>
        <v>0</v>
      </c>
      <c r="V8" s="31">
        <f>SUM(V5:V7)</f>
        <v>0</v>
      </c>
      <c r="W8" s="30">
        <f>SUM(W5:W7)</f>
        <v>0</v>
      </c>
      <c r="X8" s="28">
        <f>IF(Y8=0,0,(Y8/W8))</f>
        <v>0</v>
      </c>
      <c r="Y8" s="31">
        <f>SUM(Y5:Y7)</f>
        <v>0</v>
      </c>
      <c r="Z8" s="30">
        <f>SUM(Z5:Z7)</f>
        <v>0</v>
      </c>
      <c r="AA8" s="28">
        <f>IF(AB8=0,0,(AB8/Z8))</f>
        <v>0</v>
      </c>
      <c r="AB8" s="31">
        <f>SUM(AB5:AB7)</f>
        <v>0</v>
      </c>
      <c r="AC8" s="30">
        <f>SUM(AC5:AC7)</f>
        <v>0</v>
      </c>
      <c r="AD8" s="28">
        <f>IF(AE8=0,0,(AE8/AC8))</f>
        <v>0</v>
      </c>
      <c r="AE8" s="31">
        <f>SUM(AE5:AE7)</f>
        <v>0</v>
      </c>
      <c r="AF8" s="30">
        <f>SUM(AF5:AF7)</f>
        <v>0</v>
      </c>
      <c r="AG8" s="28">
        <f>IF(AH8=0,0,(AH8/AF8))</f>
        <v>0</v>
      </c>
      <c r="AH8" s="31">
        <f>SUM(AH5:AH7)</f>
        <v>0</v>
      </c>
      <c r="AI8" s="30">
        <f>SUM(AI5:AI7)</f>
        <v>0</v>
      </c>
      <c r="AJ8" s="28">
        <f>IF(AK8=0,0,(AK8/AI8))</f>
        <v>0</v>
      </c>
      <c r="AK8" s="31">
        <f>SUM(AK5:AK7)</f>
        <v>0</v>
      </c>
      <c r="AL8" s="30">
        <f>SUM(AL5:AL7)</f>
        <v>0</v>
      </c>
      <c r="AM8" s="28">
        <f>IF(AN8=0,0,(AN8/AL8))</f>
        <v>0</v>
      </c>
      <c r="AN8" s="31">
        <f>SUM(AN5:AN7)</f>
        <v>0</v>
      </c>
      <c r="AO8" s="30">
        <f>SUM(AO5:AO7)</f>
        <v>0</v>
      </c>
      <c r="AP8" s="28">
        <f>IF(AQ8=0,0,(AQ8/AO8))</f>
        <v>0</v>
      </c>
      <c r="AQ8" s="31">
        <f>SUM(AQ5:AQ7)</f>
        <v>0</v>
      </c>
      <c r="AR8" s="30">
        <f>SUM(AR5:AR7)</f>
        <v>0</v>
      </c>
      <c r="AS8" s="28"/>
      <c r="AT8" s="31">
        <f>SUM(AT5:AT7)</f>
        <v>0</v>
      </c>
      <c r="AU8" s="30">
        <f>SUM(AU5:AU7)</f>
        <v>0</v>
      </c>
      <c r="AV8" s="28"/>
      <c r="AW8" s="31">
        <f>SUM(AW5:AW7)</f>
        <v>0</v>
      </c>
      <c r="AX8" s="1669">
        <f t="shared" si="0"/>
        <v>-143489</v>
      </c>
      <c r="AY8" s="1670">
        <f t="shared" si="1"/>
        <v>-1</v>
      </c>
      <c r="BA8" s="1500">
        <f>SUM(BA5:BA7)</f>
        <v>167760</v>
      </c>
      <c r="BB8" s="1501">
        <f>BC8/BA8</f>
        <v>103.24481402002861</v>
      </c>
      <c r="BC8" s="1502">
        <f>SUM(BC5:BC7)</f>
        <v>17320350</v>
      </c>
      <c r="BE8" s="1500">
        <f>SUM(BE5:BE7)</f>
        <v>166265.29999999999</v>
      </c>
    </row>
    <row r="9" spans="1:57" ht="15" customHeight="1" x14ac:dyDescent="0.3">
      <c r="A9" s="13" t="s">
        <v>28</v>
      </c>
      <c r="B9" s="3078"/>
      <c r="C9" s="3079"/>
      <c r="D9" s="3080"/>
      <c r="E9" s="14"/>
      <c r="F9" s="15"/>
      <c r="G9" s="32"/>
      <c r="H9" s="14"/>
      <c r="I9" s="15"/>
      <c r="J9" s="32"/>
      <c r="K9" s="14"/>
      <c r="L9" s="15"/>
      <c r="M9" s="32"/>
      <c r="N9" s="14"/>
      <c r="O9" s="15"/>
      <c r="P9" s="32"/>
      <c r="Q9" s="14"/>
      <c r="R9" s="15"/>
      <c r="S9" s="32"/>
      <c r="T9" s="14"/>
      <c r="U9" s="15"/>
      <c r="V9" s="32"/>
      <c r="W9" s="14"/>
      <c r="X9" s="15"/>
      <c r="Y9" s="32"/>
      <c r="Z9" s="14"/>
      <c r="AA9" s="15"/>
      <c r="AB9" s="32"/>
      <c r="AC9" s="14"/>
      <c r="AD9" s="15"/>
      <c r="AE9" s="32"/>
      <c r="AF9" s="14"/>
      <c r="AG9" s="15"/>
      <c r="AH9" s="32"/>
      <c r="AI9" s="14"/>
      <c r="AJ9" s="15"/>
      <c r="AK9" s="32"/>
      <c r="AL9" s="14"/>
      <c r="AM9" s="15"/>
      <c r="AN9" s="32"/>
      <c r="AO9" s="14"/>
      <c r="AP9" s="15"/>
      <c r="AQ9" s="32"/>
      <c r="AR9" s="14"/>
      <c r="AS9" s="15"/>
      <c r="AT9" s="32"/>
      <c r="AU9" s="14"/>
      <c r="AV9" s="15"/>
      <c r="AW9" s="32"/>
      <c r="BA9" s="67"/>
      <c r="BB9" s="39"/>
      <c r="BE9" s="67"/>
    </row>
    <row r="10" spans="1:57" x14ac:dyDescent="0.3">
      <c r="A10" s="17" t="s">
        <v>29</v>
      </c>
      <c r="B10" s="3081">
        <v>37996</v>
      </c>
      <c r="C10" s="753">
        <v>167</v>
      </c>
      <c r="D10" s="20">
        <f>B10*C10</f>
        <v>6345332</v>
      </c>
      <c r="E10" s="18">
        <f>26659.9+0.1</f>
        <v>26660</v>
      </c>
      <c r="F10" s="19">
        <f>66+116</f>
        <v>182</v>
      </c>
      <c r="G10" s="20">
        <f>ROUND(E10*F10,0)</f>
        <v>4852120</v>
      </c>
      <c r="H10" s="18">
        <v>17001</v>
      </c>
      <c r="I10" s="19">
        <v>207</v>
      </c>
      <c r="J10" s="20">
        <v>3519207</v>
      </c>
      <c r="K10" s="18"/>
      <c r="L10" s="19"/>
      <c r="M10" s="20">
        <f>ROUND(K10*L10,0)</f>
        <v>0</v>
      </c>
      <c r="N10" s="18"/>
      <c r="O10" s="19"/>
      <c r="P10" s="20">
        <f>ROUND(N10*O10,0)</f>
        <v>0</v>
      </c>
      <c r="Q10" s="18"/>
      <c r="R10" s="19"/>
      <c r="S10" s="20"/>
      <c r="T10" s="18"/>
      <c r="U10" s="19"/>
      <c r="V10" s="20"/>
      <c r="W10" s="18"/>
      <c r="X10" s="19"/>
      <c r="Y10" s="20"/>
      <c r="Z10" s="18"/>
      <c r="AA10" s="19"/>
      <c r="AB10" s="20">
        <f>ROUND((Z10*AA10),0)</f>
        <v>0</v>
      </c>
      <c r="AC10" s="18"/>
      <c r="AD10" s="19"/>
      <c r="AE10" s="20">
        <f>ROUND((AC10*AD10),0)</f>
        <v>0</v>
      </c>
      <c r="AF10" s="18"/>
      <c r="AG10" s="19"/>
      <c r="AH10" s="20">
        <f>ROUND((AF10*AG10),0)</f>
        <v>0</v>
      </c>
      <c r="AI10" s="18"/>
      <c r="AJ10" s="19"/>
      <c r="AK10" s="20">
        <f>ROUND((AI10*AJ10),0)</f>
        <v>0</v>
      </c>
      <c r="AL10" s="18"/>
      <c r="AM10" s="19"/>
      <c r="AN10" s="20">
        <f>ROUND((AL10*AM10),0)</f>
        <v>0</v>
      </c>
      <c r="AO10" s="18"/>
      <c r="AP10" s="15">
        <f t="shared" ref="AP10:AP11" si="2">IF(AQ10=0,0,(AQ10/AO10))</f>
        <v>0</v>
      </c>
      <c r="AQ10" s="20"/>
      <c r="AR10" s="14">
        <f>'[1] Qty Analysis'!BE66</f>
        <v>0</v>
      </c>
      <c r="AS10" s="19"/>
      <c r="AT10" s="20">
        <f>ROUND((AS10*AR10),0)</f>
        <v>0</v>
      </c>
      <c r="AU10" s="14">
        <f>'[1] Qty Analysis'!BH66</f>
        <v>0</v>
      </c>
      <c r="AV10" s="19"/>
      <c r="AW10" s="20">
        <f>ROUND((AV10*AU10),0)</f>
        <v>0</v>
      </c>
      <c r="AX10" s="1667">
        <f t="shared" ref="AX10:AX12" si="3">Z10-B10</f>
        <v>-37996</v>
      </c>
      <c r="AY10" s="1668">
        <f t="shared" ref="AY10:AY12" si="4">AX10/B10</f>
        <v>-1</v>
      </c>
      <c r="BA10" s="67">
        <v>24480</v>
      </c>
      <c r="BB10" s="39">
        <v>163</v>
      </c>
      <c r="BC10" s="165">
        <f>ROUND((BA10*BB10),0)</f>
        <v>3990240</v>
      </c>
      <c r="BE10" s="67">
        <v>24112</v>
      </c>
    </row>
    <row r="11" spans="1:57" ht="15" thickBot="1" x14ac:dyDescent="0.35">
      <c r="A11" s="17" t="s">
        <v>30</v>
      </c>
      <c r="B11" s="3081">
        <f>64171.5-0.5</f>
        <v>64171</v>
      </c>
      <c r="C11" s="753">
        <f>C10</f>
        <v>167</v>
      </c>
      <c r="D11" s="20">
        <f>B11*C11</f>
        <v>10716557</v>
      </c>
      <c r="E11" s="18">
        <v>50337</v>
      </c>
      <c r="F11" s="19">
        <f>F10</f>
        <v>182</v>
      </c>
      <c r="G11" s="20">
        <f>ROUND(E11*F11,0)</f>
        <v>9161334</v>
      </c>
      <c r="H11" s="18">
        <v>56663</v>
      </c>
      <c r="I11" s="19">
        <v>207</v>
      </c>
      <c r="J11" s="20">
        <v>11729241</v>
      </c>
      <c r="K11" s="18"/>
      <c r="L11" s="19">
        <f>L10</f>
        <v>0</v>
      </c>
      <c r="M11" s="20">
        <f>ROUND(K11*L11,0)</f>
        <v>0</v>
      </c>
      <c r="N11" s="18"/>
      <c r="O11" s="19"/>
      <c r="P11" s="20">
        <f>ROUND(N11*O11,0)</f>
        <v>0</v>
      </c>
      <c r="Q11" s="18"/>
      <c r="R11" s="19">
        <f>R10</f>
        <v>0</v>
      </c>
      <c r="S11" s="20"/>
      <c r="T11" s="18"/>
      <c r="U11" s="19">
        <f>U10</f>
        <v>0</v>
      </c>
      <c r="V11" s="20"/>
      <c r="W11" s="18"/>
      <c r="X11" s="19"/>
      <c r="Y11" s="20"/>
      <c r="Z11" s="18"/>
      <c r="AA11" s="19">
        <f>AA10</f>
        <v>0</v>
      </c>
      <c r="AB11" s="20">
        <f>ROUND((Z11*AA11),0)</f>
        <v>0</v>
      </c>
      <c r="AC11" s="18"/>
      <c r="AD11" s="19"/>
      <c r="AE11" s="20">
        <f>ROUND((AC11*AD11),0)</f>
        <v>0</v>
      </c>
      <c r="AF11" s="18"/>
      <c r="AG11" s="19"/>
      <c r="AH11" s="20">
        <f>ROUND((AF11*AG11),0)</f>
        <v>0</v>
      </c>
      <c r="AI11" s="18"/>
      <c r="AJ11" s="19">
        <f>AJ10</f>
        <v>0</v>
      </c>
      <c r="AK11" s="20">
        <f>ROUND((AI11*AJ11),0)</f>
        <v>0</v>
      </c>
      <c r="AL11" s="18"/>
      <c r="AM11" s="19">
        <f>AM10</f>
        <v>0</v>
      </c>
      <c r="AN11" s="20">
        <f>ROUND((AL11*AM11),0)</f>
        <v>0</v>
      </c>
      <c r="AO11" s="18"/>
      <c r="AP11" s="15">
        <f t="shared" si="2"/>
        <v>0</v>
      </c>
      <c r="AQ11" s="20"/>
      <c r="AR11" s="14">
        <f>'[1] Qty Analysis'!BE81</f>
        <v>0</v>
      </c>
      <c r="AS11" s="19"/>
      <c r="AT11" s="20">
        <f>ROUND((AS11*AR11),0)</f>
        <v>0</v>
      </c>
      <c r="AU11" s="14">
        <f>'[1] Qty Analysis'!BH81</f>
        <v>0</v>
      </c>
      <c r="AV11" s="19"/>
      <c r="AW11" s="20">
        <f>ROUND((AV11*AU11),0)</f>
        <v>0</v>
      </c>
      <c r="AX11" s="1667">
        <f t="shared" si="3"/>
        <v>-64171</v>
      </c>
      <c r="AY11" s="1668">
        <f t="shared" si="4"/>
        <v>-1</v>
      </c>
      <c r="BA11" s="67">
        <v>66292</v>
      </c>
      <c r="BB11" s="39">
        <v>163</v>
      </c>
      <c r="BC11" s="165">
        <f>ROUND((BA11*BB11),0)</f>
        <v>10805596</v>
      </c>
      <c r="BE11" s="67">
        <v>66292</v>
      </c>
    </row>
    <row r="12" spans="1:57" ht="15" thickBot="1" x14ac:dyDescent="0.35">
      <c r="A12" s="11" t="s">
        <v>0</v>
      </c>
      <c r="B12" s="757">
        <f>SUM(B10:B11)</f>
        <v>102167</v>
      </c>
      <c r="C12" s="758">
        <f>D12/B12</f>
        <v>167</v>
      </c>
      <c r="D12" s="759">
        <f>SUM(D10:D11)</f>
        <v>17061889</v>
      </c>
      <c r="E12" s="30">
        <f>SUM(E10:E11)</f>
        <v>76997</v>
      </c>
      <c r="F12" s="29">
        <f>G12/E12</f>
        <v>182</v>
      </c>
      <c r="G12" s="31">
        <f>SUM(G10:G11)</f>
        <v>14013454</v>
      </c>
      <c r="H12" s="30">
        <f>SUM(H10:H11)</f>
        <v>73664</v>
      </c>
      <c r="I12" s="29"/>
      <c r="J12" s="31">
        <f>SUM(J10:J11)</f>
        <v>15248448</v>
      </c>
      <c r="K12" s="30">
        <f>SUM(K10:K11)</f>
        <v>0</v>
      </c>
      <c r="L12" s="29"/>
      <c r="M12" s="31">
        <f>SUM(M10:M11)</f>
        <v>0</v>
      </c>
      <c r="N12" s="30">
        <f>SUM(N10:N11)</f>
        <v>0</v>
      </c>
      <c r="O12" s="29"/>
      <c r="P12" s="31">
        <f>SUM(P10:P11)</f>
        <v>0</v>
      </c>
      <c r="Q12" s="30">
        <f>SUM(Q10:Q11)</f>
        <v>0</v>
      </c>
      <c r="R12" s="29"/>
      <c r="S12" s="31">
        <f>SUM(S10:S11)</f>
        <v>0</v>
      </c>
      <c r="T12" s="30">
        <f>SUM(T10:T11)</f>
        <v>0</v>
      </c>
      <c r="U12" s="29"/>
      <c r="V12" s="31">
        <f>SUM(V10:V11)</f>
        <v>0</v>
      </c>
      <c r="W12" s="30">
        <f>SUM(W10:W11)</f>
        <v>0</v>
      </c>
      <c r="X12" s="28">
        <f>IF(Y12=0,0,(Y12/W12))</f>
        <v>0</v>
      </c>
      <c r="Y12" s="31">
        <f>SUM(Y10:Y11)</f>
        <v>0</v>
      </c>
      <c r="Z12" s="30">
        <f>SUM(Z10:Z11)</f>
        <v>0</v>
      </c>
      <c r="AA12" s="29"/>
      <c r="AB12" s="31">
        <f>SUM(AB10:AB11)</f>
        <v>0</v>
      </c>
      <c r="AC12" s="30">
        <f>SUM(AC10:AC11)</f>
        <v>0</v>
      </c>
      <c r="AD12" s="29"/>
      <c r="AE12" s="31">
        <f>SUM(AE10:AE11)</f>
        <v>0</v>
      </c>
      <c r="AF12" s="30">
        <f>SUM(AF10:AF11)</f>
        <v>0</v>
      </c>
      <c r="AG12" s="29"/>
      <c r="AH12" s="31">
        <f>SUM(AH10:AH11)</f>
        <v>0</v>
      </c>
      <c r="AI12" s="30">
        <f>SUM(AI10:AI11)</f>
        <v>0</v>
      </c>
      <c r="AJ12" s="29"/>
      <c r="AK12" s="31">
        <f>SUM(AK10:AK11)</f>
        <v>0</v>
      </c>
      <c r="AL12" s="30">
        <f>SUM(AL10:AL11)</f>
        <v>0</v>
      </c>
      <c r="AM12" s="29"/>
      <c r="AN12" s="31">
        <f>SUM(AN10:AN11)</f>
        <v>0</v>
      </c>
      <c r="AO12" s="30">
        <f>SUM(AO10:AO11)</f>
        <v>0</v>
      </c>
      <c r="AP12" s="28">
        <f>IF(AQ12=0,0,(AQ12/AO12))</f>
        <v>0</v>
      </c>
      <c r="AQ12" s="31">
        <f>SUM(AQ10:AQ11)</f>
        <v>0</v>
      </c>
      <c r="AR12" s="30">
        <f>SUM(AR10:AR11)</f>
        <v>0</v>
      </c>
      <c r="AS12" s="29"/>
      <c r="AT12" s="31">
        <f>SUM(AT10:AT11)</f>
        <v>0</v>
      </c>
      <c r="AU12" s="30">
        <f>SUM(AU10:AU11)</f>
        <v>0</v>
      </c>
      <c r="AV12" s="29"/>
      <c r="AW12" s="31">
        <f>SUM(AW10:AW11)</f>
        <v>0</v>
      </c>
      <c r="AX12" s="1669">
        <f t="shared" si="3"/>
        <v>-102167</v>
      </c>
      <c r="AY12" s="1670">
        <f t="shared" si="4"/>
        <v>-1</v>
      </c>
      <c r="BA12" s="1500">
        <f>SUM(BA10:BA11)</f>
        <v>90772</v>
      </c>
      <c r="BB12" s="1501">
        <f>BC12/BA12</f>
        <v>163</v>
      </c>
      <c r="BC12" s="1502">
        <f>SUM(BC10:BC11)</f>
        <v>14795836</v>
      </c>
      <c r="BE12" s="1500">
        <f>SUM(BE10:BE11)</f>
        <v>90404</v>
      </c>
    </row>
    <row r="13" spans="1:57" ht="15" thickBot="1" x14ac:dyDescent="0.35">
      <c r="A13" s="40" t="s">
        <v>31</v>
      </c>
      <c r="B13" s="760"/>
      <c r="C13" s="761"/>
      <c r="D13" s="762"/>
      <c r="E13" s="30" t="s">
        <v>2</v>
      </c>
      <c r="F13" s="28"/>
      <c r="G13" s="33"/>
      <c r="H13" s="30" t="s">
        <v>2</v>
      </c>
      <c r="I13" s="28"/>
      <c r="J13" s="33"/>
      <c r="K13" s="30" t="s">
        <v>2</v>
      </c>
      <c r="L13" s="28"/>
      <c r="M13" s="33"/>
      <c r="N13" s="30" t="s">
        <v>2</v>
      </c>
      <c r="O13" s="28"/>
      <c r="P13" s="33"/>
      <c r="Q13" s="30" t="s">
        <v>2</v>
      </c>
      <c r="R13" s="28"/>
      <c r="S13" s="33"/>
      <c r="T13" s="30" t="s">
        <v>2</v>
      </c>
      <c r="U13" s="28"/>
      <c r="V13" s="33"/>
      <c r="W13" s="30" t="s">
        <v>2</v>
      </c>
      <c r="X13" s="28"/>
      <c r="Y13" s="33"/>
      <c r="Z13" s="30" t="s">
        <v>2</v>
      </c>
      <c r="AA13" s="28"/>
      <c r="AB13" s="33"/>
      <c r="AC13" s="30" t="s">
        <v>2</v>
      </c>
      <c r="AD13" s="28"/>
      <c r="AE13" s="33"/>
      <c r="AF13" s="30" t="s">
        <v>2</v>
      </c>
      <c r="AG13" s="28"/>
      <c r="AH13" s="33"/>
      <c r="AI13" s="30" t="s">
        <v>2</v>
      </c>
      <c r="AJ13" s="28"/>
      <c r="AK13" s="33"/>
      <c r="AL13" s="30" t="s">
        <v>2</v>
      </c>
      <c r="AM13" s="28"/>
      <c r="AN13" s="33"/>
      <c r="AO13" s="30" t="s">
        <v>2</v>
      </c>
      <c r="AP13" s="28"/>
      <c r="AQ13" s="33"/>
      <c r="AR13" s="30"/>
      <c r="AS13" s="28"/>
      <c r="AT13" s="33"/>
      <c r="AU13" s="30"/>
      <c r="AV13" s="28"/>
      <c r="AW13" s="33"/>
      <c r="BA13" s="67"/>
      <c r="BB13" s="39"/>
      <c r="BE13" s="67"/>
    </row>
    <row r="14" spans="1:57" x14ac:dyDescent="0.3">
      <c r="A14" s="13" t="s">
        <v>41</v>
      </c>
      <c r="B14" s="3082">
        <v>200810</v>
      </c>
      <c r="C14" s="753">
        <v>238</v>
      </c>
      <c r="D14" s="3083">
        <f>B14*C14</f>
        <v>47792780</v>
      </c>
      <c r="E14" s="34">
        <v>216887</v>
      </c>
      <c r="F14" s="845">
        <f>116+66+68</f>
        <v>250</v>
      </c>
      <c r="G14" s="20">
        <f>ROUND(E14*F14,0)</f>
        <v>54221750</v>
      </c>
      <c r="H14" s="34">
        <v>179666</v>
      </c>
      <c r="I14" s="845">
        <v>278</v>
      </c>
      <c r="J14" s="20">
        <v>49947148</v>
      </c>
      <c r="K14" s="34"/>
      <c r="L14" s="845"/>
      <c r="M14" s="20"/>
      <c r="N14" s="34"/>
      <c r="O14" s="845"/>
      <c r="P14" s="20"/>
      <c r="Q14" s="34"/>
      <c r="R14" s="845"/>
      <c r="S14" s="20"/>
      <c r="T14" s="34"/>
      <c r="U14" s="845">
        <v>221</v>
      </c>
      <c r="V14" s="20"/>
      <c r="W14" s="34"/>
      <c r="X14" s="15">
        <f t="shared" ref="X14:X17" si="5">IF(Y14=0,0,(Y14/W14))</f>
        <v>0</v>
      </c>
      <c r="Y14" s="20"/>
      <c r="Z14" s="34"/>
      <c r="AA14" s="15">
        <f t="shared" ref="AA14:AA19" si="6">IF(AB14=0,0,(AB14/Z14))</f>
        <v>0</v>
      </c>
      <c r="AB14" s="20"/>
      <c r="AC14" s="34"/>
      <c r="AD14" s="15">
        <f t="shared" ref="AD14" si="7">IF(AE14=0,0,(AE14/AC14))</f>
        <v>0</v>
      </c>
      <c r="AE14" s="20"/>
      <c r="AF14" s="34"/>
      <c r="AG14" s="15"/>
      <c r="AH14" s="20"/>
      <c r="AI14" s="34"/>
      <c r="AJ14" s="845"/>
      <c r="AK14" s="20"/>
      <c r="AL14" s="34"/>
      <c r="AM14" s="845"/>
      <c r="AN14" s="20"/>
      <c r="AO14" s="34"/>
      <c r="AP14" s="15">
        <f>IF(AQ14=0,0,(AQ14/AO14))</f>
        <v>0</v>
      </c>
      <c r="AQ14" s="985"/>
      <c r="AR14" s="14">
        <f>'[1] Qty Analysis'!BE101</f>
        <v>0</v>
      </c>
      <c r="AS14" s="35"/>
      <c r="AT14" s="20">
        <f>ROUND((AS14*AR14),0)</f>
        <v>0</v>
      </c>
      <c r="AU14" s="14">
        <f>'[1] Qty Analysis'!BH101</f>
        <v>0</v>
      </c>
      <c r="AV14" s="35"/>
      <c r="AW14" s="20">
        <f>ROUND((AV14*AU14),0)</f>
        <v>0</v>
      </c>
      <c r="AX14" s="1667">
        <f t="shared" ref="AX14:AX17" si="8">Z14-B14</f>
        <v>-200810</v>
      </c>
      <c r="AY14" s="1668">
        <f t="shared" ref="AY14:AY17" si="9">AX14/B14</f>
        <v>-1</v>
      </c>
      <c r="BA14" s="67">
        <v>289350</v>
      </c>
      <c r="BB14" s="39">
        <v>228</v>
      </c>
      <c r="BC14" s="165">
        <f>ROUND((BA14*BB14),0)</f>
        <v>65971800</v>
      </c>
      <c r="BE14" s="67"/>
    </row>
    <row r="15" spans="1:57" x14ac:dyDescent="0.3">
      <c r="A15" s="17" t="s">
        <v>635</v>
      </c>
      <c r="B15" s="3081">
        <v>387</v>
      </c>
      <c r="C15" s="753">
        <f>IF(B15=0,0,(D15/B15))+0.35</f>
        <v>215.00116279069766</v>
      </c>
      <c r="D15" s="3084">
        <v>83070</v>
      </c>
      <c r="E15" s="168">
        <v>387</v>
      </c>
      <c r="F15" s="15">
        <f>IF(E15=0,0,(G15/E15))-0.3</f>
        <v>240.00232558139533</v>
      </c>
      <c r="G15" s="996">
        <v>92997</v>
      </c>
      <c r="H15" s="168">
        <v>387</v>
      </c>
      <c r="I15" s="15">
        <f>IF(H15=0,0,(J15/H15))</f>
        <v>241.70801033591732</v>
      </c>
      <c r="J15" s="996">
        <v>93541</v>
      </c>
      <c r="K15" s="168"/>
      <c r="L15" s="15">
        <f>IF(K15=0,0,(M15/K15))</f>
        <v>0</v>
      </c>
      <c r="M15" s="996"/>
      <c r="N15" s="168"/>
      <c r="O15" s="15">
        <f>IF(N15=0,0,(P15/N15))</f>
        <v>0</v>
      </c>
      <c r="P15" s="996"/>
      <c r="Q15" s="168"/>
      <c r="R15" s="15"/>
      <c r="S15" s="996"/>
      <c r="T15" s="168"/>
      <c r="U15" s="15" t="e">
        <f>V15/T15</f>
        <v>#DIV/0!</v>
      </c>
      <c r="V15" s="20"/>
      <c r="W15" s="168"/>
      <c r="X15" s="15">
        <f t="shared" si="5"/>
        <v>0</v>
      </c>
      <c r="Y15" s="20"/>
      <c r="Z15" s="168"/>
      <c r="AA15" s="15">
        <f t="shared" si="6"/>
        <v>0</v>
      </c>
      <c r="AB15" s="20"/>
      <c r="AC15" s="168"/>
      <c r="AD15" s="15">
        <f>IF(AE15=0,0,(AE15/AC15))</f>
        <v>0</v>
      </c>
      <c r="AE15" s="20"/>
      <c r="AF15" s="168"/>
      <c r="AG15" s="15"/>
      <c r="AH15" s="20"/>
      <c r="AI15" s="168"/>
      <c r="AJ15" s="15"/>
      <c r="AK15" s="20"/>
      <c r="AL15" s="168"/>
      <c r="AM15" s="15"/>
      <c r="AN15" s="20"/>
      <c r="AO15" s="168"/>
      <c r="AP15" s="15">
        <f>IF(AQ15=0,0,(AQ15/AO15))</f>
        <v>0</v>
      </c>
      <c r="AQ15" s="985"/>
      <c r="AR15" s="735">
        <f>'[1] Qty Analysis'!BE122</f>
        <v>0</v>
      </c>
      <c r="AS15" s="21"/>
      <c r="AT15" s="20"/>
      <c r="AU15" s="735">
        <f>'[1] Qty Analysis'!BH122</f>
        <v>0</v>
      </c>
      <c r="AV15" s="21"/>
      <c r="AW15" s="20"/>
      <c r="AX15" s="1667">
        <f t="shared" si="8"/>
        <v>-387</v>
      </c>
      <c r="AY15" s="1668">
        <f t="shared" si="9"/>
        <v>-1</v>
      </c>
      <c r="BA15" s="67">
        <v>810</v>
      </c>
      <c r="BB15" s="39">
        <f>BC15/BA15</f>
        <v>214.81481481481481</v>
      </c>
      <c r="BC15" s="165">
        <v>174000</v>
      </c>
      <c r="BE15" s="67"/>
    </row>
    <row r="16" spans="1:57" x14ac:dyDescent="0.3">
      <c r="A16" s="17" t="s">
        <v>636</v>
      </c>
      <c r="B16" s="3081">
        <v>172</v>
      </c>
      <c r="C16" s="753">
        <f>IF(B16=0,0,(D16/B16))+0.12</f>
        <v>240.86418604651163</v>
      </c>
      <c r="D16" s="3084">
        <v>41408</v>
      </c>
      <c r="E16" s="168">
        <v>172</v>
      </c>
      <c r="F16" s="15">
        <f>IF(E16=0,0,(G16/E16))+0.41</f>
        <v>266.84604651162795</v>
      </c>
      <c r="G16" s="996">
        <v>45827</v>
      </c>
      <c r="H16" s="168">
        <v>340</v>
      </c>
      <c r="I16" s="15">
        <f t="shared" ref="I16:I19" si="10">IF(H16=0,0,(J16/H16))</f>
        <v>258.02647058823527</v>
      </c>
      <c r="J16" s="996">
        <v>87729</v>
      </c>
      <c r="K16" s="168"/>
      <c r="L16" s="15">
        <f t="shared" ref="L16:L19" si="11">IF(K16=0,0,(M16/K16))</f>
        <v>0</v>
      </c>
      <c r="M16" s="996"/>
      <c r="N16" s="168"/>
      <c r="O16" s="15">
        <f t="shared" ref="O16:O19" si="12">IF(N16=0,0,(P16/N16))</f>
        <v>0</v>
      </c>
      <c r="P16" s="996"/>
      <c r="Q16" s="168"/>
      <c r="R16" s="15"/>
      <c r="S16" s="996"/>
      <c r="T16" s="71"/>
      <c r="U16" s="15" t="e">
        <f>V16/T16</f>
        <v>#DIV/0!</v>
      </c>
      <c r="V16" s="1774"/>
      <c r="W16" s="71"/>
      <c r="X16" s="15">
        <f t="shared" si="5"/>
        <v>0</v>
      </c>
      <c r="Y16" s="1774"/>
      <c r="Z16" s="71"/>
      <c r="AA16" s="15">
        <f t="shared" si="6"/>
        <v>0</v>
      </c>
      <c r="AB16" s="1774"/>
      <c r="AC16" s="71"/>
      <c r="AD16" s="15"/>
      <c r="AE16" s="1774"/>
      <c r="AF16" s="71"/>
      <c r="AG16" s="15"/>
      <c r="AH16" s="1774"/>
      <c r="AI16" s="71"/>
      <c r="AJ16" s="15"/>
      <c r="AK16" s="1774"/>
      <c r="AL16" s="71"/>
      <c r="AM16" s="19"/>
      <c r="AN16" s="1774"/>
      <c r="AO16" s="71"/>
      <c r="AP16" s="42"/>
      <c r="AQ16" s="1775"/>
      <c r="AR16" s="735"/>
      <c r="AS16" s="93"/>
      <c r="AT16" s="70"/>
      <c r="AU16" s="735"/>
      <c r="AV16" s="93"/>
      <c r="AW16" s="70"/>
      <c r="AX16" s="1667">
        <f t="shared" si="8"/>
        <v>-172</v>
      </c>
      <c r="AY16" s="1668">
        <f t="shared" si="9"/>
        <v>-1</v>
      </c>
      <c r="BA16" s="67"/>
      <c r="BB16" s="39"/>
      <c r="BC16" s="165"/>
      <c r="BE16" s="67"/>
    </row>
    <row r="17" spans="1:57" x14ac:dyDescent="0.3">
      <c r="A17" s="17" t="s">
        <v>202</v>
      </c>
      <c r="B17" s="3081">
        <v>446</v>
      </c>
      <c r="C17" s="753">
        <f>IF(B17=0,0,(D17/B17))+0.5</f>
        <v>229.1031390134529</v>
      </c>
      <c r="D17" s="3084">
        <v>101957</v>
      </c>
      <c r="E17" s="168">
        <v>346</v>
      </c>
      <c r="F17" s="15">
        <f>IF(E17=0,0,(G17/E17))+0.5</f>
        <v>229.13294797687863</v>
      </c>
      <c r="G17" s="996">
        <v>79107</v>
      </c>
      <c r="H17" s="168">
        <v>276</v>
      </c>
      <c r="I17" s="15">
        <f t="shared" si="10"/>
        <v>210.07608695652175</v>
      </c>
      <c r="J17" s="996">
        <v>57981</v>
      </c>
      <c r="K17" s="168"/>
      <c r="L17" s="15">
        <f t="shared" si="11"/>
        <v>0</v>
      </c>
      <c r="M17" s="996"/>
      <c r="N17" s="168"/>
      <c r="O17" s="15">
        <f t="shared" si="12"/>
        <v>0</v>
      </c>
      <c r="P17" s="996"/>
      <c r="Q17" s="168"/>
      <c r="R17" s="15"/>
      <c r="S17" s="996"/>
      <c r="T17" s="71"/>
      <c r="U17" s="15" t="e">
        <f t="shared" ref="U17" si="13">V17/T17</f>
        <v>#DIV/0!</v>
      </c>
      <c r="V17" s="1774"/>
      <c r="W17" s="71"/>
      <c r="X17" s="15">
        <f t="shared" si="5"/>
        <v>0</v>
      </c>
      <c r="Y17" s="1774"/>
      <c r="Z17" s="71"/>
      <c r="AA17" s="15">
        <f t="shared" si="6"/>
        <v>0</v>
      </c>
      <c r="AB17" s="1774"/>
      <c r="AC17" s="71"/>
      <c r="AD17" s="15"/>
      <c r="AE17" s="1774"/>
      <c r="AF17" s="71"/>
      <c r="AG17" s="15"/>
      <c r="AH17" s="1774"/>
      <c r="AI17" s="71"/>
      <c r="AJ17" s="19"/>
      <c r="AK17" s="1774"/>
      <c r="AL17" s="71"/>
      <c r="AM17" s="15"/>
      <c r="AN17" s="1774"/>
      <c r="AO17" s="71"/>
      <c r="AP17" s="19"/>
      <c r="AQ17" s="1775"/>
      <c r="AR17" s="735"/>
      <c r="AS17" s="93"/>
      <c r="AT17" s="70"/>
      <c r="AU17" s="735"/>
      <c r="AV17" s="93"/>
      <c r="AW17" s="70"/>
      <c r="AX17" s="1667">
        <f t="shared" si="8"/>
        <v>-446</v>
      </c>
      <c r="AY17" s="1668">
        <f t="shared" si="9"/>
        <v>-1</v>
      </c>
      <c r="BA17" s="67"/>
      <c r="BB17" s="39"/>
      <c r="BC17" s="165"/>
      <c r="BE17" s="67"/>
    </row>
    <row r="18" spans="1:57" x14ac:dyDescent="0.3">
      <c r="A18" s="17" t="s">
        <v>213</v>
      </c>
      <c r="B18" s="3081"/>
      <c r="C18" s="753"/>
      <c r="D18" s="3084"/>
      <c r="E18" s="168"/>
      <c r="F18" s="15">
        <f t="shared" ref="F18:F21" si="14">IF(E18=0,0,(G18/E18))</f>
        <v>0</v>
      </c>
      <c r="G18" s="996"/>
      <c r="H18" s="168"/>
      <c r="I18" s="15">
        <f t="shared" si="10"/>
        <v>0</v>
      </c>
      <c r="J18" s="996"/>
      <c r="K18" s="168"/>
      <c r="L18" s="15">
        <f t="shared" si="11"/>
        <v>0</v>
      </c>
      <c r="M18" s="996"/>
      <c r="N18" s="168"/>
      <c r="O18" s="15">
        <f t="shared" si="12"/>
        <v>0</v>
      </c>
      <c r="P18" s="996"/>
      <c r="Q18" s="71"/>
      <c r="R18" s="19"/>
      <c r="S18" s="1774"/>
      <c r="T18" s="71"/>
      <c r="U18" s="19"/>
      <c r="V18" s="1774"/>
      <c r="W18" s="71"/>
      <c r="X18" s="15"/>
      <c r="Y18" s="1774"/>
      <c r="Z18" s="71"/>
      <c r="AA18" s="15">
        <f t="shared" si="6"/>
        <v>0</v>
      </c>
      <c r="AB18" s="1774"/>
      <c r="AC18" s="71"/>
      <c r="AD18" s="19"/>
      <c r="AE18" s="1774"/>
      <c r="AF18" s="71"/>
      <c r="AG18" s="19"/>
      <c r="AH18" s="1774"/>
      <c r="AI18" s="71"/>
      <c r="AJ18" s="15"/>
      <c r="AK18" s="1774"/>
      <c r="AL18" s="71"/>
      <c r="AM18" s="19"/>
      <c r="AN18" s="1774"/>
      <c r="AO18" s="71"/>
      <c r="AP18" s="19"/>
      <c r="AQ18" s="1775"/>
      <c r="AR18" s="735"/>
      <c r="AS18" s="93"/>
      <c r="AT18" s="70"/>
      <c r="AU18" s="735"/>
      <c r="AV18" s="93"/>
      <c r="AW18" s="70"/>
      <c r="AX18" s="1667"/>
      <c r="AY18" s="1668"/>
      <c r="BA18" s="67"/>
      <c r="BB18" s="39"/>
      <c r="BC18" s="165"/>
      <c r="BE18" s="67"/>
    </row>
    <row r="19" spans="1:57" ht="15" thickBot="1" x14ac:dyDescent="0.35">
      <c r="A19" s="17" t="s">
        <v>637</v>
      </c>
      <c r="B19" s="3081">
        <v>36</v>
      </c>
      <c r="C19" s="753">
        <f>IF(B19=0,0,(D19/B19))-0.01</f>
        <v>128.76777777777778</v>
      </c>
      <c r="D19" s="756">
        <v>4636</v>
      </c>
      <c r="E19" s="168">
        <v>36</v>
      </c>
      <c r="F19" s="15">
        <f>IF(E19=0,0,(G19/E19))-0.14</f>
        <v>186.55444444444447</v>
      </c>
      <c r="G19" s="996">
        <v>6721</v>
      </c>
      <c r="H19" s="168">
        <v>36</v>
      </c>
      <c r="I19" s="15">
        <f t="shared" si="10"/>
        <v>186.69444444444446</v>
      </c>
      <c r="J19" s="996">
        <v>6721</v>
      </c>
      <c r="K19" s="168"/>
      <c r="L19" s="15">
        <f t="shared" si="11"/>
        <v>0</v>
      </c>
      <c r="M19" s="996"/>
      <c r="N19" s="168"/>
      <c r="O19" s="15">
        <f t="shared" si="12"/>
        <v>0</v>
      </c>
      <c r="P19" s="996"/>
      <c r="Q19" s="85"/>
      <c r="R19" s="105"/>
      <c r="S19" s="996"/>
      <c r="T19" s="85"/>
      <c r="U19" s="805">
        <f>IF(V19=0,0,(V19/T19))</f>
        <v>0</v>
      </c>
      <c r="V19" s="986"/>
      <c r="W19" s="85"/>
      <c r="X19" s="805">
        <f>IF(Y19=0,0,(Y19/W19))</f>
        <v>0</v>
      </c>
      <c r="Y19" s="986"/>
      <c r="Z19" s="85"/>
      <c r="AA19" s="15">
        <f t="shared" si="6"/>
        <v>0</v>
      </c>
      <c r="AB19" s="986"/>
      <c r="AC19" s="85"/>
      <c r="AD19" s="805"/>
      <c r="AE19" s="986"/>
      <c r="AF19" s="85"/>
      <c r="AG19" s="805"/>
      <c r="AH19" s="986"/>
      <c r="AI19" s="85"/>
      <c r="AJ19" s="805"/>
      <c r="AK19" s="986"/>
      <c r="AL19" s="85"/>
      <c r="AM19" s="805"/>
      <c r="AN19" s="986"/>
      <c r="AO19" s="85"/>
      <c r="AP19" s="805">
        <f>IF(AQ19=0,0,(AQ19/AO19))</f>
        <v>0</v>
      </c>
      <c r="AQ19" s="1517"/>
      <c r="AR19" s="14"/>
      <c r="AS19" s="26"/>
      <c r="AT19" s="25"/>
      <c r="AU19" s="14"/>
      <c r="AV19" s="26"/>
      <c r="AW19" s="25"/>
      <c r="AX19" s="39"/>
      <c r="AY19" s="39"/>
      <c r="BE19" s="67"/>
    </row>
    <row r="20" spans="1:57" ht="15" thickBot="1" x14ac:dyDescent="0.35">
      <c r="A20" s="11" t="s">
        <v>0</v>
      </c>
      <c r="B20" s="757">
        <f>SUM(B14:B19)</f>
        <v>201851</v>
      </c>
      <c r="C20" s="758">
        <f>D20/B20</f>
        <v>237.91732515568415</v>
      </c>
      <c r="D20" s="759">
        <f>SUM(D14:D19)-1</f>
        <v>48023850</v>
      </c>
      <c r="E20" s="30">
        <f>SUM(E14:E19)</f>
        <v>217828</v>
      </c>
      <c r="F20" s="758">
        <f>G20/E20</f>
        <v>249.95134693427843</v>
      </c>
      <c r="G20" s="31">
        <f>SUM(G14:G19)</f>
        <v>54446402</v>
      </c>
      <c r="H20" s="30">
        <f>SUM(H14:H19)</f>
        <v>180705</v>
      </c>
      <c r="I20" s="29"/>
      <c r="J20" s="31">
        <f>SUM(J14:J19)</f>
        <v>50193120</v>
      </c>
      <c r="K20" s="30">
        <f>SUM(K14:K19)</f>
        <v>0</v>
      </c>
      <c r="L20" s="29"/>
      <c r="M20" s="31">
        <f>SUM(M14:M19)</f>
        <v>0</v>
      </c>
      <c r="N20" s="30">
        <f>SUM(N14:N19)</f>
        <v>0</v>
      </c>
      <c r="O20" s="29"/>
      <c r="P20" s="31">
        <f>SUM(P14:P19)</f>
        <v>0</v>
      </c>
      <c r="Q20" s="244">
        <f>SUM(Q14:Q19)</f>
        <v>0</v>
      </c>
      <c r="R20" s="3085"/>
      <c r="S20" s="844">
        <f>SUM(S14:S19)</f>
        <v>0</v>
      </c>
      <c r="T20" s="30">
        <f>SUM(T14:T19)</f>
        <v>0</v>
      </c>
      <c r="U20" s="29"/>
      <c r="V20" s="31">
        <f>SUM(V14:V19)</f>
        <v>0</v>
      </c>
      <c r="W20" s="30">
        <f>SUM(W14:W19)</f>
        <v>0</v>
      </c>
      <c r="X20" s="29"/>
      <c r="Y20" s="31">
        <f>SUM(Y14:Y19)</f>
        <v>0</v>
      </c>
      <c r="Z20" s="30">
        <f>SUM(Z14:Z19)</f>
        <v>0</v>
      </c>
      <c r="AA20" s="29"/>
      <c r="AB20" s="31">
        <f>SUM(AB14:AB19)</f>
        <v>0</v>
      </c>
      <c r="AC20" s="30">
        <f>SUM(AC14:AC19)</f>
        <v>0</v>
      </c>
      <c r="AD20" s="29"/>
      <c r="AE20" s="31">
        <f>SUM(AE14:AE19)</f>
        <v>0</v>
      </c>
      <c r="AF20" s="30">
        <f>SUM(AF14:AF19)</f>
        <v>0</v>
      </c>
      <c r="AG20" s="29"/>
      <c r="AH20" s="31">
        <f>SUM(AH14:AH19)</f>
        <v>0</v>
      </c>
      <c r="AI20" s="30">
        <f>SUM(AI14:AI19)</f>
        <v>0</v>
      </c>
      <c r="AJ20" s="29"/>
      <c r="AK20" s="31">
        <f>SUM(AK14:AK19)</f>
        <v>0</v>
      </c>
      <c r="AL20" s="30">
        <f>SUM(AL14:AL19)</f>
        <v>0</v>
      </c>
      <c r="AM20" s="29"/>
      <c r="AN20" s="31">
        <f>SUM(AN14:AN19)</f>
        <v>0</v>
      </c>
      <c r="AO20" s="30">
        <f>SUM(AO14:AO19)</f>
        <v>0</v>
      </c>
      <c r="AP20" s="29" t="e">
        <f>AQ20/AO20</f>
        <v>#DIV/0!</v>
      </c>
      <c r="AQ20" s="31">
        <f>SUM(AQ14:AQ19)</f>
        <v>0</v>
      </c>
      <c r="AR20" s="30">
        <f>SUM(AR14:AR19)</f>
        <v>0</v>
      </c>
      <c r="AS20" s="29"/>
      <c r="AT20" s="31">
        <f>SUM(AT14:AT19)</f>
        <v>0</v>
      </c>
      <c r="AU20" s="30">
        <f>SUM(AU14:AU19)</f>
        <v>0</v>
      </c>
      <c r="AV20" s="29"/>
      <c r="AW20" s="31">
        <f>SUM(AW14:AW19)</f>
        <v>0</v>
      </c>
      <c r="AX20" s="1669">
        <f t="shared" ref="AX20" si="15">Z20-B20</f>
        <v>-201851</v>
      </c>
      <c r="AY20" s="1670">
        <f t="shared" ref="AY20" si="16">AX20/B20</f>
        <v>-1</v>
      </c>
      <c r="BA20" s="1500">
        <f>SUM(BA14:BA15)</f>
        <v>290160</v>
      </c>
      <c r="BB20" s="1501">
        <f>BC20/BA20</f>
        <v>227.96319272125723</v>
      </c>
      <c r="BC20" s="1502">
        <f>SUM(BC14:BC15)</f>
        <v>66145800</v>
      </c>
      <c r="BE20" s="67"/>
    </row>
    <row r="21" spans="1:57" x14ac:dyDescent="0.3">
      <c r="A21" s="13" t="s">
        <v>948</v>
      </c>
      <c r="B21" s="2722">
        <f>SUM(B15:B19)</f>
        <v>1041</v>
      </c>
      <c r="C21" s="753">
        <f>IF(B21=0,0,(D21/B21))</f>
        <v>221.96926032660903</v>
      </c>
      <c r="D21" s="2723">
        <f>SUM(D15:D19)-1</f>
        <v>231070</v>
      </c>
      <c r="E21" s="38">
        <f>SUM(E15:E19)</f>
        <v>941</v>
      </c>
      <c r="F21" s="15">
        <f t="shared" si="14"/>
        <v>238.7375132837407</v>
      </c>
      <c r="G21" s="37">
        <f>SUM(G15:G19)</f>
        <v>224652</v>
      </c>
      <c r="H21" s="38">
        <f>SUM(H15:H19)</f>
        <v>1039</v>
      </c>
      <c r="I21" s="15">
        <f t="shared" ref="I21" si="17">IF(H21=0,0,(J21/H21))</f>
        <v>236.73917228103946</v>
      </c>
      <c r="J21" s="37">
        <f>SUM(J15:J19)</f>
        <v>245972</v>
      </c>
      <c r="K21" s="38">
        <f>SUM(K15:K19)</f>
        <v>0</v>
      </c>
      <c r="L21" s="15">
        <f t="shared" ref="L21" si="18">IF(K21=0,0,(M21/K21))</f>
        <v>0</v>
      </c>
      <c r="M21" s="37">
        <f>SUM(M15:M19)</f>
        <v>0</v>
      </c>
      <c r="N21" s="38">
        <f>SUM(N15:N19)</f>
        <v>0</v>
      </c>
      <c r="O21" s="15">
        <f t="shared" ref="O21" si="19">IF(N21=0,0,(P21/N21))</f>
        <v>0</v>
      </c>
      <c r="P21" s="37">
        <f>SUM(P15:P19)</f>
        <v>0</v>
      </c>
      <c r="Q21" s="38">
        <f>SUM(Q15:Q19)</f>
        <v>0</v>
      </c>
      <c r="R21" s="15">
        <f t="shared" ref="R21" si="20">IF(Q21=0,0,(S21/Q21))</f>
        <v>0</v>
      </c>
      <c r="S21" s="37">
        <f>SUM(S15:S19)</f>
        <v>0</v>
      </c>
      <c r="T21" s="38">
        <f>SUM(T15:T19)</f>
        <v>0</v>
      </c>
      <c r="U21" s="15">
        <f t="shared" ref="U21" si="21">IF(T21=0,0,(V21/T21))</f>
        <v>0</v>
      </c>
      <c r="V21" s="37">
        <f>SUM(V15:V19)</f>
        <v>0</v>
      </c>
      <c r="W21" s="38">
        <f>SUM(W15:W19)</f>
        <v>0</v>
      </c>
      <c r="X21" s="15">
        <f t="shared" ref="X21" si="22">IF(W21=0,0,(Y21/W21))</f>
        <v>0</v>
      </c>
      <c r="Y21" s="37">
        <f>SUM(Y15:Y19)</f>
        <v>0</v>
      </c>
      <c r="Z21" s="38">
        <f>SUM(Z15:Z19)</f>
        <v>0</v>
      </c>
      <c r="AA21" s="15">
        <f t="shared" ref="AA21" si="23">IF(Z21=0,0,(AB21/Z21))</f>
        <v>0</v>
      </c>
      <c r="AB21" s="3086">
        <f>SUM(AB15:AB19)</f>
        <v>0</v>
      </c>
      <c r="AC21" s="38">
        <f>SUM(AC15:AC19)</f>
        <v>0</v>
      </c>
      <c r="AD21" s="15"/>
      <c r="AE21" s="3086">
        <f>SUM(AE15:AE19)</f>
        <v>0</v>
      </c>
      <c r="AF21" s="38">
        <f>SUM(AF15:AF19)</f>
        <v>0</v>
      </c>
      <c r="AG21" s="15"/>
      <c r="AH21" s="3086">
        <f>SUM(AH15:AH19)</f>
        <v>0</v>
      </c>
      <c r="AI21" s="38">
        <f>SUM(AI15:AI19)</f>
        <v>0</v>
      </c>
      <c r="AJ21" s="15"/>
      <c r="AK21" s="3086"/>
      <c r="AL21" s="38">
        <f>SUM(AL15:AL19)</f>
        <v>0</v>
      </c>
      <c r="AM21" s="15">
        <f>IF(AL21=0,0,(AN21/AL21))</f>
        <v>0</v>
      </c>
      <c r="AN21" s="3086">
        <f>SUM(AN15:AN19)</f>
        <v>0</v>
      </c>
      <c r="AO21" s="38"/>
      <c r="AP21" s="15" t="s">
        <v>547</v>
      </c>
      <c r="AQ21" s="3087"/>
      <c r="AR21" s="14"/>
      <c r="AS21" s="15"/>
      <c r="AT21" s="37"/>
      <c r="AU21" s="14"/>
      <c r="AV21" s="15"/>
      <c r="AW21" s="37"/>
      <c r="AX21" s="1672"/>
      <c r="AY21" s="1672"/>
      <c r="BA21" s="67"/>
      <c r="BE21" s="67"/>
    </row>
    <row r="22" spans="1:57" x14ac:dyDescent="0.3">
      <c r="A22" s="17" t="s">
        <v>32</v>
      </c>
      <c r="B22" s="766"/>
      <c r="C22" s="767"/>
      <c r="D22" s="768"/>
      <c r="E22" s="18"/>
      <c r="F22" s="19"/>
      <c r="G22" s="20"/>
      <c r="H22" s="18"/>
      <c r="I22" s="19"/>
      <c r="J22" s="20"/>
      <c r="K22" s="18"/>
      <c r="L22" s="19"/>
      <c r="M22" s="20"/>
      <c r="N22" s="18"/>
      <c r="O22" s="19"/>
      <c r="P22" s="20"/>
      <c r="Q22" s="18"/>
      <c r="R22" s="19"/>
      <c r="S22" s="20"/>
      <c r="T22" s="18"/>
      <c r="U22" s="19"/>
      <c r="V22" s="20"/>
      <c r="W22" s="18"/>
      <c r="X22" s="19"/>
      <c r="Y22" s="20"/>
      <c r="Z22" s="18"/>
      <c r="AA22" s="19"/>
      <c r="AB22" s="20"/>
      <c r="AC22" s="18"/>
      <c r="AD22" s="19"/>
      <c r="AE22" s="20"/>
      <c r="AF22" s="18"/>
      <c r="AG22" s="19"/>
      <c r="AH22" s="20"/>
      <c r="AI22" s="18"/>
      <c r="AJ22" s="19"/>
      <c r="AK22" s="20"/>
      <c r="AL22" s="18"/>
      <c r="AM22" s="19"/>
      <c r="AN22" s="20"/>
      <c r="AO22" s="18"/>
      <c r="AP22" s="19" t="s">
        <v>548</v>
      </c>
      <c r="AQ22" s="1530"/>
      <c r="AR22" s="14">
        <f>'[1] Qty Analysis'!BE44</f>
        <v>0</v>
      </c>
      <c r="AS22" s="19"/>
      <c r="AT22" s="20"/>
      <c r="AU22" s="14">
        <f>'[1] Qty Analysis'!BH44</f>
        <v>0</v>
      </c>
      <c r="AV22" s="19"/>
      <c r="AW22" s="20"/>
      <c r="AX22" s="39"/>
      <c r="AY22" s="39"/>
      <c r="BA22" s="67"/>
      <c r="BE22" s="67"/>
    </row>
    <row r="23" spans="1:57" ht="15" thickBot="1" x14ac:dyDescent="0.35">
      <c r="A23" s="45" t="s">
        <v>34</v>
      </c>
      <c r="B23" s="769"/>
      <c r="C23" s="770"/>
      <c r="D23" s="771"/>
      <c r="E23" s="48"/>
      <c r="F23" s="46"/>
      <c r="G23" s="47">
        <f>ROUND((E23*F23),0)</f>
        <v>0</v>
      </c>
      <c r="H23" s="48"/>
      <c r="I23" s="46"/>
      <c r="J23" s="47">
        <f>ROUND((H23*I23),0)</f>
        <v>0</v>
      </c>
      <c r="K23" s="48"/>
      <c r="L23" s="46"/>
      <c r="M23" s="47">
        <f>ROUND((K23*L23),0)</f>
        <v>0</v>
      </c>
      <c r="N23" s="48"/>
      <c r="O23" s="46"/>
      <c r="P23" s="47">
        <f>ROUND((N23*O23),0)</f>
        <v>0</v>
      </c>
      <c r="Q23" s="48"/>
      <c r="R23" s="46"/>
      <c r="S23" s="47">
        <f>ROUND((Q23*R23),0)</f>
        <v>0</v>
      </c>
      <c r="T23" s="48"/>
      <c r="U23" s="46"/>
      <c r="V23" s="47">
        <f>ROUND((T23*U23),0)</f>
        <v>0</v>
      </c>
      <c r="W23" s="48"/>
      <c r="X23" s="46"/>
      <c r="Y23" s="47">
        <f>ROUND((W23*X23),0)</f>
        <v>0</v>
      </c>
      <c r="Z23" s="48"/>
      <c r="AA23" s="46"/>
      <c r="AB23" s="47">
        <f>ROUND((Z23*AA23),0)</f>
        <v>0</v>
      </c>
      <c r="AC23" s="48"/>
      <c r="AD23" s="46"/>
      <c r="AE23" s="47">
        <f>ROUND((AC23*AD23),0)</f>
        <v>0</v>
      </c>
      <c r="AF23" s="48"/>
      <c r="AG23" s="46"/>
      <c r="AH23" s="47">
        <f>ROUND((AF23*AG23),0)</f>
        <v>0</v>
      </c>
      <c r="AI23" s="48"/>
      <c r="AJ23" s="46"/>
      <c r="AK23" s="47">
        <f>ROUND((AI23*AJ23),0)</f>
        <v>0</v>
      </c>
      <c r="AL23" s="48"/>
      <c r="AM23" s="46"/>
      <c r="AN23" s="47">
        <f>ROUND((AL23*AM23),0)</f>
        <v>0</v>
      </c>
      <c r="AO23" s="48"/>
      <c r="AP23" s="46"/>
      <c r="AQ23" s="47"/>
      <c r="AR23" s="48">
        <f>'[1] Qty Analysis'!BE132</f>
        <v>0</v>
      </c>
      <c r="AS23" s="46"/>
      <c r="AT23" s="47"/>
      <c r="AU23" s="48">
        <f>'[1] Qty Analysis'!BH132</f>
        <v>0</v>
      </c>
      <c r="AV23" s="46"/>
      <c r="AW23" s="47"/>
      <c r="AX23" s="39"/>
      <c r="AY23" s="39"/>
      <c r="BA23" s="67"/>
      <c r="BE23" s="67"/>
    </row>
    <row r="24" spans="1:57" ht="15.6" thickTop="1" thickBot="1" x14ac:dyDescent="0.35">
      <c r="A24" s="41" t="s">
        <v>0</v>
      </c>
      <c r="B24" s="763"/>
      <c r="C24" s="764"/>
      <c r="D24" s="765"/>
      <c r="E24" s="43"/>
      <c r="F24" s="42"/>
      <c r="G24" s="44"/>
      <c r="H24" s="43"/>
      <c r="I24" s="42"/>
      <c r="J24" s="44"/>
      <c r="K24" s="43"/>
      <c r="L24" s="42"/>
      <c r="M24" s="44"/>
      <c r="N24" s="43"/>
      <c r="O24" s="42"/>
      <c r="P24" s="44"/>
      <c r="Q24" s="43"/>
      <c r="R24" s="42"/>
      <c r="S24" s="44"/>
      <c r="T24" s="43"/>
      <c r="U24" s="42"/>
      <c r="V24" s="44"/>
      <c r="W24" s="43"/>
      <c r="X24" s="42"/>
      <c r="Y24" s="44"/>
      <c r="Z24" s="43"/>
      <c r="AA24" s="42"/>
      <c r="AB24" s="44"/>
      <c r="AC24" s="43"/>
      <c r="AD24" s="42"/>
      <c r="AE24" s="44"/>
      <c r="AF24" s="43"/>
      <c r="AG24" s="42"/>
      <c r="AH24" s="44"/>
      <c r="AI24" s="43"/>
      <c r="AJ24" s="42"/>
      <c r="AK24" s="44"/>
      <c r="AL24" s="43"/>
      <c r="AM24" s="42"/>
      <c r="AN24" s="44"/>
      <c r="AO24" s="43"/>
      <c r="AP24" s="42"/>
      <c r="AQ24" s="44"/>
      <c r="AR24" s="43"/>
      <c r="AS24" s="42"/>
      <c r="AT24" s="44"/>
      <c r="AU24" s="43"/>
      <c r="AV24" s="42"/>
      <c r="AW24" s="44"/>
      <c r="AX24" s="39"/>
      <c r="AY24" s="39"/>
      <c r="BA24" s="67"/>
      <c r="BE24" s="67"/>
    </row>
    <row r="25" spans="1:57" ht="15" thickBot="1" x14ac:dyDescent="0.35">
      <c r="A25" s="11" t="s">
        <v>33</v>
      </c>
      <c r="B25" s="1515">
        <f>B20+B12+B8</f>
        <v>447507</v>
      </c>
      <c r="C25" s="1516">
        <f>D25/B25</f>
        <v>185.1599773858286</v>
      </c>
      <c r="D25" s="1057">
        <f>D20+D12+D8</f>
        <v>82860386</v>
      </c>
      <c r="E25" s="1518">
        <f>E20+E12+E8</f>
        <v>372933</v>
      </c>
      <c r="F25" s="1519">
        <f>IF(E25=0,0,G25/E25)</f>
        <v>212.7778314067138</v>
      </c>
      <c r="G25" s="1520">
        <f>G20+G12+G8</f>
        <v>79351875</v>
      </c>
      <c r="H25" s="244">
        <f>H20+H12+H8</f>
        <v>346668</v>
      </c>
      <c r="I25" s="28">
        <f>IF(H25=0,0,J25/H25)</f>
        <v>230.17150703266526</v>
      </c>
      <c r="J25" s="844">
        <f>J20+J12+J8</f>
        <v>79793096</v>
      </c>
      <c r="K25" s="244">
        <f>K20+K12+K8</f>
        <v>0</v>
      </c>
      <c r="L25" s="28">
        <f>IF(K25=0,0,M25/K25)</f>
        <v>0</v>
      </c>
      <c r="M25" s="844">
        <f>M20+M12+M8</f>
        <v>0</v>
      </c>
      <c r="N25" s="244">
        <f>N20+N12+N8</f>
        <v>0</v>
      </c>
      <c r="O25" s="28">
        <f>IF(N25=0,0,P25/N25)</f>
        <v>0</v>
      </c>
      <c r="P25" s="844">
        <f>P20+P12+P8</f>
        <v>0</v>
      </c>
      <c r="Q25" s="244">
        <f>Q20+Q12+Q8</f>
        <v>0</v>
      </c>
      <c r="R25" s="28">
        <f>IF(Q25=0,0,S25/Q25)</f>
        <v>0</v>
      </c>
      <c r="S25" s="844">
        <f>S20+S12+S8</f>
        <v>0</v>
      </c>
      <c r="T25" s="244">
        <f>T20+T12+T8</f>
        <v>0</v>
      </c>
      <c r="U25" s="28">
        <f>IF(T25=0,0,V25/T25)</f>
        <v>0</v>
      </c>
      <c r="V25" s="844">
        <f>V20+V12+V8</f>
        <v>0</v>
      </c>
      <c r="W25" s="244">
        <f>W20+W12+W8</f>
        <v>0</v>
      </c>
      <c r="X25" s="28">
        <f>IF(W25=0,0,Y25/W25)</f>
        <v>0</v>
      </c>
      <c r="Y25" s="844">
        <f>Y20+Y12+Y8</f>
        <v>0</v>
      </c>
      <c r="Z25" s="244">
        <f>Z20+Z12+Z8</f>
        <v>0</v>
      </c>
      <c r="AA25" s="28">
        <f>IF(Z25=0,0,AB25/Z25)</f>
        <v>0</v>
      </c>
      <c r="AB25" s="844">
        <f>AB20+AB12+AB8</f>
        <v>0</v>
      </c>
      <c r="AC25" s="244">
        <f>AC20+AC12+AC8</f>
        <v>0</v>
      </c>
      <c r="AD25" s="28">
        <f>IF(AC25=0,0,AE25/AC25)</f>
        <v>0</v>
      </c>
      <c r="AE25" s="844">
        <f>AE20+AE12+AE8</f>
        <v>0</v>
      </c>
      <c r="AF25" s="244">
        <f>AF20+AF12+AF8</f>
        <v>0</v>
      </c>
      <c r="AG25" s="28">
        <f>IF(AF25=0,0,AH25/AF25)</f>
        <v>0</v>
      </c>
      <c r="AH25" s="844">
        <f>AH20+AH12+AH8</f>
        <v>0</v>
      </c>
      <c r="AI25" s="244">
        <f>AI20+AI12+AI8</f>
        <v>0</v>
      </c>
      <c r="AJ25" s="28">
        <f>IF(AI25=0,0,AK25/AI25)</f>
        <v>0</v>
      </c>
      <c r="AK25" s="844">
        <f>AK20+AK12+AK8</f>
        <v>0</v>
      </c>
      <c r="AL25" s="244">
        <f>AL20+AL12+AL8</f>
        <v>0</v>
      </c>
      <c r="AM25" s="28">
        <f>IF(AL25=0,0,AN25/AL25)</f>
        <v>0</v>
      </c>
      <c r="AN25" s="844">
        <f>AN20+AN12+AN8</f>
        <v>0</v>
      </c>
      <c r="AO25" s="244">
        <f>AO20+AO12+AO8</f>
        <v>0</v>
      </c>
      <c r="AP25" s="28">
        <f>IF(AO25=0,0,AQ25/AO25)</f>
        <v>0</v>
      </c>
      <c r="AQ25" s="1520">
        <f>AQ8+AQ12+AQ20</f>
        <v>0</v>
      </c>
      <c r="AR25" s="30">
        <f>AR20+AR12+AR8</f>
        <v>0</v>
      </c>
      <c r="AS25" s="29"/>
      <c r="AT25" s="31">
        <f>AT20+AT12+AT8</f>
        <v>0</v>
      </c>
      <c r="AU25" s="30">
        <f>AU20+AU12+AU8</f>
        <v>0</v>
      </c>
      <c r="AV25" s="29"/>
      <c r="AW25" s="31">
        <f>AW20+AW12+AW8</f>
        <v>0</v>
      </c>
      <c r="AX25" s="1669">
        <f t="shared" ref="AX25" si="24">Z25-B25</f>
        <v>-447507</v>
      </c>
      <c r="AY25" s="1670">
        <f t="shared" ref="AY25" si="25">AX25/B25</f>
        <v>-1</v>
      </c>
      <c r="BA25" s="1500">
        <f>BA20+BA12+BA8</f>
        <v>548692</v>
      </c>
      <c r="BB25" s="1501">
        <f>IF(BA25=0,0,BC25/BA25)</f>
        <v>179.08405079716854</v>
      </c>
      <c r="BC25" s="1503">
        <f>BC20+BC12+BC8</f>
        <v>98261986</v>
      </c>
      <c r="BE25" s="67"/>
    </row>
    <row r="26" spans="1:57" ht="15" thickBot="1" x14ac:dyDescent="0.35">
      <c r="A26" s="939" t="s">
        <v>52</v>
      </c>
      <c r="B26" s="772">
        <f>B25-B8</f>
        <v>304018</v>
      </c>
      <c r="C26" s="758">
        <f>D26/B26</f>
        <v>214.08514956351269</v>
      </c>
      <c r="D26" s="773">
        <f>D25-D8</f>
        <v>65085739</v>
      </c>
      <c r="E26" s="244">
        <f>E25-E8</f>
        <v>294825</v>
      </c>
      <c r="F26" s="805">
        <f>IF(E26=0,0,G26/E26)</f>
        <v>232.20505723734419</v>
      </c>
      <c r="G26" s="844">
        <f>G25-G8</f>
        <v>68459856</v>
      </c>
      <c r="H26" s="244">
        <f>H25-H8</f>
        <v>254369</v>
      </c>
      <c r="I26" s="805">
        <f>IF(H26=0,0,J26/H26)</f>
        <v>257.27021767589605</v>
      </c>
      <c r="J26" s="844">
        <f>J25-J8</f>
        <v>65441568</v>
      </c>
      <c r="K26" s="244">
        <f>K25-K8</f>
        <v>0</v>
      </c>
      <c r="L26" s="805">
        <f>IF(K26=0,0,M26/K26)</f>
        <v>0</v>
      </c>
      <c r="M26" s="844">
        <f>M25-M8</f>
        <v>0</v>
      </c>
      <c r="N26" s="244">
        <f>N25-N8</f>
        <v>0</v>
      </c>
      <c r="O26" s="805">
        <f>IF(N26=0,0,P26/N26)</f>
        <v>0</v>
      </c>
      <c r="P26" s="844">
        <f>P25-P8</f>
        <v>0</v>
      </c>
      <c r="Q26" s="244">
        <f>Q25-Q8</f>
        <v>0</v>
      </c>
      <c r="R26" s="805">
        <f>IF(Q26=0,0,S26/Q26)</f>
        <v>0</v>
      </c>
      <c r="S26" s="844">
        <f>S25-S8</f>
        <v>0</v>
      </c>
      <c r="T26" s="244">
        <f>T25-T8</f>
        <v>0</v>
      </c>
      <c r="U26" s="805">
        <f>IF(T26=0,0,V26/T26)</f>
        <v>0</v>
      </c>
      <c r="V26" s="844">
        <f>V25-V8</f>
        <v>0</v>
      </c>
      <c r="W26" s="244">
        <f>W25-W8</f>
        <v>0</v>
      </c>
      <c r="X26" s="805">
        <f>IF(W26=0,0,Y26/W26)</f>
        <v>0</v>
      </c>
      <c r="Y26" s="844">
        <f>Y25-Y8</f>
        <v>0</v>
      </c>
      <c r="Z26" s="244">
        <f>Z25-Z8</f>
        <v>0</v>
      </c>
      <c r="AA26" s="805">
        <f>IF(Z26=0,0,AB26/Z26)</f>
        <v>0</v>
      </c>
      <c r="AB26" s="844">
        <f>AB25-AB8</f>
        <v>0</v>
      </c>
      <c r="AC26" s="244">
        <f>AC25-AC8</f>
        <v>0</v>
      </c>
      <c r="AD26" s="805">
        <f>IF(AC26=0,0,AE26/AC26)</f>
        <v>0</v>
      </c>
      <c r="AE26" s="844">
        <f>AE25-AE8</f>
        <v>0</v>
      </c>
      <c r="AF26" s="244">
        <f>AF25-AF8</f>
        <v>0</v>
      </c>
      <c r="AG26" s="805">
        <f>IF(AF26=0,0,AH26/AF26)</f>
        <v>0</v>
      </c>
      <c r="AH26" s="844">
        <f>AH25-AH8</f>
        <v>0</v>
      </c>
      <c r="AI26" s="244">
        <f>AI25-AI8</f>
        <v>0</v>
      </c>
      <c r="AJ26" s="805">
        <f>IF(AI26=0,0,AK26/AI26)</f>
        <v>0</v>
      </c>
      <c r="AK26" s="844">
        <f>AK25-AK8</f>
        <v>0</v>
      </c>
      <c r="AL26" s="244">
        <f>AL25-AL8</f>
        <v>0</v>
      </c>
      <c r="AM26" s="805">
        <f>IF(AL26=0,0,AN26/AL26)</f>
        <v>0</v>
      </c>
      <c r="AN26" s="844">
        <f>AN25-AN8</f>
        <v>0</v>
      </c>
      <c r="AO26" s="244"/>
      <c r="AP26" s="1529">
        <v>0.25</v>
      </c>
      <c r="AQ26" s="844">
        <f>ROUND(((AQ25+AQ21+AQ22)*25%),0)</f>
        <v>0</v>
      </c>
      <c r="AR26" s="67">
        <f>AR25-AR8</f>
        <v>0</v>
      </c>
      <c r="AS26" s="39" t="e">
        <f>AT26/AR26</f>
        <v>#DIV/0!</v>
      </c>
      <c r="AT26" s="39">
        <f>AT25-AT8</f>
        <v>0</v>
      </c>
      <c r="AU26" s="67">
        <f>AU25-AU8</f>
        <v>0</v>
      </c>
      <c r="AV26" s="39" t="e">
        <f>AW26/AU26</f>
        <v>#DIV/0!</v>
      </c>
      <c r="AW26" s="39">
        <f>AW25-AW8</f>
        <v>0</v>
      </c>
      <c r="AX26" s="39"/>
      <c r="AY26" s="39"/>
      <c r="BA26" s="1504">
        <f>BA25-BA8</f>
        <v>380932</v>
      </c>
      <c r="BB26" s="765"/>
      <c r="BC26" s="1505">
        <f>BC25-BC8</f>
        <v>80941636</v>
      </c>
      <c r="BE26" s="67"/>
    </row>
    <row r="27" spans="1:57" ht="16.2" x14ac:dyDescent="0.35">
      <c r="A27" s="125" t="s">
        <v>51</v>
      </c>
      <c r="B27" s="803"/>
      <c r="C27" s="804"/>
      <c r="D27" s="804"/>
      <c r="E27" s="126">
        <f>B26-E26</f>
        <v>9193</v>
      </c>
      <c r="F27" s="127"/>
      <c r="G27" s="127">
        <f>D26-G26</f>
        <v>-3374117</v>
      </c>
      <c r="H27" s="126">
        <f>E26-H26</f>
        <v>40456</v>
      </c>
      <c r="I27" s="718"/>
      <c r="J27" s="127">
        <f>G26-J26</f>
        <v>3018288</v>
      </c>
      <c r="K27" s="126">
        <f>H26-K26</f>
        <v>254369</v>
      </c>
      <c r="L27" s="127"/>
      <c r="M27" s="127">
        <f>J26-M26</f>
        <v>65441568</v>
      </c>
      <c r="N27" s="126">
        <f>K26-N26</f>
        <v>0</v>
      </c>
      <c r="O27" s="127" t="e">
        <f>P27/N27</f>
        <v>#DIV/0!</v>
      </c>
      <c r="P27" s="127">
        <f>M26-P26</f>
        <v>0</v>
      </c>
      <c r="Q27" s="126">
        <f>N26-Q26</f>
        <v>0</v>
      </c>
      <c r="R27" s="127" t="e">
        <f>S27/Q27</f>
        <v>#DIV/0!</v>
      </c>
      <c r="S27" s="127">
        <f>P26-S26</f>
        <v>0</v>
      </c>
      <c r="T27" s="126">
        <f>Q26-T26</f>
        <v>0</v>
      </c>
      <c r="U27" s="127" t="e">
        <f>V27/T27</f>
        <v>#DIV/0!</v>
      </c>
      <c r="V27" s="127">
        <f>S26-V26</f>
        <v>0</v>
      </c>
      <c r="W27" s="126">
        <f>T26-W26</f>
        <v>0</v>
      </c>
      <c r="X27" s="718" t="e">
        <f>Y27/W27</f>
        <v>#DIV/0!</v>
      </c>
      <c r="Y27" s="127">
        <f>V26-Y26</f>
        <v>0</v>
      </c>
      <c r="Z27" s="126">
        <f>W26-Z26</f>
        <v>0</v>
      </c>
      <c r="AA27" s="127" t="e">
        <f>AB27/Z27</f>
        <v>#DIV/0!</v>
      </c>
      <c r="AB27" s="127">
        <f>Y26-AB26</f>
        <v>0</v>
      </c>
      <c r="AC27" s="126">
        <f>Z26-AC26</f>
        <v>0</v>
      </c>
      <c r="AD27" s="127" t="e">
        <f>AE27/AC27</f>
        <v>#DIV/0!</v>
      </c>
      <c r="AE27" s="127">
        <f>AB26-AE26</f>
        <v>0</v>
      </c>
      <c r="AF27" s="126">
        <f>AC26-AF26</f>
        <v>0</v>
      </c>
      <c r="AG27" s="127" t="e">
        <f>AH27/AF27</f>
        <v>#DIV/0!</v>
      </c>
      <c r="AH27" s="127">
        <f>AE26-AH26</f>
        <v>0</v>
      </c>
      <c r="AI27" s="948">
        <f>AF26-AI26</f>
        <v>0</v>
      </c>
      <c r="AJ27" s="127" t="e">
        <f>AK27/AI27</f>
        <v>#DIV/0!</v>
      </c>
      <c r="AK27" s="127">
        <f>AH26-AK26</f>
        <v>0</v>
      </c>
      <c r="AL27" s="126">
        <f>AL26-AI26</f>
        <v>0</v>
      </c>
      <c r="AM27" s="824" t="e">
        <f>AN27/AL27</f>
        <v>#DIV/0!</v>
      </c>
      <c r="AN27" s="127">
        <f>AK26-AN26</f>
        <v>0</v>
      </c>
      <c r="AO27" s="802"/>
      <c r="AP27" s="802"/>
      <c r="AQ27" s="917">
        <f>(AQ25+AQ21+AQ22)-AQ26</f>
        <v>0</v>
      </c>
      <c r="AR27" s="126">
        <f>AO26-AR26</f>
        <v>0</v>
      </c>
      <c r="AS27" s="127" t="e">
        <f>AT27/AR27</f>
        <v>#DIV/0!</v>
      </c>
      <c r="AT27" s="127">
        <f>AQ26-AT26</f>
        <v>0</v>
      </c>
      <c r="AU27" s="126">
        <f>AR26-AU26</f>
        <v>0</v>
      </c>
      <c r="AV27" s="127" t="e">
        <f>AW27/AU27</f>
        <v>#DIV/0!</v>
      </c>
      <c r="AW27" s="127">
        <f>AT26-AW26</f>
        <v>0</v>
      </c>
      <c r="AX27" s="1325"/>
      <c r="AY27" s="1673"/>
      <c r="BB27" s="327" t="s">
        <v>227</v>
      </c>
      <c r="BC27" s="901">
        <f>AK26-BC26</f>
        <v>-80941636</v>
      </c>
      <c r="BE27" s="67"/>
    </row>
    <row r="28" spans="1:57" ht="16.2" x14ac:dyDescent="0.35">
      <c r="A28" s="2631" t="s">
        <v>396</v>
      </c>
      <c r="B28" s="2632"/>
      <c r="C28" s="2633"/>
      <c r="D28" s="2633"/>
      <c r="E28" s="2634">
        <f>E27-E29</f>
        <v>9093</v>
      </c>
      <c r="F28" s="2635"/>
      <c r="G28" s="2635">
        <f>G27-G29</f>
        <v>-3380536</v>
      </c>
      <c r="H28" s="2634">
        <f>H27-H29</f>
        <v>40554</v>
      </c>
      <c r="I28" s="2635"/>
      <c r="J28" s="2635">
        <f>J27-J29</f>
        <v>3039608</v>
      </c>
      <c r="K28" s="2634">
        <f>K27-K29</f>
        <v>253330</v>
      </c>
      <c r="L28" s="2635"/>
      <c r="M28" s="2635">
        <f>M27-M29</f>
        <v>65195596</v>
      </c>
      <c r="N28" s="2634">
        <f>N27-N29</f>
        <v>0</v>
      </c>
      <c r="O28" s="2635"/>
      <c r="P28" s="2635">
        <f>P27-P29</f>
        <v>0</v>
      </c>
      <c r="Q28" s="2634">
        <f>Q27-Q29</f>
        <v>0</v>
      </c>
      <c r="R28" s="2635"/>
      <c r="S28" s="2635">
        <f>S27-S29</f>
        <v>0</v>
      </c>
      <c r="T28" s="2634">
        <f>T27-T29</f>
        <v>0</v>
      </c>
      <c r="U28" s="2635"/>
      <c r="V28" s="2635">
        <f>V27-V29</f>
        <v>0</v>
      </c>
      <c r="W28" s="2634">
        <f>W27-W29</f>
        <v>0</v>
      </c>
      <c r="X28" s="2635"/>
      <c r="Y28" s="2635">
        <f>Y27-Y29</f>
        <v>0</v>
      </c>
      <c r="Z28" s="2634">
        <f>Z27-Z29</f>
        <v>0</v>
      </c>
      <c r="AA28" s="2635"/>
      <c r="AB28" s="2635">
        <f>AB27-AB29</f>
        <v>0</v>
      </c>
      <c r="AC28" s="2634">
        <f>AC27-AC29</f>
        <v>0</v>
      </c>
      <c r="AD28" s="2635"/>
      <c r="AE28" s="2635">
        <f>AE27-AE29</f>
        <v>0</v>
      </c>
      <c r="AF28" s="2634"/>
      <c r="AG28" s="2635"/>
      <c r="AH28" s="2635">
        <f>AH27-AH29</f>
        <v>0</v>
      </c>
      <c r="AI28" s="3088"/>
      <c r="AJ28" s="2635"/>
      <c r="AK28" s="2635">
        <f>AK27-AK29</f>
        <v>0</v>
      </c>
      <c r="AL28" s="2634"/>
      <c r="AM28" s="3089"/>
      <c r="AN28" s="2635"/>
      <c r="AO28" s="802"/>
      <c r="AP28" s="802"/>
      <c r="AQ28" s="917"/>
      <c r="AR28" s="126"/>
      <c r="AS28" s="127"/>
      <c r="AT28" s="127"/>
      <c r="AU28" s="126"/>
      <c r="AV28" s="127"/>
      <c r="AW28" s="127"/>
      <c r="AX28" s="1325"/>
      <c r="AY28" s="1673"/>
      <c r="BB28" s="327"/>
      <c r="BC28" s="901"/>
      <c r="BE28" s="67"/>
    </row>
    <row r="29" spans="1:57" ht="16.2" x14ac:dyDescent="0.35">
      <c r="A29" s="2631" t="s">
        <v>226</v>
      </c>
      <c r="B29" s="2632"/>
      <c r="C29" s="2633"/>
      <c r="D29" s="2633"/>
      <c r="E29" s="2634">
        <f>SUM(B15:B19)-SUM(E15:E19)</f>
        <v>100</v>
      </c>
      <c r="F29" s="2635"/>
      <c r="G29" s="2635">
        <f>SUM(D15:D19)-SUM(G15:G19)</f>
        <v>6419</v>
      </c>
      <c r="H29" s="2634">
        <f>SUM(E15:E19)-SUM(H15:H19)</f>
        <v>-98</v>
      </c>
      <c r="I29" s="2635"/>
      <c r="J29" s="2635">
        <f>SUM(G15:G19)-SUM(J15:J19)</f>
        <v>-21320</v>
      </c>
      <c r="K29" s="2634">
        <f>SUM(H15:H19)-SUM(K15:K19)</f>
        <v>1039</v>
      </c>
      <c r="L29" s="2635"/>
      <c r="M29" s="2635">
        <f>SUM(J15:J19)-SUM(M15:M19)</f>
        <v>245972</v>
      </c>
      <c r="N29" s="2634">
        <f>SUM(K15:K19)-SUM(N15:N19)</f>
        <v>0</v>
      </c>
      <c r="O29" s="2635"/>
      <c r="P29" s="2635">
        <f>SUM(M15:M19)-SUM(P15:P19)</f>
        <v>0</v>
      </c>
      <c r="Q29" s="2634">
        <f>SUM(N15:N19)-SUM(Q15:Q19)</f>
        <v>0</v>
      </c>
      <c r="R29" s="2635"/>
      <c r="S29" s="2635">
        <f>SUM(P15:P19)-SUM(S15:S19)</f>
        <v>0</v>
      </c>
      <c r="T29" s="2634">
        <f>SUM(Q15:Q19)-SUM(T15:T19)</f>
        <v>0</v>
      </c>
      <c r="U29" s="2635"/>
      <c r="V29" s="2635">
        <f>SUM(S15:S19)-SUM(V15:V19)</f>
        <v>0</v>
      </c>
      <c r="W29" s="2634">
        <f>SUM(T15:T19)-SUM(W15:W19)</f>
        <v>0</v>
      </c>
      <c r="X29" s="2635"/>
      <c r="Y29" s="2635">
        <f>SUM(V15:V19)-SUM(Y15:Y19)</f>
        <v>0</v>
      </c>
      <c r="Z29" s="2634">
        <f>SUM(W15:W19)-SUM(Z15:Z19)</f>
        <v>0</v>
      </c>
      <c r="AA29" s="2635"/>
      <c r="AB29" s="2635">
        <f>SUM(Y15:Y19)-SUM(AB15:AB19)</f>
        <v>0</v>
      </c>
      <c r="AC29" s="2634">
        <f>SUM(Z15:Z19)-SUM(AC15:AC19)</f>
        <v>0</v>
      </c>
      <c r="AD29" s="2635"/>
      <c r="AE29" s="2635">
        <f>SUM(AB15:AB19)-SUM(AE15:AE19)</f>
        <v>0</v>
      </c>
      <c r="AF29" s="2634"/>
      <c r="AG29" s="2635"/>
      <c r="AH29" s="2635">
        <f>SUM(AE15:AE19)-SUM(AH15:AH19)</f>
        <v>0</v>
      </c>
      <c r="AI29" s="3088"/>
      <c r="AJ29" s="2635"/>
      <c r="AK29" s="2635">
        <f>SUM(AH15:AH19)-SUM(AK15:AK19)</f>
        <v>0</v>
      </c>
      <c r="AL29" s="2634"/>
      <c r="AM29" s="3089"/>
      <c r="AN29" s="2635"/>
      <c r="AO29" s="802"/>
      <c r="AP29" s="802"/>
      <c r="AQ29" s="917"/>
      <c r="AR29" s="126"/>
      <c r="AS29" s="127"/>
      <c r="AT29" s="127"/>
      <c r="AU29" s="126"/>
      <c r="AV29" s="127"/>
      <c r="AW29" s="127"/>
      <c r="AX29" s="1325"/>
      <c r="AY29" s="1673"/>
      <c r="BB29" s="327"/>
      <c r="BC29" s="901"/>
      <c r="BE29" s="67"/>
    </row>
    <row r="30" spans="1:57" x14ac:dyDescent="0.3">
      <c r="A30" s="180"/>
      <c r="B30" s="1521"/>
      <c r="C30" s="180"/>
      <c r="D30" s="180"/>
      <c r="E30" s="1235">
        <f>$B$26-E26</f>
        <v>9193</v>
      </c>
      <c r="F30" s="1994"/>
      <c r="G30" s="1236">
        <f>$D$26-G26</f>
        <v>-3374117</v>
      </c>
      <c r="H30" s="1235">
        <f>$B$26-H26</f>
        <v>49649</v>
      </c>
      <c r="I30" s="1994"/>
      <c r="J30" s="1236">
        <f>$D$26-J26</f>
        <v>-355829</v>
      </c>
      <c r="K30" s="1235">
        <f>$B$26-K26</f>
        <v>304018</v>
      </c>
      <c r="L30" s="1994"/>
      <c r="M30" s="1236">
        <f>$D$26-M26</f>
        <v>65085739</v>
      </c>
      <c r="N30" s="1235">
        <f>$B$26-N26</f>
        <v>304018</v>
      </c>
      <c r="O30" s="1994"/>
      <c r="P30" s="1236">
        <f>$D$26-P26</f>
        <v>65085739</v>
      </c>
      <c r="Q30" s="1235">
        <f>$B$26-Q26</f>
        <v>304018</v>
      </c>
      <c r="R30" s="1994"/>
      <c r="S30" s="1236">
        <f>$D$26-S26</f>
        <v>65085739</v>
      </c>
      <c r="T30" s="1235">
        <f>$B$26-T26</f>
        <v>304018</v>
      </c>
      <c r="U30" s="1994"/>
      <c r="V30" s="1236">
        <f>$D$26-V26</f>
        <v>65085739</v>
      </c>
      <c r="W30" s="1235">
        <f>$B$26-W26</f>
        <v>304018</v>
      </c>
      <c r="X30" s="1994"/>
      <c r="Y30" s="1236">
        <f>$D$26-Y26</f>
        <v>65085739</v>
      </c>
      <c r="Z30" s="1235">
        <f>$B$26-Z26</f>
        <v>304018</v>
      </c>
      <c r="AA30" s="1994"/>
      <c r="AB30" s="1236">
        <f>$D$26-AB26</f>
        <v>65085739</v>
      </c>
      <c r="AC30" s="3090">
        <f>T26-AC26</f>
        <v>0</v>
      </c>
      <c r="AD30" s="3091"/>
      <c r="AE30" s="3092">
        <f>V26-AE26</f>
        <v>0</v>
      </c>
      <c r="AF30" s="543"/>
      <c r="AG30" s="3093"/>
      <c r="AH30" s="3092">
        <f>Y26-AH26</f>
        <v>0</v>
      </c>
      <c r="AI30" s="543"/>
      <c r="AJ30" s="3093"/>
      <c r="AK30" s="3092">
        <f>AB26-AK26</f>
        <v>0</v>
      </c>
      <c r="AL30" s="1235">
        <f>B26-E26</f>
        <v>9193</v>
      </c>
      <c r="AM30" s="1411"/>
      <c r="AN30" s="1236">
        <f>D26-G26</f>
        <v>-3374117</v>
      </c>
      <c r="AO30" s="3195">
        <f>AQ25-M25</f>
        <v>0</v>
      </c>
      <c r="AP30" s="3195"/>
      <c r="AQ30" s="39"/>
      <c r="AR30" s="901">
        <f>AQ8-AQ30</f>
        <v>0</v>
      </c>
      <c r="AS30" s="39" t="e">
        <f>AT30/#REF!</f>
        <v>#REF!</v>
      </c>
      <c r="AT30" s="39">
        <f>AH40-AT26</f>
        <v>0</v>
      </c>
      <c r="AU30" s="67" t="e">
        <f>AI40-AU26</f>
        <v>#VALUE!</v>
      </c>
      <c r="AV30" s="39" t="e">
        <f>AW30/AU30</f>
        <v>#VALUE!</v>
      </c>
      <c r="AW30" s="39">
        <f>AK41-AW26</f>
        <v>0</v>
      </c>
      <c r="AX30" s="39"/>
      <c r="AY30" s="39"/>
      <c r="BB30" s="327" t="s">
        <v>523</v>
      </c>
      <c r="BC30" s="901">
        <f>D26-BC26</f>
        <v>-15855897</v>
      </c>
      <c r="BE30" s="67"/>
    </row>
    <row r="31" spans="1:57" x14ac:dyDescent="0.3">
      <c r="A31" s="180" t="s">
        <v>396</v>
      </c>
      <c r="B31" s="1521"/>
      <c r="C31" s="180"/>
      <c r="D31" s="180"/>
      <c r="E31" s="2636">
        <f>E30-E32</f>
        <v>9093</v>
      </c>
      <c r="F31" s="2637"/>
      <c r="G31" s="2638">
        <f>G30-G32</f>
        <v>-3380536</v>
      </c>
      <c r="H31" s="2636">
        <f>H30-H32</f>
        <v>49647</v>
      </c>
      <c r="I31" s="2637"/>
      <c r="J31" s="2638">
        <f>J30-J32</f>
        <v>-340928</v>
      </c>
      <c r="K31" s="2636">
        <f>K30-K32</f>
        <v>302977</v>
      </c>
      <c r="L31" s="2637"/>
      <c r="M31" s="2638">
        <f>M30-M32</f>
        <v>64854668</v>
      </c>
      <c r="N31" s="2636">
        <f>N30-N32</f>
        <v>302977</v>
      </c>
      <c r="O31" s="2637"/>
      <c r="P31" s="2638">
        <f>P30-P32</f>
        <v>64854668</v>
      </c>
      <c r="Q31" s="2636">
        <f>Q30-Q32</f>
        <v>302977</v>
      </c>
      <c r="R31" s="2637"/>
      <c r="S31" s="2638">
        <f>S30-S32</f>
        <v>64854668</v>
      </c>
      <c r="T31" s="2636">
        <f>T30-T32</f>
        <v>302977</v>
      </c>
      <c r="U31" s="2637"/>
      <c r="V31" s="2638">
        <f>V30-V32</f>
        <v>64854668</v>
      </c>
      <c r="W31" s="2636">
        <f>W30-W32</f>
        <v>302977</v>
      </c>
      <c r="X31" s="2637"/>
      <c r="Y31" s="2638">
        <f>Y30-Y32</f>
        <v>64854668</v>
      </c>
      <c r="Z31" s="2636">
        <f>Z30-Z32</f>
        <v>302977</v>
      </c>
      <c r="AA31" s="2637"/>
      <c r="AB31" s="2638">
        <f>AB30-AB32</f>
        <v>64854668</v>
      </c>
      <c r="AC31" s="2636">
        <f>AC30-AC32</f>
        <v>-1041</v>
      </c>
      <c r="AD31" s="2639"/>
      <c r="AE31" s="2638">
        <f>AE30-AE32</f>
        <v>-231071</v>
      </c>
      <c r="AF31" s="2636"/>
      <c r="AG31" s="2639"/>
      <c r="AH31" s="2638">
        <f>AH30-AH32</f>
        <v>-231071</v>
      </c>
      <c r="AI31" s="2636"/>
      <c r="AJ31" s="2639"/>
      <c r="AK31" s="2638">
        <f>AK30-AK32</f>
        <v>-231071</v>
      </c>
      <c r="AL31" s="2636"/>
      <c r="AM31" s="2639"/>
      <c r="AN31" s="2638"/>
      <c r="AO31" s="2361"/>
      <c r="AP31" s="2361"/>
      <c r="AQ31" s="39"/>
      <c r="AR31" s="901"/>
      <c r="AS31" s="39"/>
      <c r="AT31" s="39"/>
      <c r="AU31" s="67"/>
      <c r="AV31" s="39"/>
      <c r="AW31" s="39"/>
      <c r="AX31" s="39"/>
      <c r="AY31" s="39"/>
      <c r="BB31" s="327"/>
      <c r="BC31" s="901"/>
      <c r="BE31" s="67"/>
    </row>
    <row r="32" spans="1:57" x14ac:dyDescent="0.3">
      <c r="A32" s="180" t="s">
        <v>226</v>
      </c>
      <c r="B32" s="1521"/>
      <c r="C32" s="180"/>
      <c r="D32" s="180"/>
      <c r="E32" s="2636">
        <f>SUM($B$15:$B$19)-SUM(E15:E19)</f>
        <v>100</v>
      </c>
      <c r="F32" s="2637"/>
      <c r="G32" s="2638">
        <f>SUM($D$15:$D$19)-SUM(G15:G19)</f>
        <v>6419</v>
      </c>
      <c r="H32" s="2636">
        <f>SUM($B$15:$B$19)-SUM(H15:H19)</f>
        <v>2</v>
      </c>
      <c r="I32" s="2637"/>
      <c r="J32" s="2638">
        <f>SUM($D$15:$D$19)-SUM(J15:J19)</f>
        <v>-14901</v>
      </c>
      <c r="K32" s="2636">
        <f>SUM($B$15:$B$19)-SUM(K15:K19)</f>
        <v>1041</v>
      </c>
      <c r="L32" s="2637"/>
      <c r="M32" s="2638">
        <f>SUM($D$15:$D$19)-SUM(M15:M19)</f>
        <v>231071</v>
      </c>
      <c r="N32" s="2636">
        <f>SUM($B$15:$B$19)-SUM(N15:N19)</f>
        <v>1041</v>
      </c>
      <c r="O32" s="2637"/>
      <c r="P32" s="2638">
        <f>SUM($D$15:$D$19)-SUM(P15:P19)</f>
        <v>231071</v>
      </c>
      <c r="Q32" s="2636">
        <f>SUM($B$15:$B$19)-SUM(Q15:Q19)</f>
        <v>1041</v>
      </c>
      <c r="R32" s="2637"/>
      <c r="S32" s="2638">
        <f>SUM($D$15:$D$19)-SUM(S15:S19)</f>
        <v>231071</v>
      </c>
      <c r="T32" s="2636">
        <f>SUM($B$15:$B$19)-SUM(T15:T19)</f>
        <v>1041</v>
      </c>
      <c r="U32" s="2637"/>
      <c r="V32" s="2638">
        <f>SUM($D$15:$D$19)-SUM(V15:V19)</f>
        <v>231071</v>
      </c>
      <c r="W32" s="2636">
        <f>SUM($B$15:$B$19)-SUM(W15:W19)</f>
        <v>1041</v>
      </c>
      <c r="X32" s="2637"/>
      <c r="Y32" s="2638">
        <f>SUM($D$15:$D$19)-SUM(Y15:Y19)</f>
        <v>231071</v>
      </c>
      <c r="Z32" s="2636">
        <f>SUM($B$15:$B$19)-SUM(Z15:Z19)</f>
        <v>1041</v>
      </c>
      <c r="AA32" s="2637"/>
      <c r="AB32" s="2638">
        <f>SUM($D$15:$D$19)-SUM(AB15:AB19)</f>
        <v>231071</v>
      </c>
      <c r="AC32" s="2636">
        <f>SUM($B$15:$B$19)-SUM(AC15:AC19)</f>
        <v>1041</v>
      </c>
      <c r="AD32" s="2639"/>
      <c r="AE32" s="2638">
        <f>SUM($D$15:$D$19)-SUM(AE15:AE19)</f>
        <v>231071</v>
      </c>
      <c r="AF32" s="2636"/>
      <c r="AG32" s="2639"/>
      <c r="AH32" s="2638">
        <f>SUM($D$15:$D$19)-SUM(AH15:AH19)</f>
        <v>231071</v>
      </c>
      <c r="AI32" s="2636"/>
      <c r="AJ32" s="2639"/>
      <c r="AK32" s="2638">
        <f>SUM($D$15:$D$19)-SUM(AK15:AK19)</f>
        <v>231071</v>
      </c>
      <c r="AL32" s="2636"/>
      <c r="AM32" s="2639"/>
      <c r="AN32" s="2638"/>
      <c r="AO32" s="2361"/>
      <c r="AP32" s="2361"/>
      <c r="AQ32" s="39"/>
      <c r="AR32" s="901"/>
      <c r="AS32" s="39"/>
      <c r="AT32" s="39"/>
      <c r="AU32" s="67"/>
      <c r="AV32" s="39"/>
      <c r="AW32" s="39"/>
      <c r="AX32" s="39"/>
      <c r="AY32" s="39"/>
      <c r="BB32" s="327"/>
      <c r="BC32" s="901"/>
      <c r="BE32" s="67"/>
    </row>
    <row r="33" spans="1:57" x14ac:dyDescent="0.3">
      <c r="A33" s="180"/>
      <c r="B33" s="180"/>
      <c r="C33" s="180"/>
      <c r="D33" s="180"/>
      <c r="G33" s="1526"/>
      <c r="H33" s="543"/>
      <c r="I33" s="544"/>
      <c r="J33" s="545"/>
      <c r="K33" s="543"/>
      <c r="L33" s="544"/>
      <c r="M33" s="545"/>
      <c r="N33" s="543"/>
      <c r="O33" s="544"/>
      <c r="P33" s="545"/>
      <c r="Q33" s="129"/>
      <c r="R33" s="77"/>
      <c r="S33" s="77"/>
      <c r="T33" s="543"/>
      <c r="U33" s="561"/>
      <c r="V33" s="545"/>
      <c r="W33" s="543"/>
      <c r="X33" s="561"/>
      <c r="Y33" s="545"/>
      <c r="Z33" s="543"/>
      <c r="AA33" s="561"/>
      <c r="AB33" s="545"/>
      <c r="AC33" s="543"/>
      <c r="AD33" s="561"/>
      <c r="AE33" s="545"/>
      <c r="AF33" s="543"/>
      <c r="AG33" s="561"/>
      <c r="AH33" s="545"/>
      <c r="AI33" s="543"/>
      <c r="AJ33" s="561"/>
      <c r="AK33" s="947"/>
      <c r="AL33" s="1709">
        <f>AC26-AL26</f>
        <v>0</v>
      </c>
      <c r="AM33" s="1710"/>
      <c r="AN33" s="1708">
        <f>AE26-AN26</f>
        <v>0</v>
      </c>
      <c r="AO33" s="3194"/>
      <c r="AP33" s="3194"/>
      <c r="AQ33" s="1408"/>
      <c r="AR33" s="129"/>
      <c r="AS33" s="77"/>
      <c r="AT33" s="77"/>
      <c r="BE33" s="67"/>
    </row>
    <row r="34" spans="1:57" x14ac:dyDescent="0.3">
      <c r="A34" s="180" t="s">
        <v>237</v>
      </c>
      <c r="B34" s="180"/>
      <c r="C34" s="180"/>
      <c r="D34" s="180"/>
      <c r="F34" s="39">
        <v>135</v>
      </c>
      <c r="G34" s="165">
        <f>E12*F34</f>
        <v>10394595</v>
      </c>
      <c r="H34" s="39" t="s">
        <v>2</v>
      </c>
      <c r="I34" s="39">
        <v>147</v>
      </c>
      <c r="J34" s="165">
        <f>H12*I34</f>
        <v>10828608</v>
      </c>
      <c r="L34" s="39">
        <v>144</v>
      </c>
      <c r="M34" s="165">
        <f>K12*L34</f>
        <v>0</v>
      </c>
      <c r="N34" s="129"/>
      <c r="O34" s="77">
        <v>147</v>
      </c>
      <c r="P34" s="165">
        <f>N12*O34</f>
        <v>0</v>
      </c>
      <c r="Q34" s="77"/>
      <c r="R34" s="77">
        <v>149</v>
      </c>
      <c r="S34" s="165">
        <f>Q12*R34</f>
        <v>0</v>
      </c>
      <c r="T34" s="39"/>
      <c r="U34" s="72">
        <v>150</v>
      </c>
      <c r="V34" s="165">
        <f>T12*U34</f>
        <v>0</v>
      </c>
      <c r="W34" s="67"/>
      <c r="X34" s="12">
        <v>100</v>
      </c>
      <c r="Y34" s="220"/>
      <c r="Z34" s="67"/>
      <c r="AA34" s="39">
        <v>101</v>
      </c>
      <c r="AB34" s="220"/>
      <c r="AD34" s="12">
        <v>96</v>
      </c>
      <c r="AE34" s="220"/>
      <c r="AG34" s="12">
        <v>100</v>
      </c>
      <c r="AH34" s="220"/>
      <c r="AJ34" s="12">
        <v>104</v>
      </c>
      <c r="AK34" s="39"/>
      <c r="AM34" s="12">
        <v>129</v>
      </c>
      <c r="AN34" s="39"/>
      <c r="AO34" s="3181" t="s">
        <v>430</v>
      </c>
      <c r="AP34" s="3181"/>
      <c r="AQ34" s="330">
        <v>90525848</v>
      </c>
      <c r="AR34" s="77"/>
      <c r="AS34" s="736">
        <v>78.569999999999993</v>
      </c>
      <c r="AT34" s="77">
        <f>AT12-(AR12*AR34)</f>
        <v>0</v>
      </c>
    </row>
    <row r="35" spans="1:57" x14ac:dyDescent="0.3">
      <c r="A35" s="180" t="s">
        <v>238</v>
      </c>
      <c r="B35" s="544"/>
      <c r="C35" s="180"/>
      <c r="D35" s="180"/>
      <c r="F35" s="39">
        <v>116</v>
      </c>
      <c r="G35" s="39">
        <f>E14*F35</f>
        <v>25158892</v>
      </c>
      <c r="H35" s="129" t="s">
        <v>2</v>
      </c>
      <c r="I35" s="39">
        <v>217</v>
      </c>
      <c r="J35" s="165">
        <f>H14*I35</f>
        <v>38987522</v>
      </c>
      <c r="L35" s="39">
        <v>214</v>
      </c>
      <c r="M35" s="165">
        <f>K14*L35</f>
        <v>0</v>
      </c>
      <c r="N35" s="129"/>
      <c r="O35" s="77">
        <v>218</v>
      </c>
      <c r="P35" s="165">
        <f>N14*O35</f>
        <v>0</v>
      </c>
      <c r="Q35" s="77"/>
      <c r="R35" s="77">
        <v>220</v>
      </c>
      <c r="S35" s="165">
        <f>Q14*R35</f>
        <v>0</v>
      </c>
      <c r="T35" s="39"/>
      <c r="U35" s="12">
        <v>221</v>
      </c>
      <c r="V35" s="165">
        <f>T14*U35</f>
        <v>0</v>
      </c>
      <c r="W35" s="67"/>
      <c r="X35" s="12">
        <v>101</v>
      </c>
      <c r="Y35" s="220"/>
      <c r="Z35" s="67"/>
      <c r="AA35" s="39">
        <v>100</v>
      </c>
      <c r="AB35" s="220"/>
      <c r="AD35" s="12">
        <v>97</v>
      </c>
      <c r="AE35" s="220"/>
      <c r="AG35" s="12">
        <v>98</v>
      </c>
      <c r="AH35" s="220"/>
      <c r="AJ35" s="12">
        <v>102</v>
      </c>
      <c r="AM35" s="72">
        <v>117</v>
      </c>
      <c r="AO35" s="3181"/>
      <c r="AP35" s="3181"/>
      <c r="AQ35" s="1037">
        <f>V25-AQ34</f>
        <v>-90525848</v>
      </c>
      <c r="AR35" s="77"/>
      <c r="AS35" s="736">
        <v>78.25</v>
      </c>
      <c r="AT35" s="77">
        <f>AT14-(AR14*AR35)</f>
        <v>0</v>
      </c>
    </row>
    <row r="36" spans="1:57" x14ac:dyDescent="0.3">
      <c r="A36" s="180"/>
      <c r="B36" s="180"/>
      <c r="C36" s="180"/>
      <c r="D36" s="180"/>
      <c r="G36" s="39"/>
      <c r="J36" s="165">
        <f>SUM(J34:J35)</f>
        <v>49816130</v>
      </c>
      <c r="M36" s="331">
        <f>SUM(M34:M35)</f>
        <v>0</v>
      </c>
      <c r="P36" s="331">
        <f>SUM(P34:P35)</f>
        <v>0</v>
      </c>
      <c r="R36" s="39"/>
      <c r="S36" s="331">
        <f>SUM(S34:S35)</f>
        <v>0</v>
      </c>
      <c r="U36" s="39"/>
      <c r="V36" s="331">
        <f>SUM(V34:V35)</f>
        <v>0</v>
      </c>
      <c r="Y36" s="220"/>
      <c r="AB36" s="220"/>
      <c r="AC36" s="67"/>
      <c r="AE36" s="715"/>
      <c r="AG36" s="716"/>
      <c r="AH36" s="715"/>
      <c r="AJ36" s="72" t="e">
        <f>(AK15+AK19)/(AI15+AI19)</f>
        <v>#DIV/0!</v>
      </c>
      <c r="AS36" s="39"/>
      <c r="AT36" s="77">
        <f>SUM(AT34:AT35)</f>
        <v>0</v>
      </c>
    </row>
    <row r="37" spans="1:57" ht="16.2" x14ac:dyDescent="0.35">
      <c r="A37" s="903" t="s">
        <v>259</v>
      </c>
      <c r="B37" s="180"/>
      <c r="C37" s="180"/>
      <c r="D37" s="180"/>
      <c r="G37" s="1527">
        <f>G25-G38</f>
        <v>29062858</v>
      </c>
      <c r="H37" s="777"/>
      <c r="I37" s="778"/>
      <c r="J37" s="1527">
        <f>(J12+J14)-J36</f>
        <v>15379466</v>
      </c>
      <c r="K37" s="129"/>
      <c r="L37" s="779"/>
      <c r="M37" s="1527">
        <f>(M12+M14)-M36</f>
        <v>0</v>
      </c>
      <c r="N37" s="129"/>
      <c r="P37" s="1527">
        <f>(P12+P14)-P36</f>
        <v>0</v>
      </c>
      <c r="Q37" s="129"/>
      <c r="R37" s="716"/>
      <c r="S37" s="1527">
        <f>(S12+S14)-S36</f>
        <v>0</v>
      </c>
      <c r="T37" s="129"/>
      <c r="U37" s="77"/>
      <c r="V37" s="1527">
        <f>(V12+V14)-V36</f>
        <v>0</v>
      </c>
      <c r="W37" s="129"/>
      <c r="X37" s="77"/>
      <c r="Y37" s="775"/>
      <c r="Z37" s="129"/>
      <c r="AA37" s="77"/>
      <c r="AB37" s="775"/>
      <c r="AC37" s="780"/>
      <c r="AD37" s="781"/>
      <c r="AE37" s="782"/>
      <c r="AF37" s="129"/>
      <c r="AG37" s="77"/>
      <c r="AH37" s="783"/>
      <c r="AI37" s="129" t="s">
        <v>526</v>
      </c>
      <c r="AJ37" s="77">
        <f>C8-AJ8</f>
        <v>123.87463150485404</v>
      </c>
      <c r="AK37" s="775">
        <f>ROUND((AI8*AJ37),0)</f>
        <v>0</v>
      </c>
      <c r="AO37" s="924"/>
      <c r="AP37" s="51"/>
      <c r="AQ37" s="331">
        <f>AQ25+AE33-AB36</f>
        <v>0</v>
      </c>
    </row>
    <row r="38" spans="1:57" x14ac:dyDescent="0.3">
      <c r="A38" s="12" t="s">
        <v>390</v>
      </c>
      <c r="B38" s="716"/>
      <c r="C38" s="716"/>
      <c r="D38" s="716"/>
      <c r="E38" s="51"/>
      <c r="F38" s="51"/>
      <c r="G38" s="220">
        <f>G25-G14+G35</f>
        <v>50289017</v>
      </c>
      <c r="J38" s="220">
        <f>J25-J37</f>
        <v>64413630</v>
      </c>
      <c r="M38" s="220">
        <f>M25-M37</f>
        <v>0</v>
      </c>
      <c r="P38" s="220">
        <f>P25-P37</f>
        <v>0</v>
      </c>
      <c r="R38" s="901"/>
      <c r="S38" s="220">
        <f>S25-S37</f>
        <v>0</v>
      </c>
      <c r="U38" s="39"/>
      <c r="V38" s="220">
        <f>V25-V37</f>
        <v>0</v>
      </c>
      <c r="X38" s="39"/>
      <c r="Y38" s="775"/>
      <c r="AA38" s="39"/>
      <c r="AB38" s="775"/>
      <c r="AE38" s="775"/>
      <c r="AG38" s="39"/>
      <c r="AH38" s="775"/>
      <c r="AI38" s="12" t="s">
        <v>527</v>
      </c>
      <c r="AJ38" s="77">
        <f>C12-AJ12</f>
        <v>167</v>
      </c>
      <c r="AK38" s="775">
        <f>ROUND((AI12*AJ38),0)</f>
        <v>0</v>
      </c>
      <c r="AQ38" s="774">
        <f>AQ37-AQ34</f>
        <v>-90525848</v>
      </c>
    </row>
    <row r="39" spans="1:57" x14ac:dyDescent="0.3">
      <c r="A39" s="12" t="s">
        <v>389</v>
      </c>
      <c r="B39" s="51"/>
      <c r="C39" s="51"/>
      <c r="D39" s="51"/>
      <c r="E39" s="67"/>
      <c r="F39" s="39"/>
      <c r="G39" s="39"/>
      <c r="Q39" s="67"/>
      <c r="R39" s="901"/>
      <c r="S39" s="775"/>
      <c r="V39" s="774"/>
      <c r="Y39" s="774"/>
      <c r="AB39" s="774"/>
      <c r="AH39" s="774"/>
      <c r="AI39" s="12" t="s">
        <v>528</v>
      </c>
      <c r="AJ39" s="77">
        <f>C14-AJ14</f>
        <v>238</v>
      </c>
      <c r="AK39" s="775">
        <f>ROUND((AI14*AJ39),0)</f>
        <v>0</v>
      </c>
    </row>
    <row r="40" spans="1:57" x14ac:dyDescent="0.3">
      <c r="A40" s="903" t="s">
        <v>261</v>
      </c>
      <c r="E40" s="67"/>
      <c r="F40" s="39"/>
      <c r="G40" s="39"/>
      <c r="Q40" s="1033"/>
      <c r="R40" s="1034"/>
      <c r="S40" s="1035"/>
      <c r="V40" s="784"/>
      <c r="Y40" s="784"/>
      <c r="AB40" s="784"/>
      <c r="AH40" s="784"/>
      <c r="AI40" s="12" t="s">
        <v>226</v>
      </c>
      <c r="AJ40" s="77"/>
      <c r="AK40" s="775">
        <f>ROUND(((AI15+AI19)*AJ40),0)</f>
        <v>0</v>
      </c>
      <c r="AQ40" s="774">
        <f>AQ38-AB39</f>
        <v>-90525848</v>
      </c>
    </row>
    <row r="41" spans="1:57" x14ac:dyDescent="0.3">
      <c r="A41" s="12" t="s">
        <v>390</v>
      </c>
      <c r="E41" s="67"/>
      <c r="F41" s="39"/>
      <c r="G41" s="39"/>
      <c r="Q41" s="67"/>
      <c r="R41" s="901"/>
      <c r="S41" s="775"/>
      <c r="V41" s="775"/>
      <c r="Y41" s="775"/>
      <c r="AB41" s="775"/>
      <c r="AH41" s="775"/>
      <c r="AJ41" s="77"/>
      <c r="AK41" s="784">
        <f>SUM(AK37:AK40)</f>
        <v>0</v>
      </c>
    </row>
    <row r="42" spans="1:57" x14ac:dyDescent="0.3">
      <c r="A42" s="12" t="s">
        <v>389</v>
      </c>
      <c r="Q42" s="67"/>
      <c r="R42" s="901"/>
      <c r="S42" s="775"/>
      <c r="T42" s="219"/>
      <c r="U42" s="219"/>
      <c r="V42" s="785"/>
      <c r="W42" s="219"/>
      <c r="X42" s="219"/>
      <c r="Y42" s="785"/>
      <c r="Z42" s="219"/>
      <c r="AA42" s="219"/>
      <c r="AB42" s="785"/>
      <c r="AF42" s="219"/>
      <c r="AG42" s="219"/>
      <c r="AH42" s="785"/>
      <c r="AI42" s="219"/>
      <c r="AJ42" s="219"/>
      <c r="AK42" s="785"/>
    </row>
    <row r="43" spans="1:57" x14ac:dyDescent="0.3">
      <c r="Q43" s="1036"/>
      <c r="R43" s="1037"/>
      <c r="S43" s="784"/>
      <c r="AE43" s="51"/>
      <c r="AF43" s="714"/>
      <c r="AG43" s="464"/>
      <c r="AH43" s="464"/>
    </row>
    <row r="44" spans="1:57" x14ac:dyDescent="0.3">
      <c r="Q44" s="904"/>
      <c r="S44" s="905"/>
      <c r="T44" s="67"/>
      <c r="V44" s="39"/>
      <c r="W44" s="67"/>
      <c r="Y44" s="39"/>
      <c r="Z44" s="67"/>
      <c r="AB44" s="39"/>
      <c r="AC44" s="67"/>
      <c r="AE44" s="39"/>
      <c r="AF44" s="67"/>
      <c r="AH44" s="39"/>
    </row>
    <row r="45" spans="1:57" x14ac:dyDescent="0.3">
      <c r="Q45" s="904"/>
      <c r="S45" s="905"/>
      <c r="T45" s="67"/>
      <c r="V45" s="39"/>
      <c r="W45" s="67"/>
      <c r="Y45" s="39"/>
      <c r="Z45" s="67"/>
      <c r="AB45" s="39"/>
      <c r="AC45" s="67"/>
      <c r="AE45" s="39"/>
      <c r="AF45" s="67"/>
      <c r="AH45" s="39"/>
    </row>
    <row r="46" spans="1:57" x14ac:dyDescent="0.3">
      <c r="A46" s="12" t="s">
        <v>423</v>
      </c>
      <c r="B46" s="67">
        <f>B12+B14</f>
        <v>302977</v>
      </c>
      <c r="C46" s="39">
        <f>D46/B46</f>
        <v>214.05806051284421</v>
      </c>
      <c r="D46" s="39">
        <f>D12+D14</f>
        <v>64854669</v>
      </c>
      <c r="E46" s="67">
        <f>E12+E14</f>
        <v>293884</v>
      </c>
      <c r="F46" s="39">
        <f>G46/E46</f>
        <v>232.18414068135726</v>
      </c>
      <c r="G46" s="39">
        <f>G12+G14</f>
        <v>68235204</v>
      </c>
      <c r="H46" s="67">
        <f>H12+H14</f>
        <v>253330</v>
      </c>
      <c r="I46" s="39">
        <f>J46/H46</f>
        <v>257.35442308451428</v>
      </c>
      <c r="J46" s="39">
        <f>J12+J14</f>
        <v>65195596</v>
      </c>
      <c r="K46" s="67">
        <f>K12+K14</f>
        <v>0</v>
      </c>
      <c r="L46" s="39" t="e">
        <f>M46/K46</f>
        <v>#DIV/0!</v>
      </c>
      <c r="M46" s="39">
        <f>M12+M14</f>
        <v>0</v>
      </c>
      <c r="N46" s="67">
        <f>N12+N14</f>
        <v>0</v>
      </c>
      <c r="O46" s="39" t="e">
        <f>P46/N46</f>
        <v>#DIV/0!</v>
      </c>
      <c r="P46" s="39">
        <f>P12+P14</f>
        <v>0</v>
      </c>
      <c r="Q46" s="67">
        <f>Q12+Q14</f>
        <v>0</v>
      </c>
      <c r="R46" s="39" t="e">
        <f>S46/Q46</f>
        <v>#DIV/0!</v>
      </c>
      <c r="S46" s="39">
        <f>S12+S14</f>
        <v>0</v>
      </c>
      <c r="T46" s="67">
        <f>T12+T14</f>
        <v>0</v>
      </c>
      <c r="U46" s="39" t="e">
        <f>V46/T46</f>
        <v>#DIV/0!</v>
      </c>
      <c r="V46" s="39">
        <f>V12+V14</f>
        <v>0</v>
      </c>
      <c r="W46" s="67"/>
      <c r="X46" s="776"/>
      <c r="Y46" s="39"/>
      <c r="Z46" s="67"/>
      <c r="AA46" s="776"/>
      <c r="AB46" s="39"/>
      <c r="AC46" s="67"/>
      <c r="AD46" s="776"/>
      <c r="AE46" s="39"/>
      <c r="AF46" s="67"/>
      <c r="AG46" s="776"/>
      <c r="AH46" s="39"/>
    </row>
    <row r="47" spans="1:57" ht="15" thickBot="1" x14ac:dyDescent="0.35">
      <c r="A47" s="54" t="s">
        <v>424</v>
      </c>
      <c r="B47" s="902">
        <f>B15+B19</f>
        <v>423</v>
      </c>
      <c r="C47" s="64">
        <f>D47/B47</f>
        <v>207.34278959810874</v>
      </c>
      <c r="D47" s="64">
        <f>D15+D19</f>
        <v>87706</v>
      </c>
      <c r="E47" s="902">
        <f>E15+E19</f>
        <v>423</v>
      </c>
      <c r="F47" s="64">
        <f>G47/E47</f>
        <v>235.73995271867614</v>
      </c>
      <c r="G47" s="64">
        <f>G15+G19</f>
        <v>99718</v>
      </c>
      <c r="H47" s="902">
        <f>H15+H19</f>
        <v>423</v>
      </c>
      <c r="I47" s="64">
        <f>J47/H47</f>
        <v>237.02600472813239</v>
      </c>
      <c r="J47" s="64">
        <f>J15+J19</f>
        <v>100262</v>
      </c>
      <c r="K47" s="902">
        <f>K15+K19</f>
        <v>0</v>
      </c>
      <c r="L47" s="64" t="e">
        <f>M47/K47</f>
        <v>#DIV/0!</v>
      </c>
      <c r="M47" s="64">
        <f>M15+M19</f>
        <v>0</v>
      </c>
      <c r="N47" s="902">
        <f>N15+N19</f>
        <v>0</v>
      </c>
      <c r="O47" s="64" t="e">
        <f>P47/N47</f>
        <v>#DIV/0!</v>
      </c>
      <c r="P47" s="64">
        <f>P15+P19</f>
        <v>0</v>
      </c>
      <c r="Q47" s="902">
        <f>Q15+Q19</f>
        <v>0</v>
      </c>
      <c r="R47" s="64" t="e">
        <f>S47/Q47</f>
        <v>#DIV/0!</v>
      </c>
      <c r="S47" s="64">
        <f>S15+S19</f>
        <v>0</v>
      </c>
      <c r="T47" s="902">
        <f>T15+T19</f>
        <v>0</v>
      </c>
      <c r="U47" s="64" t="e">
        <f>V47/T47</f>
        <v>#DIV/0!</v>
      </c>
      <c r="V47" s="64">
        <f>V15+V19</f>
        <v>0</v>
      </c>
      <c r="W47" s="67"/>
      <c r="X47" s="716"/>
      <c r="Y47" s="39"/>
      <c r="Z47" s="67"/>
      <c r="AA47" s="716"/>
      <c r="AB47" s="39"/>
      <c r="AC47" s="67"/>
      <c r="AD47" s="716"/>
      <c r="AE47" s="39"/>
      <c r="AF47" s="67"/>
      <c r="AG47" s="716"/>
      <c r="AH47" s="39"/>
    </row>
    <row r="48" spans="1:57" x14ac:dyDescent="0.3">
      <c r="A48" s="12" t="s">
        <v>0</v>
      </c>
      <c r="B48" s="67">
        <f>SUM(B46:B47)</f>
        <v>303400</v>
      </c>
      <c r="C48" s="39">
        <f>D48/B48</f>
        <v>214.04869808833223</v>
      </c>
      <c r="D48" s="39">
        <f>SUM(D46:D47)</f>
        <v>64942375</v>
      </c>
      <c r="E48" s="67">
        <f>SUM(E46:E47)</f>
        <v>294307</v>
      </c>
      <c r="F48" s="39">
        <f>G48/E48</f>
        <v>232.18925135997443</v>
      </c>
      <c r="G48" s="39">
        <f>SUM(G46:G47)</f>
        <v>68334922</v>
      </c>
      <c r="H48" s="67">
        <f>SUM(H46:H47)</f>
        <v>253753</v>
      </c>
      <c r="I48" s="39">
        <f>J48/H48</f>
        <v>257.32053611188832</v>
      </c>
      <c r="J48" s="39">
        <f>SUM(J46:J47)</f>
        <v>65295858</v>
      </c>
      <c r="K48" s="67">
        <f>SUM(K46:K47)</f>
        <v>0</v>
      </c>
      <c r="L48" s="39" t="e">
        <f>M48/K48</f>
        <v>#DIV/0!</v>
      </c>
      <c r="M48" s="39">
        <f>SUM(M46:M47)</f>
        <v>0</v>
      </c>
      <c r="N48" s="67">
        <f>SUM(N46:N47)</f>
        <v>0</v>
      </c>
      <c r="O48" s="39" t="e">
        <f>P48/N48</f>
        <v>#DIV/0!</v>
      </c>
      <c r="P48" s="39">
        <f>SUM(P46:P47)</f>
        <v>0</v>
      </c>
      <c r="Q48" s="67">
        <f>SUM(Q46:Q47)</f>
        <v>0</v>
      </c>
      <c r="R48" s="39" t="e">
        <f>S48/Q48</f>
        <v>#DIV/0!</v>
      </c>
      <c r="S48" s="39">
        <f>SUM(S46:S47)</f>
        <v>0</v>
      </c>
      <c r="T48" s="67">
        <f>SUM(T46:T47)</f>
        <v>0</v>
      </c>
      <c r="U48" s="39" t="e">
        <f>V48/T48</f>
        <v>#DIV/0!</v>
      </c>
      <c r="V48" s="39">
        <f>SUM(V46:V47)</f>
        <v>0</v>
      </c>
      <c r="W48" s="67"/>
      <c r="X48" s="716"/>
      <c r="Y48" s="39"/>
      <c r="Z48" s="67"/>
      <c r="AA48" s="716"/>
      <c r="AB48" s="39"/>
      <c r="AC48" s="67"/>
      <c r="AD48" s="716"/>
      <c r="AE48" s="39"/>
      <c r="AF48" s="67"/>
      <c r="AG48" s="716"/>
      <c r="AH48" s="39"/>
    </row>
    <row r="49" spans="1:34" x14ac:dyDescent="0.3">
      <c r="E49" s="786"/>
      <c r="N49" s="67"/>
      <c r="O49" s="716"/>
      <c r="P49" s="775"/>
      <c r="Q49" s="67"/>
      <c r="R49" s="716"/>
      <c r="S49" s="775"/>
      <c r="T49" s="67"/>
      <c r="U49" s="716"/>
      <c r="V49" s="39"/>
      <c r="W49" s="67"/>
      <c r="X49" s="716"/>
      <c r="Y49" s="39"/>
      <c r="Z49" s="67"/>
      <c r="AA49" s="716"/>
      <c r="AB49" s="39"/>
      <c r="AC49" s="67"/>
      <c r="AD49" s="716"/>
      <c r="AE49" s="39"/>
      <c r="AF49" s="67"/>
      <c r="AG49" s="716"/>
      <c r="AH49" s="39"/>
    </row>
    <row r="50" spans="1:34" x14ac:dyDescent="0.3">
      <c r="A50" s="12" t="s">
        <v>423</v>
      </c>
      <c r="E50" s="1027">
        <f>B46-E46</f>
        <v>9093</v>
      </c>
      <c r="F50" s="1026"/>
      <c r="G50" s="1026">
        <f>D46-G46</f>
        <v>-3380535</v>
      </c>
      <c r="H50" s="1027">
        <f>E46-H46</f>
        <v>40554</v>
      </c>
      <c r="I50" s="1026"/>
      <c r="J50" s="1026">
        <f>G46-J46</f>
        <v>3039608</v>
      </c>
      <c r="K50" s="1027">
        <f>H46-K46</f>
        <v>253330</v>
      </c>
      <c r="L50" s="1026"/>
      <c r="M50" s="1026">
        <f>J46-M46</f>
        <v>65195596</v>
      </c>
      <c r="N50" s="1027">
        <f>K46-N46</f>
        <v>0</v>
      </c>
      <c r="O50" s="1026"/>
      <c r="P50" s="1026">
        <f>M46-P46</f>
        <v>0</v>
      </c>
      <c r="Q50" s="1027">
        <f>N46-Q46</f>
        <v>0</v>
      </c>
      <c r="R50" s="1026"/>
      <c r="S50" s="1026">
        <f>P46-S46</f>
        <v>0</v>
      </c>
      <c r="T50" s="67"/>
      <c r="V50" s="77"/>
      <c r="W50" s="67"/>
      <c r="Y50" s="39"/>
      <c r="Z50" s="67"/>
      <c r="AB50" s="39"/>
      <c r="AC50" s="67"/>
      <c r="AE50" s="39"/>
      <c r="AF50" s="67"/>
      <c r="AH50" s="39"/>
    </row>
    <row r="51" spans="1:34" ht="15" thickBot="1" x14ac:dyDescent="0.35">
      <c r="A51" s="54" t="s">
        <v>424</v>
      </c>
      <c r="B51" s="54"/>
      <c r="C51" s="54"/>
      <c r="D51" s="54"/>
      <c r="E51" s="1028">
        <f>B47-E47</f>
        <v>0</v>
      </c>
      <c r="F51" s="1029"/>
      <c r="G51" s="1029">
        <f>D47-G47</f>
        <v>-12012</v>
      </c>
      <c r="H51" s="1028">
        <f>E47-H47</f>
        <v>0</v>
      </c>
      <c r="I51" s="1029"/>
      <c r="J51" s="1029">
        <f>G47-J47</f>
        <v>-544</v>
      </c>
      <c r="K51" s="1028">
        <f>H47-K47</f>
        <v>423</v>
      </c>
      <c r="L51" s="1029"/>
      <c r="M51" s="1029">
        <f>J47-M47</f>
        <v>100262</v>
      </c>
      <c r="N51" s="1028">
        <f>K47-N47</f>
        <v>0</v>
      </c>
      <c r="O51" s="1029"/>
      <c r="P51" s="1029">
        <f>M47-P47</f>
        <v>0</v>
      </c>
      <c r="Q51" s="1028">
        <f>N47-Q47</f>
        <v>0</v>
      </c>
      <c r="R51" s="1029"/>
      <c r="S51" s="1029">
        <f>P47-S47</f>
        <v>0</v>
      </c>
      <c r="T51" s="67"/>
      <c r="V51" s="77"/>
      <c r="W51" s="129"/>
      <c r="X51" s="129"/>
      <c r="Y51" s="77"/>
      <c r="Z51" s="129"/>
      <c r="AA51" s="129"/>
      <c r="AB51" s="77"/>
      <c r="AC51" s="129"/>
      <c r="AD51" s="129"/>
      <c r="AE51" s="77"/>
      <c r="AF51" s="129"/>
      <c r="AG51" s="129"/>
      <c r="AH51" s="77"/>
    </row>
    <row r="52" spans="1:34" x14ac:dyDescent="0.3">
      <c r="A52" s="12" t="s">
        <v>0</v>
      </c>
      <c r="E52" s="1027">
        <f>SUM(E50:E51)</f>
        <v>9093</v>
      </c>
      <c r="F52" s="1026"/>
      <c r="G52" s="1026">
        <f>SUM(G50:G51)</f>
        <v>-3392547</v>
      </c>
      <c r="H52" s="1027">
        <f>SUM(H50:H51)</f>
        <v>40554</v>
      </c>
      <c r="I52" s="1026"/>
      <c r="J52" s="1026">
        <f>SUM(J50:J51)</f>
        <v>3039064</v>
      </c>
      <c r="K52" s="1027">
        <f>SUM(K50:K51)</f>
        <v>253753</v>
      </c>
      <c r="L52" s="1026"/>
      <c r="M52" s="1026">
        <f>SUM(M50:M51)</f>
        <v>65295858</v>
      </c>
      <c r="N52" s="1027">
        <f>SUM(N50:N51)</f>
        <v>0</v>
      </c>
      <c r="O52" s="1026"/>
      <c r="P52" s="1026">
        <f>SUM(P50:P51)</f>
        <v>0</v>
      </c>
      <c r="Q52" s="1027">
        <f>SUM(Q50:Q51)</f>
        <v>0</v>
      </c>
      <c r="R52" s="1026"/>
      <c r="S52" s="1026">
        <f>SUM(S50:S51)</f>
        <v>0</v>
      </c>
    </row>
    <row r="53" spans="1:34" x14ac:dyDescent="0.3">
      <c r="Z53" s="39"/>
      <c r="AC53" s="39"/>
      <c r="AF53" s="39"/>
    </row>
    <row r="54" spans="1:34" x14ac:dyDescent="0.3">
      <c r="E54" s="67"/>
      <c r="F54" s="39"/>
      <c r="G54" s="39"/>
      <c r="H54" s="67"/>
      <c r="I54" s="39"/>
      <c r="J54" s="787"/>
      <c r="K54" s="129">
        <f>B46-K46</f>
        <v>302977</v>
      </c>
      <c r="L54" s="39"/>
      <c r="M54" s="1030">
        <f>D46-M46</f>
        <v>64854669</v>
      </c>
      <c r="N54" s="67"/>
      <c r="O54" s="39"/>
      <c r="P54" s="39"/>
    </row>
    <row r="55" spans="1:34" ht="15" thickBot="1" x14ac:dyDescent="0.35">
      <c r="E55" s="67"/>
      <c r="F55" s="39"/>
      <c r="G55" s="39"/>
      <c r="H55" s="67"/>
      <c r="I55" s="129"/>
      <c r="J55" s="787"/>
      <c r="K55" s="1031">
        <f>B47-K47</f>
        <v>423</v>
      </c>
      <c r="L55" s="64"/>
      <c r="M55" s="1032">
        <f>D47-M47</f>
        <v>87706</v>
      </c>
      <c r="N55" s="67"/>
      <c r="O55" s="39"/>
      <c r="P55" s="39"/>
    </row>
    <row r="56" spans="1:34" x14ac:dyDescent="0.3">
      <c r="E56" s="67"/>
      <c r="F56" s="39"/>
      <c r="G56" s="39"/>
      <c r="H56" s="67"/>
      <c r="I56" s="129"/>
      <c r="J56" s="787"/>
      <c r="K56" s="129">
        <f>SUM(K54:K55)</f>
        <v>303400</v>
      </c>
      <c r="L56" s="39"/>
      <c r="M56" s="1030">
        <f>SUM(M54:M55)</f>
        <v>64942375</v>
      </c>
      <c r="N56" s="67"/>
      <c r="O56" s="39"/>
      <c r="P56" s="39"/>
    </row>
    <row r="57" spans="1:34" x14ac:dyDescent="0.3">
      <c r="A57" s="789"/>
      <c r="E57" s="67"/>
      <c r="F57" s="39"/>
      <c r="G57" s="39"/>
      <c r="H57" s="67"/>
      <c r="I57" s="129"/>
      <c r="J57" s="787"/>
      <c r="K57" s="714"/>
      <c r="L57" s="464"/>
      <c r="M57" s="790"/>
      <c r="N57" s="714"/>
      <c r="O57" s="464"/>
      <c r="P57" s="464"/>
    </row>
    <row r="58" spans="1:34" x14ac:dyDescent="0.3">
      <c r="B58" s="789"/>
      <c r="C58" s="789"/>
      <c r="D58" s="789"/>
      <c r="E58" s="67"/>
      <c r="F58" s="39"/>
      <c r="G58" s="39"/>
      <c r="H58" s="67"/>
      <c r="I58" s="129"/>
      <c r="J58" s="791"/>
      <c r="K58" s="67"/>
      <c r="L58" s="39"/>
      <c r="M58" s="792"/>
      <c r="N58" s="67"/>
      <c r="O58" s="39"/>
      <c r="P58" s="39"/>
    </row>
    <row r="59" spans="1:34" x14ac:dyDescent="0.3">
      <c r="A59" s="12" t="s">
        <v>2</v>
      </c>
      <c r="E59" s="67"/>
      <c r="F59" s="39"/>
      <c r="G59" s="39"/>
      <c r="H59" s="67"/>
      <c r="I59" s="129"/>
      <c r="J59" s="791"/>
      <c r="K59" s="67"/>
      <c r="L59" s="39"/>
      <c r="M59" s="792"/>
      <c r="N59" s="67"/>
      <c r="O59" s="39"/>
      <c r="P59" s="39"/>
    </row>
    <row r="60" spans="1:34" x14ac:dyDescent="0.3">
      <c r="A60" s="789"/>
      <c r="E60" s="67"/>
      <c r="F60" s="39"/>
      <c r="G60" s="39"/>
      <c r="H60" s="67"/>
      <c r="I60" s="129"/>
      <c r="J60" s="791"/>
      <c r="K60" s="714"/>
      <c r="L60" s="464"/>
      <c r="M60" s="793"/>
      <c r="N60" s="714"/>
      <c r="O60" s="464"/>
      <c r="P60" s="464"/>
    </row>
    <row r="61" spans="1:34" x14ac:dyDescent="0.3">
      <c r="B61" s="789"/>
      <c r="C61" s="789"/>
      <c r="D61" s="789"/>
      <c r="E61" s="67"/>
      <c r="F61" s="39"/>
      <c r="G61" s="39"/>
      <c r="H61" s="67"/>
      <c r="I61" s="129"/>
      <c r="J61" s="791"/>
      <c r="K61" s="67"/>
      <c r="L61" s="39"/>
      <c r="M61" s="792"/>
      <c r="N61" s="67"/>
      <c r="O61" s="39"/>
      <c r="P61" s="39"/>
    </row>
    <row r="62" spans="1:34" x14ac:dyDescent="0.3">
      <c r="E62" s="67"/>
      <c r="F62" s="39"/>
      <c r="G62" s="39"/>
      <c r="H62" s="67"/>
      <c r="I62" s="129"/>
      <c r="J62" s="791"/>
      <c r="K62" s="67"/>
      <c r="L62" s="39"/>
      <c r="M62" s="788"/>
      <c r="N62" s="67"/>
      <c r="O62" s="39"/>
      <c r="P62" s="39"/>
    </row>
    <row r="63" spans="1:34" x14ac:dyDescent="0.3">
      <c r="E63" s="67"/>
      <c r="F63" s="39"/>
      <c r="G63" s="39"/>
      <c r="H63" s="67"/>
      <c r="I63" s="129"/>
      <c r="J63" s="791"/>
      <c r="K63" s="67"/>
      <c r="L63" s="39"/>
      <c r="M63" s="788"/>
      <c r="N63" s="67"/>
      <c r="O63" s="39"/>
      <c r="P63" s="39"/>
    </row>
    <row r="64" spans="1:34" x14ac:dyDescent="0.3">
      <c r="A64" s="789"/>
      <c r="E64" s="67"/>
      <c r="F64" s="464"/>
      <c r="G64" s="464"/>
      <c r="H64" s="67"/>
      <c r="I64" s="129"/>
      <c r="J64" s="791"/>
      <c r="K64" s="714"/>
      <c r="L64" s="464"/>
      <c r="M64" s="793"/>
      <c r="N64" s="714"/>
      <c r="O64" s="464"/>
      <c r="P64" s="464"/>
    </row>
    <row r="65" spans="1:38" x14ac:dyDescent="0.3">
      <c r="A65" s="51"/>
      <c r="B65" s="789"/>
      <c r="C65" s="789"/>
      <c r="D65" s="789"/>
      <c r="E65" s="714"/>
      <c r="F65" s="51"/>
      <c r="G65" s="464"/>
      <c r="H65" s="67"/>
      <c r="I65" s="129"/>
      <c r="J65" s="129"/>
      <c r="K65" s="67"/>
      <c r="L65" s="39"/>
      <c r="M65" s="788"/>
    </row>
    <row r="66" spans="1:38" x14ac:dyDescent="0.3">
      <c r="B66" s="51"/>
      <c r="C66" s="51"/>
      <c r="D66" s="51"/>
      <c r="E66" s="67"/>
      <c r="F66" s="39"/>
      <c r="G66" s="39"/>
      <c r="H66" s="67"/>
      <c r="I66" s="129"/>
      <c r="K66" s="67"/>
      <c r="M66" s="788"/>
    </row>
    <row r="67" spans="1:38" x14ac:dyDescent="0.3">
      <c r="E67" s="67"/>
      <c r="G67" s="39"/>
      <c r="H67" s="67"/>
      <c r="I67" s="129"/>
      <c r="J67" s="794"/>
      <c r="K67" s="714"/>
      <c r="L67" s="795"/>
      <c r="M67" s="793"/>
      <c r="N67" s="714"/>
      <c r="O67" s="464"/>
      <c r="P67" s="464"/>
    </row>
    <row r="68" spans="1:38" x14ac:dyDescent="0.3">
      <c r="A68" s="789"/>
      <c r="E68" s="67"/>
      <c r="F68" s="39"/>
      <c r="G68" s="39"/>
      <c r="J68" s="789"/>
      <c r="K68" s="67"/>
      <c r="L68" s="39"/>
      <c r="M68" s="39"/>
      <c r="N68" s="714"/>
      <c r="O68" s="464"/>
      <c r="P68" s="464"/>
    </row>
    <row r="69" spans="1:38" x14ac:dyDescent="0.3">
      <c r="B69" s="789"/>
      <c r="C69" s="789"/>
      <c r="D69" s="789"/>
      <c r="G69" s="39"/>
      <c r="N69" s="129"/>
      <c r="O69" s="77"/>
      <c r="P69" s="77"/>
    </row>
    <row r="80" spans="1:38" x14ac:dyDescent="0.3">
      <c r="T80" s="796"/>
      <c r="W80" s="796"/>
      <c r="Z80" s="796"/>
      <c r="AC80" s="796"/>
      <c r="AF80" s="796"/>
      <c r="AI80" s="796"/>
      <c r="AL80" s="796"/>
    </row>
    <row r="81" spans="1:40" ht="14.4" customHeight="1" x14ac:dyDescent="0.3">
      <c r="Q81" s="796"/>
      <c r="T81" s="798"/>
      <c r="U81" s="798"/>
      <c r="V81" s="798"/>
      <c r="W81" s="798"/>
      <c r="X81" s="798"/>
      <c r="Y81" s="798"/>
      <c r="Z81" s="798"/>
      <c r="AA81" s="798"/>
      <c r="AB81" s="798"/>
      <c r="AC81" s="798"/>
      <c r="AD81" s="798"/>
      <c r="AE81" s="798"/>
      <c r="AF81" s="798"/>
      <c r="AG81" s="798"/>
      <c r="AH81" s="798"/>
      <c r="AI81" s="798"/>
      <c r="AJ81" s="798"/>
      <c r="AK81" s="798"/>
      <c r="AL81" s="798"/>
      <c r="AM81" s="798"/>
      <c r="AN81" s="798"/>
    </row>
    <row r="82" spans="1:40" x14ac:dyDescent="0.3">
      <c r="E82" s="796"/>
      <c r="H82" s="796"/>
      <c r="K82" s="796"/>
      <c r="N82" s="796"/>
      <c r="Q82" s="798"/>
      <c r="R82" s="798"/>
      <c r="S82" s="798"/>
      <c r="T82" s="798"/>
      <c r="U82" s="798"/>
      <c r="V82" s="798"/>
      <c r="W82" s="798"/>
      <c r="X82" s="798"/>
      <c r="Y82" s="798"/>
      <c r="Z82" s="798"/>
      <c r="AA82" s="798"/>
      <c r="AB82" s="798"/>
      <c r="AC82" s="798"/>
      <c r="AD82" s="798"/>
      <c r="AE82" s="798"/>
      <c r="AF82" s="798"/>
      <c r="AG82" s="798"/>
      <c r="AH82" s="798"/>
      <c r="AI82" s="798"/>
      <c r="AJ82" s="798"/>
      <c r="AK82" s="798"/>
      <c r="AL82" s="798"/>
      <c r="AM82" s="798"/>
      <c r="AN82" s="798"/>
    </row>
    <row r="83" spans="1:40" x14ac:dyDescent="0.3">
      <c r="A83" s="349"/>
      <c r="E83" s="798"/>
      <c r="F83" s="798"/>
      <c r="G83" s="798"/>
      <c r="H83" s="798"/>
      <c r="I83" s="798"/>
      <c r="J83" s="798"/>
      <c r="K83" s="798"/>
      <c r="L83" s="798"/>
      <c r="M83" s="798"/>
      <c r="N83" s="798"/>
      <c r="O83" s="798"/>
      <c r="P83" s="798"/>
      <c r="Q83" s="798"/>
      <c r="R83" s="798"/>
      <c r="S83" s="798"/>
      <c r="T83" s="67"/>
      <c r="U83" s="39"/>
      <c r="V83" s="39"/>
      <c r="W83" s="67"/>
      <c r="X83" s="39"/>
      <c r="Y83" s="39"/>
      <c r="Z83" s="67"/>
      <c r="AA83" s="39"/>
      <c r="AB83" s="39"/>
      <c r="AC83" s="799"/>
      <c r="AD83" s="39"/>
      <c r="AE83" s="39"/>
      <c r="AF83" s="799"/>
      <c r="AG83" s="39"/>
      <c r="AH83" s="39"/>
      <c r="AI83" s="799"/>
      <c r="AJ83" s="39"/>
      <c r="AK83" s="39"/>
      <c r="AL83" s="799"/>
      <c r="AM83" s="39"/>
      <c r="AN83" s="39"/>
    </row>
    <row r="84" spans="1:40" x14ac:dyDescent="0.3">
      <c r="A84" s="349"/>
      <c r="B84" s="797"/>
      <c r="C84" s="797"/>
      <c r="D84" s="797"/>
      <c r="E84" s="798"/>
      <c r="F84" s="798"/>
      <c r="G84" s="798"/>
      <c r="H84" s="798"/>
      <c r="I84" s="798"/>
      <c r="J84" s="798"/>
      <c r="K84" s="798"/>
      <c r="L84" s="798"/>
      <c r="M84" s="798"/>
      <c r="N84" s="798"/>
      <c r="O84" s="798"/>
      <c r="P84" s="798"/>
      <c r="Q84" s="67"/>
      <c r="R84" s="39"/>
      <c r="S84" s="39"/>
      <c r="T84" s="67"/>
      <c r="U84" s="39"/>
      <c r="V84" s="39"/>
      <c r="W84" s="67"/>
      <c r="X84" s="39"/>
      <c r="Y84" s="39"/>
      <c r="Z84" s="67"/>
      <c r="AA84" s="39"/>
      <c r="AB84" s="39"/>
      <c r="AC84" s="799"/>
      <c r="AD84" s="39"/>
      <c r="AE84" s="39"/>
      <c r="AF84" s="799"/>
      <c r="AG84" s="39"/>
      <c r="AH84" s="39"/>
      <c r="AI84" s="799"/>
      <c r="AJ84" s="39"/>
      <c r="AK84" s="39"/>
      <c r="AL84" s="799"/>
      <c r="AM84" s="39"/>
      <c r="AN84" s="39"/>
    </row>
    <row r="85" spans="1:40" x14ac:dyDescent="0.3">
      <c r="B85" s="797"/>
      <c r="C85" s="797"/>
      <c r="D85" s="797"/>
      <c r="E85" s="799"/>
      <c r="F85" s="39"/>
      <c r="G85" s="39"/>
      <c r="H85" s="799"/>
      <c r="I85" s="39"/>
      <c r="J85" s="39"/>
      <c r="K85" s="67"/>
      <c r="L85" s="39"/>
      <c r="M85" s="39"/>
      <c r="N85" s="67"/>
      <c r="O85" s="39"/>
      <c r="P85" s="39"/>
      <c r="Q85" s="67"/>
      <c r="R85" s="39"/>
      <c r="S85" s="39"/>
      <c r="T85" s="67"/>
      <c r="U85" s="39"/>
      <c r="V85" s="39"/>
      <c r="W85" s="67"/>
      <c r="X85" s="39"/>
      <c r="Y85" s="39"/>
      <c r="Z85" s="67"/>
      <c r="AA85" s="39"/>
      <c r="AB85" s="39"/>
      <c r="AC85" s="67"/>
      <c r="AD85" s="39"/>
      <c r="AE85" s="39"/>
      <c r="AF85" s="67"/>
      <c r="AG85" s="39"/>
      <c r="AH85" s="39"/>
      <c r="AI85" s="67"/>
      <c r="AJ85" s="39"/>
      <c r="AK85" s="39"/>
      <c r="AL85" s="67"/>
      <c r="AM85" s="39"/>
      <c r="AN85" s="39"/>
    </row>
    <row r="86" spans="1:40" x14ac:dyDescent="0.3">
      <c r="E86" s="799"/>
      <c r="F86" s="39"/>
      <c r="G86" s="39"/>
      <c r="H86" s="799"/>
      <c r="I86" s="39"/>
      <c r="J86" s="39"/>
      <c r="K86" s="67"/>
      <c r="L86" s="39"/>
      <c r="M86" s="39"/>
      <c r="N86" s="67"/>
      <c r="O86" s="39"/>
      <c r="P86" s="39"/>
      <c r="Q86" s="67"/>
      <c r="R86" s="39"/>
      <c r="S86" s="39"/>
      <c r="T86" s="67"/>
      <c r="U86" s="39"/>
      <c r="V86" s="39"/>
      <c r="W86" s="67"/>
      <c r="X86" s="39"/>
      <c r="Y86" s="39"/>
      <c r="Z86" s="67"/>
      <c r="AA86" s="39"/>
      <c r="AB86" s="39"/>
      <c r="AC86" s="67"/>
      <c r="AD86" s="39"/>
      <c r="AE86" s="39"/>
      <c r="AF86" s="67"/>
      <c r="AG86" s="39"/>
      <c r="AH86" s="39"/>
      <c r="AI86" s="67"/>
      <c r="AJ86" s="39"/>
      <c r="AK86" s="39"/>
      <c r="AL86" s="67"/>
      <c r="AM86" s="39"/>
      <c r="AN86" s="39"/>
    </row>
    <row r="87" spans="1:40" x14ac:dyDescent="0.3">
      <c r="E87" s="67"/>
      <c r="F87" s="39"/>
      <c r="G87" s="39"/>
      <c r="H87" s="67"/>
      <c r="I87" s="39"/>
      <c r="J87" s="39"/>
      <c r="K87" s="67"/>
      <c r="L87" s="39"/>
      <c r="M87" s="39"/>
      <c r="N87" s="67"/>
      <c r="O87" s="39"/>
      <c r="P87" s="39"/>
      <c r="Q87" s="67"/>
      <c r="R87" s="39"/>
      <c r="S87" s="39"/>
      <c r="T87" s="67"/>
      <c r="U87" s="39"/>
      <c r="W87" s="67"/>
      <c r="X87" s="39"/>
      <c r="Z87" s="67"/>
      <c r="AA87" s="39"/>
      <c r="AC87" s="67"/>
      <c r="AD87" s="39"/>
      <c r="AF87" s="67"/>
      <c r="AG87" s="39"/>
      <c r="AI87" s="67"/>
      <c r="AJ87" s="39"/>
      <c r="AL87" s="67"/>
      <c r="AM87" s="39"/>
    </row>
    <row r="88" spans="1:40" x14ac:dyDescent="0.3">
      <c r="E88" s="67"/>
      <c r="F88" s="39"/>
      <c r="G88" s="39"/>
      <c r="H88" s="67"/>
      <c r="I88" s="39"/>
      <c r="J88" s="39"/>
      <c r="K88" s="67"/>
      <c r="L88" s="39"/>
      <c r="M88" s="39"/>
      <c r="N88" s="67"/>
      <c r="O88" s="39"/>
      <c r="P88" s="39"/>
      <c r="Q88" s="67"/>
      <c r="R88" s="39"/>
      <c r="T88" s="67"/>
      <c r="U88" s="39"/>
      <c r="V88" s="39"/>
      <c r="W88" s="67"/>
      <c r="X88" s="39"/>
      <c r="Y88" s="39"/>
      <c r="Z88" s="67"/>
      <c r="AA88" s="39"/>
      <c r="AB88" s="39"/>
      <c r="AC88" s="67"/>
      <c r="AD88" s="39"/>
      <c r="AE88" s="39"/>
      <c r="AF88" s="67"/>
      <c r="AG88" s="39"/>
      <c r="AH88" s="39"/>
      <c r="AI88" s="67"/>
      <c r="AJ88" s="39"/>
      <c r="AK88" s="39"/>
      <c r="AL88" s="67"/>
      <c r="AM88" s="39"/>
      <c r="AN88" s="39"/>
    </row>
    <row r="89" spans="1:40" x14ac:dyDescent="0.3">
      <c r="E89" s="67"/>
      <c r="F89" s="39"/>
      <c r="H89" s="67"/>
      <c r="I89" s="39"/>
      <c r="K89" s="67"/>
      <c r="L89" s="39"/>
      <c r="N89" s="67"/>
      <c r="O89" s="39"/>
      <c r="Q89" s="67"/>
      <c r="R89" s="39"/>
      <c r="S89" s="39"/>
      <c r="T89" s="67"/>
      <c r="U89" s="39"/>
      <c r="V89" s="39"/>
      <c r="W89" s="67"/>
      <c r="X89" s="39"/>
      <c r="Y89" s="39"/>
      <c r="Z89" s="67"/>
      <c r="AA89" s="39"/>
      <c r="AB89" s="39"/>
      <c r="AC89" s="67"/>
      <c r="AD89" s="39"/>
      <c r="AE89" s="39"/>
      <c r="AF89" s="67"/>
      <c r="AG89" s="39"/>
      <c r="AH89" s="39"/>
      <c r="AI89" s="67"/>
      <c r="AJ89" s="39"/>
      <c r="AK89" s="39"/>
      <c r="AL89" s="67"/>
      <c r="AM89" s="39"/>
      <c r="AN89" s="39"/>
    </row>
    <row r="90" spans="1:40" x14ac:dyDescent="0.3">
      <c r="E90" s="67"/>
      <c r="F90" s="39"/>
      <c r="G90" s="39"/>
      <c r="H90" s="67"/>
      <c r="I90" s="39"/>
      <c r="J90" s="39"/>
      <c r="K90" s="67"/>
      <c r="L90" s="39"/>
      <c r="M90" s="39"/>
      <c r="N90" s="67"/>
      <c r="O90" s="39"/>
      <c r="P90" s="39"/>
      <c r="Q90" s="67"/>
      <c r="R90" s="39"/>
      <c r="S90" s="39"/>
      <c r="T90" s="67"/>
      <c r="U90" s="39"/>
      <c r="V90" s="39"/>
      <c r="W90" s="67"/>
      <c r="X90" s="39"/>
      <c r="Y90" s="39"/>
      <c r="Z90" s="67"/>
      <c r="AA90" s="39"/>
      <c r="AB90" s="39"/>
      <c r="AC90" s="67"/>
      <c r="AD90" s="39"/>
      <c r="AE90" s="39"/>
      <c r="AF90" s="67"/>
      <c r="AG90" s="39"/>
      <c r="AH90" s="39"/>
      <c r="AI90" s="67"/>
      <c r="AJ90" s="39"/>
      <c r="AK90" s="39"/>
      <c r="AL90" s="67"/>
      <c r="AM90" s="39"/>
      <c r="AN90" s="39"/>
    </row>
    <row r="91" spans="1:40" x14ac:dyDescent="0.3">
      <c r="E91" s="67"/>
      <c r="F91" s="39"/>
      <c r="G91" s="39"/>
      <c r="H91" s="67"/>
      <c r="I91" s="39"/>
      <c r="J91" s="39"/>
      <c r="K91" s="67"/>
      <c r="L91" s="39"/>
      <c r="M91" s="39"/>
      <c r="N91" s="67"/>
      <c r="O91" s="39"/>
      <c r="P91" s="39"/>
      <c r="Q91" s="67"/>
      <c r="R91" s="39"/>
      <c r="S91" s="39"/>
      <c r="T91" s="67"/>
      <c r="U91" s="39"/>
      <c r="W91" s="67"/>
      <c r="X91" s="39"/>
      <c r="Z91" s="67"/>
      <c r="AA91" s="39"/>
      <c r="AC91" s="67"/>
      <c r="AD91" s="39"/>
      <c r="AF91" s="67"/>
      <c r="AG91" s="39"/>
      <c r="AI91" s="67"/>
      <c r="AJ91" s="39"/>
      <c r="AL91" s="67"/>
      <c r="AM91" s="39"/>
    </row>
    <row r="92" spans="1:40" x14ac:dyDescent="0.3">
      <c r="E92" s="67"/>
      <c r="F92" s="39"/>
      <c r="G92" s="39"/>
      <c r="H92" s="67"/>
      <c r="I92" s="39"/>
      <c r="J92" s="39"/>
      <c r="K92" s="67"/>
      <c r="L92" s="39"/>
      <c r="M92" s="39"/>
      <c r="N92" s="67"/>
      <c r="O92" s="39"/>
      <c r="P92" s="39"/>
      <c r="Q92" s="67"/>
      <c r="R92" s="39"/>
      <c r="T92" s="67"/>
      <c r="U92" s="39"/>
      <c r="V92" s="39"/>
      <c r="W92" s="67"/>
      <c r="X92" s="39"/>
      <c r="Y92" s="39"/>
      <c r="Z92" s="67"/>
      <c r="AA92" s="39"/>
      <c r="AB92" s="39"/>
      <c r="AC92" s="67"/>
      <c r="AD92" s="39"/>
      <c r="AE92" s="39"/>
      <c r="AF92" s="67"/>
      <c r="AG92" s="39"/>
      <c r="AH92" s="39"/>
      <c r="AI92" s="67"/>
      <c r="AJ92" s="39"/>
      <c r="AK92" s="39"/>
      <c r="AL92" s="67"/>
      <c r="AM92" s="39"/>
      <c r="AN92" s="39"/>
    </row>
    <row r="93" spans="1:40" x14ac:dyDescent="0.3">
      <c r="E93" s="67"/>
      <c r="F93" s="39"/>
      <c r="H93" s="67"/>
      <c r="I93" s="39"/>
      <c r="K93" s="67"/>
      <c r="L93" s="39"/>
      <c r="N93" s="67"/>
      <c r="O93" s="39"/>
      <c r="Q93" s="67"/>
      <c r="R93" s="39"/>
      <c r="S93" s="39"/>
      <c r="T93" s="67"/>
      <c r="U93" s="39"/>
      <c r="V93" s="39"/>
      <c r="W93" s="67"/>
      <c r="X93" s="39"/>
      <c r="Y93" s="39"/>
      <c r="Z93" s="67"/>
      <c r="AA93" s="39"/>
      <c r="AB93" s="39"/>
      <c r="AC93" s="67"/>
      <c r="AD93" s="39"/>
      <c r="AE93" s="39"/>
      <c r="AF93" s="67"/>
      <c r="AG93" s="39"/>
      <c r="AH93" s="39"/>
      <c r="AI93" s="67"/>
      <c r="AJ93" s="39"/>
      <c r="AK93" s="39"/>
      <c r="AL93" s="67"/>
      <c r="AM93" s="39"/>
      <c r="AN93" s="39"/>
    </row>
    <row r="94" spans="1:40" x14ac:dyDescent="0.3">
      <c r="E94" s="67"/>
      <c r="F94" s="39"/>
      <c r="G94" s="39"/>
      <c r="H94" s="67"/>
      <c r="I94" s="39"/>
      <c r="J94" s="39"/>
      <c r="K94" s="67"/>
      <c r="L94" s="39"/>
      <c r="M94" s="39"/>
      <c r="N94" s="67"/>
      <c r="O94" s="39"/>
      <c r="P94" s="39"/>
      <c r="Q94" s="67"/>
      <c r="R94" s="39"/>
      <c r="S94" s="39"/>
      <c r="T94" s="67"/>
      <c r="U94" s="39"/>
      <c r="V94" s="39"/>
      <c r="W94" s="67"/>
      <c r="X94" s="39"/>
      <c r="Y94" s="39"/>
      <c r="Z94" s="67"/>
      <c r="AA94" s="39"/>
      <c r="AB94" s="39"/>
      <c r="AC94" s="67"/>
      <c r="AD94" s="39"/>
      <c r="AE94" s="39"/>
      <c r="AF94" s="67"/>
      <c r="AG94" s="39"/>
      <c r="AH94" s="39"/>
      <c r="AI94" s="67"/>
      <c r="AJ94" s="39"/>
      <c r="AK94" s="39"/>
      <c r="AL94" s="67"/>
      <c r="AM94" s="39"/>
      <c r="AN94" s="39"/>
    </row>
    <row r="95" spans="1:40" x14ac:dyDescent="0.3">
      <c r="E95" s="67"/>
      <c r="F95" s="39"/>
      <c r="G95" s="39"/>
      <c r="H95" s="67"/>
      <c r="I95" s="39"/>
      <c r="J95" s="39"/>
      <c r="K95" s="67"/>
      <c r="L95" s="39"/>
      <c r="M95" s="39"/>
      <c r="N95" s="67"/>
      <c r="O95" s="39"/>
      <c r="P95" s="39"/>
      <c r="Q95" s="67"/>
      <c r="R95" s="39"/>
      <c r="S95" s="39"/>
      <c r="T95" s="67"/>
      <c r="U95" s="39"/>
      <c r="V95" s="39"/>
      <c r="W95" s="799"/>
      <c r="X95" s="39"/>
      <c r="Y95" s="39"/>
      <c r="Z95" s="799"/>
      <c r="AA95" s="39"/>
      <c r="AB95" s="39"/>
      <c r="AC95" s="67"/>
      <c r="AD95" s="39"/>
      <c r="AE95" s="39"/>
      <c r="AF95" s="67"/>
      <c r="AG95" s="39"/>
      <c r="AH95" s="39"/>
      <c r="AI95" s="67"/>
      <c r="AJ95" s="39"/>
      <c r="AK95" s="39"/>
      <c r="AL95" s="67"/>
      <c r="AM95" s="39"/>
      <c r="AN95" s="39"/>
    </row>
    <row r="96" spans="1:40" x14ac:dyDescent="0.3">
      <c r="E96" s="67"/>
      <c r="F96" s="39"/>
      <c r="G96" s="39"/>
      <c r="H96" s="67"/>
      <c r="I96" s="39"/>
      <c r="J96" s="39"/>
      <c r="K96" s="67"/>
      <c r="L96" s="39"/>
      <c r="M96" s="39"/>
      <c r="N96" s="67"/>
      <c r="O96" s="39"/>
      <c r="P96" s="39"/>
      <c r="Q96" s="67"/>
      <c r="R96" s="39"/>
      <c r="S96" s="39"/>
      <c r="T96" s="67"/>
      <c r="U96" s="39"/>
      <c r="V96" s="39"/>
      <c r="W96" s="67"/>
      <c r="X96" s="39"/>
      <c r="Y96" s="39"/>
      <c r="Z96" s="67"/>
      <c r="AA96" s="39"/>
      <c r="AB96" s="39"/>
      <c r="AC96" s="67"/>
      <c r="AD96" s="39"/>
      <c r="AE96" s="39"/>
      <c r="AF96" s="67"/>
      <c r="AG96" s="39"/>
      <c r="AH96" s="39"/>
      <c r="AI96" s="67"/>
      <c r="AJ96" s="39"/>
      <c r="AK96" s="39"/>
      <c r="AL96" s="67"/>
      <c r="AM96" s="39"/>
      <c r="AN96" s="39"/>
    </row>
    <row r="97" spans="1:40" x14ac:dyDescent="0.3">
      <c r="E97" s="67"/>
      <c r="F97" s="39"/>
      <c r="G97" s="39"/>
      <c r="H97" s="67"/>
      <c r="I97" s="39"/>
      <c r="J97" s="39"/>
      <c r="K97" s="67"/>
      <c r="L97" s="39"/>
      <c r="M97" s="39"/>
      <c r="N97" s="67"/>
      <c r="O97" s="39"/>
      <c r="P97" s="39"/>
      <c r="Q97" s="67"/>
      <c r="R97" s="39"/>
      <c r="S97" s="39"/>
      <c r="T97" s="67"/>
      <c r="U97" s="39"/>
      <c r="V97" s="800"/>
      <c r="W97" s="799"/>
      <c r="X97" s="39"/>
      <c r="Y97" s="800"/>
      <c r="Z97" s="799"/>
      <c r="AA97" s="39"/>
      <c r="AB97" s="800"/>
      <c r="AC97" s="67"/>
      <c r="AD97" s="39"/>
      <c r="AE97" s="800"/>
      <c r="AF97" s="67"/>
      <c r="AG97" s="39"/>
      <c r="AH97" s="800"/>
      <c r="AI97" s="67"/>
      <c r="AJ97" s="39"/>
      <c r="AK97" s="800"/>
      <c r="AL97" s="67"/>
      <c r="AM97" s="39"/>
      <c r="AN97" s="800"/>
    </row>
    <row r="98" spans="1:40" x14ac:dyDescent="0.3">
      <c r="E98" s="67"/>
      <c r="F98" s="39"/>
      <c r="G98" s="39"/>
      <c r="H98" s="67"/>
      <c r="I98" s="39"/>
      <c r="J98" s="39"/>
      <c r="K98" s="67"/>
      <c r="L98" s="39"/>
      <c r="M98" s="39"/>
      <c r="N98" s="67"/>
      <c r="O98" s="39"/>
      <c r="P98" s="39"/>
      <c r="Q98" s="67"/>
      <c r="R98" s="39"/>
      <c r="S98" s="800"/>
      <c r="T98" s="67"/>
      <c r="U98" s="39"/>
      <c r="V98" s="39"/>
      <c r="W98" s="799"/>
      <c r="X98" s="39"/>
      <c r="Y98" s="39"/>
      <c r="Z98" s="799"/>
      <c r="AA98" s="39"/>
      <c r="AB98" s="39"/>
      <c r="AC98" s="67"/>
      <c r="AD98" s="39"/>
      <c r="AE98" s="39"/>
      <c r="AF98" s="67"/>
      <c r="AG98" s="39"/>
      <c r="AH98" s="39"/>
      <c r="AI98" s="67"/>
      <c r="AJ98" s="39"/>
      <c r="AK98" s="39"/>
      <c r="AL98" s="67"/>
      <c r="AM98" s="39"/>
      <c r="AN98" s="39"/>
    </row>
    <row r="99" spans="1:40" x14ac:dyDescent="0.3">
      <c r="E99" s="67"/>
      <c r="F99" s="39"/>
      <c r="G99" s="800"/>
      <c r="H99" s="67"/>
      <c r="I99" s="39"/>
      <c r="J99" s="800"/>
      <c r="K99" s="67"/>
      <c r="L99" s="39"/>
      <c r="M99" s="800"/>
      <c r="N99" s="67"/>
      <c r="O99" s="39"/>
      <c r="P99" s="800"/>
      <c r="Q99" s="67"/>
      <c r="R99" s="39"/>
      <c r="S99" s="39"/>
      <c r="T99" s="67"/>
      <c r="U99" s="39"/>
      <c r="V99" s="39"/>
      <c r="W99" s="799"/>
      <c r="X99" s="39"/>
      <c r="Y99" s="39"/>
      <c r="Z99" s="799"/>
      <c r="AA99" s="39"/>
      <c r="AB99" s="39"/>
      <c r="AC99" s="67"/>
      <c r="AD99" s="39"/>
      <c r="AE99" s="39"/>
      <c r="AF99" s="67"/>
      <c r="AG99" s="39"/>
      <c r="AH99" s="39"/>
      <c r="AI99" s="67"/>
      <c r="AJ99" s="39"/>
      <c r="AK99" s="39"/>
      <c r="AL99" s="67"/>
      <c r="AM99" s="39"/>
      <c r="AN99" s="39"/>
    </row>
    <row r="100" spans="1:40" x14ac:dyDescent="0.3">
      <c r="E100" s="67"/>
      <c r="F100" s="39"/>
      <c r="G100" s="39"/>
      <c r="H100" s="67"/>
      <c r="I100" s="39"/>
      <c r="J100" s="39"/>
      <c r="K100" s="67"/>
      <c r="L100" s="39"/>
      <c r="M100" s="39"/>
      <c r="N100" s="67"/>
      <c r="O100" s="39"/>
      <c r="P100" s="39"/>
      <c r="Q100" s="67"/>
      <c r="R100" s="39"/>
      <c r="S100" s="39"/>
      <c r="T100" s="67"/>
      <c r="U100" s="39"/>
      <c r="V100" s="39"/>
      <c r="W100" s="67"/>
      <c r="X100" s="39"/>
      <c r="Y100" s="39"/>
      <c r="Z100" s="67"/>
      <c r="AA100" s="39"/>
      <c r="AB100" s="39"/>
      <c r="AC100" s="67"/>
      <c r="AD100" s="39"/>
      <c r="AE100" s="39"/>
      <c r="AF100" s="67"/>
      <c r="AG100" s="39"/>
      <c r="AH100" s="39"/>
      <c r="AI100" s="67"/>
      <c r="AJ100" s="39"/>
      <c r="AK100" s="39"/>
      <c r="AL100" s="67"/>
      <c r="AM100" s="39"/>
      <c r="AN100" s="39"/>
    </row>
    <row r="101" spans="1:40" x14ac:dyDescent="0.3">
      <c r="E101" s="67"/>
      <c r="F101" s="39"/>
      <c r="G101" s="39"/>
      <c r="H101" s="67"/>
      <c r="I101" s="39"/>
      <c r="J101" s="39"/>
      <c r="K101" s="67"/>
      <c r="L101" s="39"/>
      <c r="M101" s="39"/>
      <c r="N101" s="67"/>
      <c r="O101" s="39"/>
      <c r="P101" s="39"/>
      <c r="Q101" s="67"/>
      <c r="R101" s="39"/>
      <c r="S101" s="39"/>
      <c r="T101" s="67"/>
      <c r="U101" s="39"/>
      <c r="V101" s="39"/>
      <c r="W101" s="67"/>
      <c r="X101" s="39"/>
      <c r="Y101" s="39"/>
      <c r="Z101" s="67"/>
      <c r="AA101" s="39"/>
      <c r="AB101" s="39"/>
      <c r="AC101" s="67"/>
      <c r="AD101" s="39"/>
      <c r="AE101" s="39"/>
      <c r="AF101" s="67"/>
      <c r="AG101" s="39"/>
      <c r="AH101" s="39"/>
      <c r="AI101" s="67"/>
      <c r="AJ101" s="39"/>
      <c r="AK101" s="39"/>
      <c r="AL101" s="67"/>
      <c r="AM101" s="39"/>
      <c r="AN101" s="39"/>
    </row>
    <row r="102" spans="1:40" x14ac:dyDescent="0.3">
      <c r="E102" s="67"/>
      <c r="F102" s="39"/>
      <c r="G102" s="39"/>
      <c r="H102" s="67"/>
      <c r="I102" s="39"/>
      <c r="J102" s="39"/>
      <c r="K102" s="67"/>
      <c r="L102" s="39"/>
      <c r="M102" s="39"/>
      <c r="N102" s="67"/>
      <c r="O102" s="39"/>
      <c r="P102" s="39"/>
      <c r="Q102" s="67"/>
      <c r="R102" s="39"/>
      <c r="S102" s="39"/>
      <c r="T102" s="67"/>
      <c r="U102" s="39"/>
      <c r="V102" s="39"/>
      <c r="W102" s="67"/>
      <c r="X102" s="39"/>
      <c r="Y102" s="39"/>
      <c r="Z102" s="67"/>
      <c r="AA102" s="39"/>
      <c r="AB102" s="39"/>
      <c r="AC102" s="67"/>
      <c r="AD102" s="39"/>
      <c r="AE102" s="39"/>
      <c r="AF102" s="67"/>
      <c r="AG102" s="39"/>
      <c r="AH102" s="39"/>
      <c r="AI102" s="67"/>
      <c r="AJ102" s="39"/>
      <c r="AK102" s="39"/>
      <c r="AL102" s="67"/>
      <c r="AM102" s="39"/>
      <c r="AN102" s="39"/>
    </row>
    <row r="103" spans="1:40" ht="16.2" x14ac:dyDescent="0.35">
      <c r="E103" s="67"/>
      <c r="F103" s="39"/>
      <c r="G103" s="39"/>
      <c r="H103" s="67"/>
      <c r="I103" s="39"/>
      <c r="J103" s="39"/>
      <c r="K103" s="67"/>
      <c r="L103" s="39"/>
      <c r="M103" s="39"/>
      <c r="N103" s="67"/>
      <c r="O103" s="39"/>
      <c r="P103" s="39"/>
      <c r="Q103" s="67"/>
      <c r="R103" s="39"/>
      <c r="S103" s="39"/>
      <c r="T103" s="801"/>
      <c r="U103" s="802"/>
      <c r="V103" s="802"/>
      <c r="W103" s="801"/>
      <c r="X103" s="802"/>
      <c r="Y103" s="802"/>
      <c r="Z103" s="801"/>
      <c r="AA103" s="802"/>
      <c r="AB103" s="802"/>
      <c r="AC103" s="802"/>
      <c r="AD103" s="802"/>
      <c r="AE103" s="802"/>
      <c r="AF103" s="802"/>
      <c r="AG103" s="802"/>
      <c r="AH103" s="802"/>
      <c r="AI103" s="802"/>
      <c r="AJ103" s="802"/>
      <c r="AK103" s="802"/>
      <c r="AL103" s="802"/>
      <c r="AM103" s="802"/>
      <c r="AN103" s="802"/>
    </row>
    <row r="104" spans="1:40" ht="16.2" x14ac:dyDescent="0.35">
      <c r="A104" s="51"/>
      <c r="E104" s="67"/>
      <c r="F104" s="39"/>
      <c r="G104" s="39"/>
      <c r="H104" s="67"/>
      <c r="I104" s="39"/>
      <c r="J104" s="39"/>
      <c r="K104" s="67"/>
      <c r="L104" s="39"/>
      <c r="M104" s="39"/>
      <c r="N104" s="67"/>
      <c r="O104" s="39"/>
      <c r="P104" s="39"/>
      <c r="Q104" s="801"/>
      <c r="R104" s="802"/>
      <c r="S104" s="802"/>
    </row>
    <row r="105" spans="1:40" ht="16.2" x14ac:dyDescent="0.35">
      <c r="A105" s="180"/>
      <c r="B105" s="51"/>
      <c r="C105" s="51"/>
      <c r="D105" s="51"/>
      <c r="E105" s="801"/>
      <c r="F105" s="802"/>
      <c r="G105" s="802"/>
      <c r="H105" s="801"/>
      <c r="I105" s="802"/>
      <c r="J105" s="802"/>
      <c r="K105" s="801"/>
      <c r="L105" s="802"/>
      <c r="M105" s="802"/>
      <c r="N105" s="801"/>
      <c r="O105" s="802"/>
      <c r="P105" s="802"/>
    </row>
    <row r="106" spans="1:40" x14ac:dyDescent="0.3">
      <c r="B106" s="180"/>
      <c r="C106" s="180"/>
      <c r="D106" s="180"/>
    </row>
  </sheetData>
  <mergeCells count="72">
    <mergeCell ref="BA4:BC4"/>
    <mergeCell ref="A3:A4"/>
    <mergeCell ref="H3:H4"/>
    <mergeCell ref="F3:F4"/>
    <mergeCell ref="AJ3:AJ4"/>
    <mergeCell ref="AI3:AI4"/>
    <mergeCell ref="AE3:AE4"/>
    <mergeCell ref="AH3:AH4"/>
    <mergeCell ref="AX4:AY4"/>
    <mergeCell ref="B2:D2"/>
    <mergeCell ref="B3:B4"/>
    <mergeCell ref="C3:C4"/>
    <mergeCell ref="D3:D4"/>
    <mergeCell ref="E3:E4"/>
    <mergeCell ref="E2:G2"/>
    <mergeCell ref="G3:G4"/>
    <mergeCell ref="H2:J2"/>
    <mergeCell ref="I3:I4"/>
    <mergeCell ref="J3:J4"/>
    <mergeCell ref="L3:L4"/>
    <mergeCell ref="N2:P2"/>
    <mergeCell ref="N3:N4"/>
    <mergeCell ref="Q2:S2"/>
    <mergeCell ref="M3:M4"/>
    <mergeCell ref="S3:S4"/>
    <mergeCell ref="K2:M2"/>
    <mergeCell ref="K3:K4"/>
    <mergeCell ref="Q3:Q4"/>
    <mergeCell ref="R3:R4"/>
    <mergeCell ref="O3:O4"/>
    <mergeCell ref="P3:P4"/>
    <mergeCell ref="T2:V2"/>
    <mergeCell ref="T3:T4"/>
    <mergeCell ref="U3:U4"/>
    <mergeCell ref="V3:V4"/>
    <mergeCell ref="AD3:AD4"/>
    <mergeCell ref="Z2:AB2"/>
    <mergeCell ref="Z3:Z4"/>
    <mergeCell ref="AA3:AA4"/>
    <mergeCell ref="AB3:AB4"/>
    <mergeCell ref="AC3:AC4"/>
    <mergeCell ref="W2:Y2"/>
    <mergeCell ref="W3:W4"/>
    <mergeCell ref="X3:X4"/>
    <mergeCell ref="Y3:Y4"/>
    <mergeCell ref="AC2:AE2"/>
    <mergeCell ref="AI2:AK2"/>
    <mergeCell ref="AK3:AK4"/>
    <mergeCell ref="AF2:AH2"/>
    <mergeCell ref="AF3:AF4"/>
    <mergeCell ref="AG3:AG4"/>
    <mergeCell ref="AO1:AQ1"/>
    <mergeCell ref="AL2:AN2"/>
    <mergeCell ref="AL3:AL4"/>
    <mergeCell ref="AM3:AM4"/>
    <mergeCell ref="AN3:AN4"/>
    <mergeCell ref="AO3:AO4"/>
    <mergeCell ref="AP3:AP4"/>
    <mergeCell ref="AQ3:AQ4"/>
    <mergeCell ref="AO35:AP35"/>
    <mergeCell ref="AU2:AW2"/>
    <mergeCell ref="AU3:AU4"/>
    <mergeCell ref="AV3:AV4"/>
    <mergeCell ref="AW3:AW4"/>
    <mergeCell ref="AR2:AT2"/>
    <mergeCell ref="AR3:AR4"/>
    <mergeCell ref="AS3:AS4"/>
    <mergeCell ref="AT3:AT4"/>
    <mergeCell ref="AO2:AQ2"/>
    <mergeCell ref="AO33:AP33"/>
    <mergeCell ref="AO34:AP34"/>
    <mergeCell ref="AO30:AP30"/>
  </mergeCells>
  <printOptions horizontalCentered="1"/>
  <pageMargins left="0" right="0" top="0.74803149606299213" bottom="0.74803149606299213" header="0.31496062992125984" footer="0.31496062992125984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W84"/>
  <sheetViews>
    <sheetView showZeros="0" topLeftCell="A15" zoomScaleNormal="100" workbookViewId="0">
      <selection activeCell="R9" sqref="R9"/>
    </sheetView>
  </sheetViews>
  <sheetFormatPr defaultRowHeight="13.2" x14ac:dyDescent="0.25"/>
  <cols>
    <col min="2" max="2" width="11.33203125" bestFit="1" customWidth="1"/>
    <col min="3" max="3" width="16" bestFit="1" customWidth="1"/>
    <col min="5" max="5" width="9.5546875" bestFit="1" customWidth="1"/>
    <col min="6" max="6" width="13.109375" bestFit="1" customWidth="1"/>
    <col min="8" max="8" width="13.109375" bestFit="1" customWidth="1"/>
    <col min="9" max="9" width="11.88671875" bestFit="1" customWidth="1"/>
    <col min="10" max="10" width="11.5546875" bestFit="1" customWidth="1"/>
    <col min="11" max="11" width="10.6640625" customWidth="1"/>
    <col min="12" max="12" width="15.44140625" customWidth="1"/>
    <col min="13" max="13" width="13.109375" bestFit="1" customWidth="1"/>
    <col min="14" max="14" width="15" customWidth="1"/>
    <col min="15" max="15" width="13.109375" bestFit="1" customWidth="1"/>
    <col min="16" max="16" width="12.88671875" customWidth="1"/>
    <col min="17" max="17" width="16.6640625" bestFit="1" customWidth="1"/>
    <col min="18" max="18" width="13.6640625" bestFit="1" customWidth="1"/>
    <col min="19" max="19" width="13.109375" bestFit="1" customWidth="1"/>
    <col min="20" max="20" width="12.6640625" bestFit="1" customWidth="1"/>
    <col min="21" max="22" width="12.33203125" bestFit="1" customWidth="1"/>
    <col min="23" max="23" width="12.5546875" bestFit="1" customWidth="1"/>
    <col min="25" max="25" width="11.109375" bestFit="1" customWidth="1"/>
    <col min="27" max="27" width="12.109375" bestFit="1" customWidth="1"/>
  </cols>
  <sheetData>
    <row r="2" spans="1:22" ht="13.8" thickBot="1" x14ac:dyDescent="0.3"/>
    <row r="3" spans="1:22" x14ac:dyDescent="0.25">
      <c r="A3" s="469"/>
      <c r="B3" s="3220" t="s">
        <v>1</v>
      </c>
      <c r="C3" s="3221"/>
      <c r="D3" s="3222"/>
      <c r="E3" s="3221" t="s">
        <v>76</v>
      </c>
      <c r="F3" s="3221"/>
      <c r="G3" s="3221"/>
      <c r="H3" s="3220" t="s">
        <v>22</v>
      </c>
      <c r="I3" s="3221"/>
      <c r="J3" s="3222"/>
      <c r="K3" s="3220" t="s">
        <v>101</v>
      </c>
      <c r="L3" s="3221"/>
      <c r="M3" s="3222"/>
      <c r="N3" s="3228" t="s">
        <v>356</v>
      </c>
    </row>
    <row r="4" spans="1:22" ht="13.8" thickBot="1" x14ac:dyDescent="0.3">
      <c r="A4" s="470" t="s">
        <v>375</v>
      </c>
      <c r="B4" s="471" t="s">
        <v>119</v>
      </c>
      <c r="C4" s="472" t="s">
        <v>15</v>
      </c>
      <c r="D4" s="473" t="s">
        <v>14</v>
      </c>
      <c r="E4" s="474" t="s">
        <v>119</v>
      </c>
      <c r="F4" s="472" t="s">
        <v>15</v>
      </c>
      <c r="G4" s="475" t="s">
        <v>14</v>
      </c>
      <c r="H4" s="471" t="s">
        <v>119</v>
      </c>
      <c r="I4" s="472" t="s">
        <v>15</v>
      </c>
      <c r="J4" s="473" t="s">
        <v>14</v>
      </c>
      <c r="K4" s="474" t="s">
        <v>119</v>
      </c>
      <c r="L4" s="475" t="s">
        <v>15</v>
      </c>
      <c r="M4" s="473" t="s">
        <v>14</v>
      </c>
      <c r="N4" s="3229"/>
      <c r="O4" s="915" t="s">
        <v>670</v>
      </c>
      <c r="P4" s="2764" t="s">
        <v>671</v>
      </c>
      <c r="Q4" s="915"/>
      <c r="R4" s="915"/>
      <c r="S4" s="915"/>
      <c r="T4" s="915"/>
      <c r="U4" s="915"/>
    </row>
    <row r="5" spans="1:22" x14ac:dyDescent="0.25">
      <c r="A5" s="476" t="s">
        <v>262</v>
      </c>
      <c r="B5" s="478"/>
      <c r="C5" s="835"/>
      <c r="D5" s="480">
        <f>IF(B5=0,0,C5/B5)</f>
        <v>0</v>
      </c>
      <c r="E5" s="481">
        <v>823</v>
      </c>
      <c r="F5" s="479">
        <v>222664</v>
      </c>
      <c r="G5" s="480">
        <f>IF(E5=0,0,F5/E5)</f>
        <v>270.55164034021874</v>
      </c>
      <c r="H5" s="483">
        <v>4</v>
      </c>
      <c r="I5" s="508">
        <v>3380</v>
      </c>
      <c r="J5" s="480">
        <f>IF(H5=0,0,I5/H5)</f>
        <v>845</v>
      </c>
      <c r="K5" s="965">
        <f>B5+E5+H5</f>
        <v>827</v>
      </c>
      <c r="L5" s="966">
        <f>C5+F5+I5</f>
        <v>226044</v>
      </c>
      <c r="M5" s="967">
        <f>IF(K5=0,0,L5/K5)</f>
        <v>273.33010882708584</v>
      </c>
      <c r="N5" s="2714"/>
      <c r="O5" s="1528">
        <f>ROUND((C5-N5),0)</f>
        <v>0</v>
      </c>
      <c r="P5" s="218">
        <f>ROUND((O5+F5+I5),0)</f>
        <v>226044</v>
      </c>
      <c r="Q5" s="973"/>
      <c r="R5" s="973"/>
      <c r="S5" s="973"/>
      <c r="T5" s="973"/>
      <c r="U5" s="9"/>
      <c r="V5" s="9"/>
    </row>
    <row r="6" spans="1:22" x14ac:dyDescent="0.25">
      <c r="A6" s="484" t="s">
        <v>228</v>
      </c>
      <c r="B6" s="478">
        <v>76000</v>
      </c>
      <c r="C6" s="835">
        <v>11611487.01</v>
      </c>
      <c r="D6" s="480">
        <f t="shared" ref="D6:D16" si="0">IF(B6=0,0,C6/B6)</f>
        <v>152.78272381578947</v>
      </c>
      <c r="E6" s="481">
        <v>646.79999999999995</v>
      </c>
      <c r="F6" s="479">
        <v>170591</v>
      </c>
      <c r="G6" s="480">
        <f t="shared" ref="G6:G16" si="1">IF(E6=0,0,F6/E6)</f>
        <v>263.74613481756342</v>
      </c>
      <c r="H6" s="483">
        <v>2</v>
      </c>
      <c r="I6" s="508">
        <v>1820</v>
      </c>
      <c r="J6" s="480">
        <f t="shared" ref="J6:J16" si="2">IF(H6=0,0,I6/H6)</f>
        <v>910</v>
      </c>
      <c r="K6" s="968">
        <f>B6+E6+H6</f>
        <v>76648.800000000003</v>
      </c>
      <c r="L6" s="837">
        <f t="shared" ref="K6:L7" si="3">C6+F6+I6</f>
        <v>11783898.01</v>
      </c>
      <c r="M6" s="480">
        <f t="shared" ref="M6:M15" si="4">IF(K6=0,0,L6/K6)</f>
        <v>153.73884535700492</v>
      </c>
      <c r="N6" s="2715">
        <v>349311</v>
      </c>
      <c r="O6" s="1528">
        <f>ROUND((C6-N6),0)</f>
        <v>11262176</v>
      </c>
      <c r="P6" s="218">
        <f>ROUND((O6+F6+I6),0)</f>
        <v>11434587</v>
      </c>
      <c r="Q6" s="324"/>
      <c r="R6" s="324"/>
      <c r="S6" s="324"/>
      <c r="T6" s="324"/>
    </row>
    <row r="7" spans="1:22" ht="13.8" thickBot="1" x14ac:dyDescent="0.3">
      <c r="A7" s="484" t="s">
        <v>263</v>
      </c>
      <c r="B7" s="478"/>
      <c r="C7" s="835"/>
      <c r="D7" s="480">
        <f t="shared" si="0"/>
        <v>0</v>
      </c>
      <c r="E7" s="481"/>
      <c r="F7" s="479"/>
      <c r="G7" s="480">
        <f t="shared" si="1"/>
        <v>0</v>
      </c>
      <c r="H7" s="483"/>
      <c r="I7" s="508"/>
      <c r="J7" s="480">
        <f t="shared" si="2"/>
        <v>0</v>
      </c>
      <c r="K7" s="969">
        <f t="shared" si="3"/>
        <v>0</v>
      </c>
      <c r="L7" s="970">
        <f t="shared" si="3"/>
        <v>0</v>
      </c>
      <c r="M7" s="971">
        <f t="shared" si="4"/>
        <v>0</v>
      </c>
      <c r="N7" s="2716"/>
      <c r="O7" s="1528">
        <f t="shared" ref="O7:O16" si="5">ROUND((C7-N7),0)</f>
        <v>0</v>
      </c>
      <c r="P7" s="218">
        <f>ROUND((O7+F7+I7),0)</f>
        <v>0</v>
      </c>
      <c r="Q7" s="974"/>
      <c r="R7" s="974"/>
      <c r="S7" s="974"/>
      <c r="T7" s="974"/>
    </row>
    <row r="8" spans="1:22" s="1153" customFormat="1" x14ac:dyDescent="0.25">
      <c r="A8" s="1147" t="s">
        <v>264</v>
      </c>
      <c r="B8" s="1154"/>
      <c r="C8" s="1155"/>
      <c r="D8" s="899">
        <f t="shared" si="0"/>
        <v>0</v>
      </c>
      <c r="E8" s="1156"/>
      <c r="F8" s="1157"/>
      <c r="G8" s="899">
        <f t="shared" si="1"/>
        <v>0</v>
      </c>
      <c r="H8" s="1149"/>
      <c r="I8" s="1148"/>
      <c r="J8" s="899">
        <f t="shared" si="2"/>
        <v>0</v>
      </c>
      <c r="K8" s="1158">
        <f>B8+E8+H8</f>
        <v>0</v>
      </c>
      <c r="L8" s="1159">
        <f>C8+F8+I8</f>
        <v>0</v>
      </c>
      <c r="M8" s="1152">
        <f>IF(K8=0,0,L8/K8)</f>
        <v>0</v>
      </c>
      <c r="N8" s="2717"/>
      <c r="O8" s="1528">
        <f t="shared" si="5"/>
        <v>0</v>
      </c>
      <c r="P8" s="218">
        <f>ROUND((O8+F8+I8),0)</f>
        <v>0</v>
      </c>
      <c r="Q8" s="1160"/>
      <c r="R8" s="1160"/>
      <c r="S8" s="1160"/>
      <c r="T8" s="1160"/>
    </row>
    <row r="9" spans="1:22" x14ac:dyDescent="0.25">
      <c r="A9" s="484" t="s">
        <v>265</v>
      </c>
      <c r="B9" s="478"/>
      <c r="C9" s="835"/>
      <c r="D9" s="480">
        <f t="shared" si="0"/>
        <v>0</v>
      </c>
      <c r="E9" s="481"/>
      <c r="F9" s="479"/>
      <c r="G9" s="480">
        <f t="shared" si="1"/>
        <v>0</v>
      </c>
      <c r="H9" s="483"/>
      <c r="I9" s="508"/>
      <c r="J9" s="480">
        <f t="shared" si="2"/>
        <v>0</v>
      </c>
      <c r="K9" s="972">
        <f>B9+E9+H9</f>
        <v>0</v>
      </c>
      <c r="L9" s="898">
        <f t="shared" ref="L9" si="6">C9+F9+I9</f>
        <v>0</v>
      </c>
      <c r="M9" s="899">
        <f>IF(K9=0,0,L9/K9)</f>
        <v>0</v>
      </c>
      <c r="N9" s="2718"/>
      <c r="O9" s="1528">
        <f t="shared" si="5"/>
        <v>0</v>
      </c>
      <c r="P9" s="218">
        <f>ROUND((O9+F9+I9),0)</f>
        <v>0</v>
      </c>
      <c r="Q9" s="973"/>
      <c r="R9" s="973"/>
      <c r="S9" s="973"/>
      <c r="T9" s="973"/>
      <c r="U9" s="9"/>
      <c r="V9" s="9"/>
    </row>
    <row r="10" spans="1:22" ht="13.8" thickBot="1" x14ac:dyDescent="0.3">
      <c r="A10" s="484" t="s">
        <v>266</v>
      </c>
      <c r="B10" s="478"/>
      <c r="C10" s="835"/>
      <c r="D10" s="480">
        <f t="shared" si="0"/>
        <v>0</v>
      </c>
      <c r="E10" s="481"/>
      <c r="F10" s="479"/>
      <c r="G10" s="480">
        <f t="shared" si="1"/>
        <v>0</v>
      </c>
      <c r="H10" s="483"/>
      <c r="I10" s="508"/>
      <c r="J10" s="480">
        <f t="shared" si="2"/>
        <v>0</v>
      </c>
      <c r="K10" s="969">
        <f>B10+E10+H10</f>
        <v>0</v>
      </c>
      <c r="L10" s="970">
        <f>C10+F10+I10</f>
        <v>0</v>
      </c>
      <c r="M10" s="971">
        <f>IF(K10=0,0,L10/K10)</f>
        <v>0</v>
      </c>
      <c r="N10" s="2716"/>
      <c r="O10" s="1528">
        <f t="shared" si="5"/>
        <v>0</v>
      </c>
      <c r="P10" s="218">
        <f t="shared" ref="P10:P16" si="7">ROUND((O10+F10+I10),0)</f>
        <v>0</v>
      </c>
      <c r="Q10" s="973"/>
      <c r="R10" s="973"/>
      <c r="S10" s="973"/>
      <c r="T10" s="973"/>
    </row>
    <row r="11" spans="1:22" x14ac:dyDescent="0.25">
      <c r="A11" s="484" t="s">
        <v>427</v>
      </c>
      <c r="B11" s="478"/>
      <c r="C11" s="835"/>
      <c r="D11" s="480">
        <f t="shared" si="0"/>
        <v>0</v>
      </c>
      <c r="E11" s="481"/>
      <c r="F11" s="479"/>
      <c r="G11" s="480">
        <f t="shared" si="1"/>
        <v>0</v>
      </c>
      <c r="H11" s="483"/>
      <c r="I11" s="508"/>
      <c r="J11" s="480">
        <f t="shared" si="2"/>
        <v>0</v>
      </c>
      <c r="K11" s="965">
        <f>B11+E11+H11</f>
        <v>0</v>
      </c>
      <c r="L11" s="966">
        <f>C11+F11+I11</f>
        <v>0</v>
      </c>
      <c r="M11" s="967">
        <f t="shared" si="4"/>
        <v>0</v>
      </c>
      <c r="N11" s="2714"/>
      <c r="O11" s="1528">
        <f t="shared" si="5"/>
        <v>0</v>
      </c>
      <c r="P11" s="218">
        <f t="shared" si="7"/>
        <v>0</v>
      </c>
      <c r="Q11" s="9"/>
      <c r="R11" s="9"/>
      <c r="S11" s="9"/>
      <c r="T11" s="9"/>
    </row>
    <row r="12" spans="1:22" x14ac:dyDescent="0.25">
      <c r="A12" s="484" t="s">
        <v>229</v>
      </c>
      <c r="B12" s="478"/>
      <c r="C12" s="835"/>
      <c r="D12" s="480">
        <f t="shared" si="0"/>
        <v>0</v>
      </c>
      <c r="E12" s="481"/>
      <c r="F12" s="479"/>
      <c r="G12" s="480">
        <f t="shared" si="1"/>
        <v>0</v>
      </c>
      <c r="H12" s="483"/>
      <c r="I12" s="508"/>
      <c r="J12" s="480">
        <f t="shared" si="2"/>
        <v>0</v>
      </c>
      <c r="K12" s="968">
        <f>B12+E12+H12</f>
        <v>0</v>
      </c>
      <c r="L12" s="837">
        <f>C12+F12+I12</f>
        <v>0</v>
      </c>
      <c r="M12" s="480">
        <f>IF(K12=0,0,L12/K12)</f>
        <v>0</v>
      </c>
      <c r="N12" s="2715"/>
      <c r="O12" s="1528">
        <f t="shared" si="5"/>
        <v>0</v>
      </c>
      <c r="P12" s="218">
        <f t="shared" si="7"/>
        <v>0</v>
      </c>
    </row>
    <row r="13" spans="1:22" ht="13.8" thickBot="1" x14ac:dyDescent="0.3">
      <c r="A13" s="484" t="s">
        <v>230</v>
      </c>
      <c r="B13" s="478"/>
      <c r="C13" s="835"/>
      <c r="D13" s="480">
        <f>IF(B13=0,0,C13/B13)</f>
        <v>0</v>
      </c>
      <c r="E13" s="481"/>
      <c r="F13" s="479"/>
      <c r="G13" s="480">
        <f>IF(E13=0,0,F13/E13)</f>
        <v>0</v>
      </c>
      <c r="H13" s="483"/>
      <c r="I13" s="508"/>
      <c r="J13" s="480">
        <f>IF(H13=0,0,I13/H13)</f>
        <v>0</v>
      </c>
      <c r="K13" s="969">
        <f>B13+E13+H13</f>
        <v>0</v>
      </c>
      <c r="L13" s="970">
        <f>C13+F13+I13</f>
        <v>0</v>
      </c>
      <c r="M13" s="971">
        <f>IF(K13=0,0,L13/K13)</f>
        <v>0</v>
      </c>
      <c r="N13" s="2716"/>
      <c r="O13" s="1528">
        <f t="shared" si="5"/>
        <v>0</v>
      </c>
      <c r="P13" s="218">
        <f t="shared" si="7"/>
        <v>0</v>
      </c>
      <c r="Q13" s="974"/>
      <c r="R13" s="974"/>
      <c r="S13" s="974"/>
      <c r="T13" s="974"/>
      <c r="U13" s="9"/>
      <c r="V13" s="9"/>
    </row>
    <row r="14" spans="1:22" x14ac:dyDescent="0.25">
      <c r="A14" s="484" t="s">
        <v>231</v>
      </c>
      <c r="B14" s="478"/>
      <c r="C14" s="835"/>
      <c r="D14" s="480">
        <f t="shared" si="0"/>
        <v>0</v>
      </c>
      <c r="E14" s="487"/>
      <c r="F14" s="486"/>
      <c r="G14" s="480">
        <f t="shared" si="1"/>
        <v>0</v>
      </c>
      <c r="H14" s="489"/>
      <c r="I14" s="490"/>
      <c r="J14" s="480">
        <f t="shared" si="2"/>
        <v>0</v>
      </c>
      <c r="K14" s="836">
        <f t="shared" ref="K14:L15" si="8">B14+E14+H14</f>
        <v>0</v>
      </c>
      <c r="L14" s="837">
        <f t="shared" si="8"/>
        <v>0</v>
      </c>
      <c r="M14" s="480">
        <f t="shared" si="4"/>
        <v>0</v>
      </c>
      <c r="N14" s="2715"/>
      <c r="O14" s="1528">
        <f t="shared" si="5"/>
        <v>0</v>
      </c>
      <c r="P14" s="218">
        <f t="shared" si="7"/>
        <v>0</v>
      </c>
      <c r="Q14" s="974"/>
      <c r="R14" s="974"/>
      <c r="S14" s="974"/>
      <c r="T14" s="974"/>
    </row>
    <row r="15" spans="1:22" x14ac:dyDescent="0.25">
      <c r="A15" s="484" t="s">
        <v>232</v>
      </c>
      <c r="B15" s="478"/>
      <c r="C15" s="835"/>
      <c r="D15" s="480">
        <f t="shared" si="0"/>
        <v>0</v>
      </c>
      <c r="E15" s="491"/>
      <c r="F15" s="490"/>
      <c r="G15" s="480">
        <f t="shared" si="1"/>
        <v>0</v>
      </c>
      <c r="H15" s="489"/>
      <c r="I15" s="490"/>
      <c r="J15" s="480">
        <f t="shared" si="2"/>
        <v>0</v>
      </c>
      <c r="K15" s="836">
        <f>B15+E15+H15</f>
        <v>0</v>
      </c>
      <c r="L15" s="837">
        <f t="shared" si="8"/>
        <v>0</v>
      </c>
      <c r="M15" s="480">
        <f t="shared" si="4"/>
        <v>0</v>
      </c>
      <c r="N15" s="2719"/>
      <c r="O15" s="1528">
        <f t="shared" si="5"/>
        <v>0</v>
      </c>
      <c r="P15" s="218">
        <f t="shared" si="7"/>
        <v>0</v>
      </c>
      <c r="Q15" s="973"/>
      <c r="R15" s="973"/>
      <c r="S15" s="973"/>
      <c r="T15" s="973"/>
      <c r="V15" s="9"/>
    </row>
    <row r="16" spans="1:22" ht="13.8" thickBot="1" x14ac:dyDescent="0.3">
      <c r="A16" s="492" t="s">
        <v>268</v>
      </c>
      <c r="B16" s="478"/>
      <c r="C16" s="835"/>
      <c r="D16" s="480">
        <f t="shared" si="0"/>
        <v>0</v>
      </c>
      <c r="E16" s="825"/>
      <c r="F16" s="826"/>
      <c r="G16" s="480">
        <f t="shared" si="1"/>
        <v>0</v>
      </c>
      <c r="H16" s="827"/>
      <c r="I16" s="826"/>
      <c r="J16" s="480">
        <f t="shared" si="2"/>
        <v>0</v>
      </c>
      <c r="K16" s="836">
        <f>B16+E16+H16</f>
        <v>0</v>
      </c>
      <c r="L16" s="837">
        <f>C16+F16+I16</f>
        <v>0</v>
      </c>
      <c r="M16" s="480">
        <f>IF(K16=0,0,L16/K16)</f>
        <v>0</v>
      </c>
      <c r="N16" s="2720"/>
      <c r="O16" s="1528">
        <f t="shared" si="5"/>
        <v>0</v>
      </c>
      <c r="P16" s="218">
        <f t="shared" si="7"/>
        <v>0</v>
      </c>
      <c r="Q16" s="8"/>
      <c r="S16" s="9"/>
      <c r="T16" s="9"/>
    </row>
    <row r="17" spans="1:23" ht="13.8" thickBot="1" x14ac:dyDescent="0.3">
      <c r="A17" s="493" t="s">
        <v>101</v>
      </c>
      <c r="B17" s="1987">
        <f>SUM(B5:B16)</f>
        <v>76000</v>
      </c>
      <c r="C17" s="1988">
        <f>SUM(C5:C16)</f>
        <v>11611487.01</v>
      </c>
      <c r="D17" s="497">
        <f>IF(B17=0,0,(C17/B17))</f>
        <v>152.78272381578947</v>
      </c>
      <c r="E17" s="1989">
        <f>SUM(E5:E16)</f>
        <v>1469.8</v>
      </c>
      <c r="F17" s="1990">
        <f>SUM(F5:F16)</f>
        <v>393255</v>
      </c>
      <c r="G17" s="497">
        <f>IF(E17=0,0,(F17/E17))</f>
        <v>267.55681045040143</v>
      </c>
      <c r="H17" s="1987">
        <f>SUM(H5:H16)</f>
        <v>6</v>
      </c>
      <c r="I17" s="1990">
        <f>SUM(I5:I16)</f>
        <v>5200</v>
      </c>
      <c r="J17" s="497">
        <f>IF(H17=0,0,(I17/H17))</f>
        <v>866.66666666666663</v>
      </c>
      <c r="K17" s="495">
        <f>SUM(K5:K16)</f>
        <v>77475.8</v>
      </c>
      <c r="L17" s="1406">
        <f>SUM(L5:L16)</f>
        <v>12009942.01</v>
      </c>
      <c r="M17" s="497">
        <f>IF(K17=0,0,(L17/K17))</f>
        <v>155.01539848572068</v>
      </c>
      <c r="N17" s="2721">
        <f>SUM(N5:N16)</f>
        <v>349311</v>
      </c>
      <c r="O17" s="218">
        <f>SUM(O5:O16)</f>
        <v>11262176</v>
      </c>
      <c r="P17" s="218">
        <f>SUM(P5:P16)</f>
        <v>11660631</v>
      </c>
      <c r="Q17" s="8"/>
      <c r="S17" s="2"/>
    </row>
    <row r="18" spans="1:23" x14ac:dyDescent="0.25">
      <c r="L18" s="2">
        <f>L17-N17</f>
        <v>11660631.01</v>
      </c>
      <c r="M18" s="8"/>
      <c r="N18" s="1134">
        <f>N17/B17</f>
        <v>4.5961973684210529</v>
      </c>
      <c r="O18" s="502"/>
      <c r="P18" s="8"/>
      <c r="R18" s="2"/>
    </row>
    <row r="19" spans="1:23" x14ac:dyDescent="0.25">
      <c r="O19" s="8"/>
    </row>
    <row r="20" spans="1:23" ht="13.8" thickBot="1" x14ac:dyDescent="0.3">
      <c r="A20" s="3224" t="s">
        <v>385</v>
      </c>
      <c r="B20" s="3225"/>
      <c r="C20" s="3225"/>
      <c r="D20" s="3225"/>
      <c r="E20" s="3225"/>
      <c r="F20" s="3225"/>
      <c r="G20" s="3225"/>
      <c r="H20" s="3225"/>
      <c r="I20" s="3225"/>
      <c r="J20" s="3225"/>
      <c r="K20" s="500"/>
      <c r="L20" s="500"/>
      <c r="M20" s="467"/>
      <c r="O20" s="2703"/>
      <c r="P20" s="2703"/>
      <c r="Q20" s="2703"/>
      <c r="R20" s="2703"/>
      <c r="S20" s="2703"/>
    </row>
    <row r="21" spans="1:23" ht="13.8" thickBot="1" x14ac:dyDescent="0.3">
      <c r="A21" s="507" t="s">
        <v>375</v>
      </c>
      <c r="B21" s="3219" t="s">
        <v>1017</v>
      </c>
      <c r="C21" s="3218"/>
      <c r="D21" s="3218"/>
      <c r="E21" s="3226" t="s">
        <v>945</v>
      </c>
      <c r="F21" s="3227"/>
      <c r="G21" s="3227"/>
      <c r="H21" s="2757" t="s">
        <v>233</v>
      </c>
      <c r="I21" s="3232" t="s">
        <v>953</v>
      </c>
      <c r="J21" s="3233"/>
      <c r="K21" s="3234"/>
      <c r="L21" s="3235" t="s">
        <v>952</v>
      </c>
      <c r="M21" s="3236"/>
      <c r="N21" s="3237"/>
      <c r="O21" s="3230" t="s">
        <v>951</v>
      </c>
      <c r="P21" s="3231"/>
      <c r="Q21" s="980" t="s">
        <v>1035</v>
      </c>
      <c r="S21" s="467"/>
      <c r="T21" s="467"/>
      <c r="U21" s="467"/>
      <c r="V21" s="467"/>
      <c r="W21" s="467"/>
    </row>
    <row r="22" spans="1:23" x14ac:dyDescent="0.25">
      <c r="A22" s="476" t="s">
        <v>262</v>
      </c>
      <c r="B22" s="975">
        <f>[2]Srvaya!B29</f>
        <v>5222</v>
      </c>
      <c r="C22" s="1151">
        <f>[2]Srvaya!C29</f>
        <v>1458702</v>
      </c>
      <c r="D22" s="967">
        <f>IF(B22=0,0,C22/B22)</f>
        <v>279.33780160857907</v>
      </c>
      <c r="E22" s="2955">
        <f>22528.36+5-B22-0.4</f>
        <v>17310.96</v>
      </c>
      <c r="F22" s="2708">
        <f>5990692+2960-C22</f>
        <v>4534950</v>
      </c>
      <c r="G22" s="2743">
        <f>IF(E22=0,0,F22/E22)</f>
        <v>261.9698734212314</v>
      </c>
      <c r="H22" s="2714">
        <v>283632.3</v>
      </c>
      <c r="I22" s="2753">
        <f>ROUND((B22+E22),0)</f>
        <v>22533</v>
      </c>
      <c r="J22" s="2744">
        <f t="shared" ref="J22:J29" si="9">ROUND((C22+F22+H22),0)</f>
        <v>6277284</v>
      </c>
      <c r="K22" s="2745">
        <f>IF(I22=0,0,J22/I22)</f>
        <v>278.58181334043405</v>
      </c>
      <c r="L22" s="975">
        <f>3668</f>
        <v>3668</v>
      </c>
      <c r="M22" s="976">
        <v>668801</v>
      </c>
      <c r="N22" s="967">
        <f t="shared" ref="N22:N33" si="10">IF(L22=0,0,M22/L22)</f>
        <v>182.33396946564886</v>
      </c>
      <c r="O22" s="533">
        <f>ROUND((I22+L22),0)</f>
        <v>26201</v>
      </c>
      <c r="P22" s="2762">
        <f>ROUND((J22+M22),0)</f>
        <v>6946085</v>
      </c>
      <c r="Q22" s="1414">
        <v>6939485.2999999998</v>
      </c>
      <c r="R22" s="2741">
        <f>P22-Q22</f>
        <v>6599.7000000001863</v>
      </c>
      <c r="S22" s="467"/>
      <c r="T22" s="467"/>
      <c r="U22" s="838"/>
      <c r="V22" s="839"/>
      <c r="W22" s="504"/>
    </row>
    <row r="23" spans="1:23" x14ac:dyDescent="0.25">
      <c r="A23" s="484" t="s">
        <v>228</v>
      </c>
      <c r="B23" s="483">
        <v>192</v>
      </c>
      <c r="C23" s="1148">
        <v>48300</v>
      </c>
      <c r="D23" s="480">
        <f t="shared" ref="D23:D29" si="11">IF(B23=0,0,C23/B23)</f>
        <v>251.5625</v>
      </c>
      <c r="E23" s="957">
        <v>9183.5</v>
      </c>
      <c r="F23" s="479">
        <v>2443256</v>
      </c>
      <c r="G23" s="482">
        <f t="shared" ref="G23:G29" si="12">IF(E23=0,0,F23/E23)</f>
        <v>266.04845647084443</v>
      </c>
      <c r="H23" s="2715">
        <v>285732.25</v>
      </c>
      <c r="I23" s="2761">
        <f t="shared" ref="I23:I28" si="13">ROUND((B23+E23),0)</f>
        <v>9376</v>
      </c>
      <c r="J23" s="2746">
        <f t="shared" si="9"/>
        <v>2777288</v>
      </c>
      <c r="K23" s="2747">
        <f t="shared" ref="K23:K34" si="14">IF(I23=0,0,J23/I23)</f>
        <v>296.21245733788396</v>
      </c>
      <c r="L23" s="483">
        <v>4150</v>
      </c>
      <c r="M23" s="508">
        <v>462250</v>
      </c>
      <c r="N23" s="480">
        <f t="shared" si="10"/>
        <v>111.3855421686747</v>
      </c>
      <c r="O23" s="533">
        <f t="shared" ref="O23:P32" si="15">ROUND((I23+L23),0)</f>
        <v>13526</v>
      </c>
      <c r="P23" s="2762">
        <f t="shared" si="15"/>
        <v>3239538</v>
      </c>
      <c r="Q23" s="1414"/>
      <c r="R23" s="2741">
        <f t="shared" ref="R23:R29" si="16">P23-Q23</f>
        <v>3239538</v>
      </c>
    </row>
    <row r="24" spans="1:23" ht="13.8" thickBot="1" x14ac:dyDescent="0.3">
      <c r="A24" s="2705" t="s">
        <v>263</v>
      </c>
      <c r="B24" s="977"/>
      <c r="C24" s="2709"/>
      <c r="D24" s="971">
        <f>IF(B24=0,0,C24/B24)</f>
        <v>0</v>
      </c>
      <c r="E24" s="2956"/>
      <c r="F24" s="2957"/>
      <c r="G24" s="2958">
        <f>IF(E24=0,0,F24/E24)</f>
        <v>0</v>
      </c>
      <c r="H24" s="2716"/>
      <c r="I24" s="2760">
        <f t="shared" si="13"/>
        <v>0</v>
      </c>
      <c r="J24" s="2758">
        <f t="shared" si="9"/>
        <v>0</v>
      </c>
      <c r="K24" s="2748">
        <f t="shared" si="14"/>
        <v>0</v>
      </c>
      <c r="L24" s="977"/>
      <c r="M24" s="978"/>
      <c r="N24" s="971">
        <f t="shared" si="10"/>
        <v>0</v>
      </c>
      <c r="O24" s="2759">
        <f t="shared" si="15"/>
        <v>0</v>
      </c>
      <c r="P24" s="2763">
        <f t="shared" si="15"/>
        <v>0</v>
      </c>
      <c r="Q24" s="1414"/>
      <c r="R24" s="2741">
        <f t="shared" si="16"/>
        <v>0</v>
      </c>
      <c r="U24" s="8"/>
      <c r="W24" s="8"/>
    </row>
    <row r="25" spans="1:23" x14ac:dyDescent="0.25">
      <c r="A25" s="2704" t="s">
        <v>264</v>
      </c>
      <c r="B25" s="1150"/>
      <c r="C25" s="1151"/>
      <c r="D25" s="1152">
        <f t="shared" si="11"/>
        <v>0</v>
      </c>
      <c r="E25" s="2959"/>
      <c r="F25" s="2960"/>
      <c r="G25" s="2961">
        <f t="shared" si="12"/>
        <v>0</v>
      </c>
      <c r="H25" s="2717"/>
      <c r="I25" s="2753">
        <f t="shared" si="13"/>
        <v>0</v>
      </c>
      <c r="J25" s="2744">
        <f t="shared" si="9"/>
        <v>0</v>
      </c>
      <c r="K25" s="2749">
        <f t="shared" si="14"/>
        <v>0</v>
      </c>
      <c r="L25" s="1150"/>
      <c r="M25" s="1151"/>
      <c r="N25" s="1152">
        <f t="shared" si="10"/>
        <v>0</v>
      </c>
      <c r="O25" s="533">
        <f t="shared" si="15"/>
        <v>0</v>
      </c>
      <c r="P25" s="2762">
        <f t="shared" si="15"/>
        <v>0</v>
      </c>
      <c r="Q25" s="1414"/>
      <c r="R25" s="2741">
        <f t="shared" si="16"/>
        <v>0</v>
      </c>
      <c r="U25" s="8"/>
    </row>
    <row r="26" spans="1:23" x14ac:dyDescent="0.25">
      <c r="A26" s="484" t="s">
        <v>265</v>
      </c>
      <c r="B26" s="483"/>
      <c r="C26" s="508"/>
      <c r="D26" s="899">
        <f t="shared" si="11"/>
        <v>0</v>
      </c>
      <c r="E26" s="2962"/>
      <c r="F26" s="1157"/>
      <c r="G26" s="2963">
        <f t="shared" si="12"/>
        <v>0</v>
      </c>
      <c r="H26" s="2718"/>
      <c r="I26" s="2738">
        <f t="shared" si="13"/>
        <v>0</v>
      </c>
      <c r="J26" s="2746">
        <f t="shared" si="9"/>
        <v>0</v>
      </c>
      <c r="K26" s="2747">
        <f t="shared" si="14"/>
        <v>0</v>
      </c>
      <c r="L26" s="483"/>
      <c r="M26" s="508"/>
      <c r="N26" s="899">
        <f t="shared" si="10"/>
        <v>0</v>
      </c>
      <c r="O26" s="533">
        <f t="shared" si="15"/>
        <v>0</v>
      </c>
      <c r="P26" s="2762">
        <f t="shared" si="15"/>
        <v>0</v>
      </c>
      <c r="Q26" s="1414"/>
      <c r="R26" s="2741">
        <f t="shared" si="16"/>
        <v>0</v>
      </c>
      <c r="U26" s="8"/>
      <c r="V26" s="8"/>
    </row>
    <row r="27" spans="1:23" ht="13.8" thickBot="1" x14ac:dyDescent="0.3">
      <c r="A27" s="2705" t="s">
        <v>266</v>
      </c>
      <c r="B27" s="977"/>
      <c r="C27" s="978"/>
      <c r="D27" s="971">
        <f t="shared" si="11"/>
        <v>0</v>
      </c>
      <c r="E27" s="2956"/>
      <c r="F27" s="2957"/>
      <c r="G27" s="2958">
        <f t="shared" si="12"/>
        <v>0</v>
      </c>
      <c r="H27" s="2716"/>
      <c r="I27" s="2760">
        <f t="shared" si="13"/>
        <v>0</v>
      </c>
      <c r="J27" s="2758">
        <f t="shared" si="9"/>
        <v>0</v>
      </c>
      <c r="K27" s="2748">
        <f t="shared" si="14"/>
        <v>0</v>
      </c>
      <c r="L27" s="977"/>
      <c r="M27" s="978"/>
      <c r="N27" s="971">
        <f t="shared" si="10"/>
        <v>0</v>
      </c>
      <c r="O27" s="2759">
        <f t="shared" si="15"/>
        <v>0</v>
      </c>
      <c r="P27" s="2763">
        <f t="shared" si="15"/>
        <v>0</v>
      </c>
      <c r="Q27" s="1414"/>
      <c r="R27" s="2741">
        <f t="shared" si="16"/>
        <v>0</v>
      </c>
    </row>
    <row r="28" spans="1:23" x14ac:dyDescent="0.25">
      <c r="A28" s="476" t="s">
        <v>427</v>
      </c>
      <c r="B28" s="975"/>
      <c r="C28" s="976"/>
      <c r="D28" s="967">
        <f t="shared" si="11"/>
        <v>0</v>
      </c>
      <c r="E28" s="2707"/>
      <c r="F28" s="2708"/>
      <c r="G28" s="2743">
        <f t="shared" si="12"/>
        <v>0</v>
      </c>
      <c r="H28" s="2714"/>
      <c r="I28" s="2753">
        <f t="shared" si="13"/>
        <v>0</v>
      </c>
      <c r="J28" s="2744">
        <f t="shared" si="9"/>
        <v>0</v>
      </c>
      <c r="K28" s="2749">
        <f t="shared" si="14"/>
        <v>0</v>
      </c>
      <c r="L28" s="975"/>
      <c r="M28" s="976"/>
      <c r="N28" s="967">
        <f t="shared" si="10"/>
        <v>0</v>
      </c>
      <c r="O28" s="533">
        <f t="shared" si="15"/>
        <v>0</v>
      </c>
      <c r="P28" s="2762">
        <f t="shared" si="15"/>
        <v>0</v>
      </c>
      <c r="Q28" s="1414"/>
      <c r="R28" s="2741">
        <f t="shared" si="16"/>
        <v>0</v>
      </c>
    </row>
    <row r="29" spans="1:23" x14ac:dyDescent="0.25">
      <c r="A29" s="484" t="s">
        <v>229</v>
      </c>
      <c r="B29" s="483"/>
      <c r="C29" s="508"/>
      <c r="D29" s="480">
        <f t="shared" si="11"/>
        <v>0</v>
      </c>
      <c r="E29" s="957"/>
      <c r="F29" s="479"/>
      <c r="G29" s="2963">
        <f t="shared" si="12"/>
        <v>0</v>
      </c>
      <c r="H29" s="2715"/>
      <c r="I29" s="2761">
        <f>ROUND((B29+E29),0)</f>
        <v>0</v>
      </c>
      <c r="J29" s="2746">
        <f t="shared" si="9"/>
        <v>0</v>
      </c>
      <c r="K29" s="2747">
        <f t="shared" si="14"/>
        <v>0</v>
      </c>
      <c r="L29" s="483"/>
      <c r="M29" s="508"/>
      <c r="N29" s="480">
        <f t="shared" si="10"/>
        <v>0</v>
      </c>
      <c r="O29" s="533">
        <f t="shared" si="15"/>
        <v>0</v>
      </c>
      <c r="P29" s="2762">
        <f>ROUND((J29+M29),0)</f>
        <v>0</v>
      </c>
      <c r="Q29" s="1414"/>
      <c r="R29" s="2741">
        <f t="shared" si="16"/>
        <v>0</v>
      </c>
      <c r="U29" s="8"/>
      <c r="V29" s="8"/>
    </row>
    <row r="30" spans="1:23" ht="13.8" thickBot="1" x14ac:dyDescent="0.3">
      <c r="A30" s="484" t="s">
        <v>230</v>
      </c>
      <c r="B30" s="977"/>
      <c r="C30" s="978"/>
      <c r="D30" s="971">
        <f>IF(B30=0,0,C30/B30)</f>
        <v>0</v>
      </c>
      <c r="E30" s="2956"/>
      <c r="F30" s="2957"/>
      <c r="G30" s="2963">
        <f>IF(E30=0,0,F30/E30)</f>
        <v>0</v>
      </c>
      <c r="H30" s="2716"/>
      <c r="I30" s="2754">
        <f>B30+E30</f>
        <v>0</v>
      </c>
      <c r="J30" s="2964">
        <f>ROUND(C30+F30+H30,0)</f>
        <v>0</v>
      </c>
      <c r="K30" s="2749">
        <f t="shared" si="14"/>
        <v>0</v>
      </c>
      <c r="L30" s="977"/>
      <c r="M30" s="978"/>
      <c r="N30" s="971">
        <f t="shared" si="10"/>
        <v>0</v>
      </c>
      <c r="O30" s="2759">
        <f>ROUND((I30+L30),0)</f>
        <v>0</v>
      </c>
      <c r="P30" s="2763">
        <f>ROUND((J30+M30),0)</f>
        <v>0</v>
      </c>
      <c r="Q30" s="1414"/>
      <c r="R30" s="2741">
        <f>P30-Q30</f>
        <v>0</v>
      </c>
      <c r="S30" s="8"/>
      <c r="T30" s="8"/>
    </row>
    <row r="31" spans="1:23" x14ac:dyDescent="0.25">
      <c r="A31" s="484" t="s">
        <v>231</v>
      </c>
      <c r="B31" s="483"/>
      <c r="C31" s="508"/>
      <c r="D31" s="480">
        <f>IF(B31=0,0,C31/B31)</f>
        <v>0</v>
      </c>
      <c r="E31" s="957"/>
      <c r="F31" s="479"/>
      <c r="G31" s="2963">
        <f>IF(E31=0,0,F31/E31)</f>
        <v>0</v>
      </c>
      <c r="H31" s="2715"/>
      <c r="I31" s="2755">
        <f t="shared" ref="I31:I34" si="17">B31+E31</f>
        <v>0</v>
      </c>
      <c r="J31" s="2750">
        <f>C31+F31+H31</f>
        <v>0</v>
      </c>
      <c r="K31" s="2751">
        <f t="shared" si="14"/>
        <v>0</v>
      </c>
      <c r="L31" s="483"/>
      <c r="M31" s="508"/>
      <c r="N31" s="480">
        <f t="shared" si="10"/>
        <v>0</v>
      </c>
      <c r="O31" s="533">
        <f>ROUND((I31+L31),0)</f>
        <v>0</v>
      </c>
      <c r="P31" s="2762">
        <f>ROUND((J31+M31),0)</f>
        <v>0</v>
      </c>
      <c r="Q31" s="1414"/>
      <c r="R31" s="2741">
        <f>P31-Q31</f>
        <v>0</v>
      </c>
    </row>
    <row r="32" spans="1:23" x14ac:dyDescent="0.25">
      <c r="A32" s="484" t="s">
        <v>232</v>
      </c>
      <c r="B32" s="489"/>
      <c r="C32" s="490"/>
      <c r="D32" s="480">
        <f>IF(B32=0,0,C32/B32)</f>
        <v>0</v>
      </c>
      <c r="E32" s="957"/>
      <c r="F32" s="479"/>
      <c r="G32" s="2963">
        <f>IF(E32=0,0,F32/E32)</f>
        <v>0</v>
      </c>
      <c r="H32" s="2719"/>
      <c r="I32" s="2761">
        <f>B32+E32</f>
        <v>0</v>
      </c>
      <c r="J32" s="2746">
        <f>C32+F32+H32</f>
        <v>0</v>
      </c>
      <c r="K32" s="2747">
        <f t="shared" si="14"/>
        <v>0</v>
      </c>
      <c r="L32" s="489"/>
      <c r="M32" s="490"/>
      <c r="N32" s="480">
        <f t="shared" si="10"/>
        <v>0</v>
      </c>
      <c r="O32" s="533">
        <f t="shared" si="15"/>
        <v>0</v>
      </c>
      <c r="P32" s="2762">
        <f>ROUND((J32+M32),0)</f>
        <v>0</v>
      </c>
      <c r="Q32" s="1414"/>
      <c r="R32" s="2741">
        <f>P32-Q32</f>
        <v>0</v>
      </c>
      <c r="S32" s="8"/>
    </row>
    <row r="33" spans="1:19" ht="13.8" thickBot="1" x14ac:dyDescent="0.3">
      <c r="A33" s="492" t="s">
        <v>268</v>
      </c>
      <c r="B33" s="827"/>
      <c r="C33" s="826"/>
      <c r="D33" s="480">
        <f>IF(B33=0,0,C33/B33)</f>
        <v>0</v>
      </c>
      <c r="E33" s="504"/>
      <c r="F33" s="2965"/>
      <c r="G33" s="2963">
        <f>IF(E33=0,0,F33/E33)</f>
        <v>0</v>
      </c>
      <c r="H33" s="2720"/>
      <c r="I33" s="2754">
        <f>B33+E33</f>
        <v>0</v>
      </c>
      <c r="J33" s="2746">
        <f>C33+F33+H33</f>
        <v>0</v>
      </c>
      <c r="K33" s="2749">
        <f t="shared" si="14"/>
        <v>0</v>
      </c>
      <c r="L33" s="827"/>
      <c r="M33" s="826"/>
      <c r="N33" s="480">
        <f t="shared" si="10"/>
        <v>0</v>
      </c>
      <c r="O33" s="533">
        <f>ROUND((I33+L33),0)</f>
        <v>0</v>
      </c>
      <c r="P33" s="2762">
        <f>ROUND((J33+M33),0)</f>
        <v>0</v>
      </c>
      <c r="Q33" s="1414"/>
      <c r="R33" s="2741">
        <f>P33-Q33</f>
        <v>0</v>
      </c>
      <c r="S33" s="980"/>
    </row>
    <row r="34" spans="1:19" ht="13.8" thickBot="1" x14ac:dyDescent="0.3">
      <c r="A34" s="493" t="s">
        <v>101</v>
      </c>
      <c r="B34" s="2710">
        <f>SUM(B22:B33)</f>
        <v>5414</v>
      </c>
      <c r="C34" s="496">
        <f>SUM(C22:C33)</f>
        <v>1507002</v>
      </c>
      <c r="D34" s="497">
        <f>IF(B34=0,0,(C34/B34))</f>
        <v>278.35278906538605</v>
      </c>
      <c r="E34" s="2710">
        <f>SUM(E22:E33)</f>
        <v>26494.46</v>
      </c>
      <c r="F34" s="496">
        <f>SUM(F22:F33)</f>
        <v>6978206</v>
      </c>
      <c r="G34" s="499">
        <f>IF(E34=0,0,(F34/E34))</f>
        <v>263.38359038078153</v>
      </c>
      <c r="H34" s="2721">
        <f>SUM(H22:H33)</f>
        <v>569364.55000000005</v>
      </c>
      <c r="I34" s="2756">
        <f t="shared" si="17"/>
        <v>31908.46</v>
      </c>
      <c r="J34" s="2752">
        <f>ROUND((C34+F34+H34),0)</f>
        <v>9054573</v>
      </c>
      <c r="K34" s="506">
        <f t="shared" si="14"/>
        <v>283.76715767542527</v>
      </c>
      <c r="L34" s="1987">
        <f>SUM(L22:L33)</f>
        <v>7818</v>
      </c>
      <c r="M34" s="1990">
        <f>SUM(M22:M33)</f>
        <v>1131051</v>
      </c>
      <c r="N34" s="497">
        <f>IF(L34=0,0,(M34/L34))</f>
        <v>144.67267843438219</v>
      </c>
      <c r="O34" s="2966">
        <f>SUM(O22:O33)</f>
        <v>39727</v>
      </c>
      <c r="P34" s="2967">
        <f>SUM(P22:P33)</f>
        <v>10185623</v>
      </c>
      <c r="Q34" s="1415">
        <f>SUM(Q22:Q33)</f>
        <v>6939485.2999999998</v>
      </c>
      <c r="R34" s="2742">
        <f>SUM(R22:R33)</f>
        <v>3246137.7</v>
      </c>
    </row>
    <row r="35" spans="1:19" ht="13.8" thickBot="1" x14ac:dyDescent="0.3"/>
    <row r="36" spans="1:19" ht="13.8" thickBot="1" x14ac:dyDescent="0.3">
      <c r="A36" s="470" t="s">
        <v>375</v>
      </c>
      <c r="B36" s="3217" t="s">
        <v>175</v>
      </c>
      <c r="C36" s="3218"/>
      <c r="D36" s="3218"/>
      <c r="E36" s="3219" t="s">
        <v>174</v>
      </c>
      <c r="F36" s="3218"/>
      <c r="G36" s="3218"/>
      <c r="H36" s="3219" t="s">
        <v>269</v>
      </c>
      <c r="I36" s="3218"/>
      <c r="J36" s="3223"/>
      <c r="K36" s="3219" t="s">
        <v>101</v>
      </c>
      <c r="L36" s="3218"/>
      <c r="M36" s="3223"/>
    </row>
    <row r="37" spans="1:19" x14ac:dyDescent="0.25">
      <c r="A37" s="476" t="s">
        <v>262</v>
      </c>
      <c r="B37" s="477">
        <v>544.4</v>
      </c>
      <c r="C37" s="508">
        <v>144459</v>
      </c>
      <c r="D37" s="992">
        <f>IF(B37=0,0,C37/B37)</f>
        <v>265.35451873622338</v>
      </c>
      <c r="E37" s="483">
        <f>1147.7+150+18.5</f>
        <v>1316.2</v>
      </c>
      <c r="F37" s="508">
        <f>275565+70950+10057</f>
        <v>356572</v>
      </c>
      <c r="G37" s="992">
        <f>IF(E37=0,0,F37/E37)</f>
        <v>270.9101960188421</v>
      </c>
      <c r="H37" s="483">
        <v>6124.2</v>
      </c>
      <c r="I37" s="508">
        <v>1399839</v>
      </c>
      <c r="J37" s="992">
        <f>IF(H37=0,0,I37/H37)</f>
        <v>228.57499755070052</v>
      </c>
      <c r="K37" s="483">
        <f>SUM(B37,E37,H37)</f>
        <v>7984.7999999999993</v>
      </c>
      <c r="L37" s="807">
        <f>SUM(C37,F37,I37)</f>
        <v>1900870</v>
      </c>
      <c r="M37" s="480">
        <f>IF(K37=0,0,L37/K37)</f>
        <v>238.06106602544838</v>
      </c>
    </row>
    <row r="38" spans="1:19" x14ac:dyDescent="0.25">
      <c r="A38" s="484" t="s">
        <v>228</v>
      </c>
      <c r="B38" s="477">
        <v>192</v>
      </c>
      <c r="C38" s="508">
        <v>48300</v>
      </c>
      <c r="D38" s="992">
        <f t="shared" ref="D38:D48" si="18">IF(B38=0,0,C38/B38)</f>
        <v>251.5625</v>
      </c>
      <c r="E38" s="483">
        <v>1087</v>
      </c>
      <c r="F38" s="508">
        <v>261589</v>
      </c>
      <c r="G38" s="992">
        <f t="shared" ref="G38:G48" si="19">IF(E38=0,0,F38/E38)</f>
        <v>240.65225390984361</v>
      </c>
      <c r="H38" s="483">
        <v>3727.5</v>
      </c>
      <c r="I38" s="508">
        <v>820165</v>
      </c>
      <c r="J38" s="992">
        <f t="shared" ref="J38:J48" si="20">IF(H38=0,0,I38/H38)</f>
        <v>220.03085177733064</v>
      </c>
      <c r="K38" s="483">
        <f t="shared" ref="K38:L47" si="21">SUM(B38,E38,H38)</f>
        <v>5006.5</v>
      </c>
      <c r="L38" s="807">
        <f t="shared" si="21"/>
        <v>1130054</v>
      </c>
      <c r="M38" s="480">
        <f t="shared" ref="M38:M47" si="22">IF(K38=0,0,L38/K38)</f>
        <v>225.71736742235095</v>
      </c>
    </row>
    <row r="39" spans="1:19" x14ac:dyDescent="0.25">
      <c r="A39" s="484" t="s">
        <v>263</v>
      </c>
      <c r="B39" s="477"/>
      <c r="C39" s="508"/>
      <c r="D39" s="992">
        <f>IF(B39=0,0,C39/B39)</f>
        <v>0</v>
      </c>
      <c r="E39" s="483"/>
      <c r="F39" s="508"/>
      <c r="G39" s="992">
        <f t="shared" si="19"/>
        <v>0</v>
      </c>
      <c r="H39" s="483"/>
      <c r="I39" s="508"/>
      <c r="J39" s="480">
        <f t="shared" si="20"/>
        <v>0</v>
      </c>
      <c r="K39" s="483">
        <f>SUM(B39,E39,H39)</f>
        <v>0</v>
      </c>
      <c r="L39" s="807">
        <f>SUM(C39,F39,I39)</f>
        <v>0</v>
      </c>
      <c r="M39" s="480">
        <f>IF(K39=0,0,L39/K39)</f>
        <v>0</v>
      </c>
    </row>
    <row r="40" spans="1:19" x14ac:dyDescent="0.25">
      <c r="A40" s="1147" t="s">
        <v>264</v>
      </c>
      <c r="B40" s="2739"/>
      <c r="C40" s="1148"/>
      <c r="D40" s="899">
        <f t="shared" si="18"/>
        <v>0</v>
      </c>
      <c r="E40" s="1149"/>
      <c r="F40" s="1148"/>
      <c r="G40" s="899">
        <f t="shared" si="19"/>
        <v>0</v>
      </c>
      <c r="H40" s="1149"/>
      <c r="I40" s="1148"/>
      <c r="J40" s="899">
        <f t="shared" si="20"/>
        <v>0</v>
      </c>
      <c r="K40" s="1149">
        <f>SUM(B40,E40,H40)</f>
        <v>0</v>
      </c>
      <c r="L40" s="900">
        <f>SUM(C40,F40,I40)</f>
        <v>0</v>
      </c>
      <c r="M40" s="899">
        <f t="shared" si="22"/>
        <v>0</v>
      </c>
    </row>
    <row r="41" spans="1:19" x14ac:dyDescent="0.25">
      <c r="A41" s="484" t="s">
        <v>265</v>
      </c>
      <c r="B41" s="477"/>
      <c r="C41" s="508"/>
      <c r="D41" s="992">
        <f t="shared" si="18"/>
        <v>0</v>
      </c>
      <c r="E41" s="483"/>
      <c r="F41" s="508"/>
      <c r="G41" s="992">
        <f t="shared" si="19"/>
        <v>0</v>
      </c>
      <c r="H41" s="483"/>
      <c r="I41" s="508"/>
      <c r="J41" s="480">
        <f t="shared" si="20"/>
        <v>0</v>
      </c>
      <c r="K41" s="483">
        <f t="shared" ref="K41:K47" si="23">SUM(B41,E41,H41)</f>
        <v>0</v>
      </c>
      <c r="L41" s="807">
        <f t="shared" si="21"/>
        <v>0</v>
      </c>
      <c r="M41" s="480">
        <f t="shared" si="22"/>
        <v>0</v>
      </c>
    </row>
    <row r="42" spans="1:19" x14ac:dyDescent="0.25">
      <c r="A42" s="484" t="s">
        <v>266</v>
      </c>
      <c r="B42" s="477"/>
      <c r="C42" s="508"/>
      <c r="D42" s="992">
        <f t="shared" si="18"/>
        <v>0</v>
      </c>
      <c r="E42" s="483"/>
      <c r="F42" s="508"/>
      <c r="G42" s="992">
        <f t="shared" si="19"/>
        <v>0</v>
      </c>
      <c r="H42" s="483"/>
      <c r="I42" s="508"/>
      <c r="J42" s="480">
        <f t="shared" si="20"/>
        <v>0</v>
      </c>
      <c r="K42" s="483">
        <f>SUM(B42,E42,H42)</f>
        <v>0</v>
      </c>
      <c r="L42" s="807">
        <f t="shared" si="21"/>
        <v>0</v>
      </c>
      <c r="M42" s="480">
        <f t="shared" si="22"/>
        <v>0</v>
      </c>
    </row>
    <row r="43" spans="1:19" x14ac:dyDescent="0.25">
      <c r="A43" s="484" t="s">
        <v>427</v>
      </c>
      <c r="B43" s="477"/>
      <c r="C43" s="508"/>
      <c r="D43" s="992">
        <f t="shared" si="18"/>
        <v>0</v>
      </c>
      <c r="E43" s="483"/>
      <c r="F43" s="508"/>
      <c r="G43" s="992">
        <f t="shared" si="19"/>
        <v>0</v>
      </c>
      <c r="H43" s="483"/>
      <c r="I43" s="508"/>
      <c r="J43" s="480">
        <f t="shared" si="20"/>
        <v>0</v>
      </c>
      <c r="K43" s="483">
        <f>SUM(B43,E43,H43)</f>
        <v>0</v>
      </c>
      <c r="L43" s="807">
        <f t="shared" si="21"/>
        <v>0</v>
      </c>
      <c r="M43" s="480">
        <f t="shared" si="22"/>
        <v>0</v>
      </c>
    </row>
    <row r="44" spans="1:19" x14ac:dyDescent="0.25">
      <c r="A44" s="484" t="s">
        <v>229</v>
      </c>
      <c r="B44" s="477"/>
      <c r="C44" s="508"/>
      <c r="D44" s="992">
        <f t="shared" si="18"/>
        <v>0</v>
      </c>
      <c r="E44" s="483"/>
      <c r="F44" s="508"/>
      <c r="G44" s="992">
        <f t="shared" si="19"/>
        <v>0</v>
      </c>
      <c r="H44" s="483"/>
      <c r="I44" s="508"/>
      <c r="J44" s="480">
        <f t="shared" si="20"/>
        <v>0</v>
      </c>
      <c r="K44" s="483">
        <f>SUM(B44,E44,H44)</f>
        <v>0</v>
      </c>
      <c r="L44" s="807">
        <f>SUM(C44,F44,I44)</f>
        <v>0</v>
      </c>
      <c r="M44" s="480">
        <f t="shared" si="22"/>
        <v>0</v>
      </c>
    </row>
    <row r="45" spans="1:19" x14ac:dyDescent="0.25">
      <c r="A45" s="484" t="s">
        <v>230</v>
      </c>
      <c r="B45" s="477"/>
      <c r="C45" s="508"/>
      <c r="D45" s="992">
        <f>IF(B45=0,0,C45/B45)</f>
        <v>0</v>
      </c>
      <c r="E45" s="483"/>
      <c r="F45" s="508"/>
      <c r="G45" s="992">
        <f>IF(E45=0,0,F45/E45)</f>
        <v>0</v>
      </c>
      <c r="H45" s="483"/>
      <c r="I45" s="508"/>
      <c r="J45" s="480">
        <f>IF(H45=0,0,I45/H45)</f>
        <v>0</v>
      </c>
      <c r="K45" s="483">
        <f>SUM(B45,E45,H45)</f>
        <v>0</v>
      </c>
      <c r="L45" s="807">
        <f>SUM(C45,F45,I45)</f>
        <v>0</v>
      </c>
      <c r="M45" s="480">
        <f>IF(K45=0,0,L45/K45)</f>
        <v>0</v>
      </c>
    </row>
    <row r="46" spans="1:19" x14ac:dyDescent="0.25">
      <c r="A46" s="484" t="s">
        <v>231</v>
      </c>
      <c r="B46" s="485"/>
      <c r="C46" s="508"/>
      <c r="D46" s="992">
        <f t="shared" si="18"/>
        <v>0</v>
      </c>
      <c r="E46" s="489"/>
      <c r="F46" s="490"/>
      <c r="G46" s="992">
        <f t="shared" si="19"/>
        <v>0</v>
      </c>
      <c r="H46" s="489"/>
      <c r="I46" s="490"/>
      <c r="J46" s="480">
        <f t="shared" si="20"/>
        <v>0</v>
      </c>
      <c r="K46" s="483">
        <f>SUM(B46,E46,H46)</f>
        <v>0</v>
      </c>
      <c r="L46" s="807">
        <f>SUM(C46,F46,I46)</f>
        <v>0</v>
      </c>
      <c r="M46" s="480">
        <f t="shared" si="22"/>
        <v>0</v>
      </c>
    </row>
    <row r="47" spans="1:19" x14ac:dyDescent="0.25">
      <c r="A47" s="484" t="s">
        <v>232</v>
      </c>
      <c r="B47" s="485"/>
      <c r="C47" s="508"/>
      <c r="D47" s="992">
        <f t="shared" si="18"/>
        <v>0</v>
      </c>
      <c r="E47" s="489"/>
      <c r="F47" s="490"/>
      <c r="G47" s="992">
        <f t="shared" si="19"/>
        <v>0</v>
      </c>
      <c r="H47" s="489"/>
      <c r="I47" s="490"/>
      <c r="J47" s="480">
        <f t="shared" si="20"/>
        <v>0</v>
      </c>
      <c r="K47" s="483">
        <f t="shared" si="23"/>
        <v>0</v>
      </c>
      <c r="L47" s="807">
        <f t="shared" si="21"/>
        <v>0</v>
      </c>
      <c r="M47" s="480">
        <f t="shared" si="22"/>
        <v>0</v>
      </c>
    </row>
    <row r="48" spans="1:19" ht="13.8" thickBot="1" x14ac:dyDescent="0.3">
      <c r="A48" s="492" t="s">
        <v>268</v>
      </c>
      <c r="B48" s="830"/>
      <c r="C48" s="508"/>
      <c r="D48" s="992">
        <f t="shared" si="18"/>
        <v>0</v>
      </c>
      <c r="E48" s="827"/>
      <c r="F48" s="826"/>
      <c r="G48" s="992">
        <f t="shared" si="19"/>
        <v>0</v>
      </c>
      <c r="H48" s="827"/>
      <c r="I48" s="826"/>
      <c r="J48" s="480">
        <f t="shared" si="20"/>
        <v>0</v>
      </c>
      <c r="K48" s="483">
        <f>SUM(B48,E48,H48)</f>
        <v>0</v>
      </c>
      <c r="L48" s="807">
        <f>SUM(C48,F48,I48)</f>
        <v>0</v>
      </c>
      <c r="M48" s="480">
        <f>IF(K48=0,0,L48/K48)</f>
        <v>0</v>
      </c>
    </row>
    <row r="49" spans="1:13" ht="13.8" thickBot="1" x14ac:dyDescent="0.3">
      <c r="A49" s="493" t="s">
        <v>101</v>
      </c>
      <c r="B49" s="2740">
        <f>SUM(B37:B48)</f>
        <v>736.4</v>
      </c>
      <c r="C49" s="1990">
        <f>SUM(C37:C48)</f>
        <v>192759</v>
      </c>
      <c r="D49" s="497">
        <f>IF(B49=0,0,(C49/B49))</f>
        <v>261.75855513307988</v>
      </c>
      <c r="E49" s="1987">
        <f>SUM(E37:E48)</f>
        <v>2403.1999999999998</v>
      </c>
      <c r="F49" s="1990">
        <f>SUM(F37:F48)</f>
        <v>618161</v>
      </c>
      <c r="G49" s="497">
        <f>IF(E49=0,0,(F49/E49))</f>
        <v>257.22411784287618</v>
      </c>
      <c r="H49" s="1987">
        <f>SUM(H37:H48)</f>
        <v>9851.7000000000007</v>
      </c>
      <c r="I49" s="1990">
        <f>SUM(I37:I48)</f>
        <v>2220004</v>
      </c>
      <c r="J49" s="497">
        <f>IF(H49=0,0,(I49/H49))</f>
        <v>225.34222519971172</v>
      </c>
      <c r="K49" s="495">
        <f>SUM(K37:K48)</f>
        <v>12991.3</v>
      </c>
      <c r="L49" s="496">
        <f>SUM(L37:L48)</f>
        <v>3030924</v>
      </c>
      <c r="M49" s="497">
        <f>IF(K49=0,0,(L49/K49))</f>
        <v>233.30413430526585</v>
      </c>
    </row>
    <row r="50" spans="1:13" ht="13.8" thickBot="1" x14ac:dyDescent="0.3">
      <c r="A50" s="467"/>
      <c r="B50" s="467"/>
      <c r="C50" s="467"/>
      <c r="D50" s="467"/>
      <c r="E50" s="467"/>
      <c r="F50" s="467"/>
      <c r="G50" s="467"/>
      <c r="H50" s="467"/>
      <c r="I50" s="467"/>
      <c r="J50" s="504"/>
      <c r="K50" s="503">
        <f>K49+B64</f>
        <v>15661.3</v>
      </c>
      <c r="L50" s="467"/>
      <c r="M50" s="467"/>
    </row>
    <row r="51" spans="1:13" ht="13.8" thickBot="1" x14ac:dyDescent="0.3">
      <c r="A51" s="507" t="s">
        <v>375</v>
      </c>
      <c r="B51" s="3217" t="s">
        <v>202</v>
      </c>
      <c r="C51" s="3218"/>
      <c r="D51" s="3218"/>
      <c r="E51" s="3217" t="s">
        <v>257</v>
      </c>
      <c r="F51" s="3218"/>
      <c r="G51" s="3218"/>
      <c r="H51" s="3219" t="s">
        <v>101</v>
      </c>
      <c r="I51" s="3218"/>
      <c r="J51" s="3218"/>
      <c r="K51" s="3238" t="s">
        <v>944</v>
      </c>
      <c r="L51" s="3239"/>
      <c r="M51" s="3240"/>
    </row>
    <row r="52" spans="1:13" x14ac:dyDescent="0.25">
      <c r="A52" s="476" t="s">
        <v>262</v>
      </c>
      <c r="B52" s="477">
        <v>1050</v>
      </c>
      <c r="C52" s="508">
        <v>239925</v>
      </c>
      <c r="D52" s="899">
        <f t="shared" ref="D52:D63" si="24">IF(B52=0,0,C52/B52)</f>
        <v>228.5</v>
      </c>
      <c r="E52" s="477">
        <v>455</v>
      </c>
      <c r="F52" s="508">
        <v>83784</v>
      </c>
      <c r="G52" s="992">
        <f t="shared" ref="G52:G63" si="25">IF(E52=0,0,F52/E52)</f>
        <v>184.14065934065934</v>
      </c>
      <c r="H52" s="483">
        <f>B52+E52</f>
        <v>1505</v>
      </c>
      <c r="I52" s="508">
        <f>C52+F52</f>
        <v>323709</v>
      </c>
      <c r="J52" s="482">
        <f t="shared" ref="J52:J63" si="26">IF(H52=0,0,I52/H52)</f>
        <v>215.0890365448505</v>
      </c>
      <c r="K52" s="968">
        <f>K37+H52</f>
        <v>9489.7999999999993</v>
      </c>
      <c r="L52" s="2706">
        <f>ROUNDDOWN((L37+I52),0)</f>
        <v>2224579</v>
      </c>
      <c r="M52" s="480">
        <f>IF(K52=0,0,L52/K52)</f>
        <v>234.41790132563386</v>
      </c>
    </row>
    <row r="53" spans="1:13" x14ac:dyDescent="0.25">
      <c r="A53" s="484" t="s">
        <v>228</v>
      </c>
      <c r="B53" s="477">
        <v>1620</v>
      </c>
      <c r="C53" s="508">
        <v>340200</v>
      </c>
      <c r="D53" s="899">
        <f t="shared" si="24"/>
        <v>210</v>
      </c>
      <c r="E53" s="477"/>
      <c r="F53" s="508"/>
      <c r="G53" s="992">
        <f t="shared" si="25"/>
        <v>0</v>
      </c>
      <c r="H53" s="483">
        <f t="shared" ref="H53:I63" si="27">B53+E53</f>
        <v>1620</v>
      </c>
      <c r="I53" s="508">
        <f t="shared" si="27"/>
        <v>340200</v>
      </c>
      <c r="J53" s="482">
        <f t="shared" si="26"/>
        <v>210</v>
      </c>
      <c r="K53" s="2738">
        <f>K38+H53</f>
        <v>6626.5</v>
      </c>
      <c r="L53" s="2217">
        <f>L38+I53</f>
        <v>1470254</v>
      </c>
      <c r="M53" s="480">
        <f t="shared" ref="M53:M63" si="28">IF(K53=0,0,L53/K53)</f>
        <v>221.87489624990567</v>
      </c>
    </row>
    <row r="54" spans="1:13" x14ac:dyDescent="0.25">
      <c r="A54" s="484" t="s">
        <v>263</v>
      </c>
      <c r="B54" s="477"/>
      <c r="C54" s="508"/>
      <c r="D54" s="899">
        <f t="shared" si="24"/>
        <v>0</v>
      </c>
      <c r="E54" s="477"/>
      <c r="F54" s="508"/>
      <c r="G54" s="992">
        <f t="shared" si="25"/>
        <v>0</v>
      </c>
      <c r="H54" s="483">
        <f t="shared" si="27"/>
        <v>0</v>
      </c>
      <c r="I54" s="508">
        <f t="shared" si="27"/>
        <v>0</v>
      </c>
      <c r="J54" s="482">
        <f t="shared" si="26"/>
        <v>0</v>
      </c>
      <c r="K54" s="2738">
        <f t="shared" ref="K54:L62" si="29">K39+H54</f>
        <v>0</v>
      </c>
      <c r="L54" s="2217">
        <f t="shared" si="29"/>
        <v>0</v>
      </c>
      <c r="M54" s="480">
        <f t="shared" si="28"/>
        <v>0</v>
      </c>
    </row>
    <row r="55" spans="1:13" x14ac:dyDescent="0.25">
      <c r="A55" s="484" t="s">
        <v>264</v>
      </c>
      <c r="B55" s="477"/>
      <c r="C55" s="508"/>
      <c r="D55" s="899">
        <f t="shared" si="24"/>
        <v>0</v>
      </c>
      <c r="E55" s="477"/>
      <c r="F55" s="508"/>
      <c r="G55" s="992">
        <f t="shared" si="25"/>
        <v>0</v>
      </c>
      <c r="H55" s="483">
        <f t="shared" si="27"/>
        <v>0</v>
      </c>
      <c r="I55" s="508">
        <f t="shared" si="27"/>
        <v>0</v>
      </c>
      <c r="J55" s="482">
        <f t="shared" si="26"/>
        <v>0</v>
      </c>
      <c r="K55" s="2738">
        <f t="shared" si="29"/>
        <v>0</v>
      </c>
      <c r="L55" s="2217">
        <f t="shared" si="29"/>
        <v>0</v>
      </c>
      <c r="M55" s="480">
        <f t="shared" si="28"/>
        <v>0</v>
      </c>
    </row>
    <row r="56" spans="1:13" x14ac:dyDescent="0.25">
      <c r="A56" s="484" t="s">
        <v>265</v>
      </c>
      <c r="B56" s="477"/>
      <c r="C56" s="508"/>
      <c r="D56" s="899">
        <f t="shared" si="24"/>
        <v>0</v>
      </c>
      <c r="E56" s="477"/>
      <c r="F56" s="508"/>
      <c r="G56" s="992">
        <f t="shared" si="25"/>
        <v>0</v>
      </c>
      <c r="H56" s="483">
        <f t="shared" si="27"/>
        <v>0</v>
      </c>
      <c r="I56" s="508">
        <f t="shared" si="27"/>
        <v>0</v>
      </c>
      <c r="J56" s="482">
        <f>IF(H56=0,0,I56/H56)</f>
        <v>0</v>
      </c>
      <c r="K56" s="2738">
        <f t="shared" si="29"/>
        <v>0</v>
      </c>
      <c r="L56" s="2217">
        <f>L41+I56</f>
        <v>0</v>
      </c>
      <c r="M56" s="480">
        <f>IF(K56=0,0,L56/K56)</f>
        <v>0</v>
      </c>
    </row>
    <row r="57" spans="1:13" x14ac:dyDescent="0.25">
      <c r="A57" s="484" t="s">
        <v>266</v>
      </c>
      <c r="B57" s="477"/>
      <c r="C57" s="508"/>
      <c r="D57" s="899">
        <f t="shared" si="24"/>
        <v>0</v>
      </c>
      <c r="E57" s="477"/>
      <c r="F57" s="508"/>
      <c r="G57" s="992">
        <f t="shared" si="25"/>
        <v>0</v>
      </c>
      <c r="H57" s="483">
        <f t="shared" si="27"/>
        <v>0</v>
      </c>
      <c r="I57" s="508">
        <f t="shared" si="27"/>
        <v>0</v>
      </c>
      <c r="J57" s="482">
        <f>IF(H57=0,0,I57/H57)</f>
        <v>0</v>
      </c>
      <c r="K57" s="2738">
        <f t="shared" si="29"/>
        <v>0</v>
      </c>
      <c r="L57" s="2217">
        <f t="shared" si="29"/>
        <v>0</v>
      </c>
      <c r="M57" s="480">
        <f t="shared" ref="M57:M62" si="30">IF(K57=0,0,L57/K57)</f>
        <v>0</v>
      </c>
    </row>
    <row r="58" spans="1:13" x14ac:dyDescent="0.25">
      <c r="A58" s="484" t="s">
        <v>427</v>
      </c>
      <c r="B58" s="477"/>
      <c r="C58" s="508"/>
      <c r="D58" s="899">
        <f t="shared" si="24"/>
        <v>0</v>
      </c>
      <c r="E58" s="477"/>
      <c r="F58" s="508"/>
      <c r="G58" s="992">
        <f t="shared" si="25"/>
        <v>0</v>
      </c>
      <c r="H58" s="483">
        <f t="shared" si="27"/>
        <v>0</v>
      </c>
      <c r="I58" s="508">
        <f t="shared" si="27"/>
        <v>0</v>
      </c>
      <c r="J58" s="482">
        <f t="shared" si="26"/>
        <v>0</v>
      </c>
      <c r="K58" s="2738">
        <f t="shared" si="29"/>
        <v>0</v>
      </c>
      <c r="L58" s="2217">
        <f t="shared" si="29"/>
        <v>0</v>
      </c>
      <c r="M58" s="480">
        <f t="shared" si="30"/>
        <v>0</v>
      </c>
    </row>
    <row r="59" spans="1:13" x14ac:dyDescent="0.25">
      <c r="A59" s="484" t="s">
        <v>229</v>
      </c>
      <c r="B59" s="477"/>
      <c r="C59" s="508"/>
      <c r="D59" s="899">
        <f t="shared" si="24"/>
        <v>0</v>
      </c>
      <c r="E59" s="477"/>
      <c r="F59" s="508"/>
      <c r="G59" s="992">
        <f t="shared" si="25"/>
        <v>0</v>
      </c>
      <c r="H59" s="483">
        <f t="shared" si="27"/>
        <v>0</v>
      </c>
      <c r="I59" s="508">
        <f t="shared" si="27"/>
        <v>0</v>
      </c>
      <c r="J59" s="482">
        <f t="shared" si="26"/>
        <v>0</v>
      </c>
      <c r="K59" s="2738">
        <f t="shared" si="29"/>
        <v>0</v>
      </c>
      <c r="L59" s="2217">
        <f t="shared" si="29"/>
        <v>0</v>
      </c>
      <c r="M59" s="480">
        <f t="shared" si="30"/>
        <v>0</v>
      </c>
    </row>
    <row r="60" spans="1:13" x14ac:dyDescent="0.25">
      <c r="A60" s="484" t="s">
        <v>230</v>
      </c>
      <c r="B60" s="477"/>
      <c r="C60" s="508"/>
      <c r="D60" s="899">
        <f t="shared" si="24"/>
        <v>0</v>
      </c>
      <c r="E60" s="477"/>
      <c r="F60" s="508"/>
      <c r="G60" s="992">
        <f t="shared" si="25"/>
        <v>0</v>
      </c>
      <c r="H60" s="483">
        <f t="shared" si="27"/>
        <v>0</v>
      </c>
      <c r="I60" s="508">
        <f>C60+F60</f>
        <v>0</v>
      </c>
      <c r="J60" s="482">
        <f t="shared" si="26"/>
        <v>0</v>
      </c>
      <c r="K60" s="2968">
        <f>K45+H60</f>
        <v>0</v>
      </c>
      <c r="L60" s="248">
        <f>L45+I60</f>
        <v>0</v>
      </c>
      <c r="M60" s="480">
        <f>IF(K60=0,0,L60/K60)</f>
        <v>0</v>
      </c>
    </row>
    <row r="61" spans="1:13" x14ac:dyDescent="0.25">
      <c r="A61" s="484" t="s">
        <v>231</v>
      </c>
      <c r="B61" s="477"/>
      <c r="C61" s="508"/>
      <c r="D61" s="899">
        <f t="shared" si="24"/>
        <v>0</v>
      </c>
      <c r="E61" s="485"/>
      <c r="F61" s="508"/>
      <c r="G61" s="992">
        <f t="shared" si="25"/>
        <v>0</v>
      </c>
      <c r="H61" s="483">
        <f>B61+E61</f>
        <v>0</v>
      </c>
      <c r="I61" s="508">
        <f t="shared" si="27"/>
        <v>0</v>
      </c>
      <c r="J61" s="482">
        <f t="shared" si="26"/>
        <v>0</v>
      </c>
      <c r="K61" s="2968">
        <f>K46+B61</f>
        <v>0</v>
      </c>
      <c r="L61" s="248">
        <f>L46+I61</f>
        <v>0</v>
      </c>
      <c r="M61" s="480">
        <f>IF(K61=0,0,L61/K61)</f>
        <v>0</v>
      </c>
    </row>
    <row r="62" spans="1:13" x14ac:dyDescent="0.25">
      <c r="A62" s="484" t="s">
        <v>232</v>
      </c>
      <c r="B62" s="477"/>
      <c r="C62" s="508"/>
      <c r="D62" s="899">
        <f t="shared" si="24"/>
        <v>0</v>
      </c>
      <c r="E62" s="485"/>
      <c r="F62" s="508"/>
      <c r="G62" s="992">
        <f t="shared" si="25"/>
        <v>0</v>
      </c>
      <c r="H62" s="483">
        <f t="shared" si="27"/>
        <v>0</v>
      </c>
      <c r="I62" s="508">
        <f t="shared" si="27"/>
        <v>0</v>
      </c>
      <c r="J62" s="482">
        <f t="shared" si="26"/>
        <v>0</v>
      </c>
      <c r="K62" s="2968">
        <f>K47+B62</f>
        <v>0</v>
      </c>
      <c r="L62" s="248">
        <f t="shared" si="29"/>
        <v>0</v>
      </c>
      <c r="M62" s="480">
        <f t="shared" si="30"/>
        <v>0</v>
      </c>
    </row>
    <row r="63" spans="1:13" ht="13.8" thickBot="1" x14ac:dyDescent="0.3">
      <c r="A63" s="492" t="s">
        <v>268</v>
      </c>
      <c r="B63" s="477"/>
      <c r="C63" s="508"/>
      <c r="D63" s="899">
        <f t="shared" si="24"/>
        <v>0</v>
      </c>
      <c r="E63" s="830"/>
      <c r="F63" s="508"/>
      <c r="G63" s="992">
        <f t="shared" si="25"/>
        <v>0</v>
      </c>
      <c r="H63" s="483">
        <f t="shared" si="27"/>
        <v>0</v>
      </c>
      <c r="I63" s="508">
        <f>C63+F63</f>
        <v>0</v>
      </c>
      <c r="J63" s="482">
        <f t="shared" si="26"/>
        <v>0</v>
      </c>
      <c r="K63" s="2968">
        <f t="shared" ref="K63" si="31">K48+B63</f>
        <v>0</v>
      </c>
      <c r="L63" s="248">
        <f>L48+I63</f>
        <v>0</v>
      </c>
      <c r="M63" s="480">
        <f t="shared" si="28"/>
        <v>0</v>
      </c>
    </row>
    <row r="64" spans="1:13" ht="13.8" thickBot="1" x14ac:dyDescent="0.3">
      <c r="A64" s="493" t="s">
        <v>101</v>
      </c>
      <c r="B64" s="494">
        <f>SUM(B52:B63)</f>
        <v>2670</v>
      </c>
      <c r="C64" s="496">
        <f>SUM(C52:C63)</f>
        <v>580125</v>
      </c>
      <c r="D64" s="497">
        <f>IF(B64=0,0,(C64/B64))</f>
        <v>217.27528089887642</v>
      </c>
      <c r="E64" s="494">
        <f>SUM(E52:E63)</f>
        <v>455</v>
      </c>
      <c r="F64" s="496">
        <f>SUM(F52:F63)</f>
        <v>83784</v>
      </c>
      <c r="G64" s="497">
        <f>IF(E64=0,0,(F64/E64))</f>
        <v>184.14065934065934</v>
      </c>
      <c r="H64" s="495">
        <f>SUM(H52:H63)</f>
        <v>3125</v>
      </c>
      <c r="I64" s="496">
        <f>SUM(I52:I63)</f>
        <v>663909</v>
      </c>
      <c r="J64" s="499">
        <f>IF(H64=0,0,(I64/H64))</f>
        <v>212.45088000000001</v>
      </c>
      <c r="K64" s="495">
        <f>SUM(K52:K63)</f>
        <v>16116.3</v>
      </c>
      <c r="L64" s="230">
        <f>SUM(L52:L63)</f>
        <v>3694833</v>
      </c>
      <c r="M64" s="506">
        <f>L64/K64</f>
        <v>229.26062433685152</v>
      </c>
    </row>
    <row r="66" spans="12:17" s="1153" customFormat="1" x14ac:dyDescent="0.25">
      <c r="M66" s="2741"/>
      <c r="O66" s="2741">
        <f>M66+N66</f>
        <v>0</v>
      </c>
    </row>
    <row r="67" spans="12:17" s="1153" customFormat="1" x14ac:dyDescent="0.25">
      <c r="L67" s="2969"/>
      <c r="N67" s="1153" t="s">
        <v>1036</v>
      </c>
    </row>
    <row r="68" spans="12:17" s="1153" customFormat="1" x14ac:dyDescent="0.25">
      <c r="M68" s="1153" t="s">
        <v>1037</v>
      </c>
      <c r="N68" s="2970">
        <v>6939485.2999999998</v>
      </c>
      <c r="O68" s="2741">
        <f>P34</f>
        <v>10185623</v>
      </c>
      <c r="P68" s="2971">
        <f t="shared" ref="P68:P72" si="32">N68-O68</f>
        <v>-3246137.7</v>
      </c>
    </row>
    <row r="69" spans="12:17" s="1153" customFormat="1" x14ac:dyDescent="0.25">
      <c r="M69" s="1153" t="s">
        <v>48</v>
      </c>
      <c r="N69" s="2741">
        <v>226044</v>
      </c>
      <c r="O69" s="2741">
        <f>L17</f>
        <v>12009942.01</v>
      </c>
      <c r="P69" s="2971">
        <f t="shared" si="32"/>
        <v>-11783898.01</v>
      </c>
    </row>
    <row r="70" spans="12:17" s="1153" customFormat="1" x14ac:dyDescent="0.25">
      <c r="M70" s="1153" t="s">
        <v>1038</v>
      </c>
      <c r="N70" s="2971">
        <v>2224579.14</v>
      </c>
      <c r="O70" s="2971">
        <f>L64</f>
        <v>3694833</v>
      </c>
      <c r="P70" s="2971">
        <f t="shared" si="32"/>
        <v>-1470253.8599999999</v>
      </c>
    </row>
    <row r="71" spans="12:17" s="1153" customFormat="1" x14ac:dyDescent="0.25">
      <c r="N71" s="2741">
        <f>SUM(N68:N70)</f>
        <v>9390108.4399999995</v>
      </c>
      <c r="O71" s="2741">
        <f>SUM(O68:O70)</f>
        <v>25890398.009999998</v>
      </c>
      <c r="P71" s="2971">
        <f t="shared" si="32"/>
        <v>-16500289.569999998</v>
      </c>
    </row>
    <row r="72" spans="12:17" s="1153" customFormat="1" x14ac:dyDescent="0.25">
      <c r="M72" s="1153" t="s">
        <v>1039</v>
      </c>
      <c r="N72" s="2971">
        <v>236050</v>
      </c>
      <c r="O72" s="2971">
        <f>N17</f>
        <v>349311</v>
      </c>
      <c r="P72" s="2971">
        <f t="shared" si="32"/>
        <v>-113261</v>
      </c>
    </row>
    <row r="73" spans="12:17" s="1153" customFormat="1" x14ac:dyDescent="0.25">
      <c r="N73" s="2970">
        <f>N71-N72</f>
        <v>9154058.4399999995</v>
      </c>
      <c r="O73" s="2970">
        <f>O71-O72</f>
        <v>25541087.009999998</v>
      </c>
      <c r="P73" s="2971">
        <f>N73-O73</f>
        <v>-16387028.569999998</v>
      </c>
      <c r="Q73" s="2741">
        <f>P73+R33</f>
        <v>-16387028.569999998</v>
      </c>
    </row>
    <row r="74" spans="12:17" s="1153" customFormat="1" x14ac:dyDescent="0.25">
      <c r="N74" s="2741"/>
    </row>
    <row r="75" spans="12:17" s="1153" customFormat="1" x14ac:dyDescent="0.25"/>
    <row r="76" spans="12:17" s="1153" customFormat="1" x14ac:dyDescent="0.25"/>
    <row r="77" spans="12:17" s="1153" customFormat="1" x14ac:dyDescent="0.25"/>
    <row r="78" spans="12:17" s="1153" customFormat="1" x14ac:dyDescent="0.25"/>
    <row r="79" spans="12:17" s="1153" customFormat="1" x14ac:dyDescent="0.25"/>
    <row r="80" spans="12:17" s="1153" customFormat="1" x14ac:dyDescent="0.25"/>
    <row r="81" spans="14:14" s="1153" customFormat="1" x14ac:dyDescent="0.25"/>
    <row r="82" spans="14:14" x14ac:dyDescent="0.25">
      <c r="N82" s="1056"/>
    </row>
    <row r="83" spans="14:14" x14ac:dyDescent="0.25">
      <c r="N83" s="1056"/>
    </row>
    <row r="84" spans="14:14" x14ac:dyDescent="0.25">
      <c r="N84" s="1056"/>
    </row>
  </sheetData>
  <mergeCells count="19">
    <mergeCell ref="N3:N4"/>
    <mergeCell ref="O21:P21"/>
    <mergeCell ref="I21:K21"/>
    <mergeCell ref="L21:N21"/>
    <mergeCell ref="K51:M51"/>
    <mergeCell ref="K3:M3"/>
    <mergeCell ref="K36:M36"/>
    <mergeCell ref="B51:D51"/>
    <mergeCell ref="E51:G51"/>
    <mergeCell ref="H51:J51"/>
    <mergeCell ref="B3:D3"/>
    <mergeCell ref="E3:G3"/>
    <mergeCell ref="H3:J3"/>
    <mergeCell ref="B36:D36"/>
    <mergeCell ref="E36:G36"/>
    <mergeCell ref="H36:J36"/>
    <mergeCell ref="B21:D21"/>
    <mergeCell ref="A20:J20"/>
    <mergeCell ref="E21:G2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G50"/>
  <sheetViews>
    <sheetView showZeros="0" zoomScale="86" zoomScaleNormal="86" workbookViewId="0">
      <selection activeCell="S35" sqref="S35"/>
    </sheetView>
  </sheetViews>
  <sheetFormatPr defaultColWidth="9.109375" defaultRowHeight="13.2" x14ac:dyDescent="0.25"/>
  <cols>
    <col min="1" max="1" width="33.88671875" style="980" customWidth="1"/>
    <col min="2" max="2" width="12.5546875" style="980" customWidth="1"/>
    <col min="3" max="3" width="12" style="980" customWidth="1"/>
    <col min="4" max="5" width="13.33203125" style="980" hidden="1" customWidth="1"/>
    <col min="6" max="6" width="12.6640625" style="980" hidden="1" customWidth="1"/>
    <col min="7" max="7" width="13.33203125" style="980" hidden="1" customWidth="1"/>
    <col min="8" max="8" width="12.6640625" style="980" hidden="1" customWidth="1"/>
    <col min="9" max="9" width="12.33203125" style="980" hidden="1" customWidth="1"/>
    <col min="10" max="10" width="12.5546875" style="980" hidden="1" customWidth="1"/>
    <col min="11" max="12" width="12.6640625" style="980" hidden="1" customWidth="1"/>
    <col min="13" max="13" width="12.33203125" style="980" hidden="1" customWidth="1"/>
    <col min="14" max="14" width="14.109375" style="980" customWidth="1"/>
    <col min="15" max="15" width="12.5546875" style="980" bestFit="1" customWidth="1"/>
    <col min="16" max="17" width="12.5546875" style="980" customWidth="1"/>
    <col min="18" max="18" width="35.33203125" style="980" bestFit="1" customWidth="1"/>
    <col min="19" max="19" width="11.5546875" style="980" bestFit="1" customWidth="1"/>
    <col min="20" max="20" width="10.109375" style="980" bestFit="1" customWidth="1"/>
    <col min="21" max="21" width="10.6640625" style="980" bestFit="1" customWidth="1"/>
    <col min="22" max="27" width="10.44140625" style="980" bestFit="1" customWidth="1"/>
    <col min="28" max="30" width="9.5546875" style="980" bestFit="1" customWidth="1"/>
    <col min="31" max="31" width="11.6640625" style="980" bestFit="1" customWidth="1"/>
    <col min="32" max="32" width="11" style="980" bestFit="1" customWidth="1"/>
    <col min="33" max="33" width="9.5546875" style="980" bestFit="1" customWidth="1"/>
    <col min="34" max="16384" width="9.109375" style="980"/>
  </cols>
  <sheetData>
    <row r="1" spans="1:33" x14ac:dyDescent="0.25">
      <c r="A1" s="3241" t="s">
        <v>124</v>
      </c>
      <c r="B1" s="3241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O1" s="2972"/>
    </row>
    <row r="2" spans="1:33" ht="15" customHeight="1" thickBot="1" x14ac:dyDescent="0.3">
      <c r="A2" s="176" t="s">
        <v>67</v>
      </c>
      <c r="B2" s="2973" t="s">
        <v>16</v>
      </c>
      <c r="C2" s="2973" t="s">
        <v>4</v>
      </c>
      <c r="D2" s="2973" t="s">
        <v>17</v>
      </c>
      <c r="E2" s="2973" t="s">
        <v>18</v>
      </c>
      <c r="F2" s="2973" t="s">
        <v>19</v>
      </c>
      <c r="G2" s="2973" t="s">
        <v>20</v>
      </c>
      <c r="H2" s="2973" t="s">
        <v>13</v>
      </c>
      <c r="I2" s="2973" t="s">
        <v>5</v>
      </c>
      <c r="J2" s="2973" t="s">
        <v>6</v>
      </c>
      <c r="K2" s="2973" t="s">
        <v>7</v>
      </c>
      <c r="L2" s="2973" t="s">
        <v>8</v>
      </c>
      <c r="M2" s="2973" t="s">
        <v>9</v>
      </c>
      <c r="N2" s="401" t="s">
        <v>0</v>
      </c>
      <c r="O2" s="401" t="s">
        <v>43</v>
      </c>
      <c r="P2" s="559"/>
      <c r="S2" s="2974">
        <f>'[2]Inventory Sales'!$B$11</f>
        <v>95994</v>
      </c>
      <c r="T2" s="2974">
        <f>'[2]Inventory Sales'!$E$11</f>
        <v>0</v>
      </c>
      <c r="U2" s="2974">
        <f>'[2]Inventory Sales'!$H$11</f>
        <v>0</v>
      </c>
      <c r="V2" s="2974">
        <f>'[2]Inventory Sales'!$K$11</f>
        <v>0</v>
      </c>
      <c r="W2" s="2974">
        <f>'[2]Inventory Sales'!$N$11</f>
        <v>0</v>
      </c>
      <c r="X2" s="2974">
        <f>'[2]Inventory Sales'!$Q$11</f>
        <v>0</v>
      </c>
      <c r="Y2" s="2974">
        <f>'[2]Inventory Sales'!$T$11</f>
        <v>0</v>
      </c>
      <c r="Z2" s="2974">
        <f>'[2]Inventory Sales'!$W$11</f>
        <v>0</v>
      </c>
      <c r="AA2" s="2974">
        <f>'[2]Inventory Sales'!$Z$11</f>
        <v>0</v>
      </c>
      <c r="AB2" s="2974">
        <f>'[2]Inventory Sales'!$AC$11</f>
        <v>0</v>
      </c>
      <c r="AC2" s="2974">
        <f>'[2]Inventory Sales'!$AF$11</f>
        <v>0</v>
      </c>
      <c r="AD2" s="2974">
        <f>'[2]Inventory Sales'!$AI$11</f>
        <v>0</v>
      </c>
      <c r="AE2" s="2974">
        <f>SUM(S2:AD2)</f>
        <v>95994</v>
      </c>
    </row>
    <row r="3" spans="1:33" ht="15" thickBot="1" x14ac:dyDescent="0.3">
      <c r="A3" s="890" t="s">
        <v>125</v>
      </c>
      <c r="B3" s="2975" t="s">
        <v>2</v>
      </c>
      <c r="C3" s="2975" t="s">
        <v>2</v>
      </c>
      <c r="D3" s="2975" t="s">
        <v>2</v>
      </c>
      <c r="E3" s="2975" t="s">
        <v>2</v>
      </c>
      <c r="F3" s="2976" t="s">
        <v>2</v>
      </c>
      <c r="G3" s="2975" t="s">
        <v>2</v>
      </c>
      <c r="H3" s="2976" t="s">
        <v>2</v>
      </c>
      <c r="I3" s="2977" t="s">
        <v>2</v>
      </c>
      <c r="J3" s="2976"/>
      <c r="K3" s="2977"/>
      <c r="L3" s="2976"/>
      <c r="M3" s="2975"/>
      <c r="N3" s="2978" t="s">
        <v>2</v>
      </c>
      <c r="O3" s="2979">
        <v>2</v>
      </c>
      <c r="P3" s="2980"/>
      <c r="R3" s="746" t="s">
        <v>447</v>
      </c>
      <c r="S3" s="1113" t="s">
        <v>16</v>
      </c>
      <c r="T3" s="1059" t="s">
        <v>4</v>
      </c>
      <c r="U3" s="1059" t="s">
        <v>17</v>
      </c>
      <c r="V3" s="1059" t="s">
        <v>18</v>
      </c>
      <c r="W3" s="1059" t="s">
        <v>19</v>
      </c>
      <c r="X3" s="1059" t="s">
        <v>20</v>
      </c>
      <c r="Y3" s="1059" t="s">
        <v>13</v>
      </c>
      <c r="Z3" s="1059" t="s">
        <v>5</v>
      </c>
      <c r="AA3" s="1059" t="s">
        <v>6</v>
      </c>
      <c r="AB3" s="1059" t="s">
        <v>7</v>
      </c>
      <c r="AC3" s="1059" t="s">
        <v>8</v>
      </c>
      <c r="AD3" s="1059" t="s">
        <v>9</v>
      </c>
      <c r="AE3" s="1137" t="s">
        <v>0</v>
      </c>
      <c r="AG3" s="1714" t="s">
        <v>315</v>
      </c>
    </row>
    <row r="4" spans="1:33" ht="15.6" x14ac:dyDescent="0.25">
      <c r="A4" s="1051" t="s">
        <v>54</v>
      </c>
      <c r="B4" s="2981">
        <v>3225980</v>
      </c>
      <c r="C4" s="2981">
        <v>3219870</v>
      </c>
      <c r="D4" s="2982"/>
      <c r="E4" s="2981"/>
      <c r="F4" s="2983"/>
      <c r="G4" s="2984"/>
      <c r="H4" s="2985"/>
      <c r="J4" s="2986"/>
      <c r="K4" s="682"/>
      <c r="L4" s="2987"/>
      <c r="M4" s="682"/>
      <c r="N4" s="2988">
        <f>SUM(B4:M4)</f>
        <v>6445850</v>
      </c>
      <c r="O4" s="2989">
        <f>ROUND((N4/$O$3),0)</f>
        <v>3222925</v>
      </c>
      <c r="P4" s="2990"/>
      <c r="Q4" s="2991"/>
      <c r="R4" s="1340" t="s">
        <v>449</v>
      </c>
      <c r="S4" s="2992">
        <v>260305</v>
      </c>
      <c r="T4" s="2992">
        <v>276414</v>
      </c>
      <c r="U4" s="2993"/>
      <c r="V4" s="2993"/>
      <c r="W4" s="2993"/>
      <c r="X4" s="1421"/>
      <c r="Y4" s="2993"/>
      <c r="Z4" s="2993"/>
      <c r="AA4" s="2822"/>
      <c r="AB4" s="1421"/>
      <c r="AC4" s="1421"/>
      <c r="AD4" s="2993"/>
      <c r="AE4" s="2994">
        <f t="shared" ref="AE4:AE15" si="0">SUM(S4:AD4)</f>
        <v>536719</v>
      </c>
      <c r="AF4" s="981">
        <f t="shared" ref="AF4:AF21" si="1">AE4/$AE$2</f>
        <v>5.5911723649394753</v>
      </c>
      <c r="AG4" s="2991">
        <f t="shared" ref="AG4:AG15" si="2">AE4/12</f>
        <v>44726.583333333336</v>
      </c>
    </row>
    <row r="5" spans="1:33" ht="15.6" x14ac:dyDescent="0.25">
      <c r="A5" s="1052" t="s">
        <v>409</v>
      </c>
      <c r="B5" s="404">
        <v>2180</v>
      </c>
      <c r="C5" s="404">
        <v>4224</v>
      </c>
      <c r="D5" s="520"/>
      <c r="E5" s="897"/>
      <c r="F5" s="404"/>
      <c r="G5" s="404"/>
      <c r="H5" s="520"/>
      <c r="J5" s="520"/>
      <c r="K5" s="229"/>
      <c r="L5" s="520"/>
      <c r="M5" s="229"/>
      <c r="N5" s="2995">
        <f>SUM(B5:M5)</f>
        <v>6404</v>
      </c>
      <c r="O5" s="2996">
        <f>ROUND((N5/$O$3),0)</f>
        <v>3202</v>
      </c>
      <c r="P5" s="981"/>
      <c r="Q5" s="2991"/>
      <c r="R5" s="1109" t="s">
        <v>471</v>
      </c>
      <c r="S5" s="2997">
        <v>641461</v>
      </c>
      <c r="T5" s="2997">
        <v>614155</v>
      </c>
      <c r="U5" s="1703"/>
      <c r="V5" s="1703"/>
      <c r="W5" s="1703"/>
      <c r="X5" s="1422"/>
      <c r="Y5" s="1703"/>
      <c r="Z5" s="1703"/>
      <c r="AA5" s="1451"/>
      <c r="AB5" s="1422"/>
      <c r="AC5" s="1422"/>
      <c r="AD5" s="1703"/>
      <c r="AE5" s="2998">
        <f t="shared" si="0"/>
        <v>1255616</v>
      </c>
      <c r="AF5" s="981">
        <f t="shared" si="1"/>
        <v>13.080150842761006</v>
      </c>
      <c r="AG5" s="2991">
        <f t="shared" si="2"/>
        <v>104634.66666666667</v>
      </c>
    </row>
    <row r="6" spans="1:33" ht="16.2" thickBot="1" x14ac:dyDescent="0.3">
      <c r="A6" s="1051" t="s">
        <v>55</v>
      </c>
      <c r="B6" s="2999">
        <v>125000</v>
      </c>
      <c r="C6" s="2999">
        <v>125000</v>
      </c>
      <c r="D6" s="2987"/>
      <c r="E6" s="3000"/>
      <c r="F6" s="2999"/>
      <c r="G6" s="2999"/>
      <c r="H6" s="2987"/>
      <c r="J6" s="2987"/>
      <c r="K6" s="682"/>
      <c r="L6" s="2987"/>
      <c r="M6" s="682"/>
      <c r="N6" s="2995">
        <f>SUM(B6:M6)</f>
        <v>250000</v>
      </c>
      <c r="O6" s="2996">
        <f>ROUND((N6/$O$3),0)</f>
        <v>125000</v>
      </c>
      <c r="P6" s="981"/>
      <c r="R6" s="1341" t="s">
        <v>431</v>
      </c>
      <c r="S6" s="3001">
        <f>B7+B8</f>
        <v>6451860.5</v>
      </c>
      <c r="T6" s="3001">
        <f>C7+C8</f>
        <v>4564887.5</v>
      </c>
      <c r="U6" s="3002"/>
      <c r="V6" s="3002"/>
      <c r="W6" s="3002"/>
      <c r="X6" s="1423"/>
      <c r="Y6" s="1423"/>
      <c r="Z6" s="3002"/>
      <c r="AA6" s="1475"/>
      <c r="AB6" s="1475"/>
      <c r="AC6" s="1475"/>
      <c r="AD6" s="3002"/>
      <c r="AE6" s="3003">
        <f t="shared" si="0"/>
        <v>11016748</v>
      </c>
      <c r="AF6" s="218">
        <f t="shared" si="1"/>
        <v>114.76496447694647</v>
      </c>
      <c r="AG6" s="2991">
        <f t="shared" si="2"/>
        <v>918062.33333333337</v>
      </c>
    </row>
    <row r="7" spans="1:33" ht="15.6" x14ac:dyDescent="0.25">
      <c r="A7" s="1051" t="s">
        <v>56</v>
      </c>
      <c r="B7" s="404">
        <f>1371448+4052920</f>
        <v>5424368</v>
      </c>
      <c r="C7" s="404">
        <v>3933012.5</v>
      </c>
      <c r="D7" s="520"/>
      <c r="E7" s="897"/>
      <c r="F7" s="404"/>
      <c r="G7" s="404"/>
      <c r="H7" s="3004"/>
      <c r="J7" s="520"/>
      <c r="K7" s="229"/>
      <c r="L7" s="520"/>
      <c r="M7" s="404"/>
      <c r="N7" s="2995">
        <f>SUM(B7:M7)</f>
        <v>9357380.5</v>
      </c>
      <c r="O7" s="2996">
        <f>ROUND((N7/$O$3),0)</f>
        <v>4678690</v>
      </c>
      <c r="P7" s="981"/>
      <c r="R7" s="1419" t="s">
        <v>448</v>
      </c>
      <c r="S7" s="2992">
        <v>799051</v>
      </c>
      <c r="T7" s="2992">
        <v>787540</v>
      </c>
      <c r="U7" s="2993"/>
      <c r="V7" s="2993"/>
      <c r="W7" s="2993"/>
      <c r="X7" s="1421"/>
      <c r="Y7" s="2993"/>
      <c r="Z7" s="2993"/>
      <c r="AA7" s="2822"/>
      <c r="AB7" s="1421"/>
      <c r="AC7" s="1421"/>
      <c r="AD7" s="2993"/>
      <c r="AE7" s="3005">
        <f t="shared" si="0"/>
        <v>1586591</v>
      </c>
      <c r="AF7" s="981">
        <f t="shared" si="1"/>
        <v>16.528022584744878</v>
      </c>
      <c r="AG7" s="2991">
        <f t="shared" si="2"/>
        <v>132215.91666666666</v>
      </c>
    </row>
    <row r="8" spans="1:33" ht="15.6" x14ac:dyDescent="0.3">
      <c r="A8" s="1051" t="s">
        <v>605</v>
      </c>
      <c r="B8" s="404">
        <v>1027492.5</v>
      </c>
      <c r="C8" s="404">
        <v>631875</v>
      </c>
      <c r="D8" s="520"/>
      <c r="E8" s="897"/>
      <c r="F8" s="404"/>
      <c r="G8" s="404"/>
      <c r="H8" s="520"/>
      <c r="J8" s="520"/>
      <c r="K8" s="229"/>
      <c r="L8" s="520"/>
      <c r="M8" s="404"/>
      <c r="N8" s="2995">
        <f t="shared" ref="N8:N10" si="3">SUM(B8:M8)</f>
        <v>1659367.5</v>
      </c>
      <c r="O8" s="2996">
        <f t="shared" ref="O8:O20" si="4">ROUND((N8/$O$3),0)</f>
        <v>829684</v>
      </c>
      <c r="P8" s="981"/>
      <c r="Q8" s="2991"/>
      <c r="R8" s="1109" t="s">
        <v>432</v>
      </c>
      <c r="S8" s="2997">
        <f>B20</f>
        <v>425385.2</v>
      </c>
      <c r="T8" s="2997">
        <f>C20</f>
        <v>421217.5</v>
      </c>
      <c r="U8" s="3006"/>
      <c r="V8" s="1703"/>
      <c r="W8" s="1703"/>
      <c r="X8" s="3007"/>
      <c r="Y8" s="3007"/>
      <c r="Z8" s="3008"/>
      <c r="AA8" s="1451"/>
      <c r="AB8" s="1451"/>
      <c r="AC8" s="1451"/>
      <c r="AD8" s="1703"/>
      <c r="AE8" s="2998">
        <f t="shared" si="0"/>
        <v>846602.7</v>
      </c>
      <c r="AF8" s="981">
        <f t="shared" si="1"/>
        <v>8.8193293330833171</v>
      </c>
      <c r="AG8" s="2991">
        <f t="shared" si="2"/>
        <v>70550.224999999991</v>
      </c>
    </row>
    <row r="9" spans="1:33" ht="15.6" x14ac:dyDescent="0.25">
      <c r="A9" s="1051" t="s">
        <v>57</v>
      </c>
      <c r="B9" s="404">
        <v>39720</v>
      </c>
      <c r="C9" s="404">
        <v>66093</v>
      </c>
      <c r="D9" s="3009"/>
      <c r="E9" s="897"/>
      <c r="F9" s="404"/>
      <c r="G9" s="404"/>
      <c r="H9" s="520"/>
      <c r="J9" s="520"/>
      <c r="K9" s="229"/>
      <c r="L9" s="520"/>
      <c r="M9" s="229"/>
      <c r="N9" s="2995">
        <f>SUM(B9:M9)</f>
        <v>105813</v>
      </c>
      <c r="O9" s="2996">
        <f t="shared" si="4"/>
        <v>52907</v>
      </c>
      <c r="P9" s="981"/>
      <c r="Q9" s="2991"/>
      <c r="R9" s="1110" t="s">
        <v>433</v>
      </c>
      <c r="S9" s="3010">
        <f>B11</f>
        <v>63932.45</v>
      </c>
      <c r="T9" s="3010">
        <f>C11</f>
        <v>12148.869999999999</v>
      </c>
      <c r="U9" s="3011"/>
      <c r="V9" s="3011"/>
      <c r="W9" s="3011"/>
      <c r="X9" s="1424"/>
      <c r="Y9" s="1424"/>
      <c r="Z9" s="1424"/>
      <c r="AA9" s="1424"/>
      <c r="AB9" s="1474"/>
      <c r="AC9" s="1474"/>
      <c r="AD9" s="3011"/>
      <c r="AE9" s="2998">
        <f t="shared" si="0"/>
        <v>76081.319999999992</v>
      </c>
      <c r="AF9" s="981">
        <f t="shared" si="1"/>
        <v>0.79256328520532526</v>
      </c>
      <c r="AG9" s="2991">
        <f t="shared" si="2"/>
        <v>6340.11</v>
      </c>
    </row>
    <row r="10" spans="1:33" ht="15.6" x14ac:dyDescent="0.25">
      <c r="A10" s="1051" t="s">
        <v>58</v>
      </c>
      <c r="B10" s="404"/>
      <c r="C10" s="404"/>
      <c r="D10" s="520"/>
      <c r="E10" s="897"/>
      <c r="F10" s="520"/>
      <c r="G10" s="404"/>
      <c r="H10" s="520"/>
      <c r="J10" s="520"/>
      <c r="K10" s="229"/>
      <c r="L10" s="520"/>
      <c r="M10" s="404"/>
      <c r="N10" s="2995">
        <f t="shared" si="3"/>
        <v>0</v>
      </c>
      <c r="O10" s="2996">
        <f t="shared" si="4"/>
        <v>0</v>
      </c>
      <c r="P10" s="981"/>
      <c r="R10" s="1110" t="s">
        <v>434</v>
      </c>
      <c r="S10" s="3010">
        <f>B16</f>
        <v>492773</v>
      </c>
      <c r="T10" s="3010">
        <f>C16</f>
        <v>576288</v>
      </c>
      <c r="U10" s="3011"/>
      <c r="V10" s="3011"/>
      <c r="W10" s="3011"/>
      <c r="X10" s="1424"/>
      <c r="Y10" s="1424"/>
      <c r="Z10" s="1424"/>
      <c r="AA10" s="1424"/>
      <c r="AB10" s="1474"/>
      <c r="AC10" s="1474"/>
      <c r="AD10" s="1474"/>
      <c r="AE10" s="2998">
        <f t="shared" si="0"/>
        <v>1069061</v>
      </c>
      <c r="AF10" s="981">
        <f t="shared" si="1"/>
        <v>11.136748130091464</v>
      </c>
      <c r="AG10" s="2991">
        <f t="shared" si="2"/>
        <v>89088.416666666672</v>
      </c>
    </row>
    <row r="11" spans="1:33" ht="15.6" x14ac:dyDescent="0.3">
      <c r="A11" s="1051" t="s">
        <v>59</v>
      </c>
      <c r="B11" s="404">
        <v>63932.45</v>
      </c>
      <c r="C11" s="404">
        <v>12148.869999999999</v>
      </c>
      <c r="D11" s="520"/>
      <c r="E11" s="897"/>
      <c r="F11" s="520"/>
      <c r="G11" s="404"/>
      <c r="H11" s="520"/>
      <c r="J11" s="520"/>
      <c r="K11" s="229"/>
      <c r="L11" s="520"/>
      <c r="M11" s="404"/>
      <c r="N11" s="2995">
        <f>SUM(B11:M11)</f>
        <v>76081.319999999992</v>
      </c>
      <c r="O11" s="2996">
        <f t="shared" si="4"/>
        <v>38041</v>
      </c>
      <c r="P11" s="981"/>
      <c r="R11" s="1111" t="s">
        <v>435</v>
      </c>
      <c r="S11" s="3010">
        <f>B9</f>
        <v>39720</v>
      </c>
      <c r="T11" s="3010">
        <f>C9</f>
        <v>66093</v>
      </c>
      <c r="U11" s="3011"/>
      <c r="V11" s="3011"/>
      <c r="W11" s="3011"/>
      <c r="X11" s="3012"/>
      <c r="Y11" s="3012"/>
      <c r="Z11" s="3012"/>
      <c r="AA11" s="3012"/>
      <c r="AB11" s="3013"/>
      <c r="AC11" s="3013"/>
      <c r="AD11" s="3014"/>
      <c r="AE11" s="2998">
        <f t="shared" si="0"/>
        <v>105813</v>
      </c>
      <c r="AF11" s="981">
        <f t="shared" si="1"/>
        <v>1.102287642977686</v>
      </c>
      <c r="AG11" s="2991">
        <f t="shared" si="2"/>
        <v>8817.75</v>
      </c>
    </row>
    <row r="12" spans="1:33" ht="15.6" x14ac:dyDescent="0.25">
      <c r="A12" s="1051" t="s">
        <v>65</v>
      </c>
      <c r="B12" s="2999">
        <v>14750</v>
      </c>
      <c r="C12" s="2999">
        <v>40674</v>
      </c>
      <c r="D12" s="2987"/>
      <c r="E12" s="3000"/>
      <c r="F12" s="2987"/>
      <c r="G12" s="2999"/>
      <c r="H12" s="2987"/>
      <c r="J12" s="2987"/>
      <c r="K12" s="682"/>
      <c r="L12" s="2987"/>
      <c r="M12" s="682"/>
      <c r="N12" s="2995">
        <f>SUM(B12:M12)</f>
        <v>55424</v>
      </c>
      <c r="O12" s="2996">
        <f t="shared" si="4"/>
        <v>27712</v>
      </c>
      <c r="P12" s="981"/>
      <c r="R12" s="1111" t="s">
        <v>436</v>
      </c>
      <c r="S12" s="3010">
        <f>B19</f>
        <v>9746</v>
      </c>
      <c r="T12" s="3010">
        <f>C19</f>
        <v>26405</v>
      </c>
      <c r="U12" s="3011"/>
      <c r="V12" s="3011"/>
      <c r="W12" s="3011"/>
      <c r="X12" s="1435"/>
      <c r="Y12" s="1435"/>
      <c r="Z12" s="1435"/>
      <c r="AA12" s="1435"/>
      <c r="AB12" s="3015"/>
      <c r="AC12" s="3015"/>
      <c r="AD12" s="1474"/>
      <c r="AE12" s="2998">
        <f t="shared" si="0"/>
        <v>36151</v>
      </c>
      <c r="AF12" s="981">
        <f t="shared" si="1"/>
        <v>0.37659645394503821</v>
      </c>
      <c r="AG12" s="2991">
        <f t="shared" si="2"/>
        <v>3012.5833333333335</v>
      </c>
    </row>
    <row r="13" spans="1:33" ht="15.6" x14ac:dyDescent="0.25">
      <c r="A13" s="1051" t="s">
        <v>278</v>
      </c>
      <c r="B13" s="404"/>
      <c r="C13" s="404"/>
      <c r="D13" s="520"/>
      <c r="E13" s="897"/>
      <c r="F13" s="520"/>
      <c r="G13" s="404"/>
      <c r="H13" s="520"/>
      <c r="J13" s="520"/>
      <c r="K13" s="229"/>
      <c r="L13" s="520"/>
      <c r="M13" s="404"/>
      <c r="N13" s="2995">
        <f>SUM(B13:K13)</f>
        <v>0</v>
      </c>
      <c r="O13" s="2996">
        <f t="shared" si="4"/>
        <v>0</v>
      </c>
      <c r="P13" s="981"/>
      <c r="R13" s="1110" t="s">
        <v>62</v>
      </c>
      <c r="S13" s="3010">
        <f>B18</f>
        <v>530150</v>
      </c>
      <c r="T13" s="3010">
        <f>C18</f>
        <v>530150</v>
      </c>
      <c r="U13" s="3011"/>
      <c r="V13" s="3011"/>
      <c r="W13" s="3011"/>
      <c r="X13" s="1435"/>
      <c r="Y13" s="1435"/>
      <c r="Z13" s="1435"/>
      <c r="AA13" s="1435"/>
      <c r="AB13" s="3015"/>
      <c r="AC13" s="3015"/>
      <c r="AD13" s="1474"/>
      <c r="AE13" s="2998">
        <f t="shared" si="0"/>
        <v>1060300</v>
      </c>
      <c r="AF13" s="981">
        <f t="shared" si="1"/>
        <v>11.045482009292247</v>
      </c>
      <c r="AG13" s="2991">
        <f t="shared" si="2"/>
        <v>88358.333333333328</v>
      </c>
    </row>
    <row r="14" spans="1:33" ht="15.6" x14ac:dyDescent="0.25">
      <c r="A14" s="1051" t="s">
        <v>513</v>
      </c>
      <c r="B14" s="404"/>
      <c r="C14" s="404"/>
      <c r="D14" s="520"/>
      <c r="E14" s="404"/>
      <c r="F14" s="520"/>
      <c r="G14" s="404"/>
      <c r="H14" s="520"/>
      <c r="J14" s="520"/>
      <c r="K14" s="229"/>
      <c r="L14" s="520"/>
      <c r="M14" s="404"/>
      <c r="N14" s="2995">
        <f>SUM(B14:L14)</f>
        <v>0</v>
      </c>
      <c r="O14" s="2996">
        <f t="shared" si="4"/>
        <v>0</v>
      </c>
      <c r="P14" s="981"/>
      <c r="R14" s="1110" t="s">
        <v>437</v>
      </c>
      <c r="S14" s="3010"/>
      <c r="T14" s="3010"/>
      <c r="U14" s="3011"/>
      <c r="V14" s="3011"/>
      <c r="W14" s="3011"/>
      <c r="X14" s="1424"/>
      <c r="Y14" s="1424"/>
      <c r="Z14" s="1424"/>
      <c r="AA14" s="1424"/>
      <c r="AB14" s="1474"/>
      <c r="AC14" s="1474"/>
      <c r="AD14" s="1474"/>
      <c r="AE14" s="2998">
        <f t="shared" si="0"/>
        <v>0</v>
      </c>
      <c r="AF14" s="981">
        <f t="shared" si="1"/>
        <v>0</v>
      </c>
      <c r="AG14" s="2991">
        <f t="shared" si="2"/>
        <v>0</v>
      </c>
    </row>
    <row r="15" spans="1:33" ht="16.2" thickBot="1" x14ac:dyDescent="0.3">
      <c r="A15" s="1051" t="s">
        <v>60</v>
      </c>
      <c r="B15" s="404"/>
      <c r="C15" s="404"/>
      <c r="D15" s="520"/>
      <c r="E15" s="404"/>
      <c r="F15" s="520"/>
      <c r="G15" s="404"/>
      <c r="H15" s="520"/>
      <c r="I15" s="229"/>
      <c r="J15" s="520"/>
      <c r="K15" s="229"/>
      <c r="L15" s="520"/>
      <c r="M15" s="404"/>
      <c r="N15" s="2995">
        <f t="shared" ref="N15:N20" si="5">SUM(B15:M15)</f>
        <v>0</v>
      </c>
      <c r="O15" s="2996">
        <f t="shared" si="4"/>
        <v>0</v>
      </c>
      <c r="P15" s="981"/>
      <c r="R15" s="1112" t="s">
        <v>257</v>
      </c>
      <c r="S15" s="3016">
        <f>B5+B12+B17</f>
        <v>33730</v>
      </c>
      <c r="T15" s="3016">
        <f>C5+C12+C17</f>
        <v>44898</v>
      </c>
      <c r="U15" s="3017"/>
      <c r="V15" s="3018"/>
      <c r="W15" s="3017"/>
      <c r="X15" s="3019"/>
      <c r="Y15" s="3019"/>
      <c r="Z15" s="3019"/>
      <c r="AA15" s="3019"/>
      <c r="AB15" s="3020"/>
      <c r="AC15" s="3020"/>
      <c r="AD15" s="3021"/>
      <c r="AE15" s="2998">
        <f t="shared" si="0"/>
        <v>78628</v>
      </c>
      <c r="AF15" s="981">
        <f t="shared" si="1"/>
        <v>0.81909285997041481</v>
      </c>
      <c r="AG15" s="2991">
        <f t="shared" si="2"/>
        <v>6552.333333333333</v>
      </c>
    </row>
    <row r="16" spans="1:33" ht="13.8" thickBot="1" x14ac:dyDescent="0.3">
      <c r="A16" s="1051" t="s">
        <v>360</v>
      </c>
      <c r="B16" s="404">
        <v>492773</v>
      </c>
      <c r="C16" s="404">
        <v>576288</v>
      </c>
      <c r="D16" s="520"/>
      <c r="E16" s="404"/>
      <c r="F16" s="520"/>
      <c r="G16" s="897"/>
      <c r="H16" s="520"/>
      <c r="I16" s="229"/>
      <c r="J16" s="520"/>
      <c r="K16" s="229"/>
      <c r="L16" s="520"/>
      <c r="M16" s="229"/>
      <c r="N16" s="2995">
        <f t="shared" si="5"/>
        <v>1069061</v>
      </c>
      <c r="O16" s="2996">
        <f t="shared" si="4"/>
        <v>534531</v>
      </c>
      <c r="P16" s="981"/>
      <c r="R16" s="3022"/>
      <c r="S16" s="1425">
        <f>SUM(S4:S15)</f>
        <v>9748114.1499999985</v>
      </c>
      <c r="T16" s="1426">
        <f>SUM(T4:T15)</f>
        <v>7920196.8700000001</v>
      </c>
      <c r="U16" s="1426">
        <f>SUM(U4:U15)</f>
        <v>0</v>
      </c>
      <c r="V16" s="1426">
        <f>SUM(V4:V15)</f>
        <v>0</v>
      </c>
      <c r="W16" s="1426">
        <f>SUM(W4:W15)</f>
        <v>0</v>
      </c>
      <c r="X16" s="1427">
        <f t="shared" ref="X16:AC16" si="6">SUM(X4:X15)</f>
        <v>0</v>
      </c>
      <c r="Y16" s="1427">
        <f t="shared" si="6"/>
        <v>0</v>
      </c>
      <c r="Z16" s="1427">
        <f t="shared" si="6"/>
        <v>0</v>
      </c>
      <c r="AA16" s="1427">
        <f t="shared" si="6"/>
        <v>0</v>
      </c>
      <c r="AB16" s="1427">
        <f t="shared" si="6"/>
        <v>0</v>
      </c>
      <c r="AC16" s="1427">
        <f t="shared" si="6"/>
        <v>0</v>
      </c>
      <c r="AD16" s="3023">
        <f>SUM(AD4:AD15)</f>
        <v>0</v>
      </c>
      <c r="AE16" s="1428">
        <f>SUM(AE4:AE15)</f>
        <v>17668311.02</v>
      </c>
      <c r="AF16" s="218">
        <f t="shared" si="1"/>
        <v>184.05640998395734</v>
      </c>
      <c r="AG16" s="1715">
        <f>SUM(AG4:AG15)</f>
        <v>1472359.2516666669</v>
      </c>
    </row>
    <row r="17" spans="1:33" ht="15.6" x14ac:dyDescent="0.25">
      <c r="A17" s="1051" t="s">
        <v>61</v>
      </c>
      <c r="B17" s="404">
        <v>16800</v>
      </c>
      <c r="C17" s="404"/>
      <c r="D17" s="520"/>
      <c r="E17" s="404"/>
      <c r="F17" s="520"/>
      <c r="G17" s="404"/>
      <c r="H17" s="520"/>
      <c r="I17" s="229"/>
      <c r="J17" s="520"/>
      <c r="K17" s="229"/>
      <c r="L17" s="520"/>
      <c r="M17" s="229"/>
      <c r="N17" s="2995">
        <f t="shared" si="5"/>
        <v>16800</v>
      </c>
      <c r="O17" s="2996">
        <f t="shared" si="4"/>
        <v>8400</v>
      </c>
      <c r="P17" s="981"/>
      <c r="Q17" s="3024"/>
      <c r="R17" s="1109" t="s">
        <v>445</v>
      </c>
      <c r="S17" s="2997"/>
      <c r="T17" s="1703">
        <f>'Indirect Expns'!B42</f>
        <v>0</v>
      </c>
      <c r="U17" s="1703"/>
      <c r="V17" s="1703"/>
      <c r="W17" s="1703"/>
      <c r="X17" s="1422"/>
      <c r="Y17" s="1422"/>
      <c r="Z17" s="1422"/>
      <c r="AA17" s="1451"/>
      <c r="AB17" s="1451"/>
      <c r="AC17" s="1451"/>
      <c r="AD17" s="1451">
        <f>'[2]Indirect Expns'!M42+'[2]Indirect Expns'!M50</f>
        <v>0</v>
      </c>
      <c r="AE17" s="2998">
        <f>SUM(S17:AD17)</f>
        <v>0</v>
      </c>
      <c r="AF17" s="981">
        <f t="shared" si="1"/>
        <v>0</v>
      </c>
      <c r="AG17" s="2991">
        <f t="shared" ref="AG17:AG19" si="7">AE17/12</f>
        <v>0</v>
      </c>
    </row>
    <row r="18" spans="1:33" ht="15.6" x14ac:dyDescent="0.25">
      <c r="A18" s="1051" t="s">
        <v>62</v>
      </c>
      <c r="B18" s="2999">
        <f>23000+334450+172700</f>
        <v>530150</v>
      </c>
      <c r="C18" s="2999">
        <v>530150</v>
      </c>
      <c r="D18" s="2987"/>
      <c r="E18" s="2999"/>
      <c r="F18" s="2987"/>
      <c r="G18" s="2987"/>
      <c r="H18" s="2987"/>
      <c r="I18" s="682"/>
      <c r="J18" s="2987"/>
      <c r="K18" s="682"/>
      <c r="L18" s="2987"/>
      <c r="M18" s="2999"/>
      <c r="N18" s="2995">
        <f t="shared" si="5"/>
        <v>1060300</v>
      </c>
      <c r="O18" s="2996">
        <f t="shared" si="4"/>
        <v>530150</v>
      </c>
      <c r="P18" s="981"/>
      <c r="Q18" s="3024"/>
      <c r="R18" s="1110" t="s">
        <v>443</v>
      </c>
      <c r="S18" s="3010">
        <f>'Indirect Expns'!B43</f>
        <v>25279.82</v>
      </c>
      <c r="T18" s="3011">
        <f>'Indirect Expns'!C43</f>
        <v>26301.08</v>
      </c>
      <c r="U18" s="3011"/>
      <c r="V18" s="3011"/>
      <c r="W18" s="3011"/>
      <c r="X18" s="1435"/>
      <c r="Y18" s="1435"/>
      <c r="Z18" s="1435"/>
      <c r="AA18" s="1452"/>
      <c r="AB18" s="1452"/>
      <c r="AC18" s="1452"/>
      <c r="AD18" s="1452">
        <f>'[2]Indirect Expns'!M43</f>
        <v>0</v>
      </c>
      <c r="AE18" s="2998">
        <f>SUM(S18:AD18)</f>
        <v>51580.9</v>
      </c>
      <c r="AF18" s="981">
        <f t="shared" si="1"/>
        <v>0.53733462508073426</v>
      </c>
      <c r="AG18" s="2991">
        <f t="shared" si="7"/>
        <v>4298.4083333333338</v>
      </c>
    </row>
    <row r="19" spans="1:33" ht="16.2" thickBot="1" x14ac:dyDescent="0.3">
      <c r="A19" s="1051" t="s">
        <v>66</v>
      </c>
      <c r="B19" s="2999">
        <v>9746</v>
      </c>
      <c r="C19" s="2999">
        <v>26405</v>
      </c>
      <c r="D19" s="2987"/>
      <c r="E19" s="2999"/>
      <c r="F19" s="2987"/>
      <c r="G19" s="2999"/>
      <c r="H19" s="2987"/>
      <c r="I19" s="682"/>
      <c r="J19" s="2987"/>
      <c r="K19" s="682"/>
      <c r="L19" s="2987"/>
      <c r="M19" s="2999"/>
      <c r="N19" s="2995">
        <f t="shared" si="5"/>
        <v>36151</v>
      </c>
      <c r="O19" s="2996">
        <f t="shared" si="4"/>
        <v>18076</v>
      </c>
      <c r="P19" s="981"/>
      <c r="Q19" s="3024"/>
      <c r="R19" s="1112" t="s">
        <v>442</v>
      </c>
      <c r="S19" s="3016">
        <f>'Indirect Expns'!B46</f>
        <v>348690</v>
      </c>
      <c r="T19" s="3025">
        <f>'Indirect Expns'!C46</f>
        <v>237164</v>
      </c>
      <c r="U19" s="3025"/>
      <c r="V19" s="3025"/>
      <c r="W19" s="3025"/>
      <c r="X19" s="3026"/>
      <c r="Y19" s="3026"/>
      <c r="Z19" s="3026"/>
      <c r="AA19" s="1453"/>
      <c r="AB19" s="1453"/>
      <c r="AC19" s="1453"/>
      <c r="AD19" s="1453">
        <f>'[2]Indirect Expns'!M46</f>
        <v>0</v>
      </c>
      <c r="AE19" s="2998">
        <f>SUM(S19:AD19)</f>
        <v>585854</v>
      </c>
      <c r="AF19" s="981">
        <f t="shared" si="1"/>
        <v>6.1030272725378669</v>
      </c>
      <c r="AG19" s="2991">
        <f t="shared" si="7"/>
        <v>48821.166666666664</v>
      </c>
    </row>
    <row r="20" spans="1:33" ht="13.8" thickBot="1" x14ac:dyDescent="0.3">
      <c r="A20" s="1051" t="s">
        <v>63</v>
      </c>
      <c r="B20" s="404">
        <f>154835+270550.2</f>
        <v>425385.2</v>
      </c>
      <c r="C20" s="404">
        <v>421217.5</v>
      </c>
      <c r="D20" s="520"/>
      <c r="E20" s="404"/>
      <c r="F20" s="520"/>
      <c r="G20" s="404"/>
      <c r="H20" s="520"/>
      <c r="I20" s="229"/>
      <c r="J20" s="520"/>
      <c r="K20" s="229"/>
      <c r="L20" s="520"/>
      <c r="M20" s="229"/>
      <c r="N20" s="2995">
        <f t="shared" si="5"/>
        <v>846602.7</v>
      </c>
      <c r="O20" s="2996">
        <f t="shared" si="4"/>
        <v>423301</v>
      </c>
      <c r="P20" s="981"/>
      <c r="Q20" s="3024"/>
      <c r="R20" s="3022"/>
      <c r="S20" s="1425">
        <f>SUM(S17:S19)</f>
        <v>373969.82</v>
      </c>
      <c r="T20" s="1425">
        <f>SUM(T17:T19)</f>
        <v>263465.08</v>
      </c>
      <c r="U20" s="1426">
        <f>SUM(U17:U19)</f>
        <v>0</v>
      </c>
      <c r="V20" s="1426">
        <f>SUM(V17:V19)</f>
        <v>0</v>
      </c>
      <c r="W20" s="1426">
        <f>SUM(W17:W19)</f>
        <v>0</v>
      </c>
      <c r="X20" s="1427">
        <f t="shared" ref="X20:AC20" si="8">SUM(X17:X19)</f>
        <v>0</v>
      </c>
      <c r="Y20" s="1427">
        <f t="shared" si="8"/>
        <v>0</v>
      </c>
      <c r="Z20" s="1427">
        <f t="shared" si="8"/>
        <v>0</v>
      </c>
      <c r="AA20" s="1427">
        <f t="shared" si="8"/>
        <v>0</v>
      </c>
      <c r="AB20" s="1427">
        <f t="shared" si="8"/>
        <v>0</v>
      </c>
      <c r="AC20" s="1427">
        <f t="shared" si="8"/>
        <v>0</v>
      </c>
      <c r="AD20" s="3023">
        <f>SUM(AD17:AD19)</f>
        <v>0</v>
      </c>
      <c r="AE20" s="1428">
        <f>SUM(AE17:AE19)</f>
        <v>637434.9</v>
      </c>
      <c r="AF20" s="981">
        <f t="shared" si="1"/>
        <v>6.6403618976186012</v>
      </c>
      <c r="AG20" s="1716">
        <f>SUM(AG17:AG19)</f>
        <v>53119.574999999997</v>
      </c>
    </row>
    <row r="21" spans="1:33" ht="13.8" thickBot="1" x14ac:dyDescent="0.3">
      <c r="A21" s="1051" t="s">
        <v>2</v>
      </c>
      <c r="B21" s="404"/>
      <c r="C21" s="404"/>
      <c r="D21" s="3027"/>
      <c r="E21" s="404"/>
      <c r="F21" s="520"/>
      <c r="G21" s="404"/>
      <c r="H21" s="520"/>
      <c r="I21" s="229"/>
      <c r="J21" s="3027"/>
      <c r="K21" s="229"/>
      <c r="L21" s="520"/>
      <c r="M21" s="404"/>
      <c r="N21" s="3028"/>
      <c r="O21" s="3029">
        <f>+N21/$O$3</f>
        <v>0</v>
      </c>
      <c r="P21" s="981"/>
      <c r="R21" s="3030"/>
      <c r="S21" s="1429">
        <f>S16+S20</f>
        <v>10122083.969999999</v>
      </c>
      <c r="T21" s="1429">
        <f>T16+T20</f>
        <v>8183661.9500000002</v>
      </c>
      <c r="U21" s="1429">
        <f>U16+U20</f>
        <v>0</v>
      </c>
      <c r="V21" s="1429">
        <f>V16+V20</f>
        <v>0</v>
      </c>
      <c r="W21" s="1429">
        <f>W16+W20</f>
        <v>0</v>
      </c>
      <c r="X21" s="1430">
        <f t="shared" ref="X21:AC21" si="9">X16+X20</f>
        <v>0</v>
      </c>
      <c r="Y21" s="1430">
        <f t="shared" si="9"/>
        <v>0</v>
      </c>
      <c r="Z21" s="1430">
        <f t="shared" si="9"/>
        <v>0</v>
      </c>
      <c r="AA21" s="1430">
        <f t="shared" si="9"/>
        <v>0</v>
      </c>
      <c r="AB21" s="1430">
        <f t="shared" si="9"/>
        <v>0</v>
      </c>
      <c r="AC21" s="1430">
        <f t="shared" si="9"/>
        <v>0</v>
      </c>
      <c r="AD21" s="3031">
        <f>AD16+AD20</f>
        <v>0</v>
      </c>
      <c r="AE21" s="1431">
        <f>AE16+AE20</f>
        <v>18305745.919999998</v>
      </c>
      <c r="AF21" s="218">
        <f t="shared" si="1"/>
        <v>190.6967718815759</v>
      </c>
      <c r="AG21" s="1717">
        <f>AG16+AG20</f>
        <v>1525478.8266666669</v>
      </c>
    </row>
    <row r="22" spans="1:33" x14ac:dyDescent="0.25">
      <c r="A22" s="916" t="s">
        <v>33</v>
      </c>
      <c r="B22" s="3032">
        <f>SUM(B4:B21)</f>
        <v>11398277.149999999</v>
      </c>
      <c r="C22" s="3032">
        <f t="shared" ref="C22:H22" si="10">SUM(C4:C21)</f>
        <v>9586957.870000001</v>
      </c>
      <c r="D22" s="3032">
        <f t="shared" si="10"/>
        <v>0</v>
      </c>
      <c r="E22" s="3033">
        <f t="shared" si="10"/>
        <v>0</v>
      </c>
      <c r="F22" s="3032">
        <f>SUM(F4:F21)</f>
        <v>0</v>
      </c>
      <c r="G22" s="3033">
        <f t="shared" si="10"/>
        <v>0</v>
      </c>
      <c r="H22" s="3032">
        <f t="shared" si="10"/>
        <v>0</v>
      </c>
      <c r="I22" s="3034">
        <f>SUM(I4:I21)</f>
        <v>0</v>
      </c>
      <c r="J22" s="3032">
        <f>SUM(J4:J21)</f>
        <v>0</v>
      </c>
      <c r="K22" s="3034">
        <f t="shared" ref="K22:O22" si="11">SUM(K4:K21)</f>
        <v>0</v>
      </c>
      <c r="L22" s="3032">
        <f t="shared" si="11"/>
        <v>0</v>
      </c>
      <c r="M22" s="3033">
        <f t="shared" si="11"/>
        <v>0</v>
      </c>
      <c r="N22" s="3035">
        <f t="shared" si="11"/>
        <v>20985235.02</v>
      </c>
      <c r="O22" s="3036">
        <f t="shared" si="11"/>
        <v>10492619</v>
      </c>
      <c r="P22" s="981">
        <v>13543324.34</v>
      </c>
      <c r="Q22" s="2991"/>
      <c r="S22" s="3037"/>
      <c r="T22" s="3037"/>
      <c r="U22" s="3037"/>
      <c r="V22" s="3037"/>
      <c r="W22" s="3037"/>
      <c r="X22" s="1433"/>
      <c r="Y22" s="3037"/>
      <c r="Z22" s="3037"/>
      <c r="AA22" s="3038"/>
      <c r="AB22" s="3039"/>
      <c r="AC22" s="3039"/>
      <c r="AD22" s="3037"/>
      <c r="AE22" s="1434" t="s">
        <v>455</v>
      </c>
      <c r="AF22" s="218">
        <f>(AE21-AE6)/AE2</f>
        <v>75.931807404629438</v>
      </c>
    </row>
    <row r="23" spans="1:33" ht="13.8" thickBot="1" x14ac:dyDescent="0.3">
      <c r="I23" s="2974"/>
      <c r="J23" s="981"/>
      <c r="K23" s="981"/>
      <c r="L23" s="981"/>
      <c r="M23" s="981"/>
      <c r="N23" s="981"/>
      <c r="O23" s="981"/>
      <c r="P23" s="981"/>
      <c r="R23" s="194" t="s">
        <v>446</v>
      </c>
      <c r="S23" s="3037"/>
      <c r="T23" s="3037"/>
      <c r="U23" s="3037"/>
      <c r="V23" s="3037"/>
      <c r="W23" s="3037"/>
      <c r="X23" s="1433"/>
      <c r="Y23" s="3037"/>
      <c r="Z23" s="3037"/>
      <c r="AA23" s="3038"/>
      <c r="AB23" s="3040"/>
      <c r="AC23" s="3040"/>
      <c r="AD23" s="3037"/>
      <c r="AE23" s="3041"/>
      <c r="AF23" s="981">
        <f t="shared" ref="AF23:AF33" si="12">AE23/$AE$2</f>
        <v>0</v>
      </c>
    </row>
    <row r="24" spans="1:33" ht="16.2" x14ac:dyDescent="0.4">
      <c r="A24" s="980" t="s">
        <v>284</v>
      </c>
      <c r="B24" s="981">
        <f>ROUND((B22-(B25+B26+B27+B29)),0)</f>
        <v>4205631</v>
      </c>
      <c r="C24" s="981">
        <f t="shared" ref="C24:L24" si="13">ROUND((C22-(C25+C26+C27+C29)),0)</f>
        <v>4233967</v>
      </c>
      <c r="D24" s="981">
        <f t="shared" si="13"/>
        <v>0</v>
      </c>
      <c r="E24" s="981">
        <f t="shared" si="13"/>
        <v>0</v>
      </c>
      <c r="F24" s="981">
        <f t="shared" si="13"/>
        <v>0</v>
      </c>
      <c r="G24" s="981">
        <f t="shared" si="13"/>
        <v>0</v>
      </c>
      <c r="H24" s="981">
        <f t="shared" si="13"/>
        <v>0</v>
      </c>
      <c r="I24" s="981">
        <f>ROUND((I22-(I25+I26+I27+I29)),0)</f>
        <v>0</v>
      </c>
      <c r="J24" s="981">
        <f>ROUND((J22-(J25+J26+J27+J29)),0)</f>
        <v>0</v>
      </c>
      <c r="K24" s="981">
        <f>ROUND((K22-(K25+K26+K27+K29)),0)</f>
        <v>0</v>
      </c>
      <c r="L24" s="981">
        <f t="shared" si="13"/>
        <v>0</v>
      </c>
      <c r="M24" s="981">
        <f>ROUND((M22-(M25+M26+M27+M29)),0)</f>
        <v>0</v>
      </c>
      <c r="N24" s="981">
        <f>ROUND((N22-(N25+N26+N27+N29)),0)</f>
        <v>8439598</v>
      </c>
      <c r="O24" s="3042">
        <f>ROUND((N24/$O$3),0)</f>
        <v>4219799</v>
      </c>
      <c r="P24" s="981"/>
      <c r="Q24" s="566"/>
      <c r="R24" s="1060" t="s">
        <v>438</v>
      </c>
      <c r="S24" s="2993">
        <f>B4-(S4+S5+S7+S25+S26)</f>
        <v>629089</v>
      </c>
      <c r="T24" s="2993">
        <f>C4-(T4+T5+T7+T25+T26)</f>
        <v>618961</v>
      </c>
      <c r="U24" s="2993"/>
      <c r="V24" s="2993"/>
      <c r="W24" s="2993"/>
      <c r="X24" s="2993"/>
      <c r="Y24" s="2993"/>
      <c r="Z24" s="2993"/>
      <c r="AA24" s="2993"/>
      <c r="AB24" s="2993"/>
      <c r="AC24" s="2993"/>
      <c r="AD24" s="2993"/>
      <c r="AE24" s="3043">
        <f>N4-(AE4+AE5+AE7+AE25+AE26)</f>
        <v>1248050</v>
      </c>
      <c r="AF24" s="981">
        <f t="shared" si="12"/>
        <v>13.001333416671875</v>
      </c>
      <c r="AG24" s="2991">
        <f>AE24/12</f>
        <v>104004.16666666667</v>
      </c>
    </row>
    <row r="25" spans="1:33" ht="16.2" x14ac:dyDescent="0.4">
      <c r="A25" s="980" t="s">
        <v>283</v>
      </c>
      <c r="B25" s="981">
        <f>B13</f>
        <v>0</v>
      </c>
      <c r="C25" s="981">
        <f>C13</f>
        <v>0</v>
      </c>
      <c r="D25" s="3044">
        <f t="shared" ref="D25:M25" si="14">D13</f>
        <v>0</v>
      </c>
      <c r="E25" s="3044">
        <f t="shared" si="14"/>
        <v>0</v>
      </c>
      <c r="F25" s="3044">
        <f t="shared" si="14"/>
        <v>0</v>
      </c>
      <c r="G25" s="3044">
        <f t="shared" si="14"/>
        <v>0</v>
      </c>
      <c r="H25" s="3044">
        <f t="shared" si="14"/>
        <v>0</v>
      </c>
      <c r="I25" s="3044">
        <f>J13</f>
        <v>0</v>
      </c>
      <c r="J25" s="981"/>
      <c r="K25" s="981">
        <f>K13</f>
        <v>0</v>
      </c>
      <c r="L25" s="981">
        <f t="shared" si="14"/>
        <v>0</v>
      </c>
      <c r="M25" s="981">
        <f t="shared" si="14"/>
        <v>0</v>
      </c>
      <c r="N25" s="981">
        <f>N13</f>
        <v>0</v>
      </c>
      <c r="O25" s="3045">
        <f>+N25/$O$3</f>
        <v>0</v>
      </c>
      <c r="P25" s="981"/>
      <c r="Q25" s="568"/>
      <c r="R25" s="1339" t="s">
        <v>514</v>
      </c>
      <c r="S25" s="1703">
        <v>371074</v>
      </c>
      <c r="T25" s="1703">
        <v>397800</v>
      </c>
      <c r="U25" s="1703"/>
      <c r="V25" s="1703"/>
      <c r="W25" s="1703"/>
      <c r="X25" s="1422"/>
      <c r="Y25" s="1703"/>
      <c r="Z25" s="1703"/>
      <c r="AA25" s="1451"/>
      <c r="AB25" s="1422"/>
      <c r="AC25" s="1422"/>
      <c r="AD25" s="1703"/>
      <c r="AE25" s="2998">
        <f t="shared" ref="AE25:AE31" si="15">SUM(S25:AD25)</f>
        <v>768874</v>
      </c>
      <c r="AF25" s="981">
        <f t="shared" si="12"/>
        <v>8.0096047669646016</v>
      </c>
      <c r="AG25" s="2991">
        <f t="shared" ref="AG25:AG31" si="16">AE25/12</f>
        <v>64072.833333333336</v>
      </c>
    </row>
    <row r="26" spans="1:33" ht="16.2" x14ac:dyDescent="0.4">
      <c r="A26" s="980" t="s">
        <v>123</v>
      </c>
      <c r="B26" s="3046">
        <v>615785</v>
      </c>
      <c r="C26" s="3046">
        <v>663103</v>
      </c>
      <c r="D26" s="3047"/>
      <c r="E26" s="3047"/>
      <c r="F26" s="3047"/>
      <c r="G26" s="3048"/>
      <c r="H26" s="3047"/>
      <c r="I26" s="3047"/>
      <c r="J26" s="981"/>
      <c r="K26" s="981"/>
      <c r="L26" s="981"/>
      <c r="M26" s="981"/>
      <c r="N26" s="981">
        <f>SUM(B26:M26)</f>
        <v>1278888</v>
      </c>
      <c r="O26" s="3045">
        <f>ROUND((N26/$O$3),0)</f>
        <v>639444</v>
      </c>
      <c r="P26" s="981"/>
      <c r="Q26" s="566"/>
      <c r="R26" s="1062" t="s">
        <v>439</v>
      </c>
      <c r="S26" s="3011">
        <v>525000</v>
      </c>
      <c r="T26" s="3011">
        <v>525000</v>
      </c>
      <c r="U26" s="3011"/>
      <c r="V26" s="3011"/>
      <c r="W26" s="3049"/>
      <c r="X26" s="3012"/>
      <c r="Y26" s="3049"/>
      <c r="Z26" s="3049"/>
      <c r="AA26" s="1452"/>
      <c r="AB26" s="1452"/>
      <c r="AC26" s="1452"/>
      <c r="AD26" s="3011"/>
      <c r="AE26" s="2998">
        <f t="shared" si="15"/>
        <v>1050000</v>
      </c>
      <c r="AF26" s="981">
        <f t="shared" si="12"/>
        <v>10.93818363647728</v>
      </c>
      <c r="AG26" s="2991">
        <f t="shared" si="16"/>
        <v>87500</v>
      </c>
    </row>
    <row r="27" spans="1:33" ht="16.2" x14ac:dyDescent="0.4">
      <c r="A27" s="980" t="s">
        <v>49</v>
      </c>
      <c r="B27" s="981">
        <f>ROUND((B7+B8),0)</f>
        <v>6451861</v>
      </c>
      <c r="C27" s="981">
        <f t="shared" ref="C27:L27" si="17">ROUND((C7+C8),0)</f>
        <v>4564888</v>
      </c>
      <c r="D27" s="3044">
        <f t="shared" si="17"/>
        <v>0</v>
      </c>
      <c r="E27" s="3044">
        <f>ROUND((E7+E8),0)</f>
        <v>0</v>
      </c>
      <c r="F27" s="3044">
        <f t="shared" si="17"/>
        <v>0</v>
      </c>
      <c r="G27" s="3044">
        <f t="shared" si="17"/>
        <v>0</v>
      </c>
      <c r="H27" s="981">
        <f t="shared" si="17"/>
        <v>0</v>
      </c>
      <c r="I27" s="3044">
        <f>ROUND((I7+I8),0)</f>
        <v>0</v>
      </c>
      <c r="J27" s="981">
        <f>ROUND((J7+J8),0)</f>
        <v>0</v>
      </c>
      <c r="K27" s="981">
        <f t="shared" si="17"/>
        <v>0</v>
      </c>
      <c r="L27" s="981">
        <f t="shared" si="17"/>
        <v>0</v>
      </c>
      <c r="M27" s="981">
        <f>M7+M8</f>
        <v>0</v>
      </c>
      <c r="N27" s="981">
        <f>SUM(B27:M27)</f>
        <v>11016749</v>
      </c>
      <c r="O27" s="3045">
        <f t="shared" ref="O27:O30" si="18">ROUND((N27/$O$3),0)</f>
        <v>5508375</v>
      </c>
      <c r="P27" s="981"/>
      <c r="Q27" s="568"/>
      <c r="R27" s="1062" t="s">
        <v>55</v>
      </c>
      <c r="S27" s="3011">
        <v>125000</v>
      </c>
      <c r="T27" s="3011">
        <v>125000</v>
      </c>
      <c r="U27" s="3011"/>
      <c r="V27" s="3011"/>
      <c r="W27" s="3011"/>
      <c r="X27" s="1435"/>
      <c r="Y27" s="1435"/>
      <c r="Z27" s="1435"/>
      <c r="AA27" s="3011"/>
      <c r="AB27" s="3011"/>
      <c r="AC27" s="3011"/>
      <c r="AD27" s="3011"/>
      <c r="AE27" s="2998">
        <f t="shared" si="15"/>
        <v>250000</v>
      </c>
      <c r="AF27" s="981">
        <f t="shared" si="12"/>
        <v>2.6043294372564953</v>
      </c>
      <c r="AG27" s="2991">
        <f t="shared" si="16"/>
        <v>20833.333333333332</v>
      </c>
    </row>
    <row r="28" spans="1:33" x14ac:dyDescent="0.25">
      <c r="A28" s="980" t="s">
        <v>36</v>
      </c>
      <c r="B28" s="218">
        <f t="shared" ref="B28:H28" si="19">SUM(B24:B27)</f>
        <v>11273277</v>
      </c>
      <c r="C28" s="218">
        <f t="shared" si="19"/>
        <v>9461958</v>
      </c>
      <c r="D28" s="592">
        <f t="shared" si="19"/>
        <v>0</v>
      </c>
      <c r="E28" s="592">
        <f t="shared" si="19"/>
        <v>0</v>
      </c>
      <c r="F28" s="218">
        <f t="shared" si="19"/>
        <v>0</v>
      </c>
      <c r="G28" s="592">
        <f t="shared" si="19"/>
        <v>0</v>
      </c>
      <c r="H28" s="218">
        <f t="shared" si="19"/>
        <v>0</v>
      </c>
      <c r="I28" s="592">
        <f>SUM(I24:I27)</f>
        <v>0</v>
      </c>
      <c r="J28" s="218">
        <f>SUM(J24:J27)</f>
        <v>0</v>
      </c>
      <c r="K28" s="218">
        <f>SUM(K24:K27)</f>
        <v>0</v>
      </c>
      <c r="L28" s="218">
        <f>SUM(L24:L27)</f>
        <v>0</v>
      </c>
      <c r="M28" s="218">
        <f>SUM(M24:M27)</f>
        <v>0</v>
      </c>
      <c r="N28" s="981">
        <f>SUM(B28:M28)</f>
        <v>20735235</v>
      </c>
      <c r="O28" s="3050">
        <f t="shared" si="18"/>
        <v>10367618</v>
      </c>
      <c r="P28" s="218"/>
      <c r="R28" s="1063" t="s">
        <v>440</v>
      </c>
      <c r="S28" s="3011">
        <f>'Indirect Expns'!B3</f>
        <v>435923.15</v>
      </c>
      <c r="T28" s="3011">
        <f>'Indirect Expns'!C3</f>
        <v>342281.87</v>
      </c>
      <c r="U28" s="3011"/>
      <c r="V28" s="3011"/>
      <c r="W28" s="3011"/>
      <c r="X28" s="1435"/>
      <c r="Y28" s="1435"/>
      <c r="Z28" s="1435"/>
      <c r="AA28" s="3011"/>
      <c r="AB28" s="3011"/>
      <c r="AC28" s="3011"/>
      <c r="AD28" s="3011"/>
      <c r="AE28" s="2998">
        <f t="shared" si="15"/>
        <v>778205.02</v>
      </c>
      <c r="AF28" s="981">
        <f t="shared" si="12"/>
        <v>8.1068089672271189</v>
      </c>
      <c r="AG28" s="2991">
        <f t="shared" si="16"/>
        <v>64850.418333333335</v>
      </c>
    </row>
    <row r="29" spans="1:33" ht="16.2" x14ac:dyDescent="0.4">
      <c r="A29" s="980" t="s">
        <v>47</v>
      </c>
      <c r="B29" s="981">
        <f>B6</f>
        <v>125000</v>
      </c>
      <c r="C29" s="981">
        <f t="shared" ref="C29:H29" si="20">C6</f>
        <v>125000</v>
      </c>
      <c r="D29" s="3044">
        <f>D6</f>
        <v>0</v>
      </c>
      <c r="E29" s="3044">
        <f>E6</f>
        <v>0</v>
      </c>
      <c r="F29" s="1682">
        <f>F6</f>
        <v>0</v>
      </c>
      <c r="G29" s="3044">
        <f>G6</f>
        <v>0</v>
      </c>
      <c r="H29" s="1682">
        <f t="shared" si="20"/>
        <v>0</v>
      </c>
      <c r="I29" s="3044">
        <f>I6</f>
        <v>0</v>
      </c>
      <c r="J29" s="981">
        <f>J6</f>
        <v>0</v>
      </c>
      <c r="K29" s="981">
        <f t="shared" ref="K29:M29" si="21">K6</f>
        <v>0</v>
      </c>
      <c r="L29" s="981">
        <f>L6</f>
        <v>0</v>
      </c>
      <c r="M29" s="981">
        <f t="shared" si="21"/>
        <v>0</v>
      </c>
      <c r="N29" s="981">
        <f>N6</f>
        <v>250000</v>
      </c>
      <c r="O29" s="3045">
        <f t="shared" si="18"/>
        <v>125000</v>
      </c>
      <c r="P29" s="981"/>
      <c r="R29" s="1062" t="s">
        <v>441</v>
      </c>
      <c r="S29" s="3011">
        <f>'Indirect Expns'!B52</f>
        <v>67163.260000000009</v>
      </c>
      <c r="T29" s="3011">
        <f>'Indirect Expns'!C52</f>
        <v>121589.15</v>
      </c>
      <c r="U29" s="3011"/>
      <c r="V29" s="3011"/>
      <c r="W29" s="3011"/>
      <c r="X29" s="1435"/>
      <c r="Y29" s="1435"/>
      <c r="Z29" s="1435"/>
      <c r="AA29" s="3011"/>
      <c r="AB29" s="3011"/>
      <c r="AC29" s="3011"/>
      <c r="AD29" s="3011"/>
      <c r="AE29" s="2998">
        <f t="shared" si="15"/>
        <v>188752.41</v>
      </c>
      <c r="AF29" s="981">
        <f t="shared" si="12"/>
        <v>1.9662938308644291</v>
      </c>
      <c r="AG29" s="2991">
        <f t="shared" si="16"/>
        <v>15729.3675</v>
      </c>
    </row>
    <row r="30" spans="1:33" ht="16.2" x14ac:dyDescent="0.4">
      <c r="A30" s="980" t="s">
        <v>0</v>
      </c>
      <c r="B30" s="218">
        <f>SUM(B28:B29)</f>
        <v>11398277</v>
      </c>
      <c r="C30" s="218">
        <f t="shared" ref="C30" si="22">SUM(C28:C29)</f>
        <v>9586958</v>
      </c>
      <c r="D30" s="592">
        <f>SUM(D28:D29)</f>
        <v>0</v>
      </c>
      <c r="E30" s="592">
        <f>SUM(E28:E29)</f>
        <v>0</v>
      </c>
      <c r="F30" s="218">
        <f t="shared" ref="F30:K30" si="23">SUM(F28:F29)</f>
        <v>0</v>
      </c>
      <c r="G30" s="592">
        <f>SUM(G28:G29)</f>
        <v>0</v>
      </c>
      <c r="H30" s="218">
        <f>SUM(H28:H29)</f>
        <v>0</v>
      </c>
      <c r="I30" s="592">
        <f>SUM(I28:I29)</f>
        <v>0</v>
      </c>
      <c r="J30" s="218">
        <f t="shared" si="23"/>
        <v>0</v>
      </c>
      <c r="K30" s="218">
        <f t="shared" si="23"/>
        <v>0</v>
      </c>
      <c r="L30" s="218">
        <f>SUM(L28:L29)</f>
        <v>0</v>
      </c>
      <c r="M30" s="218">
        <f>SUM(M28:M29)</f>
        <v>0</v>
      </c>
      <c r="N30" s="218">
        <f>SUM(N28:N29)</f>
        <v>20985235</v>
      </c>
      <c r="O30" s="3050">
        <f t="shared" si="18"/>
        <v>10492618</v>
      </c>
      <c r="P30" s="218"/>
      <c r="R30" s="1062" t="s">
        <v>633</v>
      </c>
      <c r="S30" s="3011">
        <f>'Indirect Expns'!B50</f>
        <v>11281</v>
      </c>
      <c r="T30" s="3011">
        <f>'Indirect Expns'!C50</f>
        <v>10904</v>
      </c>
      <c r="U30" s="3011"/>
      <c r="V30" s="3011"/>
      <c r="W30" s="3011"/>
      <c r="X30" s="3011"/>
      <c r="Y30" s="3011"/>
      <c r="Z30" s="3011"/>
      <c r="AA30" s="3011"/>
      <c r="AB30" s="3011"/>
      <c r="AC30" s="3011"/>
      <c r="AD30" s="3011"/>
      <c r="AE30" s="2998">
        <f t="shared" si="15"/>
        <v>22185</v>
      </c>
      <c r="AF30" s="981">
        <f t="shared" si="12"/>
        <v>0.23110819426214138</v>
      </c>
      <c r="AG30" s="2991">
        <f t="shared" si="16"/>
        <v>1848.75</v>
      </c>
    </row>
    <row r="31" spans="1:33" ht="16.8" thickBot="1" x14ac:dyDescent="0.45">
      <c r="A31" s="980" t="s">
        <v>49</v>
      </c>
      <c r="B31" s="981">
        <f t="shared" ref="B31:H31" si="24">B26+B27</f>
        <v>7067646</v>
      </c>
      <c r="C31" s="981">
        <f t="shared" si="24"/>
        <v>5227991</v>
      </c>
      <c r="D31" s="3044">
        <f t="shared" si="24"/>
        <v>0</v>
      </c>
      <c r="E31" s="3044">
        <f t="shared" si="24"/>
        <v>0</v>
      </c>
      <c r="F31" s="3044">
        <f t="shared" si="24"/>
        <v>0</v>
      </c>
      <c r="G31" s="3044">
        <f t="shared" si="24"/>
        <v>0</v>
      </c>
      <c r="H31" s="3044">
        <f t="shared" si="24"/>
        <v>0</v>
      </c>
      <c r="I31" s="3044">
        <f>I26+I27</f>
        <v>0</v>
      </c>
      <c r="J31" s="981">
        <f t="shared" ref="J31:M31" si="25">J26+J27</f>
        <v>0</v>
      </c>
      <c r="K31" s="981">
        <f t="shared" si="25"/>
        <v>0</v>
      </c>
      <c r="L31" s="981">
        <f>L26+L27</f>
        <v>0</v>
      </c>
      <c r="M31" s="981">
        <f t="shared" si="25"/>
        <v>0</v>
      </c>
      <c r="N31" s="981">
        <f>N26+N27</f>
        <v>12295637</v>
      </c>
      <c r="O31" s="3051">
        <f>ROUND((N31/$O$3),0)</f>
        <v>6147819</v>
      </c>
      <c r="P31" s="981"/>
      <c r="R31" s="1064" t="s">
        <v>444</v>
      </c>
      <c r="S31" s="3025">
        <f>'Indirect Expns'!B44</f>
        <v>73333</v>
      </c>
      <c r="T31" s="3025">
        <f>'Indirect Expns'!C44</f>
        <v>73333</v>
      </c>
      <c r="U31" s="3025"/>
      <c r="V31" s="3025"/>
      <c r="W31" s="3025"/>
      <c r="X31" s="3025"/>
      <c r="Y31" s="3025"/>
      <c r="Z31" s="3025"/>
      <c r="AA31" s="3025"/>
      <c r="AB31" s="3025"/>
      <c r="AC31" s="3025"/>
      <c r="AD31" s="3025"/>
      <c r="AE31" s="2998">
        <f t="shared" si="15"/>
        <v>146666</v>
      </c>
      <c r="AF31" s="981">
        <f t="shared" si="12"/>
        <v>1.5278663249786446</v>
      </c>
      <c r="AG31" s="2991">
        <f t="shared" si="16"/>
        <v>12222.166666666666</v>
      </c>
    </row>
    <row r="32" spans="1:33" ht="13.8" thickBot="1" x14ac:dyDescent="0.3">
      <c r="D32" s="2974"/>
      <c r="E32" s="2974"/>
      <c r="F32" s="2974"/>
      <c r="G32" s="2974"/>
      <c r="H32" s="229"/>
      <c r="I32" s="2974"/>
      <c r="J32" s="2974"/>
      <c r="K32" s="2974"/>
      <c r="L32" s="2974"/>
      <c r="M32" s="2974"/>
      <c r="N32" s="2974"/>
      <c r="O32" s="2974"/>
      <c r="P32" s="2974"/>
      <c r="R32" s="3052"/>
      <c r="S32" s="1426">
        <f>SUM(S24:S31)</f>
        <v>2237863.41</v>
      </c>
      <c r="T32" s="1426">
        <f>SUM(T24:T31)</f>
        <v>2214869.02</v>
      </c>
      <c r="U32" s="1426">
        <f>SUM(U24:U31)</f>
        <v>0</v>
      </c>
      <c r="V32" s="1426">
        <f>SUM(V24:V31)</f>
        <v>0</v>
      </c>
      <c r="W32" s="1426">
        <f>SUM(W24:W31)</f>
        <v>0</v>
      </c>
      <c r="X32" s="1426">
        <f t="shared" ref="X32:AC32" si="26">SUM(X24:X31)</f>
        <v>0</v>
      </c>
      <c r="Y32" s="1426">
        <f t="shared" si="26"/>
        <v>0</v>
      </c>
      <c r="Z32" s="1426">
        <f t="shared" si="26"/>
        <v>0</v>
      </c>
      <c r="AA32" s="1426">
        <f t="shared" si="26"/>
        <v>0</v>
      </c>
      <c r="AB32" s="1426">
        <f t="shared" si="26"/>
        <v>0</v>
      </c>
      <c r="AC32" s="1426">
        <f t="shared" si="26"/>
        <v>0</v>
      </c>
      <c r="AD32" s="1426">
        <f>SUM(AD24:AD31)</f>
        <v>0</v>
      </c>
      <c r="AE32" s="1428">
        <f>SUM(AE24:AE31)</f>
        <v>4452732.43</v>
      </c>
      <c r="AF32" s="218">
        <f t="shared" si="12"/>
        <v>46.385528574702583</v>
      </c>
      <c r="AG32" s="1715">
        <f>SUM(AG24:AG31)</f>
        <v>371061.03583333333</v>
      </c>
    </row>
    <row r="33" spans="1:32" ht="16.2" x14ac:dyDescent="0.4">
      <c r="A33" s="980" t="s">
        <v>382</v>
      </c>
      <c r="B33" s="2974">
        <v>7232.2</v>
      </c>
      <c r="C33" s="2974">
        <v>6503.7</v>
      </c>
      <c r="D33" s="2974"/>
      <c r="E33" s="2974"/>
      <c r="F33" s="2974"/>
      <c r="G33" s="2974"/>
      <c r="H33" s="229"/>
      <c r="I33" s="2974"/>
      <c r="J33" s="2974"/>
      <c r="K33" s="2974"/>
      <c r="L33" s="2974"/>
      <c r="M33" s="2974"/>
      <c r="N33" s="2974">
        <f>SUM(B33:M33)</f>
        <v>13735.9</v>
      </c>
      <c r="O33" s="2974"/>
      <c r="P33" s="2974"/>
      <c r="R33" s="1065" t="s">
        <v>38</v>
      </c>
      <c r="S33" s="3037">
        <f>S21+S32</f>
        <v>12359947.379999999</v>
      </c>
      <c r="T33" s="3037">
        <f>T21+T32</f>
        <v>10398530.970000001</v>
      </c>
      <c r="U33" s="3037">
        <f>U21+U32</f>
        <v>0</v>
      </c>
      <c r="V33" s="3037">
        <f>V21+V32</f>
        <v>0</v>
      </c>
      <c r="W33" s="3037">
        <f>W21+W32</f>
        <v>0</v>
      </c>
      <c r="X33" s="3037">
        <f t="shared" ref="X33:AC33" si="27">X21+X32</f>
        <v>0</v>
      </c>
      <c r="Y33" s="3037">
        <f t="shared" si="27"/>
        <v>0</v>
      </c>
      <c r="Z33" s="3037">
        <f t="shared" si="27"/>
        <v>0</v>
      </c>
      <c r="AA33" s="3037">
        <f t="shared" si="27"/>
        <v>0</v>
      </c>
      <c r="AB33" s="3037">
        <f t="shared" si="27"/>
        <v>0</v>
      </c>
      <c r="AC33" s="3037">
        <f t="shared" si="27"/>
        <v>0</v>
      </c>
      <c r="AD33" s="3037">
        <f>AD21+AD32</f>
        <v>0</v>
      </c>
      <c r="AE33" s="3037">
        <f>AE21+AE32</f>
        <v>22758478.349999998</v>
      </c>
      <c r="AF33" s="981">
        <f t="shared" si="12"/>
        <v>237.08230045627849</v>
      </c>
    </row>
    <row r="34" spans="1:32" x14ac:dyDescent="0.25">
      <c r="A34" s="980" t="s">
        <v>383</v>
      </c>
      <c r="B34" s="2974">
        <v>76251.7</v>
      </c>
      <c r="C34" s="2974">
        <v>55242.6</v>
      </c>
      <c r="D34" s="2974"/>
      <c r="E34" s="2974"/>
      <c r="F34" s="2974"/>
      <c r="G34" s="2974"/>
      <c r="H34" s="3053"/>
      <c r="I34" s="3053"/>
      <c r="J34" s="3054"/>
      <c r="K34" s="2974"/>
      <c r="L34" s="2974"/>
      <c r="M34" s="2974"/>
      <c r="N34" s="2974">
        <f>SUM(B34:M34)</f>
        <v>131494.29999999999</v>
      </c>
      <c r="O34" s="2974"/>
      <c r="P34" s="2974"/>
      <c r="S34" s="3055">
        <f>B37-S33</f>
        <v>-0.37999999895691872</v>
      </c>
      <c r="T34" s="3055">
        <f>C37-T33</f>
        <v>2.9999999329447746E-2</v>
      </c>
    </row>
    <row r="35" spans="1:32" x14ac:dyDescent="0.25">
      <c r="A35" s="980" t="s">
        <v>388</v>
      </c>
      <c r="B35" s="2974">
        <f>47678+17129</f>
        <v>64807</v>
      </c>
      <c r="C35" s="2974">
        <v>62434</v>
      </c>
      <c r="D35" s="2991"/>
      <c r="E35" s="2991"/>
      <c r="F35" s="2991"/>
      <c r="G35" s="2991"/>
      <c r="H35" s="2991"/>
      <c r="I35" s="2991"/>
      <c r="J35" s="2991"/>
      <c r="K35" s="2991"/>
      <c r="L35" s="2991"/>
      <c r="M35" s="2991"/>
      <c r="N35" s="2974">
        <f>SUM(B35:M35)</f>
        <v>127241</v>
      </c>
      <c r="R35" s="980" t="s">
        <v>511</v>
      </c>
      <c r="S35" s="1432">
        <f>ROUND((S21-(S36+S37+S38)),0)</f>
        <v>2320599</v>
      </c>
      <c r="T35" s="1432">
        <f t="shared" ref="T35:AC35" si="28">ROUND((T21-(T36+T37+T38)),0)</f>
        <v>2395041</v>
      </c>
      <c r="U35" s="1432">
        <f t="shared" si="28"/>
        <v>0</v>
      </c>
      <c r="V35" s="1432">
        <f t="shared" si="28"/>
        <v>0</v>
      </c>
      <c r="W35" s="1432">
        <f t="shared" si="28"/>
        <v>0</v>
      </c>
      <c r="X35" s="1432">
        <f t="shared" si="28"/>
        <v>0</v>
      </c>
      <c r="Y35" s="1432">
        <f t="shared" si="28"/>
        <v>0</v>
      </c>
      <c r="Z35" s="1432">
        <f t="shared" si="28"/>
        <v>0</v>
      </c>
      <c r="AA35" s="1432">
        <f t="shared" si="28"/>
        <v>0</v>
      </c>
      <c r="AB35" s="1432">
        <f t="shared" si="28"/>
        <v>0</v>
      </c>
      <c r="AC35" s="1432">
        <f t="shared" si="28"/>
        <v>0</v>
      </c>
      <c r="AD35" s="1432">
        <f>ROUND((AD21-(AD36+AD37+AD38)),0)</f>
        <v>0</v>
      </c>
      <c r="AE35" s="1432">
        <f>ROUND((AE21-(AE36+AE37+AE38)),0)</f>
        <v>4715641</v>
      </c>
    </row>
    <row r="36" spans="1:32" ht="12" customHeight="1" x14ac:dyDescent="0.25">
      <c r="A36" s="980" t="s">
        <v>46</v>
      </c>
      <c r="B36" s="2991">
        <f>ROUND(('Indirect Expns'!B75),0)</f>
        <v>961670</v>
      </c>
      <c r="C36" s="2991">
        <f>ROUND(('Indirect Expns'!C65),0)</f>
        <v>811573</v>
      </c>
      <c r="D36" s="2991">
        <f>'[2]Indirect Expns'!D75</f>
        <v>0</v>
      </c>
      <c r="E36" s="324">
        <f>'[2]Indirect Expns'!E75</f>
        <v>0</v>
      </c>
      <c r="F36" s="324">
        <f>'[2]Indirect Expns'!F75</f>
        <v>0</v>
      </c>
      <c r="G36" s="324">
        <f>'[2]Indirect Expns'!G75</f>
        <v>0</v>
      </c>
      <c r="H36" s="324">
        <f>'[2]Indirect Expns'!H75</f>
        <v>0</v>
      </c>
      <c r="I36" s="324">
        <f>'[2]Indirect Expns'!I75</f>
        <v>0</v>
      </c>
      <c r="J36" s="324">
        <f>'[2]Indirect Expns'!J75</f>
        <v>0</v>
      </c>
      <c r="K36" s="324">
        <f>'[2]Indirect Expns'!K75</f>
        <v>0</v>
      </c>
      <c r="L36" s="324">
        <f>'[2]Indirect Expns'!L75</f>
        <v>0</v>
      </c>
      <c r="M36" s="324">
        <f>'[2]Indirect Expns'!M75</f>
        <v>0</v>
      </c>
      <c r="N36" s="2991">
        <f>'Indirect Expns'!N75</f>
        <v>1773243</v>
      </c>
      <c r="R36" s="980" t="s">
        <v>512</v>
      </c>
      <c r="S36" s="1432">
        <f>SUM(S4:S6)</f>
        <v>7353626.5</v>
      </c>
      <c r="T36" s="1432">
        <f t="shared" ref="T36:AC36" si="29">SUM(T4:T6)</f>
        <v>5455456.5</v>
      </c>
      <c r="U36" s="1432">
        <f t="shared" si="29"/>
        <v>0</v>
      </c>
      <c r="V36" s="1432">
        <f t="shared" si="29"/>
        <v>0</v>
      </c>
      <c r="W36" s="1432">
        <f t="shared" si="29"/>
        <v>0</v>
      </c>
      <c r="X36" s="1432">
        <f t="shared" si="29"/>
        <v>0</v>
      </c>
      <c r="Y36" s="1432">
        <f t="shared" si="29"/>
        <v>0</v>
      </c>
      <c r="Z36" s="1432">
        <f t="shared" si="29"/>
        <v>0</v>
      </c>
      <c r="AA36" s="1432">
        <f t="shared" si="29"/>
        <v>0</v>
      </c>
      <c r="AB36" s="1432">
        <f t="shared" si="29"/>
        <v>0</v>
      </c>
      <c r="AC36" s="1432">
        <f t="shared" si="29"/>
        <v>0</v>
      </c>
      <c r="AD36" s="1432">
        <f>SUM(AD4:AD6)</f>
        <v>0</v>
      </c>
      <c r="AE36" s="1432">
        <f>SUM(AE4:AE6)</f>
        <v>12809083</v>
      </c>
    </row>
    <row r="37" spans="1:32" x14ac:dyDescent="0.25">
      <c r="A37" s="1138" t="s">
        <v>38</v>
      </c>
      <c r="B37" s="324">
        <f>B30+B36</f>
        <v>12359947</v>
      </c>
      <c r="C37" s="324">
        <f t="shared" ref="C37:K37" si="30">C30+C36</f>
        <v>10398531</v>
      </c>
      <c r="D37" s="324">
        <f t="shared" si="30"/>
        <v>0</v>
      </c>
      <c r="E37" s="324">
        <f t="shared" si="30"/>
        <v>0</v>
      </c>
      <c r="F37" s="324">
        <f t="shared" si="30"/>
        <v>0</v>
      </c>
      <c r="G37" s="324">
        <f t="shared" si="30"/>
        <v>0</v>
      </c>
      <c r="H37" s="324">
        <f t="shared" si="30"/>
        <v>0</v>
      </c>
      <c r="I37" s="324">
        <f t="shared" si="30"/>
        <v>0</v>
      </c>
      <c r="J37" s="324">
        <f t="shared" si="30"/>
        <v>0</v>
      </c>
      <c r="K37" s="324">
        <f t="shared" si="30"/>
        <v>0</v>
      </c>
      <c r="L37" s="324">
        <f>L30+L36</f>
        <v>0</v>
      </c>
      <c r="M37" s="324">
        <f>M30+M36</f>
        <v>0</v>
      </c>
      <c r="N37" s="324">
        <f>N30+N36</f>
        <v>22758478</v>
      </c>
      <c r="R37" s="980" t="s">
        <v>519</v>
      </c>
      <c r="S37" s="1432">
        <f>99168</f>
        <v>99168</v>
      </c>
      <c r="T37" s="1432">
        <v>96000</v>
      </c>
      <c r="U37" s="1432"/>
      <c r="V37" s="1432"/>
      <c r="W37" s="1432"/>
      <c r="X37" s="1432"/>
      <c r="Y37" s="1432"/>
      <c r="Z37" s="1432"/>
      <c r="AA37" s="1432"/>
      <c r="AB37" s="1432"/>
      <c r="AC37" s="1432"/>
      <c r="AD37" s="1432"/>
      <c r="AE37" s="3037">
        <f>SUM(S37:AD37)</f>
        <v>195168</v>
      </c>
    </row>
    <row r="38" spans="1:32" x14ac:dyDescent="0.25">
      <c r="O38" s="981"/>
      <c r="P38" s="981"/>
      <c r="R38" s="980" t="s">
        <v>653</v>
      </c>
      <c r="S38" s="1432">
        <f>ROUND((S19),0)</f>
        <v>348690</v>
      </c>
      <c r="T38" s="1432">
        <f>ROUND((T19),0)</f>
        <v>237164</v>
      </c>
      <c r="U38" s="1432"/>
      <c r="V38" s="1432"/>
      <c r="W38" s="1432"/>
      <c r="X38" s="1432"/>
      <c r="Y38" s="1432"/>
      <c r="Z38" s="1432"/>
      <c r="AA38" s="1432"/>
      <c r="AB38" s="1432"/>
      <c r="AC38" s="1432"/>
      <c r="AD38" s="1432"/>
      <c r="AE38" s="1432">
        <f>ROUND((AE19),0)</f>
        <v>585854</v>
      </c>
    </row>
    <row r="39" spans="1:32" x14ac:dyDescent="0.25">
      <c r="A39" s="1138" t="s">
        <v>253</v>
      </c>
      <c r="B39" s="980">
        <v>11397814.65</v>
      </c>
      <c r="D39" s="981"/>
      <c r="E39" s="981"/>
      <c r="F39" s="981"/>
      <c r="G39" s="981"/>
      <c r="H39" s="981"/>
      <c r="I39" s="981"/>
      <c r="J39" s="981"/>
      <c r="K39" s="981"/>
      <c r="L39" s="981"/>
      <c r="M39" s="981"/>
      <c r="N39" s="981">
        <v>11397814.65</v>
      </c>
      <c r="O39" s="981"/>
      <c r="P39" s="981"/>
      <c r="R39" s="1485" t="s">
        <v>397</v>
      </c>
      <c r="S39" s="3056">
        <f>ROUND((S32-S40),0)</f>
        <v>2112863</v>
      </c>
      <c r="T39" s="1436">
        <f t="shared" ref="T39:AC39" si="31">ROUND((T32-T40),0)</f>
        <v>2089869</v>
      </c>
      <c r="U39" s="1436">
        <f t="shared" si="31"/>
        <v>0</v>
      </c>
      <c r="V39" s="1436">
        <f t="shared" si="31"/>
        <v>0</v>
      </c>
      <c r="W39" s="1436">
        <f t="shared" si="31"/>
        <v>0</v>
      </c>
      <c r="X39" s="1436">
        <f t="shared" si="31"/>
        <v>0</v>
      </c>
      <c r="Y39" s="1436">
        <f t="shared" si="31"/>
        <v>0</v>
      </c>
      <c r="Z39" s="1436">
        <f t="shared" si="31"/>
        <v>0</v>
      </c>
      <c r="AA39" s="1436">
        <f t="shared" si="31"/>
        <v>0</v>
      </c>
      <c r="AB39" s="1436">
        <f t="shared" si="31"/>
        <v>0</v>
      </c>
      <c r="AC39" s="1436">
        <f t="shared" si="31"/>
        <v>0</v>
      </c>
      <c r="AD39" s="1436">
        <f>ROUND((AD32-AD40),0)</f>
        <v>0</v>
      </c>
      <c r="AE39" s="1436">
        <f>ROUND((AE32-AE40),0)</f>
        <v>4202732</v>
      </c>
    </row>
    <row r="40" spans="1:32" x14ac:dyDescent="0.25">
      <c r="B40" s="981">
        <f>B22-B39</f>
        <v>462.49999999813735</v>
      </c>
      <c r="C40" s="981">
        <f>C22-C39</f>
        <v>9586957.870000001</v>
      </c>
      <c r="D40" s="981">
        <f>D22-D39</f>
        <v>0</v>
      </c>
      <c r="E40" s="981">
        <f>E22-E39</f>
        <v>0</v>
      </c>
      <c r="F40" s="981">
        <f t="shared" ref="F40:L40" si="32">F22-F39</f>
        <v>0</v>
      </c>
      <c r="G40" s="981">
        <f>G22-G39</f>
        <v>0</v>
      </c>
      <c r="H40" s="981">
        <f t="shared" si="32"/>
        <v>0</v>
      </c>
      <c r="I40" s="981">
        <f t="shared" si="32"/>
        <v>0</v>
      </c>
      <c r="J40" s="981">
        <f>J22-J39</f>
        <v>0</v>
      </c>
      <c r="K40" s="981">
        <f t="shared" si="32"/>
        <v>0</v>
      </c>
      <c r="L40" s="981">
        <f t="shared" si="32"/>
        <v>0</v>
      </c>
      <c r="N40" s="981">
        <f>N39-N22</f>
        <v>-9587420.3699999992</v>
      </c>
      <c r="R40" s="980" t="s">
        <v>47</v>
      </c>
      <c r="S40" s="1432">
        <f>S27</f>
        <v>125000</v>
      </c>
      <c r="T40" s="1432">
        <f t="shared" ref="T40:AC40" si="33">T27</f>
        <v>125000</v>
      </c>
      <c r="U40" s="1432">
        <f t="shared" si="33"/>
        <v>0</v>
      </c>
      <c r="V40" s="1432">
        <f t="shared" si="33"/>
        <v>0</v>
      </c>
      <c r="W40" s="1432">
        <f t="shared" si="33"/>
        <v>0</v>
      </c>
      <c r="X40" s="1432">
        <f t="shared" si="33"/>
        <v>0</v>
      </c>
      <c r="Y40" s="1432">
        <f t="shared" si="33"/>
        <v>0</v>
      </c>
      <c r="Z40" s="1432">
        <f t="shared" si="33"/>
        <v>0</v>
      </c>
      <c r="AA40" s="1432">
        <f t="shared" si="33"/>
        <v>0</v>
      </c>
      <c r="AB40" s="1432">
        <f t="shared" si="33"/>
        <v>0</v>
      </c>
      <c r="AC40" s="1432">
        <f t="shared" si="33"/>
        <v>0</v>
      </c>
      <c r="AD40" s="1432">
        <f>AD27</f>
        <v>0</v>
      </c>
      <c r="AE40" s="1432">
        <f>AE27</f>
        <v>250000</v>
      </c>
    </row>
    <row r="41" spans="1:32" x14ac:dyDescent="0.25">
      <c r="J41" s="981"/>
      <c r="N41" s="981"/>
      <c r="R41"/>
      <c r="S41" s="1437">
        <f t="shared" ref="S41:AC41" si="34">SUM(S35:S40)</f>
        <v>12359946.5</v>
      </c>
      <c r="T41" s="1437">
        <f t="shared" si="34"/>
        <v>10398530.5</v>
      </c>
      <c r="U41" s="1437">
        <f t="shared" si="34"/>
        <v>0</v>
      </c>
      <c r="V41" s="1437">
        <f t="shared" si="34"/>
        <v>0</v>
      </c>
      <c r="W41" s="1437">
        <f t="shared" si="34"/>
        <v>0</v>
      </c>
      <c r="X41" s="1437">
        <f t="shared" si="34"/>
        <v>0</v>
      </c>
      <c r="Y41" s="1437">
        <f t="shared" si="34"/>
        <v>0</v>
      </c>
      <c r="Z41" s="1437">
        <f t="shared" si="34"/>
        <v>0</v>
      </c>
      <c r="AA41" s="1437">
        <f t="shared" si="34"/>
        <v>0</v>
      </c>
      <c r="AB41" s="1437">
        <f t="shared" si="34"/>
        <v>0</v>
      </c>
      <c r="AC41" s="1437">
        <f t="shared" si="34"/>
        <v>0</v>
      </c>
      <c r="AD41" s="1437">
        <f>SUM(AD35:AD40)</f>
        <v>0</v>
      </c>
      <c r="AE41" s="1437">
        <f>SUM(AE35:AE40)</f>
        <v>22758478</v>
      </c>
    </row>
    <row r="42" spans="1:32" x14ac:dyDescent="0.25">
      <c r="N42" s="981">
        <f>N22-N39</f>
        <v>9587420.3699999992</v>
      </c>
      <c r="R42" s="194" t="s">
        <v>586</v>
      </c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2" x14ac:dyDescent="0.25">
      <c r="R43" t="s">
        <v>587</v>
      </c>
      <c r="S43" s="1432">
        <f>SUM(S24:S26)</f>
        <v>1525163</v>
      </c>
      <c r="T43" s="1432">
        <f t="shared" ref="T43" si="35">SUM(T24:T26)</f>
        <v>1541761</v>
      </c>
      <c r="U43" s="1432">
        <f t="shared" ref="U43:AE43" si="36">SUM(U24:U26)</f>
        <v>0</v>
      </c>
      <c r="V43" s="1432">
        <f t="shared" si="36"/>
        <v>0</v>
      </c>
      <c r="W43" s="1432">
        <f t="shared" si="36"/>
        <v>0</v>
      </c>
      <c r="X43" s="1432">
        <f t="shared" si="36"/>
        <v>0</v>
      </c>
      <c r="Y43" s="1432">
        <f t="shared" si="36"/>
        <v>0</v>
      </c>
      <c r="Z43" s="1432">
        <f t="shared" si="36"/>
        <v>0</v>
      </c>
      <c r="AA43" s="1432">
        <f t="shared" si="36"/>
        <v>0</v>
      </c>
      <c r="AB43" s="1432">
        <f t="shared" si="36"/>
        <v>0</v>
      </c>
      <c r="AC43" s="1432">
        <f t="shared" si="36"/>
        <v>0</v>
      </c>
      <c r="AD43" s="1432">
        <f t="shared" si="36"/>
        <v>0</v>
      </c>
      <c r="AE43" s="1432">
        <f t="shared" si="36"/>
        <v>3066924</v>
      </c>
    </row>
    <row r="44" spans="1:32" x14ac:dyDescent="0.25">
      <c r="R44" t="s">
        <v>217</v>
      </c>
      <c r="S44" s="1432">
        <f>SUM(S28)</f>
        <v>435923.15</v>
      </c>
      <c r="T44" s="1432">
        <f>ROUND((SUM(T28)),0)</f>
        <v>342282</v>
      </c>
      <c r="U44" s="1432">
        <f t="shared" ref="U44:AD44" si="37">ROUND((SUM(U28)),0)</f>
        <v>0</v>
      </c>
      <c r="V44" s="1432">
        <f t="shared" si="37"/>
        <v>0</v>
      </c>
      <c r="W44" s="1432">
        <f t="shared" si="37"/>
        <v>0</v>
      </c>
      <c r="X44" s="1432">
        <f t="shared" si="37"/>
        <v>0</v>
      </c>
      <c r="Y44" s="1432">
        <f t="shared" si="37"/>
        <v>0</v>
      </c>
      <c r="Z44" s="1432">
        <f t="shared" si="37"/>
        <v>0</v>
      </c>
      <c r="AA44" s="1432">
        <f t="shared" si="37"/>
        <v>0</v>
      </c>
      <c r="AB44" s="1432">
        <f t="shared" si="37"/>
        <v>0</v>
      </c>
      <c r="AC44" s="1432">
        <f t="shared" si="37"/>
        <v>0</v>
      </c>
      <c r="AD44" s="1432">
        <f t="shared" si="37"/>
        <v>0</v>
      </c>
      <c r="AE44" s="1432">
        <f>ROUND((SUM(AE28)),0)</f>
        <v>778205</v>
      </c>
    </row>
    <row r="45" spans="1:32" x14ac:dyDescent="0.25">
      <c r="R45" t="s">
        <v>218</v>
      </c>
      <c r="S45" s="1432">
        <f>SUM(S29)</f>
        <v>67163.260000000009</v>
      </c>
      <c r="T45" s="1432">
        <f>ROUND((SUM(T29)),0)</f>
        <v>121589</v>
      </c>
      <c r="U45" s="1432">
        <f t="shared" ref="U45:AD45" si="38">ROUND((SUM(U29)),0)</f>
        <v>0</v>
      </c>
      <c r="V45" s="1432">
        <f t="shared" si="38"/>
        <v>0</v>
      </c>
      <c r="W45" s="1432">
        <f t="shared" si="38"/>
        <v>0</v>
      </c>
      <c r="X45" s="1432">
        <f t="shared" si="38"/>
        <v>0</v>
      </c>
      <c r="Y45" s="1432">
        <f t="shared" si="38"/>
        <v>0</v>
      </c>
      <c r="Z45" s="1432">
        <f t="shared" si="38"/>
        <v>0</v>
      </c>
      <c r="AA45" s="1432">
        <f t="shared" si="38"/>
        <v>0</v>
      </c>
      <c r="AB45" s="1432">
        <f t="shared" si="38"/>
        <v>0</v>
      </c>
      <c r="AC45" s="1432">
        <f t="shared" si="38"/>
        <v>0</v>
      </c>
      <c r="AD45" s="1432">
        <f t="shared" si="38"/>
        <v>0</v>
      </c>
      <c r="AE45" s="1432">
        <f>ROUND((SUM(AE29)),0)</f>
        <v>188752</v>
      </c>
    </row>
    <row r="46" spans="1:32" x14ac:dyDescent="0.25">
      <c r="R46" t="s">
        <v>589</v>
      </c>
      <c r="S46" s="1432">
        <f>ROUND((S27),0)</f>
        <v>125000</v>
      </c>
      <c r="T46" s="1432">
        <f>ROUND((T27),0)</f>
        <v>125000</v>
      </c>
      <c r="U46" s="1432">
        <f t="shared" ref="U46:AE46" si="39">ROUND((U16),0)</f>
        <v>0</v>
      </c>
      <c r="V46" s="1432">
        <f t="shared" si="39"/>
        <v>0</v>
      </c>
      <c r="W46" s="1432">
        <f t="shared" si="39"/>
        <v>0</v>
      </c>
      <c r="X46" s="1432">
        <f t="shared" si="39"/>
        <v>0</v>
      </c>
      <c r="Y46" s="1432">
        <f t="shared" si="39"/>
        <v>0</v>
      </c>
      <c r="Z46" s="1432">
        <f t="shared" si="39"/>
        <v>0</v>
      </c>
      <c r="AA46" s="1432">
        <f t="shared" si="39"/>
        <v>0</v>
      </c>
      <c r="AB46" s="1432">
        <f t="shared" si="39"/>
        <v>0</v>
      </c>
      <c r="AC46" s="1432">
        <f t="shared" si="39"/>
        <v>0</v>
      </c>
      <c r="AD46" s="1432">
        <f t="shared" si="39"/>
        <v>0</v>
      </c>
      <c r="AE46" s="1432">
        <f t="shared" si="39"/>
        <v>17668311</v>
      </c>
    </row>
    <row r="47" spans="1:32" x14ac:dyDescent="0.25">
      <c r="R47" t="s">
        <v>588</v>
      </c>
      <c r="S47" s="1432">
        <f>SUM(S20+S30+S31)</f>
        <v>458583.82</v>
      </c>
      <c r="T47" s="1432">
        <f>ROUND((SUM(T20+T30+T31)),0)</f>
        <v>347702</v>
      </c>
      <c r="U47" s="1432">
        <f t="shared" ref="U47:AD47" si="40">ROUND((SUM(U20+U30+U31)),0)</f>
        <v>0</v>
      </c>
      <c r="V47" s="1432">
        <f t="shared" si="40"/>
        <v>0</v>
      </c>
      <c r="W47" s="1432">
        <f t="shared" si="40"/>
        <v>0</v>
      </c>
      <c r="X47" s="1432">
        <f t="shared" si="40"/>
        <v>0</v>
      </c>
      <c r="Y47" s="1432">
        <f t="shared" si="40"/>
        <v>0</v>
      </c>
      <c r="Z47" s="1432">
        <f t="shared" si="40"/>
        <v>0</v>
      </c>
      <c r="AA47" s="1432">
        <f t="shared" si="40"/>
        <v>0</v>
      </c>
      <c r="AB47" s="1432">
        <f t="shared" si="40"/>
        <v>0</v>
      </c>
      <c r="AC47" s="1432">
        <f t="shared" si="40"/>
        <v>0</v>
      </c>
      <c r="AD47" s="1432">
        <f t="shared" si="40"/>
        <v>0</v>
      </c>
      <c r="AE47" s="1432">
        <f>ROUND((SUM(AE20+AE30+AE31)),0)</f>
        <v>806286</v>
      </c>
    </row>
    <row r="48" spans="1:32" x14ac:dyDescent="0.25">
      <c r="R48"/>
      <c r="S48" s="1437">
        <f>SUM(S43:S47)</f>
        <v>2611833.23</v>
      </c>
      <c r="T48" s="1437">
        <f t="shared" ref="T48:AC48" si="41">SUM(T43:T47)</f>
        <v>2478334</v>
      </c>
      <c r="U48" s="1437">
        <f t="shared" si="41"/>
        <v>0</v>
      </c>
      <c r="V48" s="1437">
        <f t="shared" si="41"/>
        <v>0</v>
      </c>
      <c r="W48" s="1437">
        <f t="shared" si="41"/>
        <v>0</v>
      </c>
      <c r="X48" s="1437">
        <f t="shared" si="41"/>
        <v>0</v>
      </c>
      <c r="Y48" s="1437">
        <f t="shared" si="41"/>
        <v>0</v>
      </c>
      <c r="Z48" s="1437">
        <f t="shared" si="41"/>
        <v>0</v>
      </c>
      <c r="AA48" s="1437">
        <f t="shared" si="41"/>
        <v>0</v>
      </c>
      <c r="AB48" s="1437">
        <f t="shared" si="41"/>
        <v>0</v>
      </c>
      <c r="AC48" s="1437">
        <f t="shared" si="41"/>
        <v>0</v>
      </c>
      <c r="AD48" s="1437">
        <f>SUM(AD43:AD47)</f>
        <v>0</v>
      </c>
      <c r="AE48" s="1437">
        <f>SUM(AE43:AE47)</f>
        <v>22508478</v>
      </c>
    </row>
    <row r="50" spans="18:31" x14ac:dyDescent="0.25">
      <c r="R50" s="1138" t="s">
        <v>472</v>
      </c>
      <c r="S50" s="1432">
        <f>SUM(S4:S5)+S7+SUM(S24:S26)</f>
        <v>3225980</v>
      </c>
      <c r="T50" s="1432">
        <f t="shared" ref="T50:AC50" si="42">SUM(T4:T5)+T7+SUM(T24:T26)</f>
        <v>3219870</v>
      </c>
      <c r="U50" s="1432">
        <f t="shared" si="42"/>
        <v>0</v>
      </c>
      <c r="V50" s="1432">
        <f t="shared" si="42"/>
        <v>0</v>
      </c>
      <c r="W50" s="1432">
        <f t="shared" si="42"/>
        <v>0</v>
      </c>
      <c r="X50" s="1432">
        <f t="shared" si="42"/>
        <v>0</v>
      </c>
      <c r="Y50" s="1432">
        <f t="shared" si="42"/>
        <v>0</v>
      </c>
      <c r="Z50" s="1432">
        <f t="shared" si="42"/>
        <v>0</v>
      </c>
      <c r="AA50" s="1432">
        <f t="shared" si="42"/>
        <v>0</v>
      </c>
      <c r="AB50" s="1432">
        <f t="shared" si="42"/>
        <v>0</v>
      </c>
      <c r="AC50" s="1432">
        <f t="shared" si="42"/>
        <v>0</v>
      </c>
      <c r="AD50" s="1432">
        <f>SUM(AD4:AD5)+AD7+SUM(AD24:AD26)</f>
        <v>0</v>
      </c>
      <c r="AE50" s="1432">
        <f>SUM(AE4:AE5)+AE7+SUM(AE24:AE26)</f>
        <v>6445850</v>
      </c>
    </row>
  </sheetData>
  <autoFilter ref="B1:B39" xr:uid="{00000000-0009-0000-0000-000007000000}"/>
  <mergeCells count="1">
    <mergeCell ref="A1:B1"/>
  </mergeCells>
  <phoneticPr fontId="2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T81"/>
  <sheetViews>
    <sheetView showZeros="0" zoomScaleNormal="100" workbookViewId="0">
      <pane xSplit="1" ySplit="2" topLeftCell="B34" activePane="bottomRight" state="frozen"/>
      <selection pane="topRight" activeCell="B1" sqref="B1"/>
      <selection pane="bottomLeft" activeCell="A3" sqref="A3"/>
      <selection pane="bottomRight" activeCell="C43" sqref="C43"/>
    </sheetView>
  </sheetViews>
  <sheetFormatPr defaultRowHeight="13.2" x14ac:dyDescent="0.25"/>
  <cols>
    <col min="1" max="1" width="36.88671875" customWidth="1"/>
    <col min="2" max="2" width="14" customWidth="1"/>
    <col min="3" max="3" width="11.44140625" customWidth="1"/>
    <col min="4" max="4" width="12.88671875" customWidth="1"/>
    <col min="5" max="7" width="11.44140625" hidden="1" customWidth="1"/>
    <col min="8" max="8" width="11.44140625" style="980" hidden="1" customWidth="1"/>
    <col min="9" max="9" width="11.44140625" hidden="1" customWidth="1"/>
    <col min="10" max="10" width="12" hidden="1" customWidth="1"/>
    <col min="11" max="11" width="12.44140625" hidden="1" customWidth="1"/>
    <col min="12" max="12" width="12" hidden="1" customWidth="1"/>
    <col min="13" max="13" width="11.109375" hidden="1" customWidth="1"/>
    <col min="14" max="14" width="12.5546875" customWidth="1"/>
    <col min="15" max="15" width="13.6640625" bestFit="1" customWidth="1"/>
    <col min="16" max="16" width="19.44140625" bestFit="1" customWidth="1"/>
    <col min="17" max="17" width="11.88671875" bestFit="1" customWidth="1"/>
    <col min="18" max="18" width="8.44140625" bestFit="1" customWidth="1"/>
    <col min="19" max="19" width="9.88671875" bestFit="1" customWidth="1"/>
    <col min="20" max="20" width="8.44140625" bestFit="1" customWidth="1"/>
    <col min="21" max="21" width="9.88671875" bestFit="1" customWidth="1"/>
    <col min="22" max="29" width="5.6640625" bestFit="1" customWidth="1"/>
    <col min="30" max="30" width="9.88671875" bestFit="1" customWidth="1"/>
  </cols>
  <sheetData>
    <row r="1" spans="1:30" ht="16.2" thickBot="1" x14ac:dyDescent="0.3">
      <c r="A1" s="3242" t="s">
        <v>126</v>
      </c>
      <c r="B1" s="3242"/>
      <c r="C1" s="175"/>
      <c r="D1" s="175"/>
      <c r="E1" s="175"/>
      <c r="F1" s="175"/>
      <c r="G1" s="175"/>
      <c r="H1" s="1680"/>
    </row>
    <row r="2" spans="1:30" ht="13.8" thickBot="1" x14ac:dyDescent="0.3">
      <c r="A2" s="179" t="s">
        <v>67</v>
      </c>
      <c r="B2" s="177" t="s">
        <v>16</v>
      </c>
      <c r="C2" s="177" t="s">
        <v>4</v>
      </c>
      <c r="D2" s="177" t="s">
        <v>17</v>
      </c>
      <c r="E2" s="177" t="s">
        <v>18</v>
      </c>
      <c r="F2" s="177" t="s">
        <v>19</v>
      </c>
      <c r="G2" s="177" t="s">
        <v>20</v>
      </c>
      <c r="H2" s="1681" t="s">
        <v>13</v>
      </c>
      <c r="I2" s="177" t="s">
        <v>5</v>
      </c>
      <c r="J2" s="177" t="s">
        <v>6</v>
      </c>
      <c r="K2" s="177" t="s">
        <v>7</v>
      </c>
      <c r="L2" s="222" t="s">
        <v>8</v>
      </c>
      <c r="M2" s="177" t="s">
        <v>9</v>
      </c>
      <c r="N2" s="401" t="s">
        <v>101</v>
      </c>
      <c r="O2" s="8"/>
      <c r="P2" s="980"/>
      <c r="Q2" s="745" t="s">
        <v>562</v>
      </c>
      <c r="R2" s="1620" t="s">
        <v>16</v>
      </c>
      <c r="S2" s="1620" t="s">
        <v>4</v>
      </c>
      <c r="T2" s="1620" t="s">
        <v>17</v>
      </c>
      <c r="U2" s="1620" t="s">
        <v>18</v>
      </c>
      <c r="V2" s="1620" t="s">
        <v>19</v>
      </c>
      <c r="W2" s="1620" t="s">
        <v>20</v>
      </c>
      <c r="X2" s="1620" t="s">
        <v>13</v>
      </c>
      <c r="Y2" s="1620" t="s">
        <v>5</v>
      </c>
      <c r="Z2" s="1620" t="s">
        <v>6</v>
      </c>
      <c r="AA2" s="1620" t="s">
        <v>7</v>
      </c>
      <c r="AB2" s="1620" t="s">
        <v>8</v>
      </c>
      <c r="AC2" s="1620" t="s">
        <v>9</v>
      </c>
      <c r="AD2" s="1621" t="s">
        <v>0</v>
      </c>
    </row>
    <row r="3" spans="1:30" ht="13.8" thickBot="1" x14ac:dyDescent="0.3">
      <c r="A3" s="516" t="s">
        <v>127</v>
      </c>
      <c r="B3" s="3057">
        <f t="shared" ref="B3:J3" si="0">SUM(B4:B40)</f>
        <v>435923.15</v>
      </c>
      <c r="C3" s="3057">
        <f t="shared" si="0"/>
        <v>342281.87</v>
      </c>
      <c r="D3" s="3057">
        <f t="shared" si="0"/>
        <v>0</v>
      </c>
      <c r="E3" s="3057">
        <f>SUM(E4:E40)</f>
        <v>0</v>
      </c>
      <c r="F3" s="3057">
        <f>SUM(F4:F40)</f>
        <v>0</v>
      </c>
      <c r="G3" s="453">
        <f t="shared" si="0"/>
        <v>0</v>
      </c>
      <c r="H3" s="3058">
        <f t="shared" si="0"/>
        <v>0</v>
      </c>
      <c r="I3" s="453">
        <f>SUM(I4:I40)</f>
        <v>0</v>
      </c>
      <c r="J3" s="3057">
        <f t="shared" si="0"/>
        <v>0</v>
      </c>
      <c r="K3" s="3059">
        <f>SUM(K4:K40)</f>
        <v>0</v>
      </c>
      <c r="L3" s="3057">
        <f>SUM(L4:L40)</f>
        <v>0</v>
      </c>
      <c r="M3" s="3057">
        <f>SUM(M4:M40)</f>
        <v>0</v>
      </c>
      <c r="N3" s="3060">
        <f t="shared" ref="N3:N64" si="1">SUM(B3:M3)</f>
        <v>778205.02</v>
      </c>
      <c r="Q3" s="189" t="s">
        <v>555</v>
      </c>
      <c r="R3" s="1614">
        <v>29983</v>
      </c>
      <c r="S3" s="1614">
        <v>33769</v>
      </c>
      <c r="T3" s="1614">
        <v>39757</v>
      </c>
      <c r="U3" s="1614">
        <v>69701</v>
      </c>
      <c r="V3" s="1614"/>
      <c r="W3" s="1614"/>
      <c r="X3" s="1614"/>
      <c r="Y3" s="1614"/>
      <c r="Z3" s="1614"/>
      <c r="AA3" s="1614"/>
      <c r="AB3" s="1614"/>
      <c r="AC3" s="1614"/>
      <c r="AD3" s="1627">
        <f>SUM(R3:AC3)</f>
        <v>173210</v>
      </c>
    </row>
    <row r="4" spans="1:30" x14ac:dyDescent="0.25">
      <c r="A4" s="178" t="s">
        <v>128</v>
      </c>
      <c r="B4" s="404">
        <v>52033</v>
      </c>
      <c r="C4" s="846">
        <v>67390</v>
      </c>
      <c r="D4" s="520"/>
      <c r="E4" s="402"/>
      <c r="F4" s="402"/>
      <c r="G4" s="402"/>
      <c r="H4" s="3009"/>
      <c r="I4" s="402"/>
      <c r="J4" s="520"/>
      <c r="K4" s="229"/>
      <c r="L4" s="3061"/>
      <c r="M4" s="3062"/>
      <c r="N4" s="517">
        <f t="shared" si="1"/>
        <v>119423</v>
      </c>
      <c r="Q4" s="155" t="s">
        <v>556</v>
      </c>
      <c r="R4" s="1611">
        <v>3097</v>
      </c>
      <c r="S4" s="1611">
        <v>3094</v>
      </c>
      <c r="T4" s="1611">
        <v>2859</v>
      </c>
      <c r="U4" s="1611">
        <v>3000</v>
      </c>
      <c r="V4" s="1611"/>
      <c r="W4" s="1611"/>
      <c r="X4" s="1611"/>
      <c r="Y4" s="1611"/>
      <c r="Z4" s="1611"/>
      <c r="AA4" s="1611"/>
      <c r="AB4" s="1611"/>
      <c r="AC4" s="1611"/>
      <c r="AD4" s="1628">
        <f t="shared" ref="AD4:AD5" si="2">SUM(R4:AC4)</f>
        <v>12050</v>
      </c>
    </row>
    <row r="5" spans="1:30" ht="13.8" thickBot="1" x14ac:dyDescent="0.3">
      <c r="A5" s="178" t="s">
        <v>550</v>
      </c>
      <c r="B5" s="404"/>
      <c r="C5" s="402"/>
      <c r="D5" s="3062"/>
      <c r="E5" s="402"/>
      <c r="F5" s="402"/>
      <c r="G5" s="402"/>
      <c r="H5" s="3063"/>
      <c r="I5" s="402"/>
      <c r="J5" s="520"/>
      <c r="K5" s="823"/>
      <c r="L5" s="117"/>
      <c r="M5" s="3062"/>
      <c r="N5" s="517">
        <f t="shared" si="1"/>
        <v>0</v>
      </c>
      <c r="Q5" s="362" t="s">
        <v>558</v>
      </c>
      <c r="R5" s="1613">
        <v>18818</v>
      </c>
      <c r="S5" s="1613">
        <v>14494</v>
      </c>
      <c r="T5" s="1613">
        <v>11754</v>
      </c>
      <c r="U5" s="1613">
        <v>16711</v>
      </c>
      <c r="V5" s="1613"/>
      <c r="W5" s="1613"/>
      <c r="X5" s="1613"/>
      <c r="Y5" s="1613"/>
      <c r="Z5" s="1613"/>
      <c r="AA5" s="1613"/>
      <c r="AB5" s="1613"/>
      <c r="AC5" s="1613"/>
      <c r="AD5" s="1629">
        <f t="shared" si="2"/>
        <v>61777</v>
      </c>
    </row>
    <row r="6" spans="1:30" ht="13.8" thickBot="1" x14ac:dyDescent="0.3">
      <c r="A6" s="178" t="s">
        <v>270</v>
      </c>
      <c r="B6" s="404"/>
      <c r="C6" s="402"/>
      <c r="D6" s="3062"/>
      <c r="E6" s="402"/>
      <c r="F6" s="402"/>
      <c r="G6" s="402"/>
      <c r="H6" s="3063"/>
      <c r="I6" s="402"/>
      <c r="J6" s="3062"/>
      <c r="K6" s="823"/>
      <c r="L6" s="117"/>
      <c r="M6" s="3062"/>
      <c r="N6" s="517">
        <f t="shared" si="1"/>
        <v>0</v>
      </c>
      <c r="Q6" s="1634"/>
      <c r="R6" s="1635">
        <f>SUM(R3:R5)</f>
        <v>51898</v>
      </c>
      <c r="S6" s="1635">
        <f t="shared" ref="S6:AD6" si="3">SUM(S3:S5)</f>
        <v>51357</v>
      </c>
      <c r="T6" s="1635">
        <f t="shared" si="3"/>
        <v>54370</v>
      </c>
      <c r="U6" s="1635">
        <f t="shared" si="3"/>
        <v>89412</v>
      </c>
      <c r="V6" s="1635">
        <f t="shared" si="3"/>
        <v>0</v>
      </c>
      <c r="W6" s="1635">
        <f t="shared" si="3"/>
        <v>0</v>
      </c>
      <c r="X6" s="1635">
        <f t="shared" si="3"/>
        <v>0</v>
      </c>
      <c r="Y6" s="1635">
        <f t="shared" si="3"/>
        <v>0</v>
      </c>
      <c r="Z6" s="1635">
        <f t="shared" si="3"/>
        <v>0</v>
      </c>
      <c r="AA6" s="1635">
        <f t="shared" si="3"/>
        <v>0</v>
      </c>
      <c r="AB6" s="1635">
        <f t="shared" si="3"/>
        <v>0</v>
      </c>
      <c r="AC6" s="1635">
        <f t="shared" si="3"/>
        <v>0</v>
      </c>
      <c r="AD6" s="1636">
        <f t="shared" si="3"/>
        <v>247037</v>
      </c>
    </row>
    <row r="7" spans="1:30" x14ac:dyDescent="0.25">
      <c r="A7" s="108" t="s">
        <v>129</v>
      </c>
      <c r="B7" s="404">
        <v>30000</v>
      </c>
      <c r="C7" s="897">
        <v>30000</v>
      </c>
      <c r="D7" s="520"/>
      <c r="E7" s="402"/>
      <c r="F7" s="402"/>
      <c r="G7" s="402"/>
      <c r="H7" s="3009"/>
      <c r="I7" s="402"/>
      <c r="J7" s="520"/>
      <c r="K7" s="229"/>
      <c r="L7" s="3061"/>
      <c r="M7" s="3062"/>
      <c r="N7" s="517">
        <f t="shared" si="1"/>
        <v>60000</v>
      </c>
      <c r="Q7" s="1273" t="s">
        <v>557</v>
      </c>
      <c r="R7" s="1622">
        <v>8341</v>
      </c>
      <c r="S7" s="1622">
        <v>46772</v>
      </c>
      <c r="T7" s="1622">
        <v>4400</v>
      </c>
      <c r="U7" s="1622">
        <v>5996</v>
      </c>
      <c r="V7" s="1622"/>
      <c r="W7" s="1622"/>
      <c r="X7" s="1622"/>
      <c r="Y7" s="1622"/>
      <c r="Z7" s="1622"/>
      <c r="AA7" s="1622"/>
      <c r="AB7" s="1622"/>
      <c r="AC7" s="1622"/>
      <c r="AD7" s="1630">
        <f t="shared" ref="AD7:AD12" si="4">SUM(R7:AC7)</f>
        <v>65509</v>
      </c>
    </row>
    <row r="8" spans="1:30" x14ac:dyDescent="0.25">
      <c r="A8" s="108" t="s">
        <v>130</v>
      </c>
      <c r="B8" s="404">
        <v>310</v>
      </c>
      <c r="C8" s="402"/>
      <c r="D8" s="520"/>
      <c r="E8" s="402"/>
      <c r="F8" s="402"/>
      <c r="G8" s="402"/>
      <c r="H8" s="3009"/>
      <c r="I8" s="402"/>
      <c r="J8" s="520"/>
      <c r="K8" s="229"/>
      <c r="L8" s="117"/>
      <c r="M8" s="3062"/>
      <c r="N8" s="517">
        <f t="shared" si="1"/>
        <v>310</v>
      </c>
      <c r="Q8" s="155" t="s">
        <v>564</v>
      </c>
      <c r="R8" s="1611"/>
      <c r="S8" s="1611"/>
      <c r="T8" s="1611">
        <v>2996</v>
      </c>
      <c r="U8" s="1611">
        <v>8710</v>
      </c>
      <c r="V8" s="1611"/>
      <c r="W8" s="1611"/>
      <c r="X8" s="1611"/>
      <c r="Y8" s="1611"/>
      <c r="Z8" s="1611"/>
      <c r="AA8" s="1611"/>
      <c r="AB8" s="1611"/>
      <c r="AC8" s="1611"/>
      <c r="AD8" s="1628">
        <f>SUM(R8:AC8)</f>
        <v>11706</v>
      </c>
    </row>
    <row r="9" spans="1:30" ht="13.8" thickBot="1" x14ac:dyDescent="0.3">
      <c r="A9" s="108" t="s">
        <v>364</v>
      </c>
      <c r="B9" s="404"/>
      <c r="C9" s="402"/>
      <c r="D9" s="520"/>
      <c r="E9" s="402"/>
      <c r="F9" s="402"/>
      <c r="G9" s="402"/>
      <c r="H9" s="3009"/>
      <c r="I9" s="402"/>
      <c r="J9" s="520"/>
      <c r="K9" s="229"/>
      <c r="L9" s="117"/>
      <c r="M9" s="3062"/>
      <c r="N9" s="517">
        <f t="shared" si="1"/>
        <v>0</v>
      </c>
      <c r="Q9" s="1623" t="s">
        <v>560</v>
      </c>
      <c r="R9" s="1624">
        <v>2995</v>
      </c>
      <c r="S9" s="1624">
        <v>5016</v>
      </c>
      <c r="T9" s="1624"/>
      <c r="U9" s="1624"/>
      <c r="V9" s="1624"/>
      <c r="W9" s="1624"/>
      <c r="X9" s="1624"/>
      <c r="Y9" s="1624"/>
      <c r="Z9" s="1624"/>
      <c r="AA9" s="1624"/>
      <c r="AB9" s="1624"/>
      <c r="AC9" s="1624"/>
      <c r="AD9" s="1631">
        <f>SUM(R9:AC9)</f>
        <v>8011</v>
      </c>
    </row>
    <row r="10" spans="1:30" ht="13.8" thickTop="1" x14ac:dyDescent="0.25">
      <c r="A10" s="108" t="s">
        <v>131</v>
      </c>
      <c r="B10" s="404">
        <v>38983.06</v>
      </c>
      <c r="C10" s="402">
        <v>44760</v>
      </c>
      <c r="D10" s="3062"/>
      <c r="E10" s="402"/>
      <c r="F10" s="402"/>
      <c r="G10" s="402"/>
      <c r="H10" s="3009"/>
      <c r="I10" s="402"/>
      <c r="J10" s="520"/>
      <c r="K10" s="823"/>
      <c r="L10" s="117"/>
      <c r="M10" s="3062"/>
      <c r="N10" s="517">
        <f t="shared" si="1"/>
        <v>83743.06</v>
      </c>
      <c r="Q10" s="1625" t="s">
        <v>563</v>
      </c>
      <c r="R10" s="1626">
        <v>19530</v>
      </c>
      <c r="S10" s="1626">
        <v>23438</v>
      </c>
      <c r="T10" s="1626">
        <v>19376</v>
      </c>
      <c r="U10" s="1626">
        <v>11020</v>
      </c>
      <c r="V10" s="1626"/>
      <c r="W10" s="1626"/>
      <c r="X10" s="1626"/>
      <c r="Y10" s="1626"/>
      <c r="Z10" s="1626"/>
      <c r="AA10" s="1626"/>
      <c r="AB10" s="1626"/>
      <c r="AC10" s="1626"/>
      <c r="AD10" s="1632">
        <f t="shared" si="4"/>
        <v>73364</v>
      </c>
    </row>
    <row r="11" spans="1:30" x14ac:dyDescent="0.25">
      <c r="A11" s="108" t="s">
        <v>132</v>
      </c>
      <c r="B11" s="404">
        <v>3168</v>
      </c>
      <c r="C11" s="402">
        <v>1000</v>
      </c>
      <c r="D11" s="520"/>
      <c r="E11" s="402"/>
      <c r="F11" s="402"/>
      <c r="G11" s="402"/>
      <c r="H11" s="3009"/>
      <c r="I11" s="402"/>
      <c r="J11" s="520"/>
      <c r="K11" s="229"/>
      <c r="L11" s="3061"/>
      <c r="M11" s="3062"/>
      <c r="N11" s="517">
        <f t="shared" si="1"/>
        <v>4168</v>
      </c>
      <c r="Q11" s="155" t="s">
        <v>559</v>
      </c>
      <c r="R11" s="1611">
        <v>9608</v>
      </c>
      <c r="S11" s="1611">
        <v>5569</v>
      </c>
      <c r="T11" s="1611"/>
      <c r="U11" s="1611"/>
      <c r="V11" s="1611"/>
      <c r="W11" s="1611"/>
      <c r="X11" s="1611"/>
      <c r="Y11" s="1611"/>
      <c r="Z11" s="1611"/>
      <c r="AA11" s="1611"/>
      <c r="AB11" s="1611"/>
      <c r="AC11" s="1611"/>
      <c r="AD11" s="1628">
        <f t="shared" si="4"/>
        <v>15177</v>
      </c>
    </row>
    <row r="12" spans="1:30" ht="13.8" thickBot="1" x14ac:dyDescent="0.3">
      <c r="A12" s="1699" t="s">
        <v>595</v>
      </c>
      <c r="B12" s="404"/>
      <c r="C12" s="402"/>
      <c r="D12" s="3062"/>
      <c r="E12" s="402"/>
      <c r="F12" s="402"/>
      <c r="G12" s="402"/>
      <c r="H12" s="3009"/>
      <c r="I12" s="402"/>
      <c r="J12" s="3062"/>
      <c r="K12" s="823"/>
      <c r="L12" s="3061"/>
      <c r="M12" s="3062"/>
      <c r="N12" s="517">
        <f t="shared" si="1"/>
        <v>0</v>
      </c>
      <c r="Q12" s="156" t="s">
        <v>561</v>
      </c>
      <c r="R12" s="1612"/>
      <c r="S12" s="1612"/>
      <c r="T12" s="1612">
        <v>4473</v>
      </c>
      <c r="U12" s="1612">
        <v>7703</v>
      </c>
      <c r="V12" s="1612"/>
      <c r="W12" s="1612"/>
      <c r="X12" s="1612"/>
      <c r="Y12" s="1612"/>
      <c r="Z12" s="1612"/>
      <c r="AA12" s="1612"/>
      <c r="AB12" s="1612"/>
      <c r="AC12" s="1612"/>
      <c r="AD12" s="1633">
        <f t="shared" si="4"/>
        <v>12176</v>
      </c>
    </row>
    <row r="13" spans="1:30" ht="13.8" thickBot="1" x14ac:dyDescent="0.3">
      <c r="A13" s="108" t="s">
        <v>133</v>
      </c>
      <c r="B13" s="404"/>
      <c r="C13" s="402"/>
      <c r="D13" s="3062"/>
      <c r="E13" s="402"/>
      <c r="F13" s="402"/>
      <c r="G13" s="402"/>
      <c r="H13" s="3063"/>
      <c r="I13" s="402"/>
      <c r="J13" s="3062"/>
      <c r="K13" s="823"/>
      <c r="L13" s="3061"/>
      <c r="M13" s="3062"/>
      <c r="N13" s="517">
        <f t="shared" si="1"/>
        <v>0</v>
      </c>
      <c r="Q13" s="339"/>
      <c r="R13" s="1615">
        <f>SUM(R7:R12)</f>
        <v>40474</v>
      </c>
      <c r="S13" s="1615">
        <f t="shared" ref="S13:AD13" si="5">SUM(S7:S12)</f>
        <v>80795</v>
      </c>
      <c r="T13" s="1615">
        <f t="shared" si="5"/>
        <v>31245</v>
      </c>
      <c r="U13" s="1615">
        <f t="shared" si="5"/>
        <v>33429</v>
      </c>
      <c r="V13" s="1615">
        <f t="shared" si="5"/>
        <v>0</v>
      </c>
      <c r="W13" s="1615">
        <f t="shared" si="5"/>
        <v>0</v>
      </c>
      <c r="X13" s="1615">
        <f t="shared" si="5"/>
        <v>0</v>
      </c>
      <c r="Y13" s="1615">
        <f t="shared" si="5"/>
        <v>0</v>
      </c>
      <c r="Z13" s="1615">
        <f t="shared" si="5"/>
        <v>0</v>
      </c>
      <c r="AA13" s="1615">
        <f t="shared" si="5"/>
        <v>0</v>
      </c>
      <c r="AB13" s="1615">
        <f t="shared" si="5"/>
        <v>0</v>
      </c>
      <c r="AC13" s="1615">
        <f t="shared" si="5"/>
        <v>0</v>
      </c>
      <c r="AD13" s="1619">
        <f t="shared" si="5"/>
        <v>185943</v>
      </c>
    </row>
    <row r="14" spans="1:30" ht="13.8" thickBot="1" x14ac:dyDescent="0.3">
      <c r="A14" s="108" t="s">
        <v>134</v>
      </c>
      <c r="B14" s="404">
        <v>1461.12</v>
      </c>
      <c r="C14" s="402">
        <v>6281</v>
      </c>
      <c r="D14" s="3062"/>
      <c r="E14" s="402"/>
      <c r="F14" s="402"/>
      <c r="G14" s="402"/>
      <c r="H14" s="3009"/>
      <c r="I14" s="402"/>
      <c r="J14" s="3062"/>
      <c r="K14" s="823"/>
      <c r="L14" s="3061"/>
      <c r="M14" s="520"/>
      <c r="N14" s="517">
        <f t="shared" si="1"/>
        <v>7742.12</v>
      </c>
      <c r="Q14" s="1616"/>
      <c r="R14" s="1617">
        <f>R6+R13</f>
        <v>92372</v>
      </c>
      <c r="S14" s="1617">
        <f t="shared" ref="S14:AD14" si="6">S6+S13</f>
        <v>132152</v>
      </c>
      <c r="T14" s="1617">
        <f t="shared" si="6"/>
        <v>85615</v>
      </c>
      <c r="U14" s="1617">
        <f t="shared" si="6"/>
        <v>122841</v>
      </c>
      <c r="V14" s="1617">
        <f t="shared" si="6"/>
        <v>0</v>
      </c>
      <c r="W14" s="1617">
        <f t="shared" si="6"/>
        <v>0</v>
      </c>
      <c r="X14" s="1617">
        <f t="shared" si="6"/>
        <v>0</v>
      </c>
      <c r="Y14" s="1617">
        <f t="shared" si="6"/>
        <v>0</v>
      </c>
      <c r="Z14" s="1617">
        <f t="shared" si="6"/>
        <v>0</v>
      </c>
      <c r="AA14" s="1617">
        <f t="shared" si="6"/>
        <v>0</v>
      </c>
      <c r="AB14" s="1617">
        <f t="shared" si="6"/>
        <v>0</v>
      </c>
      <c r="AC14" s="1617">
        <f t="shared" si="6"/>
        <v>0</v>
      </c>
      <c r="AD14" s="1618">
        <f t="shared" si="6"/>
        <v>432980</v>
      </c>
    </row>
    <row r="15" spans="1:30" x14ac:dyDescent="0.25">
      <c r="A15" s="108" t="s">
        <v>135</v>
      </c>
      <c r="B15" s="404"/>
      <c r="C15" s="402"/>
      <c r="D15" s="520"/>
      <c r="E15" s="402"/>
      <c r="F15" s="402"/>
      <c r="G15" s="402"/>
      <c r="H15" s="3009"/>
      <c r="I15" s="402"/>
      <c r="J15" s="520"/>
      <c r="K15" s="229"/>
      <c r="L15" s="3061"/>
      <c r="M15" s="3062"/>
      <c r="N15" s="517">
        <f t="shared" si="1"/>
        <v>0</v>
      </c>
    </row>
    <row r="16" spans="1:30" x14ac:dyDescent="0.25">
      <c r="A16" s="108" t="s">
        <v>425</v>
      </c>
      <c r="B16" s="404"/>
      <c r="C16" s="402"/>
      <c r="D16" s="3062"/>
      <c r="E16" s="402"/>
      <c r="F16" s="402"/>
      <c r="G16" s="402"/>
      <c r="H16" s="3063"/>
      <c r="I16" s="402"/>
      <c r="J16" s="3062"/>
      <c r="K16" s="823"/>
      <c r="L16" s="3061"/>
      <c r="M16" s="3062"/>
      <c r="N16" s="517">
        <f t="shared" si="1"/>
        <v>0</v>
      </c>
    </row>
    <row r="17" spans="1:16" x14ac:dyDescent="0.25">
      <c r="A17" s="108" t="s">
        <v>200</v>
      </c>
      <c r="B17" s="404"/>
      <c r="C17" s="402"/>
      <c r="D17" s="3062"/>
      <c r="E17" s="402"/>
      <c r="F17" s="402"/>
      <c r="G17" s="402"/>
      <c r="H17" s="3063"/>
      <c r="I17" s="402"/>
      <c r="J17" s="3062"/>
      <c r="K17" s="823"/>
      <c r="L17" s="3061"/>
      <c r="M17" s="3062"/>
      <c r="N17" s="517">
        <f t="shared" si="1"/>
        <v>0</v>
      </c>
    </row>
    <row r="18" spans="1:16" x14ac:dyDescent="0.25">
      <c r="A18" s="108" t="s">
        <v>136</v>
      </c>
      <c r="B18" s="404"/>
      <c r="C18" s="402"/>
      <c r="D18" s="3062"/>
      <c r="E18" s="402"/>
      <c r="F18" s="402"/>
      <c r="G18" s="402"/>
      <c r="H18" s="3009"/>
      <c r="I18" s="402"/>
      <c r="J18" s="3062"/>
      <c r="K18" s="823"/>
      <c r="L18" s="3061"/>
      <c r="M18" s="3062"/>
      <c r="N18" s="517">
        <f t="shared" si="1"/>
        <v>0</v>
      </c>
    </row>
    <row r="19" spans="1:16" x14ac:dyDescent="0.25">
      <c r="A19" s="108" t="s">
        <v>199</v>
      </c>
      <c r="B19" s="404"/>
      <c r="C19" s="402"/>
      <c r="D19" s="520"/>
      <c r="E19" s="402"/>
      <c r="F19" s="402"/>
      <c r="G19" s="402"/>
      <c r="H19" s="3063"/>
      <c r="I19" s="402"/>
      <c r="J19" s="3062"/>
      <c r="K19" s="823"/>
      <c r="L19" s="3061"/>
      <c r="M19" s="3062"/>
      <c r="N19" s="517">
        <f t="shared" si="1"/>
        <v>0</v>
      </c>
    </row>
    <row r="20" spans="1:16" x14ac:dyDescent="0.25">
      <c r="A20" s="108" t="s">
        <v>137</v>
      </c>
      <c r="B20" s="404">
        <v>2200</v>
      </c>
      <c r="C20" s="402">
        <v>2200</v>
      </c>
      <c r="D20" s="520"/>
      <c r="E20" s="402"/>
      <c r="F20" s="402"/>
      <c r="G20" s="402"/>
      <c r="H20" s="3009"/>
      <c r="I20" s="402"/>
      <c r="J20" s="520"/>
      <c r="K20" s="823"/>
      <c r="L20" s="3061"/>
      <c r="M20" s="3062"/>
      <c r="N20" s="517">
        <f t="shared" si="1"/>
        <v>4400</v>
      </c>
    </row>
    <row r="21" spans="1:16" x14ac:dyDescent="0.25">
      <c r="A21" s="108" t="s">
        <v>138</v>
      </c>
      <c r="B21" s="404">
        <v>5190</v>
      </c>
      <c r="C21" s="402">
        <v>5550</v>
      </c>
      <c r="D21" s="520"/>
      <c r="E21" s="402"/>
      <c r="F21" s="402"/>
      <c r="G21" s="402"/>
      <c r="H21" s="3009"/>
      <c r="I21" s="402"/>
      <c r="J21" s="520"/>
      <c r="K21" s="229"/>
      <c r="L21" s="3061"/>
      <c r="M21" s="520"/>
      <c r="N21" s="517">
        <f t="shared" si="1"/>
        <v>10740</v>
      </c>
    </row>
    <row r="22" spans="1:16" x14ac:dyDescent="0.25">
      <c r="A22" s="108" t="s">
        <v>139</v>
      </c>
      <c r="B22" s="404">
        <v>2442.87</v>
      </c>
      <c r="C22" s="402">
        <v>9159.869999999999</v>
      </c>
      <c r="D22" s="3062"/>
      <c r="E22" s="402"/>
      <c r="F22" s="402"/>
      <c r="G22" s="402"/>
      <c r="H22" s="3063"/>
      <c r="I22" s="402"/>
      <c r="J22" s="3063"/>
      <c r="K22" s="823"/>
      <c r="L22" s="3061"/>
      <c r="M22" s="3062"/>
      <c r="N22" s="517">
        <f t="shared" si="1"/>
        <v>11602.739999999998</v>
      </c>
    </row>
    <row r="23" spans="1:16" x14ac:dyDescent="0.25">
      <c r="A23" s="108" t="s">
        <v>140</v>
      </c>
      <c r="B23" s="404">
        <v>34615</v>
      </c>
      <c r="C23" s="402">
        <v>24928.799999999999</v>
      </c>
      <c r="D23" s="3062"/>
      <c r="E23" s="402"/>
      <c r="F23" s="402"/>
      <c r="G23" s="402"/>
      <c r="H23" s="3063"/>
      <c r="I23" s="402"/>
      <c r="J23" s="3062"/>
      <c r="K23" s="823"/>
      <c r="L23" s="3061"/>
      <c r="M23" s="3062"/>
      <c r="N23" s="517">
        <f t="shared" si="1"/>
        <v>59543.8</v>
      </c>
    </row>
    <row r="24" spans="1:16" x14ac:dyDescent="0.25">
      <c r="A24" s="108" t="s">
        <v>141</v>
      </c>
      <c r="B24" s="404">
        <v>5500</v>
      </c>
      <c r="C24" s="402">
        <v>5500</v>
      </c>
      <c r="D24" s="520"/>
      <c r="E24" s="402"/>
      <c r="F24" s="402"/>
      <c r="G24" s="402"/>
      <c r="H24" s="3063"/>
      <c r="I24" s="402"/>
      <c r="J24" s="520"/>
      <c r="K24" s="229"/>
      <c r="L24" s="3061"/>
      <c r="M24" s="3062"/>
      <c r="N24" s="517">
        <f t="shared" si="1"/>
        <v>11000</v>
      </c>
    </row>
    <row r="25" spans="1:16" x14ac:dyDescent="0.25">
      <c r="A25" s="108" t="s">
        <v>142</v>
      </c>
      <c r="B25" s="404"/>
      <c r="C25" s="402">
        <v>31500</v>
      </c>
      <c r="D25" s="3062"/>
      <c r="E25" s="402"/>
      <c r="F25" s="402"/>
      <c r="G25" s="402"/>
      <c r="H25" s="3063"/>
      <c r="I25" s="402"/>
      <c r="J25" s="3062"/>
      <c r="K25" s="823"/>
      <c r="L25" s="3061"/>
      <c r="M25" s="3062"/>
      <c r="N25" s="517">
        <f t="shared" si="1"/>
        <v>31500</v>
      </c>
      <c r="P25" s="229" t="s">
        <v>2</v>
      </c>
    </row>
    <row r="26" spans="1:16" x14ac:dyDescent="0.25">
      <c r="A26" s="108" t="s">
        <v>143</v>
      </c>
      <c r="B26" s="404"/>
      <c r="C26" s="402"/>
      <c r="D26" s="520"/>
      <c r="E26" s="402"/>
      <c r="F26" s="402"/>
      <c r="G26" s="402"/>
      <c r="H26" s="3063"/>
      <c r="I26" s="402"/>
      <c r="J26" s="520"/>
      <c r="K26" s="229"/>
      <c r="L26" s="3061"/>
      <c r="M26" s="520"/>
      <c r="N26" s="517">
        <f t="shared" si="1"/>
        <v>0</v>
      </c>
      <c r="P26" s="229" t="s">
        <v>2</v>
      </c>
    </row>
    <row r="27" spans="1:16" x14ac:dyDescent="0.25">
      <c r="A27" s="108" t="s">
        <v>144</v>
      </c>
      <c r="B27" s="404">
        <v>10000</v>
      </c>
      <c r="C27" s="402"/>
      <c r="D27" s="3062"/>
      <c r="E27" s="402"/>
      <c r="F27" s="402"/>
      <c r="G27" s="402"/>
      <c r="H27" s="3009"/>
      <c r="I27" s="402"/>
      <c r="J27" s="3062"/>
      <c r="K27" s="229"/>
      <c r="L27" s="3061"/>
      <c r="M27" s="3062"/>
      <c r="N27" s="517">
        <f t="shared" si="1"/>
        <v>10000</v>
      </c>
      <c r="P27" s="229" t="s">
        <v>2</v>
      </c>
    </row>
    <row r="28" spans="1:16" x14ac:dyDescent="0.25">
      <c r="A28" s="108" t="s">
        <v>520</v>
      </c>
      <c r="B28" s="404"/>
      <c r="C28" s="402"/>
      <c r="D28" s="3062"/>
      <c r="E28" s="402"/>
      <c r="F28" s="402"/>
      <c r="G28" s="402"/>
      <c r="H28" s="3009"/>
      <c r="I28" s="402"/>
      <c r="J28" s="3062"/>
      <c r="K28" s="229"/>
      <c r="L28" s="3061"/>
      <c r="M28" s="3062"/>
      <c r="N28" s="517">
        <f t="shared" si="1"/>
        <v>0</v>
      </c>
      <c r="P28" s="229"/>
    </row>
    <row r="29" spans="1:16" x14ac:dyDescent="0.25">
      <c r="A29" s="1513" t="s">
        <v>522</v>
      </c>
      <c r="B29" s="404"/>
      <c r="C29" s="402"/>
      <c r="D29" s="3062"/>
      <c r="E29" s="402"/>
      <c r="F29" s="402"/>
      <c r="G29" s="402"/>
      <c r="H29" s="3009"/>
      <c r="I29" s="402"/>
      <c r="J29" s="3062"/>
      <c r="K29" s="823"/>
      <c r="L29" s="3061"/>
      <c r="M29" s="3062"/>
      <c r="N29" s="517">
        <f t="shared" si="1"/>
        <v>0</v>
      </c>
      <c r="P29" s="229"/>
    </row>
    <row r="30" spans="1:16" x14ac:dyDescent="0.25">
      <c r="A30" s="108" t="s">
        <v>145</v>
      </c>
      <c r="B30" s="404">
        <v>11.7</v>
      </c>
      <c r="C30" s="402">
        <v>23.95</v>
      </c>
      <c r="D30" s="3062"/>
      <c r="E30" s="402"/>
      <c r="F30" s="402"/>
      <c r="G30" s="402"/>
      <c r="H30" s="3063"/>
      <c r="I30" s="402"/>
      <c r="J30" s="3062"/>
      <c r="K30" s="823"/>
      <c r="L30" s="3061"/>
      <c r="M30" s="3062"/>
      <c r="N30" s="517">
        <f t="shared" si="1"/>
        <v>35.65</v>
      </c>
      <c r="P30" s="229" t="s">
        <v>2</v>
      </c>
    </row>
    <row r="31" spans="1:16" x14ac:dyDescent="0.25">
      <c r="A31" s="108" t="s">
        <v>146</v>
      </c>
      <c r="B31" s="404"/>
      <c r="C31" s="402"/>
      <c r="D31" s="3062"/>
      <c r="E31" s="402"/>
      <c r="F31" s="402"/>
      <c r="G31" s="402"/>
      <c r="H31" s="3009"/>
      <c r="I31" s="402"/>
      <c r="J31" s="3062"/>
      <c r="K31" s="823"/>
      <c r="L31" s="3061"/>
      <c r="M31" s="3062"/>
      <c r="N31" s="517">
        <f t="shared" si="1"/>
        <v>0</v>
      </c>
      <c r="P31" s="229" t="s">
        <v>280</v>
      </c>
    </row>
    <row r="32" spans="1:16" x14ac:dyDescent="0.25">
      <c r="A32" s="108" t="s">
        <v>204</v>
      </c>
      <c r="B32" s="404">
        <v>99440.58</v>
      </c>
      <c r="C32" s="402">
        <v>26368.97</v>
      </c>
      <c r="D32" s="520"/>
      <c r="E32" s="402"/>
      <c r="F32" s="402"/>
      <c r="G32" s="402"/>
      <c r="H32" s="3009"/>
      <c r="I32" s="402"/>
      <c r="J32" s="3062"/>
      <c r="K32" s="229"/>
      <c r="L32" s="3061"/>
      <c r="M32" s="520"/>
      <c r="N32" s="517">
        <f t="shared" si="1"/>
        <v>125809.55</v>
      </c>
      <c r="P32" s="229" t="s">
        <v>2</v>
      </c>
    </row>
    <row r="33" spans="1:16" x14ac:dyDescent="0.25">
      <c r="A33" s="108" t="s">
        <v>590</v>
      </c>
      <c r="B33" s="404"/>
      <c r="C33" s="402"/>
      <c r="D33" s="3062"/>
      <c r="E33" s="402"/>
      <c r="F33" s="402"/>
      <c r="G33" s="402"/>
      <c r="H33" s="3063"/>
      <c r="I33" s="402"/>
      <c r="J33" s="3062"/>
      <c r="K33" s="823"/>
      <c r="L33" s="3061"/>
      <c r="M33" s="3062"/>
      <c r="N33" s="517">
        <f t="shared" si="1"/>
        <v>0</v>
      </c>
      <c r="P33" s="229" t="s">
        <v>2</v>
      </c>
    </row>
    <row r="34" spans="1:16" x14ac:dyDescent="0.25">
      <c r="A34" s="108" t="s">
        <v>147</v>
      </c>
      <c r="B34" s="404">
        <v>53513</v>
      </c>
      <c r="C34" s="402"/>
      <c r="D34" s="520"/>
      <c r="E34" s="402"/>
      <c r="F34" s="402"/>
      <c r="G34" s="402"/>
      <c r="H34" s="3063"/>
      <c r="I34" s="402"/>
      <c r="J34" s="3062"/>
      <c r="K34" s="823"/>
      <c r="L34" s="3061"/>
      <c r="M34" s="3062"/>
      <c r="N34" s="517">
        <f t="shared" si="1"/>
        <v>53513</v>
      </c>
      <c r="P34" s="229" t="s">
        <v>280</v>
      </c>
    </row>
    <row r="35" spans="1:16" x14ac:dyDescent="0.25">
      <c r="A35" s="108" t="s">
        <v>148</v>
      </c>
      <c r="B35" s="404"/>
      <c r="C35" s="402">
        <v>9</v>
      </c>
      <c r="D35" s="3062"/>
      <c r="E35" s="402"/>
      <c r="F35" s="402"/>
      <c r="G35" s="402"/>
      <c r="H35" s="3063"/>
      <c r="I35" s="402"/>
      <c r="J35" s="520"/>
      <c r="K35" s="823"/>
      <c r="L35" s="3061"/>
      <c r="M35" s="3062"/>
      <c r="N35" s="517">
        <f>SUM(B35:M35)</f>
        <v>9</v>
      </c>
      <c r="P35" s="229" t="s">
        <v>2</v>
      </c>
    </row>
    <row r="36" spans="1:16" x14ac:dyDescent="0.25">
      <c r="A36" s="108" t="s">
        <v>149</v>
      </c>
      <c r="B36" s="404">
        <v>16046.82</v>
      </c>
      <c r="C36" s="402">
        <v>6603.28</v>
      </c>
      <c r="D36" s="520"/>
      <c r="E36" s="402"/>
      <c r="F36" s="402"/>
      <c r="G36" s="402"/>
      <c r="H36" s="3009"/>
      <c r="I36" s="402"/>
      <c r="J36" s="520"/>
      <c r="K36" s="229"/>
      <c r="L36" s="3061"/>
      <c r="M36" s="520"/>
      <c r="N36" s="517">
        <f t="shared" si="1"/>
        <v>22650.1</v>
      </c>
      <c r="P36" s="229" t="s">
        <v>280</v>
      </c>
    </row>
    <row r="37" spans="1:16" x14ac:dyDescent="0.25">
      <c r="A37" s="108" t="s">
        <v>150</v>
      </c>
      <c r="B37" s="404">
        <v>4008</v>
      </c>
      <c r="C37" s="402">
        <v>4007</v>
      </c>
      <c r="D37" s="520"/>
      <c r="E37" s="402"/>
      <c r="F37" s="402"/>
      <c r="G37" s="402"/>
      <c r="H37" s="3009"/>
      <c r="I37" s="402"/>
      <c r="J37" s="520"/>
      <c r="K37" s="229"/>
      <c r="L37" s="3061"/>
      <c r="M37" s="520"/>
      <c r="N37" s="517">
        <f t="shared" si="1"/>
        <v>8015</v>
      </c>
      <c r="P37" s="229" t="s">
        <v>2</v>
      </c>
    </row>
    <row r="38" spans="1:16" x14ac:dyDescent="0.25">
      <c r="A38" s="108" t="s">
        <v>428</v>
      </c>
      <c r="B38" s="404"/>
      <c r="C38" s="402"/>
      <c r="D38" s="3062"/>
      <c r="E38" s="402"/>
      <c r="F38" s="402"/>
      <c r="G38" s="402"/>
      <c r="H38" s="3009"/>
      <c r="I38" s="402"/>
      <c r="J38" s="520"/>
      <c r="K38" s="823"/>
      <c r="L38" s="3061"/>
      <c r="M38" s="3062"/>
      <c r="N38" s="517">
        <f t="shared" si="1"/>
        <v>0</v>
      </c>
    </row>
    <row r="39" spans="1:16" x14ac:dyDescent="0.25">
      <c r="A39" s="221" t="s">
        <v>205</v>
      </c>
      <c r="B39" s="404"/>
      <c r="C39" s="402"/>
      <c r="D39" s="520"/>
      <c r="E39" s="402"/>
      <c r="F39" s="402"/>
      <c r="G39" s="402"/>
      <c r="H39" s="3009"/>
      <c r="I39" s="402"/>
      <c r="J39" s="520"/>
      <c r="K39" s="229"/>
      <c r="L39" s="3061"/>
      <c r="M39" s="520"/>
      <c r="N39" s="517">
        <f t="shared" si="1"/>
        <v>0</v>
      </c>
    </row>
    <row r="40" spans="1:16" ht="13.8" thickBot="1" x14ac:dyDescent="0.3">
      <c r="A40" s="108" t="s">
        <v>151</v>
      </c>
      <c r="B40" s="404">
        <v>77000</v>
      </c>
      <c r="C40" s="402">
        <v>77000</v>
      </c>
      <c r="D40" s="520"/>
      <c r="E40" s="402"/>
      <c r="F40" s="402"/>
      <c r="G40" s="402"/>
      <c r="H40" s="3009"/>
      <c r="I40" s="402"/>
      <c r="J40" s="520"/>
      <c r="K40" s="229"/>
      <c r="L40" s="3064"/>
      <c r="M40" s="520"/>
      <c r="N40" s="517">
        <f t="shared" si="1"/>
        <v>154000</v>
      </c>
    </row>
    <row r="41" spans="1:16" ht="13.8" thickBot="1" x14ac:dyDescent="0.3">
      <c r="A41" s="275" t="s">
        <v>152</v>
      </c>
      <c r="B41" s="276">
        <f>SUM(B42:B51)</f>
        <v>458583.82</v>
      </c>
      <c r="C41" s="276">
        <f>SUM(C42:C51)</f>
        <v>347702.08</v>
      </c>
      <c r="D41" s="403">
        <f t="shared" ref="D41" si="7">SUM(D42:D51)</f>
        <v>0</v>
      </c>
      <c r="E41" s="276">
        <f>SUM(E42:E51)</f>
        <v>0</v>
      </c>
      <c r="F41" s="276">
        <f>SUM(F42:F51)</f>
        <v>0</v>
      </c>
      <c r="G41" s="519">
        <f t="shared" ref="G41:L41" si="8">SUM(G42:G51)</f>
        <v>0</v>
      </c>
      <c r="H41" s="3065">
        <f>SUM(H42:H51)</f>
        <v>0</v>
      </c>
      <c r="I41" s="519">
        <f t="shared" si="8"/>
        <v>0</v>
      </c>
      <c r="J41" s="403">
        <f>SUM(J42:J51)</f>
        <v>0</v>
      </c>
      <c r="K41" s="3066">
        <f t="shared" si="8"/>
        <v>0</v>
      </c>
      <c r="L41" s="403">
        <f t="shared" si="8"/>
        <v>0</v>
      </c>
      <c r="M41" s="403">
        <f>SUM(M42:M51)</f>
        <v>0</v>
      </c>
      <c r="N41" s="3067">
        <f t="shared" si="1"/>
        <v>806285.9</v>
      </c>
      <c r="O41" s="8"/>
      <c r="P41" s="8"/>
    </row>
    <row r="42" spans="1:16" x14ac:dyDescent="0.25">
      <c r="A42" s="108" t="s">
        <v>153</v>
      </c>
      <c r="B42" s="402"/>
      <c r="C42" s="404"/>
      <c r="D42" s="520"/>
      <c r="E42" s="404"/>
      <c r="F42" s="404"/>
      <c r="G42" s="404"/>
      <c r="H42" s="3009"/>
      <c r="I42" s="404"/>
      <c r="J42" s="520"/>
      <c r="K42" s="229"/>
      <c r="L42" s="520"/>
      <c r="M42" s="520"/>
      <c r="N42" s="517">
        <f t="shared" si="1"/>
        <v>0</v>
      </c>
      <c r="O42" s="8"/>
      <c r="P42" s="8"/>
    </row>
    <row r="43" spans="1:16" x14ac:dyDescent="0.25">
      <c r="A43" s="108" t="s">
        <v>154</v>
      </c>
      <c r="B43" s="402">
        <v>25279.82</v>
      </c>
      <c r="C43" s="404">
        <v>26301.08</v>
      </c>
      <c r="D43" s="520"/>
      <c r="E43" s="404"/>
      <c r="F43" s="404"/>
      <c r="G43" s="404"/>
      <c r="H43" s="3009"/>
      <c r="I43" s="404"/>
      <c r="J43" s="520"/>
      <c r="K43" s="229"/>
      <c r="L43" s="520"/>
      <c r="M43" s="520"/>
      <c r="N43" s="517">
        <f t="shared" si="1"/>
        <v>51580.9</v>
      </c>
      <c r="O43" s="8"/>
    </row>
    <row r="44" spans="1:16" x14ac:dyDescent="0.25">
      <c r="A44" s="108" t="s">
        <v>426</v>
      </c>
      <c r="B44" s="402">
        <v>73333</v>
      </c>
      <c r="C44" s="404">
        <v>73333</v>
      </c>
      <c r="D44" s="520"/>
      <c r="E44" s="404"/>
      <c r="F44" s="404"/>
      <c r="G44" s="404"/>
      <c r="H44" s="3009"/>
      <c r="I44" s="404"/>
      <c r="J44" s="520"/>
      <c r="K44" s="229"/>
      <c r="L44" s="520"/>
      <c r="M44" s="520"/>
      <c r="N44" s="517">
        <f t="shared" si="1"/>
        <v>146666</v>
      </c>
      <c r="O44" s="8"/>
    </row>
    <row r="45" spans="1:16" x14ac:dyDescent="0.25">
      <c r="A45" s="108" t="s">
        <v>155</v>
      </c>
      <c r="B45" s="402"/>
      <c r="C45" s="404"/>
      <c r="D45" s="520"/>
      <c r="E45" s="404"/>
      <c r="F45" s="404"/>
      <c r="G45" s="404"/>
      <c r="H45" s="3009"/>
      <c r="I45" s="404"/>
      <c r="J45" s="520"/>
      <c r="K45" s="229"/>
      <c r="L45" s="520"/>
      <c r="M45" s="520"/>
      <c r="N45" s="517">
        <f t="shared" si="1"/>
        <v>0</v>
      </c>
      <c r="O45" s="8"/>
    </row>
    <row r="46" spans="1:16" x14ac:dyDescent="0.25">
      <c r="A46" s="108" t="s">
        <v>156</v>
      </c>
      <c r="B46" s="402">
        <v>348690</v>
      </c>
      <c r="C46" s="404">
        <v>237164</v>
      </c>
      <c r="D46" s="520"/>
      <c r="E46" s="404"/>
      <c r="F46" s="404"/>
      <c r="G46" s="404"/>
      <c r="H46" s="3009"/>
      <c r="I46" s="404"/>
      <c r="J46" s="520"/>
      <c r="K46" s="229"/>
      <c r="L46" s="520"/>
      <c r="M46" s="520"/>
      <c r="N46" s="517">
        <f t="shared" si="1"/>
        <v>585854</v>
      </c>
      <c r="O46" s="8"/>
    </row>
    <row r="47" spans="1:16" x14ac:dyDescent="0.25">
      <c r="A47" s="108" t="s">
        <v>242</v>
      </c>
      <c r="B47" s="402"/>
      <c r="C47" s="404"/>
      <c r="D47" s="520"/>
      <c r="E47" s="404"/>
      <c r="F47" s="404"/>
      <c r="G47" s="404"/>
      <c r="H47" s="3009"/>
      <c r="I47" s="404"/>
      <c r="J47" s="520"/>
      <c r="K47" s="229"/>
      <c r="L47" s="520"/>
      <c r="M47" s="520"/>
      <c r="N47" s="517">
        <f t="shared" si="1"/>
        <v>0</v>
      </c>
      <c r="O47" s="8"/>
    </row>
    <row r="48" spans="1:16" x14ac:dyDescent="0.25">
      <c r="A48" s="108" t="s">
        <v>478</v>
      </c>
      <c r="B48" s="402"/>
      <c r="C48" s="404"/>
      <c r="D48" s="520"/>
      <c r="E48" s="404"/>
      <c r="F48" s="404"/>
      <c r="G48" s="404"/>
      <c r="H48" s="3009"/>
      <c r="I48" s="404"/>
      <c r="J48" s="520"/>
      <c r="K48" s="229"/>
      <c r="L48" s="520"/>
      <c r="M48" s="520"/>
      <c r="N48" s="517">
        <f t="shared" si="1"/>
        <v>0</v>
      </c>
      <c r="O48" s="8"/>
    </row>
    <row r="49" spans="1:15" x14ac:dyDescent="0.25">
      <c r="A49" s="108" t="s">
        <v>235</v>
      </c>
      <c r="B49" s="402"/>
      <c r="C49" s="404"/>
      <c r="D49" s="520"/>
      <c r="E49" s="404"/>
      <c r="F49" s="404"/>
      <c r="G49" s="404"/>
      <c r="H49" s="3009"/>
      <c r="I49" s="404"/>
      <c r="J49" s="520"/>
      <c r="K49" s="229"/>
      <c r="L49" s="520"/>
      <c r="M49" s="520"/>
      <c r="N49" s="517">
        <f t="shared" si="1"/>
        <v>0</v>
      </c>
      <c r="O49" s="8"/>
    </row>
    <row r="50" spans="1:15" x14ac:dyDescent="0.25">
      <c r="A50" s="108" t="s">
        <v>470</v>
      </c>
      <c r="B50" s="402">
        <v>11281</v>
      </c>
      <c r="C50" s="404">
        <v>10904</v>
      </c>
      <c r="D50" s="520"/>
      <c r="E50" s="402"/>
      <c r="F50" s="404"/>
      <c r="G50" s="404"/>
      <c r="H50" s="3009"/>
      <c r="I50" s="404"/>
      <c r="J50" s="520"/>
      <c r="K50" s="229"/>
      <c r="L50" s="520"/>
      <c r="M50" s="520"/>
      <c r="N50" s="517">
        <f t="shared" si="1"/>
        <v>22185</v>
      </c>
      <c r="O50" s="8"/>
    </row>
    <row r="51" spans="1:15" ht="13.8" thickBot="1" x14ac:dyDescent="0.3">
      <c r="A51" s="108" t="s">
        <v>157</v>
      </c>
      <c r="B51" s="402"/>
      <c r="C51" s="402"/>
      <c r="D51" s="520"/>
      <c r="E51" s="520"/>
      <c r="F51" s="520"/>
      <c r="G51" s="520"/>
      <c r="H51" s="3009"/>
      <c r="I51" s="404"/>
      <c r="J51" s="520"/>
      <c r="K51" s="229"/>
      <c r="L51" s="520"/>
      <c r="M51" s="520"/>
      <c r="N51" s="517">
        <f t="shared" si="1"/>
        <v>0</v>
      </c>
      <c r="O51" s="8"/>
    </row>
    <row r="52" spans="1:15" ht="13.8" thickBot="1" x14ac:dyDescent="0.3">
      <c r="A52" s="275" t="s">
        <v>158</v>
      </c>
      <c r="B52" s="276">
        <f>SUM(B53:B64)</f>
        <v>67163.260000000009</v>
      </c>
      <c r="C52" s="276">
        <f t="shared" ref="C52:K52" si="9">SUM(C53:C64)</f>
        <v>121589.15</v>
      </c>
      <c r="D52" s="276">
        <f>SUM(D53:D64)</f>
        <v>0</v>
      </c>
      <c r="E52" s="276">
        <f t="shared" si="9"/>
        <v>0</v>
      </c>
      <c r="F52" s="276">
        <f>SUM(F53:F64)</f>
        <v>0</v>
      </c>
      <c r="G52" s="519">
        <f t="shared" si="9"/>
        <v>0</v>
      </c>
      <c r="H52" s="3065">
        <f>SUM(H53:H64)</f>
        <v>0</v>
      </c>
      <c r="I52" s="519">
        <f t="shared" si="9"/>
        <v>0</v>
      </c>
      <c r="J52" s="403">
        <f>SUM(J53:J64)</f>
        <v>0</v>
      </c>
      <c r="K52" s="3066">
        <f t="shared" si="9"/>
        <v>0</v>
      </c>
      <c r="L52" s="403">
        <f>SUM(L53:L64)</f>
        <v>0</v>
      </c>
      <c r="M52" s="403">
        <f>SUM(M53:M64)</f>
        <v>0</v>
      </c>
      <c r="N52" s="3067">
        <f t="shared" si="1"/>
        <v>188752.41</v>
      </c>
    </row>
    <row r="53" spans="1:15" x14ac:dyDescent="0.25">
      <c r="A53" s="108" t="s">
        <v>159</v>
      </c>
      <c r="B53" s="402"/>
      <c r="C53" s="737"/>
      <c r="D53" s="3068"/>
      <c r="E53" s="229"/>
      <c r="F53" s="737"/>
      <c r="G53" s="229"/>
      <c r="H53" s="3069"/>
      <c r="I53" s="679"/>
      <c r="J53" s="404"/>
      <c r="K53" s="3070"/>
      <c r="L53" s="3068"/>
      <c r="M53" s="3071"/>
      <c r="N53" s="517">
        <f t="shared" si="1"/>
        <v>0</v>
      </c>
      <c r="O53" s="8"/>
    </row>
    <row r="54" spans="1:15" x14ac:dyDescent="0.25">
      <c r="A54" s="108" t="s">
        <v>634</v>
      </c>
      <c r="B54" s="402"/>
      <c r="C54" s="520"/>
      <c r="D54" s="3071"/>
      <c r="E54" s="229"/>
      <c r="F54" s="520"/>
      <c r="G54" s="229"/>
      <c r="H54" s="3009"/>
      <c r="I54" s="229"/>
      <c r="J54" s="3072"/>
      <c r="K54" s="3072"/>
      <c r="L54" s="3071"/>
      <c r="M54" s="3071"/>
      <c r="N54" s="517">
        <f t="shared" si="1"/>
        <v>0</v>
      </c>
      <c r="O54" s="8"/>
    </row>
    <row r="55" spans="1:15" x14ac:dyDescent="0.25">
      <c r="A55" s="108" t="s">
        <v>212</v>
      </c>
      <c r="B55" s="402"/>
      <c r="C55" s="520"/>
      <c r="D55" s="3071"/>
      <c r="E55" s="229"/>
      <c r="F55" s="520"/>
      <c r="G55" s="229"/>
      <c r="H55" s="3009"/>
      <c r="I55" s="229"/>
      <c r="J55" s="404"/>
      <c r="K55" s="3072"/>
      <c r="L55" s="3071"/>
      <c r="M55" s="3071"/>
      <c r="N55" s="517">
        <f t="shared" si="1"/>
        <v>0</v>
      </c>
      <c r="O55" s="8"/>
    </row>
    <row r="56" spans="1:15" x14ac:dyDescent="0.25">
      <c r="A56" s="108" t="s">
        <v>160</v>
      </c>
      <c r="B56" s="402">
        <v>1.26</v>
      </c>
      <c r="C56" s="520">
        <v>21.15</v>
      </c>
      <c r="D56" s="520"/>
      <c r="E56" s="229"/>
      <c r="F56" s="520"/>
      <c r="G56" s="229"/>
      <c r="H56" s="3009"/>
      <c r="I56" s="229"/>
      <c r="J56" s="897"/>
      <c r="K56" s="404"/>
      <c r="L56" s="520"/>
      <c r="M56" s="520"/>
      <c r="N56" s="517">
        <f>SUM(B56:M56)</f>
        <v>22.41</v>
      </c>
      <c r="O56" s="8"/>
    </row>
    <row r="57" spans="1:15" x14ac:dyDescent="0.25">
      <c r="A57" s="108" t="s">
        <v>395</v>
      </c>
      <c r="B57" s="402">
        <v>62810</v>
      </c>
      <c r="C57" s="520">
        <v>86900</v>
      </c>
      <c r="D57" s="520"/>
      <c r="E57" s="229"/>
      <c r="F57" s="520"/>
      <c r="G57" s="229"/>
      <c r="H57" s="3009"/>
      <c r="I57" s="229"/>
      <c r="J57" s="404"/>
      <c r="K57" s="404"/>
      <c r="L57" s="520"/>
      <c r="M57" s="520"/>
      <c r="N57" s="517">
        <f t="shared" si="1"/>
        <v>149710</v>
      </c>
      <c r="O57" s="8"/>
    </row>
    <row r="58" spans="1:15" x14ac:dyDescent="0.25">
      <c r="A58" s="108" t="s">
        <v>161</v>
      </c>
      <c r="B58" s="402"/>
      <c r="C58" s="520"/>
      <c r="D58" s="3071"/>
      <c r="E58" s="229"/>
      <c r="F58" s="520"/>
      <c r="G58" s="229"/>
      <c r="H58" s="3009"/>
      <c r="I58" s="229"/>
      <c r="J58" s="404"/>
      <c r="K58" s="3072"/>
      <c r="L58" s="3071"/>
      <c r="M58" s="3071"/>
      <c r="N58" s="517">
        <f t="shared" si="1"/>
        <v>0</v>
      </c>
      <c r="O58" s="8"/>
    </row>
    <row r="59" spans="1:15" x14ac:dyDescent="0.25">
      <c r="A59" s="108" t="s">
        <v>162</v>
      </c>
      <c r="B59" s="402">
        <v>3040</v>
      </c>
      <c r="C59" s="520">
        <v>4500</v>
      </c>
      <c r="D59" s="520"/>
      <c r="E59" s="229"/>
      <c r="F59" s="520"/>
      <c r="G59" s="229"/>
      <c r="H59" s="3009"/>
      <c r="I59" s="229"/>
      <c r="J59" s="404"/>
      <c r="K59" s="404"/>
      <c r="L59" s="520"/>
      <c r="M59" s="3071"/>
      <c r="N59" s="517">
        <f t="shared" si="1"/>
        <v>7540</v>
      </c>
      <c r="O59" s="8"/>
    </row>
    <row r="60" spans="1:15" x14ac:dyDescent="0.25">
      <c r="A60" s="108" t="s">
        <v>163</v>
      </c>
      <c r="B60" s="402"/>
      <c r="C60" s="520"/>
      <c r="D60" s="520"/>
      <c r="E60" s="229"/>
      <c r="F60" s="520"/>
      <c r="G60" s="229"/>
      <c r="H60" s="3009"/>
      <c r="I60" s="229"/>
      <c r="J60" s="3073"/>
      <c r="K60" s="404"/>
      <c r="L60" s="520"/>
      <c r="M60" s="520"/>
      <c r="N60" s="517">
        <f t="shared" si="1"/>
        <v>0</v>
      </c>
      <c r="O60" s="8"/>
    </row>
    <row r="61" spans="1:15" x14ac:dyDescent="0.25">
      <c r="A61" s="108" t="s">
        <v>281</v>
      </c>
      <c r="B61" s="402">
        <v>1312</v>
      </c>
      <c r="C61" s="520">
        <v>30168</v>
      </c>
      <c r="D61" s="520"/>
      <c r="E61" s="229"/>
      <c r="F61" s="520"/>
      <c r="G61" s="229"/>
      <c r="H61" s="3009"/>
      <c r="I61" s="229"/>
      <c r="J61" s="404"/>
      <c r="K61" s="404"/>
      <c r="L61" s="520"/>
      <c r="M61" s="520"/>
      <c r="N61" s="517">
        <f t="shared" si="1"/>
        <v>31480</v>
      </c>
      <c r="O61" s="8"/>
    </row>
    <row r="62" spans="1:15" x14ac:dyDescent="0.25">
      <c r="A62" s="108" t="s">
        <v>164</v>
      </c>
      <c r="B62" s="402"/>
      <c r="C62" s="520"/>
      <c r="D62" s="520"/>
      <c r="E62" s="229"/>
      <c r="F62" s="520"/>
      <c r="G62" s="229"/>
      <c r="H62" s="3009"/>
      <c r="I62" s="229"/>
      <c r="J62" s="404"/>
      <c r="K62" s="404"/>
      <c r="L62" s="520"/>
      <c r="M62" s="520"/>
      <c r="N62" s="517">
        <f>SUM(B62:M62)</f>
        <v>0</v>
      </c>
      <c r="O62" s="8"/>
    </row>
    <row r="63" spans="1:15" x14ac:dyDescent="0.25">
      <c r="A63" s="108" t="s">
        <v>236</v>
      </c>
      <c r="B63" s="280"/>
      <c r="C63" s="517"/>
      <c r="D63" s="117"/>
      <c r="E63" s="280"/>
      <c r="F63" s="517"/>
      <c r="G63" s="280"/>
      <c r="H63" s="3074"/>
      <c r="I63" s="280"/>
      <c r="J63" s="174"/>
      <c r="K63" s="174"/>
      <c r="L63" s="117"/>
      <c r="M63" s="520"/>
      <c r="N63" s="517">
        <f t="shared" si="1"/>
        <v>0</v>
      </c>
      <c r="O63" s="8"/>
    </row>
    <row r="64" spans="1:15" ht="13.8" thickBot="1" x14ac:dyDescent="0.3">
      <c r="A64" s="108" t="s">
        <v>356</v>
      </c>
      <c r="C64" s="3075"/>
      <c r="D64" s="117"/>
      <c r="F64" s="117"/>
      <c r="H64" s="3076"/>
      <c r="I64" s="229"/>
      <c r="J64" s="174"/>
      <c r="K64" s="174"/>
      <c r="L64" s="117"/>
      <c r="M64" s="117"/>
      <c r="N64" s="517">
        <f t="shared" si="1"/>
        <v>0</v>
      </c>
      <c r="O64" s="8"/>
    </row>
    <row r="65" spans="1:254" ht="13.8" thickBot="1" x14ac:dyDescent="0.3">
      <c r="A65" s="518" t="s">
        <v>33</v>
      </c>
      <c r="B65" s="519">
        <f>SUM(B52+B41+B3)</f>
        <v>961670.2300000001</v>
      </c>
      <c r="C65" s="519">
        <f>SUM(C52+C41+C3)</f>
        <v>811573.1</v>
      </c>
      <c r="D65" s="519">
        <f>SUM(D52+D41+D3)</f>
        <v>0</v>
      </c>
      <c r="E65" s="519">
        <f t="shared" ref="E65:M65" si="10">SUM(E52+E41+E3)</f>
        <v>0</v>
      </c>
      <c r="F65" s="519">
        <f t="shared" si="10"/>
        <v>0</v>
      </c>
      <c r="G65" s="519">
        <f t="shared" si="10"/>
        <v>0</v>
      </c>
      <c r="H65" s="519">
        <f t="shared" si="10"/>
        <v>0</v>
      </c>
      <c r="I65" s="519">
        <f>SUM(I52+I41+I3)</f>
        <v>0</v>
      </c>
      <c r="J65" s="519">
        <f t="shared" si="10"/>
        <v>0</v>
      </c>
      <c r="K65" s="519">
        <f>SUM(K52+K41+K3)</f>
        <v>0</v>
      </c>
      <c r="L65" s="519">
        <f t="shared" si="10"/>
        <v>0</v>
      </c>
      <c r="M65" s="519">
        <f t="shared" si="10"/>
        <v>0</v>
      </c>
      <c r="N65" s="403">
        <f>SUM(N52+N41+N3)</f>
        <v>1773243.33</v>
      </c>
      <c r="O65" s="888"/>
      <c r="P65" s="8"/>
    </row>
    <row r="66" spans="1:254" x14ac:dyDescent="0.25">
      <c r="I66" s="9"/>
      <c r="M66" s="1507"/>
      <c r="N66" s="1506"/>
    </row>
    <row r="67" spans="1:254" x14ac:dyDescent="0.25">
      <c r="A67" s="980" t="s">
        <v>217</v>
      </c>
      <c r="B67" s="280">
        <f>ROUND((B3),0)</f>
        <v>435923</v>
      </c>
      <c r="C67" s="280">
        <f t="shared" ref="C67:G67" si="11">ROUND((C3),0)</f>
        <v>342282</v>
      </c>
      <c r="D67" s="280">
        <f>ROUND((D3),0)</f>
        <v>0</v>
      </c>
      <c r="E67" s="280">
        <f>ROUND((E3),0)</f>
        <v>0</v>
      </c>
      <c r="F67" s="280">
        <f>ROUND((F3),0)</f>
        <v>0</v>
      </c>
      <c r="G67" s="280">
        <f t="shared" si="11"/>
        <v>0</v>
      </c>
      <c r="H67" s="1682">
        <f>ROUND((H3),0)</f>
        <v>0</v>
      </c>
      <c r="I67" s="280">
        <f>ROUND((I3),0)</f>
        <v>0</v>
      </c>
      <c r="J67" s="280">
        <f>ROUND((J3),0)</f>
        <v>0</v>
      </c>
      <c r="K67" s="280">
        <f t="shared" ref="K67:M67" si="12">ROUND((K3),0)</f>
        <v>0</v>
      </c>
      <c r="L67" s="280">
        <f>ROUND((L3),0)</f>
        <v>0</v>
      </c>
      <c r="M67" s="280">
        <f t="shared" si="12"/>
        <v>0</v>
      </c>
      <c r="N67" s="280">
        <f>ROUND((N3),0)</f>
        <v>778205</v>
      </c>
    </row>
    <row r="68" spans="1:254" x14ac:dyDescent="0.25">
      <c r="A68" s="8" t="str">
        <f>A52</f>
        <v>Selling Expenses</v>
      </c>
      <c r="B68" s="8">
        <f>ROUND((B52),0)</f>
        <v>67163</v>
      </c>
      <c r="C68" s="8">
        <f t="shared" ref="C68:G68" si="13">ROUND((C52),0)</f>
        <v>121589</v>
      </c>
      <c r="D68" s="8">
        <f>ROUND((D52),0)</f>
        <v>0</v>
      </c>
      <c r="E68" s="8">
        <f>ROUND((E52),0)</f>
        <v>0</v>
      </c>
      <c r="F68" s="8">
        <f>ROUND((F52),0)</f>
        <v>0</v>
      </c>
      <c r="G68" s="8">
        <f t="shared" si="13"/>
        <v>0</v>
      </c>
      <c r="H68" s="981">
        <f>ROUND((H52),0)</f>
        <v>0</v>
      </c>
      <c r="I68" s="8">
        <f>ROUND((I52),0)</f>
        <v>0</v>
      </c>
      <c r="J68" s="8">
        <f>ROUND((J52),0)</f>
        <v>0</v>
      </c>
      <c r="K68" s="8">
        <f t="shared" ref="K68:M68" si="14">ROUND((K52),0)</f>
        <v>0</v>
      </c>
      <c r="L68" s="8">
        <f>ROUND((L52),0)</f>
        <v>0</v>
      </c>
      <c r="M68" s="8">
        <f t="shared" si="14"/>
        <v>0</v>
      </c>
      <c r="N68" s="8">
        <f>ROUND((N52),0)</f>
        <v>188752</v>
      </c>
      <c r="O68" s="8">
        <f t="shared" ref="O68:BZ70" si="15">O42</f>
        <v>0</v>
      </c>
      <c r="P68" s="8">
        <f t="shared" si="15"/>
        <v>0</v>
      </c>
      <c r="AE68" s="8">
        <f t="shared" si="15"/>
        <v>0</v>
      </c>
      <c r="AF68" s="8">
        <f t="shared" si="15"/>
        <v>0</v>
      </c>
      <c r="AG68" s="8">
        <f t="shared" si="15"/>
        <v>0</v>
      </c>
      <c r="AH68" s="8">
        <f t="shared" si="15"/>
        <v>0</v>
      </c>
      <c r="AI68" s="8">
        <f t="shared" si="15"/>
        <v>0</v>
      </c>
      <c r="AJ68" s="8">
        <f t="shared" si="15"/>
        <v>0</v>
      </c>
      <c r="AK68" s="8">
        <f t="shared" si="15"/>
        <v>0</v>
      </c>
      <c r="AL68" s="8">
        <f t="shared" si="15"/>
        <v>0</v>
      </c>
      <c r="AM68" s="8">
        <f t="shared" si="15"/>
        <v>0</v>
      </c>
      <c r="AN68" s="8">
        <f t="shared" si="15"/>
        <v>0</v>
      </c>
      <c r="AO68" s="8">
        <f t="shared" si="15"/>
        <v>0</v>
      </c>
      <c r="AP68" s="8">
        <f t="shared" si="15"/>
        <v>0</v>
      </c>
      <c r="AQ68" s="8">
        <f t="shared" si="15"/>
        <v>0</v>
      </c>
      <c r="AR68" s="8">
        <f t="shared" si="15"/>
        <v>0</v>
      </c>
      <c r="AS68" s="8">
        <f t="shared" si="15"/>
        <v>0</v>
      </c>
      <c r="AT68" s="8">
        <f t="shared" si="15"/>
        <v>0</v>
      </c>
      <c r="AU68" s="8">
        <f t="shared" si="15"/>
        <v>0</v>
      </c>
      <c r="AV68" s="8">
        <f t="shared" si="15"/>
        <v>0</v>
      </c>
      <c r="AW68" s="8">
        <f t="shared" si="15"/>
        <v>0</v>
      </c>
      <c r="AX68" s="8">
        <f t="shared" si="15"/>
        <v>0</v>
      </c>
      <c r="AY68" s="8">
        <f t="shared" si="15"/>
        <v>0</v>
      </c>
      <c r="AZ68" s="8">
        <f t="shared" si="15"/>
        <v>0</v>
      </c>
      <c r="BA68" s="8">
        <f t="shared" si="15"/>
        <v>0</v>
      </c>
      <c r="BB68" s="8">
        <f t="shared" si="15"/>
        <v>0</v>
      </c>
      <c r="BC68" s="8">
        <f t="shared" si="15"/>
        <v>0</v>
      </c>
      <c r="BD68" s="8">
        <f t="shared" si="15"/>
        <v>0</v>
      </c>
      <c r="BE68" s="8">
        <f t="shared" si="15"/>
        <v>0</v>
      </c>
      <c r="BF68" s="8">
        <f t="shared" si="15"/>
        <v>0</v>
      </c>
      <c r="BG68" s="8">
        <f t="shared" si="15"/>
        <v>0</v>
      </c>
      <c r="BH68" s="8">
        <f t="shared" si="15"/>
        <v>0</v>
      </c>
      <c r="BI68" s="8">
        <f t="shared" si="15"/>
        <v>0</v>
      </c>
      <c r="BJ68" s="8">
        <f t="shared" si="15"/>
        <v>0</v>
      </c>
      <c r="BK68" s="8">
        <f t="shared" si="15"/>
        <v>0</v>
      </c>
      <c r="BL68" s="8">
        <f t="shared" si="15"/>
        <v>0</v>
      </c>
      <c r="BM68" s="8">
        <f t="shared" si="15"/>
        <v>0</v>
      </c>
      <c r="BN68" s="8">
        <f t="shared" si="15"/>
        <v>0</v>
      </c>
      <c r="BO68" s="8">
        <f t="shared" si="15"/>
        <v>0</v>
      </c>
      <c r="BP68" s="8">
        <f t="shared" si="15"/>
        <v>0</v>
      </c>
      <c r="BQ68" s="8">
        <f t="shared" si="15"/>
        <v>0</v>
      </c>
      <c r="BR68" s="8">
        <f t="shared" si="15"/>
        <v>0</v>
      </c>
      <c r="BS68" s="8">
        <f t="shared" si="15"/>
        <v>0</v>
      </c>
      <c r="BT68" s="8">
        <f t="shared" si="15"/>
        <v>0</v>
      </c>
      <c r="BU68" s="8">
        <f t="shared" si="15"/>
        <v>0</v>
      </c>
      <c r="BV68" s="8">
        <f t="shared" si="15"/>
        <v>0</v>
      </c>
      <c r="BW68" s="8">
        <f t="shared" si="15"/>
        <v>0</v>
      </c>
      <c r="BX68" s="8">
        <f t="shared" si="15"/>
        <v>0</v>
      </c>
      <c r="BY68" s="8">
        <f t="shared" si="15"/>
        <v>0</v>
      </c>
      <c r="BZ68" s="8">
        <f t="shared" si="15"/>
        <v>0</v>
      </c>
      <c r="CA68" s="8">
        <f t="shared" ref="CA68:EL68" si="16">CA42</f>
        <v>0</v>
      </c>
      <c r="CB68" s="8">
        <f t="shared" si="16"/>
        <v>0</v>
      </c>
      <c r="CC68" s="8">
        <f t="shared" si="16"/>
        <v>0</v>
      </c>
      <c r="CD68" s="8">
        <f t="shared" si="16"/>
        <v>0</v>
      </c>
      <c r="CE68" s="8">
        <f t="shared" si="16"/>
        <v>0</v>
      </c>
      <c r="CF68" s="8">
        <f t="shared" si="16"/>
        <v>0</v>
      </c>
      <c r="CG68" s="8">
        <f t="shared" si="16"/>
        <v>0</v>
      </c>
      <c r="CH68" s="8">
        <f t="shared" si="16"/>
        <v>0</v>
      </c>
      <c r="CI68" s="8">
        <f t="shared" si="16"/>
        <v>0</v>
      </c>
      <c r="CJ68" s="8">
        <f t="shared" si="16"/>
        <v>0</v>
      </c>
      <c r="CK68" s="8">
        <f t="shared" si="16"/>
        <v>0</v>
      </c>
      <c r="CL68" s="8">
        <f t="shared" si="16"/>
        <v>0</v>
      </c>
      <c r="CM68" s="8">
        <f t="shared" si="16"/>
        <v>0</v>
      </c>
      <c r="CN68" s="8">
        <f t="shared" si="16"/>
        <v>0</v>
      </c>
      <c r="CO68" s="8">
        <f t="shared" si="16"/>
        <v>0</v>
      </c>
      <c r="CP68" s="8">
        <f t="shared" si="16"/>
        <v>0</v>
      </c>
      <c r="CQ68" s="8">
        <f t="shared" si="16"/>
        <v>0</v>
      </c>
      <c r="CR68" s="8">
        <f t="shared" si="16"/>
        <v>0</v>
      </c>
      <c r="CS68" s="8">
        <f t="shared" si="16"/>
        <v>0</v>
      </c>
      <c r="CT68" s="8">
        <f t="shared" si="16"/>
        <v>0</v>
      </c>
      <c r="CU68" s="8">
        <f t="shared" si="16"/>
        <v>0</v>
      </c>
      <c r="CV68" s="8">
        <f t="shared" si="16"/>
        <v>0</v>
      </c>
      <c r="CW68" s="8">
        <f t="shared" si="16"/>
        <v>0</v>
      </c>
      <c r="CX68" s="8">
        <f t="shared" si="16"/>
        <v>0</v>
      </c>
      <c r="CY68" s="8">
        <f t="shared" si="16"/>
        <v>0</v>
      </c>
      <c r="CZ68" s="8">
        <f t="shared" si="16"/>
        <v>0</v>
      </c>
      <c r="DA68" s="8">
        <f t="shared" si="16"/>
        <v>0</v>
      </c>
      <c r="DB68" s="8">
        <f t="shared" si="16"/>
        <v>0</v>
      </c>
      <c r="DC68" s="8">
        <f t="shared" si="16"/>
        <v>0</v>
      </c>
      <c r="DD68" s="8">
        <f t="shared" si="16"/>
        <v>0</v>
      </c>
      <c r="DE68" s="8">
        <f t="shared" si="16"/>
        <v>0</v>
      </c>
      <c r="DF68" s="8">
        <f t="shared" si="16"/>
        <v>0</v>
      </c>
      <c r="DG68" s="8">
        <f t="shared" si="16"/>
        <v>0</v>
      </c>
      <c r="DH68" s="8">
        <f t="shared" si="16"/>
        <v>0</v>
      </c>
      <c r="DI68" s="8">
        <f t="shared" si="16"/>
        <v>0</v>
      </c>
      <c r="DJ68" s="8">
        <f t="shared" si="16"/>
        <v>0</v>
      </c>
      <c r="DK68" s="8">
        <f t="shared" si="16"/>
        <v>0</v>
      </c>
      <c r="DL68" s="8">
        <f t="shared" si="16"/>
        <v>0</v>
      </c>
      <c r="DM68" s="8">
        <f t="shared" si="16"/>
        <v>0</v>
      </c>
      <c r="DN68" s="8">
        <f t="shared" si="16"/>
        <v>0</v>
      </c>
      <c r="DO68" s="8">
        <f t="shared" si="16"/>
        <v>0</v>
      </c>
      <c r="DP68" s="8">
        <f t="shared" si="16"/>
        <v>0</v>
      </c>
      <c r="DQ68" s="8">
        <f t="shared" si="16"/>
        <v>0</v>
      </c>
      <c r="DR68" s="8">
        <f t="shared" si="16"/>
        <v>0</v>
      </c>
      <c r="DS68" s="8">
        <f t="shared" si="16"/>
        <v>0</v>
      </c>
      <c r="DT68" s="8">
        <f t="shared" si="16"/>
        <v>0</v>
      </c>
      <c r="DU68" s="8">
        <f t="shared" si="16"/>
        <v>0</v>
      </c>
      <c r="DV68" s="8">
        <f t="shared" si="16"/>
        <v>0</v>
      </c>
      <c r="DW68" s="8">
        <f t="shared" si="16"/>
        <v>0</v>
      </c>
      <c r="DX68" s="8">
        <f t="shared" si="16"/>
        <v>0</v>
      </c>
      <c r="DY68" s="8">
        <f t="shared" si="16"/>
        <v>0</v>
      </c>
      <c r="DZ68" s="8">
        <f t="shared" si="16"/>
        <v>0</v>
      </c>
      <c r="EA68" s="8">
        <f t="shared" si="16"/>
        <v>0</v>
      </c>
      <c r="EB68" s="8">
        <f t="shared" si="16"/>
        <v>0</v>
      </c>
      <c r="EC68" s="8">
        <f t="shared" si="16"/>
        <v>0</v>
      </c>
      <c r="ED68" s="8">
        <f t="shared" si="16"/>
        <v>0</v>
      </c>
      <c r="EE68" s="8">
        <f t="shared" si="16"/>
        <v>0</v>
      </c>
      <c r="EF68" s="8">
        <f t="shared" si="16"/>
        <v>0</v>
      </c>
      <c r="EG68" s="8">
        <f t="shared" si="16"/>
        <v>0</v>
      </c>
      <c r="EH68" s="8">
        <f t="shared" si="16"/>
        <v>0</v>
      </c>
      <c r="EI68" s="8">
        <f t="shared" si="16"/>
        <v>0</v>
      </c>
      <c r="EJ68" s="8">
        <f t="shared" si="16"/>
        <v>0</v>
      </c>
      <c r="EK68" s="8">
        <f t="shared" si="16"/>
        <v>0</v>
      </c>
      <c r="EL68" s="8">
        <f t="shared" si="16"/>
        <v>0</v>
      </c>
      <c r="EM68" s="8">
        <f t="shared" ref="EM68:GX68" si="17">EM42</f>
        <v>0</v>
      </c>
      <c r="EN68" s="8">
        <f t="shared" si="17"/>
        <v>0</v>
      </c>
      <c r="EO68" s="8">
        <f t="shared" si="17"/>
        <v>0</v>
      </c>
      <c r="EP68" s="8">
        <f t="shared" si="17"/>
        <v>0</v>
      </c>
      <c r="EQ68" s="8">
        <f t="shared" si="17"/>
        <v>0</v>
      </c>
      <c r="ER68" s="8">
        <f t="shared" si="17"/>
        <v>0</v>
      </c>
      <c r="ES68" s="8">
        <f t="shared" si="17"/>
        <v>0</v>
      </c>
      <c r="ET68" s="8">
        <f t="shared" si="17"/>
        <v>0</v>
      </c>
      <c r="EU68" s="8">
        <f t="shared" si="17"/>
        <v>0</v>
      </c>
      <c r="EV68" s="8">
        <f t="shared" si="17"/>
        <v>0</v>
      </c>
      <c r="EW68" s="8">
        <f t="shared" si="17"/>
        <v>0</v>
      </c>
      <c r="EX68" s="8">
        <f t="shared" si="17"/>
        <v>0</v>
      </c>
      <c r="EY68" s="8">
        <f t="shared" si="17"/>
        <v>0</v>
      </c>
      <c r="EZ68" s="8">
        <f t="shared" si="17"/>
        <v>0</v>
      </c>
      <c r="FA68" s="8">
        <f t="shared" si="17"/>
        <v>0</v>
      </c>
      <c r="FB68" s="8">
        <f t="shared" si="17"/>
        <v>0</v>
      </c>
      <c r="FC68" s="8">
        <f t="shared" si="17"/>
        <v>0</v>
      </c>
      <c r="FD68" s="8">
        <f t="shared" si="17"/>
        <v>0</v>
      </c>
      <c r="FE68" s="8">
        <f t="shared" si="17"/>
        <v>0</v>
      </c>
      <c r="FF68" s="8">
        <f t="shared" si="17"/>
        <v>0</v>
      </c>
      <c r="FG68" s="8">
        <f t="shared" si="17"/>
        <v>0</v>
      </c>
      <c r="FH68" s="8">
        <f t="shared" si="17"/>
        <v>0</v>
      </c>
      <c r="FI68" s="8">
        <f t="shared" si="17"/>
        <v>0</v>
      </c>
      <c r="FJ68" s="8">
        <f t="shared" si="17"/>
        <v>0</v>
      </c>
      <c r="FK68" s="8">
        <f t="shared" si="17"/>
        <v>0</v>
      </c>
      <c r="FL68" s="8">
        <f t="shared" si="17"/>
        <v>0</v>
      </c>
      <c r="FM68" s="8">
        <f t="shared" si="17"/>
        <v>0</v>
      </c>
      <c r="FN68" s="8">
        <f t="shared" si="17"/>
        <v>0</v>
      </c>
      <c r="FO68" s="8">
        <f t="shared" si="17"/>
        <v>0</v>
      </c>
      <c r="FP68" s="8">
        <f t="shared" si="17"/>
        <v>0</v>
      </c>
      <c r="FQ68" s="8">
        <f t="shared" si="17"/>
        <v>0</v>
      </c>
      <c r="FR68" s="8">
        <f t="shared" si="17"/>
        <v>0</v>
      </c>
      <c r="FS68" s="8">
        <f t="shared" si="17"/>
        <v>0</v>
      </c>
      <c r="FT68" s="8">
        <f t="shared" si="17"/>
        <v>0</v>
      </c>
      <c r="FU68" s="8">
        <f t="shared" si="17"/>
        <v>0</v>
      </c>
      <c r="FV68" s="8">
        <f t="shared" si="17"/>
        <v>0</v>
      </c>
      <c r="FW68" s="8">
        <f t="shared" si="17"/>
        <v>0</v>
      </c>
      <c r="FX68" s="8">
        <f t="shared" si="17"/>
        <v>0</v>
      </c>
      <c r="FY68" s="8">
        <f t="shared" si="17"/>
        <v>0</v>
      </c>
      <c r="FZ68" s="8">
        <f t="shared" si="17"/>
        <v>0</v>
      </c>
      <c r="GA68" s="8">
        <f t="shared" si="17"/>
        <v>0</v>
      </c>
      <c r="GB68" s="8">
        <f t="shared" si="17"/>
        <v>0</v>
      </c>
      <c r="GC68" s="8">
        <f t="shared" si="17"/>
        <v>0</v>
      </c>
      <c r="GD68" s="8">
        <f t="shared" si="17"/>
        <v>0</v>
      </c>
      <c r="GE68" s="8">
        <f t="shared" si="17"/>
        <v>0</v>
      </c>
      <c r="GF68" s="8">
        <f t="shared" si="17"/>
        <v>0</v>
      </c>
      <c r="GG68" s="8">
        <f t="shared" si="17"/>
        <v>0</v>
      </c>
      <c r="GH68" s="8">
        <f t="shared" si="17"/>
        <v>0</v>
      </c>
      <c r="GI68" s="8">
        <f t="shared" si="17"/>
        <v>0</v>
      </c>
      <c r="GJ68" s="8">
        <f t="shared" si="17"/>
        <v>0</v>
      </c>
      <c r="GK68" s="8">
        <f t="shared" si="17"/>
        <v>0</v>
      </c>
      <c r="GL68" s="8">
        <f t="shared" si="17"/>
        <v>0</v>
      </c>
      <c r="GM68" s="8">
        <f t="shared" si="17"/>
        <v>0</v>
      </c>
      <c r="GN68" s="8">
        <f t="shared" si="17"/>
        <v>0</v>
      </c>
      <c r="GO68" s="8">
        <f t="shared" si="17"/>
        <v>0</v>
      </c>
      <c r="GP68" s="8">
        <f t="shared" si="17"/>
        <v>0</v>
      </c>
      <c r="GQ68" s="8">
        <f t="shared" si="17"/>
        <v>0</v>
      </c>
      <c r="GR68" s="8">
        <f t="shared" si="17"/>
        <v>0</v>
      </c>
      <c r="GS68" s="8">
        <f t="shared" si="17"/>
        <v>0</v>
      </c>
      <c r="GT68" s="8">
        <f t="shared" si="17"/>
        <v>0</v>
      </c>
      <c r="GU68" s="8">
        <f t="shared" si="17"/>
        <v>0</v>
      </c>
      <c r="GV68" s="8">
        <f t="shared" si="17"/>
        <v>0</v>
      </c>
      <c r="GW68" s="8">
        <f t="shared" si="17"/>
        <v>0</v>
      </c>
      <c r="GX68" s="8">
        <f t="shared" si="17"/>
        <v>0</v>
      </c>
      <c r="GY68" s="8">
        <f t="shared" ref="GY68:IT68" si="18">GY42</f>
        <v>0</v>
      </c>
      <c r="GZ68" s="8">
        <f t="shared" si="18"/>
        <v>0</v>
      </c>
      <c r="HA68" s="8">
        <f t="shared" si="18"/>
        <v>0</v>
      </c>
      <c r="HB68" s="8">
        <f t="shared" si="18"/>
        <v>0</v>
      </c>
      <c r="HC68" s="8">
        <f t="shared" si="18"/>
        <v>0</v>
      </c>
      <c r="HD68" s="8">
        <f t="shared" si="18"/>
        <v>0</v>
      </c>
      <c r="HE68" s="8">
        <f t="shared" si="18"/>
        <v>0</v>
      </c>
      <c r="HF68" s="8">
        <f t="shared" si="18"/>
        <v>0</v>
      </c>
      <c r="HG68" s="8">
        <f t="shared" si="18"/>
        <v>0</v>
      </c>
      <c r="HH68" s="8">
        <f t="shared" si="18"/>
        <v>0</v>
      </c>
      <c r="HI68" s="8">
        <f t="shared" si="18"/>
        <v>0</v>
      </c>
      <c r="HJ68" s="8">
        <f t="shared" si="18"/>
        <v>0</v>
      </c>
      <c r="HK68" s="8">
        <f t="shared" si="18"/>
        <v>0</v>
      </c>
      <c r="HL68" s="8">
        <f t="shared" si="18"/>
        <v>0</v>
      </c>
      <c r="HM68" s="8">
        <f t="shared" si="18"/>
        <v>0</v>
      </c>
      <c r="HN68" s="8">
        <f t="shared" si="18"/>
        <v>0</v>
      </c>
      <c r="HO68" s="8">
        <f t="shared" si="18"/>
        <v>0</v>
      </c>
      <c r="HP68" s="8">
        <f t="shared" si="18"/>
        <v>0</v>
      </c>
      <c r="HQ68" s="8">
        <f t="shared" si="18"/>
        <v>0</v>
      </c>
      <c r="HR68" s="8">
        <f t="shared" si="18"/>
        <v>0</v>
      </c>
      <c r="HS68" s="8">
        <f t="shared" si="18"/>
        <v>0</v>
      </c>
      <c r="HT68" s="8">
        <f t="shared" si="18"/>
        <v>0</v>
      </c>
      <c r="HU68" s="8">
        <f t="shared" si="18"/>
        <v>0</v>
      </c>
      <c r="HV68" s="8">
        <f t="shared" si="18"/>
        <v>0</v>
      </c>
      <c r="HW68" s="8">
        <f t="shared" si="18"/>
        <v>0</v>
      </c>
      <c r="HX68" s="8">
        <f t="shared" si="18"/>
        <v>0</v>
      </c>
      <c r="HY68" s="8">
        <f t="shared" si="18"/>
        <v>0</v>
      </c>
      <c r="HZ68" s="8">
        <f t="shared" si="18"/>
        <v>0</v>
      </c>
      <c r="IA68" s="8">
        <f t="shared" si="18"/>
        <v>0</v>
      </c>
      <c r="IB68" s="8">
        <f t="shared" si="18"/>
        <v>0</v>
      </c>
      <c r="IC68" s="8">
        <f t="shared" si="18"/>
        <v>0</v>
      </c>
      <c r="ID68" s="8">
        <f t="shared" si="18"/>
        <v>0</v>
      </c>
      <c r="IE68" s="8">
        <f t="shared" si="18"/>
        <v>0</v>
      </c>
      <c r="IF68" s="8">
        <f t="shared" si="18"/>
        <v>0</v>
      </c>
      <c r="IG68" s="8">
        <f t="shared" si="18"/>
        <v>0</v>
      </c>
      <c r="IH68" s="8">
        <f t="shared" si="18"/>
        <v>0</v>
      </c>
      <c r="II68" s="8">
        <f t="shared" si="18"/>
        <v>0</v>
      </c>
      <c r="IJ68" s="8">
        <f t="shared" si="18"/>
        <v>0</v>
      </c>
      <c r="IK68" s="8">
        <f t="shared" si="18"/>
        <v>0</v>
      </c>
      <c r="IL68" s="8">
        <f t="shared" si="18"/>
        <v>0</v>
      </c>
      <c r="IM68" s="8">
        <f t="shared" si="18"/>
        <v>0</v>
      </c>
      <c r="IN68" s="8">
        <f t="shared" si="18"/>
        <v>0</v>
      </c>
      <c r="IO68" s="8">
        <f t="shared" si="18"/>
        <v>0</v>
      </c>
      <c r="IP68" s="8">
        <f t="shared" si="18"/>
        <v>0</v>
      </c>
      <c r="IQ68" s="8">
        <f t="shared" si="18"/>
        <v>0</v>
      </c>
      <c r="IR68" s="8">
        <f t="shared" si="18"/>
        <v>0</v>
      </c>
      <c r="IS68" s="8">
        <f t="shared" si="18"/>
        <v>0</v>
      </c>
      <c r="IT68" s="8">
        <f t="shared" si="18"/>
        <v>0</v>
      </c>
    </row>
    <row r="69" spans="1:254" x14ac:dyDescent="0.25">
      <c r="A69" s="280" t="s">
        <v>285</v>
      </c>
      <c r="B69" s="571">
        <f>B67+B68</f>
        <v>503086</v>
      </c>
      <c r="C69" s="571">
        <f>C67+C68</f>
        <v>463871</v>
      </c>
      <c r="D69" s="571">
        <f>D67+D68</f>
        <v>0</v>
      </c>
      <c r="E69" s="571">
        <f>E67+E68</f>
        <v>0</v>
      </c>
      <c r="F69" s="571">
        <f>F67+F68</f>
        <v>0</v>
      </c>
      <c r="G69" s="571">
        <f t="shared" ref="G69" si="19">G67+G68</f>
        <v>0</v>
      </c>
      <c r="H69" s="571">
        <f>H67+H68</f>
        <v>0</v>
      </c>
      <c r="I69" s="571">
        <f>I67+I68</f>
        <v>0</v>
      </c>
      <c r="J69" s="571">
        <f>J67+J68</f>
        <v>0</v>
      </c>
      <c r="K69" s="571">
        <f>K67+K68</f>
        <v>0</v>
      </c>
      <c r="L69" s="571">
        <f>L67+L68</f>
        <v>0</v>
      </c>
      <c r="M69" s="571">
        <f t="shared" ref="M69" si="20">M67+M68</f>
        <v>0</v>
      </c>
      <c r="N69" s="571">
        <f>N67+N68</f>
        <v>966957</v>
      </c>
      <c r="O69" s="280">
        <f t="shared" ref="O69:BZ71" si="21">O45</f>
        <v>0</v>
      </c>
      <c r="P69" s="280">
        <f t="shared" si="21"/>
        <v>0</v>
      </c>
      <c r="AE69" s="280">
        <f t="shared" si="21"/>
        <v>0</v>
      </c>
      <c r="AF69" s="280">
        <f t="shared" si="21"/>
        <v>0</v>
      </c>
      <c r="AG69" s="280">
        <f t="shared" si="21"/>
        <v>0</v>
      </c>
      <c r="AH69" s="280">
        <f t="shared" si="21"/>
        <v>0</v>
      </c>
      <c r="AI69" s="280">
        <f t="shared" si="21"/>
        <v>0</v>
      </c>
      <c r="AJ69" s="280">
        <f t="shared" si="21"/>
        <v>0</v>
      </c>
      <c r="AK69" s="280">
        <f t="shared" si="21"/>
        <v>0</v>
      </c>
      <c r="AL69" s="280">
        <f t="shared" si="21"/>
        <v>0</v>
      </c>
      <c r="AM69" s="280">
        <f t="shared" si="21"/>
        <v>0</v>
      </c>
      <c r="AN69" s="280">
        <f t="shared" si="21"/>
        <v>0</v>
      </c>
      <c r="AO69" s="280">
        <f t="shared" si="21"/>
        <v>0</v>
      </c>
      <c r="AP69" s="280">
        <f t="shared" si="21"/>
        <v>0</v>
      </c>
      <c r="AQ69" s="280">
        <f t="shared" si="21"/>
        <v>0</v>
      </c>
      <c r="AR69" s="280">
        <f t="shared" si="21"/>
        <v>0</v>
      </c>
      <c r="AS69" s="280">
        <f t="shared" si="21"/>
        <v>0</v>
      </c>
      <c r="AT69" s="280">
        <f t="shared" si="21"/>
        <v>0</v>
      </c>
      <c r="AU69" s="280">
        <f t="shared" si="21"/>
        <v>0</v>
      </c>
      <c r="AV69" s="280">
        <f t="shared" si="21"/>
        <v>0</v>
      </c>
      <c r="AW69" s="280">
        <f t="shared" si="21"/>
        <v>0</v>
      </c>
      <c r="AX69" s="280">
        <f t="shared" si="21"/>
        <v>0</v>
      </c>
      <c r="AY69" s="280">
        <f t="shared" si="21"/>
        <v>0</v>
      </c>
      <c r="AZ69" s="280">
        <f t="shared" si="21"/>
        <v>0</v>
      </c>
      <c r="BA69" s="280">
        <f t="shared" si="21"/>
        <v>0</v>
      </c>
      <c r="BB69" s="280">
        <f t="shared" si="21"/>
        <v>0</v>
      </c>
      <c r="BC69" s="280">
        <f t="shared" si="21"/>
        <v>0</v>
      </c>
      <c r="BD69" s="280">
        <f t="shared" si="21"/>
        <v>0</v>
      </c>
      <c r="BE69" s="280">
        <f t="shared" si="21"/>
        <v>0</v>
      </c>
      <c r="BF69" s="280">
        <f t="shared" si="21"/>
        <v>0</v>
      </c>
      <c r="BG69" s="280">
        <f t="shared" si="21"/>
        <v>0</v>
      </c>
      <c r="BH69" s="280">
        <f t="shared" si="21"/>
        <v>0</v>
      </c>
      <c r="BI69" s="280">
        <f t="shared" si="21"/>
        <v>0</v>
      </c>
      <c r="BJ69" s="280">
        <f t="shared" si="21"/>
        <v>0</v>
      </c>
      <c r="BK69" s="280">
        <f t="shared" si="21"/>
        <v>0</v>
      </c>
      <c r="BL69" s="280">
        <f t="shared" si="21"/>
        <v>0</v>
      </c>
      <c r="BM69" s="280">
        <f t="shared" si="21"/>
        <v>0</v>
      </c>
      <c r="BN69" s="280">
        <f t="shared" si="21"/>
        <v>0</v>
      </c>
      <c r="BO69" s="280">
        <f t="shared" si="21"/>
        <v>0</v>
      </c>
      <c r="BP69" s="280">
        <f t="shared" si="21"/>
        <v>0</v>
      </c>
      <c r="BQ69" s="280">
        <f t="shared" si="21"/>
        <v>0</v>
      </c>
      <c r="BR69" s="280">
        <f t="shared" si="21"/>
        <v>0</v>
      </c>
      <c r="BS69" s="280">
        <f t="shared" si="21"/>
        <v>0</v>
      </c>
      <c r="BT69" s="280">
        <f t="shared" si="21"/>
        <v>0</v>
      </c>
      <c r="BU69" s="280">
        <f t="shared" si="21"/>
        <v>0</v>
      </c>
      <c r="BV69" s="280">
        <f t="shared" si="21"/>
        <v>0</v>
      </c>
      <c r="BW69" s="280">
        <f t="shared" si="21"/>
        <v>0</v>
      </c>
      <c r="BX69" s="280">
        <f t="shared" si="21"/>
        <v>0</v>
      </c>
      <c r="BY69" s="280">
        <f t="shared" si="21"/>
        <v>0</v>
      </c>
      <c r="BZ69" s="280">
        <f t="shared" si="21"/>
        <v>0</v>
      </c>
      <c r="CA69" s="280">
        <f t="shared" ref="CA69:EL69" si="22">CA45</f>
        <v>0</v>
      </c>
      <c r="CB69" s="280">
        <f t="shared" si="22"/>
        <v>0</v>
      </c>
      <c r="CC69" s="280">
        <f t="shared" si="22"/>
        <v>0</v>
      </c>
      <c r="CD69" s="280">
        <f t="shared" si="22"/>
        <v>0</v>
      </c>
      <c r="CE69" s="280">
        <f t="shared" si="22"/>
        <v>0</v>
      </c>
      <c r="CF69" s="280">
        <f t="shared" si="22"/>
        <v>0</v>
      </c>
      <c r="CG69" s="280">
        <f t="shared" si="22"/>
        <v>0</v>
      </c>
      <c r="CH69" s="280">
        <f t="shared" si="22"/>
        <v>0</v>
      </c>
      <c r="CI69" s="280">
        <f t="shared" si="22"/>
        <v>0</v>
      </c>
      <c r="CJ69" s="280">
        <f t="shared" si="22"/>
        <v>0</v>
      </c>
      <c r="CK69" s="280">
        <f t="shared" si="22"/>
        <v>0</v>
      </c>
      <c r="CL69" s="280">
        <f t="shared" si="22"/>
        <v>0</v>
      </c>
      <c r="CM69" s="280">
        <f t="shared" si="22"/>
        <v>0</v>
      </c>
      <c r="CN69" s="280">
        <f t="shared" si="22"/>
        <v>0</v>
      </c>
      <c r="CO69" s="280">
        <f t="shared" si="22"/>
        <v>0</v>
      </c>
      <c r="CP69" s="280">
        <f t="shared" si="22"/>
        <v>0</v>
      </c>
      <c r="CQ69" s="280">
        <f t="shared" si="22"/>
        <v>0</v>
      </c>
      <c r="CR69" s="280">
        <f t="shared" si="22"/>
        <v>0</v>
      </c>
      <c r="CS69" s="280">
        <f t="shared" si="22"/>
        <v>0</v>
      </c>
      <c r="CT69" s="280">
        <f t="shared" si="22"/>
        <v>0</v>
      </c>
      <c r="CU69" s="280">
        <f t="shared" si="22"/>
        <v>0</v>
      </c>
      <c r="CV69" s="280">
        <f t="shared" si="22"/>
        <v>0</v>
      </c>
      <c r="CW69" s="280">
        <f t="shared" si="22"/>
        <v>0</v>
      </c>
      <c r="CX69" s="280">
        <f t="shared" si="22"/>
        <v>0</v>
      </c>
      <c r="CY69" s="280">
        <f t="shared" si="22"/>
        <v>0</v>
      </c>
      <c r="CZ69" s="280">
        <f t="shared" si="22"/>
        <v>0</v>
      </c>
      <c r="DA69" s="280">
        <f t="shared" si="22"/>
        <v>0</v>
      </c>
      <c r="DB69" s="280">
        <f t="shared" si="22"/>
        <v>0</v>
      </c>
      <c r="DC69" s="280">
        <f t="shared" si="22"/>
        <v>0</v>
      </c>
      <c r="DD69" s="280">
        <f t="shared" si="22"/>
        <v>0</v>
      </c>
      <c r="DE69" s="280">
        <f t="shared" si="22"/>
        <v>0</v>
      </c>
      <c r="DF69" s="280">
        <f t="shared" si="22"/>
        <v>0</v>
      </c>
      <c r="DG69" s="280">
        <f t="shared" si="22"/>
        <v>0</v>
      </c>
      <c r="DH69" s="280">
        <f t="shared" si="22"/>
        <v>0</v>
      </c>
      <c r="DI69" s="280">
        <f t="shared" si="22"/>
        <v>0</v>
      </c>
      <c r="DJ69" s="280">
        <f t="shared" si="22"/>
        <v>0</v>
      </c>
      <c r="DK69" s="280">
        <f t="shared" si="22"/>
        <v>0</v>
      </c>
      <c r="DL69" s="280">
        <f t="shared" si="22"/>
        <v>0</v>
      </c>
      <c r="DM69" s="280">
        <f t="shared" si="22"/>
        <v>0</v>
      </c>
      <c r="DN69" s="280">
        <f t="shared" si="22"/>
        <v>0</v>
      </c>
      <c r="DO69" s="280">
        <f t="shared" si="22"/>
        <v>0</v>
      </c>
      <c r="DP69" s="280">
        <f t="shared" si="22"/>
        <v>0</v>
      </c>
      <c r="DQ69" s="280">
        <f t="shared" si="22"/>
        <v>0</v>
      </c>
      <c r="DR69" s="280">
        <f t="shared" si="22"/>
        <v>0</v>
      </c>
      <c r="DS69" s="280">
        <f t="shared" si="22"/>
        <v>0</v>
      </c>
      <c r="DT69" s="280">
        <f t="shared" si="22"/>
        <v>0</v>
      </c>
      <c r="DU69" s="280">
        <f t="shared" si="22"/>
        <v>0</v>
      </c>
      <c r="DV69" s="280">
        <f t="shared" si="22"/>
        <v>0</v>
      </c>
      <c r="DW69" s="280">
        <f t="shared" si="22"/>
        <v>0</v>
      </c>
      <c r="DX69" s="280">
        <f t="shared" si="22"/>
        <v>0</v>
      </c>
      <c r="DY69" s="280">
        <f t="shared" si="22"/>
        <v>0</v>
      </c>
      <c r="DZ69" s="280">
        <f t="shared" si="22"/>
        <v>0</v>
      </c>
      <c r="EA69" s="280">
        <f t="shared" si="22"/>
        <v>0</v>
      </c>
      <c r="EB69" s="280">
        <f t="shared" si="22"/>
        <v>0</v>
      </c>
      <c r="EC69" s="280">
        <f t="shared" si="22"/>
        <v>0</v>
      </c>
      <c r="ED69" s="280">
        <f t="shared" si="22"/>
        <v>0</v>
      </c>
      <c r="EE69" s="280">
        <f t="shared" si="22"/>
        <v>0</v>
      </c>
      <c r="EF69" s="280">
        <f t="shared" si="22"/>
        <v>0</v>
      </c>
      <c r="EG69" s="280">
        <f t="shared" si="22"/>
        <v>0</v>
      </c>
      <c r="EH69" s="280">
        <f t="shared" si="22"/>
        <v>0</v>
      </c>
      <c r="EI69" s="280">
        <f t="shared" si="22"/>
        <v>0</v>
      </c>
      <c r="EJ69" s="280">
        <f t="shared" si="22"/>
        <v>0</v>
      </c>
      <c r="EK69" s="280">
        <f t="shared" si="22"/>
        <v>0</v>
      </c>
      <c r="EL69" s="280">
        <f t="shared" si="22"/>
        <v>0</v>
      </c>
      <c r="EM69" s="280">
        <f t="shared" ref="EM69:GX69" si="23">EM45</f>
        <v>0</v>
      </c>
      <c r="EN69" s="280">
        <f t="shared" si="23"/>
        <v>0</v>
      </c>
      <c r="EO69" s="280">
        <f t="shared" si="23"/>
        <v>0</v>
      </c>
      <c r="EP69" s="280">
        <f t="shared" si="23"/>
        <v>0</v>
      </c>
      <c r="EQ69" s="280">
        <f t="shared" si="23"/>
        <v>0</v>
      </c>
      <c r="ER69" s="280">
        <f t="shared" si="23"/>
        <v>0</v>
      </c>
      <c r="ES69" s="280">
        <f t="shared" si="23"/>
        <v>0</v>
      </c>
      <c r="ET69" s="280">
        <f t="shared" si="23"/>
        <v>0</v>
      </c>
      <c r="EU69" s="280">
        <f t="shared" si="23"/>
        <v>0</v>
      </c>
      <c r="EV69" s="280">
        <f t="shared" si="23"/>
        <v>0</v>
      </c>
      <c r="EW69" s="280">
        <f t="shared" si="23"/>
        <v>0</v>
      </c>
      <c r="EX69" s="280">
        <f t="shared" si="23"/>
        <v>0</v>
      </c>
      <c r="EY69" s="280">
        <f t="shared" si="23"/>
        <v>0</v>
      </c>
      <c r="EZ69" s="280">
        <f t="shared" si="23"/>
        <v>0</v>
      </c>
      <c r="FA69" s="280">
        <f t="shared" si="23"/>
        <v>0</v>
      </c>
      <c r="FB69" s="280">
        <f t="shared" si="23"/>
        <v>0</v>
      </c>
      <c r="FC69" s="280">
        <f t="shared" si="23"/>
        <v>0</v>
      </c>
      <c r="FD69" s="280">
        <f t="shared" si="23"/>
        <v>0</v>
      </c>
      <c r="FE69" s="280">
        <f t="shared" si="23"/>
        <v>0</v>
      </c>
      <c r="FF69" s="280">
        <f t="shared" si="23"/>
        <v>0</v>
      </c>
      <c r="FG69" s="280">
        <f t="shared" si="23"/>
        <v>0</v>
      </c>
      <c r="FH69" s="280">
        <f t="shared" si="23"/>
        <v>0</v>
      </c>
      <c r="FI69" s="280">
        <f t="shared" si="23"/>
        <v>0</v>
      </c>
      <c r="FJ69" s="280">
        <f t="shared" si="23"/>
        <v>0</v>
      </c>
      <c r="FK69" s="280">
        <f t="shared" si="23"/>
        <v>0</v>
      </c>
      <c r="FL69" s="280">
        <f t="shared" si="23"/>
        <v>0</v>
      </c>
      <c r="FM69" s="280">
        <f t="shared" si="23"/>
        <v>0</v>
      </c>
      <c r="FN69" s="280">
        <f t="shared" si="23"/>
        <v>0</v>
      </c>
      <c r="FO69" s="280">
        <f t="shared" si="23"/>
        <v>0</v>
      </c>
      <c r="FP69" s="280">
        <f t="shared" si="23"/>
        <v>0</v>
      </c>
      <c r="FQ69" s="280">
        <f t="shared" si="23"/>
        <v>0</v>
      </c>
      <c r="FR69" s="280">
        <f t="shared" si="23"/>
        <v>0</v>
      </c>
      <c r="FS69" s="280">
        <f t="shared" si="23"/>
        <v>0</v>
      </c>
      <c r="FT69" s="280">
        <f t="shared" si="23"/>
        <v>0</v>
      </c>
      <c r="FU69" s="280">
        <f t="shared" si="23"/>
        <v>0</v>
      </c>
      <c r="FV69" s="280">
        <f t="shared" si="23"/>
        <v>0</v>
      </c>
      <c r="FW69" s="280">
        <f t="shared" si="23"/>
        <v>0</v>
      </c>
      <c r="FX69" s="280">
        <f t="shared" si="23"/>
        <v>0</v>
      </c>
      <c r="FY69" s="280">
        <f t="shared" si="23"/>
        <v>0</v>
      </c>
      <c r="FZ69" s="280">
        <f t="shared" si="23"/>
        <v>0</v>
      </c>
      <c r="GA69" s="280">
        <f t="shared" si="23"/>
        <v>0</v>
      </c>
      <c r="GB69" s="280">
        <f t="shared" si="23"/>
        <v>0</v>
      </c>
      <c r="GC69" s="280">
        <f t="shared" si="23"/>
        <v>0</v>
      </c>
      <c r="GD69" s="280">
        <f t="shared" si="23"/>
        <v>0</v>
      </c>
      <c r="GE69" s="280">
        <f t="shared" si="23"/>
        <v>0</v>
      </c>
      <c r="GF69" s="280">
        <f t="shared" si="23"/>
        <v>0</v>
      </c>
      <c r="GG69" s="280">
        <f t="shared" si="23"/>
        <v>0</v>
      </c>
      <c r="GH69" s="280">
        <f t="shared" si="23"/>
        <v>0</v>
      </c>
      <c r="GI69" s="280">
        <f t="shared" si="23"/>
        <v>0</v>
      </c>
      <c r="GJ69" s="280">
        <f t="shared" si="23"/>
        <v>0</v>
      </c>
      <c r="GK69" s="280">
        <f t="shared" si="23"/>
        <v>0</v>
      </c>
      <c r="GL69" s="280">
        <f t="shared" si="23"/>
        <v>0</v>
      </c>
      <c r="GM69" s="280">
        <f t="shared" si="23"/>
        <v>0</v>
      </c>
      <c r="GN69" s="280">
        <f t="shared" si="23"/>
        <v>0</v>
      </c>
      <c r="GO69" s="280">
        <f t="shared" si="23"/>
        <v>0</v>
      </c>
      <c r="GP69" s="280">
        <f t="shared" si="23"/>
        <v>0</v>
      </c>
      <c r="GQ69" s="280">
        <f t="shared" si="23"/>
        <v>0</v>
      </c>
      <c r="GR69" s="280">
        <f t="shared" si="23"/>
        <v>0</v>
      </c>
      <c r="GS69" s="280">
        <f t="shared" si="23"/>
        <v>0</v>
      </c>
      <c r="GT69" s="280">
        <f t="shared" si="23"/>
        <v>0</v>
      </c>
      <c r="GU69" s="280">
        <f t="shared" si="23"/>
        <v>0</v>
      </c>
      <c r="GV69" s="280">
        <f t="shared" si="23"/>
        <v>0</v>
      </c>
      <c r="GW69" s="280">
        <f t="shared" si="23"/>
        <v>0</v>
      </c>
      <c r="GX69" s="280">
        <f t="shared" si="23"/>
        <v>0</v>
      </c>
      <c r="GY69" s="280">
        <f t="shared" ref="GY69:IT69" si="24">GY45</f>
        <v>0</v>
      </c>
      <c r="GZ69" s="280">
        <f t="shared" si="24"/>
        <v>0</v>
      </c>
      <c r="HA69" s="280">
        <f t="shared" si="24"/>
        <v>0</v>
      </c>
      <c r="HB69" s="280">
        <f t="shared" si="24"/>
        <v>0</v>
      </c>
      <c r="HC69" s="280">
        <f t="shared" si="24"/>
        <v>0</v>
      </c>
      <c r="HD69" s="280">
        <f t="shared" si="24"/>
        <v>0</v>
      </c>
      <c r="HE69" s="280">
        <f t="shared" si="24"/>
        <v>0</v>
      </c>
      <c r="HF69" s="280">
        <f t="shared" si="24"/>
        <v>0</v>
      </c>
      <c r="HG69" s="280">
        <f t="shared" si="24"/>
        <v>0</v>
      </c>
      <c r="HH69" s="280">
        <f t="shared" si="24"/>
        <v>0</v>
      </c>
      <c r="HI69" s="280">
        <f t="shared" si="24"/>
        <v>0</v>
      </c>
      <c r="HJ69" s="280">
        <f t="shared" si="24"/>
        <v>0</v>
      </c>
      <c r="HK69" s="280">
        <f t="shared" si="24"/>
        <v>0</v>
      </c>
      <c r="HL69" s="280">
        <f t="shared" si="24"/>
        <v>0</v>
      </c>
      <c r="HM69" s="280">
        <f t="shared" si="24"/>
        <v>0</v>
      </c>
      <c r="HN69" s="280">
        <f t="shared" si="24"/>
        <v>0</v>
      </c>
      <c r="HO69" s="280">
        <f t="shared" si="24"/>
        <v>0</v>
      </c>
      <c r="HP69" s="280">
        <f t="shared" si="24"/>
        <v>0</v>
      </c>
      <c r="HQ69" s="280">
        <f t="shared" si="24"/>
        <v>0</v>
      </c>
      <c r="HR69" s="280">
        <f t="shared" si="24"/>
        <v>0</v>
      </c>
      <c r="HS69" s="280">
        <f t="shared" si="24"/>
        <v>0</v>
      </c>
      <c r="HT69" s="280">
        <f t="shared" si="24"/>
        <v>0</v>
      </c>
      <c r="HU69" s="280">
        <f t="shared" si="24"/>
        <v>0</v>
      </c>
      <c r="HV69" s="280">
        <f t="shared" si="24"/>
        <v>0</v>
      </c>
      <c r="HW69" s="280">
        <f t="shared" si="24"/>
        <v>0</v>
      </c>
      <c r="HX69" s="280">
        <f t="shared" si="24"/>
        <v>0</v>
      </c>
      <c r="HY69" s="280">
        <f t="shared" si="24"/>
        <v>0</v>
      </c>
      <c r="HZ69" s="280">
        <f t="shared" si="24"/>
        <v>0</v>
      </c>
      <c r="IA69" s="280">
        <f t="shared" si="24"/>
        <v>0</v>
      </c>
      <c r="IB69" s="280">
        <f t="shared" si="24"/>
        <v>0</v>
      </c>
      <c r="IC69" s="280">
        <f t="shared" si="24"/>
        <v>0</v>
      </c>
      <c r="ID69" s="280">
        <f t="shared" si="24"/>
        <v>0</v>
      </c>
      <c r="IE69" s="280">
        <f t="shared" si="24"/>
        <v>0</v>
      </c>
      <c r="IF69" s="280">
        <f t="shared" si="24"/>
        <v>0</v>
      </c>
      <c r="IG69" s="280">
        <f t="shared" si="24"/>
        <v>0</v>
      </c>
      <c r="IH69" s="280">
        <f t="shared" si="24"/>
        <v>0</v>
      </c>
      <c r="II69" s="280">
        <f t="shared" si="24"/>
        <v>0</v>
      </c>
      <c r="IJ69" s="280">
        <f t="shared" si="24"/>
        <v>0</v>
      </c>
      <c r="IK69" s="280">
        <f t="shared" si="24"/>
        <v>0</v>
      </c>
      <c r="IL69" s="280">
        <f t="shared" si="24"/>
        <v>0</v>
      </c>
      <c r="IM69" s="280">
        <f t="shared" si="24"/>
        <v>0</v>
      </c>
      <c r="IN69" s="280">
        <f t="shared" si="24"/>
        <v>0</v>
      </c>
      <c r="IO69" s="280">
        <f t="shared" si="24"/>
        <v>0</v>
      </c>
      <c r="IP69" s="280">
        <f t="shared" si="24"/>
        <v>0</v>
      </c>
      <c r="IQ69" s="280">
        <f t="shared" si="24"/>
        <v>0</v>
      </c>
      <c r="IR69" s="280">
        <f t="shared" si="24"/>
        <v>0</v>
      </c>
      <c r="IS69" s="280">
        <f t="shared" si="24"/>
        <v>0</v>
      </c>
      <c r="IT69" s="280">
        <f t="shared" si="24"/>
        <v>0</v>
      </c>
    </row>
    <row r="70" spans="1:254" ht="14.4" x14ac:dyDescent="0.3">
      <c r="A70" s="12" t="s">
        <v>220</v>
      </c>
      <c r="B70" s="8">
        <f>ROUND((B42+B43+B46),0)</f>
        <v>373970</v>
      </c>
      <c r="C70" s="8">
        <f>ROUND((C42+C43+C46),0)</f>
        <v>263465</v>
      </c>
      <c r="D70" s="8">
        <f>ROUND((D42+D43+D46),0)</f>
        <v>0</v>
      </c>
      <c r="E70" s="8">
        <f>ROUND((E42+E43+E46),0)</f>
        <v>0</v>
      </c>
      <c r="F70" s="8">
        <f>ROUND((F42+F43+F46),0)</f>
        <v>0</v>
      </c>
      <c r="G70" s="8">
        <f t="shared" ref="G70" si="25">ROUND((G42+G43+G46),0)</f>
        <v>0</v>
      </c>
      <c r="H70" s="981">
        <f>ROUND((H42+H43+H46),0)</f>
        <v>0</v>
      </c>
      <c r="I70" s="8">
        <f>ROUND((I42+I43+I46),0)</f>
        <v>0</v>
      </c>
      <c r="J70" s="8">
        <f>ROUND((J42+J43+J46),0)</f>
        <v>0</v>
      </c>
      <c r="K70" s="8">
        <f>ROUND((K42+K43+K46),0)</f>
        <v>0</v>
      </c>
      <c r="L70" s="8">
        <f>ROUND((L42+L43+L46),0)+L49</f>
        <v>0</v>
      </c>
      <c r="M70" s="8">
        <f t="shared" ref="M70" si="26">ROUND((M42+M43+M46),0)</f>
        <v>0</v>
      </c>
      <c r="N70" s="8">
        <f>ROUND((N42+N43+N46),0)</f>
        <v>637435</v>
      </c>
      <c r="Q70" s="8">
        <f t="shared" si="15"/>
        <v>0</v>
      </c>
      <c r="R70" s="8">
        <f t="shared" si="15"/>
        <v>0</v>
      </c>
      <c r="S70" s="8">
        <f t="shared" si="15"/>
        <v>0</v>
      </c>
      <c r="T70" s="8">
        <f t="shared" si="15"/>
        <v>0</v>
      </c>
      <c r="U70" s="8">
        <f t="shared" si="15"/>
        <v>0</v>
      </c>
      <c r="V70" s="8">
        <f t="shared" si="15"/>
        <v>0</v>
      </c>
      <c r="W70" s="8">
        <f t="shared" si="15"/>
        <v>0</v>
      </c>
      <c r="X70" s="8">
        <f t="shared" si="15"/>
        <v>0</v>
      </c>
      <c r="Y70" s="8">
        <f t="shared" si="15"/>
        <v>0</v>
      </c>
      <c r="Z70" s="8">
        <f t="shared" si="15"/>
        <v>0</v>
      </c>
      <c r="AA70" s="8">
        <f t="shared" si="15"/>
        <v>0</v>
      </c>
      <c r="AB70" s="8">
        <f t="shared" si="15"/>
        <v>0</v>
      </c>
      <c r="AC70" s="8">
        <f t="shared" si="15"/>
        <v>0</v>
      </c>
      <c r="AD70" s="8">
        <f t="shared" si="15"/>
        <v>0</v>
      </c>
    </row>
    <row r="71" spans="1:254" ht="14.4" x14ac:dyDescent="0.3">
      <c r="A71" s="12" t="s">
        <v>221</v>
      </c>
      <c r="B71" s="8">
        <f>ROUND((B45),0)</f>
        <v>0</v>
      </c>
      <c r="C71" s="8">
        <f>ROUND((C45),0)</f>
        <v>0</v>
      </c>
      <c r="D71" s="8">
        <f>D49</f>
        <v>0</v>
      </c>
      <c r="E71" s="8">
        <v>0</v>
      </c>
      <c r="F71" s="8">
        <f t="shared" ref="F71:M71" si="27">ROUND((F45),0)</f>
        <v>0</v>
      </c>
      <c r="G71" s="8">
        <f t="shared" si="27"/>
        <v>0</v>
      </c>
      <c r="H71" s="981">
        <f>ROUND((H45),0)</f>
        <v>0</v>
      </c>
      <c r="I71" s="8">
        <f t="shared" si="27"/>
        <v>0</v>
      </c>
      <c r="J71" s="8">
        <f t="shared" si="27"/>
        <v>0</v>
      </c>
      <c r="K71" s="8">
        <f t="shared" si="27"/>
        <v>0</v>
      </c>
      <c r="L71" s="8">
        <f>ROUND((L45),0)</f>
        <v>0</v>
      </c>
      <c r="M71" s="8">
        <f t="shared" si="27"/>
        <v>0</v>
      </c>
      <c r="N71" s="8">
        <f>N49</f>
        <v>0</v>
      </c>
      <c r="Q71" s="280">
        <f t="shared" si="21"/>
        <v>0</v>
      </c>
      <c r="R71" s="280">
        <f t="shared" si="21"/>
        <v>0</v>
      </c>
      <c r="S71" s="280">
        <f t="shared" si="21"/>
        <v>0</v>
      </c>
      <c r="T71" s="280">
        <f t="shared" si="21"/>
        <v>0</v>
      </c>
      <c r="U71" s="280">
        <f t="shared" si="21"/>
        <v>0</v>
      </c>
      <c r="V71" s="280">
        <f t="shared" si="21"/>
        <v>0</v>
      </c>
      <c r="W71" s="280">
        <f t="shared" si="21"/>
        <v>0</v>
      </c>
      <c r="X71" s="280">
        <f t="shared" si="21"/>
        <v>0</v>
      </c>
      <c r="Y71" s="280">
        <f t="shared" si="21"/>
        <v>0</v>
      </c>
      <c r="Z71" s="280">
        <f t="shared" si="21"/>
        <v>0</v>
      </c>
      <c r="AA71" s="280">
        <f t="shared" si="21"/>
        <v>0</v>
      </c>
      <c r="AB71" s="280">
        <f t="shared" si="21"/>
        <v>0</v>
      </c>
      <c r="AC71" s="280">
        <f t="shared" si="21"/>
        <v>0</v>
      </c>
      <c r="AD71" s="280">
        <f t="shared" si="21"/>
        <v>0</v>
      </c>
    </row>
    <row r="72" spans="1:254" ht="14.4" x14ac:dyDescent="0.3">
      <c r="A72" s="12" t="s">
        <v>365</v>
      </c>
      <c r="B72" s="280">
        <f>ROUND((B48),0)</f>
        <v>0</v>
      </c>
      <c r="C72" s="280">
        <f>ROUND((C48),0)</f>
        <v>0</v>
      </c>
      <c r="D72" s="280">
        <f>ROUND((D48),0)</f>
        <v>0</v>
      </c>
      <c r="E72" s="280">
        <f>ROUND((E48),0)</f>
        <v>0</v>
      </c>
      <c r="F72" s="280">
        <f>ROUND((F48),0)</f>
        <v>0</v>
      </c>
      <c r="G72" s="280">
        <f t="shared" ref="G72" si="28">ROUND((G48),0)</f>
        <v>0</v>
      </c>
      <c r="H72" s="1682">
        <v>0</v>
      </c>
      <c r="I72" s="280">
        <f>ROUND((I48),0)</f>
        <v>0</v>
      </c>
      <c r="J72" s="280">
        <f>ROUND((J48),0)</f>
        <v>0</v>
      </c>
      <c r="K72" s="280">
        <f>ROUND((K48),0)</f>
        <v>0</v>
      </c>
      <c r="L72" s="280">
        <f t="shared" ref="L72:M72" si="29">ROUND((L48),0)</f>
        <v>0</v>
      </c>
      <c r="M72" s="280">
        <f t="shared" si="29"/>
        <v>0</v>
      </c>
      <c r="N72" s="280">
        <f>ROUND((N48),0)</f>
        <v>0</v>
      </c>
    </row>
    <row r="73" spans="1:254" ht="14.4" x14ac:dyDescent="0.3">
      <c r="A73" s="12" t="s">
        <v>222</v>
      </c>
      <c r="B73" s="8">
        <f>ROUND((B44+B50+B51),0)</f>
        <v>84614</v>
      </c>
      <c r="C73" s="8">
        <f>ROUND((C44+C50+C51),0)</f>
        <v>84237</v>
      </c>
      <c r="D73" s="8">
        <f>ROUND((D44+D50+D51),0)</f>
        <v>0</v>
      </c>
      <c r="E73" s="8">
        <f>ROUND((E44+E50+E51),0)</f>
        <v>0</v>
      </c>
      <c r="F73" s="8">
        <f>ROUND((F44+F50+F51),0)</f>
        <v>0</v>
      </c>
      <c r="G73" s="8">
        <f t="shared" ref="G73:M73" si="30">ROUND((G44+G50+G51),0)</f>
        <v>0</v>
      </c>
      <c r="H73" s="981">
        <f>ROUND((H44+H50+H51),0)</f>
        <v>0</v>
      </c>
      <c r="I73" s="8">
        <f>ROUND((I44+I50+I51),0)</f>
        <v>0</v>
      </c>
      <c r="J73" s="8">
        <f>ROUND((J44+J50+J51),0)</f>
        <v>0</v>
      </c>
      <c r="K73" s="8">
        <f>ROUND((K44+K50+K51),0)</f>
        <v>0</v>
      </c>
      <c r="L73" s="8">
        <f>ROUND((L44+L50+L51),0)</f>
        <v>0</v>
      </c>
      <c r="M73" s="8">
        <f t="shared" si="30"/>
        <v>0</v>
      </c>
      <c r="N73" s="8">
        <f>ROUND((N44+N50+N51),0)</f>
        <v>168851</v>
      </c>
    </row>
    <row r="74" spans="1:254" ht="14.4" x14ac:dyDescent="0.3">
      <c r="A74" s="51" t="s">
        <v>223</v>
      </c>
      <c r="B74" s="218">
        <f>SUM(B70:B73)</f>
        <v>458584</v>
      </c>
      <c r="C74" s="218">
        <f>SUM(C70:C73)</f>
        <v>347702</v>
      </c>
      <c r="D74" s="218">
        <f>SUM(D70:D73)</f>
        <v>0</v>
      </c>
      <c r="E74" s="218">
        <f>SUM(E70:E73)</f>
        <v>0</v>
      </c>
      <c r="F74" s="218">
        <f>SUM(F70:F73)</f>
        <v>0</v>
      </c>
      <c r="G74" s="218">
        <f t="shared" ref="G74" si="31">SUM(G70:G73)</f>
        <v>0</v>
      </c>
      <c r="H74" s="218">
        <f>SUM(H70:H73)</f>
        <v>0</v>
      </c>
      <c r="I74" s="218">
        <f>SUM(I70:I73)</f>
        <v>0</v>
      </c>
      <c r="J74" s="218">
        <f>SUM(J70:J73)</f>
        <v>0</v>
      </c>
      <c r="K74" s="218">
        <f>SUM(K70:K73)</f>
        <v>0</v>
      </c>
      <c r="L74" s="218">
        <f>SUM(L70:L73)</f>
        <v>0</v>
      </c>
      <c r="M74" s="218">
        <f t="shared" ref="M74" si="32">SUM(M70:M73)</f>
        <v>0</v>
      </c>
      <c r="N74" s="218">
        <f>SUM(N70:N73)</f>
        <v>806286</v>
      </c>
    </row>
    <row r="75" spans="1:254" ht="14.4" x14ac:dyDescent="0.3">
      <c r="A75" s="51" t="s">
        <v>225</v>
      </c>
      <c r="B75" s="572">
        <f>B69+B74</f>
        <v>961670</v>
      </c>
      <c r="C75" s="572">
        <f>C69+C74</f>
        <v>811573</v>
      </c>
      <c r="D75" s="572">
        <f>D69+D74</f>
        <v>0</v>
      </c>
      <c r="E75" s="572">
        <f>E69+E74</f>
        <v>0</v>
      </c>
      <c r="F75" s="572">
        <f>F69+F74</f>
        <v>0</v>
      </c>
      <c r="G75" s="572">
        <f t="shared" ref="G75" si="33">G69+G74</f>
        <v>0</v>
      </c>
      <c r="H75" s="572">
        <f>H69+H74</f>
        <v>0</v>
      </c>
      <c r="I75" s="572">
        <f t="shared" ref="I75:M75" si="34">I69+I74</f>
        <v>0</v>
      </c>
      <c r="J75" s="572">
        <f>J69+J74</f>
        <v>0</v>
      </c>
      <c r="K75" s="572">
        <f t="shared" si="34"/>
        <v>0</v>
      </c>
      <c r="L75" s="572">
        <f>L69+L74</f>
        <v>0</v>
      </c>
      <c r="M75" s="572">
        <f t="shared" si="34"/>
        <v>0</v>
      </c>
      <c r="N75" s="572">
        <f>N69+N74</f>
        <v>1773243</v>
      </c>
      <c r="P75" s="8"/>
    </row>
    <row r="76" spans="1:254" x14ac:dyDescent="0.25">
      <c r="B76" s="943"/>
      <c r="D76" s="8"/>
      <c r="J76" s="8">
        <f>J65-J75</f>
        <v>0</v>
      </c>
      <c r="K76" s="8">
        <f>K65-K75</f>
        <v>0</v>
      </c>
      <c r="L76" s="8">
        <f>L65-L75</f>
        <v>0</v>
      </c>
      <c r="M76" s="8">
        <f>M65-M75</f>
        <v>0</v>
      </c>
    </row>
    <row r="78" spans="1:254" x14ac:dyDescent="0.25">
      <c r="A78" s="527" t="s">
        <v>253</v>
      </c>
      <c r="B78">
        <v>961720.23</v>
      </c>
      <c r="I78" s="980"/>
      <c r="J78" s="980"/>
      <c r="K78" s="980"/>
      <c r="L78" s="980"/>
      <c r="M78" s="980"/>
      <c r="N78">
        <v>961720.23</v>
      </c>
    </row>
    <row r="79" spans="1:254" x14ac:dyDescent="0.25">
      <c r="B79" s="8">
        <f t="shared" ref="B79:G79" si="35">B65-B78</f>
        <v>-49.999999999883585</v>
      </c>
      <c r="C79" s="8">
        <f t="shared" si="35"/>
        <v>811573.1</v>
      </c>
      <c r="D79" s="8">
        <f t="shared" si="35"/>
        <v>0</v>
      </c>
      <c r="E79" s="8">
        <f t="shared" si="35"/>
        <v>0</v>
      </c>
      <c r="F79" s="8">
        <f t="shared" si="35"/>
        <v>0</v>
      </c>
      <c r="G79" s="8">
        <f t="shared" si="35"/>
        <v>0</v>
      </c>
      <c r="H79" s="981">
        <f>H65-H78</f>
        <v>0</v>
      </c>
      <c r="I79" s="8">
        <f>I65-I78</f>
        <v>0</v>
      </c>
      <c r="J79" s="8">
        <f t="shared" ref="J79" si="36">J65-J78</f>
        <v>0</v>
      </c>
      <c r="K79" s="8">
        <f>K65-K78</f>
        <v>0</v>
      </c>
      <c r="L79" s="8">
        <f>L65-L78</f>
        <v>0</v>
      </c>
      <c r="M79" s="8">
        <f>M65-M78</f>
        <v>0</v>
      </c>
      <c r="N79" s="8">
        <f>N65-N78</f>
        <v>811523.10000000009</v>
      </c>
    </row>
    <row r="80" spans="1:254" x14ac:dyDescent="0.25">
      <c r="E80" s="8"/>
      <c r="H80" s="981"/>
      <c r="I80" s="8"/>
      <c r="N80" s="8">
        <f>K79-N79+L79</f>
        <v>-811523.10000000009</v>
      </c>
    </row>
    <row r="81" spans="14:14" x14ac:dyDescent="0.25">
      <c r="N81" s="8"/>
    </row>
  </sheetData>
  <mergeCells count="1">
    <mergeCell ref="A1:B1"/>
  </mergeCells>
  <phoneticPr fontId="68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1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AP125"/>
  <sheetViews>
    <sheetView showZeros="0" zoomScale="89" zoomScaleNormal="89" workbookViewId="0">
      <pane xSplit="1" ySplit="2" topLeftCell="B58" activePane="bottomRight" state="frozen"/>
      <selection pane="topRight" activeCell="B1" sqref="B1"/>
      <selection pane="bottomLeft" activeCell="A3" sqref="A3"/>
      <selection pane="bottomRight" activeCell="E42" sqref="E42"/>
    </sheetView>
  </sheetViews>
  <sheetFormatPr defaultRowHeight="13.2" x14ac:dyDescent="0.25"/>
  <cols>
    <col min="1" max="1" width="23.5546875" bestFit="1" customWidth="1"/>
    <col min="2" max="2" width="10.109375" bestFit="1" customWidth="1"/>
    <col min="3" max="3" width="8.5546875" bestFit="1" customWidth="1"/>
    <col min="4" max="4" width="14.109375" bestFit="1" customWidth="1"/>
    <col min="5" max="5" width="10" bestFit="1" customWidth="1"/>
    <col min="6" max="6" width="8" bestFit="1" customWidth="1"/>
    <col min="7" max="7" width="13.33203125" bestFit="1" customWidth="1"/>
    <col min="8" max="8" width="10" bestFit="1" customWidth="1"/>
    <col min="9" max="9" width="7.109375" bestFit="1" customWidth="1"/>
    <col min="10" max="10" width="12.88671875" customWidth="1"/>
    <col min="11" max="11" width="10" bestFit="1" customWidth="1"/>
    <col min="12" max="12" width="7.109375" bestFit="1" customWidth="1"/>
    <col min="13" max="13" width="12.88671875" customWidth="1"/>
    <col min="14" max="14" width="10" bestFit="1" customWidth="1"/>
    <col min="15" max="15" width="7.109375" bestFit="1" customWidth="1"/>
    <col min="16" max="16" width="14.6640625" bestFit="1" customWidth="1"/>
    <col min="17" max="17" width="10.109375" bestFit="1" customWidth="1"/>
    <col min="18" max="18" width="7.109375" bestFit="1" customWidth="1"/>
    <col min="19" max="19" width="13.44140625" bestFit="1" customWidth="1"/>
    <col min="20" max="20" width="10.109375" bestFit="1" customWidth="1"/>
    <col min="21" max="21" width="7.109375" bestFit="1" customWidth="1"/>
    <col min="22" max="22" width="13.44140625" bestFit="1" customWidth="1"/>
    <col min="23" max="23" width="10" bestFit="1" customWidth="1"/>
    <col min="24" max="24" width="8.88671875" customWidth="1"/>
    <col min="25" max="25" width="12.5546875" customWidth="1"/>
    <col min="26" max="26" width="10" bestFit="1" customWidth="1"/>
    <col min="27" max="27" width="7.44140625" bestFit="1" customWidth="1"/>
    <col min="28" max="28" width="13.44140625" bestFit="1" customWidth="1"/>
    <col min="29" max="29" width="10" bestFit="1" customWidth="1"/>
    <col min="30" max="30" width="7.6640625" bestFit="1" customWidth="1"/>
    <col min="31" max="31" width="12.88671875" bestFit="1" customWidth="1"/>
    <col min="32" max="32" width="10" bestFit="1" customWidth="1"/>
    <col min="33" max="33" width="8.88671875" customWidth="1"/>
    <col min="34" max="34" width="12.88671875" customWidth="1"/>
    <col min="35" max="35" width="10.109375" customWidth="1"/>
    <col min="36" max="36" width="8" bestFit="1" customWidth="1"/>
    <col min="37" max="37" width="13.33203125" customWidth="1"/>
    <col min="38" max="38" width="11" bestFit="1" customWidth="1"/>
    <col min="40" max="40" width="14.6640625" bestFit="1" customWidth="1"/>
    <col min="41" max="41" width="16.88671875" style="1145" bestFit="1" customWidth="1"/>
    <col min="42" max="42" width="15.44140625" bestFit="1" customWidth="1"/>
  </cols>
  <sheetData>
    <row r="1" spans="1:42" ht="24.75" customHeight="1" thickBot="1" x14ac:dyDescent="0.3">
      <c r="A1" s="3243" t="s">
        <v>604</v>
      </c>
      <c r="B1" s="3243"/>
      <c r="C1" s="3243"/>
      <c r="D1" s="3243"/>
      <c r="E1" s="3243"/>
      <c r="F1" s="3243"/>
      <c r="G1" s="3243"/>
      <c r="H1" s="3243"/>
      <c r="I1" s="3243"/>
      <c r="J1" s="3243"/>
      <c r="K1" s="3243"/>
      <c r="L1" s="3243"/>
      <c r="M1" s="3243"/>
      <c r="N1" s="3243"/>
      <c r="O1" s="3243"/>
      <c r="P1" s="3243"/>
      <c r="Q1" s="3243"/>
      <c r="R1" s="3243"/>
      <c r="S1" s="3243"/>
      <c r="T1" s="3243"/>
      <c r="U1" s="3243"/>
      <c r="V1" s="3243"/>
      <c r="W1" s="3243"/>
      <c r="X1" s="3243"/>
      <c r="Y1" s="3243"/>
      <c r="Z1" s="3243"/>
      <c r="AA1" s="3243"/>
      <c r="AB1" s="3243"/>
      <c r="AC1" s="3243"/>
      <c r="AD1" s="3243"/>
      <c r="AE1" s="3243"/>
      <c r="AF1" s="3243"/>
      <c r="AG1" s="3243"/>
      <c r="AH1" s="3243"/>
      <c r="AI1" s="3243"/>
      <c r="AJ1" s="3243"/>
      <c r="AK1" s="3243"/>
      <c r="AL1" s="3243"/>
    </row>
    <row r="2" spans="1:42" ht="13.8" thickBot="1" x14ac:dyDescent="0.3">
      <c r="A2" s="1146" t="s">
        <v>67</v>
      </c>
      <c r="B2" s="3244">
        <v>45748</v>
      </c>
      <c r="C2" s="3245"/>
      <c r="D2" s="3246"/>
      <c r="E2" s="3244">
        <v>45778</v>
      </c>
      <c r="F2" s="3245"/>
      <c r="G2" s="3246"/>
      <c r="H2" s="3245">
        <v>45809</v>
      </c>
      <c r="I2" s="3245"/>
      <c r="J2" s="3245"/>
      <c r="K2" s="3244">
        <v>45474</v>
      </c>
      <c r="L2" s="3245"/>
      <c r="M2" s="3246"/>
      <c r="N2" s="3245">
        <v>45870</v>
      </c>
      <c r="O2" s="3245"/>
      <c r="P2" s="3245"/>
      <c r="Q2" s="3244">
        <v>45901</v>
      </c>
      <c r="R2" s="3245"/>
      <c r="S2" s="3246"/>
      <c r="T2" s="3244">
        <v>45931</v>
      </c>
      <c r="U2" s="3245"/>
      <c r="V2" s="3246"/>
      <c r="W2" s="3244">
        <v>45962</v>
      </c>
      <c r="X2" s="3245"/>
      <c r="Y2" s="3246"/>
      <c r="Z2" s="3244">
        <v>45992</v>
      </c>
      <c r="AA2" s="3245"/>
      <c r="AB2" s="3246"/>
      <c r="AC2" s="3244">
        <v>45658</v>
      </c>
      <c r="AD2" s="3245"/>
      <c r="AE2" s="3246"/>
      <c r="AF2" s="3245">
        <v>45689</v>
      </c>
      <c r="AG2" s="3245"/>
      <c r="AH2" s="3245"/>
      <c r="AI2" s="3244">
        <v>45717</v>
      </c>
      <c r="AJ2" s="3245"/>
      <c r="AK2" s="3246"/>
      <c r="AL2" s="3247" t="s">
        <v>0</v>
      </c>
      <c r="AM2" s="3248"/>
      <c r="AN2" s="3249"/>
      <c r="AO2" s="1649" t="s">
        <v>546</v>
      </c>
    </row>
    <row r="3" spans="1:42" ht="13.8" thickBot="1" x14ac:dyDescent="0.3">
      <c r="A3" s="1161" t="s">
        <v>1</v>
      </c>
      <c r="B3" s="1161"/>
      <c r="C3" s="1162"/>
      <c r="D3" s="1163"/>
      <c r="E3" s="1161"/>
      <c r="F3" s="1162"/>
      <c r="G3" s="1163"/>
      <c r="H3" s="1162"/>
      <c r="I3" s="1162"/>
      <c r="J3" s="1162"/>
      <c r="K3" s="1161"/>
      <c r="L3" s="1162"/>
      <c r="M3" s="1163"/>
      <c r="N3" s="1162"/>
      <c r="O3" s="1162"/>
      <c r="P3" s="1162"/>
      <c r="Q3" s="1161"/>
      <c r="R3" s="1162"/>
      <c r="S3" s="1163"/>
      <c r="T3" s="1161"/>
      <c r="U3" s="1162"/>
      <c r="V3" s="1163"/>
      <c r="W3" s="1162"/>
      <c r="X3" s="1162"/>
      <c r="Y3" s="1162"/>
      <c r="Z3" s="1161"/>
      <c r="AA3" s="1162"/>
      <c r="AB3" s="1163"/>
      <c r="AC3" s="1161"/>
      <c r="AD3" s="1162"/>
      <c r="AE3" s="1163"/>
      <c r="AF3" s="1162"/>
      <c r="AG3" s="1162"/>
      <c r="AH3" s="1162"/>
      <c r="AI3" s="1161"/>
      <c r="AJ3" s="1162"/>
      <c r="AK3" s="1163"/>
      <c r="AL3" s="1343"/>
      <c r="AM3" s="1344"/>
      <c r="AN3" s="1345"/>
    </row>
    <row r="4" spans="1:42" x14ac:dyDescent="0.25">
      <c r="A4" s="1169" t="s">
        <v>71</v>
      </c>
      <c r="B4" s="407">
        <f>'Stock Valuation (FIFO)'!B5</f>
        <v>141140</v>
      </c>
      <c r="C4" s="1187">
        <f>IF(B4=0,0,(D4/B4))</f>
        <v>121.97506730905484</v>
      </c>
      <c r="D4" s="1183">
        <f>'Stock Valuation (FIFO)'!D5</f>
        <v>17215561</v>
      </c>
      <c r="E4" s="407">
        <f>B9</f>
        <v>75695</v>
      </c>
      <c r="F4" s="1187">
        <f>IF(E4=0,0,(G4/E4))</f>
        <v>135.72070810489464</v>
      </c>
      <c r="G4" s="1183">
        <f>D9</f>
        <v>10273379</v>
      </c>
      <c r="H4" s="1175">
        <f>E9</f>
        <v>90040</v>
      </c>
      <c r="I4" s="1187">
        <f>IF(H4=0,0,(J4/H4))</f>
        <v>152.60895157707685</v>
      </c>
      <c r="J4" s="1224">
        <f>G9</f>
        <v>13740910</v>
      </c>
      <c r="K4" s="407">
        <f>H9</f>
        <v>0</v>
      </c>
      <c r="L4" s="1187">
        <f>IF(K4=0,0,(M4/K4))</f>
        <v>0</v>
      </c>
      <c r="M4" s="1183">
        <f>J9</f>
        <v>0</v>
      </c>
      <c r="N4" s="407">
        <f>K9</f>
        <v>0</v>
      </c>
      <c r="O4" s="1187">
        <f>IF(N4=0,0,(P4/N4))</f>
        <v>0</v>
      </c>
      <c r="P4" s="1183">
        <f>M9</f>
        <v>0</v>
      </c>
      <c r="Q4" s="407">
        <f>N9</f>
        <v>0</v>
      </c>
      <c r="R4" s="1187">
        <f>IF(Q4=0,0,(S4/Q4))</f>
        <v>0</v>
      </c>
      <c r="S4" s="1183">
        <f>P9</f>
        <v>0</v>
      </c>
      <c r="T4" s="407">
        <f>Q9</f>
        <v>0</v>
      </c>
      <c r="U4" s="1187">
        <f>IF(T4=0,0,(V4/T4))</f>
        <v>0</v>
      </c>
      <c r="V4" s="1439">
        <f>S9</f>
        <v>0</v>
      </c>
      <c r="W4" s="1179">
        <f>T9</f>
        <v>0</v>
      </c>
      <c r="X4" s="1187">
        <f>IF(W4=0,0,(Y4/W4))</f>
        <v>0</v>
      </c>
      <c r="Y4" s="1218">
        <f>V9</f>
        <v>0</v>
      </c>
      <c r="Z4" s="1180">
        <f>W9</f>
        <v>0</v>
      </c>
      <c r="AA4" s="1187">
        <f>IF(Z4=0,0,(AB4/Z4))</f>
        <v>0</v>
      </c>
      <c r="AB4" s="1439">
        <f>Y9</f>
        <v>0</v>
      </c>
      <c r="AC4" s="1180">
        <f>Z9</f>
        <v>0</v>
      </c>
      <c r="AD4" s="1187">
        <f>IF(AC4=0,0,(AE4/AC4))</f>
        <v>0</v>
      </c>
      <c r="AE4" s="1439">
        <f>AB9</f>
        <v>0</v>
      </c>
      <c r="AF4" s="1179">
        <f>AC9</f>
        <v>0</v>
      </c>
      <c r="AG4" s="1187">
        <f>IF(AF4=0,0,(AH4/AF4))</f>
        <v>0</v>
      </c>
      <c r="AH4" s="1439">
        <f>AE9</f>
        <v>0</v>
      </c>
      <c r="AI4" s="1180">
        <f t="shared" ref="AI4" si="0">AF9</f>
        <v>0</v>
      </c>
      <c r="AJ4" s="1187">
        <f>IF(AI4=0,0,(AK4/AI4))</f>
        <v>0</v>
      </c>
      <c r="AK4" s="1439">
        <f>AH9</f>
        <v>0</v>
      </c>
      <c r="AL4" s="1346">
        <f>B4</f>
        <v>141140</v>
      </c>
      <c r="AM4" s="1347">
        <f>IF(AL4=0,0,(AN4/AL4))</f>
        <v>121.97506730905484</v>
      </c>
      <c r="AN4" s="1348">
        <f>D4</f>
        <v>17215561</v>
      </c>
    </row>
    <row r="5" spans="1:42" x14ac:dyDescent="0.25">
      <c r="A5" s="1171" t="s">
        <v>72</v>
      </c>
      <c r="B5" s="411">
        <f>ROUND((Purchase!$B5),0)</f>
        <v>0</v>
      </c>
      <c r="C5" s="1189">
        <f t="shared" ref="C5:C9" si="1">IF(B5=0,0,(D5/B5))</f>
        <v>0</v>
      </c>
      <c r="D5" s="1184">
        <f>Purchase!$O5</f>
        <v>0</v>
      </c>
      <c r="E5" s="411">
        <f>ROUND((Purchase!$B6),0)</f>
        <v>76000</v>
      </c>
      <c r="F5" s="1189">
        <f t="shared" ref="F5" si="2">IF(E5=0,0,(G5/E5))</f>
        <v>148.18652631578948</v>
      </c>
      <c r="G5" s="1184">
        <f>Purchase!$O6</f>
        <v>11262176</v>
      </c>
      <c r="H5" s="1176">
        <f>Purchase!B7</f>
        <v>0</v>
      </c>
      <c r="I5" s="1189">
        <f t="shared" ref="I5" si="3">IF(H5=0,0,(J5/H5))</f>
        <v>0</v>
      </c>
      <c r="J5" s="1184">
        <f>Purchase!$O7</f>
        <v>0</v>
      </c>
      <c r="K5" s="411">
        <f>Purchase!B8</f>
        <v>0</v>
      </c>
      <c r="L5" s="1189">
        <f t="shared" ref="L5" si="4">IF(K5=0,0,(M5/K5))</f>
        <v>0</v>
      </c>
      <c r="M5" s="1184">
        <f>Purchase!$O8</f>
        <v>0</v>
      </c>
      <c r="N5" s="411">
        <f>Purchase!B9</f>
        <v>0</v>
      </c>
      <c r="O5" s="1189">
        <f t="shared" ref="O5" si="5">IF(N5=0,0,(P5/N5))</f>
        <v>0</v>
      </c>
      <c r="P5" s="1184">
        <f>Purchase!$O9</f>
        <v>0</v>
      </c>
      <c r="Q5" s="411">
        <f>Purchase!B10</f>
        <v>0</v>
      </c>
      <c r="R5" s="1189">
        <f t="shared" ref="R5" si="6">IF(Q5=0,0,(S5/Q5))</f>
        <v>0</v>
      </c>
      <c r="S5" s="1184">
        <f>Purchase!$O10</f>
        <v>0</v>
      </c>
      <c r="T5" s="411">
        <f>Purchase!B11</f>
        <v>0</v>
      </c>
      <c r="U5" s="1189">
        <f t="shared" ref="U5" si="7">IF(T5=0,0,(V5/T5))</f>
        <v>0</v>
      </c>
      <c r="V5" s="1184">
        <f>Purchase!$O11</f>
        <v>0</v>
      </c>
      <c r="W5" s="1176">
        <f>Purchase!B12</f>
        <v>0</v>
      </c>
      <c r="X5" s="1189">
        <f t="shared" ref="X5" si="8">IF(W5=0,0,(Y5/W5))</f>
        <v>0</v>
      </c>
      <c r="Y5" s="1184">
        <f>Purchase!$O12</f>
        <v>0</v>
      </c>
      <c r="Z5" s="411">
        <f>Purchase!B13</f>
        <v>0</v>
      </c>
      <c r="AA5" s="1189">
        <f t="shared" ref="AA5" si="9">IF(Z5=0,0,(AB5/Z5))</f>
        <v>0</v>
      </c>
      <c r="AB5" s="1184">
        <f>Purchase!$O13</f>
        <v>0</v>
      </c>
      <c r="AC5" s="411">
        <f>Purchase!B14</f>
        <v>0</v>
      </c>
      <c r="AD5" s="1189">
        <f t="shared" ref="AD5" si="10">IF(AC5=0,0,(AE5/AC5))</f>
        <v>0</v>
      </c>
      <c r="AE5" s="1184">
        <f>Purchase!$O14</f>
        <v>0</v>
      </c>
      <c r="AF5" s="1176">
        <f>Purchase!B15</f>
        <v>0</v>
      </c>
      <c r="AG5" s="1189">
        <f t="shared" ref="AG5" si="11">IF(AF5=0,0,(AH5/AF5))</f>
        <v>0</v>
      </c>
      <c r="AH5" s="1184">
        <f>Purchase!$O15</f>
        <v>0</v>
      </c>
      <c r="AI5" s="411">
        <f>Purchase!B16</f>
        <v>0</v>
      </c>
      <c r="AJ5" s="1189">
        <f t="shared" ref="AJ5" si="12">IF(AI5=0,0,(AK5/AI5))</f>
        <v>0</v>
      </c>
      <c r="AK5" s="1184">
        <f>Purchase!$O16</f>
        <v>0</v>
      </c>
      <c r="AL5" s="1349">
        <f>SUM(B5,E5,H5,K5,N5,Q5,T5,W5,Z5,AC5,AF5,AI5)</f>
        <v>76000</v>
      </c>
      <c r="AM5" s="1350">
        <f t="shared" ref="AM5" si="13">IF(AL5=0,0,(AN5/AL5))</f>
        <v>148.18652631578948</v>
      </c>
      <c r="AN5" s="1351">
        <f>SUM(D5,G5,J5,M5,P5,S5,V5,Y5,AB5,AE5,AH5,AK5)</f>
        <v>11262176</v>
      </c>
      <c r="AO5" s="1145">
        <f>Purchase!O17</f>
        <v>11262176</v>
      </c>
      <c r="AP5" s="342">
        <f>AN5-AO5</f>
        <v>0</v>
      </c>
    </row>
    <row r="6" spans="1:42" ht="13.8" thickBot="1" x14ac:dyDescent="0.3">
      <c r="A6" s="1172" t="s">
        <v>485</v>
      </c>
      <c r="B6" s="424"/>
      <c r="C6" s="1181">
        <f t="shared" si="1"/>
        <v>0</v>
      </c>
      <c r="D6" s="1186"/>
      <c r="E6" s="424"/>
      <c r="F6" s="425"/>
      <c r="G6" s="426"/>
      <c r="H6" s="1177"/>
      <c r="I6" s="425"/>
      <c r="J6" s="1226"/>
      <c r="K6" s="424"/>
      <c r="L6" s="425"/>
      <c r="M6" s="1186"/>
      <c r="N6" s="424"/>
      <c r="O6" s="425"/>
      <c r="P6" s="1186"/>
      <c r="Q6" s="424"/>
      <c r="R6" s="425"/>
      <c r="S6" s="1186"/>
      <c r="T6" s="424"/>
      <c r="U6" s="425"/>
      <c r="V6" s="1186"/>
      <c r="W6" s="1177"/>
      <c r="X6" s="425"/>
      <c r="Y6" s="1226"/>
      <c r="Z6" s="424"/>
      <c r="AA6" s="425"/>
      <c r="AB6" s="1186"/>
      <c r="AC6" s="424"/>
      <c r="AD6" s="425"/>
      <c r="AE6" s="1186"/>
      <c r="AF6" s="1177"/>
      <c r="AG6" s="425"/>
      <c r="AH6" s="733"/>
      <c r="AI6" s="424"/>
      <c r="AJ6" s="425"/>
      <c r="AK6" s="426"/>
      <c r="AL6" s="1352">
        <f t="shared" ref="AL6:AL7" si="14">SUM(B6:AI6)</f>
        <v>0</v>
      </c>
      <c r="AM6" s="1353"/>
      <c r="AN6" s="1354"/>
    </row>
    <row r="7" spans="1:42" x14ac:dyDescent="0.25">
      <c r="A7" s="1201" t="s">
        <v>73</v>
      </c>
      <c r="B7" s="1202"/>
      <c r="C7" s="1203">
        <f t="shared" si="1"/>
        <v>0</v>
      </c>
      <c r="D7" s="1194"/>
      <c r="E7" s="1202"/>
      <c r="F7" s="1204"/>
      <c r="G7" s="1205"/>
      <c r="H7" s="1206"/>
      <c r="I7" s="1204"/>
      <c r="J7" s="1195"/>
      <c r="K7" s="1202"/>
      <c r="L7" s="1204"/>
      <c r="M7" s="1194"/>
      <c r="N7" s="1202"/>
      <c r="O7" s="1204"/>
      <c r="P7" s="1194"/>
      <c r="Q7" s="1202"/>
      <c r="R7" s="1204"/>
      <c r="S7" s="1194"/>
      <c r="T7" s="1202"/>
      <c r="U7" s="1204"/>
      <c r="V7" s="1194"/>
      <c r="W7" s="1206"/>
      <c r="X7" s="1204"/>
      <c r="Y7" s="1195"/>
      <c r="Z7" s="1202"/>
      <c r="AA7" s="1204"/>
      <c r="AB7" s="1194"/>
      <c r="AC7" s="1202"/>
      <c r="AD7" s="1204"/>
      <c r="AE7" s="1194"/>
      <c r="AF7" s="1206"/>
      <c r="AG7" s="1204"/>
      <c r="AH7" s="1207"/>
      <c r="AI7" s="1202"/>
      <c r="AJ7" s="1204"/>
      <c r="AK7" s="1205"/>
      <c r="AL7" s="1355">
        <f t="shared" si="14"/>
        <v>0</v>
      </c>
      <c r="AM7" s="1356"/>
      <c r="AN7" s="1357"/>
    </row>
    <row r="8" spans="1:42" x14ac:dyDescent="0.25">
      <c r="A8" s="1210" t="s">
        <v>112</v>
      </c>
      <c r="B8" s="730">
        <f>'Inventory Sales'!B25</f>
        <v>0</v>
      </c>
      <c r="C8" s="1191">
        <f t="shared" si="1"/>
        <v>0</v>
      </c>
      <c r="D8" s="1192">
        <f>'Inventory Sales'!D42-(D16+D24)</f>
        <v>0</v>
      </c>
      <c r="E8" s="730">
        <f>'Inventory Sales'!E25</f>
        <v>0</v>
      </c>
      <c r="F8" s="1191">
        <f t="shared" ref="F8:F9" si="15">IF(E8=0,0,(G8/E8))</f>
        <v>0</v>
      </c>
      <c r="G8" s="1192"/>
      <c r="H8" s="730">
        <f>'Inventory Sales'!H25</f>
        <v>0</v>
      </c>
      <c r="I8" s="1191">
        <f t="shared" ref="I8:I9" si="16">IF(H8=0,0,(J8/H8))</f>
        <v>0</v>
      </c>
      <c r="J8" s="1192">
        <f>'Inventory Sales'!J42-(J16+J24)</f>
        <v>0</v>
      </c>
      <c r="K8" s="730">
        <f>'Inventory Sales'!K25</f>
        <v>0</v>
      </c>
      <c r="L8" s="1191">
        <f t="shared" ref="L8" si="17">IF(K8=0,0,(M8/K8))</f>
        <v>0</v>
      </c>
      <c r="M8" s="1192">
        <f>'Inventory Sales'!M42-(M16+M24)</f>
        <v>0</v>
      </c>
      <c r="N8" s="730">
        <f>'Inventory Sales'!N25</f>
        <v>0</v>
      </c>
      <c r="O8" s="1191">
        <f t="shared" ref="O8" si="18">IF(N8=0,0,(P8/N8))</f>
        <v>0</v>
      </c>
      <c r="P8" s="1192">
        <f>'Inventory Sales'!P42-(P16+P24)</f>
        <v>0</v>
      </c>
      <c r="Q8" s="730">
        <f>'Inventory Sales'!Q25</f>
        <v>0</v>
      </c>
      <c r="R8" s="1191">
        <f t="shared" ref="R8" si="19">IF(Q8=0,0,(S8/Q8))</f>
        <v>0</v>
      </c>
      <c r="S8" s="1192">
        <f>'Inventory Sales'!S42-(S16+S24)</f>
        <v>0</v>
      </c>
      <c r="T8" s="730">
        <f>'Inventory Sales'!T25</f>
        <v>0</v>
      </c>
      <c r="U8" s="1191">
        <f t="shared" ref="U8" si="20">IF(T8=0,0,(V8/T8))</f>
        <v>0</v>
      </c>
      <c r="V8" s="1192">
        <f>'Inventory Sales'!V42-(V16+V24)</f>
        <v>0</v>
      </c>
      <c r="W8" s="1211">
        <f>'Inventory Sales'!W25</f>
        <v>0</v>
      </c>
      <c r="X8" s="1191">
        <f t="shared" ref="X8:X9" si="21">IF(W8=0,0,(Y8/W8))</f>
        <v>0</v>
      </c>
      <c r="Y8" s="1454">
        <f>'Inventory Sales'!Y42-(Y16+Y24)</f>
        <v>0</v>
      </c>
      <c r="Z8" s="730">
        <f>'Inventory Sales'!Z25</f>
        <v>0</v>
      </c>
      <c r="AA8" s="1191">
        <f t="shared" ref="AA8:AA9" si="22">IF(Z8=0,0,(AB8/Z8))</f>
        <v>0</v>
      </c>
      <c r="AB8" s="1192">
        <f>'Inventory Sales'!AB42-(AB16+AB24)</f>
        <v>0</v>
      </c>
      <c r="AC8" s="730">
        <f>'Inventory Sales'!AC25</f>
        <v>0</v>
      </c>
      <c r="AD8" s="1191">
        <f t="shared" ref="AD8:AD9" si="23">IF(AC8=0,0,(AE8/AC8))</f>
        <v>0</v>
      </c>
      <c r="AE8" s="1192">
        <f>'Inventory Sales'!AE42-(AE16+AE24)</f>
        <v>0</v>
      </c>
      <c r="AF8" s="1211">
        <f>'Inventory Sales'!AF25</f>
        <v>0</v>
      </c>
      <c r="AG8" s="1191">
        <f t="shared" ref="AG8:AG9" si="24">IF(AF8=0,0,(AH8/AF8))</f>
        <v>0</v>
      </c>
      <c r="AH8" s="1454">
        <f>'Inventory Sales'!AH42-(AH16+AH24)</f>
        <v>0</v>
      </c>
      <c r="AI8" s="730">
        <f>'Inventory Sales'!AI25</f>
        <v>0</v>
      </c>
      <c r="AJ8" s="1191">
        <f t="shared" ref="AJ8:AJ9" si="25">IF(AI8=0,0,(AK8/AI8))</f>
        <v>0</v>
      </c>
      <c r="AK8" s="1192">
        <f>'Inventory Sales'!AK42-(AK16+AK24)</f>
        <v>0</v>
      </c>
      <c r="AL8" s="1349">
        <f>SUM(B8,E8,H8,K8,N8,Q8,T8,W8,Z8,AC8,AF8,AI8)</f>
        <v>0</v>
      </c>
      <c r="AM8" s="1358">
        <f t="shared" ref="AM8:AM9" si="26">IF(AL8=0,0,(AN8/AL8))</f>
        <v>0</v>
      </c>
      <c r="AN8" s="1351">
        <f>SUM(D8,G8,J8,M8,P8,S8,V8,Y8,AB8,AE8,AH8,AK8)</f>
        <v>0</v>
      </c>
      <c r="AO8" s="1145">
        <f>'Inventory Sales'!AN42-(AO16+AO24)</f>
        <v>-125</v>
      </c>
      <c r="AP8" s="342">
        <f>AN8-AO8</f>
        <v>125</v>
      </c>
    </row>
    <row r="9" spans="1:42" ht="14.4" thickBot="1" x14ac:dyDescent="0.3">
      <c r="A9" s="452" t="s">
        <v>75</v>
      </c>
      <c r="B9" s="1208">
        <f>'Stock Valuation (FIFO)'!E5</f>
        <v>75695</v>
      </c>
      <c r="C9" s="1188">
        <f t="shared" si="1"/>
        <v>135.72070810489464</v>
      </c>
      <c r="D9" s="1209">
        <f>'Stock Valuation (FIFO)'!G5</f>
        <v>10273379</v>
      </c>
      <c r="E9" s="1208">
        <f>'Stock Valuation (FIFO)'!H5</f>
        <v>90040</v>
      </c>
      <c r="F9" s="1188">
        <f t="shared" si="15"/>
        <v>152.60895157707685</v>
      </c>
      <c r="G9" s="1209">
        <f>'Stock Valuation (FIFO)'!J5</f>
        <v>13740910</v>
      </c>
      <c r="H9" s="1208">
        <f>'Stock Valuation (FIFO)'!K5</f>
        <v>0</v>
      </c>
      <c r="I9" s="1188">
        <f t="shared" si="16"/>
        <v>0</v>
      </c>
      <c r="J9" s="1209">
        <f>'Stock Valuation (FIFO)'!M5</f>
        <v>0</v>
      </c>
      <c r="K9" s="1208">
        <f>'Stock Valuation (FIFO)'!N5</f>
        <v>0</v>
      </c>
      <c r="L9" s="1188">
        <f t="shared" ref="L9" si="27">IF(K9=0,0,(M9/K9))</f>
        <v>0</v>
      </c>
      <c r="M9" s="1209">
        <f>'Stock Valuation (FIFO)'!P5</f>
        <v>0</v>
      </c>
      <c r="N9" s="1208">
        <f>'Stock Valuation (FIFO)'!Q5</f>
        <v>0</v>
      </c>
      <c r="O9" s="1188">
        <f t="shared" ref="O9" si="28">IF(N9=0,0,(P9/N9))</f>
        <v>0</v>
      </c>
      <c r="P9" s="1209">
        <f>'Stock Valuation (FIFO)'!S5</f>
        <v>0</v>
      </c>
      <c r="Q9" s="1208">
        <f>'Stock Valuation (FIFO)'!T5</f>
        <v>0</v>
      </c>
      <c r="R9" s="1188">
        <f t="shared" ref="R9" si="29">IF(Q9=0,0,(S9/Q9))</f>
        <v>0</v>
      </c>
      <c r="S9" s="1209">
        <f>'Stock Valuation (FIFO)'!V5</f>
        <v>0</v>
      </c>
      <c r="T9" s="1208">
        <f>'Stock Valuation (FIFO)'!W5</f>
        <v>0</v>
      </c>
      <c r="U9" s="1446">
        <f t="shared" ref="U9" si="30">IF(T9=0,0,(V9/T9))</f>
        <v>0</v>
      </c>
      <c r="V9" s="1449">
        <f>'Stock Valuation (FIFO)'!Y5</f>
        <v>0</v>
      </c>
      <c r="W9" s="1239">
        <f>'Stock Valuation (FIFO)'!Z5</f>
        <v>0</v>
      </c>
      <c r="X9" s="1446">
        <f t="shared" si="21"/>
        <v>0</v>
      </c>
      <c r="Y9" s="1455">
        <f>'Stock Valuation (FIFO)'!AB5</f>
        <v>0</v>
      </c>
      <c r="Z9" s="1462">
        <f>'Stock Valuation (FIFO)'!AC5</f>
        <v>0</v>
      </c>
      <c r="AA9" s="1446">
        <f t="shared" si="22"/>
        <v>0</v>
      </c>
      <c r="AB9" s="1463">
        <f>'Stock Valuation (FIFO)'!AE5</f>
        <v>0</v>
      </c>
      <c r="AC9" s="1462">
        <f>'Stock Valuation (FIFO)'!AF5</f>
        <v>0</v>
      </c>
      <c r="AD9" s="1446">
        <f t="shared" si="23"/>
        <v>0</v>
      </c>
      <c r="AE9" s="1463">
        <f>'Stock Valuation (FIFO)'!AH5</f>
        <v>0</v>
      </c>
      <c r="AF9" s="1476">
        <f>'Stock Valuation (FIFO)'!AI5</f>
        <v>0</v>
      </c>
      <c r="AG9" s="1446">
        <f t="shared" si="24"/>
        <v>0</v>
      </c>
      <c r="AH9" s="1477">
        <f>'Stock Valuation (FIFO)'!AK5</f>
        <v>0</v>
      </c>
      <c r="AI9" s="1700">
        <f>'Stock Valuation (FIFO)'!AL5</f>
        <v>0</v>
      </c>
      <c r="AJ9" s="1446">
        <f t="shared" si="25"/>
        <v>0</v>
      </c>
      <c r="AK9" s="1701">
        <f>'Stock Valuation (FIFO)'!AN5</f>
        <v>0</v>
      </c>
      <c r="AL9" s="1651">
        <f>AI9</f>
        <v>0</v>
      </c>
      <c r="AM9" s="1652">
        <f t="shared" si="26"/>
        <v>0</v>
      </c>
      <c r="AN9" s="1653">
        <f>AK9</f>
        <v>0</v>
      </c>
      <c r="AO9" s="1145">
        <f>'Stock Valuation (FIFO)'!AN5</f>
        <v>0</v>
      </c>
      <c r="AP9" s="342">
        <f>AN9-AO9</f>
        <v>0</v>
      </c>
    </row>
    <row r="10" spans="1:42" ht="14.4" thickBot="1" x14ac:dyDescent="0.35">
      <c r="A10" s="1213" t="s">
        <v>482</v>
      </c>
      <c r="B10" s="1214">
        <f>(B4+B5+B6)-(B8+B9)</f>
        <v>65445</v>
      </c>
      <c r="C10" s="1215">
        <f>IF(B10=0,0,(D10/B10))</f>
        <v>106.07658339063336</v>
      </c>
      <c r="D10" s="1216">
        <f>(D4+D5)-(D8+D9)</f>
        <v>6942182</v>
      </c>
      <c r="E10" s="1214">
        <f>(E4+E5)-(E8+E9)</f>
        <v>61655</v>
      </c>
      <c r="F10" s="1215">
        <f>IF(E10=0,0,(G10/E10))</f>
        <v>126.42356662071202</v>
      </c>
      <c r="G10" s="1216">
        <f>(G4+G5)-(G8+G9)</f>
        <v>7794645</v>
      </c>
      <c r="H10" s="1214">
        <f>(H4+H5)-(H8+H9)</f>
        <v>90040</v>
      </c>
      <c r="I10" s="1215">
        <f>IF(H10=0,0,(J10/H10))</f>
        <v>152.60895157707685</v>
      </c>
      <c r="J10" s="1216">
        <f>(J4+J5)-(J8+J9)</f>
        <v>13740910</v>
      </c>
      <c r="K10" s="1214">
        <f>(K4+K5)-(K8+K9)</f>
        <v>0</v>
      </c>
      <c r="L10" s="1215">
        <f>IF(K10=0,0,(M10/K10))</f>
        <v>0</v>
      </c>
      <c r="M10" s="1216">
        <f>(M4+M5)-(M8+M9)</f>
        <v>0</v>
      </c>
      <c r="N10" s="1214">
        <f>(N4+N5)-(N8+N9)</f>
        <v>0</v>
      </c>
      <c r="O10" s="1215">
        <f>IF(N10=0,0,(P10/N10))</f>
        <v>0</v>
      </c>
      <c r="P10" s="1216">
        <f>(P4+P5)-(P8+P9)</f>
        <v>0</v>
      </c>
      <c r="Q10" s="1214">
        <f>(Q4+Q5)-(Q8+Q9)</f>
        <v>0</v>
      </c>
      <c r="R10" s="1215">
        <f>IF(Q10=0,0,(S10/Q10))</f>
        <v>0</v>
      </c>
      <c r="S10" s="1216">
        <f>(S4+S5)-(S8+S9)</f>
        <v>0</v>
      </c>
      <c r="T10" s="1214">
        <f>(T4+T5)-(T8+T9)</f>
        <v>0</v>
      </c>
      <c r="U10" s="1447">
        <f>IF(T10=0,0,(V10/T10))</f>
        <v>0</v>
      </c>
      <c r="V10" s="1445">
        <f>(V4+V5)-(V8+V9)</f>
        <v>0</v>
      </c>
      <c r="W10" s="1448">
        <f>(W4+W5)-(W8+W9)</f>
        <v>0</v>
      </c>
      <c r="X10" s="1447">
        <f>IF(W10=0,0,(Y10/W10))</f>
        <v>0</v>
      </c>
      <c r="Y10" s="1456">
        <f>(Y4+Y5)-(Y8+Y9)</f>
        <v>0</v>
      </c>
      <c r="Z10" s="1214">
        <f>(Z4+Z5)-(Z8+Z9)</f>
        <v>0</v>
      </c>
      <c r="AA10" s="1447">
        <f>IF(Z10=0,0,(AB10/Z10))</f>
        <v>0</v>
      </c>
      <c r="AB10" s="1445">
        <f>(AB4+AB5)-(AB8+AB9)</f>
        <v>0</v>
      </c>
      <c r="AC10" s="1214">
        <f>(AC4+AC5)-(AC8+AC9)</f>
        <v>0</v>
      </c>
      <c r="AD10" s="1447">
        <f>IF(AC10=0,0,(AE10/AC10))</f>
        <v>0</v>
      </c>
      <c r="AE10" s="1445">
        <f>(AE4+AE5)-(AE8+AE9)</f>
        <v>0</v>
      </c>
      <c r="AF10" s="1214">
        <f>(AF4+AF5)-(AF8+AF9)</f>
        <v>0</v>
      </c>
      <c r="AG10" s="1447">
        <f>IF(AF10=0,0,(AH10/AF10))</f>
        <v>0</v>
      </c>
      <c r="AH10" s="1445">
        <f>(AH4+AH5)-(AH8+AH9)</f>
        <v>0</v>
      </c>
      <c r="AI10" s="1214">
        <f>(AI4+AI5)-(AI8+AI9)</f>
        <v>0</v>
      </c>
      <c r="AJ10" s="1447">
        <f>IF(AI10=0,0,(AK10/AI10))</f>
        <v>0</v>
      </c>
      <c r="AK10" s="1445">
        <f>(AK4+AK5)-(AK8+AK9)</f>
        <v>0</v>
      </c>
      <c r="AL10" s="1359">
        <f>(AL4+AL5)-(AL8+AL9)</f>
        <v>217140</v>
      </c>
      <c r="AM10" s="1360">
        <f>IF(AL10=0,0,(AN10/AL10))</f>
        <v>131.14919867366675</v>
      </c>
      <c r="AN10" s="1361">
        <f>(AN4+AN5)-(AN8+AN9)</f>
        <v>28477737</v>
      </c>
    </row>
    <row r="11" spans="1:42" ht="13.8" thickBot="1" x14ac:dyDescent="0.3">
      <c r="A11" s="1164" t="s">
        <v>76</v>
      </c>
      <c r="B11" s="1164"/>
      <c r="C11" s="1182"/>
      <c r="D11" s="1185"/>
      <c r="E11" s="1164"/>
      <c r="F11" s="1165"/>
      <c r="G11" s="1166"/>
      <c r="H11" s="1165"/>
      <c r="I11" s="1165"/>
      <c r="J11" s="1165"/>
      <c r="K11" s="1164"/>
      <c r="L11" s="1165"/>
      <c r="M11" s="1166"/>
      <c r="N11" s="1164"/>
      <c r="O11" s="1165"/>
      <c r="P11" s="1166"/>
      <c r="Q11" s="1164"/>
      <c r="R11" s="1165"/>
      <c r="S11" s="1166"/>
      <c r="T11" s="1165"/>
      <c r="U11" s="1165"/>
      <c r="V11" s="1165"/>
      <c r="W11" s="1164"/>
      <c r="X11" s="1165"/>
      <c r="Y11" s="1182"/>
      <c r="Z11" s="1164"/>
      <c r="AA11" s="1165"/>
      <c r="AB11" s="1166"/>
      <c r="AC11" s="1164"/>
      <c r="AD11" s="1165"/>
      <c r="AE11" s="1166"/>
      <c r="AF11" s="1165"/>
      <c r="AG11" s="1165"/>
      <c r="AH11" s="1165"/>
      <c r="AI11" s="1164"/>
      <c r="AJ11" s="1165"/>
      <c r="AK11" s="1166"/>
      <c r="AL11" s="1362"/>
      <c r="AM11" s="1363"/>
      <c r="AN11" s="1364"/>
    </row>
    <row r="12" spans="1:42" x14ac:dyDescent="0.25">
      <c r="A12" s="1169" t="s">
        <v>71</v>
      </c>
      <c r="B12" s="407">
        <f>'Stock Valuation (FIFO)'!B6</f>
        <v>2330</v>
      </c>
      <c r="C12" s="1187">
        <f>IF(B12=0,0,(D12/B12))</f>
        <v>226.92532188841201</v>
      </c>
      <c r="D12" s="1183">
        <f>'Stock Valuation (FIFO)'!D6</f>
        <v>528736</v>
      </c>
      <c r="E12" s="407">
        <f>B17</f>
        <v>2392</v>
      </c>
      <c r="F12" s="1187">
        <f>IF(E12=0,0,(G12/E12))</f>
        <v>245.33152173913044</v>
      </c>
      <c r="G12" s="1183">
        <f>D17</f>
        <v>586833</v>
      </c>
      <c r="H12" s="1175">
        <f>E17</f>
        <v>2239</v>
      </c>
      <c r="I12" s="1187">
        <f>IF(H12=0,0,(J12/H12))</f>
        <v>258.7083519428316</v>
      </c>
      <c r="J12" s="1224">
        <f>G17</f>
        <v>579248</v>
      </c>
      <c r="K12" s="407">
        <f>H17</f>
        <v>0</v>
      </c>
      <c r="L12" s="1187">
        <f>IF(K12=0,0,(M12/K12))</f>
        <v>0</v>
      </c>
      <c r="M12" s="1183">
        <f>J17</f>
        <v>0</v>
      </c>
      <c r="N12" s="407">
        <f>K17</f>
        <v>0</v>
      </c>
      <c r="O12" s="1187">
        <f>IF(N12=0,0,(P12/N12))</f>
        <v>0</v>
      </c>
      <c r="P12" s="1183">
        <f>M17</f>
        <v>0</v>
      </c>
      <c r="Q12" s="407">
        <f>N17</f>
        <v>0</v>
      </c>
      <c r="R12" s="1187">
        <f>IF(Q12=0,0,(S12/Q12))</f>
        <v>0</v>
      </c>
      <c r="S12" s="1183">
        <f>P17</f>
        <v>0</v>
      </c>
      <c r="T12" s="407">
        <f>Q17</f>
        <v>0</v>
      </c>
      <c r="U12" s="1187">
        <f>IF(T12=0,0,(V12/T12))</f>
        <v>0</v>
      </c>
      <c r="V12" s="1183">
        <f>S17</f>
        <v>0</v>
      </c>
      <c r="W12" s="1175">
        <f>T17</f>
        <v>0</v>
      </c>
      <c r="X12" s="1187">
        <f>IF(W12=0,0,(Y12/W12))</f>
        <v>0</v>
      </c>
      <c r="Y12" s="1224">
        <f>V17</f>
        <v>0</v>
      </c>
      <c r="Z12" s="1180">
        <f>W17</f>
        <v>0</v>
      </c>
      <c r="AA12" s="1187">
        <f>IF(Z12=0,0,(AB12/Z12))</f>
        <v>0</v>
      </c>
      <c r="AB12" s="1439">
        <f>Y17</f>
        <v>0</v>
      </c>
      <c r="AC12" s="1180">
        <f>Z17</f>
        <v>0</v>
      </c>
      <c r="AD12" s="1187">
        <f>IF(AC12=0,0,(AE12/AC12))</f>
        <v>0</v>
      </c>
      <c r="AE12" s="1439">
        <f>AB17</f>
        <v>0</v>
      </c>
      <c r="AF12" s="1180">
        <f>AC17</f>
        <v>0</v>
      </c>
      <c r="AG12" s="1187">
        <f>IF(AF12=0,0,(AH12/AF12))</f>
        <v>0</v>
      </c>
      <c r="AH12" s="1439">
        <f>AE17</f>
        <v>0</v>
      </c>
      <c r="AI12" s="1180">
        <f>AF17</f>
        <v>0</v>
      </c>
      <c r="AJ12" s="1187">
        <f>IF(AI12=0,0,(AK12/AI12))</f>
        <v>0</v>
      </c>
      <c r="AK12" s="1439">
        <f>AH17</f>
        <v>0</v>
      </c>
      <c r="AL12" s="1346">
        <f>B12</f>
        <v>2330</v>
      </c>
      <c r="AM12" s="1347">
        <f>IF(AL12=0,0,(AN12/AL12))</f>
        <v>226.92532188841201</v>
      </c>
      <c r="AN12" s="1348">
        <f>D12</f>
        <v>528736</v>
      </c>
    </row>
    <row r="13" spans="1:42" x14ac:dyDescent="0.25">
      <c r="A13" s="1171" t="s">
        <v>72</v>
      </c>
      <c r="B13" s="411">
        <f>ROUND((Purchase!$E5),0)</f>
        <v>823</v>
      </c>
      <c r="C13" s="1189">
        <f t="shared" ref="C13:C17" si="31">IF(B13=0,0,(D13/B13))</f>
        <v>270.55164034021874</v>
      </c>
      <c r="D13" s="1184">
        <f>ROUND((Purchase!$F5),0)</f>
        <v>222664</v>
      </c>
      <c r="E13" s="411">
        <f>ROUND((Purchase!$E6),)</f>
        <v>647</v>
      </c>
      <c r="F13" s="1189">
        <f t="shared" ref="F13" si="32">IF(E13=0,0,(G13/E13))</f>
        <v>263.66460587326122</v>
      </c>
      <c r="G13" s="1184">
        <f>ROUND((Purchase!$F6),0)</f>
        <v>170591</v>
      </c>
      <c r="H13" s="411">
        <f>ROUND((Purchase!$E7),0)</f>
        <v>0</v>
      </c>
      <c r="I13" s="1189">
        <f t="shared" ref="I13" si="33">IF(H13=0,0,(J13/H13))</f>
        <v>0</v>
      </c>
      <c r="J13" s="1184">
        <f>ROUND((Purchase!$F7),0)</f>
        <v>0</v>
      </c>
      <c r="K13" s="411">
        <f>ROUND((Purchase!$E8),0)</f>
        <v>0</v>
      </c>
      <c r="L13" s="1189">
        <f t="shared" ref="L13" si="34">IF(K13=0,0,(M13/K13))</f>
        <v>0</v>
      </c>
      <c r="M13" s="1184">
        <f>ROUND((Purchase!$F8),0)</f>
        <v>0</v>
      </c>
      <c r="N13" s="411">
        <f>ROUND((Purchase!$E9),0)</f>
        <v>0</v>
      </c>
      <c r="O13" s="1189">
        <f t="shared" ref="O13" si="35">IF(N13=0,0,(P13/N13))</f>
        <v>0</v>
      </c>
      <c r="P13" s="1184">
        <f>ROUND((Purchase!$F9),0)</f>
        <v>0</v>
      </c>
      <c r="Q13" s="411">
        <f>ROUND((Purchase!$E10),0)</f>
        <v>0</v>
      </c>
      <c r="R13" s="1189">
        <f t="shared" ref="R13" si="36">IF(Q13=0,0,(S13/Q13))</f>
        <v>0</v>
      </c>
      <c r="S13" s="1184">
        <f>ROUND((Purchase!$F10),0)</f>
        <v>0</v>
      </c>
      <c r="T13" s="411">
        <f>ROUND((Purchase!$E11),0)</f>
        <v>0</v>
      </c>
      <c r="U13" s="1189">
        <f t="shared" ref="U13" si="37">IF(T13=0,0,(V13/T13))</f>
        <v>0</v>
      </c>
      <c r="V13" s="1184">
        <f>ROUND((Purchase!$F11),0)</f>
        <v>0</v>
      </c>
      <c r="W13" s="1176">
        <f>ROUND((Purchase!$E12),0)</f>
        <v>0</v>
      </c>
      <c r="X13" s="1189">
        <f t="shared" ref="X13:X17" si="38">IF(W13=0,0,(Y13/W13))</f>
        <v>0</v>
      </c>
      <c r="Y13" s="1225">
        <f>ROUND((Purchase!$F12),)</f>
        <v>0</v>
      </c>
      <c r="Z13" s="411">
        <f>ROUND((Purchase!E13),0)</f>
        <v>0</v>
      </c>
      <c r="AA13" s="1189">
        <f t="shared" ref="AA13:AA17" si="39">IF(Z13=0,0,(AB13/Z13))</f>
        <v>0</v>
      </c>
      <c r="AB13" s="1184">
        <f>ROUND((Purchase!F13),0)</f>
        <v>0</v>
      </c>
      <c r="AC13" s="411">
        <f>ROUND((Purchase!E14),0)</f>
        <v>0</v>
      </c>
      <c r="AD13" s="1189">
        <f t="shared" ref="AD13:AD17" si="40">IF(AC13=0,0,(AE13/AC13))</f>
        <v>0</v>
      </c>
      <c r="AE13" s="1184">
        <f>ROUND((Purchase!F14),0)</f>
        <v>0</v>
      </c>
      <c r="AF13" s="411">
        <f>ROUND((Purchase!E15),0)</f>
        <v>0</v>
      </c>
      <c r="AG13" s="1189">
        <f t="shared" ref="AG13:AG17" si="41">IF(AF13=0,0,(AH13/AF13))</f>
        <v>0</v>
      </c>
      <c r="AH13" s="1184">
        <f>ROUND((Purchase!F15),0)</f>
        <v>0</v>
      </c>
      <c r="AI13" s="411">
        <f>Purchase!E16</f>
        <v>0</v>
      </c>
      <c r="AJ13" s="1189">
        <f t="shared" ref="AJ13:AJ17" si="42">IF(AI13=0,0,(AK13/AI13))</f>
        <v>0</v>
      </c>
      <c r="AK13" s="1184">
        <f>ROUND((Purchase!F16),0)</f>
        <v>0</v>
      </c>
      <c r="AL13" s="1349">
        <f>SUM(B13,E13,H13,K13,N13,Q13,T13,W13,Z13,AC13,AF13,AI13)</f>
        <v>1470</v>
      </c>
      <c r="AM13" s="1350">
        <f t="shared" ref="AM13" si="43">IF(AL13=0,0,(AN13/AL13))</f>
        <v>267.5204081632653</v>
      </c>
      <c r="AN13" s="1351">
        <f>SUM(D13,G13,J13,M13,P13,S13,V13,Y13,AB13,AE13,AH13,AK13)</f>
        <v>393255</v>
      </c>
      <c r="AO13" s="1145">
        <f>ROUND((Purchase!F17),0)</f>
        <v>393255</v>
      </c>
      <c r="AP13" s="342">
        <f>AN13-AO13</f>
        <v>0</v>
      </c>
    </row>
    <row r="14" spans="1:42" ht="13.8" thickBot="1" x14ac:dyDescent="0.3">
      <c r="A14" s="1172" t="s">
        <v>103</v>
      </c>
      <c r="B14" s="424"/>
      <c r="C14" s="1181">
        <f t="shared" si="31"/>
        <v>0</v>
      </c>
      <c r="D14" s="1186"/>
      <c r="E14" s="424"/>
      <c r="F14" s="1181">
        <f t="shared" ref="F14:F17" si="44">IF(E14=0,0,(G14/E14))</f>
        <v>0</v>
      </c>
      <c r="G14" s="1186"/>
      <c r="H14" s="1177"/>
      <c r="I14" s="1181">
        <f t="shared" ref="I14:I17" si="45">IF(H14=0,0,(J14/H14))</f>
        <v>0</v>
      </c>
      <c r="J14" s="1226"/>
      <c r="K14" s="424"/>
      <c r="L14" s="1181">
        <f t="shared" ref="L14:L17" si="46">IF(K14=0,0,(M14/K14))</f>
        <v>0</v>
      </c>
      <c r="M14" s="1186"/>
      <c r="N14" s="424"/>
      <c r="O14" s="1181">
        <f t="shared" ref="O14:O17" si="47">IF(N14=0,0,(P14/N14))</f>
        <v>0</v>
      </c>
      <c r="P14" s="1186"/>
      <c r="Q14" s="424"/>
      <c r="R14" s="1181">
        <f t="shared" ref="R14:R17" si="48">IF(Q14=0,0,(S14/Q14))</f>
        <v>0</v>
      </c>
      <c r="S14" s="1186"/>
      <c r="T14" s="424"/>
      <c r="U14" s="1181">
        <f t="shared" ref="U14:U17" si="49">IF(T14=0,0,(V14/T14))</f>
        <v>0</v>
      </c>
      <c r="V14" s="426"/>
      <c r="W14" s="1177"/>
      <c r="X14" s="1181">
        <f t="shared" si="38"/>
        <v>0</v>
      </c>
      <c r="Y14" s="733"/>
      <c r="Z14" s="424"/>
      <c r="AA14" s="1181">
        <f t="shared" si="39"/>
        <v>0</v>
      </c>
      <c r="AB14" s="1186"/>
      <c r="AC14" s="424"/>
      <c r="AD14" s="1181">
        <f t="shared" si="40"/>
        <v>0</v>
      </c>
      <c r="AE14" s="1186"/>
      <c r="AF14" s="424"/>
      <c r="AG14" s="1181">
        <f t="shared" si="41"/>
        <v>0</v>
      </c>
      <c r="AH14" s="1186"/>
      <c r="AI14" s="424"/>
      <c r="AJ14" s="1181">
        <f t="shared" si="42"/>
        <v>0</v>
      </c>
      <c r="AK14" s="1186"/>
      <c r="AL14" s="1352">
        <f t="shared" ref="AL14:AL15" si="50">SUM(B14:AI14)</f>
        <v>0</v>
      </c>
      <c r="AM14" s="1353"/>
      <c r="AN14" s="1354"/>
    </row>
    <row r="15" spans="1:42" x14ac:dyDescent="0.25">
      <c r="A15" s="1201" t="s">
        <v>73</v>
      </c>
      <c r="B15" s="1202"/>
      <c r="C15" s="1203">
        <f t="shared" si="31"/>
        <v>0</v>
      </c>
      <c r="D15" s="1194"/>
      <c r="E15" s="1202"/>
      <c r="F15" s="1203">
        <f t="shared" si="44"/>
        <v>0</v>
      </c>
      <c r="G15" s="1194"/>
      <c r="H15" s="1206"/>
      <c r="I15" s="1203">
        <f t="shared" si="45"/>
        <v>0</v>
      </c>
      <c r="J15" s="1195"/>
      <c r="K15" s="1202"/>
      <c r="L15" s="1203">
        <f t="shared" si="46"/>
        <v>0</v>
      </c>
      <c r="M15" s="1194"/>
      <c r="N15" s="1202"/>
      <c r="O15" s="1203">
        <f t="shared" si="47"/>
        <v>0</v>
      </c>
      <c r="P15" s="1194"/>
      <c r="Q15" s="1202"/>
      <c r="R15" s="1203">
        <f t="shared" si="48"/>
        <v>0</v>
      </c>
      <c r="S15" s="1194"/>
      <c r="T15" s="1202"/>
      <c r="U15" s="1203">
        <f t="shared" si="49"/>
        <v>0</v>
      </c>
      <c r="V15" s="1205"/>
      <c r="W15" s="1206"/>
      <c r="X15" s="1203">
        <f t="shared" si="38"/>
        <v>0</v>
      </c>
      <c r="Y15" s="1207"/>
      <c r="Z15" s="1202"/>
      <c r="AA15" s="1203">
        <f t="shared" si="39"/>
        <v>0</v>
      </c>
      <c r="AB15" s="1194"/>
      <c r="AC15" s="1202"/>
      <c r="AD15" s="1203">
        <f t="shared" si="40"/>
        <v>0</v>
      </c>
      <c r="AE15" s="1194"/>
      <c r="AF15" s="1202"/>
      <c r="AG15" s="1203">
        <f t="shared" si="41"/>
        <v>0</v>
      </c>
      <c r="AH15" s="1194"/>
      <c r="AI15" s="1202"/>
      <c r="AJ15" s="1203">
        <f t="shared" si="42"/>
        <v>0</v>
      </c>
      <c r="AK15" s="1194"/>
      <c r="AL15" s="1355">
        <f t="shared" si="50"/>
        <v>0</v>
      </c>
      <c r="AM15" s="1356"/>
      <c r="AN15" s="1357"/>
    </row>
    <row r="16" spans="1:42" x14ac:dyDescent="0.25">
      <c r="A16" s="1210" t="s">
        <v>112</v>
      </c>
      <c r="B16" s="730">
        <f>'Inventory Sales'!B24</f>
        <v>0</v>
      </c>
      <c r="C16" s="1191">
        <f t="shared" si="31"/>
        <v>0</v>
      </c>
      <c r="D16" s="1192">
        <f>'Inventory Sales'!D24</f>
        <v>0</v>
      </c>
      <c r="E16" s="730">
        <f>'Inventory Sales'!E24</f>
        <v>25</v>
      </c>
      <c r="F16" s="1191">
        <f t="shared" si="44"/>
        <v>380</v>
      </c>
      <c r="G16" s="1192">
        <f>'Inventory Sales'!G24</f>
        <v>9500</v>
      </c>
      <c r="H16" s="730">
        <f>'Inventory Sales'!H24</f>
        <v>0</v>
      </c>
      <c r="I16" s="1191">
        <f t="shared" si="45"/>
        <v>0</v>
      </c>
      <c r="J16" s="1192">
        <f>'Inventory Sales'!J24</f>
        <v>0</v>
      </c>
      <c r="K16" s="730">
        <f>'Inventory Sales'!K24</f>
        <v>0</v>
      </c>
      <c r="L16" s="1191">
        <f t="shared" si="46"/>
        <v>0</v>
      </c>
      <c r="M16" s="1192">
        <f>'Inventory Sales'!M24</f>
        <v>0</v>
      </c>
      <c r="N16" s="730">
        <f>'Inventory Sales'!N24</f>
        <v>0</v>
      </c>
      <c r="O16" s="1191">
        <f t="shared" si="47"/>
        <v>0</v>
      </c>
      <c r="P16" s="1192">
        <f>'Inventory Sales'!P24</f>
        <v>0</v>
      </c>
      <c r="Q16" s="730">
        <f>'Inventory Sales'!Q24</f>
        <v>0</v>
      </c>
      <c r="R16" s="1191">
        <f t="shared" si="48"/>
        <v>0</v>
      </c>
      <c r="S16" s="1192">
        <f>'Inventory Sales'!S24</f>
        <v>0</v>
      </c>
      <c r="T16" s="730">
        <f>'Inventory Sales'!T24</f>
        <v>0</v>
      </c>
      <c r="U16" s="1191">
        <f t="shared" si="49"/>
        <v>0</v>
      </c>
      <c r="V16" s="1192">
        <f>'Inventory Sales'!V24</f>
        <v>0</v>
      </c>
      <c r="W16" s="1211">
        <f>'Inventory Sales'!W24</f>
        <v>0</v>
      </c>
      <c r="X16" s="1191">
        <f t="shared" si="38"/>
        <v>0</v>
      </c>
      <c r="Y16" s="1454">
        <f>'Inventory Sales'!Y24</f>
        <v>0</v>
      </c>
      <c r="Z16" s="730">
        <f>'Inventory Sales'!Z24</f>
        <v>0</v>
      </c>
      <c r="AA16" s="1191">
        <f t="shared" si="39"/>
        <v>0</v>
      </c>
      <c r="AB16" s="1192">
        <f>'Inventory Sales'!AB24</f>
        <v>0</v>
      </c>
      <c r="AC16" s="730">
        <f>'Inventory Sales'!AC24</f>
        <v>0</v>
      </c>
      <c r="AD16" s="1191">
        <f t="shared" si="40"/>
        <v>0</v>
      </c>
      <c r="AE16" s="1192">
        <f>'Inventory Sales'!AE24</f>
        <v>0</v>
      </c>
      <c r="AF16" s="730">
        <f>'Inventory Sales'!AF24</f>
        <v>0</v>
      </c>
      <c r="AG16" s="1191">
        <f t="shared" si="41"/>
        <v>0</v>
      </c>
      <c r="AH16" s="1192">
        <f>'Inventory Sales'!AH24</f>
        <v>0</v>
      </c>
      <c r="AI16" s="730">
        <f>'Inventory Sales'!AI24</f>
        <v>0</v>
      </c>
      <c r="AJ16" s="1191">
        <f t="shared" si="42"/>
        <v>0</v>
      </c>
      <c r="AK16" s="1192">
        <f>'Inventory Sales'!AK24</f>
        <v>0</v>
      </c>
      <c r="AL16" s="1349">
        <f>SUM(B16,E16,H16,K16,N16,Q16,T16,W16,Z16,AC16,AF16,AI16)</f>
        <v>25</v>
      </c>
      <c r="AM16" s="1358">
        <f t="shared" ref="AM16:AM17" si="51">IF(AL16=0,0,(AN16/AL16))</f>
        <v>380</v>
      </c>
      <c r="AN16" s="1351">
        <f>SUM(D16,G16,J16,M16,P16,S16,V16,Y16,AB16,AE16,AH16,AK16)</f>
        <v>9500</v>
      </c>
      <c r="AO16" s="1145">
        <f>'Inventory Sales'!AN24</f>
        <v>9500</v>
      </c>
    </row>
    <row r="17" spans="1:42" ht="14.4" thickBot="1" x14ac:dyDescent="0.3">
      <c r="A17" s="452" t="s">
        <v>75</v>
      </c>
      <c r="B17" s="1208">
        <f>'Stock Valuation (FIFO)'!E6</f>
        <v>2392</v>
      </c>
      <c r="C17" s="1188">
        <f t="shared" si="31"/>
        <v>245.33152173913044</v>
      </c>
      <c r="D17" s="1209">
        <f>'Stock Valuation (FIFO)'!G6</f>
        <v>586833</v>
      </c>
      <c r="E17" s="1208">
        <f>'Stock Valuation (FIFO)'!H6</f>
        <v>2239</v>
      </c>
      <c r="F17" s="1188">
        <f t="shared" si="44"/>
        <v>258.7083519428316</v>
      </c>
      <c r="G17" s="1209">
        <f>'Stock Valuation (FIFO)'!J6</f>
        <v>579248</v>
      </c>
      <c r="H17" s="1208">
        <f>'Stock Valuation (FIFO)'!K6</f>
        <v>0</v>
      </c>
      <c r="I17" s="1188">
        <f t="shared" si="45"/>
        <v>0</v>
      </c>
      <c r="J17" s="1209">
        <f>'Stock Valuation (FIFO)'!M6</f>
        <v>0</v>
      </c>
      <c r="K17" s="1208">
        <f>'Stock Valuation (FIFO)'!N6</f>
        <v>0</v>
      </c>
      <c r="L17" s="1188">
        <f t="shared" si="46"/>
        <v>0</v>
      </c>
      <c r="M17" s="1209">
        <f>'Stock Valuation (FIFO)'!P6</f>
        <v>0</v>
      </c>
      <c r="N17" s="1208">
        <f>'Stock Valuation (FIFO)'!Q6</f>
        <v>0</v>
      </c>
      <c r="O17" s="1188">
        <f t="shared" si="47"/>
        <v>0</v>
      </c>
      <c r="P17" s="1209">
        <f>'Stock Valuation (FIFO)'!S6</f>
        <v>0</v>
      </c>
      <c r="Q17" s="1208">
        <f>'Stock Valuation (FIFO)'!T6</f>
        <v>0</v>
      </c>
      <c r="R17" s="1188">
        <f t="shared" si="48"/>
        <v>0</v>
      </c>
      <c r="S17" s="1209">
        <f>'Stock Valuation (FIFO)'!V6</f>
        <v>0</v>
      </c>
      <c r="T17" s="1208">
        <f>'Stock Valuation (FIFO)'!W6</f>
        <v>0</v>
      </c>
      <c r="U17" s="1188">
        <f t="shared" si="49"/>
        <v>0</v>
      </c>
      <c r="V17" s="1209">
        <f>'Stock Valuation (FIFO)'!Y6</f>
        <v>0</v>
      </c>
      <c r="W17" s="1450">
        <f>'Stock Valuation (FIFO)'!Z6</f>
        <v>0</v>
      </c>
      <c r="X17" s="1188">
        <f t="shared" si="38"/>
        <v>0</v>
      </c>
      <c r="Y17" s="1455">
        <f>'Stock Valuation (FIFO)'!AB6</f>
        <v>0</v>
      </c>
      <c r="Z17" s="1462">
        <f>'Stock Valuation (FIFO)'!AC6</f>
        <v>0</v>
      </c>
      <c r="AA17" s="1188">
        <f t="shared" si="39"/>
        <v>0</v>
      </c>
      <c r="AB17" s="1463">
        <f>'Stock Valuation (FIFO)'!AE6</f>
        <v>0</v>
      </c>
      <c r="AC17" s="1462">
        <f>'Stock Valuation (FIFO)'!AF6</f>
        <v>0</v>
      </c>
      <c r="AD17" s="1188">
        <f t="shared" si="40"/>
        <v>0</v>
      </c>
      <c r="AE17" s="1463">
        <f>'Stock Valuation (FIFO)'!AH6</f>
        <v>0</v>
      </c>
      <c r="AF17" s="1462">
        <f>'Stock Valuation (FIFO)'!AI6</f>
        <v>0</v>
      </c>
      <c r="AG17" s="1188">
        <f t="shared" si="41"/>
        <v>0</v>
      </c>
      <c r="AH17" s="1463">
        <f>'Stock Valuation (FIFO)'!AK6</f>
        <v>0</v>
      </c>
      <c r="AI17" s="1462">
        <f>'Stock Valuation (FIFO)'!AL6</f>
        <v>0</v>
      </c>
      <c r="AJ17" s="1188">
        <f t="shared" si="42"/>
        <v>0</v>
      </c>
      <c r="AK17" s="1463">
        <f>'Stock Valuation (FIFO)'!AN6</f>
        <v>0</v>
      </c>
      <c r="AL17" s="1651">
        <f>AI17</f>
        <v>0</v>
      </c>
      <c r="AM17" s="1652">
        <f t="shared" si="51"/>
        <v>0</v>
      </c>
      <c r="AN17" s="1653">
        <f>AK17</f>
        <v>0</v>
      </c>
      <c r="AO17" s="1145">
        <f>'Stock Valuation (FIFO)'!AN6</f>
        <v>0</v>
      </c>
      <c r="AP17" s="342">
        <f>AN17-AO17</f>
        <v>0</v>
      </c>
    </row>
    <row r="18" spans="1:42" ht="14.4" thickBot="1" x14ac:dyDescent="0.35">
      <c r="A18" s="1213" t="s">
        <v>483</v>
      </c>
      <c r="B18" s="1214">
        <f>(B12+B13)-(B16+B17)</f>
        <v>761</v>
      </c>
      <c r="C18" s="1215">
        <f>IF(B18=0,0,(D18/B18))</f>
        <v>216.25098554533508</v>
      </c>
      <c r="D18" s="1216">
        <f>(D12+D13)-(D16+D17)</f>
        <v>164567</v>
      </c>
      <c r="E18" s="1214">
        <f>(E12+E13)-(E16+E17)</f>
        <v>775</v>
      </c>
      <c r="F18" s="1215">
        <f>IF(E18=0,0,(G18/E18))</f>
        <v>217.64645161290323</v>
      </c>
      <c r="G18" s="1216">
        <f>(G12+G13)-(G16+G17)</f>
        <v>168676</v>
      </c>
      <c r="H18" s="1214">
        <f>(H12+H13)-(H16+H17)</f>
        <v>2239</v>
      </c>
      <c r="I18" s="1215">
        <f>IF(H18=0,0,(J18/H18))</f>
        <v>258.7083519428316</v>
      </c>
      <c r="J18" s="1216">
        <f>(J12+J13)-(J16+J17)</f>
        <v>579248</v>
      </c>
      <c r="K18" s="1214">
        <f>(K12+K13)-(K16+K17)</f>
        <v>0</v>
      </c>
      <c r="L18" s="1215">
        <f>IF(K18=0,0,(M18/K18))</f>
        <v>0</v>
      </c>
      <c r="M18" s="1216">
        <f>(M12+M13)-(M16+M17)</f>
        <v>0</v>
      </c>
      <c r="N18" s="1214">
        <f>(N12+N13)-(N16+N17)</f>
        <v>0</v>
      </c>
      <c r="O18" s="1215">
        <f>IF(N18=0,0,(P18/N18))</f>
        <v>0</v>
      </c>
      <c r="P18" s="1216">
        <f>(P12+P13)-(P16+P17)</f>
        <v>0</v>
      </c>
      <c r="Q18" s="1214">
        <f>(Q12+Q13)-(Q16+Q17)</f>
        <v>0</v>
      </c>
      <c r="R18" s="1215">
        <f>IF(Q18=0,0,(S18/Q18))</f>
        <v>0</v>
      </c>
      <c r="S18" s="1216">
        <f>(S12+S13)-(S16+S17)</f>
        <v>0</v>
      </c>
      <c r="T18" s="1214">
        <f>(T12+T13)-(T16+T17)</f>
        <v>0</v>
      </c>
      <c r="U18" s="1215">
        <f>IF(T18=0,0,(V18/T18))</f>
        <v>0</v>
      </c>
      <c r="V18" s="1216">
        <f>(V12+V13)-(V16+V17)</f>
        <v>0</v>
      </c>
      <c r="W18" s="1448">
        <f>(W12+W13)-(W16+W17)</f>
        <v>0</v>
      </c>
      <c r="X18" s="1215">
        <f>IF(W18=0,0,(Y18/W18))</f>
        <v>0</v>
      </c>
      <c r="Y18" s="1457">
        <f>(Y12+Y13)-(Y16+Y17)</f>
        <v>0</v>
      </c>
      <c r="Z18" s="1214">
        <f>(Z12+Z13)-(Z16+Z17)</f>
        <v>0</v>
      </c>
      <c r="AA18" s="1215">
        <f>IF(Z18=0,0,(AB18/Z18))</f>
        <v>0</v>
      </c>
      <c r="AB18" s="1216">
        <f>(AB12+AB13)-(AB16+AB17)</f>
        <v>0</v>
      </c>
      <c r="AC18" s="1214">
        <f>(AC12+AC13)-(AC16+AC17)</f>
        <v>0</v>
      </c>
      <c r="AD18" s="1215">
        <f>IF(AC18=0,0,(AE18/AC18))</f>
        <v>0</v>
      </c>
      <c r="AE18" s="1216">
        <f>(AE12+AE13)-(AE16+AE17)</f>
        <v>0</v>
      </c>
      <c r="AF18" s="1448">
        <f>(AF12+AF13)-(AF16+AF17)</f>
        <v>0</v>
      </c>
      <c r="AG18" s="1215">
        <f>IF(AF18=0,0,(AH18/AF18))</f>
        <v>0</v>
      </c>
      <c r="AH18" s="1457">
        <f>(AH12+AH13)-(AH16+AH17)</f>
        <v>0</v>
      </c>
      <c r="AI18" s="1448">
        <f>(AI12+AI13)-(AI16+AI17)</f>
        <v>0</v>
      </c>
      <c r="AJ18" s="1215">
        <f>IF(AI18=0,0,(AK18/AI18))</f>
        <v>0</v>
      </c>
      <c r="AK18" s="1457">
        <f>(AK12+AK13)-(AK16+AK17)</f>
        <v>0</v>
      </c>
      <c r="AL18" s="1359">
        <f>(AL12+AL13)-(AL16+AL17)</f>
        <v>3775</v>
      </c>
      <c r="AM18" s="1360">
        <f>IF(AL18=0,0,(AN18/AL18))</f>
        <v>241.71947019867551</v>
      </c>
      <c r="AN18" s="1361">
        <f>(AN12+AN13)-(AN16+AN17)</f>
        <v>912491</v>
      </c>
    </row>
    <row r="19" spans="1:42" ht="13.8" thickBot="1" x14ac:dyDescent="0.3">
      <c r="A19" s="1164" t="s">
        <v>22</v>
      </c>
      <c r="B19" s="1164"/>
      <c r="C19" s="1182"/>
      <c r="D19" s="1185"/>
      <c r="E19" s="1164"/>
      <c r="F19" s="1165"/>
      <c r="G19" s="1166"/>
      <c r="H19" s="1165"/>
      <c r="I19" s="1165"/>
      <c r="J19" s="1165"/>
      <c r="K19" s="1164"/>
      <c r="L19" s="1165"/>
      <c r="M19" s="1166"/>
      <c r="N19" s="1164"/>
      <c r="O19" s="1165"/>
      <c r="P19" s="1166"/>
      <c r="Q19" s="1164"/>
      <c r="R19" s="1165"/>
      <c r="S19" s="1166"/>
      <c r="T19" s="1165"/>
      <c r="U19" s="1165"/>
      <c r="V19" s="1165"/>
      <c r="W19" s="1165"/>
      <c r="X19" s="1165"/>
      <c r="Y19" s="1165"/>
      <c r="Z19" s="1164"/>
      <c r="AA19" s="1165"/>
      <c r="AB19" s="1166"/>
      <c r="AC19" s="1164"/>
      <c r="AD19" s="1165"/>
      <c r="AE19" s="1166"/>
      <c r="AF19" s="1165"/>
      <c r="AG19" s="1165"/>
      <c r="AH19" s="1165"/>
      <c r="AI19" s="1164"/>
      <c r="AJ19" s="1165"/>
      <c r="AK19" s="1166"/>
      <c r="AL19" s="1362"/>
      <c r="AM19" s="1363"/>
      <c r="AN19" s="1364"/>
    </row>
    <row r="20" spans="1:42" x14ac:dyDescent="0.25">
      <c r="A20" s="1169" t="s">
        <v>71</v>
      </c>
      <c r="B20" s="407">
        <f>'Stock Valuation (FIFO)'!B7</f>
        <v>19</v>
      </c>
      <c r="C20" s="1187">
        <f>IF(B20=0,0,(D20/B20))</f>
        <v>1597.3684210526317</v>
      </c>
      <c r="D20" s="1183">
        <f>'Stock Valuation (FIFO)'!D7</f>
        <v>30350</v>
      </c>
      <c r="E20" s="407">
        <f>B25</f>
        <v>21</v>
      </c>
      <c r="F20" s="1187">
        <f>IF(E20=0,0,(G20/E20))</f>
        <v>1514.6190476190477</v>
      </c>
      <c r="G20" s="1183">
        <f>D25</f>
        <v>31807</v>
      </c>
      <c r="H20" s="1175">
        <f>E25</f>
        <v>20</v>
      </c>
      <c r="I20" s="1187">
        <f>IF(H20=0,0,(J20/H20))</f>
        <v>1568.5</v>
      </c>
      <c r="J20" s="1227">
        <f>G25</f>
        <v>31370</v>
      </c>
      <c r="K20" s="407">
        <f>H25</f>
        <v>0</v>
      </c>
      <c r="L20" s="1187">
        <f>IF(K20=0,0,(M20/K20))</f>
        <v>0</v>
      </c>
      <c r="M20" s="1231">
        <f>J25</f>
        <v>0</v>
      </c>
      <c r="N20" s="407">
        <f>K25</f>
        <v>0</v>
      </c>
      <c r="O20" s="1187">
        <f>IF(N20=0,0,(P20/N20))</f>
        <v>0</v>
      </c>
      <c r="P20" s="1231">
        <f>M25</f>
        <v>0</v>
      </c>
      <c r="Q20" s="407">
        <f>N25</f>
        <v>0</v>
      </c>
      <c r="R20" s="1187">
        <f>IF(Q20=0,0,(S20/Q20))</f>
        <v>0</v>
      </c>
      <c r="S20" s="1231">
        <f>P25</f>
        <v>0</v>
      </c>
      <c r="T20" s="407">
        <f>Q25</f>
        <v>0</v>
      </c>
      <c r="U20" s="1187">
        <f>IF(T20=0,0,(V20/T20))</f>
        <v>0</v>
      </c>
      <c r="V20" s="1170">
        <f>S25</f>
        <v>0</v>
      </c>
      <c r="W20" s="1175">
        <f>T25</f>
        <v>0</v>
      </c>
      <c r="X20" s="1187">
        <f>IF(W20=0,0,(Y20/W20))</f>
        <v>0</v>
      </c>
      <c r="Y20" s="1167">
        <f>V25</f>
        <v>0</v>
      </c>
      <c r="Z20" s="1180">
        <f>W25</f>
        <v>0</v>
      </c>
      <c r="AA20" s="1187">
        <f>IF(Z20=0,0,(AB20/Z20))</f>
        <v>0</v>
      </c>
      <c r="AB20" s="1170">
        <f>Y25</f>
        <v>0</v>
      </c>
      <c r="AC20" s="1180">
        <f>Z25</f>
        <v>0</v>
      </c>
      <c r="AD20" s="1187">
        <f>IF(AC20=0,0,(AE20/AC20))</f>
        <v>0</v>
      </c>
      <c r="AE20" s="1170">
        <f>AB25</f>
        <v>0</v>
      </c>
      <c r="AF20" s="1180">
        <f>AC25</f>
        <v>0</v>
      </c>
      <c r="AG20" s="1187">
        <f>IF(AF20=0,0,(AH20/AF20))</f>
        <v>0</v>
      </c>
      <c r="AH20" s="1439">
        <f>AE25</f>
        <v>0</v>
      </c>
      <c r="AI20" s="1180">
        <f>AF25</f>
        <v>0</v>
      </c>
      <c r="AJ20" s="1187">
        <f>IF(AI20=0,0,(AK20/AI20))</f>
        <v>0</v>
      </c>
      <c r="AK20" s="1439">
        <f>AH25</f>
        <v>0</v>
      </c>
      <c r="AL20" s="1346">
        <f>B20</f>
        <v>19</v>
      </c>
      <c r="AM20" s="1347">
        <f>IF(AL20=0,0,(AN20/AL20))</f>
        <v>1597.3684210526317</v>
      </c>
      <c r="AN20" s="1348">
        <f>D20</f>
        <v>30350</v>
      </c>
    </row>
    <row r="21" spans="1:42" x14ac:dyDescent="0.25">
      <c r="A21" s="1171" t="s">
        <v>72</v>
      </c>
      <c r="B21" s="411">
        <f>Purchase!$H5</f>
        <v>4</v>
      </c>
      <c r="C21" s="1189">
        <f t="shared" ref="C21:C25" si="52">IF(B21=0,0,(D21/B21))</f>
        <v>845</v>
      </c>
      <c r="D21" s="1184">
        <f>Purchase!$I5</f>
        <v>3380</v>
      </c>
      <c r="E21" s="411">
        <f>Purchase!$H6</f>
        <v>2</v>
      </c>
      <c r="F21" s="1189">
        <f t="shared" ref="F21" si="53">IF(E21=0,0,(G21/E21))</f>
        <v>910</v>
      </c>
      <c r="G21" s="1184">
        <f>Purchase!$I6</f>
        <v>1820</v>
      </c>
      <c r="H21" s="411">
        <f>Purchase!$H7</f>
        <v>0</v>
      </c>
      <c r="I21" s="1189">
        <f t="shared" ref="I21" si="54">IF(H21=0,0,(J21/H21))</f>
        <v>0</v>
      </c>
      <c r="J21" s="1184">
        <f>Purchase!$I7</f>
        <v>0</v>
      </c>
      <c r="K21" s="411">
        <f>Purchase!$H8</f>
        <v>0</v>
      </c>
      <c r="L21" s="1189">
        <f t="shared" ref="L21" si="55">IF(K21=0,0,(M21/K21))</f>
        <v>0</v>
      </c>
      <c r="M21" s="1184">
        <f>Purchase!$I8</f>
        <v>0</v>
      </c>
      <c r="N21" s="411">
        <f>ROUND((Purchase!$H9),0)-1</f>
        <v>-1</v>
      </c>
      <c r="O21" s="1189">
        <f t="shared" ref="O21" si="56">IF(N21=0,0,(P21/N21))</f>
        <v>0</v>
      </c>
      <c r="P21" s="1184">
        <f>Purchase!$I9</f>
        <v>0</v>
      </c>
      <c r="Q21" s="411">
        <f>Purchase!$H10</f>
        <v>0</v>
      </c>
      <c r="R21" s="1189">
        <f t="shared" ref="R21" si="57">IF(Q21=0,0,(S21/Q21))</f>
        <v>0</v>
      </c>
      <c r="S21" s="1184">
        <f>Purchase!$I10</f>
        <v>0</v>
      </c>
      <c r="T21" s="411">
        <f>ROUND((Purchase!$H11),0)</f>
        <v>0</v>
      </c>
      <c r="U21" s="1189">
        <f t="shared" ref="U21" si="58">IF(T21=0,0,(V21/T21))</f>
        <v>0</v>
      </c>
      <c r="V21" s="1184">
        <f>Purchase!$I11</f>
        <v>0</v>
      </c>
      <c r="W21" s="1176">
        <f>Purchase!$H12</f>
        <v>0</v>
      </c>
      <c r="X21" s="1189">
        <f t="shared" ref="X21:X25" si="59">IF(W21=0,0,(Y21/W21))</f>
        <v>0</v>
      </c>
      <c r="Y21" s="1225">
        <f>Purchase!$I12</f>
        <v>0</v>
      </c>
      <c r="Z21" s="411">
        <f>Purchase!H13</f>
        <v>0</v>
      </c>
      <c r="AA21" s="1189">
        <f t="shared" ref="AA21:AA25" si="60">IF(Z21=0,0,(AB21/Z21))</f>
        <v>0</v>
      </c>
      <c r="AB21" s="413">
        <f>Purchase!I13</f>
        <v>0</v>
      </c>
      <c r="AC21" s="411">
        <f>Purchase!H14</f>
        <v>0</v>
      </c>
      <c r="AD21" s="1189">
        <f t="shared" ref="AD21:AD25" si="61">IF(AC21=0,0,(AE21/AC21))</f>
        <v>0</v>
      </c>
      <c r="AE21" s="413">
        <f>Purchase!I14</f>
        <v>0</v>
      </c>
      <c r="AF21" s="411">
        <f>Purchase!H15</f>
        <v>0</v>
      </c>
      <c r="AG21" s="1189">
        <f t="shared" ref="AG21:AG25" si="62">IF(AF21=0,0,(AH21/AF21))</f>
        <v>0</v>
      </c>
      <c r="AH21" s="1184">
        <f>Purchase!I15</f>
        <v>0</v>
      </c>
      <c r="AI21" s="411">
        <f>Purchase!H16</f>
        <v>0</v>
      </c>
      <c r="AJ21" s="1189">
        <f t="shared" ref="AJ21:AJ25" si="63">IF(AI21=0,0,(AK21/AI21))</f>
        <v>0</v>
      </c>
      <c r="AK21" s="1184">
        <f>Purchase!I16</f>
        <v>0</v>
      </c>
      <c r="AL21" s="1349">
        <f>SUM(B21,E21,H21,K21,N21,Q21,T21,W21,Z21,AC21,AF21,AI21)</f>
        <v>5</v>
      </c>
      <c r="AM21" s="1350">
        <f t="shared" ref="AM21" si="64">IF(AL21=0,0,(AN21/AL21))</f>
        <v>1040</v>
      </c>
      <c r="AN21" s="1351">
        <f>SUM(D21,G21,J21,M21,P21,S21,V21,Y21,AB21,AE21,AH21,AK21)</f>
        <v>5200</v>
      </c>
      <c r="AO21" s="1145">
        <f>Purchase!I17</f>
        <v>5200</v>
      </c>
      <c r="AP21" s="342">
        <f>AN21-AO21</f>
        <v>0</v>
      </c>
    </row>
    <row r="22" spans="1:42" ht="13.8" thickBot="1" x14ac:dyDescent="0.3">
      <c r="A22" s="1172" t="s">
        <v>103</v>
      </c>
      <c r="B22" s="424"/>
      <c r="C22" s="1181">
        <f t="shared" si="52"/>
        <v>0</v>
      </c>
      <c r="D22" s="1186"/>
      <c r="E22" s="424"/>
      <c r="F22" s="1181">
        <f t="shared" ref="F22:F25" si="65">IF(E22=0,0,(G22/E22))</f>
        <v>0</v>
      </c>
      <c r="G22" s="1186"/>
      <c r="H22" s="1177"/>
      <c r="I22" s="1181">
        <f t="shared" ref="I22:I25" si="66">IF(H22=0,0,(J22/H22))</f>
        <v>0</v>
      </c>
      <c r="J22" s="1228"/>
      <c r="K22" s="424"/>
      <c r="L22" s="1181">
        <f t="shared" ref="L22:L25" si="67">IF(K22=0,0,(M22/K22))</f>
        <v>0</v>
      </c>
      <c r="M22" s="1232"/>
      <c r="N22" s="424"/>
      <c r="O22" s="1181">
        <f t="shared" ref="O22:O25" si="68">IF(N22=0,0,(P22/N22))</f>
        <v>0</v>
      </c>
      <c r="P22" s="1232"/>
      <c r="Q22" s="424"/>
      <c r="R22" s="1181">
        <f t="shared" ref="R22:R25" si="69">IF(Q22=0,0,(S22/Q22))</f>
        <v>0</v>
      </c>
      <c r="S22" s="1232"/>
      <c r="T22" s="424"/>
      <c r="U22" s="1181">
        <f t="shared" ref="U22:U25" si="70">IF(T22=0,0,(V22/T22))</f>
        <v>0</v>
      </c>
      <c r="V22" s="426"/>
      <c r="W22" s="1177"/>
      <c r="X22" s="1181">
        <f t="shared" si="59"/>
        <v>0</v>
      </c>
      <c r="Y22" s="733"/>
      <c r="Z22" s="424"/>
      <c r="AA22" s="1181">
        <f t="shared" si="60"/>
        <v>0</v>
      </c>
      <c r="AB22" s="426"/>
      <c r="AC22" s="424"/>
      <c r="AD22" s="1181">
        <f t="shared" si="61"/>
        <v>0</v>
      </c>
      <c r="AE22" s="426"/>
      <c r="AF22" s="424"/>
      <c r="AG22" s="1181">
        <f t="shared" si="62"/>
        <v>0</v>
      </c>
      <c r="AH22" s="1186"/>
      <c r="AI22" s="424"/>
      <c r="AJ22" s="1181">
        <f t="shared" si="63"/>
        <v>0</v>
      </c>
      <c r="AK22" s="1186"/>
      <c r="AL22" s="1352">
        <f t="shared" ref="AL22:AL23" si="71">SUM(B22:AI22)</f>
        <v>0</v>
      </c>
      <c r="AM22" s="1353"/>
      <c r="AN22" s="1354"/>
    </row>
    <row r="23" spans="1:42" x14ac:dyDescent="0.25">
      <c r="A23" s="1201" t="s">
        <v>73</v>
      </c>
      <c r="B23" s="1202"/>
      <c r="C23" s="1203">
        <f t="shared" si="52"/>
        <v>0</v>
      </c>
      <c r="D23" s="1194"/>
      <c r="E23" s="1202"/>
      <c r="F23" s="1203">
        <f t="shared" si="65"/>
        <v>0</v>
      </c>
      <c r="G23" s="1194"/>
      <c r="H23" s="1206"/>
      <c r="I23" s="1203">
        <f t="shared" si="66"/>
        <v>0</v>
      </c>
      <c r="J23" s="1229"/>
      <c r="K23" s="1202"/>
      <c r="L23" s="1203">
        <f t="shared" si="67"/>
        <v>0</v>
      </c>
      <c r="M23" s="1233"/>
      <c r="N23" s="1202"/>
      <c r="O23" s="1203">
        <f t="shared" si="68"/>
        <v>0</v>
      </c>
      <c r="P23" s="1233"/>
      <c r="Q23" s="1202"/>
      <c r="R23" s="1203">
        <f t="shared" si="69"/>
        <v>0</v>
      </c>
      <c r="S23" s="1233"/>
      <c r="T23" s="1202"/>
      <c r="U23" s="1203">
        <f t="shared" si="70"/>
        <v>0</v>
      </c>
      <c r="V23" s="1205"/>
      <c r="W23" s="1206"/>
      <c r="X23" s="1203">
        <f t="shared" si="59"/>
        <v>0</v>
      </c>
      <c r="Y23" s="1207"/>
      <c r="Z23" s="1202"/>
      <c r="AA23" s="1203">
        <f t="shared" si="60"/>
        <v>0</v>
      </c>
      <c r="AB23" s="1194"/>
      <c r="AC23" s="1202"/>
      <c r="AD23" s="1203">
        <f t="shared" si="61"/>
        <v>0</v>
      </c>
      <c r="AE23" s="1194"/>
      <c r="AF23" s="1202"/>
      <c r="AG23" s="1203">
        <f t="shared" si="62"/>
        <v>0</v>
      </c>
      <c r="AH23" s="1194"/>
      <c r="AI23" s="1202"/>
      <c r="AJ23" s="1203">
        <f t="shared" si="63"/>
        <v>0</v>
      </c>
      <c r="AK23" s="1194"/>
      <c r="AL23" s="1355">
        <f t="shared" si="71"/>
        <v>0</v>
      </c>
      <c r="AM23" s="1356"/>
      <c r="AN23" s="1357"/>
    </row>
    <row r="24" spans="1:42" x14ac:dyDescent="0.25">
      <c r="A24" s="1210" t="s">
        <v>112</v>
      </c>
      <c r="B24" s="730">
        <f>'Inventory Sales'!B23</f>
        <v>0</v>
      </c>
      <c r="C24" s="1191">
        <f t="shared" si="52"/>
        <v>0</v>
      </c>
      <c r="D24" s="1192">
        <f>'Inventory Sales'!D23</f>
        <v>0</v>
      </c>
      <c r="E24" s="730"/>
      <c r="F24" s="1191">
        <f t="shared" si="65"/>
        <v>0</v>
      </c>
      <c r="G24" s="1192"/>
      <c r="H24" s="1211"/>
      <c r="I24" s="1191">
        <f t="shared" si="66"/>
        <v>0</v>
      </c>
      <c r="J24" s="1230"/>
      <c r="K24" s="730">
        <f>'Inventory Sales'!K23</f>
        <v>0</v>
      </c>
      <c r="L24" s="1191">
        <f t="shared" si="67"/>
        <v>0</v>
      </c>
      <c r="M24" s="1234">
        <f>'Inventory Sales'!M23</f>
        <v>0</v>
      </c>
      <c r="N24" s="730">
        <f>'Inventory Sales'!N23</f>
        <v>0</v>
      </c>
      <c r="O24" s="1191">
        <f t="shared" si="68"/>
        <v>0</v>
      </c>
      <c r="P24" s="1234">
        <f>'Inventory Sales'!P23</f>
        <v>0</v>
      </c>
      <c r="Q24" s="730"/>
      <c r="R24" s="1191">
        <f t="shared" si="69"/>
        <v>0</v>
      </c>
      <c r="S24" s="1234"/>
      <c r="T24" s="730"/>
      <c r="U24" s="1191">
        <f t="shared" si="70"/>
        <v>0</v>
      </c>
      <c r="V24" s="732"/>
      <c r="W24" s="1211"/>
      <c r="X24" s="1191">
        <f t="shared" si="59"/>
        <v>0</v>
      </c>
      <c r="Y24" s="1212"/>
      <c r="Z24" s="730"/>
      <c r="AA24" s="1191">
        <f t="shared" si="60"/>
        <v>0</v>
      </c>
      <c r="AB24" s="1192"/>
      <c r="AC24" s="730"/>
      <c r="AD24" s="1191">
        <f t="shared" si="61"/>
        <v>0</v>
      </c>
      <c r="AE24" s="1192"/>
      <c r="AF24" s="730"/>
      <c r="AG24" s="1191">
        <f t="shared" si="62"/>
        <v>0</v>
      </c>
      <c r="AH24" s="1192"/>
      <c r="AI24" s="730"/>
      <c r="AJ24" s="1191">
        <f t="shared" si="63"/>
        <v>0</v>
      </c>
      <c r="AK24" s="1192"/>
      <c r="AL24" s="1349">
        <f>SUM(B24,E24,H24,K24,N24,Q24,T24,W24,Z24,AC24,AF24,AI24)</f>
        <v>0</v>
      </c>
      <c r="AM24" s="1358">
        <f t="shared" ref="AM24:AM25" si="72">IF(AL24=0,0,(AN24/AL24))</f>
        <v>0</v>
      </c>
      <c r="AN24" s="1351">
        <f>SUM(D24,G24,J24,M24,P24,S24,V24,Y24,AB24,AE24,AH24,AK24)</f>
        <v>0</v>
      </c>
      <c r="AO24" s="1145">
        <f>'Inventory Sales'!AN23</f>
        <v>0</v>
      </c>
    </row>
    <row r="25" spans="1:42" ht="13.8" thickBot="1" x14ac:dyDescent="0.3">
      <c r="A25" s="452" t="s">
        <v>75</v>
      </c>
      <c r="B25" s="1208">
        <f>'Stock Valuation (FIFO)'!E7</f>
        <v>21</v>
      </c>
      <c r="C25" s="1188">
        <f t="shared" si="52"/>
        <v>1514.6190476190477</v>
      </c>
      <c r="D25" s="1209">
        <f>'Stock Valuation (FIFO)'!G7</f>
        <v>31807</v>
      </c>
      <c r="E25" s="1208">
        <f>'Stock Valuation (FIFO)'!H7</f>
        <v>20</v>
      </c>
      <c r="F25" s="1188">
        <f t="shared" si="65"/>
        <v>1568.5</v>
      </c>
      <c r="G25" s="1209">
        <f>'Stock Valuation (FIFO)'!J7</f>
        <v>31370</v>
      </c>
      <c r="H25" s="1208">
        <f>'Stock Valuation (FIFO)'!K7</f>
        <v>0</v>
      </c>
      <c r="I25" s="1188">
        <f t="shared" si="66"/>
        <v>0</v>
      </c>
      <c r="J25" s="1209">
        <f>'Stock Valuation (FIFO)'!M7</f>
        <v>0</v>
      </c>
      <c r="K25" s="1208">
        <f>'Stock Valuation (FIFO)'!N7</f>
        <v>0</v>
      </c>
      <c r="L25" s="1188">
        <f t="shared" si="67"/>
        <v>0</v>
      </c>
      <c r="M25" s="1209">
        <f>'Stock Valuation (FIFO)'!P7</f>
        <v>0</v>
      </c>
      <c r="N25" s="1208">
        <f>'Stock Valuation (FIFO)'!Q7</f>
        <v>0</v>
      </c>
      <c r="O25" s="1188">
        <f t="shared" si="68"/>
        <v>0</v>
      </c>
      <c r="P25" s="1209">
        <f>'Stock Valuation (FIFO)'!S7</f>
        <v>0</v>
      </c>
      <c r="Q25" s="1208">
        <f>'Stock Valuation (FIFO)'!T7</f>
        <v>0</v>
      </c>
      <c r="R25" s="1188">
        <f t="shared" si="69"/>
        <v>0</v>
      </c>
      <c r="S25" s="1209">
        <f>'Stock Valuation (FIFO)'!V7</f>
        <v>0</v>
      </c>
      <c r="T25" s="1208">
        <f>'Stock Valuation (FIFO)'!W7</f>
        <v>0</v>
      </c>
      <c r="U25" s="1188">
        <f t="shared" si="70"/>
        <v>0</v>
      </c>
      <c r="V25" s="1209">
        <f>'Stock Valuation (FIFO)'!Y7</f>
        <v>0</v>
      </c>
      <c r="W25" s="1450">
        <f>'Stock Valuation (FIFO)'!Z7</f>
        <v>0</v>
      </c>
      <c r="X25" s="1188">
        <f t="shared" si="59"/>
        <v>0</v>
      </c>
      <c r="Y25" s="1455">
        <f>'Stock Valuation (FIFO)'!AB7</f>
        <v>0</v>
      </c>
      <c r="Z25" s="1464">
        <f>'Stock Valuation (FIFO)'!AC7</f>
        <v>0</v>
      </c>
      <c r="AA25" s="1188">
        <f t="shared" si="60"/>
        <v>0</v>
      </c>
      <c r="AB25" s="1468">
        <f>'Stock Valuation (FIFO)'!AE7</f>
        <v>0</v>
      </c>
      <c r="AC25" s="1464">
        <f>'Stock Valuation (FIFO)'!AF7</f>
        <v>0</v>
      </c>
      <c r="AD25" s="1188">
        <f t="shared" si="61"/>
        <v>0</v>
      </c>
      <c r="AE25" s="1468">
        <f>'Stock Valuation (FIFO)'!AH7</f>
        <v>0</v>
      </c>
      <c r="AF25" s="1464">
        <f>'Stock Valuation (FIFO)'!AI7</f>
        <v>0</v>
      </c>
      <c r="AG25" s="1188">
        <f t="shared" si="62"/>
        <v>0</v>
      </c>
      <c r="AH25" s="1468">
        <f>'Stock Valuation (FIFO)'!AK7</f>
        <v>0</v>
      </c>
      <c r="AI25" s="1464">
        <f>'Stock Valuation (FIFO)'!AL7</f>
        <v>0</v>
      </c>
      <c r="AJ25" s="1188">
        <f t="shared" si="63"/>
        <v>0</v>
      </c>
      <c r="AK25" s="1468">
        <f>'Stock Valuation (FIFO)'!AN7</f>
        <v>0</v>
      </c>
      <c r="AL25" s="1651">
        <f>AI25</f>
        <v>0</v>
      </c>
      <c r="AM25" s="1652">
        <f t="shared" si="72"/>
        <v>0</v>
      </c>
      <c r="AN25" s="1653">
        <f>AK25</f>
        <v>0</v>
      </c>
      <c r="AO25" s="1145">
        <f>'Stock Valuation (FIFO)'!AN7</f>
        <v>0</v>
      </c>
      <c r="AP25" s="342">
        <f>AN25-AO25</f>
        <v>0</v>
      </c>
    </row>
    <row r="26" spans="1:42" ht="14.4" thickBot="1" x14ac:dyDescent="0.35">
      <c r="A26" s="1213" t="s">
        <v>484</v>
      </c>
      <c r="B26" s="1214">
        <f>(B20+B21)-(B24+B25)</f>
        <v>2</v>
      </c>
      <c r="C26" s="1215">
        <f>IF(B26=0,0,(D26/B26))</f>
        <v>961.5</v>
      </c>
      <c r="D26" s="1216">
        <f>(D20+D21)-(D24+D25)</f>
        <v>1923</v>
      </c>
      <c r="E26" s="1214">
        <f>(E20+E21)-(E24+E25)</f>
        <v>3</v>
      </c>
      <c r="F26" s="1215">
        <f>IF(E26=0,0,(G26/E26))</f>
        <v>752.33333333333337</v>
      </c>
      <c r="G26" s="1534">
        <f>(G20+G21)-(G24+G25)</f>
        <v>2257</v>
      </c>
      <c r="H26" s="1214">
        <f>(H20+H21)-(H24+H25)</f>
        <v>20</v>
      </c>
      <c r="I26" s="1215">
        <f>IF(H26=0,0,(J26/H26))</f>
        <v>1568.5</v>
      </c>
      <c r="J26" s="1216">
        <f>(J20+J21)-(J24+J25)</f>
        <v>31370</v>
      </c>
      <c r="K26" s="1214">
        <f>(K20+K21)-(K24+K25)</f>
        <v>0</v>
      </c>
      <c r="L26" s="1215"/>
      <c r="M26" s="1534">
        <f>(M20+M21)-(M24+M25)</f>
        <v>0</v>
      </c>
      <c r="N26" s="1214">
        <f>(N20+N21)-(N24+N25)</f>
        <v>-1</v>
      </c>
      <c r="O26" s="1215">
        <f>IF(N26=0,0,(P26/N26))</f>
        <v>0</v>
      </c>
      <c r="P26" s="1216">
        <f>(P20+P21)-(P24+P25)</f>
        <v>0</v>
      </c>
      <c r="Q26" s="1214">
        <f>(Q20+Q21)-(Q24+Q25)</f>
        <v>0</v>
      </c>
      <c r="R26" s="1215">
        <f>IF(Q26=0,0,(S26/Q26))</f>
        <v>0</v>
      </c>
      <c r="S26" s="1216">
        <f>(S20+S21)-(S24+S25)</f>
        <v>0</v>
      </c>
      <c r="T26" s="1214">
        <f>(T20+T21)-(T24+T25)</f>
        <v>0</v>
      </c>
      <c r="U26" s="1215">
        <f>IF(T26=0,0,(V26/T26))</f>
        <v>0</v>
      </c>
      <c r="V26" s="1216">
        <f>(V20+V21)-(V24+V25)</f>
        <v>0</v>
      </c>
      <c r="W26" s="1448">
        <f>(W20+W21)-(W24+W25)</f>
        <v>0</v>
      </c>
      <c r="X26" s="1215">
        <f>IF(W26=0,0,(Y26/W26))</f>
        <v>0</v>
      </c>
      <c r="Y26" s="1457">
        <f>(Y20+Y21)-(Y24+Y25)</f>
        <v>0</v>
      </c>
      <c r="Z26" s="1214">
        <f>(Z20+Z21)-(Z24+Z25)</f>
        <v>0</v>
      </c>
      <c r="AA26" s="1215">
        <f>IF(Z26=0,0,(AB26/Z26))</f>
        <v>0</v>
      </c>
      <c r="AB26" s="1216">
        <f>(AB20+AB21)-(AB24+AB25)</f>
        <v>0</v>
      </c>
      <c r="AC26" s="1214">
        <f>(AC20+AC21)-(AC24+AC25)</f>
        <v>0</v>
      </c>
      <c r="AD26" s="1215">
        <f>IF(AC26=0,0,(AE26/AC26))</f>
        <v>0</v>
      </c>
      <c r="AE26" s="1216">
        <f>(AE20+AE21)-(AE24+AE25)</f>
        <v>0</v>
      </c>
      <c r="AF26" s="1214">
        <f>(AF20+AF21)-(AF24+AF25)</f>
        <v>0</v>
      </c>
      <c r="AG26" s="1215">
        <f>IF(AF26=0,0,(AH26/AF26))</f>
        <v>0</v>
      </c>
      <c r="AH26" s="1216">
        <f>(AH20+AH21)-(AH24+AH25)</f>
        <v>0</v>
      </c>
      <c r="AI26" s="1214">
        <f>(AI20+AI21)-(AI24+AI25)</f>
        <v>0</v>
      </c>
      <c r="AJ26" s="1215">
        <f>IF(AI26=0,0,(AK26/AI26))</f>
        <v>0</v>
      </c>
      <c r="AK26" s="1216">
        <f>(AK20+AK21)-(AK24+AK25)</f>
        <v>0</v>
      </c>
      <c r="AL26" s="1365">
        <f>(AL20+AL21)-(AL24+AL25)</f>
        <v>24</v>
      </c>
      <c r="AM26" s="1764">
        <f>IF(AL26=0,0,(AN26/AL26))</f>
        <v>1481.25</v>
      </c>
      <c r="AN26" s="1765">
        <f>(AN20+AN21)-(AN24+AN25)</f>
        <v>35550</v>
      </c>
    </row>
    <row r="27" spans="1:42" ht="13.8" thickBot="1" x14ac:dyDescent="0.3">
      <c r="A27" s="1164" t="s">
        <v>479</v>
      </c>
      <c r="B27" s="1164"/>
      <c r="C27" s="1182"/>
      <c r="D27" s="1185"/>
      <c r="E27" s="1164"/>
      <c r="F27" s="1165"/>
      <c r="G27" s="1166"/>
      <c r="H27" s="1165"/>
      <c r="I27" s="1165"/>
      <c r="J27" s="1165"/>
      <c r="K27" s="1164"/>
      <c r="L27" s="1165"/>
      <c r="M27" s="1166"/>
      <c r="N27" s="1164"/>
      <c r="O27" s="1165"/>
      <c r="P27" s="1166"/>
      <c r="Q27" s="1164"/>
      <c r="R27" s="1165"/>
      <c r="S27" s="1166"/>
      <c r="T27" s="1165"/>
      <c r="U27" s="1165"/>
      <c r="V27" s="1165"/>
      <c r="W27" s="1165"/>
      <c r="X27" s="1165"/>
      <c r="Y27" s="1165"/>
      <c r="Z27" s="1164"/>
      <c r="AA27" s="1165"/>
      <c r="AB27" s="1185"/>
      <c r="AC27" s="1164"/>
      <c r="AD27" s="1165"/>
      <c r="AE27" s="1166"/>
      <c r="AF27" s="1165"/>
      <c r="AG27" s="1165"/>
      <c r="AH27" s="1165"/>
      <c r="AI27" s="1164"/>
      <c r="AJ27" s="1165"/>
      <c r="AK27" s="1166"/>
      <c r="AL27" s="1362"/>
      <c r="AM27" s="1363"/>
      <c r="AN27" s="1364"/>
    </row>
    <row r="28" spans="1:42" x14ac:dyDescent="0.25">
      <c r="A28" s="1169" t="s">
        <v>71</v>
      </c>
      <c r="B28" s="1180">
        <f>B4+B12+B20</f>
        <v>143489</v>
      </c>
      <c r="C28" s="1218">
        <f>IF(B28=0,0,(D28/B28))</f>
        <v>123.87463150485404</v>
      </c>
      <c r="D28" s="1220">
        <f>D4+D12+D20</f>
        <v>17774647</v>
      </c>
      <c r="E28" s="1180">
        <f>E4+E12+E20</f>
        <v>78108</v>
      </c>
      <c r="F28" s="1218">
        <f>IF(E28=0,0,(G28/E28))</f>
        <v>139.4481871255185</v>
      </c>
      <c r="G28" s="1220">
        <f>G4+G12+G20</f>
        <v>10892019</v>
      </c>
      <c r="H28" s="1180">
        <f>H4+H12+H20</f>
        <v>92299</v>
      </c>
      <c r="I28" s="1218">
        <f>IF(H28=0,0,(J28/H28))</f>
        <v>155.48952859727623</v>
      </c>
      <c r="J28" s="1220">
        <f>J4+J12+J20</f>
        <v>14351528</v>
      </c>
      <c r="K28" s="1180">
        <f>K4+K12+K20</f>
        <v>0</v>
      </c>
      <c r="L28" s="1218">
        <f>IF(K28=0,0,(M28/K28))</f>
        <v>0</v>
      </c>
      <c r="M28" s="1220">
        <f>M4+M12+M20</f>
        <v>0</v>
      </c>
      <c r="N28" s="1180">
        <f>N4+N12+N20</f>
        <v>0</v>
      </c>
      <c r="O28" s="1218">
        <f>IF(N28=0,0,(P28/N28))</f>
        <v>0</v>
      </c>
      <c r="P28" s="1220">
        <f>P4+P12+P20</f>
        <v>0</v>
      </c>
      <c r="Q28" s="1180">
        <f>Q4+Q12+Q20</f>
        <v>0</v>
      </c>
      <c r="R28" s="1218">
        <f>IF(Q28=0,0,(S28/Q28))</f>
        <v>0</v>
      </c>
      <c r="S28" s="1220">
        <f>S4+S12+S20</f>
        <v>0</v>
      </c>
      <c r="T28" s="1180">
        <f>T4+T12+T20</f>
        <v>0</v>
      </c>
      <c r="U28" s="1218">
        <f>IF(T28=0,0,(V28/T28))</f>
        <v>0</v>
      </c>
      <c r="V28" s="1220">
        <f>V4+V12+V20</f>
        <v>0</v>
      </c>
      <c r="W28" s="1180">
        <f>W4+W12+W20</f>
        <v>0</v>
      </c>
      <c r="X28" s="1218">
        <f>IF(W28=0,0,(Y28/W28))</f>
        <v>0</v>
      </c>
      <c r="Y28" s="1458">
        <f>Y4+Y12+Y20</f>
        <v>0</v>
      </c>
      <c r="Z28" s="1180">
        <f>W33</f>
        <v>0</v>
      </c>
      <c r="AA28" s="1218">
        <f>IF(Z28=0,0,(AB28/Z28))</f>
        <v>0</v>
      </c>
      <c r="AB28" s="1439">
        <f>Y33</f>
        <v>0</v>
      </c>
      <c r="AC28" s="1180">
        <f>Z33</f>
        <v>0</v>
      </c>
      <c r="AD28" s="1218">
        <f>IF(AC28=0,0,(AE28/AC28))</f>
        <v>0</v>
      </c>
      <c r="AE28" s="1439">
        <f>AB33</f>
        <v>0</v>
      </c>
      <c r="AF28" s="1180">
        <f>AC33</f>
        <v>0</v>
      </c>
      <c r="AG28" s="1218">
        <f>IF(AF28=0,0,(AH28/AF28))</f>
        <v>0</v>
      </c>
      <c r="AH28" s="1439">
        <f>AE33</f>
        <v>0</v>
      </c>
      <c r="AI28" s="1180">
        <f>AF33</f>
        <v>0</v>
      </c>
      <c r="AJ28" s="1218">
        <f>IF(AI28=0,0,(AK28/AI28))</f>
        <v>0</v>
      </c>
      <c r="AK28" s="1439">
        <f>AH33</f>
        <v>0</v>
      </c>
      <c r="AL28" s="1346">
        <f>B28</f>
        <v>143489</v>
      </c>
      <c r="AM28" s="1347">
        <f>IF(AL28=0,0,(AN28/AL28))</f>
        <v>123.87463150485404</v>
      </c>
      <c r="AN28" s="1348">
        <f>D28</f>
        <v>17774647</v>
      </c>
      <c r="AP28" s="8"/>
    </row>
    <row r="29" spans="1:42" x14ac:dyDescent="0.25">
      <c r="A29" s="1171" t="s">
        <v>72</v>
      </c>
      <c r="B29" s="1219">
        <f t="shared" ref="B29:B33" si="73">B5+B13+B21</f>
        <v>827</v>
      </c>
      <c r="C29" s="1189">
        <f t="shared" ref="C29:C33" si="74">IF(B29=0,0,(D29/B29))</f>
        <v>273.33010882708584</v>
      </c>
      <c r="D29" s="1190">
        <f t="shared" ref="D29:E33" si="75">D5+D13+D21</f>
        <v>226044</v>
      </c>
      <c r="E29" s="1219">
        <f t="shared" si="75"/>
        <v>76649</v>
      </c>
      <c r="F29" s="1189">
        <f t="shared" ref="F29:F33" si="76">IF(E29=0,0,(G29/E29))</f>
        <v>149.18116348549884</v>
      </c>
      <c r="G29" s="1190">
        <f t="shared" ref="G29:H33" si="77">G5+G13+G21</f>
        <v>11434587</v>
      </c>
      <c r="H29" s="1219">
        <f t="shared" si="77"/>
        <v>0</v>
      </c>
      <c r="I29" s="1189">
        <f t="shared" ref="I29:I33" si="78">IF(H29=0,0,(J29/H29))</f>
        <v>0</v>
      </c>
      <c r="J29" s="1190">
        <f t="shared" ref="J29:K33" si="79">J5+J13+J21</f>
        <v>0</v>
      </c>
      <c r="K29" s="1219">
        <f t="shared" si="79"/>
        <v>0</v>
      </c>
      <c r="L29" s="1189">
        <f t="shared" ref="L29:L33" si="80">IF(K29=0,0,(M29/K29))</f>
        <v>0</v>
      </c>
      <c r="M29" s="1190">
        <f t="shared" ref="M29:N30" si="81">M5+M13+M21</f>
        <v>0</v>
      </c>
      <c r="N29" s="1219">
        <f t="shared" si="81"/>
        <v>-1</v>
      </c>
      <c r="O29" s="1189">
        <f t="shared" ref="O29:O33" si="82">IF(N29=0,0,(P29/N29))</f>
        <v>0</v>
      </c>
      <c r="P29" s="1190">
        <f t="shared" ref="P29:Q30" si="83">P5+P13+P21</f>
        <v>0</v>
      </c>
      <c r="Q29" s="1219">
        <f t="shared" si="83"/>
        <v>0</v>
      </c>
      <c r="R29" s="1189">
        <f t="shared" ref="R29:R33" si="84">IF(Q29=0,0,(S29/Q29))</f>
        <v>0</v>
      </c>
      <c r="S29" s="1190">
        <f t="shared" ref="S29:T30" si="85">S5+S13+S21</f>
        <v>0</v>
      </c>
      <c r="T29" s="1219">
        <f t="shared" si="85"/>
        <v>0</v>
      </c>
      <c r="U29" s="1189">
        <f t="shared" ref="U29:U33" si="86">IF(T29=0,0,(V29/T29))</f>
        <v>0</v>
      </c>
      <c r="V29" s="1190">
        <f t="shared" ref="V29:W29" si="87">V5+V13+V21</f>
        <v>0</v>
      </c>
      <c r="W29" s="1219">
        <f t="shared" si="87"/>
        <v>0</v>
      </c>
      <c r="X29" s="1189">
        <f t="shared" ref="X29:X33" si="88">IF(W29=0,0,(Y29/W29))</f>
        <v>0</v>
      </c>
      <c r="Y29" s="1459">
        <f>Y5+Y13+Y21</f>
        <v>0</v>
      </c>
      <c r="Z29" s="1219">
        <f t="shared" ref="Z29" si="89">Z5+Z13+Z21</f>
        <v>0</v>
      </c>
      <c r="AA29" s="1189">
        <f t="shared" ref="AA29:AA33" si="90">IF(Z29=0,0,(AB29/Z29))</f>
        <v>0</v>
      </c>
      <c r="AB29" s="1459">
        <f t="shared" ref="AB29:AC29" si="91">AB5+AB13+AB21</f>
        <v>0</v>
      </c>
      <c r="AC29" s="1219">
        <f t="shared" si="91"/>
        <v>0</v>
      </c>
      <c r="AD29" s="1189">
        <f t="shared" ref="AD29:AD33" si="92">IF(AC29=0,0,(AE29/AC29))</f>
        <v>0</v>
      </c>
      <c r="AE29" s="1190">
        <f t="shared" ref="AE29:AF29" si="93">AE5+AE13+AE21</f>
        <v>0</v>
      </c>
      <c r="AF29" s="1219">
        <f t="shared" si="93"/>
        <v>0</v>
      </c>
      <c r="AG29" s="1189">
        <f t="shared" ref="AG29:AG33" si="94">IF(AF29=0,0,(AH29/AF29))</f>
        <v>0</v>
      </c>
      <c r="AH29" s="1190">
        <f t="shared" ref="AH29:AI29" si="95">AH5+AH13+AH21</f>
        <v>0</v>
      </c>
      <c r="AI29" s="1219">
        <f t="shared" si="95"/>
        <v>0</v>
      </c>
      <c r="AJ29" s="1189">
        <f t="shared" ref="AJ29:AJ33" si="96">IF(AI29=0,0,(AK29/AI29))</f>
        <v>0</v>
      </c>
      <c r="AK29" s="1190">
        <f t="shared" ref="AK29" si="97">AK5+AK13+AK21</f>
        <v>0</v>
      </c>
      <c r="AL29" s="1366">
        <f t="shared" ref="AL29" si="98">AL5+AL13+AL21</f>
        <v>77475</v>
      </c>
      <c r="AM29" s="1367">
        <f t="shared" ref="AM29" si="99">IF(AL29=0,0,(AN29/AL29))</f>
        <v>150.5083059051307</v>
      </c>
      <c r="AN29" s="1368">
        <f t="shared" ref="AN29" si="100">AN5+AN13+AN21</f>
        <v>11660631</v>
      </c>
      <c r="AO29" s="1145">
        <f>AO5+AO13+AO21</f>
        <v>11660631</v>
      </c>
      <c r="AP29" s="342">
        <f>AN29-AO29</f>
        <v>0</v>
      </c>
    </row>
    <row r="30" spans="1:42" ht="13.8" thickBot="1" x14ac:dyDescent="0.3">
      <c r="A30" s="1172" t="s">
        <v>103</v>
      </c>
      <c r="B30" s="435">
        <f t="shared" si="73"/>
        <v>0</v>
      </c>
      <c r="C30" s="1181">
        <f t="shared" si="74"/>
        <v>0</v>
      </c>
      <c r="D30" s="1221">
        <f t="shared" si="75"/>
        <v>0</v>
      </c>
      <c r="E30" s="435">
        <f t="shared" si="75"/>
        <v>0</v>
      </c>
      <c r="F30" s="1181">
        <f t="shared" si="76"/>
        <v>0</v>
      </c>
      <c r="G30" s="1221">
        <f t="shared" si="77"/>
        <v>0</v>
      </c>
      <c r="H30" s="435">
        <f t="shared" si="77"/>
        <v>0</v>
      </c>
      <c r="I30" s="1181">
        <f t="shared" si="78"/>
        <v>0</v>
      </c>
      <c r="J30" s="1221">
        <f t="shared" si="79"/>
        <v>0</v>
      </c>
      <c r="K30" s="435">
        <f t="shared" si="79"/>
        <v>0</v>
      </c>
      <c r="L30" s="1181">
        <f t="shared" si="80"/>
        <v>0</v>
      </c>
      <c r="M30" s="1221">
        <f t="shared" si="81"/>
        <v>0</v>
      </c>
      <c r="N30" s="435">
        <f t="shared" si="81"/>
        <v>0</v>
      </c>
      <c r="O30" s="1181">
        <f t="shared" si="82"/>
        <v>0</v>
      </c>
      <c r="P30" s="1221">
        <f t="shared" si="83"/>
        <v>0</v>
      </c>
      <c r="Q30" s="435">
        <f t="shared" si="83"/>
        <v>0</v>
      </c>
      <c r="R30" s="1181">
        <f t="shared" si="84"/>
        <v>0</v>
      </c>
      <c r="S30" s="1221">
        <f t="shared" si="85"/>
        <v>0</v>
      </c>
      <c r="T30" s="435">
        <f t="shared" si="85"/>
        <v>0</v>
      </c>
      <c r="U30" s="1181">
        <f t="shared" si="86"/>
        <v>0</v>
      </c>
      <c r="V30" s="1221">
        <f t="shared" ref="V30:W30" si="101">V6+V14+V22</f>
        <v>0</v>
      </c>
      <c r="W30" s="435">
        <f t="shared" si="101"/>
        <v>0</v>
      </c>
      <c r="X30" s="1181">
        <f t="shared" si="88"/>
        <v>0</v>
      </c>
      <c r="Y30" s="1460">
        <f t="shared" ref="Y30:Z30" si="102">Y6+Y14+Y22</f>
        <v>0</v>
      </c>
      <c r="Z30" s="435">
        <f t="shared" si="102"/>
        <v>0</v>
      </c>
      <c r="AA30" s="1181">
        <f t="shared" si="90"/>
        <v>0</v>
      </c>
      <c r="AB30" s="1460">
        <f t="shared" ref="AB30:AC30" si="103">AB6+AB14+AB22</f>
        <v>0</v>
      </c>
      <c r="AC30" s="435">
        <f t="shared" si="103"/>
        <v>0</v>
      </c>
      <c r="AD30" s="1181">
        <f t="shared" si="92"/>
        <v>0</v>
      </c>
      <c r="AE30" s="1221">
        <f t="shared" ref="AE30:AF30" si="104">AE6+AE14+AE22</f>
        <v>0</v>
      </c>
      <c r="AF30" s="435">
        <f t="shared" si="104"/>
        <v>0</v>
      </c>
      <c r="AG30" s="1181">
        <f t="shared" si="94"/>
        <v>0</v>
      </c>
      <c r="AH30" s="1221">
        <f t="shared" ref="AH30:AI30" si="105">AH6+AH14+AH22</f>
        <v>0</v>
      </c>
      <c r="AI30" s="435">
        <f t="shared" si="105"/>
        <v>0</v>
      </c>
      <c r="AJ30" s="1181">
        <f t="shared" si="96"/>
        <v>0</v>
      </c>
      <c r="AK30" s="1221">
        <f t="shared" ref="AK30" si="106">AK6+AK14+AK22</f>
        <v>0</v>
      </c>
      <c r="AL30" s="1352">
        <f t="shared" ref="AL30:AL31" si="107">SUM(B30:AI30)</f>
        <v>0</v>
      </c>
      <c r="AM30" s="1416"/>
      <c r="AN30" s="1354"/>
    </row>
    <row r="31" spans="1:42" x14ac:dyDescent="0.25">
      <c r="A31" s="1201" t="s">
        <v>73</v>
      </c>
      <c r="B31" s="1202"/>
      <c r="C31" s="1203">
        <f t="shared" si="74"/>
        <v>0</v>
      </c>
      <c r="D31" s="1194"/>
      <c r="E31" s="1202"/>
      <c r="F31" s="1203">
        <f t="shared" si="76"/>
        <v>0</v>
      </c>
      <c r="G31" s="1194"/>
      <c r="H31" s="1202"/>
      <c r="I31" s="1203">
        <f t="shared" si="78"/>
        <v>0</v>
      </c>
      <c r="J31" s="1194"/>
      <c r="K31" s="1202"/>
      <c r="L31" s="1203">
        <f t="shared" si="80"/>
        <v>0</v>
      </c>
      <c r="M31" s="1194"/>
      <c r="N31" s="1202"/>
      <c r="O31" s="1203">
        <f t="shared" si="82"/>
        <v>0</v>
      </c>
      <c r="P31" s="1194"/>
      <c r="Q31" s="1202"/>
      <c r="R31" s="1203">
        <f t="shared" si="84"/>
        <v>0</v>
      </c>
      <c r="S31" s="1194"/>
      <c r="T31" s="1202"/>
      <c r="U31" s="1203">
        <f t="shared" si="86"/>
        <v>0</v>
      </c>
      <c r="V31" s="1194"/>
      <c r="W31" s="1202"/>
      <c r="X31" s="1203">
        <f t="shared" si="88"/>
        <v>0</v>
      </c>
      <c r="Y31" s="1195"/>
      <c r="Z31" s="1202"/>
      <c r="AA31" s="1203">
        <f t="shared" si="90"/>
        <v>0</v>
      </c>
      <c r="AB31" s="1195"/>
      <c r="AC31" s="1202"/>
      <c r="AD31" s="1203">
        <f t="shared" si="92"/>
        <v>0</v>
      </c>
      <c r="AE31" s="1194"/>
      <c r="AF31" s="1202"/>
      <c r="AG31" s="1203">
        <f t="shared" si="94"/>
        <v>0</v>
      </c>
      <c r="AH31" s="1194"/>
      <c r="AI31" s="1202"/>
      <c r="AJ31" s="1203">
        <f t="shared" si="96"/>
        <v>0</v>
      </c>
      <c r="AK31" s="1194"/>
      <c r="AL31" s="1355">
        <f t="shared" si="107"/>
        <v>0</v>
      </c>
      <c r="AM31" s="1356"/>
      <c r="AN31" s="1357"/>
    </row>
    <row r="32" spans="1:42" x14ac:dyDescent="0.25">
      <c r="A32" s="1210" t="s">
        <v>112</v>
      </c>
      <c r="B32" s="1219">
        <f>B8+B16+B24</f>
        <v>0</v>
      </c>
      <c r="C32" s="1191">
        <f t="shared" si="74"/>
        <v>0</v>
      </c>
      <c r="D32" s="1338">
        <f>D8+D16+D24</f>
        <v>0</v>
      </c>
      <c r="E32" s="1219">
        <f>E8+E16+E24</f>
        <v>25</v>
      </c>
      <c r="F32" s="1191">
        <f t="shared" si="76"/>
        <v>380</v>
      </c>
      <c r="G32" s="1338">
        <f>G8+G16+G24</f>
        <v>9500</v>
      </c>
      <c r="H32" s="1219">
        <f>H8+H16+H24</f>
        <v>0</v>
      </c>
      <c r="I32" s="1191">
        <f t="shared" si="78"/>
        <v>0</v>
      </c>
      <c r="J32" s="1338">
        <f>J8+J16+J24</f>
        <v>0</v>
      </c>
      <c r="K32" s="1219">
        <f>K8+K16+K24</f>
        <v>0</v>
      </c>
      <c r="L32" s="1454">
        <f t="shared" si="80"/>
        <v>0</v>
      </c>
      <c r="M32" s="1535">
        <f>M8+M16+M24</f>
        <v>0</v>
      </c>
      <c r="N32" s="1219">
        <f>N8+N16+N24</f>
        <v>0</v>
      </c>
      <c r="O32" s="1191">
        <f t="shared" si="82"/>
        <v>0</v>
      </c>
      <c r="P32" s="1338">
        <f>P8+P16+P24</f>
        <v>0</v>
      </c>
      <c r="Q32" s="1219">
        <f>Q8+Q16+Q24</f>
        <v>0</v>
      </c>
      <c r="R32" s="1191">
        <f t="shared" si="84"/>
        <v>0</v>
      </c>
      <c r="S32" s="1338">
        <f>S8+S16+S24</f>
        <v>0</v>
      </c>
      <c r="T32" s="1219">
        <f>T8+T16+T24</f>
        <v>0</v>
      </c>
      <c r="U32" s="1191">
        <f t="shared" si="86"/>
        <v>0</v>
      </c>
      <c r="V32" s="1338">
        <f>V8+V16+V24</f>
        <v>0</v>
      </c>
      <c r="W32" s="1219">
        <f>W8+W16+W24</f>
        <v>0</v>
      </c>
      <c r="X32" s="1191">
        <f t="shared" si="88"/>
        <v>0</v>
      </c>
      <c r="Y32" s="1461">
        <f>Y8+Y16+Y24</f>
        <v>0</v>
      </c>
      <c r="Z32" s="1219">
        <f>Z8+Z16+Z24</f>
        <v>0</v>
      </c>
      <c r="AA32" s="1191">
        <f t="shared" si="90"/>
        <v>0</v>
      </c>
      <c r="AB32" s="1461">
        <f>AB8+AB16+AB24</f>
        <v>0</v>
      </c>
      <c r="AC32" s="1219">
        <f>AC8+AC16+AC24</f>
        <v>0</v>
      </c>
      <c r="AD32" s="1191">
        <f t="shared" si="92"/>
        <v>0</v>
      </c>
      <c r="AE32" s="1478">
        <f>AE8+AE16+AE24</f>
        <v>0</v>
      </c>
      <c r="AF32" s="1219">
        <f>AF8+AF16+AF24</f>
        <v>0</v>
      </c>
      <c r="AG32" s="1191">
        <f t="shared" si="94"/>
        <v>0</v>
      </c>
      <c r="AH32" s="1478">
        <f>AH8+AH16+AH24</f>
        <v>0</v>
      </c>
      <c r="AI32" s="1219">
        <f>AI8+AI16+AI24</f>
        <v>0</v>
      </c>
      <c r="AJ32" s="1191">
        <f t="shared" si="96"/>
        <v>0</v>
      </c>
      <c r="AK32" s="1478">
        <f>AK8+AK16+AK24</f>
        <v>0</v>
      </c>
      <c r="AL32" s="1349">
        <f>SUM(B32,E32,H32,K32,N32,Q32,T32,W32,Z32,AC32,AF32,AI32)</f>
        <v>25</v>
      </c>
      <c r="AM32" s="1358">
        <f t="shared" ref="AM32:AM33" si="108">IF(AL32=0,0,(AN32/AL32))</f>
        <v>380</v>
      </c>
      <c r="AN32" s="1351">
        <f>SUM(D32,G32,J32,M32,P32,S32,V32,Y32,AB32,AE32,AH32,AK32)</f>
        <v>9500</v>
      </c>
    </row>
    <row r="33" spans="1:42" ht="13.8" thickBot="1" x14ac:dyDescent="0.3">
      <c r="A33" s="452" t="s">
        <v>75</v>
      </c>
      <c r="B33" s="1219">
        <f t="shared" si="73"/>
        <v>78108</v>
      </c>
      <c r="C33" s="1188">
        <f t="shared" si="74"/>
        <v>139.4481871255185</v>
      </c>
      <c r="D33" s="1190">
        <f t="shared" si="75"/>
        <v>10892019</v>
      </c>
      <c r="E33" s="1219">
        <f t="shared" si="75"/>
        <v>92299</v>
      </c>
      <c r="F33" s="1188">
        <f t="shared" si="76"/>
        <v>155.48952859727623</v>
      </c>
      <c r="G33" s="1190">
        <f t="shared" ref="G33" si="109">G9+G17+G25</f>
        <v>14351528</v>
      </c>
      <c r="H33" s="1219">
        <f t="shared" si="77"/>
        <v>0</v>
      </c>
      <c r="I33" s="1188">
        <f t="shared" si="78"/>
        <v>0</v>
      </c>
      <c r="J33" s="1190">
        <f t="shared" ref="J33" si="110">J9+J17+J25</f>
        <v>0</v>
      </c>
      <c r="K33" s="1219">
        <f t="shared" si="79"/>
        <v>0</v>
      </c>
      <c r="L33" s="1188">
        <f t="shared" si="80"/>
        <v>0</v>
      </c>
      <c r="M33" s="1190">
        <f t="shared" ref="M33:N33" si="111">M9+M17+M25</f>
        <v>0</v>
      </c>
      <c r="N33" s="1219">
        <f t="shared" si="111"/>
        <v>0</v>
      </c>
      <c r="O33" s="1188">
        <f t="shared" si="82"/>
        <v>0</v>
      </c>
      <c r="P33" s="1190">
        <f t="shared" ref="P33:Q33" si="112">P9+P17+P25</f>
        <v>0</v>
      </c>
      <c r="Q33" s="1219">
        <f t="shared" si="112"/>
        <v>0</v>
      </c>
      <c r="R33" s="1188">
        <f t="shared" si="84"/>
        <v>0</v>
      </c>
      <c r="S33" s="1190">
        <f t="shared" ref="S33:T33" si="113">S9+S17+S25</f>
        <v>0</v>
      </c>
      <c r="T33" s="1219">
        <f t="shared" si="113"/>
        <v>0</v>
      </c>
      <c r="U33" s="1188">
        <f t="shared" si="86"/>
        <v>0</v>
      </c>
      <c r="V33" s="1190">
        <f t="shared" ref="V33:W33" si="114">V9+V17+V25</f>
        <v>0</v>
      </c>
      <c r="W33" s="1219">
        <f t="shared" si="114"/>
        <v>0</v>
      </c>
      <c r="X33" s="1188">
        <f t="shared" si="88"/>
        <v>0</v>
      </c>
      <c r="Y33" s="1459">
        <f t="shared" ref="Y33:Z33" si="115">Y9+Y17+Y25</f>
        <v>0</v>
      </c>
      <c r="Z33" s="1219">
        <f t="shared" si="115"/>
        <v>0</v>
      </c>
      <c r="AA33" s="1188">
        <f t="shared" si="90"/>
        <v>0</v>
      </c>
      <c r="AB33" s="1459">
        <f t="shared" ref="AB33:AC33" si="116">AB9+AB17+AB25</f>
        <v>0</v>
      </c>
      <c r="AC33" s="1219">
        <f t="shared" si="116"/>
        <v>0</v>
      </c>
      <c r="AD33" s="1188">
        <f t="shared" si="92"/>
        <v>0</v>
      </c>
      <c r="AE33" s="1190">
        <f t="shared" ref="AE33:AF33" si="117">AE9+AE17+AE25</f>
        <v>0</v>
      </c>
      <c r="AF33" s="1219">
        <f t="shared" si="117"/>
        <v>0</v>
      </c>
      <c r="AG33" s="1188">
        <f t="shared" si="94"/>
        <v>0</v>
      </c>
      <c r="AH33" s="1190">
        <f t="shared" ref="AH33:AI33" si="118">AH9+AH17+AH25</f>
        <v>0</v>
      </c>
      <c r="AI33" s="1219">
        <f t="shared" si="118"/>
        <v>0</v>
      </c>
      <c r="AJ33" s="1188">
        <f t="shared" si="96"/>
        <v>0</v>
      </c>
      <c r="AK33" s="1190">
        <f t="shared" ref="AK33" si="119">AK9+AK17+AK25</f>
        <v>0</v>
      </c>
      <c r="AL33" s="1654">
        <f>AL9+AL17+AL25</f>
        <v>0</v>
      </c>
      <c r="AM33" s="1655">
        <f t="shared" si="108"/>
        <v>0</v>
      </c>
      <c r="AN33" s="1656">
        <f>AN9+AN17+AN25</f>
        <v>0</v>
      </c>
      <c r="AP33" s="8"/>
    </row>
    <row r="34" spans="1:42" ht="14.4" thickBot="1" x14ac:dyDescent="0.35">
      <c r="A34" s="1213" t="s">
        <v>493</v>
      </c>
      <c r="B34" s="1214">
        <f>(B28+B29)-(B32+B33)</f>
        <v>66208</v>
      </c>
      <c r="C34" s="1215">
        <f>IF(B34=0,0,(D34/B34))</f>
        <v>107.36877718704689</v>
      </c>
      <c r="D34" s="1294">
        <f>(D28+D29)-(D32+D33)</f>
        <v>7108672</v>
      </c>
      <c r="E34" s="1214">
        <f>(E28+E29)-(E32+E33)</f>
        <v>62433</v>
      </c>
      <c r="F34" s="1215">
        <f>IF(E34=0,0,(G34/E34))</f>
        <v>127.58602021366906</v>
      </c>
      <c r="G34" s="1294">
        <f>(G28+G29)-(G32+G33)</f>
        <v>7965578</v>
      </c>
      <c r="H34" s="1214">
        <f>(H28+H29)-(H32+H33)</f>
        <v>92299</v>
      </c>
      <c r="I34" s="1215">
        <f>IF(H34=0,0,(J34/H34))</f>
        <v>155.48952859727623</v>
      </c>
      <c r="J34" s="1294">
        <f>(J28+J29)-(J32+J33)</f>
        <v>14351528</v>
      </c>
      <c r="K34" s="1214">
        <f>(K28+K29)-(K32+K33)</f>
        <v>0</v>
      </c>
      <c r="L34" s="1215">
        <f>IF(K34=0,0,(M34/K34))</f>
        <v>0</v>
      </c>
      <c r="M34" s="1294">
        <f>(M28+M29)-(M32+M33)</f>
        <v>0</v>
      </c>
      <c r="N34" s="1214">
        <f>(N28+N29)-(N32+N33)</f>
        <v>-1</v>
      </c>
      <c r="O34" s="1215">
        <f>IF(N34=0,0,(P34/N34))</f>
        <v>0</v>
      </c>
      <c r="P34" s="1294">
        <f>(P28+P29)-(P32+P33)</f>
        <v>0</v>
      </c>
      <c r="Q34" s="1214">
        <f>(Q28+Q29)-(Q32+Q33)</f>
        <v>0</v>
      </c>
      <c r="R34" s="1215">
        <f>IF(Q34=0,0,(S34/Q34))</f>
        <v>0</v>
      </c>
      <c r="S34" s="1294">
        <f>(S28+S29)-(S32+S33)</f>
        <v>0</v>
      </c>
      <c r="T34" s="1214">
        <f>(T28+T29)-(T32+T33)</f>
        <v>0</v>
      </c>
      <c r="U34" s="1215">
        <f>IF(T34=0,0,(V34/T34))</f>
        <v>0</v>
      </c>
      <c r="V34" s="1294">
        <f>(V28+V29)-(V32+V33)</f>
        <v>0</v>
      </c>
      <c r="W34" s="1214">
        <f>(W28+W29)-(W32+W33)</f>
        <v>0</v>
      </c>
      <c r="X34" s="1215">
        <f>IF(W34=0,0,(Y34/W34))</f>
        <v>0</v>
      </c>
      <c r="Y34" s="1457">
        <f>(Y28+Y29)-(Y32+Y33)</f>
        <v>0</v>
      </c>
      <c r="Z34" s="1214">
        <f>(Z28+Z29)-(Z32+Z33)</f>
        <v>0</v>
      </c>
      <c r="AA34" s="1215">
        <f>IF(Z34=0,0,(AB34/Z34))</f>
        <v>0</v>
      </c>
      <c r="AB34" s="1457">
        <f>(AB28+AB29)-(AB32+AB33)</f>
        <v>0</v>
      </c>
      <c r="AC34" s="1214">
        <f>(AC28+AC29)-(AC32+AC33)</f>
        <v>0</v>
      </c>
      <c r="AD34" s="1215">
        <f>IF(AC34=0,0,(AE34/AC34))</f>
        <v>0</v>
      </c>
      <c r="AE34" s="1216">
        <f>(AE28+AE29)-(AE32+AE33)</f>
        <v>0</v>
      </c>
      <c r="AF34" s="1214">
        <f>(AF28+AF29)-(AF32+AF33)</f>
        <v>0</v>
      </c>
      <c r="AG34" s="1215">
        <f>IF(AF34=0,0,(AH34/AF34))</f>
        <v>0</v>
      </c>
      <c r="AH34" s="1216">
        <f>(AH28+AH29)-(AH32+AH33)</f>
        <v>0</v>
      </c>
      <c r="AI34" s="1214">
        <f>(AI28+AI29)-(AI32+AI33)</f>
        <v>0</v>
      </c>
      <c r="AJ34" s="1215">
        <f>IF(AI34=0,0,(AK34/AI34))</f>
        <v>0</v>
      </c>
      <c r="AK34" s="1216">
        <f>(AK28+AK29)-(AK32+AK33)</f>
        <v>0</v>
      </c>
      <c r="AL34" s="1359">
        <f>(AL28+AL29)-(AL32+AL33)</f>
        <v>220939</v>
      </c>
      <c r="AM34" s="1360">
        <f>IF(AL34=0,0,(AN34/AL34))</f>
        <v>133.18507823426376</v>
      </c>
      <c r="AN34" s="1361">
        <f>(AN28+AN29)-(AN32+AN33)</f>
        <v>29425778</v>
      </c>
      <c r="AP34" s="8"/>
    </row>
    <row r="35" spans="1:42" x14ac:dyDescent="0.25">
      <c r="A35" s="1165" t="s">
        <v>480</v>
      </c>
      <c r="B35" s="1165"/>
      <c r="C35" s="1222">
        <f>C10</f>
        <v>106.07658339063336</v>
      </c>
      <c r="D35" s="1182"/>
      <c r="E35" s="1165"/>
      <c r="F35" s="1222">
        <f>F10</f>
        <v>126.42356662071202</v>
      </c>
      <c r="G35" s="1182"/>
      <c r="H35" s="1165"/>
      <c r="I35" s="1222">
        <f>I10</f>
        <v>152.60895157707685</v>
      </c>
      <c r="J35" s="1182"/>
      <c r="K35" s="1165"/>
      <c r="L35" s="1222">
        <f>L10</f>
        <v>0</v>
      </c>
      <c r="M35" s="1182"/>
      <c r="N35" s="1165"/>
      <c r="O35" s="1222">
        <f>O10</f>
        <v>0</v>
      </c>
      <c r="P35" s="1182"/>
      <c r="Q35" s="1165"/>
      <c r="R35" s="1222">
        <f>R10</f>
        <v>0</v>
      </c>
      <c r="S35" s="1182"/>
      <c r="T35" s="1165"/>
      <c r="U35" s="1222">
        <f>U10</f>
        <v>0</v>
      </c>
      <c r="V35" s="1165"/>
      <c r="W35" s="1165"/>
      <c r="X35" s="1222">
        <f>X10</f>
        <v>0</v>
      </c>
      <c r="Y35" s="1165"/>
      <c r="Z35" s="1165"/>
      <c r="AA35" s="1222">
        <f>AA10</f>
        <v>0</v>
      </c>
      <c r="AB35" s="1165"/>
      <c r="AC35" s="1165"/>
      <c r="AD35" s="1222">
        <f>AD10</f>
        <v>0</v>
      </c>
      <c r="AE35" s="1165"/>
      <c r="AF35" s="1165"/>
      <c r="AG35" s="1222">
        <f>AG10</f>
        <v>0</v>
      </c>
      <c r="AH35" s="1165"/>
      <c r="AI35" s="1165"/>
      <c r="AJ35" s="1222">
        <f>AJ10</f>
        <v>0</v>
      </c>
      <c r="AK35" s="1165"/>
      <c r="AL35" s="1165"/>
      <c r="AM35" s="1222">
        <f>AM10</f>
        <v>131.14919867366675</v>
      </c>
      <c r="AN35" s="1182"/>
    </row>
    <row r="36" spans="1:42" ht="13.8" x14ac:dyDescent="0.3">
      <c r="A36" s="1217" t="s">
        <v>481</v>
      </c>
      <c r="C36" s="1223">
        <f>C34-C35</f>
        <v>1.2921937964135282</v>
      </c>
      <c r="F36" s="1223">
        <f>F34-F35</f>
        <v>1.1624535929570357</v>
      </c>
      <c r="I36" s="1223">
        <f>I34-I35</f>
        <v>2.8805770201993823</v>
      </c>
      <c r="L36" s="1223">
        <f>L34-L35</f>
        <v>0</v>
      </c>
      <c r="O36" s="1223">
        <f>O34-O35</f>
        <v>0</v>
      </c>
      <c r="R36" s="1223">
        <f>R34-R35</f>
        <v>0</v>
      </c>
      <c r="S36" s="1299"/>
      <c r="U36" s="1223">
        <f>U34-U35</f>
        <v>0</v>
      </c>
      <c r="X36" s="1223">
        <f>X34-X35</f>
        <v>0</v>
      </c>
      <c r="AA36" s="1223">
        <f>AA34-AA35</f>
        <v>0</v>
      </c>
      <c r="AD36" s="1223">
        <f>AD34-AD35</f>
        <v>0</v>
      </c>
      <c r="AG36" s="1223">
        <f>AG34-AG35</f>
        <v>0</v>
      </c>
      <c r="AJ36" s="1223">
        <f>AJ34-AJ35</f>
        <v>0</v>
      </c>
      <c r="AM36" s="1223">
        <f>AM34-AM35</f>
        <v>2.0358795605970101</v>
      </c>
    </row>
    <row r="37" spans="1:42" x14ac:dyDescent="0.25">
      <c r="Y37" s="1252"/>
    </row>
    <row r="38" spans="1:42" ht="13.8" thickBot="1" x14ac:dyDescent="0.3">
      <c r="A38" s="1164" t="s">
        <v>486</v>
      </c>
      <c r="B38" s="1240"/>
      <c r="C38" s="1241"/>
      <c r="D38" s="1241"/>
      <c r="E38" s="1240"/>
      <c r="F38" s="1240"/>
      <c r="G38" s="1240"/>
      <c r="H38" s="1240"/>
      <c r="I38" s="1240"/>
      <c r="J38" s="1240"/>
      <c r="K38" s="1240"/>
      <c r="L38" s="1240"/>
      <c r="M38" s="1240"/>
      <c r="N38" s="1240"/>
      <c r="O38" s="1240"/>
      <c r="P38" s="1240"/>
      <c r="Q38" s="1240"/>
      <c r="R38" s="1240"/>
      <c r="S38" s="1240"/>
      <c r="T38" s="1240"/>
      <c r="U38" s="1240"/>
      <c r="V38" s="1240"/>
      <c r="W38" s="1240"/>
      <c r="X38" s="1240"/>
      <c r="Y38" s="1241"/>
      <c r="Z38" s="1240"/>
      <c r="AA38" s="1240"/>
      <c r="AB38" s="1240"/>
      <c r="AC38" s="1240"/>
      <c r="AD38" s="1240"/>
      <c r="AE38" s="1240"/>
      <c r="AF38" s="1240"/>
      <c r="AG38" s="1240"/>
      <c r="AH38" s="1240"/>
      <c r="AI38" s="1240"/>
      <c r="AJ38" s="1240"/>
      <c r="AK38" s="1240"/>
      <c r="AL38" s="1240"/>
      <c r="AM38" s="1240"/>
      <c r="AN38" s="1241"/>
    </row>
    <row r="39" spans="1:42" x14ac:dyDescent="0.25">
      <c r="A39" s="1169" t="s">
        <v>71</v>
      </c>
      <c r="B39" s="418"/>
      <c r="C39" s="1237">
        <f>IF(B39=0,0,(D39/B39))</f>
        <v>0</v>
      </c>
      <c r="D39" s="1238"/>
      <c r="E39" s="418"/>
      <c r="F39" s="1237">
        <f>IF(E39=0,0,(G39/E39))</f>
        <v>0</v>
      </c>
      <c r="G39" s="1238"/>
      <c r="H39" s="418"/>
      <c r="I39" s="1237">
        <f>IF(H39=0,0,(J39/H39))</f>
        <v>0</v>
      </c>
      <c r="J39" s="1238"/>
      <c r="K39" s="418"/>
      <c r="L39" s="1237">
        <f>IF(K39=0,0,(M39/K39))</f>
        <v>0</v>
      </c>
      <c r="M39" s="1238"/>
      <c r="N39" s="1239">
        <f>K48</f>
        <v>0</v>
      </c>
      <c r="O39" s="420"/>
      <c r="P39" s="1168"/>
      <c r="Q39" s="407">
        <f>N48</f>
        <v>0</v>
      </c>
      <c r="R39" s="408"/>
      <c r="S39" s="410"/>
      <c r="T39" s="1239">
        <f>Q48</f>
        <v>0</v>
      </c>
      <c r="U39" s="420"/>
      <c r="V39" s="214"/>
      <c r="W39" s="418">
        <f>T48</f>
        <v>0</v>
      </c>
      <c r="X39" s="419"/>
      <c r="Y39" s="1441"/>
      <c r="Z39" s="1180">
        <f>W48</f>
        <v>0</v>
      </c>
      <c r="AA39" s="409"/>
      <c r="AB39" s="1170"/>
      <c r="AC39" s="1180">
        <f>Z48</f>
        <v>0</v>
      </c>
      <c r="AD39" s="409"/>
      <c r="AE39" s="1170"/>
      <c r="AF39" s="1180">
        <f>AC48</f>
        <v>0</v>
      </c>
      <c r="AG39" s="409"/>
      <c r="AH39" s="1170"/>
      <c r="AI39" s="418">
        <f t="shared" ref="AI39" si="120">AF48</f>
        <v>0</v>
      </c>
      <c r="AJ39" s="409"/>
      <c r="AK39" s="1173"/>
      <c r="AL39" s="1346">
        <f>B39</f>
        <v>0</v>
      </c>
      <c r="AM39" s="1347">
        <f>IF(AL39=0,0,(AN39/AL39))</f>
        <v>0</v>
      </c>
      <c r="AN39" s="1348">
        <f>D39</f>
        <v>0</v>
      </c>
    </row>
    <row r="40" spans="1:42" x14ac:dyDescent="0.25">
      <c r="A40" s="1609" t="s">
        <v>551</v>
      </c>
      <c r="B40" s="1219">
        <f>ROUND((Purchase!L22),0)</f>
        <v>3668</v>
      </c>
      <c r="C40" s="1189">
        <f t="shared" ref="C40:C48" si="121">IF(B40=0,0,(D40/B40))</f>
        <v>182.33396946564886</v>
      </c>
      <c r="D40" s="1190">
        <f>ROUND((Purchase!M22),0)</f>
        <v>668801</v>
      </c>
      <c r="E40" s="1219">
        <f>ROUND((Purchase!L23),0)</f>
        <v>4150</v>
      </c>
      <c r="F40" s="1189">
        <f t="shared" ref="F40:F42" si="122">IF(E40=0,0,(G40/E40))</f>
        <v>111.3855421686747</v>
      </c>
      <c r="G40" s="1190">
        <f>ROUND((Purchase!M23),0)</f>
        <v>462250</v>
      </c>
      <c r="H40" s="1219">
        <f>ROUND((Purchase!L24),0)</f>
        <v>0</v>
      </c>
      <c r="I40" s="1189">
        <f t="shared" ref="I40:I42" si="123">IF(H40=0,0,(J40/H40))</f>
        <v>0</v>
      </c>
      <c r="J40" s="1190">
        <f>ROUND((Purchase!M24),0)</f>
        <v>0</v>
      </c>
      <c r="K40" s="1219">
        <f>ROUND((Purchase!L25),0)</f>
        <v>0</v>
      </c>
      <c r="L40" s="1189">
        <f t="shared" ref="L40:L42" si="124">IF(K40=0,0,(M40/K40))</f>
        <v>0</v>
      </c>
      <c r="M40" s="1190">
        <f>ROUND((Purchase!M25),0)</f>
        <v>0</v>
      </c>
      <c r="N40" s="1219">
        <f>ROUND((Purchase!$L26),)</f>
        <v>0</v>
      </c>
      <c r="O40" s="1189">
        <f t="shared" ref="O40:O42" si="125">IF(N40=0,0,(P40/N40))</f>
        <v>0</v>
      </c>
      <c r="P40" s="1190">
        <f>ROUND((Purchase!M26),0)</f>
        <v>0</v>
      </c>
      <c r="Q40" s="1219">
        <f>ROUND((Purchase!$L27),0)</f>
        <v>0</v>
      </c>
      <c r="R40" s="1189">
        <f t="shared" ref="R40:R42" si="126">IF(Q40=0,0,(S40/Q40))</f>
        <v>0</v>
      </c>
      <c r="S40" s="1190">
        <f>ROUND((Purchase!$M27),0)</f>
        <v>0</v>
      </c>
      <c r="T40" s="1595">
        <f>ROUND((Purchase!$L28),0)</f>
        <v>0</v>
      </c>
      <c r="U40" s="1189">
        <f t="shared" ref="U40:U42" si="127">IF(T40=0,0,(V40/T40))</f>
        <v>0</v>
      </c>
      <c r="V40" s="1190">
        <f>ROUND((Purchase!$M28),0)</f>
        <v>0</v>
      </c>
      <c r="W40" s="1219">
        <f>ROUND((Purchase!$L29),0)</f>
        <v>0</v>
      </c>
      <c r="X40" s="1189">
        <f t="shared" ref="X40:X42" si="128">IF(W40=0,0,(Y40/W40))</f>
        <v>0</v>
      </c>
      <c r="Y40" s="1190">
        <f>ROUND((Purchase!$M29),0)</f>
        <v>0</v>
      </c>
      <c r="Z40" s="411">
        <f>ROUND((Purchase!L30),0)</f>
        <v>0</v>
      </c>
      <c r="AA40" s="1189">
        <f t="shared" ref="AA40:AA42" si="129">IF(Z40=0,0,(AB40/Z40))</f>
        <v>0</v>
      </c>
      <c r="AB40" s="1184">
        <f>ROUND((Purchase!M30),0)</f>
        <v>0</v>
      </c>
      <c r="AC40" s="411">
        <f>ROUND((Purchase!$L31),0)</f>
        <v>0</v>
      </c>
      <c r="AD40" s="1189">
        <f t="shared" ref="AD40:AD42" si="130">IF(AC40=0,0,(AE40/AC40))</f>
        <v>0</v>
      </c>
      <c r="AE40" s="1184">
        <f>ROUND((Purchase!M31),0)</f>
        <v>0</v>
      </c>
      <c r="AF40" s="411">
        <f>ROUND((Purchase!$L32),0)</f>
        <v>0</v>
      </c>
      <c r="AG40" s="1189">
        <f t="shared" ref="AG40:AG42" si="131">IF(AF40=0,0,(AH40/AF40))</f>
        <v>0</v>
      </c>
      <c r="AH40" s="1184">
        <f>Purchase!M32</f>
        <v>0</v>
      </c>
      <c r="AI40" s="411">
        <f>ROUND((Purchase!$L33),0)</f>
        <v>0</v>
      </c>
      <c r="AJ40" s="1189">
        <f t="shared" ref="AJ40:AJ42" si="132">IF(AI40=0,0,(AK40/AI40))</f>
        <v>0</v>
      </c>
      <c r="AK40" s="1184">
        <f>ROUND((Purchase!M33),0)</f>
        <v>0</v>
      </c>
      <c r="AL40" s="1349">
        <f>SUM(B40,E40,H40,K40,N40,Q40,T40,W40,Z40,AC40,AF40,AI40)</f>
        <v>7818</v>
      </c>
      <c r="AM40" s="1350">
        <f t="shared" ref="AM40" si="133">IF(AL40=0,0,(AN40/AL40))</f>
        <v>144.67267843438219</v>
      </c>
      <c r="AN40" s="1351">
        <f>SUM(D40,G40,J40,M40,P40,S40,V40,Y40,AB40,AE40,AH40,AK40)</f>
        <v>1131051</v>
      </c>
      <c r="AO40" s="1145">
        <f>ROUND((Purchase!M34),0)</f>
        <v>1131051</v>
      </c>
      <c r="AP40" s="342">
        <f>AN40-AO40</f>
        <v>0</v>
      </c>
    </row>
    <row r="41" spans="1:42" x14ac:dyDescent="0.25">
      <c r="A41" s="2712" t="s">
        <v>947</v>
      </c>
      <c r="B41" s="730">
        <f>Purchase!$E22</f>
        <v>17310.96</v>
      </c>
      <c r="C41" s="1191">
        <f t="shared" si="121"/>
        <v>261.9698734212314</v>
      </c>
      <c r="D41" s="2028">
        <f>Purchase!$F22</f>
        <v>4534950</v>
      </c>
      <c r="E41" s="730">
        <f>ROUND((Purchase!$E23),0)</f>
        <v>9184</v>
      </c>
      <c r="F41" s="1191">
        <f t="shared" si="122"/>
        <v>266.03397212543553</v>
      </c>
      <c r="G41" s="2028">
        <f>Purchase!$F23</f>
        <v>2443256</v>
      </c>
      <c r="H41" s="730">
        <f>Purchase!$E24</f>
        <v>0</v>
      </c>
      <c r="I41" s="1191">
        <f t="shared" si="123"/>
        <v>0</v>
      </c>
      <c r="J41" s="2028">
        <f>Purchase!$F24</f>
        <v>0</v>
      </c>
      <c r="K41" s="730">
        <f>ROUND((Purchase!$E25),0)</f>
        <v>0</v>
      </c>
      <c r="L41" s="1191">
        <f t="shared" si="124"/>
        <v>0</v>
      </c>
      <c r="M41" s="2028">
        <f>ROUND((Purchase!$F25),0)</f>
        <v>0</v>
      </c>
      <c r="N41" s="730">
        <f>ROUND((Purchase!$E26),0)</f>
        <v>0</v>
      </c>
      <c r="O41" s="1191">
        <f t="shared" si="125"/>
        <v>0</v>
      </c>
      <c r="P41" s="2028">
        <f>Purchase!$F26</f>
        <v>0</v>
      </c>
      <c r="Q41" s="730">
        <f>ROUND((Purchase!$E27),0)</f>
        <v>0</v>
      </c>
      <c r="R41" s="1191">
        <f t="shared" si="126"/>
        <v>0</v>
      </c>
      <c r="S41" s="2028">
        <f>Purchase!$F27</f>
        <v>0</v>
      </c>
      <c r="T41" s="730">
        <f>ROUND((Purchase!$E28),0)</f>
        <v>0</v>
      </c>
      <c r="U41" s="1191">
        <f t="shared" si="127"/>
        <v>0</v>
      </c>
      <c r="V41" s="2028">
        <f>ROUND((Purchase!$F28),0)</f>
        <v>0</v>
      </c>
      <c r="W41" s="1219">
        <f>ROUND((Purchase!E29),0)</f>
        <v>0</v>
      </c>
      <c r="X41" s="1189">
        <f t="shared" si="128"/>
        <v>0</v>
      </c>
      <c r="Y41" s="1190">
        <f>Purchase!F29</f>
        <v>0</v>
      </c>
      <c r="Z41" s="1219">
        <f>ROUND((Purchase!E30),0)</f>
        <v>0</v>
      </c>
      <c r="AA41" s="1189">
        <f t="shared" si="129"/>
        <v>0</v>
      </c>
      <c r="AB41" s="1190">
        <f>ROUND((Purchase!F30),0)</f>
        <v>0</v>
      </c>
      <c r="AC41" s="1219">
        <f>ROUND((Purchase!E31),0)</f>
        <v>0</v>
      </c>
      <c r="AD41" s="1189">
        <f t="shared" si="130"/>
        <v>0</v>
      </c>
      <c r="AE41" s="1190">
        <f>ROUND((Purchase!F31),0)</f>
        <v>0</v>
      </c>
      <c r="AF41" s="1219">
        <f>ROUND((Purchase!E32),0)</f>
        <v>0</v>
      </c>
      <c r="AG41" s="1189">
        <f t="shared" si="131"/>
        <v>0</v>
      </c>
      <c r="AH41" s="1190">
        <f>ROUND((Purchase!F32),0)</f>
        <v>0</v>
      </c>
      <c r="AI41" s="1219">
        <f>ROUND((Purchase!E33),0)</f>
        <v>0</v>
      </c>
      <c r="AJ41" s="1189">
        <f t="shared" si="132"/>
        <v>0</v>
      </c>
      <c r="AK41" s="1190">
        <f>ROUND((Purchase!F33),0)</f>
        <v>0</v>
      </c>
      <c r="AL41" s="1349">
        <f>ROUND((Purchase!E34),0)</f>
        <v>26494</v>
      </c>
      <c r="AM41" s="1350">
        <f t="shared" ref="AM41:AM43" si="134">IF(AL41=0,0,(AN41/AL41))</f>
        <v>263.38816335774135</v>
      </c>
      <c r="AN41" s="1351">
        <f>ROUND((Purchase!F34),0)</f>
        <v>6978206</v>
      </c>
      <c r="AO41" s="1145">
        <f>ROUND((Purchase!F34),0)</f>
        <v>6978206</v>
      </c>
      <c r="AP41" s="342">
        <f t="shared" ref="AP41:AP42" si="135">AN41-AO41</f>
        <v>0</v>
      </c>
    </row>
    <row r="42" spans="1:42" x14ac:dyDescent="0.25">
      <c r="A42" s="2711" t="s">
        <v>552</v>
      </c>
      <c r="B42" s="418">
        <f>ROUND((Purchase!B22),0)</f>
        <v>5222</v>
      </c>
      <c r="C42" s="1191">
        <f t="shared" si="121"/>
        <v>279.33780160857907</v>
      </c>
      <c r="D42" s="1245">
        <f>ROUND((Purchase!C22),0)</f>
        <v>1458702</v>
      </c>
      <c r="E42" s="418">
        <f>ROUND((Purchase!B23),0)</f>
        <v>192</v>
      </c>
      <c r="F42" s="1191">
        <f t="shared" si="122"/>
        <v>251.5625</v>
      </c>
      <c r="G42" s="1245">
        <f>ROUND((Purchase!C23),0)</f>
        <v>48300</v>
      </c>
      <c r="H42" s="418">
        <f>ROUND((Purchase!B24),0)</f>
        <v>0</v>
      </c>
      <c r="I42" s="1191">
        <f t="shared" si="123"/>
        <v>0</v>
      </c>
      <c r="J42" s="1245">
        <f>ROUND((Purchase!C24),0)</f>
        <v>0</v>
      </c>
      <c r="K42" s="418">
        <f>ROUND((Purchase!B25),0)</f>
        <v>0</v>
      </c>
      <c r="L42" s="1191">
        <f t="shared" si="124"/>
        <v>0</v>
      </c>
      <c r="M42" s="1245">
        <f>ROUND((Purchase!C25),0)</f>
        <v>0</v>
      </c>
      <c r="N42" s="1178">
        <f>ROUND((Purchase!B26),0)</f>
        <v>0</v>
      </c>
      <c r="O42" s="1191">
        <f t="shared" si="125"/>
        <v>0</v>
      </c>
      <c r="P42" s="1237">
        <f>ROUND((Purchase!C26),0)</f>
        <v>0</v>
      </c>
      <c r="Q42" s="418">
        <f>ROUND((Purchase!B27),0)</f>
        <v>0</v>
      </c>
      <c r="R42" s="1191">
        <f t="shared" si="126"/>
        <v>0</v>
      </c>
      <c r="S42" s="1441">
        <f>ROUND((Purchase!C27),0)</f>
        <v>0</v>
      </c>
      <c r="T42" s="1178">
        <f>ROUND((Purchase!B28),0)</f>
        <v>0</v>
      </c>
      <c r="U42" s="1191">
        <f t="shared" si="127"/>
        <v>0</v>
      </c>
      <c r="V42" s="1237">
        <f>Purchase!C28</f>
        <v>0</v>
      </c>
      <c r="W42" s="418">
        <f>ROUND((Purchase!B29),0)</f>
        <v>0</v>
      </c>
      <c r="X42" s="1189">
        <f t="shared" si="128"/>
        <v>0</v>
      </c>
      <c r="Y42" s="1441">
        <f>ROUND((Purchase!C29),0)</f>
        <v>0</v>
      </c>
      <c r="Z42" s="427">
        <f>ROUND((Purchase!B30),0)</f>
        <v>0</v>
      </c>
      <c r="AA42" s="1189">
        <f t="shared" si="129"/>
        <v>0</v>
      </c>
      <c r="AB42" s="1594">
        <f>ROUND((Purchase!C30),0)</f>
        <v>0</v>
      </c>
      <c r="AC42" s="427">
        <f>ROUND((Purchase!$B31),0)</f>
        <v>0</v>
      </c>
      <c r="AD42" s="1189">
        <f t="shared" si="130"/>
        <v>0</v>
      </c>
      <c r="AE42" s="1594">
        <f>ROUND((Purchase!C31),0)</f>
        <v>0</v>
      </c>
      <c r="AF42" s="427">
        <f>ROUND((Purchase!$B32),0)</f>
        <v>0</v>
      </c>
      <c r="AG42" s="1189">
        <f t="shared" si="131"/>
        <v>0</v>
      </c>
      <c r="AH42" s="1594">
        <f>ROUND((Purchase!C32),0)</f>
        <v>0</v>
      </c>
      <c r="AI42" s="427">
        <f>ROUND((Purchase!$B33),0)</f>
        <v>0</v>
      </c>
      <c r="AJ42" s="1189">
        <f t="shared" si="132"/>
        <v>0</v>
      </c>
      <c r="AK42" s="1594">
        <f>ROUND((Purchase!C33),0)</f>
        <v>0</v>
      </c>
      <c r="AL42" s="1349">
        <f t="shared" ref="AL42:AL43" si="136">SUM(B42,E42,H42,K42,N42,Q42,T42,W42,Z42,AC42,AF42,AI42)</f>
        <v>5414</v>
      </c>
      <c r="AM42" s="1350">
        <f t="shared" si="134"/>
        <v>278.35278906538605</v>
      </c>
      <c r="AN42" s="1351">
        <f t="shared" ref="AN42:AN43" si="137">SUM(D42,G42,J42,M42,P42,S42,V42,Y42,AB42,AE42,AH42,AK42)</f>
        <v>1507002</v>
      </c>
      <c r="AO42" s="1145">
        <f>ROUND((Purchase!C34),0)</f>
        <v>1507002</v>
      </c>
      <c r="AP42" s="342">
        <f t="shared" si="135"/>
        <v>0</v>
      </c>
    </row>
    <row r="43" spans="1:42" x14ac:dyDescent="0.25">
      <c r="A43" s="1610" t="s">
        <v>553</v>
      </c>
      <c r="B43" s="1219"/>
      <c r="C43" s="1189">
        <f t="shared" si="121"/>
        <v>0</v>
      </c>
      <c r="D43" s="1246">
        <f>ROUND((Purchase!H22),0)</f>
        <v>283632</v>
      </c>
      <c r="E43" s="1219"/>
      <c r="F43" s="1189"/>
      <c r="G43" s="1246">
        <f>ROUND((Purchase!H23),0)</f>
        <v>285732</v>
      </c>
      <c r="H43" s="1219"/>
      <c r="I43" s="1189"/>
      <c r="J43" s="1246">
        <f>ROUND((Purchase!H24),0)</f>
        <v>0</v>
      </c>
      <c r="K43" s="1219"/>
      <c r="L43" s="1189"/>
      <c r="M43" s="1246">
        <f>ROUND((Purchase!H25),0)</f>
        <v>0</v>
      </c>
      <c r="N43" s="1595"/>
      <c r="O43" s="1189"/>
      <c r="P43" s="1459">
        <f>ROUND((Purchase!H26),0)</f>
        <v>0</v>
      </c>
      <c r="Q43" s="1219"/>
      <c r="R43" s="1189"/>
      <c r="S43" s="1190">
        <f>ROUND((Purchase!H27),0)</f>
        <v>0</v>
      </c>
      <c r="T43" s="1595"/>
      <c r="U43" s="1189"/>
      <c r="V43" s="1459">
        <f>ROUND((Purchase!H28),0)</f>
        <v>0</v>
      </c>
      <c r="W43" s="1219"/>
      <c r="X43" s="1189"/>
      <c r="Y43" s="1190">
        <f>ROUND((Purchase!H29),0)</f>
        <v>0</v>
      </c>
      <c r="Z43" s="1219"/>
      <c r="AA43" s="1189"/>
      <c r="AB43" s="1190">
        <f>ROUND((Purchase!H30),0)</f>
        <v>0</v>
      </c>
      <c r="AC43" s="1219"/>
      <c r="AD43" s="1189"/>
      <c r="AE43" s="1190">
        <f>ROUND((Purchase!H31),0)</f>
        <v>0</v>
      </c>
      <c r="AF43" s="1219"/>
      <c r="AG43" s="1189"/>
      <c r="AH43" s="1190">
        <f>ROUND((Purchase!H32),0)</f>
        <v>0</v>
      </c>
      <c r="AI43" s="1219"/>
      <c r="AJ43" s="1189"/>
      <c r="AK43" s="1190">
        <f>ROUND((Purchase!H33),0)</f>
        <v>0</v>
      </c>
      <c r="AL43" s="1349">
        <f t="shared" si="136"/>
        <v>0</v>
      </c>
      <c r="AM43" s="1350">
        <f t="shared" si="134"/>
        <v>0</v>
      </c>
      <c r="AN43" s="1351">
        <f t="shared" si="137"/>
        <v>569364</v>
      </c>
      <c r="AO43" s="1145">
        <f>ROUND((Purchase!H34),0)</f>
        <v>569365</v>
      </c>
      <c r="AP43" s="342">
        <f>AN43-AO43</f>
        <v>-1</v>
      </c>
    </row>
    <row r="44" spans="1:42" ht="13.8" thickBot="1" x14ac:dyDescent="0.3">
      <c r="A44" s="1174"/>
      <c r="B44" s="1596"/>
      <c r="C44" s="1597">
        <f t="shared" si="121"/>
        <v>0</v>
      </c>
      <c r="D44" s="1598"/>
      <c r="E44" s="1596"/>
      <c r="F44" s="1597"/>
      <c r="G44" s="1598"/>
      <c r="H44" s="1596"/>
      <c r="I44" s="1597"/>
      <c r="J44" s="1598"/>
      <c r="K44" s="1596"/>
      <c r="L44" s="1597"/>
      <c r="M44" s="1598"/>
      <c r="N44" s="1599"/>
      <c r="O44" s="1597"/>
      <c r="P44" s="1600"/>
      <c r="Q44" s="734"/>
      <c r="R44" s="1193"/>
      <c r="S44" s="1647"/>
      <c r="T44" s="1599"/>
      <c r="U44" s="1597"/>
      <c r="V44" s="1600"/>
      <c r="W44" s="1596"/>
      <c r="X44" s="1597"/>
      <c r="Y44" s="1601"/>
      <c r="Z44" s="1596"/>
      <c r="AA44" s="1597"/>
      <c r="AB44" s="1601"/>
      <c r="AC44" s="1596"/>
      <c r="AD44" s="1597"/>
      <c r="AE44" s="1601"/>
      <c r="AF44" s="1596"/>
      <c r="AG44" s="1597"/>
      <c r="AH44" s="1601"/>
      <c r="AI44" s="1596"/>
      <c r="AJ44" s="1597"/>
      <c r="AK44" s="1601"/>
      <c r="AL44" s="1602"/>
      <c r="AM44" s="1371"/>
      <c r="AN44" s="1372"/>
      <c r="AP44" s="342"/>
    </row>
    <row r="45" spans="1:42" ht="13.8" thickBot="1" x14ac:dyDescent="0.3">
      <c r="A45" s="1603" t="s">
        <v>554</v>
      </c>
      <c r="B45" s="446">
        <f>SUM(B40:B44)</f>
        <v>26200.959999999999</v>
      </c>
      <c r="C45" s="1604">
        <f t="shared" si="121"/>
        <v>265.10803420943358</v>
      </c>
      <c r="D45" s="1605">
        <f>SUM(D40:D44)</f>
        <v>6946085</v>
      </c>
      <c r="E45" s="446">
        <f>SUM(E40:E44)</f>
        <v>13526</v>
      </c>
      <c r="F45" s="1604">
        <f t="shared" ref="F45" si="138">IF(E45=0,0,(G45/E45))</f>
        <v>239.50450983291438</v>
      </c>
      <c r="G45" s="1605">
        <f>SUM(G40:G44)</f>
        <v>3239538</v>
      </c>
      <c r="H45" s="446">
        <f>SUM(H40:H44)</f>
        <v>0</v>
      </c>
      <c r="I45" s="1604">
        <f t="shared" ref="I45" si="139">IF(H45=0,0,(J45/H45))</f>
        <v>0</v>
      </c>
      <c r="J45" s="1605">
        <f>SUM(J40:J44)</f>
        <v>0</v>
      </c>
      <c r="K45" s="446">
        <f>SUM(K40:K44)</f>
        <v>0</v>
      </c>
      <c r="L45" s="1604">
        <f t="shared" ref="L45" si="140">IF(K45=0,0,(M45/K45))</f>
        <v>0</v>
      </c>
      <c r="M45" s="1605">
        <f>SUM(M40:M44)</f>
        <v>0</v>
      </c>
      <c r="N45" s="446">
        <f>SUM(N40:N44)</f>
        <v>0</v>
      </c>
      <c r="O45" s="1604">
        <f t="shared" ref="O45" si="141">IF(N45=0,0,(P45/N45))</f>
        <v>0</v>
      </c>
      <c r="P45" s="1605">
        <f>SUM(P40:P44)</f>
        <v>0</v>
      </c>
      <c r="Q45" s="446">
        <f>SUM(Q40:Q44)</f>
        <v>0</v>
      </c>
      <c r="R45" s="1604">
        <f t="shared" ref="R45" si="142">IF(Q45=0,0,(S45/Q45))</f>
        <v>0</v>
      </c>
      <c r="S45" s="1605">
        <f>SUM(S40:S44)</f>
        <v>0</v>
      </c>
      <c r="T45" s="446">
        <f>SUM(T40:T44)</f>
        <v>0</v>
      </c>
      <c r="U45" s="1604">
        <f t="shared" ref="U45" si="143">IF(T45=0,0,(V45/T45))</f>
        <v>0</v>
      </c>
      <c r="V45" s="1605">
        <f>SUM(V40:V44)</f>
        <v>0</v>
      </c>
      <c r="W45" s="446">
        <f>SUM(W40:W44)</f>
        <v>0</v>
      </c>
      <c r="X45" s="1604">
        <f t="shared" ref="X45" si="144">IF(W45=0,0,(Y45/W45))</f>
        <v>0</v>
      </c>
      <c r="Y45" s="1605">
        <f>SUM(Y40:Y44)</f>
        <v>0</v>
      </c>
      <c r="Z45" s="446">
        <f>SUM(Z40:Z44)</f>
        <v>0</v>
      </c>
      <c r="AA45" s="1604">
        <f t="shared" ref="AA45" si="145">IF(Z45=0,0,(AB45/Z45))</f>
        <v>0</v>
      </c>
      <c r="AB45" s="1605">
        <f>SUM(AB40:AB44)</f>
        <v>0</v>
      </c>
      <c r="AC45" s="446">
        <f>SUM(AC40:AC44)</f>
        <v>0</v>
      </c>
      <c r="AD45" s="1604">
        <f t="shared" ref="AD45" si="146">IF(AC45=0,0,(AE45/AC45))</f>
        <v>0</v>
      </c>
      <c r="AE45" s="1605">
        <f>SUM(AE40:AE44)</f>
        <v>0</v>
      </c>
      <c r="AF45" s="446">
        <f>SUM(AF40:AF44)</f>
        <v>0</v>
      </c>
      <c r="AG45" s="1604">
        <f t="shared" ref="AG45" si="147">IF(AF45=0,0,(AH45/AF45))</f>
        <v>0</v>
      </c>
      <c r="AH45" s="1605">
        <f>SUM(AH40:AH44)</f>
        <v>0</v>
      </c>
      <c r="AI45" s="446">
        <f>SUM(AI40:AI44)</f>
        <v>0</v>
      </c>
      <c r="AJ45" s="1604">
        <f t="shared" ref="AJ45" si="148">IF(AI45=0,0,(AK45/AI45))</f>
        <v>0</v>
      </c>
      <c r="AK45" s="1605">
        <f>SUM(AK40:AK44)</f>
        <v>0</v>
      </c>
      <c r="AL45" s="1607">
        <f>SUM(AL40:AL44)</f>
        <v>39726</v>
      </c>
      <c r="AM45" s="1608">
        <f t="shared" ref="AM45" si="149">IF(AL45=0,0,(AN45/AL45))</f>
        <v>256.3968937219957</v>
      </c>
      <c r="AN45" s="1606">
        <f>SUM(AN40:AN44)</f>
        <v>10185623</v>
      </c>
    </row>
    <row r="46" spans="1:42" x14ac:dyDescent="0.25">
      <c r="A46" s="1201" t="s">
        <v>73</v>
      </c>
      <c r="B46" s="1202"/>
      <c r="C46" s="1203">
        <f t="shared" si="121"/>
        <v>0</v>
      </c>
      <c r="D46" s="1194"/>
      <c r="E46" s="1202"/>
      <c r="F46" s="1203">
        <f t="shared" ref="F46:F48" si="150">IF(E46=0,0,(G46/E46))</f>
        <v>0</v>
      </c>
      <c r="G46" s="1194"/>
      <c r="H46" s="1202"/>
      <c r="I46" s="1203">
        <f t="shared" ref="I46:I48" si="151">IF(H46=0,0,(J46/H46))</f>
        <v>0</v>
      </c>
      <c r="J46" s="1194"/>
      <c r="K46" s="1202"/>
      <c r="L46" s="1203">
        <f t="shared" ref="L46:L48" si="152">IF(K46=0,0,(M46/K46))</f>
        <v>0</v>
      </c>
      <c r="M46" s="1194"/>
      <c r="N46" s="1206"/>
      <c r="O46" s="1204"/>
      <c r="P46" s="1207"/>
      <c r="Q46" s="1202"/>
      <c r="R46" s="1204"/>
      <c r="S46" s="1205"/>
      <c r="T46" s="1202"/>
      <c r="U46" s="1204"/>
      <c r="V46" s="1205"/>
      <c r="W46" s="1202"/>
      <c r="X46" s="1204"/>
      <c r="Y46" s="1194"/>
      <c r="Z46" s="1202"/>
      <c r="AA46" s="1204"/>
      <c r="AB46" s="1194"/>
      <c r="AC46" s="1202"/>
      <c r="AD46" s="1204"/>
      <c r="AE46" s="1194"/>
      <c r="AF46" s="1202"/>
      <c r="AG46" s="1204"/>
      <c r="AH46" s="1194"/>
      <c r="AI46" s="1202"/>
      <c r="AJ46" s="1204"/>
      <c r="AK46" s="1205"/>
      <c r="AL46" s="1355">
        <f t="shared" ref="AL46" si="153">SUM(B46:AI46)</f>
        <v>0</v>
      </c>
      <c r="AM46" s="1356"/>
      <c r="AN46" s="1369">
        <f>SUM(D47,G47,J47,M47,P47,S47,V47,Y47,AB47,AE47,AH47,AK47)</f>
        <v>0</v>
      </c>
    </row>
    <row r="47" spans="1:42" x14ac:dyDescent="0.25">
      <c r="A47" s="1210" t="s">
        <v>112</v>
      </c>
      <c r="B47" s="1219"/>
      <c r="C47" s="1191">
        <f t="shared" si="121"/>
        <v>0</v>
      </c>
      <c r="D47" s="1190">
        <f>D11+D19+D27</f>
        <v>0</v>
      </c>
      <c r="E47" s="1219"/>
      <c r="F47" s="1191">
        <f t="shared" si="150"/>
        <v>0</v>
      </c>
      <c r="G47" s="1190">
        <f>G11+G19+G27</f>
        <v>0</v>
      </c>
      <c r="H47" s="1219"/>
      <c r="I47" s="1191">
        <f t="shared" si="151"/>
        <v>0</v>
      </c>
      <c r="J47" s="1190">
        <f>J11+J19+J27</f>
        <v>0</v>
      </c>
      <c r="K47" s="1219"/>
      <c r="L47" s="1191">
        <f t="shared" si="152"/>
        <v>0</v>
      </c>
      <c r="M47" s="1190">
        <f>M11+M19+M27</f>
        <v>0</v>
      </c>
      <c r="N47" s="1211"/>
      <c r="O47" s="731"/>
      <c r="P47" s="1212"/>
      <c r="Q47" s="730"/>
      <c r="R47" s="731"/>
      <c r="S47" s="732"/>
      <c r="T47" s="730"/>
      <c r="U47" s="731"/>
      <c r="V47" s="732"/>
      <c r="W47" s="730"/>
      <c r="X47" s="731"/>
      <c r="Y47" s="1192"/>
      <c r="Z47" s="730"/>
      <c r="AA47" s="731"/>
      <c r="AB47" s="1192"/>
      <c r="AC47" s="730"/>
      <c r="AD47" s="731"/>
      <c r="AE47" s="1192"/>
      <c r="AF47" s="730"/>
      <c r="AG47" s="731"/>
      <c r="AH47" s="1192"/>
      <c r="AI47" s="730"/>
      <c r="AJ47" s="731"/>
      <c r="AK47" s="732"/>
      <c r="AL47" s="1349"/>
      <c r="AM47" s="1358">
        <f>IF(AL47=0,0,(AN46/AL47))</f>
        <v>0</v>
      </c>
      <c r="AN47" s="1368">
        <f>AN11+AN19+AN27</f>
        <v>0</v>
      </c>
    </row>
    <row r="48" spans="1:42" ht="13.8" thickBot="1" x14ac:dyDescent="0.3">
      <c r="A48" s="452" t="s">
        <v>75</v>
      </c>
      <c r="B48" s="1219"/>
      <c r="C48" s="1188">
        <f t="shared" si="121"/>
        <v>0</v>
      </c>
      <c r="D48" s="1190"/>
      <c r="E48" s="1219"/>
      <c r="F48" s="1188">
        <f t="shared" si="150"/>
        <v>0</v>
      </c>
      <c r="G48" s="1190"/>
      <c r="H48" s="1219"/>
      <c r="I48" s="1188">
        <f t="shared" si="151"/>
        <v>0</v>
      </c>
      <c r="J48" s="1190"/>
      <c r="K48" s="1219"/>
      <c r="L48" s="1188">
        <f t="shared" si="152"/>
        <v>0</v>
      </c>
      <c r="M48" s="1190"/>
      <c r="N48" s="1199"/>
      <c r="O48" s="1197"/>
      <c r="P48" s="1200"/>
      <c r="Q48" s="1196"/>
      <c r="R48" s="1197"/>
      <c r="S48" s="1198"/>
      <c r="T48" s="1196"/>
      <c r="U48" s="1197"/>
      <c r="V48" s="1198"/>
      <c r="W48" s="1196"/>
      <c r="X48" s="1197"/>
      <c r="Y48" s="1440"/>
      <c r="Z48" s="1196"/>
      <c r="AA48" s="1197"/>
      <c r="AB48" s="1440"/>
      <c r="AC48" s="1196"/>
      <c r="AD48" s="1197"/>
      <c r="AE48" s="1440"/>
      <c r="AF48" s="1196"/>
      <c r="AG48" s="1197"/>
      <c r="AH48" s="1440"/>
      <c r="AI48" s="1196"/>
      <c r="AJ48" s="1197"/>
      <c r="AK48" s="1198"/>
      <c r="AL48" s="1651">
        <f>T48</f>
        <v>0</v>
      </c>
      <c r="AM48" s="1652">
        <f t="shared" ref="AM48" si="154">IF(AL48=0,0,(AN48/AL48))</f>
        <v>0</v>
      </c>
      <c r="AN48" s="1653">
        <f>V48</f>
        <v>0</v>
      </c>
    </row>
    <row r="49" spans="1:42" ht="14.4" thickBot="1" x14ac:dyDescent="0.35">
      <c r="A49" s="1213" t="s">
        <v>196</v>
      </c>
      <c r="B49" s="1214">
        <f>(B39+B45)-(B46+B47+B48)</f>
        <v>26200.959999999999</v>
      </c>
      <c r="C49" s="1215">
        <f>IF(B49=0,0,(D49/B49))</f>
        <v>265.10803420943358</v>
      </c>
      <c r="D49" s="1294">
        <f>(D39+D45)-(D46+D47+D48)</f>
        <v>6946085</v>
      </c>
      <c r="E49" s="1214">
        <f>(E39+E45)-(E46+E47+E48)</f>
        <v>13526</v>
      </c>
      <c r="F49" s="1215">
        <f>IF(E49=0,0,(G49/E49))</f>
        <v>239.50450983291438</v>
      </c>
      <c r="G49" s="1294">
        <f>(G39+G45)-(G46+G47+G48)</f>
        <v>3239538</v>
      </c>
      <c r="H49" s="1214">
        <f>(H39+H45)-(H46+H47+H48)</f>
        <v>0</v>
      </c>
      <c r="I49" s="1215">
        <f>IF(H49=0,0,(J49/H49))</f>
        <v>0</v>
      </c>
      <c r="J49" s="1294">
        <f>(J39+J45)-(J46+J47+J48)</f>
        <v>0</v>
      </c>
      <c r="K49" s="1214">
        <f>(K39+K45)-(K46+K47+K48)</f>
        <v>0</v>
      </c>
      <c r="L49" s="1215">
        <f>IF(K49=0,0,(M49/K49))</f>
        <v>0</v>
      </c>
      <c r="M49" s="1294">
        <f>(M39+M45)-(M46+M47+M48)</f>
        <v>0</v>
      </c>
      <c r="N49" s="1214">
        <f>(N39+N45)-(N46+N47+N48)</f>
        <v>0</v>
      </c>
      <c r="O49" s="1215">
        <f>IF(N49=0,0,(P49/N49))</f>
        <v>0</v>
      </c>
      <c r="P49" s="1294">
        <f>(P39+P45)-(P46+P47+P48)</f>
        <v>0</v>
      </c>
      <c r="Q49" s="1214">
        <f>(Q39+Q45)-(Q46+Q47+Q48)</f>
        <v>0</v>
      </c>
      <c r="R49" s="1215">
        <f>IF(Q49=0,0,(S49/Q49))</f>
        <v>0</v>
      </c>
      <c r="S49" s="1294">
        <f>(S39+S45)-(S46+S47+S48)</f>
        <v>0</v>
      </c>
      <c r="T49" s="1214">
        <f>(T39+T45)-(T46+T47+T48)</f>
        <v>0</v>
      </c>
      <c r="U49" s="1215">
        <f>IF(T49=0,0,(V49/T49))</f>
        <v>0</v>
      </c>
      <c r="V49" s="1294">
        <f>(V39+V45)-(V46+V47+V48)</f>
        <v>0</v>
      </c>
      <c r="W49" s="1214">
        <f>(W39+W45)-(W46+W47+W48)</f>
        <v>0</v>
      </c>
      <c r="X49" s="1215">
        <f>IF(W49=0,0,(Y49/W49))</f>
        <v>0</v>
      </c>
      <c r="Y49" s="1216">
        <f>(Y39+Y45)-(Y46+Y47+Y48)</f>
        <v>0</v>
      </c>
      <c r="Z49" s="1214">
        <f>(Z39+Z45)-(Z46+Z47+Z48)</f>
        <v>0</v>
      </c>
      <c r="AA49" s="1215">
        <f>IF(Z49=0,0,(AB49/Z49))</f>
        <v>0</v>
      </c>
      <c r="AB49" s="1216">
        <f>(AB39+AB45)-(AB46+AB47+AB48)</f>
        <v>0</v>
      </c>
      <c r="AC49" s="1214">
        <f>(AC39+AC45)-(AC46+AC47+AC48)</f>
        <v>0</v>
      </c>
      <c r="AD49" s="1215">
        <f>IF(AC49=0,0,(AE49/AC49))</f>
        <v>0</v>
      </c>
      <c r="AE49" s="1216">
        <f>(AE39+AE45)-(AE46+AE47+AE48)</f>
        <v>0</v>
      </c>
      <c r="AF49" s="1214">
        <f>(AF39+AF45)-(AF46+AF47+AF48)</f>
        <v>0</v>
      </c>
      <c r="AG49" s="1215">
        <f>IF(AF49=0,0,(AH49/AF49))</f>
        <v>0</v>
      </c>
      <c r="AH49" s="1216">
        <f>(AH39+AH45)-(AH46+AH47+AH48)</f>
        <v>0</v>
      </c>
      <c r="AI49" s="1214">
        <f>(AI39+AI45)-(AI46+AI47+AI48)</f>
        <v>0</v>
      </c>
      <c r="AJ49" s="1215">
        <f>IF(AI49=0,0,(AK49/AI49))</f>
        <v>0</v>
      </c>
      <c r="AK49" s="1216">
        <f>(AK39+AK45)-(AK46+AK47+AK48)</f>
        <v>0</v>
      </c>
      <c r="AL49" s="1365">
        <f>(AL39+AL45)-(AL46+AL47+AL48)</f>
        <v>39726</v>
      </c>
      <c r="AM49" s="1360">
        <f>IF(AL49=0,0,(AN49/AL49))</f>
        <v>256.3968937219957</v>
      </c>
      <c r="AN49" s="1361">
        <f>(AN39+AN45)-(AN46+AN47+AN48)</f>
        <v>10185623</v>
      </c>
      <c r="AP49" s="1252"/>
    </row>
    <row r="50" spans="1:42" ht="14.4" thickBot="1" x14ac:dyDescent="0.35">
      <c r="A50" s="1242"/>
      <c r="B50" s="1217"/>
      <c r="C50" s="1243"/>
      <c r="D50" s="1243"/>
      <c r="E50" s="1217"/>
      <c r="F50" s="1243"/>
      <c r="G50" s="1243"/>
      <c r="H50" s="1217"/>
      <c r="I50" s="1243"/>
      <c r="J50" s="1243"/>
      <c r="K50" s="1217"/>
      <c r="L50" s="1243"/>
      <c r="M50" s="1243"/>
      <c r="N50" s="1244"/>
      <c r="O50" s="1244"/>
      <c r="P50" s="1244"/>
      <c r="Q50" s="1244"/>
      <c r="R50" s="1244"/>
      <c r="S50" s="1244"/>
      <c r="T50" s="1244"/>
      <c r="U50" s="1244"/>
      <c r="V50" s="1244"/>
      <c r="W50" s="1244"/>
      <c r="X50" s="1244"/>
      <c r="Y50" s="1244"/>
      <c r="Z50" s="1244"/>
      <c r="AA50" s="1244"/>
      <c r="AB50" s="1244"/>
      <c r="AC50" s="1244"/>
      <c r="AD50" s="1244"/>
      <c r="AE50" s="1244"/>
      <c r="AF50" s="1244"/>
      <c r="AG50" s="1244"/>
      <c r="AH50" s="1244"/>
      <c r="AI50" s="1244"/>
      <c r="AJ50" s="1244"/>
      <c r="AK50" s="1244"/>
      <c r="AL50" s="1217"/>
      <c r="AM50" s="1243"/>
      <c r="AN50" s="1243"/>
      <c r="AP50" s="8"/>
    </row>
    <row r="51" spans="1:42" ht="14.4" thickBot="1" x14ac:dyDescent="0.35">
      <c r="A51" s="1253" t="s">
        <v>494</v>
      </c>
      <c r="B51" s="1254">
        <f>B34+B49</f>
        <v>92408.959999999992</v>
      </c>
      <c r="C51" s="1255">
        <f>D51/B51</f>
        <v>152.09301132704016</v>
      </c>
      <c r="D51" s="1256">
        <f>D34+D49</f>
        <v>14054757</v>
      </c>
      <c r="E51" s="1254">
        <f>E34+E49</f>
        <v>75959</v>
      </c>
      <c r="F51" s="1255">
        <f>G51/E51</f>
        <v>147.51531747390038</v>
      </c>
      <c r="G51" s="1256">
        <f>G34+G49</f>
        <v>11205116</v>
      </c>
      <c r="H51" s="1254">
        <f>H34+H49</f>
        <v>92299</v>
      </c>
      <c r="I51" s="1255">
        <f>J51/H51</f>
        <v>155.48952859727623</v>
      </c>
      <c r="J51" s="1256">
        <f>J34+J49</f>
        <v>14351528</v>
      </c>
      <c r="K51" s="1254">
        <f>K34+K49</f>
        <v>0</v>
      </c>
      <c r="L51" s="1255" t="e">
        <f>M51/K51</f>
        <v>#DIV/0!</v>
      </c>
      <c r="M51" s="1256">
        <f>M34+M49</f>
        <v>0</v>
      </c>
      <c r="N51" s="1254">
        <f>N34+N49</f>
        <v>-1</v>
      </c>
      <c r="O51" s="1255">
        <f>P51/N51</f>
        <v>0</v>
      </c>
      <c r="P51" s="1256">
        <f>P34+P49</f>
        <v>0</v>
      </c>
      <c r="Q51" s="1254">
        <f>Q34+Q49</f>
        <v>0</v>
      </c>
      <c r="R51" s="1255" t="e">
        <f>S51/Q51</f>
        <v>#DIV/0!</v>
      </c>
      <c r="S51" s="1256">
        <f>S34+S49</f>
        <v>0</v>
      </c>
      <c r="T51" s="1254">
        <f>T34+T49</f>
        <v>0</v>
      </c>
      <c r="U51" s="1255" t="e">
        <f>V51/T51</f>
        <v>#DIV/0!</v>
      </c>
      <c r="V51" s="1256">
        <f>V34+V49</f>
        <v>0</v>
      </c>
      <c r="W51" s="1254">
        <f>W34+W49</f>
        <v>0</v>
      </c>
      <c r="X51" s="1255" t="e">
        <f>Y51/W51</f>
        <v>#DIV/0!</v>
      </c>
      <c r="Y51" s="1256">
        <f>Y34+Y49</f>
        <v>0</v>
      </c>
      <c r="Z51" s="1254">
        <f>Z34+Z49</f>
        <v>0</v>
      </c>
      <c r="AA51" s="1255" t="e">
        <f>AB51/Z51</f>
        <v>#DIV/0!</v>
      </c>
      <c r="AB51" s="1256">
        <f>AB34+AB49</f>
        <v>0</v>
      </c>
      <c r="AC51" s="1254">
        <f>AC34+AC49</f>
        <v>0</v>
      </c>
      <c r="AD51" s="1255" t="e">
        <f>AE51/AC51</f>
        <v>#DIV/0!</v>
      </c>
      <c r="AE51" s="1256">
        <f>AE34+AE49</f>
        <v>0</v>
      </c>
      <c r="AF51" s="1254">
        <f>AF34+AF49</f>
        <v>0</v>
      </c>
      <c r="AG51" s="1255" t="e">
        <f>AH51/AF51</f>
        <v>#DIV/0!</v>
      </c>
      <c r="AH51" s="1256">
        <f>AH34+AH49</f>
        <v>0</v>
      </c>
      <c r="AI51" s="1254">
        <f>AI34+AI49</f>
        <v>0</v>
      </c>
      <c r="AJ51" s="1255" t="e">
        <f>AK51/AI51</f>
        <v>#DIV/0!</v>
      </c>
      <c r="AK51" s="1256">
        <f>AK34+AK49</f>
        <v>0</v>
      </c>
      <c r="AL51" s="1254">
        <f>AL34+AL49</f>
        <v>260665</v>
      </c>
      <c r="AM51" s="1255">
        <f>AN51/AL51</f>
        <v>151.96286804902846</v>
      </c>
      <c r="AN51" s="1256">
        <f>AN34+AN49</f>
        <v>39611401</v>
      </c>
    </row>
    <row r="52" spans="1:42" ht="13.8" x14ac:dyDescent="0.3">
      <c r="A52" s="1242"/>
      <c r="B52" s="1217"/>
      <c r="C52" s="1243"/>
      <c r="D52" s="1243"/>
      <c r="E52" s="1217"/>
      <c r="F52" s="1243"/>
      <c r="G52" s="1243"/>
      <c r="H52" s="1217"/>
      <c r="I52" s="1243"/>
      <c r="J52" s="1243"/>
      <c r="K52" s="1217"/>
      <c r="L52" s="1243"/>
      <c r="M52" s="1243"/>
      <c r="N52" s="1244"/>
      <c r="O52" s="1244"/>
      <c r="P52" s="1244"/>
      <c r="Q52" s="1244"/>
      <c r="R52" s="1244"/>
      <c r="S52" s="1244"/>
      <c r="T52" s="1244"/>
      <c r="U52" s="1244"/>
      <c r="V52" s="1244"/>
      <c r="W52" s="1244"/>
      <c r="X52" s="1244"/>
      <c r="Y52" s="1442"/>
      <c r="Z52" s="1244"/>
      <c r="AA52" s="1244"/>
      <c r="AB52" s="1244"/>
      <c r="AC52" s="1244"/>
      <c r="AD52" s="1244"/>
      <c r="AE52" s="1244"/>
      <c r="AF52" s="1244"/>
      <c r="AG52" s="1244"/>
      <c r="AH52" s="1244"/>
      <c r="AI52" s="1244"/>
      <c r="AJ52" s="1244"/>
      <c r="AK52" s="1244"/>
      <c r="AL52" s="1217"/>
      <c r="AM52" s="1243"/>
      <c r="AN52" s="1243"/>
    </row>
    <row r="53" spans="1:42" ht="13.8" thickBot="1" x14ac:dyDescent="0.3">
      <c r="A53" s="1164" t="s">
        <v>400</v>
      </c>
      <c r="B53" s="1240"/>
      <c r="C53" s="1241"/>
      <c r="D53" s="1241"/>
      <c r="E53" s="1240"/>
      <c r="F53" s="1240"/>
      <c r="G53" s="1240"/>
      <c r="H53" s="1240"/>
      <c r="I53" s="1240"/>
      <c r="J53" s="1240"/>
      <c r="K53" s="1240"/>
      <c r="L53" s="1240"/>
      <c r="M53" s="1240"/>
      <c r="N53" s="1240"/>
      <c r="O53" s="1240"/>
      <c r="P53" s="1240"/>
      <c r="Q53" s="1240"/>
      <c r="R53" s="1240"/>
      <c r="S53" s="1240"/>
      <c r="T53" s="1240"/>
      <c r="U53" s="1240"/>
      <c r="V53" s="1240"/>
      <c r="W53" s="1240"/>
      <c r="X53" s="1240"/>
      <c r="Y53" s="1241"/>
      <c r="Z53" s="1240"/>
      <c r="AA53" s="1240"/>
      <c r="AB53" s="1240"/>
      <c r="AC53" s="1240"/>
      <c r="AD53" s="1240"/>
      <c r="AE53" s="1240"/>
      <c r="AF53" s="1240"/>
      <c r="AG53" s="1240"/>
      <c r="AH53" s="1240"/>
      <c r="AI53" s="1240"/>
      <c r="AJ53" s="1240"/>
      <c r="AK53" s="1240"/>
      <c r="AL53" s="1240"/>
      <c r="AM53" s="1240"/>
      <c r="AN53" s="1241"/>
    </row>
    <row r="54" spans="1:42" x14ac:dyDescent="0.25">
      <c r="A54" s="1169" t="s">
        <v>71</v>
      </c>
      <c r="B54" s="418">
        <f>'Stock Valuation (FIFO)'!B21</f>
        <v>1041</v>
      </c>
      <c r="C54" s="1237">
        <f>IF(B54=0,0,(D54/B54))</f>
        <v>221.96926032660903</v>
      </c>
      <c r="D54" s="1238">
        <f>'Stock Valuation (FIFO)'!D21</f>
        <v>231070</v>
      </c>
      <c r="E54" s="418">
        <f>B59</f>
        <v>941</v>
      </c>
      <c r="F54" s="1237">
        <f>IF(E54=0,0,(G54/E54))</f>
        <v>238.7375132837407</v>
      </c>
      <c r="G54" s="1238">
        <f>D59</f>
        <v>224652</v>
      </c>
      <c r="H54" s="418">
        <f>E59</f>
        <v>1039</v>
      </c>
      <c r="I54" s="1237">
        <f>IF(H54=0,0,(J54/H54))</f>
        <v>236.73917228103946</v>
      </c>
      <c r="J54" s="1238">
        <f>G59</f>
        <v>245972</v>
      </c>
      <c r="K54" s="418">
        <f>H59</f>
        <v>0</v>
      </c>
      <c r="L54" s="1237">
        <f>IF(K54=0,0,(M54/K54))</f>
        <v>0</v>
      </c>
      <c r="M54" s="1238">
        <f>J59</f>
        <v>0</v>
      </c>
      <c r="N54" s="418">
        <f>K59</f>
        <v>0</v>
      </c>
      <c r="O54" s="1237">
        <f>IF(N54=0,0,(P54/N54))</f>
        <v>0</v>
      </c>
      <c r="P54" s="1238">
        <f>M59</f>
        <v>0</v>
      </c>
      <c r="Q54" s="418">
        <f>N59</f>
        <v>0</v>
      </c>
      <c r="R54" s="1237">
        <f t="shared" ref="R54:R60" si="155">IF(Q54=0,0,(S54/Q54))</f>
        <v>0</v>
      </c>
      <c r="S54" s="1238">
        <f>P59</f>
        <v>0</v>
      </c>
      <c r="T54" s="418">
        <f>Q59</f>
        <v>0</v>
      </c>
      <c r="U54" s="1237">
        <f t="shared" ref="U54:U60" si="156">IF(T54=0,0,(V54/T54))</f>
        <v>0</v>
      </c>
      <c r="V54" s="1238">
        <f>S59</f>
        <v>0</v>
      </c>
      <c r="W54" s="418">
        <f>T59</f>
        <v>0</v>
      </c>
      <c r="X54" s="1237">
        <f t="shared" ref="X54:X60" si="157">IF(W54=0,0,(Y54/W54))</f>
        <v>0</v>
      </c>
      <c r="Y54" s="1238">
        <f>V59</f>
        <v>0</v>
      </c>
      <c r="Z54" s="1180">
        <f>W59</f>
        <v>0</v>
      </c>
      <c r="AA54" s="1218">
        <f t="shared" ref="AA54:AA60" si="158">IF(Z54=0,0,(AB54/Z54))</f>
        <v>0</v>
      </c>
      <c r="AB54" s="1439">
        <f>Y59</f>
        <v>0</v>
      </c>
      <c r="AC54" s="1180">
        <f>Z59</f>
        <v>0</v>
      </c>
      <c r="AD54" s="1218">
        <f t="shared" ref="AD54:AD60" si="159">IF(AC54=0,0,(AE54/AC54))</f>
        <v>0</v>
      </c>
      <c r="AE54" s="1439">
        <f>AB59</f>
        <v>0</v>
      </c>
      <c r="AF54" s="1178">
        <f>AC59</f>
        <v>0</v>
      </c>
      <c r="AG54" s="1237">
        <f t="shared" ref="AG54:AG60" si="160">IF(AF54=0,0,(AH54/AF54))</f>
        <v>0</v>
      </c>
      <c r="AH54" s="1237">
        <f>AE59</f>
        <v>0</v>
      </c>
      <c r="AI54" s="1180">
        <f>AF59</f>
        <v>0</v>
      </c>
      <c r="AJ54" s="1218">
        <f t="shared" ref="AJ54:AJ60" si="161">IF(AI54=0,0,(AK54/AI54))</f>
        <v>0</v>
      </c>
      <c r="AK54" s="1439">
        <f>AH59</f>
        <v>0</v>
      </c>
      <c r="AL54" s="1370">
        <f>B54</f>
        <v>1041</v>
      </c>
      <c r="AM54" s="1371">
        <f>IF(AL54=0,0,(AN54/AL54))</f>
        <v>221.96926032660903</v>
      </c>
      <c r="AN54" s="1372">
        <f>D54</f>
        <v>231070</v>
      </c>
    </row>
    <row r="55" spans="1:42" x14ac:dyDescent="0.25">
      <c r="A55" s="1171" t="s">
        <v>72</v>
      </c>
      <c r="B55" s="1219">
        <f>ROUND((Purchase!$K52),0)</f>
        <v>9490</v>
      </c>
      <c r="C55" s="1189">
        <f t="shared" ref="C55:C59" si="162">IF(B55=0,0,(D55/B55))</f>
        <v>234.41296101159114</v>
      </c>
      <c r="D55" s="1190">
        <f>ROUND((Purchase!$L52),0)</f>
        <v>2224579</v>
      </c>
      <c r="E55" s="1219">
        <f>ROUND((Purchase!$K53),0)</f>
        <v>6627</v>
      </c>
      <c r="F55" s="1189">
        <f t="shared" ref="F55" si="163">IF(E55=0,0,(G55/E55))</f>
        <v>221.8581560283688</v>
      </c>
      <c r="G55" s="1190">
        <f>ROUND((Purchase!$L53),0)</f>
        <v>1470254</v>
      </c>
      <c r="H55" s="1219">
        <f>ROUND((Purchase!$K54),0)</f>
        <v>0</v>
      </c>
      <c r="I55" s="1189">
        <f t="shared" ref="I55" si="164">IF(H55=0,0,(J55/H55))</f>
        <v>0</v>
      </c>
      <c r="J55" s="1190">
        <f>ROUND((Purchase!$L54),0)</f>
        <v>0</v>
      </c>
      <c r="K55" s="1219">
        <f>ROUND((Purchase!$K55),0)</f>
        <v>0</v>
      </c>
      <c r="L55" s="1189">
        <f t="shared" ref="L55" si="165">IF(K55=0,0,(M55/K55))</f>
        <v>0</v>
      </c>
      <c r="M55" s="1190">
        <f>ROUND((Purchase!$L55),0)</f>
        <v>0</v>
      </c>
      <c r="N55" s="1219">
        <f>ROUND((Purchase!$K56),0)</f>
        <v>0</v>
      </c>
      <c r="O55" s="1189">
        <f t="shared" ref="O55" si="166">IF(N55=0,0,(P55/N55))</f>
        <v>0</v>
      </c>
      <c r="P55" s="1190">
        <f>ROUND((Purchase!$L56),0)</f>
        <v>0</v>
      </c>
      <c r="Q55" s="1219">
        <f>ROUND((Purchase!$K57),0)</f>
        <v>0</v>
      </c>
      <c r="R55" s="1189">
        <f t="shared" si="155"/>
        <v>0</v>
      </c>
      <c r="S55" s="1190">
        <f>ROUND((Purchase!$L57),0)</f>
        <v>0</v>
      </c>
      <c r="T55" s="1219">
        <f>ROUND((Purchase!$K58),0)</f>
        <v>0</v>
      </c>
      <c r="U55" s="1189">
        <f t="shared" si="156"/>
        <v>0</v>
      </c>
      <c r="V55" s="1190">
        <f>ROUND((Purchase!$L58),0)</f>
        <v>0</v>
      </c>
      <c r="W55" s="1219">
        <f>ROUND((Purchase!$K59),0)</f>
        <v>0</v>
      </c>
      <c r="X55" s="1189">
        <f t="shared" si="157"/>
        <v>0</v>
      </c>
      <c r="Y55" s="1190">
        <f>ROUND((Purchase!$L59),0)</f>
        <v>0</v>
      </c>
      <c r="Z55" s="1219">
        <f>ROUND((Purchase!$K60),0)</f>
        <v>0</v>
      </c>
      <c r="AA55" s="1189">
        <f t="shared" si="158"/>
        <v>0</v>
      </c>
      <c r="AB55" s="1190">
        <f>ROUND((Purchase!$L60),0)</f>
        <v>0</v>
      </c>
      <c r="AC55" s="1219">
        <f>ROUND((Purchase!$K61),0)</f>
        <v>0</v>
      </c>
      <c r="AD55" s="1189">
        <f t="shared" si="159"/>
        <v>0</v>
      </c>
      <c r="AE55" s="1190">
        <f>ROUND((Purchase!$L61),0)</f>
        <v>0</v>
      </c>
      <c r="AF55" s="1219">
        <f>ROUND((Purchase!$K62),0)</f>
        <v>0</v>
      </c>
      <c r="AG55" s="1189">
        <f t="shared" si="160"/>
        <v>0</v>
      </c>
      <c r="AH55" s="1190">
        <f>ROUND((Purchase!$L62),0)</f>
        <v>0</v>
      </c>
      <c r="AI55" s="1219">
        <f>ROUND((Purchase!$K63),0)</f>
        <v>0</v>
      </c>
      <c r="AJ55" s="1189">
        <f t="shared" si="161"/>
        <v>0</v>
      </c>
      <c r="AK55" s="1190">
        <f>ROUND((Purchase!$L63),0)</f>
        <v>0</v>
      </c>
      <c r="AL55" s="1349">
        <f>ROUND((Purchase!K64),0)</f>
        <v>16116</v>
      </c>
      <c r="AM55" s="1350">
        <f t="shared" ref="AM55" si="167">IF(AL55=0,0,(AN55/AL55))</f>
        <v>229.26489203276248</v>
      </c>
      <c r="AN55" s="1351">
        <f>ROUND((Purchase!L64),0)</f>
        <v>3694833</v>
      </c>
      <c r="AO55" s="1145">
        <f>Purchase!L64</f>
        <v>3694833</v>
      </c>
      <c r="AP55" s="342">
        <f>AN55-AO55</f>
        <v>0</v>
      </c>
    </row>
    <row r="56" spans="1:42" ht="13.8" thickBot="1" x14ac:dyDescent="0.3">
      <c r="A56" s="1172" t="s">
        <v>103</v>
      </c>
      <c r="B56" s="435"/>
      <c r="C56" s="1181">
        <f t="shared" si="162"/>
        <v>0</v>
      </c>
      <c r="D56" s="1221"/>
      <c r="E56" s="435"/>
      <c r="F56" s="1181">
        <f t="shared" ref="F56:F59" si="168">IF(E56=0,0,(G56/E56))</f>
        <v>0</v>
      </c>
      <c r="G56" s="1221"/>
      <c r="H56" s="435"/>
      <c r="I56" s="1181">
        <f t="shared" ref="I56:I59" si="169">IF(H56=0,0,(J56/H56))</f>
        <v>0</v>
      </c>
      <c r="J56" s="1221"/>
      <c r="K56" s="435"/>
      <c r="L56" s="1181">
        <f t="shared" ref="L56:L59" si="170">IF(K56=0,0,(M56/K56))</f>
        <v>0</v>
      </c>
      <c r="M56" s="1221"/>
      <c r="N56" s="435"/>
      <c r="O56" s="1181">
        <f t="shared" ref="O56:O59" si="171">IF(N56=0,0,(P56/N56))</f>
        <v>0</v>
      </c>
      <c r="P56" s="1221"/>
      <c r="Q56" s="435"/>
      <c r="R56" s="1181">
        <f t="shared" si="155"/>
        <v>0</v>
      </c>
      <c r="S56" s="1221"/>
      <c r="T56" s="435"/>
      <c r="U56" s="1181">
        <f t="shared" si="156"/>
        <v>0</v>
      </c>
      <c r="V56" s="1221"/>
      <c r="W56" s="435"/>
      <c r="X56" s="1181">
        <f t="shared" si="157"/>
        <v>0</v>
      </c>
      <c r="Y56" s="1221"/>
      <c r="Z56" s="424"/>
      <c r="AA56" s="1181">
        <f t="shared" si="158"/>
        <v>0</v>
      </c>
      <c r="AB56" s="1186"/>
      <c r="AC56" s="424"/>
      <c r="AD56" s="1181">
        <f t="shared" si="159"/>
        <v>0</v>
      </c>
      <c r="AE56" s="1186"/>
      <c r="AF56" s="1177"/>
      <c r="AG56" s="1181">
        <f t="shared" si="160"/>
        <v>0</v>
      </c>
      <c r="AH56" s="1226"/>
      <c r="AI56" s="424"/>
      <c r="AJ56" s="1181">
        <f t="shared" si="161"/>
        <v>0</v>
      </c>
      <c r="AK56" s="1186"/>
      <c r="AL56" s="1352">
        <f t="shared" ref="AL56:AL57" si="172">SUM(B56:AI56)</f>
        <v>0</v>
      </c>
      <c r="AM56" s="1353"/>
      <c r="AN56" s="1354"/>
    </row>
    <row r="57" spans="1:42" x14ac:dyDescent="0.25">
      <c r="A57" s="1201" t="s">
        <v>73</v>
      </c>
      <c r="B57" s="1202"/>
      <c r="C57" s="1203">
        <f t="shared" si="162"/>
        <v>0</v>
      </c>
      <c r="D57" s="1194"/>
      <c r="E57" s="1202"/>
      <c r="F57" s="1203">
        <f t="shared" si="168"/>
        <v>0</v>
      </c>
      <c r="G57" s="1194"/>
      <c r="H57" s="1202"/>
      <c r="I57" s="1203">
        <f t="shared" si="169"/>
        <v>0</v>
      </c>
      <c r="J57" s="1194"/>
      <c r="K57" s="1202"/>
      <c r="L57" s="1203">
        <f t="shared" si="170"/>
        <v>0</v>
      </c>
      <c r="M57" s="1194"/>
      <c r="N57" s="1202"/>
      <c r="O57" s="1203">
        <f t="shared" si="171"/>
        <v>0</v>
      </c>
      <c r="P57" s="1194"/>
      <c r="Q57" s="1202"/>
      <c r="R57" s="1203">
        <f t="shared" si="155"/>
        <v>0</v>
      </c>
      <c r="S57" s="1194"/>
      <c r="T57" s="1202"/>
      <c r="U57" s="1203">
        <f t="shared" si="156"/>
        <v>0</v>
      </c>
      <c r="V57" s="1194"/>
      <c r="W57" s="1202"/>
      <c r="X57" s="1203">
        <f t="shared" si="157"/>
        <v>0</v>
      </c>
      <c r="Y57" s="1194"/>
      <c r="Z57" s="1202"/>
      <c r="AA57" s="1203">
        <f t="shared" si="158"/>
        <v>0</v>
      </c>
      <c r="AB57" s="1194"/>
      <c r="AC57" s="1202"/>
      <c r="AD57" s="1203">
        <f t="shared" si="159"/>
        <v>0</v>
      </c>
      <c r="AE57" s="1194"/>
      <c r="AF57" s="1206"/>
      <c r="AG57" s="1203">
        <f t="shared" si="160"/>
        <v>0</v>
      </c>
      <c r="AH57" s="1195"/>
      <c r="AI57" s="1202"/>
      <c r="AJ57" s="1203">
        <f t="shared" si="161"/>
        <v>0</v>
      </c>
      <c r="AK57" s="1194"/>
      <c r="AL57" s="1355">
        <f t="shared" si="172"/>
        <v>0</v>
      </c>
      <c r="AM57" s="1356"/>
      <c r="AN57" s="1357"/>
    </row>
    <row r="58" spans="1:42" x14ac:dyDescent="0.25">
      <c r="A58" s="1210" t="s">
        <v>112</v>
      </c>
      <c r="B58" s="1219">
        <f>B19+B27+B35</f>
        <v>0</v>
      </c>
      <c r="C58" s="1191">
        <f t="shared" si="162"/>
        <v>0</v>
      </c>
      <c r="D58" s="1190">
        <f>D19+D27+D35</f>
        <v>0</v>
      </c>
      <c r="E58" s="1219">
        <f>E19+E27+E35</f>
        <v>0</v>
      </c>
      <c r="F58" s="1191">
        <f t="shared" si="168"/>
        <v>0</v>
      </c>
      <c r="G58" s="1190">
        <f>G19+G27+G35</f>
        <v>0</v>
      </c>
      <c r="H58" s="1219">
        <f>H19+H27+H35</f>
        <v>0</v>
      </c>
      <c r="I58" s="1191">
        <f t="shared" si="169"/>
        <v>0</v>
      </c>
      <c r="J58" s="1190">
        <f>J19+J27+J35</f>
        <v>0</v>
      </c>
      <c r="K58" s="1219">
        <f>K19+K27+K35</f>
        <v>0</v>
      </c>
      <c r="L58" s="1191">
        <f t="shared" si="170"/>
        <v>0</v>
      </c>
      <c r="M58" s="1190">
        <f>M19+M27+M35</f>
        <v>0</v>
      </c>
      <c r="N58" s="1219">
        <f>N19+N27+N35</f>
        <v>0</v>
      </c>
      <c r="O58" s="1191">
        <f t="shared" si="171"/>
        <v>0</v>
      </c>
      <c r="P58" s="1190">
        <f>P19+P27+P35</f>
        <v>0</v>
      </c>
      <c r="Q58" s="1219">
        <f>Q19+Q27+Q35</f>
        <v>0</v>
      </c>
      <c r="R58" s="1191">
        <f t="shared" si="155"/>
        <v>0</v>
      </c>
      <c r="S58" s="1190">
        <f>S19+S27+S35</f>
        <v>0</v>
      </c>
      <c r="T58" s="1219">
        <f>T19+T27+T35</f>
        <v>0</v>
      </c>
      <c r="U58" s="1191">
        <f t="shared" si="156"/>
        <v>0</v>
      </c>
      <c r="V58" s="1190">
        <f>V19+V27+V35</f>
        <v>0</v>
      </c>
      <c r="W58" s="1219">
        <f>W19+W27+W35</f>
        <v>0</v>
      </c>
      <c r="X58" s="1191">
        <f t="shared" si="157"/>
        <v>0</v>
      </c>
      <c r="Y58" s="1190">
        <f>Y19+Y27+Y35</f>
        <v>0</v>
      </c>
      <c r="Z58" s="730"/>
      <c r="AA58" s="1191">
        <f t="shared" si="158"/>
        <v>0</v>
      </c>
      <c r="AB58" s="1192"/>
      <c r="AC58" s="730"/>
      <c r="AD58" s="1191">
        <f t="shared" si="159"/>
        <v>0</v>
      </c>
      <c r="AE58" s="1192"/>
      <c r="AF58" s="1211"/>
      <c r="AG58" s="1191">
        <f t="shared" si="160"/>
        <v>0</v>
      </c>
      <c r="AH58" s="1454"/>
      <c r="AI58" s="730"/>
      <c r="AJ58" s="1191">
        <f t="shared" si="161"/>
        <v>0</v>
      </c>
      <c r="AK58" s="1192"/>
      <c r="AL58" s="1349">
        <f>SUM(B58,E58,H58,K58,N58,Q58,T58,W58,Z58,AC58,AF58,AI58)</f>
        <v>0</v>
      </c>
      <c r="AM58" s="1358">
        <f t="shared" ref="AM58:AM59" si="173">IF(AL58=0,0,(AN58/AL58))</f>
        <v>0</v>
      </c>
      <c r="AN58" s="1351">
        <f>SUM(D58,G58,J58,M58,P58,S58,V58,Y58,AB58,AE58,AH58,AK58)</f>
        <v>0</v>
      </c>
    </row>
    <row r="59" spans="1:42" ht="13.8" thickBot="1" x14ac:dyDescent="0.3">
      <c r="A59" s="452" t="s">
        <v>75</v>
      </c>
      <c r="B59" s="1219">
        <f>ROUND(('Stock Valuation (FIFO)'!E21),0)</f>
        <v>941</v>
      </c>
      <c r="C59" s="1188">
        <f t="shared" si="162"/>
        <v>238.7375132837407</v>
      </c>
      <c r="D59" s="1190">
        <f>ROUND(('Stock Valuation (FIFO)'!G21),0)</f>
        <v>224652</v>
      </c>
      <c r="E59" s="1219">
        <f>ROUND(('Stock Valuation (FIFO)'!H21),0)</f>
        <v>1039</v>
      </c>
      <c r="F59" s="1188">
        <f t="shared" si="168"/>
        <v>236.73917228103946</v>
      </c>
      <c r="G59" s="1190">
        <f>ROUND(('Stock Valuation (FIFO)'!J21),0)</f>
        <v>245972</v>
      </c>
      <c r="H59" s="1219">
        <f>ROUND(('Stock Valuation (FIFO)'!K21),0)</f>
        <v>0</v>
      </c>
      <c r="I59" s="1188">
        <f t="shared" si="169"/>
        <v>0</v>
      </c>
      <c r="J59" s="1190">
        <f>ROUND(('Stock Valuation (FIFO)'!M21),0)</f>
        <v>0</v>
      </c>
      <c r="K59" s="1219">
        <f>ROUND(('Stock Valuation (FIFO)'!N21),0)</f>
        <v>0</v>
      </c>
      <c r="L59" s="1188">
        <f t="shared" si="170"/>
        <v>0</v>
      </c>
      <c r="M59" s="1190">
        <f>ROUND(('Stock Valuation (FIFO)'!P21),0)</f>
        <v>0</v>
      </c>
      <c r="N59" s="1219">
        <f>ROUND(('Stock Valuation (FIFO)'!Q21),0)</f>
        <v>0</v>
      </c>
      <c r="O59" s="1188">
        <f t="shared" si="171"/>
        <v>0</v>
      </c>
      <c r="P59" s="1190">
        <f>ROUND(('Stock Valuation (FIFO)'!S21),0)</f>
        <v>0</v>
      </c>
      <c r="Q59" s="1219">
        <f>ROUND(('Stock Valuation (FIFO)'!T21),0)</f>
        <v>0</v>
      </c>
      <c r="R59" s="1188">
        <f t="shared" si="155"/>
        <v>0</v>
      </c>
      <c r="S59" s="1190">
        <f>ROUND(('Stock Valuation (FIFO)'!V21),0)</f>
        <v>0</v>
      </c>
      <c r="T59" s="1219">
        <f>ROUND(('Stock Valuation (FIFO)'!W21),0)</f>
        <v>0</v>
      </c>
      <c r="U59" s="1188">
        <f t="shared" si="156"/>
        <v>0</v>
      </c>
      <c r="V59" s="1190">
        <f>ROUND(('Stock Valuation (FIFO)'!Y21),0)</f>
        <v>0</v>
      </c>
      <c r="W59" s="1219">
        <f>'Stock Valuation (FIFO)'!Z21</f>
        <v>0</v>
      </c>
      <c r="X59" s="1188">
        <f t="shared" si="157"/>
        <v>0</v>
      </c>
      <c r="Y59" s="1190">
        <f>'Stock Valuation (FIFO)'!AB21</f>
        <v>0</v>
      </c>
      <c r="Z59" s="1219">
        <f>'Stock Valuation (FIFO)'!AC21</f>
        <v>0</v>
      </c>
      <c r="AA59" s="1188">
        <f t="shared" si="158"/>
        <v>0</v>
      </c>
      <c r="AB59" s="1190">
        <f>'Stock Valuation (FIFO)'!AE21</f>
        <v>0</v>
      </c>
      <c r="AC59" s="1219">
        <f>'Stock Valuation (FIFO)'!AF21</f>
        <v>0</v>
      </c>
      <c r="AD59" s="1188">
        <f t="shared" si="159"/>
        <v>0</v>
      </c>
      <c r="AE59" s="1190">
        <f>'Stock Valuation (FIFO)'!AH21</f>
        <v>0</v>
      </c>
      <c r="AF59" s="1219">
        <f>'Stock Valuation (FIFO)'!AI21</f>
        <v>0</v>
      </c>
      <c r="AG59" s="1188">
        <f t="shared" si="160"/>
        <v>0</v>
      </c>
      <c r="AH59" s="1190">
        <f>'Stock Valuation (FIFO)'!AK21</f>
        <v>0</v>
      </c>
      <c r="AI59" s="1219">
        <f>'Stock Valuation (FIFO)'!AL21</f>
        <v>0</v>
      </c>
      <c r="AJ59" s="1188">
        <f t="shared" si="161"/>
        <v>0</v>
      </c>
      <c r="AK59" s="1190">
        <f>'Stock Valuation (FIFO)'!AN21</f>
        <v>0</v>
      </c>
      <c r="AL59" s="1651">
        <f>AI59</f>
        <v>0</v>
      </c>
      <c r="AM59" s="1652">
        <f t="shared" si="173"/>
        <v>0</v>
      </c>
      <c r="AN59" s="1653">
        <f>AK59</f>
        <v>0</v>
      </c>
    </row>
    <row r="60" spans="1:42" ht="14.4" thickBot="1" x14ac:dyDescent="0.35">
      <c r="A60" s="1213" t="s">
        <v>492</v>
      </c>
      <c r="B60" s="1214">
        <f>(B54+B55)-(B58+B59)</f>
        <v>9590</v>
      </c>
      <c r="C60" s="1215">
        <f>IF(B60=0,0,(D60/B60))</f>
        <v>232.63785192909282</v>
      </c>
      <c r="D60" s="1294">
        <f>(D54+D55)-(D58+D59)</f>
        <v>2230997</v>
      </c>
      <c r="E60" s="1214">
        <f>(E54+E55)-(E58+E59)</f>
        <v>6529</v>
      </c>
      <c r="F60" s="1215">
        <f>IF(E60=0,0,(G60/E60))</f>
        <v>221.9228059427171</v>
      </c>
      <c r="G60" s="1294">
        <f>(G54+G55)-(G58+G59)</f>
        <v>1448934</v>
      </c>
      <c r="H60" s="1214">
        <f>(H54+H55)-(H58+H59)</f>
        <v>1039</v>
      </c>
      <c r="I60" s="1215">
        <f>IF(H60=0,0,(J60/H60))</f>
        <v>236.73917228103946</v>
      </c>
      <c r="J60" s="1294">
        <f>(J54+J55)-(J58+J59)</f>
        <v>245972</v>
      </c>
      <c r="K60" s="1214">
        <f>(K54+K55)-(K58+K59)</f>
        <v>0</v>
      </c>
      <c r="L60" s="1215">
        <f>IF(K60=0,0,(M60/K60))</f>
        <v>0</v>
      </c>
      <c r="M60" s="1294">
        <f>(M54+M55)-(M58+M59)</f>
        <v>0</v>
      </c>
      <c r="N60" s="1214">
        <f>(N54+N55)-(N58+N59)</f>
        <v>0</v>
      </c>
      <c r="O60" s="1215">
        <f>IF(N60=0,0,(P60/N60))</f>
        <v>0</v>
      </c>
      <c r="P60" s="1294">
        <f>(P54+P55)-(P58+P59)</f>
        <v>0</v>
      </c>
      <c r="Q60" s="1214">
        <f>(Q54+Q55)-(Q58+Q59)</f>
        <v>0</v>
      </c>
      <c r="R60" s="1215">
        <f t="shared" si="155"/>
        <v>0</v>
      </c>
      <c r="S60" s="1294">
        <f>(S54+S55)-(S58+S59)</f>
        <v>0</v>
      </c>
      <c r="T60" s="1214">
        <f>(T54+T55)-(T58+T59)</f>
        <v>0</v>
      </c>
      <c r="U60" s="1215">
        <f t="shared" si="156"/>
        <v>0</v>
      </c>
      <c r="V60" s="1294">
        <f>(V54+V55)-(V58+V59)</f>
        <v>0</v>
      </c>
      <c r="W60" s="1214">
        <f>(W54+W55)-(W58+W59)</f>
        <v>0</v>
      </c>
      <c r="X60" s="1215">
        <f t="shared" si="157"/>
        <v>0</v>
      </c>
      <c r="Y60" s="1294">
        <f>(Y54+Y55)-(Y58+Y59)</f>
        <v>0</v>
      </c>
      <c r="Z60" s="1214">
        <f>(Z54+Z55)-(Z58+Z59)</f>
        <v>0</v>
      </c>
      <c r="AA60" s="1215">
        <f t="shared" si="158"/>
        <v>0</v>
      </c>
      <c r="AB60" s="1216">
        <f>(AB54+AB55)-(AB58+AB59)</f>
        <v>0</v>
      </c>
      <c r="AC60" s="1214">
        <f>(AC54+AC55)-(AC58+AC59)</f>
        <v>0</v>
      </c>
      <c r="AD60" s="1215">
        <f t="shared" si="159"/>
        <v>0</v>
      </c>
      <c r="AE60" s="1216">
        <f>(AE54+AE55)-(AE58+AE59)</f>
        <v>0</v>
      </c>
      <c r="AF60" s="1448">
        <f>(AF54+AF55)-(AF58+AF59)</f>
        <v>0</v>
      </c>
      <c r="AG60" s="1215">
        <f t="shared" si="160"/>
        <v>0</v>
      </c>
      <c r="AH60" s="1457">
        <f>(AH54+AH55)-(AH58+AH59)</f>
        <v>0</v>
      </c>
      <c r="AI60" s="1214">
        <f>(AI54+AI55)-(AI58+AI59)</f>
        <v>0</v>
      </c>
      <c r="AJ60" s="1215">
        <f t="shared" si="161"/>
        <v>0</v>
      </c>
      <c r="AK60" s="1216">
        <f>(AK54+AK55)-(AK58+AK59)</f>
        <v>0</v>
      </c>
      <c r="AL60" s="1359">
        <f>(AL54+AL55)-(AL58+AL59)</f>
        <v>17157</v>
      </c>
      <c r="AM60" s="1360">
        <f>IF(AL60=0,0,(AN60/AL60))</f>
        <v>228.82222999358862</v>
      </c>
      <c r="AN60" s="1361">
        <f>(AN54+AN55)-(AN58+AN59)</f>
        <v>3925903</v>
      </c>
    </row>
    <row r="61" spans="1:42" x14ac:dyDescent="0.25">
      <c r="Y61" s="1252"/>
    </row>
    <row r="62" spans="1:42" ht="27" thickBot="1" x14ac:dyDescent="0.3">
      <c r="A62" s="1164" t="s">
        <v>591</v>
      </c>
      <c r="B62" s="1240"/>
      <c r="C62" s="1241"/>
      <c r="D62" s="1241"/>
      <c r="E62" s="1240"/>
      <c r="F62" s="1240"/>
      <c r="G62" s="1240"/>
      <c r="H62" s="1240"/>
      <c r="I62" s="1240"/>
      <c r="J62" s="1240"/>
      <c r="K62" s="1240"/>
      <c r="L62" s="1240"/>
      <c r="M62" s="1240"/>
      <c r="N62" s="1240"/>
      <c r="O62" s="1240"/>
      <c r="P62" s="1240"/>
      <c r="Q62" s="1240"/>
      <c r="R62" s="1240"/>
      <c r="S62" s="1240"/>
      <c r="T62" s="1240"/>
      <c r="U62" s="1240"/>
      <c r="V62" s="1240"/>
      <c r="W62" s="1240"/>
      <c r="X62" s="1240"/>
      <c r="Y62" s="1241"/>
      <c r="Z62" s="1240"/>
      <c r="AA62" s="1240"/>
      <c r="AB62" s="1240"/>
      <c r="AC62" s="1240"/>
      <c r="AD62" s="1240"/>
      <c r="AE62" s="1240"/>
      <c r="AF62" s="1240"/>
      <c r="AG62" s="1240"/>
      <c r="AH62" s="1240"/>
      <c r="AI62" s="1240"/>
      <c r="AJ62" s="1240"/>
      <c r="AK62" s="1240"/>
      <c r="AL62" s="1240"/>
      <c r="AM62" s="1240"/>
      <c r="AN62" s="1241"/>
      <c r="AP62" s="153"/>
    </row>
    <row r="63" spans="1:42" x14ac:dyDescent="0.25">
      <c r="A63" s="1169" t="s">
        <v>71</v>
      </c>
      <c r="B63" s="1248">
        <f>B28+B39</f>
        <v>143489</v>
      </c>
      <c r="C63" s="1237">
        <f>IF(B63=0,0,(D63/B63))</f>
        <v>123.87463150485404</v>
      </c>
      <c r="D63" s="1249">
        <f>D28+D39</f>
        <v>17774647</v>
      </c>
      <c r="E63" s="1248">
        <f>B73</f>
        <v>79049</v>
      </c>
      <c r="F63" s="1407">
        <f>IF(E63=0,0,(G63/E63))</f>
        <v>140.63012814836367</v>
      </c>
      <c r="G63" s="1249">
        <f>D73</f>
        <v>11116671</v>
      </c>
      <c r="H63" s="1248">
        <f>E73</f>
        <v>93338</v>
      </c>
      <c r="I63" s="1407">
        <f>IF(H63=0,0,(J63/H63))</f>
        <v>156.39396601598492</v>
      </c>
      <c r="J63" s="1249">
        <f>G73</f>
        <v>14597500</v>
      </c>
      <c r="K63" s="1248">
        <f>H73</f>
        <v>0</v>
      </c>
      <c r="L63" s="1407">
        <f>IF(K63=0,0,(M63/K63))</f>
        <v>0</v>
      </c>
      <c r="M63" s="1249">
        <f>J73</f>
        <v>0</v>
      </c>
      <c r="N63" s="1248">
        <f>K73</f>
        <v>0</v>
      </c>
      <c r="O63" s="1407">
        <f>IF(N63=0,0,(P63/N63))</f>
        <v>0</v>
      </c>
      <c r="P63" s="1249">
        <f>M73</f>
        <v>0</v>
      </c>
      <c r="Q63" s="1248">
        <f>N73</f>
        <v>0</v>
      </c>
      <c r="R63" s="1407">
        <f>IF(Q63=0,0,(S63/Q63))</f>
        <v>0</v>
      </c>
      <c r="S63" s="1249">
        <f>P73</f>
        <v>0</v>
      </c>
      <c r="T63" s="1248">
        <f>Q73</f>
        <v>0</v>
      </c>
      <c r="U63" s="1407">
        <f>IF(T63=0,0,(V63/T63))</f>
        <v>0</v>
      </c>
      <c r="V63" s="1249">
        <f>S73</f>
        <v>0</v>
      </c>
      <c r="W63" s="1248">
        <f>T73</f>
        <v>0</v>
      </c>
      <c r="X63" s="1407">
        <f>IF(W63=0,0,(Y63/W63))</f>
        <v>0</v>
      </c>
      <c r="Y63" s="1249">
        <f>V73</f>
        <v>0</v>
      </c>
      <c r="Z63" s="1178">
        <f>W73</f>
        <v>0</v>
      </c>
      <c r="AA63" s="1407">
        <f>IF(Z63=0,0,(AB63/Z63))</f>
        <v>0</v>
      </c>
      <c r="AB63" s="214">
        <f>Y73</f>
        <v>0</v>
      </c>
      <c r="AC63" s="1180">
        <f>Z73</f>
        <v>0</v>
      </c>
      <c r="AD63" s="1483">
        <f>IF(AC63=0,0,(AE63/AC63))</f>
        <v>0</v>
      </c>
      <c r="AE63" s="1170">
        <f>AB73</f>
        <v>0</v>
      </c>
      <c r="AF63" s="1180">
        <f>AC73</f>
        <v>0</v>
      </c>
      <c r="AG63" s="1483">
        <f>IF(AF63=0,0,(AH63/AF63))</f>
        <v>0</v>
      </c>
      <c r="AH63" s="1439">
        <f>AE73</f>
        <v>0</v>
      </c>
      <c r="AI63" s="1180">
        <f>AF73</f>
        <v>0</v>
      </c>
      <c r="AJ63" s="1483">
        <f>IF(AI63=0,0,(AK63/AI63))</f>
        <v>0</v>
      </c>
      <c r="AK63" s="1170">
        <f>AH73</f>
        <v>0</v>
      </c>
      <c r="AL63" s="1373">
        <f>AL28+AL39</f>
        <v>143489</v>
      </c>
      <c r="AM63" s="1371">
        <f>IF(AL63=0,0,(AN63/AL63))</f>
        <v>123.87463150485404</v>
      </c>
      <c r="AN63" s="1374">
        <f>AN28+AN39</f>
        <v>17774647</v>
      </c>
    </row>
    <row r="64" spans="1:42" x14ac:dyDescent="0.25">
      <c r="A64" s="1171" t="s">
        <v>487</v>
      </c>
      <c r="B64" s="1219">
        <f>B5</f>
        <v>0</v>
      </c>
      <c r="C64" s="1189">
        <f t="shared" ref="C64:C73" si="174">IF(B64=0,0,(D64/B64))</f>
        <v>0</v>
      </c>
      <c r="D64" s="1190">
        <f>D5</f>
        <v>0</v>
      </c>
      <c r="E64" s="1219">
        <f>E5</f>
        <v>76000</v>
      </c>
      <c r="F64" s="1189">
        <f t="shared" ref="F64:F69" si="175">IF(E64=0,0,(G64/E64))</f>
        <v>148.18652631578948</v>
      </c>
      <c r="G64" s="1190">
        <f>G5</f>
        <v>11262176</v>
      </c>
      <c r="H64" s="1219">
        <f>H5</f>
        <v>0</v>
      </c>
      <c r="I64" s="1189">
        <f t="shared" ref="I64:I69" si="176">IF(H64=0,0,(J64/H64))</f>
        <v>0</v>
      </c>
      <c r="J64" s="1190">
        <f>J5</f>
        <v>0</v>
      </c>
      <c r="K64" s="1219">
        <f>K5</f>
        <v>0</v>
      </c>
      <c r="L64" s="1189">
        <f t="shared" ref="L64:L69" si="177">IF(K64=0,0,(M64/K64))</f>
        <v>0</v>
      </c>
      <c r="M64" s="1190">
        <f>M5</f>
        <v>0</v>
      </c>
      <c r="N64" s="1219">
        <f>N5</f>
        <v>0</v>
      </c>
      <c r="O64" s="1189">
        <f t="shared" ref="O64:O69" si="178">IF(N64=0,0,(P64/N64))</f>
        <v>0</v>
      </c>
      <c r="P64" s="1190">
        <f>P5</f>
        <v>0</v>
      </c>
      <c r="Q64" s="1219">
        <f>Q5</f>
        <v>0</v>
      </c>
      <c r="R64" s="1189">
        <f t="shared" ref="R64:R69" si="179">IF(Q64=0,0,(S64/Q64))</f>
        <v>0</v>
      </c>
      <c r="S64" s="1190">
        <f>S5</f>
        <v>0</v>
      </c>
      <c r="T64" s="1219">
        <f>T5</f>
        <v>0</v>
      </c>
      <c r="U64" s="1189">
        <f t="shared" ref="U64:U69" si="180">IF(T64=0,0,(V64/T64))</f>
        <v>0</v>
      </c>
      <c r="V64" s="1190">
        <f>V5</f>
        <v>0</v>
      </c>
      <c r="W64" s="1219">
        <f>W5</f>
        <v>0</v>
      </c>
      <c r="X64" s="1189">
        <f t="shared" ref="X64:X69" si="181">IF(W64=0,0,(Y64/W64))</f>
        <v>0</v>
      </c>
      <c r="Y64" s="1190">
        <f>Y5</f>
        <v>0</v>
      </c>
      <c r="Z64" s="1219">
        <f>Z5</f>
        <v>0</v>
      </c>
      <c r="AA64" s="1189">
        <f t="shared" ref="AA64:AA69" si="182">IF(Z64=0,0,(AB64/Z64))</f>
        <v>0</v>
      </c>
      <c r="AB64" s="1459">
        <f>AB5</f>
        <v>0</v>
      </c>
      <c r="AC64" s="1219">
        <f>AC5</f>
        <v>0</v>
      </c>
      <c r="AD64" s="1189">
        <f t="shared" ref="AD64:AD69" si="183">IF(AC64=0,0,(AE64/AC64))</f>
        <v>0</v>
      </c>
      <c r="AE64" s="1190">
        <f>AE5</f>
        <v>0</v>
      </c>
      <c r="AF64" s="1219">
        <f>AF5</f>
        <v>0</v>
      </c>
      <c r="AG64" s="1189">
        <f t="shared" ref="AG64:AG69" si="184">IF(AF64=0,0,(AH64/AF64))</f>
        <v>0</v>
      </c>
      <c r="AH64" s="1190">
        <f>AH5</f>
        <v>0</v>
      </c>
      <c r="AI64" s="1219">
        <f>AI5</f>
        <v>0</v>
      </c>
      <c r="AJ64" s="1189">
        <f t="shared" ref="AJ64:AJ69" si="185">IF(AI64=0,0,(AK64/AI64))</f>
        <v>0</v>
      </c>
      <c r="AK64" s="1190">
        <f>AK5</f>
        <v>0</v>
      </c>
      <c r="AL64" s="1366">
        <f>AL5</f>
        <v>76000</v>
      </c>
      <c r="AM64" s="1367">
        <f t="shared" ref="AM64:AM69" si="186">IF(AL64=0,0,(AN64/AL64))</f>
        <v>148.18652631578948</v>
      </c>
      <c r="AN64" s="1368">
        <f>AN5</f>
        <v>11262176</v>
      </c>
      <c r="AO64" s="1145">
        <f>AO5</f>
        <v>11262176</v>
      </c>
      <c r="AP64" s="342">
        <f t="shared" ref="AP64:AP69" si="187">AN64-AO64</f>
        <v>0</v>
      </c>
    </row>
    <row r="65" spans="1:42" x14ac:dyDescent="0.25">
      <c r="A65" s="1174" t="s">
        <v>488</v>
      </c>
      <c r="B65" s="418">
        <f>B13</f>
        <v>823</v>
      </c>
      <c r="C65" s="1189">
        <f t="shared" si="174"/>
        <v>270.55164034021874</v>
      </c>
      <c r="D65" s="1245">
        <f>D13</f>
        <v>222664</v>
      </c>
      <c r="E65" s="418">
        <f>E13</f>
        <v>647</v>
      </c>
      <c r="F65" s="1189">
        <f t="shared" si="175"/>
        <v>263.66460587326122</v>
      </c>
      <c r="G65" s="1245">
        <f>G13</f>
        <v>170591</v>
      </c>
      <c r="H65" s="418">
        <f>H13</f>
        <v>0</v>
      </c>
      <c r="I65" s="1189">
        <f t="shared" si="176"/>
        <v>0</v>
      </c>
      <c r="J65" s="1245">
        <f>J13</f>
        <v>0</v>
      </c>
      <c r="K65" s="418">
        <f>K13</f>
        <v>0</v>
      </c>
      <c r="L65" s="1189">
        <f t="shared" si="177"/>
        <v>0</v>
      </c>
      <c r="M65" s="1245">
        <f>M13</f>
        <v>0</v>
      </c>
      <c r="N65" s="418">
        <f>N13</f>
        <v>0</v>
      </c>
      <c r="O65" s="1189">
        <f t="shared" si="178"/>
        <v>0</v>
      </c>
      <c r="P65" s="1245">
        <f>P13</f>
        <v>0</v>
      </c>
      <c r="Q65" s="418">
        <f>Q13</f>
        <v>0</v>
      </c>
      <c r="R65" s="1189">
        <f t="shared" si="179"/>
        <v>0</v>
      </c>
      <c r="S65" s="1245">
        <f>S13</f>
        <v>0</v>
      </c>
      <c r="T65" s="418">
        <f>T13</f>
        <v>0</v>
      </c>
      <c r="U65" s="1189">
        <f t="shared" si="180"/>
        <v>0</v>
      </c>
      <c r="V65" s="1245">
        <f>V13</f>
        <v>0</v>
      </c>
      <c r="W65" s="418">
        <f>W13</f>
        <v>0</v>
      </c>
      <c r="X65" s="1189">
        <f t="shared" si="181"/>
        <v>0</v>
      </c>
      <c r="Y65" s="1245">
        <f>Y13</f>
        <v>0</v>
      </c>
      <c r="Z65" s="418">
        <f>Z13</f>
        <v>0</v>
      </c>
      <c r="AA65" s="1189">
        <f t="shared" si="182"/>
        <v>0</v>
      </c>
      <c r="AB65" s="1442">
        <f>AB13</f>
        <v>0</v>
      </c>
      <c r="AC65" s="418">
        <f>AC13</f>
        <v>0</v>
      </c>
      <c r="AD65" s="1189">
        <f t="shared" si="183"/>
        <v>0</v>
      </c>
      <c r="AE65" s="1245">
        <f>AE13</f>
        <v>0</v>
      </c>
      <c r="AF65" s="418">
        <f>AF13</f>
        <v>0</v>
      </c>
      <c r="AG65" s="1189">
        <f t="shared" si="184"/>
        <v>0</v>
      </c>
      <c r="AH65" s="1245">
        <f>AH13</f>
        <v>0</v>
      </c>
      <c r="AI65" s="418">
        <f>AI13</f>
        <v>0</v>
      </c>
      <c r="AJ65" s="1189">
        <f t="shared" si="185"/>
        <v>0</v>
      </c>
      <c r="AK65" s="1245">
        <f>AK13</f>
        <v>0</v>
      </c>
      <c r="AL65" s="1375">
        <f>AL13</f>
        <v>1470</v>
      </c>
      <c r="AM65" s="1367">
        <f t="shared" si="186"/>
        <v>267.5204081632653</v>
      </c>
      <c r="AN65" s="1376">
        <f>AN13</f>
        <v>393255</v>
      </c>
      <c r="AO65" s="1145">
        <f>AO13</f>
        <v>393255</v>
      </c>
      <c r="AP65" s="342">
        <f t="shared" si="187"/>
        <v>0</v>
      </c>
    </row>
    <row r="66" spans="1:42" x14ac:dyDescent="0.25">
      <c r="A66" s="1174" t="s">
        <v>489</v>
      </c>
      <c r="B66" s="1219">
        <f>B21</f>
        <v>4</v>
      </c>
      <c r="C66" s="1189">
        <f t="shared" si="174"/>
        <v>845</v>
      </c>
      <c r="D66" s="1246">
        <f>D21</f>
        <v>3380</v>
      </c>
      <c r="E66" s="1219">
        <f>E21</f>
        <v>2</v>
      </c>
      <c r="F66" s="1189">
        <f t="shared" si="175"/>
        <v>910</v>
      </c>
      <c r="G66" s="1246">
        <f>G21</f>
        <v>1820</v>
      </c>
      <c r="H66" s="1219">
        <f>H21</f>
        <v>0</v>
      </c>
      <c r="I66" s="1189">
        <f t="shared" si="176"/>
        <v>0</v>
      </c>
      <c r="J66" s="1246">
        <f>J21</f>
        <v>0</v>
      </c>
      <c r="K66" s="1219">
        <f>K21</f>
        <v>0</v>
      </c>
      <c r="L66" s="1189">
        <f t="shared" si="177"/>
        <v>0</v>
      </c>
      <c r="M66" s="1246">
        <f>M21</f>
        <v>0</v>
      </c>
      <c r="N66" s="1219">
        <f>N21</f>
        <v>-1</v>
      </c>
      <c r="O66" s="1189">
        <f t="shared" si="178"/>
        <v>0</v>
      </c>
      <c r="P66" s="1246">
        <f>P21</f>
        <v>0</v>
      </c>
      <c r="Q66" s="1219">
        <f>Q21</f>
        <v>0</v>
      </c>
      <c r="R66" s="1189">
        <f t="shared" si="179"/>
        <v>0</v>
      </c>
      <c r="S66" s="1246">
        <f>S21</f>
        <v>0</v>
      </c>
      <c r="T66" s="1219">
        <f>T21</f>
        <v>0</v>
      </c>
      <c r="U66" s="1189">
        <f t="shared" si="180"/>
        <v>0</v>
      </c>
      <c r="V66" s="1246">
        <f>V21</f>
        <v>0</v>
      </c>
      <c r="W66" s="1219">
        <f>W21</f>
        <v>0</v>
      </c>
      <c r="X66" s="1189">
        <f t="shared" si="181"/>
        <v>0</v>
      </c>
      <c r="Y66" s="1246">
        <f>Y21</f>
        <v>0</v>
      </c>
      <c r="Z66" s="1219">
        <f>Z21</f>
        <v>0</v>
      </c>
      <c r="AA66" s="1189">
        <f t="shared" si="182"/>
        <v>0</v>
      </c>
      <c r="AB66" s="1479">
        <f>AB21</f>
        <v>0</v>
      </c>
      <c r="AC66" s="1219">
        <f>AC21</f>
        <v>0</v>
      </c>
      <c r="AD66" s="1189">
        <f t="shared" si="183"/>
        <v>0</v>
      </c>
      <c r="AE66" s="1246">
        <f>AE21</f>
        <v>0</v>
      </c>
      <c r="AF66" s="1219">
        <f>AF21</f>
        <v>0</v>
      </c>
      <c r="AG66" s="1189">
        <f t="shared" si="184"/>
        <v>0</v>
      </c>
      <c r="AH66" s="1246">
        <f>AH21</f>
        <v>0</v>
      </c>
      <c r="AI66" s="1219">
        <f>AI21</f>
        <v>0</v>
      </c>
      <c r="AJ66" s="1189">
        <f t="shared" si="185"/>
        <v>0</v>
      </c>
      <c r="AK66" s="1246">
        <f>AK21</f>
        <v>0</v>
      </c>
      <c r="AL66" s="1366">
        <f>AL21</f>
        <v>5</v>
      </c>
      <c r="AM66" s="1367">
        <f t="shared" si="186"/>
        <v>1040</v>
      </c>
      <c r="AN66" s="1377">
        <f>AN21</f>
        <v>5200</v>
      </c>
      <c r="AO66" s="1145">
        <f>AO21</f>
        <v>5200</v>
      </c>
      <c r="AP66" s="342">
        <f t="shared" si="187"/>
        <v>0</v>
      </c>
    </row>
    <row r="67" spans="1:42" x14ac:dyDescent="0.25">
      <c r="A67" s="1174" t="s">
        <v>583</v>
      </c>
      <c r="B67" s="1219">
        <f>B40</f>
        <v>3668</v>
      </c>
      <c r="C67" s="1189">
        <f t="shared" si="174"/>
        <v>182.33396946564886</v>
      </c>
      <c r="D67" s="1246">
        <f>D40</f>
        <v>668801</v>
      </c>
      <c r="E67" s="1219">
        <f>E40</f>
        <v>4150</v>
      </c>
      <c r="F67" s="1189">
        <f t="shared" si="175"/>
        <v>111.3855421686747</v>
      </c>
      <c r="G67" s="1246">
        <f>G40</f>
        <v>462250</v>
      </c>
      <c r="H67" s="1219">
        <f>H40</f>
        <v>0</v>
      </c>
      <c r="I67" s="1189">
        <f t="shared" si="176"/>
        <v>0</v>
      </c>
      <c r="J67" s="1246">
        <f>J40</f>
        <v>0</v>
      </c>
      <c r="K67" s="1219">
        <f>K40</f>
        <v>0</v>
      </c>
      <c r="L67" s="1189">
        <f t="shared" si="177"/>
        <v>0</v>
      </c>
      <c r="M67" s="1246">
        <f>M40</f>
        <v>0</v>
      </c>
      <c r="N67" s="1219">
        <f>N40</f>
        <v>0</v>
      </c>
      <c r="O67" s="1189">
        <f t="shared" si="178"/>
        <v>0</v>
      </c>
      <c r="P67" s="1246">
        <f>P40</f>
        <v>0</v>
      </c>
      <c r="Q67" s="1219">
        <f>Q40</f>
        <v>0</v>
      </c>
      <c r="R67" s="1189">
        <f t="shared" si="179"/>
        <v>0</v>
      </c>
      <c r="S67" s="1246">
        <f>S40</f>
        <v>0</v>
      </c>
      <c r="T67" s="1219">
        <f>T40</f>
        <v>0</v>
      </c>
      <c r="U67" s="1189">
        <f t="shared" si="180"/>
        <v>0</v>
      </c>
      <c r="V67" s="1246">
        <f>V40</f>
        <v>0</v>
      </c>
      <c r="W67" s="1219">
        <f>W40</f>
        <v>0</v>
      </c>
      <c r="X67" s="1189">
        <f t="shared" si="181"/>
        <v>0</v>
      </c>
      <c r="Y67" s="1246">
        <f>Y40</f>
        <v>0</v>
      </c>
      <c r="Z67" s="1219">
        <f>Z40</f>
        <v>0</v>
      </c>
      <c r="AA67" s="1189">
        <f t="shared" si="182"/>
        <v>0</v>
      </c>
      <c r="AB67" s="1246">
        <f>AB40</f>
        <v>0</v>
      </c>
      <c r="AC67" s="1219">
        <f>AC40</f>
        <v>0</v>
      </c>
      <c r="AD67" s="1189">
        <f t="shared" si="183"/>
        <v>0</v>
      </c>
      <c r="AE67" s="1246">
        <f>AE40</f>
        <v>0</v>
      </c>
      <c r="AF67" s="1219">
        <f>AF40</f>
        <v>0</v>
      </c>
      <c r="AG67" s="1189">
        <f t="shared" si="184"/>
        <v>0</v>
      </c>
      <c r="AH67" s="1246">
        <f>AH40</f>
        <v>0</v>
      </c>
      <c r="AI67" s="1219">
        <f>AI40</f>
        <v>0</v>
      </c>
      <c r="AJ67" s="1189">
        <f t="shared" si="185"/>
        <v>0</v>
      </c>
      <c r="AK67" s="1246">
        <f>AK40</f>
        <v>0</v>
      </c>
      <c r="AL67" s="1366">
        <f>AL40</f>
        <v>7818</v>
      </c>
      <c r="AM67" s="1367">
        <f t="shared" si="186"/>
        <v>144.67267843438219</v>
      </c>
      <c r="AN67" s="1377">
        <f>AN40</f>
        <v>1131051</v>
      </c>
      <c r="AP67" s="342"/>
    </row>
    <row r="68" spans="1:42" x14ac:dyDescent="0.25">
      <c r="A68" s="1174" t="s">
        <v>584</v>
      </c>
      <c r="B68" s="1219">
        <f>B41+B42</f>
        <v>22532.959999999999</v>
      </c>
      <c r="C68" s="1189">
        <f t="shared" si="174"/>
        <v>278.5823078725565</v>
      </c>
      <c r="D68" s="1246">
        <f>D41+D42+D43</f>
        <v>6277284</v>
      </c>
      <c r="E68" s="1219">
        <f>E41+E42</f>
        <v>9376</v>
      </c>
      <c r="F68" s="1189">
        <f t="shared" si="175"/>
        <v>296.21245733788396</v>
      </c>
      <c r="G68" s="1246">
        <f>G41+G42+G43</f>
        <v>2777288</v>
      </c>
      <c r="H68" s="1219">
        <f>H41+H42</f>
        <v>0</v>
      </c>
      <c r="I68" s="1189">
        <f t="shared" si="176"/>
        <v>0</v>
      </c>
      <c r="J68" s="1246">
        <f>J41+J42+J43</f>
        <v>0</v>
      </c>
      <c r="K68" s="1219">
        <f>K41+K42</f>
        <v>0</v>
      </c>
      <c r="L68" s="1189">
        <f t="shared" si="177"/>
        <v>0</v>
      </c>
      <c r="M68" s="1246">
        <f>M41+M42+M43</f>
        <v>0</v>
      </c>
      <c r="N68" s="1219">
        <f>N41+N42</f>
        <v>0</v>
      </c>
      <c r="O68" s="1189">
        <f t="shared" si="178"/>
        <v>0</v>
      </c>
      <c r="P68" s="1246">
        <f>P41+P42+P43</f>
        <v>0</v>
      </c>
      <c r="Q68" s="1219">
        <f>Q41+Q42</f>
        <v>0</v>
      </c>
      <c r="R68" s="1189">
        <f t="shared" si="179"/>
        <v>0</v>
      </c>
      <c r="S68" s="1246">
        <f>S41+S42+S43</f>
        <v>0</v>
      </c>
      <c r="T68" s="1219">
        <f>T41+T42</f>
        <v>0</v>
      </c>
      <c r="U68" s="1189">
        <f t="shared" si="180"/>
        <v>0</v>
      </c>
      <c r="V68" s="1246">
        <f>V41+V42+V43</f>
        <v>0</v>
      </c>
      <c r="W68" s="1219">
        <f>W41+W42</f>
        <v>0</v>
      </c>
      <c r="X68" s="1189">
        <f t="shared" si="181"/>
        <v>0</v>
      </c>
      <c r="Y68" s="1246">
        <f>Y41+Y42+Y43</f>
        <v>0</v>
      </c>
      <c r="Z68" s="1219">
        <f>Z41+Z42</f>
        <v>0</v>
      </c>
      <c r="AA68" s="1189">
        <f t="shared" si="182"/>
        <v>0</v>
      </c>
      <c r="AB68" s="1246">
        <f>AB41+AB42+AB43</f>
        <v>0</v>
      </c>
      <c r="AC68" s="1219">
        <f>AC41+AC42</f>
        <v>0</v>
      </c>
      <c r="AD68" s="1189">
        <f t="shared" si="183"/>
        <v>0</v>
      </c>
      <c r="AE68" s="1246">
        <f>AE41+AE42+AE43</f>
        <v>0</v>
      </c>
      <c r="AF68" s="1219">
        <f>AF41+AF42</f>
        <v>0</v>
      </c>
      <c r="AG68" s="1189">
        <f t="shared" si="184"/>
        <v>0</v>
      </c>
      <c r="AH68" s="1246">
        <f>AH41+AH42+AH43</f>
        <v>0</v>
      </c>
      <c r="AI68" s="1219">
        <f>AI41+AI42</f>
        <v>0</v>
      </c>
      <c r="AJ68" s="1189">
        <f t="shared" si="185"/>
        <v>0</v>
      </c>
      <c r="AK68" s="1246">
        <f>AK41+AK42+AK43</f>
        <v>0</v>
      </c>
      <c r="AL68" s="1366">
        <f>AL41+AL42</f>
        <v>31908</v>
      </c>
      <c r="AM68" s="1367">
        <f t="shared" si="186"/>
        <v>283.77121724959255</v>
      </c>
      <c r="AN68" s="1377">
        <f>AN41+AN42+AN43</f>
        <v>9054572</v>
      </c>
      <c r="AO68" s="1246">
        <f>AO41+AO42+AO43</f>
        <v>9054573</v>
      </c>
      <c r="AP68" s="342">
        <f t="shared" si="187"/>
        <v>-1</v>
      </c>
    </row>
    <row r="69" spans="1:42" ht="13.8" thickBot="1" x14ac:dyDescent="0.3">
      <c r="A69" s="1172" t="s">
        <v>490</v>
      </c>
      <c r="B69" s="563">
        <f>B55</f>
        <v>9490</v>
      </c>
      <c r="C69" s="1193">
        <f t="shared" si="174"/>
        <v>234.41296101159114</v>
      </c>
      <c r="D69" s="1247">
        <f>D55</f>
        <v>2224579</v>
      </c>
      <c r="E69" s="563">
        <f>E55</f>
        <v>6627</v>
      </c>
      <c r="F69" s="1193">
        <f t="shared" si="175"/>
        <v>221.8581560283688</v>
      </c>
      <c r="G69" s="1247">
        <f>G55</f>
        <v>1470254</v>
      </c>
      <c r="H69" s="563">
        <f>H55</f>
        <v>0</v>
      </c>
      <c r="I69" s="1193">
        <f t="shared" si="176"/>
        <v>0</v>
      </c>
      <c r="J69" s="1247">
        <f>J55</f>
        <v>0</v>
      </c>
      <c r="K69" s="563">
        <f>K55</f>
        <v>0</v>
      </c>
      <c r="L69" s="1193">
        <f t="shared" si="177"/>
        <v>0</v>
      </c>
      <c r="M69" s="1247">
        <f>M55</f>
        <v>0</v>
      </c>
      <c r="N69" s="563">
        <f>N55</f>
        <v>0</v>
      </c>
      <c r="O69" s="1193">
        <f t="shared" si="178"/>
        <v>0</v>
      </c>
      <c r="P69" s="1247">
        <f>P55</f>
        <v>0</v>
      </c>
      <c r="Q69" s="563">
        <f>Q55</f>
        <v>0</v>
      </c>
      <c r="R69" s="1193">
        <f t="shared" si="179"/>
        <v>0</v>
      </c>
      <c r="S69" s="1247">
        <f>S55</f>
        <v>0</v>
      </c>
      <c r="T69" s="563">
        <f>T55</f>
        <v>0</v>
      </c>
      <c r="U69" s="1193">
        <f t="shared" si="180"/>
        <v>0</v>
      </c>
      <c r="V69" s="1247">
        <f>V55</f>
        <v>0</v>
      </c>
      <c r="W69" s="563">
        <f>W55</f>
        <v>0</v>
      </c>
      <c r="X69" s="1193">
        <f t="shared" si="181"/>
        <v>0</v>
      </c>
      <c r="Y69" s="1247">
        <f>Y55</f>
        <v>0</v>
      </c>
      <c r="Z69" s="563">
        <f>Z55</f>
        <v>0</v>
      </c>
      <c r="AA69" s="1193">
        <f t="shared" si="182"/>
        <v>0</v>
      </c>
      <c r="AB69" s="1480">
        <f>AB55</f>
        <v>0</v>
      </c>
      <c r="AC69" s="563">
        <f>AC55</f>
        <v>0</v>
      </c>
      <c r="AD69" s="1193">
        <f t="shared" si="183"/>
        <v>0</v>
      </c>
      <c r="AE69" s="1247">
        <f>AE55</f>
        <v>0</v>
      </c>
      <c r="AF69" s="563">
        <f>AF55</f>
        <v>0</v>
      </c>
      <c r="AG69" s="1193">
        <f t="shared" si="184"/>
        <v>0</v>
      </c>
      <c r="AH69" s="1247">
        <f>AH55</f>
        <v>0</v>
      </c>
      <c r="AI69" s="563">
        <f>AI55</f>
        <v>0</v>
      </c>
      <c r="AJ69" s="1193">
        <f t="shared" si="185"/>
        <v>0</v>
      </c>
      <c r="AK69" s="1247">
        <f>AK55</f>
        <v>0</v>
      </c>
      <c r="AL69" s="1378">
        <f>AL55</f>
        <v>16116</v>
      </c>
      <c r="AM69" s="1379">
        <f t="shared" si="186"/>
        <v>229.26489203276248</v>
      </c>
      <c r="AN69" s="1380">
        <f>AN55</f>
        <v>3694833</v>
      </c>
      <c r="AO69" s="1145">
        <f>AO55</f>
        <v>3694833</v>
      </c>
      <c r="AP69" s="342">
        <f t="shared" si="187"/>
        <v>0</v>
      </c>
    </row>
    <row r="70" spans="1:42" ht="13.8" thickBot="1" x14ac:dyDescent="0.3">
      <c r="A70" s="429"/>
      <c r="B70" s="1248">
        <f>SUM(B64:B69)</f>
        <v>36517.96</v>
      </c>
      <c r="C70" s="1250">
        <f>D70/B70</f>
        <v>257.31744051420179</v>
      </c>
      <c r="D70" s="1251">
        <f>SUM(D64:D69)</f>
        <v>9396708</v>
      </c>
      <c r="E70" s="1248">
        <f>SUM(E64:E69)</f>
        <v>96802</v>
      </c>
      <c r="F70" s="1250">
        <f>G70/E70</f>
        <v>166.77732898080617</v>
      </c>
      <c r="G70" s="1251">
        <f>SUM(G64:G69)</f>
        <v>16144379</v>
      </c>
      <c r="H70" s="1248">
        <f>SUM(H64:H69)</f>
        <v>0</v>
      </c>
      <c r="I70" s="1250" t="e">
        <f>J70/H70</f>
        <v>#DIV/0!</v>
      </c>
      <c r="J70" s="1251">
        <f>SUM(J64:J69)</f>
        <v>0</v>
      </c>
      <c r="K70" s="1248">
        <f>SUM(K64:K69)</f>
        <v>0</v>
      </c>
      <c r="L70" s="1250" t="e">
        <f>M70/K70</f>
        <v>#DIV/0!</v>
      </c>
      <c r="M70" s="1251">
        <f>SUM(M64:M69)</f>
        <v>0</v>
      </c>
      <c r="N70" s="1248">
        <f>SUM(N64:N69)</f>
        <v>-1</v>
      </c>
      <c r="O70" s="1250">
        <f>P70/N70</f>
        <v>0</v>
      </c>
      <c r="P70" s="1251">
        <f>SUM(P64:P69)</f>
        <v>0</v>
      </c>
      <c r="Q70" s="1248">
        <f>SUM(Q64:Q69)</f>
        <v>0</v>
      </c>
      <c r="R70" s="1250" t="e">
        <f>S70/Q70</f>
        <v>#DIV/0!</v>
      </c>
      <c r="S70" s="1251">
        <f>SUM(S64:S69)</f>
        <v>0</v>
      </c>
      <c r="T70" s="1248">
        <f>SUM(T64:T69)</f>
        <v>0</v>
      </c>
      <c r="U70" s="1250" t="e">
        <f>V70/T70</f>
        <v>#DIV/0!</v>
      </c>
      <c r="V70" s="1251">
        <f>SUM(V64:V69)</f>
        <v>0</v>
      </c>
      <c r="W70" s="1248">
        <f>SUM(W64:W69)</f>
        <v>0</v>
      </c>
      <c r="X70" s="1250" t="e">
        <f>Y70/W70</f>
        <v>#DIV/0!</v>
      </c>
      <c r="Y70" s="1251">
        <f>SUM(Y64:Y69)</f>
        <v>0</v>
      </c>
      <c r="Z70" s="1248">
        <f>SUM(Z64:Z69)</f>
        <v>0</v>
      </c>
      <c r="AA70" s="1250" t="e">
        <f>AB70/Z70</f>
        <v>#DIV/0!</v>
      </c>
      <c r="AB70" s="1481">
        <f>SUM(AB64:AB69)</f>
        <v>0</v>
      </c>
      <c r="AC70" s="1248">
        <f>SUM(AC64:AC69)</f>
        <v>0</v>
      </c>
      <c r="AD70" s="1250" t="e">
        <f>AE70/AC70</f>
        <v>#DIV/0!</v>
      </c>
      <c r="AE70" s="1251">
        <f>SUM(AE64:AE69)</f>
        <v>0</v>
      </c>
      <c r="AF70" s="1248">
        <f>SUM(AF64:AF69)</f>
        <v>0</v>
      </c>
      <c r="AG70" s="1250" t="e">
        <f>AH70/AF70</f>
        <v>#DIV/0!</v>
      </c>
      <c r="AH70" s="1251">
        <f>SUM(AH64:AH69)</f>
        <v>0</v>
      </c>
      <c r="AI70" s="1248">
        <f>SUM(AI64:AI69)</f>
        <v>0</v>
      </c>
      <c r="AJ70" s="1250" t="e">
        <f>AK70/AI70</f>
        <v>#DIV/0!</v>
      </c>
      <c r="AK70" s="1251">
        <f>SUM(AK64:AK69)</f>
        <v>0</v>
      </c>
      <c r="AL70" s="1373">
        <f>SUM(AL64:AL69)</f>
        <v>133317</v>
      </c>
      <c r="AM70" s="1381">
        <f>AN70/AL70</f>
        <v>191.58162124860294</v>
      </c>
      <c r="AN70" s="1382">
        <f>SUM(AN64:AN69)</f>
        <v>25541087</v>
      </c>
      <c r="AO70" s="984">
        <f>SUM(AO64:AO69)</f>
        <v>24410037</v>
      </c>
      <c r="AP70" s="342">
        <f>SUM(AP64:AP69)</f>
        <v>-1</v>
      </c>
    </row>
    <row r="71" spans="1:42" x14ac:dyDescent="0.25">
      <c r="A71" s="1201" t="s">
        <v>73</v>
      </c>
      <c r="B71" s="1202"/>
      <c r="C71" s="1203">
        <f t="shared" si="174"/>
        <v>0</v>
      </c>
      <c r="D71" s="1194"/>
      <c r="E71" s="1202"/>
      <c r="F71" s="1203">
        <f t="shared" ref="F71:F73" si="188">IF(E71=0,0,(G71/E71))</f>
        <v>0</v>
      </c>
      <c r="G71" s="1194"/>
      <c r="H71" s="1202"/>
      <c r="I71" s="1203">
        <f t="shared" ref="I71:I73" si="189">IF(H71=0,0,(J71/H71))</f>
        <v>0</v>
      </c>
      <c r="J71" s="1194"/>
      <c r="K71" s="1202"/>
      <c r="L71" s="1203">
        <f t="shared" ref="L71:L73" si="190">IF(K71=0,0,(M71/K71))</f>
        <v>0</v>
      </c>
      <c r="M71" s="1194"/>
      <c r="N71" s="1202"/>
      <c r="O71" s="1203">
        <f t="shared" ref="O71:O73" si="191">IF(N71=0,0,(P71/N71))</f>
        <v>0</v>
      </c>
      <c r="P71" s="1194"/>
      <c r="Q71" s="1202"/>
      <c r="R71" s="1203">
        <f t="shared" ref="R71:R73" si="192">IF(Q71=0,0,(S71/Q71))</f>
        <v>0</v>
      </c>
      <c r="S71" s="1194"/>
      <c r="T71" s="1202"/>
      <c r="U71" s="1203">
        <f t="shared" ref="U71:U73" si="193">IF(T71=0,0,(V71/T71))</f>
        <v>0</v>
      </c>
      <c r="V71" s="1194"/>
      <c r="W71" s="1202"/>
      <c r="X71" s="1203">
        <f t="shared" ref="X71:X73" si="194">IF(W71=0,0,(Y71/W71))</f>
        <v>0</v>
      </c>
      <c r="Y71" s="1194"/>
      <c r="Z71" s="1202"/>
      <c r="AA71" s="1203">
        <f t="shared" ref="AA71:AA73" si="195">IF(Z71=0,0,(AB71/Z71))</f>
        <v>0</v>
      </c>
      <c r="AB71" s="1195"/>
      <c r="AC71" s="1202"/>
      <c r="AD71" s="1203">
        <f t="shared" ref="AD71:AD73" si="196">IF(AC71=0,0,(AE71/AC71))</f>
        <v>0</v>
      </c>
      <c r="AE71" s="1194"/>
      <c r="AF71" s="1202"/>
      <c r="AG71" s="1203">
        <f t="shared" ref="AG71:AG73" si="197">IF(AF71=0,0,(AH71/AF71))</f>
        <v>0</v>
      </c>
      <c r="AH71" s="1194"/>
      <c r="AI71" s="1202"/>
      <c r="AJ71" s="1203">
        <f t="shared" ref="AJ71:AJ73" si="198">IF(AI71=0,0,(AK71/AI71))</f>
        <v>0</v>
      </c>
      <c r="AK71" s="1194"/>
      <c r="AL71" s="1383"/>
      <c r="AM71" s="1384">
        <f t="shared" ref="AM71:AM73" si="199">IF(AL71=0,0,(AN71/AL71))</f>
        <v>0</v>
      </c>
      <c r="AN71" s="1385"/>
    </row>
    <row r="72" spans="1:42" x14ac:dyDescent="0.25">
      <c r="A72" s="1210" t="s">
        <v>491</v>
      </c>
      <c r="B72" s="1219">
        <f>B32</f>
        <v>0</v>
      </c>
      <c r="C72" s="1191">
        <f t="shared" si="174"/>
        <v>0</v>
      </c>
      <c r="D72" s="1190">
        <f>D32</f>
        <v>0</v>
      </c>
      <c r="E72" s="1219">
        <f>E32</f>
        <v>25</v>
      </c>
      <c r="F72" s="1191">
        <f t="shared" si="188"/>
        <v>380</v>
      </c>
      <c r="G72" s="1190">
        <f>G32</f>
        <v>9500</v>
      </c>
      <c r="H72" s="1219">
        <f>H32</f>
        <v>0</v>
      </c>
      <c r="I72" s="1191">
        <f t="shared" si="189"/>
        <v>0</v>
      </c>
      <c r="J72" s="1190">
        <f>J32</f>
        <v>0</v>
      </c>
      <c r="K72" s="1219">
        <f>K32</f>
        <v>0</v>
      </c>
      <c r="L72" s="1191">
        <f t="shared" si="190"/>
        <v>0</v>
      </c>
      <c r="M72" s="1190">
        <f>M32</f>
        <v>0</v>
      </c>
      <c r="N72" s="1219">
        <f>N32</f>
        <v>0</v>
      </c>
      <c r="O72" s="1191">
        <f t="shared" si="191"/>
        <v>0</v>
      </c>
      <c r="P72" s="1190">
        <f>P32</f>
        <v>0</v>
      </c>
      <c r="Q72" s="1219">
        <f>Q32</f>
        <v>0</v>
      </c>
      <c r="R72" s="1191">
        <f t="shared" si="192"/>
        <v>0</v>
      </c>
      <c r="S72" s="1190">
        <f>S32</f>
        <v>0</v>
      </c>
      <c r="T72" s="1219">
        <f>T32</f>
        <v>0</v>
      </c>
      <c r="U72" s="1191">
        <f t="shared" si="193"/>
        <v>0</v>
      </c>
      <c r="V72" s="1190">
        <f>V32</f>
        <v>0</v>
      </c>
      <c r="W72" s="1219">
        <f>W32</f>
        <v>0</v>
      </c>
      <c r="X72" s="1191">
        <f t="shared" si="194"/>
        <v>0</v>
      </c>
      <c r="Y72" s="1190">
        <f>Y32</f>
        <v>0</v>
      </c>
      <c r="Z72" s="1219">
        <f>Z32</f>
        <v>0</v>
      </c>
      <c r="AA72" s="1191">
        <f t="shared" si="195"/>
        <v>0</v>
      </c>
      <c r="AB72" s="1459">
        <f>AB32</f>
        <v>0</v>
      </c>
      <c r="AC72" s="1219">
        <f>AC32</f>
        <v>0</v>
      </c>
      <c r="AD72" s="1191">
        <f t="shared" si="196"/>
        <v>0</v>
      </c>
      <c r="AE72" s="1190">
        <f>AE32</f>
        <v>0</v>
      </c>
      <c r="AF72" s="1219">
        <f>AF32</f>
        <v>0</v>
      </c>
      <c r="AG72" s="1191">
        <f t="shared" si="197"/>
        <v>0</v>
      </c>
      <c r="AH72" s="1190">
        <f>AH32</f>
        <v>0</v>
      </c>
      <c r="AI72" s="1219">
        <f>AI32</f>
        <v>0</v>
      </c>
      <c r="AJ72" s="1191">
        <f t="shared" si="198"/>
        <v>0</v>
      </c>
      <c r="AK72" s="1190">
        <f>AK32</f>
        <v>0</v>
      </c>
      <c r="AL72" s="1366">
        <f>AL32</f>
        <v>25</v>
      </c>
      <c r="AM72" s="1386">
        <f t="shared" si="199"/>
        <v>380</v>
      </c>
      <c r="AN72" s="1368">
        <f>AN32</f>
        <v>9500</v>
      </c>
      <c r="AP72" s="8"/>
    </row>
    <row r="73" spans="1:42" ht="13.8" thickBot="1" x14ac:dyDescent="0.3">
      <c r="A73" s="452" t="s">
        <v>75</v>
      </c>
      <c r="B73" s="1219">
        <f>B33+B59</f>
        <v>79049</v>
      </c>
      <c r="C73" s="1188">
        <f t="shared" si="174"/>
        <v>140.63012814836367</v>
      </c>
      <c r="D73" s="1190">
        <f>D33+D59</f>
        <v>11116671</v>
      </c>
      <c r="E73" s="1219">
        <f>E33+E59</f>
        <v>93338</v>
      </c>
      <c r="F73" s="1188">
        <f t="shared" si="188"/>
        <v>156.39396601598492</v>
      </c>
      <c r="G73" s="1190">
        <f>G33+G59</f>
        <v>14597500</v>
      </c>
      <c r="H73" s="1219">
        <f>H33+H59</f>
        <v>0</v>
      </c>
      <c r="I73" s="1188">
        <f t="shared" si="189"/>
        <v>0</v>
      </c>
      <c r="J73" s="1190">
        <f>J33+J59</f>
        <v>0</v>
      </c>
      <c r="K73" s="1219">
        <f>K33+K59</f>
        <v>0</v>
      </c>
      <c r="L73" s="1188">
        <f t="shared" si="190"/>
        <v>0</v>
      </c>
      <c r="M73" s="1190">
        <f>M33+M59</f>
        <v>0</v>
      </c>
      <c r="N73" s="1219">
        <f>N33+N59</f>
        <v>0</v>
      </c>
      <c r="O73" s="1188">
        <f t="shared" si="191"/>
        <v>0</v>
      </c>
      <c r="P73" s="1190">
        <f>P33+P59</f>
        <v>0</v>
      </c>
      <c r="Q73" s="1219">
        <f>Q33+Q59</f>
        <v>0</v>
      </c>
      <c r="R73" s="1188">
        <f t="shared" si="192"/>
        <v>0</v>
      </c>
      <c r="S73" s="1190">
        <f>S33+S59</f>
        <v>0</v>
      </c>
      <c r="T73" s="1219">
        <f>T33+T59</f>
        <v>0</v>
      </c>
      <c r="U73" s="1188">
        <f t="shared" si="193"/>
        <v>0</v>
      </c>
      <c r="V73" s="1190">
        <f>V33+V59</f>
        <v>0</v>
      </c>
      <c r="W73" s="1219">
        <f>W33+W59</f>
        <v>0</v>
      </c>
      <c r="X73" s="1188">
        <f t="shared" si="194"/>
        <v>0</v>
      </c>
      <c r="Y73" s="1190">
        <f>Y33+Y59</f>
        <v>0</v>
      </c>
      <c r="Z73" s="1219">
        <f>Z33+Z59</f>
        <v>0</v>
      </c>
      <c r="AA73" s="1188">
        <f t="shared" si="195"/>
        <v>0</v>
      </c>
      <c r="AB73" s="1459">
        <f>AB33+AB59</f>
        <v>0</v>
      </c>
      <c r="AC73" s="1219">
        <f>AC33+AC59</f>
        <v>0</v>
      </c>
      <c r="AD73" s="1188">
        <f t="shared" si="196"/>
        <v>0</v>
      </c>
      <c r="AE73" s="1190">
        <f>AE33+AE59</f>
        <v>0</v>
      </c>
      <c r="AF73" s="1219">
        <f>AF33+AF59</f>
        <v>0</v>
      </c>
      <c r="AG73" s="1188">
        <f t="shared" si="197"/>
        <v>0</v>
      </c>
      <c r="AH73" s="1190">
        <f>AH33+AH59</f>
        <v>0</v>
      </c>
      <c r="AI73" s="1219">
        <f>AI33+AI59</f>
        <v>0</v>
      </c>
      <c r="AJ73" s="1188">
        <f t="shared" si="198"/>
        <v>0</v>
      </c>
      <c r="AK73" s="1190">
        <f>AK33+AK59</f>
        <v>0</v>
      </c>
      <c r="AL73" s="1683">
        <f>AL33+AL59</f>
        <v>0</v>
      </c>
      <c r="AM73" s="1684">
        <f t="shared" si="199"/>
        <v>0</v>
      </c>
      <c r="AN73" s="1685">
        <f>AN33+AN59</f>
        <v>0</v>
      </c>
      <c r="AP73" s="8"/>
    </row>
    <row r="74" spans="1:42" ht="14.4" thickBot="1" x14ac:dyDescent="0.35">
      <c r="A74" s="1296" t="s">
        <v>949</v>
      </c>
      <c r="B74" s="1297">
        <f>(B63+B70)-(B72+B73)</f>
        <v>100957.95999999999</v>
      </c>
      <c r="C74" s="1298">
        <f>IF(B74=0,0,(D74/B74))</f>
        <v>159.02345887337663</v>
      </c>
      <c r="D74" s="1294">
        <f>(D63+D70)-(D72+D73)</f>
        <v>16054684</v>
      </c>
      <c r="E74" s="1297">
        <f>(E63+E70)-(E72+E73)</f>
        <v>82488</v>
      </c>
      <c r="F74" s="1298">
        <f>IF(E74=0,0,(G74/E74))</f>
        <v>153.40473765881097</v>
      </c>
      <c r="G74" s="1294">
        <f>(G63+G70)-(G72+G73)</f>
        <v>12654050</v>
      </c>
      <c r="H74" s="1297">
        <f>(H63+H70)-(H72+H73)</f>
        <v>93338</v>
      </c>
      <c r="I74" s="1298">
        <f>IF(H74=0,0,(J74/H74))</f>
        <v>156.39396601598492</v>
      </c>
      <c r="J74" s="1294">
        <f>(J63+J70)-(J72+J73)</f>
        <v>14597500</v>
      </c>
      <c r="K74" s="1297">
        <f>(K63+K70)-(K72+K73)</f>
        <v>0</v>
      </c>
      <c r="L74" s="1298">
        <f>IF(K74=0,0,(M74/K74))</f>
        <v>0</v>
      </c>
      <c r="M74" s="1294">
        <f>(M63+M70)-(M72+M73)</f>
        <v>0</v>
      </c>
      <c r="N74" s="1297">
        <f>(N63+N70)-(N72+N73)</f>
        <v>-1</v>
      </c>
      <c r="O74" s="1298">
        <f>IF(N74=0,0,(P74/N74))</f>
        <v>0</v>
      </c>
      <c r="P74" s="1294">
        <f>(P63+P70)-(P72+P73)</f>
        <v>0</v>
      </c>
      <c r="Q74" s="1297">
        <f>(Q63+Q70)-(Q72+Q73)</f>
        <v>0</v>
      </c>
      <c r="R74" s="1298">
        <f>IF(Q74=0,0,(S74/Q74))</f>
        <v>0</v>
      </c>
      <c r="S74" s="1294">
        <f>(S63+S70)-(S72+S73)</f>
        <v>0</v>
      </c>
      <c r="T74" s="1297">
        <f>(T63+T70)-(T72+T73)</f>
        <v>0</v>
      </c>
      <c r="U74" s="1298">
        <f>IF(T74=0,0,(V74/T74))</f>
        <v>0</v>
      </c>
      <c r="V74" s="1294">
        <f>(V63+V70)-(V72+V73)</f>
        <v>0</v>
      </c>
      <c r="W74" s="1297">
        <f>(W63+W70)-(W72+W73)</f>
        <v>0</v>
      </c>
      <c r="X74" s="1298">
        <f>IF(W74=0,0,(Y74/W74))</f>
        <v>0</v>
      </c>
      <c r="Y74" s="1294">
        <f>(Y63+Y70)-(Y72+Y73)</f>
        <v>0</v>
      </c>
      <c r="Z74" s="1297">
        <f>(Z63+Z70)-(Z72+Z73)</f>
        <v>0</v>
      </c>
      <c r="AA74" s="1298">
        <f>IF(Z74=0,0,(AB74/Z74))</f>
        <v>0</v>
      </c>
      <c r="AB74" s="1482">
        <f>(AB63+AB70)-(AB72+AB73)</f>
        <v>0</v>
      </c>
      <c r="AC74" s="1297">
        <f>(AC63+AC70)-(AC72+AC73)</f>
        <v>0</v>
      </c>
      <c r="AD74" s="1298">
        <f>IF(AC74=0,0,(AE74/AC74))</f>
        <v>0</v>
      </c>
      <c r="AE74" s="1294">
        <f>(AE63+AE70)-(AE72+AE73)</f>
        <v>0</v>
      </c>
      <c r="AF74" s="1297">
        <f>(AF63+AF70)-(AF72+AF73)</f>
        <v>0</v>
      </c>
      <c r="AG74" s="1298">
        <f>IF(AF74=0,0,(AH74/AF74))</f>
        <v>0</v>
      </c>
      <c r="AH74" s="1294">
        <f>(AH63+AH70)-(AH72+AH73)</f>
        <v>0</v>
      </c>
      <c r="AI74" s="1297">
        <f>(AI63+AI70)-(AI72+AI73)</f>
        <v>0</v>
      </c>
      <c r="AJ74" s="1298">
        <f>IF(AI74=0,0,(AK74/AI74))</f>
        <v>0</v>
      </c>
      <c r="AK74" s="1294">
        <f>(AK63+AK70)-(AK72+AK73)</f>
        <v>0</v>
      </c>
      <c r="AL74" s="1297">
        <f>(AL63+AL70)-(AL72+AL73)</f>
        <v>276781</v>
      </c>
      <c r="AM74" s="1298">
        <f>IF(AL74=0,0,(AN74/AL74))</f>
        <v>156.46389744960817</v>
      </c>
      <c r="AN74" s="1294">
        <f>(AN63+AN70)-(AN72+AN73)</f>
        <v>43306234</v>
      </c>
    </row>
    <row r="75" spans="1:42" x14ac:dyDescent="0.25">
      <c r="A75" s="1165"/>
      <c r="B75" s="1165"/>
      <c r="C75" s="1182"/>
      <c r="D75" s="1182"/>
      <c r="E75" s="1165"/>
      <c r="F75" s="1182"/>
      <c r="G75" s="1182"/>
      <c r="H75" s="1165"/>
      <c r="I75" s="1182"/>
      <c r="J75" s="1182"/>
      <c r="K75" s="1165"/>
      <c r="L75" s="1182"/>
      <c r="M75" s="1182"/>
      <c r="N75" s="1165"/>
      <c r="O75" s="1165"/>
      <c r="P75" s="1165"/>
      <c r="Q75" s="1165"/>
      <c r="R75" s="1165"/>
      <c r="S75" s="1165"/>
      <c r="T75" s="1165"/>
      <c r="U75" s="1165"/>
      <c r="V75" s="1165"/>
      <c r="W75" s="1165"/>
      <c r="X75" s="1165"/>
      <c r="Y75" s="1182"/>
      <c r="Z75" s="1165"/>
      <c r="AA75" s="1165"/>
      <c r="AB75" s="1165"/>
      <c r="AC75" s="1165"/>
      <c r="AD75" s="1165"/>
      <c r="AE75" s="1165"/>
      <c r="AF75" s="1165"/>
      <c r="AG75" s="1165"/>
      <c r="AH75" s="1165"/>
      <c r="AI75" s="1165"/>
      <c r="AJ75" s="1165"/>
      <c r="AK75" s="1165"/>
      <c r="AL75" s="1165"/>
      <c r="AM75" s="1182"/>
    </row>
    <row r="76" spans="1:42" ht="14.4" thickBot="1" x14ac:dyDescent="0.35">
      <c r="A76" s="1295" t="s">
        <v>542</v>
      </c>
      <c r="B76" s="1295"/>
      <c r="C76" s="1295"/>
      <c r="D76" s="1295"/>
      <c r="E76" s="1295"/>
      <c r="F76" s="1295"/>
      <c r="G76" s="1295"/>
      <c r="H76" s="1295"/>
      <c r="I76" s="1295"/>
      <c r="J76" s="1295"/>
      <c r="K76" s="1295"/>
      <c r="L76" s="1295"/>
      <c r="M76" s="1295"/>
      <c r="N76" s="1295"/>
      <c r="O76" s="1295"/>
      <c r="P76" s="1295"/>
      <c r="Q76" s="1295"/>
      <c r="R76" s="1295"/>
      <c r="S76" s="1295"/>
      <c r="T76" s="1295"/>
      <c r="U76" s="1295"/>
      <c r="V76" s="1295"/>
      <c r="W76" s="1295"/>
      <c r="X76" s="1295"/>
      <c r="Y76" s="1443"/>
      <c r="Z76" s="1295"/>
      <c r="AA76" s="1295"/>
      <c r="AB76" s="1295"/>
      <c r="AC76" s="1295"/>
      <c r="AD76" s="1295"/>
      <c r="AE76" s="1295"/>
      <c r="AF76" s="1295"/>
      <c r="AG76" s="1295"/>
      <c r="AH76" s="1295"/>
      <c r="AI76" s="1295"/>
      <c r="AJ76" s="1295"/>
      <c r="AK76" s="1295"/>
      <c r="AL76" s="1295"/>
      <c r="AM76" s="1295"/>
      <c r="AN76" s="1295"/>
    </row>
    <row r="77" spans="1:42" x14ac:dyDescent="0.25">
      <c r="A77" s="989" t="s">
        <v>71</v>
      </c>
      <c r="B77" s="1273"/>
      <c r="C77" s="1061"/>
      <c r="D77" s="1258"/>
      <c r="E77" s="1269"/>
      <c r="F77" s="1061"/>
      <c r="G77" s="1277"/>
      <c r="H77" s="1273"/>
      <c r="I77" s="1061"/>
      <c r="J77" s="1258"/>
      <c r="K77" s="1273"/>
      <c r="L77" s="1061"/>
      <c r="M77" s="1258"/>
      <c r="N77" s="1269"/>
      <c r="O77" s="1061"/>
      <c r="P77" s="1061"/>
      <c r="Q77" s="1061"/>
      <c r="R77" s="1061"/>
      <c r="S77" s="1061"/>
      <c r="T77" s="1061"/>
      <c r="U77" s="1061"/>
      <c r="V77" s="1061"/>
      <c r="W77" s="1061"/>
      <c r="X77" s="1061"/>
      <c r="Y77" s="1465"/>
      <c r="Z77" s="1273"/>
      <c r="AA77" s="1061"/>
      <c r="AB77" s="1277"/>
      <c r="AC77" s="1273"/>
      <c r="AD77" s="1061"/>
      <c r="AE77" s="1258"/>
      <c r="AF77" s="1269"/>
      <c r="AG77" s="1061"/>
      <c r="AH77" s="1061"/>
      <c r="AI77" s="1269"/>
      <c r="AJ77" s="1061"/>
      <c r="AK77" s="1061"/>
      <c r="AL77" s="1273"/>
      <c r="AM77" s="1061"/>
      <c r="AN77" s="1258"/>
    </row>
    <row r="78" spans="1:42" x14ac:dyDescent="0.25">
      <c r="A78" s="1066" t="s">
        <v>450</v>
      </c>
      <c r="B78" s="843">
        <f>'Stock Valuation (FIFO)'!B12</f>
        <v>102167</v>
      </c>
      <c r="C78" s="1257">
        <f>IF(B78=0,0,D78/B78)</f>
        <v>167</v>
      </c>
      <c r="D78" s="1259">
        <f>'Stock Valuation (FIFO)'!D12</f>
        <v>17061889</v>
      </c>
      <c r="E78" s="116">
        <f>B88</f>
        <v>76997</v>
      </c>
      <c r="F78" s="1257">
        <f>IF(E78=0,0,G78/E78)</f>
        <v>182</v>
      </c>
      <c r="G78" s="248">
        <f>D88</f>
        <v>14013454</v>
      </c>
      <c r="H78" s="132">
        <f>E88</f>
        <v>73664</v>
      </c>
      <c r="I78" s="1257">
        <f>IF(H78=0,0,J78/H78)</f>
        <v>207</v>
      </c>
      <c r="J78" s="1259">
        <f>G88</f>
        <v>15248448</v>
      </c>
      <c r="K78" s="132">
        <f>H88</f>
        <v>0</v>
      </c>
      <c r="L78" s="1257">
        <f>IF(K78=0,0,M78/K78)</f>
        <v>0</v>
      </c>
      <c r="M78" s="99">
        <f>J88</f>
        <v>0</v>
      </c>
      <c r="N78" s="132">
        <f>K88</f>
        <v>0</v>
      </c>
      <c r="O78" s="1257">
        <f>IF(N78=0,0,P78/N78)</f>
        <v>0</v>
      </c>
      <c r="P78" s="99">
        <f>M88</f>
        <v>0</v>
      </c>
      <c r="Q78" s="132">
        <f>N88</f>
        <v>0</v>
      </c>
      <c r="R78" s="1257">
        <f>IF(Q78=0,0,S78/Q78)</f>
        <v>0</v>
      </c>
      <c r="S78" s="99">
        <f>P88</f>
        <v>0</v>
      </c>
      <c r="T78" s="132">
        <f>Q88</f>
        <v>0</v>
      </c>
      <c r="U78" s="1257">
        <f>IF(T78=0,0,V78/T78)</f>
        <v>0</v>
      </c>
      <c r="V78" s="99">
        <f>S88</f>
        <v>0</v>
      </c>
      <c r="W78" s="132">
        <f>T88</f>
        <v>0</v>
      </c>
      <c r="X78" s="1257">
        <f>IF(W78=0,0,Y78/W78)</f>
        <v>0</v>
      </c>
      <c r="Y78" s="248">
        <f>V88</f>
        <v>0</v>
      </c>
      <c r="Z78" s="132">
        <f>W88</f>
        <v>0</v>
      </c>
      <c r="AA78" s="1257">
        <f>IF(Z78=0,0,AB78/Z78)</f>
        <v>0</v>
      </c>
      <c r="AB78" s="248">
        <f>Y88</f>
        <v>0</v>
      </c>
      <c r="AC78" s="132">
        <f>Z88</f>
        <v>0</v>
      </c>
      <c r="AD78" s="1257">
        <f>IF(AC78=0,0,AE78/AC78)</f>
        <v>0</v>
      </c>
      <c r="AE78" s="99">
        <f>AB88</f>
        <v>0</v>
      </c>
      <c r="AF78" s="132">
        <f>AC88</f>
        <v>0</v>
      </c>
      <c r="AG78" s="1257">
        <f>IF(AF78=0,0,AH78/AF78)</f>
        <v>0</v>
      </c>
      <c r="AH78" s="99">
        <f>AE88</f>
        <v>0</v>
      </c>
      <c r="AI78" s="132">
        <f>AF88</f>
        <v>0</v>
      </c>
      <c r="AJ78" s="1257">
        <f>IF(AI78=0,0,AK78/AI78)</f>
        <v>0</v>
      </c>
      <c r="AK78" s="99">
        <f>AH88</f>
        <v>0</v>
      </c>
      <c r="AL78" s="1387">
        <f>B78</f>
        <v>102167</v>
      </c>
      <c r="AM78" s="1388">
        <f>IF(AL78=0,0,AN78/AL78)</f>
        <v>167</v>
      </c>
      <c r="AN78" s="1389">
        <f>D78</f>
        <v>17061889</v>
      </c>
    </row>
    <row r="79" spans="1:42" ht="13.8" thickBot="1" x14ac:dyDescent="0.3">
      <c r="A79" s="1072" t="s">
        <v>495</v>
      </c>
      <c r="B79" s="1274">
        <f>'Stock Valuation (FIFO)'!B14</f>
        <v>200810</v>
      </c>
      <c r="C79" s="1260">
        <f t="shared" ref="C79:C80" si="200">IF(B79=0,0,D79/B79)</f>
        <v>238</v>
      </c>
      <c r="D79" s="1265">
        <f>'Stock Valuation (FIFO)'!D14</f>
        <v>47792780</v>
      </c>
      <c r="E79" s="515">
        <f>B89</f>
        <v>216887</v>
      </c>
      <c r="F79" s="1260">
        <f t="shared" ref="F79:F80" si="201">IF(E79=0,0,G79/E79)</f>
        <v>250</v>
      </c>
      <c r="G79" s="119">
        <f>D89</f>
        <v>54221750</v>
      </c>
      <c r="H79" s="137">
        <f>E89</f>
        <v>179666</v>
      </c>
      <c r="I79" s="1260">
        <f t="shared" ref="I79:I80" si="202">IF(H79=0,0,J79/H79)</f>
        <v>278</v>
      </c>
      <c r="J79" s="1265">
        <f>G89</f>
        <v>49947148</v>
      </c>
      <c r="K79" s="137">
        <f>H89</f>
        <v>0</v>
      </c>
      <c r="L79" s="1260">
        <f t="shared" ref="L79:L80" si="203">IF(K79=0,0,M79/K79)</f>
        <v>0</v>
      </c>
      <c r="M79" s="234">
        <f>J89</f>
        <v>0</v>
      </c>
      <c r="N79" s="137">
        <f>K89</f>
        <v>0</v>
      </c>
      <c r="O79" s="1260">
        <f t="shared" ref="O79:O80" si="204">IF(N79=0,0,P79/N79)</f>
        <v>0</v>
      </c>
      <c r="P79" s="234">
        <f>M89</f>
        <v>0</v>
      </c>
      <c r="Q79" s="137">
        <f>N89</f>
        <v>0</v>
      </c>
      <c r="R79" s="1260">
        <f t="shared" ref="R79:R80" si="205">IF(Q79=0,0,S79/Q79)</f>
        <v>0</v>
      </c>
      <c r="S79" s="234">
        <f>P89</f>
        <v>0</v>
      </c>
      <c r="T79" s="137">
        <f>Q89</f>
        <v>0</v>
      </c>
      <c r="U79" s="1260">
        <f t="shared" ref="U79:U80" si="206">IF(T79=0,0,V79/T79)</f>
        <v>0</v>
      </c>
      <c r="V79" s="234">
        <f>S89</f>
        <v>0</v>
      </c>
      <c r="W79" s="137">
        <f>T89</f>
        <v>0</v>
      </c>
      <c r="X79" s="1260">
        <f t="shared" ref="X79" si="207">IF(W79=0,0,Y79/W79)</f>
        <v>0</v>
      </c>
      <c r="Y79" s="119">
        <f>V89</f>
        <v>0</v>
      </c>
      <c r="Z79" s="137">
        <f>W89</f>
        <v>0</v>
      </c>
      <c r="AA79" s="1260">
        <f t="shared" ref="AA79" si="208">IF(Z79=0,0,AB79/Z79)</f>
        <v>0</v>
      </c>
      <c r="AB79" s="119">
        <f>Y89</f>
        <v>0</v>
      </c>
      <c r="AC79" s="137">
        <f>Z89</f>
        <v>0</v>
      </c>
      <c r="AD79" s="1260">
        <f t="shared" ref="AD79:AD80" si="209">IF(AC79=0,0,AE79/AC79)</f>
        <v>0</v>
      </c>
      <c r="AE79" s="234">
        <f>AB89</f>
        <v>0</v>
      </c>
      <c r="AF79" s="137">
        <f>AC89</f>
        <v>0</v>
      </c>
      <c r="AG79" s="1260">
        <f t="shared" ref="AG79:AG80" si="210">IF(AF79=0,0,AH79/AF79)</f>
        <v>0</v>
      </c>
      <c r="AH79" s="234">
        <f>AE89</f>
        <v>0</v>
      </c>
      <c r="AI79" s="137">
        <f>AF89</f>
        <v>0</v>
      </c>
      <c r="AJ79" s="1260">
        <f t="shared" ref="AJ79:AJ80" si="211">IF(AI79=0,0,AK79/AI79)</f>
        <v>0</v>
      </c>
      <c r="AK79" s="234">
        <f>AH89</f>
        <v>0</v>
      </c>
      <c r="AL79" s="1390">
        <f>B79</f>
        <v>200810</v>
      </c>
      <c r="AM79" s="1391">
        <f t="shared" ref="AM79:AM80" si="212">IF(AL79=0,0,AN79/AL79)</f>
        <v>238</v>
      </c>
      <c r="AN79" s="1392">
        <f>D79</f>
        <v>47792780</v>
      </c>
    </row>
    <row r="80" spans="1:42" ht="13.8" thickBot="1" x14ac:dyDescent="0.3">
      <c r="A80" s="746"/>
      <c r="B80" s="1275">
        <f>SUM(B78:B79)</f>
        <v>302977</v>
      </c>
      <c r="C80" s="1263">
        <f t="shared" si="200"/>
        <v>214.05806051284421</v>
      </c>
      <c r="D80" s="1264">
        <f>SUM(D78:D79)</f>
        <v>64854669</v>
      </c>
      <c r="E80" s="1270">
        <f t="shared" ref="E80" si="213">SUM(E78:E79)</f>
        <v>293884</v>
      </c>
      <c r="F80" s="1263">
        <f t="shared" si="201"/>
        <v>232.18414068135726</v>
      </c>
      <c r="G80" s="1278">
        <f t="shared" ref="G80:H80" si="214">SUM(G78:G79)</f>
        <v>68235204</v>
      </c>
      <c r="H80" s="1275">
        <f t="shared" si="214"/>
        <v>253330</v>
      </c>
      <c r="I80" s="1263">
        <f t="shared" si="202"/>
        <v>257.35442308451428</v>
      </c>
      <c r="J80" s="1264">
        <f t="shared" ref="J80:K80" si="215">SUM(J78:J79)</f>
        <v>65195596</v>
      </c>
      <c r="K80" s="1275">
        <f t="shared" si="215"/>
        <v>0</v>
      </c>
      <c r="L80" s="1263">
        <f t="shared" si="203"/>
        <v>0</v>
      </c>
      <c r="M80" s="1264">
        <f t="shared" ref="M80:N80" si="216">SUM(M78:M79)</f>
        <v>0</v>
      </c>
      <c r="N80" s="1275">
        <f t="shared" si="216"/>
        <v>0</v>
      </c>
      <c r="O80" s="1263">
        <f t="shared" si="204"/>
        <v>0</v>
      </c>
      <c r="P80" s="1264">
        <f t="shared" ref="P80:Q80" si="217">SUM(P78:P79)</f>
        <v>0</v>
      </c>
      <c r="Q80" s="1275">
        <f t="shared" si="217"/>
        <v>0</v>
      </c>
      <c r="R80" s="1263">
        <f t="shared" si="205"/>
        <v>0</v>
      </c>
      <c r="S80" s="1264">
        <f t="shared" ref="S80:T80" si="218">SUM(S78:S79)</f>
        <v>0</v>
      </c>
      <c r="T80" s="1275">
        <f t="shared" si="218"/>
        <v>0</v>
      </c>
      <c r="U80" s="1263">
        <f t="shared" si="206"/>
        <v>0</v>
      </c>
      <c r="V80" s="1264">
        <f t="shared" ref="V80" si="219">SUM(V78:V79)</f>
        <v>0</v>
      </c>
      <c r="W80" s="1262">
        <f t="shared" ref="W80" si="220">SUM(W78:W79)</f>
        <v>0</v>
      </c>
      <c r="X80" s="1263">
        <f t="shared" ref="X80:AA80" si="221">IF(W80=0,0,Y80/W80)</f>
        <v>0</v>
      </c>
      <c r="Y80" s="1466">
        <f t="shared" ref="Y80:Z80" si="222">SUM(Y78:Y79)</f>
        <v>0</v>
      </c>
      <c r="Z80" s="1275">
        <f t="shared" si="222"/>
        <v>0</v>
      </c>
      <c r="AA80" s="1263">
        <f t="shared" si="221"/>
        <v>0</v>
      </c>
      <c r="AB80" s="1278">
        <f t="shared" ref="AB80:AC80" si="223">SUM(AB78:AB79)</f>
        <v>0</v>
      </c>
      <c r="AC80" s="1275">
        <f t="shared" si="223"/>
        <v>0</v>
      </c>
      <c r="AD80" s="1263">
        <f t="shared" si="209"/>
        <v>0</v>
      </c>
      <c r="AE80" s="1264">
        <f t="shared" ref="AE80:AF80" si="224">SUM(AE78:AE79)</f>
        <v>0</v>
      </c>
      <c r="AF80" s="1275">
        <f t="shared" si="224"/>
        <v>0</v>
      </c>
      <c r="AG80" s="1263">
        <f t="shared" si="210"/>
        <v>0</v>
      </c>
      <c r="AH80" s="1264">
        <f t="shared" ref="AH80:AI80" si="225">SUM(AH78:AH79)</f>
        <v>0</v>
      </c>
      <c r="AI80" s="1275">
        <f t="shared" si="225"/>
        <v>0</v>
      </c>
      <c r="AJ80" s="1263">
        <f t="shared" si="211"/>
        <v>0</v>
      </c>
      <c r="AK80" s="1264">
        <f t="shared" ref="AK80" si="226">SUM(AK78:AK79)</f>
        <v>0</v>
      </c>
      <c r="AL80" s="1393">
        <f t="shared" ref="AL80" si="227">SUM(AL78:AL79)</f>
        <v>302977</v>
      </c>
      <c r="AM80" s="1394">
        <f t="shared" si="212"/>
        <v>214.05806051284421</v>
      </c>
      <c r="AN80" s="1395">
        <f t="shared" ref="AN80" si="228">SUM(AN78:AN79)</f>
        <v>64854669</v>
      </c>
    </row>
    <row r="81" spans="1:42" ht="13.8" thickBot="1" x14ac:dyDescent="0.3">
      <c r="A81" s="1409"/>
      <c r="B81" s="1536"/>
      <c r="C81" s="1537"/>
      <c r="D81" s="1538"/>
      <c r="E81" s="1539"/>
      <c r="F81" s="1537"/>
      <c r="G81" s="1540"/>
      <c r="H81" s="1536"/>
      <c r="I81" s="1537"/>
      <c r="J81" s="1538"/>
      <c r="K81" s="1536"/>
      <c r="L81" s="1537"/>
      <c r="M81" s="1538"/>
      <c r="N81" s="1536"/>
      <c r="O81" s="1537"/>
      <c r="P81" s="1538"/>
      <c r="Q81" s="1536"/>
      <c r="R81" s="1537"/>
      <c r="S81" s="1538"/>
      <c r="T81" s="1539"/>
      <c r="U81" s="1537"/>
      <c r="V81" s="1540"/>
      <c r="W81" s="1541"/>
      <c r="X81" s="1537"/>
      <c r="Y81" s="1542"/>
      <c r="Z81" s="1543"/>
      <c r="AA81" s="1544"/>
      <c r="AB81" s="1545"/>
      <c r="AC81" s="1536"/>
      <c r="AD81" s="1537"/>
      <c r="AE81" s="1538"/>
      <c r="AF81" s="1536"/>
      <c r="AG81" s="1537"/>
      <c r="AH81" s="1538"/>
      <c r="AI81" s="1536"/>
      <c r="AJ81" s="1537"/>
      <c r="AK81" s="1538"/>
      <c r="AL81" s="1546"/>
      <c r="AM81" s="1547"/>
      <c r="AN81" s="1548"/>
    </row>
    <row r="82" spans="1:42" x14ac:dyDescent="0.25">
      <c r="A82" s="989" t="s">
        <v>93</v>
      </c>
      <c r="B82" s="1273"/>
      <c r="C82" s="1061"/>
      <c r="D82" s="1258"/>
      <c r="E82" s="1269"/>
      <c r="F82" s="1061"/>
      <c r="G82" s="1277"/>
      <c r="H82" s="1273"/>
      <c r="I82" s="1061"/>
      <c r="J82" s="1258"/>
      <c r="K82" s="1273"/>
      <c r="L82" s="1061"/>
      <c r="M82" s="1258"/>
      <c r="N82" s="1269"/>
      <c r="O82" s="1061"/>
      <c r="P82" s="1061"/>
      <c r="Q82" s="1061"/>
      <c r="R82" s="1061"/>
      <c r="S82" s="1061"/>
      <c r="T82" s="1061"/>
      <c r="U82" s="1061"/>
      <c r="V82" s="1061"/>
      <c r="W82" s="1061"/>
      <c r="X82" s="1061"/>
      <c r="Y82" s="1465"/>
      <c r="Z82" s="1273"/>
      <c r="AA82" s="1061"/>
      <c r="AB82" s="1277"/>
      <c r="AC82" s="1273"/>
      <c r="AD82" s="1061"/>
      <c r="AE82" s="1258"/>
      <c r="AF82" s="1269"/>
      <c r="AG82" s="1061"/>
      <c r="AH82" s="1061"/>
      <c r="AI82" s="1269"/>
      <c r="AJ82" s="1061"/>
      <c r="AK82" s="1061"/>
      <c r="AL82" s="1273"/>
      <c r="AM82" s="1061"/>
      <c r="AN82" s="1258"/>
    </row>
    <row r="83" spans="1:42" ht="13.8" x14ac:dyDescent="0.3">
      <c r="A83" s="1066" t="s">
        <v>450</v>
      </c>
      <c r="B83" s="843">
        <f>B40</f>
        <v>3668</v>
      </c>
      <c r="C83" s="1257">
        <f>IF(B83=0,0,D83/B83)</f>
        <v>182.33396946564886</v>
      </c>
      <c r="D83" s="1259">
        <f>D40</f>
        <v>668801</v>
      </c>
      <c r="E83" s="843">
        <f>E40</f>
        <v>4150</v>
      </c>
      <c r="F83" s="1257">
        <f>IF(E83=0,0,G83/E83)</f>
        <v>111.3855421686747</v>
      </c>
      <c r="G83" s="1259">
        <f>G40</f>
        <v>462250</v>
      </c>
      <c r="H83" s="843">
        <f>H40</f>
        <v>0</v>
      </c>
      <c r="I83" s="1257">
        <f>IF(H83=0,0,J83/H83)</f>
        <v>0</v>
      </c>
      <c r="J83" s="1259">
        <f>J40</f>
        <v>0</v>
      </c>
      <c r="K83" s="843">
        <f>K40</f>
        <v>0</v>
      </c>
      <c r="L83" s="1257">
        <f>IF(K83=0,0,M83/K83)</f>
        <v>0</v>
      </c>
      <c r="M83" s="1259">
        <f>M40</f>
        <v>0</v>
      </c>
      <c r="N83" s="843">
        <f>N40</f>
        <v>0</v>
      </c>
      <c r="O83" s="1257">
        <f>IF(N83=0,0,P83/N83)</f>
        <v>0</v>
      </c>
      <c r="P83" s="1259">
        <f>P40</f>
        <v>0</v>
      </c>
      <c r="Q83" s="843">
        <f>Q40</f>
        <v>0</v>
      </c>
      <c r="R83" s="1257">
        <f>IF(Q83=0,0,S83/Q83)</f>
        <v>0</v>
      </c>
      <c r="S83" s="1259">
        <f>S40</f>
        <v>0</v>
      </c>
      <c r="T83" s="843">
        <f>T40</f>
        <v>0</v>
      </c>
      <c r="U83" s="1257">
        <f>IF(T83=0,0,V83/T83)</f>
        <v>0</v>
      </c>
      <c r="V83" s="1259">
        <f>V40</f>
        <v>0</v>
      </c>
      <c r="W83" s="132">
        <f>W40</f>
        <v>0</v>
      </c>
      <c r="X83" s="1257">
        <f>IF(W83=0,0,Y83/W83)</f>
        <v>0</v>
      </c>
      <c r="Y83" s="248">
        <f>Y40</f>
        <v>0</v>
      </c>
      <c r="Z83" s="132">
        <f>Z40</f>
        <v>0</v>
      </c>
      <c r="AA83" s="1257">
        <f>IF(Z83=0,0,AB83/Z83)</f>
        <v>0</v>
      </c>
      <c r="AB83" s="248">
        <f>AB40</f>
        <v>0</v>
      </c>
      <c r="AC83" s="132">
        <f>AC40</f>
        <v>0</v>
      </c>
      <c r="AD83" s="1257">
        <f>IF(AC83=0,0,AE83/AC83)</f>
        <v>0</v>
      </c>
      <c r="AE83" s="248">
        <f>AE40</f>
        <v>0</v>
      </c>
      <c r="AF83" s="132">
        <f>AF40</f>
        <v>0</v>
      </c>
      <c r="AG83" s="1257">
        <f>IF(AF83=0,0,AH83/AF83)</f>
        <v>0</v>
      </c>
      <c r="AH83" s="248">
        <f>AH40</f>
        <v>0</v>
      </c>
      <c r="AI83" s="132">
        <f>AI40</f>
        <v>0</v>
      </c>
      <c r="AJ83" s="1257">
        <f>IF(AI83=0,0,AK83/AI83)</f>
        <v>0</v>
      </c>
      <c r="AK83" s="248">
        <f>AK40</f>
        <v>0</v>
      </c>
      <c r="AL83" s="1565">
        <f t="shared" ref="AL83" si="229">SUM(B83,E83,H83,K83,N83,Q83,T83,W83,Z83,AC83,AF83,AI83)</f>
        <v>7818</v>
      </c>
      <c r="AM83" s="1566">
        <f>IF(AL83=0,0,AN83/AL83)</f>
        <v>144.67267843438219</v>
      </c>
      <c r="AN83" s="1567">
        <f>SUM(D83,G83,J83,M83,P83,S83,V83,Y83,AB83,AE83,AH83,AK83)</f>
        <v>1131051</v>
      </c>
    </row>
    <row r="84" spans="1:42" ht="13.8" x14ac:dyDescent="0.3">
      <c r="A84" s="1066" t="s">
        <v>495</v>
      </c>
      <c r="B84" s="843">
        <f>B41+B42</f>
        <v>22532.959999999999</v>
      </c>
      <c r="C84" s="1257">
        <f t="shared" ref="C84:C86" si="230">IF(B84=0,0,D84/B84)</f>
        <v>265.99488038855083</v>
      </c>
      <c r="D84" s="1259">
        <f>D41+D42</f>
        <v>5993652</v>
      </c>
      <c r="E84" s="843">
        <f>E41+E42</f>
        <v>9376</v>
      </c>
      <c r="F84" s="1257">
        <f t="shared" ref="F84" si="231">IF(E84=0,0,G84/E84)</f>
        <v>265.73762798634812</v>
      </c>
      <c r="G84" s="1259">
        <f>G41+G42</f>
        <v>2491556</v>
      </c>
      <c r="H84" s="843">
        <f>H41+H42</f>
        <v>0</v>
      </c>
      <c r="I84" s="1257">
        <f t="shared" ref="I84" si="232">IF(H84=0,0,J84/H84)</f>
        <v>0</v>
      </c>
      <c r="J84" s="1259">
        <f>J41+J42</f>
        <v>0</v>
      </c>
      <c r="K84" s="843">
        <f>K41+K42</f>
        <v>0</v>
      </c>
      <c r="L84" s="1257">
        <f t="shared" ref="L84" si="233">IF(K84=0,0,M84/K84)</f>
        <v>0</v>
      </c>
      <c r="M84" s="1259">
        <f>M41+M42</f>
        <v>0</v>
      </c>
      <c r="N84" s="843">
        <f>N41+N42</f>
        <v>0</v>
      </c>
      <c r="O84" s="1257">
        <f t="shared" ref="O84" si="234">IF(N84=0,0,P84/N84)</f>
        <v>0</v>
      </c>
      <c r="P84" s="1259">
        <f>P41+P42</f>
        <v>0</v>
      </c>
      <c r="Q84" s="843">
        <f>Q41+Q42</f>
        <v>0</v>
      </c>
      <c r="R84" s="1257">
        <f t="shared" ref="R84" si="235">IF(Q84=0,0,S84/Q84)</f>
        <v>0</v>
      </c>
      <c r="S84" s="1259">
        <f>S41+S42</f>
        <v>0</v>
      </c>
      <c r="T84" s="843">
        <f>T41+T42</f>
        <v>0</v>
      </c>
      <c r="U84" s="1257">
        <f t="shared" ref="U84" si="236">IF(T84=0,0,V84/T84)</f>
        <v>0</v>
      </c>
      <c r="V84" s="1259">
        <f>V41+V42</f>
        <v>0</v>
      </c>
      <c r="W84" s="843">
        <f>W41+W42</f>
        <v>0</v>
      </c>
      <c r="X84" s="1257">
        <f t="shared" ref="X84" si="237">IF(W84=0,0,Y84/W84)</f>
        <v>0</v>
      </c>
      <c r="Y84" s="1259">
        <f>Y41+Y42</f>
        <v>0</v>
      </c>
      <c r="Z84" s="843">
        <f>Z41+Z42</f>
        <v>0</v>
      </c>
      <c r="AA84" s="1257">
        <f t="shared" ref="AA84" si="238">IF(Z84=0,0,AB84/Z84)</f>
        <v>0</v>
      </c>
      <c r="AB84" s="1259">
        <f>AB41+AB42</f>
        <v>0</v>
      </c>
      <c r="AC84" s="843">
        <f>AC41+AC42</f>
        <v>0</v>
      </c>
      <c r="AD84" s="1257">
        <f t="shared" ref="AD84" si="239">IF(AC84=0,0,AE84/AC84)</f>
        <v>0</v>
      </c>
      <c r="AE84" s="1259">
        <f>AE41+AE42</f>
        <v>0</v>
      </c>
      <c r="AF84" s="843">
        <f>AF41+AF42</f>
        <v>0</v>
      </c>
      <c r="AG84" s="1257">
        <f t="shared" ref="AG84" si="240">IF(AF84=0,0,AH84/AF84)</f>
        <v>0</v>
      </c>
      <c r="AH84" s="1259">
        <f>AH41+AH42</f>
        <v>0</v>
      </c>
      <c r="AI84" s="843">
        <f>AI41+AI42</f>
        <v>0</v>
      </c>
      <c r="AJ84" s="1257">
        <f t="shared" ref="AJ84" si="241">IF(AI84=0,0,AK84/AI84)</f>
        <v>0</v>
      </c>
      <c r="AK84" s="1259">
        <f>AK41+AK42</f>
        <v>0</v>
      </c>
      <c r="AL84" s="1570">
        <f>SUM(B84,E84,H84,K84,N84,Q84,T84,W84,Z84,AC84,AF84,AI84)</f>
        <v>31908.959999999999</v>
      </c>
      <c r="AM84" s="1566">
        <f t="shared" ref="AM84" si="242">IF(AL84=0,0,AN84/AL84)</f>
        <v>265.91929038113432</v>
      </c>
      <c r="AN84" s="1571">
        <f>SUM(D84,G84,J84,M84,P84,S84,V84,Y84,AB84,AE84,AH84,AK84)</f>
        <v>8485208</v>
      </c>
    </row>
    <row r="85" spans="1:42" ht="14.4" thickBot="1" x14ac:dyDescent="0.35">
      <c r="A85" s="1076" t="s">
        <v>233</v>
      </c>
      <c r="B85" s="841"/>
      <c r="C85" s="1549"/>
      <c r="D85" s="1550">
        <f>D43</f>
        <v>283632</v>
      </c>
      <c r="E85" s="841"/>
      <c r="F85" s="1549"/>
      <c r="G85" s="1550">
        <f>G43</f>
        <v>285732</v>
      </c>
      <c r="H85" s="841"/>
      <c r="I85" s="1549"/>
      <c r="J85" s="1550">
        <f>J43</f>
        <v>0</v>
      </c>
      <c r="K85" s="841"/>
      <c r="L85" s="1549"/>
      <c r="M85" s="1550">
        <f>M43</f>
        <v>0</v>
      </c>
      <c r="N85" s="841"/>
      <c r="O85" s="1549"/>
      <c r="P85" s="1550">
        <f>P43</f>
        <v>0</v>
      </c>
      <c r="Q85" s="841"/>
      <c r="R85" s="1549"/>
      <c r="S85" s="1550">
        <f>S43</f>
        <v>0</v>
      </c>
      <c r="T85" s="841"/>
      <c r="U85" s="1549"/>
      <c r="V85" s="1550">
        <f>V43</f>
        <v>0</v>
      </c>
      <c r="W85" s="1333"/>
      <c r="X85" s="1549"/>
      <c r="Y85" s="1342">
        <f>Y43</f>
        <v>0</v>
      </c>
      <c r="Z85" s="1144"/>
      <c r="AA85" s="1549"/>
      <c r="AB85" s="1342">
        <f>AB43</f>
        <v>0</v>
      </c>
      <c r="AC85" s="1144"/>
      <c r="AD85" s="1549"/>
      <c r="AE85" s="1342">
        <f>AE43</f>
        <v>0</v>
      </c>
      <c r="AF85" s="1144"/>
      <c r="AG85" s="1549"/>
      <c r="AH85" s="1342">
        <f>AH43</f>
        <v>0</v>
      </c>
      <c r="AI85" s="1144"/>
      <c r="AJ85" s="1549"/>
      <c r="AK85" s="1342">
        <f>AK43</f>
        <v>0</v>
      </c>
      <c r="AL85" s="1568"/>
      <c r="AM85" s="1569"/>
      <c r="AN85" s="1571">
        <f>SUM(D85,G85,J85,M85,P85,S85,V85,Y85,AB85,AE85,AH85,AK85)</f>
        <v>569364</v>
      </c>
    </row>
    <row r="86" spans="1:42" ht="13.8" thickBot="1" x14ac:dyDescent="0.3">
      <c r="A86" s="746"/>
      <c r="B86" s="1275">
        <f>SUM(B83:B85)</f>
        <v>26200.959999999999</v>
      </c>
      <c r="C86" s="1263">
        <f t="shared" si="230"/>
        <v>265.10803420943358</v>
      </c>
      <c r="D86" s="1264">
        <f>SUM(D83:D85)</f>
        <v>6946085</v>
      </c>
      <c r="E86" s="1275">
        <f>SUM(E83:E85)</f>
        <v>13526</v>
      </c>
      <c r="F86" s="1263">
        <f t="shared" ref="F86" si="243">IF(E86=0,0,G86/E86)</f>
        <v>239.50450983291438</v>
      </c>
      <c r="G86" s="1264">
        <f>SUM(G83:G85)</f>
        <v>3239538</v>
      </c>
      <c r="H86" s="1275">
        <f>SUM(H83:H85)</f>
        <v>0</v>
      </c>
      <c r="I86" s="1263">
        <f t="shared" ref="I86" si="244">IF(H86=0,0,J86/H86)</f>
        <v>0</v>
      </c>
      <c r="J86" s="1264">
        <f>SUM(J83:J85)</f>
        <v>0</v>
      </c>
      <c r="K86" s="1275">
        <f>SUM(K83:K85)</f>
        <v>0</v>
      </c>
      <c r="L86" s="1263">
        <f t="shared" ref="L86" si="245">IF(K86=0,0,M86/K86)</f>
        <v>0</v>
      </c>
      <c r="M86" s="1264">
        <f>SUM(M83:M85)</f>
        <v>0</v>
      </c>
      <c r="N86" s="1275">
        <f t="shared" ref="N86" si="246">SUM(N83:N84)</f>
        <v>0</v>
      </c>
      <c r="O86" s="1263">
        <f t="shared" ref="O86" si="247">IF(N86=0,0,P86/N86)</f>
        <v>0</v>
      </c>
      <c r="P86" s="1264">
        <f>SUM(P83:P85)</f>
        <v>0</v>
      </c>
      <c r="Q86" s="1275">
        <f t="shared" ref="Q86" si="248">SUM(Q83:Q84)</f>
        <v>0</v>
      </c>
      <c r="R86" s="1263">
        <f t="shared" ref="R86" si="249">IF(Q86=0,0,S86/Q86)</f>
        <v>0</v>
      </c>
      <c r="S86" s="1264">
        <f>SUM(S83:S85)</f>
        <v>0</v>
      </c>
      <c r="T86" s="1275">
        <f t="shared" ref="T86" si="250">SUM(T83:T84)</f>
        <v>0</v>
      </c>
      <c r="U86" s="1263">
        <f t="shared" ref="U86" si="251">IF(T86=0,0,V86/T86)</f>
        <v>0</v>
      </c>
      <c r="V86" s="1264">
        <f>SUM(V83:V85)</f>
        <v>0</v>
      </c>
      <c r="W86" s="1262">
        <f t="shared" ref="W86" si="252">SUM(W83:W84)</f>
        <v>0</v>
      </c>
      <c r="X86" s="1263">
        <f t="shared" ref="X86" si="253">IF(W86=0,0,Y86/W86)</f>
        <v>0</v>
      </c>
      <c r="Y86" s="1466">
        <f>SUM(Y83:Y85)</f>
        <v>0</v>
      </c>
      <c r="Z86" s="1275">
        <f>SUM(Z83:Z85)</f>
        <v>0</v>
      </c>
      <c r="AA86" s="1263">
        <f t="shared" ref="AA86" si="254">IF(Z86=0,0,AB86/Z86)</f>
        <v>0</v>
      </c>
      <c r="AB86" s="1278">
        <f>SUM(AB83:AB85)</f>
        <v>0</v>
      </c>
      <c r="AC86" s="1275">
        <f>SUM(AC83:AC85)</f>
        <v>0</v>
      </c>
      <c r="AD86" s="1263">
        <f t="shared" ref="AD86" si="255">IF(AC86=0,0,AE86/AC86)</f>
        <v>0</v>
      </c>
      <c r="AE86" s="1278">
        <f>SUM(AE83:AE85)</f>
        <v>0</v>
      </c>
      <c r="AF86" s="1275">
        <f>SUM(AF83:AF85)</f>
        <v>0</v>
      </c>
      <c r="AG86" s="1263">
        <f t="shared" ref="AG86" si="256">IF(AF86=0,0,AH86/AF86)</f>
        <v>0</v>
      </c>
      <c r="AH86" s="1278">
        <f>SUM(AH83:AH85)</f>
        <v>0</v>
      </c>
      <c r="AI86" s="1275">
        <f>SUM(AI83:AI85)</f>
        <v>0</v>
      </c>
      <c r="AJ86" s="1263">
        <f t="shared" ref="AJ86" si="257">IF(AI86=0,0,AK86/AI86)</f>
        <v>0</v>
      </c>
      <c r="AK86" s="1278">
        <f>SUM(AK83:AK85)</f>
        <v>0</v>
      </c>
      <c r="AL86" s="1393">
        <f>SUM(AL83:AL85)</f>
        <v>39726.959999999999</v>
      </c>
      <c r="AM86" s="1394">
        <f t="shared" ref="AM86" si="258">IF(AL86=0,0,AN86/AL86)</f>
        <v>256.39069790389198</v>
      </c>
      <c r="AN86" s="1395">
        <f>SUM(AN83:AN85)</f>
        <v>10185623</v>
      </c>
      <c r="AO86" s="1145">
        <f>Purchase!P34</f>
        <v>10185623</v>
      </c>
      <c r="AP86" s="8">
        <f>AN86-AO86</f>
        <v>0</v>
      </c>
    </row>
    <row r="87" spans="1:42" x14ac:dyDescent="0.25">
      <c r="A87" s="1300" t="s">
        <v>75</v>
      </c>
      <c r="B87" s="1472"/>
      <c r="C87" s="1577"/>
      <c r="D87" s="1578"/>
      <c r="E87" s="991"/>
      <c r="F87" s="1261"/>
      <c r="G87" s="201"/>
      <c r="H87" s="189"/>
      <c r="I87" s="1261"/>
      <c r="J87" s="200"/>
      <c r="K87" s="189"/>
      <c r="L87" s="1261"/>
      <c r="M87" s="200"/>
      <c r="N87" s="189"/>
      <c r="O87" s="1261"/>
      <c r="P87" s="200"/>
      <c r="Q87" s="189"/>
      <c r="R87" s="1261"/>
      <c r="S87" s="200"/>
      <c r="T87" s="10"/>
      <c r="U87" s="1261"/>
      <c r="V87" s="10"/>
      <c r="W87" s="10"/>
      <c r="X87" s="10"/>
      <c r="Y87" s="1444"/>
      <c r="Z87" s="1061"/>
      <c r="AA87" s="1061"/>
      <c r="AB87" s="1277"/>
      <c r="AC87" s="189"/>
      <c r="AD87" s="10"/>
      <c r="AE87" s="200"/>
      <c r="AF87" s="189"/>
      <c r="AG87" s="10"/>
      <c r="AH87" s="200"/>
      <c r="AI87" s="189"/>
      <c r="AJ87" s="10"/>
      <c r="AK87" s="200"/>
      <c r="AL87" s="1559"/>
      <c r="AM87" s="1648"/>
      <c r="AN87" s="1561"/>
    </row>
    <row r="88" spans="1:42" x14ac:dyDescent="0.25">
      <c r="A88" s="1066" t="s">
        <v>450</v>
      </c>
      <c r="B88" s="843">
        <f>'Stock Valuation (FIFO)'!E12</f>
        <v>76997</v>
      </c>
      <c r="C88" s="1257">
        <f t="shared" ref="C88:C90" si="259">IF(B88=0,0,D88/B88)</f>
        <v>182</v>
      </c>
      <c r="D88" s="1259">
        <f>'Stock Valuation (FIFO)'!G12</f>
        <v>14013454</v>
      </c>
      <c r="E88" s="1575">
        <f>'Stock Valuation (FIFO)'!H12</f>
        <v>73664</v>
      </c>
      <c r="F88" s="1257">
        <f t="shared" ref="F88:F89" si="260">IF(E88=0,0,G88/E88)</f>
        <v>207</v>
      </c>
      <c r="G88" s="1259">
        <f>'Stock Valuation (FIFO)'!J12</f>
        <v>15248448</v>
      </c>
      <c r="H88" s="843">
        <f>'Stock Valuation (FIFO)'!K12</f>
        <v>0</v>
      </c>
      <c r="I88" s="1257">
        <f t="shared" ref="I88:I89" si="261">IF(H88=0,0,J88/H88)</f>
        <v>0</v>
      </c>
      <c r="J88" s="1259">
        <f>'Stock Valuation (FIFO)'!M12</f>
        <v>0</v>
      </c>
      <c r="K88" s="843">
        <f>'Stock Valuation (FIFO)'!N12</f>
        <v>0</v>
      </c>
      <c r="L88" s="1257">
        <f t="shared" ref="L88:L89" si="262">IF(K88=0,0,M88/K88)</f>
        <v>0</v>
      </c>
      <c r="M88" s="1259">
        <f>'Stock Valuation (FIFO)'!P12</f>
        <v>0</v>
      </c>
      <c r="N88" s="843">
        <f>'Stock Valuation (FIFO)'!Q12</f>
        <v>0</v>
      </c>
      <c r="O88" s="1257">
        <f t="shared" ref="O88:O89" si="263">IF(N88=0,0,P88/N88)</f>
        <v>0</v>
      </c>
      <c r="P88" s="1259">
        <f>'Stock Valuation (FIFO)'!S12</f>
        <v>0</v>
      </c>
      <c r="Q88" s="843">
        <f>'Stock Valuation (FIFO)'!T12</f>
        <v>0</v>
      </c>
      <c r="R88" s="1257">
        <f t="shared" ref="R88:R89" si="264">IF(Q88=0,0,S88/Q88)</f>
        <v>0</v>
      </c>
      <c r="S88" s="1259">
        <f>'Stock Valuation (FIFO)'!V12</f>
        <v>0</v>
      </c>
      <c r="T88" s="843">
        <f>'Stock Valuation (FIFO)'!W12</f>
        <v>0</v>
      </c>
      <c r="U88" s="1257">
        <f t="shared" ref="U88:U92" si="265">IF(T88=0,0,V88/T88)</f>
        <v>0</v>
      </c>
      <c r="V88" s="1259">
        <f>'Stock Valuation (FIFO)'!Y12</f>
        <v>0</v>
      </c>
      <c r="W88" s="843">
        <f>'Stock Valuation (FIFO)'!Z12</f>
        <v>0</v>
      </c>
      <c r="X88" s="1257">
        <f t="shared" ref="X88:X92" si="266">IF(W88=0,0,Y88/W88)</f>
        <v>0</v>
      </c>
      <c r="Y88" s="1259">
        <f>'Stock Valuation (FIFO)'!AB12</f>
        <v>0</v>
      </c>
      <c r="Z88" s="131">
        <f>'Stock Valuation (FIFO)'!AC12</f>
        <v>0</v>
      </c>
      <c r="AA88" s="1266">
        <f t="shared" ref="AA88:AA92" si="267">IF(Z88=0,0,AB88/Z88)</f>
        <v>0</v>
      </c>
      <c r="AB88" s="814">
        <f>'Stock Valuation (FIFO)'!AE12</f>
        <v>0</v>
      </c>
      <c r="AC88" s="131">
        <f>'Stock Valuation (FIFO)'!AF12</f>
        <v>0</v>
      </c>
      <c r="AD88" s="1266">
        <f t="shared" ref="AD88:AD90" si="268">IF(AC88=0,0,AE88/AC88)</f>
        <v>0</v>
      </c>
      <c r="AE88" s="101">
        <f>'Stock Valuation (FIFO)'!AH12</f>
        <v>0</v>
      </c>
      <c r="AF88" s="131">
        <f>'Stock Valuation (FIFO)'!AI12</f>
        <v>0</v>
      </c>
      <c r="AG88" s="1266">
        <f t="shared" ref="AG88:AG92" si="269">IF(AF88=0,0,AH88/AF88)</f>
        <v>0</v>
      </c>
      <c r="AH88" s="101">
        <f>'Stock Valuation (FIFO)'!AK12</f>
        <v>0</v>
      </c>
      <c r="AI88" s="131">
        <f>'Stock Valuation (FIFO)'!AL12</f>
        <v>0</v>
      </c>
      <c r="AJ88" s="1266">
        <f t="shared" ref="AJ88:AJ92" si="270">IF(AI88=0,0,AK88/AI88)</f>
        <v>0</v>
      </c>
      <c r="AK88" s="101">
        <f>'Stock Valuation (FIFO)'!AN12</f>
        <v>0</v>
      </c>
      <c r="AL88" s="1689">
        <f>AI88</f>
        <v>0</v>
      </c>
      <c r="AM88" s="1690">
        <f t="shared" ref="AM88:AM89" si="271">IF(AL88=0,0,(AN88/AL88))</f>
        <v>0</v>
      </c>
      <c r="AN88" s="1691">
        <f>AK88</f>
        <v>0</v>
      </c>
    </row>
    <row r="89" spans="1:42" ht="13.8" thickBot="1" x14ac:dyDescent="0.3">
      <c r="A89" s="1072" t="s">
        <v>495</v>
      </c>
      <c r="B89" s="1274">
        <f>'Stock Valuation (FIFO)'!E14</f>
        <v>216887</v>
      </c>
      <c r="C89" s="1260">
        <f t="shared" si="259"/>
        <v>250</v>
      </c>
      <c r="D89" s="1265">
        <f>'Stock Valuation (FIFO)'!G14</f>
        <v>54221750</v>
      </c>
      <c r="E89" s="1576">
        <f>'Stock Valuation (FIFO)'!H14</f>
        <v>179666</v>
      </c>
      <c r="F89" s="1260">
        <f t="shared" si="260"/>
        <v>278</v>
      </c>
      <c r="G89" s="1265">
        <f>'Stock Valuation (FIFO)'!J14</f>
        <v>49947148</v>
      </c>
      <c r="H89" s="1274">
        <f>'Stock Valuation (FIFO)'!K14</f>
        <v>0</v>
      </c>
      <c r="I89" s="1260">
        <f t="shared" si="261"/>
        <v>0</v>
      </c>
      <c r="J89" s="1265">
        <f>'Stock Valuation (FIFO)'!M14</f>
        <v>0</v>
      </c>
      <c r="K89" s="1274">
        <f>'Stock Valuation (FIFO)'!N14</f>
        <v>0</v>
      </c>
      <c r="L89" s="1260">
        <f t="shared" si="262"/>
        <v>0</v>
      </c>
      <c r="M89" s="1265">
        <f>'Stock Valuation (FIFO)'!P14</f>
        <v>0</v>
      </c>
      <c r="N89" s="1274">
        <f>'Stock Valuation (FIFO)'!Q14</f>
        <v>0</v>
      </c>
      <c r="O89" s="1260">
        <f t="shared" si="263"/>
        <v>0</v>
      </c>
      <c r="P89" s="1265">
        <f>'Stock Valuation (FIFO)'!S14</f>
        <v>0</v>
      </c>
      <c r="Q89" s="1274">
        <f>'Stock Valuation (FIFO)'!T14</f>
        <v>0</v>
      </c>
      <c r="R89" s="1260">
        <f t="shared" si="264"/>
        <v>0</v>
      </c>
      <c r="S89" s="1265">
        <f>'Stock Valuation (FIFO)'!V14</f>
        <v>0</v>
      </c>
      <c r="T89" s="1274">
        <f>'Stock Valuation (FIFO)'!W14</f>
        <v>0</v>
      </c>
      <c r="U89" s="1260">
        <f t="shared" si="265"/>
        <v>0</v>
      </c>
      <c r="V89" s="1265">
        <f>'Stock Valuation (FIFO)'!Y14</f>
        <v>0</v>
      </c>
      <c r="W89" s="1274">
        <f>'Stock Valuation (FIFO)'!Z14</f>
        <v>0</v>
      </c>
      <c r="X89" s="1260">
        <f t="shared" si="266"/>
        <v>0</v>
      </c>
      <c r="Y89" s="1265">
        <f>'Stock Valuation (FIFO)'!AB14</f>
        <v>0</v>
      </c>
      <c r="Z89" s="137">
        <f>'Stock Valuation (FIFO)'!AC14</f>
        <v>0</v>
      </c>
      <c r="AA89" s="1260">
        <f t="shared" si="267"/>
        <v>0</v>
      </c>
      <c r="AB89" s="1484">
        <f>'Stock Valuation (FIFO)'!AE14</f>
        <v>0</v>
      </c>
      <c r="AC89" s="137">
        <f>'Stock Valuation (FIFO)'!AF14</f>
        <v>0</v>
      </c>
      <c r="AD89" s="1260">
        <f t="shared" si="268"/>
        <v>0</v>
      </c>
      <c r="AE89" s="1467">
        <f>'Stock Valuation (FIFO)'!AH14</f>
        <v>0</v>
      </c>
      <c r="AF89" s="137">
        <f>'Stock Valuation (FIFO)'!AI14</f>
        <v>0</v>
      </c>
      <c r="AG89" s="1260">
        <f t="shared" si="269"/>
        <v>0</v>
      </c>
      <c r="AH89" s="1467">
        <f>'Stock Valuation (FIFO)'!AK14</f>
        <v>0</v>
      </c>
      <c r="AI89" s="137">
        <f>'Stock Valuation (FIFO)'!AL14</f>
        <v>0</v>
      </c>
      <c r="AJ89" s="1260">
        <f t="shared" si="270"/>
        <v>0</v>
      </c>
      <c r="AK89" s="1467">
        <f>'Stock Valuation (FIFO)'!AN14</f>
        <v>0</v>
      </c>
      <c r="AL89" s="1686">
        <f>AI89</f>
        <v>0</v>
      </c>
      <c r="AM89" s="1687">
        <f t="shared" si="271"/>
        <v>0</v>
      </c>
      <c r="AN89" s="1688">
        <f>AK89</f>
        <v>0</v>
      </c>
    </row>
    <row r="90" spans="1:42" ht="13.8" thickBot="1" x14ac:dyDescent="0.3">
      <c r="A90" s="1020"/>
      <c r="B90" s="1572">
        <f>SUM(B88:B89)</f>
        <v>293884</v>
      </c>
      <c r="C90" s="1544">
        <f t="shared" si="259"/>
        <v>232.18414068135726</v>
      </c>
      <c r="D90" s="1574">
        <f>SUM(D88:D89)</f>
        <v>68235204</v>
      </c>
      <c r="E90" s="1543">
        <f>SUM(E88:E89)</f>
        <v>253330</v>
      </c>
      <c r="F90" s="1544">
        <f t="shared" ref="F90" si="272">IF(E90=0,0,G90/E90)</f>
        <v>257.35442308451428</v>
      </c>
      <c r="G90" s="1545">
        <f>SUM(G88:G89)</f>
        <v>65195596</v>
      </c>
      <c r="H90" s="1572">
        <f>SUM(H88:H89)</f>
        <v>0</v>
      </c>
      <c r="I90" s="1544">
        <f t="shared" ref="I90" si="273">IF(H90=0,0,J90/H90)</f>
        <v>0</v>
      </c>
      <c r="J90" s="1574">
        <f>SUM(J88:J89)</f>
        <v>0</v>
      </c>
      <c r="K90" s="1572">
        <f>SUM(K88:K89)</f>
        <v>0</v>
      </c>
      <c r="L90" s="1544">
        <f t="shared" ref="L90" si="274">IF(K90=0,0,M90/K90)</f>
        <v>0</v>
      </c>
      <c r="M90" s="1574">
        <f>SUM(M88:M89)</f>
        <v>0</v>
      </c>
      <c r="N90" s="1572">
        <f>SUM(N88:N89)</f>
        <v>0</v>
      </c>
      <c r="O90" s="1544">
        <f t="shared" ref="O90:O92" si="275">IF(N90=0,0,P90/N90)</f>
        <v>0</v>
      </c>
      <c r="P90" s="1574">
        <f>SUM(P88:P89)</f>
        <v>0</v>
      </c>
      <c r="Q90" s="1572">
        <f>SUM(Q88:Q89)</f>
        <v>0</v>
      </c>
      <c r="R90" s="1544">
        <f t="shared" ref="R90:R92" si="276">IF(Q90=0,0,S90/Q90)</f>
        <v>0</v>
      </c>
      <c r="S90" s="1574">
        <f>SUM(S88:S89)</f>
        <v>0</v>
      </c>
      <c r="T90" s="1572">
        <f>SUM(T88:T89)</f>
        <v>0</v>
      </c>
      <c r="U90" s="1544">
        <f t="shared" si="265"/>
        <v>0</v>
      </c>
      <c r="V90" s="1574">
        <f>SUM(V88:V89)</f>
        <v>0</v>
      </c>
      <c r="W90" s="1572">
        <f>SUM(W88:W89)</f>
        <v>0</v>
      </c>
      <c r="X90" s="1544">
        <f t="shared" si="266"/>
        <v>0</v>
      </c>
      <c r="Y90" s="1574">
        <f>SUM(Y88:Y89)</f>
        <v>0</v>
      </c>
      <c r="Z90" s="1572">
        <f>SUM(Z88:Z89)</f>
        <v>0</v>
      </c>
      <c r="AA90" s="1544">
        <f t="shared" si="267"/>
        <v>0</v>
      </c>
      <c r="AB90" s="1545">
        <f>SUM(AB88:AB89)</f>
        <v>0</v>
      </c>
      <c r="AC90" s="1572">
        <f>SUM(AC88:AC89)</f>
        <v>0</v>
      </c>
      <c r="AD90" s="1544">
        <f t="shared" si="268"/>
        <v>0</v>
      </c>
      <c r="AE90" s="1574">
        <f>SUM(AE88:AE89)</f>
        <v>0</v>
      </c>
      <c r="AF90" s="1572">
        <f>SUM(AF88:AF89)</f>
        <v>0</v>
      </c>
      <c r="AG90" s="1544">
        <f t="shared" si="269"/>
        <v>0</v>
      </c>
      <c r="AH90" s="1574">
        <f>SUM(AH88:AH89)</f>
        <v>0</v>
      </c>
      <c r="AI90" s="1572">
        <f>SUM(AI88:AI89)</f>
        <v>0</v>
      </c>
      <c r="AJ90" s="1544">
        <f t="shared" si="270"/>
        <v>0</v>
      </c>
      <c r="AK90" s="1574">
        <f>SUM(AK88:AK89)</f>
        <v>0</v>
      </c>
      <c r="AL90" s="1657">
        <f>SUM(AL88:AL89)</f>
        <v>0</v>
      </c>
      <c r="AM90" s="1658">
        <f t="shared" ref="AM90:AM92" si="277">IF(AL90=0,0,AN90/AL90)</f>
        <v>0</v>
      </c>
      <c r="AN90" s="1659">
        <f>SUM(AN88:AN89)</f>
        <v>0</v>
      </c>
    </row>
    <row r="91" spans="1:42" ht="13.8" thickBot="1" x14ac:dyDescent="0.3">
      <c r="A91" s="746"/>
      <c r="B91" s="1591"/>
      <c r="C91" s="1592"/>
      <c r="D91" s="1592"/>
      <c r="E91" s="1591"/>
      <c r="F91" s="1592"/>
      <c r="G91" s="1592"/>
      <c r="H91" s="1591"/>
      <c r="I91" s="1592"/>
      <c r="J91" s="1592"/>
      <c r="K91" s="1591"/>
      <c r="L91" s="1592"/>
      <c r="M91" s="1592"/>
      <c r="N91" s="1591"/>
      <c r="O91" s="1592"/>
      <c r="P91" s="1592"/>
      <c r="Q91" s="1591"/>
      <c r="R91" s="1592"/>
      <c r="S91" s="1592"/>
      <c r="T91" s="1591"/>
      <c r="U91" s="1592"/>
      <c r="V91" s="1592"/>
      <c r="W91" s="1591"/>
      <c r="X91" s="1592"/>
      <c r="Y91" s="1592"/>
      <c r="Z91" s="1591"/>
      <c r="AA91" s="1592"/>
      <c r="AB91" s="1592"/>
      <c r="AC91" s="1591"/>
      <c r="AD91" s="1592"/>
      <c r="AE91" s="1592"/>
      <c r="AF91" s="1591"/>
      <c r="AG91" s="1592"/>
      <c r="AH91" s="1592"/>
      <c r="AI91" s="1591"/>
      <c r="AJ91" s="1592"/>
      <c r="AK91" s="1592"/>
      <c r="AL91" s="1591"/>
      <c r="AM91" s="1592"/>
      <c r="AN91" s="1593"/>
    </row>
    <row r="92" spans="1:42" ht="13.8" thickBot="1" x14ac:dyDescent="0.3">
      <c r="A92" s="1579" t="s">
        <v>498</v>
      </c>
      <c r="B92" s="1580">
        <f>B80-B90</f>
        <v>9093</v>
      </c>
      <c r="C92" s="1581"/>
      <c r="D92" s="2820">
        <f>D80-D90</f>
        <v>-3380535</v>
      </c>
      <c r="E92" s="1583">
        <f t="shared" ref="E92" si="278">E80-E90</f>
        <v>40554</v>
      </c>
      <c r="F92" s="1584"/>
      <c r="G92" s="1585">
        <f t="shared" ref="G92:H92" si="279">G80-G90</f>
        <v>3039608</v>
      </c>
      <c r="H92" s="1580">
        <f t="shared" si="279"/>
        <v>253330</v>
      </c>
      <c r="I92" s="1586"/>
      <c r="J92" s="1582">
        <f t="shared" ref="J92:K92" si="280">J80-J90</f>
        <v>65195596</v>
      </c>
      <c r="K92" s="1580">
        <f t="shared" si="280"/>
        <v>0</v>
      </c>
      <c r="L92" s="1584"/>
      <c r="M92" s="1587">
        <f t="shared" ref="M92:N92" si="281">M80-M90</f>
        <v>0</v>
      </c>
      <c r="N92" s="1580">
        <f t="shared" si="281"/>
        <v>0</v>
      </c>
      <c r="O92" s="1584">
        <f t="shared" si="275"/>
        <v>0</v>
      </c>
      <c r="P92" s="1587">
        <f t="shared" ref="P92:Q92" si="282">P80-P90</f>
        <v>0</v>
      </c>
      <c r="Q92" s="1580">
        <f t="shared" si="282"/>
        <v>0</v>
      </c>
      <c r="R92" s="1584">
        <f t="shared" si="276"/>
        <v>0</v>
      </c>
      <c r="S92" s="1587">
        <f t="shared" ref="S92:T92" si="283">S80-S90</f>
        <v>0</v>
      </c>
      <c r="T92" s="1580">
        <f t="shared" si="283"/>
        <v>0</v>
      </c>
      <c r="U92" s="1584">
        <f t="shared" si="265"/>
        <v>0</v>
      </c>
      <c r="V92" s="1587">
        <f t="shared" ref="V92:W92" si="284">V80-V90</f>
        <v>0</v>
      </c>
      <c r="W92" s="1580">
        <f t="shared" si="284"/>
        <v>0</v>
      </c>
      <c r="X92" s="1584">
        <f t="shared" si="266"/>
        <v>0</v>
      </c>
      <c r="Y92" s="1587">
        <f t="shared" ref="Y92" si="285">Y80-Y90</f>
        <v>0</v>
      </c>
      <c r="Z92" s="1580">
        <f t="shared" ref="Z92" si="286">Z80-Z90</f>
        <v>0</v>
      </c>
      <c r="AA92" s="1584">
        <f t="shared" si="267"/>
        <v>0</v>
      </c>
      <c r="AB92" s="1678">
        <f t="shared" ref="AB92:AE92" si="287">AB80-AB90</f>
        <v>0</v>
      </c>
      <c r="AC92" s="1580">
        <f t="shared" si="287"/>
        <v>0</v>
      </c>
      <c r="AD92" s="1586">
        <f t="shared" ref="AD92" si="288">IF(AC92=0,0,AE92/AC92)</f>
        <v>0</v>
      </c>
      <c r="AE92" s="1678">
        <f t="shared" si="287"/>
        <v>0</v>
      </c>
      <c r="AF92" s="1588">
        <f t="shared" ref="AF92" si="289">AF80-AF90</f>
        <v>0</v>
      </c>
      <c r="AG92" s="1584">
        <f t="shared" si="269"/>
        <v>0</v>
      </c>
      <c r="AH92" s="1582">
        <f t="shared" ref="AH92:AI92" si="290">AH80-AH90</f>
        <v>0</v>
      </c>
      <c r="AI92" s="1588">
        <f t="shared" si="290"/>
        <v>0</v>
      </c>
      <c r="AJ92" s="1584">
        <f t="shared" si="270"/>
        <v>0</v>
      </c>
      <c r="AK92" s="1582">
        <f t="shared" ref="AK92" si="291">AK80-AK90</f>
        <v>0</v>
      </c>
      <c r="AL92" s="1589">
        <f t="shared" ref="AL92" si="292">AL80-AL90</f>
        <v>302977</v>
      </c>
      <c r="AM92" s="1590">
        <f t="shared" si="277"/>
        <v>214.05806051284421</v>
      </c>
      <c r="AN92" s="1758">
        <f t="shared" ref="AN92" si="293">AN80-AN90</f>
        <v>64854669</v>
      </c>
    </row>
    <row r="93" spans="1:42" ht="13.8" thickBot="1" x14ac:dyDescent="0.3">
      <c r="A93" s="1076"/>
      <c r="B93" s="841"/>
      <c r="C93" s="1549"/>
      <c r="D93" s="1550"/>
      <c r="E93" s="1551"/>
      <c r="F93" s="1549"/>
      <c r="G93" s="1552"/>
      <c r="H93" s="841"/>
      <c r="I93" s="1549"/>
      <c r="J93" s="1550"/>
      <c r="K93" s="841"/>
      <c r="L93" s="1549"/>
      <c r="M93" s="1553"/>
      <c r="N93" s="841"/>
      <c r="O93" s="1549"/>
      <c r="P93" s="1553"/>
      <c r="Q93" s="841"/>
      <c r="R93" s="1549"/>
      <c r="S93" s="1553"/>
      <c r="T93" s="1554"/>
      <c r="U93" s="1549"/>
      <c r="V93" s="1552"/>
      <c r="W93" s="841"/>
      <c r="X93" s="1549"/>
      <c r="Y93" s="1573"/>
      <c r="Z93" s="841"/>
      <c r="AA93" s="1549"/>
      <c r="AB93" s="1552"/>
      <c r="AC93" s="841"/>
      <c r="AD93" s="1549"/>
      <c r="AE93" s="1550"/>
      <c r="AF93" s="841"/>
      <c r="AG93" s="1549"/>
      <c r="AH93" s="1550"/>
      <c r="AI93" s="841"/>
      <c r="AJ93" s="1549"/>
      <c r="AK93" s="1550"/>
      <c r="AL93" s="1555"/>
      <c r="AM93" s="1556"/>
      <c r="AN93" s="1557"/>
    </row>
    <row r="94" spans="1:42" x14ac:dyDescent="0.25">
      <c r="A94" s="989" t="s">
        <v>226</v>
      </c>
      <c r="B94" s="1025"/>
      <c r="C94" s="1061"/>
      <c r="D94" s="1258"/>
      <c r="E94" s="1269"/>
      <c r="F94" s="1061"/>
      <c r="G94" s="1277"/>
      <c r="H94" s="1273"/>
      <c r="I94" s="1061"/>
      <c r="J94" s="1258"/>
      <c r="K94" s="1273"/>
      <c r="L94" s="1061"/>
      <c r="M94" s="1258"/>
      <c r="N94" s="1273"/>
      <c r="O94" s="1061"/>
      <c r="P94" s="1258"/>
      <c r="Q94" s="1273"/>
      <c r="R94" s="1061"/>
      <c r="S94" s="1258"/>
      <c r="T94" s="1061"/>
      <c r="U94" s="1061"/>
      <c r="V94" s="1277"/>
      <c r="W94" s="1273"/>
      <c r="X94" s="1061"/>
      <c r="Y94" s="1558"/>
      <c r="Z94" s="1273"/>
      <c r="AA94" s="1061"/>
      <c r="AB94" s="1277"/>
      <c r="AC94" s="1273"/>
      <c r="AD94" s="1061"/>
      <c r="AE94" s="1258"/>
      <c r="AF94" s="1273"/>
      <c r="AG94" s="1061"/>
      <c r="AH94" s="1258"/>
      <c r="AI94" s="1273"/>
      <c r="AJ94" s="1061"/>
      <c r="AK94" s="1258"/>
      <c r="AL94" s="1559"/>
      <c r="AM94" s="1560"/>
      <c r="AN94" s="1561"/>
    </row>
    <row r="95" spans="1:42" x14ac:dyDescent="0.25">
      <c r="A95" s="1066" t="s">
        <v>496</v>
      </c>
      <c r="B95" s="132">
        <f>'Stock Valuation (FIFO)'!B21</f>
        <v>1041</v>
      </c>
      <c r="C95" s="1257">
        <f t="shared" ref="C95:C97" si="294">IF(B95=0,0,D95/B95)</f>
        <v>221.96926032660903</v>
      </c>
      <c r="D95" s="99">
        <f>'Stock Valuation (FIFO)'!D21</f>
        <v>231070</v>
      </c>
      <c r="E95" s="116">
        <f>B96</f>
        <v>941</v>
      </c>
      <c r="F95" s="1257">
        <f t="shared" ref="F95:F97" si="295">IF(E95=0,0,G95/E95)</f>
        <v>238.7375132837407</v>
      </c>
      <c r="G95" s="248">
        <f>D96</f>
        <v>224652</v>
      </c>
      <c r="H95" s="132">
        <f>E96</f>
        <v>1039</v>
      </c>
      <c r="I95" s="1257">
        <f t="shared" ref="I95:I97" si="296">IF(H95=0,0,J95/H95)</f>
        <v>236.73917228103946</v>
      </c>
      <c r="J95" s="99">
        <f>G96</f>
        <v>245972</v>
      </c>
      <c r="K95" s="132">
        <f>H96</f>
        <v>0</v>
      </c>
      <c r="L95" s="1257">
        <f t="shared" ref="L95:L97" si="297">IF(K95=0,0,M95/K95)</f>
        <v>0</v>
      </c>
      <c r="M95" s="99">
        <f>J96</f>
        <v>0</v>
      </c>
      <c r="N95" s="132">
        <f>K96</f>
        <v>0</v>
      </c>
      <c r="O95" s="1257">
        <f t="shared" ref="O95:O97" si="298">IF(N95=0,0,P95/N95)</f>
        <v>0</v>
      </c>
      <c r="P95" s="99">
        <f>M96</f>
        <v>0</v>
      </c>
      <c r="Q95" s="132">
        <f>N96</f>
        <v>0</v>
      </c>
      <c r="R95" s="1257">
        <f t="shared" ref="R95:R97" si="299">IF(Q95=0,0,S95/Q95)</f>
        <v>0</v>
      </c>
      <c r="S95" s="99">
        <f>P96</f>
        <v>0</v>
      </c>
      <c r="T95" s="132">
        <f>Q96</f>
        <v>0</v>
      </c>
      <c r="U95" s="1257">
        <f t="shared" ref="U95:U96" si="300">IF(T95=0,0,V95/T95)</f>
        <v>0</v>
      </c>
      <c r="V95" s="248">
        <f>S96</f>
        <v>0</v>
      </c>
      <c r="W95" s="132">
        <f>T96</f>
        <v>0</v>
      </c>
      <c r="X95" s="1257">
        <f t="shared" ref="X95:X96" si="301">IF(W95=0,0,Y95/W95)</f>
        <v>0</v>
      </c>
      <c r="Y95" s="99">
        <f>V96</f>
        <v>0</v>
      </c>
      <c r="Z95" s="132">
        <f>W96</f>
        <v>0</v>
      </c>
      <c r="AA95" s="1257">
        <f t="shared" ref="AA95" si="302">IF(Z95=0,0,AB95/Z95)</f>
        <v>0</v>
      </c>
      <c r="AB95" s="248">
        <f>Y96</f>
        <v>0</v>
      </c>
      <c r="AC95" s="132">
        <f>Z96</f>
        <v>0</v>
      </c>
      <c r="AD95" s="1257">
        <f t="shared" ref="AD95:AD97" si="303">IF(AC95=0,0,AE95/AC95)</f>
        <v>0</v>
      </c>
      <c r="AE95" s="99">
        <f>AB96</f>
        <v>0</v>
      </c>
      <c r="AF95" s="132">
        <f>AC96</f>
        <v>0</v>
      </c>
      <c r="AG95" s="1257">
        <f t="shared" ref="AG95:AG97" si="304">IF(AF95=0,0,AH95/AF95)</f>
        <v>0</v>
      </c>
      <c r="AH95" s="99">
        <f>AE96</f>
        <v>0</v>
      </c>
      <c r="AI95" s="132">
        <f>AF96</f>
        <v>0</v>
      </c>
      <c r="AJ95" s="1257">
        <f t="shared" ref="AJ95:AJ96" si="305">IF(AI95=0,0,AK95/AI95)</f>
        <v>0</v>
      </c>
      <c r="AK95" s="99">
        <f>AH96</f>
        <v>0</v>
      </c>
      <c r="AL95" s="1387">
        <f>B95</f>
        <v>1041</v>
      </c>
      <c r="AM95" s="1388">
        <f t="shared" ref="AM95:AM97" si="306">IF(AL95=0,0,AN95/AL95)</f>
        <v>221.96926032660903</v>
      </c>
      <c r="AN95" s="1389">
        <f>D95</f>
        <v>231070</v>
      </c>
    </row>
    <row r="96" spans="1:42" ht="13.8" thickBot="1" x14ac:dyDescent="0.3">
      <c r="A96" s="1562" t="s">
        <v>422</v>
      </c>
      <c r="B96" s="133">
        <f>B59</f>
        <v>941</v>
      </c>
      <c r="C96" s="1563">
        <f t="shared" si="294"/>
        <v>238.7375132837407</v>
      </c>
      <c r="D96" s="1564">
        <f>D59</f>
        <v>224652</v>
      </c>
      <c r="E96" s="133">
        <f>E59</f>
        <v>1039</v>
      </c>
      <c r="F96" s="1563">
        <f t="shared" si="295"/>
        <v>236.73917228103946</v>
      </c>
      <c r="G96" s="1564">
        <f>G59</f>
        <v>245972</v>
      </c>
      <c r="H96" s="133">
        <f>H59</f>
        <v>0</v>
      </c>
      <c r="I96" s="1563">
        <f t="shared" si="296"/>
        <v>0</v>
      </c>
      <c r="J96" s="1564">
        <f>J59</f>
        <v>0</v>
      </c>
      <c r="K96" s="133">
        <f>K59</f>
        <v>0</v>
      </c>
      <c r="L96" s="1563">
        <f t="shared" si="297"/>
        <v>0</v>
      </c>
      <c r="M96" s="1564">
        <f>M59</f>
        <v>0</v>
      </c>
      <c r="N96" s="133">
        <f>N59</f>
        <v>0</v>
      </c>
      <c r="O96" s="1563">
        <f t="shared" si="298"/>
        <v>0</v>
      </c>
      <c r="P96" s="1564">
        <f>P59</f>
        <v>0</v>
      </c>
      <c r="Q96" s="133">
        <f>Q59</f>
        <v>0</v>
      </c>
      <c r="R96" s="1563">
        <f t="shared" si="299"/>
        <v>0</v>
      </c>
      <c r="S96" s="1564">
        <f>S59</f>
        <v>0</v>
      </c>
      <c r="T96" s="133">
        <f>T59</f>
        <v>0</v>
      </c>
      <c r="U96" s="1563">
        <f t="shared" si="300"/>
        <v>0</v>
      </c>
      <c r="V96" s="1564">
        <f>V59</f>
        <v>0</v>
      </c>
      <c r="W96" s="133">
        <f>W59</f>
        <v>0</v>
      </c>
      <c r="X96" s="1563">
        <f t="shared" si="301"/>
        <v>0</v>
      </c>
      <c r="Y96" s="1564">
        <f>Y59</f>
        <v>0</v>
      </c>
      <c r="Z96" s="133">
        <f>Z59</f>
        <v>0</v>
      </c>
      <c r="AA96" s="1563">
        <f t="shared" ref="AA96:AA97" si="307">IF(Z96=0,0,AB96/Z96)</f>
        <v>0</v>
      </c>
      <c r="AB96" s="1564">
        <f>AB59</f>
        <v>0</v>
      </c>
      <c r="AC96" s="133">
        <f>AC59</f>
        <v>0</v>
      </c>
      <c r="AD96" s="1563">
        <f t="shared" si="303"/>
        <v>0</v>
      </c>
      <c r="AE96" s="1564">
        <f>AE59</f>
        <v>0</v>
      </c>
      <c r="AF96" s="133">
        <f>AF59</f>
        <v>0</v>
      </c>
      <c r="AG96" s="1563">
        <f t="shared" si="304"/>
        <v>0</v>
      </c>
      <c r="AH96" s="1564">
        <f>AH59</f>
        <v>0</v>
      </c>
      <c r="AI96" s="133">
        <f>AI59</f>
        <v>0</v>
      </c>
      <c r="AJ96" s="1563">
        <f t="shared" si="305"/>
        <v>0</v>
      </c>
      <c r="AK96" s="1564">
        <f>AK59</f>
        <v>0</v>
      </c>
      <c r="AL96" s="1768">
        <f>AL59</f>
        <v>0</v>
      </c>
      <c r="AM96" s="1767">
        <f t="shared" ref="AM96" si="308">IF(AL96=0,0,(AN96/AL96))</f>
        <v>0</v>
      </c>
      <c r="AN96" s="1769">
        <f>AN59</f>
        <v>0</v>
      </c>
    </row>
    <row r="97" spans="1:41" ht="13.8" thickBot="1" x14ac:dyDescent="0.3">
      <c r="A97" s="746" t="s">
        <v>498</v>
      </c>
      <c r="B97" s="1276">
        <f>B95-B96</f>
        <v>100</v>
      </c>
      <c r="C97" s="1263">
        <f t="shared" si="294"/>
        <v>64.180000000000007</v>
      </c>
      <c r="D97" s="1267">
        <f>D95-D96</f>
        <v>6418</v>
      </c>
      <c r="E97" s="1271">
        <f t="shared" ref="E97" si="309">E95-E96</f>
        <v>-98</v>
      </c>
      <c r="F97" s="1263">
        <f t="shared" si="295"/>
        <v>217.55102040816325</v>
      </c>
      <c r="G97" s="1279">
        <f t="shared" ref="G97:H97" si="310">G95-G96</f>
        <v>-21320</v>
      </c>
      <c r="H97" s="1276">
        <f t="shared" si="310"/>
        <v>1039</v>
      </c>
      <c r="I97" s="1263">
        <f t="shared" si="296"/>
        <v>236.73917228103946</v>
      </c>
      <c r="J97" s="1267">
        <f t="shared" ref="J97:K97" si="311">J95-J96</f>
        <v>245972</v>
      </c>
      <c r="K97" s="1276">
        <f t="shared" si="311"/>
        <v>0</v>
      </c>
      <c r="L97" s="1263">
        <f t="shared" si="297"/>
        <v>0</v>
      </c>
      <c r="M97" s="1267">
        <f t="shared" ref="M97:N97" si="312">M95-M96</f>
        <v>0</v>
      </c>
      <c r="N97" s="1276">
        <f t="shared" si="312"/>
        <v>0</v>
      </c>
      <c r="O97" s="1263">
        <f t="shared" si="298"/>
        <v>0</v>
      </c>
      <c r="P97" s="1267">
        <f t="shared" ref="P97:Q97" si="313">P95-P96</f>
        <v>0</v>
      </c>
      <c r="Q97" s="1276">
        <f t="shared" si="313"/>
        <v>0</v>
      </c>
      <c r="R97" s="1263">
        <f t="shared" si="299"/>
        <v>0</v>
      </c>
      <c r="S97" s="1267">
        <f t="shared" ref="S97:T97" si="314">S95-S96</f>
        <v>0</v>
      </c>
      <c r="T97" s="463">
        <f t="shared" si="314"/>
        <v>0</v>
      </c>
      <c r="U97" s="1263">
        <f t="shared" ref="U97" si="315">IF(T97=0,0,V97/T97)</f>
        <v>0</v>
      </c>
      <c r="V97" s="1279">
        <f t="shared" ref="V97:W97" si="316">V95-V96</f>
        <v>0</v>
      </c>
      <c r="W97" s="1276">
        <f t="shared" si="316"/>
        <v>0</v>
      </c>
      <c r="X97" s="1263"/>
      <c r="Y97" s="1267">
        <f t="shared" ref="Y97" si="317">Y95-Y96</f>
        <v>0</v>
      </c>
      <c r="Z97" s="1276">
        <f t="shared" ref="Z97" si="318">Z95-Z96</f>
        <v>0</v>
      </c>
      <c r="AA97" s="1263">
        <f t="shared" si="307"/>
        <v>0</v>
      </c>
      <c r="AB97" s="1279">
        <f t="shared" ref="AB97:AC97" si="319">AB95-AB96</f>
        <v>0</v>
      </c>
      <c r="AC97" s="1276">
        <f t="shared" si="319"/>
        <v>0</v>
      </c>
      <c r="AD97" s="1263">
        <f t="shared" si="303"/>
        <v>0</v>
      </c>
      <c r="AE97" s="1267">
        <f t="shared" ref="AE97:AF97" si="320">AE95-AE96</f>
        <v>0</v>
      </c>
      <c r="AF97" s="1276">
        <f t="shared" si="320"/>
        <v>0</v>
      </c>
      <c r="AG97" s="1263">
        <f t="shared" si="304"/>
        <v>0</v>
      </c>
      <c r="AH97" s="1267">
        <f t="shared" ref="AH97:AI97" si="321">AH95-AH96</f>
        <v>0</v>
      </c>
      <c r="AI97" s="1276">
        <f t="shared" si="321"/>
        <v>0</v>
      </c>
      <c r="AJ97" s="1263"/>
      <c r="AK97" s="1267">
        <f t="shared" ref="AK97" si="322">AK95-AK96</f>
        <v>0</v>
      </c>
      <c r="AL97" s="1702">
        <f t="shared" ref="AL97" si="323">AL95-AL96</f>
        <v>1041</v>
      </c>
      <c r="AM97" s="1661">
        <f t="shared" si="306"/>
        <v>221.96926032660903</v>
      </c>
      <c r="AN97" s="1662">
        <f t="shared" ref="AN97" si="324">AN95-AN96</f>
        <v>231070</v>
      </c>
    </row>
    <row r="98" spans="1:41" x14ac:dyDescent="0.25">
      <c r="A98" s="1409"/>
      <c r="B98" s="167"/>
      <c r="C98" s="117"/>
      <c r="D98" s="1268"/>
      <c r="E98" s="1272"/>
      <c r="F98" s="117"/>
      <c r="G98" s="174"/>
      <c r="H98" s="167"/>
      <c r="I98" s="117"/>
      <c r="J98" s="1268"/>
      <c r="K98" s="167"/>
      <c r="L98" s="117"/>
      <c r="M98" s="1268"/>
      <c r="N98" s="167"/>
      <c r="O98" s="117"/>
      <c r="P98" s="1268"/>
      <c r="Q98" s="167"/>
      <c r="R98" s="117"/>
      <c r="S98" s="1268"/>
      <c r="T98" s="117"/>
      <c r="U98" s="117"/>
      <c r="V98" s="174"/>
      <c r="W98" s="167"/>
      <c r="X98" s="117"/>
      <c r="Y98" s="1473"/>
      <c r="Z98" s="167"/>
      <c r="AA98" s="117"/>
      <c r="AB98" s="174"/>
      <c r="AC98" s="167"/>
      <c r="AD98" s="117"/>
      <c r="AE98" s="1268"/>
      <c r="AF98" s="167"/>
      <c r="AG98" s="117"/>
      <c r="AH98" s="1268"/>
      <c r="AI98" s="167"/>
      <c r="AJ98" s="117"/>
      <c r="AK98" s="1268"/>
      <c r="AL98" s="1396"/>
      <c r="AM98" s="1397"/>
      <c r="AN98" s="1398"/>
    </row>
    <row r="99" spans="1:41" ht="13.8" thickBot="1" x14ac:dyDescent="0.3">
      <c r="A99" s="1076" t="s">
        <v>499</v>
      </c>
      <c r="B99" s="167"/>
      <c r="C99" s="117"/>
      <c r="D99" s="1268"/>
      <c r="E99" s="1272"/>
      <c r="F99" s="117"/>
      <c r="G99" s="174"/>
      <c r="H99" s="167"/>
      <c r="I99" s="117"/>
      <c r="J99" s="1268"/>
      <c r="K99" s="167"/>
      <c r="L99" s="117"/>
      <c r="M99" s="1268"/>
      <c r="N99" s="167"/>
      <c r="O99" s="117"/>
      <c r="P99" s="1268"/>
      <c r="Q99" s="167"/>
      <c r="R99" s="117"/>
      <c r="S99" s="1268"/>
      <c r="T99" s="117"/>
      <c r="U99" s="117"/>
      <c r="V99" s="174"/>
      <c r="W99" s="167"/>
      <c r="X99" s="117"/>
      <c r="Y99" s="1473"/>
      <c r="Z99" s="167"/>
      <c r="AA99" s="117"/>
      <c r="AB99" s="174"/>
      <c r="AC99" s="167"/>
      <c r="AD99" s="117"/>
      <c r="AE99" s="1268"/>
      <c r="AF99" s="167"/>
      <c r="AG99" s="117"/>
      <c r="AH99" s="1268"/>
      <c r="AI99" s="167"/>
      <c r="AJ99" s="117"/>
      <c r="AK99" s="1268"/>
      <c r="AL99" s="1396"/>
      <c r="AM99" s="1397"/>
      <c r="AN99" s="1398"/>
    </row>
    <row r="100" spans="1:41" x14ac:dyDescent="0.25">
      <c r="A100" s="989" t="s">
        <v>396</v>
      </c>
      <c r="B100" s="1525">
        <f>B92</f>
        <v>9093</v>
      </c>
      <c r="C100" s="1522">
        <f>IF(B100=0,0,D100/B100)</f>
        <v>-371.77334213130979</v>
      </c>
      <c r="D100" s="1772">
        <f>D92</f>
        <v>-3380535</v>
      </c>
      <c r="E100" s="1025">
        <f>E92</f>
        <v>40554</v>
      </c>
      <c r="F100" s="1280">
        <f>IF(E100=0,0,G100/E100)</f>
        <v>74.952113231740398</v>
      </c>
      <c r="G100" s="233">
        <f>G92</f>
        <v>3039608</v>
      </c>
      <c r="H100" s="1290">
        <f>H92</f>
        <v>253330</v>
      </c>
      <c r="I100" s="1287">
        <f>IF(H100=0,0,J100/H100)</f>
        <v>257.35442308451428</v>
      </c>
      <c r="J100" s="233">
        <f>J92</f>
        <v>65195596</v>
      </c>
      <c r="K100" s="1283">
        <f>K92</f>
        <v>0</v>
      </c>
      <c r="L100" s="1280">
        <f>IF(K100=0,0,M100/K100)</f>
        <v>0</v>
      </c>
      <c r="M100" s="1284">
        <f>M92</f>
        <v>0</v>
      </c>
      <c r="N100" s="1283">
        <f>N92</f>
        <v>0</v>
      </c>
      <c r="O100" s="1280">
        <f>IF(N100=0,0,P100/N100)</f>
        <v>0</v>
      </c>
      <c r="P100" s="1284">
        <f>P92</f>
        <v>0</v>
      </c>
      <c r="Q100" s="1283">
        <f>Q92</f>
        <v>0</v>
      </c>
      <c r="R100" s="1280">
        <f>IF(Q100=0,0,S100/Q100)</f>
        <v>0</v>
      </c>
      <c r="S100" s="1284">
        <f>S92</f>
        <v>0</v>
      </c>
      <c r="T100" s="1283">
        <f>T92</f>
        <v>0</v>
      </c>
      <c r="U100" s="1280">
        <f>IF(T100=0,0,V100/T100)</f>
        <v>0</v>
      </c>
      <c r="V100" s="1469">
        <f>V92</f>
        <v>0</v>
      </c>
      <c r="W100" s="1283">
        <f>W92</f>
        <v>0</v>
      </c>
      <c r="X100" s="1280">
        <f>IF(W100=0,0,Y100/W100)</f>
        <v>0</v>
      </c>
      <c r="Y100" s="1284">
        <f>Y92</f>
        <v>0</v>
      </c>
      <c r="Z100" s="1283">
        <f>Z92</f>
        <v>0</v>
      </c>
      <c r="AA100" s="1280">
        <f>IF(Z100=0,0,AB100/Z100)</f>
        <v>0</v>
      </c>
      <c r="AB100" s="1469">
        <f>AB92</f>
        <v>0</v>
      </c>
      <c r="AC100" s="1283">
        <f>AC92</f>
        <v>0</v>
      </c>
      <c r="AD100" s="2831">
        <f>IF(AC100=0,0,AE100/AC100)</f>
        <v>0</v>
      </c>
      <c r="AE100" s="1284">
        <f>AE92</f>
        <v>0</v>
      </c>
      <c r="AF100" s="1283">
        <f>AF92</f>
        <v>0</v>
      </c>
      <c r="AG100" s="1280">
        <f>IF(AF100=0,0,AH100/AF100)</f>
        <v>0</v>
      </c>
      <c r="AH100" s="1284">
        <f>AH92</f>
        <v>0</v>
      </c>
      <c r="AI100" s="1283">
        <f>AI92</f>
        <v>0</v>
      </c>
      <c r="AJ100" s="1280">
        <f>IF(AI100=0,0,AK100/AI100)</f>
        <v>0</v>
      </c>
      <c r="AK100" s="1284">
        <f>AK92</f>
        <v>0</v>
      </c>
      <c r="AL100" s="1399">
        <f>AL92</f>
        <v>302977</v>
      </c>
      <c r="AM100" s="1400">
        <f>IF(AL100=0,0,AN100/AL100)</f>
        <v>214.05806051284421</v>
      </c>
      <c r="AN100" s="1757">
        <f>AN92</f>
        <v>64854669</v>
      </c>
    </row>
    <row r="101" spans="1:41" ht="13.8" thickBot="1" x14ac:dyDescent="0.3">
      <c r="A101" s="1293" t="s">
        <v>226</v>
      </c>
      <c r="B101" s="1281">
        <f>B97</f>
        <v>100</v>
      </c>
      <c r="C101" s="1523">
        <f t="shared" ref="C101" si="325">IF(B101=0,0,D101/B101)</f>
        <v>64.180000000000007</v>
      </c>
      <c r="D101" s="1282">
        <f>D97</f>
        <v>6418</v>
      </c>
      <c r="E101" s="1281">
        <f>E97</f>
        <v>-98</v>
      </c>
      <c r="F101" s="1260">
        <f t="shared" ref="F101" si="326">IF(E101=0,0,G101/E101)</f>
        <v>217.55102040816325</v>
      </c>
      <c r="G101" s="1282">
        <f>G97</f>
        <v>-21320</v>
      </c>
      <c r="H101" s="1291">
        <f>H97</f>
        <v>1039</v>
      </c>
      <c r="I101" s="1288">
        <f t="shared" ref="I101" si="327">IF(H101=0,0,J101/H101)</f>
        <v>236.73917228103946</v>
      </c>
      <c r="J101" s="1282">
        <f>J97</f>
        <v>245972</v>
      </c>
      <c r="K101" s="1281">
        <f>K97</f>
        <v>0</v>
      </c>
      <c r="L101" s="1260">
        <f t="shared" ref="L101" si="328">IF(K101=0,0,M101/K101)</f>
        <v>0</v>
      </c>
      <c r="M101" s="1285">
        <f>M97</f>
        <v>0</v>
      </c>
      <c r="N101" s="1281">
        <f>N97</f>
        <v>0</v>
      </c>
      <c r="O101" s="1260">
        <f t="shared" ref="O101" si="329">IF(N101=0,0,P101/N101)</f>
        <v>0</v>
      </c>
      <c r="P101" s="1285">
        <f>P97</f>
        <v>0</v>
      </c>
      <c r="Q101" s="1281">
        <f>Q97</f>
        <v>0</v>
      </c>
      <c r="R101" s="1260">
        <f t="shared" ref="R101" si="330">IF(Q101=0,0,S101/Q101)</f>
        <v>0</v>
      </c>
      <c r="S101" s="1285">
        <f>S97</f>
        <v>0</v>
      </c>
      <c r="T101" s="1281">
        <f>T97</f>
        <v>0</v>
      </c>
      <c r="U101" s="1260">
        <f t="shared" ref="U101" si="331">IF(T101=0,0,V101/T101)</f>
        <v>0</v>
      </c>
      <c r="V101" s="1470">
        <f>V97</f>
        <v>0</v>
      </c>
      <c r="W101" s="1281">
        <f>W97</f>
        <v>0</v>
      </c>
      <c r="X101" s="1260">
        <f t="shared" ref="X101" si="332">IF(W101=0,0,Y101/W101)</f>
        <v>0</v>
      </c>
      <c r="Y101" s="1285">
        <f>Y97</f>
        <v>0</v>
      </c>
      <c r="Z101" s="1281">
        <f>Z97</f>
        <v>0</v>
      </c>
      <c r="AA101" s="1260">
        <f t="shared" ref="AA101" si="333">IF(Z101=0,0,AB101/Z101)</f>
        <v>0</v>
      </c>
      <c r="AB101" s="1470">
        <f>AB97</f>
        <v>0</v>
      </c>
      <c r="AC101" s="1281">
        <f>AC97</f>
        <v>0</v>
      </c>
      <c r="AD101" s="2832">
        <f t="shared" ref="AD101" si="334">IF(AC101=0,0,AE101/AC101)</f>
        <v>0</v>
      </c>
      <c r="AE101" s="1285">
        <f>AE97</f>
        <v>0</v>
      </c>
      <c r="AF101" s="1281">
        <f>AF97</f>
        <v>0</v>
      </c>
      <c r="AG101" s="1260">
        <f t="shared" ref="AG101" si="335">IF(AF101=0,0,AH101/AF101)</f>
        <v>0</v>
      </c>
      <c r="AH101" s="1285">
        <f>AH97</f>
        <v>0</v>
      </c>
      <c r="AI101" s="1281">
        <f>AI97</f>
        <v>0</v>
      </c>
      <c r="AJ101" s="1260"/>
      <c r="AK101" s="1285">
        <f>AK97</f>
        <v>0</v>
      </c>
      <c r="AL101" s="1401">
        <f>AL97</f>
        <v>1041</v>
      </c>
      <c r="AM101" s="1402">
        <f t="shared" ref="AM101" si="336">IF(AL101=0,0,AN101/AL101)</f>
        <v>221.96926032660903</v>
      </c>
      <c r="AN101" s="1403">
        <f>AN97</f>
        <v>231070</v>
      </c>
    </row>
    <row r="102" spans="1:41" ht="13.8" thickBot="1" x14ac:dyDescent="0.3">
      <c r="A102" s="746" t="s">
        <v>497</v>
      </c>
      <c r="B102" s="1276">
        <f>SUM(B100:B101)</f>
        <v>9193</v>
      </c>
      <c r="C102" s="1524">
        <f>IF(B102=0,0,D102/B102)</f>
        <v>-367.03111062765146</v>
      </c>
      <c r="D102" s="1286">
        <f>SUM(D100:D101)</f>
        <v>-3374117</v>
      </c>
      <c r="E102" s="203">
        <f>SUM(E100:E101)</f>
        <v>40456</v>
      </c>
      <c r="F102" s="1263">
        <f>IF(E102=0,0,G102/E102)</f>
        <v>74.606683804627252</v>
      </c>
      <c r="G102" s="660">
        <f>SUM(G100:G101)</f>
        <v>3018288</v>
      </c>
      <c r="H102" s="1292">
        <f>SUM(H100:H101)</f>
        <v>254369</v>
      </c>
      <c r="I102" s="1289">
        <f>IF(H102=0,0,J102/H102)</f>
        <v>257.27021767589605</v>
      </c>
      <c r="J102" s="660">
        <f>SUM(J100:J101)</f>
        <v>65441568</v>
      </c>
      <c r="K102" s="1276">
        <f>SUM(K100:K101)</f>
        <v>0</v>
      </c>
      <c r="L102" s="1263">
        <f>IF(K102=0,0,M102/K102)</f>
        <v>0</v>
      </c>
      <c r="M102" s="1286">
        <f>SUM(M100:M101)</f>
        <v>0</v>
      </c>
      <c r="N102" s="1276">
        <f>SUM(N100:N101)</f>
        <v>0</v>
      </c>
      <c r="O102" s="1263">
        <f>IF(N102=0,0,P102/N102)</f>
        <v>0</v>
      </c>
      <c r="P102" s="1286">
        <f>SUM(P100:P101)</f>
        <v>0</v>
      </c>
      <c r="Q102" s="1276">
        <f>SUM(Q100:Q101)</f>
        <v>0</v>
      </c>
      <c r="R102" s="1263">
        <f>IF(Q102=0,0,S102/Q102)</f>
        <v>0</v>
      </c>
      <c r="S102" s="1286">
        <f>SUM(S100:S101)</f>
        <v>0</v>
      </c>
      <c r="T102" s="1276">
        <f>SUM(T100:T101)</f>
        <v>0</v>
      </c>
      <c r="U102" s="1263">
        <f>IF(T102=0,0,V102/T102)</f>
        <v>0</v>
      </c>
      <c r="V102" s="1471">
        <f>SUM(V100:V101)</f>
        <v>0</v>
      </c>
      <c r="W102" s="1276">
        <f>SUM(W100:W101)</f>
        <v>0</v>
      </c>
      <c r="X102" s="1263">
        <f>IF(W102=0,0,Y102/W102)</f>
        <v>0</v>
      </c>
      <c r="Y102" s="1286">
        <f>SUM(Y100:Y101)</f>
        <v>0</v>
      </c>
      <c r="Z102" s="1276">
        <f>Z92+Z97</f>
        <v>0</v>
      </c>
      <c r="AA102" s="1263">
        <f>IF(Z102=0,0,AB102/Z102)</f>
        <v>0</v>
      </c>
      <c r="AB102" s="1679">
        <f>AB92+AB97</f>
        <v>0</v>
      </c>
      <c r="AC102" s="203">
        <f>AC92+AC97</f>
        <v>0</v>
      </c>
      <c r="AD102" s="2833">
        <f>IF(AC102=0,0,AE102/AC102)</f>
        <v>0</v>
      </c>
      <c r="AE102" s="1286">
        <f>AE92+AE97</f>
        <v>0</v>
      </c>
      <c r="AF102" s="203">
        <f>AF92+AF97</f>
        <v>0</v>
      </c>
      <c r="AG102" s="1263">
        <f>IF(AF102=0,0,AH102/AF102)</f>
        <v>0</v>
      </c>
      <c r="AH102" s="660">
        <f>AH92+AH97</f>
        <v>0</v>
      </c>
      <c r="AI102" s="203">
        <f>AI92+AI97</f>
        <v>0</v>
      </c>
      <c r="AJ102" s="1263">
        <f>IF(AI102=0,0,AK102/AI102)</f>
        <v>0</v>
      </c>
      <c r="AK102" s="660">
        <f>AK92+AK97</f>
        <v>0</v>
      </c>
      <c r="AL102" s="1660">
        <f>SUM(AL100:AL101)</f>
        <v>304018</v>
      </c>
      <c r="AM102" s="1663">
        <f>IF(AL102=0,0,AN102/AL102)</f>
        <v>214.08514956351269</v>
      </c>
      <c r="AN102" s="1756">
        <f>SUM(AN100:AN101)</f>
        <v>65085739</v>
      </c>
    </row>
    <row r="103" spans="1:41" x14ac:dyDescent="0.25">
      <c r="B103" s="2"/>
      <c r="N103" s="1417">
        <f>'Stock Valuation (FIFO)'!Q27</f>
        <v>0</v>
      </c>
      <c r="P103" s="1418">
        <f>'Stock Valuation (FIFO)'!S27</f>
        <v>0</v>
      </c>
      <c r="Q103" s="1417">
        <f>'Stock Valuation (FIFO)'!T27</f>
        <v>0</v>
      </c>
      <c r="S103" s="1418">
        <f>'Stock Valuation (FIFO)'!V27</f>
        <v>0</v>
      </c>
      <c r="T103" s="1417">
        <f>'Stock Valuation (FIFO)'!W27</f>
        <v>0</v>
      </c>
      <c r="V103" s="1418">
        <f>'Stock Valuation (FIFO)'!Y27</f>
        <v>0</v>
      </c>
      <c r="W103" s="2">
        <f>'Stock Valuation (FIFO)'!Z27</f>
        <v>0</v>
      </c>
      <c r="X103" s="2"/>
      <c r="Y103" s="8">
        <f>'Stock Valuation (FIFO)'!AB27</f>
        <v>0</v>
      </c>
      <c r="Z103" s="1417">
        <f>'Stock Valuation (FIFO)'!AC27</f>
        <v>0</v>
      </c>
      <c r="AB103" s="1418">
        <f>'Stock Valuation (FIFO)'!AE27</f>
        <v>0</v>
      </c>
      <c r="AC103" s="2">
        <f>'Stock Valuation (FIFO)'!AF27</f>
        <v>0</v>
      </c>
      <c r="AE103" s="227">
        <f>'Stock Valuation (FIFO)'!AH27</f>
        <v>0</v>
      </c>
      <c r="AK103" s="236" t="s">
        <v>631</v>
      </c>
      <c r="AL103" s="1514">
        <f>'Stock Valuation (FIFO)'!AL30</f>
        <v>9193</v>
      </c>
      <c r="AN103" s="1759">
        <f>'Stock Valuation (FIFO)'!AN30</f>
        <v>-3374117</v>
      </c>
      <c r="AO103" s="1766"/>
    </row>
    <row r="104" spans="1:41" x14ac:dyDescent="0.25">
      <c r="B104" s="2"/>
      <c r="N104" s="2">
        <f>N102-N103</f>
        <v>0</v>
      </c>
      <c r="P104" s="8">
        <f>P102-P103</f>
        <v>0</v>
      </c>
      <c r="AE104" s="8"/>
      <c r="AL104" s="1695">
        <f>AL102-AL103</f>
        <v>294825</v>
      </c>
      <c r="AM104" s="1696"/>
      <c r="AN104" s="1697">
        <f>AN102-AN103</f>
        <v>68459856</v>
      </c>
    </row>
    <row r="105" spans="1:41" x14ac:dyDescent="0.25">
      <c r="A105" s="194" t="s">
        <v>1028</v>
      </c>
      <c r="B105" s="2">
        <f>B28</f>
        <v>143489</v>
      </c>
      <c r="C105" s="8">
        <f t="shared" ref="C105:C111" si="337">D105/B105</f>
        <v>123.87463150485404</v>
      </c>
      <c r="D105" s="1252">
        <f>D28</f>
        <v>17774647</v>
      </c>
      <c r="E105" s="2">
        <f>E28</f>
        <v>78108</v>
      </c>
      <c r="F105" s="8">
        <f t="shared" ref="F105:F106" si="338">G105/E105</f>
        <v>139.4481871255185</v>
      </c>
      <c r="G105" s="1252">
        <f>G28</f>
        <v>10892019</v>
      </c>
      <c r="H105" s="2">
        <f>H28</f>
        <v>92299</v>
      </c>
      <c r="I105" s="8">
        <f t="shared" ref="I105:I106" si="339">J105/H105</f>
        <v>155.48952859727623</v>
      </c>
      <c r="J105" s="1252">
        <f>J28</f>
        <v>14351528</v>
      </c>
      <c r="K105" s="2">
        <f>K28</f>
        <v>0</v>
      </c>
      <c r="L105" s="8" t="e">
        <f t="shared" ref="L105:L106" si="340">M105/K105</f>
        <v>#DIV/0!</v>
      </c>
      <c r="M105" s="1252">
        <f>M28</f>
        <v>0</v>
      </c>
      <c r="N105" s="2">
        <f>N28</f>
        <v>0</v>
      </c>
      <c r="O105" s="8" t="e">
        <f t="shared" ref="O105:O106" si="341">P105/N105</f>
        <v>#DIV/0!</v>
      </c>
      <c r="P105" s="1252">
        <f>P28</f>
        <v>0</v>
      </c>
      <c r="Q105" s="2">
        <f>Q28</f>
        <v>0</v>
      </c>
      <c r="R105" s="8" t="e">
        <f t="shared" ref="R105:R106" si="342">S105/Q105</f>
        <v>#DIV/0!</v>
      </c>
      <c r="S105" s="1252">
        <f>S28</f>
        <v>0</v>
      </c>
      <c r="T105" s="2">
        <f>T28</f>
        <v>0</v>
      </c>
      <c r="U105" s="8" t="e">
        <f t="shared" ref="U105:U106" si="343">V105/T105</f>
        <v>#DIV/0!</v>
      </c>
      <c r="V105" s="1252">
        <f>V28</f>
        <v>0</v>
      </c>
      <c r="W105" s="2">
        <f>W28</f>
        <v>0</v>
      </c>
      <c r="X105" s="8" t="e">
        <f t="shared" ref="X105:X106" si="344">Y105/W105</f>
        <v>#DIV/0!</v>
      </c>
      <c r="Y105" s="1252">
        <f>Y28</f>
        <v>0</v>
      </c>
      <c r="Z105" s="2">
        <f>Z28</f>
        <v>0</v>
      </c>
      <c r="AA105" s="8" t="e">
        <f t="shared" ref="AA105:AA106" si="345">AB105/Z105</f>
        <v>#DIV/0!</v>
      </c>
      <c r="AB105" s="1252">
        <f>AB28</f>
        <v>0</v>
      </c>
      <c r="AC105" s="2">
        <f>AC28</f>
        <v>0</v>
      </c>
      <c r="AD105" s="8" t="e">
        <f t="shared" ref="AD105:AD106" si="346">AE105/AC105</f>
        <v>#DIV/0!</v>
      </c>
      <c r="AE105" s="1252">
        <f>AE28</f>
        <v>0</v>
      </c>
      <c r="AF105" s="2">
        <f>AF28</f>
        <v>0</v>
      </c>
      <c r="AG105" s="8" t="e">
        <f t="shared" ref="AG105:AG106" si="347">AH105/AF105</f>
        <v>#DIV/0!</v>
      </c>
      <c r="AH105" s="1252">
        <f>AH28</f>
        <v>0</v>
      </c>
      <c r="AI105" s="2">
        <f>AI28</f>
        <v>0</v>
      </c>
      <c r="AJ105" s="8" t="e">
        <f t="shared" ref="AJ105:AJ106" si="348">AK105/AI105</f>
        <v>#DIV/0!</v>
      </c>
      <c r="AK105" s="1252">
        <f>AK28</f>
        <v>0</v>
      </c>
      <c r="AL105" s="2">
        <f>AL28</f>
        <v>143489</v>
      </c>
      <c r="AM105" s="8">
        <f t="shared" ref="AM105:AM106" si="349">AN105/AL105</f>
        <v>123.87463150485404</v>
      </c>
      <c r="AN105" s="1252">
        <f>AN28</f>
        <v>17774647</v>
      </c>
    </row>
    <row r="106" spans="1:41" x14ac:dyDescent="0.25">
      <c r="A106" s="194" t="s">
        <v>675</v>
      </c>
      <c r="B106" s="2">
        <f>B29</f>
        <v>827</v>
      </c>
      <c r="C106" s="8">
        <f t="shared" si="337"/>
        <v>273.33010882708584</v>
      </c>
      <c r="D106" s="1252">
        <f>D29</f>
        <v>226044</v>
      </c>
      <c r="E106" s="2">
        <f>E29</f>
        <v>76649</v>
      </c>
      <c r="F106" s="8">
        <f t="shared" si="338"/>
        <v>149.18116348549884</v>
      </c>
      <c r="G106" s="1252">
        <f>G29</f>
        <v>11434587</v>
      </c>
      <c r="H106" s="2">
        <f>H29</f>
        <v>0</v>
      </c>
      <c r="I106" s="8" t="e">
        <f t="shared" si="339"/>
        <v>#DIV/0!</v>
      </c>
      <c r="J106" s="1252">
        <f>J29</f>
        <v>0</v>
      </c>
      <c r="K106" s="2">
        <f>K29</f>
        <v>0</v>
      </c>
      <c r="L106" s="8" t="e">
        <f t="shared" si="340"/>
        <v>#DIV/0!</v>
      </c>
      <c r="M106" s="1252">
        <f>M29</f>
        <v>0</v>
      </c>
      <c r="N106" s="2">
        <f>N29</f>
        <v>-1</v>
      </c>
      <c r="O106" s="8">
        <f t="shared" si="341"/>
        <v>0</v>
      </c>
      <c r="P106" s="1252">
        <f>P29</f>
        <v>0</v>
      </c>
      <c r="Q106" s="2">
        <f>Q29</f>
        <v>0</v>
      </c>
      <c r="R106" s="8" t="e">
        <f t="shared" si="342"/>
        <v>#DIV/0!</v>
      </c>
      <c r="S106" s="1252">
        <f>S29</f>
        <v>0</v>
      </c>
      <c r="T106" s="2">
        <f>T29</f>
        <v>0</v>
      </c>
      <c r="U106" s="8" t="e">
        <f t="shared" si="343"/>
        <v>#DIV/0!</v>
      </c>
      <c r="V106" s="1252">
        <f>V29</f>
        <v>0</v>
      </c>
      <c r="W106" s="2">
        <f>W29</f>
        <v>0</v>
      </c>
      <c r="X106" s="8" t="e">
        <f t="shared" si="344"/>
        <v>#DIV/0!</v>
      </c>
      <c r="Y106" s="1252">
        <f>Y29</f>
        <v>0</v>
      </c>
      <c r="Z106" s="2">
        <f>Z29</f>
        <v>0</v>
      </c>
      <c r="AA106" s="8" t="e">
        <f t="shared" si="345"/>
        <v>#DIV/0!</v>
      </c>
      <c r="AB106" s="1252">
        <f>AB29</f>
        <v>0</v>
      </c>
      <c r="AC106" s="2">
        <f>AC29</f>
        <v>0</v>
      </c>
      <c r="AD106" s="8" t="e">
        <f t="shared" si="346"/>
        <v>#DIV/0!</v>
      </c>
      <c r="AE106" s="1252">
        <f>AE29</f>
        <v>0</v>
      </c>
      <c r="AF106" s="2">
        <f>AF29</f>
        <v>0</v>
      </c>
      <c r="AG106" s="8" t="e">
        <f t="shared" si="347"/>
        <v>#DIV/0!</v>
      </c>
      <c r="AH106" s="1252">
        <f>AH29</f>
        <v>0</v>
      </c>
      <c r="AI106" s="2">
        <f>AI29</f>
        <v>0</v>
      </c>
      <c r="AJ106" s="8" t="e">
        <f t="shared" si="348"/>
        <v>#DIV/0!</v>
      </c>
      <c r="AK106" s="1252">
        <f>AK29</f>
        <v>0</v>
      </c>
      <c r="AL106" s="2">
        <f>AL29</f>
        <v>77475</v>
      </c>
      <c r="AM106" s="8">
        <f t="shared" si="349"/>
        <v>150.5083059051307</v>
      </c>
      <c r="AN106" s="1252">
        <f>AN29</f>
        <v>11660631</v>
      </c>
    </row>
    <row r="107" spans="1:41" ht="13.8" thickBot="1" x14ac:dyDescent="0.3">
      <c r="A107" s="1760" t="s">
        <v>1029</v>
      </c>
      <c r="B107" s="1711">
        <f>B33</f>
        <v>78108</v>
      </c>
      <c r="C107" s="914">
        <f>D107/B107</f>
        <v>139.4481871255185</v>
      </c>
      <c r="D107" s="1712">
        <f>D33</f>
        <v>10892019</v>
      </c>
      <c r="E107" s="1711">
        <f>E33</f>
        <v>92299</v>
      </c>
      <c r="F107" s="914">
        <f>G107/E107</f>
        <v>155.48952859727623</v>
      </c>
      <c r="G107" s="1712">
        <f>G33</f>
        <v>14351528</v>
      </c>
      <c r="H107" s="1711">
        <f>H33</f>
        <v>0</v>
      </c>
      <c r="I107" s="914" t="e">
        <f>J107/H107</f>
        <v>#DIV/0!</v>
      </c>
      <c r="J107" s="1712">
        <f>J33</f>
        <v>0</v>
      </c>
      <c r="K107" s="1711">
        <f>K33</f>
        <v>0</v>
      </c>
      <c r="L107" s="914" t="e">
        <f>M107/K107</f>
        <v>#DIV/0!</v>
      </c>
      <c r="M107" s="1712">
        <f>M33</f>
        <v>0</v>
      </c>
      <c r="N107" s="1711">
        <f>N33</f>
        <v>0</v>
      </c>
      <c r="O107" s="914" t="e">
        <f>P107/N107</f>
        <v>#DIV/0!</v>
      </c>
      <c r="P107" s="1712">
        <f>P33</f>
        <v>0</v>
      </c>
      <c r="Q107" s="1711">
        <f>Q33</f>
        <v>0</v>
      </c>
      <c r="R107" s="914" t="e">
        <f>S107/Q107</f>
        <v>#DIV/0!</v>
      </c>
      <c r="S107" s="1712">
        <f>S33</f>
        <v>0</v>
      </c>
      <c r="T107" s="1711">
        <f>T33</f>
        <v>0</v>
      </c>
      <c r="U107" s="914" t="e">
        <f>V107/T107</f>
        <v>#DIV/0!</v>
      </c>
      <c r="V107" s="1712">
        <f>V33</f>
        <v>0</v>
      </c>
      <c r="W107" s="1711">
        <f>W33</f>
        <v>0</v>
      </c>
      <c r="X107" s="914" t="e">
        <f>Y107/W107</f>
        <v>#DIV/0!</v>
      </c>
      <c r="Y107" s="1712">
        <f>Y33</f>
        <v>0</v>
      </c>
      <c r="Z107" s="1711">
        <f>Z33</f>
        <v>0</v>
      </c>
      <c r="AA107" s="914" t="e">
        <f>AB107/Z107</f>
        <v>#DIV/0!</v>
      </c>
      <c r="AB107" s="1712">
        <f>AB33</f>
        <v>0</v>
      </c>
      <c r="AC107" s="1711">
        <f>AC33</f>
        <v>0</v>
      </c>
      <c r="AD107" s="914" t="e">
        <f>AE107/AC107</f>
        <v>#DIV/0!</v>
      </c>
      <c r="AE107" s="1712">
        <f>AE33</f>
        <v>0</v>
      </c>
      <c r="AF107" s="1711">
        <f>AF33</f>
        <v>0</v>
      </c>
      <c r="AG107" s="914" t="e">
        <f>AH107/AF107</f>
        <v>#DIV/0!</v>
      </c>
      <c r="AH107" s="1712">
        <f>AH33</f>
        <v>0</v>
      </c>
      <c r="AI107" s="1711">
        <f>AI33</f>
        <v>0</v>
      </c>
      <c r="AJ107" s="914" t="e">
        <f>AK107/AI107</f>
        <v>#DIV/0!</v>
      </c>
      <c r="AK107" s="1712">
        <f>AK33</f>
        <v>0</v>
      </c>
      <c r="AL107" s="1711">
        <f>AL33</f>
        <v>0</v>
      </c>
      <c r="AM107" s="914" t="e">
        <f>AN107/AL107</f>
        <v>#DIV/0!</v>
      </c>
      <c r="AN107" s="1712">
        <f>AN33</f>
        <v>0</v>
      </c>
    </row>
    <row r="108" spans="1:41" x14ac:dyDescent="0.25">
      <c r="A108" s="2929"/>
      <c r="B108" s="2930">
        <f>B105+B106-B107</f>
        <v>66208</v>
      </c>
      <c r="C108" s="2931">
        <f>D108/B108</f>
        <v>107.36877718704689</v>
      </c>
      <c r="D108" s="2932">
        <f>D105+D106-D107</f>
        <v>7108672</v>
      </c>
      <c r="E108" s="2930">
        <f>E105+E106-E107</f>
        <v>62458</v>
      </c>
      <c r="F108" s="2931">
        <f>G108/E108</f>
        <v>127.68705370008645</v>
      </c>
      <c r="G108" s="2932">
        <f>G105+G106-G107</f>
        <v>7975078</v>
      </c>
      <c r="H108" s="2930">
        <f>H105+H106-H107</f>
        <v>92299</v>
      </c>
      <c r="I108" s="2931">
        <f>J108/H108</f>
        <v>155.48952859727623</v>
      </c>
      <c r="J108" s="2932">
        <f>J105+J106-J107</f>
        <v>14351528</v>
      </c>
      <c r="K108" s="2930">
        <f>K105+K106-K107</f>
        <v>0</v>
      </c>
      <c r="L108" s="2931" t="e">
        <f>M108/K108</f>
        <v>#DIV/0!</v>
      </c>
      <c r="M108" s="2932">
        <f>M105+M106-M107</f>
        <v>0</v>
      </c>
      <c r="N108" s="2930">
        <f>N105+N106-N107</f>
        <v>-1</v>
      </c>
      <c r="O108" s="2931">
        <f>P108/N108</f>
        <v>0</v>
      </c>
      <c r="P108" s="2932">
        <f>P105+P106-P107</f>
        <v>0</v>
      </c>
      <c r="Q108" s="2930">
        <f>Q105+Q106-Q107</f>
        <v>0</v>
      </c>
      <c r="R108" s="2931" t="e">
        <f>S108/Q108</f>
        <v>#DIV/0!</v>
      </c>
      <c r="S108" s="2932">
        <f>S105+S106-S107</f>
        <v>0</v>
      </c>
      <c r="T108" s="2930">
        <f>T105+T106-T107</f>
        <v>0</v>
      </c>
      <c r="U108" s="2931" t="e">
        <f>V108/T108</f>
        <v>#DIV/0!</v>
      </c>
      <c r="V108" s="2932">
        <f>V105+V106-V107</f>
        <v>0</v>
      </c>
      <c r="W108" s="2930">
        <f>W105+W106-W107</f>
        <v>0</v>
      </c>
      <c r="X108" s="2931" t="e">
        <f>Y108/W108</f>
        <v>#DIV/0!</v>
      </c>
      <c r="Y108" s="2932">
        <f>Y105+Y106-Y107</f>
        <v>0</v>
      </c>
      <c r="Z108" s="2930">
        <f>Z105+Z106-Z107</f>
        <v>0</v>
      </c>
      <c r="AA108" s="2931" t="e">
        <f>AB108/Z108</f>
        <v>#DIV/0!</v>
      </c>
      <c r="AB108" s="2932">
        <f>AB105+AB106-AB107</f>
        <v>0</v>
      </c>
      <c r="AC108" s="2930">
        <f>AC105+AC106-AC107</f>
        <v>0</v>
      </c>
      <c r="AD108" s="2931" t="e">
        <f>AE108/AC108</f>
        <v>#DIV/0!</v>
      </c>
      <c r="AE108" s="2932">
        <f>AE105+AE106-AE107</f>
        <v>0</v>
      </c>
      <c r="AF108" s="2930">
        <f>AF105+AF106-AF107</f>
        <v>0</v>
      </c>
      <c r="AG108" s="2931" t="e">
        <f>AH108/AF108</f>
        <v>#DIV/0!</v>
      </c>
      <c r="AH108" s="2932">
        <f>AH105+AH106-AH107</f>
        <v>0</v>
      </c>
      <c r="AI108" s="2930">
        <f>AI105+AI106-AI107</f>
        <v>0</v>
      </c>
      <c r="AJ108" s="2931" t="e">
        <f>AK108/AI108</f>
        <v>#DIV/0!</v>
      </c>
      <c r="AK108" s="2932">
        <f>AK105+AK106-AK107</f>
        <v>0</v>
      </c>
      <c r="AL108" s="2930">
        <f>AL105+AL106-AL107</f>
        <v>220964</v>
      </c>
      <c r="AM108" s="2931">
        <f>AN108/AL108</f>
        <v>133.2130030231169</v>
      </c>
      <c r="AN108" s="2932">
        <f>AN105+AN106-AN107</f>
        <v>29435278</v>
      </c>
    </row>
    <row r="109" spans="1:41" x14ac:dyDescent="0.25">
      <c r="A109" s="2952" t="s">
        <v>1030</v>
      </c>
      <c r="B109" s="670">
        <f>B108-B112</f>
        <v>66208</v>
      </c>
      <c r="C109" s="2953">
        <f t="shared" si="337"/>
        <v>107.36877718704689</v>
      </c>
      <c r="D109" s="2954">
        <f>D108-D112</f>
        <v>7108672</v>
      </c>
      <c r="E109" s="670">
        <f>E108-E112</f>
        <v>62433</v>
      </c>
      <c r="F109" s="2953">
        <f t="shared" ref="F109:F111" si="350">G109/E109</f>
        <v>127.58602021366906</v>
      </c>
      <c r="G109" s="2954">
        <f>G108-G112</f>
        <v>7965578</v>
      </c>
      <c r="H109" s="670">
        <f>H108-H112</f>
        <v>92299</v>
      </c>
      <c r="I109" s="2953">
        <f t="shared" ref="I109:I111" si="351">J109/H109</f>
        <v>155.48952859727623</v>
      </c>
      <c r="J109" s="2954">
        <f>J108-J112</f>
        <v>14351528</v>
      </c>
      <c r="K109" s="670">
        <f>K108-K112</f>
        <v>0</v>
      </c>
      <c r="L109" s="2953" t="e">
        <f t="shared" ref="L109:L111" si="352">M109/K109</f>
        <v>#DIV/0!</v>
      </c>
      <c r="M109" s="2954">
        <f>M108-M112</f>
        <v>0</v>
      </c>
      <c r="N109" s="670">
        <f>N108-N112</f>
        <v>-1</v>
      </c>
      <c r="O109" s="2953">
        <f t="shared" ref="O109:O111" si="353">P109/N109</f>
        <v>0</v>
      </c>
      <c r="P109" s="2954">
        <f>P108-P112</f>
        <v>0</v>
      </c>
      <c r="Q109" s="670">
        <f>Q108-Q112</f>
        <v>0</v>
      </c>
      <c r="R109" s="2953" t="e">
        <f t="shared" ref="R109:R111" si="354">S109/Q109</f>
        <v>#DIV/0!</v>
      </c>
      <c r="S109" s="2954">
        <f>S108-S112</f>
        <v>0</v>
      </c>
      <c r="T109" s="670">
        <f>T108-T112</f>
        <v>0</v>
      </c>
      <c r="U109" s="2953" t="e">
        <f t="shared" ref="U109:U111" si="355">V109/T109</f>
        <v>#DIV/0!</v>
      </c>
      <c r="V109" s="2954">
        <f>V108-V112</f>
        <v>0</v>
      </c>
      <c r="W109" s="670">
        <f>W108-W112</f>
        <v>0</v>
      </c>
      <c r="X109" s="2953" t="e">
        <f t="shared" ref="X109:X111" si="356">Y109/W109</f>
        <v>#DIV/0!</v>
      </c>
      <c r="Y109" s="2954">
        <f>Y108-Y112</f>
        <v>0</v>
      </c>
      <c r="Z109" s="670">
        <f>Z108-Z112</f>
        <v>0</v>
      </c>
      <c r="AA109" s="2953" t="e">
        <f t="shared" ref="AA109:AA111" si="357">AB109/Z109</f>
        <v>#DIV/0!</v>
      </c>
      <c r="AB109" s="2954">
        <f>AB108-AB112</f>
        <v>0</v>
      </c>
      <c r="AC109" s="670">
        <f>AC108-AC112</f>
        <v>0</v>
      </c>
      <c r="AD109" s="2953" t="e">
        <f t="shared" ref="AD109:AD111" si="358">AE109/AC109</f>
        <v>#DIV/0!</v>
      </c>
      <c r="AE109" s="2954">
        <f>AE108-AE112</f>
        <v>0</v>
      </c>
      <c r="AF109" s="670">
        <f>AF108-AF112</f>
        <v>0</v>
      </c>
      <c r="AG109" s="2953" t="e">
        <f t="shared" ref="AG109:AG111" si="359">AH109/AF109</f>
        <v>#DIV/0!</v>
      </c>
      <c r="AH109" s="2954">
        <f>AH108-AH112</f>
        <v>0</v>
      </c>
      <c r="AI109" s="670">
        <f>AI108-AI112</f>
        <v>0</v>
      </c>
      <c r="AJ109" s="2953" t="e">
        <f t="shared" ref="AJ109:AJ111" si="360">AK109/AI109</f>
        <v>#DIV/0!</v>
      </c>
      <c r="AK109" s="2954">
        <f>AK108-AK112</f>
        <v>0</v>
      </c>
      <c r="AL109" s="670">
        <f>AL108-AL112</f>
        <v>220939</v>
      </c>
      <c r="AM109" s="2953">
        <f t="shared" ref="AM109:AM111" si="361">AN109/AL109</f>
        <v>133.18507823426376</v>
      </c>
      <c r="AN109" s="2954">
        <f>AN108-AN112</f>
        <v>29425778</v>
      </c>
    </row>
    <row r="110" spans="1:41" ht="13.8" thickBot="1" x14ac:dyDescent="0.3">
      <c r="A110" s="1760" t="s">
        <v>597</v>
      </c>
      <c r="B110" s="1711">
        <f>B49</f>
        <v>26200.959999999999</v>
      </c>
      <c r="C110" s="914">
        <f t="shared" si="337"/>
        <v>265.10803420943358</v>
      </c>
      <c r="D110" s="1712">
        <f>D49</f>
        <v>6946085</v>
      </c>
      <c r="E110" s="1711">
        <f>E49</f>
        <v>13526</v>
      </c>
      <c r="F110" s="914">
        <f t="shared" si="350"/>
        <v>239.50450983291438</v>
      </c>
      <c r="G110" s="1712">
        <f>G49</f>
        <v>3239538</v>
      </c>
      <c r="H110" s="1711">
        <f>H49</f>
        <v>0</v>
      </c>
      <c r="I110" s="914" t="e">
        <f t="shared" si="351"/>
        <v>#DIV/0!</v>
      </c>
      <c r="J110" s="1712">
        <f>J49</f>
        <v>0</v>
      </c>
      <c r="K110" s="1711">
        <f>K49</f>
        <v>0</v>
      </c>
      <c r="L110" s="914" t="e">
        <f t="shared" si="352"/>
        <v>#DIV/0!</v>
      </c>
      <c r="M110" s="1712">
        <f>M49</f>
        <v>0</v>
      </c>
      <c r="N110" s="1711">
        <f>N49</f>
        <v>0</v>
      </c>
      <c r="O110" s="914" t="e">
        <f t="shared" si="353"/>
        <v>#DIV/0!</v>
      </c>
      <c r="P110" s="1712">
        <f>P49</f>
        <v>0</v>
      </c>
      <c r="Q110" s="1711">
        <f>Q49</f>
        <v>0</v>
      </c>
      <c r="R110" s="914" t="e">
        <f t="shared" si="354"/>
        <v>#DIV/0!</v>
      </c>
      <c r="S110" s="1712">
        <f>S49</f>
        <v>0</v>
      </c>
      <c r="T110" s="1711">
        <f>T49</f>
        <v>0</v>
      </c>
      <c r="U110" s="914" t="e">
        <f t="shared" si="355"/>
        <v>#DIV/0!</v>
      </c>
      <c r="V110" s="1712">
        <f>V49</f>
        <v>0</v>
      </c>
      <c r="W110" s="1711">
        <f>W49</f>
        <v>0</v>
      </c>
      <c r="X110" s="914" t="e">
        <f t="shared" si="356"/>
        <v>#DIV/0!</v>
      </c>
      <c r="Y110" s="1712">
        <f>Y49</f>
        <v>0</v>
      </c>
      <c r="Z110" s="1711">
        <f>Z49</f>
        <v>0</v>
      </c>
      <c r="AA110" s="914" t="e">
        <f t="shared" si="357"/>
        <v>#DIV/0!</v>
      </c>
      <c r="AB110" s="1712">
        <f>AB49</f>
        <v>0</v>
      </c>
      <c r="AC110" s="1711">
        <f>AC49</f>
        <v>0</v>
      </c>
      <c r="AD110" s="914" t="e">
        <f t="shared" si="358"/>
        <v>#DIV/0!</v>
      </c>
      <c r="AE110" s="1712">
        <f>AE49</f>
        <v>0</v>
      </c>
      <c r="AF110" s="1711">
        <f>AF49</f>
        <v>0</v>
      </c>
      <c r="AG110" s="914" t="e">
        <f t="shared" si="359"/>
        <v>#DIV/0!</v>
      </c>
      <c r="AH110" s="1712">
        <f>AH49</f>
        <v>0</v>
      </c>
      <c r="AI110" s="1711">
        <f>AI49</f>
        <v>0</v>
      </c>
      <c r="AJ110" s="914" t="e">
        <f t="shared" si="360"/>
        <v>#DIV/0!</v>
      </c>
      <c r="AK110" s="1712">
        <f>AK49</f>
        <v>0</v>
      </c>
      <c r="AL110" s="1711">
        <f>AL49</f>
        <v>39726</v>
      </c>
      <c r="AM110" s="914">
        <f t="shared" si="361"/>
        <v>256.3968937219957</v>
      </c>
      <c r="AN110" s="1712">
        <f>AN49</f>
        <v>10185623</v>
      </c>
    </row>
    <row r="111" spans="1:41" x14ac:dyDescent="0.25">
      <c r="A111" s="194" t="s">
        <v>87</v>
      </c>
      <c r="B111" s="341">
        <f>B109+B110</f>
        <v>92408.959999999992</v>
      </c>
      <c r="C111" s="218">
        <f t="shared" si="337"/>
        <v>152.09301132704016</v>
      </c>
      <c r="D111" s="218">
        <f>D109+D110</f>
        <v>14054757</v>
      </c>
      <c r="E111" s="341">
        <f>E109+E110</f>
        <v>75959</v>
      </c>
      <c r="F111" s="218">
        <f t="shared" si="350"/>
        <v>147.51531747390038</v>
      </c>
      <c r="G111" s="218">
        <f>G109+G110</f>
        <v>11205116</v>
      </c>
      <c r="H111" s="341">
        <f>H109+H110</f>
        <v>92299</v>
      </c>
      <c r="I111" s="218">
        <f t="shared" si="351"/>
        <v>155.48952859727623</v>
      </c>
      <c r="J111" s="218">
        <f>J109+J110</f>
        <v>14351528</v>
      </c>
      <c r="K111" s="341">
        <f>K109+K110</f>
        <v>0</v>
      </c>
      <c r="L111" s="218" t="e">
        <f t="shared" si="352"/>
        <v>#DIV/0!</v>
      </c>
      <c r="M111" s="218">
        <f>M109+M110</f>
        <v>0</v>
      </c>
      <c r="N111" s="341">
        <f>N109+N110</f>
        <v>-1</v>
      </c>
      <c r="O111" s="218">
        <f t="shared" si="353"/>
        <v>0</v>
      </c>
      <c r="P111" s="218">
        <f>P109+P110</f>
        <v>0</v>
      </c>
      <c r="Q111" s="341">
        <f>Q109+Q110</f>
        <v>0</v>
      </c>
      <c r="R111" s="218" t="e">
        <f t="shared" si="354"/>
        <v>#DIV/0!</v>
      </c>
      <c r="S111" s="218">
        <f>S109+S110</f>
        <v>0</v>
      </c>
      <c r="T111" s="341">
        <f>T109+T110</f>
        <v>0</v>
      </c>
      <c r="U111" s="218" t="e">
        <f t="shared" si="355"/>
        <v>#DIV/0!</v>
      </c>
      <c r="V111" s="218">
        <f>V109+V110</f>
        <v>0</v>
      </c>
      <c r="W111" s="341">
        <f>W109+W110</f>
        <v>0</v>
      </c>
      <c r="X111" s="218" t="e">
        <f t="shared" si="356"/>
        <v>#DIV/0!</v>
      </c>
      <c r="Y111" s="218">
        <f>Y109+Y110</f>
        <v>0</v>
      </c>
      <c r="Z111" s="341">
        <f>Z109+Z110</f>
        <v>0</v>
      </c>
      <c r="AA111" s="218" t="e">
        <f t="shared" si="357"/>
        <v>#DIV/0!</v>
      </c>
      <c r="AB111" s="218">
        <f>AB109+AB110</f>
        <v>0</v>
      </c>
      <c r="AC111" s="341">
        <f>AC109+AC110</f>
        <v>0</v>
      </c>
      <c r="AD111" s="218" t="e">
        <f t="shared" si="358"/>
        <v>#DIV/0!</v>
      </c>
      <c r="AE111" s="218">
        <f>AE109+AE110</f>
        <v>0</v>
      </c>
      <c r="AF111" s="341">
        <f>AF109+AF110</f>
        <v>0</v>
      </c>
      <c r="AG111" s="218" t="e">
        <f t="shared" si="359"/>
        <v>#DIV/0!</v>
      </c>
      <c r="AH111" s="218">
        <f>AH109+AH110</f>
        <v>0</v>
      </c>
      <c r="AI111" s="341">
        <f>AI109+AI110</f>
        <v>0</v>
      </c>
      <c r="AJ111" s="218" t="e">
        <f t="shared" si="360"/>
        <v>#DIV/0!</v>
      </c>
      <c r="AK111" s="218">
        <f>AK109+AK110</f>
        <v>0</v>
      </c>
      <c r="AL111" s="341">
        <f>AL109+AL110</f>
        <v>260665</v>
      </c>
      <c r="AM111" s="218">
        <f t="shared" si="361"/>
        <v>151.96286804902846</v>
      </c>
      <c r="AN111" s="218">
        <f>AN109+AN110</f>
        <v>39611401</v>
      </c>
    </row>
    <row r="112" spans="1:41" x14ac:dyDescent="0.25">
      <c r="A112" s="2939" t="s">
        <v>1027</v>
      </c>
      <c r="B112" s="2940">
        <f>B32</f>
        <v>0</v>
      </c>
      <c r="C112" s="2785">
        <f>IF(B112=0,0,D112/B112)</f>
        <v>0</v>
      </c>
      <c r="D112" s="2941">
        <f>D32</f>
        <v>0</v>
      </c>
      <c r="E112" s="2940">
        <f>E32</f>
        <v>25</v>
      </c>
      <c r="F112" s="2785">
        <f>G112/E112</f>
        <v>380</v>
      </c>
      <c r="G112" s="2941">
        <f>G32</f>
        <v>9500</v>
      </c>
      <c r="H112" s="2940">
        <f>H32</f>
        <v>0</v>
      </c>
      <c r="I112" s="2785" t="e">
        <f>J112/H112</f>
        <v>#DIV/0!</v>
      </c>
      <c r="J112" s="2941">
        <f>J32</f>
        <v>0</v>
      </c>
      <c r="K112" s="2940">
        <f>K32</f>
        <v>0</v>
      </c>
      <c r="L112" s="2785" t="e">
        <f>M112/K112</f>
        <v>#DIV/0!</v>
      </c>
      <c r="M112" s="2941">
        <f>M32</f>
        <v>0</v>
      </c>
      <c r="N112" s="2940">
        <f>N32</f>
        <v>0</v>
      </c>
      <c r="O112" s="2785" t="e">
        <f>P112/N112</f>
        <v>#DIV/0!</v>
      </c>
      <c r="P112" s="2941">
        <f>P32</f>
        <v>0</v>
      </c>
      <c r="Q112" s="2940">
        <f>Q32</f>
        <v>0</v>
      </c>
      <c r="R112" s="2785" t="e">
        <f>S112/Q112</f>
        <v>#DIV/0!</v>
      </c>
      <c r="S112" s="2941">
        <f>S32</f>
        <v>0</v>
      </c>
      <c r="T112" s="2940">
        <f>T32</f>
        <v>0</v>
      </c>
      <c r="U112" s="2785" t="e">
        <f>V112/T112</f>
        <v>#DIV/0!</v>
      </c>
      <c r="V112" s="2941">
        <f>V32</f>
        <v>0</v>
      </c>
      <c r="W112" s="2940">
        <f>W32</f>
        <v>0</v>
      </c>
      <c r="X112" s="2785" t="e">
        <f>Y112/W112</f>
        <v>#DIV/0!</v>
      </c>
      <c r="Y112" s="2941">
        <f>Y32</f>
        <v>0</v>
      </c>
      <c r="Z112" s="2940">
        <f>Z32</f>
        <v>0</v>
      </c>
      <c r="AA112" s="2785" t="e">
        <f>AB112/Z112</f>
        <v>#DIV/0!</v>
      </c>
      <c r="AB112" s="2941">
        <f>AB32</f>
        <v>0</v>
      </c>
      <c r="AC112" s="2940">
        <f>AC32</f>
        <v>0</v>
      </c>
      <c r="AD112" s="2785" t="e">
        <f>AE112/AC112</f>
        <v>#DIV/0!</v>
      </c>
      <c r="AE112" s="2941">
        <f>AE32</f>
        <v>0</v>
      </c>
      <c r="AF112" s="2940">
        <f>AF32</f>
        <v>0</v>
      </c>
      <c r="AG112" s="2785" t="e">
        <f>AH112/AF112</f>
        <v>#DIV/0!</v>
      </c>
      <c r="AH112" s="2941">
        <f>AH32</f>
        <v>0</v>
      </c>
      <c r="AI112" s="2940">
        <f>AI32</f>
        <v>0</v>
      </c>
      <c r="AJ112" s="2785" t="e">
        <f>AK112/AI112</f>
        <v>#DIV/0!</v>
      </c>
      <c r="AK112" s="2941">
        <f>AK32</f>
        <v>0</v>
      </c>
      <c r="AL112" s="2940">
        <f>AL32</f>
        <v>25</v>
      </c>
      <c r="AM112" s="2785">
        <f>AN112/AL112</f>
        <v>380</v>
      </c>
      <c r="AN112" s="2941">
        <f>AN32</f>
        <v>9500</v>
      </c>
    </row>
    <row r="113" spans="1:40" ht="13.8" thickBot="1" x14ac:dyDescent="0.3">
      <c r="A113" s="2942" t="s">
        <v>400</v>
      </c>
      <c r="B113" s="2943">
        <f>B60</f>
        <v>9590</v>
      </c>
      <c r="C113" s="2944">
        <f>D113/B113</f>
        <v>232.63785192909282</v>
      </c>
      <c r="D113" s="2945">
        <f>D60</f>
        <v>2230997</v>
      </c>
      <c r="E113" s="2943">
        <f>E60</f>
        <v>6529</v>
      </c>
      <c r="F113" s="2944">
        <f>G113/E113</f>
        <v>221.9228059427171</v>
      </c>
      <c r="G113" s="2945">
        <f>G60</f>
        <v>1448934</v>
      </c>
      <c r="H113" s="2943">
        <f>H60</f>
        <v>1039</v>
      </c>
      <c r="I113" s="2944">
        <f>J113/H113</f>
        <v>236.73917228103946</v>
      </c>
      <c r="J113" s="2945">
        <f>J60</f>
        <v>245972</v>
      </c>
      <c r="K113" s="2943">
        <f>K60</f>
        <v>0</v>
      </c>
      <c r="L113" s="2944" t="e">
        <f>M113/K113</f>
        <v>#DIV/0!</v>
      </c>
      <c r="M113" s="2945">
        <f>M60</f>
        <v>0</v>
      </c>
      <c r="N113" s="2943">
        <f>N60</f>
        <v>0</v>
      </c>
      <c r="O113" s="2944" t="e">
        <f>P113/N113</f>
        <v>#DIV/0!</v>
      </c>
      <c r="P113" s="2945">
        <f>P60</f>
        <v>0</v>
      </c>
      <c r="Q113" s="2943">
        <f>Q60</f>
        <v>0</v>
      </c>
      <c r="R113" s="2944" t="e">
        <f>S113/Q113</f>
        <v>#DIV/0!</v>
      </c>
      <c r="S113" s="2945">
        <f>S60</f>
        <v>0</v>
      </c>
      <c r="T113" s="2943">
        <f>T60</f>
        <v>0</v>
      </c>
      <c r="U113" s="2944" t="e">
        <f>V113/T113</f>
        <v>#DIV/0!</v>
      </c>
      <c r="V113" s="2945">
        <f>V60</f>
        <v>0</v>
      </c>
      <c r="W113" s="2943">
        <f>W60</f>
        <v>0</v>
      </c>
      <c r="X113" s="2944" t="e">
        <f>Y113/W113</f>
        <v>#DIV/0!</v>
      </c>
      <c r="Y113" s="2945">
        <f>Y60</f>
        <v>0</v>
      </c>
      <c r="Z113" s="2943">
        <f>Z60</f>
        <v>0</v>
      </c>
      <c r="AA113" s="2944" t="e">
        <f>AB113/Z113</f>
        <v>#DIV/0!</v>
      </c>
      <c r="AB113" s="2945">
        <f>AB60</f>
        <v>0</v>
      </c>
      <c r="AC113" s="2943">
        <f>AC60</f>
        <v>0</v>
      </c>
      <c r="AD113" s="2944" t="e">
        <f>AE113/AC113</f>
        <v>#DIV/0!</v>
      </c>
      <c r="AE113" s="2945">
        <f>AE60</f>
        <v>0</v>
      </c>
      <c r="AF113" s="2943">
        <f>AF60</f>
        <v>0</v>
      </c>
      <c r="AG113" s="2944" t="e">
        <f>AH113/AF113</f>
        <v>#DIV/0!</v>
      </c>
      <c r="AH113" s="2945">
        <f>AH60</f>
        <v>0</v>
      </c>
      <c r="AI113" s="2943">
        <f>AI60</f>
        <v>0</v>
      </c>
      <c r="AJ113" s="2944" t="e">
        <f>AK113/AI113</f>
        <v>#DIV/0!</v>
      </c>
      <c r="AK113" s="2945">
        <f>AK60</f>
        <v>0</v>
      </c>
      <c r="AL113" s="2943">
        <f>AL60</f>
        <v>17157</v>
      </c>
      <c r="AM113" s="2944">
        <f>AN113/AL113</f>
        <v>228.82222999358862</v>
      </c>
      <c r="AN113" s="2945">
        <f>AN60</f>
        <v>3925903</v>
      </c>
    </row>
    <row r="114" spans="1:40" x14ac:dyDescent="0.25">
      <c r="A114" s="194"/>
      <c r="B114" s="2935">
        <f>SUM(B111:B113)</f>
        <v>101998.95999999999</v>
      </c>
      <c r="C114" s="8"/>
      <c r="D114" s="1252">
        <f>SUM(D111:D113)</f>
        <v>16285754</v>
      </c>
      <c r="E114" s="2935">
        <f>SUM(E111:E113)</f>
        <v>82513</v>
      </c>
      <c r="F114" s="8"/>
      <c r="G114" s="1252">
        <f>SUM(G111:G113)</f>
        <v>12663550</v>
      </c>
      <c r="H114" s="2935">
        <f>SUM(H111:H113)</f>
        <v>93338</v>
      </c>
      <c r="I114" s="8"/>
      <c r="J114" s="1252">
        <f>SUM(J111:J113)</f>
        <v>14597500</v>
      </c>
      <c r="K114" s="2935">
        <f>SUM(K111:K113)</f>
        <v>0</v>
      </c>
      <c r="L114" s="8"/>
      <c r="M114" s="1252">
        <f>SUM(M111:M113)</f>
        <v>0</v>
      </c>
      <c r="N114" s="2935">
        <f>SUM(N111:N113)</f>
        <v>-1</v>
      </c>
      <c r="O114" s="8"/>
      <c r="P114" s="1252">
        <f>SUM(P111:P113)</f>
        <v>0</v>
      </c>
      <c r="Q114" s="2935">
        <f>SUM(Q111:Q113)</f>
        <v>0</v>
      </c>
      <c r="R114" s="8"/>
      <c r="S114" s="1252">
        <f>SUM(S111:S113)</f>
        <v>0</v>
      </c>
      <c r="T114" s="2935">
        <f>SUM(T111:T113)</f>
        <v>0</v>
      </c>
      <c r="U114" s="8"/>
      <c r="V114" s="1252">
        <f>SUM(V111:V113)</f>
        <v>0</v>
      </c>
      <c r="W114" s="2935">
        <f>SUM(W111:W113)</f>
        <v>0</v>
      </c>
      <c r="X114" s="8"/>
      <c r="Y114" s="1252">
        <f>SUM(Y111:Y113)</f>
        <v>0</v>
      </c>
      <c r="Z114" s="2935">
        <f>SUM(Z111:Z113)</f>
        <v>0</v>
      </c>
      <c r="AA114" s="8"/>
      <c r="AB114" s="1252">
        <f>SUM(AB111:AB113)</f>
        <v>0</v>
      </c>
      <c r="AC114" s="2935">
        <f>SUM(AC111:AC113)</f>
        <v>0</v>
      </c>
      <c r="AD114" s="8"/>
      <c r="AE114" s="1252">
        <f>SUM(AE111:AE113)</f>
        <v>0</v>
      </c>
      <c r="AF114" s="2935">
        <f>SUM(AF111:AF113)</f>
        <v>0</v>
      </c>
      <c r="AG114" s="8"/>
      <c r="AH114" s="1252">
        <f>SUM(AH111:AH113)</f>
        <v>0</v>
      </c>
      <c r="AI114" s="2935">
        <f>SUM(AI111:AI113)</f>
        <v>0</v>
      </c>
      <c r="AJ114" s="8"/>
      <c r="AK114" s="1252">
        <f>SUM(AK111:AK113)</f>
        <v>0</v>
      </c>
      <c r="AL114" s="2935">
        <f>SUM(AL111:AL113)</f>
        <v>277847</v>
      </c>
      <c r="AM114" s="8"/>
      <c r="AN114" s="1252">
        <f>SUM(AN111:AN113)</f>
        <v>43546804</v>
      </c>
    </row>
    <row r="115" spans="1:40" ht="13.8" thickBot="1" x14ac:dyDescent="0.3">
      <c r="A115" s="1760" t="s">
        <v>1031</v>
      </c>
      <c r="B115" s="2936">
        <f>B100</f>
        <v>9093</v>
      </c>
      <c r="C115" s="2937"/>
      <c r="D115" s="2938">
        <f>D100</f>
        <v>-3380535</v>
      </c>
      <c r="E115" s="2936">
        <f>E100</f>
        <v>40554</v>
      </c>
      <c r="F115" s="2937"/>
      <c r="G115" s="2938">
        <f>G100</f>
        <v>3039608</v>
      </c>
      <c r="H115" s="2936">
        <f>H100</f>
        <v>253330</v>
      </c>
      <c r="I115" s="2937"/>
      <c r="J115" s="2938">
        <f>J100</f>
        <v>65195596</v>
      </c>
      <c r="K115" s="2936">
        <f>K100</f>
        <v>0</v>
      </c>
      <c r="L115" s="2937"/>
      <c r="M115" s="2938">
        <f>M100</f>
        <v>0</v>
      </c>
      <c r="N115" s="2936">
        <f>N100</f>
        <v>0</v>
      </c>
      <c r="O115" s="2937"/>
      <c r="P115" s="2938">
        <f>P100</f>
        <v>0</v>
      </c>
      <c r="Q115" s="2936">
        <f>Q100</f>
        <v>0</v>
      </c>
      <c r="R115" s="2937"/>
      <c r="S115" s="2938">
        <f>S100</f>
        <v>0</v>
      </c>
      <c r="T115" s="2936">
        <f>T100</f>
        <v>0</v>
      </c>
      <c r="U115" s="2937"/>
      <c r="V115" s="2938">
        <f>V100</f>
        <v>0</v>
      </c>
      <c r="W115" s="2936">
        <f>W100</f>
        <v>0</v>
      </c>
      <c r="X115" s="2937"/>
      <c r="Y115" s="2938">
        <f>Y100</f>
        <v>0</v>
      </c>
      <c r="Z115" s="2936">
        <f>Z100</f>
        <v>0</v>
      </c>
      <c r="AA115" s="2937"/>
      <c r="AB115" s="2938">
        <f>AB100</f>
        <v>0</v>
      </c>
      <c r="AC115" s="2936">
        <f>AC100</f>
        <v>0</v>
      </c>
      <c r="AD115" s="2937"/>
      <c r="AE115" s="2938">
        <f>AE100</f>
        <v>0</v>
      </c>
      <c r="AF115" s="2936">
        <f>AF100</f>
        <v>0</v>
      </c>
      <c r="AG115" s="2937"/>
      <c r="AH115" s="2938">
        <f>AH100</f>
        <v>0</v>
      </c>
      <c r="AI115" s="2936">
        <f>AI100</f>
        <v>0</v>
      </c>
      <c r="AJ115" s="2937"/>
      <c r="AK115" s="2938">
        <f>AK100</f>
        <v>0</v>
      </c>
      <c r="AL115" s="2936">
        <f>AL100</f>
        <v>302977</v>
      </c>
      <c r="AM115" s="2937"/>
      <c r="AN115" s="2938">
        <f>AN100</f>
        <v>64854669</v>
      </c>
    </row>
    <row r="116" spans="1:40" x14ac:dyDescent="0.25">
      <c r="A116" s="194" t="s">
        <v>1032</v>
      </c>
      <c r="B116" s="2">
        <f>SUM(B114:B115)</f>
        <v>111091.95999999999</v>
      </c>
      <c r="D116" s="1252">
        <f>SUM(D114:D115)</f>
        <v>12905219</v>
      </c>
      <c r="E116" s="2">
        <f>SUM(E114:E115)</f>
        <v>123067</v>
      </c>
      <c r="G116" s="1252">
        <f>SUM(G114:G115)</f>
        <v>15703158</v>
      </c>
      <c r="H116" s="2">
        <f>SUM(H114:H115)</f>
        <v>346668</v>
      </c>
      <c r="J116" s="1252">
        <f>SUM(J114:J115)</f>
        <v>79793096</v>
      </c>
      <c r="K116" s="2">
        <f>SUM(K114:K115)</f>
        <v>0</v>
      </c>
      <c r="M116" s="1252">
        <f>SUM(M114:M115)</f>
        <v>0</v>
      </c>
      <c r="N116" s="2">
        <f>SUM(N114:N115)</f>
        <v>-1</v>
      </c>
      <c r="P116" s="1252">
        <f>SUM(P114:P115)</f>
        <v>0</v>
      </c>
      <c r="Q116" s="2">
        <f>SUM(Q114:Q115)</f>
        <v>0</v>
      </c>
      <c r="S116" s="1252">
        <f>SUM(S114:S115)</f>
        <v>0</v>
      </c>
      <c r="T116" s="2">
        <f>SUM(T114:T115)</f>
        <v>0</v>
      </c>
      <c r="V116" s="1252">
        <f>SUM(V114:V115)</f>
        <v>0</v>
      </c>
      <c r="W116" s="2">
        <f>SUM(W114:W115)</f>
        <v>0</v>
      </c>
      <c r="Y116" s="1252">
        <f>SUM(Y114:Y115)</f>
        <v>0</v>
      </c>
      <c r="Z116" s="2">
        <f>SUM(Z114:Z115)</f>
        <v>0</v>
      </c>
      <c r="AB116" s="1252">
        <f>SUM(AB114:AB115)</f>
        <v>0</v>
      </c>
      <c r="AC116" s="2">
        <f>SUM(AC114:AC115)</f>
        <v>0</v>
      </c>
      <c r="AE116" s="1252">
        <f>SUM(AE114:AE115)</f>
        <v>0</v>
      </c>
      <c r="AF116" s="2">
        <f>SUM(AF114:AF115)</f>
        <v>0</v>
      </c>
      <c r="AH116" s="1252">
        <f>SUM(AH114:AH115)</f>
        <v>0</v>
      </c>
      <c r="AI116" s="2">
        <f>SUM(AI114:AI115)</f>
        <v>0</v>
      </c>
      <c r="AK116" s="1252">
        <f>SUM(AK114:AK115)</f>
        <v>0</v>
      </c>
      <c r="AL116" s="2">
        <f>SUM(AL114:AL115)</f>
        <v>580824</v>
      </c>
      <c r="AN116" s="1252">
        <f>SUM(AN114:AN115)</f>
        <v>108401473</v>
      </c>
    </row>
    <row r="117" spans="1:40" x14ac:dyDescent="0.25">
      <c r="A117" s="194" t="s">
        <v>118</v>
      </c>
      <c r="B117" s="341">
        <f>'PAL I'!C11</f>
        <v>111092</v>
      </c>
      <c r="C117" s="218">
        <f>D117/B117</f>
        <v>116.16695171569511</v>
      </c>
      <c r="D117" s="218">
        <f>'PAL I'!D11</f>
        <v>12905219</v>
      </c>
      <c r="E117" s="341">
        <f>'PAL I'!F11</f>
        <v>123067</v>
      </c>
      <c r="F117" s="218">
        <f>G117/E117</f>
        <v>127.59844637473897</v>
      </c>
      <c r="G117" s="218">
        <f>'PAL I'!G11</f>
        <v>15703158</v>
      </c>
      <c r="H117" s="341">
        <f>'PAL I'!I11</f>
        <v>346668</v>
      </c>
      <c r="I117" s="218">
        <f>J117/H117</f>
        <v>230.17150703266526</v>
      </c>
      <c r="J117" s="218">
        <f>'PAL I'!J11</f>
        <v>79793096</v>
      </c>
      <c r="K117" s="341">
        <f>'PAL I'!L11</f>
        <v>0</v>
      </c>
      <c r="L117" s="218" t="e">
        <f>M117/K117</f>
        <v>#DIV/0!</v>
      </c>
      <c r="M117" s="218">
        <f>'PAL I'!M11</f>
        <v>0</v>
      </c>
      <c r="N117" s="341">
        <f>'PAL I'!O11</f>
        <v>0</v>
      </c>
      <c r="O117" s="218" t="e">
        <f>P117/N117</f>
        <v>#DIV/0!</v>
      </c>
      <c r="P117" s="218">
        <f>'PAL I'!P11</f>
        <v>0</v>
      </c>
      <c r="Q117" s="341">
        <f>'PAL I'!R11</f>
        <v>0</v>
      </c>
      <c r="R117" s="218" t="e">
        <f>S117/Q117</f>
        <v>#DIV/0!</v>
      </c>
      <c r="S117" s="218">
        <f>'PAL I'!S11</f>
        <v>0</v>
      </c>
      <c r="T117" s="341">
        <f>'PAL I'!U11</f>
        <v>0</v>
      </c>
      <c r="U117" s="218" t="e">
        <f>V117/T117</f>
        <v>#DIV/0!</v>
      </c>
      <c r="V117" s="218">
        <f>'PAL I'!V11</f>
        <v>0</v>
      </c>
      <c r="W117" s="341">
        <f>'PAL I'!X11</f>
        <v>0</v>
      </c>
      <c r="X117" s="218" t="e">
        <f>Y117/W117</f>
        <v>#DIV/0!</v>
      </c>
      <c r="Y117" s="218">
        <f>'PAL I'!Y11</f>
        <v>0</v>
      </c>
      <c r="Z117" s="341">
        <f>'PAL I'!AA11</f>
        <v>0</v>
      </c>
      <c r="AA117" s="218" t="e">
        <f>AB117/Z117</f>
        <v>#DIV/0!</v>
      </c>
      <c r="AB117" s="218">
        <f>'PAL I'!AB11</f>
        <v>0</v>
      </c>
      <c r="AC117" s="341">
        <f>'PAL I'!AD11</f>
        <v>0</v>
      </c>
      <c r="AD117" s="218" t="e">
        <f>AE117/AC117</f>
        <v>#DIV/0!</v>
      </c>
      <c r="AE117" s="218">
        <f>'PAL I'!AE11</f>
        <v>0</v>
      </c>
      <c r="AF117" s="341">
        <f>'PAL I'!AG11</f>
        <v>0</v>
      </c>
      <c r="AG117" s="218" t="e">
        <f>AH117/AF117</f>
        <v>#DIV/0!</v>
      </c>
      <c r="AH117" s="218">
        <f>'PAL I'!AH11</f>
        <v>0</v>
      </c>
      <c r="AI117" s="341">
        <f>'PAL I'!AJ11</f>
        <v>0</v>
      </c>
      <c r="AJ117" s="218" t="e">
        <f>AK117/AI117</f>
        <v>#DIV/0!</v>
      </c>
      <c r="AK117" s="218">
        <f>'PAL I'!AK11</f>
        <v>0</v>
      </c>
      <c r="AL117" s="2934">
        <f>'PAL I'!AM11</f>
        <v>234159</v>
      </c>
      <c r="AM117" s="218">
        <f>AN117/AL117</f>
        <v>122.17500501795789</v>
      </c>
      <c r="AN117" s="218">
        <f>'PAL I'!AN11</f>
        <v>28608377</v>
      </c>
    </row>
    <row r="118" spans="1:40" x14ac:dyDescent="0.25">
      <c r="B118" s="2">
        <f>B116-B117</f>
        <v>-4.0000000008149073E-2</v>
      </c>
      <c r="C118" s="8"/>
      <c r="D118" s="1252">
        <f>D116-D117</f>
        <v>0</v>
      </c>
      <c r="E118" s="2">
        <f>E116-E117</f>
        <v>0</v>
      </c>
      <c r="F118" s="8"/>
      <c r="G118" s="1252">
        <f>G116-G117</f>
        <v>0</v>
      </c>
      <c r="H118" s="2">
        <f>H116-H117</f>
        <v>0</v>
      </c>
      <c r="I118" s="8"/>
      <c r="J118" s="1252">
        <f>J116-J117</f>
        <v>0</v>
      </c>
      <c r="K118" s="2">
        <f>K116-K117</f>
        <v>0</v>
      </c>
      <c r="L118" s="8"/>
      <c r="M118" s="1252">
        <f>M116-M117</f>
        <v>0</v>
      </c>
      <c r="N118" s="2">
        <f>N116-N117</f>
        <v>-1</v>
      </c>
      <c r="O118" s="8"/>
      <c r="P118" s="1252">
        <f>P116-P117</f>
        <v>0</v>
      </c>
      <c r="Q118" s="2">
        <f>Q116-Q117</f>
        <v>0</v>
      </c>
      <c r="R118" s="8"/>
      <c r="S118" s="1252">
        <f>S116-S117</f>
        <v>0</v>
      </c>
      <c r="T118" s="2">
        <f>T116-T117</f>
        <v>0</v>
      </c>
      <c r="U118" s="8"/>
      <c r="V118" s="1252">
        <f>V116-V117</f>
        <v>0</v>
      </c>
      <c r="W118" s="2">
        <f>W116-W117</f>
        <v>0</v>
      </c>
      <c r="X118" s="8"/>
      <c r="Y118" s="1252">
        <f>Y116-Y117</f>
        <v>0</v>
      </c>
      <c r="Z118" s="2">
        <f>Z116-Z117</f>
        <v>0</v>
      </c>
      <c r="AA118" s="8"/>
      <c r="AB118" s="1252">
        <f>AB116-AB117</f>
        <v>0</v>
      </c>
      <c r="AC118" s="2">
        <f>AC116-AC117</f>
        <v>0</v>
      </c>
      <c r="AD118" s="8"/>
      <c r="AE118" s="1252">
        <f>AE116-AE117</f>
        <v>0</v>
      </c>
      <c r="AF118" s="2">
        <f>AF116-AF117</f>
        <v>0</v>
      </c>
      <c r="AG118" s="8"/>
      <c r="AH118" s="1252">
        <f>AH116-AH117</f>
        <v>0</v>
      </c>
      <c r="AI118" s="2">
        <f>AI116-AI117</f>
        <v>0</v>
      </c>
      <c r="AJ118" s="8"/>
      <c r="AK118" s="1252">
        <f>AK116-AK117</f>
        <v>0</v>
      </c>
      <c r="AL118" s="2"/>
      <c r="AM118" s="8"/>
      <c r="AN118" s="1252"/>
    </row>
    <row r="120" spans="1:40" x14ac:dyDescent="0.25">
      <c r="A120" s="194"/>
      <c r="B120" s="2933"/>
      <c r="C120" s="8"/>
      <c r="D120" s="8"/>
    </row>
    <row r="121" spans="1:40" x14ac:dyDescent="0.25">
      <c r="C121" s="8"/>
      <c r="D121" s="8"/>
    </row>
    <row r="122" spans="1:40" x14ac:dyDescent="0.25">
      <c r="A122" s="194"/>
      <c r="B122" s="2933"/>
      <c r="C122" s="8"/>
      <c r="D122" s="8"/>
    </row>
    <row r="124" spans="1:40" x14ac:dyDescent="0.25">
      <c r="B124" s="2933"/>
      <c r="D124" s="8"/>
    </row>
    <row r="125" spans="1:40" x14ac:dyDescent="0.25">
      <c r="B125" s="2933"/>
    </row>
  </sheetData>
  <mergeCells count="14">
    <mergeCell ref="A1:AL1"/>
    <mergeCell ref="B2:D2"/>
    <mergeCell ref="E2:G2"/>
    <mergeCell ref="H2:J2"/>
    <mergeCell ref="K2:M2"/>
    <mergeCell ref="N2:P2"/>
    <mergeCell ref="Q2:S2"/>
    <mergeCell ref="AL2:AN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  <pageSetup paperSize="9" scale="3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B1:AX66"/>
  <sheetViews>
    <sheetView showZeros="0" zoomScaleNormal="100"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AQ4" sqref="AQ4"/>
    </sheetView>
  </sheetViews>
  <sheetFormatPr defaultColWidth="9.109375" defaultRowHeight="14.4" x14ac:dyDescent="0.3"/>
  <cols>
    <col min="1" max="1" width="3.5546875" style="12" customWidth="1"/>
    <col min="2" max="2" width="22.88671875" style="12" bestFit="1" customWidth="1"/>
    <col min="3" max="3" width="9.88671875" style="12" customWidth="1"/>
    <col min="4" max="4" width="16.5546875" style="12" bestFit="1" customWidth="1"/>
    <col min="5" max="5" width="9.33203125" style="12" bestFit="1" customWidth="1"/>
    <col min="6" max="6" width="10" style="12" bestFit="1" customWidth="1"/>
    <col min="7" max="7" width="16.5546875" style="12" bestFit="1" customWidth="1"/>
    <col min="8" max="8" width="9" style="12" customWidth="1"/>
    <col min="9" max="9" width="9.88671875" style="12" customWidth="1"/>
    <col min="10" max="10" width="16.44140625" style="12" customWidth="1"/>
    <col min="11" max="11" width="8.44140625" style="12" customWidth="1"/>
    <col min="12" max="12" width="9.88671875" style="12" hidden="1" customWidth="1"/>
    <col min="13" max="13" width="16.5546875" style="12" hidden="1" customWidth="1"/>
    <col min="14" max="14" width="11.109375" style="12" hidden="1" customWidth="1"/>
    <col min="15" max="15" width="10.44140625" style="12" hidden="1" customWidth="1"/>
    <col min="16" max="16" width="17.88671875" style="12" hidden="1" customWidth="1"/>
    <col min="17" max="17" width="8.44140625" style="12" hidden="1" customWidth="1"/>
    <col min="18" max="18" width="10" style="12" hidden="1" customWidth="1"/>
    <col min="19" max="19" width="15.6640625" style="12" hidden="1" customWidth="1"/>
    <col min="20" max="20" width="8.44140625" style="12" hidden="1" customWidth="1"/>
    <col min="21" max="21" width="10.6640625" style="12" hidden="1" customWidth="1"/>
    <col min="22" max="22" width="16.5546875" style="12" hidden="1" customWidth="1"/>
    <col min="23" max="23" width="9.33203125" style="12" hidden="1" customWidth="1"/>
    <col min="24" max="24" width="9.88671875" style="12" hidden="1" customWidth="1"/>
    <col min="25" max="25" width="16.33203125" style="12" hidden="1" customWidth="1"/>
    <col min="26" max="26" width="9.33203125" style="12" hidden="1" customWidth="1"/>
    <col min="27" max="27" width="9.88671875" style="12" hidden="1" customWidth="1"/>
    <col min="28" max="28" width="16.5546875" style="12" hidden="1" customWidth="1"/>
    <col min="29" max="29" width="8.44140625" style="12" hidden="1" customWidth="1"/>
    <col min="30" max="30" width="10.6640625" style="12" hidden="1" customWidth="1"/>
    <col min="31" max="31" width="15.109375" style="12" hidden="1" customWidth="1"/>
    <col min="32" max="32" width="9.33203125" style="12" hidden="1" customWidth="1"/>
    <col min="33" max="33" width="10.6640625" style="12" hidden="1" customWidth="1"/>
    <col min="34" max="34" width="16.33203125" style="12" hidden="1" customWidth="1"/>
    <col min="35" max="35" width="8.44140625" style="12" hidden="1" customWidth="1"/>
    <col min="36" max="36" width="9.88671875" style="12" hidden="1" customWidth="1"/>
    <col min="37" max="37" width="16.5546875" style="12" hidden="1" customWidth="1"/>
    <col min="38" max="38" width="8.44140625" style="12" hidden="1" customWidth="1"/>
    <col min="39" max="39" width="12.109375" style="12" bestFit="1" customWidth="1"/>
    <col min="40" max="40" width="17.88671875" style="12" bestFit="1" customWidth="1"/>
    <col min="41" max="41" width="10" style="12" bestFit="1" customWidth="1"/>
    <col min="42" max="42" width="8.88671875" style="12" customWidth="1"/>
    <col min="43" max="43" width="24.44140625" style="12" bestFit="1" customWidth="1"/>
    <col min="44" max="44" width="18.44140625" style="12" bestFit="1" customWidth="1"/>
    <col min="45" max="45" width="16.33203125" style="12" customWidth="1"/>
    <col min="46" max="46" width="19" style="12" bestFit="1" customWidth="1"/>
    <col min="47" max="47" width="11.109375" style="12" bestFit="1" customWidth="1"/>
    <col min="48" max="48" width="18.33203125" style="12" bestFit="1" customWidth="1"/>
    <col min="49" max="49" width="11.88671875" style="12" bestFit="1" customWidth="1"/>
    <col min="50" max="16384" width="9.109375" style="12"/>
  </cols>
  <sheetData>
    <row r="1" spans="2:49" ht="15" thickBot="1" x14ac:dyDescent="0.35">
      <c r="B1" s="3196"/>
      <c r="C1" s="3196"/>
      <c r="D1" s="3196"/>
      <c r="E1" s="3196"/>
      <c r="F1" s="3196"/>
      <c r="G1" s="3196"/>
      <c r="H1" s="3196"/>
      <c r="I1" s="3196"/>
      <c r="J1" s="3196"/>
      <c r="K1" s="3196"/>
      <c r="L1" s="3196"/>
      <c r="M1" s="3196"/>
      <c r="N1" s="3196"/>
      <c r="O1" s="3196"/>
      <c r="P1" s="3196"/>
      <c r="Q1" s="3196"/>
      <c r="R1" s="3196"/>
      <c r="S1" s="3196"/>
      <c r="T1" s="3196"/>
      <c r="U1" s="3196"/>
      <c r="V1" s="3196"/>
      <c r="W1" s="3196"/>
      <c r="X1" s="3196"/>
      <c r="Y1" s="3196"/>
      <c r="Z1" s="3196"/>
      <c r="AA1" s="3196"/>
      <c r="AB1" s="3196"/>
      <c r="AC1" s="3196"/>
      <c r="AD1" s="3196"/>
      <c r="AE1" s="3196"/>
      <c r="AF1" s="3196"/>
      <c r="AG1" s="3196"/>
      <c r="AH1" s="3196"/>
      <c r="AI1" s="3196"/>
      <c r="AJ1" s="3196"/>
      <c r="AK1" s="3196"/>
      <c r="AL1" s="3196"/>
      <c r="AM1" s="3196"/>
      <c r="AN1" s="3196"/>
      <c r="AO1" s="3196"/>
      <c r="AQ1" s="2821" t="s">
        <v>1019</v>
      </c>
    </row>
    <row r="2" spans="2:49" x14ac:dyDescent="0.3">
      <c r="B2" s="159"/>
      <c r="C2" s="3251">
        <v>45748</v>
      </c>
      <c r="D2" s="3252"/>
      <c r="E2" s="3253"/>
      <c r="F2" s="3251">
        <v>45778</v>
      </c>
      <c r="G2" s="3252"/>
      <c r="H2" s="3253"/>
      <c r="I2" s="3251">
        <v>45809</v>
      </c>
      <c r="J2" s="3252"/>
      <c r="K2" s="3253"/>
      <c r="L2" s="3251">
        <v>45839</v>
      </c>
      <c r="M2" s="3252"/>
      <c r="N2" s="3253"/>
      <c r="O2" s="3251">
        <v>45870</v>
      </c>
      <c r="P2" s="3252"/>
      <c r="Q2" s="3253"/>
      <c r="R2" s="3251">
        <v>45901</v>
      </c>
      <c r="S2" s="3252"/>
      <c r="T2" s="3253"/>
      <c r="U2" s="3251">
        <v>45931</v>
      </c>
      <c r="V2" s="3252"/>
      <c r="W2" s="3253"/>
      <c r="X2" s="3251">
        <v>45962</v>
      </c>
      <c r="Y2" s="3252"/>
      <c r="Z2" s="3253"/>
      <c r="AA2" s="3251">
        <v>45992</v>
      </c>
      <c r="AB2" s="3252"/>
      <c r="AC2" s="3253"/>
      <c r="AD2" s="3251">
        <v>46023</v>
      </c>
      <c r="AE2" s="3252"/>
      <c r="AF2" s="3253"/>
      <c r="AG2" s="3251">
        <v>46054</v>
      </c>
      <c r="AH2" s="3252"/>
      <c r="AI2" s="3253"/>
      <c r="AJ2" s="3251">
        <v>46082</v>
      </c>
      <c r="AK2" s="3252"/>
      <c r="AL2" s="3253"/>
      <c r="AM2" s="3254" t="s">
        <v>610</v>
      </c>
      <c r="AN2" s="3255"/>
      <c r="AO2" s="3256"/>
      <c r="AQ2" s="797" t="s">
        <v>541</v>
      </c>
      <c r="AR2" s="349"/>
      <c r="AS2" s="349"/>
      <c r="AT2" s="349"/>
    </row>
    <row r="3" spans="2:49" ht="15" thickBot="1" x14ac:dyDescent="0.35">
      <c r="B3" s="160"/>
      <c r="C3" s="60" t="s">
        <v>10</v>
      </c>
      <c r="D3" s="63" t="s">
        <v>15</v>
      </c>
      <c r="E3" s="61" t="s">
        <v>14</v>
      </c>
      <c r="F3" s="60" t="s">
        <v>10</v>
      </c>
      <c r="G3" s="63" t="s">
        <v>15</v>
      </c>
      <c r="H3" s="61" t="s">
        <v>14</v>
      </c>
      <c r="I3" s="60" t="s">
        <v>10</v>
      </c>
      <c r="J3" s="63" t="s">
        <v>15</v>
      </c>
      <c r="K3" s="61" t="s">
        <v>14</v>
      </c>
      <c r="L3" s="60" t="s">
        <v>10</v>
      </c>
      <c r="M3" s="63" t="s">
        <v>15</v>
      </c>
      <c r="N3" s="61" t="s">
        <v>14</v>
      </c>
      <c r="O3" s="60" t="s">
        <v>10</v>
      </c>
      <c r="P3" s="63" t="s">
        <v>15</v>
      </c>
      <c r="Q3" s="63" t="s">
        <v>14</v>
      </c>
      <c r="R3" s="60" t="s">
        <v>10</v>
      </c>
      <c r="S3" s="63" t="s">
        <v>15</v>
      </c>
      <c r="T3" s="63" t="s">
        <v>14</v>
      </c>
      <c r="U3" s="215" t="s">
        <v>10</v>
      </c>
      <c r="V3" s="216" t="s">
        <v>15</v>
      </c>
      <c r="W3" s="61" t="s">
        <v>14</v>
      </c>
      <c r="X3" s="62" t="s">
        <v>10</v>
      </c>
      <c r="Y3" s="63" t="s">
        <v>15</v>
      </c>
      <c r="Z3" s="63" t="s">
        <v>14</v>
      </c>
      <c r="AA3" s="60" t="s">
        <v>10</v>
      </c>
      <c r="AB3" s="63" t="s">
        <v>15</v>
      </c>
      <c r="AC3" s="61" t="s">
        <v>14</v>
      </c>
      <c r="AD3" s="60" t="s">
        <v>10</v>
      </c>
      <c r="AE3" s="63" t="s">
        <v>15</v>
      </c>
      <c r="AF3" s="61" t="s">
        <v>14</v>
      </c>
      <c r="AG3" s="60" t="s">
        <v>10</v>
      </c>
      <c r="AH3" s="63" t="s">
        <v>15</v>
      </c>
      <c r="AI3" s="61" t="s">
        <v>14</v>
      </c>
      <c r="AJ3" s="62" t="s">
        <v>10</v>
      </c>
      <c r="AK3" s="63" t="s">
        <v>15</v>
      </c>
      <c r="AL3" s="63" t="s">
        <v>14</v>
      </c>
      <c r="AM3" s="60" t="s">
        <v>10</v>
      </c>
      <c r="AN3" s="63" t="s">
        <v>15</v>
      </c>
      <c r="AO3" s="61" t="s">
        <v>14</v>
      </c>
      <c r="AQ3" s="809" t="s">
        <v>610</v>
      </c>
      <c r="AR3" s="809"/>
      <c r="AS3" s="809" t="s">
        <v>429</v>
      </c>
      <c r="AT3" s="810"/>
    </row>
    <row r="4" spans="2:49" x14ac:dyDescent="0.3">
      <c r="B4" s="161" t="s">
        <v>98</v>
      </c>
      <c r="C4" s="66">
        <f>'Stock Valuation (FIFO)'!B25</f>
        <v>447507</v>
      </c>
      <c r="D4" s="845">
        <f>'Stock Valuation (FIFO)'!D25</f>
        <v>82860386</v>
      </c>
      <c r="E4" s="534">
        <f t="shared" ref="E4:E9" si="0">IF(C4=0,0,D4/C4)</f>
        <v>185.1599773858286</v>
      </c>
      <c r="F4" s="66">
        <f>C10</f>
        <v>372933</v>
      </c>
      <c r="G4" s="845">
        <f>D10</f>
        <v>79351875</v>
      </c>
      <c r="H4" s="534">
        <f t="shared" ref="H4:H9" si="1">IF(F4=0,0,G4/F4)</f>
        <v>212.7778314067138</v>
      </c>
      <c r="I4" s="66">
        <f>F10</f>
        <v>346668</v>
      </c>
      <c r="J4" s="845">
        <f>G10</f>
        <v>79793096</v>
      </c>
      <c r="K4" s="534">
        <f t="shared" ref="K4:K9" si="2">IF(I4=0,0,J4/I4)</f>
        <v>230.17150703266526</v>
      </c>
      <c r="L4" s="66">
        <f>I10</f>
        <v>0</v>
      </c>
      <c r="M4" s="845">
        <f>J10</f>
        <v>0</v>
      </c>
      <c r="N4" s="534">
        <f t="shared" ref="N4:N9" si="3">IF(L4=0,0,M4/L4)</f>
        <v>0</v>
      </c>
      <c r="O4" s="66">
        <f>L10</f>
        <v>0</v>
      </c>
      <c r="P4" s="845">
        <f>M10</f>
        <v>0</v>
      </c>
      <c r="Q4" s="534">
        <f t="shared" ref="Q4:Q9" si="4">IF(O4=0,0,P4/O4)</f>
        <v>0</v>
      </c>
      <c r="R4" s="66">
        <f>O10</f>
        <v>0</v>
      </c>
      <c r="S4" s="845">
        <f>P10</f>
        <v>0</v>
      </c>
      <c r="T4" s="534">
        <f t="shared" ref="T4:T9" si="5">IF(R4=0,0,S4/R4)</f>
        <v>0</v>
      </c>
      <c r="U4" s="66">
        <f>R10</f>
        <v>0</v>
      </c>
      <c r="V4" s="845">
        <f>S10</f>
        <v>0</v>
      </c>
      <c r="W4" s="534">
        <f>IF(U4=0,0,V4/U4)</f>
        <v>0</v>
      </c>
      <c r="X4" s="66">
        <f>U10</f>
        <v>0</v>
      </c>
      <c r="Y4" s="845">
        <f>V10</f>
        <v>0</v>
      </c>
      <c r="Z4" s="534">
        <f>IF(X4=0,0,Y4/X4)</f>
        <v>0</v>
      </c>
      <c r="AA4" s="66">
        <f>X10</f>
        <v>0</v>
      </c>
      <c r="AB4" s="845">
        <f>Y10</f>
        <v>0</v>
      </c>
      <c r="AC4" s="534">
        <f>IF(AA4=0,0,AB4/AA4)</f>
        <v>0</v>
      </c>
      <c r="AD4" s="66">
        <f>AA10</f>
        <v>0</v>
      </c>
      <c r="AE4" s="243">
        <f>AB10</f>
        <v>0</v>
      </c>
      <c r="AF4" s="534">
        <f>IF(AD4=0,0,AE4/AD4)</f>
        <v>0</v>
      </c>
      <c r="AG4" s="66">
        <f>AD10</f>
        <v>0</v>
      </c>
      <c r="AH4" s="845">
        <f>AE10</f>
        <v>0</v>
      </c>
      <c r="AI4" s="534">
        <f>IF(AG4=0,0,AH4/AG4)</f>
        <v>0</v>
      </c>
      <c r="AJ4" s="66">
        <f>AG10</f>
        <v>0</v>
      </c>
      <c r="AK4" s="243">
        <f>AH10</f>
        <v>0</v>
      </c>
      <c r="AL4" s="534">
        <f>IF(AJ4=0,0,AK4/AJ4)</f>
        <v>0</v>
      </c>
      <c r="AM4" s="34">
        <f>+C4</f>
        <v>447507</v>
      </c>
      <c r="AN4" s="83">
        <f>D4</f>
        <v>82860386</v>
      </c>
      <c r="AO4" s="534">
        <f t="shared" ref="AO4:AO9" si="6">IF(AM4=0,0,AN4/AM4)</f>
        <v>185.1599773858286</v>
      </c>
      <c r="AQ4" s="464">
        <v>85026381</v>
      </c>
      <c r="AR4" s="464">
        <f t="shared" ref="AR4" si="7">AN4-AQ4</f>
        <v>-2165995</v>
      </c>
      <c r="AS4" s="464"/>
      <c r="AT4" s="39"/>
      <c r="AV4" s="1637"/>
    </row>
    <row r="5" spans="2:49" x14ac:dyDescent="0.3">
      <c r="B5" s="162" t="s">
        <v>69</v>
      </c>
      <c r="C5" s="38">
        <f>Purchase!K5</f>
        <v>827</v>
      </c>
      <c r="D5" s="93">
        <f>ROUND((Purchase!L5-Purchase!N5),0)</f>
        <v>226044</v>
      </c>
      <c r="E5" s="326">
        <f t="shared" si="0"/>
        <v>273.33010882708584</v>
      </c>
      <c r="F5" s="38">
        <f>ROUND((Purchase!K6),0)</f>
        <v>76649</v>
      </c>
      <c r="G5" s="93">
        <f>ROUND((Purchase!L6-Purchase!N6),0)</f>
        <v>11434587</v>
      </c>
      <c r="H5" s="326">
        <f t="shared" si="1"/>
        <v>149.18116348549884</v>
      </c>
      <c r="I5" s="38">
        <f>ROUND((Purchase!K7),0)</f>
        <v>0</v>
      </c>
      <c r="J5" s="93">
        <f>ROUND((Purchase!L7-Purchase!N7),0)</f>
        <v>0</v>
      </c>
      <c r="K5" s="326">
        <f t="shared" si="2"/>
        <v>0</v>
      </c>
      <c r="L5" s="38">
        <f>ROUND((Purchase!K8),0)</f>
        <v>0</v>
      </c>
      <c r="M5" s="93">
        <f>ROUND((Purchase!L8-Purchase!N8),0)</f>
        <v>0</v>
      </c>
      <c r="N5" s="326">
        <f t="shared" si="3"/>
        <v>0</v>
      </c>
      <c r="O5" s="38">
        <f>ROUND((Purchase!K9),0)</f>
        <v>0</v>
      </c>
      <c r="P5" s="93">
        <f>ROUND((Purchase!L9-Purchase!N9),0)</f>
        <v>0</v>
      </c>
      <c r="Q5" s="326">
        <f t="shared" si="4"/>
        <v>0</v>
      </c>
      <c r="R5" s="38">
        <f>ROUND((Purchase!K10),0)</f>
        <v>0</v>
      </c>
      <c r="S5" s="93">
        <f>ROUND((Purchase!L10-Purchase!N10),0)</f>
        <v>0</v>
      </c>
      <c r="T5" s="326">
        <f t="shared" si="5"/>
        <v>0</v>
      </c>
      <c r="U5" s="38">
        <f>ROUND((Purchase!K11),0)</f>
        <v>0</v>
      </c>
      <c r="V5" s="93">
        <f>ROUND((Purchase!L11-Purchase!N11),0)</f>
        <v>0</v>
      </c>
      <c r="W5" s="326">
        <f>IF(U5=0,0,V5/U5)</f>
        <v>0</v>
      </c>
      <c r="X5" s="38">
        <f>ROUND((Purchase!K12),0)</f>
        <v>0</v>
      </c>
      <c r="Y5" s="93">
        <f>ROUND((Purchase!L12-Purchase!N12),0)</f>
        <v>0</v>
      </c>
      <c r="Z5" s="326">
        <f>IF(X5=0,0,Y5/X5)</f>
        <v>0</v>
      </c>
      <c r="AA5" s="38">
        <f>ROUND((Purchase!K13),0)</f>
        <v>0</v>
      </c>
      <c r="AB5" s="93">
        <f>ROUND((Purchase!L13-Purchase!N13),0)</f>
        <v>0</v>
      </c>
      <c r="AC5" s="326">
        <f>IF(AA5=0,0,AB5/AA5)</f>
        <v>0</v>
      </c>
      <c r="AD5" s="38">
        <f>ROUND((Purchase!K14),0)</f>
        <v>0</v>
      </c>
      <c r="AE5" s="93">
        <f>ROUND((Purchase!L14-Purchase!N14),0)</f>
        <v>0</v>
      </c>
      <c r="AF5" s="326">
        <f>IF(AD5=0,0,AE5/AD5)</f>
        <v>0</v>
      </c>
      <c r="AG5" s="38">
        <f>ROUND((Purchase!K15),0)</f>
        <v>0</v>
      </c>
      <c r="AH5" s="93">
        <f>ROUND((Purchase!L15-Purchase!N15),0)</f>
        <v>0</v>
      </c>
      <c r="AI5" s="326">
        <f>IF(AG5=0,0,AH5/AG5)</f>
        <v>0</v>
      </c>
      <c r="AJ5" s="38">
        <f>ROUND((Purchase!K16),0)</f>
        <v>0</v>
      </c>
      <c r="AK5" s="93">
        <f>ROUND((Purchase!L16-Purchase!N16),0)</f>
        <v>0</v>
      </c>
      <c r="AL5" s="326">
        <f>IF(AJ5=0,0,AK5/AJ5)</f>
        <v>0</v>
      </c>
      <c r="AM5" s="71">
        <f>SUM(C5,F5,I5,L5,O5,R5,U5,X5,AA5,AD5,AG5,AJ5)</f>
        <v>77476</v>
      </c>
      <c r="AN5" s="93">
        <f>SUM(D5,G5,J5,M5,P5,S5,V5,Y5,AB5,AE5,AH5,AK5)</f>
        <v>11660631</v>
      </c>
      <c r="AO5" s="326">
        <f t="shared" si="6"/>
        <v>150.50636326088079</v>
      </c>
      <c r="AQ5" s="464">
        <f>144962998-5902916+3500</f>
        <v>139063582</v>
      </c>
      <c r="AR5" s="940">
        <f>AN5-AQ5</f>
        <v>-127402951</v>
      </c>
      <c r="AS5" s="464"/>
      <c r="AT5" s="39"/>
    </row>
    <row r="6" spans="2:49" x14ac:dyDescent="0.3">
      <c r="B6" s="163" t="s">
        <v>70</v>
      </c>
      <c r="C6" s="18">
        <f>ROUND((Purchase!K52),0)</f>
        <v>9490</v>
      </c>
      <c r="D6" s="19">
        <f>ROUND((Purchase!L52),0)</f>
        <v>2224579</v>
      </c>
      <c r="E6" s="326">
        <f t="shared" si="0"/>
        <v>234.41296101159114</v>
      </c>
      <c r="F6" s="18">
        <f>ROUND((Purchase!K53),0)</f>
        <v>6627</v>
      </c>
      <c r="G6" s="19">
        <f>ROUND((Purchase!$L53),0)</f>
        <v>1470254</v>
      </c>
      <c r="H6" s="326">
        <f t="shared" si="1"/>
        <v>221.8581560283688</v>
      </c>
      <c r="I6" s="18">
        <f>ROUND((Purchase!K54),0)</f>
        <v>0</v>
      </c>
      <c r="J6" s="19">
        <f>ROUND((Purchase!$L54),0)</f>
        <v>0</v>
      </c>
      <c r="K6" s="326">
        <f t="shared" si="2"/>
        <v>0</v>
      </c>
      <c r="L6" s="18">
        <f>ROUND((Purchase!K55),0)</f>
        <v>0</v>
      </c>
      <c r="M6" s="19">
        <f>ROUND((Purchase!$L55),0)</f>
        <v>0</v>
      </c>
      <c r="N6" s="326">
        <f t="shared" si="3"/>
        <v>0</v>
      </c>
      <c r="O6" s="18">
        <f>ROUND((Purchase!K56),0)</f>
        <v>0</v>
      </c>
      <c r="P6" s="19">
        <f>ROUND((Purchase!$L56),0)</f>
        <v>0</v>
      </c>
      <c r="Q6" s="326">
        <f t="shared" si="4"/>
        <v>0</v>
      </c>
      <c r="R6" s="18">
        <f>ROUND((Purchase!K57),0)</f>
        <v>0</v>
      </c>
      <c r="S6" s="19">
        <f>ROUND((Purchase!$L57),0)</f>
        <v>0</v>
      </c>
      <c r="T6" s="326">
        <f t="shared" si="5"/>
        <v>0</v>
      </c>
      <c r="U6" s="18">
        <f>ROUND((Purchase!K58),0)</f>
        <v>0</v>
      </c>
      <c r="V6" s="19">
        <f>ROUND((Purchase!$L58),0)</f>
        <v>0</v>
      </c>
      <c r="W6" s="326">
        <f>IF(U6=0,0,V6/U6)</f>
        <v>0</v>
      </c>
      <c r="X6" s="18">
        <f>ROUND((Purchase!K59),0)</f>
        <v>0</v>
      </c>
      <c r="Y6" s="19">
        <f>ROUND((Purchase!L59),0)</f>
        <v>0</v>
      </c>
      <c r="Z6" s="326">
        <f>IF(X6=0,0,Y6/X6)</f>
        <v>0</v>
      </c>
      <c r="AA6" s="18">
        <f>ROUND((Purchase!K60),0)</f>
        <v>0</v>
      </c>
      <c r="AB6" s="19">
        <f>ROUND((Purchase!L60),0)</f>
        <v>0</v>
      </c>
      <c r="AC6" s="326">
        <f>IF(AA6=0,0,AB6/AA6)</f>
        <v>0</v>
      </c>
      <c r="AD6" s="18">
        <f>ROUND((Purchase!K61),0)</f>
        <v>0</v>
      </c>
      <c r="AE6" s="19">
        <f>ROUND((Purchase!L61),0)</f>
        <v>0</v>
      </c>
      <c r="AF6" s="326">
        <f>IF(AD6=0,0,AE6/AD6)</f>
        <v>0</v>
      </c>
      <c r="AG6" s="18">
        <f>ROUND((Purchase!K62),0)</f>
        <v>0</v>
      </c>
      <c r="AH6" s="19">
        <f>ROUND((Purchase!L62),0)</f>
        <v>0</v>
      </c>
      <c r="AI6" s="326">
        <f>IF(AG6=0,0,AH6/AG6)</f>
        <v>0</v>
      </c>
      <c r="AJ6" s="18">
        <f>ROUND((Purchase!K63),0)</f>
        <v>0</v>
      </c>
      <c r="AK6" s="19">
        <f>ROUND((Purchase!L63),0)</f>
        <v>0</v>
      </c>
      <c r="AL6" s="326">
        <f>IF(AJ6=0,0,AK6/AJ6)</f>
        <v>0</v>
      </c>
      <c r="AM6" s="71">
        <f>SUM(C6,F6,I6,L6,O6,R6,U6,X6,AA6,AD6,AG6,AJ6)</f>
        <v>16117</v>
      </c>
      <c r="AN6" s="93">
        <f>ROUND((SUM(D6,G6,J6,M6,P6,S6,V6,Y6,AB6,AE6,AH6,AK6)),0)</f>
        <v>3694833</v>
      </c>
      <c r="AO6" s="326">
        <f t="shared" si="6"/>
        <v>229.2506669975802</v>
      </c>
      <c r="AQ6" s="464">
        <v>14224827</v>
      </c>
      <c r="AR6" s="940">
        <f t="shared" ref="AR6:AR8" si="8">AN6-AQ6</f>
        <v>-10529994</v>
      </c>
      <c r="AS6" s="464"/>
      <c r="AT6" s="39" t="s">
        <v>632</v>
      </c>
    </row>
    <row r="7" spans="2:49" x14ac:dyDescent="0.3">
      <c r="B7" s="162" t="s">
        <v>829</v>
      </c>
      <c r="C7" s="38">
        <f>ROUND((Purchase!$L22),0)</f>
        <v>3668</v>
      </c>
      <c r="D7" s="105">
        <f>ROUND((Purchase!$M22),0)</f>
        <v>668801</v>
      </c>
      <c r="E7" s="326">
        <f t="shared" si="0"/>
        <v>182.33396946564886</v>
      </c>
      <c r="F7" s="38">
        <f>ROUND((Purchase!$L23),0)</f>
        <v>4150</v>
      </c>
      <c r="G7" s="105">
        <f>ROUND((Purchase!$M23),0)</f>
        <v>462250</v>
      </c>
      <c r="H7" s="326">
        <f t="shared" si="1"/>
        <v>111.3855421686747</v>
      </c>
      <c r="I7" s="38">
        <f>ROUND((Purchase!$L24),0)</f>
        <v>0</v>
      </c>
      <c r="J7" s="105">
        <f>ROUND((Purchase!$M24),0)</f>
        <v>0</v>
      </c>
      <c r="K7" s="326">
        <f t="shared" si="2"/>
        <v>0</v>
      </c>
      <c r="L7" s="38">
        <f>ROUND((Purchase!$L25),0)</f>
        <v>0</v>
      </c>
      <c r="M7" s="105">
        <f>ROUND((Purchase!$M25),0)</f>
        <v>0</v>
      </c>
      <c r="N7" s="326">
        <f t="shared" si="3"/>
        <v>0</v>
      </c>
      <c r="O7" s="38">
        <f>ROUND((Purchase!$L26),0)</f>
        <v>0</v>
      </c>
      <c r="P7" s="105">
        <f>ROUND((Purchase!$M26),0)</f>
        <v>0</v>
      </c>
      <c r="Q7" s="326">
        <f t="shared" si="4"/>
        <v>0</v>
      </c>
      <c r="R7" s="38">
        <f>ROUND((Purchase!$L27),0)</f>
        <v>0</v>
      </c>
      <c r="S7" s="105">
        <f>ROUND((Purchase!$M27),0)</f>
        <v>0</v>
      </c>
      <c r="T7" s="326">
        <f t="shared" si="5"/>
        <v>0</v>
      </c>
      <c r="U7" s="38">
        <f>ROUND((Purchase!$L28),0)</f>
        <v>0</v>
      </c>
      <c r="V7" s="105">
        <f>ROUND((Purchase!$M28),0)</f>
        <v>0</v>
      </c>
      <c r="W7" s="326">
        <f t="shared" ref="W7:W8" si="9">IF(U7=0,0,V7/U7)</f>
        <v>0</v>
      </c>
      <c r="X7" s="38">
        <f>ROUND((Purchase!$L29),0)</f>
        <v>0</v>
      </c>
      <c r="Y7" s="105">
        <f>ROUND((Purchase!$M29),0)</f>
        <v>0</v>
      </c>
      <c r="Z7" s="326">
        <f t="shared" ref="Z7:Z8" si="10">IF(X7=0,0,Y7/X7)</f>
        <v>0</v>
      </c>
      <c r="AA7" s="38">
        <f>ROUND((Purchase!$L30),0)</f>
        <v>0</v>
      </c>
      <c r="AB7" s="105">
        <f>ROUND((Purchase!$M30),0)</f>
        <v>0</v>
      </c>
      <c r="AC7" s="326">
        <f t="shared" ref="AC7:AC8" si="11">IF(AA7=0,0,AB7/AA7)</f>
        <v>0</v>
      </c>
      <c r="AD7" s="38">
        <f>ROUND((Purchase!$L31),0)</f>
        <v>0</v>
      </c>
      <c r="AE7" s="105">
        <f>ROUND((Purchase!$M31),0)</f>
        <v>0</v>
      </c>
      <c r="AF7" s="326">
        <f t="shared" ref="AF7:AF8" si="12">IF(AD7=0,0,AE7/AD7)</f>
        <v>0</v>
      </c>
      <c r="AG7" s="38">
        <f>ROUND((Purchase!$L32),0)</f>
        <v>0</v>
      </c>
      <c r="AH7" s="105">
        <f>ROUND((Purchase!$M32),0)</f>
        <v>0</v>
      </c>
      <c r="AI7" s="326">
        <f t="shared" ref="AI7:AI8" si="13">IF(AG7=0,0,AH7/AG7)</f>
        <v>0</v>
      </c>
      <c r="AJ7" s="38">
        <f>ROUND((Purchase!$L33),0)</f>
        <v>0</v>
      </c>
      <c r="AK7" s="105">
        <f>ROUND((Purchase!$M33),0)</f>
        <v>0</v>
      </c>
      <c r="AL7" s="326">
        <f t="shared" ref="AL7:AL8" si="14">IF(AJ7=0,0,AK7/AJ7)</f>
        <v>0</v>
      </c>
      <c r="AM7" s="38">
        <f>ROUND((Purchase!$L34),0)</f>
        <v>7818</v>
      </c>
      <c r="AN7" s="105">
        <f>ROUND((Purchase!$M34),0)</f>
        <v>1131051</v>
      </c>
      <c r="AO7" s="326">
        <f t="shared" si="6"/>
        <v>144.67267843438219</v>
      </c>
      <c r="AQ7" s="464">
        <v>19504939</v>
      </c>
      <c r="AR7" s="940">
        <f t="shared" si="8"/>
        <v>-18373888</v>
      </c>
      <c r="AS7" s="464"/>
      <c r="AT7" s="39"/>
    </row>
    <row r="8" spans="2:49" ht="15" thickBot="1" x14ac:dyDescent="0.35">
      <c r="B8" s="160" t="s">
        <v>830</v>
      </c>
      <c r="C8" s="23">
        <f>Purchase!$I22</f>
        <v>22533</v>
      </c>
      <c r="D8" s="24">
        <f>Purchase!$J22</f>
        <v>6277284</v>
      </c>
      <c r="E8" s="281">
        <f t="shared" si="0"/>
        <v>278.58181334043405</v>
      </c>
      <c r="F8" s="23">
        <f>Purchase!$I23</f>
        <v>9376</v>
      </c>
      <c r="G8" s="24">
        <f>Purchase!$J23</f>
        <v>2777288</v>
      </c>
      <c r="H8" s="281">
        <f t="shared" si="1"/>
        <v>296.21245733788396</v>
      </c>
      <c r="I8" s="23">
        <f>Purchase!$I24</f>
        <v>0</v>
      </c>
      <c r="J8" s="24">
        <f>Purchase!$J24</f>
        <v>0</v>
      </c>
      <c r="K8" s="281">
        <f t="shared" si="2"/>
        <v>0</v>
      </c>
      <c r="L8" s="23">
        <f>Purchase!$I25</f>
        <v>0</v>
      </c>
      <c r="M8" s="24">
        <f>Purchase!$J25</f>
        <v>0</v>
      </c>
      <c r="N8" s="281">
        <f t="shared" si="3"/>
        <v>0</v>
      </c>
      <c r="O8" s="23">
        <f>Purchase!$I26</f>
        <v>0</v>
      </c>
      <c r="P8" s="24">
        <f>Purchase!$J26</f>
        <v>0</v>
      </c>
      <c r="Q8" s="281">
        <f t="shared" si="4"/>
        <v>0</v>
      </c>
      <c r="R8" s="23">
        <f>Purchase!$I27</f>
        <v>0</v>
      </c>
      <c r="S8" s="24">
        <f>Purchase!$J27</f>
        <v>0</v>
      </c>
      <c r="T8" s="281">
        <f t="shared" si="5"/>
        <v>0</v>
      </c>
      <c r="U8" s="23">
        <f>Purchase!$I28</f>
        <v>0</v>
      </c>
      <c r="V8" s="24">
        <f>Purchase!$J28</f>
        <v>0</v>
      </c>
      <c r="W8" s="281">
        <f t="shared" si="9"/>
        <v>0</v>
      </c>
      <c r="X8" s="23">
        <f>Purchase!$I29</f>
        <v>0</v>
      </c>
      <c r="Y8" s="24">
        <f>Purchase!$J29</f>
        <v>0</v>
      </c>
      <c r="Z8" s="281">
        <f t="shared" si="10"/>
        <v>0</v>
      </c>
      <c r="AA8" s="23">
        <f>ROUND((Purchase!$I30),0)</f>
        <v>0</v>
      </c>
      <c r="AB8" s="24">
        <f>Purchase!$J30</f>
        <v>0</v>
      </c>
      <c r="AC8" s="281">
        <f t="shared" si="11"/>
        <v>0</v>
      </c>
      <c r="AD8" s="23">
        <f>ROUND((Purchase!$I31),0)</f>
        <v>0</v>
      </c>
      <c r="AE8" s="24">
        <f>ROUND((Purchase!$J31),0)</f>
        <v>0</v>
      </c>
      <c r="AF8" s="281">
        <f t="shared" si="12"/>
        <v>0</v>
      </c>
      <c r="AG8" s="23">
        <f>ROUND((Purchase!$I32),0)</f>
        <v>0</v>
      </c>
      <c r="AH8" s="24">
        <f>ROUND((Purchase!$J32),0)</f>
        <v>0</v>
      </c>
      <c r="AI8" s="281">
        <f t="shared" si="13"/>
        <v>0</v>
      </c>
      <c r="AJ8" s="23">
        <f>ROUND((Purchase!$I33),0)</f>
        <v>0</v>
      </c>
      <c r="AK8" s="24">
        <f>ROUND((Purchase!$J33),0)</f>
        <v>0</v>
      </c>
      <c r="AL8" s="281">
        <f t="shared" si="14"/>
        <v>0</v>
      </c>
      <c r="AM8" s="85">
        <f>SUM(C8,F8,I8,L8,O8,R8,U8,X8,AA8,AD8,AG8,AJ8)</f>
        <v>31909</v>
      </c>
      <c r="AN8" s="26">
        <f>ROUND((SUM(D8,G8,J8,M8,P8,S8,V8,Y8,AB8,AE8,AH8,AK8)),0)</f>
        <v>9054572</v>
      </c>
      <c r="AO8" s="281">
        <f t="shared" si="6"/>
        <v>283.7623241091855</v>
      </c>
      <c r="AQ8" s="811">
        <f>89827571-AQ7</f>
        <v>70322632</v>
      </c>
      <c r="AR8" s="941">
        <f t="shared" si="8"/>
        <v>-61268060</v>
      </c>
      <c r="AS8" s="811"/>
      <c r="AT8" s="39"/>
      <c r="AU8" s="39"/>
    </row>
    <row r="9" spans="2:49" x14ac:dyDescent="0.3">
      <c r="B9" s="161"/>
      <c r="C9" s="66">
        <f>SUM(C4:C8)</f>
        <v>484025</v>
      </c>
      <c r="D9" s="81">
        <f>SUM(D4:D8)</f>
        <v>92257094</v>
      </c>
      <c r="E9" s="536">
        <f t="shared" si="0"/>
        <v>190.60398533133619</v>
      </c>
      <c r="F9" s="66">
        <f>SUM(F4:F8)</f>
        <v>469735</v>
      </c>
      <c r="G9" s="81">
        <f>SUM(G4:G8)</f>
        <v>95496254</v>
      </c>
      <c r="H9" s="536">
        <f t="shared" si="1"/>
        <v>203.29814469860665</v>
      </c>
      <c r="I9" s="66">
        <f>SUM(I4:I8)</f>
        <v>346668</v>
      </c>
      <c r="J9" s="81">
        <f>SUM(J4:J8)</f>
        <v>79793096</v>
      </c>
      <c r="K9" s="536">
        <f t="shared" si="2"/>
        <v>230.17150703266526</v>
      </c>
      <c r="L9" s="66">
        <f>SUM(L4:L8)</f>
        <v>0</v>
      </c>
      <c r="M9" s="81">
        <f>SUM(M4:M8)</f>
        <v>0</v>
      </c>
      <c r="N9" s="536">
        <f t="shared" si="3"/>
        <v>0</v>
      </c>
      <c r="O9" s="66">
        <f>SUM(O4:O8)</f>
        <v>0</v>
      </c>
      <c r="P9" s="81">
        <f>SUM(P4:P8)</f>
        <v>0</v>
      </c>
      <c r="Q9" s="326">
        <f t="shared" si="4"/>
        <v>0</v>
      </c>
      <c r="R9" s="66">
        <f>SUM(R4:R8)</f>
        <v>0</v>
      </c>
      <c r="S9" s="81">
        <f>SUM(S4:S8)</f>
        <v>0</v>
      </c>
      <c r="T9" s="326">
        <f t="shared" si="5"/>
        <v>0</v>
      </c>
      <c r="U9" s="66">
        <f>SUM(U4:U8)</f>
        <v>0</v>
      </c>
      <c r="V9" s="81">
        <f>SUM(V4:V8)</f>
        <v>0</v>
      </c>
      <c r="W9" s="536">
        <f>IF(U9=0,0,V9/U9)</f>
        <v>0</v>
      </c>
      <c r="X9" s="66">
        <f>SUM(X4:X8)</f>
        <v>0</v>
      </c>
      <c r="Y9" s="81">
        <f>SUM(Y4:Y8)</f>
        <v>0</v>
      </c>
      <c r="Z9" s="536">
        <f>IF(X9=0,0,Y9/X9)</f>
        <v>0</v>
      </c>
      <c r="AA9" s="66">
        <f>SUM(AA4:AA8)</f>
        <v>0</v>
      </c>
      <c r="AB9" s="81">
        <f>SUM(AB4:AB8)</f>
        <v>0</v>
      </c>
      <c r="AC9" s="536">
        <f>IF(AA9=0,0,AB9/AA9)</f>
        <v>0</v>
      </c>
      <c r="AD9" s="66">
        <f>SUM(AD4:AD8)</f>
        <v>0</v>
      </c>
      <c r="AE9" s="81">
        <f>SUM(AE4:AE8)</f>
        <v>0</v>
      </c>
      <c r="AF9" s="536">
        <f>IF(AD9=0,0,AE9/AD9)</f>
        <v>0</v>
      </c>
      <c r="AG9" s="66">
        <f>SUM(AG4:AG8)</f>
        <v>0</v>
      </c>
      <c r="AH9" s="81">
        <f>SUM(AH4:AH8)</f>
        <v>0</v>
      </c>
      <c r="AI9" s="326">
        <f>IF(AG9=0,0,AH9/AG9)</f>
        <v>0</v>
      </c>
      <c r="AJ9" s="66">
        <f>SUM(AJ4:AJ8)</f>
        <v>0</v>
      </c>
      <c r="AK9" s="81">
        <f>SUM(AK4:AK8)</f>
        <v>0</v>
      </c>
      <c r="AL9" s="536">
        <f>IF(AJ9=0,0,AK9/AJ9)</f>
        <v>0</v>
      </c>
      <c r="AM9" s="66">
        <f>SUM(AM4:AM8)</f>
        <v>580827</v>
      </c>
      <c r="AN9" s="81">
        <f>SUM(AN4:AN8)</f>
        <v>108401473</v>
      </c>
      <c r="AO9" s="536">
        <f t="shared" si="6"/>
        <v>186.63297849445703</v>
      </c>
      <c r="AQ9" s="464">
        <f>SUM(AQ4:AQ8)</f>
        <v>328142361</v>
      </c>
      <c r="AR9" s="940">
        <f t="shared" ref="AR9:AR13" si="15">AN9-AQ9</f>
        <v>-219740888</v>
      </c>
      <c r="AS9" s="464"/>
      <c r="AT9" s="39"/>
      <c r="AU9" s="39">
        <f>AT8/(AM9-AM4)</f>
        <v>0</v>
      </c>
      <c r="AV9" s="39"/>
      <c r="AW9" s="39"/>
    </row>
    <row r="10" spans="2:49" ht="15" thickBot="1" x14ac:dyDescent="0.35">
      <c r="B10" s="160" t="s">
        <v>99</v>
      </c>
      <c r="C10" s="85">
        <f>ROUND(('Stock Valuation (FIFO)'!$E25),0)</f>
        <v>372933</v>
      </c>
      <c r="D10" s="26">
        <f>ROUND(('Stock Valuation (FIFO)'!$G25),0)</f>
        <v>79351875</v>
      </c>
      <c r="E10" s="281">
        <f>IF(C10=0,0,(D10/C10))</f>
        <v>212.7778314067138</v>
      </c>
      <c r="F10" s="85">
        <f>ROUND(('Stock Valuation (FIFO)'!$H25),0)</f>
        <v>346668</v>
      </c>
      <c r="G10" s="26">
        <f>ROUND(('Stock Valuation (FIFO)'!J25),0)</f>
        <v>79793096</v>
      </c>
      <c r="H10" s="281">
        <f>IF(F10=0,0,(G10/F10))</f>
        <v>230.17150703266526</v>
      </c>
      <c r="I10" s="881">
        <f>'Stock Valuation (FIFO)'!K25</f>
        <v>0</v>
      </c>
      <c r="J10" s="882">
        <f>'Stock Valuation (FIFO)'!M25</f>
        <v>0</v>
      </c>
      <c r="K10" s="281">
        <f>IF(I10=0,0,(J10/I10))</f>
        <v>0</v>
      </c>
      <c r="L10" s="85">
        <f>'Stock Valuation (FIFO)'!N25</f>
        <v>0</v>
      </c>
      <c r="M10" s="26">
        <f>'Stock Valuation (FIFO)'!P25</f>
        <v>0</v>
      </c>
      <c r="N10" s="281">
        <f>IF(L10=0,0,(M10/L10))</f>
        <v>0</v>
      </c>
      <c r="O10" s="85">
        <f>'Stock Valuation (FIFO)'!Q25</f>
        <v>0</v>
      </c>
      <c r="P10" s="26">
        <f>'Stock Valuation (FIFO)'!S25</f>
        <v>0</v>
      </c>
      <c r="Q10" s="281">
        <f>IF(O10=0,0,(P10/O10))</f>
        <v>0</v>
      </c>
      <c r="R10" s="85">
        <f>ROUND('Stock Valuation (FIFO)'!T25,0)</f>
        <v>0</v>
      </c>
      <c r="S10" s="26">
        <f>ROUND('Stock Valuation (FIFO)'!V25,0)</f>
        <v>0</v>
      </c>
      <c r="T10" s="281">
        <f>IF(R10=0,0,(S10/R10))</f>
        <v>0</v>
      </c>
      <c r="U10" s="85">
        <f>'Stock Valuation (FIFO)'!W25</f>
        <v>0</v>
      </c>
      <c r="V10" s="26">
        <f>'Stock Valuation (FIFO)'!Y25</f>
        <v>0</v>
      </c>
      <c r="W10" s="281">
        <f>IF(U10=0,0,(V10/U10))</f>
        <v>0</v>
      </c>
      <c r="X10" s="85">
        <f>'Stock Valuation (FIFO)'!Z25</f>
        <v>0</v>
      </c>
      <c r="Y10" s="26">
        <f>'Stock Valuation (FIFO)'!AB25</f>
        <v>0</v>
      </c>
      <c r="Z10" s="281">
        <f>IF(X10=0,0,(Y10/X10))</f>
        <v>0</v>
      </c>
      <c r="AA10" s="85">
        <f>'Stock Valuation (FIFO)'!AC25</f>
        <v>0</v>
      </c>
      <c r="AB10" s="26">
        <f>'Stock Valuation (FIFO)'!AE25</f>
        <v>0</v>
      </c>
      <c r="AC10" s="281">
        <f>IF(AA10=0,0,(AB10/AA10))</f>
        <v>0</v>
      </c>
      <c r="AD10" s="85">
        <f>'Stock Valuation (FIFO)'!AF25</f>
        <v>0</v>
      </c>
      <c r="AE10" s="26">
        <f>'Stock Valuation (FIFO)'!AH25</f>
        <v>0</v>
      </c>
      <c r="AF10" s="281">
        <f>IF(AD10=0,0,(AE10/AD10))</f>
        <v>0</v>
      </c>
      <c r="AG10" s="85">
        <f>'Stock Valuation (FIFO)'!AI25</f>
        <v>0</v>
      </c>
      <c r="AH10" s="26">
        <f>'Stock Valuation (FIFO)'!AK25</f>
        <v>0</v>
      </c>
      <c r="AI10" s="281">
        <f>IF(AG10=0,0,(AH10/AG10))</f>
        <v>0</v>
      </c>
      <c r="AJ10" s="85">
        <f>'Stock Valuation (FIFO)'!AL25</f>
        <v>0</v>
      </c>
      <c r="AK10" s="26">
        <f>'Stock Valuation (FIFO)'!AN25</f>
        <v>0</v>
      </c>
      <c r="AL10" s="281">
        <f>IF(AJ10=0,0,(AK10/AJ10))</f>
        <v>0</v>
      </c>
      <c r="AM10" s="85">
        <f>F10</f>
        <v>346668</v>
      </c>
      <c r="AN10" s="26">
        <f>G10</f>
        <v>79793096</v>
      </c>
      <c r="AO10" s="281">
        <f>IF(AM10=0,0,(AN10/AM10))</f>
        <v>230.17150703266526</v>
      </c>
      <c r="AQ10" s="1533">
        <v>82860386</v>
      </c>
      <c r="AR10" s="941">
        <f>AN10-AQ10</f>
        <v>-3067290</v>
      </c>
      <c r="AS10" s="811"/>
      <c r="AT10" s="39"/>
    </row>
    <row r="11" spans="2:49" x14ac:dyDescent="0.3">
      <c r="B11" s="161"/>
      <c r="C11" s="66">
        <f>C9-C10</f>
        <v>111092</v>
      </c>
      <c r="D11" s="81">
        <f>D9-D10</f>
        <v>12905219</v>
      </c>
      <c r="E11" s="326">
        <f>IF(C11=0,0,D11/C11)</f>
        <v>116.16695171569511</v>
      </c>
      <c r="F11" s="66">
        <f>F9-F10</f>
        <v>123067</v>
      </c>
      <c r="G11" s="81">
        <f>G9-G10</f>
        <v>15703158</v>
      </c>
      <c r="H11" s="326">
        <f>IF(F11=0,0,G11/F11)</f>
        <v>127.59844637473897</v>
      </c>
      <c r="I11" s="66">
        <f>I9-I10</f>
        <v>346668</v>
      </c>
      <c r="J11" s="81">
        <f>J9-J10</f>
        <v>79793096</v>
      </c>
      <c r="K11" s="326">
        <f>IF(I11=0,0,J11/I11)</f>
        <v>230.17150703266526</v>
      </c>
      <c r="L11" s="66">
        <f>L9-L10</f>
        <v>0</v>
      </c>
      <c r="M11" s="81">
        <f>M9-M10</f>
        <v>0</v>
      </c>
      <c r="N11" s="326">
        <f>IF(L11=0,0,M11/L11)</f>
        <v>0</v>
      </c>
      <c r="O11" s="66">
        <f>O9-O10</f>
        <v>0</v>
      </c>
      <c r="P11" s="81">
        <f>P9-P10</f>
        <v>0</v>
      </c>
      <c r="Q11" s="326">
        <f>IF(O11=0,0,P11/O11)</f>
        <v>0</v>
      </c>
      <c r="R11" s="66">
        <f>R9-R10</f>
        <v>0</v>
      </c>
      <c r="S11" s="81">
        <f>S9-S10</f>
        <v>0</v>
      </c>
      <c r="T11" s="326">
        <f>IF(R11=0,0,S11/R11)</f>
        <v>0</v>
      </c>
      <c r="U11" s="66">
        <f>U9-U10</f>
        <v>0</v>
      </c>
      <c r="V11" s="81">
        <f>V9-V10</f>
        <v>0</v>
      </c>
      <c r="W11" s="326">
        <f>IF(U11=0,0,V11/U11)</f>
        <v>0</v>
      </c>
      <c r="X11" s="66">
        <f>X9-X10</f>
        <v>0</v>
      </c>
      <c r="Y11" s="81">
        <f>Y9-Y10</f>
        <v>0</v>
      </c>
      <c r="Z11" s="326">
        <f>IF(X11=0,0,Y11/X11)</f>
        <v>0</v>
      </c>
      <c r="AA11" s="66">
        <f>AA9-AA10</f>
        <v>0</v>
      </c>
      <c r="AB11" s="81">
        <f>AB9-AB10</f>
        <v>0</v>
      </c>
      <c r="AC11" s="326">
        <f>IF(AA11=0,0,AB11/AA11)</f>
        <v>0</v>
      </c>
      <c r="AD11" s="66">
        <f>AD9-AD10</f>
        <v>0</v>
      </c>
      <c r="AE11" s="81">
        <f>AE9-AE10</f>
        <v>0</v>
      </c>
      <c r="AF11" s="326">
        <f>IF(AD11=0,0,AE11/AD11)</f>
        <v>0</v>
      </c>
      <c r="AG11" s="66">
        <f>AG9-AG10</f>
        <v>0</v>
      </c>
      <c r="AH11" s="81">
        <f>AH9-AH10</f>
        <v>0</v>
      </c>
      <c r="AI11" s="326">
        <f>IF(AG11=0,0,AH11/AG11)</f>
        <v>0</v>
      </c>
      <c r="AJ11" s="66">
        <f>AJ9-AJ10</f>
        <v>0</v>
      </c>
      <c r="AK11" s="81">
        <f>AK9-AK10</f>
        <v>0</v>
      </c>
      <c r="AL11" s="326">
        <f>IF(AJ11=0,0,AK11/AJ11)</f>
        <v>0</v>
      </c>
      <c r="AM11" s="82">
        <f>AM9-AM10</f>
        <v>234159</v>
      </c>
      <c r="AN11" s="83">
        <f>AN9-AN10</f>
        <v>28608377</v>
      </c>
      <c r="AO11" s="326">
        <f>IF(AM11=0,0,AN11/AM11)</f>
        <v>122.17500501795789</v>
      </c>
      <c r="AP11" s="39"/>
      <c r="AQ11" s="464">
        <f>AQ9-AQ10</f>
        <v>245281975</v>
      </c>
      <c r="AR11" s="940">
        <f t="shared" si="15"/>
        <v>-216673598</v>
      </c>
      <c r="AS11" s="464"/>
      <c r="AT11" s="1043"/>
    </row>
    <row r="12" spans="2:49" ht="15" thickBot="1" x14ac:dyDescent="0.35">
      <c r="B12" s="160" t="s">
        <v>3</v>
      </c>
      <c r="C12" s="85">
        <f>ROUND(('Inventory Sales'!B27-C15),0)</f>
        <v>105583</v>
      </c>
      <c r="D12" s="26">
        <f>'Inventory Sales'!D39</f>
        <v>29853563</v>
      </c>
      <c r="E12" s="281">
        <f>IF(C12=0,0,(D12/C12))</f>
        <v>282.7497134955438</v>
      </c>
      <c r="F12" s="85">
        <f>ROUND(('Inventory Sales'!E27-F15),0)</f>
        <v>119214</v>
      </c>
      <c r="G12" s="26">
        <f>'Inventory Sales'!G39</f>
        <v>33636263</v>
      </c>
      <c r="H12" s="281">
        <f>IF(F12=0,0,(G12/F12))</f>
        <v>282.15027597429832</v>
      </c>
      <c r="I12" s="85">
        <f>ROUND(('Inventory Sales'!H27-I15),0)</f>
        <v>0</v>
      </c>
      <c r="J12" s="26">
        <f>'Inventory Sales'!J39</f>
        <v>0</v>
      </c>
      <c r="K12" s="281">
        <f>IF(I12=0,0,(J12/I12))</f>
        <v>0</v>
      </c>
      <c r="L12" s="85">
        <f>ROUND(('Inventory Sales'!K27-L15),0)</f>
        <v>0</v>
      </c>
      <c r="M12" s="26">
        <f>'Inventory Sales'!M39</f>
        <v>0</v>
      </c>
      <c r="N12" s="281">
        <f>IF(L12=0,0,(M12/L12))</f>
        <v>0</v>
      </c>
      <c r="O12" s="85">
        <f>ROUND(('Inventory Sales'!N27-O15),0)</f>
        <v>0</v>
      </c>
      <c r="P12" s="26">
        <f>'Inventory Sales'!P39</f>
        <v>0</v>
      </c>
      <c r="Q12" s="281">
        <f>IF(O12=0,0,(P12/O12))</f>
        <v>0</v>
      </c>
      <c r="R12" s="85">
        <f>ROUND(('Inventory Sales'!Q27-R15),0)</f>
        <v>0</v>
      </c>
      <c r="S12" s="26">
        <f>'Inventory Sales'!S39</f>
        <v>0</v>
      </c>
      <c r="T12" s="281">
        <f>IF(R12=0,0,(S12/R12))</f>
        <v>0</v>
      </c>
      <c r="U12" s="85">
        <f>ROUND(('Inventory Sales'!T27-U15),0)</f>
        <v>0</v>
      </c>
      <c r="V12" s="26">
        <f>'Inventory Sales'!V39</f>
        <v>0</v>
      </c>
      <c r="W12" s="281">
        <f>IF(U12=0,0,(V12/U12))</f>
        <v>0</v>
      </c>
      <c r="X12" s="85">
        <f>ROUND(('Inventory Sales'!W27-X15),0)</f>
        <v>0</v>
      </c>
      <c r="Y12" s="26">
        <f>'Inventory Sales'!Y39</f>
        <v>0</v>
      </c>
      <c r="Z12" s="281">
        <f>IF(X12=0,0,(Y12/X12))</f>
        <v>0</v>
      </c>
      <c r="AA12" s="85">
        <f>ROUND(('Inventory Sales'!Z27-AA15),0)</f>
        <v>0</v>
      </c>
      <c r="AB12" s="26">
        <f>'Inventory Sales'!AB39</f>
        <v>0</v>
      </c>
      <c r="AC12" s="281">
        <f>IF(AA12=0,0,(AB12/AA12))</f>
        <v>0</v>
      </c>
      <c r="AD12" s="85">
        <f>ROUND(('Inventory Sales'!AC27-AD15),0)</f>
        <v>0</v>
      </c>
      <c r="AE12" s="26">
        <f>'Inventory Sales'!AE39</f>
        <v>0</v>
      </c>
      <c r="AF12" s="281">
        <f>IF(AD12=0,0,(AE12/AD12))</f>
        <v>0</v>
      </c>
      <c r="AG12" s="85">
        <f>ROUND(('Inventory Sales'!AF27-AG15),0)</f>
        <v>0</v>
      </c>
      <c r="AH12" s="26">
        <f>ROUND(('Inventory Sales'!AH39),0)</f>
        <v>0</v>
      </c>
      <c r="AI12" s="281">
        <f>IF(AG12=0,0,(AH12/AG12))</f>
        <v>0</v>
      </c>
      <c r="AJ12" s="85">
        <f>ROUND(('Inventory Sales'!AI27-AJ15),0)</f>
        <v>0</v>
      </c>
      <c r="AK12" s="26">
        <f>'Inventory Sales'!AK39</f>
        <v>0</v>
      </c>
      <c r="AL12" s="281">
        <f>IF(AJ12=0,0,(AK12/AJ12))</f>
        <v>0</v>
      </c>
      <c r="AM12" s="85">
        <f>SUM(C12,F12,I12,L12,O12,R12,U12,X12,AA12,AD12,AG12,AJ12)</f>
        <v>224797</v>
      </c>
      <c r="AN12" s="26">
        <f>ROUND((SUM(D12,G12,J12,M12,P12,S12,V12,Y12,AB12,AE12,AH12,AK12)),0)</f>
        <v>63489826</v>
      </c>
      <c r="AO12" s="281">
        <f>IF(AM12=0,0,(AN12/AM12))</f>
        <v>282.43182070935109</v>
      </c>
      <c r="AQ12" s="811">
        <f>415558279-AQ15</f>
        <v>415461939</v>
      </c>
      <c r="AR12" s="941">
        <f>AN12-AQ12</f>
        <v>-351972113</v>
      </c>
      <c r="AS12" s="811"/>
      <c r="AT12" s="330"/>
      <c r="AV12" s="39"/>
    </row>
    <row r="13" spans="2:49" x14ac:dyDescent="0.3">
      <c r="B13" s="161"/>
      <c r="C13" s="66">
        <f>C11-C12</f>
        <v>5509</v>
      </c>
      <c r="D13" s="81">
        <f>D12-D11</f>
        <v>16948344</v>
      </c>
      <c r="E13" s="534">
        <f>E12-E11</f>
        <v>166.58276177984868</v>
      </c>
      <c r="F13" s="66">
        <f>F11-F12</f>
        <v>3853</v>
      </c>
      <c r="G13" s="81">
        <f>G12-G11</f>
        <v>17933105</v>
      </c>
      <c r="H13" s="534">
        <f>H12-H11</f>
        <v>154.55182959955937</v>
      </c>
      <c r="I13" s="87">
        <f>I11-I12</f>
        <v>346668</v>
      </c>
      <c r="J13" s="81">
        <f>J12-J11</f>
        <v>-79793096</v>
      </c>
      <c r="K13" s="534">
        <f>K12-K11</f>
        <v>-230.17150703266526</v>
      </c>
      <c r="L13" s="87">
        <f>L11-L12</f>
        <v>0</v>
      </c>
      <c r="M13" s="557">
        <f>M12-M11</f>
        <v>0</v>
      </c>
      <c r="N13" s="534">
        <f>N12-N11</f>
        <v>0</v>
      </c>
      <c r="O13" s="87">
        <f>O11-O12</f>
        <v>0</v>
      </c>
      <c r="P13" s="557">
        <f>P12-P11</f>
        <v>0</v>
      </c>
      <c r="Q13" s="534">
        <f>Q12-Q11</f>
        <v>0</v>
      </c>
      <c r="R13" s="87">
        <f>R11-R12</f>
        <v>0</v>
      </c>
      <c r="S13" s="81">
        <f>S12-S11</f>
        <v>0</v>
      </c>
      <c r="T13" s="534">
        <f>T12-T11</f>
        <v>0</v>
      </c>
      <c r="U13" s="87">
        <f>U11-U12</f>
        <v>0</v>
      </c>
      <c r="V13" s="557">
        <f>V12-V11</f>
        <v>0</v>
      </c>
      <c r="W13" s="534">
        <f>W12-W11</f>
        <v>0</v>
      </c>
      <c r="X13" s="87">
        <f>X11-X12</f>
        <v>0</v>
      </c>
      <c r="Y13" s="557">
        <f>Y12-Y11</f>
        <v>0</v>
      </c>
      <c r="Z13" s="534">
        <f>Z12-Z11</f>
        <v>0</v>
      </c>
      <c r="AA13" s="87">
        <f>AA11-AA12</f>
        <v>0</v>
      </c>
      <c r="AB13" s="557">
        <f>AB12-AB11</f>
        <v>0</v>
      </c>
      <c r="AC13" s="534">
        <f>AC12-AC11</f>
        <v>0</v>
      </c>
      <c r="AD13" s="87">
        <f>AD11-AD12</f>
        <v>0</v>
      </c>
      <c r="AE13" s="557">
        <f>AE12-AE11</f>
        <v>0</v>
      </c>
      <c r="AF13" s="534">
        <f>AF12-AF11</f>
        <v>0</v>
      </c>
      <c r="AG13" s="87">
        <f>AG11-AG12</f>
        <v>0</v>
      </c>
      <c r="AH13" s="557">
        <f>AH12-AH11</f>
        <v>0</v>
      </c>
      <c r="AI13" s="534">
        <f>AI12-AI11</f>
        <v>0</v>
      </c>
      <c r="AJ13" s="87">
        <f>AJ11-AJ12</f>
        <v>0</v>
      </c>
      <c r="AK13" s="557">
        <f>AK12-AK11</f>
        <v>0</v>
      </c>
      <c r="AL13" s="534">
        <f>AL12-AL11</f>
        <v>0</v>
      </c>
      <c r="AM13" s="2630">
        <f>AM11-AM12</f>
        <v>9362</v>
      </c>
      <c r="AN13" s="83">
        <f>AN12-AN11</f>
        <v>34881449</v>
      </c>
      <c r="AO13" s="534">
        <f>AO12-AO11</f>
        <v>160.2568156913932</v>
      </c>
      <c r="AQ13" s="464">
        <f>AQ12-AQ11</f>
        <v>170179964</v>
      </c>
      <c r="AR13" s="940">
        <f t="shared" si="15"/>
        <v>-135298515</v>
      </c>
      <c r="AS13" s="464">
        <f>AS12-AS11</f>
        <v>0</v>
      </c>
      <c r="AT13" s="39"/>
    </row>
    <row r="14" spans="2:49" x14ac:dyDescent="0.3">
      <c r="B14" s="163"/>
      <c r="C14" s="173"/>
      <c r="D14" s="21"/>
      <c r="E14" s="151"/>
      <c r="F14" s="173"/>
      <c r="G14" s="21"/>
      <c r="H14" s="20"/>
      <c r="I14" s="240"/>
      <c r="J14" s="21"/>
      <c r="K14" s="20"/>
      <c r="L14" s="240"/>
      <c r="M14" s="21"/>
      <c r="N14" s="20"/>
      <c r="O14" s="240"/>
      <c r="P14" s="21"/>
      <c r="Q14" s="20"/>
      <c r="R14" s="240"/>
      <c r="S14" s="21"/>
      <c r="T14" s="20"/>
      <c r="U14" s="240"/>
      <c r="V14" s="21"/>
      <c r="W14" s="20"/>
      <c r="X14" s="240"/>
      <c r="Y14" s="21"/>
      <c r="Z14" s="20"/>
      <c r="AA14" s="240"/>
      <c r="AB14" s="21"/>
      <c r="AC14" s="20"/>
      <c r="AD14" s="240"/>
      <c r="AE14" s="21"/>
      <c r="AF14" s="20"/>
      <c r="AG14" s="240"/>
      <c r="AH14" s="21"/>
      <c r="AI14" s="20"/>
      <c r="AJ14" s="240">
        <f>-IF(AJ13=0,0,AJ13/AJ11)</f>
        <v>0</v>
      </c>
      <c r="AK14" s="21"/>
      <c r="AL14" s="20"/>
      <c r="AM14" s="240">
        <f>-IF(AM13=0,0,AM13/AM11)</f>
        <v>-3.9981380173301051E-2</v>
      </c>
      <c r="AN14" s="21"/>
      <c r="AO14" s="151"/>
      <c r="AQ14" s="51"/>
      <c r="AR14" s="940">
        <f t="shared" ref="AR14:AR27" si="16">AN14-AQ14</f>
        <v>0</v>
      </c>
      <c r="AS14" s="464"/>
      <c r="AT14" s="39"/>
    </row>
    <row r="15" spans="2:49" x14ac:dyDescent="0.3">
      <c r="B15" s="163" t="s">
        <v>64</v>
      </c>
      <c r="C15" s="173">
        <f>'Inventory Sales'!B21</f>
        <v>2174</v>
      </c>
      <c r="D15" s="21">
        <f>'Inventory Sales'!D21</f>
        <v>21740</v>
      </c>
      <c r="E15" s="151"/>
      <c r="F15" s="173">
        <f>'Inventory Sales'!E21</f>
        <v>7460</v>
      </c>
      <c r="G15" s="21">
        <f>'Inventory Sales'!G21</f>
        <v>74600</v>
      </c>
      <c r="H15" s="20"/>
      <c r="I15" s="887">
        <f>'Inventory Sales'!H21</f>
        <v>0</v>
      </c>
      <c r="J15" s="21">
        <f>'Inventory Sales'!J21</f>
        <v>0</v>
      </c>
      <c r="K15" s="20"/>
      <c r="L15" s="887">
        <f>'Inventory Sales'!K21</f>
        <v>0</v>
      </c>
      <c r="M15" s="21">
        <f>'Inventory Sales'!M21</f>
        <v>0</v>
      </c>
      <c r="N15" s="20"/>
      <c r="O15" s="887">
        <f>'Inventory Sales'!N21</f>
        <v>0</v>
      </c>
      <c r="P15" s="21">
        <f>'Inventory Sales'!P21</f>
        <v>0</v>
      </c>
      <c r="Q15" s="20"/>
      <c r="R15" s="887">
        <f>'Inventory Sales'!Q21</f>
        <v>0</v>
      </c>
      <c r="S15" s="21">
        <f>'Inventory Sales'!S21</f>
        <v>0</v>
      </c>
      <c r="T15" s="20"/>
      <c r="U15" s="887">
        <f>'Inventory Sales'!T21</f>
        <v>0</v>
      </c>
      <c r="V15" s="21">
        <f>'Inventory Sales'!V21</f>
        <v>0</v>
      </c>
      <c r="W15" s="20"/>
      <c r="X15" s="887">
        <f>'Inventory Sales'!W21</f>
        <v>0</v>
      </c>
      <c r="Y15" s="21">
        <f>'Inventory Sales'!Y21</f>
        <v>0</v>
      </c>
      <c r="Z15" s="20"/>
      <c r="AA15" s="887">
        <f>'Inventory Sales'!Z21</f>
        <v>0</v>
      </c>
      <c r="AB15" s="21">
        <f>'Inventory Sales'!AB21</f>
        <v>0</v>
      </c>
      <c r="AC15" s="20"/>
      <c r="AD15" s="887">
        <f>'Inventory Sales'!AC21</f>
        <v>0</v>
      </c>
      <c r="AE15" s="21">
        <f>'Inventory Sales'!AE21</f>
        <v>0</v>
      </c>
      <c r="AF15" s="20"/>
      <c r="AG15" s="887">
        <f>'Inventory Sales'!AF21</f>
        <v>0</v>
      </c>
      <c r="AH15" s="21">
        <f>'Inventory Sales'!AH21</f>
        <v>0</v>
      </c>
      <c r="AI15" s="20"/>
      <c r="AJ15" s="887">
        <f>'Inventory Sales'!AI21</f>
        <v>0</v>
      </c>
      <c r="AK15" s="21">
        <f>'Inventory Sales'!AK21</f>
        <v>0</v>
      </c>
      <c r="AL15" s="20"/>
      <c r="AM15" s="168">
        <f>SUM(C15,F15,I15,L15,O15,R15,U15,X15,AA15,AD15,AG15,AJ15)</f>
        <v>9634</v>
      </c>
      <c r="AN15" s="19">
        <f>SUM(D15,G15,J15,M15,P15,S15,V15,Y15,AB15,AE15,AH15,AK15)</f>
        <v>96340</v>
      </c>
      <c r="AO15" s="151"/>
      <c r="AQ15" s="464">
        <f>AN15</f>
        <v>96340</v>
      </c>
      <c r="AR15" s="940">
        <f>AN15-AQ15</f>
        <v>0</v>
      </c>
      <c r="AS15" s="464"/>
      <c r="AT15" s="39"/>
    </row>
    <row r="16" spans="2:49" x14ac:dyDescent="0.3">
      <c r="B16" s="936" t="s">
        <v>277</v>
      </c>
      <c r="C16" s="993"/>
      <c r="D16" s="89"/>
      <c r="E16" s="536"/>
      <c r="F16" s="993"/>
      <c r="G16" s="89"/>
      <c r="H16" s="44"/>
      <c r="I16" s="90"/>
      <c r="J16" s="89"/>
      <c r="K16" s="44"/>
      <c r="L16" s="90"/>
      <c r="M16" s="89"/>
      <c r="N16" s="44"/>
      <c r="O16" s="90"/>
      <c r="P16" s="89"/>
      <c r="Q16" s="44"/>
      <c r="R16" s="90"/>
      <c r="S16" s="89"/>
      <c r="T16" s="44"/>
      <c r="U16" s="90"/>
      <c r="V16" s="89"/>
      <c r="W16" s="44"/>
      <c r="X16" s="90"/>
      <c r="Y16" s="89"/>
      <c r="Z16" s="44"/>
      <c r="AA16" s="90"/>
      <c r="AB16" s="89"/>
      <c r="AC16" s="44"/>
      <c r="AD16" s="90" t="s">
        <v>1033</v>
      </c>
      <c r="AE16" s="89"/>
      <c r="AF16" s="44"/>
      <c r="AG16" s="90"/>
      <c r="AH16" s="89"/>
      <c r="AI16" s="44"/>
      <c r="AJ16" s="90"/>
      <c r="AK16" s="89"/>
      <c r="AL16" s="44"/>
      <c r="AM16" s="68"/>
      <c r="AN16" s="89"/>
      <c r="AO16" s="536"/>
      <c r="AQ16" s="51"/>
      <c r="AR16" s="940">
        <f t="shared" si="16"/>
        <v>0</v>
      </c>
      <c r="AS16" s="464"/>
      <c r="AT16" s="39"/>
    </row>
    <row r="17" spans="2:50" ht="15" thickBot="1" x14ac:dyDescent="0.35">
      <c r="B17" s="160" t="s">
        <v>35</v>
      </c>
      <c r="C17" s="85"/>
      <c r="D17" s="26">
        <f>ROUND(('Inventory Sales'!D28),0)</f>
        <v>65</v>
      </c>
      <c r="E17" s="326">
        <f>IF(D17=0,0,D17/C$12)</f>
        <v>6.1562941003760079E-4</v>
      </c>
      <c r="F17" s="85"/>
      <c r="G17" s="26">
        <f>ROUND(('Inventory Sales'!G28),0)</f>
        <v>0</v>
      </c>
      <c r="H17" s="326">
        <f>IF(G17=0,0,G17/F$12)</f>
        <v>0</v>
      </c>
      <c r="I17" s="85"/>
      <c r="J17" s="26">
        <f>ROUND(('Inventory Sales'!J28),0)</f>
        <v>0</v>
      </c>
      <c r="K17" s="326">
        <f>IF(J17=0,0,J17/I$12)</f>
        <v>0</v>
      </c>
      <c r="L17" s="85"/>
      <c r="M17" s="26">
        <f>ROUND(('Inventory Sales'!M28),0)</f>
        <v>0</v>
      </c>
      <c r="N17" s="326">
        <f>IF(M17=0,0,M17/L$12)</f>
        <v>0</v>
      </c>
      <c r="O17" s="85"/>
      <c r="P17" s="26">
        <f>ROUND(('Inventory Sales'!P28),0)</f>
        <v>0</v>
      </c>
      <c r="Q17" s="326">
        <f>IF(P17=0,0,P17/O$12)</f>
        <v>0</v>
      </c>
      <c r="R17" s="85"/>
      <c r="S17" s="26">
        <f>ROUND(('Inventory Sales'!S28),0)</f>
        <v>0</v>
      </c>
      <c r="T17" s="326">
        <f>IF(S17=0,0,S17/R$12)</f>
        <v>0</v>
      </c>
      <c r="U17" s="85"/>
      <c r="V17" s="26">
        <f>ROUND(('Inventory Sales'!V28),0)</f>
        <v>0</v>
      </c>
      <c r="W17" s="326">
        <f>IF(V17=0,0,V17/U$12)</f>
        <v>0</v>
      </c>
      <c r="X17" s="85"/>
      <c r="Y17" s="26">
        <f>ROUND(('Inventory Sales'!Y28),0)</f>
        <v>0</v>
      </c>
      <c r="Z17" s="326">
        <f>IF(Y17=0,0,Y17/X$12)</f>
        <v>0</v>
      </c>
      <c r="AA17" s="85"/>
      <c r="AB17" s="26">
        <f>ROUND(('Inventory Sales'!AB28),0)</f>
        <v>0</v>
      </c>
      <c r="AC17" s="326">
        <f>IF(AB17=0,0,AB17/AA$12)</f>
        <v>0</v>
      </c>
      <c r="AD17" s="85"/>
      <c r="AE17" s="26">
        <f>ROUND(('Inventory Sales'!AE28),0)</f>
        <v>0</v>
      </c>
      <c r="AF17" s="326">
        <f>IF(AE17=0,0,AE17/AD$12)</f>
        <v>0</v>
      </c>
      <c r="AG17" s="85"/>
      <c r="AH17" s="26">
        <f>ROUND(('Inventory Sales'!AH28),0)</f>
        <v>0</v>
      </c>
      <c r="AI17" s="326">
        <f>IF(AH17=0,0,AH17/AG$12)</f>
        <v>0</v>
      </c>
      <c r="AJ17" s="85"/>
      <c r="AK17" s="26">
        <f>ROUND(('Inventory Sales'!AK28),0)</f>
        <v>0</v>
      </c>
      <c r="AL17" s="326">
        <f>IF(AK17=0,0,AK17/AJ$12)</f>
        <v>0</v>
      </c>
      <c r="AM17" s="85"/>
      <c r="AN17" s="26">
        <f>ROUND((SUM(D17,G17,J17,M17,P17,S17,V17,Y17,AB17,AE17,AH17,AK17)),0)</f>
        <v>65</v>
      </c>
      <c r="AO17" s="326">
        <f>IF(AN17=0,0,AN17/AM$12)</f>
        <v>2.8914976623353516E-4</v>
      </c>
      <c r="AQ17" s="811">
        <v>148503</v>
      </c>
      <c r="AR17" s="941">
        <f t="shared" si="16"/>
        <v>-148438</v>
      </c>
      <c r="AS17" s="811"/>
      <c r="AT17" s="39"/>
    </row>
    <row r="18" spans="2:50" ht="15" thickBot="1" x14ac:dyDescent="0.35">
      <c r="B18" s="937"/>
      <c r="C18" s="91"/>
      <c r="D18" s="110">
        <f>SUM(D13:D17)</f>
        <v>16970149</v>
      </c>
      <c r="E18" s="535"/>
      <c r="F18" s="91"/>
      <c r="G18" s="110">
        <f>SUM(G13:G17)</f>
        <v>18007705</v>
      </c>
      <c r="H18" s="92"/>
      <c r="I18" s="103"/>
      <c r="J18" s="110">
        <f>SUM(J13:J17)</f>
        <v>-79793096</v>
      </c>
      <c r="K18" s="92"/>
      <c r="L18" s="103"/>
      <c r="M18" s="110">
        <f>SUM(M13:M17)</f>
        <v>0</v>
      </c>
      <c r="N18" s="92"/>
      <c r="O18" s="103"/>
      <c r="P18" s="110">
        <f>SUM(P13:P17)</f>
        <v>0</v>
      </c>
      <c r="Q18" s="92"/>
      <c r="R18" s="103"/>
      <c r="S18" s="110">
        <f>SUM(S13:S17)</f>
        <v>0</v>
      </c>
      <c r="T18" s="92"/>
      <c r="U18" s="103"/>
      <c r="V18" s="110">
        <f>SUM(V13:V17)</f>
        <v>0</v>
      </c>
      <c r="W18" s="92"/>
      <c r="X18" s="103"/>
      <c r="Y18" s="110">
        <f>SUM(Y13:Y17)</f>
        <v>0</v>
      </c>
      <c r="Z18" s="92"/>
      <c r="AA18" s="103"/>
      <c r="AB18" s="110">
        <f>SUM(AB13:AB17)</f>
        <v>0</v>
      </c>
      <c r="AC18" s="92"/>
      <c r="AD18" s="103"/>
      <c r="AE18" s="110">
        <f>SUM(AE13:AE17)</f>
        <v>0</v>
      </c>
      <c r="AF18" s="92"/>
      <c r="AG18" s="103"/>
      <c r="AH18" s="110">
        <f>SUM(AH13:AH17)</f>
        <v>0</v>
      </c>
      <c r="AI18" s="92"/>
      <c r="AJ18" s="103"/>
      <c r="AK18" s="110">
        <f>SUM(AK13:AK17)</f>
        <v>0</v>
      </c>
      <c r="AL18" s="92"/>
      <c r="AM18" s="113"/>
      <c r="AN18" s="114">
        <f>SUM(AN13:AN17)</f>
        <v>34977854</v>
      </c>
      <c r="AO18" s="535"/>
      <c r="AQ18" s="813">
        <f>SUM(AQ13:AQ17)</f>
        <v>170424807</v>
      </c>
      <c r="AR18" s="942">
        <f>AN18-AQ18</f>
        <v>-135446953</v>
      </c>
      <c r="AS18" s="1054">
        <f>AS13+AS17</f>
        <v>0</v>
      </c>
      <c r="AT18" s="958"/>
      <c r="AU18" s="128"/>
    </row>
    <row r="19" spans="2:50" ht="15" thickTop="1" x14ac:dyDescent="0.3">
      <c r="B19" s="161" t="s">
        <v>36</v>
      </c>
      <c r="C19" s="994"/>
      <c r="D19" s="172">
        <f>'Direct Expns'!B24</f>
        <v>4205631</v>
      </c>
      <c r="E19" s="729">
        <f>IF(D19=0,0,D19/C$12)</f>
        <v>39.832463559474533</v>
      </c>
      <c r="F19" s="994"/>
      <c r="G19" s="172">
        <f>'Direct Expns'!C24</f>
        <v>4233967</v>
      </c>
      <c r="H19" s="729">
        <f>IF(G19=0,0,G19/F$12)</f>
        <v>35.515686077138589</v>
      </c>
      <c r="I19" s="104"/>
      <c r="J19" s="172">
        <f>'Direct Expns'!D24</f>
        <v>0</v>
      </c>
      <c r="K19" s="729">
        <f>IF(J19=0,0,J19/I$12)</f>
        <v>0</v>
      </c>
      <c r="L19" s="104"/>
      <c r="M19" s="172">
        <f>'Direct Expns'!E24</f>
        <v>0</v>
      </c>
      <c r="N19" s="729">
        <f>IF(M19=0,0,M19/L$12)</f>
        <v>0</v>
      </c>
      <c r="O19" s="104"/>
      <c r="P19" s="172">
        <f>'Direct Expns'!F24</f>
        <v>0</v>
      </c>
      <c r="Q19" s="729">
        <f>IF(P19=0,0,P19/O$12)</f>
        <v>0</v>
      </c>
      <c r="R19" s="104"/>
      <c r="S19" s="172">
        <f>'Direct Expns'!G24</f>
        <v>0</v>
      </c>
      <c r="T19" s="729">
        <f>IF(S19=0,0,S19/R$12)</f>
        <v>0</v>
      </c>
      <c r="U19" s="104"/>
      <c r="V19" s="172">
        <f>'Direct Expns'!H24</f>
        <v>0</v>
      </c>
      <c r="W19" s="932">
        <f>IF(V19=0,0,V19/U$12)</f>
        <v>0</v>
      </c>
      <c r="X19" s="931">
        <f>IF(W19=0,0,W19/V$12)</f>
        <v>0</v>
      </c>
      <c r="Y19" s="925">
        <f>'Direct Expns'!I24</f>
        <v>0</v>
      </c>
      <c r="Z19" s="729">
        <f>IF(Y19=0,0,Y19/X$12)</f>
        <v>0</v>
      </c>
      <c r="AA19" s="729">
        <f>IF(Z19=0,0,Z19/Y$12)</f>
        <v>0</v>
      </c>
      <c r="AB19" s="172">
        <f>'Direct Expns'!J24</f>
        <v>0</v>
      </c>
      <c r="AC19" s="729">
        <f>IF(AB19=0,0,AB19/AA$12)</f>
        <v>0</v>
      </c>
      <c r="AD19" s="104"/>
      <c r="AE19" s="172">
        <f>'Direct Expns'!K24</f>
        <v>0</v>
      </c>
      <c r="AF19" s="729">
        <f>IF(AE19=0,0,AE19/AD$12)</f>
        <v>0</v>
      </c>
      <c r="AG19" s="104"/>
      <c r="AH19" s="172">
        <f>'Direct Expns'!L24</f>
        <v>0</v>
      </c>
      <c r="AI19" s="729">
        <f>IF(AH19=0,0,AH19/AG$12)</f>
        <v>0</v>
      </c>
      <c r="AJ19" s="104"/>
      <c r="AK19" s="172">
        <f>'Direct Expns'!M24</f>
        <v>0</v>
      </c>
      <c r="AL19" s="729">
        <f>IF(AK19=0,0,AK19/AJ$12)</f>
        <v>0</v>
      </c>
      <c r="AM19" s="66"/>
      <c r="AN19" s="172">
        <f>SUM(D19,G19,J19,M19,P19,S19,V19,Y19,AB19,AE19,AH19,AK19)</f>
        <v>8439598</v>
      </c>
      <c r="AO19" s="729">
        <f>IF(AN19=0,0,AN19/AM$12)</f>
        <v>37.54319675084632</v>
      </c>
      <c r="AQ19" s="79">
        <f>143477110-(AQ21+AQ22+AQ24)</f>
        <v>130931473</v>
      </c>
      <c r="AR19" s="895">
        <f t="shared" si="16"/>
        <v>-122491875</v>
      </c>
      <c r="AS19" s="464"/>
      <c r="AT19" s="39"/>
    </row>
    <row r="20" spans="2:50" x14ac:dyDescent="0.3">
      <c r="B20" s="161" t="s">
        <v>279</v>
      </c>
      <c r="C20" s="994"/>
      <c r="D20" s="553"/>
      <c r="E20" s="554"/>
      <c r="F20" s="994"/>
      <c r="G20" s="15"/>
      <c r="H20" s="554"/>
      <c r="I20" s="552"/>
      <c r="J20" s="553"/>
      <c r="K20" s="554"/>
      <c r="L20" s="552"/>
      <c r="M20" s="553"/>
      <c r="N20" s="554"/>
      <c r="O20" s="552"/>
      <c r="P20" s="553"/>
      <c r="Q20" s="554"/>
      <c r="R20" s="552"/>
      <c r="S20" s="15"/>
      <c r="T20" s="554"/>
      <c r="U20" s="552"/>
      <c r="V20" s="1042"/>
      <c r="W20" s="557"/>
      <c r="X20" s="553"/>
      <c r="Y20" s="926"/>
      <c r="Z20" s="554"/>
      <c r="AA20" s="552"/>
      <c r="AB20" s="553"/>
      <c r="AC20" s="554"/>
      <c r="AD20" s="552"/>
      <c r="AE20" s="553"/>
      <c r="AF20" s="554"/>
      <c r="AG20" s="552"/>
      <c r="AH20" s="553"/>
      <c r="AI20" s="554"/>
      <c r="AJ20" s="552"/>
      <c r="AK20" s="553"/>
      <c r="AL20" s="554"/>
      <c r="AM20" s="555"/>
      <c r="AN20" s="19">
        <f>SUM(D20,G20,J20,M20,P20,S20,V20,Y20,AB20,AE20,AH20,AK20)</f>
        <v>0</v>
      </c>
      <c r="AO20" s="554"/>
      <c r="AQ20" s="79"/>
      <c r="AR20" s="895">
        <f t="shared" si="16"/>
        <v>0</v>
      </c>
      <c r="AS20" s="464"/>
      <c r="AT20" s="39"/>
    </row>
    <row r="21" spans="2:50" x14ac:dyDescent="0.3">
      <c r="B21" s="163" t="s">
        <v>123</v>
      </c>
      <c r="C21" s="173">
        <f>ROUND(('Direct Expns'!B33),0)</f>
        <v>7232</v>
      </c>
      <c r="D21" s="19">
        <f>'Direct Expns'!B26</f>
        <v>615785</v>
      </c>
      <c r="E21" s="151">
        <f>IF(C21=0,0,(D21/C21))</f>
        <v>85.147262168141594</v>
      </c>
      <c r="F21" s="173">
        <f>ROUND(('Direct Expns'!C33),0)</f>
        <v>6504</v>
      </c>
      <c r="G21" s="19">
        <f>'Direct Expns'!C26</f>
        <v>663103</v>
      </c>
      <c r="H21" s="151">
        <f>IF(F21=0,0,(G21/F21))</f>
        <v>101.95310578105781</v>
      </c>
      <c r="I21" s="173">
        <f>'Direct Expns'!D33</f>
        <v>0</v>
      </c>
      <c r="J21" s="19">
        <f>'Direct Expns'!D26</f>
        <v>0</v>
      </c>
      <c r="K21" s="151">
        <f>IF(I21=0,0,(J21/I21))</f>
        <v>0</v>
      </c>
      <c r="L21" s="173">
        <f>ROUND('Direct Expns'!E33,0)</f>
        <v>0</v>
      </c>
      <c r="M21" s="19">
        <f>'Direct Expns'!E26</f>
        <v>0</v>
      </c>
      <c r="N21" s="151">
        <f>IF(L21=0,0,(M21/L21))</f>
        <v>0</v>
      </c>
      <c r="O21" s="173">
        <f>ROUND('Direct Expns'!F33,0)</f>
        <v>0</v>
      </c>
      <c r="P21" s="19">
        <f>'Direct Expns'!F26</f>
        <v>0</v>
      </c>
      <c r="Q21" s="151">
        <f>IF(O21=0,0,(P21/O21))</f>
        <v>0</v>
      </c>
      <c r="R21" s="173">
        <f>ROUND('Direct Expns'!G33,0)</f>
        <v>0</v>
      </c>
      <c r="S21" s="19">
        <f>'Direct Expns'!G26</f>
        <v>0</v>
      </c>
      <c r="T21" s="151">
        <f>IF(R21=0,0,(S21/R21))</f>
        <v>0</v>
      </c>
      <c r="U21" s="173">
        <f>ROUND(('Direct Expns'!H33),0)</f>
        <v>0</v>
      </c>
      <c r="V21" s="19">
        <f>'Direct Expns'!H26</f>
        <v>0</v>
      </c>
      <c r="W21" s="102">
        <f>IF(U21=0,0,(V21/U21))</f>
        <v>0</v>
      </c>
      <c r="X21" s="614">
        <f>ROUND(('Direct Expns'!I33),0)</f>
        <v>0</v>
      </c>
      <c r="Y21" s="927">
        <f>'Direct Expns'!I26</f>
        <v>0</v>
      </c>
      <c r="Z21" s="151">
        <f>IF(X21=0,0,(Y21/X21))</f>
        <v>0</v>
      </c>
      <c r="AA21" s="173"/>
      <c r="AB21" s="19">
        <f>'Direct Expns'!J26</f>
        <v>0</v>
      </c>
      <c r="AC21" s="151">
        <f>IF(AA21=0,0,(AB21/AA21))</f>
        <v>0</v>
      </c>
      <c r="AD21" s="173"/>
      <c r="AE21" s="19">
        <f>'Direct Expns'!K26</f>
        <v>0</v>
      </c>
      <c r="AF21" s="151">
        <f>IF(AD21=0,0,(AE21/AD21))</f>
        <v>0</v>
      </c>
      <c r="AG21" s="18">
        <f>ROUND(('Direct Expns'!L33),0)</f>
        <v>0</v>
      </c>
      <c r="AH21" s="19">
        <f>'Direct Expns'!L26</f>
        <v>0</v>
      </c>
      <c r="AI21" s="151">
        <f>IF(AG21=0,0,(AH21/AG21))</f>
        <v>0</v>
      </c>
      <c r="AJ21" s="18">
        <f>ROUND(('Direct Expns'!M33),0)</f>
        <v>0</v>
      </c>
      <c r="AK21" s="19">
        <f>'Direct Expns'!M26</f>
        <v>0</v>
      </c>
      <c r="AL21" s="151">
        <f>IF(AJ21=0,0,(AK21/AJ21))</f>
        <v>0</v>
      </c>
      <c r="AM21" s="71">
        <f>SUM(C21,F21,I21,L21,O21,R21,U21,X21,AA21,AD21,AG21,AJ21)</f>
        <v>13736</v>
      </c>
      <c r="AN21" s="19">
        <f>SUM(D21,G21,J21,M21,P21,S21,V21,Y21,AB21,AE21,AH21,AK21)</f>
        <v>1278888</v>
      </c>
      <c r="AO21" s="151">
        <f>IF(AM21=0,0,(AN21/AM21))</f>
        <v>93.104834012813043</v>
      </c>
      <c r="AP21" s="3250">
        <f>(AN21+AN22)/(AM21+AM22)</f>
        <v>84.662620239480546</v>
      </c>
      <c r="AQ21" s="464">
        <f>'Direct Expns'!N26</f>
        <v>1278888</v>
      </c>
      <c r="AR21" s="895">
        <f>AN21-AQ21</f>
        <v>0</v>
      </c>
      <c r="AS21" s="464"/>
      <c r="AT21" s="39"/>
    </row>
    <row r="22" spans="2:50" ht="15" thickBot="1" x14ac:dyDescent="0.35">
      <c r="B22" s="936" t="s">
        <v>42</v>
      </c>
      <c r="C22" s="68">
        <f>ROUND(('Direct Expns'!B34),0)</f>
        <v>76252</v>
      </c>
      <c r="D22" s="19">
        <f>'Direct Expns'!B27</f>
        <v>6451861</v>
      </c>
      <c r="E22" s="522">
        <f>IF(C22=0,0,(D22/C22))</f>
        <v>84.61235115144521</v>
      </c>
      <c r="F22" s="68">
        <f>ROUND(('Direct Expns'!C34),0)</f>
        <v>55243</v>
      </c>
      <c r="G22" s="19">
        <f>'Direct Expns'!C27</f>
        <v>4564888</v>
      </c>
      <c r="H22" s="522">
        <f>IF(F22=0,0,(G22/F22))</f>
        <v>82.632876563546517</v>
      </c>
      <c r="I22" s="68">
        <f>ROUND(('Direct Expns'!D34),0)</f>
        <v>0</v>
      </c>
      <c r="J22" s="19">
        <f>'Direct Expns'!D27</f>
        <v>0</v>
      </c>
      <c r="K22" s="522">
        <f>IF(I22=0,0,(J22/I22))</f>
        <v>0</v>
      </c>
      <c r="L22" s="68">
        <f>ROUND('Direct Expns'!E34,0)</f>
        <v>0</v>
      </c>
      <c r="M22" s="19">
        <f>'Direct Expns'!E27</f>
        <v>0</v>
      </c>
      <c r="N22" s="522">
        <f>IF(L22=0,0,(M22/L22))</f>
        <v>0</v>
      </c>
      <c r="O22" s="68">
        <f>ROUND(('Direct Expns'!F34),0)</f>
        <v>0</v>
      </c>
      <c r="P22" s="19">
        <f>'Direct Expns'!F27</f>
        <v>0</v>
      </c>
      <c r="Q22" s="522">
        <f>IF(O22=0,0,(P22/O22))</f>
        <v>0</v>
      </c>
      <c r="R22" s="68">
        <f>ROUND(('Direct Expns'!G34),0)</f>
        <v>0</v>
      </c>
      <c r="S22" s="19">
        <f>'Direct Expns'!G27</f>
        <v>0</v>
      </c>
      <c r="T22" s="522">
        <f>IF(R22=0,0,(S22/R22))</f>
        <v>0</v>
      </c>
      <c r="U22" s="68">
        <f>ROUND(('Direct Expns'!H34),0)</f>
        <v>0</v>
      </c>
      <c r="V22" s="19">
        <f>'Direct Expns'!H27</f>
        <v>0</v>
      </c>
      <c r="W22" s="933">
        <f>IF(U22=0,0,(V22/U22))</f>
        <v>0</v>
      </c>
      <c r="X22" s="606">
        <f>ROUND(('Direct Expns'!I34),0)</f>
        <v>0</v>
      </c>
      <c r="Y22" s="927">
        <f>'Direct Expns'!I27</f>
        <v>0</v>
      </c>
      <c r="Z22" s="522">
        <f>IF(X22=0,0,(Y22/X22))</f>
        <v>0</v>
      </c>
      <c r="AA22" s="68">
        <f>'Direct Expns'!J34</f>
        <v>0</v>
      </c>
      <c r="AB22" s="19">
        <f>'Direct Expns'!J27</f>
        <v>0</v>
      </c>
      <c r="AC22" s="522">
        <f>IF(AA22=0,0,(AB22/AA22))</f>
        <v>0</v>
      </c>
      <c r="AD22" s="68">
        <f>ROUND('Direct Expns'!K34,0)</f>
        <v>0</v>
      </c>
      <c r="AE22" s="19">
        <f>'Direct Expns'!K27</f>
        <v>0</v>
      </c>
      <c r="AF22" s="522">
        <f>IF(AD22=0,0,(AE22/AD22))</f>
        <v>0</v>
      </c>
      <c r="AG22" s="68">
        <f>ROUND(('Direct Expns'!L34),0)</f>
        <v>0</v>
      </c>
      <c r="AH22" s="19">
        <f>'Direct Expns'!L27</f>
        <v>0</v>
      </c>
      <c r="AI22" s="522">
        <f>IF(AG22=0,0,(AH22/AG22))</f>
        <v>0</v>
      </c>
      <c r="AJ22" s="68">
        <f>ROUND(('Direct Expns'!M34),0)</f>
        <v>0</v>
      </c>
      <c r="AK22" s="19">
        <f>'Direct Expns'!M27</f>
        <v>0</v>
      </c>
      <c r="AL22" s="522">
        <f>IF(AJ22=0,0,(AK22/AJ22))</f>
        <v>0</v>
      </c>
      <c r="AM22" s="71">
        <f>SUM(C22,F22,I22,L22,O22,R22,U22,X22,AA22,AD22,AG22,AJ22)</f>
        <v>131495</v>
      </c>
      <c r="AN22" s="42">
        <f>SUM(D22,G22,J22,M22,P22,S22,V22,Y22,AB22,AE22,AH22,AK22)</f>
        <v>11016749</v>
      </c>
      <c r="AO22" s="522">
        <f>IF(AM22=0,0,(AN22/AM22))</f>
        <v>83.780744515000563</v>
      </c>
      <c r="AP22" s="3250"/>
      <c r="AQ22" s="811">
        <f>'Direct Expns'!N27</f>
        <v>11016749</v>
      </c>
      <c r="AR22" s="894">
        <f>AN22-AQ22</f>
        <v>0</v>
      </c>
      <c r="AS22" s="811"/>
      <c r="AT22" s="39"/>
    </row>
    <row r="23" spans="2:50" ht="15" thickBot="1" x14ac:dyDescent="0.35">
      <c r="B23" s="40" t="s">
        <v>206</v>
      </c>
      <c r="C23" s="244"/>
      <c r="D23" s="28">
        <f>SUM(D19:D22)</f>
        <v>11273277</v>
      </c>
      <c r="E23" s="76">
        <f>D23/C12</f>
        <v>106.77170567231467</v>
      </c>
      <c r="F23" s="244"/>
      <c r="G23" s="28">
        <f>SUM(G19:G22)</f>
        <v>9461958</v>
      </c>
      <c r="H23" s="31"/>
      <c r="I23" s="244"/>
      <c r="J23" s="28">
        <f>SUM(J19:J22)</f>
        <v>0</v>
      </c>
      <c r="K23" s="31"/>
      <c r="L23" s="244"/>
      <c r="M23" s="28">
        <f>SUM(M19:M22)</f>
        <v>0</v>
      </c>
      <c r="N23" s="31"/>
      <c r="O23" s="244"/>
      <c r="P23" s="28">
        <f>SUM(P19:P22)</f>
        <v>0</v>
      </c>
      <c r="Q23" s="31"/>
      <c r="R23" s="244"/>
      <c r="S23" s="28">
        <f>SUM(S19:S22)</f>
        <v>0</v>
      </c>
      <c r="T23" s="31"/>
      <c r="U23" s="244"/>
      <c r="V23" s="28">
        <f>SUM(V19:V22)</f>
        <v>0</v>
      </c>
      <c r="W23" s="29"/>
      <c r="X23" s="333"/>
      <c r="Y23" s="928">
        <f>SUM(Y19:Y22)</f>
        <v>0</v>
      </c>
      <c r="Z23" s="31"/>
      <c r="AA23" s="244"/>
      <c r="AB23" s="28">
        <f>SUM(AB19:AB22)</f>
        <v>0</v>
      </c>
      <c r="AC23" s="31"/>
      <c r="AD23" s="244"/>
      <c r="AE23" s="28">
        <f>SUM(AE19:AE22)</f>
        <v>0</v>
      </c>
      <c r="AF23" s="31"/>
      <c r="AG23" s="244"/>
      <c r="AH23" s="28">
        <f>SUM(AH19:AH22)</f>
        <v>0</v>
      </c>
      <c r="AI23" s="31"/>
      <c r="AJ23" s="244"/>
      <c r="AK23" s="28">
        <f>SUM(AK19:AK22)</f>
        <v>0</v>
      </c>
      <c r="AL23" s="31"/>
      <c r="AM23" s="246"/>
      <c r="AN23" s="28">
        <f>SUM(AN19:AN22)</f>
        <v>20735235</v>
      </c>
      <c r="AO23" s="76"/>
      <c r="AQ23" s="1664">
        <f>SUM(AQ19:AQ22)</f>
        <v>143227110</v>
      </c>
      <c r="AR23" s="894">
        <f t="shared" si="16"/>
        <v>-122491875</v>
      </c>
      <c r="AS23" s="812"/>
      <c r="AT23" s="958"/>
      <c r="AV23" s="39"/>
    </row>
    <row r="24" spans="2:50" x14ac:dyDescent="0.3">
      <c r="B24" s="936" t="s">
        <v>39</v>
      </c>
      <c r="C24" s="68"/>
      <c r="D24" s="15">
        <f>'Direct Expns'!B29</f>
        <v>125000</v>
      </c>
      <c r="E24" s="536">
        <f>IF(D24=0,0,D24/C$12)</f>
        <v>1.1839027116107708</v>
      </c>
      <c r="F24" s="68"/>
      <c r="G24" s="15">
        <f>'Direct Expns'!C29</f>
        <v>125000</v>
      </c>
      <c r="H24" s="536">
        <f>IF(G24=0,0,G24/F$12)</f>
        <v>1.0485345680876408</v>
      </c>
      <c r="I24" s="68"/>
      <c r="J24" s="15">
        <f>'Direct Expns'!D29</f>
        <v>0</v>
      </c>
      <c r="K24" s="536"/>
      <c r="L24" s="68"/>
      <c r="M24" s="15">
        <f>'Direct Expns'!E29</f>
        <v>0</v>
      </c>
      <c r="N24" s="536"/>
      <c r="O24" s="68"/>
      <c r="P24" s="15">
        <f>'Direct Expns'!F29</f>
        <v>0</v>
      </c>
      <c r="Q24" s="536"/>
      <c r="R24" s="68"/>
      <c r="S24" s="15">
        <f>'Direct Expns'!G29</f>
        <v>0</v>
      </c>
      <c r="T24" s="536"/>
      <c r="U24" s="68"/>
      <c r="V24" s="15">
        <f>'Direct Expns'!H29</f>
        <v>0</v>
      </c>
      <c r="W24" s="934"/>
      <c r="X24" s="606"/>
      <c r="Y24" s="929">
        <f>'Direct Expns'!I29</f>
        <v>0</v>
      </c>
      <c r="Z24" s="536"/>
      <c r="AA24" s="68"/>
      <c r="AB24" s="15">
        <f>'Direct Expns'!J29</f>
        <v>0</v>
      </c>
      <c r="AC24" s="536"/>
      <c r="AD24" s="68"/>
      <c r="AE24" s="15">
        <f>'Direct Expns'!K29</f>
        <v>0</v>
      </c>
      <c r="AF24" s="536"/>
      <c r="AG24" s="68"/>
      <c r="AH24" s="15">
        <f>'Direct Expns'!L29</f>
        <v>0</v>
      </c>
      <c r="AI24" s="536"/>
      <c r="AJ24" s="68"/>
      <c r="AK24" s="15">
        <f>'Direct Expns'!M29</f>
        <v>0</v>
      </c>
      <c r="AL24" s="536"/>
      <c r="AM24" s="68"/>
      <c r="AN24" s="15">
        <f>SUM(D24,G24,J24,M24,P24,S24,V24,Y24,AB24,AE24,AH24,AK24)</f>
        <v>250000</v>
      </c>
      <c r="AO24" s="536">
        <f>IF(AN24=0,0,AN24/AM$12)</f>
        <v>1.1121144855135967</v>
      </c>
      <c r="AQ24" s="464">
        <f>AN24</f>
        <v>250000</v>
      </c>
      <c r="AR24" s="895">
        <f>AN24-AQ24</f>
        <v>0</v>
      </c>
      <c r="AS24" s="464"/>
      <c r="AT24" s="1665"/>
      <c r="AU24" s="1666"/>
      <c r="AV24" s="1665">
        <f>AT24-AU24</f>
        <v>0</v>
      </c>
      <c r="AW24" s="39"/>
      <c r="AX24" s="39"/>
    </row>
    <row r="25" spans="2:50" ht="15" thickBot="1" x14ac:dyDescent="0.35">
      <c r="B25" s="160" t="s">
        <v>37</v>
      </c>
      <c r="C25" s="85"/>
      <c r="D25" s="805">
        <f>'Indirect Expns'!B75</f>
        <v>961670</v>
      </c>
      <c r="E25" s="326">
        <f>IF(D25=0,0,D25/C$12)</f>
        <v>9.1081897653978388</v>
      </c>
      <c r="F25" s="85"/>
      <c r="G25" s="805">
        <f>'Indirect Expns'!C75</f>
        <v>811573</v>
      </c>
      <c r="H25" s="326">
        <f>IF(G25=0,0,G25/F$12)</f>
        <v>6.8076987602127268</v>
      </c>
      <c r="I25" s="85"/>
      <c r="J25" s="805">
        <f>'Indirect Expns'!D75</f>
        <v>0</v>
      </c>
      <c r="K25" s="326"/>
      <c r="L25" s="85"/>
      <c r="M25" s="805">
        <f>'Indirect Expns'!E75</f>
        <v>0</v>
      </c>
      <c r="N25" s="326"/>
      <c r="O25" s="85"/>
      <c r="P25" s="805">
        <f>'Indirect Expns'!F75</f>
        <v>0</v>
      </c>
      <c r="Q25" s="326"/>
      <c r="R25" s="85"/>
      <c r="S25" s="805">
        <f>'Indirect Expns'!G75</f>
        <v>0</v>
      </c>
      <c r="T25" s="326"/>
      <c r="U25" s="85"/>
      <c r="V25" s="805">
        <f>'Indirect Expns'!H75</f>
        <v>0</v>
      </c>
      <c r="W25" s="558"/>
      <c r="X25" s="122"/>
      <c r="Y25" s="930">
        <f>'Indirect Expns'!I75</f>
        <v>0</v>
      </c>
      <c r="Z25" s="326"/>
      <c r="AA25" s="85"/>
      <c r="AB25" s="805">
        <f>'Indirect Expns'!J75</f>
        <v>0</v>
      </c>
      <c r="AC25" s="326"/>
      <c r="AD25" s="85"/>
      <c r="AE25" s="805">
        <f>'Indirect Expns'!K75</f>
        <v>0</v>
      </c>
      <c r="AF25" s="326"/>
      <c r="AG25" s="85"/>
      <c r="AH25" s="805">
        <f>'Indirect Expns'!L75</f>
        <v>0</v>
      </c>
      <c r="AI25" s="326"/>
      <c r="AJ25" s="85"/>
      <c r="AK25" s="805">
        <f>'Indirect Expns'!M75</f>
        <v>0</v>
      </c>
      <c r="AL25" s="326"/>
      <c r="AM25" s="71"/>
      <c r="AN25" s="24">
        <f>SUM(D25,G25,J25,M25,P25,S25,V25,Y25,AB25,AE25,AH25,AK25)</f>
        <v>1773243</v>
      </c>
      <c r="AO25" s="326">
        <f>IF(AN25=0,0,AN25/AM$12)</f>
        <v>7.8881969065423467</v>
      </c>
      <c r="AP25" s="72"/>
      <c r="AQ25" s="811">
        <v>17344302</v>
      </c>
      <c r="AS25" s="894"/>
      <c r="AT25" s="1665"/>
      <c r="AU25" s="1666" t="s">
        <v>580</v>
      </c>
      <c r="AV25" s="1666"/>
    </row>
    <row r="26" spans="2:50" ht="15" thickBot="1" x14ac:dyDescent="0.35">
      <c r="B26" s="938" t="s">
        <v>38</v>
      </c>
      <c r="C26" s="94">
        <f>C19+C25</f>
        <v>0</v>
      </c>
      <c r="D26" s="95">
        <f>D23+D24+D25</f>
        <v>12359947</v>
      </c>
      <c r="E26" s="76">
        <f>IF(C12=0,0,(D26/C12))</f>
        <v>117.06379814932328</v>
      </c>
      <c r="F26" s="94">
        <f>F19+F25</f>
        <v>0</v>
      </c>
      <c r="G26" s="95">
        <f>G23+G24+G25</f>
        <v>10398531</v>
      </c>
      <c r="H26" s="31">
        <f>IF(F12=0,0,(G26/F12))</f>
        <v>87.225753686647536</v>
      </c>
      <c r="I26" s="94">
        <f>I19+I25</f>
        <v>0</v>
      </c>
      <c r="J26" s="95">
        <f>J23+J24+J25</f>
        <v>0</v>
      </c>
      <c r="K26" s="31">
        <f>IF(I12=0,0,(J26/I12))</f>
        <v>0</v>
      </c>
      <c r="L26" s="94">
        <f>L19+L25</f>
        <v>0</v>
      </c>
      <c r="M26" s="95">
        <f>M23+M24+M25</f>
        <v>0</v>
      </c>
      <c r="N26" s="31">
        <f>IF(L12=0,0,(M26/L12))</f>
        <v>0</v>
      </c>
      <c r="O26" s="94">
        <f>O19+O25</f>
        <v>0</v>
      </c>
      <c r="P26" s="95">
        <f>P23+P24+P25</f>
        <v>0</v>
      </c>
      <c r="Q26" s="31">
        <f>IF(O12=0,0,(P26/O12))</f>
        <v>0</v>
      </c>
      <c r="R26" s="94">
        <f>R19+R25</f>
        <v>0</v>
      </c>
      <c r="S26" s="95">
        <f>S23+S24+S25</f>
        <v>0</v>
      </c>
      <c r="T26" s="31">
        <f>IF(R12=0,0,(S26/R12))</f>
        <v>0</v>
      </c>
      <c r="U26" s="94">
        <f>U19+U25</f>
        <v>0</v>
      </c>
      <c r="V26" s="95">
        <f>V23+V24+V25</f>
        <v>0</v>
      </c>
      <c r="W26" s="29">
        <f>IF(U12=0,0,(V26/U12))</f>
        <v>0</v>
      </c>
      <c r="X26" s="935">
        <f>X19+X25</f>
        <v>0</v>
      </c>
      <c r="Y26" s="64">
        <f>Y23+Y24+Y25</f>
        <v>0</v>
      </c>
      <c r="Z26" s="31">
        <f>IF(X12=0,0,(Y26/X12))</f>
        <v>0</v>
      </c>
      <c r="AA26" s="94">
        <f>AA19+AA25</f>
        <v>0</v>
      </c>
      <c r="AB26" s="95">
        <f>AB23+AB24+AB25</f>
        <v>0</v>
      </c>
      <c r="AC26" s="31">
        <f>IF(AA12=0,0,(AB26/AA12))</f>
        <v>0</v>
      </c>
      <c r="AD26" s="94">
        <f>AD19+AD25</f>
        <v>0</v>
      </c>
      <c r="AE26" s="95">
        <f>AE23+AE24+AE25</f>
        <v>0</v>
      </c>
      <c r="AF26" s="31">
        <f>IF(AD12=0,0,(AE26/AD12))</f>
        <v>0</v>
      </c>
      <c r="AG26" s="94">
        <f>AG19+AG25</f>
        <v>0</v>
      </c>
      <c r="AH26" s="95">
        <f>AH23+AH24+AH25</f>
        <v>0</v>
      </c>
      <c r="AI26" s="31">
        <f>IF(AG12=0,0,(AH26/AG12))</f>
        <v>0</v>
      </c>
      <c r="AJ26" s="94">
        <f>AJ19+AJ25</f>
        <v>0</v>
      </c>
      <c r="AK26" s="95">
        <f>AK23+AK24+AK25</f>
        <v>0</v>
      </c>
      <c r="AL26" s="31">
        <f>IF(AJ12=0,0,(AK26/AJ12))</f>
        <v>0</v>
      </c>
      <c r="AM26" s="30">
        <f>AM19+AM25</f>
        <v>0</v>
      </c>
      <c r="AN26" s="95">
        <f>AN23+AN24+AN25</f>
        <v>22758478</v>
      </c>
      <c r="AO26" s="76">
        <f>IF(AM12=0,0,(AN26/AM12))</f>
        <v>101.24013220817004</v>
      </c>
      <c r="AQ26" s="812">
        <f>AQ23+AQ24+AQ25</f>
        <v>160821412</v>
      </c>
      <c r="AR26" s="1763">
        <f>AN26-AQ26</f>
        <v>-138062934</v>
      </c>
      <c r="AS26" s="812"/>
      <c r="AT26" s="1044"/>
      <c r="AV26" s="39"/>
    </row>
    <row r="27" spans="2:50" ht="15" thickBot="1" x14ac:dyDescent="0.35">
      <c r="C27" s="67"/>
      <c r="D27" s="39"/>
      <c r="E27" s="64"/>
      <c r="F27" s="67"/>
      <c r="G27" s="39"/>
      <c r="H27" s="64"/>
      <c r="I27" s="67"/>
      <c r="J27" s="39"/>
      <c r="K27" s="64"/>
      <c r="L27" s="67"/>
      <c r="M27" s="39"/>
      <c r="N27" s="64"/>
      <c r="O27" s="67"/>
      <c r="P27" s="39"/>
      <c r="Q27" s="64"/>
      <c r="R27" s="67"/>
      <c r="S27" s="39"/>
      <c r="T27" s="64"/>
      <c r="U27" s="67"/>
      <c r="V27" s="39"/>
      <c r="W27" s="64"/>
      <c r="X27" s="67"/>
      <c r="Y27" s="39"/>
      <c r="Z27" s="64"/>
      <c r="AA27" s="67"/>
      <c r="AB27" s="39"/>
      <c r="AC27" s="64"/>
      <c r="AD27" s="67"/>
      <c r="AE27" s="39"/>
      <c r="AF27" s="64"/>
      <c r="AG27" s="67"/>
      <c r="AH27" s="39"/>
      <c r="AI27" s="64"/>
      <c r="AJ27" s="67"/>
      <c r="AK27" s="39"/>
      <c r="AL27" s="64"/>
      <c r="AM27" s="67"/>
      <c r="AN27" s="39"/>
      <c r="AO27" s="78"/>
      <c r="AQ27" s="51"/>
      <c r="AR27" s="895">
        <f t="shared" si="16"/>
        <v>0</v>
      </c>
      <c r="AS27" s="464"/>
      <c r="AT27" s="39"/>
    </row>
    <row r="28" spans="2:50" ht="15" thickBot="1" x14ac:dyDescent="0.35">
      <c r="B28" s="74" t="s">
        <v>40</v>
      </c>
      <c r="C28" s="30"/>
      <c r="D28" s="112">
        <f>D18-D26</f>
        <v>4610202</v>
      </c>
      <c r="E28" s="76">
        <f>IF(C12=0,0,(D28/C12))</f>
        <v>43.664245190987188</v>
      </c>
      <c r="F28" s="30"/>
      <c r="G28" s="1135">
        <f>G18-G26</f>
        <v>7609174</v>
      </c>
      <c r="H28" s="76">
        <f>IF(F12=0,0,(G28/F12))</f>
        <v>63.827855788749645</v>
      </c>
      <c r="I28" s="75"/>
      <c r="J28" s="112">
        <f>J18-J26</f>
        <v>-79793096</v>
      </c>
      <c r="K28" s="76">
        <f>IF(I12=0,0,(J28/I12))</f>
        <v>0</v>
      </c>
      <c r="L28" s="75"/>
      <c r="M28" s="112">
        <f>M18-M26</f>
        <v>0</v>
      </c>
      <c r="N28" s="76">
        <f>IF(L12=0,0,(M28/L12))</f>
        <v>0</v>
      </c>
      <c r="O28" s="75"/>
      <c r="P28" s="112">
        <f>P18-P26</f>
        <v>0</v>
      </c>
      <c r="Q28" s="76">
        <f>IF(O12=0,0,(P28/O12))</f>
        <v>0</v>
      </c>
      <c r="R28" s="75"/>
      <c r="S28" s="112">
        <f>S18-S26</f>
        <v>0</v>
      </c>
      <c r="T28" s="76">
        <f>IF(R12=0,0,(S28/R12))</f>
        <v>0</v>
      </c>
      <c r="U28" s="75"/>
      <c r="V28" s="112">
        <f>V18-V26</f>
        <v>0</v>
      </c>
      <c r="W28" s="76">
        <f>IF(U12=0,0,(V28/U12))</f>
        <v>0</v>
      </c>
      <c r="X28" s="75"/>
      <c r="Y28" s="112">
        <f>Y18-Y26</f>
        <v>0</v>
      </c>
      <c r="Z28" s="76">
        <f>IF(X12=0,0,(Y28/X12))</f>
        <v>0</v>
      </c>
      <c r="AA28" s="75"/>
      <c r="AB28" s="112">
        <f>AB18-AB26</f>
        <v>0</v>
      </c>
      <c r="AC28" s="76">
        <f>IF(AA12=0,0,(AB28/AA12))</f>
        <v>0</v>
      </c>
      <c r="AD28" s="75"/>
      <c r="AE28" s="112">
        <f>AE18-AE26</f>
        <v>0</v>
      </c>
      <c r="AF28" s="76">
        <f>IF(AD12=0,0,(AE28/AD12))</f>
        <v>0</v>
      </c>
      <c r="AG28" s="75"/>
      <c r="AH28" s="112">
        <f>AH18-AH26</f>
        <v>0</v>
      </c>
      <c r="AI28" s="76">
        <f>IF(AG12=0,0,(AH28/AG12))</f>
        <v>0</v>
      </c>
      <c r="AJ28" s="75"/>
      <c r="AK28" s="112">
        <f>AK18-AK26</f>
        <v>0</v>
      </c>
      <c r="AL28" s="76">
        <f>IF(AJ12=0,0,(AK28/AJ12))</f>
        <v>0</v>
      </c>
      <c r="AM28" s="75"/>
      <c r="AN28" s="1039">
        <f>AN18-AN26</f>
        <v>12219376</v>
      </c>
      <c r="AO28" s="76">
        <f>IF(AM12=0,0,(AN28/AM12))</f>
        <v>54.357380214148762</v>
      </c>
      <c r="AQ28" s="562">
        <f>AQ18-AQ26</f>
        <v>9603395</v>
      </c>
      <c r="AR28" s="940">
        <f>AN28-AQ28</f>
        <v>2615981</v>
      </c>
      <c r="AS28" s="79">
        <f>AS18-AS26</f>
        <v>0</v>
      </c>
      <c r="AT28" s="1044"/>
    </row>
    <row r="29" spans="2:50" x14ac:dyDescent="0.3"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39"/>
      <c r="AO29" s="77"/>
      <c r="AQ29" s="77">
        <f>AQ28-AN31</f>
        <v>-2615981</v>
      </c>
      <c r="AR29" s="77"/>
      <c r="AS29" s="77"/>
      <c r="AT29" s="817"/>
    </row>
    <row r="30" spans="2:50" ht="15" thickBot="1" x14ac:dyDescent="0.35">
      <c r="D30" s="77"/>
      <c r="E30" s="77">
        <f>D30/C12</f>
        <v>0</v>
      </c>
      <c r="G30" s="77"/>
      <c r="H30" s="77">
        <f>G30/F12</f>
        <v>0</v>
      </c>
      <c r="J30" s="77"/>
      <c r="K30" s="77" t="e">
        <f>J30/I12</f>
        <v>#DIV/0!</v>
      </c>
      <c r="M30" s="77"/>
      <c r="N30" s="77" t="e">
        <f>M30/L12</f>
        <v>#DIV/0!</v>
      </c>
      <c r="P30" s="77"/>
      <c r="Q30" s="77" t="e">
        <f>P30/O12</f>
        <v>#DIV/0!</v>
      </c>
      <c r="R30" s="39"/>
      <c r="S30" s="77"/>
      <c r="T30" s="77" t="e">
        <f>S30/R12</f>
        <v>#DIV/0!</v>
      </c>
      <c r="V30" s="77"/>
      <c r="W30" s="77" t="e">
        <f>V30/U12</f>
        <v>#DIV/0!</v>
      </c>
      <c r="Y30" s="77"/>
      <c r="Z30" s="77" t="e">
        <f>Y30/X12</f>
        <v>#DIV/0!</v>
      </c>
      <c r="AB30" s="77"/>
      <c r="AC30" s="77" t="e">
        <f>AB30/AA12</f>
        <v>#DIV/0!</v>
      </c>
      <c r="AE30" s="77"/>
      <c r="AF30" s="77" t="e">
        <f>AE30/AD12</f>
        <v>#DIV/0!</v>
      </c>
      <c r="AH30" s="77"/>
      <c r="AI30" s="77" t="e">
        <f>AH30/AG12</f>
        <v>#DIV/0!</v>
      </c>
      <c r="AK30" s="77"/>
      <c r="AL30" s="77" t="e">
        <f>AK30/AJ12</f>
        <v>#DIV/0!</v>
      </c>
      <c r="AN30" s="247">
        <f>SUM(D30,G30,J30,M30,P30,S30,V30,Y30,AB30,AE30,AH30,AK30)</f>
        <v>0</v>
      </c>
      <c r="AR30" s="1038"/>
    </row>
    <row r="31" spans="2:50" ht="15" thickBot="1" x14ac:dyDescent="0.35">
      <c r="B31" s="540" t="s">
        <v>120</v>
      </c>
      <c r="C31" s="883">
        <f>D31/D12</f>
        <v>0.15442719517264991</v>
      </c>
      <c r="D31" s="539">
        <f>SUM(D28+D29-D30)</f>
        <v>4610202</v>
      </c>
      <c r="E31" s="539"/>
      <c r="F31" s="1041">
        <f>G31/G12</f>
        <v>0.22621936331036535</v>
      </c>
      <c r="G31" s="539">
        <f>SUM(G28+G29-G30)</f>
        <v>7609174</v>
      </c>
      <c r="H31" s="539"/>
      <c r="I31" s="883" t="e">
        <f>J31/J12</f>
        <v>#DIV/0!</v>
      </c>
      <c r="J31" s="539">
        <f>SUM(J28+J29-J30)</f>
        <v>-79793096</v>
      </c>
      <c r="K31" s="539"/>
      <c r="L31" s="541"/>
      <c r="M31" s="539">
        <f>SUM(M28+M29-M30)</f>
        <v>0</v>
      </c>
      <c r="N31" s="539"/>
      <c r="O31" s="541"/>
      <c r="P31" s="539">
        <f>SUM(P28+P29-P30)</f>
        <v>0</v>
      </c>
      <c r="Q31" s="539"/>
      <c r="R31" s="541"/>
      <c r="S31" s="539">
        <f>SUM(S28+S29-S30)</f>
        <v>0</v>
      </c>
      <c r="T31" s="539"/>
      <c r="U31" s="541"/>
      <c r="V31" s="539">
        <f>SUM(V28+V29-V30)</f>
        <v>0</v>
      </c>
      <c r="W31" s="539"/>
      <c r="X31" s="541"/>
      <c r="Y31" s="539">
        <f>SUM(Y28+Y29-Y30)</f>
        <v>0</v>
      </c>
      <c r="Z31" s="539"/>
      <c r="AA31" s="541"/>
      <c r="AB31" s="539">
        <f>SUM(AB28+AB29-AB30)</f>
        <v>0</v>
      </c>
      <c r="AC31" s="539"/>
      <c r="AD31" s="541"/>
      <c r="AE31" s="539">
        <f>SUM(AE28+AE29-AE30)</f>
        <v>0</v>
      </c>
      <c r="AF31" s="539"/>
      <c r="AG31" s="541"/>
      <c r="AH31" s="539">
        <f>SUM(AH28+AH29-AH30)</f>
        <v>0</v>
      </c>
      <c r="AI31" s="539"/>
      <c r="AJ31" s="541"/>
      <c r="AK31" s="539">
        <f>SUM(AK28+AK29-AK30)</f>
        <v>0</v>
      </c>
      <c r="AL31" s="539"/>
      <c r="AM31" s="1041">
        <f>AN31/AN12</f>
        <v>0.19246195445550598</v>
      </c>
      <c r="AN31" s="1040">
        <f>SUM(AN28+AN29)</f>
        <v>12219376</v>
      </c>
      <c r="AO31" s="542"/>
      <c r="AQ31" s="39">
        <v>5695475.5999999996</v>
      </c>
      <c r="AR31" s="39"/>
      <c r="AS31" s="39"/>
    </row>
    <row r="32" spans="2:50" x14ac:dyDescent="0.3">
      <c r="D32" s="77"/>
      <c r="E32" s="77"/>
      <c r="F32" s="77"/>
      <c r="G32" s="77">
        <f>D31+G31</f>
        <v>12219376</v>
      </c>
      <c r="H32" s="77"/>
      <c r="I32" s="77"/>
      <c r="J32" s="77">
        <f>G32+J31</f>
        <v>-67573720</v>
      </c>
      <c r="K32" s="77"/>
      <c r="L32" s="77"/>
      <c r="M32" s="77">
        <f>J32+M31</f>
        <v>-67573720</v>
      </c>
      <c r="N32" s="77"/>
      <c r="O32" s="77"/>
      <c r="P32" s="77">
        <f>M32+P31</f>
        <v>-67573720</v>
      </c>
      <c r="Q32" s="77"/>
      <c r="R32" s="77"/>
      <c r="S32" s="77">
        <f>P32+S31</f>
        <v>-67573720</v>
      </c>
      <c r="T32" s="77"/>
      <c r="U32" s="77"/>
      <c r="V32" s="77">
        <f>S32+V31</f>
        <v>-67573720</v>
      </c>
      <c r="W32" s="77"/>
      <c r="X32" s="77"/>
      <c r="Y32" s="77">
        <f>V32+Y31</f>
        <v>-67573720</v>
      </c>
      <c r="Z32" s="77"/>
      <c r="AA32" s="77"/>
      <c r="AB32" s="77">
        <f>Y32+AB31</f>
        <v>-67573720</v>
      </c>
      <c r="AC32" s="77"/>
      <c r="AD32" s="77"/>
      <c r="AE32" s="77">
        <f>AB32+AE31</f>
        <v>-67573720</v>
      </c>
      <c r="AF32" s="39"/>
      <c r="AG32" s="77"/>
      <c r="AH32" s="77">
        <f>AE32+AH31</f>
        <v>-67573720</v>
      </c>
      <c r="AI32" s="77"/>
      <c r="AJ32" s="77"/>
      <c r="AK32" s="77">
        <f>AH32+AK31</f>
        <v>-67573720</v>
      </c>
      <c r="AL32" s="77"/>
      <c r="AM32" s="77"/>
      <c r="AN32" s="77">
        <f>AN31-AK32</f>
        <v>79793096</v>
      </c>
      <c r="AQ32" s="219">
        <f>AQ31-AQ28</f>
        <v>-3907919.4000000004</v>
      </c>
      <c r="AR32" s="219"/>
      <c r="AS32" s="219"/>
    </row>
    <row r="33" spans="2:45" x14ac:dyDescent="0.3">
      <c r="B33" s="12" t="s">
        <v>207</v>
      </c>
      <c r="C33" s="67">
        <f>C21+C22</f>
        <v>83484</v>
      </c>
      <c r="D33" s="77">
        <f>D21+D22</f>
        <v>7067646</v>
      </c>
      <c r="E33" s="77">
        <f>D33/C33</f>
        <v>84.658689090125051</v>
      </c>
      <c r="F33" s="67">
        <f>F21+F22</f>
        <v>61747</v>
      </c>
      <c r="G33" s="77">
        <f>G21+G22</f>
        <v>5227991</v>
      </c>
      <c r="H33" s="77">
        <f>G33/F33</f>
        <v>84.667935284305315</v>
      </c>
      <c r="I33" s="67">
        <f>I21+I22</f>
        <v>0</v>
      </c>
      <c r="J33" s="77">
        <f>J21+J22</f>
        <v>0</v>
      </c>
      <c r="K33" s="77" t="e">
        <f>J33/I33</f>
        <v>#DIV/0!</v>
      </c>
      <c r="L33" s="67">
        <f>L21+L22</f>
        <v>0</v>
      </c>
      <c r="M33" s="77">
        <f>M21+M22</f>
        <v>0</v>
      </c>
      <c r="N33" s="77" t="e">
        <f>M33/L33</f>
        <v>#DIV/0!</v>
      </c>
      <c r="O33" s="67">
        <f>O21+O22</f>
        <v>0</v>
      </c>
      <c r="P33" s="77">
        <f>P21+P22</f>
        <v>0</v>
      </c>
      <c r="Q33" s="77" t="e">
        <f>P33/O33</f>
        <v>#DIV/0!</v>
      </c>
      <c r="R33" s="67">
        <f>R21+R22</f>
        <v>0</v>
      </c>
      <c r="S33" s="77">
        <f>S21+S22</f>
        <v>0</v>
      </c>
      <c r="T33" s="77" t="e">
        <f>S33/R33</f>
        <v>#DIV/0!</v>
      </c>
      <c r="U33" s="67">
        <f>U21+U22</f>
        <v>0</v>
      </c>
      <c r="V33" s="77">
        <f>V21+V22</f>
        <v>0</v>
      </c>
      <c r="W33" s="77" t="e">
        <f>V33/U33</f>
        <v>#DIV/0!</v>
      </c>
      <c r="X33" s="67">
        <f>X21+X22</f>
        <v>0</v>
      </c>
      <c r="Y33" s="77">
        <f>Y21+Y22</f>
        <v>0</v>
      </c>
      <c r="Z33" s="77" t="e">
        <f>Y33/X33</f>
        <v>#DIV/0!</v>
      </c>
      <c r="AA33" s="67">
        <f>AA21+AA22</f>
        <v>0</v>
      </c>
      <c r="AB33" s="77">
        <f>AB21+AB22</f>
        <v>0</v>
      </c>
      <c r="AC33" s="77" t="e">
        <f>AB33/AA33</f>
        <v>#DIV/0!</v>
      </c>
      <c r="AD33" s="67">
        <f>AD21+AD22</f>
        <v>0</v>
      </c>
      <c r="AE33" s="77">
        <f>AE21+AE22</f>
        <v>0</v>
      </c>
      <c r="AF33" s="39" t="e">
        <f>AE33/AD33</f>
        <v>#DIV/0!</v>
      </c>
      <c r="AG33" s="67">
        <f>AG21+AG22</f>
        <v>0</v>
      </c>
      <c r="AH33" s="77">
        <f>AH21+AH22</f>
        <v>0</v>
      </c>
      <c r="AI33" s="77" t="e">
        <f>AH33/AG33</f>
        <v>#DIV/0!</v>
      </c>
      <c r="AJ33" s="67">
        <f>AJ21+AJ22</f>
        <v>0</v>
      </c>
      <c r="AK33" s="77">
        <f>AK21+AK22</f>
        <v>0</v>
      </c>
      <c r="AL33" s="77" t="e">
        <f>AK33/AJ33</f>
        <v>#DIV/0!</v>
      </c>
      <c r="AM33" s="67">
        <f>AM21+AM22</f>
        <v>145231</v>
      </c>
      <c r="AN33" s="77">
        <f>AN21+AN22</f>
        <v>12295637</v>
      </c>
      <c r="AO33" s="77">
        <f>AN33/AM33</f>
        <v>84.662620239480546</v>
      </c>
      <c r="AP33" s="165"/>
      <c r="AQ33" s="165"/>
      <c r="AR33" s="165"/>
      <c r="AS33" s="165"/>
    </row>
    <row r="34" spans="2:45" ht="15" thickBot="1" x14ac:dyDescent="0.35">
      <c r="D34" s="77"/>
      <c r="E34" s="77"/>
      <c r="F34" s="72"/>
      <c r="G34" s="72"/>
      <c r="H34" s="72"/>
      <c r="I34" s="72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N34" s="165"/>
      <c r="AO34" s="165"/>
      <c r="AP34" s="165"/>
      <c r="AQ34" s="165"/>
      <c r="AR34" s="165"/>
      <c r="AS34" s="165"/>
    </row>
    <row r="35" spans="2:45" x14ac:dyDescent="0.3">
      <c r="B35" s="49" t="s">
        <v>518</v>
      </c>
      <c r="C35" s="55"/>
      <c r="D35" s="2672">
        <f>D18-(D23+D24)</f>
        <v>5571872</v>
      </c>
      <c r="E35" s="534"/>
      <c r="F35" s="2681"/>
      <c r="G35" s="2672">
        <f>G18-(G23+G24)</f>
        <v>8420747</v>
      </c>
      <c r="H35" s="2683"/>
      <c r="I35" s="2685"/>
      <c r="J35" s="2672">
        <f>J18-(J23+J24)</f>
        <v>-79793096</v>
      </c>
      <c r="K35" s="534"/>
      <c r="L35" s="2677"/>
      <c r="M35" s="2672">
        <f>M18-(M23+M24)</f>
        <v>0</v>
      </c>
      <c r="N35" s="1639"/>
      <c r="O35" s="2679"/>
      <c r="P35" s="2672">
        <f>P18-(P23+P24)</f>
        <v>0</v>
      </c>
      <c r="Q35" s="534"/>
      <c r="R35" s="2679"/>
      <c r="S35" s="2672">
        <f>S18-(S23+S24)</f>
        <v>0</v>
      </c>
      <c r="T35" s="534"/>
      <c r="U35" s="2677"/>
      <c r="V35" s="590"/>
      <c r="W35" s="590"/>
      <c r="X35" s="590"/>
      <c r="Y35" s="590"/>
      <c r="Z35" s="590"/>
      <c r="AA35" s="590"/>
      <c r="AB35" s="590"/>
      <c r="AC35" s="590"/>
      <c r="AD35" s="590"/>
      <c r="AE35" s="590"/>
      <c r="AF35" s="590"/>
      <c r="AG35" s="590"/>
      <c r="AH35" s="590"/>
      <c r="AI35" s="590"/>
      <c r="AJ35" s="590"/>
      <c r="AK35" s="590"/>
      <c r="AL35" s="1639"/>
      <c r="AM35" s="55"/>
      <c r="AN35" s="2672">
        <f>AN18-(AN23+AN24)</f>
        <v>13992619</v>
      </c>
      <c r="AO35" s="2673"/>
      <c r="AP35" s="165"/>
      <c r="AQ35" s="165"/>
      <c r="AR35" s="165"/>
      <c r="AS35" s="165"/>
    </row>
    <row r="36" spans="2:45" ht="15" thickBot="1" x14ac:dyDescent="0.35">
      <c r="B36" s="22" t="s">
        <v>836</v>
      </c>
      <c r="C36" s="56"/>
      <c r="D36" s="2674">
        <f>D35-D25</f>
        <v>4610202</v>
      </c>
      <c r="E36" s="281"/>
      <c r="F36" s="2682"/>
      <c r="G36" s="2674">
        <f>G35-G25</f>
        <v>7609174</v>
      </c>
      <c r="H36" s="2684"/>
      <c r="I36" s="2686"/>
      <c r="J36" s="2674">
        <f>J35-J25</f>
        <v>-79793096</v>
      </c>
      <c r="K36" s="281"/>
      <c r="L36" s="2678"/>
      <c r="M36" s="2674">
        <f>M35-M25</f>
        <v>0</v>
      </c>
      <c r="N36" s="659"/>
      <c r="O36" s="2680"/>
      <c r="P36" s="2674">
        <f>P35-P25</f>
        <v>0</v>
      </c>
      <c r="Q36" s="281"/>
      <c r="R36" s="2680"/>
      <c r="S36" s="2674">
        <f>S35-S25</f>
        <v>0</v>
      </c>
      <c r="T36" s="281"/>
      <c r="U36" s="2678"/>
      <c r="V36" s="1638"/>
      <c r="W36" s="1638"/>
      <c r="X36" s="1638"/>
      <c r="Y36" s="1638"/>
      <c r="Z36" s="1638"/>
      <c r="AA36" s="1638"/>
      <c r="AB36" s="1638"/>
      <c r="AC36" s="1638"/>
      <c r="AD36" s="1638"/>
      <c r="AE36" s="1638"/>
      <c r="AF36" s="1638"/>
      <c r="AG36" s="1638"/>
      <c r="AH36" s="1638"/>
      <c r="AI36" s="1638"/>
      <c r="AJ36" s="1638"/>
      <c r="AK36" s="1638"/>
      <c r="AL36" s="659"/>
      <c r="AM36" s="2676"/>
      <c r="AN36" s="2674">
        <f>AN35-AN25</f>
        <v>12219376</v>
      </c>
      <c r="AO36" s="2675"/>
      <c r="AP36" s="165"/>
      <c r="AQ36" s="165"/>
      <c r="AR36" s="165"/>
      <c r="AS36" s="165"/>
    </row>
    <row r="37" spans="2:45" x14ac:dyDescent="0.3">
      <c r="B37" s="335"/>
      <c r="D37" s="77"/>
      <c r="E37" s="77"/>
      <c r="F37" s="72"/>
      <c r="G37" s="72"/>
      <c r="H37" s="72"/>
      <c r="I37" s="72"/>
      <c r="J37" s="77"/>
      <c r="K37" s="77"/>
      <c r="L37" s="77"/>
      <c r="M37" s="337">
        <f>'Stock Valuation (FIFO)'!P49</f>
        <v>0</v>
      </c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N37" s="336"/>
      <c r="AO37" s="165"/>
      <c r="AP37" s="165"/>
      <c r="AQ37" s="165"/>
      <c r="AR37" s="165"/>
      <c r="AS37" s="165"/>
    </row>
    <row r="38" spans="2:45" x14ac:dyDescent="0.3">
      <c r="B38" s="335" t="s">
        <v>305</v>
      </c>
      <c r="D38" s="77">
        <f>ROUND(((D4+D10)/2),0)</f>
        <v>81106131</v>
      </c>
      <c r="E38" s="77"/>
      <c r="F38" s="72"/>
      <c r="G38" s="77">
        <f>ROUND(((G4+G10)/2),0)</f>
        <v>79572486</v>
      </c>
      <c r="H38" s="72"/>
      <c r="I38" s="72"/>
      <c r="J38" s="77">
        <f>ROUND(((J4+J10)/2),0)</f>
        <v>39896548</v>
      </c>
      <c r="K38" s="77"/>
      <c r="L38" s="77"/>
      <c r="M38" s="77">
        <f>ROUND(((M4+M10)/2),0)</f>
        <v>0</v>
      </c>
      <c r="N38" s="77"/>
      <c r="O38" s="77"/>
      <c r="P38" s="77">
        <f>ROUND(((P4+P10)/2),0)</f>
        <v>0</v>
      </c>
      <c r="Q38" s="77"/>
      <c r="R38" s="77"/>
      <c r="S38" s="77">
        <f>ROUND(((S4+S10)/2),0)</f>
        <v>0</v>
      </c>
      <c r="T38" s="77"/>
      <c r="U38" s="77"/>
      <c r="V38" s="77">
        <f>ROUND(((V4+V10)/2),0)</f>
        <v>0</v>
      </c>
      <c r="W38" s="77"/>
      <c r="X38" s="77"/>
      <c r="Y38" s="77">
        <f>ROUND(((Y4+Y10)/2),0)</f>
        <v>0</v>
      </c>
      <c r="Z38" s="77"/>
      <c r="AA38" s="77"/>
      <c r="AB38" s="77">
        <f>ROUND(((AB4+AB10)/2),0)</f>
        <v>0</v>
      </c>
      <c r="AC38" s="77"/>
      <c r="AD38" s="77"/>
      <c r="AE38" s="77">
        <f>ROUND(((AE4+AE10)/2),0)</f>
        <v>0</v>
      </c>
      <c r="AF38" s="77"/>
      <c r="AG38" s="77"/>
      <c r="AH38" s="77">
        <f>ROUND(((AH4+AH10)/2),0)</f>
        <v>0</v>
      </c>
      <c r="AI38" s="77"/>
      <c r="AJ38" s="77"/>
      <c r="AK38" s="77">
        <f>ROUND(((AK4+AK10)/2),0)</f>
        <v>0</v>
      </c>
      <c r="AL38" s="77"/>
      <c r="AM38" s="327"/>
      <c r="AN38" s="77">
        <f>ROUND(((AN4+AN10)/2),0)</f>
        <v>81326741</v>
      </c>
      <c r="AO38" s="165"/>
      <c r="AP38" s="165"/>
      <c r="AQ38" s="165"/>
      <c r="AR38" s="165"/>
      <c r="AS38" s="165"/>
    </row>
    <row r="39" spans="2:45" x14ac:dyDescent="0.3">
      <c r="B39" s="12" t="s">
        <v>302</v>
      </c>
      <c r="D39" s="77"/>
      <c r="E39" s="77"/>
      <c r="F39" s="72"/>
      <c r="G39" s="72"/>
      <c r="H39" s="72"/>
      <c r="I39" s="72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N39" s="165"/>
      <c r="AO39" s="165"/>
      <c r="AP39" s="165"/>
      <c r="AQ39" s="165"/>
      <c r="AR39" s="165"/>
      <c r="AS39" s="165"/>
    </row>
    <row r="40" spans="2:45" x14ac:dyDescent="0.3">
      <c r="D40" s="77"/>
      <c r="E40" s="77"/>
      <c r="F40" s="72"/>
      <c r="G40" s="72"/>
      <c r="H40" s="72"/>
      <c r="I40" s="72"/>
      <c r="J40" s="77"/>
      <c r="K40" s="77"/>
      <c r="L40" s="77"/>
      <c r="M40" s="77"/>
      <c r="N40" s="77"/>
      <c r="O40" s="77"/>
      <c r="P40" s="77">
        <f>ROUND(('Stock Valuation (FIFO)'!S36),0)</f>
        <v>0</v>
      </c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N40" s="165"/>
      <c r="AO40" s="165"/>
      <c r="AP40" s="165"/>
      <c r="AQ40" s="165"/>
      <c r="AR40" s="165"/>
      <c r="AS40" s="165"/>
    </row>
    <row r="41" spans="2:45" x14ac:dyDescent="0.3">
      <c r="B41" s="180" t="s">
        <v>387</v>
      </c>
      <c r="C41" s="180"/>
      <c r="D41" s="561">
        <f>ROUND((D31-(C10*E41)),0)</f>
        <v>-5689407</v>
      </c>
      <c r="E41" s="561">
        <f>(E10-E4)</f>
        <v>27.617854020885204</v>
      </c>
      <c r="F41" s="896"/>
      <c r="G41" s="561">
        <f>ROUND((G31-(F10*H41)),0)</f>
        <v>1579343</v>
      </c>
      <c r="H41" s="561">
        <f>(H10-H4)</f>
        <v>17.39367562595146</v>
      </c>
      <c r="I41" s="896"/>
      <c r="J41" s="561">
        <f>ROUND((J31-(I10*K41)),0)</f>
        <v>-79793096</v>
      </c>
      <c r="K41" s="561">
        <f>(K10-K4)</f>
        <v>-230.17150703266526</v>
      </c>
      <c r="L41" s="561"/>
      <c r="M41" s="561">
        <f>ROUND((M31-(L10*N41)),0)</f>
        <v>0</v>
      </c>
      <c r="N41" s="561">
        <f>(N10-N4)</f>
        <v>0</v>
      </c>
      <c r="O41" s="561"/>
      <c r="P41" s="561">
        <f>ROUND((P31-(O10*Q41)),0)</f>
        <v>0</v>
      </c>
      <c r="Q41" s="561">
        <f>(Q10-Q4)</f>
        <v>0</v>
      </c>
      <c r="R41" s="561"/>
      <c r="S41" s="561">
        <f>ROUND((S31-(R10*T41)),0)</f>
        <v>0</v>
      </c>
      <c r="T41" s="561">
        <f>(T10-T4)</f>
        <v>0</v>
      </c>
      <c r="U41" s="561"/>
      <c r="V41" s="561">
        <f>ROUND((V31-(U10*W41)),0)</f>
        <v>0</v>
      </c>
      <c r="W41" s="561">
        <f>(W10-W4)</f>
        <v>0</v>
      </c>
      <c r="X41" s="561"/>
      <c r="Y41" s="561">
        <f>ROUND((Y31-(X10*Z41)),0)</f>
        <v>0</v>
      </c>
      <c r="Z41" s="561">
        <f>(Z10-Z4)</f>
        <v>0</v>
      </c>
      <c r="AA41" s="561"/>
      <c r="AB41" s="561"/>
      <c r="AC41" s="561"/>
      <c r="AD41" s="561"/>
      <c r="AE41" s="561"/>
      <c r="AF41" s="561"/>
      <c r="AG41" s="561"/>
      <c r="AH41" s="561"/>
      <c r="AI41" s="561"/>
      <c r="AJ41" s="561"/>
      <c r="AK41" s="561"/>
      <c r="AL41" s="561"/>
      <c r="AM41" s="180"/>
      <c r="AN41" s="561">
        <f>ROUND((AN31-(AM10*AO41)),0)</f>
        <v>-3384681</v>
      </c>
      <c r="AO41" s="561">
        <f>(AO10-AO4)</f>
        <v>45.011529646836664</v>
      </c>
      <c r="AP41" s="165"/>
      <c r="AQ41" s="165"/>
      <c r="AR41" s="165"/>
      <c r="AS41" s="165"/>
    </row>
    <row r="42" spans="2:45" x14ac:dyDescent="0.3">
      <c r="D42" s="77"/>
      <c r="E42" s="77"/>
      <c r="F42" s="72"/>
      <c r="G42" s="72"/>
      <c r="H42" s="72"/>
      <c r="I42" s="72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>
        <v>1876283</v>
      </c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N42" s="165"/>
      <c r="AO42" s="165"/>
      <c r="AP42" s="165"/>
      <c r="AQ42" s="165"/>
      <c r="AR42" s="165"/>
      <c r="AS42" s="165"/>
    </row>
    <row r="43" spans="2:45" x14ac:dyDescent="0.3">
      <c r="D43" s="77"/>
      <c r="E43" s="77"/>
      <c r="F43" s="72"/>
      <c r="G43" s="72"/>
      <c r="H43" s="72"/>
      <c r="I43" s="72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N43" s="165"/>
      <c r="AO43" s="165"/>
      <c r="AP43" s="165"/>
      <c r="AQ43" s="165"/>
      <c r="AR43" s="165"/>
      <c r="AS43" s="165"/>
    </row>
    <row r="44" spans="2:45" x14ac:dyDescent="0.3">
      <c r="D44" s="77"/>
      <c r="E44" s="77"/>
      <c r="F44" s="72"/>
      <c r="G44" s="72"/>
      <c r="H44" s="72"/>
      <c r="I44" s="72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N44" s="165"/>
      <c r="AO44" s="165"/>
      <c r="AP44" s="165"/>
      <c r="AQ44" s="165"/>
      <c r="AR44" s="165"/>
      <c r="AS44" s="165"/>
    </row>
    <row r="45" spans="2:45" x14ac:dyDescent="0.3">
      <c r="D45" s="77"/>
      <c r="E45" s="77"/>
      <c r="F45" s="72"/>
      <c r="G45" s="72"/>
      <c r="H45" s="72"/>
      <c r="I45" s="72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N45" s="165"/>
      <c r="AO45" s="165"/>
      <c r="AP45" s="165"/>
      <c r="AQ45" s="165"/>
      <c r="AR45" s="165"/>
      <c r="AS45" s="165"/>
    </row>
    <row r="46" spans="2:45" x14ac:dyDescent="0.3">
      <c r="B46" s="51" t="s">
        <v>210</v>
      </c>
      <c r="C46" s="51"/>
      <c r="D46" s="77">
        <f>'Stock Valuation (FIFO)'!G37</f>
        <v>29062858</v>
      </c>
      <c r="E46" s="77"/>
      <c r="F46" s="72"/>
      <c r="G46" s="39">
        <f>'Stock Valuation (FIFO)'!J37</f>
        <v>15379466</v>
      </c>
      <c r="H46" s="72"/>
      <c r="I46" s="72"/>
      <c r="J46" s="77">
        <f>'Stock Valuation (FIFO)'!M37</f>
        <v>0</v>
      </c>
      <c r="K46" s="79"/>
      <c r="L46" s="51"/>
      <c r="M46" s="79"/>
      <c r="N46" s="79"/>
      <c r="O46" s="51"/>
      <c r="P46" s="79"/>
      <c r="Q46" s="79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N46" s="165">
        <f>J46</f>
        <v>0</v>
      </c>
      <c r="AO46" s="165"/>
      <c r="AP46" s="165"/>
      <c r="AQ46" s="165"/>
      <c r="AR46" s="165"/>
      <c r="AS46" s="165"/>
    </row>
    <row r="47" spans="2:45" ht="15" thickBot="1" x14ac:dyDescent="0.35">
      <c r="B47" s="54" t="s">
        <v>211</v>
      </c>
      <c r="C47" s="54"/>
      <c r="D47" s="78">
        <v>5657183</v>
      </c>
      <c r="E47" s="54"/>
      <c r="F47" s="278"/>
      <c r="G47" s="64">
        <f>D47</f>
        <v>5657183</v>
      </c>
      <c r="H47" s="64"/>
      <c r="I47" s="64"/>
      <c r="J47" s="78">
        <f>G47</f>
        <v>5657183</v>
      </c>
      <c r="K47" s="54"/>
      <c r="L47" s="54"/>
      <c r="M47" s="78">
        <f>J47</f>
        <v>5657183</v>
      </c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279">
        <f>J47</f>
        <v>5657183</v>
      </c>
      <c r="AO47" s="165"/>
      <c r="AP47" s="165"/>
      <c r="AQ47" s="165"/>
      <c r="AR47" s="165"/>
      <c r="AS47" s="165"/>
    </row>
    <row r="48" spans="2:45" x14ac:dyDescent="0.3">
      <c r="D48" s="77">
        <f>D46-D47</f>
        <v>23405675</v>
      </c>
      <c r="F48" s="72"/>
      <c r="G48" s="77">
        <f>G46-G47</f>
        <v>9722283</v>
      </c>
      <c r="H48" s="72"/>
      <c r="I48" s="72"/>
      <c r="J48" s="77">
        <f>J46-J47</f>
        <v>-5657183</v>
      </c>
      <c r="M48" s="77">
        <f>M46-M47</f>
        <v>-5657183</v>
      </c>
      <c r="AN48" s="165">
        <f>AN46-AN47</f>
        <v>-5657183</v>
      </c>
      <c r="AO48" s="165"/>
      <c r="AP48" s="165"/>
      <c r="AQ48" s="220"/>
      <c r="AR48" s="220"/>
      <c r="AS48" s="220"/>
    </row>
    <row r="49" spans="2:45" x14ac:dyDescent="0.3">
      <c r="F49" s="72"/>
      <c r="G49" s="72"/>
      <c r="H49" s="72"/>
      <c r="I49" s="72"/>
      <c r="AM49" s="77"/>
      <c r="AN49" s="220"/>
      <c r="AO49" s="165"/>
      <c r="AP49" s="165"/>
      <c r="AQ49" s="165"/>
      <c r="AR49" s="165"/>
      <c r="AS49" s="165"/>
    </row>
    <row r="50" spans="2:45" x14ac:dyDescent="0.3">
      <c r="AO50" s="165"/>
      <c r="AP50" s="165"/>
      <c r="AQ50" s="220"/>
      <c r="AR50" s="220"/>
      <c r="AS50" s="220"/>
    </row>
    <row r="51" spans="2:45" x14ac:dyDescent="0.3">
      <c r="B51" s="12" t="s">
        <v>398</v>
      </c>
      <c r="D51" s="39">
        <f>D11-(D6+'PAL II'!E64)</f>
        <v>10680640</v>
      </c>
      <c r="F51" s="72"/>
      <c r="G51" s="39">
        <f>G11-(G6+'PAL II'!G64)</f>
        <v>14223529</v>
      </c>
      <c r="H51" s="72"/>
      <c r="I51" s="72"/>
      <c r="J51" s="39">
        <f>J11-(J6+'PAL II'!I64)</f>
        <v>79783721</v>
      </c>
      <c r="M51" s="39">
        <f>M11-(M6+'PAL II'!M64)</f>
        <v>0</v>
      </c>
      <c r="P51" s="39">
        <f>P11-(P6+'PAL II'!Q64)</f>
        <v>0</v>
      </c>
      <c r="S51" s="39">
        <f>S11-(S6+'PAL II'!U64)</f>
        <v>0</v>
      </c>
      <c r="V51" s="39">
        <f>V11-(V6+'PAL II'!V64)</f>
        <v>0</v>
      </c>
      <c r="Y51" s="39">
        <f>Y11-(Y6+'PAL II'!Y64)</f>
        <v>0</v>
      </c>
      <c r="AB51" s="39">
        <f>AB11-(AB6+'PAL II'!AB64)</f>
        <v>0</v>
      </c>
      <c r="AE51" s="39">
        <f>AE11-(AE6+'PAL II'!AG64)</f>
        <v>0</v>
      </c>
      <c r="AH51" s="39">
        <f>AH11-(AH6+'PAL II'!AK64)</f>
        <v>0</v>
      </c>
      <c r="AM51" s="51"/>
      <c r="AN51" s="39">
        <f>AN11-(AN6+'PAL II'!AO64)</f>
        <v>24913544</v>
      </c>
    </row>
    <row r="52" spans="2:45" x14ac:dyDescent="0.3">
      <c r="F52" s="72"/>
      <c r="G52" s="72"/>
      <c r="H52" s="72"/>
      <c r="I52" s="72"/>
      <c r="AN52" s="39">
        <f>'PAL II'!AO64+AN6</f>
        <v>3694833</v>
      </c>
    </row>
    <row r="53" spans="2:45" x14ac:dyDescent="0.3">
      <c r="D53" s="39"/>
      <c r="AN53" s="39">
        <f>AN11-AN52</f>
        <v>24913544</v>
      </c>
    </row>
    <row r="54" spans="2:45" x14ac:dyDescent="0.3">
      <c r="D54" s="39"/>
    </row>
    <row r="61" spans="2:45" x14ac:dyDescent="0.3">
      <c r="B61" s="12" t="s">
        <v>401</v>
      </c>
    </row>
    <row r="62" spans="2:45" x14ac:dyDescent="0.3">
      <c r="B62" s="12" t="s">
        <v>400</v>
      </c>
      <c r="D62" s="39">
        <f>'Trading PL'!C19</f>
        <v>2226362</v>
      </c>
      <c r="E62" s="39"/>
      <c r="F62" s="39"/>
      <c r="G62" s="39">
        <f>'Trading PL'!F19</f>
        <v>1448934</v>
      </c>
      <c r="H62" s="39"/>
      <c r="I62" s="39"/>
      <c r="J62" s="39">
        <f>'Trading PL'!I19</f>
        <v>0</v>
      </c>
      <c r="K62" s="39"/>
      <c r="L62" s="39"/>
      <c r="M62" s="39">
        <f>'Trading PL'!L19</f>
        <v>0</v>
      </c>
      <c r="N62" s="39"/>
      <c r="O62" s="39"/>
      <c r="P62" s="39">
        <f>'Trading PL'!O19</f>
        <v>0</v>
      </c>
      <c r="Q62" s="39"/>
      <c r="R62" s="39"/>
      <c r="S62" s="39">
        <f>'Trading PL'!R19</f>
        <v>0</v>
      </c>
      <c r="T62" s="39"/>
      <c r="U62" s="39"/>
      <c r="V62" s="39">
        <f>'Trading PL'!U19</f>
        <v>0</v>
      </c>
      <c r="W62" s="39"/>
      <c r="X62" s="39"/>
      <c r="Y62" s="39">
        <f>'Trading PL'!X19</f>
        <v>0</v>
      </c>
      <c r="Z62" s="39"/>
      <c r="AA62" s="39"/>
      <c r="AB62" s="39">
        <f>'Trading PL'!AA19</f>
        <v>0</v>
      </c>
      <c r="AC62" s="39"/>
      <c r="AD62" s="39"/>
      <c r="AE62" s="39">
        <f>'Trading PL'!AD19</f>
        <v>0</v>
      </c>
      <c r="AF62" s="39"/>
      <c r="AG62" s="39"/>
      <c r="AH62" s="39">
        <f>'Trading PL'!AG19</f>
        <v>0</v>
      </c>
      <c r="AI62" s="39"/>
      <c r="AJ62" s="39"/>
      <c r="AK62" s="39"/>
      <c r="AL62" s="39"/>
      <c r="AM62" s="39"/>
      <c r="AN62" s="39">
        <f>'Trading PL'!AM19</f>
        <v>3921268</v>
      </c>
    </row>
    <row r="63" spans="2:45" x14ac:dyDescent="0.3">
      <c r="B63" s="12" t="s">
        <v>402</v>
      </c>
      <c r="D63" s="39">
        <f>'PAL II'!E11-'PAL II'!E64</f>
        <v>16279336</v>
      </c>
      <c r="E63" s="39"/>
      <c r="F63" s="39"/>
      <c r="G63" s="39">
        <f>'PAL II'!I11-'PAL II'!G64</f>
        <v>12675495</v>
      </c>
      <c r="H63" s="39"/>
      <c r="I63" s="39"/>
      <c r="J63" s="39">
        <f>'PAL II'!M11-'PAL II'!I64</f>
        <v>14342153</v>
      </c>
      <c r="K63" s="39"/>
      <c r="L63" s="39"/>
      <c r="M63" s="39">
        <f>'PAL II'!Q11-'PAL II'!M64</f>
        <v>0</v>
      </c>
      <c r="N63" s="39"/>
      <c r="O63" s="39"/>
      <c r="P63" s="39">
        <f>'PAL II'!U11-'PAL II'!Q64</f>
        <v>0</v>
      </c>
      <c r="Q63" s="39"/>
      <c r="R63" s="39"/>
      <c r="S63" s="39">
        <f>'PAL II'!Y11-'PAL II'!U64</f>
        <v>0</v>
      </c>
      <c r="T63" s="39"/>
      <c r="U63" s="39"/>
      <c r="V63" s="39">
        <f>'PAL II'!AC11-'PAL II'!V64</f>
        <v>0</v>
      </c>
      <c r="W63" s="39"/>
      <c r="X63" s="39"/>
      <c r="Y63" s="39">
        <f>'PAL II'!AG11-'PAL II'!Y64</f>
        <v>0</v>
      </c>
      <c r="Z63" s="39"/>
      <c r="AA63" s="39"/>
      <c r="AB63" s="39">
        <f>'PAL II'!AK11-'PAL II'!AB64</f>
        <v>0</v>
      </c>
      <c r="AC63" s="39"/>
      <c r="AD63" s="39"/>
      <c r="AE63" s="39">
        <f>'PAL II'!AO11-'PAL II'!AG64</f>
        <v>0</v>
      </c>
      <c r="AF63" s="39"/>
      <c r="AG63" s="39"/>
      <c r="AH63" s="39">
        <f>'PAL II'!AS11-'PAL II'!AK64</f>
        <v>0</v>
      </c>
      <c r="AI63" s="39"/>
      <c r="AJ63" s="39"/>
      <c r="AK63" s="39"/>
      <c r="AL63" s="39"/>
      <c r="AM63" s="39"/>
      <c r="AN63" s="39">
        <f>'PAL II'!BA11-'PAL II'!AO64</f>
        <v>43315734</v>
      </c>
    </row>
    <row r="64" spans="2:45" x14ac:dyDescent="0.3">
      <c r="D64" s="39">
        <f>SUM(D51:D63)</f>
        <v>29186338</v>
      </c>
      <c r="G64" s="39">
        <f>SUM(G51:G63)</f>
        <v>28347958</v>
      </c>
      <c r="J64" s="39">
        <f>SUM(J51:J63)</f>
        <v>94125874</v>
      </c>
      <c r="M64" s="39">
        <f>SUM(M51:M63)</f>
        <v>0</v>
      </c>
      <c r="P64" s="39">
        <f>SUM(P51:P63)</f>
        <v>0</v>
      </c>
      <c r="S64" s="39">
        <f>SUM(S51:S63)</f>
        <v>0</v>
      </c>
      <c r="V64" s="39">
        <f>SUM(V51:V63)</f>
        <v>0</v>
      </c>
      <c r="Y64" s="39">
        <f>SUM(Y51:Y63)</f>
        <v>0</v>
      </c>
      <c r="AB64" s="39">
        <f>SUM(AB51:AB63)</f>
        <v>0</v>
      </c>
      <c r="AE64" s="39">
        <f>SUM(AE51:AE63)</f>
        <v>0</v>
      </c>
      <c r="AH64" s="39">
        <f>SUM(AH51:AH63)</f>
        <v>0</v>
      </c>
      <c r="AN64" s="39">
        <f>SUM(AN51:AN63)</f>
        <v>100758923</v>
      </c>
    </row>
    <row r="65" spans="40:40" x14ac:dyDescent="0.3">
      <c r="AN65" s="39">
        <f>AN11</f>
        <v>28608377</v>
      </c>
    </row>
    <row r="66" spans="40:40" x14ac:dyDescent="0.3">
      <c r="AN66" s="39">
        <f>AN64-AN65</f>
        <v>72150546</v>
      </c>
    </row>
  </sheetData>
  <mergeCells count="15">
    <mergeCell ref="AP21:AP22"/>
    <mergeCell ref="B1:AO1"/>
    <mergeCell ref="AJ2:AL2"/>
    <mergeCell ref="AM2:AO2"/>
    <mergeCell ref="R2:T2"/>
    <mergeCell ref="U2:W2"/>
    <mergeCell ref="X2:Z2"/>
    <mergeCell ref="AA2:AC2"/>
    <mergeCell ref="AD2:AF2"/>
    <mergeCell ref="AG2:AI2"/>
    <mergeCell ref="C2:E2"/>
    <mergeCell ref="F2:H2"/>
    <mergeCell ref="I2:K2"/>
    <mergeCell ref="L2:N2"/>
    <mergeCell ref="O2:Q2"/>
  </mergeCells>
  <printOptions horizontalCentered="1"/>
  <pageMargins left="0.7" right="0.7" top="0.75" bottom="0.75" header="0.3" footer="0.3"/>
  <pageSetup paperSize="9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AQ74"/>
  <sheetViews>
    <sheetView tabSelected="1" zoomScale="126" zoomScaleNormal="126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F77" sqref="F77"/>
    </sheetView>
  </sheetViews>
  <sheetFormatPr defaultRowHeight="13.2" x14ac:dyDescent="0.25"/>
  <cols>
    <col min="1" max="1" width="30.33203125" bestFit="1" customWidth="1"/>
    <col min="2" max="2" width="11.33203125" style="2" customWidth="1"/>
    <col min="3" max="3" width="15.109375" style="2" customWidth="1"/>
    <col min="4" max="4" width="8.109375" style="2" customWidth="1"/>
    <col min="5" max="5" width="11.33203125" customWidth="1"/>
    <col min="6" max="6" width="15.109375" customWidth="1"/>
    <col min="7" max="7" width="8.109375" customWidth="1"/>
    <col min="8" max="8" width="11.33203125" customWidth="1"/>
    <col min="9" max="9" width="15.109375" customWidth="1"/>
    <col min="10" max="10" width="8.109375" customWidth="1"/>
    <col min="11" max="11" width="11.33203125" customWidth="1"/>
    <col min="12" max="12" width="15.109375" customWidth="1"/>
    <col min="13" max="13" width="8.109375" customWidth="1"/>
    <col min="14" max="14" width="11.33203125" customWidth="1"/>
    <col min="15" max="15" width="15.109375" customWidth="1"/>
    <col min="16" max="16" width="8.109375" customWidth="1"/>
    <col min="17" max="17" width="11.33203125" customWidth="1"/>
    <col min="18" max="18" width="15.109375" customWidth="1"/>
    <col min="19" max="19" width="8.109375" customWidth="1"/>
    <col min="20" max="20" width="11.33203125" customWidth="1"/>
    <col min="21" max="21" width="16.33203125" customWidth="1"/>
    <col min="22" max="22" width="8" customWidth="1"/>
    <col min="23" max="23" width="11.33203125" customWidth="1"/>
    <col min="24" max="24" width="16.33203125" customWidth="1"/>
    <col min="25" max="25" width="8" customWidth="1"/>
    <col min="26" max="26" width="11.33203125" customWidth="1"/>
    <col min="27" max="27" width="15.6640625" customWidth="1"/>
    <col min="28" max="28" width="8" customWidth="1"/>
    <col min="29" max="29" width="11" customWidth="1"/>
    <col min="30" max="30" width="15.33203125" customWidth="1"/>
    <col min="31" max="31" width="8.5546875" customWidth="1"/>
    <col min="32" max="32" width="11.33203125" customWidth="1"/>
    <col min="33" max="33" width="15.6640625" customWidth="1"/>
    <col min="34" max="34" width="8.109375" customWidth="1"/>
    <col min="35" max="35" width="11.33203125" bestFit="1" customWidth="1"/>
    <col min="36" max="36" width="15.6640625" bestFit="1" customWidth="1"/>
    <col min="37" max="37" width="8.109375" bestFit="1" customWidth="1"/>
    <col min="38" max="38" width="14.109375" bestFit="1" customWidth="1"/>
    <col min="39" max="39" width="16.33203125" bestFit="1" customWidth="1"/>
    <col min="40" max="40" width="8.109375" bestFit="1" customWidth="1"/>
    <col min="42" max="42" width="16.33203125" bestFit="1" customWidth="1"/>
    <col min="43" max="43" width="15.44140625" bestFit="1" customWidth="1"/>
  </cols>
  <sheetData>
    <row r="1" spans="1:43" x14ac:dyDescent="0.25">
      <c r="A1" s="3134"/>
      <c r="B1" s="3134"/>
      <c r="C1" s="3134"/>
      <c r="D1" s="3134"/>
      <c r="E1" s="3134"/>
      <c r="F1" s="3134"/>
      <c r="G1" s="3134"/>
      <c r="H1" s="3134"/>
      <c r="I1" s="3134"/>
      <c r="J1" s="3134"/>
      <c r="K1" s="3134"/>
      <c r="L1" s="3134"/>
      <c r="M1" s="3134"/>
      <c r="N1" s="3134"/>
      <c r="O1" s="3134"/>
      <c r="P1" s="3134"/>
      <c r="Q1" s="3134"/>
      <c r="R1" s="3134"/>
      <c r="S1" s="3134"/>
      <c r="T1" s="3134"/>
      <c r="U1" s="3134"/>
      <c r="V1" s="3134"/>
      <c r="W1" s="3134"/>
      <c r="X1" s="3134"/>
      <c r="Y1" s="3134"/>
      <c r="Z1" s="3134"/>
      <c r="AA1" s="3134"/>
      <c r="AB1" s="3134"/>
      <c r="AC1" s="3134"/>
      <c r="AD1" s="3134"/>
      <c r="AE1" s="3134"/>
      <c r="AF1" s="3134"/>
      <c r="AG1" s="3134"/>
      <c r="AH1" s="3134"/>
      <c r="AI1" s="3134"/>
      <c r="AJ1" s="3134"/>
      <c r="AK1" s="3134"/>
      <c r="AL1" s="3134"/>
      <c r="AM1" s="3134"/>
      <c r="AN1" s="3134"/>
    </row>
    <row r="2" spans="1:43" ht="13.8" thickBot="1" x14ac:dyDescent="0.3">
      <c r="B2" s="3142" t="s">
        <v>16</v>
      </c>
      <c r="C2" s="3142"/>
      <c r="D2" s="3142"/>
      <c r="E2" s="3142" t="s">
        <v>4</v>
      </c>
      <c r="F2" s="3142"/>
      <c r="G2" s="3142"/>
      <c r="H2" s="3142" t="s">
        <v>17</v>
      </c>
      <c r="I2" s="3142"/>
      <c r="J2" s="3142"/>
      <c r="K2" s="3142" t="s">
        <v>18</v>
      </c>
      <c r="L2" s="3142"/>
      <c r="M2" s="3142"/>
      <c r="N2" s="3142" t="s">
        <v>19</v>
      </c>
      <c r="O2" s="3142"/>
      <c r="P2" s="3142"/>
      <c r="Q2" s="3142" t="s">
        <v>20</v>
      </c>
      <c r="R2" s="3142"/>
      <c r="S2" s="3142"/>
      <c r="T2" s="3142" t="s">
        <v>13</v>
      </c>
      <c r="U2" s="3142"/>
      <c r="V2" s="3142"/>
      <c r="W2" s="3142" t="s">
        <v>5</v>
      </c>
      <c r="X2" s="3142"/>
      <c r="Y2" s="3142"/>
      <c r="Z2" s="3142" t="s">
        <v>6</v>
      </c>
      <c r="AA2" s="3142"/>
      <c r="AB2" s="3142"/>
      <c r="AC2" s="3142" t="s">
        <v>7</v>
      </c>
      <c r="AD2" s="3142"/>
      <c r="AE2" s="3142"/>
      <c r="AF2" s="3142" t="s">
        <v>8</v>
      </c>
      <c r="AG2" s="3142"/>
      <c r="AH2" s="3142"/>
      <c r="AI2" s="3142" t="s">
        <v>9</v>
      </c>
      <c r="AJ2" s="3142"/>
      <c r="AK2" s="3142"/>
      <c r="AL2" s="3142" t="s">
        <v>0</v>
      </c>
      <c r="AM2" s="3142"/>
      <c r="AN2" s="3142"/>
    </row>
    <row r="3" spans="1:43" x14ac:dyDescent="0.25">
      <c r="A3" s="2388" t="s">
        <v>666</v>
      </c>
      <c r="B3" s="2365">
        <f>ROUND(('Inventory Sales'!B11-'Inventory Sales'!B10),0)-(B5)</f>
        <v>67411</v>
      </c>
      <c r="C3" s="2320">
        <f>ROUND(('Inventory Sales'!D11-('Inventory Sales'!D35)),0)-(C4+C5)</f>
        <v>19687267</v>
      </c>
      <c r="D3" s="2019">
        <f t="shared" ref="D3:D8" si="0">IF(B3=0,0,C3/B3)</f>
        <v>292.04828588805981</v>
      </c>
      <c r="E3" s="2365">
        <f>ROUND(('Inventory Sales'!E11-'Inventory Sales'!E10),0)-(E5)</f>
        <v>98785</v>
      </c>
      <c r="F3" s="2320">
        <f>ROUND(('Inventory Sales'!G11-('Inventory Sales'!G35)),0)-(F4+F5)</f>
        <v>28480651</v>
      </c>
      <c r="G3" s="2019">
        <f t="shared" ref="G3:G8" si="1">IF(E3=0,0,F3/E3)</f>
        <v>288.3094700612441</v>
      </c>
      <c r="H3" s="2365">
        <f>ROUND(('Inventory Sales'!H11-'Inventory Sales'!H10),0)-(H5)</f>
        <v>0</v>
      </c>
      <c r="I3" s="2320" t="e">
        <f>ROUND(('Inventory Sales'!J11-('Inventory Sales'!J35)),0)-(I4+I5)</f>
        <v>#DIV/0!</v>
      </c>
      <c r="J3" s="2019">
        <f t="shared" ref="J3:J8" si="2">IF(H3=0,0,I3/H3)</f>
        <v>0</v>
      </c>
      <c r="K3" s="2365">
        <f>ROUND(('Inventory Sales'!K11-'Inventory Sales'!K10),0)-(K5)</f>
        <v>0</v>
      </c>
      <c r="L3" s="2320" t="e">
        <f>ROUND(('Inventory Sales'!M11-('Inventory Sales'!M35)),0)-(L4+L5)</f>
        <v>#DIV/0!</v>
      </c>
      <c r="M3" s="2055">
        <f t="shared" ref="M3:M8" si="3">IF(K3=0,0,L3/K3)</f>
        <v>0</v>
      </c>
      <c r="N3" s="2365">
        <f>ROUND(('Inventory Sales'!N11-'Inventory Sales'!N10),0)-(N5)</f>
        <v>0</v>
      </c>
      <c r="O3" s="2320" t="e">
        <f>ROUND(('Inventory Sales'!P11-('Inventory Sales'!P35)),0)-(O4+O5)</f>
        <v>#DIV/0!</v>
      </c>
      <c r="P3" s="2020">
        <f t="shared" ref="P3:P8" si="4">IF(N3=0,0,O3/N3)</f>
        <v>0</v>
      </c>
      <c r="Q3" s="2365">
        <f>ROUND(('Inventory Sales'!Q46),0)</f>
        <v>0</v>
      </c>
      <c r="R3" s="2320">
        <f>'Inventory Sales'!S46</f>
        <v>0</v>
      </c>
      <c r="S3" s="2020">
        <f t="shared" ref="S3:S8" si="5">IF(Q3=0,0,R3/Q3)</f>
        <v>0</v>
      </c>
      <c r="T3" s="2365">
        <f>ROUND(('Inventory Sales'!T46),0)</f>
        <v>0</v>
      </c>
      <c r="U3" s="2289">
        <f>ROUND(('Inventory Sales'!V46),0)</f>
        <v>0</v>
      </c>
      <c r="V3" s="2019">
        <f t="shared" ref="V3:V8" si="6">IF(T3=0,0,U3/T3)</f>
        <v>0</v>
      </c>
      <c r="W3" s="2725">
        <f>ROUND(('Inventory Sales'!W46),0)</f>
        <v>0</v>
      </c>
      <c r="X3" s="2289">
        <f>ROUND(('Inventory Sales'!Y46),0)</f>
        <v>0</v>
      </c>
      <c r="Y3" s="2055">
        <f t="shared" ref="Y3:Y8" si="7">IF(W3=0,0,X3/W3)</f>
        <v>0</v>
      </c>
      <c r="Z3" s="2823">
        <f>ROUND(('Inventory Sales'!Z46),0)</f>
        <v>0</v>
      </c>
      <c r="AA3" s="2289">
        <f>ROUND(('Inventory Sales'!AB46),0)</f>
        <v>0</v>
      </c>
      <c r="AB3" s="2020">
        <f t="shared" ref="AB3:AB8" si="8">IF(Z3=0,0,AA3/Z3)</f>
        <v>0</v>
      </c>
      <c r="AC3" s="2365">
        <f>ROUND(('Inventory Sales'!AC46),0)</f>
        <v>0</v>
      </c>
      <c r="AD3" s="2320">
        <f>ROUND(('Inventory Sales'!AE46),0)</f>
        <v>0</v>
      </c>
      <c r="AE3" s="2019">
        <f t="shared" ref="AE3:AE8" si="9">IF(AC3=0,0,AD3/AC3)</f>
        <v>0</v>
      </c>
      <c r="AF3" s="2823">
        <f>ROUND(('Inventory Sales'!AF46),0)</f>
        <v>0</v>
      </c>
      <c r="AG3" s="2320">
        <f>ROUND(('Inventory Sales'!AH46),0)</f>
        <v>0</v>
      </c>
      <c r="AH3" s="2020">
        <f t="shared" ref="AH3:AH8" si="10">IF(AF3=0,0,AG3/AF3)</f>
        <v>0</v>
      </c>
      <c r="AI3" s="2365">
        <f>ROUND(('Inventory Sales'!AI46),0)</f>
        <v>0</v>
      </c>
      <c r="AJ3" s="2289">
        <f>ROUND(('Inventory Sales'!AK46),0)</f>
        <v>0</v>
      </c>
      <c r="AK3" s="2019">
        <f t="shared" ref="AK3:AK8" si="11">IF(AI3=0,0,AJ3/AI3)</f>
        <v>0</v>
      </c>
      <c r="AL3" s="2365">
        <f>ROUND(('Inventory Sales'!AL46),0)</f>
        <v>166196</v>
      </c>
      <c r="AM3" s="2411">
        <f>ROUND(('Inventory Sales'!AN46),0)</f>
        <v>48167918</v>
      </c>
      <c r="AN3" s="2019">
        <f t="shared" ref="AN3:AN8" si="12">IF(AL3=0,0,AM3/AL3)</f>
        <v>289.82597655779921</v>
      </c>
      <c r="AP3" s="153"/>
      <c r="AQ3" s="153"/>
    </row>
    <row r="4" spans="1:43" x14ac:dyDescent="0.25">
      <c r="A4" s="1334" t="s">
        <v>667</v>
      </c>
      <c r="B4" s="97">
        <f>ROUND(('Inventory Sales'!B10),0)</f>
        <v>6050</v>
      </c>
      <c r="C4" s="2312">
        <f>'Inventory Sales'!D10</f>
        <v>1083000</v>
      </c>
      <c r="D4" s="1535">
        <f t="shared" si="0"/>
        <v>179.0082644628099</v>
      </c>
      <c r="E4" s="97">
        <f>ROUND(('Inventory Sales'!E10),0)</f>
        <v>4500</v>
      </c>
      <c r="F4" s="2312">
        <f>'Inventory Sales'!G10</f>
        <v>792500</v>
      </c>
      <c r="G4" s="1535">
        <f t="shared" si="1"/>
        <v>176.11111111111111</v>
      </c>
      <c r="H4" s="97">
        <f>ROUND(('Inventory Sales'!H10),0)</f>
        <v>0</v>
      </c>
      <c r="I4" s="2312">
        <f>'Inventory Sales'!J10</f>
        <v>0</v>
      </c>
      <c r="J4" s="1535">
        <f t="shared" si="2"/>
        <v>0</v>
      </c>
      <c r="K4" s="97">
        <f>ROUND(('Inventory Sales'!K10),0)</f>
        <v>0</v>
      </c>
      <c r="L4" s="2312">
        <f>'Inventory Sales'!M10</f>
        <v>0</v>
      </c>
      <c r="M4" s="2275">
        <f t="shared" si="3"/>
        <v>0</v>
      </c>
      <c r="N4" s="97">
        <f>ROUND(('Inventory Sales'!N10),0)</f>
        <v>0</v>
      </c>
      <c r="O4" s="2312">
        <f>'Inventory Sales'!P10</f>
        <v>0</v>
      </c>
      <c r="P4" s="1916">
        <f t="shared" si="4"/>
        <v>0</v>
      </c>
      <c r="Q4" s="97">
        <f>'Inventory Sales'!Q10</f>
        <v>0</v>
      </c>
      <c r="R4" s="2312">
        <f>'Inventory Sales'!S10</f>
        <v>0</v>
      </c>
      <c r="S4" s="1916">
        <f t="shared" si="5"/>
        <v>0</v>
      </c>
      <c r="T4" s="97">
        <f>'Inventory Sales'!T10</f>
        <v>0</v>
      </c>
      <c r="U4" s="528">
        <f>'Inventory Sales'!V10</f>
        <v>0</v>
      </c>
      <c r="V4" s="1535">
        <f t="shared" si="6"/>
        <v>0</v>
      </c>
      <c r="W4" s="116">
        <f>'Inventory Sales'!W10</f>
        <v>0</v>
      </c>
      <c r="X4" s="2652">
        <f>'Inventory Sales'!Y10</f>
        <v>0</v>
      </c>
      <c r="Y4" s="2275">
        <f t="shared" si="7"/>
        <v>0</v>
      </c>
      <c r="Z4" s="2824">
        <f>ROUND(('Inventory Sales'!Z10),0)</f>
        <v>0</v>
      </c>
      <c r="AA4" s="2652">
        <f>'Inventory Sales'!AB10</f>
        <v>0</v>
      </c>
      <c r="AB4" s="1916">
        <f t="shared" si="8"/>
        <v>0</v>
      </c>
      <c r="AC4" s="97">
        <f>'Inventory Sales'!AC10</f>
        <v>0</v>
      </c>
      <c r="AD4" s="2834">
        <f>'Inventory Sales'!AE10</f>
        <v>0</v>
      </c>
      <c r="AE4" s="1535">
        <f t="shared" si="9"/>
        <v>0</v>
      </c>
      <c r="AF4" s="2824">
        <f>'Inventory Sales'!AF10</f>
        <v>0</v>
      </c>
      <c r="AG4" s="2879">
        <f>'Inventory Sales'!AH10</f>
        <v>0</v>
      </c>
      <c r="AH4" s="1916">
        <f t="shared" si="10"/>
        <v>0</v>
      </c>
      <c r="AI4" s="97">
        <f>ROUND(('Inventory Sales'!AI10),0)</f>
        <v>0</v>
      </c>
      <c r="AJ4" s="2652">
        <f>ROUND(('Inventory Sales'!AK10),0)</f>
        <v>0</v>
      </c>
      <c r="AK4" s="1535">
        <f t="shared" si="11"/>
        <v>0</v>
      </c>
      <c r="AL4" s="97">
        <f>ROUND(('Inventory Sales'!AL10),0)</f>
        <v>10550</v>
      </c>
      <c r="AM4" s="2412">
        <f>ROUND(('Inventory Sales'!AN10),0)</f>
        <v>1875500</v>
      </c>
      <c r="AN4" s="1535">
        <f t="shared" si="12"/>
        <v>177.77251184834122</v>
      </c>
      <c r="AP4" s="153"/>
      <c r="AQ4" s="153"/>
    </row>
    <row r="5" spans="1:43" x14ac:dyDescent="0.25">
      <c r="A5" s="1334" t="s">
        <v>668</v>
      </c>
      <c r="B5" s="2366">
        <f>ROUND(('Inventory Sales'!B45),0)</f>
        <v>22533</v>
      </c>
      <c r="C5" s="2312">
        <f>ROUND((B5*'Inventory Sales'!C44),0)</f>
        <v>6580724</v>
      </c>
      <c r="D5" s="1535">
        <f t="shared" si="0"/>
        <v>292.04828473793992</v>
      </c>
      <c r="E5" s="2366">
        <f>ROUND(('Inventory Sales'!E45),0)</f>
        <v>9376</v>
      </c>
      <c r="F5" s="2312">
        <f>ROUND((E5*'Inventory Sales'!F44),0)</f>
        <v>2703202</v>
      </c>
      <c r="G5" s="1535">
        <f t="shared" si="1"/>
        <v>288.31079351535834</v>
      </c>
      <c r="H5" s="2366">
        <f>ROUND(('Inventory Sales'!H45),0)</f>
        <v>0</v>
      </c>
      <c r="I5" s="2312" t="e">
        <f>ROUND((H5*'Inventory Sales'!I44),0)</f>
        <v>#DIV/0!</v>
      </c>
      <c r="J5" s="1535">
        <f t="shared" si="2"/>
        <v>0</v>
      </c>
      <c r="K5" s="2366">
        <f>ROUND(('Inventory Sales'!K45),0)</f>
        <v>0</v>
      </c>
      <c r="L5" s="2312" t="e">
        <f>ROUND((K5*'Inventory Sales'!L44),0)</f>
        <v>#DIV/0!</v>
      </c>
      <c r="M5" s="2275">
        <f t="shared" si="3"/>
        <v>0</v>
      </c>
      <c r="N5" s="2366">
        <f>ROUND(('Inventory Sales'!N45),0)</f>
        <v>0</v>
      </c>
      <c r="O5" s="2312" t="e">
        <f>ROUND((N5*'Inventory Sales'!O44),0)</f>
        <v>#DIV/0!</v>
      </c>
      <c r="P5" s="1916">
        <f t="shared" si="4"/>
        <v>0</v>
      </c>
      <c r="Q5" s="2366">
        <f>ROUND(('Inventory Sales'!Q45),0)</f>
        <v>0</v>
      </c>
      <c r="R5" s="2312">
        <f>ROUND(('Inventory Sales'!S45),0)</f>
        <v>0</v>
      </c>
      <c r="S5" s="1916">
        <f t="shared" si="5"/>
        <v>0</v>
      </c>
      <c r="T5" s="2366">
        <f>ROUND(('Inventory Sales'!T45),0)</f>
        <v>0</v>
      </c>
      <c r="U5" s="528">
        <f>ROUND(('Inventory Sales'!V45),0)</f>
        <v>0</v>
      </c>
      <c r="V5" s="1535">
        <f t="shared" si="6"/>
        <v>0</v>
      </c>
      <c r="W5" s="2726">
        <f>ROUND(('Inventory Sales'!W45),0)</f>
        <v>0</v>
      </c>
      <c r="X5" s="528">
        <f>ROUND(('Inventory Sales'!Y45),0)</f>
        <v>0</v>
      </c>
      <c r="Y5" s="2275">
        <f t="shared" si="7"/>
        <v>0</v>
      </c>
      <c r="Z5" s="2825">
        <f>ROUND(('Inventory Sales'!Z45),0)</f>
        <v>0</v>
      </c>
      <c r="AA5" s="528">
        <f>ROUND(('Inventory Sales'!AB45),0)</f>
        <v>0</v>
      </c>
      <c r="AB5" s="1916">
        <f t="shared" si="8"/>
        <v>0</v>
      </c>
      <c r="AC5" s="2366">
        <f>ROUND(('Inventory Sales'!AC45),0)</f>
        <v>0</v>
      </c>
      <c r="AD5" s="2312">
        <f>ROUND(('Inventory Sales'!AE45),0)</f>
        <v>0</v>
      </c>
      <c r="AE5" s="1535">
        <f t="shared" si="9"/>
        <v>0</v>
      </c>
      <c r="AF5" s="2825">
        <f>ROUND(('Inventory Sales'!AF45),0)</f>
        <v>0</v>
      </c>
      <c r="AG5" s="2312">
        <f>ROUND(('Inventory Sales'!AH45),0)</f>
        <v>0</v>
      </c>
      <c r="AH5" s="1916">
        <f t="shared" si="10"/>
        <v>0</v>
      </c>
      <c r="AI5" s="2366">
        <f>ROUND(('Inventory Sales'!AI45),0)</f>
        <v>0</v>
      </c>
      <c r="AJ5" s="528">
        <f>ROUND(('Inventory Sales'!AK45),0)</f>
        <v>0</v>
      </c>
      <c r="AK5" s="1535">
        <f t="shared" si="11"/>
        <v>0</v>
      </c>
      <c r="AL5" s="2366">
        <f>'Inventory Sales'!AL45</f>
        <v>31909</v>
      </c>
      <c r="AM5" s="2412">
        <f>'Inventory Sales'!AN45</f>
        <v>9283926</v>
      </c>
      <c r="AN5" s="1535">
        <f t="shared" si="12"/>
        <v>290.95007678084551</v>
      </c>
      <c r="AP5" s="153"/>
      <c r="AQ5" s="153"/>
    </row>
    <row r="6" spans="1:43" x14ac:dyDescent="0.25">
      <c r="A6" s="1334" t="s">
        <v>598</v>
      </c>
      <c r="B6" s="97">
        <f>ROUND(('Inventory Sales'!B23+'Inventory Sales'!B24+'Inventory Sales'!B25),0)</f>
        <v>0</v>
      </c>
      <c r="C6" s="2312">
        <f>ROUND(('Inventory Sales'!D23+'Inventory Sales'!D24+'Inventory Sales'!D25),0)</f>
        <v>0</v>
      </c>
      <c r="D6" s="1535">
        <f t="shared" si="0"/>
        <v>0</v>
      </c>
      <c r="E6" s="97">
        <f>ROUND(('Inventory Sales'!E23+'Inventory Sales'!E24+'Inventory Sales'!E25),0)</f>
        <v>25</v>
      </c>
      <c r="F6" s="2312">
        <f>ROUND(('Inventory Sales'!G23+'Inventory Sales'!G24+'Inventory Sales'!G25),0)</f>
        <v>9500</v>
      </c>
      <c r="G6" s="1535">
        <f t="shared" si="1"/>
        <v>380</v>
      </c>
      <c r="H6" s="97">
        <f>ROUND(('Inventory Sales'!H23+'Inventory Sales'!H24+'Inventory Sales'!H25),0)</f>
        <v>0</v>
      </c>
      <c r="I6" s="2312">
        <f>ROUND(('Inventory Sales'!J23+'Inventory Sales'!J24+'Inventory Sales'!J25),0)</f>
        <v>0</v>
      </c>
      <c r="J6" s="1535">
        <f t="shared" si="2"/>
        <v>0</v>
      </c>
      <c r="K6" s="97">
        <f>ROUND(('Inventory Sales'!K23+'Inventory Sales'!K24+'Inventory Sales'!K25),0)</f>
        <v>0</v>
      </c>
      <c r="L6" s="2312">
        <f>ROUND(('Inventory Sales'!M23+'Inventory Sales'!M24+'Inventory Sales'!M25),0)</f>
        <v>0</v>
      </c>
      <c r="M6" s="2275">
        <f t="shared" si="3"/>
        <v>0</v>
      </c>
      <c r="N6" s="97">
        <f>ROUND(('Inventory Sales'!N23+'Inventory Sales'!N24+'Inventory Sales'!N25),0)</f>
        <v>0</v>
      </c>
      <c r="O6" s="2312">
        <f>ROUND(('Inventory Sales'!P23+'Inventory Sales'!P24+'Inventory Sales'!P25),0)</f>
        <v>0</v>
      </c>
      <c r="P6" s="1916">
        <f t="shared" si="4"/>
        <v>0</v>
      </c>
      <c r="Q6" s="97">
        <f>ROUND(('Inventory Sales'!Q23+'Inventory Sales'!Q24+'Inventory Sales'!Q25),0)</f>
        <v>0</v>
      </c>
      <c r="R6" s="2312">
        <f>ROUND(('Inventory Sales'!S23+'Inventory Sales'!S24+'Inventory Sales'!S25),0)</f>
        <v>0</v>
      </c>
      <c r="S6" s="1916">
        <f t="shared" si="5"/>
        <v>0</v>
      </c>
      <c r="T6" s="97">
        <f>ROUND(('Inventory Sales'!T23+'Inventory Sales'!T24+'Inventory Sales'!T25),0)</f>
        <v>0</v>
      </c>
      <c r="U6" s="528">
        <f>ROUND(('Inventory Sales'!V23+'Inventory Sales'!V24+'Inventory Sales'!V25),0)</f>
        <v>0</v>
      </c>
      <c r="V6" s="1535">
        <f t="shared" si="6"/>
        <v>0</v>
      </c>
      <c r="W6" s="97">
        <f>ROUND(('Inventory Sales'!W23+'Inventory Sales'!W24+'Inventory Sales'!W25),0)</f>
        <v>0</v>
      </c>
      <c r="X6" s="528">
        <f>ROUND(('Inventory Sales'!Y23+'Inventory Sales'!Y24+'Inventory Sales'!Y25),0)</f>
        <v>0</v>
      </c>
      <c r="Y6" s="2275">
        <f t="shared" si="7"/>
        <v>0</v>
      </c>
      <c r="Z6" s="97">
        <f>ROUND(('Inventory Sales'!Z23+'Inventory Sales'!Z24+'Inventory Sales'!Z25),0)</f>
        <v>0</v>
      </c>
      <c r="AA6" s="528">
        <f>ROUND(('Inventory Sales'!AB23+'Inventory Sales'!AB24+'Inventory Sales'!AB25),0)</f>
        <v>0</v>
      </c>
      <c r="AB6" s="1916">
        <f t="shared" si="8"/>
        <v>0</v>
      </c>
      <c r="AC6" s="97">
        <f>ROUND(('Inventory Sales'!AC23+'Inventory Sales'!AC24+'Inventory Sales'!AC25),0)</f>
        <v>0</v>
      </c>
      <c r="AD6" s="2312">
        <f>ROUND(('Inventory Sales'!AE23+'Inventory Sales'!AE24+'Inventory Sales'!AE25),0)</f>
        <v>0</v>
      </c>
      <c r="AE6" s="1535">
        <f t="shared" si="9"/>
        <v>0</v>
      </c>
      <c r="AF6" s="2824">
        <f>ROUND(('Inventory Sales'!AF23+'Inventory Sales'!AF24+'Inventory Sales'!AF25),0)</f>
        <v>0</v>
      </c>
      <c r="AG6" s="2880">
        <f>ROUND(('Inventory Sales'!AH23+'Inventory Sales'!AH24+'Inventory Sales'!AH25),0)</f>
        <v>0</v>
      </c>
      <c r="AH6" s="1916">
        <f t="shared" si="10"/>
        <v>0</v>
      </c>
      <c r="AI6" s="97">
        <f>ROUND(('Inventory Sales'!AI23+'Inventory Sales'!AI24+'Inventory Sales'!AI25),0)</f>
        <v>0</v>
      </c>
      <c r="AJ6" s="528">
        <f>ROUND(('Inventory Sales'!AK23+'Inventory Sales'!AK24+'Inventory Sales'!AK25),0)</f>
        <v>0</v>
      </c>
      <c r="AK6" s="1535">
        <f t="shared" si="11"/>
        <v>0</v>
      </c>
      <c r="AL6" s="97">
        <f>SUM('Inventory Sales'!AL23+'Inventory Sales'!AL24+'Inventory Sales'!AL25)</f>
        <v>25</v>
      </c>
      <c r="AM6" s="2412">
        <f>ROUND(('Inventory Sales'!AN23+'Inventory Sales'!AN24+'Inventory Sales'!AN25),0)</f>
        <v>9500</v>
      </c>
      <c r="AN6" s="1535">
        <f t="shared" si="12"/>
        <v>380</v>
      </c>
      <c r="AP6" s="153"/>
      <c r="AQ6" s="153"/>
    </row>
    <row r="7" spans="1:43" ht="13.8" thickBot="1" x14ac:dyDescent="0.3">
      <c r="A7" s="1335" t="s">
        <v>669</v>
      </c>
      <c r="B7" s="2367">
        <f>ROUND(('Inventory Sales'!B18),0)</f>
        <v>9589</v>
      </c>
      <c r="C7" s="2321">
        <f>ROUND(('Inventory Sales'!D18),0)</f>
        <v>2502572</v>
      </c>
      <c r="D7" s="2016">
        <f t="shared" si="0"/>
        <v>260.98362707268745</v>
      </c>
      <c r="E7" s="2367">
        <f>ROUND(('Inventory Sales'!E18),0)</f>
        <v>6529</v>
      </c>
      <c r="F7" s="2321">
        <f>ROUND(('Inventory Sales'!G18),0)</f>
        <v>1650409</v>
      </c>
      <c r="G7" s="2016">
        <f t="shared" si="1"/>
        <v>252.78128350436515</v>
      </c>
      <c r="H7" s="2367">
        <f>ROUND(('Inventory Sales'!H18),0)</f>
        <v>0</v>
      </c>
      <c r="I7" s="2321">
        <f>ROUND(('Inventory Sales'!J18),0)</f>
        <v>0</v>
      </c>
      <c r="J7" s="2016">
        <f t="shared" si="2"/>
        <v>0</v>
      </c>
      <c r="K7" s="2367">
        <f>ROUND(('Inventory Sales'!K18),0)</f>
        <v>0</v>
      </c>
      <c r="L7" s="2321">
        <f>ROUND(('Inventory Sales'!M18),0)</f>
        <v>0</v>
      </c>
      <c r="M7" s="2277">
        <f t="shared" si="3"/>
        <v>0</v>
      </c>
      <c r="N7" s="2367">
        <f>ROUND(('Inventory Sales'!N18),0)</f>
        <v>0</v>
      </c>
      <c r="O7" s="2321">
        <f>ROUND(('Inventory Sales'!P18),0)</f>
        <v>0</v>
      </c>
      <c r="P7" s="2017">
        <f t="shared" si="4"/>
        <v>0</v>
      </c>
      <c r="Q7" s="2367">
        <f>ROUND(('Inventory Sales'!Q18),0)</f>
        <v>0</v>
      </c>
      <c r="R7" s="2321">
        <f>ROUND(('Inventory Sales'!S18),0)</f>
        <v>0</v>
      </c>
      <c r="S7" s="2017">
        <f t="shared" si="5"/>
        <v>0</v>
      </c>
      <c r="T7" s="2367">
        <f>ROUND(('Inventory Sales'!T18),0)</f>
        <v>0</v>
      </c>
      <c r="U7" s="2727">
        <f>ROUND(('Inventory Sales'!V18),0)</f>
        <v>0</v>
      </c>
      <c r="V7" s="2016">
        <f t="shared" si="6"/>
        <v>0</v>
      </c>
      <c r="W7" s="2367">
        <f>ROUND(('Inventory Sales'!W18),0)</f>
        <v>0</v>
      </c>
      <c r="X7" s="2727">
        <f>ROUND(('Inventory Sales'!Y18),0)</f>
        <v>0</v>
      </c>
      <c r="Y7" s="2277">
        <f t="shared" si="7"/>
        <v>0</v>
      </c>
      <c r="Z7" s="2367">
        <f>ROUND(('Inventory Sales'!Z18),0)</f>
        <v>0</v>
      </c>
      <c r="AA7" s="2727">
        <f>ROUND(('Inventory Sales'!AB18),0)</f>
        <v>0</v>
      </c>
      <c r="AB7" s="2017">
        <f t="shared" si="8"/>
        <v>0</v>
      </c>
      <c r="AC7" s="2367">
        <f>ROUND(('Inventory Sales'!AC18),0)</f>
        <v>0</v>
      </c>
      <c r="AD7" s="2321">
        <f>ROUND(('Inventory Sales'!AE18),0)</f>
        <v>0</v>
      </c>
      <c r="AE7" s="2016">
        <f t="shared" si="9"/>
        <v>0</v>
      </c>
      <c r="AF7" s="2838">
        <f>ROUND(('Inventory Sales'!AF18),0)</f>
        <v>0</v>
      </c>
      <c r="AG7" s="2321">
        <f>ROUND(('Inventory Sales'!AH18),0)</f>
        <v>0</v>
      </c>
      <c r="AH7" s="2017">
        <f t="shared" si="10"/>
        <v>0</v>
      </c>
      <c r="AI7" s="2367">
        <f>ROUND(('Inventory Sales'!AI18),0)</f>
        <v>0</v>
      </c>
      <c r="AJ7" s="2727">
        <f>ROUND(('Inventory Sales'!AK18),0)</f>
        <v>0</v>
      </c>
      <c r="AK7" s="2016">
        <f t="shared" si="11"/>
        <v>0</v>
      </c>
      <c r="AL7" s="2367">
        <f>ROUND(('Inventory Sales'!AL18),0)</f>
        <v>16118</v>
      </c>
      <c r="AM7" s="2413">
        <f>ROUND(('Inventory Sales'!AN18),0)</f>
        <v>4152981</v>
      </c>
      <c r="AN7" s="2016">
        <f t="shared" si="12"/>
        <v>257.6610621665219</v>
      </c>
      <c r="AP7" s="153"/>
      <c r="AQ7" s="153"/>
    </row>
    <row r="8" spans="1:43" ht="13.8" thickBot="1" x14ac:dyDescent="0.3">
      <c r="A8" s="2389" t="s">
        <v>683</v>
      </c>
      <c r="B8" s="260">
        <f>SUM(B3:B7)</f>
        <v>105583</v>
      </c>
      <c r="C8" s="2368">
        <f>SUM(C3:C7)</f>
        <v>29853563</v>
      </c>
      <c r="D8" s="1949">
        <f t="shared" si="0"/>
        <v>282.7497134955438</v>
      </c>
      <c r="E8" s="260">
        <f>SUM(E3:E7)</f>
        <v>119215</v>
      </c>
      <c r="F8" s="2368">
        <f>SUM(F3:F7)</f>
        <v>33636262</v>
      </c>
      <c r="G8" s="1949">
        <f t="shared" si="1"/>
        <v>282.14790085140294</v>
      </c>
      <c r="H8" s="260">
        <f>SUM(H3:H7)</f>
        <v>0</v>
      </c>
      <c r="I8" s="2368" t="e">
        <f>SUM(I3:I7)</f>
        <v>#DIV/0!</v>
      </c>
      <c r="J8" s="1949">
        <f t="shared" si="2"/>
        <v>0</v>
      </c>
      <c r="K8" s="135">
        <f>SUM(K3:K7)</f>
        <v>0</v>
      </c>
      <c r="L8" s="2368" t="e">
        <f>SUM(L3:L7)</f>
        <v>#DIV/0!</v>
      </c>
      <c r="M8" s="2279">
        <f t="shared" si="3"/>
        <v>0</v>
      </c>
      <c r="N8" s="2392">
        <f>SUM(N3:N7)</f>
        <v>0</v>
      </c>
      <c r="O8" s="1332" t="e">
        <f>SUM(O3:O7)</f>
        <v>#DIV/0!</v>
      </c>
      <c r="P8" s="2394">
        <f t="shared" si="4"/>
        <v>0</v>
      </c>
      <c r="Q8" s="260">
        <f>SUM(Q3:Q7)</f>
        <v>0</v>
      </c>
      <c r="R8" s="1332">
        <f>SUM(R3:R7)</f>
        <v>0</v>
      </c>
      <c r="S8" s="2394">
        <f t="shared" si="5"/>
        <v>0</v>
      </c>
      <c r="T8" s="260">
        <f>SUM(T3:T7)</f>
        <v>0</v>
      </c>
      <c r="U8" s="2728">
        <f>SUM(U3:U7)</f>
        <v>0</v>
      </c>
      <c r="V8" s="1949">
        <f t="shared" si="6"/>
        <v>0</v>
      </c>
      <c r="W8" s="135">
        <f>SUM(W3:W7)</f>
        <v>0</v>
      </c>
      <c r="X8" s="2728">
        <f>SUM(X3:X7)</f>
        <v>0</v>
      </c>
      <c r="Y8" s="2279">
        <f t="shared" si="7"/>
        <v>0</v>
      </c>
      <c r="Z8" s="2392">
        <f>SUM(Z3:Z7)</f>
        <v>0</v>
      </c>
      <c r="AA8" s="1332">
        <f>SUM(AA3:AA7)</f>
        <v>0</v>
      </c>
      <c r="AB8" s="2394">
        <f t="shared" si="8"/>
        <v>0</v>
      </c>
      <c r="AC8" s="134">
        <f>SUM(AC3:AC7)</f>
        <v>0</v>
      </c>
      <c r="AD8" s="2368">
        <f>SUM(AD3:AD7)</f>
        <v>0</v>
      </c>
      <c r="AE8" s="1949">
        <f t="shared" si="9"/>
        <v>0</v>
      </c>
      <c r="AF8" s="260">
        <f>SUM(AF3:AF7)</f>
        <v>0</v>
      </c>
      <c r="AG8" s="2840">
        <f>SUM(AG3:AG7)</f>
        <v>0</v>
      </c>
      <c r="AH8" s="1949">
        <f t="shared" si="10"/>
        <v>0</v>
      </c>
      <c r="AI8" s="260">
        <f>SUM(AI3:AI7)</f>
        <v>0</v>
      </c>
      <c r="AJ8" s="2946">
        <f>SUM(AJ3:AJ7)</f>
        <v>0</v>
      </c>
      <c r="AK8" s="2882">
        <f t="shared" si="11"/>
        <v>0</v>
      </c>
      <c r="AL8" s="260">
        <f>SUM(AL3:AL7)</f>
        <v>224798</v>
      </c>
      <c r="AM8" s="1332">
        <f>SUM(AM3:AM7)</f>
        <v>63489825</v>
      </c>
      <c r="AN8" s="1949">
        <f t="shared" si="12"/>
        <v>282.43055988042596</v>
      </c>
      <c r="AP8" s="832"/>
    </row>
    <row r="9" spans="1:43" ht="13.8" thickBot="1" x14ac:dyDescent="0.3">
      <c r="A9" s="2390" t="s">
        <v>682</v>
      </c>
      <c r="B9" s="2364">
        <f>'PAL I'!C12</f>
        <v>105583</v>
      </c>
      <c r="C9" s="2314">
        <f>'PAL I'!D12</f>
        <v>29853563</v>
      </c>
      <c r="D9" s="2369">
        <f>IF(C9=0,0,C9/B9)</f>
        <v>282.7497134955438</v>
      </c>
      <c r="E9" s="2364">
        <f>'PAL I'!F12</f>
        <v>119214</v>
      </c>
      <c r="F9" s="2363">
        <f>'PAL I'!G12</f>
        <v>33636263</v>
      </c>
      <c r="G9" s="2369">
        <f>IF(F9=0,0,F9/E9)</f>
        <v>282.15027597429832</v>
      </c>
      <c r="H9" s="2364">
        <f>'PAL I'!I12</f>
        <v>0</v>
      </c>
      <c r="I9" s="2314">
        <f>'PAL I'!J12</f>
        <v>0</v>
      </c>
      <c r="J9" s="2369">
        <f>IF(I9=0,0,I9/H9)</f>
        <v>0</v>
      </c>
      <c r="K9" s="2362">
        <f>'PAL I'!L12</f>
        <v>0</v>
      </c>
      <c r="L9" s="2296">
        <f>'PAL I'!M12</f>
        <v>0</v>
      </c>
      <c r="M9" s="2369">
        <f>IF(L9=0,0,L9/K9)</f>
        <v>0</v>
      </c>
      <c r="N9" s="2362">
        <f>'PAL I'!O12</f>
        <v>0</v>
      </c>
      <c r="O9" s="2296">
        <f>'PAL I'!P12</f>
        <v>0</v>
      </c>
      <c r="P9" s="2724">
        <f>IF(O9=0,0,O9/N9)</f>
        <v>0</v>
      </c>
      <c r="Q9" s="2364">
        <f>'PAL I'!R12</f>
        <v>0</v>
      </c>
      <c r="R9" s="2296">
        <f>'PAL I'!S12</f>
        <v>0</v>
      </c>
      <c r="S9" s="2724">
        <f>IF(R9=0,0,R9/Q9)</f>
        <v>0</v>
      </c>
      <c r="T9" s="2364">
        <f>'PAL I'!U12</f>
        <v>0</v>
      </c>
      <c r="U9" s="2729">
        <f>'PAL I'!V12</f>
        <v>0</v>
      </c>
      <c r="V9" s="2369">
        <f>IF(U9=0,0,U9/T9)</f>
        <v>0</v>
      </c>
      <c r="W9" s="2362">
        <f>'PAL I'!X12</f>
        <v>0</v>
      </c>
      <c r="X9" s="2363">
        <f>'PAL I'!Y12</f>
        <v>0</v>
      </c>
      <c r="Y9" s="2369">
        <f>IF(X9=0,0,X9/W9)</f>
        <v>0</v>
      </c>
      <c r="Z9" s="2362">
        <f>'PAL I'!AA12</f>
        <v>0</v>
      </c>
      <c r="AA9" s="2296">
        <f>'PAL I'!AB12</f>
        <v>0</v>
      </c>
      <c r="AB9" s="2724">
        <f>IF(AA9=0,0,AA9/Z9)</f>
        <v>0</v>
      </c>
      <c r="AC9" s="2364">
        <f>'PAL I'!AD12</f>
        <v>0</v>
      </c>
      <c r="AD9" s="2363">
        <f>'PAL I'!AE12</f>
        <v>0</v>
      </c>
      <c r="AE9" s="2391"/>
      <c r="AF9" s="2364">
        <f>'PAL I'!AG12</f>
        <v>0</v>
      </c>
      <c r="AG9" s="2839">
        <f>'PAL I'!AH12</f>
        <v>0</v>
      </c>
      <c r="AH9" s="2391"/>
      <c r="AI9" s="2364">
        <f>'PAL I'!AJ12</f>
        <v>0</v>
      </c>
      <c r="AJ9" s="2296">
        <f>'PAL I'!AK12</f>
        <v>0</v>
      </c>
      <c r="AK9" s="2881"/>
      <c r="AL9" s="2364">
        <f>'PAL I'!AM12</f>
        <v>224797</v>
      </c>
      <c r="AM9" s="2296">
        <f>'PAL I'!AN12</f>
        <v>63489826</v>
      </c>
      <c r="AN9" s="2391"/>
    </row>
    <row r="10" spans="1:43" ht="13.8" thickBot="1" x14ac:dyDescent="0.3">
      <c r="R10" s="153">
        <f>R8-R9</f>
        <v>0</v>
      </c>
      <c r="AL10" s="2">
        <f>AL8-AL9</f>
        <v>1</v>
      </c>
      <c r="AM10" s="8">
        <f>AM8-AM9</f>
        <v>-1</v>
      </c>
    </row>
    <row r="11" spans="1:43" ht="13.8" thickBot="1" x14ac:dyDescent="0.3">
      <c r="A11" s="121"/>
      <c r="B11" s="3138" t="s">
        <v>16</v>
      </c>
      <c r="C11" s="3139"/>
      <c r="D11" s="3140"/>
      <c r="E11" s="3141" t="s">
        <v>4</v>
      </c>
      <c r="F11" s="3136"/>
      <c r="G11" s="3137"/>
      <c r="H11" s="3135" t="s">
        <v>17</v>
      </c>
      <c r="I11" s="3136"/>
      <c r="J11" s="3137"/>
      <c r="K11" s="3135" t="s">
        <v>18</v>
      </c>
      <c r="L11" s="3136"/>
      <c r="M11" s="3137"/>
      <c r="N11" s="3135" t="s">
        <v>19</v>
      </c>
      <c r="O11" s="3136"/>
      <c r="P11" s="3137"/>
      <c r="Q11" s="3135" t="s">
        <v>20</v>
      </c>
      <c r="R11" s="3136"/>
      <c r="S11" s="3137"/>
      <c r="T11" s="3135" t="s">
        <v>13</v>
      </c>
      <c r="U11" s="3136"/>
      <c r="V11" s="3137"/>
      <c r="W11" s="3135" t="s">
        <v>5</v>
      </c>
      <c r="X11" s="3136"/>
      <c r="Y11" s="3137"/>
      <c r="Z11" s="3135" t="s">
        <v>6</v>
      </c>
      <c r="AA11" s="3136"/>
      <c r="AB11" s="3137"/>
      <c r="AC11" s="3135" t="s">
        <v>7</v>
      </c>
      <c r="AD11" s="3136"/>
      <c r="AE11" s="3137"/>
      <c r="AF11" s="3135" t="s">
        <v>8</v>
      </c>
      <c r="AG11" s="3136"/>
      <c r="AH11" s="3137"/>
      <c r="AI11" s="3135" t="s">
        <v>9</v>
      </c>
      <c r="AJ11" s="3136"/>
      <c r="AK11" s="3137"/>
      <c r="AL11" s="3135" t="s">
        <v>165</v>
      </c>
      <c r="AM11" s="3136"/>
      <c r="AN11" s="3137"/>
    </row>
    <row r="12" spans="1:43" x14ac:dyDescent="0.25">
      <c r="A12" s="1070" t="s">
        <v>676</v>
      </c>
      <c r="B12" s="2351">
        <f>'Stock Valuation (FIFO)'!$B$8</f>
        <v>143489</v>
      </c>
      <c r="C12" s="2289">
        <f>'Stock Valuation (FIFO)'!D8</f>
        <v>17774647</v>
      </c>
      <c r="D12" s="2289">
        <f t="shared" ref="D12:D21" si="13">IF(C12=0,0,C12/B12)</f>
        <v>123.87463150485404</v>
      </c>
      <c r="E12" s="2304">
        <f>B14</f>
        <v>78108</v>
      </c>
      <c r="F12" s="2311">
        <f>C14</f>
        <v>10892019</v>
      </c>
      <c r="G12" s="2300">
        <f t="shared" ref="G12:G21" si="14">IF(F12=0,0,F12/E12)</f>
        <v>139.4481871255185</v>
      </c>
      <c r="H12" s="2304">
        <f>E14</f>
        <v>92299</v>
      </c>
      <c r="I12" s="2311">
        <f>F14</f>
        <v>14351528</v>
      </c>
      <c r="J12" s="2300">
        <f t="shared" ref="J12:J21" si="15">IF(I12=0,0,I12/H12)</f>
        <v>155.48952859727623</v>
      </c>
      <c r="K12" s="2304">
        <f>H14</f>
        <v>0</v>
      </c>
      <c r="L12" s="2311">
        <f>I14</f>
        <v>0</v>
      </c>
      <c r="M12" s="2300">
        <f t="shared" ref="M12:M25" si="16">IF(L12=0,0,L12/K12)</f>
        <v>0</v>
      </c>
      <c r="N12" s="2304">
        <f>K14</f>
        <v>0</v>
      </c>
      <c r="O12" s="2311">
        <f>L14</f>
        <v>0</v>
      </c>
      <c r="P12" s="2300">
        <f t="shared" ref="P12:P25" si="17">IF(O12=0,0,O12/N12)</f>
        <v>0</v>
      </c>
      <c r="Q12" s="2304">
        <f>N14</f>
        <v>0</v>
      </c>
      <c r="R12" s="2311">
        <f>O14</f>
        <v>0</v>
      </c>
      <c r="S12" s="2300">
        <f t="shared" ref="S12:S22" si="18">IF(R12=0,0,R12/Q12)</f>
        <v>0</v>
      </c>
      <c r="T12" s="2304">
        <f>Q14</f>
        <v>0</v>
      </c>
      <c r="U12" s="2311">
        <f>R14</f>
        <v>0</v>
      </c>
      <c r="V12" s="2300">
        <f t="shared" ref="V12:V25" si="19">IF(U12=0,0,U12/T12)</f>
        <v>0</v>
      </c>
      <c r="W12" s="2304">
        <f>T14</f>
        <v>0</v>
      </c>
      <c r="X12" s="2311">
        <f>U14</f>
        <v>0</v>
      </c>
      <c r="Y12" s="2300">
        <f t="shared" ref="Y12:Y25" si="20">IF(X12=0,0,X12/W12)</f>
        <v>0</v>
      </c>
      <c r="Z12" s="2304">
        <f>W14</f>
        <v>0</v>
      </c>
      <c r="AA12" s="2311">
        <f>X14</f>
        <v>0</v>
      </c>
      <c r="AB12" s="2300">
        <f t="shared" ref="AB12:AB25" si="21">IF(AA12=0,0,AA12/Z12)</f>
        <v>0</v>
      </c>
      <c r="AC12" s="2304">
        <f>Z14</f>
        <v>0</v>
      </c>
      <c r="AD12" s="2311">
        <f>AA14</f>
        <v>0</v>
      </c>
      <c r="AE12" s="2300">
        <f t="shared" ref="AE12:AE25" si="22">IF(AD12=0,0,AD12/AC12)</f>
        <v>0</v>
      </c>
      <c r="AF12" s="2304">
        <f>AC14</f>
        <v>0</v>
      </c>
      <c r="AG12" s="2311">
        <f>AD14</f>
        <v>0</v>
      </c>
      <c r="AH12" s="2300">
        <f t="shared" ref="AH12:AH25" si="23">IF(AG12=0,0,AG12/AF12)</f>
        <v>0</v>
      </c>
      <c r="AI12" s="2886">
        <f>AF14</f>
        <v>0</v>
      </c>
      <c r="AJ12" s="2311">
        <f>AG14</f>
        <v>0</v>
      </c>
      <c r="AK12" s="2300">
        <f t="shared" ref="AK12:AK25" si="24">IF(AJ12=0,0,AJ12/AI12)</f>
        <v>0</v>
      </c>
      <c r="AL12" s="2293">
        <f>B12</f>
        <v>143489</v>
      </c>
      <c r="AM12" s="2640">
        <f>C12</f>
        <v>17774647</v>
      </c>
      <c r="AN12" s="2300">
        <f t="shared" ref="AN12:AN25" si="25">IF(AM12=0,0,AM12/AL12)</f>
        <v>123.87463150485404</v>
      </c>
    </row>
    <row r="13" spans="1:43" x14ac:dyDescent="0.25">
      <c r="A13" s="1066" t="s">
        <v>675</v>
      </c>
      <c r="B13" s="2352">
        <f>ROUND((Purchase!$K5),0)</f>
        <v>827</v>
      </c>
      <c r="C13" s="528">
        <f>ROUND((Purchase!$P5),0)</f>
        <v>226044</v>
      </c>
      <c r="D13" s="1022">
        <f t="shared" si="13"/>
        <v>273.33010882708584</v>
      </c>
      <c r="E13" s="2305">
        <f>ROUND((Purchase!$K6),0)</f>
        <v>76649</v>
      </c>
      <c r="F13" s="2312">
        <f>ROUND((Purchase!$P6),0)</f>
        <v>11434587</v>
      </c>
      <c r="G13" s="2375">
        <f t="shared" si="14"/>
        <v>149.18116348549884</v>
      </c>
      <c r="H13" s="2305">
        <f>ROUND((Purchase!$K7),0)</f>
        <v>0</v>
      </c>
      <c r="I13" s="2312">
        <f>ROUND((Purchase!$P7),0)</f>
        <v>0</v>
      </c>
      <c r="J13" s="2375">
        <f t="shared" si="15"/>
        <v>0</v>
      </c>
      <c r="K13" s="2305">
        <f>ROUND((Purchase!$K8),0)</f>
        <v>0</v>
      </c>
      <c r="L13" s="2312">
        <f>ROUND((Purchase!$P8),0)</f>
        <v>0</v>
      </c>
      <c r="M13" s="2375">
        <f t="shared" si="16"/>
        <v>0</v>
      </c>
      <c r="N13" s="2305">
        <f>ROUND((Purchase!$K9),0)</f>
        <v>0</v>
      </c>
      <c r="O13" s="2312">
        <f>ROUND((Purchase!$P9),0)</f>
        <v>0</v>
      </c>
      <c r="P13" s="2375">
        <f t="shared" si="17"/>
        <v>0</v>
      </c>
      <c r="Q13" s="2305">
        <f>ROUND((Purchase!$K10),0)</f>
        <v>0</v>
      </c>
      <c r="R13" s="2312">
        <f>ROUND((Purchase!$P10),0)</f>
        <v>0</v>
      </c>
      <c r="S13" s="2375">
        <f t="shared" si="18"/>
        <v>0</v>
      </c>
      <c r="T13" s="2305">
        <f>ROUND((Purchase!$K11),0)</f>
        <v>0</v>
      </c>
      <c r="U13" s="2312">
        <f>ROUND((Purchase!$P11),0)</f>
        <v>0</v>
      </c>
      <c r="V13" s="2375">
        <f t="shared" si="19"/>
        <v>0</v>
      </c>
      <c r="W13" s="2305">
        <f>ROUND((Purchase!$K12),0)</f>
        <v>0</v>
      </c>
      <c r="X13" s="2312">
        <f>ROUND((Purchase!$P12),0)</f>
        <v>0</v>
      </c>
      <c r="Y13" s="2375">
        <f t="shared" si="20"/>
        <v>0</v>
      </c>
      <c r="Z13" s="2305">
        <f>ROUND((Purchase!$K13),0)</f>
        <v>0</v>
      </c>
      <c r="AA13" s="2312">
        <f>ROUND((Purchase!$P13),0)</f>
        <v>0</v>
      </c>
      <c r="AB13" s="2375">
        <f t="shared" si="21"/>
        <v>0</v>
      </c>
      <c r="AC13" s="2305">
        <f>ROUND((Purchase!$K14),0)</f>
        <v>0</v>
      </c>
      <c r="AD13" s="2312">
        <f>ROUND((Purchase!$P14),0)</f>
        <v>0</v>
      </c>
      <c r="AE13" s="2375">
        <f t="shared" si="22"/>
        <v>0</v>
      </c>
      <c r="AF13" s="2305">
        <f>ROUND((Purchase!$K15),0)</f>
        <v>0</v>
      </c>
      <c r="AG13" s="2312">
        <f>ROUND((Purchase!$P15),0)</f>
        <v>0</v>
      </c>
      <c r="AH13" s="2375">
        <f t="shared" si="23"/>
        <v>0</v>
      </c>
      <c r="AI13" s="2887">
        <f>ROUND((Purchase!$K16),0)</f>
        <v>0</v>
      </c>
      <c r="AJ13" s="2414">
        <f>ROUND((Purchase!$P16),0)</f>
        <v>0</v>
      </c>
      <c r="AK13" s="2375">
        <f t="shared" si="24"/>
        <v>0</v>
      </c>
      <c r="AL13" s="2287">
        <f>ROUND((Purchase!$K17),0)</f>
        <v>77476</v>
      </c>
      <c r="AM13" s="2312">
        <f>ROUND((Purchase!$P17),0)</f>
        <v>11660631</v>
      </c>
      <c r="AN13" s="2375">
        <f t="shared" si="25"/>
        <v>150.50636326088079</v>
      </c>
    </row>
    <row r="14" spans="1:43" ht="13.8" thickBot="1" x14ac:dyDescent="0.3">
      <c r="A14" s="1562" t="s">
        <v>677</v>
      </c>
      <c r="B14" s="2353">
        <f>'Stock Valuation (FIFO)'!E8</f>
        <v>78108</v>
      </c>
      <c r="C14" s="1021">
        <f>'Stock Valuation (FIFO)'!G8</f>
        <v>10892019</v>
      </c>
      <c r="D14" s="1021">
        <f t="shared" si="13"/>
        <v>139.4481871255185</v>
      </c>
      <c r="E14" s="2306">
        <f>'Stock Valuation (FIFO)'!H8</f>
        <v>92299</v>
      </c>
      <c r="F14" s="2313">
        <f>'Stock Valuation (FIFO)'!J8</f>
        <v>14351528</v>
      </c>
      <c r="G14" s="2292">
        <f t="shared" si="14"/>
        <v>155.48952859727623</v>
      </c>
      <c r="H14" s="2306">
        <f>'Stock Valuation (FIFO)'!K8</f>
        <v>0</v>
      </c>
      <c r="I14" s="2313">
        <f>'Stock Valuation (FIFO)'!M8</f>
        <v>0</v>
      </c>
      <c r="J14" s="2292">
        <f t="shared" si="15"/>
        <v>0</v>
      </c>
      <c r="K14" s="2306">
        <f>'Stock Valuation (FIFO)'!N8</f>
        <v>0</v>
      </c>
      <c r="L14" s="2313">
        <f>'Stock Valuation (FIFO)'!P8</f>
        <v>0</v>
      </c>
      <c r="M14" s="2292">
        <f t="shared" si="16"/>
        <v>0</v>
      </c>
      <c r="N14" s="2306">
        <f>'Stock Valuation (FIFO)'!Q8</f>
        <v>0</v>
      </c>
      <c r="O14" s="2313">
        <f>'Stock Valuation (FIFO)'!S8</f>
        <v>0</v>
      </c>
      <c r="P14" s="2292">
        <f t="shared" si="17"/>
        <v>0</v>
      </c>
      <c r="Q14" s="2306">
        <f>'Stock Valuation (FIFO)'!T8</f>
        <v>0</v>
      </c>
      <c r="R14" s="2313">
        <f>'Stock Valuation (FIFO)'!V8</f>
        <v>0</v>
      </c>
      <c r="S14" s="2292">
        <f t="shared" si="18"/>
        <v>0</v>
      </c>
      <c r="T14" s="2306">
        <f>'Stock Valuation (FIFO)'!W8</f>
        <v>0</v>
      </c>
      <c r="U14" s="2313">
        <f>'Stock Valuation (FIFO)'!Y8</f>
        <v>0</v>
      </c>
      <c r="V14" s="2292">
        <f t="shared" si="19"/>
        <v>0</v>
      </c>
      <c r="W14" s="2306">
        <f>'Stock Valuation (FIFO)'!Z8</f>
        <v>0</v>
      </c>
      <c r="X14" s="2313">
        <f>'Stock Valuation (FIFO)'!AB8</f>
        <v>0</v>
      </c>
      <c r="Y14" s="2292">
        <f t="shared" si="20"/>
        <v>0</v>
      </c>
      <c r="Z14" s="2306">
        <f>'Stock Valuation (FIFO)'!AC8</f>
        <v>0</v>
      </c>
      <c r="AA14" s="2313">
        <f>'Stock Valuation (FIFO)'!AE8</f>
        <v>0</v>
      </c>
      <c r="AB14" s="2292">
        <f t="shared" si="21"/>
        <v>0</v>
      </c>
      <c r="AC14" s="2306">
        <f>'Stock Valuation (FIFO)'!AF8</f>
        <v>0</v>
      </c>
      <c r="AD14" s="2313">
        <f>'Stock Valuation (FIFO)'!AH8</f>
        <v>0</v>
      </c>
      <c r="AE14" s="2292">
        <f t="shared" si="22"/>
        <v>0</v>
      </c>
      <c r="AF14" s="2306">
        <f>'Stock Valuation (FIFO)'!AI8</f>
        <v>0</v>
      </c>
      <c r="AG14" s="2313">
        <f>'Stock Valuation (FIFO)'!AK8</f>
        <v>0</v>
      </c>
      <c r="AH14" s="2292">
        <f t="shared" si="23"/>
        <v>0</v>
      </c>
      <c r="AI14" s="2888">
        <f>'Stock Valuation (FIFO)'!AL8</f>
        <v>0</v>
      </c>
      <c r="AJ14" s="2416">
        <f>'Stock Valuation (FIFO)'!AN8</f>
        <v>0</v>
      </c>
      <c r="AK14" s="2292">
        <f t="shared" si="24"/>
        <v>0</v>
      </c>
      <c r="AL14" s="2291">
        <f>AI14</f>
        <v>0</v>
      </c>
      <c r="AM14" s="2313">
        <f>AJ14</f>
        <v>0</v>
      </c>
      <c r="AN14" s="2292">
        <f t="shared" si="25"/>
        <v>0</v>
      </c>
    </row>
    <row r="15" spans="1:43" x14ac:dyDescent="0.25">
      <c r="A15" s="2356" t="s">
        <v>87</v>
      </c>
      <c r="B15" s="2357">
        <f>B12+B13-B14</f>
        <v>66208</v>
      </c>
      <c r="C15" s="2358">
        <f>C12+C13-C14</f>
        <v>7108672</v>
      </c>
      <c r="D15" s="2358">
        <f t="shared" si="13"/>
        <v>107.36877718704689</v>
      </c>
      <c r="E15" s="2357">
        <f>E12+E13-E14</f>
        <v>62458</v>
      </c>
      <c r="F15" s="2359">
        <f>F12+F13-F14</f>
        <v>7975078</v>
      </c>
      <c r="G15" s="2360">
        <f t="shared" si="14"/>
        <v>127.68705370008645</v>
      </c>
      <c r="H15" s="2357">
        <f>H12+H13-H14</f>
        <v>92299</v>
      </c>
      <c r="I15" s="2359">
        <f>I12+I13-I14</f>
        <v>14351528</v>
      </c>
      <c r="J15" s="2360">
        <f t="shared" si="15"/>
        <v>155.48952859727623</v>
      </c>
      <c r="K15" s="2357">
        <f>K12+K13-K14</f>
        <v>0</v>
      </c>
      <c r="L15" s="2359">
        <f>L12+L13-L14</f>
        <v>0</v>
      </c>
      <c r="M15" s="2360">
        <f t="shared" si="16"/>
        <v>0</v>
      </c>
      <c r="N15" s="2357">
        <f>N12+N13-N14</f>
        <v>0</v>
      </c>
      <c r="O15" s="2359">
        <f>O12+O13-O14</f>
        <v>0</v>
      </c>
      <c r="P15" s="2360">
        <f t="shared" si="17"/>
        <v>0</v>
      </c>
      <c r="Q15" s="2357">
        <f>Q12+Q13-Q14</f>
        <v>0</v>
      </c>
      <c r="R15" s="2359">
        <f>R12+R13-R14</f>
        <v>0</v>
      </c>
      <c r="S15" s="2360">
        <f t="shared" si="18"/>
        <v>0</v>
      </c>
      <c r="T15" s="2357">
        <f>T12+T13-T14</f>
        <v>0</v>
      </c>
      <c r="U15" s="2359">
        <f>U12+U13-U14</f>
        <v>0</v>
      </c>
      <c r="V15" s="2360">
        <f t="shared" si="19"/>
        <v>0</v>
      </c>
      <c r="W15" s="2357">
        <f>W12+W13-W14</f>
        <v>0</v>
      </c>
      <c r="X15" s="2359">
        <f>X12+X13-X14</f>
        <v>0</v>
      </c>
      <c r="Y15" s="2360">
        <f t="shared" si="20"/>
        <v>0</v>
      </c>
      <c r="Z15" s="2357">
        <f>Z12+Z13-Z14</f>
        <v>0</v>
      </c>
      <c r="AA15" s="2359">
        <f>AA12+AA13-AA14</f>
        <v>0</v>
      </c>
      <c r="AB15" s="2360">
        <f t="shared" si="21"/>
        <v>0</v>
      </c>
      <c r="AC15" s="2357">
        <f>AC12+AC13-AC14</f>
        <v>0</v>
      </c>
      <c r="AD15" s="2359">
        <f>AD12+AD13-AD14</f>
        <v>0</v>
      </c>
      <c r="AE15" s="2360">
        <f t="shared" si="22"/>
        <v>0</v>
      </c>
      <c r="AF15" s="2357">
        <f>AF12+AF13-AF14</f>
        <v>0</v>
      </c>
      <c r="AG15" s="2359">
        <f>AG12+AG13-AG14</f>
        <v>0</v>
      </c>
      <c r="AH15" s="2360">
        <f t="shared" si="23"/>
        <v>0</v>
      </c>
      <c r="AI15" s="2357">
        <f>AI12+AI13-AI14</f>
        <v>0</v>
      </c>
      <c r="AJ15" s="2359">
        <f>AJ12+AJ13-AJ14</f>
        <v>0</v>
      </c>
      <c r="AK15" s="2360">
        <f t="shared" si="24"/>
        <v>0</v>
      </c>
      <c r="AL15" s="2357">
        <f>AL12+AL13-AL14</f>
        <v>220965</v>
      </c>
      <c r="AM15" s="2359">
        <f>AM12+AM13-AM14</f>
        <v>29435278</v>
      </c>
      <c r="AN15" s="2360">
        <f t="shared" si="25"/>
        <v>133.21240015387053</v>
      </c>
    </row>
    <row r="16" spans="1:43" x14ac:dyDescent="0.25">
      <c r="A16" s="1066" t="s">
        <v>681</v>
      </c>
      <c r="B16" s="2352">
        <f>'Inventory Sales'!B$42</f>
        <v>0</v>
      </c>
      <c r="C16" s="528">
        <f>'Inventory Sales'!D$42</f>
        <v>0</v>
      </c>
      <c r="D16" s="528">
        <f t="shared" si="13"/>
        <v>0</v>
      </c>
      <c r="E16" s="2305">
        <f>'Inventory Sales'!E$42</f>
        <v>25</v>
      </c>
      <c r="F16" s="2312">
        <f>'Inventory Sales'!G$42</f>
        <v>9375</v>
      </c>
      <c r="G16" s="2290">
        <f t="shared" si="14"/>
        <v>375</v>
      </c>
      <c r="H16" s="2305">
        <f>'Inventory Sales'!H$42</f>
        <v>0</v>
      </c>
      <c r="I16" s="2312">
        <f>'Inventory Sales'!J$42</f>
        <v>0</v>
      </c>
      <c r="J16" s="2290">
        <f t="shared" si="15"/>
        <v>0</v>
      </c>
      <c r="K16" s="2305">
        <f>'Inventory Sales'!K$42</f>
        <v>0</v>
      </c>
      <c r="L16" s="2290">
        <f>'Inventory Sales'!M$42</f>
        <v>0</v>
      </c>
      <c r="M16" s="2290">
        <f t="shared" si="16"/>
        <v>0</v>
      </c>
      <c r="N16" s="2305">
        <f>'Inventory Sales'!N$42</f>
        <v>0</v>
      </c>
      <c r="O16" s="2312">
        <f>'Inventory Sales'!P$42</f>
        <v>0</v>
      </c>
      <c r="P16" s="2290">
        <f t="shared" si="17"/>
        <v>0</v>
      </c>
      <c r="Q16" s="2305">
        <f>'Inventory Sales'!Q$42</f>
        <v>0</v>
      </c>
      <c r="R16" s="2312">
        <f>'Inventory Sales'!S$42</f>
        <v>0</v>
      </c>
      <c r="S16" s="2290">
        <f t="shared" si="18"/>
        <v>0</v>
      </c>
      <c r="T16" s="2305">
        <f>'Inventory Sales'!T$42</f>
        <v>0</v>
      </c>
      <c r="U16" s="2312">
        <f>'Inventory Sales'!V$42</f>
        <v>0</v>
      </c>
      <c r="V16" s="2290">
        <f t="shared" si="19"/>
        <v>0</v>
      </c>
      <c r="W16" s="2305">
        <f>'Inventory Sales'!W$42</f>
        <v>0</v>
      </c>
      <c r="X16" s="2312">
        <f>'Inventory Sales'!Y$42</f>
        <v>0</v>
      </c>
      <c r="Y16" s="2290">
        <f t="shared" si="20"/>
        <v>0</v>
      </c>
      <c r="Z16" s="2305">
        <f>'Inventory Sales'!Z$42</f>
        <v>0</v>
      </c>
      <c r="AA16" s="2312">
        <f>'Inventory Sales'!AB$42</f>
        <v>0</v>
      </c>
      <c r="AB16" s="2290">
        <f t="shared" si="21"/>
        <v>0</v>
      </c>
      <c r="AC16" s="2305">
        <f>'Inventory Sales'!AC$42</f>
        <v>0</v>
      </c>
      <c r="AD16" s="2312">
        <f>'Inventory Sales'!AE$42</f>
        <v>0</v>
      </c>
      <c r="AE16" s="2290">
        <f t="shared" si="22"/>
        <v>0</v>
      </c>
      <c r="AF16" s="2305">
        <f>'Inventory Sales'!AF$42</f>
        <v>0</v>
      </c>
      <c r="AG16" s="2312">
        <f>'Inventory Sales'!AH$42</f>
        <v>0</v>
      </c>
      <c r="AH16" s="2290">
        <f t="shared" si="23"/>
        <v>0</v>
      </c>
      <c r="AI16" s="2887">
        <f>'Inventory Sales'!AI$42</f>
        <v>0</v>
      </c>
      <c r="AJ16" s="2414">
        <f>'Inventory Sales'!AK$42</f>
        <v>0</v>
      </c>
      <c r="AK16" s="2290">
        <f t="shared" si="24"/>
        <v>0</v>
      </c>
      <c r="AL16" s="2305">
        <f>'Inventory Sales'!AL$42</f>
        <v>25</v>
      </c>
      <c r="AM16" s="2414">
        <f>'Inventory Sales'!AN$42</f>
        <v>9375</v>
      </c>
      <c r="AN16" s="2290">
        <f t="shared" si="25"/>
        <v>375</v>
      </c>
    </row>
    <row r="17" spans="1:42" x14ac:dyDescent="0.25">
      <c r="A17" s="2947" t="s">
        <v>402</v>
      </c>
      <c r="B17" s="2354">
        <f>B15-B16</f>
        <v>66208</v>
      </c>
      <c r="C17" s="2295">
        <f>C15-C16</f>
        <v>7108672</v>
      </c>
      <c r="D17" s="2355">
        <f t="shared" si="13"/>
        <v>107.36877718704689</v>
      </c>
      <c r="E17" s="2354">
        <f>E15-E16</f>
        <v>62433</v>
      </c>
      <c r="F17" s="2295">
        <f>F15-F16</f>
        <v>7965703</v>
      </c>
      <c r="G17" s="2337">
        <f t="shared" si="14"/>
        <v>127.58802235996988</v>
      </c>
      <c r="H17" s="2354">
        <f>H15-H16</f>
        <v>92299</v>
      </c>
      <c r="I17" s="2295">
        <f>I15-I16</f>
        <v>14351528</v>
      </c>
      <c r="J17" s="2337">
        <f t="shared" si="15"/>
        <v>155.48952859727623</v>
      </c>
      <c r="K17" s="2354">
        <f>K15-K16</f>
        <v>0</v>
      </c>
      <c r="L17" s="2295">
        <f>L15-L16</f>
        <v>0</v>
      </c>
      <c r="M17" s="2337">
        <f t="shared" si="16"/>
        <v>0</v>
      </c>
      <c r="N17" s="2354">
        <f>N15-N16</f>
        <v>0</v>
      </c>
      <c r="O17" s="2295">
        <f>O15-O16</f>
        <v>0</v>
      </c>
      <c r="P17" s="2337">
        <f t="shared" si="17"/>
        <v>0</v>
      </c>
      <c r="Q17" s="2354">
        <f>Q15-Q16</f>
        <v>0</v>
      </c>
      <c r="R17" s="2295">
        <f>R15-R16</f>
        <v>0</v>
      </c>
      <c r="S17" s="2337">
        <f t="shared" si="18"/>
        <v>0</v>
      </c>
      <c r="T17" s="2307">
        <f>T12+T13-(T14+T16)</f>
        <v>0</v>
      </c>
      <c r="U17" s="2370">
        <f>U12+U13-(U14+U16)</f>
        <v>0</v>
      </c>
      <c r="V17" s="2337">
        <f t="shared" si="19"/>
        <v>0</v>
      </c>
      <c r="W17" s="2307">
        <f>W12+W13-(W14+W16)</f>
        <v>0</v>
      </c>
      <c r="X17" s="2370">
        <f>X12+X13-(X14+X16)</f>
        <v>0</v>
      </c>
      <c r="Y17" s="2337">
        <f t="shared" si="20"/>
        <v>0</v>
      </c>
      <c r="Z17" s="2307">
        <f>Z12+Z13-(Z14+Z16)</f>
        <v>0</v>
      </c>
      <c r="AA17" s="2370">
        <f>AA12+AA13-(AA14+AA16)</f>
        <v>0</v>
      </c>
      <c r="AB17" s="2337">
        <f t="shared" si="21"/>
        <v>0</v>
      </c>
      <c r="AC17" s="2307">
        <f>AC12+AC13-(AC14+AC16)</f>
        <v>0</v>
      </c>
      <c r="AD17" s="2370">
        <f>AD12+AD13-(AD14+AD16)</f>
        <v>0</v>
      </c>
      <c r="AE17" s="2337">
        <f t="shared" si="22"/>
        <v>0</v>
      </c>
      <c r="AF17" s="2307">
        <f>AF12+AF13-(AF14+AF16)</f>
        <v>0</v>
      </c>
      <c r="AG17" s="2370">
        <f>AG12+AG13-(AG14+AG16)</f>
        <v>0</v>
      </c>
      <c r="AH17" s="2337">
        <f t="shared" si="23"/>
        <v>0</v>
      </c>
      <c r="AI17" s="2307">
        <f>AI12+AI13-(AI14+AI16)</f>
        <v>0</v>
      </c>
      <c r="AJ17" s="2370">
        <f>AJ12+AJ13-(AJ14+AJ16)</f>
        <v>0</v>
      </c>
      <c r="AK17" s="2337">
        <f t="shared" si="24"/>
        <v>0</v>
      </c>
      <c r="AL17" s="2354">
        <f>AL15-AL16</f>
        <v>220940</v>
      </c>
      <c r="AM17" s="2295">
        <f>AM15-AM16</f>
        <v>29425903</v>
      </c>
      <c r="AN17" s="2337">
        <f t="shared" si="25"/>
        <v>133.18504118765276</v>
      </c>
    </row>
    <row r="18" spans="1:42" x14ac:dyDescent="0.25">
      <c r="A18" s="2302" t="s">
        <v>684</v>
      </c>
      <c r="B18" s="2395">
        <f>Purchase!$L22</f>
        <v>3668</v>
      </c>
      <c r="C18" s="2396">
        <f>ROUND((Purchase!$M22),0)</f>
        <v>668801</v>
      </c>
      <c r="D18" s="2355">
        <f t="shared" si="13"/>
        <v>182.33396946564886</v>
      </c>
      <c r="E18" s="2395">
        <f>Purchase!$L23</f>
        <v>4150</v>
      </c>
      <c r="F18" s="2396">
        <f>ROUND((Purchase!$M23),0)</f>
        <v>462250</v>
      </c>
      <c r="G18" s="2337">
        <f t="shared" si="14"/>
        <v>111.3855421686747</v>
      </c>
      <c r="H18" s="2395">
        <f>Purchase!$L24</f>
        <v>0</v>
      </c>
      <c r="I18" s="2396">
        <f>ROUND((Purchase!$M24),0)</f>
        <v>0</v>
      </c>
      <c r="J18" s="2337">
        <f t="shared" si="15"/>
        <v>0</v>
      </c>
      <c r="K18" s="2395">
        <f>Purchase!$L25</f>
        <v>0</v>
      </c>
      <c r="L18" s="2396">
        <f>ROUND((Purchase!$M25),0)</f>
        <v>0</v>
      </c>
      <c r="M18" s="2337">
        <f t="shared" si="16"/>
        <v>0</v>
      </c>
      <c r="N18" s="2395">
        <f>ROUND((Purchase!$L26),0)</f>
        <v>0</v>
      </c>
      <c r="O18" s="2396">
        <f>ROUND((Purchase!$M26),0)</f>
        <v>0</v>
      </c>
      <c r="P18" s="2337">
        <f t="shared" si="17"/>
        <v>0</v>
      </c>
      <c r="Q18" s="2395">
        <f>ROUND((Purchase!$L27),0)</f>
        <v>0</v>
      </c>
      <c r="R18" s="2396">
        <f>ROUND((Purchase!$M27),0)</f>
        <v>0</v>
      </c>
      <c r="S18" s="2337">
        <f t="shared" si="18"/>
        <v>0</v>
      </c>
      <c r="T18" s="2395">
        <f>ROUND((Purchase!$L28),0)</f>
        <v>0</v>
      </c>
      <c r="U18" s="2396">
        <f>ROUND((Purchase!$M28),0)</f>
        <v>0</v>
      </c>
      <c r="V18" s="2337">
        <f t="shared" si="19"/>
        <v>0</v>
      </c>
      <c r="W18" s="2395">
        <f>ROUND((Purchase!$L29),0)</f>
        <v>0</v>
      </c>
      <c r="X18" s="2396">
        <f>ROUND((Purchase!$M29),0)</f>
        <v>0</v>
      </c>
      <c r="Y18" s="2337">
        <f t="shared" si="20"/>
        <v>0</v>
      </c>
      <c r="Z18" s="2395">
        <f>ROUND((Purchase!$L30),0)</f>
        <v>0</v>
      </c>
      <c r="AA18" s="2396">
        <f>ROUND((Purchase!$M30),0)</f>
        <v>0</v>
      </c>
      <c r="AB18" s="2337">
        <f t="shared" si="21"/>
        <v>0</v>
      </c>
      <c r="AC18" s="2395">
        <f>ROUND((Purchase!$L31),0)</f>
        <v>0</v>
      </c>
      <c r="AD18" s="2396">
        <f>ROUND((Purchase!$M31),0)</f>
        <v>0</v>
      </c>
      <c r="AE18" s="2337">
        <f t="shared" si="22"/>
        <v>0</v>
      </c>
      <c r="AF18" s="2395">
        <f>ROUND((Purchase!$L32),0)</f>
        <v>0</v>
      </c>
      <c r="AG18" s="2396">
        <f>ROUND((Purchase!$M32),0)</f>
        <v>0</v>
      </c>
      <c r="AH18" s="2337">
        <f t="shared" si="23"/>
        <v>0</v>
      </c>
      <c r="AI18" s="2395">
        <f>ROUND((Purchase!$L33),0)</f>
        <v>0</v>
      </c>
      <c r="AJ18" s="2396">
        <f>ROUND((Purchase!$M33),0)</f>
        <v>0</v>
      </c>
      <c r="AK18" s="2337">
        <f t="shared" si="24"/>
        <v>0</v>
      </c>
      <c r="AL18" s="2395">
        <f>ROUND((Purchase!$L34),0)</f>
        <v>7818</v>
      </c>
      <c r="AM18" s="2396">
        <f>ROUND((Purchase!$M34),0)</f>
        <v>1131051</v>
      </c>
      <c r="AN18" s="2337">
        <f t="shared" si="25"/>
        <v>144.67267843438219</v>
      </c>
    </row>
    <row r="19" spans="1:42" x14ac:dyDescent="0.25">
      <c r="A19" s="1066" t="s">
        <v>685</v>
      </c>
      <c r="B19" s="2352">
        <f>Purchase!$I22</f>
        <v>22533</v>
      </c>
      <c r="C19" s="2288">
        <f>Purchase!$J22</f>
        <v>6277284</v>
      </c>
      <c r="D19" s="1022">
        <f t="shared" si="13"/>
        <v>278.58181334043405</v>
      </c>
      <c r="E19" s="2352">
        <f>Purchase!$I23</f>
        <v>9376</v>
      </c>
      <c r="F19" s="2288">
        <f>Purchase!$J23</f>
        <v>2777288</v>
      </c>
      <c r="G19" s="2375">
        <f t="shared" si="14"/>
        <v>296.21245733788396</v>
      </c>
      <c r="H19" s="2352">
        <f>Purchase!$I24</f>
        <v>0</v>
      </c>
      <c r="I19" s="2288">
        <f>Purchase!$J24</f>
        <v>0</v>
      </c>
      <c r="J19" s="2375">
        <f t="shared" si="15"/>
        <v>0</v>
      </c>
      <c r="K19" s="2352">
        <f>Purchase!$I25</f>
        <v>0</v>
      </c>
      <c r="L19" s="2288">
        <f>Purchase!$J25</f>
        <v>0</v>
      </c>
      <c r="M19" s="2375">
        <f t="shared" si="16"/>
        <v>0</v>
      </c>
      <c r="N19" s="2352">
        <f>Purchase!$I26</f>
        <v>0</v>
      </c>
      <c r="O19" s="2288">
        <f>Purchase!$J26</f>
        <v>0</v>
      </c>
      <c r="P19" s="2375">
        <f t="shared" si="17"/>
        <v>0</v>
      </c>
      <c r="Q19" s="2352">
        <f>Purchase!$I27</f>
        <v>0</v>
      </c>
      <c r="R19" s="2288">
        <f>Purchase!$J27</f>
        <v>0</v>
      </c>
      <c r="S19" s="2375">
        <f t="shared" si="18"/>
        <v>0</v>
      </c>
      <c r="T19" s="2352">
        <f>Purchase!$I28</f>
        <v>0</v>
      </c>
      <c r="U19" s="2288">
        <f>Purchase!$J28</f>
        <v>0</v>
      </c>
      <c r="V19" s="2375">
        <f t="shared" si="19"/>
        <v>0</v>
      </c>
      <c r="W19" s="2352">
        <f>Purchase!$I29</f>
        <v>0</v>
      </c>
      <c r="X19" s="2288">
        <f>Purchase!$J29</f>
        <v>0</v>
      </c>
      <c r="Y19" s="2375">
        <f t="shared" si="20"/>
        <v>0</v>
      </c>
      <c r="Z19" s="2352">
        <f>ROUND((Purchase!$I30),0)</f>
        <v>0</v>
      </c>
      <c r="AA19" s="2288">
        <f>Purchase!$J30</f>
        <v>0</v>
      </c>
      <c r="AB19" s="2375">
        <f t="shared" si="21"/>
        <v>0</v>
      </c>
      <c r="AC19" s="2352">
        <f>ROUND((Purchase!$I31),0)</f>
        <v>0</v>
      </c>
      <c r="AD19" s="2288">
        <f>ROUND((Purchase!$J31),0)</f>
        <v>0</v>
      </c>
      <c r="AE19" s="2375">
        <f t="shared" si="22"/>
        <v>0</v>
      </c>
      <c r="AF19" s="2352">
        <f>ROUND((Purchase!$I32),0)</f>
        <v>0</v>
      </c>
      <c r="AG19" s="2288">
        <f>ROUND((Purchase!$J32),0)</f>
        <v>0</v>
      </c>
      <c r="AH19" s="2375">
        <f t="shared" si="23"/>
        <v>0</v>
      </c>
      <c r="AI19" s="2887">
        <f>ROUND((Purchase!$I33),0)</f>
        <v>0</v>
      </c>
      <c r="AJ19" s="2415">
        <f>ROUND((Purchase!$J33),0)</f>
        <v>0</v>
      </c>
      <c r="AK19" s="2375">
        <f t="shared" si="24"/>
        <v>0</v>
      </c>
      <c r="AL19" s="2287">
        <f>ROUND((Purchase!I34),0)</f>
        <v>31908</v>
      </c>
      <c r="AM19" s="2415">
        <f>Purchase!J34</f>
        <v>9054573</v>
      </c>
      <c r="AN19" s="2375">
        <f t="shared" si="25"/>
        <v>283.77124858969535</v>
      </c>
    </row>
    <row r="20" spans="1:42" ht="13.8" thickBot="1" x14ac:dyDescent="0.3">
      <c r="A20" s="1562" t="s">
        <v>672</v>
      </c>
      <c r="B20" s="2371">
        <f>ROUND((Purchase!$K52),0)</f>
        <v>9490</v>
      </c>
      <c r="C20" s="1021">
        <f>ROUND((Purchase!$L52),0)</f>
        <v>2224579</v>
      </c>
      <c r="D20" s="1021">
        <f t="shared" si="13"/>
        <v>234.41296101159114</v>
      </c>
      <c r="E20" s="2308">
        <f>ROUND((Purchase!$K53),0)</f>
        <v>6627</v>
      </c>
      <c r="F20" s="2313">
        <f>ROUND((Purchase!$L53),0)</f>
        <v>1470254</v>
      </c>
      <c r="G20" s="2292">
        <f t="shared" si="14"/>
        <v>221.8581560283688</v>
      </c>
      <c r="H20" s="2308">
        <f>ROUND((Purchase!$K54),0)</f>
        <v>0</v>
      </c>
      <c r="I20" s="2313">
        <f>ROUND((Purchase!$L54),0)</f>
        <v>0</v>
      </c>
      <c r="J20" s="2292">
        <f t="shared" si="15"/>
        <v>0</v>
      </c>
      <c r="K20" s="2308">
        <f>ROUND((Purchase!$K55),0)</f>
        <v>0</v>
      </c>
      <c r="L20" s="2313">
        <f>ROUND((Purchase!$L55),0)</f>
        <v>0</v>
      </c>
      <c r="M20" s="2292">
        <f t="shared" si="16"/>
        <v>0</v>
      </c>
      <c r="N20" s="2308">
        <f>ROUND((Purchase!$K56),0)</f>
        <v>0</v>
      </c>
      <c r="O20" s="2313">
        <f>ROUND((Purchase!$L56),0)</f>
        <v>0</v>
      </c>
      <c r="P20" s="2292">
        <f t="shared" si="17"/>
        <v>0</v>
      </c>
      <c r="Q20" s="2308">
        <f>ROUND((Purchase!$K57),0)</f>
        <v>0</v>
      </c>
      <c r="R20" s="2313">
        <f>ROUND((Purchase!$L57),0)</f>
        <v>0</v>
      </c>
      <c r="S20" s="2292">
        <f t="shared" si="18"/>
        <v>0</v>
      </c>
      <c r="T20" s="2308">
        <f>ROUND((Purchase!$K58),0)</f>
        <v>0</v>
      </c>
      <c r="U20" s="2313">
        <f>ROUND((Purchase!$L58),0)</f>
        <v>0</v>
      </c>
      <c r="V20" s="2292">
        <f t="shared" si="19"/>
        <v>0</v>
      </c>
      <c r="W20" s="2308">
        <f>ROUND((Purchase!$K59),0)</f>
        <v>0</v>
      </c>
      <c r="X20" s="2313">
        <f>ROUND((Purchase!$L59),0)</f>
        <v>0</v>
      </c>
      <c r="Y20" s="2292">
        <f t="shared" si="20"/>
        <v>0</v>
      </c>
      <c r="Z20" s="2308">
        <f>ROUND((Purchase!$K60),0)</f>
        <v>0</v>
      </c>
      <c r="AA20" s="2313">
        <f>ROUND((Purchase!$L60),0)</f>
        <v>0</v>
      </c>
      <c r="AB20" s="2292">
        <f t="shared" si="21"/>
        <v>0</v>
      </c>
      <c r="AC20" s="2308">
        <f>ROUND((Purchase!$K61),0)</f>
        <v>0</v>
      </c>
      <c r="AD20" s="2313">
        <f>ROUND((Purchase!$L61),0)</f>
        <v>0</v>
      </c>
      <c r="AE20" s="2292">
        <f t="shared" si="22"/>
        <v>0</v>
      </c>
      <c r="AF20" s="2308">
        <f>ROUND((Purchase!$K62),0)</f>
        <v>0</v>
      </c>
      <c r="AG20" s="2313">
        <f>ROUND((Purchase!$L62),0)</f>
        <v>0</v>
      </c>
      <c r="AH20" s="2292">
        <f t="shared" si="23"/>
        <v>0</v>
      </c>
      <c r="AI20" s="2889">
        <f>ROUND((Purchase!$K63),0)</f>
        <v>0</v>
      </c>
      <c r="AJ20" s="2416">
        <f>ROUND((Purchase!$L63),0)</f>
        <v>0</v>
      </c>
      <c r="AK20" s="2292">
        <f t="shared" si="24"/>
        <v>0</v>
      </c>
      <c r="AL20" s="2294">
        <f>ROUND((Purchase!$K64),0)</f>
        <v>16116</v>
      </c>
      <c r="AM20" s="2416">
        <f>ROUND((Purchase!$L64),0)</f>
        <v>3694833</v>
      </c>
      <c r="AN20" s="2292">
        <f t="shared" si="25"/>
        <v>229.26489203276248</v>
      </c>
    </row>
    <row r="21" spans="1:42" ht="13.8" thickBot="1" x14ac:dyDescent="0.3">
      <c r="A21" s="2303" t="s">
        <v>678</v>
      </c>
      <c r="B21" s="2372">
        <f>SUM(B16:B20)</f>
        <v>101899</v>
      </c>
      <c r="C21" s="2296">
        <f>SUM(C16:C20)</f>
        <v>16279336</v>
      </c>
      <c r="D21" s="2296">
        <f t="shared" si="13"/>
        <v>159.75952659005486</v>
      </c>
      <c r="E21" s="2309">
        <f>SUM(E16:E20)</f>
        <v>82611</v>
      </c>
      <c r="F21" s="2314">
        <f>SUM(F16:F20)</f>
        <v>12684870</v>
      </c>
      <c r="G21" s="2297">
        <f t="shared" si="14"/>
        <v>153.5494062534045</v>
      </c>
      <c r="H21" s="2309">
        <f>SUM(H16:H20)</f>
        <v>92299</v>
      </c>
      <c r="I21" s="2314">
        <f>SUM(I16:I20)</f>
        <v>14351528</v>
      </c>
      <c r="J21" s="2297">
        <f t="shared" si="15"/>
        <v>155.48952859727623</v>
      </c>
      <c r="K21" s="2309">
        <f>SUM(K16:K20)</f>
        <v>0</v>
      </c>
      <c r="L21" s="2297">
        <f>SUM(L16:L20)</f>
        <v>0</v>
      </c>
      <c r="M21" s="2297">
        <f t="shared" si="16"/>
        <v>0</v>
      </c>
      <c r="N21" s="2309">
        <f>SUM(N16:N20)</f>
        <v>0</v>
      </c>
      <c r="O21" s="2314">
        <f>SUM(O16:O20)</f>
        <v>0</v>
      </c>
      <c r="P21" s="2297">
        <f t="shared" si="17"/>
        <v>0</v>
      </c>
      <c r="Q21" s="2309">
        <f>SUM(Q16:Q20)</f>
        <v>0</v>
      </c>
      <c r="R21" s="2314">
        <f>SUM(R16:R20)</f>
        <v>0</v>
      </c>
      <c r="S21" s="2297">
        <f t="shared" si="18"/>
        <v>0</v>
      </c>
      <c r="T21" s="2309">
        <f>SUM(T16:T20)</f>
        <v>0</v>
      </c>
      <c r="U21" s="2314">
        <f>SUM(U16:U20)</f>
        <v>0</v>
      </c>
      <c r="V21" s="2297">
        <f t="shared" si="19"/>
        <v>0</v>
      </c>
      <c r="W21" s="2309">
        <f>SUM(W16:W20)</f>
        <v>0</v>
      </c>
      <c r="X21" s="2314">
        <f>SUM(X16:X20)</f>
        <v>0</v>
      </c>
      <c r="Y21" s="2297">
        <f t="shared" si="20"/>
        <v>0</v>
      </c>
      <c r="Z21" s="2309">
        <f>SUM(Z16:Z20)</f>
        <v>0</v>
      </c>
      <c r="AA21" s="2314">
        <f>SUM(AA16:AA20)</f>
        <v>0</v>
      </c>
      <c r="AB21" s="2297">
        <f t="shared" si="21"/>
        <v>0</v>
      </c>
      <c r="AC21" s="2309">
        <f>SUM(AC16:AC20)</f>
        <v>0</v>
      </c>
      <c r="AD21" s="2314">
        <f>SUM(AD16:AD20)</f>
        <v>0</v>
      </c>
      <c r="AE21" s="2297">
        <f t="shared" si="22"/>
        <v>0</v>
      </c>
      <c r="AF21" s="2309">
        <f>SUM(AF16:AF20)</f>
        <v>0</v>
      </c>
      <c r="AG21" s="2314">
        <f>SUM(AG16:AG20)</f>
        <v>0</v>
      </c>
      <c r="AH21" s="2297">
        <f t="shared" si="23"/>
        <v>0</v>
      </c>
      <c r="AI21" s="2309">
        <f>SUM(AI16:AI20)</f>
        <v>0</v>
      </c>
      <c r="AJ21" s="2314">
        <f>SUM(AJ16:AJ20)</f>
        <v>0</v>
      </c>
      <c r="AK21" s="2297">
        <f t="shared" si="24"/>
        <v>0</v>
      </c>
      <c r="AL21" s="2309">
        <f>SUM(AL16:AL20)</f>
        <v>276807</v>
      </c>
      <c r="AM21" s="2314">
        <f>SUM(AM16:AM20)</f>
        <v>43315735</v>
      </c>
      <c r="AN21" s="2297">
        <f t="shared" si="25"/>
        <v>156.48352462184843</v>
      </c>
    </row>
    <row r="22" spans="1:42" x14ac:dyDescent="0.25">
      <c r="A22" s="2401" t="s">
        <v>693</v>
      </c>
      <c r="B22" s="2402">
        <f>'Stock Valuation (FIFO)'!E$28</f>
        <v>9093</v>
      </c>
      <c r="C22" s="2403">
        <f>'Stock Valuation (FIFO)'!G$28</f>
        <v>-3380536</v>
      </c>
      <c r="D22" s="2404"/>
      <c r="E22" s="2402">
        <f>'Stock Valuation (FIFO)'!H$28</f>
        <v>40554</v>
      </c>
      <c r="F22" s="2403">
        <f>'Stock Valuation (FIFO)'!J$28</f>
        <v>3039608</v>
      </c>
      <c r="G22" s="2406"/>
      <c r="H22" s="2402">
        <f>'Stock Valuation (FIFO)'!K$28</f>
        <v>253330</v>
      </c>
      <c r="I22" s="2403">
        <f>'Stock Valuation (FIFO)'!M$28</f>
        <v>65195596</v>
      </c>
      <c r="J22" s="2406"/>
      <c r="K22" s="2402">
        <f>'Stock Valuation (FIFO)'!N$28</f>
        <v>0</v>
      </c>
      <c r="L22" s="2403">
        <f>'Stock Valuation (FIFO)'!P$28</f>
        <v>0</v>
      </c>
      <c r="M22" s="2406">
        <f t="shared" si="16"/>
        <v>0</v>
      </c>
      <c r="N22" s="2402">
        <f>'Stock Valuation (FIFO)'!Q$28</f>
        <v>0</v>
      </c>
      <c r="O22" s="2403">
        <f>'Stock Valuation (FIFO)'!S$28</f>
        <v>0</v>
      </c>
      <c r="P22" s="2406">
        <f t="shared" si="17"/>
        <v>0</v>
      </c>
      <c r="Q22" s="2402">
        <f>'Stock Valuation (FIFO)'!T$28</f>
        <v>0</v>
      </c>
      <c r="R22" s="2403">
        <f>'Stock Valuation (FIFO)'!V$28</f>
        <v>0</v>
      </c>
      <c r="S22" s="2406">
        <f t="shared" si="18"/>
        <v>0</v>
      </c>
      <c r="T22" s="2402">
        <f>'Stock Valuation (FIFO)'!W$28</f>
        <v>0</v>
      </c>
      <c r="U22" s="2403">
        <f>'Stock Valuation (FIFO)'!Y$28</f>
        <v>0</v>
      </c>
      <c r="V22" s="2406">
        <f t="shared" si="19"/>
        <v>0</v>
      </c>
      <c r="W22" s="2405">
        <f>'Stock Valuation (FIFO)'!$Z$28</f>
        <v>0</v>
      </c>
      <c r="X22" s="2384">
        <f>'Stock Valuation (FIFO)'!$AB$28</f>
        <v>0</v>
      </c>
      <c r="Y22" s="2406">
        <f t="shared" si="20"/>
        <v>0</v>
      </c>
      <c r="Z22" s="2405">
        <f>'Stock Valuation (FIFO)'!$AC$28</f>
        <v>0</v>
      </c>
      <c r="AA22" s="2384">
        <f>'Stock Valuation (FIFO)'!$AE$28</f>
        <v>0</v>
      </c>
      <c r="AB22" s="2406">
        <f t="shared" si="21"/>
        <v>0</v>
      </c>
      <c r="AC22" s="2405">
        <f>'Stock Valuation (FIFO)'!$AF$28</f>
        <v>0</v>
      </c>
      <c r="AD22" s="2384">
        <f>'Stock Valuation (FIFO)'!$AH$28</f>
        <v>0</v>
      </c>
      <c r="AE22" s="2406">
        <f t="shared" si="22"/>
        <v>0</v>
      </c>
      <c r="AF22" s="2405">
        <f>'Stock Valuation (FIFO)'!$AI$28</f>
        <v>0</v>
      </c>
      <c r="AG22" s="2384">
        <f>'Stock Valuation (FIFO)'!$AK$28</f>
        <v>0</v>
      </c>
      <c r="AH22" s="2406">
        <f t="shared" si="23"/>
        <v>0</v>
      </c>
      <c r="AI22" s="2405">
        <f>'Stock Valuation (FIFO)'!AL28</f>
        <v>0</v>
      </c>
      <c r="AJ22" s="2384">
        <f>'Stock Valuation (FIFO)'!AN28</f>
        <v>0</v>
      </c>
      <c r="AK22" s="2406"/>
      <c r="AL22" s="2402">
        <f>'Stock Valuation (FIFO)'!AL31</f>
        <v>0</v>
      </c>
      <c r="AM22" s="2926">
        <f>'Stock Valuation (FIFO)'!AN31</f>
        <v>0</v>
      </c>
      <c r="AN22" s="2406">
        <f t="shared" si="25"/>
        <v>0</v>
      </c>
    </row>
    <row r="23" spans="1:42" ht="13.8" thickBot="1" x14ac:dyDescent="0.3">
      <c r="A23" s="2407" t="s">
        <v>694</v>
      </c>
      <c r="B23" s="2410">
        <f>'Stock Valuation (FIFO)'!E29</f>
        <v>100</v>
      </c>
      <c r="C23" s="2408">
        <f>'Stock Valuation (FIFO)'!G29</f>
        <v>6419</v>
      </c>
      <c r="D23" s="2408"/>
      <c r="E23" s="2410">
        <f>'Stock Valuation (FIFO)'!H29</f>
        <v>-98</v>
      </c>
      <c r="F23" s="2643">
        <f>'Stock Valuation (FIFO)'!J29</f>
        <v>-21320</v>
      </c>
      <c r="G23" s="2348"/>
      <c r="H23" s="2410">
        <f>'Stock Valuation (FIFO)'!K29</f>
        <v>1039</v>
      </c>
      <c r="I23" s="2408">
        <f>'Stock Valuation (FIFO)'!M29</f>
        <v>245972</v>
      </c>
      <c r="J23" s="2348"/>
      <c r="K23" s="2644">
        <f>'Stock Valuation (FIFO)'!N29</f>
        <v>0</v>
      </c>
      <c r="L23" s="2643">
        <f>'Stock Valuation (FIFO)'!P29</f>
        <v>0</v>
      </c>
      <c r="M23" s="2348"/>
      <c r="N23" s="2644">
        <f>'Stock Valuation (FIFO)'!Q29</f>
        <v>0</v>
      </c>
      <c r="O23" s="2643">
        <f>'Stock Valuation (FIFO)'!S29</f>
        <v>0</v>
      </c>
      <c r="P23" s="2348"/>
      <c r="Q23" s="2644">
        <f>'Stock Valuation (FIFO)'!T29</f>
        <v>0</v>
      </c>
      <c r="R23" s="2643">
        <f>'Stock Valuation (FIFO)'!V29</f>
        <v>0</v>
      </c>
      <c r="S23" s="2348"/>
      <c r="T23" s="2644">
        <f>'Stock Valuation (FIFO)'!W29</f>
        <v>0</v>
      </c>
      <c r="U23" s="2643">
        <f>'Stock Valuation (FIFO)'!Y29</f>
        <v>0</v>
      </c>
      <c r="V23" s="2348"/>
      <c r="W23" s="2409">
        <f>'Stock Valuation (FIFO)'!Z29</f>
        <v>0</v>
      </c>
      <c r="X23" s="2385">
        <f>'Stock Valuation (FIFO)'!AB29</f>
        <v>0</v>
      </c>
      <c r="Y23" s="2348"/>
      <c r="Z23" s="2409">
        <f>'Stock Valuation (FIFO)'!AC29</f>
        <v>0</v>
      </c>
      <c r="AA23" s="2385">
        <f>'Stock Valuation (FIFO)'!AE29</f>
        <v>0</v>
      </c>
      <c r="AB23" s="2348"/>
      <c r="AC23" s="2409">
        <f>'Stock Valuation (FIFO)'!AF29</f>
        <v>0</v>
      </c>
      <c r="AD23" s="2385">
        <f>'Stock Valuation (FIFO)'!AH29</f>
        <v>0</v>
      </c>
      <c r="AE23" s="2348"/>
      <c r="AF23" s="2409">
        <f>'Stock Valuation (FIFO)'!AI29</f>
        <v>0</v>
      </c>
      <c r="AG23" s="2385">
        <f>'Stock Valuation (FIFO)'!AK29</f>
        <v>0</v>
      </c>
      <c r="AH23" s="2348"/>
      <c r="AI23" s="2409">
        <f>'Stock Valuation (FIFO)'!AL29</f>
        <v>0</v>
      </c>
      <c r="AJ23" s="2385">
        <f>'Stock Valuation (FIFO)'!AN29</f>
        <v>0</v>
      </c>
      <c r="AK23" s="2348"/>
      <c r="AL23" s="2373">
        <f>'Stock Valuation (FIFO)'!AL32</f>
        <v>0</v>
      </c>
      <c r="AM23" s="2927">
        <f>'Stock Valuation (FIFO)'!AN32</f>
        <v>0</v>
      </c>
      <c r="AN23" s="2348"/>
    </row>
    <row r="24" spans="1:42" ht="13.8" thickBot="1" x14ac:dyDescent="0.3">
      <c r="A24" s="2400" t="s">
        <v>695</v>
      </c>
      <c r="B24" s="2310">
        <f>SUM(B22:B23)</f>
        <v>9193</v>
      </c>
      <c r="C24" s="2642">
        <f>SUM(C22:C23)</f>
        <v>-3374117</v>
      </c>
      <c r="D24" s="2398"/>
      <c r="E24" s="2310">
        <f>SUM(E22:E23)</f>
        <v>40456</v>
      </c>
      <c r="F24" s="2315">
        <f>SUM(F22:F23)</f>
        <v>3018288</v>
      </c>
      <c r="G24" s="2399"/>
      <c r="H24" s="2310">
        <f>SUM(H22:H23)</f>
        <v>254369</v>
      </c>
      <c r="I24" s="2315">
        <f>SUM(I22:I23)</f>
        <v>65441568</v>
      </c>
      <c r="J24" s="2399"/>
      <c r="K24" s="2310">
        <f>SUM(K22:K23)</f>
        <v>0</v>
      </c>
      <c r="L24" s="2642">
        <f>SUM(L22:L23)</f>
        <v>0</v>
      </c>
      <c r="M24" s="2399"/>
      <c r="N24" s="2310">
        <f>SUM(N22:N23)</f>
        <v>0</v>
      </c>
      <c r="O24" s="2642">
        <f>SUM(O22:O23)</f>
        <v>0</v>
      </c>
      <c r="P24" s="2399"/>
      <c r="Q24" s="2310">
        <f>SUM(Q22:Q23)</f>
        <v>0</v>
      </c>
      <c r="R24" s="2642">
        <f>SUM(R22:R23)</f>
        <v>0</v>
      </c>
      <c r="S24" s="2399"/>
      <c r="T24" s="2310">
        <f>SUM(T22:T23)</f>
        <v>0</v>
      </c>
      <c r="U24" s="2642">
        <f>SUM(U22:U23)</f>
        <v>0</v>
      </c>
      <c r="V24" s="2399"/>
      <c r="W24" s="2310">
        <f>SUM(W22:W23)</f>
        <v>0</v>
      </c>
      <c r="X24" s="2315">
        <f>SUM(X22:X23)</f>
        <v>0</v>
      </c>
      <c r="Y24" s="2399"/>
      <c r="Z24" s="2310">
        <f>SUM(Z22:Z23)</f>
        <v>0</v>
      </c>
      <c r="AA24" s="2315">
        <f>SUM(AA22:AA23)</f>
        <v>0</v>
      </c>
      <c r="AB24" s="2297"/>
      <c r="AC24" s="2883">
        <f>SUM(AC22:AC23)</f>
        <v>0</v>
      </c>
      <c r="AD24" s="2884">
        <f>SUM(AD22:AD23)</f>
        <v>0</v>
      </c>
      <c r="AE24" s="2399"/>
      <c r="AF24" s="2883">
        <f>SUM(AF22:AF23)</f>
        <v>0</v>
      </c>
      <c r="AG24" s="2884">
        <f>SUM(AG22:AG23)</f>
        <v>0</v>
      </c>
      <c r="AH24" s="2399"/>
      <c r="AI24" s="2883">
        <f>SUM(AI22:AI23)</f>
        <v>0</v>
      </c>
      <c r="AJ24" s="2884">
        <f>SUM(AJ22:AJ23)</f>
        <v>0</v>
      </c>
      <c r="AK24" s="2399"/>
      <c r="AL24" s="2883">
        <f>SUM(AL22:AL23)</f>
        <v>0</v>
      </c>
      <c r="AM24" s="2928">
        <f>SUM(AM22:AM23)</f>
        <v>0</v>
      </c>
      <c r="AN24" s="2399"/>
    </row>
    <row r="25" spans="1:42" ht="13.8" thickBot="1" x14ac:dyDescent="0.3">
      <c r="A25" s="746" t="s">
        <v>674</v>
      </c>
      <c r="B25" s="2374">
        <f>SUM(B21,B24)</f>
        <v>111092</v>
      </c>
      <c r="C25" s="1331">
        <f>C21+C24</f>
        <v>12905219</v>
      </c>
      <c r="D25" s="1021">
        <f>IF(C25=0,0,C25/B25)</f>
        <v>116.16695171569511</v>
      </c>
      <c r="E25" s="2374">
        <f>SUM(E21,E24)</f>
        <v>123067</v>
      </c>
      <c r="F25" s="1331">
        <f>F21+F24</f>
        <v>15703158</v>
      </c>
      <c r="G25" s="2292">
        <f>IF(F25=0,0,F25/E25)</f>
        <v>127.59844637473897</v>
      </c>
      <c r="H25" s="2374">
        <f>SUM(H21,H24)</f>
        <v>346668</v>
      </c>
      <c r="I25" s="1331">
        <f>I21+I24</f>
        <v>79793096</v>
      </c>
      <c r="J25" s="2292">
        <f>IF(I25=0,0,I25/H25)</f>
        <v>230.17150703266526</v>
      </c>
      <c r="K25" s="2374">
        <f>SUM(K21,K24)</f>
        <v>0</v>
      </c>
      <c r="L25" s="1331">
        <f>L21+L24</f>
        <v>0</v>
      </c>
      <c r="M25" s="2292">
        <f t="shared" si="16"/>
        <v>0</v>
      </c>
      <c r="N25" s="2374">
        <f>SUM(N21,N24)</f>
        <v>0</v>
      </c>
      <c r="O25" s="1331">
        <f>O21+O24</f>
        <v>0</v>
      </c>
      <c r="P25" s="2292">
        <f t="shared" si="17"/>
        <v>0</v>
      </c>
      <c r="Q25" s="2374">
        <f>SUM(Q21,Q24)</f>
        <v>0</v>
      </c>
      <c r="R25" s="1331">
        <f>R21+R24</f>
        <v>0</v>
      </c>
      <c r="S25" s="2292">
        <f t="shared" ref="S25" si="26">IF(R25=0,0,R25/Q25)</f>
        <v>0</v>
      </c>
      <c r="T25" s="2374">
        <f>SUM(T21,T24)</f>
        <v>0</v>
      </c>
      <c r="U25" s="1331">
        <f>U21+U24</f>
        <v>0</v>
      </c>
      <c r="V25" s="2292">
        <f t="shared" si="19"/>
        <v>0</v>
      </c>
      <c r="W25" s="2374">
        <f>SUM(W21,W24)</f>
        <v>0</v>
      </c>
      <c r="X25" s="1331">
        <f>X21+X24</f>
        <v>0</v>
      </c>
      <c r="Y25" s="2292">
        <f t="shared" si="20"/>
        <v>0</v>
      </c>
      <c r="Z25" s="2374">
        <f>SUM(Z21,Z24)</f>
        <v>0</v>
      </c>
      <c r="AA25" s="1331">
        <f>AA21+AA24</f>
        <v>0</v>
      </c>
      <c r="AB25" s="2841">
        <f t="shared" si="21"/>
        <v>0</v>
      </c>
      <c r="AC25" s="2374">
        <f>SUM(AC21,AC24)</f>
        <v>0</v>
      </c>
      <c r="AD25" s="1331">
        <f>AD21+AD24</f>
        <v>0</v>
      </c>
      <c r="AE25" s="2885">
        <f t="shared" si="22"/>
        <v>0</v>
      </c>
      <c r="AF25" s="2374">
        <f>SUM(AF21,AF24)</f>
        <v>0</v>
      </c>
      <c r="AG25" s="1331">
        <f>AG21+AG24</f>
        <v>0</v>
      </c>
      <c r="AH25" s="2885">
        <f t="shared" si="23"/>
        <v>0</v>
      </c>
      <c r="AI25" s="2374">
        <f>SUM(AI21-AI24)</f>
        <v>0</v>
      </c>
      <c r="AJ25" s="1331">
        <f>AJ21+AJ24</f>
        <v>0</v>
      </c>
      <c r="AK25" s="2885">
        <f t="shared" si="24"/>
        <v>0</v>
      </c>
      <c r="AL25" s="2374">
        <f>SUM(AL21,AL24)</f>
        <v>276807</v>
      </c>
      <c r="AM25" s="1331">
        <f>AM21+AM24</f>
        <v>43315735</v>
      </c>
      <c r="AN25" s="2885">
        <f t="shared" si="25"/>
        <v>156.48352462184843</v>
      </c>
    </row>
    <row r="26" spans="1:42" x14ac:dyDescent="0.25">
      <c r="A26" s="980" t="s">
        <v>673</v>
      </c>
      <c r="B26" s="2299">
        <f>'PAL I'!C$11</f>
        <v>111092</v>
      </c>
      <c r="C26" s="1640">
        <f>'PAL I'!D$11</f>
        <v>12905219</v>
      </c>
      <c r="D26" s="2299"/>
      <c r="E26" s="2299">
        <f>'PAL I'!F$11</f>
        <v>123067</v>
      </c>
      <c r="F26" s="1640">
        <f>'PAL I'!G$11</f>
        <v>15703158</v>
      </c>
      <c r="G26" s="2299"/>
      <c r="H26" s="2299">
        <f>'PAL I'!I$11</f>
        <v>346668</v>
      </c>
      <c r="I26" s="1640">
        <f>'PAL I'!J$11</f>
        <v>79793096</v>
      </c>
      <c r="J26" s="2299"/>
      <c r="K26" s="2299">
        <f>'PAL I'!L$11</f>
        <v>0</v>
      </c>
      <c r="L26" s="1640">
        <f>'PAL I'!M$11</f>
        <v>0</v>
      </c>
      <c r="M26" s="2299"/>
      <c r="N26" s="2299">
        <f>'PAL I'!O$11</f>
        <v>0</v>
      </c>
      <c r="O26" s="1640">
        <f>'PAL I'!P$11</f>
        <v>0</v>
      </c>
      <c r="P26" s="2299"/>
      <c r="Q26" s="2299">
        <f>'PAL I'!R$11</f>
        <v>0</v>
      </c>
      <c r="R26" s="1640">
        <f>'PAL I'!S$11</f>
        <v>0</v>
      </c>
      <c r="S26" s="2299"/>
      <c r="T26" s="2299">
        <f>'PAL I'!U$11</f>
        <v>0</v>
      </c>
      <c r="U26" s="1640">
        <f>'PAL I'!V$11</f>
        <v>0</v>
      </c>
      <c r="V26" s="2299"/>
      <c r="W26" s="2299">
        <f>'PAL I'!X$11</f>
        <v>0</v>
      </c>
      <c r="X26" s="1640">
        <f>'PAL I'!Y$11</f>
        <v>0</v>
      </c>
      <c r="Y26" s="2299"/>
      <c r="Z26" s="2299">
        <f>'PAL I'!AA$11</f>
        <v>0</v>
      </c>
      <c r="AA26" s="1640">
        <f>'PAL I'!AB$11</f>
        <v>0</v>
      </c>
      <c r="AB26" s="2299"/>
      <c r="AC26" s="2299">
        <f>'PAL I'!AD$11</f>
        <v>0</v>
      </c>
      <c r="AD26" s="1640">
        <f>'PAL I'!AE$11</f>
        <v>0</v>
      </c>
      <c r="AE26" s="2299"/>
      <c r="AF26" s="2299">
        <f>'PAL I'!AG$11</f>
        <v>0</v>
      </c>
      <c r="AG26" s="1640">
        <f>'PAL I'!AH$11</f>
        <v>0</v>
      </c>
      <c r="AH26" s="2299"/>
      <c r="AI26" s="2299">
        <f>'PAL I'!AJ11</f>
        <v>0</v>
      </c>
      <c r="AJ26" s="1640">
        <f>'PAL I'!AK11</f>
        <v>0</v>
      </c>
      <c r="AK26" s="2299"/>
      <c r="AL26" s="2299">
        <f>'PAL I'!AM$11</f>
        <v>234159</v>
      </c>
      <c r="AM26" s="1640">
        <f>'PAL I'!AN$11</f>
        <v>28608377</v>
      </c>
    </row>
    <row r="27" spans="1:42" ht="13.8" thickBot="1" x14ac:dyDescent="0.3">
      <c r="B27" s="1531">
        <f>B25-B26</f>
        <v>0</v>
      </c>
      <c r="C27" s="1145"/>
      <c r="D27" s="1145"/>
      <c r="E27" s="1145"/>
      <c r="F27" s="2286"/>
      <c r="G27" s="2286"/>
      <c r="Q27" s="2641">
        <f>Q25-Q26</f>
        <v>0</v>
      </c>
      <c r="R27" s="2393">
        <f>R25-R26</f>
        <v>0</v>
      </c>
      <c r="T27" s="2641">
        <f>T25-T26</f>
        <v>0</v>
      </c>
      <c r="U27" s="2393">
        <f>U25-U26</f>
        <v>0</v>
      </c>
      <c r="W27" s="2641">
        <f>W25-W26</f>
        <v>0</v>
      </c>
      <c r="X27" s="1145">
        <f>X25-X26</f>
        <v>0</v>
      </c>
      <c r="Z27" s="2641">
        <f>Z25-Z26</f>
        <v>0</v>
      </c>
      <c r="AA27" s="1145">
        <f>AA25-AA26</f>
        <v>0</v>
      </c>
      <c r="AC27" s="2641">
        <f>AC25-AC26</f>
        <v>0</v>
      </c>
      <c r="AD27" s="1145">
        <f>AD25-AD26</f>
        <v>0</v>
      </c>
      <c r="AF27" s="2641">
        <f>AF25-AF26</f>
        <v>0</v>
      </c>
      <c r="AG27" s="1145">
        <f>AG25-AG26</f>
        <v>0</v>
      </c>
      <c r="AI27" s="2641">
        <f>AI25-AI26</f>
        <v>0</v>
      </c>
      <c r="AJ27" s="1145">
        <f>AJ25-AJ26</f>
        <v>0</v>
      </c>
      <c r="AL27" s="2641">
        <f>AL25-AL26</f>
        <v>42648</v>
      </c>
      <c r="AM27" s="1145">
        <f>AM25-AM26</f>
        <v>14707358</v>
      </c>
      <c r="AN27" s="153">
        <f>AM25-AM26</f>
        <v>14707358</v>
      </c>
    </row>
    <row r="28" spans="1:42" x14ac:dyDescent="0.25">
      <c r="A28" s="439" t="str">
        <f>'Direct Expns'!R35</f>
        <v>Variable-Yarn Cost</v>
      </c>
      <c r="B28" s="2276"/>
      <c r="C28" s="2320">
        <f>'Direct Expns'!S35</f>
        <v>2320599</v>
      </c>
      <c r="D28" s="233">
        <f>(C28/B17)</f>
        <v>35.050129893668441</v>
      </c>
      <c r="E28" s="1273"/>
      <c r="F28" s="2289">
        <f>ROUND(('Direct Expns'!T35),0)</f>
        <v>2395041</v>
      </c>
      <c r="G28" s="233">
        <f>(F28/E17)</f>
        <v>38.361779827975589</v>
      </c>
      <c r="H28" s="1269"/>
      <c r="I28" s="2320">
        <f>ROUND(('Direct Expns'!U46),0)</f>
        <v>0</v>
      </c>
      <c r="J28" s="233">
        <f>(I28/H17)</f>
        <v>0</v>
      </c>
      <c r="K28" s="2326"/>
      <c r="L28" s="2300">
        <f>ROUND(('Direct Expns'!V46),0)</f>
        <v>0</v>
      </c>
      <c r="M28" s="233" t="e">
        <f>(L28/K17)</f>
        <v>#DIV/0!</v>
      </c>
      <c r="N28" s="2326"/>
      <c r="O28" s="2300">
        <f>ROUND(('Direct Expns'!W46),0)</f>
        <v>0</v>
      </c>
      <c r="P28" s="233" t="e">
        <f>(O28/N17)</f>
        <v>#DIV/0!</v>
      </c>
      <c r="Q28" s="2343"/>
      <c r="R28" s="2649">
        <f>'Direct Expns'!X46</f>
        <v>0</v>
      </c>
      <c r="S28" s="233" t="e">
        <f>(R28/Q17)</f>
        <v>#DIV/0!</v>
      </c>
      <c r="T28" s="2343"/>
      <c r="U28" s="2649">
        <f>'Direct Expns'!Y46</f>
        <v>0</v>
      </c>
      <c r="V28" s="233" t="e">
        <f>(U28/T17)</f>
        <v>#DIV/0!</v>
      </c>
      <c r="W28" s="2343"/>
      <c r="X28" s="2835">
        <f>'Direct Expns'!Z46</f>
        <v>0</v>
      </c>
      <c r="Y28" s="233" t="e">
        <f>(X28/W17)</f>
        <v>#DIV/0!</v>
      </c>
      <c r="Z28" s="2343"/>
      <c r="AA28" s="2835">
        <f>'Direct Expns'!AA46</f>
        <v>0</v>
      </c>
      <c r="AB28" s="233" t="e">
        <f>(AA28/Z17)</f>
        <v>#DIV/0!</v>
      </c>
      <c r="AC28" s="2343"/>
      <c r="AD28" s="2835">
        <f>ROUND(('Direct Expns'!AB46),0)</f>
        <v>0</v>
      </c>
      <c r="AE28" s="233" t="e">
        <f>(AD28/AC17)</f>
        <v>#DIV/0!</v>
      </c>
      <c r="AF28" s="2343"/>
      <c r="AG28" s="2835">
        <f>ROUND(('Direct Expns'!AC46),0)</f>
        <v>0</v>
      </c>
      <c r="AH28" s="233" t="e">
        <f>(AG28/AF17)</f>
        <v>#DIV/0!</v>
      </c>
      <c r="AI28" s="2343"/>
      <c r="AJ28" s="2948">
        <f>ROUND(('Direct Expns'!AD46),0)</f>
        <v>0</v>
      </c>
      <c r="AK28" s="233" t="e">
        <f>(AJ28/AI17)</f>
        <v>#DIV/0!</v>
      </c>
      <c r="AL28" s="1277"/>
      <c r="AM28" s="2417">
        <f>ROUND(('Direct Expns'!AE46),0)</f>
        <v>17668311</v>
      </c>
      <c r="AN28" s="233">
        <f>(AM28/AL17)</f>
        <v>79.968819589028698</v>
      </c>
    </row>
    <row r="29" spans="1:42" x14ac:dyDescent="0.25">
      <c r="A29" s="155" t="str">
        <f>'Direct Expns'!R36</f>
        <v>Variable-Fabric Cost</v>
      </c>
      <c r="B29" s="1"/>
      <c r="C29" s="2312">
        <f>ROUND(('Direct Expns'!S36),0)</f>
        <v>7353627</v>
      </c>
      <c r="D29" s="99">
        <f>(C29/B17)</f>
        <v>111.06855666988884</v>
      </c>
      <c r="E29" s="155"/>
      <c r="F29" s="3133">
        <f>ROUND(('Direct Expns'!T36),0)</f>
        <v>5455457</v>
      </c>
      <c r="G29" s="99">
        <f>(F29/E17)</f>
        <v>87.380984415293199</v>
      </c>
      <c r="H29" s="2317"/>
      <c r="I29" s="2312">
        <f>ROUND(('Direct Expns'!U47),0)</f>
        <v>0</v>
      </c>
      <c r="J29" s="99">
        <f>(I29/H17)</f>
        <v>0</v>
      </c>
      <c r="K29" s="2327"/>
      <c r="L29" s="2290">
        <f>ROUND(('Direct Expns'!V47),0)</f>
        <v>0</v>
      </c>
      <c r="M29" s="99" t="e">
        <f>(L29/K17)</f>
        <v>#DIV/0!</v>
      </c>
      <c r="N29" s="2327"/>
      <c r="O29" s="2290">
        <f>ROUND(('Direct Expns'!W47),0)</f>
        <v>0</v>
      </c>
      <c r="P29" s="99" t="e">
        <f>(O29/N17)</f>
        <v>#DIV/0!</v>
      </c>
      <c r="Q29" s="2340"/>
      <c r="R29" s="528">
        <f>'Direct Expns'!X47</f>
        <v>0</v>
      </c>
      <c r="S29" s="99" t="e">
        <f>(R29/Q17)</f>
        <v>#DIV/0!</v>
      </c>
      <c r="T29" s="2340"/>
      <c r="U29" s="528">
        <f>'Direct Expns'!Y47</f>
        <v>0</v>
      </c>
      <c r="V29" s="99" t="e">
        <f>(U29/T17)</f>
        <v>#DIV/0!</v>
      </c>
      <c r="W29" s="2340"/>
      <c r="X29" s="2312">
        <f>'Direct Expns'!Z47</f>
        <v>0</v>
      </c>
      <c r="Y29" s="99" t="e">
        <f>(X29/W17)</f>
        <v>#DIV/0!</v>
      </c>
      <c r="Z29" s="2340"/>
      <c r="AA29" s="2312">
        <f>'Direct Expns'!AA47</f>
        <v>0</v>
      </c>
      <c r="AB29" s="99" t="e">
        <f>(AA29/Z17)</f>
        <v>#DIV/0!</v>
      </c>
      <c r="AC29" s="2340"/>
      <c r="AD29" s="2312">
        <f>ROUND(('Direct Expns'!AB47),0)</f>
        <v>0</v>
      </c>
      <c r="AE29" s="99" t="e">
        <f>(AD29/AC17)</f>
        <v>#DIV/0!</v>
      </c>
      <c r="AF29" s="2340"/>
      <c r="AG29" s="2312">
        <f>ROUND(('Direct Expns'!AC47),0)</f>
        <v>0</v>
      </c>
      <c r="AH29" s="99" t="e">
        <f>(AG29/AF17)</f>
        <v>#DIV/0!</v>
      </c>
      <c r="AI29" s="2340"/>
      <c r="AJ29" s="2949">
        <f>ROUND(('Direct Expns'!AD47),0)</f>
        <v>0</v>
      </c>
      <c r="AK29" s="99" t="e">
        <f>(AJ29/AI17)</f>
        <v>#DIV/0!</v>
      </c>
      <c r="AL29" s="196"/>
      <c r="AM29" s="2418">
        <f>ROUND(('Direct Expns'!AE47),0)</f>
        <v>806286</v>
      </c>
      <c r="AN29" s="99">
        <f>(AM29/AL17)</f>
        <v>3.6493437132253099</v>
      </c>
    </row>
    <row r="30" spans="1:42" x14ac:dyDescent="0.25">
      <c r="A30" s="1143" t="str">
        <f>'Direct Expns'!R37</f>
        <v>Variable-Trading</v>
      </c>
      <c r="B30" s="1"/>
      <c r="C30" s="2312">
        <f>'Direct Expns'!S37</f>
        <v>99168</v>
      </c>
      <c r="D30" s="99">
        <f>C30/B5</f>
        <v>4.4010118492877117</v>
      </c>
      <c r="E30" s="155"/>
      <c r="F30" s="528">
        <f>ROUND(('Direct Expns'!T37),0)</f>
        <v>96000</v>
      </c>
      <c r="G30" s="99">
        <f>F30/E5</f>
        <v>10.238907849829351</v>
      </c>
      <c r="H30" s="2317"/>
      <c r="I30" s="2312">
        <f>ROUND(('Direct Expns'!U48),0)</f>
        <v>0</v>
      </c>
      <c r="J30" s="99">
        <f>IF(I30=0,0,I30/H5)</f>
        <v>0</v>
      </c>
      <c r="K30" s="2327"/>
      <c r="L30" s="2290">
        <f>ROUND(('Direct Expns'!V48),0)</f>
        <v>0</v>
      </c>
      <c r="M30" s="99" t="e">
        <f>L30/K5</f>
        <v>#DIV/0!</v>
      </c>
      <c r="N30" s="2327"/>
      <c r="O30" s="2290">
        <f>ROUND(('Direct Expns'!W48),0)</f>
        <v>0</v>
      </c>
      <c r="P30" s="99" t="e">
        <f>O30/N5</f>
        <v>#DIV/0!</v>
      </c>
      <c r="Q30" s="2340"/>
      <c r="R30" s="528">
        <f>'Direct Expns'!X48</f>
        <v>0</v>
      </c>
      <c r="S30" s="99" t="e">
        <f>R30/Q5</f>
        <v>#DIV/0!</v>
      </c>
      <c r="T30" s="2340"/>
      <c r="U30" s="528">
        <f>'Direct Expns'!Y48</f>
        <v>0</v>
      </c>
      <c r="V30" s="99" t="e">
        <f>U30/T5</f>
        <v>#DIV/0!</v>
      </c>
      <c r="W30" s="2340"/>
      <c r="X30" s="2312">
        <f>'Direct Expns'!Z48</f>
        <v>0</v>
      </c>
      <c r="Y30" s="99" t="e">
        <f>X30/W5</f>
        <v>#DIV/0!</v>
      </c>
      <c r="Z30" s="2340"/>
      <c r="AA30" s="2312">
        <f>'Direct Expns'!AA48</f>
        <v>0</v>
      </c>
      <c r="AB30" s="99" t="e">
        <f>AA30/Z5</f>
        <v>#DIV/0!</v>
      </c>
      <c r="AC30" s="2340"/>
      <c r="AD30" s="2836">
        <f>ROUND(('Direct Expns'!AB48),0)</f>
        <v>0</v>
      </c>
      <c r="AE30" s="99" t="e">
        <f>AD30/AC5</f>
        <v>#DIV/0!</v>
      </c>
      <c r="AF30" s="2340"/>
      <c r="AG30" s="2836">
        <f>ROUND(('Direct Expns'!AC48),0)</f>
        <v>0</v>
      </c>
      <c r="AH30" s="99" t="e">
        <f>AG30/AF5</f>
        <v>#DIV/0!</v>
      </c>
      <c r="AI30" s="2340"/>
      <c r="AJ30" s="2950">
        <f>ROUND(('Direct Expns'!AD48),0)</f>
        <v>0</v>
      </c>
      <c r="AK30" s="99" t="e">
        <f>AJ30/AI5</f>
        <v>#DIV/0!</v>
      </c>
      <c r="AL30" s="196"/>
      <c r="AM30" s="2418">
        <f>ROUND(('Direct Expns'!AE48),0)</f>
        <v>22508478</v>
      </c>
      <c r="AN30" s="99">
        <f>AM30/AL7</f>
        <v>1396.4808288869588</v>
      </c>
    </row>
    <row r="31" spans="1:42" ht="13.8" thickBot="1" x14ac:dyDescent="0.3">
      <c r="A31" s="156" t="str">
        <f>'Direct Expns'!R38</f>
        <v>Variable-Finance</v>
      </c>
      <c r="B31" s="136"/>
      <c r="C31" s="2312">
        <f>ROUND(('Direct Expns'!S38),0)</f>
        <v>348690</v>
      </c>
      <c r="D31" s="234">
        <f>C31/B21</f>
        <v>3.4219177813324957</v>
      </c>
      <c r="E31" s="362"/>
      <c r="F31" s="2836">
        <f>ROUND(('Direct Expns'!T38),0)</f>
        <v>237164</v>
      </c>
      <c r="G31" s="234">
        <f>F31/E21</f>
        <v>2.8708525499025552</v>
      </c>
      <c r="H31" s="2322"/>
      <c r="I31" s="2321">
        <f>ROUND(('Direct Expns'!U49),0)</f>
        <v>0</v>
      </c>
      <c r="J31" s="234">
        <f>I31/H21</f>
        <v>0</v>
      </c>
      <c r="K31" s="2328"/>
      <c r="L31" s="2301">
        <f>ROUND(('Direct Expns'!V49),0)</f>
        <v>0</v>
      </c>
      <c r="M31" s="234" t="e">
        <f>L31/K21</f>
        <v>#DIV/0!</v>
      </c>
      <c r="N31" s="2328"/>
      <c r="O31" s="2301">
        <f>ROUND(('Direct Expns'!W49),0)</f>
        <v>0</v>
      </c>
      <c r="P31" s="234" t="e">
        <f>O31/N21</f>
        <v>#DIV/0!</v>
      </c>
      <c r="Q31" s="2344"/>
      <c r="R31" s="2375">
        <f>'Direct Expns'!X49</f>
        <v>0</v>
      </c>
      <c r="S31" s="234" t="e">
        <f>R31/Q21</f>
        <v>#DIV/0!</v>
      </c>
      <c r="T31" s="2344"/>
      <c r="U31" s="2375">
        <f>'Direct Expns'!Y49</f>
        <v>0</v>
      </c>
      <c r="V31" s="234" t="e">
        <f>U31/T21</f>
        <v>#DIV/0!</v>
      </c>
      <c r="W31" s="2344"/>
      <c r="X31" s="2836">
        <f>'Direct Expns'!Z49</f>
        <v>0</v>
      </c>
      <c r="Y31" s="234" t="e">
        <f>X31/W21</f>
        <v>#DIV/0!</v>
      </c>
      <c r="Z31" s="2344"/>
      <c r="AA31" s="2836">
        <f>'Direct Expns'!AA49</f>
        <v>0</v>
      </c>
      <c r="AB31" s="234" t="e">
        <f>AA31/Z21</f>
        <v>#DIV/0!</v>
      </c>
      <c r="AC31" s="2344"/>
      <c r="AD31" s="2836">
        <f>ROUND(('Direct Expns'!AB49),0)</f>
        <v>0</v>
      </c>
      <c r="AE31" s="234" t="e">
        <f>AD31/AC21</f>
        <v>#DIV/0!</v>
      </c>
      <c r="AF31" s="2344"/>
      <c r="AG31" s="2836">
        <f>ROUND(('Direct Expns'!AC49),0)</f>
        <v>0</v>
      </c>
      <c r="AH31" s="234" t="e">
        <f>AG31/AF21</f>
        <v>#DIV/0!</v>
      </c>
      <c r="AI31" s="2344"/>
      <c r="AJ31" s="2836">
        <f>ROUND(('Direct Expns'!AD49),0)</f>
        <v>0</v>
      </c>
      <c r="AK31" s="234" t="e">
        <f>AJ31/AI21</f>
        <v>#DIV/0!</v>
      </c>
      <c r="AL31" s="195"/>
      <c r="AM31" s="2419">
        <f>ROUND(('Direct Expns'!AE49),0)</f>
        <v>0</v>
      </c>
      <c r="AN31" s="234">
        <f>AM31/AL21</f>
        <v>0</v>
      </c>
      <c r="AP31" s="153">
        <f>AM31/6</f>
        <v>0</v>
      </c>
    </row>
    <row r="32" spans="1:42" ht="13.8" thickBot="1" x14ac:dyDescent="0.3">
      <c r="A32" s="1579" t="s">
        <v>680</v>
      </c>
      <c r="B32" s="2278"/>
      <c r="C32" s="2316">
        <f>SUM(C28:C31)</f>
        <v>10122084</v>
      </c>
      <c r="D32" s="660">
        <f>C32/B21</f>
        <v>99.334478257882807</v>
      </c>
      <c r="E32" s="339"/>
      <c r="F32" s="2316">
        <f>SUM(F28:F31)</f>
        <v>8183662</v>
      </c>
      <c r="G32" s="660">
        <f>F32/E21</f>
        <v>99.062618779581413</v>
      </c>
      <c r="H32" s="2319"/>
      <c r="I32" s="2298">
        <f>SUM(I28:I31)</f>
        <v>0</v>
      </c>
      <c r="J32" s="660">
        <f>I32/H21</f>
        <v>0</v>
      </c>
      <c r="K32" s="2329"/>
      <c r="L32" s="2298">
        <f>SUM(L28:L31)</f>
        <v>0</v>
      </c>
      <c r="M32" s="660" t="e">
        <f>L32/K21</f>
        <v>#DIV/0!</v>
      </c>
      <c r="N32" s="2329"/>
      <c r="O32" s="2298">
        <f>SUM(O28:O31)</f>
        <v>0</v>
      </c>
      <c r="P32" s="660" t="e">
        <f>O32/N21</f>
        <v>#DIV/0!</v>
      </c>
      <c r="Q32" s="2341"/>
      <c r="R32" s="2298">
        <f>SUM(R28:R31)</f>
        <v>0</v>
      </c>
      <c r="S32" s="660" t="e">
        <f>R32/Q21</f>
        <v>#DIV/0!</v>
      </c>
      <c r="T32" s="2341"/>
      <c r="U32" s="2298">
        <f>SUM(U28:U31)</f>
        <v>0</v>
      </c>
      <c r="V32" s="660" t="e">
        <f>U32/T21</f>
        <v>#DIV/0!</v>
      </c>
      <c r="W32" s="2341"/>
      <c r="X32" s="2316">
        <f>SUM(X28:X31)</f>
        <v>0</v>
      </c>
      <c r="Y32" s="660" t="e">
        <f>X32/W21</f>
        <v>#DIV/0!</v>
      </c>
      <c r="Z32" s="2341"/>
      <c r="AA32" s="2316">
        <f>SUM(AA28:AA31)</f>
        <v>0</v>
      </c>
      <c r="AB32" s="660" t="e">
        <f>AA32/Z21</f>
        <v>#DIV/0!</v>
      </c>
      <c r="AC32" s="2341"/>
      <c r="AD32" s="2316">
        <f>SUM(AD28:AD31)</f>
        <v>0</v>
      </c>
      <c r="AE32" s="660" t="e">
        <f>AD32/AC21</f>
        <v>#DIV/0!</v>
      </c>
      <c r="AF32" s="2341"/>
      <c r="AG32" s="2316">
        <f>SUM(AG28:AG31)</f>
        <v>0</v>
      </c>
      <c r="AH32" s="660" t="e">
        <f>AG32/AF21</f>
        <v>#DIV/0!</v>
      </c>
      <c r="AI32" s="2341"/>
      <c r="AJ32" s="2298">
        <f>SUM(AJ28:AJ31)</f>
        <v>0</v>
      </c>
      <c r="AK32" s="660" t="e">
        <f>AJ32/AI21</f>
        <v>#DIV/0!</v>
      </c>
      <c r="AL32" s="2229"/>
      <c r="AM32" s="2298">
        <f>SUM(AM28:AM31)</f>
        <v>40983075</v>
      </c>
      <c r="AN32" s="660">
        <f>AM32/AL21</f>
        <v>148.05649784868157</v>
      </c>
    </row>
    <row r="33" spans="1:43" x14ac:dyDescent="0.25">
      <c r="A33" s="2377" t="str">
        <f>'Direct Expns'!R39</f>
        <v>Fixed Cost</v>
      </c>
      <c r="B33" s="2379"/>
      <c r="C33" s="2384">
        <f>'Direct Expns'!S39</f>
        <v>2112863</v>
      </c>
      <c r="D33" s="2381">
        <f>C33/B21</f>
        <v>20.734874728898223</v>
      </c>
      <c r="E33" s="1625"/>
      <c r="F33" s="2338">
        <f>ROUND(('Direct Expns'!T39),0)</f>
        <v>2089869</v>
      </c>
      <c r="G33" s="2381">
        <f>F33/E21</f>
        <v>25.297708537603953</v>
      </c>
      <c r="H33" s="2318"/>
      <c r="I33" s="2338">
        <f>ROUND(('Direct Expns'!U50),0)</f>
        <v>0</v>
      </c>
      <c r="J33" s="2381">
        <f>I33/H21</f>
        <v>0</v>
      </c>
      <c r="K33" s="2339"/>
      <c r="L33" s="2337">
        <f>ROUND(('Direct Expns'!V50),0)</f>
        <v>0</v>
      </c>
      <c r="M33" s="2381" t="e">
        <f>L33/K21</f>
        <v>#DIV/0!</v>
      </c>
      <c r="N33" s="2339"/>
      <c r="O33" s="2337">
        <f>ROUND(('Direct Expns'!W50),0)</f>
        <v>0</v>
      </c>
      <c r="P33" s="2381" t="e">
        <f>O33/N21</f>
        <v>#DIV/0!</v>
      </c>
      <c r="Q33" s="2345"/>
      <c r="R33" s="2337">
        <f>ROUND(('Direct Expns'!X50),0)</f>
        <v>0</v>
      </c>
      <c r="S33" s="2381" t="e">
        <f>R33/Q21</f>
        <v>#DIV/0!</v>
      </c>
      <c r="T33" s="2345"/>
      <c r="U33" s="2337">
        <f>ROUND(('Direct Expns'!Y50),0)</f>
        <v>0</v>
      </c>
      <c r="V33" s="2381" t="e">
        <f>U33/T21</f>
        <v>#DIV/0!</v>
      </c>
      <c r="W33" s="2345"/>
      <c r="X33" s="2338">
        <f>ROUND(('Direct Expns'!Z50),0)</f>
        <v>0</v>
      </c>
      <c r="Y33" s="2381" t="e">
        <f>X33/W21</f>
        <v>#DIV/0!</v>
      </c>
      <c r="Z33" s="2345"/>
      <c r="AA33" s="2338">
        <f>ROUND(('Direct Expns'!AA50),0)</f>
        <v>0</v>
      </c>
      <c r="AB33" s="2381" t="e">
        <f>AA33/Z21</f>
        <v>#DIV/0!</v>
      </c>
      <c r="AC33" s="2345"/>
      <c r="AD33" s="2338">
        <f>ROUND(('Direct Expns'!AB50),0)</f>
        <v>0</v>
      </c>
      <c r="AE33" s="2381" t="e">
        <f>AD33/AC21</f>
        <v>#DIV/0!</v>
      </c>
      <c r="AF33" s="2345"/>
      <c r="AG33" s="2338">
        <f>ROUND(('Direct Expns'!AC50),0)</f>
        <v>0</v>
      </c>
      <c r="AH33" s="2381" t="e">
        <f>AG33/AF21</f>
        <v>#DIV/0!</v>
      </c>
      <c r="AI33" s="2345"/>
      <c r="AJ33" s="2338">
        <f>ROUND(('Direct Expns'!AD50),0)</f>
        <v>0</v>
      </c>
      <c r="AK33" s="2381" t="e">
        <f>AJ33/AI21</f>
        <v>#DIV/0!</v>
      </c>
      <c r="AL33" s="2349"/>
      <c r="AM33" s="2337">
        <f>ROUND(('Direct Expns'!AE50),0)</f>
        <v>6445850</v>
      </c>
      <c r="AN33" s="2381">
        <f>AM33/AL21</f>
        <v>23.286441455599029</v>
      </c>
    </row>
    <row r="34" spans="1:43" ht="13.8" thickBot="1" x14ac:dyDescent="0.3">
      <c r="A34" s="2378" t="str">
        <f>'Direct Expns'!R46</f>
        <v>Deprnn</v>
      </c>
      <c r="B34" s="2380"/>
      <c r="C34" s="2385">
        <f>'Direct Expns'!S40</f>
        <v>125000</v>
      </c>
      <c r="D34" s="2382">
        <f>C34/B21</f>
        <v>1.2267048744344891</v>
      </c>
      <c r="E34" s="2333"/>
      <c r="F34" s="2335">
        <f>ROUND(('Direct Expns'!T40),0)</f>
        <v>125000</v>
      </c>
      <c r="G34" s="2382">
        <f>F34/E21</f>
        <v>1.5131156867729478</v>
      </c>
      <c r="H34" s="2334"/>
      <c r="I34" s="2335">
        <f>ROUND(('Direct Expns'!U51),0)</f>
        <v>0</v>
      </c>
      <c r="J34" s="2382">
        <f>I34/H21</f>
        <v>0</v>
      </c>
      <c r="K34" s="2336"/>
      <c r="L34" s="2332">
        <f>ROUND(('Direct Expns'!V51),0)</f>
        <v>0</v>
      </c>
      <c r="M34" s="2382" t="e">
        <f>L34/K21</f>
        <v>#DIV/0!</v>
      </c>
      <c r="N34" s="2336"/>
      <c r="O34" s="2332">
        <f>ROUND(('Direct Expns'!W51),0)</f>
        <v>0</v>
      </c>
      <c r="P34" s="2382" t="e">
        <f>O34/N21</f>
        <v>#DIV/0!</v>
      </c>
      <c r="Q34" s="2346"/>
      <c r="R34" s="2332">
        <f>ROUND(('Direct Expns'!X51),0)</f>
        <v>0</v>
      </c>
      <c r="S34" s="2382" t="e">
        <f>R34/Q21</f>
        <v>#DIV/0!</v>
      </c>
      <c r="T34" s="2346"/>
      <c r="U34" s="2332">
        <f>ROUND(('Direct Expns'!Y51),0)</f>
        <v>0</v>
      </c>
      <c r="V34" s="2382" t="e">
        <f>U34/T21</f>
        <v>#DIV/0!</v>
      </c>
      <c r="W34" s="2346"/>
      <c r="X34" s="2335">
        <f>ROUND(('Direct Expns'!Z51),0)</f>
        <v>0</v>
      </c>
      <c r="Y34" s="2382" t="e">
        <f>X34/W21</f>
        <v>#DIV/0!</v>
      </c>
      <c r="Z34" s="2346"/>
      <c r="AA34" s="2335">
        <f>ROUND(('Direct Expns'!AA51),0)</f>
        <v>0</v>
      </c>
      <c r="AB34" s="2382" t="e">
        <f>AA34/Z21</f>
        <v>#DIV/0!</v>
      </c>
      <c r="AC34" s="2346"/>
      <c r="AD34" s="2335">
        <f>ROUND(('Direct Expns'!AB51),0)</f>
        <v>0</v>
      </c>
      <c r="AE34" s="2382" t="e">
        <f>AD34/AC21</f>
        <v>#DIV/0!</v>
      </c>
      <c r="AF34" s="2346"/>
      <c r="AG34" s="2335">
        <f>ROUND(('Direct Expns'!AC51),0)</f>
        <v>0</v>
      </c>
      <c r="AH34" s="2382" t="e">
        <f>AG34/AF21</f>
        <v>#DIV/0!</v>
      </c>
      <c r="AI34" s="2346"/>
      <c r="AJ34" s="2335">
        <f>'Direct Expns'!AD51</f>
        <v>0</v>
      </c>
      <c r="AK34" s="2382" t="e">
        <f>AJ34/AI21</f>
        <v>#DIV/0!</v>
      </c>
      <c r="AL34" s="2350"/>
      <c r="AM34" s="2332">
        <f>ROUND(('Direct Expns'!AE51),0)</f>
        <v>0</v>
      </c>
      <c r="AN34" s="2382">
        <f>AM34/AL21</f>
        <v>0</v>
      </c>
      <c r="AP34" s="153">
        <f>((AM33+AM34)/6)+AP31</f>
        <v>1074308.3333333333</v>
      </c>
    </row>
    <row r="35" spans="1:43" ht="13.8" thickBot="1" x14ac:dyDescent="0.3">
      <c r="A35" s="1579">
        <f>'Direct Expns'!R52</f>
        <v>0</v>
      </c>
      <c r="B35" s="2376"/>
      <c r="C35" s="2386">
        <f>SUM(C32:C34)</f>
        <v>12359947</v>
      </c>
      <c r="D35" s="2383"/>
      <c r="E35" s="339"/>
      <c r="F35" s="2316">
        <f>SUM(F32:F34)</f>
        <v>10398531</v>
      </c>
      <c r="G35" s="2383"/>
      <c r="H35" s="2319"/>
      <c r="I35" s="2298">
        <f>SUM(I32:I34)</f>
        <v>0</v>
      </c>
      <c r="J35" s="2383"/>
      <c r="K35" s="2329"/>
      <c r="L35" s="2298">
        <f>SUM(L32:L34)</f>
        <v>0</v>
      </c>
      <c r="M35" s="2383"/>
      <c r="N35" s="2329"/>
      <c r="O35" s="2298">
        <f>SUM(O32:O34)</f>
        <v>0</v>
      </c>
      <c r="P35" s="2383"/>
      <c r="Q35" s="2341"/>
      <c r="R35" s="2298">
        <f>SUM(R32:R34)</f>
        <v>0</v>
      </c>
      <c r="S35" s="2342"/>
      <c r="T35" s="2341"/>
      <c r="U35" s="2298">
        <f>SUM(U32:U34)</f>
        <v>0</v>
      </c>
      <c r="V35" s="2298"/>
      <c r="W35" s="2341"/>
      <c r="X35" s="2316">
        <f>SUM(X32:X34)</f>
        <v>0</v>
      </c>
      <c r="Y35" s="2298"/>
      <c r="Z35" s="2341"/>
      <c r="AA35" s="2316">
        <f>SUM(AA32:AA34)</f>
        <v>0</v>
      </c>
      <c r="AB35" s="2298"/>
      <c r="AC35" s="2341"/>
      <c r="AD35" s="2316">
        <f>SUM(AD32:AD34)</f>
        <v>0</v>
      </c>
      <c r="AE35" s="2298"/>
      <c r="AF35" s="2341"/>
      <c r="AG35" s="2316">
        <f>SUM(AG32:AG34)</f>
        <v>0</v>
      </c>
      <c r="AH35" s="2298"/>
      <c r="AI35" s="2341"/>
      <c r="AJ35" s="2298">
        <f>SUM(AJ32:AJ34)</f>
        <v>0</v>
      </c>
      <c r="AK35" s="2342"/>
      <c r="AL35" s="2229"/>
      <c r="AM35" s="2298">
        <f>SUM(AM32:AM34)</f>
        <v>47428925</v>
      </c>
      <c r="AN35" s="2383"/>
    </row>
    <row r="36" spans="1:43" x14ac:dyDescent="0.25">
      <c r="A36" s="980" t="s">
        <v>679</v>
      </c>
      <c r="C36" s="1145">
        <f>'Direct Expns'!B37</f>
        <v>12359947</v>
      </c>
      <c r="E36" s="2240"/>
      <c r="F36" s="1145">
        <f>'Direct Expns'!C37</f>
        <v>10398531</v>
      </c>
      <c r="I36" s="1145">
        <f>'Direct Expns'!D37</f>
        <v>0</v>
      </c>
      <c r="L36" s="1145">
        <f>'Direct Expns'!E37</f>
        <v>0</v>
      </c>
      <c r="M36" s="1145"/>
      <c r="O36" s="1145">
        <f>'Direct Expns'!F37</f>
        <v>0</v>
      </c>
      <c r="R36" s="1145">
        <f>'Direct Expns'!G37</f>
        <v>0</v>
      </c>
      <c r="S36" s="1145"/>
      <c r="T36" s="1145"/>
      <c r="U36" s="1145">
        <f>'Direct Expns'!H37</f>
        <v>0</v>
      </c>
      <c r="V36" s="1145"/>
      <c r="W36" s="1145"/>
      <c r="X36" s="1145">
        <f>'Direct Expns'!I37</f>
        <v>0</v>
      </c>
      <c r="Y36" s="1145"/>
      <c r="Z36" s="1145"/>
      <c r="AA36" s="1145">
        <f>'Direct Expns'!J37</f>
        <v>0</v>
      </c>
      <c r="AB36" s="1145"/>
      <c r="AC36" s="1145"/>
      <c r="AD36" s="1145">
        <f>'Direct Expns'!K37</f>
        <v>0</v>
      </c>
      <c r="AE36" s="1145"/>
      <c r="AF36" s="1145"/>
      <c r="AG36" s="1145">
        <f>'Direct Expns'!L37</f>
        <v>0</v>
      </c>
      <c r="AH36" s="1145"/>
      <c r="AI36" s="1145"/>
      <c r="AJ36" s="1145">
        <f>'Direct Expns'!M37</f>
        <v>0</v>
      </c>
      <c r="AK36" s="1145"/>
      <c r="AM36" s="1145">
        <f>ROUND(('Direct Expns'!AE44),0)</f>
        <v>778205</v>
      </c>
    </row>
    <row r="37" spans="1:43" x14ac:dyDescent="0.25">
      <c r="A37" s="194"/>
      <c r="B37" s="341"/>
      <c r="C37" s="218">
        <f>C35-C36</f>
        <v>0</v>
      </c>
      <c r="D37" s="218"/>
      <c r="E37" s="8"/>
      <c r="F37" s="218">
        <f>F35-F36</f>
        <v>0</v>
      </c>
      <c r="G37" s="194"/>
      <c r="H37" s="2240"/>
      <c r="I37" s="194"/>
      <c r="J37" s="194"/>
      <c r="K37" s="2240"/>
      <c r="L37" s="2240"/>
      <c r="M37" s="2240"/>
      <c r="N37" s="2240"/>
      <c r="O37" s="2240"/>
      <c r="P37" s="2240"/>
      <c r="Q37" s="2240"/>
      <c r="R37" s="2240"/>
      <c r="S37" s="2240"/>
      <c r="T37" s="2240"/>
      <c r="U37" s="2240"/>
      <c r="V37" s="2240"/>
      <c r="W37" s="2240"/>
      <c r="X37" s="2240"/>
      <c r="Y37" s="2240"/>
      <c r="Z37" s="2240"/>
      <c r="AA37" s="2240">
        <f>AA35-AA36</f>
        <v>0</v>
      </c>
      <c r="AB37" s="2240"/>
      <c r="AC37" s="2240"/>
      <c r="AD37" s="2240">
        <f>AD35-AD36</f>
        <v>0</v>
      </c>
      <c r="AE37" s="2240"/>
      <c r="AF37" s="2240"/>
      <c r="AG37" s="2240">
        <f>AG35-AG36</f>
        <v>0</v>
      </c>
      <c r="AH37" s="2240"/>
      <c r="AI37" s="2240"/>
      <c r="AJ37" s="2240"/>
      <c r="AK37" s="2240"/>
      <c r="AL37" s="194"/>
      <c r="AM37" s="2240">
        <f>AM35-AM36</f>
        <v>46650720</v>
      </c>
      <c r="AN37" s="2240"/>
    </row>
    <row r="38" spans="1:43" ht="13.8" thickBot="1" x14ac:dyDescent="0.3">
      <c r="A38" t="str">
        <f>'Direct Expns'!R42</f>
        <v>Fixed  Expns Break up</v>
      </c>
      <c r="E38" s="1640">
        <f>ROUND(('Direct Expns'!S53),0)</f>
        <v>0</v>
      </c>
      <c r="H38" s="1640">
        <f>ROUND(('Direct Expns'!T53),0)</f>
        <v>0</v>
      </c>
      <c r="K38" s="1640">
        <f>ROUND(('Direct Expns'!U53),0)</f>
        <v>0</v>
      </c>
      <c r="L38" s="1640"/>
      <c r="M38" s="1640"/>
      <c r="N38" s="1640">
        <f>ROUND(('Direct Expns'!V53),0)</f>
        <v>0</v>
      </c>
      <c r="O38" s="1640"/>
      <c r="P38" s="1640"/>
      <c r="Q38" s="1640">
        <f>ROUND(('Direct Expns'!W53),0)</f>
        <v>0</v>
      </c>
      <c r="R38" s="1640"/>
      <c r="S38" s="1640"/>
      <c r="T38" s="1640"/>
      <c r="U38" s="1640"/>
      <c r="V38" s="1640"/>
      <c r="W38" s="1640"/>
      <c r="X38" s="1640"/>
      <c r="Y38" s="1640"/>
      <c r="Z38" s="1640"/>
      <c r="AA38" s="1640"/>
      <c r="AB38" s="1640"/>
      <c r="AC38" s="1640"/>
      <c r="AD38" s="1640"/>
      <c r="AE38" s="1640"/>
      <c r="AF38" s="1640"/>
      <c r="AG38" s="1640"/>
      <c r="AH38" s="1640"/>
      <c r="AI38" s="1640"/>
      <c r="AJ38" s="1640"/>
      <c r="AK38" s="1640"/>
      <c r="AN38" s="1640">
        <f>ROUND(('Direct Expns'!AE53),0)</f>
        <v>0</v>
      </c>
    </row>
    <row r="39" spans="1:43" x14ac:dyDescent="0.25">
      <c r="A39" s="1024" t="str">
        <f>'Direct Expns'!R43</f>
        <v>Salaries</v>
      </c>
      <c r="B39" s="1025"/>
      <c r="C39" s="2320">
        <f>ROUND(('Direct Expns'!S43),0)</f>
        <v>1525163</v>
      </c>
      <c r="D39" s="2387">
        <f>C39/B25</f>
        <v>13.728828358477658</v>
      </c>
      <c r="E39" s="1269"/>
      <c r="F39" s="2320">
        <f>'Direct Expns'!T43</f>
        <v>1541761</v>
      </c>
      <c r="G39" s="2387">
        <f>F39/E25</f>
        <v>12.527818180340789</v>
      </c>
      <c r="H39" s="1273"/>
      <c r="I39" s="2300">
        <f>ROUND(('Direct Expns'!U54),0)</f>
        <v>0</v>
      </c>
      <c r="J39" s="2387">
        <f>I39/H25</f>
        <v>0</v>
      </c>
      <c r="K39" s="2323"/>
      <c r="L39" s="2320">
        <f>ROUND(('Direct Expns'!V54),0)</f>
        <v>0</v>
      </c>
      <c r="M39" s="2387" t="e">
        <f>L39/K25</f>
        <v>#DIV/0!</v>
      </c>
      <c r="N39" s="2326"/>
      <c r="O39" s="2300">
        <f>ROUND(('Direct Expns'!W54),0)</f>
        <v>0</v>
      </c>
      <c r="P39" s="2387" t="e">
        <f>O39/N25</f>
        <v>#DIV/0!</v>
      </c>
      <c r="Q39" s="2343"/>
      <c r="R39" s="2649">
        <f>'Direct Expns'!X54</f>
        <v>0</v>
      </c>
      <c r="S39" s="2387" t="e">
        <f>R39/Q25</f>
        <v>#DIV/0!</v>
      </c>
      <c r="T39" s="2343"/>
      <c r="U39" s="2649">
        <f>'Direct Expns'!Y54</f>
        <v>0</v>
      </c>
      <c r="V39" s="2387" t="e">
        <f>U39/T25</f>
        <v>#DIV/0!</v>
      </c>
      <c r="W39" s="2343"/>
      <c r="X39" s="2649">
        <f>'Direct Expns'!Z54</f>
        <v>0</v>
      </c>
      <c r="Y39" s="2387" t="e">
        <f>X39/W25</f>
        <v>#DIV/0!</v>
      </c>
      <c r="Z39" s="2343"/>
      <c r="AA39" s="2649">
        <f>'Direct Expns'!AA54</f>
        <v>0</v>
      </c>
      <c r="AB39" s="2387" t="e">
        <f>AA39/Z25</f>
        <v>#DIV/0!</v>
      </c>
      <c r="AC39" s="2343"/>
      <c r="AD39" s="2835">
        <f>'Direct Expns'!AB54</f>
        <v>0</v>
      </c>
      <c r="AE39" s="2387" t="e">
        <f>AD39/AC25</f>
        <v>#DIV/0!</v>
      </c>
      <c r="AF39" s="2343"/>
      <c r="AG39" s="2835">
        <f>'Direct Expns'!AC54</f>
        <v>0</v>
      </c>
      <c r="AH39" s="2387" t="e">
        <f>AG39/AF25</f>
        <v>#DIV/0!</v>
      </c>
      <c r="AI39" s="2343"/>
      <c r="AJ39" s="2951">
        <f>'Direct Expns'!AD54</f>
        <v>0</v>
      </c>
      <c r="AK39" s="2387" t="e">
        <f>AJ39/AI25</f>
        <v>#DIV/0!</v>
      </c>
      <c r="AL39" s="2343"/>
      <c r="AM39" s="2417">
        <f>ROUND(('Direct Expns'!AE54),0)</f>
        <v>0</v>
      </c>
      <c r="AN39" s="2387">
        <f>AM39/AL25</f>
        <v>0</v>
      </c>
    </row>
    <row r="40" spans="1:43" x14ac:dyDescent="0.25">
      <c r="A40" s="990" t="str">
        <f>'Direct Expns'!R44</f>
        <v>Admn</v>
      </c>
      <c r="B40" s="132"/>
      <c r="C40" s="2312">
        <f>ROUND(('Direct Expns'!S44),0)</f>
        <v>435923</v>
      </c>
      <c r="D40" s="99">
        <f>C40/B25</f>
        <v>3.9239819248910814</v>
      </c>
      <c r="E40" s="2317"/>
      <c r="F40" s="2312">
        <f>'Direct Expns'!T44</f>
        <v>342282</v>
      </c>
      <c r="G40" s="99">
        <f>F40/E25</f>
        <v>2.7812654895300932</v>
      </c>
      <c r="H40" s="155"/>
      <c r="I40" s="2290">
        <f>ROUND(('Direct Expns'!U55),0)</f>
        <v>0</v>
      </c>
      <c r="J40" s="99">
        <f>I40/H25</f>
        <v>0</v>
      </c>
      <c r="K40" s="2324"/>
      <c r="L40" s="2312">
        <f>ROUND(('Direct Expns'!V55),0)</f>
        <v>0</v>
      </c>
      <c r="M40" s="99" t="e">
        <f>L40/K25</f>
        <v>#DIV/0!</v>
      </c>
      <c r="N40" s="2327"/>
      <c r="O40" s="2290">
        <f>ROUND(('Direct Expns'!W55),0)</f>
        <v>0</v>
      </c>
      <c r="P40" s="99" t="e">
        <f>O40/N25</f>
        <v>#DIV/0!</v>
      </c>
      <c r="Q40" s="2340"/>
      <c r="R40" s="528">
        <f>'Direct Expns'!X55</f>
        <v>0</v>
      </c>
      <c r="S40" s="2648" t="e">
        <f>R40/Q25</f>
        <v>#DIV/0!</v>
      </c>
      <c r="T40" s="2340"/>
      <c r="U40" s="528">
        <f>'Direct Expns'!Y55</f>
        <v>0</v>
      </c>
      <c r="V40" s="99" t="e">
        <f>U40/T25</f>
        <v>#DIV/0!</v>
      </c>
      <c r="W40" s="2340"/>
      <c r="X40" s="528">
        <f>'Direct Expns'!Z55</f>
        <v>0</v>
      </c>
      <c r="Y40" s="99" t="e">
        <f>X40/W25</f>
        <v>#DIV/0!</v>
      </c>
      <c r="Z40" s="2340"/>
      <c r="AA40" s="528">
        <f>'Direct Expns'!AA55</f>
        <v>0</v>
      </c>
      <c r="AB40" s="99" t="e">
        <f>AA40/Z25</f>
        <v>#DIV/0!</v>
      </c>
      <c r="AC40" s="2340"/>
      <c r="AD40" s="2312">
        <f>'Direct Expns'!AB55</f>
        <v>0</v>
      </c>
      <c r="AE40" s="99" t="e">
        <f>AD40/AC25</f>
        <v>#DIV/0!</v>
      </c>
      <c r="AF40" s="2340"/>
      <c r="AG40" s="2312">
        <f>'Direct Expns'!AC55</f>
        <v>0</v>
      </c>
      <c r="AH40" s="99" t="e">
        <f>AG40/AF25</f>
        <v>#DIV/0!</v>
      </c>
      <c r="AI40" s="2340"/>
      <c r="AJ40" s="2949">
        <f>'Direct Expns'!AD55</f>
        <v>0</v>
      </c>
      <c r="AK40" s="99" t="e">
        <f>AJ40/AI25</f>
        <v>#DIV/0!</v>
      </c>
      <c r="AL40" s="2340"/>
      <c r="AM40" s="2418">
        <f>ROUND(('Direct Expns'!AE55),0)</f>
        <v>0</v>
      </c>
      <c r="AN40" s="99">
        <f>AM40/AL25</f>
        <v>0</v>
      </c>
    </row>
    <row r="41" spans="1:43" x14ac:dyDescent="0.25">
      <c r="A41" s="990" t="str">
        <f>'Direct Expns'!R45</f>
        <v>Selling</v>
      </c>
      <c r="B41" s="132"/>
      <c r="C41" s="2312">
        <f>ROUND(('Direct Expns'!S45),0)</f>
        <v>67163</v>
      </c>
      <c r="D41" s="99">
        <f>C41/B25</f>
        <v>0.60457098620962801</v>
      </c>
      <c r="E41" s="2317"/>
      <c r="F41" s="2312">
        <f>'Direct Expns'!T45</f>
        <v>121589</v>
      </c>
      <c r="G41" s="99">
        <f>F41/E25</f>
        <v>0.98799028171646341</v>
      </c>
      <c r="H41" s="155"/>
      <c r="I41" s="2290">
        <f>ROUND(('Direct Expns'!U56),0)</f>
        <v>0</v>
      </c>
      <c r="J41" s="99">
        <f>I41/H25</f>
        <v>0</v>
      </c>
      <c r="K41" s="2324"/>
      <c r="L41" s="2312">
        <f>ROUND(('Direct Expns'!V56),0)</f>
        <v>0</v>
      </c>
      <c r="M41" s="99" t="e">
        <f>L41/K25</f>
        <v>#DIV/0!</v>
      </c>
      <c r="N41" s="2327"/>
      <c r="O41" s="2290">
        <f>ROUND(('Direct Expns'!W56),0)</f>
        <v>0</v>
      </c>
      <c r="P41" s="99" t="e">
        <f>O41/N25</f>
        <v>#DIV/0!</v>
      </c>
      <c r="Q41" s="2340"/>
      <c r="R41" s="528">
        <f>'Direct Expns'!X56</f>
        <v>0</v>
      </c>
      <c r="S41" s="2648" t="e">
        <f>R41/Q25</f>
        <v>#DIV/0!</v>
      </c>
      <c r="T41" s="2340"/>
      <c r="U41" s="528">
        <f>'Direct Expns'!Y56</f>
        <v>0</v>
      </c>
      <c r="V41" s="99" t="e">
        <f>U41/T25</f>
        <v>#DIV/0!</v>
      </c>
      <c r="W41" s="2340"/>
      <c r="X41" s="528">
        <f>'Direct Expns'!Z56</f>
        <v>0</v>
      </c>
      <c r="Y41" s="99" t="e">
        <f>X41/W25</f>
        <v>#DIV/0!</v>
      </c>
      <c r="Z41" s="2340"/>
      <c r="AA41" s="528">
        <f>'Direct Expns'!AA56</f>
        <v>0</v>
      </c>
      <c r="AB41" s="99" t="e">
        <f>AA41/Z25</f>
        <v>#DIV/0!</v>
      </c>
      <c r="AC41" s="2340"/>
      <c r="AD41" s="2312">
        <f>'Direct Expns'!AB56</f>
        <v>0</v>
      </c>
      <c r="AE41" s="99" t="e">
        <f>AD41/AC25</f>
        <v>#DIV/0!</v>
      </c>
      <c r="AF41" s="2340"/>
      <c r="AG41" s="2312">
        <f>'Direct Expns'!AC56</f>
        <v>0</v>
      </c>
      <c r="AH41" s="99" t="e">
        <f>AG41/AF25</f>
        <v>#DIV/0!</v>
      </c>
      <c r="AI41" s="2340"/>
      <c r="AJ41" s="2949">
        <f>'Direct Expns'!AD56</f>
        <v>0</v>
      </c>
      <c r="AK41" s="99" t="e">
        <f>AJ41/AI25</f>
        <v>#DIV/0!</v>
      </c>
      <c r="AL41" s="2340"/>
      <c r="AM41" s="2418">
        <f>ROUND(('Direct Expns'!AE56),0)</f>
        <v>0</v>
      </c>
      <c r="AN41" s="99">
        <f>AM41/AL25</f>
        <v>0</v>
      </c>
    </row>
    <row r="42" spans="1:43" x14ac:dyDescent="0.25">
      <c r="A42" s="990" t="str">
        <f>'Direct Expns'!R46</f>
        <v>Deprnn</v>
      </c>
      <c r="B42" s="132"/>
      <c r="C42" s="2312">
        <f>ROUND(('Direct Expns'!S46),0)</f>
        <v>125000</v>
      </c>
      <c r="D42" s="99">
        <f>C42/B25</f>
        <v>1.1251935332877254</v>
      </c>
      <c r="E42" s="2317"/>
      <c r="F42" s="2312">
        <f>'Direct Expns'!T46</f>
        <v>125000</v>
      </c>
      <c r="G42" s="99">
        <f>F42/E25</f>
        <v>1.0157068913681166</v>
      </c>
      <c r="H42" s="155"/>
      <c r="I42" s="2290">
        <f>ROUND(('Direct Expns'!U57),0)</f>
        <v>0</v>
      </c>
      <c r="J42" s="99">
        <f>I42/H25</f>
        <v>0</v>
      </c>
      <c r="K42" s="2324"/>
      <c r="L42" s="2312">
        <f>ROUND(('Direct Expns'!V57),0)</f>
        <v>0</v>
      </c>
      <c r="M42" s="99" t="e">
        <f>L42/K25</f>
        <v>#DIV/0!</v>
      </c>
      <c r="N42" s="2327"/>
      <c r="O42" s="2290">
        <f>ROUND(('Direct Expns'!W57),0)</f>
        <v>0</v>
      </c>
      <c r="P42" s="99" t="e">
        <f>O42/N25</f>
        <v>#DIV/0!</v>
      </c>
      <c r="Q42" s="2340"/>
      <c r="R42" s="528">
        <f>'Direct Expns'!X57</f>
        <v>0</v>
      </c>
      <c r="S42" s="2648" t="e">
        <f>R42/Q25</f>
        <v>#DIV/0!</v>
      </c>
      <c r="T42" s="2340"/>
      <c r="U42" s="528">
        <f>'Direct Expns'!Y57</f>
        <v>0</v>
      </c>
      <c r="V42" s="99" t="e">
        <f>U42/T25</f>
        <v>#DIV/0!</v>
      </c>
      <c r="W42" s="2340"/>
      <c r="X42" s="528">
        <f>'Direct Expns'!Z57</f>
        <v>0</v>
      </c>
      <c r="Y42" s="99" t="e">
        <f>X42/W25</f>
        <v>#DIV/0!</v>
      </c>
      <c r="Z42" s="2340"/>
      <c r="AA42" s="528">
        <f>'Direct Expns'!AA57</f>
        <v>0</v>
      </c>
      <c r="AB42" s="99" t="e">
        <f>AA42/Z25</f>
        <v>#DIV/0!</v>
      </c>
      <c r="AC42" s="2340"/>
      <c r="AD42" s="2312">
        <f>'Direct Expns'!AB57</f>
        <v>0</v>
      </c>
      <c r="AE42" s="99" t="e">
        <f>AD42/AC25</f>
        <v>#DIV/0!</v>
      </c>
      <c r="AF42" s="2340"/>
      <c r="AG42" s="2312">
        <f>'Direct Expns'!AC57</f>
        <v>0</v>
      </c>
      <c r="AH42" s="99" t="e">
        <f>AG42/AF25</f>
        <v>#DIV/0!</v>
      </c>
      <c r="AI42" s="2340"/>
      <c r="AJ42" s="528">
        <f>'Direct Expns'!AD57</f>
        <v>0</v>
      </c>
      <c r="AK42" s="99" t="e">
        <f>AJ42/AI25</f>
        <v>#DIV/0!</v>
      </c>
      <c r="AL42" s="2340"/>
      <c r="AM42" s="2418">
        <f>ROUND(('Direct Expns'!AE57),0)</f>
        <v>0</v>
      </c>
      <c r="AN42" s="99">
        <f>AM42/AL25</f>
        <v>0</v>
      </c>
    </row>
    <row r="43" spans="1:43" ht="13.8" thickBot="1" x14ac:dyDescent="0.3">
      <c r="A43" s="990" t="str">
        <f>'Direct Expns'!R47</f>
        <v>Interest</v>
      </c>
      <c r="B43" s="137"/>
      <c r="C43" s="2312">
        <f>C31+'Direct Expns'!S30+'Direct Expns'!S31</f>
        <v>433304</v>
      </c>
      <c r="D43" s="101">
        <f>C43/B25</f>
        <v>3.9004068699816368</v>
      </c>
      <c r="E43" s="2322"/>
      <c r="F43" s="2312">
        <f>F31+'Direct Expns'!T30+'Direct Expns'!T31</f>
        <v>321401</v>
      </c>
      <c r="G43" s="101">
        <f>F43/E25</f>
        <v>2.6115936847408321</v>
      </c>
      <c r="H43" s="362"/>
      <c r="I43" s="2301">
        <f>ROUND(('Direct Expns'!U58),0)</f>
        <v>0</v>
      </c>
      <c r="J43" s="101">
        <f>I43/H25</f>
        <v>0</v>
      </c>
      <c r="K43" s="2325"/>
      <c r="L43" s="2321">
        <f>ROUND(('Direct Expns'!V58),0)</f>
        <v>0</v>
      </c>
      <c r="M43" s="101" t="e">
        <f>L43/K25</f>
        <v>#DIV/0!</v>
      </c>
      <c r="N43" s="2328"/>
      <c r="O43" s="2301">
        <f>ROUND(('Direct Expns'!W58),0)</f>
        <v>0</v>
      </c>
      <c r="P43" s="101" t="e">
        <f>O43/N25</f>
        <v>#DIV/0!</v>
      </c>
      <c r="Q43" s="2344"/>
      <c r="R43" s="2375">
        <f>'Direct Expns'!X58</f>
        <v>0</v>
      </c>
      <c r="S43" s="101" t="e">
        <f>R43/Q25</f>
        <v>#DIV/0!</v>
      </c>
      <c r="T43" s="2344"/>
      <c r="U43" s="2375">
        <f>'Direct Expns'!Y58</f>
        <v>0</v>
      </c>
      <c r="V43" s="101" t="e">
        <f>U43/T25</f>
        <v>#DIV/0!</v>
      </c>
      <c r="W43" s="2344"/>
      <c r="X43" s="2375">
        <f>'Direct Expns'!Z58</f>
        <v>0</v>
      </c>
      <c r="Y43" s="101" t="e">
        <f>X43/W25</f>
        <v>#DIV/0!</v>
      </c>
      <c r="Z43" s="2344"/>
      <c r="AA43" s="2375">
        <f>'Direct Expns'!AA58</f>
        <v>0</v>
      </c>
      <c r="AB43" s="101" t="e">
        <f>AA43/Z25</f>
        <v>#DIV/0!</v>
      </c>
      <c r="AC43" s="2344"/>
      <c r="AD43" s="2312">
        <f>'Direct Expns'!AB58</f>
        <v>0</v>
      </c>
      <c r="AE43" s="101" t="e">
        <f>AD43/AC25</f>
        <v>#DIV/0!</v>
      </c>
      <c r="AF43" s="2344"/>
      <c r="AG43" s="2312">
        <f>'Direct Expns'!AC58</f>
        <v>0</v>
      </c>
      <c r="AH43" s="101" t="e">
        <f>AG43/AF25</f>
        <v>#DIV/0!</v>
      </c>
      <c r="AI43" s="2344"/>
      <c r="AJ43" s="1022">
        <f>'Direct Expns'!AD58</f>
        <v>0</v>
      </c>
      <c r="AK43" s="101" t="e">
        <f>AJ43/AI25</f>
        <v>#DIV/0!</v>
      </c>
      <c r="AL43" s="2344"/>
      <c r="AM43" s="2419">
        <f>ROUND(('Direct Expns'!AE58),0)</f>
        <v>0</v>
      </c>
      <c r="AN43" s="101">
        <f>AM43/AL25</f>
        <v>0</v>
      </c>
    </row>
    <row r="44" spans="1:43" ht="13.8" thickBot="1" x14ac:dyDescent="0.3">
      <c r="A44" s="746"/>
      <c r="B44" s="203"/>
      <c r="C44" s="2331">
        <f>SUM(C39:C43)</f>
        <v>2586553</v>
      </c>
      <c r="D44" s="660">
        <f>C44/B25</f>
        <v>23.282981672847729</v>
      </c>
      <c r="E44" s="2319"/>
      <c r="F44" s="2331">
        <f>SUM(F39:F43)</f>
        <v>2452033</v>
      </c>
      <c r="G44" s="660">
        <f>F44/E25</f>
        <v>19.924374527696294</v>
      </c>
      <c r="H44" s="339"/>
      <c r="I44" s="2330">
        <f>SUM(I39:I43)</f>
        <v>0</v>
      </c>
      <c r="J44" s="660">
        <f>I44/H25</f>
        <v>0</v>
      </c>
      <c r="K44" s="2319"/>
      <c r="L44" s="2331">
        <f>SUM(L39:L43)</f>
        <v>0</v>
      </c>
      <c r="M44" s="660" t="e">
        <f>L44/K25</f>
        <v>#DIV/0!</v>
      </c>
      <c r="N44" s="339"/>
      <c r="O44" s="2330">
        <f>SUM(O39:O43)</f>
        <v>0</v>
      </c>
      <c r="P44" s="660" t="e">
        <f>O44/N25</f>
        <v>#DIV/0!</v>
      </c>
      <c r="Q44" s="2347"/>
      <c r="R44" s="2330">
        <f>SUM(R39:R43)</f>
        <v>0</v>
      </c>
      <c r="S44" s="660" t="e">
        <f>R44/Q25</f>
        <v>#DIV/0!</v>
      </c>
      <c r="T44" s="2347"/>
      <c r="U44" s="2330">
        <f>SUM(U39:U43)</f>
        <v>0</v>
      </c>
      <c r="V44" s="660" t="e">
        <f>U44/T25</f>
        <v>#DIV/0!</v>
      </c>
      <c r="W44" s="2347"/>
      <c r="X44" s="2330">
        <f>SUM(X39:X43)</f>
        <v>0</v>
      </c>
      <c r="Y44" s="660" t="e">
        <f>X44/W25</f>
        <v>#DIV/0!</v>
      </c>
      <c r="Z44" s="2347"/>
      <c r="AA44" s="2330">
        <f>SUM(AA39:AA43)</f>
        <v>0</v>
      </c>
      <c r="AB44" s="660" t="e">
        <f>AA44/Z25</f>
        <v>#DIV/0!</v>
      </c>
      <c r="AC44" s="2347"/>
      <c r="AD44" s="2330">
        <f>SUM(AD39:AD43)</f>
        <v>0</v>
      </c>
      <c r="AE44" s="660" t="e">
        <f>AD44/AC25</f>
        <v>#DIV/0!</v>
      </c>
      <c r="AF44" s="2347"/>
      <c r="AG44" s="2330">
        <f>SUM(AG39:AG43)</f>
        <v>0</v>
      </c>
      <c r="AH44" s="660" t="e">
        <f>AG44/AF25</f>
        <v>#DIV/0!</v>
      </c>
      <c r="AI44" s="2347"/>
      <c r="AJ44" s="2330">
        <f>SUM(AJ39:AJ43)</f>
        <v>0</v>
      </c>
      <c r="AK44" s="660" t="e">
        <f>AJ44/AI25</f>
        <v>#DIV/0!</v>
      </c>
      <c r="AL44" s="2347"/>
      <c r="AM44" s="2330">
        <f>SUM(AM39:AM43)</f>
        <v>0</v>
      </c>
      <c r="AN44" s="660">
        <f>AM44/AL25</f>
        <v>0</v>
      </c>
      <c r="AP44" s="153">
        <f>AJ44-AJ42</f>
        <v>0</v>
      </c>
      <c r="AQ44" s="153">
        <f>AM44-AM42</f>
        <v>0</v>
      </c>
    </row>
    <row r="46" spans="1:43" x14ac:dyDescent="0.25">
      <c r="A46" t="s">
        <v>510</v>
      </c>
      <c r="C46" s="1145">
        <f>'Inventory Sales'!D21</f>
        <v>21740</v>
      </c>
      <c r="F46" s="1145">
        <f>'Inventory Sales'!G21</f>
        <v>74600</v>
      </c>
      <c r="I46" s="1145">
        <f>'Inventory Sales'!J21</f>
        <v>0</v>
      </c>
      <c r="L46" s="1145">
        <f>'Inventory Sales'!M21</f>
        <v>0</v>
      </c>
      <c r="O46" s="1145">
        <f>'Inventory Sales'!P21</f>
        <v>0</v>
      </c>
      <c r="R46" s="1145">
        <f>'Inventory Sales'!S21</f>
        <v>0</v>
      </c>
      <c r="U46" s="1145">
        <f>'Inventory Sales'!V21</f>
        <v>0</v>
      </c>
      <c r="X46" s="1145">
        <f>'Inventory Sales'!Y21</f>
        <v>0</v>
      </c>
      <c r="AA46" s="1145">
        <f>'Inventory Sales'!AB21</f>
        <v>0</v>
      </c>
      <c r="AD46" s="1145">
        <f>'Inventory Sales'!AE21</f>
        <v>0</v>
      </c>
      <c r="AG46" s="1145">
        <f>'Inventory Sales'!AH21</f>
        <v>0</v>
      </c>
      <c r="AJ46" s="1145">
        <f>'Inventory Sales'!AK21</f>
        <v>0</v>
      </c>
      <c r="AM46" s="2650">
        <f>'Inventory Sales'!AN21</f>
        <v>96340</v>
      </c>
    </row>
    <row r="47" spans="1:43" x14ac:dyDescent="0.25">
      <c r="A47" t="s">
        <v>381</v>
      </c>
      <c r="C47" s="1420">
        <f>ROUND(('Inventory Sales'!D28),0)</f>
        <v>65</v>
      </c>
      <c r="F47" s="1420">
        <f>ROUND(('Inventory Sales'!G28),0)</f>
        <v>0</v>
      </c>
      <c r="I47" s="1420">
        <f>ROUND(('Inventory Sales'!J28),0)</f>
        <v>0</v>
      </c>
      <c r="L47" s="1420">
        <f>ROUND(('Inventory Sales'!M28),0)</f>
        <v>0</v>
      </c>
      <c r="O47" s="1420">
        <f>ROUND(('Inventory Sales'!P28),0)</f>
        <v>0</v>
      </c>
      <c r="R47" s="1420">
        <f>ROUND(('Inventory Sales'!S28),0)</f>
        <v>0</v>
      </c>
      <c r="U47" s="1420">
        <f>ROUND(('Inventory Sales'!V28),0)</f>
        <v>0</v>
      </c>
      <c r="X47" s="1145">
        <f>ROUND(('Inventory Sales'!Y28),0)</f>
        <v>0</v>
      </c>
      <c r="AA47" s="1145">
        <f>ROUND(('Inventory Sales'!AB28),0)</f>
        <v>0</v>
      </c>
      <c r="AD47" s="1420">
        <f>ROUND(('Inventory Sales'!AE28),0)</f>
        <v>0</v>
      </c>
      <c r="AG47" s="1145">
        <f>ROUND(('Inventory Sales'!AH28),0)</f>
        <v>0</v>
      </c>
      <c r="AJ47" s="1145">
        <f>ROUND(('Inventory Sales'!AK28),0)</f>
        <v>0</v>
      </c>
      <c r="AM47" s="1420">
        <f>ROUND(('Inventory Sales'!AN28),0)</f>
        <v>65</v>
      </c>
    </row>
    <row r="48" spans="1:43" ht="13.8" thickBot="1" x14ac:dyDescent="0.3">
      <c r="C48" s="1145">
        <f>(C3+C4)-(C17+C18+C22+C28+C29)</f>
        <v>6699104</v>
      </c>
      <c r="AM48" s="1420">
        <f>(AM3+AM4)-(AM17+AM18+AM22+AM28+AM29+AM34)</f>
        <v>1011867</v>
      </c>
    </row>
    <row r="49" spans="1:42" x14ac:dyDescent="0.25">
      <c r="A49" s="2653" t="s">
        <v>687</v>
      </c>
      <c r="B49" s="2654"/>
      <c r="C49" s="2655">
        <f>'PAL I'!D13</f>
        <v>16948344</v>
      </c>
      <c r="D49" s="2656"/>
      <c r="E49" s="2656"/>
      <c r="F49" s="2655">
        <f>'PAL I'!G13</f>
        <v>17933105</v>
      </c>
      <c r="G49" s="2655"/>
      <c r="H49" s="2655"/>
      <c r="I49" s="2655">
        <f>'PAL I'!J13</f>
        <v>-79793096</v>
      </c>
      <c r="J49" s="2655"/>
      <c r="K49" s="2655"/>
      <c r="L49" s="2655">
        <f>'PAL I'!M13</f>
        <v>0</v>
      </c>
      <c r="M49" s="2655"/>
      <c r="N49" s="2655"/>
      <c r="O49" s="2655">
        <f>'PAL I'!P13</f>
        <v>0</v>
      </c>
      <c r="P49" s="2655"/>
      <c r="Q49" s="2655"/>
      <c r="R49" s="2655">
        <f>'PAL I'!S13</f>
        <v>0</v>
      </c>
      <c r="S49" s="2655"/>
      <c r="T49" s="2655"/>
      <c r="U49" s="2655">
        <f>'PAL I'!V13</f>
        <v>0</v>
      </c>
      <c r="V49" s="2655"/>
      <c r="W49" s="2655"/>
      <c r="X49" s="2655">
        <f>'PAL I'!Y13</f>
        <v>0</v>
      </c>
      <c r="Y49" s="2655"/>
      <c r="Z49" s="2655"/>
      <c r="AA49" s="2655">
        <f>'PAL I'!AB13</f>
        <v>0</v>
      </c>
      <c r="AB49" s="2655"/>
      <c r="AC49" s="2655"/>
      <c r="AD49" s="2655">
        <f>'PAL I'!AE13</f>
        <v>0</v>
      </c>
      <c r="AE49" s="2655"/>
      <c r="AF49" s="2655"/>
      <c r="AG49" s="2655">
        <f>'PAL I'!AH13</f>
        <v>0</v>
      </c>
      <c r="AH49" s="2655"/>
      <c r="AI49" s="2655"/>
      <c r="AJ49" s="2655">
        <f>'PAL I'!AK13</f>
        <v>0</v>
      </c>
      <c r="AK49" s="2655"/>
      <c r="AL49" s="2655"/>
      <c r="AM49" s="2657">
        <f>'PAL I'!AN13</f>
        <v>34881449</v>
      </c>
      <c r="AN49" s="2658"/>
    </row>
    <row r="50" spans="1:42" x14ac:dyDescent="0.25">
      <c r="A50" s="2665"/>
      <c r="B50" s="2666"/>
      <c r="C50" s="2667"/>
      <c r="D50" s="2668"/>
      <c r="E50" s="2668"/>
      <c r="F50" s="2668"/>
      <c r="G50" s="2668"/>
      <c r="H50" s="2668"/>
      <c r="I50" s="2668"/>
      <c r="J50" s="2668"/>
      <c r="K50" s="2668"/>
      <c r="L50" s="2668"/>
      <c r="M50" s="2668"/>
      <c r="N50" s="2668"/>
      <c r="O50" s="2668"/>
      <c r="P50" s="2668"/>
      <c r="Q50" s="2669"/>
      <c r="R50" s="2668"/>
      <c r="S50" s="2669"/>
      <c r="T50" s="2669"/>
      <c r="U50" s="2669"/>
      <c r="V50" s="2669"/>
      <c r="W50" s="2669"/>
      <c r="X50" s="2669"/>
      <c r="Y50" s="2669"/>
      <c r="Z50" s="2669"/>
      <c r="AA50" s="2669"/>
      <c r="AB50" s="2669"/>
      <c r="AC50" s="2669"/>
      <c r="AD50" s="2669"/>
      <c r="AE50" s="2669"/>
      <c r="AF50" s="2669"/>
      <c r="AG50" s="2669"/>
      <c r="AH50" s="2669"/>
      <c r="AI50" s="2669"/>
      <c r="AJ50" s="2669"/>
      <c r="AK50" s="2669"/>
      <c r="AL50" s="2669"/>
      <c r="AM50" s="2670"/>
      <c r="AN50" s="2671"/>
    </row>
    <row r="51" spans="1:42" x14ac:dyDescent="0.25">
      <c r="A51" s="2659" t="s">
        <v>833</v>
      </c>
      <c r="B51" s="1"/>
      <c r="C51" s="2652">
        <f>'PAL I'!D31</f>
        <v>4610202</v>
      </c>
      <c r="D51" s="1"/>
      <c r="E51" s="5"/>
      <c r="F51" s="2652">
        <f>'PAL I'!G31</f>
        <v>7609174</v>
      </c>
      <c r="G51" s="5"/>
      <c r="H51" s="5"/>
      <c r="I51" s="2652">
        <f>'PAL I'!J31</f>
        <v>-79793096</v>
      </c>
      <c r="J51" s="5"/>
      <c r="K51" s="5"/>
      <c r="L51" s="2652">
        <f>'PAL I'!M31</f>
        <v>0</v>
      </c>
      <c r="M51" s="5"/>
      <c r="N51" s="5"/>
      <c r="O51" s="2652">
        <f>'PAL I'!P31</f>
        <v>0</v>
      </c>
      <c r="P51" s="5"/>
      <c r="Q51" s="5"/>
      <c r="R51" s="528">
        <f>'PAL I'!S31</f>
        <v>0</v>
      </c>
      <c r="S51" s="5"/>
      <c r="T51" s="5"/>
      <c r="U51" s="528">
        <f>'PAL I'!V31</f>
        <v>0</v>
      </c>
      <c r="V51" s="5"/>
      <c r="W51" s="5"/>
      <c r="X51" s="528">
        <f>'PAL I'!Y31</f>
        <v>0</v>
      </c>
      <c r="Y51" s="5"/>
      <c r="Z51" s="5"/>
      <c r="AA51" s="528">
        <f>'PAL I'!AB28</f>
        <v>0</v>
      </c>
      <c r="AB51" s="5"/>
      <c r="AC51" s="5"/>
      <c r="AD51" s="528">
        <f>'PAL I'!AE28</f>
        <v>0</v>
      </c>
      <c r="AE51" s="5"/>
      <c r="AF51" s="5"/>
      <c r="AG51" s="528">
        <f>'PAL I'!AH28</f>
        <v>0</v>
      </c>
      <c r="AH51" s="5"/>
      <c r="AI51" s="5"/>
      <c r="AJ51" s="528">
        <f>'PAL I'!AK28</f>
        <v>0</v>
      </c>
      <c r="AK51" s="5"/>
      <c r="AL51" s="5"/>
      <c r="AM51" s="2651">
        <f>'PAL I'!AN31</f>
        <v>12219376</v>
      </c>
      <c r="AN51" s="197"/>
    </row>
    <row r="52" spans="1:42" ht="13.8" thickBot="1" x14ac:dyDescent="0.3">
      <c r="A52" s="2660" t="s">
        <v>834</v>
      </c>
      <c r="B52" s="2661"/>
      <c r="C52" s="1021">
        <f>(C8+C46+C47)-(C25+C35)</f>
        <v>4610202</v>
      </c>
      <c r="D52" s="1021"/>
      <c r="E52" s="1021"/>
      <c r="F52" s="1021">
        <f>(F8+F46+F47)-(F25+F35)</f>
        <v>7609173</v>
      </c>
      <c r="G52" s="1021"/>
      <c r="H52" s="1021"/>
      <c r="I52" s="1021" t="e">
        <f>(I8+I46+I47)-(I25+I35)</f>
        <v>#DIV/0!</v>
      </c>
      <c r="J52" s="1021"/>
      <c r="K52" s="1021"/>
      <c r="L52" s="1021" t="e">
        <f>(L8+L46+L47)-(L25+L35)</f>
        <v>#DIV/0!</v>
      </c>
      <c r="M52" s="1021"/>
      <c r="N52" s="1021"/>
      <c r="O52" s="1021" t="e">
        <f>(O8+O46+O47)-(O25+O35)</f>
        <v>#DIV/0!</v>
      </c>
      <c r="P52" s="1021"/>
      <c r="Q52" s="1021"/>
      <c r="R52" s="1021">
        <f>(R8+R46+R47)-(R25+R35)</f>
        <v>0</v>
      </c>
      <c r="S52" s="1021"/>
      <c r="T52" s="1021"/>
      <c r="U52" s="1021">
        <f>(U8+U46+U47)-(U25+U35)</f>
        <v>0</v>
      </c>
      <c r="V52" s="1021"/>
      <c r="W52" s="1021"/>
      <c r="X52" s="1021">
        <f>(X8+X46+X47)-(X25+X35)</f>
        <v>0</v>
      </c>
      <c r="Y52" s="1021"/>
      <c r="Z52" s="1021"/>
      <c r="AA52" s="1021">
        <f>(AA8+AA46+AA47)-(AA25+AA35)</f>
        <v>0</v>
      </c>
      <c r="AB52" s="1021"/>
      <c r="AC52" s="1021"/>
      <c r="AD52" s="1021">
        <f>(AD8+AD46+AD47)-(AD25+AD35)</f>
        <v>0</v>
      </c>
      <c r="AE52" s="1021"/>
      <c r="AF52" s="1021"/>
      <c r="AG52" s="1021">
        <f>(AG8+AG46+AG47)-(AG25+AG35)</f>
        <v>0</v>
      </c>
      <c r="AH52" s="1021"/>
      <c r="AI52" s="1021"/>
      <c r="AJ52" s="1021">
        <f>(AJ8+AJ46+AJ47)-(AJ25+AJ35)</f>
        <v>0</v>
      </c>
      <c r="AK52" s="1021"/>
      <c r="AL52" s="1021"/>
      <c r="AM52" s="2662">
        <f>(AM8+AM46+AM47)-(AM25+AM35)</f>
        <v>-27158430</v>
      </c>
      <c r="AN52" s="671"/>
    </row>
    <row r="53" spans="1:42" x14ac:dyDescent="0.25">
      <c r="C53" s="3132">
        <f>C51-C52</f>
        <v>0</v>
      </c>
      <c r="D53" s="8"/>
      <c r="E53" s="8"/>
      <c r="F53" s="3132">
        <f>F51-F52</f>
        <v>1</v>
      </c>
      <c r="G53" s="8"/>
      <c r="H53" s="8"/>
      <c r="I53" s="8" t="e">
        <f>I51-I52</f>
        <v>#DIV/0!</v>
      </c>
      <c r="J53" s="8"/>
      <c r="K53" s="8"/>
      <c r="L53" s="8" t="e">
        <f>L51-L52</f>
        <v>#DIV/0!</v>
      </c>
      <c r="M53" s="8"/>
      <c r="N53" s="8"/>
      <c r="O53" s="8" t="e">
        <f>O51-O52</f>
        <v>#DIV/0!</v>
      </c>
      <c r="P53" s="8"/>
      <c r="Q53" s="8"/>
      <c r="R53" s="8">
        <f>R51-R52</f>
        <v>0</v>
      </c>
      <c r="S53" s="8"/>
      <c r="T53" s="8"/>
      <c r="U53" s="2691">
        <f>U51-U52</f>
        <v>0</v>
      </c>
      <c r="V53" s="8"/>
      <c r="W53" s="8"/>
      <c r="X53" s="2691">
        <f>X51-X52</f>
        <v>0</v>
      </c>
      <c r="Y53" s="8"/>
      <c r="Z53" s="8"/>
      <c r="AA53" s="2691">
        <f>AA51-AA52</f>
        <v>0</v>
      </c>
      <c r="AB53" s="8"/>
      <c r="AC53" s="8"/>
      <c r="AD53" s="2691">
        <f>AD51-AD52</f>
        <v>0</v>
      </c>
      <c r="AE53" s="8"/>
      <c r="AF53" s="8"/>
      <c r="AG53" s="2691">
        <f>AG51-AG52</f>
        <v>0</v>
      </c>
      <c r="AH53" s="8"/>
      <c r="AI53" s="8"/>
      <c r="AJ53" s="2691">
        <f>AJ51-AJ52</f>
        <v>0</v>
      </c>
      <c r="AK53" s="8"/>
      <c r="AL53" s="8"/>
      <c r="AM53" s="1420">
        <f>AM51-AM52</f>
        <v>39377806</v>
      </c>
    </row>
    <row r="54" spans="1:42" ht="13.8" thickBot="1" x14ac:dyDescent="0.3">
      <c r="B54" s="1711"/>
      <c r="F54" s="2"/>
      <c r="I54" s="2"/>
      <c r="L54" s="2"/>
      <c r="O54" s="2"/>
      <c r="AM54" s="1420"/>
    </row>
    <row r="55" spans="1:42" x14ac:dyDescent="0.25">
      <c r="A55" s="2663" t="s">
        <v>831</v>
      </c>
      <c r="B55" s="1640">
        <f>SUM(B53:B54)</f>
        <v>0</v>
      </c>
      <c r="C55" s="2289">
        <f>C17+C18+C22+C28+C29+C34</f>
        <v>14196163</v>
      </c>
      <c r="D55" s="2276"/>
      <c r="E55" s="1061"/>
      <c r="F55" s="2289">
        <f>F17+F18+F22+F28+F29+F34</f>
        <v>19443059</v>
      </c>
      <c r="G55" s="1061"/>
      <c r="H55" s="1061"/>
      <c r="I55" s="2289">
        <f>I17+I18+I28+I29+I22+I34</f>
        <v>79547124</v>
      </c>
      <c r="J55" s="1061"/>
      <c r="K55" s="1061"/>
      <c r="L55" s="2289">
        <f>L17+L18+L28+L29+L22+L34</f>
        <v>0</v>
      </c>
      <c r="M55" s="1061"/>
      <c r="N55" s="1061"/>
      <c r="O55" s="2289">
        <f>O17+O18+O28+O29+O22+O34</f>
        <v>0</v>
      </c>
      <c r="P55" s="1061"/>
      <c r="Q55" s="1061"/>
      <c r="R55" s="2411">
        <f>R17+R18+R28+R29+R22+R34</f>
        <v>0</v>
      </c>
      <c r="S55" s="1061"/>
      <c r="T55" s="1061"/>
      <c r="U55" s="2411">
        <f>U17+U18+U28+U29+U22+U34</f>
        <v>0</v>
      </c>
      <c r="V55" s="1061"/>
      <c r="W55" s="1061"/>
      <c r="X55" s="2411">
        <f>X17+X18+X28+X29+X22+X34</f>
        <v>0</v>
      </c>
      <c r="Y55" s="1061"/>
      <c r="Z55" s="1061"/>
      <c r="AA55" s="2411">
        <f>AA17+AA18+AA28+AA29+AA22+AA34</f>
        <v>0</v>
      </c>
      <c r="AB55" s="1061"/>
      <c r="AC55" s="1061"/>
      <c r="AD55" s="2411">
        <f>AD17+AD18+AD28+AD29+AD22+AD34</f>
        <v>0</v>
      </c>
      <c r="AE55" s="1061"/>
      <c r="AF55" s="1061"/>
      <c r="AG55" s="2411">
        <f>AG17+AG18+AG28+AG29+AG22+AG34</f>
        <v>0</v>
      </c>
      <c r="AH55" s="1061"/>
      <c r="AI55" s="1061"/>
      <c r="AJ55" s="2411">
        <f>AJ17+AJ18+AJ28+AJ29+AJ22+AJ34</f>
        <v>0</v>
      </c>
      <c r="AK55" s="1061"/>
      <c r="AL55" s="1061"/>
      <c r="AM55" s="2289">
        <f>AM17+AM18+AM28+AM29+AM22+AM34</f>
        <v>49031551</v>
      </c>
      <c r="AN55" s="1258"/>
    </row>
    <row r="56" spans="1:42" ht="13.8" thickBot="1" x14ac:dyDescent="0.3">
      <c r="A56" s="2664" t="s">
        <v>832</v>
      </c>
      <c r="B56" s="2661"/>
      <c r="C56" s="1021">
        <f>C20+C23+C30</f>
        <v>2330166</v>
      </c>
      <c r="D56" s="2661"/>
      <c r="E56" s="6"/>
      <c r="F56" s="1021">
        <f>F20+F23+F30</f>
        <v>1544934</v>
      </c>
      <c r="G56" s="6"/>
      <c r="H56" s="6"/>
      <c r="I56" s="1021">
        <f>I20+I23+I30</f>
        <v>245972</v>
      </c>
      <c r="J56" s="6"/>
      <c r="K56" s="6"/>
      <c r="L56" s="1021">
        <f>L20+L23+L30</f>
        <v>0</v>
      </c>
      <c r="M56" s="6"/>
      <c r="N56" s="6"/>
      <c r="O56" s="1021">
        <f>O20+O23+O30</f>
        <v>0</v>
      </c>
      <c r="P56" s="6"/>
      <c r="Q56" s="6"/>
      <c r="R56" s="1021">
        <f>R20+R23+R30</f>
        <v>0</v>
      </c>
      <c r="S56" s="6"/>
      <c r="T56" s="6"/>
      <c r="U56" s="1021">
        <f>U20+U23+U30</f>
        <v>0</v>
      </c>
      <c r="V56" s="6"/>
      <c r="W56" s="6"/>
      <c r="X56" s="1021">
        <f>X20+X23+X30</f>
        <v>0</v>
      </c>
      <c r="Y56" s="6"/>
      <c r="Z56" s="6"/>
      <c r="AA56" s="1021">
        <f>AA20+AA23+AA30</f>
        <v>0</v>
      </c>
      <c r="AB56" s="6"/>
      <c r="AC56" s="6"/>
      <c r="AD56" s="1021">
        <f>AD20+AD23+AD30</f>
        <v>0</v>
      </c>
      <c r="AE56" s="6"/>
      <c r="AF56" s="6"/>
      <c r="AG56" s="1021">
        <f>AG20+AG23+AG30</f>
        <v>0</v>
      </c>
      <c r="AH56" s="6"/>
      <c r="AI56" s="6"/>
      <c r="AJ56" s="1021">
        <f>AJ20+AJ23+AJ30</f>
        <v>0</v>
      </c>
      <c r="AK56" s="6"/>
      <c r="AL56" s="6"/>
      <c r="AM56" s="1021">
        <f>AM20+AM23+AM30</f>
        <v>26203311</v>
      </c>
      <c r="AN56" s="671"/>
    </row>
    <row r="57" spans="1:42" x14ac:dyDescent="0.25">
      <c r="A57" s="980"/>
      <c r="C57" s="1640">
        <f>SUM(C55:C56)</f>
        <v>16526329</v>
      </c>
      <c r="F57" s="1640">
        <f>SUM(F55:F56)</f>
        <v>20987993</v>
      </c>
      <c r="I57" s="1640">
        <f>SUM(I55:I56)</f>
        <v>79793096</v>
      </c>
      <c r="L57" s="1640">
        <f>SUM(L55:L56)</f>
        <v>0</v>
      </c>
      <c r="O57" s="1640">
        <f>SUM(O55:O56)</f>
        <v>0</v>
      </c>
      <c r="R57" s="1640">
        <f>SUM(R55:R56)</f>
        <v>0</v>
      </c>
      <c r="U57" s="1640">
        <f>SUM(U55:U56)</f>
        <v>0</v>
      </c>
      <c r="X57" s="1640">
        <f>SUM(X55:X56)</f>
        <v>0</v>
      </c>
      <c r="AA57" s="1640">
        <f>SUM(AA55:AA56)</f>
        <v>0</v>
      </c>
      <c r="AD57" s="1640">
        <f>SUM(AD55:AD56)</f>
        <v>0</v>
      </c>
      <c r="AG57" s="1640">
        <f>SUM(AG55:AG56)</f>
        <v>0</v>
      </c>
      <c r="AJ57" s="1640">
        <f>SUM(AJ55:AJ56)</f>
        <v>0</v>
      </c>
      <c r="AM57" s="1640">
        <f>SUM(AM55:AM56)</f>
        <v>75234862</v>
      </c>
    </row>
    <row r="58" spans="1:42" x14ac:dyDescent="0.25">
      <c r="A58" s="980"/>
      <c r="C58" s="1145"/>
      <c r="F58" s="1145"/>
      <c r="I58" s="1145"/>
      <c r="L58" s="1145"/>
      <c r="O58" s="1145"/>
      <c r="R58" s="1145"/>
      <c r="AM58" s="1145"/>
    </row>
    <row r="59" spans="1:42" x14ac:dyDescent="0.25">
      <c r="A59" s="194" t="s">
        <v>354</v>
      </c>
      <c r="AM59" s="8"/>
    </row>
    <row r="60" spans="1:42" x14ac:dyDescent="0.25">
      <c r="A60" s="980" t="s">
        <v>690</v>
      </c>
      <c r="C60" s="2687">
        <f>(C3+C4)-(C55)</f>
        <v>6574104</v>
      </c>
      <c r="F60" s="2687">
        <f>(F3+F4)-(F55)</f>
        <v>9830092</v>
      </c>
      <c r="G60" s="2687"/>
      <c r="H60" s="2687"/>
      <c r="I60" s="2687" t="e">
        <f>(I3+I4)-(I55)</f>
        <v>#DIV/0!</v>
      </c>
      <c r="J60" s="2687"/>
      <c r="K60" s="2687"/>
      <c r="L60" s="2687" t="e">
        <f>(L3+L4)-(L55)</f>
        <v>#DIV/0!</v>
      </c>
      <c r="M60" s="2687"/>
      <c r="N60" s="2687"/>
      <c r="O60" s="2687" t="e">
        <f>(O3+O4)-(O55)</f>
        <v>#DIV/0!</v>
      </c>
      <c r="P60" s="2687"/>
      <c r="Q60" s="2687"/>
      <c r="R60" s="2687">
        <f>(R3+R4)-(R55)</f>
        <v>0</v>
      </c>
      <c r="U60" s="2687">
        <f>(U3+U4)-(U55)</f>
        <v>0</v>
      </c>
      <c r="X60" s="2687">
        <f>(X3+X4)-(X55)</f>
        <v>0</v>
      </c>
      <c r="AA60" s="2687">
        <f>(AA3+AA4)-(AA55)</f>
        <v>0</v>
      </c>
      <c r="AD60" s="2687">
        <f>(AD3+AD4)-(AD55)</f>
        <v>0</v>
      </c>
      <c r="AG60" s="2687">
        <f>(AG3+AG4)-(AG55)</f>
        <v>0</v>
      </c>
      <c r="AJ60" s="2687">
        <f>(AJ3+AJ4)-(AJ55)</f>
        <v>0</v>
      </c>
      <c r="AM60" s="2687">
        <f>(AM3+AM4)-(AM55)</f>
        <v>1011867</v>
      </c>
    </row>
    <row r="61" spans="1:42" ht="13.8" thickBot="1" x14ac:dyDescent="0.3">
      <c r="A61" s="983" t="s">
        <v>696</v>
      </c>
      <c r="B61" s="1711"/>
      <c r="C61" s="2688">
        <f>C5-C19</f>
        <v>303440</v>
      </c>
      <c r="D61" s="1711"/>
      <c r="E61" s="7"/>
      <c r="F61" s="2688">
        <f>F5-F19</f>
        <v>-74086</v>
      </c>
      <c r="G61" s="2688"/>
      <c r="H61" s="2688"/>
      <c r="I61" s="2688" t="e">
        <f>I5-I19</f>
        <v>#DIV/0!</v>
      </c>
      <c r="J61" s="2688"/>
      <c r="K61" s="2688"/>
      <c r="L61" s="2736" t="e">
        <f>L5-L19</f>
        <v>#DIV/0!</v>
      </c>
      <c r="M61" s="2688"/>
      <c r="N61" s="2688"/>
      <c r="O61" s="2688" t="e">
        <f>O5-O19</f>
        <v>#DIV/0!</v>
      </c>
      <c r="P61" s="2688"/>
      <c r="Q61" s="2688"/>
      <c r="R61" s="2688">
        <f>R5-R19</f>
        <v>0</v>
      </c>
      <c r="S61" s="7"/>
      <c r="T61" s="7"/>
      <c r="U61" s="2688">
        <f>U5-U19</f>
        <v>0</v>
      </c>
      <c r="V61" s="7"/>
      <c r="W61" s="7"/>
      <c r="X61" s="2688">
        <f>X5-X19</f>
        <v>0</v>
      </c>
      <c r="Y61" s="7"/>
      <c r="Z61" s="7"/>
      <c r="AA61" s="2688">
        <f>AA5-AA19</f>
        <v>0</v>
      </c>
      <c r="AB61" s="7"/>
      <c r="AC61" s="7"/>
      <c r="AD61" s="2688">
        <f>AD5-AD19</f>
        <v>0</v>
      </c>
      <c r="AE61" s="7"/>
      <c r="AF61" s="7"/>
      <c r="AG61" s="2688">
        <f>AG5-AG19</f>
        <v>0</v>
      </c>
      <c r="AH61" s="7"/>
      <c r="AI61" s="7"/>
      <c r="AJ61" s="2688">
        <f>AJ5-AJ19</f>
        <v>0</v>
      </c>
      <c r="AK61" s="7"/>
      <c r="AL61" s="7"/>
      <c r="AM61" s="2688">
        <f>AM5-AM19</f>
        <v>229353</v>
      </c>
    </row>
    <row r="62" spans="1:42" x14ac:dyDescent="0.25">
      <c r="A62" s="194" t="s">
        <v>950</v>
      </c>
      <c r="B62" s="341"/>
      <c r="C62" s="2691">
        <f>SUM(C60:C61)</f>
        <v>6877544</v>
      </c>
      <c r="D62" s="2826">
        <f>C62/(C3+C4+C5)</f>
        <v>0.2514550204049279</v>
      </c>
      <c r="F62" s="2691">
        <f>SUM(F60:F61)</f>
        <v>9756006</v>
      </c>
      <c r="G62" s="2826">
        <f>F62/(F3+F4+F5)</f>
        <v>0.305100647343992</v>
      </c>
      <c r="H62" s="2687"/>
      <c r="I62" s="2691" t="e">
        <f>SUM(I60:I61)</f>
        <v>#DIV/0!</v>
      </c>
      <c r="J62" s="2826" t="e">
        <f>I62/(I3+I4+I5)</f>
        <v>#DIV/0!</v>
      </c>
      <c r="K62" s="2687"/>
      <c r="L62" s="2691" t="e">
        <f>SUM(L60:L61)</f>
        <v>#DIV/0!</v>
      </c>
      <c r="M62" s="2826" t="e">
        <f>L62/(L3+L4+L5)</f>
        <v>#DIV/0!</v>
      </c>
      <c r="N62" s="2687"/>
      <c r="O62" s="2691" t="e">
        <f>SUM(O60:O61)</f>
        <v>#DIV/0!</v>
      </c>
      <c r="P62" s="2826" t="e">
        <f>O62/(O3+O4+O5)</f>
        <v>#DIV/0!</v>
      </c>
      <c r="Q62" s="2687"/>
      <c r="R62" s="2691">
        <f>SUM(R60:R61)</f>
        <v>0</v>
      </c>
      <c r="S62" s="2826" t="e">
        <f>R62/(R3+R4+R5)</f>
        <v>#DIV/0!</v>
      </c>
      <c r="U62" s="2691">
        <f>SUM(U60:U61)</f>
        <v>0</v>
      </c>
      <c r="V62" s="2826" t="e">
        <f>U62/(U3+U4+U5)</f>
        <v>#DIV/0!</v>
      </c>
      <c r="X62" s="2691">
        <f>SUM(X60:X61)</f>
        <v>0</v>
      </c>
      <c r="Y62" s="2826" t="e">
        <f>X62/(X3+X4+X5)</f>
        <v>#DIV/0!</v>
      </c>
      <c r="AA62" s="2691">
        <f>SUM(AA60:AA61)</f>
        <v>0</v>
      </c>
      <c r="AB62" s="2826" t="e">
        <f>AA62/(AA3+AA4+AA5)</f>
        <v>#DIV/0!</v>
      </c>
      <c r="AD62" s="2691">
        <f>SUM(AD60:AD61)</f>
        <v>0</v>
      </c>
      <c r="AE62" s="2826" t="e">
        <f>AD62/(AD3+AD4+AD5)</f>
        <v>#DIV/0!</v>
      </c>
      <c r="AG62" s="2691">
        <f>SUM(AG60:AG61)</f>
        <v>0</v>
      </c>
      <c r="AH62" s="2826" t="e">
        <f>AG62/(AG3+AG4+AG5)</f>
        <v>#DIV/0!</v>
      </c>
      <c r="AJ62" s="2691">
        <f>SUM(AJ60:AJ61)</f>
        <v>0</v>
      </c>
      <c r="AK62" s="2826" t="e">
        <f>AJ62/(AJ3+AJ4+AJ5)</f>
        <v>#DIV/0!</v>
      </c>
      <c r="AM62" s="2691">
        <f>SUM(AM60:AM61)</f>
        <v>1241220</v>
      </c>
      <c r="AN62" s="2826">
        <f>AM62/(AM3+AM4+AM5)</f>
        <v>2.0921550103439657E-2</v>
      </c>
      <c r="AO62" s="566">
        <f>AM62/$AM$66</f>
        <v>-5.9925900105153487E-2</v>
      </c>
      <c r="AP62" s="218">
        <f>AM62/(AL3+AL4+AL5)</f>
        <v>5.9486712515875491</v>
      </c>
    </row>
    <row r="63" spans="1:42" x14ac:dyDescent="0.25">
      <c r="A63" s="980" t="s">
        <v>697</v>
      </c>
      <c r="C63" s="2687">
        <f>C6-C16</f>
        <v>0</v>
      </c>
      <c r="D63" s="2826">
        <f>IF(C63=0,0,C63/C6)</f>
        <v>0</v>
      </c>
      <c r="F63" s="2687">
        <f>F6-F16</f>
        <v>125</v>
      </c>
      <c r="G63" s="2826">
        <f>F63/F6</f>
        <v>1.3157894736842105E-2</v>
      </c>
      <c r="H63" s="2687"/>
      <c r="I63" s="2687">
        <f>I6-I16</f>
        <v>0</v>
      </c>
      <c r="J63" s="2826" t="e">
        <f>I63/I6</f>
        <v>#DIV/0!</v>
      </c>
      <c r="K63" s="2687"/>
      <c r="L63" s="2450">
        <f>L6-L16</f>
        <v>0</v>
      </c>
      <c r="M63" s="2826" t="e">
        <f>L63/L6</f>
        <v>#DIV/0!</v>
      </c>
      <c r="N63" s="2687"/>
      <c r="O63" s="2687">
        <f>O6-O16</f>
        <v>0</v>
      </c>
      <c r="P63" s="2826" t="e">
        <f>O63/O6</f>
        <v>#DIV/0!</v>
      </c>
      <c r="Q63" s="2687"/>
      <c r="R63" s="2687">
        <f>R6-R16</f>
        <v>0</v>
      </c>
      <c r="S63" s="2826" t="e">
        <f>R63/R6</f>
        <v>#DIV/0!</v>
      </c>
      <c r="U63" s="2687">
        <f>U6-U16</f>
        <v>0</v>
      </c>
      <c r="V63" s="2826" t="e">
        <f>U63/U6</f>
        <v>#DIV/0!</v>
      </c>
      <c r="X63" s="2687">
        <f>X6-X16</f>
        <v>0</v>
      </c>
      <c r="Y63" s="2826" t="e">
        <f>X63/X6</f>
        <v>#DIV/0!</v>
      </c>
      <c r="AA63" s="2687">
        <f>AA6-AA16</f>
        <v>0</v>
      </c>
      <c r="AB63" s="2826" t="e">
        <f>AA63/AA6</f>
        <v>#DIV/0!</v>
      </c>
      <c r="AD63" s="2687">
        <f>AD6-AD16</f>
        <v>0</v>
      </c>
      <c r="AE63" s="2826" t="e">
        <f>AD63/AD6</f>
        <v>#DIV/0!</v>
      </c>
      <c r="AG63" s="2687">
        <f>AG6-AG16</f>
        <v>0</v>
      </c>
      <c r="AH63" s="2826" t="e">
        <f>AG63/AG6</f>
        <v>#DIV/0!</v>
      </c>
      <c r="AJ63" s="2687">
        <f>AJ6-AJ16</f>
        <v>0</v>
      </c>
      <c r="AK63" s="2826" t="e">
        <f>AJ63/AJ6</f>
        <v>#DIV/0!</v>
      </c>
      <c r="AM63" s="2687">
        <f>AM6-AM16</f>
        <v>125</v>
      </c>
      <c r="AN63" s="2826">
        <f>AM63/AM6</f>
        <v>1.3157894736842105E-2</v>
      </c>
      <c r="AO63" s="566">
        <f>AM63/$AM$66</f>
        <v>-6.0349797079842303E-6</v>
      </c>
    </row>
    <row r="64" spans="1:42" x14ac:dyDescent="0.25">
      <c r="A64" s="980" t="s">
        <v>691</v>
      </c>
      <c r="C64" s="2687">
        <f>C7-(C56)</f>
        <v>172406</v>
      </c>
      <c r="D64" s="2826">
        <f>C64/C7</f>
        <v>6.889152439969759E-2</v>
      </c>
      <c r="F64" s="3348">
        <f>F7-(F56)</f>
        <v>105475</v>
      </c>
      <c r="G64" s="2826">
        <f>F64/F7</f>
        <v>6.3908400887295214E-2</v>
      </c>
      <c r="H64" s="2687"/>
      <c r="I64" s="2687">
        <f>I7-(I56)</f>
        <v>-245972</v>
      </c>
      <c r="J64" s="2826" t="e">
        <f>I64/I7</f>
        <v>#DIV/0!</v>
      </c>
      <c r="K64" s="2687"/>
      <c r="L64" s="2450">
        <f>L7-(L56)</f>
        <v>0</v>
      </c>
      <c r="M64" s="2826" t="e">
        <f>L64/L7</f>
        <v>#DIV/0!</v>
      </c>
      <c r="N64" s="2687"/>
      <c r="O64" s="2687">
        <f>O7-(O56)</f>
        <v>0</v>
      </c>
      <c r="P64" s="2826" t="e">
        <f>O64/O7</f>
        <v>#DIV/0!</v>
      </c>
      <c r="Q64" s="2687"/>
      <c r="R64" s="2687">
        <f>R7-(R56)</f>
        <v>0</v>
      </c>
      <c r="S64" s="2826" t="e">
        <f>R64/R7</f>
        <v>#DIV/0!</v>
      </c>
      <c r="U64" s="2687">
        <f>U7-(U56)</f>
        <v>0</v>
      </c>
      <c r="V64" s="2826" t="e">
        <f>U64/U7</f>
        <v>#DIV/0!</v>
      </c>
      <c r="X64" s="2687">
        <f>X7-(X56)</f>
        <v>0</v>
      </c>
      <c r="Y64" s="2826" t="e">
        <f>X64/X7</f>
        <v>#DIV/0!</v>
      </c>
      <c r="AA64" s="2687">
        <f>AA7-(AA56)</f>
        <v>0</v>
      </c>
      <c r="AB64" s="2826" t="e">
        <f>AA64/AA7</f>
        <v>#DIV/0!</v>
      </c>
      <c r="AD64" s="2687">
        <f>AD7-(AD56)</f>
        <v>0</v>
      </c>
      <c r="AE64" s="2826" t="e">
        <f>AD64/AD7</f>
        <v>#DIV/0!</v>
      </c>
      <c r="AG64" s="2687">
        <f>AG7-(AG56)</f>
        <v>0</v>
      </c>
      <c r="AH64" s="2826" t="e">
        <f>AG64/AG7</f>
        <v>#DIV/0!</v>
      </c>
      <c r="AJ64" s="2687">
        <f>AJ7-(AJ56)</f>
        <v>0</v>
      </c>
      <c r="AK64" s="2826" t="e">
        <f>AJ64/AJ7</f>
        <v>#DIV/0!</v>
      </c>
      <c r="AM64" s="2687">
        <f>AM7-(AM56)</f>
        <v>-22050330</v>
      </c>
      <c r="AN64" s="2826">
        <f>AM64/AM7</f>
        <v>-5.3095186325196284</v>
      </c>
      <c r="AO64" s="566">
        <f>AM64/$AM$66</f>
        <v>1.0645863528348471</v>
      </c>
    </row>
    <row r="65" spans="1:41" ht="13.8" thickBot="1" x14ac:dyDescent="0.3">
      <c r="A65" s="983" t="s">
        <v>692</v>
      </c>
      <c r="B65" s="1711"/>
      <c r="C65" s="2688">
        <f>C46+C47</f>
        <v>21805</v>
      </c>
      <c r="D65" s="2827"/>
      <c r="E65" s="7"/>
      <c r="F65" s="2688">
        <f>F46+F47</f>
        <v>74600</v>
      </c>
      <c r="G65" s="2827"/>
      <c r="H65" s="2688"/>
      <c r="I65" s="2688">
        <f>I46+I47</f>
        <v>0</v>
      </c>
      <c r="J65" s="2827"/>
      <c r="K65" s="2688"/>
      <c r="L65" s="2736">
        <f>L46+L47</f>
        <v>0</v>
      </c>
      <c r="M65" s="2827"/>
      <c r="N65" s="2688"/>
      <c r="O65" s="2688">
        <f>O46+O47</f>
        <v>0</v>
      </c>
      <c r="P65" s="2827"/>
      <c r="Q65" s="2688"/>
      <c r="R65" s="2688">
        <f>R46+R47</f>
        <v>0</v>
      </c>
      <c r="S65" s="2827"/>
      <c r="T65" s="7"/>
      <c r="U65" s="2688">
        <f>U46+U47</f>
        <v>0</v>
      </c>
      <c r="V65" s="2827"/>
      <c r="W65" s="7"/>
      <c r="X65" s="2688">
        <f>X46+X47</f>
        <v>0</v>
      </c>
      <c r="Y65" s="2827"/>
      <c r="Z65" s="7"/>
      <c r="AA65" s="2688">
        <f>AA46+AA47</f>
        <v>0</v>
      </c>
      <c r="AB65" s="2827"/>
      <c r="AC65" s="7"/>
      <c r="AD65" s="2688">
        <f>AD46+AD47</f>
        <v>0</v>
      </c>
      <c r="AE65" s="2827"/>
      <c r="AF65" s="7"/>
      <c r="AG65" s="2688">
        <f>AG46+AG47</f>
        <v>0</v>
      </c>
      <c r="AH65" s="2827"/>
      <c r="AI65" s="7"/>
      <c r="AJ65" s="2688">
        <f>AJ46+AJ47</f>
        <v>0</v>
      </c>
      <c r="AK65" s="2827"/>
      <c r="AL65" s="7"/>
      <c r="AM65" s="2688">
        <f>AM46+AM47</f>
        <v>96405</v>
      </c>
      <c r="AN65" s="2827"/>
      <c r="AO65" s="566">
        <f>AM65/$AM$66</f>
        <v>-4.6544177499857576E-3</v>
      </c>
    </row>
    <row r="66" spans="1:41" x14ac:dyDescent="0.25">
      <c r="A66" s="194" t="s">
        <v>518</v>
      </c>
      <c r="B66" s="341"/>
      <c r="C66" s="2689">
        <f>SUM(C62:C65)</f>
        <v>7071755</v>
      </c>
      <c r="D66" s="2826">
        <f>C66/$AM$8</f>
        <v>0.1113840682345557</v>
      </c>
      <c r="E66" s="194"/>
      <c r="F66" s="2689">
        <f>SUM(F62:F65)</f>
        <v>9936206</v>
      </c>
      <c r="G66" s="2826">
        <f>F66/$AM$8</f>
        <v>0.15650076212999484</v>
      </c>
      <c r="H66" s="2691"/>
      <c r="I66" s="2689" t="e">
        <f>SUM(I62:I65)</f>
        <v>#DIV/0!</v>
      </c>
      <c r="J66" s="2826" t="e">
        <f>I66/$AM$8</f>
        <v>#DIV/0!</v>
      </c>
      <c r="K66" s="2691"/>
      <c r="L66" s="2689" t="e">
        <f>SUM(L62:L65)</f>
        <v>#DIV/0!</v>
      </c>
      <c r="M66" s="2826" t="e">
        <f>L66/$AM$8</f>
        <v>#DIV/0!</v>
      </c>
      <c r="N66" s="2691"/>
      <c r="O66" s="2689" t="e">
        <f>SUM(O62:O65)</f>
        <v>#DIV/0!</v>
      </c>
      <c r="P66" s="2826" t="e">
        <f>O66/$AM$8</f>
        <v>#DIV/0!</v>
      </c>
      <c r="Q66" s="2691"/>
      <c r="R66" s="2689">
        <f>SUM(R62:R65)</f>
        <v>0</v>
      </c>
      <c r="S66" s="2826">
        <f>R66/$AM$8</f>
        <v>0</v>
      </c>
      <c r="T66" s="194"/>
      <c r="U66" s="2689">
        <f>SUM(U62:U65)</f>
        <v>0</v>
      </c>
      <c r="V66" s="2826">
        <f>U66/$AM$8</f>
        <v>0</v>
      </c>
      <c r="W66" s="194"/>
      <c r="X66" s="2689">
        <f>SUM(X62:X65)</f>
        <v>0</v>
      </c>
      <c r="Y66" s="2826">
        <f>X66/$AM$8</f>
        <v>0</v>
      </c>
      <c r="Z66" s="194"/>
      <c r="AA66" s="2689">
        <f>SUM(AA62:AA65)</f>
        <v>0</v>
      </c>
      <c r="AB66" s="2826">
        <f>AA66/$AM$8</f>
        <v>0</v>
      </c>
      <c r="AC66" s="194"/>
      <c r="AD66" s="2689">
        <f>SUM(AD62:AD65)</f>
        <v>0</v>
      </c>
      <c r="AE66" s="2826">
        <f>AD66/$AM$8</f>
        <v>0</v>
      </c>
      <c r="AF66" s="194"/>
      <c r="AG66" s="2689">
        <f>SUM(AG62:AG65)</f>
        <v>0</v>
      </c>
      <c r="AH66" s="2826">
        <f>AG66/$AM$8</f>
        <v>0</v>
      </c>
      <c r="AI66" s="194"/>
      <c r="AJ66" s="2689">
        <f>SUM(AJ62:AJ65)</f>
        <v>0</v>
      </c>
      <c r="AK66" s="2826">
        <f>AJ66/$AM$8</f>
        <v>0</v>
      </c>
      <c r="AL66" s="194"/>
      <c r="AM66" s="2689">
        <f>SUM(AM62:AM65)</f>
        <v>-20712580</v>
      </c>
      <c r="AN66" s="2826">
        <f>AM66/$AM$8</f>
        <v>-0.32623463680991405</v>
      </c>
    </row>
    <row r="67" spans="1:41" ht="13.8" thickBot="1" x14ac:dyDescent="0.3">
      <c r="A67" s="983" t="s">
        <v>835</v>
      </c>
      <c r="B67" s="2420"/>
      <c r="C67" s="2690">
        <f>C39+C40+C41</f>
        <v>2028249</v>
      </c>
      <c r="D67" s="2827"/>
      <c r="E67" s="983"/>
      <c r="F67" s="2690">
        <f>F39+F40+F41</f>
        <v>2005632</v>
      </c>
      <c r="G67" s="2827"/>
      <c r="H67" s="2690"/>
      <c r="I67" s="2690">
        <f>I39+I40+I41</f>
        <v>0</v>
      </c>
      <c r="J67" s="2827"/>
      <c r="K67" s="2690"/>
      <c r="L67" s="2690">
        <f>L39+L40+L41</f>
        <v>0</v>
      </c>
      <c r="M67" s="2827"/>
      <c r="N67" s="2690"/>
      <c r="O67" s="2690">
        <f>O39+O40+O41</f>
        <v>0</v>
      </c>
      <c r="P67" s="2827"/>
      <c r="Q67" s="2690"/>
      <c r="R67" s="2690">
        <f>R39+R40+R41</f>
        <v>0</v>
      </c>
      <c r="S67" s="2827"/>
      <c r="T67" s="983"/>
      <c r="U67" s="2690">
        <f>U39+U40+U41</f>
        <v>0</v>
      </c>
      <c r="V67" s="2827"/>
      <c r="W67" s="983"/>
      <c r="X67" s="2690">
        <f>X39+X40+X41</f>
        <v>0</v>
      </c>
      <c r="Y67" s="2827"/>
      <c r="Z67" s="983"/>
      <c r="AA67" s="2690">
        <f>AA39+AA40+AA41</f>
        <v>0</v>
      </c>
      <c r="AB67" s="2827"/>
      <c r="AC67" s="983"/>
      <c r="AD67" s="2690">
        <f>AD39+AD40+AD41</f>
        <v>0</v>
      </c>
      <c r="AE67" s="2827"/>
      <c r="AF67" s="983"/>
      <c r="AG67" s="2690">
        <f>AG39+AG40+AG41</f>
        <v>0</v>
      </c>
      <c r="AH67" s="2827"/>
      <c r="AI67" s="983"/>
      <c r="AJ67" s="2690">
        <f>AJ39+AJ40+AJ41</f>
        <v>0</v>
      </c>
      <c r="AK67" s="2827"/>
      <c r="AL67" s="983"/>
      <c r="AM67" s="2690">
        <f>AM39+AM40+AM41</f>
        <v>0</v>
      </c>
      <c r="AN67" s="2827"/>
    </row>
    <row r="68" spans="1:41" x14ac:dyDescent="0.25">
      <c r="A68" s="980" t="s">
        <v>838</v>
      </c>
      <c r="C68" s="2691">
        <f>C66-C67</f>
        <v>5043506</v>
      </c>
      <c r="D68" s="2826">
        <f>C68/$AM$8</f>
        <v>7.943802018669921E-2</v>
      </c>
      <c r="F68" s="2691">
        <f>F66-F67</f>
        <v>7930574</v>
      </c>
      <c r="G68" s="2826">
        <f>F68/$AM$8</f>
        <v>0.1249109443914832</v>
      </c>
      <c r="H68" s="2687"/>
      <c r="I68" s="2691" t="e">
        <f>I66-I67</f>
        <v>#DIV/0!</v>
      </c>
      <c r="J68" s="2826" t="e">
        <f>I68/$AM$8</f>
        <v>#DIV/0!</v>
      </c>
      <c r="K68" s="2687"/>
      <c r="L68" s="2735" t="e">
        <f>L66-L67</f>
        <v>#DIV/0!</v>
      </c>
      <c r="M68" s="2826" t="e">
        <f>L68/$AM$8</f>
        <v>#DIV/0!</v>
      </c>
      <c r="N68" s="2687"/>
      <c r="O68" s="2691" t="e">
        <f>O66-O67</f>
        <v>#DIV/0!</v>
      </c>
      <c r="P68" s="2826" t="e">
        <f>O68/$AM$8</f>
        <v>#DIV/0!</v>
      </c>
      <c r="Q68" s="2687"/>
      <c r="R68" s="2691">
        <f>R66-R67</f>
        <v>0</v>
      </c>
      <c r="S68" s="2826">
        <f>R68/$AM$8</f>
        <v>0</v>
      </c>
      <c r="U68" s="2691">
        <f>U66-U67</f>
        <v>0</v>
      </c>
      <c r="V68" s="2826">
        <f>U68/$AM$8</f>
        <v>0</v>
      </c>
      <c r="X68" s="2691">
        <f>X66-X67</f>
        <v>0</v>
      </c>
      <c r="Y68" s="2826">
        <f>X68/$AM$8</f>
        <v>0</v>
      </c>
      <c r="AA68" s="2691">
        <f>AA66-AA67</f>
        <v>0</v>
      </c>
      <c r="AB68" s="2826">
        <f>AA68/$AM$8</f>
        <v>0</v>
      </c>
      <c r="AD68" s="2691">
        <f>AD66-AD67</f>
        <v>0</v>
      </c>
      <c r="AE68" s="2826">
        <f>AD68/$AM$8</f>
        <v>0</v>
      </c>
      <c r="AG68" s="2691">
        <f>AG66-AG67</f>
        <v>0</v>
      </c>
      <c r="AH68" s="2826">
        <f>AG68/$AM$8</f>
        <v>0</v>
      </c>
      <c r="AJ68" s="2691">
        <f>AJ66-AJ67</f>
        <v>0</v>
      </c>
      <c r="AK68" s="2826">
        <f>AJ68/$AM$8</f>
        <v>0</v>
      </c>
      <c r="AM68" s="2691">
        <f>AM66-AM67</f>
        <v>-20712580</v>
      </c>
      <c r="AN68" s="2826">
        <f>AM68/$AM$8</f>
        <v>-0.32623463680991405</v>
      </c>
    </row>
    <row r="69" spans="1:41" x14ac:dyDescent="0.25">
      <c r="A69" s="980" t="s">
        <v>219</v>
      </c>
      <c r="C69" s="2691">
        <f>C68+C42</f>
        <v>5168506</v>
      </c>
      <c r="D69" s="2826">
        <f>C69/$AM$8</f>
        <v>8.1406839599888647E-2</v>
      </c>
      <c r="F69" s="2691">
        <f>F68+F42</f>
        <v>8055574</v>
      </c>
      <c r="G69" s="2826">
        <f>F69/$AM$8</f>
        <v>0.12687976380467264</v>
      </c>
      <c r="H69" s="2687"/>
      <c r="I69" s="2691" t="e">
        <f>I68+I42</f>
        <v>#DIV/0!</v>
      </c>
      <c r="J69" s="2826" t="e">
        <f>I69/$AM$8</f>
        <v>#DIV/0!</v>
      </c>
      <c r="K69" s="2687"/>
      <c r="L69" s="2691" t="e">
        <f>L68+L42</f>
        <v>#DIV/0!</v>
      </c>
      <c r="M69" s="2826" t="e">
        <f>L69/$AM$8</f>
        <v>#DIV/0!</v>
      </c>
      <c r="N69" s="2687"/>
      <c r="O69" s="2691" t="e">
        <f>O68+O42</f>
        <v>#DIV/0!</v>
      </c>
      <c r="P69" s="2826" t="e">
        <f>O69/$AM$8</f>
        <v>#DIV/0!</v>
      </c>
      <c r="Q69" s="2687"/>
      <c r="R69" s="2691">
        <f>R68+R42</f>
        <v>0</v>
      </c>
      <c r="S69" s="2826">
        <f>R69/$AM$8</f>
        <v>0</v>
      </c>
      <c r="U69" s="2691">
        <f>U68+U42</f>
        <v>0</v>
      </c>
      <c r="V69" s="2826">
        <f>U69/$AM$8</f>
        <v>0</v>
      </c>
      <c r="X69" s="2691">
        <f>X68+X42</f>
        <v>0</v>
      </c>
      <c r="Y69" s="2826">
        <f>X69/$AM$8</f>
        <v>0</v>
      </c>
      <c r="AA69" s="2691">
        <f>AA68+AA42</f>
        <v>0</v>
      </c>
      <c r="AB69" s="2826">
        <f>AA69/$AM$8</f>
        <v>0</v>
      </c>
      <c r="AD69" s="2691">
        <f>AD68+AD42</f>
        <v>0</v>
      </c>
      <c r="AE69" s="2826">
        <f>AD69/$AM$8</f>
        <v>0</v>
      </c>
      <c r="AG69" s="2691">
        <f>AG68+AG42</f>
        <v>0</v>
      </c>
      <c r="AH69" s="2826">
        <f>AG69/$AM$8</f>
        <v>0</v>
      </c>
      <c r="AJ69" s="2691">
        <f>AJ68+AJ42</f>
        <v>0</v>
      </c>
      <c r="AK69" s="2826">
        <f>AJ69/$AM$8</f>
        <v>0</v>
      </c>
      <c r="AM69" s="2691">
        <f>AM68+AM42</f>
        <v>-20712580</v>
      </c>
      <c r="AN69" s="2826">
        <f>AM69/$AM$8</f>
        <v>-0.32623463680991405</v>
      </c>
    </row>
    <row r="70" spans="1:41" x14ac:dyDescent="0.25">
      <c r="A70" s="980" t="s">
        <v>932</v>
      </c>
      <c r="C70" s="2691">
        <f>C43</f>
        <v>433304</v>
      </c>
      <c r="D70" s="2828"/>
      <c r="F70" s="3347">
        <f>F43</f>
        <v>321401</v>
      </c>
      <c r="G70" s="2828"/>
      <c r="H70" s="2687"/>
      <c r="I70" s="2691">
        <f>I31+I43</f>
        <v>0</v>
      </c>
      <c r="J70" s="2828"/>
      <c r="K70" s="2687"/>
      <c r="L70" s="2691">
        <f>L31+L43</f>
        <v>0</v>
      </c>
      <c r="M70" s="2828"/>
      <c r="N70" s="2687"/>
      <c r="O70" s="2691">
        <f>O31+O43</f>
        <v>0</v>
      </c>
      <c r="P70" s="2828"/>
      <c r="Q70" s="2687"/>
      <c r="R70" s="2691">
        <f>R31+R43</f>
        <v>0</v>
      </c>
      <c r="S70" s="2828"/>
      <c r="U70" s="2691">
        <f>U31+U43</f>
        <v>0</v>
      </c>
      <c r="V70" s="2828"/>
      <c r="X70" s="2691">
        <f>X31+X43</f>
        <v>0</v>
      </c>
      <c r="Y70" s="2828"/>
      <c r="AA70" s="2691">
        <f>AA31+AA43</f>
        <v>0</v>
      </c>
      <c r="AB70" s="2828"/>
      <c r="AD70" s="2691">
        <f>AD31+AD43</f>
        <v>0</v>
      </c>
      <c r="AE70" s="2828"/>
      <c r="AG70" s="2691">
        <f>AG31+AG43</f>
        <v>0</v>
      </c>
      <c r="AH70" s="2828"/>
      <c r="AJ70" s="2691">
        <f>AJ31+AJ43</f>
        <v>0</v>
      </c>
      <c r="AK70" s="2828"/>
      <c r="AM70" s="2691">
        <f>AM31+AM43</f>
        <v>0</v>
      </c>
      <c r="AN70" s="2828"/>
    </row>
    <row r="71" spans="1:41" ht="13.8" thickBot="1" x14ac:dyDescent="0.3">
      <c r="A71" s="983" t="s">
        <v>47</v>
      </c>
      <c r="B71" s="2420"/>
      <c r="C71" s="2690">
        <f>C42</f>
        <v>125000</v>
      </c>
      <c r="D71" s="2827"/>
      <c r="E71" s="983"/>
      <c r="F71" s="2690">
        <f>F42</f>
        <v>125000</v>
      </c>
      <c r="G71" s="2827"/>
      <c r="H71" s="2690"/>
      <c r="I71" s="2690">
        <f>I42</f>
        <v>0</v>
      </c>
      <c r="J71" s="2827"/>
      <c r="K71" s="2690"/>
      <c r="L71" s="2690">
        <f>L42</f>
        <v>0</v>
      </c>
      <c r="M71" s="2827"/>
      <c r="N71" s="2690"/>
      <c r="O71" s="2690">
        <f>O42</f>
        <v>0</v>
      </c>
      <c r="P71" s="2827"/>
      <c r="Q71" s="2690"/>
      <c r="R71" s="2690">
        <f>R42</f>
        <v>0</v>
      </c>
      <c r="S71" s="2827"/>
      <c r="T71" s="983"/>
      <c r="U71" s="2690">
        <f>U42</f>
        <v>0</v>
      </c>
      <c r="V71" s="2827"/>
      <c r="W71" s="983"/>
      <c r="X71" s="2690">
        <f>X42</f>
        <v>0</v>
      </c>
      <c r="Y71" s="2827"/>
      <c r="Z71" s="983"/>
      <c r="AA71" s="2690">
        <f>AA42</f>
        <v>0</v>
      </c>
      <c r="AB71" s="2827"/>
      <c r="AC71" s="983"/>
      <c r="AD71" s="2690">
        <f>AD42</f>
        <v>0</v>
      </c>
      <c r="AE71" s="2827"/>
      <c r="AF71" s="983"/>
      <c r="AG71" s="2690">
        <f>AG42</f>
        <v>0</v>
      </c>
      <c r="AH71" s="2827"/>
      <c r="AI71" s="983"/>
      <c r="AJ71" s="2690">
        <f>AJ42</f>
        <v>0</v>
      </c>
      <c r="AK71" s="2827"/>
      <c r="AL71" s="983"/>
      <c r="AM71" s="2690">
        <f>AM42</f>
        <v>0</v>
      </c>
      <c r="AN71" s="2827"/>
    </row>
    <row r="72" spans="1:41" x14ac:dyDescent="0.25">
      <c r="A72" s="980" t="s">
        <v>836</v>
      </c>
      <c r="C72" s="2691">
        <f>C69-(C70+C71)</f>
        <v>4610202</v>
      </c>
      <c r="D72" s="2826">
        <f>C72/$AM$8</f>
        <v>7.2613241570598119E-2</v>
      </c>
      <c r="F72" s="2691">
        <f>F69-(F70+F71)</f>
        <v>7609173</v>
      </c>
      <c r="G72" s="2826">
        <f>F72/$AM$8</f>
        <v>0.11984870016573522</v>
      </c>
      <c r="H72" s="2687"/>
      <c r="I72" s="2691" t="e">
        <f>I69-(I70+I71)</f>
        <v>#DIV/0!</v>
      </c>
      <c r="J72" s="2826" t="e">
        <f>I72/$AM$8</f>
        <v>#DIV/0!</v>
      </c>
      <c r="K72" s="2687"/>
      <c r="L72" s="2691" t="e">
        <f>L69-(L70+L71)</f>
        <v>#DIV/0!</v>
      </c>
      <c r="M72" s="2826" t="e">
        <f>L72/$AM$8</f>
        <v>#DIV/0!</v>
      </c>
      <c r="N72" s="2687"/>
      <c r="O72" s="2691" t="e">
        <f>O69-(O70+O71)</f>
        <v>#DIV/0!</v>
      </c>
      <c r="P72" s="2826" t="e">
        <f>O72/$AM$8</f>
        <v>#DIV/0!</v>
      </c>
      <c r="Q72" s="2687"/>
      <c r="R72" s="2735">
        <f>R69-(R70+R71)</f>
        <v>0</v>
      </c>
      <c r="S72" s="2826">
        <f>R72/$AM$8</f>
        <v>0</v>
      </c>
      <c r="U72" s="2735">
        <f>U69-(U70+U71)</f>
        <v>0</v>
      </c>
      <c r="V72" s="2826">
        <f>U72/$AM$8</f>
        <v>0</v>
      </c>
      <c r="X72" s="2735">
        <f>X69-(X70+X71)</f>
        <v>0</v>
      </c>
      <c r="Y72" s="2826">
        <f>X72/$AM$8</f>
        <v>0</v>
      </c>
      <c r="AA72" s="2735">
        <f>AA69-(AA70+AA71)</f>
        <v>0</v>
      </c>
      <c r="AB72" s="2826">
        <f>AA72/$AM$8</f>
        <v>0</v>
      </c>
      <c r="AD72" s="2735">
        <f>AD69-(AD70+AD71)</f>
        <v>0</v>
      </c>
      <c r="AE72" s="2826">
        <f>AD72/$AM$8</f>
        <v>0</v>
      </c>
      <c r="AG72" s="2735">
        <f>AG69-(AG70+AG71)</f>
        <v>0</v>
      </c>
      <c r="AH72" s="2826">
        <f>AG72/$AM$8</f>
        <v>0</v>
      </c>
      <c r="AJ72" s="2735">
        <f>AJ69-(AJ70+AJ71)</f>
        <v>0</v>
      </c>
      <c r="AK72" s="2826">
        <f>AJ72/$AM$8</f>
        <v>0</v>
      </c>
      <c r="AM72" s="2691">
        <f>AM69-(AM70+AM71)</f>
        <v>-20712580</v>
      </c>
      <c r="AN72" s="2826">
        <f>AM72/$AM$8</f>
        <v>-0.32623463680991405</v>
      </c>
    </row>
    <row r="73" spans="1:41" x14ac:dyDescent="0.25">
      <c r="A73" s="980" t="s">
        <v>118</v>
      </c>
      <c r="C73" s="2450">
        <f>'PAL I'!D31</f>
        <v>4610202</v>
      </c>
      <c r="F73" s="2450">
        <f>'PAL I'!G31</f>
        <v>7609174</v>
      </c>
      <c r="G73" s="2687"/>
      <c r="H73" s="2687"/>
      <c r="I73" s="2450">
        <f>'PAL I'!J31</f>
        <v>-79793096</v>
      </c>
      <c r="J73" s="2687"/>
      <c r="K73" s="2687"/>
      <c r="L73" s="2450">
        <f>'PAL I'!M31</f>
        <v>0</v>
      </c>
      <c r="M73" s="2687"/>
      <c r="N73" s="2687"/>
      <c r="O73" s="2450">
        <f>'PAL I'!P31</f>
        <v>0</v>
      </c>
      <c r="P73" s="2687"/>
      <c r="Q73" s="2687"/>
      <c r="R73" s="2450">
        <f>'PAL I'!S31</f>
        <v>0</v>
      </c>
      <c r="U73" s="2450">
        <f>'PAL I'!V31</f>
        <v>0</v>
      </c>
      <c r="X73" s="2450">
        <f>'PAL I'!Y31</f>
        <v>0</v>
      </c>
      <c r="AA73" s="2450">
        <f>'PAL I'!AB31</f>
        <v>0</v>
      </c>
      <c r="AD73" s="2450">
        <f>'PAL I'!AE31</f>
        <v>0</v>
      </c>
      <c r="AG73" s="2450">
        <f>'PAL I'!AH31</f>
        <v>0</v>
      </c>
      <c r="AJ73" s="2450">
        <f>'PAL I'!AK31</f>
        <v>0</v>
      </c>
      <c r="AM73" s="2450">
        <f>'PAL I'!AN31</f>
        <v>12219376</v>
      </c>
    </row>
    <row r="74" spans="1:41" x14ac:dyDescent="0.25">
      <c r="C74" s="2450">
        <f>C72-C73</f>
        <v>0</v>
      </c>
      <c r="F74" s="3346">
        <f>F72-F73</f>
        <v>-1</v>
      </c>
      <c r="I74" s="1145" t="e">
        <f>I72-I73</f>
        <v>#DIV/0!</v>
      </c>
      <c r="L74" s="1145" t="e">
        <f>L72-L73</f>
        <v>#DIV/0!</v>
      </c>
      <c r="O74" s="1145" t="e">
        <f>O72-O73</f>
        <v>#DIV/0!</v>
      </c>
      <c r="R74" s="1145">
        <f>R72-R73</f>
        <v>0</v>
      </c>
      <c r="U74" s="2450">
        <f>U72-U73</f>
        <v>0</v>
      </c>
      <c r="AM74" s="2450">
        <f>AM72-AM73</f>
        <v>-32931956</v>
      </c>
    </row>
  </sheetData>
  <mergeCells count="27">
    <mergeCell ref="AL2:AN2"/>
    <mergeCell ref="W2:Y2"/>
    <mergeCell ref="Z2:AB2"/>
    <mergeCell ref="AC2:AE2"/>
    <mergeCell ref="AF2:AH2"/>
    <mergeCell ref="AI2:AK2"/>
    <mergeCell ref="H2:J2"/>
    <mergeCell ref="K2:M2"/>
    <mergeCell ref="N2:P2"/>
    <mergeCell ref="Q2:S2"/>
    <mergeCell ref="T2:V2"/>
    <mergeCell ref="A1:AN1"/>
    <mergeCell ref="Q11:S11"/>
    <mergeCell ref="T11:V11"/>
    <mergeCell ref="W11:Y11"/>
    <mergeCell ref="Z11:AB11"/>
    <mergeCell ref="AC11:AE11"/>
    <mergeCell ref="B11:D11"/>
    <mergeCell ref="E11:G11"/>
    <mergeCell ref="H11:J11"/>
    <mergeCell ref="K11:M11"/>
    <mergeCell ref="N11:P11"/>
    <mergeCell ref="AF11:AH11"/>
    <mergeCell ref="AI11:AK11"/>
    <mergeCell ref="AL11:AN11"/>
    <mergeCell ref="B2:D2"/>
    <mergeCell ref="E2:G2"/>
  </mergeCells>
  <phoneticPr fontId="22" type="noConversion"/>
  <pageMargins left="0.7" right="0.7" top="0.75" bottom="0.75" header="0.3" footer="0.3"/>
  <pageSetup paperSize="9" scale="17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W56"/>
  <sheetViews>
    <sheetView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M32" sqref="M32"/>
    </sheetView>
  </sheetViews>
  <sheetFormatPr defaultRowHeight="13.2" x14ac:dyDescent="0.25"/>
  <cols>
    <col min="1" max="1" width="34.109375" customWidth="1"/>
    <col min="2" max="2" width="14.5546875" customWidth="1"/>
    <col min="3" max="9" width="14.109375" customWidth="1"/>
    <col min="10" max="12" width="14.5546875" customWidth="1"/>
    <col min="13" max="13" width="14.5546875" bestFit="1" customWidth="1"/>
    <col min="14" max="14" width="8.88671875" customWidth="1"/>
    <col min="15" max="15" width="14.5546875" bestFit="1" customWidth="1"/>
    <col min="16" max="16" width="18" bestFit="1" customWidth="1"/>
    <col min="17" max="17" width="14" bestFit="1" customWidth="1"/>
    <col min="21" max="21" width="13.88671875" bestFit="1" customWidth="1"/>
    <col min="22" max="22" width="34.109375" bestFit="1" customWidth="1"/>
    <col min="23" max="23" width="15.5546875" bestFit="1" customWidth="1"/>
  </cols>
  <sheetData>
    <row r="1" spans="1:23" ht="16.2" thickBot="1" x14ac:dyDescent="0.3">
      <c r="B1" s="2397"/>
      <c r="C1" s="175"/>
      <c r="D1" s="175"/>
    </row>
    <row r="2" spans="1:23" ht="16.2" thickBot="1" x14ac:dyDescent="0.3">
      <c r="A2" s="2462" t="s">
        <v>755</v>
      </c>
      <c r="B2" s="2463" t="s">
        <v>16</v>
      </c>
      <c r="C2" s="2464" t="s">
        <v>4</v>
      </c>
      <c r="D2" s="2465" t="s">
        <v>17</v>
      </c>
      <c r="E2" s="2463" t="s">
        <v>18</v>
      </c>
      <c r="F2" s="2466" t="s">
        <v>19</v>
      </c>
      <c r="G2" s="2467" t="s">
        <v>20</v>
      </c>
      <c r="H2" s="2467" t="s">
        <v>13</v>
      </c>
      <c r="I2" s="2467" t="s">
        <v>5</v>
      </c>
      <c r="J2" s="2468" t="s">
        <v>6</v>
      </c>
      <c r="K2" s="2467" t="s">
        <v>7</v>
      </c>
      <c r="L2" s="2467" t="s">
        <v>8</v>
      </c>
      <c r="M2" s="2467" t="s">
        <v>9</v>
      </c>
      <c r="O2" s="3257" t="s">
        <v>756</v>
      </c>
      <c r="V2" s="2877" t="s">
        <v>755</v>
      </c>
      <c r="W2" s="2876" t="s">
        <v>1024</v>
      </c>
    </row>
    <row r="3" spans="1:23" ht="16.2" thickBot="1" x14ac:dyDescent="0.3">
      <c r="A3" s="2469" t="s">
        <v>757</v>
      </c>
      <c r="B3" s="2470" t="s">
        <v>734</v>
      </c>
      <c r="C3" s="2470" t="s">
        <v>734</v>
      </c>
      <c r="D3" s="2471"/>
      <c r="E3" s="2472"/>
      <c r="F3" s="2473"/>
      <c r="G3" s="2474"/>
      <c r="H3" s="2475"/>
      <c r="I3" s="2476"/>
      <c r="J3" s="175"/>
      <c r="K3" s="2474"/>
      <c r="L3" s="2474"/>
      <c r="M3" s="2474"/>
      <c r="O3" s="3258"/>
      <c r="V3" s="2860" t="s">
        <v>757</v>
      </c>
      <c r="W3" s="1136"/>
    </row>
    <row r="4" spans="1:23" x14ac:dyDescent="0.25">
      <c r="A4" s="2446" t="s">
        <v>758</v>
      </c>
      <c r="B4" s="2555">
        <f>B5+B7+B8</f>
        <v>25777834.009999998</v>
      </c>
      <c r="C4" s="2555">
        <f t="shared" ref="C4:F4" si="0">C5+C7+C8</f>
        <v>25777834.009999998</v>
      </c>
      <c r="D4" s="2556">
        <f t="shared" si="0"/>
        <v>25777834.009999998</v>
      </c>
      <c r="E4" s="2555">
        <f t="shared" si="0"/>
        <v>25777834.009999998</v>
      </c>
      <c r="F4" s="2555">
        <f t="shared" si="0"/>
        <v>25777834.009999998</v>
      </c>
      <c r="G4" s="2693">
        <f>G5+G7+G8</f>
        <v>25777834.009999998</v>
      </c>
      <c r="H4" s="2693">
        <f>H5+H7+H8</f>
        <v>25777834.009999998</v>
      </c>
      <c r="I4" s="2693">
        <f t="shared" ref="I4:L4" si="1">I5+I7+I8</f>
        <v>25777834.009999998</v>
      </c>
      <c r="J4" s="2837">
        <f t="shared" si="1"/>
        <v>25777834.009999998</v>
      </c>
      <c r="K4" s="2693">
        <f t="shared" si="1"/>
        <v>25777834.009999998</v>
      </c>
      <c r="L4" s="2693">
        <f t="shared" si="1"/>
        <v>25777834.009999998</v>
      </c>
      <c r="M4" s="2694">
        <f>M5+M7+M8</f>
        <v>25777834.009999998</v>
      </c>
      <c r="O4" s="2693">
        <f>SUM(O5:O8)</f>
        <v>25777834.009999998</v>
      </c>
      <c r="Q4" s="2477">
        <f>ROUND((O4+Q13),0)</f>
        <v>80777834</v>
      </c>
      <c r="R4" s="8">
        <f>Q4/Q11</f>
        <v>0.73125574554481521</v>
      </c>
      <c r="S4" s="1704" t="e">
        <v>#REF!</v>
      </c>
      <c r="V4" s="2859" t="s">
        <v>758</v>
      </c>
      <c r="W4" s="2865">
        <v>25777834.009999998</v>
      </c>
    </row>
    <row r="5" spans="1:23" x14ac:dyDescent="0.25">
      <c r="A5" s="2448" t="s">
        <v>759</v>
      </c>
      <c r="B5" s="2478">
        <v>55000000</v>
      </c>
      <c r="C5" s="2479">
        <f>B5</f>
        <v>55000000</v>
      </c>
      <c r="D5" s="2480">
        <f>C5</f>
        <v>55000000</v>
      </c>
      <c r="E5" s="2481">
        <f>D5</f>
        <v>55000000</v>
      </c>
      <c r="F5" s="2482">
        <f>E5</f>
        <v>55000000</v>
      </c>
      <c r="G5" s="2483">
        <v>55000000</v>
      </c>
      <c r="H5" s="2482">
        <v>55000000</v>
      </c>
      <c r="I5" s="2483">
        <v>55000000</v>
      </c>
      <c r="J5" s="2482">
        <v>55000000</v>
      </c>
      <c r="K5" s="2483">
        <v>55000000</v>
      </c>
      <c r="L5" s="2483">
        <v>55000000</v>
      </c>
      <c r="M5" s="2483">
        <v>55000000</v>
      </c>
      <c r="O5" s="2483">
        <v>55000000</v>
      </c>
      <c r="Q5" s="2477">
        <f>ROUND((O4+O13),0)</f>
        <v>55633124</v>
      </c>
      <c r="R5" s="8">
        <f>Q5/Q11</f>
        <v>0.50362877478996471</v>
      </c>
      <c r="S5" s="1704"/>
      <c r="T5" s="943" t="e">
        <v>#REF!</v>
      </c>
      <c r="U5" s="1145"/>
      <c r="V5" s="2851" t="s">
        <v>759</v>
      </c>
      <c r="W5" s="2598">
        <v>55000000</v>
      </c>
    </row>
    <row r="6" spans="1:23" x14ac:dyDescent="0.25">
      <c r="A6" s="2448" t="s">
        <v>760</v>
      </c>
      <c r="B6" s="2484"/>
      <c r="C6" s="2479"/>
      <c r="D6" s="2480"/>
      <c r="E6" s="2481"/>
      <c r="F6" s="2482"/>
      <c r="G6" s="2483"/>
      <c r="H6" s="2482"/>
      <c r="I6" s="2483"/>
      <c r="J6" s="2482"/>
      <c r="K6" s="2483"/>
      <c r="L6" s="2483"/>
      <c r="M6" s="2483"/>
      <c r="O6" s="2483"/>
      <c r="R6" s="8"/>
      <c r="S6" s="1704"/>
      <c r="V6" s="2851" t="s">
        <v>760</v>
      </c>
      <c r="W6" s="2598"/>
    </row>
    <row r="7" spans="1:23" x14ac:dyDescent="0.25">
      <c r="A7" s="2448" t="s">
        <v>761</v>
      </c>
      <c r="B7" s="2478">
        <v>20065000</v>
      </c>
      <c r="C7" s="2479">
        <f>B7</f>
        <v>20065000</v>
      </c>
      <c r="D7" s="2485">
        <f>C7</f>
        <v>20065000</v>
      </c>
      <c r="E7" s="2479">
        <f>D7</f>
        <v>20065000</v>
      </c>
      <c r="F7" s="2486">
        <f>E7</f>
        <v>20065000</v>
      </c>
      <c r="G7" s="2487">
        <v>20065000</v>
      </c>
      <c r="H7" s="2486">
        <v>20065000</v>
      </c>
      <c r="I7" s="2487">
        <f>H7</f>
        <v>20065000</v>
      </c>
      <c r="J7" s="2486">
        <v>20065000</v>
      </c>
      <c r="K7" s="2487">
        <v>20065000</v>
      </c>
      <c r="L7" s="2487">
        <v>20065000</v>
      </c>
      <c r="M7" s="2483">
        <v>20065000</v>
      </c>
      <c r="O7" s="2487">
        <v>20065000</v>
      </c>
      <c r="R7" s="8"/>
      <c r="S7" s="1704"/>
      <c r="V7" s="2851" t="s">
        <v>761</v>
      </c>
      <c r="W7" s="2598">
        <v>20065000</v>
      </c>
    </row>
    <row r="8" spans="1:23" ht="13.8" thickBot="1" x14ac:dyDescent="0.3">
      <c r="A8" s="2488" t="s">
        <v>762</v>
      </c>
      <c r="B8" s="2489">
        <v>-49287165.990000002</v>
      </c>
      <c r="C8" s="2489">
        <f>B8</f>
        <v>-49287165.990000002</v>
      </c>
      <c r="D8" s="2490">
        <f t="shared" ref="D8:E8" si="2">C8</f>
        <v>-49287165.990000002</v>
      </c>
      <c r="E8" s="2489">
        <f t="shared" si="2"/>
        <v>-49287165.990000002</v>
      </c>
      <c r="F8" s="2491">
        <f>E8</f>
        <v>-49287165.990000002</v>
      </c>
      <c r="G8" s="2492">
        <v>-49287165.990000002</v>
      </c>
      <c r="H8" s="2491">
        <v>-49287165.990000002</v>
      </c>
      <c r="I8" s="2492">
        <f>H8</f>
        <v>-49287165.990000002</v>
      </c>
      <c r="J8" s="2491">
        <v>-49287165.990000002</v>
      </c>
      <c r="K8" s="2492">
        <f>-49287165.99</f>
        <v>-49287165.990000002</v>
      </c>
      <c r="L8" s="2492">
        <f>-49287165.99</f>
        <v>-49287165.990000002</v>
      </c>
      <c r="M8" s="2493">
        <v>-49287165.990000002</v>
      </c>
      <c r="O8" s="2492">
        <f>-49287165.99</f>
        <v>-49287165.990000002</v>
      </c>
      <c r="R8" s="8"/>
      <c r="S8" s="1704"/>
      <c r="V8" s="2857" t="s">
        <v>762</v>
      </c>
      <c r="W8" s="2861">
        <v>-49287165.990000002</v>
      </c>
    </row>
    <row r="9" spans="1:23" ht="13.8" thickBot="1" x14ac:dyDescent="0.3">
      <c r="A9" s="2494"/>
      <c r="B9" s="2495"/>
      <c r="C9" s="2496"/>
      <c r="E9" s="2495"/>
      <c r="F9" s="2497"/>
      <c r="G9" s="2498"/>
      <c r="H9" s="2498"/>
      <c r="I9" s="2498"/>
      <c r="J9" s="2499"/>
      <c r="K9" s="2500"/>
      <c r="L9" s="2498"/>
      <c r="M9" s="2498"/>
      <c r="O9" s="2498"/>
      <c r="R9" s="8"/>
      <c r="S9" s="1704"/>
      <c r="V9" s="2862"/>
      <c r="W9" s="2863"/>
    </row>
    <row r="10" spans="1:23" ht="14.4" x14ac:dyDescent="0.3">
      <c r="A10" s="2446" t="s">
        <v>743</v>
      </c>
      <c r="B10" s="2553">
        <f t="shared" ref="B10:G10" si="3">SUM(B11:B16)</f>
        <v>114012857.28999999</v>
      </c>
      <c r="C10" s="2553">
        <f t="shared" si="3"/>
        <v>103450988.43000001</v>
      </c>
      <c r="D10" s="2554">
        <f t="shared" si="3"/>
        <v>116116304.44</v>
      </c>
      <c r="E10" s="2553">
        <f t="shared" si="3"/>
        <v>98890117.539999992</v>
      </c>
      <c r="F10" s="2501">
        <f>SUM(F11:F16)</f>
        <v>108053907.03</v>
      </c>
      <c r="G10" s="2694">
        <f t="shared" si="3"/>
        <v>104915257.59999999</v>
      </c>
      <c r="H10" s="2694">
        <f t="shared" ref="H10:M10" si="4">SUM(H11:H16)</f>
        <v>118861921.45</v>
      </c>
      <c r="I10" s="2694">
        <f t="shared" si="4"/>
        <v>115863925.8</v>
      </c>
      <c r="J10" s="2694">
        <f t="shared" si="4"/>
        <v>112755933.17</v>
      </c>
      <c r="K10" s="2694">
        <f t="shared" si="4"/>
        <v>116802021</v>
      </c>
      <c r="L10" s="2694">
        <f t="shared" si="4"/>
        <v>106354491.90000001</v>
      </c>
      <c r="M10" s="2694">
        <f t="shared" si="4"/>
        <v>84686712.080000013</v>
      </c>
      <c r="O10" s="2694">
        <f>SUM(O11:O16)</f>
        <v>84686712.080000013</v>
      </c>
      <c r="Q10" s="2502">
        <f>O10-Q13</f>
        <v>29686712.080000013</v>
      </c>
      <c r="R10" s="8">
        <f>(Q10/Q11)</f>
        <v>0.26874425445518485</v>
      </c>
      <c r="S10" s="1704">
        <f>R10*(1-0.25)</f>
        <v>0.20155819084138865</v>
      </c>
      <c r="V10" s="2859" t="s">
        <v>743</v>
      </c>
      <c r="W10" s="2872">
        <f>SUM(W11:W16)</f>
        <v>106473491.90000001</v>
      </c>
    </row>
    <row r="11" spans="1:23" ht="14.4" x14ac:dyDescent="0.3">
      <c r="A11" s="2448" t="s">
        <v>763</v>
      </c>
      <c r="B11" s="2481">
        <v>60503147.659999996</v>
      </c>
      <c r="C11" s="2479">
        <v>60461564.43</v>
      </c>
      <c r="D11" s="2480">
        <v>65094864.439999998</v>
      </c>
      <c r="E11" s="2481">
        <v>50029914.719999999</v>
      </c>
      <c r="F11" s="2503">
        <v>54832936.210000001</v>
      </c>
      <c r="G11" s="2483">
        <v>57630233.600000001</v>
      </c>
      <c r="H11" s="2483">
        <v>64734803.200000003</v>
      </c>
      <c r="I11" s="2483">
        <v>61695501.880000003</v>
      </c>
      <c r="J11" s="2483">
        <v>58902875.25</v>
      </c>
      <c r="K11" s="2483">
        <v>63040316.469999999</v>
      </c>
      <c r="L11" s="2483">
        <v>53031978.740000002</v>
      </c>
      <c r="M11" s="2483">
        <v>40177663.270000003</v>
      </c>
      <c r="O11" s="2483">
        <v>40177663.270000003</v>
      </c>
      <c r="Q11" s="2477">
        <f>Q4+Q10</f>
        <v>110464546.08000001</v>
      </c>
      <c r="R11" s="8">
        <f>Q10/Q11</f>
        <v>0.26874425445518485</v>
      </c>
      <c r="S11" s="1704">
        <f>R11*(1-0.25)</f>
        <v>0.20155819084138865</v>
      </c>
      <c r="U11" s="2504">
        <f>ROUND((Q4*S11),0)</f>
        <v>16281434</v>
      </c>
      <c r="V11" s="2851" t="s">
        <v>763</v>
      </c>
      <c r="W11" s="2598">
        <v>53031978.740000002</v>
      </c>
    </row>
    <row r="12" spans="1:23" x14ac:dyDescent="0.25">
      <c r="A12" s="2448" t="s">
        <v>764</v>
      </c>
      <c r="B12" s="2481"/>
      <c r="C12" s="2479"/>
      <c r="D12" s="2480"/>
      <c r="E12" s="2481"/>
      <c r="F12" s="2503"/>
      <c r="G12" s="2483"/>
      <c r="H12" s="2483"/>
      <c r="I12" s="2483"/>
      <c r="J12" s="2483"/>
      <c r="K12" s="2483"/>
      <c r="L12" s="2483"/>
      <c r="M12" s="2483"/>
      <c r="O12" s="2483"/>
      <c r="R12" s="8"/>
      <c r="V12" s="2851" t="s">
        <v>764</v>
      </c>
      <c r="W12" s="2598"/>
    </row>
    <row r="13" spans="1:23" x14ac:dyDescent="0.25">
      <c r="A13" s="2448" t="s">
        <v>744</v>
      </c>
      <c r="B13" s="2481">
        <f>88540090-B5</f>
        <v>33540090</v>
      </c>
      <c r="C13" s="2479">
        <f>88540090-C5</f>
        <v>33540090</v>
      </c>
      <c r="D13" s="2480">
        <f>88857390-D5</f>
        <v>33857390</v>
      </c>
      <c r="E13" s="2481">
        <f>88540090-E5</f>
        <v>33540090</v>
      </c>
      <c r="F13" s="2503">
        <f>88540090-F5</f>
        <v>33540090</v>
      </c>
      <c r="G13" s="2483">
        <v>33555590</v>
      </c>
      <c r="H13" s="2713">
        <v>32936746</v>
      </c>
      <c r="I13" s="2483">
        <f>32936392+119000</f>
        <v>33055392</v>
      </c>
      <c r="J13" s="2483">
        <v>32650259</v>
      </c>
      <c r="K13" s="2483">
        <f>87449036-K5+119000</f>
        <v>32568036</v>
      </c>
      <c r="L13" s="2483">
        <f>86729290-(L5)+119000</f>
        <v>31848290</v>
      </c>
      <c r="M13" s="2483">
        <f>84855290-M5</f>
        <v>29855290</v>
      </c>
      <c r="O13" s="2483">
        <f>84855290-O5</f>
        <v>29855290</v>
      </c>
      <c r="Q13" s="2499">
        <v>55000000</v>
      </c>
      <c r="V13" s="2851" t="s">
        <v>744</v>
      </c>
      <c r="W13" s="2598">
        <v>31967290</v>
      </c>
    </row>
    <row r="14" spans="1:23" x14ac:dyDescent="0.25">
      <c r="A14" s="2448" t="s">
        <v>765</v>
      </c>
      <c r="B14" s="2481"/>
      <c r="C14" s="2479"/>
      <c r="D14" s="2480"/>
      <c r="E14" s="2481"/>
      <c r="F14" s="2503"/>
      <c r="G14" s="2483"/>
      <c r="H14" s="2483"/>
      <c r="I14" s="2483"/>
      <c r="J14" s="2483"/>
      <c r="K14" s="2483"/>
      <c r="L14" s="2483"/>
      <c r="M14" s="2483"/>
      <c r="O14" s="2483"/>
      <c r="V14" s="2851" t="s">
        <v>765</v>
      </c>
      <c r="W14" s="2598"/>
    </row>
    <row r="15" spans="1:23" x14ac:dyDescent="0.25">
      <c r="A15" s="2448" t="s">
        <v>745</v>
      </c>
      <c r="B15" s="2481">
        <v>19969619.629999999</v>
      </c>
      <c r="C15" s="2479">
        <v>9449334</v>
      </c>
      <c r="D15" s="2480">
        <v>15304050</v>
      </c>
      <c r="E15" s="2481">
        <v>13508329.82</v>
      </c>
      <c r="F15" s="2505">
        <v>17914292.82</v>
      </c>
      <c r="G15" s="2526">
        <v>12008395</v>
      </c>
      <c r="H15" s="2483">
        <v>19515239.25</v>
      </c>
      <c r="I15" s="2483">
        <v>19484163.920000002</v>
      </c>
      <c r="J15" s="2483">
        <v>19620558.920000002</v>
      </c>
      <c r="K15" s="2483">
        <v>19658421.530000001</v>
      </c>
      <c r="L15" s="2483">
        <v>19986337.16</v>
      </c>
      <c r="M15" s="2483">
        <v>13213604.810000001</v>
      </c>
      <c r="O15" s="2483">
        <v>13213604.810000001</v>
      </c>
      <c r="V15" s="2851" t="s">
        <v>745</v>
      </c>
      <c r="W15" s="2598">
        <v>19986337.16</v>
      </c>
    </row>
    <row r="16" spans="1:23" ht="13.8" thickBot="1" x14ac:dyDescent="0.3">
      <c r="A16" s="2488" t="s">
        <v>766</v>
      </c>
      <c r="B16" s="2506"/>
      <c r="C16" s="2507"/>
      <c r="D16" s="2508">
        <v>1860000</v>
      </c>
      <c r="E16" s="2506">
        <v>1811783</v>
      </c>
      <c r="F16" s="2509">
        <v>1766588</v>
      </c>
      <c r="G16" s="2492">
        <v>1721039</v>
      </c>
      <c r="H16" s="2493">
        <v>1675133</v>
      </c>
      <c r="I16" s="2493">
        <v>1628868</v>
      </c>
      <c r="J16" s="2493">
        <v>1582240</v>
      </c>
      <c r="K16" s="2493">
        <v>1535247</v>
      </c>
      <c r="L16" s="2493">
        <v>1487886</v>
      </c>
      <c r="M16" s="2493">
        <v>1440154</v>
      </c>
      <c r="O16" s="2510">
        <v>1440154</v>
      </c>
      <c r="V16" s="2864" t="s">
        <v>766</v>
      </c>
      <c r="W16" s="2867">
        <v>1487886</v>
      </c>
    </row>
    <row r="17" spans="1:23" ht="13.8" thickBot="1" x14ac:dyDescent="0.3">
      <c r="A17" s="2494"/>
      <c r="B17" s="2495"/>
      <c r="C17" s="2496"/>
      <c r="D17" s="2511"/>
      <c r="E17" s="2495"/>
      <c r="F17" s="2497"/>
      <c r="G17" s="2498"/>
      <c r="H17" s="2498"/>
      <c r="I17" s="2498"/>
      <c r="J17" s="2498"/>
      <c r="K17" s="2498"/>
      <c r="L17" s="2498"/>
      <c r="M17" s="2498"/>
      <c r="O17" s="2512"/>
      <c r="V17" s="2866"/>
      <c r="W17" s="1079"/>
    </row>
    <row r="18" spans="1:23" x14ac:dyDescent="0.25">
      <c r="A18" s="2446" t="s">
        <v>736</v>
      </c>
      <c r="B18" s="2553">
        <f>SUM(B20:B25)</f>
        <v>19814209.079999998</v>
      </c>
      <c r="C18" s="2553">
        <f t="shared" ref="C18:D18" si="5">SUM(C20:C25)</f>
        <v>23658400.449999999</v>
      </c>
      <c r="D18" s="2554">
        <f t="shared" si="5"/>
        <v>19059023.579999998</v>
      </c>
      <c r="E18" s="2553">
        <f t="shared" ref="E18:J18" si="6">SUM(E20:E24)</f>
        <v>21608913.41</v>
      </c>
      <c r="F18" s="2501">
        <f t="shared" si="6"/>
        <v>17039367.43</v>
      </c>
      <c r="G18" s="2694">
        <f t="shared" si="6"/>
        <v>16259171.01</v>
      </c>
      <c r="H18" s="2694">
        <f t="shared" si="6"/>
        <v>13558516.58</v>
      </c>
      <c r="I18" s="2694">
        <f t="shared" si="6"/>
        <v>14544279.449999999</v>
      </c>
      <c r="J18" s="2694">
        <f t="shared" si="6"/>
        <v>21202877.359999999</v>
      </c>
      <c r="K18" s="2694">
        <f>SUM(K20:K24)</f>
        <v>19678676.089999996</v>
      </c>
      <c r="L18" s="2694">
        <f>SUM(L20:L24)</f>
        <v>8843329.6799999997</v>
      </c>
      <c r="M18" s="2694">
        <f>SUM(M20:M25)</f>
        <v>4847342.09</v>
      </c>
      <c r="O18" s="2694">
        <f>SUM(O20:O25)</f>
        <v>4847342.09</v>
      </c>
      <c r="V18" s="2850" t="s">
        <v>736</v>
      </c>
      <c r="W18" s="2873">
        <f>SUM(W19:W25)</f>
        <v>8843329.6799999997</v>
      </c>
    </row>
    <row r="19" spans="1:23" x14ac:dyDescent="0.25">
      <c r="A19" s="2448" t="s">
        <v>767</v>
      </c>
      <c r="B19" s="2481"/>
      <c r="C19" s="2479"/>
      <c r="D19" s="2480"/>
      <c r="E19" s="2481"/>
      <c r="F19" s="2503"/>
      <c r="G19" s="2483"/>
      <c r="H19" s="2483"/>
      <c r="I19" s="2483"/>
      <c r="J19" s="2483"/>
      <c r="K19" s="2483"/>
      <c r="L19" s="2483"/>
      <c r="M19" s="2483"/>
      <c r="O19" s="2483"/>
      <c r="V19" s="2851" t="s">
        <v>767</v>
      </c>
      <c r="W19" s="2598"/>
    </row>
    <row r="20" spans="1:23" x14ac:dyDescent="0.25">
      <c r="A20" s="2448" t="s">
        <v>747</v>
      </c>
      <c r="B20" s="2481">
        <v>409023</v>
      </c>
      <c r="C20" s="2479">
        <v>394443</v>
      </c>
      <c r="D20" s="2480">
        <v>402882</v>
      </c>
      <c r="E20" s="2481">
        <v>417463</v>
      </c>
      <c r="F20" s="2503">
        <v>432432</v>
      </c>
      <c r="G20" s="2483">
        <v>432177</v>
      </c>
      <c r="H20" s="2483">
        <v>459703</v>
      </c>
      <c r="I20" s="2483">
        <v>403580</v>
      </c>
      <c r="J20" s="2483">
        <v>417602</v>
      </c>
      <c r="K20" s="2483">
        <v>416537</v>
      </c>
      <c r="L20" s="2483">
        <v>414940</v>
      </c>
      <c r="M20" s="2483">
        <v>404431</v>
      </c>
      <c r="O20" s="2483">
        <v>404431</v>
      </c>
      <c r="V20" s="2851" t="s">
        <v>747</v>
      </c>
      <c r="W20" s="2598">
        <v>414940</v>
      </c>
    </row>
    <row r="21" spans="1:23" x14ac:dyDescent="0.25">
      <c r="A21" s="2448" t="s">
        <v>737</v>
      </c>
      <c r="B21" s="2481">
        <v>-443015.17</v>
      </c>
      <c r="C21" s="2479">
        <v>-346027.97</v>
      </c>
      <c r="D21" s="2480">
        <v>-1494766.94</v>
      </c>
      <c r="E21" s="2481">
        <v>-2476082.8199999998</v>
      </c>
      <c r="F21" s="2503">
        <v>-4414453.63</v>
      </c>
      <c r="G21" s="2483">
        <v>-4636550.83</v>
      </c>
      <c r="H21" s="2483">
        <v>-6242746.6100000003</v>
      </c>
      <c r="I21" s="2483">
        <v>-7717523.0700000003</v>
      </c>
      <c r="J21" s="2483">
        <v>-8850462.4100000001</v>
      </c>
      <c r="K21" s="2483">
        <v>-10856541.880000001</v>
      </c>
      <c r="L21" s="2483">
        <v>-11647101.16</v>
      </c>
      <c r="M21" s="2483">
        <v>-12158955.58</v>
      </c>
      <c r="O21" s="2483">
        <v>-12158955.58</v>
      </c>
      <c r="V21" s="2851" t="s">
        <v>737</v>
      </c>
      <c r="W21" s="2598">
        <v>-11647101.16</v>
      </c>
    </row>
    <row r="22" spans="1:23" x14ac:dyDescent="0.25">
      <c r="A22" s="2448" t="s">
        <v>748</v>
      </c>
      <c r="B22" s="2481">
        <v>11096297</v>
      </c>
      <c r="C22" s="2479">
        <v>11298049</v>
      </c>
      <c r="D22" s="2480">
        <v>11627429</v>
      </c>
      <c r="E22" s="2481">
        <v>11933744</v>
      </c>
      <c r="F22" s="2503">
        <v>11744219</v>
      </c>
      <c r="G22" s="2483">
        <v>10738532</v>
      </c>
      <c r="H22" s="2483">
        <v>10504882</v>
      </c>
      <c r="I22" s="2483">
        <v>10652555</v>
      </c>
      <c r="J22" s="2483">
        <v>11092061</v>
      </c>
      <c r="K22" s="2483">
        <v>11148037</v>
      </c>
      <c r="L22" s="2483">
        <v>11199367</v>
      </c>
      <c r="M22" s="2483">
        <v>9897181</v>
      </c>
      <c r="O22" s="2483">
        <v>9897181</v>
      </c>
      <c r="V22" s="2851" t="s">
        <v>748</v>
      </c>
      <c r="W22" s="2598">
        <v>11199367</v>
      </c>
    </row>
    <row r="23" spans="1:23" x14ac:dyDescent="0.25">
      <c r="A23" s="2448" t="s">
        <v>629</v>
      </c>
      <c r="B23" s="2481">
        <v>7039934.25</v>
      </c>
      <c r="C23" s="2479">
        <v>10449966.42</v>
      </c>
      <c r="D23" s="2480">
        <v>6798479.5199999996</v>
      </c>
      <c r="E23" s="2481">
        <v>10008789.23</v>
      </c>
      <c r="F23" s="2503">
        <v>7552170.0599999996</v>
      </c>
      <c r="G23" s="2483">
        <v>8000012.8399999999</v>
      </c>
      <c r="H23" s="2483">
        <v>7111678.1900000004</v>
      </c>
      <c r="I23" s="2483">
        <v>9480667.5199999996</v>
      </c>
      <c r="J23" s="2483">
        <v>16818676.77</v>
      </c>
      <c r="K23" s="2483">
        <v>17245643.969999999</v>
      </c>
      <c r="L23" s="2483">
        <v>7001123.8399999999</v>
      </c>
      <c r="M23" s="2483">
        <v>4728385.67</v>
      </c>
      <c r="O23" s="2483">
        <v>4728385.67</v>
      </c>
      <c r="V23" s="2851" t="s">
        <v>629</v>
      </c>
      <c r="W23" s="2598">
        <v>7001123.8399999999</v>
      </c>
    </row>
    <row r="24" spans="1:23" x14ac:dyDescent="0.25">
      <c r="A24" s="2448" t="s">
        <v>738</v>
      </c>
      <c r="B24" s="2481">
        <v>1711970</v>
      </c>
      <c r="C24" s="2479">
        <v>1861970</v>
      </c>
      <c r="D24" s="2480">
        <v>1725000</v>
      </c>
      <c r="E24" s="2481">
        <v>1725000</v>
      </c>
      <c r="F24" s="2503">
        <v>1725000</v>
      </c>
      <c r="G24" s="2483">
        <v>1725000</v>
      </c>
      <c r="H24" s="2483">
        <v>1725000</v>
      </c>
      <c r="I24" s="2483">
        <v>1725000</v>
      </c>
      <c r="J24" s="2483">
        <v>1725000</v>
      </c>
      <c r="K24" s="2483">
        <v>1725000</v>
      </c>
      <c r="L24" s="2483">
        <v>1875000</v>
      </c>
      <c r="M24" s="2483">
        <v>1976300</v>
      </c>
      <c r="O24" s="2483">
        <v>1976300</v>
      </c>
      <c r="V24" s="2851" t="s">
        <v>738</v>
      </c>
      <c r="W24" s="2598">
        <v>1875000</v>
      </c>
    </row>
    <row r="25" spans="1:23" ht="13.8" thickBot="1" x14ac:dyDescent="0.3">
      <c r="A25" s="2488" t="s">
        <v>768</v>
      </c>
      <c r="B25" s="2506"/>
      <c r="C25" s="2507"/>
      <c r="D25" s="2508"/>
      <c r="E25" s="2506"/>
      <c r="F25" s="2509"/>
      <c r="G25" s="2493"/>
      <c r="H25" s="2493"/>
      <c r="I25" s="2493"/>
      <c r="J25" s="2493"/>
      <c r="K25" s="2493"/>
      <c r="L25" s="2493"/>
      <c r="M25" s="2493"/>
      <c r="O25" s="2493"/>
      <c r="V25" s="2852" t="s">
        <v>768</v>
      </c>
      <c r="W25" s="2618"/>
    </row>
    <row r="26" spans="1:23" ht="13.8" thickBot="1" x14ac:dyDescent="0.3">
      <c r="A26" s="2494"/>
      <c r="B26" s="2495"/>
      <c r="C26" s="2496"/>
      <c r="D26" s="2511"/>
      <c r="E26" s="2495"/>
      <c r="F26" s="2497"/>
      <c r="G26" s="2498"/>
      <c r="H26" s="2498"/>
      <c r="I26" s="2498"/>
      <c r="J26" s="2498"/>
      <c r="K26" s="2498"/>
      <c r="L26" s="2498"/>
      <c r="M26" s="2498"/>
      <c r="O26" s="2498"/>
      <c r="V26" s="2853"/>
      <c r="W26" s="1079"/>
    </row>
    <row r="27" spans="1:23" x14ac:dyDescent="0.25">
      <c r="A27" s="2446" t="s">
        <v>769</v>
      </c>
      <c r="B27" s="2553">
        <f t="shared" ref="B27:M27" si="7">B28+B29</f>
        <v>263189.98</v>
      </c>
      <c r="C27" s="2553">
        <f t="shared" si="7"/>
        <v>2092541.2</v>
      </c>
      <c r="D27" s="2554">
        <f t="shared" si="7"/>
        <v>3964663.31</v>
      </c>
      <c r="E27" s="2553">
        <f t="shared" si="7"/>
        <v>4553459.5600000005</v>
      </c>
      <c r="F27" s="2501">
        <f t="shared" si="7"/>
        <v>5695475.6000000006</v>
      </c>
      <c r="G27" s="2694">
        <f t="shared" si="7"/>
        <v>5108928.8800000008</v>
      </c>
      <c r="H27" s="2694">
        <f t="shared" si="7"/>
        <v>3973213.2600000007</v>
      </c>
      <c r="I27" s="2694">
        <f t="shared" si="7"/>
        <v>3822527.4300000006</v>
      </c>
      <c r="J27" s="2694">
        <f t="shared" si="7"/>
        <v>2263127.5000000005</v>
      </c>
      <c r="K27" s="2694">
        <f t="shared" si="7"/>
        <v>3589371.1400000006</v>
      </c>
      <c r="L27" s="2694">
        <f t="shared" si="7"/>
        <v>5277356.7600000007</v>
      </c>
      <c r="M27" s="2694">
        <f t="shared" si="7"/>
        <v>9603395.0800000019</v>
      </c>
      <c r="O27" s="2694">
        <f>O28+O29</f>
        <v>9603395.0800000001</v>
      </c>
      <c r="V27" s="2850" t="s">
        <v>769</v>
      </c>
      <c r="W27" s="2873">
        <f>SUM(W28:W29)</f>
        <v>5277356.76</v>
      </c>
    </row>
    <row r="28" spans="1:23" x14ac:dyDescent="0.25">
      <c r="A28" s="2513" t="s">
        <v>770</v>
      </c>
      <c r="B28" s="2481">
        <v>112.54</v>
      </c>
      <c r="C28" s="2479">
        <f>B27</f>
        <v>263189.98</v>
      </c>
      <c r="D28" s="2480">
        <f>C27</f>
        <v>2092541.2</v>
      </c>
      <c r="E28" s="2481">
        <f>D27</f>
        <v>3964663.31</v>
      </c>
      <c r="F28" s="2503">
        <f t="shared" ref="F28:K28" si="8">E27</f>
        <v>4553459.5600000005</v>
      </c>
      <c r="G28" s="2483">
        <f t="shared" si="8"/>
        <v>5695475.6000000006</v>
      </c>
      <c r="H28" s="2483">
        <f t="shared" si="8"/>
        <v>5108928.8800000008</v>
      </c>
      <c r="I28" s="2483">
        <f t="shared" si="8"/>
        <v>3973213.2600000007</v>
      </c>
      <c r="J28" s="2483">
        <f t="shared" si="8"/>
        <v>3822527.4300000006</v>
      </c>
      <c r="K28" s="2483">
        <f t="shared" si="8"/>
        <v>2263127.5000000005</v>
      </c>
      <c r="L28" s="2483">
        <f>K27</f>
        <v>3589371.1400000006</v>
      </c>
      <c r="M28" s="2483">
        <f>L27</f>
        <v>5277356.7600000007</v>
      </c>
      <c r="O28" s="2483">
        <v>0</v>
      </c>
      <c r="P28" s="8">
        <v>195070720.22999999</v>
      </c>
      <c r="V28" s="210" t="s">
        <v>770</v>
      </c>
      <c r="W28" s="2598">
        <v>0</v>
      </c>
    </row>
    <row r="29" spans="1:23" ht="13.8" thickBot="1" x14ac:dyDescent="0.3">
      <c r="A29" s="2514" t="s">
        <v>771</v>
      </c>
      <c r="B29" s="2506">
        <v>263077.44</v>
      </c>
      <c r="C29" s="2507">
        <v>1829351.22</v>
      </c>
      <c r="D29" s="2508">
        <v>1872122.11</v>
      </c>
      <c r="E29" s="2506">
        <v>588796.25</v>
      </c>
      <c r="F29" s="2509">
        <f>1142128.58-112.54</f>
        <v>1142016.04</v>
      </c>
      <c r="G29" s="2493">
        <f>-586546.72</f>
        <v>-586546.72</v>
      </c>
      <c r="H29" s="2493">
        <f>-1138714.62+2999</f>
        <v>-1135715.6200000001</v>
      </c>
      <c r="I29" s="2493">
        <f>-31685.83-119000</f>
        <v>-150685.83000000002</v>
      </c>
      <c r="J29" s="2493">
        <f>-1658501.83+103100-3998.1</f>
        <v>-1559399.9300000002</v>
      </c>
      <c r="K29" s="2493">
        <f>1445895.64-652-119000</f>
        <v>1326243.6399999999</v>
      </c>
      <c r="L29" s="2493">
        <f>1806985.62-119000</f>
        <v>1687985.62</v>
      </c>
      <c r="M29" s="2493">
        <f>4087018.32+239020</f>
        <v>4326038.32</v>
      </c>
      <c r="O29" s="2493">
        <v>9603395.0800000001</v>
      </c>
      <c r="P29" s="2477">
        <f>P28-O30</f>
        <v>70155436.969999984</v>
      </c>
      <c r="V29" s="2854" t="s">
        <v>771</v>
      </c>
      <c r="W29" s="2618">
        <v>5277356.76</v>
      </c>
    </row>
    <row r="30" spans="1:23" ht="13.8" thickBot="1" x14ac:dyDescent="0.3">
      <c r="A30" s="2515" t="s">
        <v>0</v>
      </c>
      <c r="B30" s="2516">
        <f>B4+B10+B18+B27</f>
        <v>159868090.35999998</v>
      </c>
      <c r="C30" s="2516">
        <f t="shared" ref="C30:G30" si="9">C4+C10+C18+C27</f>
        <v>154979764.08999997</v>
      </c>
      <c r="D30" s="2517">
        <f t="shared" si="9"/>
        <v>164917825.33999997</v>
      </c>
      <c r="E30" s="2516">
        <f t="shared" si="9"/>
        <v>150830324.51999998</v>
      </c>
      <c r="F30" s="2516">
        <f t="shared" si="9"/>
        <v>156566584.06999999</v>
      </c>
      <c r="G30" s="2516">
        <f t="shared" si="9"/>
        <v>152061191.49999997</v>
      </c>
      <c r="H30" s="2516">
        <f t="shared" ref="H30:M30" si="10">H4+H10+H18+H27</f>
        <v>162171485.30000001</v>
      </c>
      <c r="I30" s="2516">
        <f t="shared" si="10"/>
        <v>160008566.69</v>
      </c>
      <c r="J30" s="2516">
        <f t="shared" si="10"/>
        <v>161999772.04000002</v>
      </c>
      <c r="K30" s="2516">
        <f t="shared" si="10"/>
        <v>165847902.24000001</v>
      </c>
      <c r="L30" s="2516">
        <f t="shared" si="10"/>
        <v>146253012.34999999</v>
      </c>
      <c r="M30" s="2516">
        <f t="shared" si="10"/>
        <v>124915283.26000001</v>
      </c>
      <c r="O30" s="2516">
        <f>O4+O10+O18+O27</f>
        <v>124915283.26000001</v>
      </c>
      <c r="P30" s="2477">
        <f>K30-O30</f>
        <v>40932618.980000004</v>
      </c>
      <c r="V30" s="2855" t="s">
        <v>0</v>
      </c>
      <c r="W30" s="2875">
        <v>146372012.34999999</v>
      </c>
    </row>
    <row r="31" spans="1:23" ht="15.6" x14ac:dyDescent="0.25">
      <c r="A31" s="2445" t="s">
        <v>772</v>
      </c>
      <c r="B31" s="2518" t="s">
        <v>734</v>
      </c>
      <c r="C31" s="2518" t="s">
        <v>734</v>
      </c>
      <c r="D31" s="2519"/>
      <c r="E31" s="2520"/>
      <c r="F31" s="2521"/>
      <c r="G31" s="2522"/>
      <c r="H31" s="2522"/>
      <c r="I31" s="2522"/>
      <c r="J31" s="2522"/>
      <c r="K31" s="2522"/>
      <c r="L31" s="2522"/>
      <c r="M31" s="2522"/>
      <c r="O31" s="2522"/>
      <c r="V31" s="2445" t="s">
        <v>772</v>
      </c>
      <c r="W31" s="2422"/>
    </row>
    <row r="32" spans="1:23" ht="15.6" x14ac:dyDescent="0.25">
      <c r="A32" s="2445"/>
      <c r="B32" s="2518"/>
      <c r="C32" s="2518"/>
      <c r="D32" s="2519"/>
      <c r="E32" s="2520"/>
      <c r="F32" s="2519"/>
      <c r="G32" s="2522"/>
      <c r="H32" s="2519"/>
      <c r="I32" s="2522"/>
      <c r="J32" s="2521"/>
      <c r="K32" s="2522"/>
      <c r="L32" s="2522"/>
      <c r="M32" s="2522"/>
      <c r="O32" s="2522"/>
      <c r="V32" s="2445"/>
      <c r="W32" s="2422"/>
    </row>
    <row r="33" spans="1:23" ht="16.2" thickBot="1" x14ac:dyDescent="0.3">
      <c r="A33" s="2445" t="s">
        <v>758</v>
      </c>
      <c r="B33" s="2519"/>
      <c r="C33" s="2519"/>
      <c r="D33" s="2519"/>
      <c r="E33" s="2519"/>
      <c r="F33" s="2519"/>
      <c r="G33" s="2522"/>
      <c r="H33" s="2519"/>
      <c r="I33" s="2522"/>
      <c r="J33" s="2521"/>
      <c r="K33" s="2522"/>
      <c r="L33" s="2522"/>
      <c r="M33" s="2522"/>
      <c r="O33" s="2522"/>
      <c r="V33" s="2445" t="s">
        <v>758</v>
      </c>
      <c r="W33" s="2422"/>
    </row>
    <row r="34" spans="1:23" x14ac:dyDescent="0.25">
      <c r="A34" s="2446" t="s">
        <v>773</v>
      </c>
      <c r="B34" s="2553">
        <f>SUM(B35:B41)</f>
        <v>3508648.8</v>
      </c>
      <c r="C34" s="2553">
        <f t="shared" ref="C34:J34" si="11">SUM(C35:C41)</f>
        <v>3408711.8</v>
      </c>
      <c r="D34" s="2554">
        <f t="shared" si="11"/>
        <v>5344934.8</v>
      </c>
      <c r="E34" s="2553">
        <f t="shared" si="11"/>
        <v>5344934.8</v>
      </c>
      <c r="F34" s="2523">
        <f t="shared" si="11"/>
        <v>4949595.8</v>
      </c>
      <c r="G34" s="2694">
        <f>SUM(G35:G41)</f>
        <v>4824483.2600000007</v>
      </c>
      <c r="H34" s="2523">
        <f t="shared" si="11"/>
        <v>4699483.2600000007</v>
      </c>
      <c r="I34" s="2694">
        <f t="shared" si="11"/>
        <v>4574483.2600000007</v>
      </c>
      <c r="J34" s="2501">
        <f t="shared" si="11"/>
        <v>4449483.2600000007</v>
      </c>
      <c r="K34" s="2694">
        <f>SUM(K35:K41)</f>
        <v>4324483.2600000007</v>
      </c>
      <c r="L34" s="2694">
        <f>SUM(L35:L41)</f>
        <v>4199483.2600000007</v>
      </c>
      <c r="M34" s="2694">
        <f>SUM(M35:M41)</f>
        <v>4074483.2600000007</v>
      </c>
      <c r="O34" s="2694">
        <f>SUM(O35:O41)</f>
        <v>4074483.2600000007</v>
      </c>
      <c r="V34" s="2850" t="s">
        <v>773</v>
      </c>
      <c r="W34" s="2873">
        <f>SUM(W35:W41)</f>
        <v>4199483.2600000007</v>
      </c>
    </row>
    <row r="35" spans="1:23" x14ac:dyDescent="0.25">
      <c r="A35" s="2448" t="s">
        <v>774</v>
      </c>
      <c r="B35" s="2478">
        <v>1408648.35</v>
      </c>
      <c r="C35" s="2478">
        <v>1408648.35</v>
      </c>
      <c r="D35" s="2524">
        <v>3469871.35</v>
      </c>
      <c r="E35" s="2478">
        <v>3469871.35</v>
      </c>
      <c r="F35" s="2525">
        <v>3199532.35</v>
      </c>
      <c r="G35" s="2526">
        <v>3199532.35</v>
      </c>
      <c r="H35" s="2527">
        <v>3199532.35</v>
      </c>
      <c r="I35" s="2528">
        <v>3199532.35</v>
      </c>
      <c r="J35" s="2529">
        <v>3199532.35</v>
      </c>
      <c r="K35" s="2528">
        <v>3199532.35</v>
      </c>
      <c r="L35" s="2530">
        <v>3199532.35</v>
      </c>
      <c r="M35" s="2530">
        <v>3199532.35</v>
      </c>
      <c r="O35" s="2530">
        <v>3199532.35</v>
      </c>
      <c r="V35" s="2851" t="s">
        <v>774</v>
      </c>
      <c r="W35" s="2598">
        <v>3199532.35</v>
      </c>
    </row>
    <row r="36" spans="1:23" x14ac:dyDescent="0.25">
      <c r="A36" s="2448" t="s">
        <v>775</v>
      </c>
      <c r="B36" s="2478">
        <v>6781</v>
      </c>
      <c r="C36" s="2478">
        <v>6781</v>
      </c>
      <c r="D36" s="2524">
        <v>6781</v>
      </c>
      <c r="E36" s="2531">
        <v>6781</v>
      </c>
      <c r="F36" s="2525">
        <v>6781</v>
      </c>
      <c r="G36" s="2526">
        <v>6781</v>
      </c>
      <c r="H36" s="2525">
        <v>6781</v>
      </c>
      <c r="I36" s="2526">
        <v>6781</v>
      </c>
      <c r="J36" s="2532">
        <v>6781</v>
      </c>
      <c r="K36" s="2528">
        <v>6781</v>
      </c>
      <c r="L36" s="2530">
        <v>6781</v>
      </c>
      <c r="M36" s="2530">
        <v>6781</v>
      </c>
      <c r="O36" s="2530">
        <v>6781</v>
      </c>
      <c r="V36" s="2851" t="s">
        <v>775</v>
      </c>
      <c r="W36" s="2598">
        <v>6781</v>
      </c>
    </row>
    <row r="37" spans="1:23" x14ac:dyDescent="0.25">
      <c r="A37" s="2448" t="s">
        <v>776</v>
      </c>
      <c r="B37" s="2478">
        <v>192463.42</v>
      </c>
      <c r="C37" s="2478">
        <v>217526.42</v>
      </c>
      <c r="D37" s="2524">
        <v>217526.42</v>
      </c>
      <c r="E37" s="2478">
        <v>217526.42</v>
      </c>
      <c r="F37" s="2525">
        <v>217526.42</v>
      </c>
      <c r="G37" s="2526">
        <v>217525.88</v>
      </c>
      <c r="H37" s="2525">
        <v>217525.88</v>
      </c>
      <c r="I37" s="2526">
        <v>217525.88</v>
      </c>
      <c r="J37" s="2532">
        <v>217525.88</v>
      </c>
      <c r="K37" s="2528">
        <v>217525.88</v>
      </c>
      <c r="L37" s="2530">
        <v>217525.88</v>
      </c>
      <c r="M37" s="2530">
        <v>217525.88</v>
      </c>
      <c r="O37" s="2530">
        <v>217525.88</v>
      </c>
      <c r="V37" s="2851" t="s">
        <v>776</v>
      </c>
      <c r="W37" s="2598">
        <v>217525.88</v>
      </c>
    </row>
    <row r="38" spans="1:23" x14ac:dyDescent="0.25">
      <c r="A38" s="2448" t="s">
        <v>777</v>
      </c>
      <c r="B38" s="2478">
        <v>1455357</v>
      </c>
      <c r="C38" s="2478">
        <v>1455357</v>
      </c>
      <c r="D38" s="2524">
        <v>1455357</v>
      </c>
      <c r="E38" s="2478">
        <v>1580357</v>
      </c>
      <c r="F38" s="2525">
        <v>1580357</v>
      </c>
      <c r="G38" s="2526">
        <v>1580245</v>
      </c>
      <c r="H38" s="2525">
        <v>1580245</v>
      </c>
      <c r="I38" s="2526">
        <v>1580245</v>
      </c>
      <c r="J38" s="2532">
        <v>1580245</v>
      </c>
      <c r="K38" s="2528">
        <v>1580245</v>
      </c>
      <c r="L38" s="2530">
        <v>1580245</v>
      </c>
      <c r="M38" s="2530">
        <v>1580245</v>
      </c>
      <c r="O38" s="2530">
        <v>1580245</v>
      </c>
      <c r="V38" s="2851" t="s">
        <v>777</v>
      </c>
      <c r="W38" s="2598">
        <v>1580245</v>
      </c>
    </row>
    <row r="39" spans="1:23" x14ac:dyDescent="0.25">
      <c r="A39" s="2513" t="s">
        <v>778</v>
      </c>
      <c r="B39" s="2478">
        <v>-125000</v>
      </c>
      <c r="C39" s="2478">
        <v>-250000</v>
      </c>
      <c r="D39" s="2524">
        <v>-375000</v>
      </c>
      <c r="E39" s="2478">
        <v>-500000</v>
      </c>
      <c r="F39" s="2533">
        <v>-625000</v>
      </c>
      <c r="G39" s="2526">
        <v>-750000</v>
      </c>
      <c r="H39" s="2525">
        <v>-875000</v>
      </c>
      <c r="I39" s="2526">
        <v>-1000000</v>
      </c>
      <c r="J39" s="2505">
        <v>-1125000</v>
      </c>
      <c r="K39" s="2526">
        <v>-1250000</v>
      </c>
      <c r="L39" s="2483">
        <v>-1375000</v>
      </c>
      <c r="M39" s="2483">
        <v>-1500000</v>
      </c>
      <c r="O39" s="2483">
        <v>-1500000</v>
      </c>
      <c r="V39" s="210" t="s">
        <v>778</v>
      </c>
      <c r="W39" s="2598">
        <v>-1375000</v>
      </c>
    </row>
    <row r="40" spans="1:23" x14ac:dyDescent="0.25">
      <c r="A40" s="2513" t="s">
        <v>779</v>
      </c>
      <c r="B40" s="2478">
        <v>11970</v>
      </c>
      <c r="C40" s="2478">
        <v>11970</v>
      </c>
      <c r="D40" s="2524">
        <v>11970</v>
      </c>
      <c r="E40" s="2478">
        <v>11970</v>
      </c>
      <c r="F40" s="2525">
        <v>11970</v>
      </c>
      <c r="G40" s="2526">
        <v>11970</v>
      </c>
      <c r="H40" s="2525">
        <v>11970</v>
      </c>
      <c r="I40" s="2526">
        <v>11970</v>
      </c>
      <c r="J40" s="2529">
        <v>11970</v>
      </c>
      <c r="K40" s="2528">
        <v>11970</v>
      </c>
      <c r="L40" s="2530">
        <v>11970</v>
      </c>
      <c r="M40" s="2530">
        <v>11970</v>
      </c>
      <c r="O40" s="2530">
        <v>11970</v>
      </c>
      <c r="V40" s="210" t="s">
        <v>779</v>
      </c>
      <c r="W40" s="2598">
        <v>11970</v>
      </c>
    </row>
    <row r="41" spans="1:23" ht="13.8" thickBot="1" x14ac:dyDescent="0.3">
      <c r="A41" s="2514" t="s">
        <v>780</v>
      </c>
      <c r="B41" s="2489">
        <v>558429.03</v>
      </c>
      <c r="C41" s="2489">
        <v>558429.03</v>
      </c>
      <c r="D41" s="2490">
        <v>558429.03</v>
      </c>
      <c r="E41" s="2489">
        <v>558429.03</v>
      </c>
      <c r="F41" s="2491">
        <v>558429.03</v>
      </c>
      <c r="G41" s="2492">
        <v>558429.03</v>
      </c>
      <c r="H41" s="2491">
        <v>558429.03</v>
      </c>
      <c r="I41" s="2492">
        <v>558429.03</v>
      </c>
      <c r="J41" s="2534">
        <v>558429.03</v>
      </c>
      <c r="K41" s="2535">
        <v>558429.03</v>
      </c>
      <c r="L41" s="2493">
        <v>558429.03</v>
      </c>
      <c r="M41" s="2536">
        <v>558429.03</v>
      </c>
      <c r="O41" s="2537">
        <v>558429.03</v>
      </c>
      <c r="V41" s="2854" t="s">
        <v>780</v>
      </c>
      <c r="W41" s="2618">
        <v>558429.03</v>
      </c>
    </row>
    <row r="42" spans="1:23" ht="13.8" thickBot="1" x14ac:dyDescent="0.3">
      <c r="A42" s="2538"/>
      <c r="B42" s="2539"/>
      <c r="C42" s="2540"/>
      <c r="D42" s="2541"/>
      <c r="E42" s="2539"/>
      <c r="F42" s="2542"/>
      <c r="G42" s="2543"/>
      <c r="H42" s="2543"/>
      <c r="I42" s="2543"/>
      <c r="J42" s="2543"/>
      <c r="K42" s="2543"/>
      <c r="L42" s="2498"/>
      <c r="M42" s="2498"/>
      <c r="O42" s="2512"/>
      <c r="V42" s="2856"/>
      <c r="W42" s="2868"/>
    </row>
    <row r="43" spans="1:23" x14ac:dyDescent="0.25">
      <c r="A43" s="2446" t="s">
        <v>781</v>
      </c>
      <c r="B43" s="2554">
        <f>B44</f>
        <v>2140104.73</v>
      </c>
      <c r="C43" s="2557">
        <f t="shared" ref="C43:O43" si="12">C44</f>
        <v>2140104.73</v>
      </c>
      <c r="D43" s="2558">
        <f t="shared" si="12"/>
        <v>2140104.73</v>
      </c>
      <c r="E43" s="2559">
        <f t="shared" si="12"/>
        <v>2140104.73</v>
      </c>
      <c r="F43" s="2544">
        <f t="shared" si="12"/>
        <v>2140104.73</v>
      </c>
      <c r="G43" s="2695">
        <f t="shared" si="12"/>
        <v>2140104.73</v>
      </c>
      <c r="H43" s="2695">
        <f t="shared" si="12"/>
        <v>2140104.73</v>
      </c>
      <c r="I43" s="2695">
        <f t="shared" si="12"/>
        <v>2140104.73</v>
      </c>
      <c r="J43" s="2694">
        <f t="shared" si="12"/>
        <v>2140104.73</v>
      </c>
      <c r="K43" s="2694">
        <f>K44</f>
        <v>2140104.73</v>
      </c>
      <c r="L43" s="2694">
        <f t="shared" si="12"/>
        <v>2140104.73</v>
      </c>
      <c r="M43" s="2694">
        <f t="shared" si="12"/>
        <v>2140104.73</v>
      </c>
      <c r="O43" s="2694">
        <f t="shared" si="12"/>
        <v>2140104.73</v>
      </c>
      <c r="V43" s="2850" t="s">
        <v>781</v>
      </c>
      <c r="W43" s="2873">
        <f>W44</f>
        <v>2140104.73</v>
      </c>
    </row>
    <row r="44" spans="1:23" ht="13.8" thickBot="1" x14ac:dyDescent="0.3">
      <c r="A44" s="2514" t="s">
        <v>782</v>
      </c>
      <c r="B44" s="2490">
        <v>2140104.73</v>
      </c>
      <c r="C44" s="2492">
        <v>2140104.73</v>
      </c>
      <c r="D44" s="2491">
        <v>2140104.73</v>
      </c>
      <c r="E44" s="2489">
        <v>2140104.73</v>
      </c>
      <c r="F44" s="2491">
        <v>2140104.73</v>
      </c>
      <c r="G44" s="2492">
        <v>2140104.73</v>
      </c>
      <c r="H44" s="2545">
        <v>2140104.73</v>
      </c>
      <c r="I44" s="2545">
        <v>2140104.73</v>
      </c>
      <c r="J44" s="2493">
        <v>2140104.73</v>
      </c>
      <c r="K44" s="2493">
        <v>2140104.73</v>
      </c>
      <c r="L44" s="2493">
        <v>2140104.73</v>
      </c>
      <c r="M44" s="2493">
        <v>2140104.73</v>
      </c>
      <c r="O44" s="2493">
        <v>2140104.73</v>
      </c>
      <c r="V44" s="2854" t="s">
        <v>782</v>
      </c>
      <c r="W44" s="2869">
        <v>2140104.73</v>
      </c>
    </row>
    <row r="45" spans="1:23" ht="13.8" thickBot="1" x14ac:dyDescent="0.3">
      <c r="A45" s="2538"/>
      <c r="B45" s="2495"/>
      <c r="C45" s="2496"/>
      <c r="D45" s="2511"/>
      <c r="E45" s="2495"/>
      <c r="F45" s="2497"/>
      <c r="G45" s="2498"/>
      <c r="H45" s="2498"/>
      <c r="I45" s="2498"/>
      <c r="J45" s="2498"/>
      <c r="K45" s="2498"/>
      <c r="L45" s="2498"/>
      <c r="M45" s="2498"/>
      <c r="O45" s="2498"/>
      <c r="V45" s="2856"/>
      <c r="W45" s="2868"/>
    </row>
    <row r="46" spans="1:23" x14ac:dyDescent="0.25">
      <c r="A46" s="2446" t="s">
        <v>630</v>
      </c>
      <c r="B46" s="2553">
        <f t="shared" ref="B46:M46" si="13">SUM(B47:B54)</f>
        <v>154219336.83000001</v>
      </c>
      <c r="C46" s="2553">
        <f t="shared" si="13"/>
        <v>149430947.56000003</v>
      </c>
      <c r="D46" s="2554">
        <f t="shared" si="13"/>
        <v>157432785.81000003</v>
      </c>
      <c r="E46" s="2553">
        <f t="shared" si="13"/>
        <v>143345284.99000001</v>
      </c>
      <c r="F46" s="2501">
        <f>SUM(F47:F54)</f>
        <v>149476996.08000001</v>
      </c>
      <c r="G46" s="2694">
        <f t="shared" si="13"/>
        <v>145096603.51000002</v>
      </c>
      <c r="H46" s="2694">
        <f t="shared" si="13"/>
        <v>155331897.31</v>
      </c>
      <c r="I46" s="2694">
        <f t="shared" si="13"/>
        <v>153293978.70000002</v>
      </c>
      <c r="J46" s="2694">
        <f t="shared" si="13"/>
        <v>155410184.05000001</v>
      </c>
      <c r="K46" s="2694">
        <f t="shared" si="13"/>
        <v>159383314.25</v>
      </c>
      <c r="L46" s="2694">
        <f t="shared" si="13"/>
        <v>140032424.36000001</v>
      </c>
      <c r="M46" s="2694">
        <f t="shared" si="13"/>
        <v>118700695.27</v>
      </c>
      <c r="O46" s="2694">
        <f>SUM(O47:O54)</f>
        <v>118700695.27</v>
      </c>
      <c r="V46" s="2850" t="s">
        <v>630</v>
      </c>
      <c r="W46" s="2874">
        <f>SUM(W47:W54)</f>
        <v>140032424.36000001</v>
      </c>
    </row>
    <row r="47" spans="1:23" x14ac:dyDescent="0.25">
      <c r="A47" s="2448" t="s">
        <v>783</v>
      </c>
      <c r="B47" s="402">
        <v>33752769</v>
      </c>
      <c r="C47" s="2479">
        <v>33752769</v>
      </c>
      <c r="D47" s="2480">
        <v>33752769</v>
      </c>
      <c r="E47" s="2546">
        <v>19836665</v>
      </c>
      <c r="F47" s="2547">
        <v>19836665</v>
      </c>
      <c r="G47" s="2530">
        <v>19836665</v>
      </c>
      <c r="H47" s="2530">
        <v>19836665</v>
      </c>
      <c r="I47" s="2530">
        <v>19836665</v>
      </c>
      <c r="J47" s="2530">
        <v>19836665</v>
      </c>
      <c r="K47" s="2530">
        <v>19836665</v>
      </c>
      <c r="L47" s="2530">
        <v>19836665</v>
      </c>
      <c r="M47" s="2530">
        <v>19836665</v>
      </c>
      <c r="O47" s="2530">
        <v>19836665</v>
      </c>
      <c r="V47" s="2851" t="s">
        <v>783</v>
      </c>
      <c r="W47" s="2870">
        <v>19836665</v>
      </c>
    </row>
    <row r="48" spans="1:23" x14ac:dyDescent="0.25">
      <c r="A48" s="2448" t="s">
        <v>75</v>
      </c>
      <c r="B48" s="2546">
        <v>86087958</v>
      </c>
      <c r="C48" s="2479">
        <v>75949437</v>
      </c>
      <c r="D48" s="2480">
        <v>76927641</v>
      </c>
      <c r="E48" s="2546">
        <v>76593728</v>
      </c>
      <c r="F48" s="2547">
        <v>83484662</v>
      </c>
      <c r="G48" s="2530">
        <v>83313816</v>
      </c>
      <c r="H48" s="2530">
        <v>87824902</v>
      </c>
      <c r="I48" s="2530">
        <v>85308426</v>
      </c>
      <c r="J48" s="2530">
        <v>90525848</v>
      </c>
      <c r="K48" s="2530">
        <v>95427736</v>
      </c>
      <c r="L48" s="2530">
        <v>91077756</v>
      </c>
      <c r="M48" s="2530">
        <v>82860386</v>
      </c>
      <c r="O48" s="2530">
        <v>82860386</v>
      </c>
      <c r="V48" s="2851" t="s">
        <v>75</v>
      </c>
      <c r="W48" s="2870">
        <v>91077756</v>
      </c>
    </row>
    <row r="49" spans="1:23" x14ac:dyDescent="0.25">
      <c r="A49" s="2448" t="s">
        <v>739</v>
      </c>
      <c r="B49" s="2546">
        <v>5637958.3399999999</v>
      </c>
      <c r="C49" s="2479">
        <v>5637958.3399999999</v>
      </c>
      <c r="D49" s="2480">
        <v>5637958.3399999999</v>
      </c>
      <c r="E49" s="2546">
        <v>5637237.2699999996</v>
      </c>
      <c r="F49" s="2547">
        <v>5637237.2699999996</v>
      </c>
      <c r="G49" s="2530">
        <v>5637237.2699999996</v>
      </c>
      <c r="H49" s="2530">
        <v>5637237.2699999996</v>
      </c>
      <c r="I49" s="2530">
        <v>5667237.2699999996</v>
      </c>
      <c r="J49" s="2530">
        <f>5667237.27-3998.1</f>
        <v>5663239.1699999999</v>
      </c>
      <c r="K49" s="2530">
        <v>5667237.2699999996</v>
      </c>
      <c r="L49" s="2530">
        <v>5667237.2699999996</v>
      </c>
      <c r="M49" s="2530">
        <v>5667237.2699999996</v>
      </c>
      <c r="O49" s="2530">
        <v>5667237.2699999996</v>
      </c>
      <c r="V49" s="2851" t="s">
        <v>739</v>
      </c>
      <c r="W49" s="2870">
        <v>5667237.2699999996</v>
      </c>
    </row>
    <row r="50" spans="1:23" x14ac:dyDescent="0.25">
      <c r="A50" s="2448" t="s">
        <v>740</v>
      </c>
      <c r="B50" s="2546">
        <v>333479</v>
      </c>
      <c r="C50" s="2479">
        <v>337198</v>
      </c>
      <c r="D50" s="2480">
        <v>361000</v>
      </c>
      <c r="E50" s="2546">
        <v>368915</v>
      </c>
      <c r="F50" s="2547">
        <v>374335</v>
      </c>
      <c r="G50" s="2530">
        <v>382218</v>
      </c>
      <c r="H50" s="2530">
        <v>390733</v>
      </c>
      <c r="I50" s="2530">
        <v>399038</v>
      </c>
      <c r="J50" s="2530">
        <v>404213</v>
      </c>
      <c r="K50" s="2530">
        <v>16734061</v>
      </c>
      <c r="L50" s="2530">
        <v>292959</v>
      </c>
      <c r="M50" s="2530">
        <v>312959</v>
      </c>
      <c r="O50" s="2530">
        <v>312959</v>
      </c>
      <c r="V50" s="2851" t="s">
        <v>740</v>
      </c>
      <c r="W50" s="2870">
        <v>292959</v>
      </c>
    </row>
    <row r="51" spans="1:23" x14ac:dyDescent="0.25">
      <c r="A51" s="2448" t="s">
        <v>628</v>
      </c>
      <c r="B51" s="2546">
        <v>31417020.16</v>
      </c>
      <c r="C51" s="2479">
        <v>36791373.890000001</v>
      </c>
      <c r="D51" s="2480">
        <v>43776589.140000001</v>
      </c>
      <c r="E51" s="2546">
        <v>43938526.390000001</v>
      </c>
      <c r="F51" s="2547">
        <v>42908010.479999997</v>
      </c>
      <c r="G51" s="2530">
        <v>38862341.909999996</v>
      </c>
      <c r="H51" s="2530">
        <v>44634165.710000001</v>
      </c>
      <c r="I51" s="2530">
        <v>45080266.100000001</v>
      </c>
      <c r="J51" s="2530">
        <v>42027355.549999997</v>
      </c>
      <c r="K51" s="2530">
        <v>41006101.649999999</v>
      </c>
      <c r="L51" s="2530">
        <v>42483748.759999998</v>
      </c>
      <c r="M51" s="2530">
        <v>29198162.670000002</v>
      </c>
      <c r="O51" s="2530">
        <v>29198162.670000002</v>
      </c>
      <c r="V51" s="2851" t="s">
        <v>628</v>
      </c>
      <c r="W51" s="2870">
        <v>42483748.759999998</v>
      </c>
    </row>
    <row r="52" spans="1:23" x14ac:dyDescent="0.25">
      <c r="A52" s="2448" t="s">
        <v>784</v>
      </c>
      <c r="B52" s="2546">
        <v>48093</v>
      </c>
      <c r="C52" s="2479">
        <v>20152</v>
      </c>
      <c r="D52" s="2480">
        <v>34769</v>
      </c>
      <c r="E52" s="2546">
        <v>28154</v>
      </c>
      <c r="F52" s="2547">
        <v>294027</v>
      </c>
      <c r="G52" s="2530">
        <v>122266</v>
      </c>
      <c r="H52" s="2530">
        <v>66135</v>
      </c>
      <c r="I52" s="2530">
        <v>60287</v>
      </c>
      <c r="J52" s="2530">
        <v>10804</v>
      </c>
      <c r="K52" s="2530">
        <f>96294-652</f>
        <v>95642</v>
      </c>
      <c r="L52" s="2530">
        <v>58187</v>
      </c>
      <c r="M52" s="2530">
        <v>209414</v>
      </c>
      <c r="O52" s="2530">
        <v>209414</v>
      </c>
      <c r="V52" s="2851" t="s">
        <v>784</v>
      </c>
      <c r="W52" s="2870">
        <v>58187</v>
      </c>
    </row>
    <row r="53" spans="1:23" x14ac:dyDescent="0.25">
      <c r="A53" s="2448" t="s">
        <v>785</v>
      </c>
      <c r="B53" s="2481"/>
      <c r="C53" s="2479"/>
      <c r="D53" s="2480"/>
      <c r="E53" s="2481"/>
      <c r="F53" s="2503"/>
      <c r="G53" s="2483"/>
      <c r="H53" s="2483"/>
      <c r="I53" s="2483"/>
      <c r="J53" s="2483"/>
      <c r="K53" s="2483"/>
      <c r="L53" s="2483"/>
      <c r="M53" s="2483"/>
      <c r="O53" s="2530"/>
      <c r="V53" s="2851" t="s">
        <v>785</v>
      </c>
      <c r="W53" s="2870"/>
    </row>
    <row r="54" spans="1:23" ht="13.8" thickBot="1" x14ac:dyDescent="0.3">
      <c r="A54" s="2449" t="s">
        <v>786</v>
      </c>
      <c r="B54" s="2548">
        <v>-3057940.67</v>
      </c>
      <c r="C54" s="2549">
        <v>-3057940.67</v>
      </c>
      <c r="D54" s="2550">
        <v>-3057940.67</v>
      </c>
      <c r="E54" s="2548">
        <v>-3057940.67</v>
      </c>
      <c r="F54" s="2551">
        <v>-3057940.67</v>
      </c>
      <c r="G54" s="2510">
        <v>-3057940.67</v>
      </c>
      <c r="H54" s="2510">
        <v>-3057940.67</v>
      </c>
      <c r="I54" s="2510">
        <v>-3057940.67</v>
      </c>
      <c r="J54" s="2510">
        <v>-3057940.67</v>
      </c>
      <c r="K54" s="2510">
        <v>-19384128.670000002</v>
      </c>
      <c r="L54" s="2510">
        <v>-19384128.670000002</v>
      </c>
      <c r="M54" s="2510">
        <v>-19384128.670000002</v>
      </c>
      <c r="O54" s="2510">
        <v>-19384128.670000002</v>
      </c>
      <c r="V54" s="2852" t="s">
        <v>786</v>
      </c>
      <c r="W54" s="2871">
        <v>-19384128.670000002</v>
      </c>
    </row>
    <row r="55" spans="1:23" ht="13.8" thickBot="1" x14ac:dyDescent="0.3">
      <c r="A55" s="2444" t="s">
        <v>0</v>
      </c>
      <c r="B55" s="2552">
        <f>B34+B43+B46</f>
        <v>159868090.36000001</v>
      </c>
      <c r="C55" s="2552">
        <f t="shared" ref="C55:K55" si="14">C34+C43+C46</f>
        <v>154979764.09000003</v>
      </c>
      <c r="D55" s="2552">
        <f t="shared" si="14"/>
        <v>164917825.34000003</v>
      </c>
      <c r="E55" s="2552">
        <f t="shared" si="14"/>
        <v>150830324.52000001</v>
      </c>
      <c r="F55" s="2552">
        <f t="shared" si="14"/>
        <v>156566696.61000001</v>
      </c>
      <c r="G55" s="2552">
        <f t="shared" si="14"/>
        <v>152061191.50000003</v>
      </c>
      <c r="H55" s="2552">
        <f t="shared" si="14"/>
        <v>162171485.30000001</v>
      </c>
      <c r="I55" s="2552">
        <f>I34+I43+I46</f>
        <v>160008566.69000003</v>
      </c>
      <c r="J55" s="2552">
        <f t="shared" si="14"/>
        <v>161999772.04000002</v>
      </c>
      <c r="K55" s="2552">
        <f t="shared" si="14"/>
        <v>165847902.24000001</v>
      </c>
      <c r="L55" s="2552">
        <f>L34+L43+L46</f>
        <v>146372012.35000002</v>
      </c>
      <c r="M55" s="2552">
        <f>M34+M43+M46</f>
        <v>124915283.25999999</v>
      </c>
      <c r="O55" s="2552">
        <f>O34+O43+O46</f>
        <v>124915283.25999999</v>
      </c>
      <c r="V55" s="2858" t="s">
        <v>0</v>
      </c>
      <c r="W55" s="1074">
        <v>146372012.35000002</v>
      </c>
    </row>
    <row r="56" spans="1:23" x14ac:dyDescent="0.25">
      <c r="B56" s="2477">
        <f t="shared" ref="B56:O56" si="15">B30-B55</f>
        <v>0</v>
      </c>
      <c r="C56" s="2477">
        <f t="shared" si="15"/>
        <v>0</v>
      </c>
      <c r="D56" s="2477">
        <f t="shared" si="15"/>
        <v>0</v>
      </c>
      <c r="E56" s="2477">
        <f t="shared" si="15"/>
        <v>0</v>
      </c>
      <c r="F56" s="2477">
        <f t="shared" si="15"/>
        <v>-112.54000002145767</v>
      </c>
      <c r="G56" s="2477">
        <f t="shared" si="15"/>
        <v>0</v>
      </c>
      <c r="H56" s="2477">
        <f t="shared" si="15"/>
        <v>0</v>
      </c>
      <c r="I56" s="2477">
        <f t="shared" si="15"/>
        <v>0</v>
      </c>
      <c r="J56" s="2477">
        <f t="shared" si="15"/>
        <v>0</v>
      </c>
      <c r="K56" s="2477">
        <f t="shared" si="15"/>
        <v>0</v>
      </c>
      <c r="L56" s="2477">
        <f t="shared" si="15"/>
        <v>-119000.0000000298</v>
      </c>
      <c r="M56" s="2477">
        <f t="shared" si="15"/>
        <v>0</v>
      </c>
      <c r="O56" s="2477">
        <f t="shared" si="15"/>
        <v>0</v>
      </c>
    </row>
  </sheetData>
  <mergeCells count="1">
    <mergeCell ref="O2:O3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FF44-01D3-4370-B16F-7E385A638667}">
  <sheetPr>
    <tabColor rgb="FF92D050"/>
  </sheetPr>
  <dimension ref="A1:R100"/>
  <sheetViews>
    <sheetView workbookViewId="0">
      <pane xSplit="1" ySplit="2" topLeftCell="B31" activePane="bottomRight" state="frozen"/>
      <selection pane="topRight" activeCell="B1" sqref="B1"/>
      <selection pane="bottomLeft" activeCell="A3" sqref="A3"/>
      <selection pane="bottomRight" activeCell="O46" sqref="O46"/>
    </sheetView>
  </sheetViews>
  <sheetFormatPr defaultRowHeight="13.2" x14ac:dyDescent="0.25"/>
  <cols>
    <col min="1" max="1" width="31.6640625" customWidth="1"/>
    <col min="2" max="2" width="14.5546875" bestFit="1" customWidth="1"/>
    <col min="3" max="5" width="13.44140625" bestFit="1" customWidth="1"/>
    <col min="6" max="6" width="14.5546875" bestFit="1" customWidth="1"/>
    <col min="7" max="9" width="13.44140625" bestFit="1" customWidth="1"/>
    <col min="10" max="10" width="14.5546875" bestFit="1" customWidth="1"/>
    <col min="11" max="11" width="13.33203125" bestFit="1" customWidth="1"/>
    <col min="12" max="12" width="14.44140625" bestFit="1" customWidth="1"/>
    <col min="13" max="13" width="14.5546875" bestFit="1" customWidth="1"/>
    <col min="14" max="14" width="16.44140625" bestFit="1" customWidth="1"/>
    <col min="15" max="15" width="15.5546875" bestFit="1" customWidth="1"/>
    <col min="16" max="16" width="13.5546875" bestFit="1" customWidth="1"/>
    <col min="17" max="17" width="12.109375" bestFit="1" customWidth="1"/>
    <col min="18" max="18" width="16.6640625" bestFit="1" customWidth="1"/>
  </cols>
  <sheetData>
    <row r="1" spans="1:14" ht="16.2" thickBot="1" x14ac:dyDescent="0.3">
      <c r="A1" s="3242" t="s">
        <v>769</v>
      </c>
      <c r="B1" s="3242"/>
      <c r="C1" s="175"/>
      <c r="D1" s="175"/>
    </row>
    <row r="2" spans="1:14" ht="13.8" thickBot="1" x14ac:dyDescent="0.3">
      <c r="A2" s="2786" t="s">
        <v>67</v>
      </c>
      <c r="B2" s="401" t="s">
        <v>957</v>
      </c>
      <c r="C2" s="222" t="s">
        <v>958</v>
      </c>
      <c r="D2" s="401" t="s">
        <v>959</v>
      </c>
      <c r="E2" s="401" t="s">
        <v>960</v>
      </c>
      <c r="F2" s="401" t="s">
        <v>961</v>
      </c>
      <c r="G2" s="401" t="s">
        <v>1012</v>
      </c>
      <c r="H2" s="401" t="s">
        <v>1013</v>
      </c>
      <c r="I2" s="401" t="s">
        <v>1014</v>
      </c>
      <c r="J2" s="2830" t="s">
        <v>1020</v>
      </c>
      <c r="K2" s="2830" t="s">
        <v>1021</v>
      </c>
      <c r="L2" s="2830" t="s">
        <v>1022</v>
      </c>
      <c r="M2" s="2830" t="s">
        <v>1026</v>
      </c>
      <c r="N2" s="2769" t="s">
        <v>962</v>
      </c>
    </row>
    <row r="3" spans="1:14" x14ac:dyDescent="0.25">
      <c r="A3" s="2776" t="s">
        <v>166</v>
      </c>
      <c r="B3" s="2496"/>
      <c r="C3" s="2496" t="s">
        <v>734</v>
      </c>
      <c r="D3" s="2520"/>
      <c r="E3" s="2520"/>
      <c r="F3" s="2520"/>
      <c r="G3" s="2520"/>
      <c r="H3" s="2520"/>
      <c r="I3" s="2520"/>
      <c r="J3" s="2520"/>
      <c r="K3" s="2520"/>
      <c r="L3" s="2520"/>
      <c r="M3" s="2520"/>
      <c r="N3" s="2789"/>
    </row>
    <row r="4" spans="1:14" ht="14.4" x14ac:dyDescent="0.3">
      <c r="A4" s="2770" t="s">
        <v>167</v>
      </c>
      <c r="B4" s="2790">
        <f>SUM(B5:B14)</f>
        <v>30785510.68</v>
      </c>
      <c r="C4" s="2790">
        <f t="shared" ref="C4:I4" si="0">SUM(C5:C14)</f>
        <v>38122842.200000003</v>
      </c>
      <c r="D4" s="2790">
        <f t="shared" si="0"/>
        <v>38860865.5</v>
      </c>
      <c r="E4" s="2790">
        <f t="shared" si="0"/>
        <v>36666981.5</v>
      </c>
      <c r="F4" s="2790">
        <f t="shared" si="0"/>
        <v>35599724.5</v>
      </c>
      <c r="G4" s="2790">
        <f t="shared" si="0"/>
        <v>28712507.399999999</v>
      </c>
      <c r="H4" s="2790">
        <f t="shared" si="0"/>
        <v>27462036.699999999</v>
      </c>
      <c r="I4" s="2790">
        <f t="shared" si="0"/>
        <v>35374929</v>
      </c>
      <c r="J4" s="2790">
        <f t="shared" ref="J4:K4" si="1">SUM(J5:J14)</f>
        <v>25242945.5</v>
      </c>
      <c r="K4" s="2790">
        <f t="shared" si="1"/>
        <v>34645798.350000001</v>
      </c>
      <c r="L4" s="2790">
        <f t="shared" ref="L4:M4" si="2">SUM(L5:L14)</f>
        <v>37786414.5</v>
      </c>
      <c r="M4" s="2790">
        <f t="shared" si="2"/>
        <v>46297723.340000004</v>
      </c>
      <c r="N4" s="2792">
        <f>SUM(N5:N14)</f>
        <v>415558279.16999996</v>
      </c>
    </row>
    <row r="5" spans="1:14" x14ac:dyDescent="0.25">
      <c r="A5" s="2771" t="s">
        <v>963</v>
      </c>
      <c r="B5" s="2495"/>
      <c r="C5" s="2496"/>
      <c r="D5" s="2495"/>
      <c r="E5" s="2495"/>
      <c r="F5" s="2495"/>
      <c r="G5" s="2495"/>
      <c r="H5" s="2495"/>
      <c r="I5" s="2495"/>
      <c r="J5" s="2495"/>
      <c r="K5" s="2495"/>
      <c r="L5" s="2495"/>
      <c r="M5" s="2495"/>
      <c r="N5" s="2793"/>
    </row>
    <row r="6" spans="1:14" x14ac:dyDescent="0.25">
      <c r="A6" s="2771" t="s">
        <v>964</v>
      </c>
      <c r="B6" s="2495"/>
      <c r="C6" s="2496">
        <v>1514142</v>
      </c>
      <c r="D6" s="2495"/>
      <c r="E6" s="2495">
        <v>162000</v>
      </c>
      <c r="F6" s="2495">
        <v>3225624</v>
      </c>
      <c r="G6" s="2495">
        <v>1704096</v>
      </c>
      <c r="H6" s="2495"/>
      <c r="I6" s="2495">
        <v>6797700</v>
      </c>
      <c r="J6" s="2495"/>
      <c r="K6" s="2495">
        <v>4480000</v>
      </c>
      <c r="L6" s="2495">
        <v>1988112</v>
      </c>
      <c r="M6" s="2495"/>
      <c r="N6" s="2793">
        <v>19871674</v>
      </c>
    </row>
    <row r="7" spans="1:14" x14ac:dyDescent="0.25">
      <c r="A7" s="2771" t="s">
        <v>965</v>
      </c>
      <c r="B7" s="2495"/>
      <c r="C7" s="2496"/>
      <c r="D7" s="2495"/>
      <c r="E7" s="2495"/>
      <c r="F7" s="2495"/>
      <c r="G7" s="2495"/>
      <c r="H7" s="2495"/>
      <c r="I7" s="2495"/>
      <c r="J7" s="2495"/>
      <c r="K7" s="2495"/>
      <c r="L7" s="2495"/>
      <c r="M7" s="2495"/>
      <c r="N7" s="2793"/>
    </row>
    <row r="8" spans="1:14" x14ac:dyDescent="0.25">
      <c r="A8" s="2771" t="s">
        <v>966</v>
      </c>
      <c r="B8" s="2495"/>
      <c r="C8" s="2496"/>
      <c r="D8" s="2495"/>
      <c r="E8" s="2495"/>
      <c r="F8" s="2495"/>
      <c r="G8" s="2495"/>
      <c r="H8" s="2495"/>
      <c r="I8" s="2495"/>
      <c r="J8" s="2495"/>
      <c r="K8" s="2495"/>
      <c r="L8" s="2495"/>
      <c r="M8" s="2495"/>
      <c r="N8" s="2793"/>
    </row>
    <row r="9" spans="1:14" x14ac:dyDescent="0.25">
      <c r="A9" s="2771" t="s">
        <v>967</v>
      </c>
      <c r="B9" s="2495"/>
      <c r="C9" s="2496"/>
      <c r="D9" s="2495"/>
      <c r="E9" s="2495"/>
      <c r="F9" s="2495"/>
      <c r="G9" s="2495"/>
      <c r="H9" s="2495"/>
      <c r="I9" s="2495"/>
      <c r="J9" s="2495"/>
      <c r="K9" s="2495"/>
      <c r="L9" s="2495"/>
      <c r="M9" s="2495"/>
      <c r="N9" s="2793"/>
    </row>
    <row r="10" spans="1:14" x14ac:dyDescent="0.25">
      <c r="A10" s="2771" t="s">
        <v>968</v>
      </c>
      <c r="B10" s="2495"/>
      <c r="C10" s="2496"/>
      <c r="D10" s="2495"/>
      <c r="E10" s="2495"/>
      <c r="F10" s="2495"/>
      <c r="G10" s="2495"/>
      <c r="H10" s="2495"/>
      <c r="I10" s="2495"/>
      <c r="J10" s="2495"/>
      <c r="K10" s="2495"/>
      <c r="L10" s="2495"/>
      <c r="M10" s="2495"/>
      <c r="N10" s="2793"/>
    </row>
    <row r="11" spans="1:14" x14ac:dyDescent="0.25">
      <c r="A11" s="2771" t="s">
        <v>969</v>
      </c>
      <c r="B11" s="2495">
        <v>1373497</v>
      </c>
      <c r="C11" s="2496">
        <v>1668640.15</v>
      </c>
      <c r="D11" s="2495">
        <v>1342889</v>
      </c>
      <c r="E11" s="2495">
        <v>1494475</v>
      </c>
      <c r="F11" s="2495">
        <v>1154893</v>
      </c>
      <c r="G11" s="2495">
        <v>1008073.4</v>
      </c>
      <c r="H11" s="2495">
        <v>1362367.9</v>
      </c>
      <c r="I11" s="2495">
        <v>2123665.5</v>
      </c>
      <c r="J11" s="2495">
        <v>1181325</v>
      </c>
      <c r="K11" s="2495">
        <v>888139.35</v>
      </c>
      <c r="L11" s="2495">
        <v>1253359</v>
      </c>
      <c r="M11" s="2495">
        <v>1247246.2</v>
      </c>
      <c r="N11" s="2793">
        <v>16102665.279999999</v>
      </c>
    </row>
    <row r="12" spans="1:14" x14ac:dyDescent="0.25">
      <c r="A12" s="2772" t="s">
        <v>970</v>
      </c>
      <c r="B12" s="2495">
        <v>-182030</v>
      </c>
      <c r="C12" s="2496">
        <v>-66020</v>
      </c>
      <c r="D12" s="2495">
        <v>-99922</v>
      </c>
      <c r="E12" s="2495">
        <v>-13438</v>
      </c>
      <c r="F12" s="2495">
        <v>-16920</v>
      </c>
      <c r="G12" s="2495">
        <v>-118450</v>
      </c>
      <c r="H12" s="2495">
        <v>-23083.200000000001</v>
      </c>
      <c r="I12" s="2495">
        <v>-12300</v>
      </c>
      <c r="J12" s="2495">
        <v>-180255</v>
      </c>
      <c r="K12" s="2495">
        <v>-132026</v>
      </c>
      <c r="L12" s="2495">
        <v>-197045</v>
      </c>
      <c r="M12" s="2495">
        <v>-2023800</v>
      </c>
      <c r="N12" s="2793">
        <v>-3065289.2</v>
      </c>
    </row>
    <row r="13" spans="1:14" x14ac:dyDescent="0.25">
      <c r="A13" s="2772" t="s">
        <v>971</v>
      </c>
      <c r="B13" s="2495">
        <v>25933774</v>
      </c>
      <c r="C13" s="2496">
        <v>27067814.050000001</v>
      </c>
      <c r="D13" s="2495">
        <v>24114353.5</v>
      </c>
      <c r="E13" s="2495">
        <v>27845324.5</v>
      </c>
      <c r="F13" s="2495">
        <v>26381943.5</v>
      </c>
      <c r="G13" s="2495">
        <v>22684378</v>
      </c>
      <c r="H13" s="2495">
        <v>24052062</v>
      </c>
      <c r="I13" s="2495">
        <v>25171170.5</v>
      </c>
      <c r="J13" s="2495">
        <v>21928086.5</v>
      </c>
      <c r="K13" s="2495">
        <v>25429350</v>
      </c>
      <c r="L13" s="2495">
        <v>30515494.5</v>
      </c>
      <c r="M13" s="2495">
        <v>36596365.140000001</v>
      </c>
      <c r="N13" s="2793">
        <v>317720116.19</v>
      </c>
    </row>
    <row r="14" spans="1:14" x14ac:dyDescent="0.25">
      <c r="A14" s="2772" t="s">
        <v>972</v>
      </c>
      <c r="B14" s="2794">
        <v>3660269.68</v>
      </c>
      <c r="C14" s="2795">
        <v>7938266</v>
      </c>
      <c r="D14" s="2794">
        <v>13503545</v>
      </c>
      <c r="E14" s="2794">
        <v>7178620</v>
      </c>
      <c r="F14" s="2794">
        <v>4854184</v>
      </c>
      <c r="G14" s="2794">
        <v>3434410</v>
      </c>
      <c r="H14" s="2794">
        <v>2070690</v>
      </c>
      <c r="I14" s="2794">
        <v>1294693</v>
      </c>
      <c r="J14" s="2794">
        <v>2313789</v>
      </c>
      <c r="K14" s="2794">
        <v>3980335</v>
      </c>
      <c r="L14" s="2794">
        <v>4226494</v>
      </c>
      <c r="M14" s="2794">
        <v>10477912</v>
      </c>
      <c r="N14" s="2796">
        <v>64929112.899999999</v>
      </c>
    </row>
    <row r="15" spans="1:14" x14ac:dyDescent="0.25">
      <c r="A15" s="2770" t="s">
        <v>973</v>
      </c>
      <c r="B15" s="2495"/>
      <c r="C15" s="2496"/>
      <c r="D15" s="2495"/>
      <c r="E15" s="2495"/>
      <c r="F15" s="2495"/>
      <c r="G15" s="2495"/>
      <c r="H15" s="2495"/>
      <c r="I15" s="2495"/>
      <c r="J15" s="2495"/>
      <c r="K15" s="2495"/>
      <c r="L15" s="2495"/>
      <c r="M15" s="2495"/>
      <c r="N15" s="2793"/>
    </row>
    <row r="16" spans="1:14" x14ac:dyDescent="0.25">
      <c r="A16" s="2772" t="s">
        <v>974</v>
      </c>
      <c r="B16" s="2495"/>
      <c r="C16" s="2496"/>
      <c r="D16" s="2495"/>
      <c r="E16" s="2495"/>
      <c r="F16" s="2495"/>
      <c r="G16" s="2794"/>
      <c r="H16" s="2495"/>
      <c r="I16" s="2495"/>
      <c r="J16" s="2495"/>
      <c r="K16" s="2495"/>
      <c r="L16" s="2495"/>
      <c r="M16" s="2495"/>
      <c r="N16" s="2796"/>
    </row>
    <row r="17" spans="1:17" ht="13.8" x14ac:dyDescent="0.25">
      <c r="A17" s="178" t="s">
        <v>734</v>
      </c>
      <c r="B17" s="2549">
        <f>B4</f>
        <v>30785510.68</v>
      </c>
      <c r="C17" s="2549">
        <f t="shared" ref="C17:I17" si="3">C4</f>
        <v>38122842.200000003</v>
      </c>
      <c r="D17" s="2549">
        <f t="shared" si="3"/>
        <v>38860865.5</v>
      </c>
      <c r="E17" s="2549">
        <f t="shared" si="3"/>
        <v>36666981.5</v>
      </c>
      <c r="F17" s="2549">
        <f t="shared" si="3"/>
        <v>35599724.5</v>
      </c>
      <c r="G17" s="2549">
        <f t="shared" si="3"/>
        <v>28712507.399999999</v>
      </c>
      <c r="H17" s="2549">
        <f t="shared" si="3"/>
        <v>27462036.699999999</v>
      </c>
      <c r="I17" s="2549">
        <f t="shared" si="3"/>
        <v>35374929</v>
      </c>
      <c r="J17" s="2549">
        <f t="shared" ref="J17:K17" si="4">J4</f>
        <v>25242945.5</v>
      </c>
      <c r="K17" s="2549">
        <f t="shared" si="4"/>
        <v>34645798.350000001</v>
      </c>
      <c r="L17" s="2549">
        <f t="shared" ref="L17:M17" si="5">L4</f>
        <v>37786414.5</v>
      </c>
      <c r="M17" s="2549">
        <f t="shared" si="5"/>
        <v>46297723.340000004</v>
      </c>
      <c r="N17" s="2848">
        <f>N4</f>
        <v>415558279.16999996</v>
      </c>
      <c r="P17" s="2788"/>
    </row>
    <row r="18" spans="1:17" ht="14.4" x14ac:dyDescent="0.3">
      <c r="A18" s="2770" t="s">
        <v>168</v>
      </c>
      <c r="B18" s="2790">
        <f>SUM(B22:B23)</f>
        <v>29106244.039999999</v>
      </c>
      <c r="C18" s="2790">
        <f t="shared" ref="C18:I18" si="6">SUM(C22:C23)</f>
        <v>35426325.700000003</v>
      </c>
      <c r="D18" s="2790">
        <f t="shared" si="6"/>
        <v>34881838.009999998</v>
      </c>
      <c r="E18" s="2790">
        <f t="shared" si="6"/>
        <v>34960757.850000001</v>
      </c>
      <c r="F18" s="2790">
        <f t="shared" si="6"/>
        <v>33148132.559999999</v>
      </c>
      <c r="G18" s="2790">
        <f t="shared" si="6"/>
        <v>27954056.960000005</v>
      </c>
      <c r="H18" s="2790">
        <f t="shared" si="6"/>
        <v>27289093.270000003</v>
      </c>
      <c r="I18" s="2790">
        <f t="shared" si="6"/>
        <v>33945703.779999994</v>
      </c>
      <c r="J18" s="2790">
        <f t="shared" ref="J18:K18" si="7">SUM(J22:J23)</f>
        <v>25258972.619999997</v>
      </c>
      <c r="K18" s="2790">
        <f t="shared" si="7"/>
        <v>31877220.909999996</v>
      </c>
      <c r="L18" s="2790">
        <f t="shared" ref="L18:M18" si="8">SUM(L22:L23)</f>
        <v>34189303.769999996</v>
      </c>
      <c r="M18" s="2790">
        <f t="shared" si="8"/>
        <v>40720098.850000001</v>
      </c>
      <c r="N18" s="2792">
        <f>N22+N23</f>
        <v>388759084.60000002</v>
      </c>
    </row>
    <row r="19" spans="1:17" x14ac:dyDescent="0.25">
      <c r="A19" s="2771" t="s">
        <v>71</v>
      </c>
      <c r="B19" s="2495">
        <v>85026381</v>
      </c>
      <c r="C19" s="2496">
        <v>86087958</v>
      </c>
      <c r="D19" s="2495">
        <v>75949437</v>
      </c>
      <c r="E19" s="2495">
        <f>D21</f>
        <v>76927641</v>
      </c>
      <c r="F19" s="2495">
        <f>E21</f>
        <v>76593728</v>
      </c>
      <c r="G19" s="2496">
        <v>83484662</v>
      </c>
      <c r="H19" s="2790">
        <f t="shared" ref="H19:M19" si="9">G21</f>
        <v>83313816</v>
      </c>
      <c r="I19" s="2495">
        <f t="shared" si="9"/>
        <v>87824902</v>
      </c>
      <c r="J19" s="2495">
        <f t="shared" si="9"/>
        <v>85308426</v>
      </c>
      <c r="K19" s="2495">
        <f t="shared" si="9"/>
        <v>90525848</v>
      </c>
      <c r="L19" s="2495">
        <f t="shared" si="9"/>
        <v>95427736</v>
      </c>
      <c r="M19" s="2495">
        <f t="shared" si="9"/>
        <v>91077756</v>
      </c>
      <c r="N19" s="2793">
        <f>B19</f>
        <v>85026381</v>
      </c>
      <c r="O19" s="2814">
        <f>O50+O57+O62</f>
        <v>82860386</v>
      </c>
    </row>
    <row r="20" spans="1:17" x14ac:dyDescent="0.25">
      <c r="A20" s="178" t="s">
        <v>975</v>
      </c>
      <c r="B20" s="2495">
        <v>18812141.469999999</v>
      </c>
      <c r="C20" s="2496">
        <v>13575601.91</v>
      </c>
      <c r="D20" s="2495">
        <v>24716851.059999999</v>
      </c>
      <c r="E20" s="2495">
        <v>21242500.23</v>
      </c>
      <c r="F20" s="2495">
        <v>28095753.469999999</v>
      </c>
      <c r="G20" s="2495">
        <v>14114326.619999999</v>
      </c>
      <c r="H20" s="2495">
        <v>21221302.170000002</v>
      </c>
      <c r="I20" s="2495">
        <v>20216854.100000001</v>
      </c>
      <c r="J20" s="2495">
        <v>18070899.52</v>
      </c>
      <c r="K20" s="2495">
        <v>24443809.91</v>
      </c>
      <c r="L20" s="2495">
        <v>17790718.300000001</v>
      </c>
      <c r="M20" s="2495">
        <v>20811540.719999999</v>
      </c>
      <c r="N20" s="2842">
        <v>243115979.47999999</v>
      </c>
      <c r="O20" s="2814">
        <f>ROUND((O51+O54+O55+O63),0)</f>
        <v>25541088</v>
      </c>
      <c r="P20" s="823"/>
      <c r="Q20" s="280"/>
    </row>
    <row r="21" spans="1:17" ht="13.8" thickBot="1" x14ac:dyDescent="0.3">
      <c r="A21" s="2771" t="s">
        <v>169</v>
      </c>
      <c r="B21" s="2495">
        <v>86087958</v>
      </c>
      <c r="C21" s="2496">
        <v>75949437</v>
      </c>
      <c r="D21" s="2495">
        <v>76927641</v>
      </c>
      <c r="E21" s="2495">
        <v>76593728</v>
      </c>
      <c r="F21" s="2495">
        <v>83484662</v>
      </c>
      <c r="G21" s="2495">
        <v>83313816</v>
      </c>
      <c r="H21" s="2495">
        <v>87824902</v>
      </c>
      <c r="I21" s="2495">
        <v>85308426</v>
      </c>
      <c r="J21" s="2495">
        <v>90525848</v>
      </c>
      <c r="K21" s="2495">
        <v>95427736</v>
      </c>
      <c r="L21" s="2495">
        <v>91077756</v>
      </c>
      <c r="M21" s="2495">
        <v>82860386</v>
      </c>
      <c r="N21" s="2796">
        <v>82860386</v>
      </c>
      <c r="O21" s="2847">
        <f>O52+O58+O64</f>
        <v>0</v>
      </c>
    </row>
    <row r="22" spans="1:17" ht="14.4" x14ac:dyDescent="0.3">
      <c r="A22" s="178" t="s">
        <v>734</v>
      </c>
      <c r="B22" s="2548">
        <v>17750564.469999999</v>
      </c>
      <c r="C22" s="2549">
        <v>23714122.91</v>
      </c>
      <c r="D22" s="2548">
        <v>23738647.059999999</v>
      </c>
      <c r="E22" s="2548">
        <f t="shared" ref="E22:J22" si="10">E19+E20-E21</f>
        <v>21576413.230000004</v>
      </c>
      <c r="F22" s="2548">
        <f t="shared" si="10"/>
        <v>21204819.469999999</v>
      </c>
      <c r="G22" s="2548">
        <f t="shared" si="10"/>
        <v>14285172.620000005</v>
      </c>
      <c r="H22" s="2548">
        <f t="shared" si="10"/>
        <v>16710216.170000002</v>
      </c>
      <c r="I22" s="2548">
        <f t="shared" si="10"/>
        <v>22733330.099999994</v>
      </c>
      <c r="J22" s="2548">
        <f t="shared" si="10"/>
        <v>12853477.519999996</v>
      </c>
      <c r="K22" s="2548">
        <f t="shared" ref="K22:L22" si="11">K19+K20-K21</f>
        <v>19541921.909999996</v>
      </c>
      <c r="L22" s="2548">
        <f t="shared" si="11"/>
        <v>22140698.299999997</v>
      </c>
      <c r="M22" s="2548">
        <f t="shared" ref="M22" si="12">M19+M20-M21</f>
        <v>29028910.719999999</v>
      </c>
      <c r="N22" s="2792">
        <f>N19+N20-N21</f>
        <v>245281974.48000002</v>
      </c>
      <c r="O22" s="2815">
        <f>O19+O20-O21</f>
        <v>108401474</v>
      </c>
    </row>
    <row r="23" spans="1:17" ht="14.4" x14ac:dyDescent="0.3">
      <c r="A23" s="2773" t="s">
        <v>170</v>
      </c>
      <c r="B23" s="2794">
        <v>11355679.57</v>
      </c>
      <c r="C23" s="2795">
        <v>11712202.789999999</v>
      </c>
      <c r="D23" s="2794">
        <v>11143190.949999999</v>
      </c>
      <c r="E23" s="2794">
        <f t="shared" ref="E23:J23" si="13">E24+E25</f>
        <v>13384344.619999999</v>
      </c>
      <c r="F23" s="2794">
        <f t="shared" si="13"/>
        <v>11943313.09</v>
      </c>
      <c r="G23" s="2794">
        <f t="shared" si="13"/>
        <v>13668884.34</v>
      </c>
      <c r="H23" s="2794">
        <f t="shared" si="13"/>
        <v>10578877.1</v>
      </c>
      <c r="I23" s="2794">
        <f t="shared" si="13"/>
        <v>11212373.68</v>
      </c>
      <c r="J23" s="2794">
        <f t="shared" si="13"/>
        <v>12405495.1</v>
      </c>
      <c r="K23" s="2794">
        <f t="shared" ref="K23:L23" si="14">K24+K25</f>
        <v>12335299</v>
      </c>
      <c r="L23" s="2794">
        <f t="shared" si="14"/>
        <v>12048605.470000001</v>
      </c>
      <c r="M23" s="2794">
        <f t="shared" ref="M23" si="15">M24+M25</f>
        <v>11691188.130000001</v>
      </c>
      <c r="N23" s="2797">
        <f>SUM(N24:N26)</f>
        <v>143477110.12</v>
      </c>
    </row>
    <row r="24" spans="1:17" x14ac:dyDescent="0.25">
      <c r="A24" s="2774" t="s">
        <v>125</v>
      </c>
      <c r="B24" s="2495">
        <v>11230679.57</v>
      </c>
      <c r="C24" s="2496">
        <v>11587202.789999999</v>
      </c>
      <c r="D24" s="2495">
        <v>11018190.949999999</v>
      </c>
      <c r="E24" s="2495">
        <v>13259344.619999999</v>
      </c>
      <c r="F24" s="2495">
        <f>11943313.09-F25</f>
        <v>11818313.09</v>
      </c>
      <c r="G24" s="2495">
        <f>13668884.34-G25</f>
        <v>13543884.34</v>
      </c>
      <c r="H24" s="2495">
        <f>10578877.1-H25</f>
        <v>10453877.1</v>
      </c>
      <c r="I24" s="2495">
        <f>11212373.68-I25</f>
        <v>11087373.68</v>
      </c>
      <c r="J24" s="2495">
        <v>12280495.1</v>
      </c>
      <c r="K24" s="2495">
        <f>12335299-K25</f>
        <v>12210299</v>
      </c>
      <c r="L24" s="2495">
        <f>12048605.47-L25</f>
        <v>11923605.470000001</v>
      </c>
      <c r="M24" s="2495">
        <f>11691188.13-M25</f>
        <v>11566188.130000001</v>
      </c>
      <c r="N24" s="2890">
        <f>143477110.12-N25</f>
        <v>141977110.12</v>
      </c>
      <c r="O24" s="2814">
        <f>'Direct Expns'!AE42-O25</f>
        <v>0</v>
      </c>
    </row>
    <row r="25" spans="1:17" x14ac:dyDescent="0.25">
      <c r="A25" s="2775" t="s">
        <v>55</v>
      </c>
      <c r="B25" s="2495">
        <v>125000</v>
      </c>
      <c r="C25" s="2496">
        <v>125000</v>
      </c>
      <c r="D25" s="2495">
        <v>125000</v>
      </c>
      <c r="E25" s="2495">
        <v>125000</v>
      </c>
      <c r="F25" s="2495">
        <v>125000</v>
      </c>
      <c r="G25" s="2495">
        <v>125000</v>
      </c>
      <c r="H25" s="2495">
        <v>125000</v>
      </c>
      <c r="I25" s="2495">
        <v>125000</v>
      </c>
      <c r="J25" s="2495">
        <v>125000</v>
      </c>
      <c r="K25" s="2495">
        <v>125000</v>
      </c>
      <c r="L25" s="2495">
        <v>125000</v>
      </c>
      <c r="M25" s="2495">
        <v>125000</v>
      </c>
      <c r="N25" s="2842">
        <f>SUM(B25:M25)</f>
        <v>1500000</v>
      </c>
      <c r="O25" s="2814">
        <f>'Direct Expns'!AE57</f>
        <v>0</v>
      </c>
    </row>
    <row r="26" spans="1:17" x14ac:dyDescent="0.25">
      <c r="A26" s="2775" t="s">
        <v>976</v>
      </c>
      <c r="B26" s="2495"/>
      <c r="C26" s="2795"/>
      <c r="D26" s="2495"/>
      <c r="E26" s="2495"/>
      <c r="F26" s="2495"/>
      <c r="G26" s="2495"/>
      <c r="H26" s="2495"/>
      <c r="I26" s="2495"/>
      <c r="J26" s="2495"/>
      <c r="K26" s="2495"/>
      <c r="L26" s="2495"/>
      <c r="M26" s="2495"/>
      <c r="N26" s="2796">
        <f t="shared" ref="N26" si="16">SUM(B26:E26)</f>
        <v>0</v>
      </c>
      <c r="O26" s="2814"/>
    </row>
    <row r="27" spans="1:17" ht="14.4" x14ac:dyDescent="0.3">
      <c r="A27" s="680" t="s">
        <v>173</v>
      </c>
      <c r="B27" s="2798">
        <v>1679266.64</v>
      </c>
      <c r="C27" s="2799">
        <v>2696516.5</v>
      </c>
      <c r="D27" s="2798">
        <v>3979027.49</v>
      </c>
      <c r="E27" s="2798">
        <f t="shared" ref="E27:J27" si="17">E4-E18</f>
        <v>1706223.6499999985</v>
      </c>
      <c r="F27" s="2798">
        <f t="shared" si="17"/>
        <v>2451591.9400000013</v>
      </c>
      <c r="G27" s="2798">
        <f t="shared" si="17"/>
        <v>758450.43999999389</v>
      </c>
      <c r="H27" s="2798">
        <f t="shared" si="17"/>
        <v>172943.42999999598</v>
      </c>
      <c r="I27" s="2798">
        <f t="shared" si="17"/>
        <v>1429225.2200000063</v>
      </c>
      <c r="J27" s="2798">
        <f t="shared" si="17"/>
        <v>-16027.119999997318</v>
      </c>
      <c r="K27" s="2798">
        <f t="shared" ref="K27:L27" si="18">K4-K18</f>
        <v>2768577.4400000051</v>
      </c>
      <c r="L27" s="2798">
        <f t="shared" si="18"/>
        <v>3597110.7300000042</v>
      </c>
      <c r="M27" s="2798">
        <f t="shared" ref="M27" si="19">M4-M18</f>
        <v>5577624.4900000021</v>
      </c>
      <c r="N27" s="2792">
        <f>N4-N18</f>
        <v>26799194.569999933</v>
      </c>
      <c r="O27" s="2814"/>
    </row>
    <row r="28" spans="1:17" x14ac:dyDescent="0.25">
      <c r="A28" s="2776" t="s">
        <v>977</v>
      </c>
      <c r="B28" s="2496" t="s">
        <v>734</v>
      </c>
      <c r="C28" s="2496" t="s">
        <v>734</v>
      </c>
      <c r="D28" s="2520"/>
      <c r="E28" s="2520"/>
      <c r="F28" s="2520"/>
      <c r="G28" s="2520"/>
      <c r="H28" s="2520"/>
      <c r="I28" s="2520"/>
      <c r="J28" s="2520"/>
      <c r="K28" s="2520"/>
      <c r="L28" s="2520"/>
      <c r="M28" s="2520"/>
      <c r="N28" s="2793"/>
    </row>
    <row r="29" spans="1:17" ht="14.4" x14ac:dyDescent="0.3">
      <c r="A29" s="2770" t="s">
        <v>741</v>
      </c>
      <c r="B29" s="2790">
        <v>17.850000000000001</v>
      </c>
      <c r="C29" s="2800">
        <v>798.67</v>
      </c>
      <c r="D29" s="2790">
        <v>41</v>
      </c>
      <c r="E29" s="2790">
        <f>E31</f>
        <v>4.49</v>
      </c>
      <c r="F29" s="2790">
        <f>F31+F30</f>
        <v>51.29</v>
      </c>
      <c r="G29" s="2790">
        <v>0.26</v>
      </c>
      <c r="H29" s="2790">
        <f t="shared" ref="H29:N29" si="20">SUM(H30:H34)</f>
        <v>90.25</v>
      </c>
      <c r="I29" s="2790">
        <f t="shared" si="20"/>
        <v>4.57</v>
      </c>
      <c r="J29" s="2790">
        <f t="shared" si="20"/>
        <v>40892.959999999999</v>
      </c>
      <c r="K29" s="2790">
        <f t="shared" si="20"/>
        <v>0.5</v>
      </c>
      <c r="L29" s="2790">
        <f t="shared" si="20"/>
        <v>50448.9</v>
      </c>
      <c r="M29" s="2790">
        <f t="shared" si="20"/>
        <v>59197.67</v>
      </c>
      <c r="N29" s="2843">
        <f t="shared" si="20"/>
        <v>148502.69</v>
      </c>
    </row>
    <row r="30" spans="1:17" x14ac:dyDescent="0.25">
      <c r="A30" s="2771" t="s">
        <v>381</v>
      </c>
      <c r="B30" s="2495">
        <v>11</v>
      </c>
      <c r="C30" s="2496"/>
      <c r="D30" s="2495">
        <v>2</v>
      </c>
      <c r="E30" s="2495"/>
      <c r="F30" s="2495">
        <v>11</v>
      </c>
      <c r="G30" s="2495"/>
      <c r="H30" s="2495">
        <v>85</v>
      </c>
      <c r="I30" s="2495">
        <v>1</v>
      </c>
      <c r="J30" s="2495">
        <v>40846.720000000001</v>
      </c>
      <c r="K30" s="2495"/>
      <c r="L30" s="2495">
        <v>43905</v>
      </c>
      <c r="M30" s="2495">
        <v>59168</v>
      </c>
      <c r="N30" s="2793">
        <v>140984</v>
      </c>
    </row>
    <row r="31" spans="1:17" x14ac:dyDescent="0.25">
      <c r="A31" s="2772" t="s">
        <v>978</v>
      </c>
      <c r="B31" s="2495">
        <v>6.85</v>
      </c>
      <c r="C31" s="2496">
        <v>798.67</v>
      </c>
      <c r="D31" s="2495">
        <v>39</v>
      </c>
      <c r="E31" s="2495">
        <v>4.49</v>
      </c>
      <c r="F31" s="2495">
        <v>40.29</v>
      </c>
      <c r="G31" s="2495">
        <v>0.26</v>
      </c>
      <c r="H31" s="2495">
        <v>5.25</v>
      </c>
      <c r="I31" s="2495">
        <v>3.57</v>
      </c>
      <c r="J31" s="2495">
        <v>46.24</v>
      </c>
      <c r="K31" s="2495">
        <v>0.5</v>
      </c>
      <c r="L31" s="2495">
        <v>3.9</v>
      </c>
      <c r="M31" s="2495">
        <v>29.67</v>
      </c>
      <c r="N31" s="2793">
        <v>978.69</v>
      </c>
    </row>
    <row r="32" spans="1:17" x14ac:dyDescent="0.25">
      <c r="A32" s="2772" t="s">
        <v>979</v>
      </c>
      <c r="B32" s="2495"/>
      <c r="C32" s="2496"/>
      <c r="D32" s="2495"/>
      <c r="E32" s="2495"/>
      <c r="F32" s="2495"/>
      <c r="G32" s="2495"/>
      <c r="H32" s="2495"/>
      <c r="I32" s="2495"/>
      <c r="J32" s="2495"/>
      <c r="K32" s="2495"/>
      <c r="L32" s="2495"/>
      <c r="M32" s="2495"/>
      <c r="N32" s="2793"/>
    </row>
    <row r="33" spans="1:18" x14ac:dyDescent="0.25">
      <c r="A33" s="2772" t="s">
        <v>980</v>
      </c>
      <c r="B33" s="2495"/>
      <c r="C33" s="2496"/>
      <c r="D33" s="2495"/>
      <c r="E33" s="2495"/>
      <c r="F33" s="2495"/>
      <c r="G33" s="2495"/>
      <c r="H33" s="2495"/>
      <c r="I33" s="2495"/>
      <c r="J33" s="2495"/>
      <c r="K33" s="2495"/>
      <c r="L33" s="2495"/>
      <c r="M33" s="2495"/>
      <c r="N33" s="2793"/>
    </row>
    <row r="34" spans="1:18" x14ac:dyDescent="0.25">
      <c r="A34" s="2772" t="s">
        <v>981</v>
      </c>
      <c r="B34" s="2495"/>
      <c r="C34" s="2496"/>
      <c r="D34" s="2495"/>
      <c r="E34" s="2495"/>
      <c r="F34" s="2495"/>
      <c r="G34" s="2495"/>
      <c r="H34" s="2495"/>
      <c r="I34" s="2794"/>
      <c r="J34" s="2794"/>
      <c r="K34" s="2794"/>
      <c r="L34" s="2794">
        <v>6540</v>
      </c>
      <c r="M34" s="2794"/>
      <c r="N34" s="2796">
        <v>6540</v>
      </c>
    </row>
    <row r="35" spans="1:18" ht="14.4" x14ac:dyDescent="0.3">
      <c r="A35" s="178" t="s">
        <v>734</v>
      </c>
      <c r="B35" s="2549">
        <v>1679284.49</v>
      </c>
      <c r="C35" s="2548">
        <v>2697315.17</v>
      </c>
      <c r="D35" s="2549">
        <v>3979068.49</v>
      </c>
      <c r="E35" s="2549">
        <f t="shared" ref="E35:J35" si="21">E27+E29</f>
        <v>1706228.1399999985</v>
      </c>
      <c r="F35" s="2549">
        <f t="shared" si="21"/>
        <v>2451643.2300000014</v>
      </c>
      <c r="G35" s="2549">
        <f t="shared" si="21"/>
        <v>758450.6999999939</v>
      </c>
      <c r="H35" s="2549">
        <f t="shared" si="21"/>
        <v>173033.67999999598</v>
      </c>
      <c r="I35" s="2549">
        <f t="shared" si="21"/>
        <v>1429229.7900000063</v>
      </c>
      <c r="J35" s="2549">
        <f t="shared" si="21"/>
        <v>24865.840000002681</v>
      </c>
      <c r="K35" s="2549">
        <f t="shared" ref="K35:L35" si="22">K27+K29</f>
        <v>2768577.9400000051</v>
      </c>
      <c r="L35" s="2549">
        <f t="shared" si="22"/>
        <v>3647559.6300000041</v>
      </c>
      <c r="M35" s="2549">
        <f t="shared" ref="M35" si="23">M27+M29</f>
        <v>5636822.160000002</v>
      </c>
      <c r="N35" s="2792">
        <f>SUM(N27:N29)</f>
        <v>26947697.259999935</v>
      </c>
    </row>
    <row r="36" spans="1:18" x14ac:dyDescent="0.25">
      <c r="A36" s="2770" t="s">
        <v>126</v>
      </c>
      <c r="B36" s="2790">
        <f t="shared" ref="B36:I36" si="24">SUM(B37:B44)</f>
        <v>1416207.0499999998</v>
      </c>
      <c r="C36" s="2790">
        <f t="shared" si="24"/>
        <v>867963.95000000007</v>
      </c>
      <c r="D36" s="2790">
        <f t="shared" si="24"/>
        <v>2106946.38</v>
      </c>
      <c r="E36" s="2790">
        <f t="shared" si="24"/>
        <v>1117431.8900000001</v>
      </c>
      <c r="F36" s="2790">
        <f t="shared" si="24"/>
        <v>1309514.6499999999</v>
      </c>
      <c r="G36" s="2790">
        <f t="shared" si="24"/>
        <v>1341998.42</v>
      </c>
      <c r="H36" s="2790">
        <f t="shared" si="24"/>
        <v>1311748.3</v>
      </c>
      <c r="I36" s="2790">
        <f t="shared" si="24"/>
        <v>1579915.62</v>
      </c>
      <c r="J36" s="2790">
        <f t="shared" ref="J36:K36" si="25">SUM(J37:J44)</f>
        <v>1683367.67</v>
      </c>
      <c r="K36" s="2790">
        <f t="shared" si="25"/>
        <v>1322682.3</v>
      </c>
      <c r="L36" s="2790">
        <f t="shared" ref="L36:M36" si="26">SUM(L37:L44)</f>
        <v>1840574.01</v>
      </c>
      <c r="M36" s="2790">
        <f t="shared" si="26"/>
        <v>1549803.84</v>
      </c>
      <c r="N36" s="2849">
        <f>SUM(N37:N44)</f>
        <v>17344302.18</v>
      </c>
      <c r="O36" s="2814">
        <f>SUM(O37:O44)</f>
        <v>1773243.3299999998</v>
      </c>
      <c r="P36" s="153">
        <f>N36-O36</f>
        <v>15571058.85</v>
      </c>
    </row>
    <row r="37" spans="1:18" x14ac:dyDescent="0.25">
      <c r="A37" s="2771" t="s">
        <v>127</v>
      </c>
      <c r="B37" s="2495">
        <v>433740</v>
      </c>
      <c r="C37" s="2496">
        <v>513190.13</v>
      </c>
      <c r="D37" s="2495">
        <v>575240.25</v>
      </c>
      <c r="E37" s="2495">
        <v>413383.32</v>
      </c>
      <c r="F37" s="2495">
        <v>449879.61</v>
      </c>
      <c r="G37" s="2495">
        <f>362222.49-2999</f>
        <v>359223.49</v>
      </c>
      <c r="H37" s="2495">
        <v>510925.18</v>
      </c>
      <c r="I37" s="2495">
        <v>466535.31</v>
      </c>
      <c r="J37" s="2495">
        <v>547706.56999999995</v>
      </c>
      <c r="K37" s="2495">
        <v>349480.88</v>
      </c>
      <c r="L37" s="2495">
        <v>599924.47</v>
      </c>
      <c r="M37" s="2495">
        <v>656533.52</v>
      </c>
      <c r="N37" s="2842">
        <v>5875758.7300000004</v>
      </c>
      <c r="O37" s="2814">
        <f>'Indirect Expns'!N3</f>
        <v>778205.02</v>
      </c>
      <c r="P37" s="153">
        <f t="shared" ref="P37:P39" si="27">N37-O37</f>
        <v>5097553.7100000009</v>
      </c>
    </row>
    <row r="38" spans="1:18" x14ac:dyDescent="0.25">
      <c r="A38" s="2771" t="s">
        <v>152</v>
      </c>
      <c r="B38" s="2816">
        <v>949852.84</v>
      </c>
      <c r="C38" s="2817">
        <v>293672.65000000002</v>
      </c>
      <c r="D38" s="2816">
        <v>1204638.48</v>
      </c>
      <c r="E38" s="2816">
        <f>636284.15+5551.82</f>
        <v>641835.97</v>
      </c>
      <c r="F38" s="2816">
        <v>741787.04</v>
      </c>
      <c r="G38" s="2816">
        <f>939757.7</f>
        <v>939757.7</v>
      </c>
      <c r="H38" s="2816">
        <f>764520.87</f>
        <v>764520.87</v>
      </c>
      <c r="I38" s="2816">
        <f>725611.56+119000</f>
        <v>844611.56</v>
      </c>
      <c r="J38" s="2816">
        <v>944106.67</v>
      </c>
      <c r="K38" s="2816">
        <v>817578.17</v>
      </c>
      <c r="L38" s="2816">
        <v>1010214.06</v>
      </c>
      <c r="M38" s="2816">
        <v>784231.14</v>
      </c>
      <c r="N38" s="2842">
        <v>9817807.25</v>
      </c>
      <c r="O38" s="2814">
        <f>'Indirect Expns'!N41</f>
        <v>806285.9</v>
      </c>
      <c r="P38" s="153">
        <f t="shared" si="27"/>
        <v>9011521.3499999996</v>
      </c>
      <c r="Q38">
        <v>6499677.1100000003</v>
      </c>
    </row>
    <row r="39" spans="1:18" x14ac:dyDescent="0.25">
      <c r="A39" s="2771" t="s">
        <v>158</v>
      </c>
      <c r="B39" s="2495">
        <v>32614.21</v>
      </c>
      <c r="C39" s="2496">
        <f>61417.17-316</f>
        <v>61101.17</v>
      </c>
      <c r="D39" s="2495">
        <f>146517.65-450+181000</f>
        <v>327067.65000000002</v>
      </c>
      <c r="E39" s="2495">
        <v>62212.6</v>
      </c>
      <c r="F39" s="2495">
        <v>117848</v>
      </c>
      <c r="G39" s="2495">
        <v>43017.23</v>
      </c>
      <c r="H39" s="2495">
        <v>36302.25</v>
      </c>
      <c r="I39" s="2495">
        <f>268296.75+472</f>
        <v>268768.75</v>
      </c>
      <c r="J39" s="2495">
        <v>191554.43</v>
      </c>
      <c r="K39" s="2495">
        <v>101623.25</v>
      </c>
      <c r="L39" s="2495">
        <v>230435.48</v>
      </c>
      <c r="M39" s="2495">
        <v>62584.18</v>
      </c>
      <c r="N39" s="2842">
        <v>1369575.2</v>
      </c>
      <c r="O39" s="2814">
        <f>'Indirect Expns'!N52</f>
        <v>188752.41</v>
      </c>
      <c r="P39" s="153">
        <f t="shared" si="27"/>
        <v>1180822.79</v>
      </c>
      <c r="Q39">
        <f>Q38-O38</f>
        <v>5693391.21</v>
      </c>
    </row>
    <row r="40" spans="1:18" x14ac:dyDescent="0.25">
      <c r="A40" s="2771" t="s">
        <v>982</v>
      </c>
      <c r="B40" s="2495"/>
      <c r="C40" s="2496"/>
      <c r="D40" s="2495"/>
      <c r="E40" s="2495"/>
      <c r="F40" s="2495"/>
      <c r="G40" s="2495"/>
      <c r="H40" s="2495"/>
      <c r="I40" s="2495"/>
      <c r="J40" s="2495"/>
      <c r="K40" s="2495"/>
      <c r="L40" s="2495"/>
      <c r="M40" s="2495"/>
      <c r="N40" s="2793"/>
      <c r="O40" s="2814"/>
    </row>
    <row r="41" spans="1:18" x14ac:dyDescent="0.25">
      <c r="A41" s="2771" t="s">
        <v>983</v>
      </c>
      <c r="B41" s="2495"/>
      <c r="C41" s="2496"/>
      <c r="D41" s="2495"/>
      <c r="E41" s="2495"/>
      <c r="F41" s="2495"/>
      <c r="G41" s="2495"/>
      <c r="H41" s="2495"/>
      <c r="I41" s="2495"/>
      <c r="J41" s="2495"/>
      <c r="K41" s="2495"/>
      <c r="L41" s="2495"/>
      <c r="M41" s="2495"/>
      <c r="N41" s="2793"/>
      <c r="O41" s="2814"/>
    </row>
    <row r="42" spans="1:18" x14ac:dyDescent="0.25">
      <c r="A42" s="2772" t="s">
        <v>984</v>
      </c>
      <c r="B42" s="2495"/>
      <c r="C42" s="2496"/>
      <c r="D42" s="2495"/>
      <c r="E42" s="2495"/>
      <c r="F42" s="2495"/>
      <c r="G42" s="2495"/>
      <c r="H42" s="2495"/>
      <c r="I42" s="2495"/>
      <c r="J42" s="2495"/>
      <c r="K42" s="2495"/>
      <c r="L42" s="2495"/>
      <c r="M42" s="2495"/>
      <c r="N42" s="2793"/>
      <c r="O42" s="2814"/>
    </row>
    <row r="43" spans="1:18" x14ac:dyDescent="0.25">
      <c r="A43" s="2772" t="s">
        <v>356</v>
      </c>
      <c r="B43" s="2495"/>
      <c r="C43" s="2496"/>
      <c r="D43" s="2495"/>
      <c r="E43" s="2495"/>
      <c r="F43" s="2495"/>
      <c r="G43" s="2495"/>
      <c r="H43" s="2495"/>
      <c r="I43" s="2495"/>
      <c r="J43" s="2495"/>
      <c r="K43" s="2495"/>
      <c r="L43" s="2495"/>
      <c r="M43" s="2495"/>
      <c r="N43" s="2842">
        <v>-766</v>
      </c>
      <c r="O43" s="2814"/>
      <c r="P43" s="153">
        <f t="shared" ref="P43:P44" si="28">N43-O43</f>
        <v>-766</v>
      </c>
    </row>
    <row r="44" spans="1:18" x14ac:dyDescent="0.25">
      <c r="A44" s="2772" t="s">
        <v>985</v>
      </c>
      <c r="B44" s="2495"/>
      <c r="C44" s="2496"/>
      <c r="D44" s="2495"/>
      <c r="E44" s="2495"/>
      <c r="F44" s="2495"/>
      <c r="G44" s="2495"/>
      <c r="H44" s="2495"/>
      <c r="I44" s="2495"/>
      <c r="J44" s="2495"/>
      <c r="K44" s="2495">
        <v>54000</v>
      </c>
      <c r="L44" s="2495"/>
      <c r="M44" s="2495">
        <v>46455</v>
      </c>
      <c r="N44" s="2844">
        <v>281927</v>
      </c>
      <c r="O44" s="2814"/>
      <c r="P44" s="153">
        <f t="shared" si="28"/>
        <v>281927</v>
      </c>
    </row>
    <row r="45" spans="1:18" ht="15" thickBot="1" x14ac:dyDescent="0.35">
      <c r="A45" s="680" t="s">
        <v>986</v>
      </c>
      <c r="B45" s="2801">
        <v>263077.44</v>
      </c>
      <c r="C45" s="2802">
        <v>1829351.22</v>
      </c>
      <c r="D45" s="2801">
        <v>1848758.11</v>
      </c>
      <c r="E45" s="2801">
        <f t="shared" ref="E45:J45" si="29">E35-E36</f>
        <v>588796.24999999837</v>
      </c>
      <c r="F45" s="2801">
        <f t="shared" si="29"/>
        <v>1142128.5800000015</v>
      </c>
      <c r="G45" s="2801">
        <f t="shared" si="29"/>
        <v>-583547.72000000603</v>
      </c>
      <c r="H45" s="2801">
        <f t="shared" si="29"/>
        <v>-1138714.6200000041</v>
      </c>
      <c r="I45" s="2801">
        <f t="shared" si="29"/>
        <v>-150685.82999999379</v>
      </c>
      <c r="J45" s="2801">
        <f t="shared" si="29"/>
        <v>-1658501.8299999973</v>
      </c>
      <c r="K45" s="2801">
        <f t="shared" ref="K45:L45" si="30">K35-K36</f>
        <v>1445895.640000005</v>
      </c>
      <c r="L45" s="2801">
        <f t="shared" si="30"/>
        <v>1806985.6200000041</v>
      </c>
      <c r="M45" s="2801">
        <f t="shared" ref="M45" si="31">M35-M36</f>
        <v>4087018.3200000022</v>
      </c>
      <c r="N45" s="2803">
        <f>N35-N36</f>
        <v>9603395.0799999349</v>
      </c>
      <c r="O45" s="2814">
        <f>N45+P36</f>
        <v>25174453.929999933</v>
      </c>
      <c r="P45" s="153">
        <f>N45-O45</f>
        <v>-15571058.849999998</v>
      </c>
      <c r="Q45">
        <v>5515356.7599999998</v>
      </c>
      <c r="R45" s="2477">
        <f>N45-Q45</f>
        <v>4088038.3199999351</v>
      </c>
    </row>
    <row r="46" spans="1:18" x14ac:dyDescent="0.25">
      <c r="A46" s="680" t="s">
        <v>173</v>
      </c>
      <c r="B46" s="2791">
        <f>B27</f>
        <v>1679266.64</v>
      </c>
      <c r="C46" s="2791">
        <f t="shared" ref="C46:I46" si="32">C27</f>
        <v>2696516.5</v>
      </c>
      <c r="D46" s="2791">
        <f t="shared" si="32"/>
        <v>3979027.49</v>
      </c>
      <c r="E46" s="2791">
        <f t="shared" si="32"/>
        <v>1706223.6499999985</v>
      </c>
      <c r="F46" s="2791">
        <f t="shared" si="32"/>
        <v>2451591.9400000013</v>
      </c>
      <c r="G46" s="2791">
        <f t="shared" si="32"/>
        <v>758450.43999999389</v>
      </c>
      <c r="H46" s="2791">
        <f t="shared" si="32"/>
        <v>172943.42999999598</v>
      </c>
      <c r="I46" s="2791">
        <f t="shared" si="32"/>
        <v>1429225.2200000063</v>
      </c>
      <c r="J46" s="2791">
        <f t="shared" ref="J46:K46" si="33">J27</f>
        <v>-16027.119999997318</v>
      </c>
      <c r="K46" s="2791">
        <f t="shared" si="33"/>
        <v>2768577.4400000051</v>
      </c>
      <c r="L46" s="2791">
        <f t="shared" ref="L46:M46" si="34">L27</f>
        <v>3597110.7300000042</v>
      </c>
      <c r="M46" s="2791">
        <f t="shared" si="34"/>
        <v>5577624.4900000021</v>
      </c>
      <c r="N46" s="2687">
        <f>N27</f>
        <v>26799194.569999933</v>
      </c>
    </row>
    <row r="47" spans="1:18" x14ac:dyDescent="0.25">
      <c r="A47" s="680" t="s">
        <v>987</v>
      </c>
      <c r="B47" s="2791">
        <f>B27-(B25+B37+B39)</f>
        <v>1087912.43</v>
      </c>
      <c r="C47" s="2791">
        <f t="shared" ref="C47:N47" si="35">C27-(C25+C37+C39)</f>
        <v>1997225.2</v>
      </c>
      <c r="D47" s="2791">
        <f t="shared" si="35"/>
        <v>2951719.5900000003</v>
      </c>
      <c r="E47" s="2791">
        <f t="shared" si="35"/>
        <v>1105627.7299999986</v>
      </c>
      <c r="F47" s="2791">
        <f t="shared" si="35"/>
        <v>1758864.3300000015</v>
      </c>
      <c r="G47" s="2791">
        <f t="shared" si="35"/>
        <v>231209.71999999392</v>
      </c>
      <c r="H47" s="2791">
        <f t="shared" si="35"/>
        <v>-499284.00000000396</v>
      </c>
      <c r="I47" s="2791">
        <f t="shared" si="35"/>
        <v>568921.1600000062</v>
      </c>
      <c r="J47" s="2791">
        <f t="shared" ref="J47:K47" si="36">J27-(J25+J37+J39)</f>
        <v>-880288.11999999732</v>
      </c>
      <c r="K47" s="2791">
        <f t="shared" si="36"/>
        <v>2192473.3100000052</v>
      </c>
      <c r="L47" s="2791">
        <f t="shared" ref="L47:M47" si="37">L27-(L25+L37+L39)</f>
        <v>2641750.780000004</v>
      </c>
      <c r="M47" s="2791">
        <f t="shared" si="37"/>
        <v>4733506.7900000019</v>
      </c>
      <c r="N47" s="2791">
        <f t="shared" si="35"/>
        <v>18053860.639999934</v>
      </c>
    </row>
    <row r="48" spans="1:18" x14ac:dyDescent="0.25">
      <c r="A48" s="680"/>
      <c r="B48" s="2791"/>
      <c r="C48" s="2804"/>
      <c r="D48" s="2791"/>
      <c r="E48" s="2791"/>
      <c r="F48" s="2687"/>
      <c r="G48" s="2687"/>
      <c r="H48" s="2687"/>
      <c r="I48" s="2687"/>
      <c r="J48" s="2687"/>
      <c r="K48" s="2687"/>
      <c r="L48" s="2687"/>
      <c r="M48" s="2687"/>
      <c r="N48" s="2687"/>
    </row>
    <row r="49" spans="1:15" x14ac:dyDescent="0.25">
      <c r="B49" s="2687"/>
      <c r="C49" s="2687"/>
      <c r="D49" s="2687"/>
      <c r="E49" s="2687"/>
      <c r="F49" s="2687"/>
      <c r="G49" s="2687"/>
      <c r="H49" s="2687"/>
      <c r="I49" s="2687"/>
      <c r="J49" s="2687"/>
      <c r="K49" s="2687"/>
      <c r="L49" s="2687"/>
      <c r="M49" s="2687"/>
      <c r="N49" s="2687"/>
    </row>
    <row r="50" spans="1:15" x14ac:dyDescent="0.25">
      <c r="A50" s="2772" t="s">
        <v>988</v>
      </c>
      <c r="B50" s="2805">
        <f>'Stock Valuation (FIFO)'!D8</f>
        <v>17774647</v>
      </c>
      <c r="C50" s="2805">
        <f t="shared" ref="C50:M50" si="38">B52</f>
        <v>10892019</v>
      </c>
      <c r="D50" s="2805">
        <f t="shared" si="38"/>
        <v>14351528</v>
      </c>
      <c r="E50" s="2805">
        <f t="shared" si="38"/>
        <v>0</v>
      </c>
      <c r="F50" s="2805">
        <f t="shared" si="38"/>
        <v>0</v>
      </c>
      <c r="G50" s="2805">
        <f t="shared" si="38"/>
        <v>0</v>
      </c>
      <c r="H50" s="2805">
        <f t="shared" si="38"/>
        <v>0</v>
      </c>
      <c r="I50" s="2805">
        <f t="shared" si="38"/>
        <v>0</v>
      </c>
      <c r="J50" s="2805">
        <f t="shared" si="38"/>
        <v>0</v>
      </c>
      <c r="K50" s="2805">
        <f t="shared" si="38"/>
        <v>0</v>
      </c>
      <c r="L50" s="2805">
        <f t="shared" si="38"/>
        <v>0</v>
      </c>
      <c r="M50" s="2805">
        <f t="shared" si="38"/>
        <v>0</v>
      </c>
      <c r="N50" s="2687">
        <f>B50</f>
        <v>17774647</v>
      </c>
      <c r="O50" s="2811">
        <f>'Stock Valuation (FIFO)'!D8</f>
        <v>17774647</v>
      </c>
    </row>
    <row r="51" spans="1:15" x14ac:dyDescent="0.25">
      <c r="A51" s="2772" t="s">
        <v>989</v>
      </c>
      <c r="B51" s="2805">
        <f>Purchase!$P5</f>
        <v>226044</v>
      </c>
      <c r="C51" s="2805">
        <f>Purchase!$P6</f>
        <v>11434587</v>
      </c>
      <c r="D51" s="2805">
        <f>Purchase!$P7</f>
        <v>0</v>
      </c>
      <c r="E51" s="2805">
        <f>Purchase!$P8</f>
        <v>0</v>
      </c>
      <c r="F51" s="2805">
        <f>Purchase!$P9</f>
        <v>0</v>
      </c>
      <c r="G51" s="2805">
        <f>Purchase!$P10</f>
        <v>0</v>
      </c>
      <c r="H51" s="2805">
        <f>Purchase!$P11</f>
        <v>0</v>
      </c>
      <c r="I51" s="2805">
        <f>Purchase!$P12</f>
        <v>0</v>
      </c>
      <c r="J51" s="2805">
        <f>Purchase!$P13</f>
        <v>0</v>
      </c>
      <c r="K51" s="2805">
        <f>Purchase!$P14</f>
        <v>0</v>
      </c>
      <c r="L51" s="2805">
        <f>Purchase!$P15</f>
        <v>0</v>
      </c>
      <c r="M51" s="2805">
        <f>Purchase!$P16</f>
        <v>0</v>
      </c>
      <c r="N51" s="2687">
        <f>SUM(B51:M51)</f>
        <v>11660631</v>
      </c>
      <c r="O51" s="1414">
        <f>Purchase!P17</f>
        <v>11660631</v>
      </c>
    </row>
    <row r="52" spans="1:15" ht="13.8" thickBot="1" x14ac:dyDescent="0.3">
      <c r="A52" s="2777" t="s">
        <v>990</v>
      </c>
      <c r="B52" s="2806">
        <f>'Stock Valuation (FIFO)'!G$8</f>
        <v>10892019</v>
      </c>
      <c r="C52" s="2806">
        <f>'Stock Valuation (FIFO)'!J$8</f>
        <v>14351528</v>
      </c>
      <c r="D52" s="2806">
        <f>'Stock Valuation (FIFO)'!M$8</f>
        <v>0</v>
      </c>
      <c r="E52" s="2806">
        <f>'Stock Valuation (FIFO)'!P$8</f>
        <v>0</v>
      </c>
      <c r="F52" s="2806">
        <f>'Stock Valuation (FIFO)'!S$8</f>
        <v>0</v>
      </c>
      <c r="G52" s="2806">
        <f>'Stock Valuation (FIFO)'!V$8</f>
        <v>0</v>
      </c>
      <c r="H52" s="2806">
        <f>'Stock Valuation (FIFO)'!Y$8</f>
        <v>0</v>
      </c>
      <c r="I52" s="2806">
        <f>'Stock Valuation (FIFO)'!AB$8</f>
        <v>0</v>
      </c>
      <c r="J52" s="2806">
        <f>'Stock Valuation (FIFO)'!AE$8</f>
        <v>0</v>
      </c>
      <c r="K52" s="2806">
        <f>'Stock Valuation (FIFO)'!AH8</f>
        <v>0</v>
      </c>
      <c r="L52" s="2806">
        <f>'Stock Valuation (FIFO)'!AK$8</f>
        <v>0</v>
      </c>
      <c r="M52" s="2806">
        <f>'Stock Valuation (FIFO)'!AN$8</f>
        <v>0</v>
      </c>
      <c r="N52" s="2688">
        <f>L52</f>
        <v>0</v>
      </c>
      <c r="O52" s="2813">
        <f>'Stock Valuation (FIFO)'!AB8</f>
        <v>0</v>
      </c>
    </row>
    <row r="53" spans="1:15" x14ac:dyDescent="0.25">
      <c r="A53" s="2778" t="s">
        <v>991</v>
      </c>
      <c r="B53" s="2691">
        <f t="shared" ref="B53:I53" si="39">B50+B51-B52-B69</f>
        <v>7108672</v>
      </c>
      <c r="C53" s="2691">
        <f t="shared" si="39"/>
        <v>7965703</v>
      </c>
      <c r="D53" s="2691">
        <f t="shared" si="39"/>
        <v>14351528</v>
      </c>
      <c r="E53" s="2691">
        <f t="shared" si="39"/>
        <v>0</v>
      </c>
      <c r="F53" s="2691">
        <f t="shared" si="39"/>
        <v>0</v>
      </c>
      <c r="G53" s="2691">
        <f t="shared" si="39"/>
        <v>0</v>
      </c>
      <c r="H53" s="2691">
        <f t="shared" si="39"/>
        <v>0</v>
      </c>
      <c r="I53" s="2691">
        <f t="shared" si="39"/>
        <v>0</v>
      </c>
      <c r="J53" s="2691">
        <f t="shared" ref="J53:K53" si="40">J50+J51-J52-J69</f>
        <v>0</v>
      </c>
      <c r="K53" s="2691">
        <f t="shared" si="40"/>
        <v>-97.44</v>
      </c>
      <c r="L53" s="2691">
        <f t="shared" ref="L53:M53" si="41">L50+L51-L52-L69</f>
        <v>0</v>
      </c>
      <c r="M53" s="2691">
        <f t="shared" si="41"/>
        <v>0</v>
      </c>
      <c r="N53" s="2691">
        <f>N50+N51-N52-N69</f>
        <v>29425903</v>
      </c>
      <c r="O53" s="2812"/>
    </row>
    <row r="54" spans="1:15" x14ac:dyDescent="0.25">
      <c r="A54" s="2772" t="s">
        <v>1016</v>
      </c>
      <c r="B54" s="2687">
        <f>ROUND((Purchase!$M22),0)</f>
        <v>668801</v>
      </c>
      <c r="C54" s="2687">
        <f>ROUND((Purchase!$M23),0)</f>
        <v>462250</v>
      </c>
      <c r="D54" s="2687">
        <f>ROUND((Purchase!$M24),0)</f>
        <v>0</v>
      </c>
      <c r="E54" s="2687">
        <f>ROUND((Purchase!$M25),0)</f>
        <v>0</v>
      </c>
      <c r="F54" s="2687">
        <f>ROUND((Purchase!$M26),0)</f>
        <v>0</v>
      </c>
      <c r="G54" s="2687">
        <f>ROUND((Purchase!$M27),0)</f>
        <v>0</v>
      </c>
      <c r="H54" s="2687">
        <f>ROUND((Purchase!$M28),0)</f>
        <v>0</v>
      </c>
      <c r="I54" s="2687">
        <f>ROUND((Purchase!$M29),0)</f>
        <v>0</v>
      </c>
      <c r="J54" s="2687">
        <f>ROUND((Purchase!$M30),0)</f>
        <v>0</v>
      </c>
      <c r="K54" s="2687">
        <f>ROUND((Purchase!$M31),0)</f>
        <v>0</v>
      </c>
      <c r="L54" s="2687">
        <f>ROUND((Purchase!$M32),0)</f>
        <v>0</v>
      </c>
      <c r="M54" s="2687">
        <f>ROUND((Purchase!$M33),0)</f>
        <v>0</v>
      </c>
      <c r="N54" s="2687">
        <f>ROUND((Purchase!$M34),0)</f>
        <v>1131051</v>
      </c>
      <c r="O54" s="1414">
        <f>Purchase!M34</f>
        <v>1131051</v>
      </c>
    </row>
    <row r="55" spans="1:15" x14ac:dyDescent="0.25">
      <c r="A55" s="2772" t="s">
        <v>1015</v>
      </c>
      <c r="B55" s="2687">
        <f>ROUND((Purchase!$J22),0)</f>
        <v>6277284</v>
      </c>
      <c r="C55" s="2687">
        <f>ROUND((Purchase!$J23),0)</f>
        <v>2777288</v>
      </c>
      <c r="D55" s="2687">
        <f>ROUND((Purchase!$J24),0)</f>
        <v>0</v>
      </c>
      <c r="E55" s="2687">
        <f>ROUND((Purchase!$J25),0)</f>
        <v>0</v>
      </c>
      <c r="F55" s="2687">
        <f>ROUND((Purchase!$J26),0)</f>
        <v>0</v>
      </c>
      <c r="G55" s="2687">
        <f>ROUND((Purchase!$J27),0)</f>
        <v>0</v>
      </c>
      <c r="H55" s="2687">
        <f>ROUND((Purchase!$J28),0)</f>
        <v>0</v>
      </c>
      <c r="I55" s="2687">
        <f>ROUND((Purchase!$J29),0)</f>
        <v>0</v>
      </c>
      <c r="J55" s="2687">
        <f>ROUND((Purchase!$J30),0)</f>
        <v>0</v>
      </c>
      <c r="K55" s="2687">
        <f>ROUND((Purchase!$J31),0)</f>
        <v>0</v>
      </c>
      <c r="L55" s="2687">
        <f>ROUND((Purchase!$J32),0)</f>
        <v>0</v>
      </c>
      <c r="M55" s="2687">
        <f>ROUND((Purchase!$J33),0)</f>
        <v>0</v>
      </c>
      <c r="N55" s="2687">
        <f>ROUND((Purchase!$J34),0)</f>
        <v>9054573</v>
      </c>
      <c r="O55" s="1414">
        <f>Purchase!J34</f>
        <v>9054573</v>
      </c>
    </row>
    <row r="56" spans="1:15" x14ac:dyDescent="0.25">
      <c r="A56" s="2772"/>
      <c r="B56" s="2687"/>
      <c r="C56" s="2687"/>
      <c r="D56" s="2687"/>
      <c r="E56" s="2687"/>
      <c r="F56" s="2687"/>
      <c r="G56" s="2687"/>
      <c r="H56" s="2687"/>
      <c r="I56" s="2687"/>
      <c r="J56" s="2687"/>
      <c r="K56" s="2687"/>
      <c r="L56" s="2687"/>
      <c r="M56" s="2687"/>
      <c r="N56" s="2687"/>
      <c r="O56" s="2812"/>
    </row>
    <row r="57" spans="1:15" x14ac:dyDescent="0.25">
      <c r="A57" s="2772" t="s">
        <v>992</v>
      </c>
      <c r="B57" s="2805">
        <f>'Stock Valuation (FIFO)'!D26-B62</f>
        <v>64854669</v>
      </c>
      <c r="C57" s="2805">
        <f t="shared" ref="C57:M57" si="42">B58</f>
        <v>68235204</v>
      </c>
      <c r="D57" s="2805">
        <f t="shared" si="42"/>
        <v>65195596</v>
      </c>
      <c r="E57" s="2805">
        <f t="shared" si="42"/>
        <v>0</v>
      </c>
      <c r="F57" s="2805">
        <f t="shared" si="42"/>
        <v>0</v>
      </c>
      <c r="G57" s="2805">
        <f t="shared" si="42"/>
        <v>0</v>
      </c>
      <c r="H57" s="2805">
        <f t="shared" si="42"/>
        <v>0</v>
      </c>
      <c r="I57" s="2805">
        <f t="shared" si="42"/>
        <v>0</v>
      </c>
      <c r="J57" s="2805">
        <f t="shared" si="42"/>
        <v>0</v>
      </c>
      <c r="K57" s="2805">
        <f t="shared" si="42"/>
        <v>0</v>
      </c>
      <c r="L57" s="2805">
        <f t="shared" si="42"/>
        <v>0</v>
      </c>
      <c r="M57" s="2805">
        <f t="shared" si="42"/>
        <v>0</v>
      </c>
      <c r="N57" s="2687">
        <f>B57</f>
        <v>64854669</v>
      </c>
      <c r="O57" s="2811">
        <f>'Stock Valuation (FIFO)'!D26-O62</f>
        <v>64854669</v>
      </c>
    </row>
    <row r="58" spans="1:15" ht="13.8" thickBot="1" x14ac:dyDescent="0.3">
      <c r="A58" s="2777" t="s">
        <v>993</v>
      </c>
      <c r="B58" s="2806">
        <f>'Stock Valuation (FIFO)'!G$26-B64</f>
        <v>68235204</v>
      </c>
      <c r="C58" s="2806">
        <f>'Stock Valuation (FIFO)'!J$26-C64</f>
        <v>65195596</v>
      </c>
      <c r="D58" s="2806">
        <f>'Stock Valuation (FIFO)'!M$26-D64</f>
        <v>0</v>
      </c>
      <c r="E58" s="2806">
        <f>'Stock Valuation (FIFO)'!P$26-E64</f>
        <v>0</v>
      </c>
      <c r="F58" s="2806">
        <f>'Stock Valuation (FIFO)'!S$26-F64</f>
        <v>0</v>
      </c>
      <c r="G58" s="2806">
        <f>'Stock Valuation (FIFO)'!V$26-G64</f>
        <v>0</v>
      </c>
      <c r="H58" s="2806">
        <f>'Stock Valuation (FIFO)'!Y$26-H64</f>
        <v>0</v>
      </c>
      <c r="I58" s="2806">
        <f>'Stock Valuation (FIFO)'!AB$26-I64</f>
        <v>0</v>
      </c>
      <c r="J58" s="2806">
        <f>'Stock Valuation (FIFO)'!AE26</f>
        <v>0</v>
      </c>
      <c r="K58" s="2806">
        <f>'Stock Valuation (FIFO)'!AD$26-K64</f>
        <v>0</v>
      </c>
      <c r="L58" s="2806">
        <f>'Stock Valuation (FIFO)'!AE$26-L64</f>
        <v>0</v>
      </c>
      <c r="M58" s="2806">
        <f>'Stock Valuation (FIFO)'!AF$26-M64</f>
        <v>0</v>
      </c>
      <c r="N58" s="2688">
        <f>I58</f>
        <v>0</v>
      </c>
      <c r="O58" s="2813">
        <f>'Stock Valuation (FIFO)'!AB26-O64</f>
        <v>0</v>
      </c>
    </row>
    <row r="59" spans="1:15" x14ac:dyDescent="0.25">
      <c r="A59" s="2772" t="s">
        <v>1003</v>
      </c>
      <c r="B59" s="2687">
        <f>B57-B58</f>
        <v>-3380535</v>
      </c>
      <c r="C59" s="2687">
        <f t="shared" ref="C59:N59" si="43">C57-C58</f>
        <v>3039608</v>
      </c>
      <c r="D59" s="2687">
        <f t="shared" si="43"/>
        <v>65195596</v>
      </c>
      <c r="E59" s="2687">
        <f t="shared" si="43"/>
        <v>0</v>
      </c>
      <c r="F59" s="2687">
        <f t="shared" si="43"/>
        <v>0</v>
      </c>
      <c r="G59" s="2687">
        <f t="shared" si="43"/>
        <v>0</v>
      </c>
      <c r="H59" s="2687">
        <f t="shared" si="43"/>
        <v>0</v>
      </c>
      <c r="I59" s="2687">
        <f t="shared" si="43"/>
        <v>0</v>
      </c>
      <c r="J59" s="2687">
        <f t="shared" ref="J59:K59" si="44">J57-J58</f>
        <v>0</v>
      </c>
      <c r="K59" s="2687">
        <f t="shared" si="44"/>
        <v>0</v>
      </c>
      <c r="L59" s="2687">
        <f t="shared" ref="L59:M59" si="45">L57-L58</f>
        <v>0</v>
      </c>
      <c r="M59" s="2687">
        <f t="shared" si="45"/>
        <v>0</v>
      </c>
      <c r="N59" s="2687">
        <f t="shared" si="43"/>
        <v>64854669</v>
      </c>
      <c r="O59" s="2812"/>
    </row>
    <row r="60" spans="1:15" ht="14.4" x14ac:dyDescent="0.3">
      <c r="A60" s="2779" t="s">
        <v>994</v>
      </c>
      <c r="B60" s="2807">
        <f t="shared" ref="B60:I60" si="46">B53+B70</f>
        <v>10674222</v>
      </c>
      <c r="C60" s="2807">
        <f t="shared" si="46"/>
        <v>14244849</v>
      </c>
      <c r="D60" s="2807">
        <f t="shared" si="46"/>
        <v>79547124</v>
      </c>
      <c r="E60" s="2807">
        <f t="shared" si="46"/>
        <v>0</v>
      </c>
      <c r="F60" s="2807">
        <f t="shared" si="46"/>
        <v>0</v>
      </c>
      <c r="G60" s="2807">
        <f t="shared" si="46"/>
        <v>0</v>
      </c>
      <c r="H60" s="2807">
        <f t="shared" si="46"/>
        <v>0</v>
      </c>
      <c r="I60" s="2807">
        <f t="shared" si="46"/>
        <v>0</v>
      </c>
      <c r="J60" s="2807">
        <f t="shared" ref="J60:K60" si="47">J53+J70</f>
        <v>0</v>
      </c>
      <c r="K60" s="2807">
        <f t="shared" si="47"/>
        <v>-97.44</v>
      </c>
      <c r="L60" s="2807">
        <f t="shared" ref="L60:M60" si="48">L53+L70</f>
        <v>0</v>
      </c>
      <c r="M60" s="2807">
        <f t="shared" si="48"/>
        <v>0</v>
      </c>
      <c r="N60" s="2807">
        <f>N53+N70</f>
        <v>104466196</v>
      </c>
      <c r="O60" s="2812"/>
    </row>
    <row r="61" spans="1:15" x14ac:dyDescent="0.25">
      <c r="A61" s="2772"/>
      <c r="B61" s="2687"/>
      <c r="C61" s="2687"/>
      <c r="D61" s="2687"/>
      <c r="E61" s="2687"/>
      <c r="F61" s="2687"/>
      <c r="G61" s="2687"/>
      <c r="H61" s="2687"/>
      <c r="I61" s="2687"/>
      <c r="J61" s="2687"/>
      <c r="K61" s="2687"/>
      <c r="L61" s="2687"/>
      <c r="M61" s="2687"/>
      <c r="N61" s="2687"/>
      <c r="O61" s="2812"/>
    </row>
    <row r="62" spans="1:15" x14ac:dyDescent="0.25">
      <c r="A62" s="2772" t="s">
        <v>995</v>
      </c>
      <c r="B62" s="2805">
        <f>'Stock Valuation (FIFO)'!D21</f>
        <v>231070</v>
      </c>
      <c r="C62" s="2805">
        <f t="shared" ref="C62:M62" si="49">B64</f>
        <v>224652</v>
      </c>
      <c r="D62" s="2805">
        <f t="shared" si="49"/>
        <v>245972</v>
      </c>
      <c r="E62" s="2805">
        <f t="shared" si="49"/>
        <v>0</v>
      </c>
      <c r="F62" s="2805">
        <f t="shared" si="49"/>
        <v>0</v>
      </c>
      <c r="G62" s="2805">
        <f t="shared" si="49"/>
        <v>0</v>
      </c>
      <c r="H62" s="2805">
        <f t="shared" si="49"/>
        <v>0</v>
      </c>
      <c r="I62" s="2805">
        <f t="shared" si="49"/>
        <v>0</v>
      </c>
      <c r="J62" s="2805">
        <f t="shared" si="49"/>
        <v>0</v>
      </c>
      <c r="K62" s="2805">
        <f t="shared" si="49"/>
        <v>0</v>
      </c>
      <c r="L62" s="2805">
        <f t="shared" si="49"/>
        <v>0</v>
      </c>
      <c r="M62" s="2805">
        <f t="shared" si="49"/>
        <v>0</v>
      </c>
      <c r="N62" s="2687">
        <f>B62</f>
        <v>231070</v>
      </c>
      <c r="O62" s="2811">
        <f>'Stock Valuation (FIFO)'!D21</f>
        <v>231070</v>
      </c>
    </row>
    <row r="63" spans="1:15" x14ac:dyDescent="0.25">
      <c r="A63" s="2772" t="s">
        <v>996</v>
      </c>
      <c r="B63" s="2805">
        <f>ROUND((Purchase!$L52),0)</f>
        <v>2224579</v>
      </c>
      <c r="C63" s="2805">
        <v>1437319</v>
      </c>
      <c r="D63" s="2805">
        <v>1146692</v>
      </c>
      <c r="E63" s="2805">
        <v>1333120</v>
      </c>
      <c r="F63" s="2805">
        <v>1004334</v>
      </c>
      <c r="G63" s="2805">
        <v>1004334</v>
      </c>
      <c r="H63" s="2805">
        <v>1004334</v>
      </c>
      <c r="I63" s="2805">
        <v>1004334</v>
      </c>
      <c r="J63" s="2805">
        <v>1004334</v>
      </c>
      <c r="K63" s="2805">
        <v>1004334</v>
      </c>
      <c r="L63" s="2805">
        <v>1004334</v>
      </c>
      <c r="M63" s="2805">
        <v>1004334</v>
      </c>
      <c r="N63" s="2687">
        <f>ROUND((Purchase!L64),0)</f>
        <v>3694833</v>
      </c>
      <c r="O63" s="2811">
        <f>Purchase!L64</f>
        <v>3694833</v>
      </c>
    </row>
    <row r="64" spans="1:15" ht="13.8" thickBot="1" x14ac:dyDescent="0.3">
      <c r="A64" s="2777" t="s">
        <v>997</v>
      </c>
      <c r="B64" s="2806">
        <f>'Stock Valuation (FIFO)'!G$21</f>
        <v>224652</v>
      </c>
      <c r="C64" s="2806">
        <f>'Stock Valuation (FIFO)'!J$21</f>
        <v>245972</v>
      </c>
      <c r="D64" s="2806">
        <f>'Stock Valuation (FIFO)'!M$21</f>
        <v>0</v>
      </c>
      <c r="E64" s="2806">
        <f>'Stock Valuation (FIFO)'!P$21</f>
        <v>0</v>
      </c>
      <c r="F64" s="2806">
        <f>'Stock Valuation (FIFO)'!S$21</f>
        <v>0</v>
      </c>
      <c r="G64" s="2806">
        <f>'Stock Valuation (FIFO)'!V$21</f>
        <v>0</v>
      </c>
      <c r="H64" s="2806">
        <f>'Stock Valuation (FIFO)'!Y$21</f>
        <v>0</v>
      </c>
      <c r="I64" s="2806">
        <f>'Stock Valuation (FIFO)'!AB$21</f>
        <v>0</v>
      </c>
      <c r="J64" s="2806">
        <f>'Stock Valuation (FIFO)'!AC$21</f>
        <v>0</v>
      </c>
      <c r="K64" s="2806">
        <f>'Stock Valuation (FIFO)'!AD$21</f>
        <v>0</v>
      </c>
      <c r="L64" s="2806">
        <f>'Stock Valuation (FIFO)'!AE$21</f>
        <v>0</v>
      </c>
      <c r="M64" s="2806">
        <f>'Stock Valuation (FIFO)'!AF$21</f>
        <v>0</v>
      </c>
      <c r="N64" s="2688">
        <f>I64</f>
        <v>0</v>
      </c>
      <c r="O64" s="2813">
        <f>'Stock Valuation (FIFO)'!AB21</f>
        <v>0</v>
      </c>
    </row>
    <row r="65" spans="1:15" ht="14.4" x14ac:dyDescent="0.3">
      <c r="A65" s="2779" t="s">
        <v>998</v>
      </c>
      <c r="B65" s="2807">
        <f>B62+B63-B64</f>
        <v>2230997</v>
      </c>
      <c r="C65" s="2807">
        <f t="shared" ref="C65:I65" si="50">C62+C63-C64</f>
        <v>1415999</v>
      </c>
      <c r="D65" s="2807">
        <f t="shared" si="50"/>
        <v>1392664</v>
      </c>
      <c r="E65" s="2807">
        <f t="shared" si="50"/>
        <v>1333120</v>
      </c>
      <c r="F65" s="2807">
        <f t="shared" si="50"/>
        <v>1004334</v>
      </c>
      <c r="G65" s="2807">
        <f t="shared" si="50"/>
        <v>1004334</v>
      </c>
      <c r="H65" s="2807">
        <f t="shared" si="50"/>
        <v>1004334</v>
      </c>
      <c r="I65" s="2807">
        <f t="shared" si="50"/>
        <v>1004334</v>
      </c>
      <c r="J65" s="2807">
        <f t="shared" ref="J65:K65" si="51">J62+J63-J64</f>
        <v>1004334</v>
      </c>
      <c r="K65" s="2807">
        <f t="shared" si="51"/>
        <v>1004334</v>
      </c>
      <c r="L65" s="2807">
        <f t="shared" ref="L65:M65" si="52">L62+L63-L64</f>
        <v>1004334</v>
      </c>
      <c r="M65" s="2807">
        <f t="shared" si="52"/>
        <v>1004334</v>
      </c>
      <c r="N65" s="2687">
        <f>N62+N63-N64-N78</f>
        <v>3925903</v>
      </c>
      <c r="O65" s="2812"/>
    </row>
    <row r="66" spans="1:15" x14ac:dyDescent="0.25">
      <c r="A66" s="2779" t="s">
        <v>999</v>
      </c>
      <c r="B66" s="2687">
        <f t="shared" ref="B66:I66" si="53">B62-B64</f>
        <v>6418</v>
      </c>
      <c r="C66" s="2687">
        <f t="shared" si="53"/>
        <v>-21320</v>
      </c>
      <c r="D66" s="2687">
        <f t="shared" si="53"/>
        <v>245972</v>
      </c>
      <c r="E66" s="2687">
        <f t="shared" si="53"/>
        <v>0</v>
      </c>
      <c r="F66" s="2687">
        <f t="shared" si="53"/>
        <v>0</v>
      </c>
      <c r="G66" s="2687">
        <f t="shared" si="53"/>
        <v>0</v>
      </c>
      <c r="H66" s="2687">
        <f t="shared" si="53"/>
        <v>0</v>
      </c>
      <c r="I66" s="2687">
        <f t="shared" si="53"/>
        <v>0</v>
      </c>
      <c r="J66" s="2687">
        <f t="shared" ref="J66:K66" si="54">J62-J64</f>
        <v>0</v>
      </c>
      <c r="K66" s="2687">
        <f t="shared" si="54"/>
        <v>0</v>
      </c>
      <c r="L66" s="2687">
        <f t="shared" ref="L66:M66" si="55">L62-L64</f>
        <v>0</v>
      </c>
      <c r="M66" s="2687">
        <f t="shared" si="55"/>
        <v>0</v>
      </c>
      <c r="N66" s="2687">
        <f>N62-N64</f>
        <v>231070</v>
      </c>
      <c r="O66" s="2812"/>
    </row>
    <row r="67" spans="1:15" ht="14.4" x14ac:dyDescent="0.3">
      <c r="A67" s="2779" t="s">
        <v>674</v>
      </c>
      <c r="B67" s="2807">
        <f>B60+B65</f>
        <v>12905219</v>
      </c>
      <c r="C67" s="2807">
        <f t="shared" ref="C67:I67" si="56">C53+C70+C59+C65+C69-C66</f>
        <v>18731151</v>
      </c>
      <c r="D67" s="2807">
        <f t="shared" si="56"/>
        <v>145889412</v>
      </c>
      <c r="E67" s="2807">
        <f t="shared" si="56"/>
        <v>1333120</v>
      </c>
      <c r="F67" s="2807">
        <f t="shared" si="56"/>
        <v>1004334</v>
      </c>
      <c r="G67" s="2807">
        <f t="shared" si="56"/>
        <v>1004334</v>
      </c>
      <c r="H67" s="2807">
        <f t="shared" si="56"/>
        <v>1004334</v>
      </c>
      <c r="I67" s="2807">
        <f t="shared" si="56"/>
        <v>1004334</v>
      </c>
      <c r="J67" s="2807">
        <f t="shared" ref="J67:K67" si="57">J53+J70+J59+J65+J69-J66</f>
        <v>1004334</v>
      </c>
      <c r="K67" s="2807">
        <f t="shared" si="57"/>
        <v>1004334</v>
      </c>
      <c r="L67" s="2807">
        <f t="shared" ref="L67:M67" si="58">L53+L70+L59+L65+L69-L66</f>
        <v>1004334</v>
      </c>
      <c r="M67" s="2807">
        <f t="shared" si="58"/>
        <v>1004334</v>
      </c>
      <c r="N67" s="2807">
        <f>N53+N70+N59+N65+N69-N66</f>
        <v>173025073</v>
      </c>
      <c r="O67" s="2812"/>
    </row>
    <row r="68" spans="1:15" ht="14.4" x14ac:dyDescent="0.3">
      <c r="A68" s="2781" t="s">
        <v>1000</v>
      </c>
      <c r="B68" s="2808">
        <f>B22</f>
        <v>17750564.469999999</v>
      </c>
      <c r="C68" s="2808">
        <f t="shared" ref="C68:N68" si="59">C22</f>
        <v>23714122.91</v>
      </c>
      <c r="D68" s="2808">
        <f t="shared" si="59"/>
        <v>23738647.059999999</v>
      </c>
      <c r="E68" s="2808">
        <f t="shared" si="59"/>
        <v>21576413.230000004</v>
      </c>
      <c r="F68" s="2808">
        <f t="shared" si="59"/>
        <v>21204819.469999999</v>
      </c>
      <c r="G68" s="2808">
        <f t="shared" si="59"/>
        <v>14285172.620000005</v>
      </c>
      <c r="H68" s="2808">
        <f t="shared" si="59"/>
        <v>16710216.170000002</v>
      </c>
      <c r="I68" s="2808">
        <f t="shared" si="59"/>
        <v>22733330.099999994</v>
      </c>
      <c r="J68" s="2808">
        <f t="shared" ref="J68:K68" si="60">J22</f>
        <v>12853477.519999996</v>
      </c>
      <c r="K68" s="2808">
        <f t="shared" si="60"/>
        <v>19541921.909999996</v>
      </c>
      <c r="L68" s="2808">
        <f t="shared" ref="L68:M68" si="61">L22</f>
        <v>22140698.299999997</v>
      </c>
      <c r="M68" s="2808">
        <f t="shared" si="61"/>
        <v>29028910.719999999</v>
      </c>
      <c r="N68" s="2808">
        <f t="shared" si="59"/>
        <v>245281974.48000002</v>
      </c>
      <c r="O68" s="2812"/>
    </row>
    <row r="69" spans="1:15" ht="14.4" x14ac:dyDescent="0.3">
      <c r="A69" s="2772" t="s">
        <v>1001</v>
      </c>
      <c r="B69" s="2807">
        <f>'Inventory Sales'!D$42</f>
        <v>0</v>
      </c>
      <c r="C69" s="2807">
        <f>'Inventory Sales'!G$42</f>
        <v>9375</v>
      </c>
      <c r="D69" s="2807">
        <f>'Inventory Sales'!J$42</f>
        <v>0</v>
      </c>
      <c r="E69" s="2807">
        <f>'Inventory Sales'!M$42</f>
        <v>0</v>
      </c>
      <c r="F69" s="2807">
        <f>'Inventory Sales'!P$42</f>
        <v>0</v>
      </c>
      <c r="G69" s="2807">
        <f>'Inventory Sales'!S$42</f>
        <v>0</v>
      </c>
      <c r="H69" s="2807">
        <f>'Inventory Sales'!V$42</f>
        <v>0</v>
      </c>
      <c r="I69" s="2807">
        <f>'Inventory Sales'!Y$42</f>
        <v>0</v>
      </c>
      <c r="J69" s="2807">
        <f>'Inventory Sales'!Z$42</f>
        <v>0</v>
      </c>
      <c r="K69" s="2807">
        <f>'Inventory Sales'!AA$42</f>
        <v>97.44</v>
      </c>
      <c r="L69" s="2807">
        <f>'Inventory Sales'!AB$42</f>
        <v>0</v>
      </c>
      <c r="M69" s="2807">
        <f>'Inventory Sales'!AC$42</f>
        <v>0</v>
      </c>
      <c r="N69" s="2807">
        <f>'Inventory Sales'!AN$42</f>
        <v>9375</v>
      </c>
      <c r="O69" s="2812"/>
    </row>
    <row r="70" spans="1:15" ht="14.4" x14ac:dyDescent="0.3">
      <c r="A70" s="2772" t="s">
        <v>1002</v>
      </c>
      <c r="B70" s="2807">
        <f>B57+B54+B55-B58</f>
        <v>3565550</v>
      </c>
      <c r="C70" s="2807">
        <f t="shared" ref="C70:I70" si="62">C57+C54+C55-C58</f>
        <v>6279146</v>
      </c>
      <c r="D70" s="2807">
        <f t="shared" si="62"/>
        <v>65195596</v>
      </c>
      <c r="E70" s="2807">
        <f t="shared" si="62"/>
        <v>0</v>
      </c>
      <c r="F70" s="2807">
        <f t="shared" si="62"/>
        <v>0</v>
      </c>
      <c r="G70" s="2807">
        <f t="shared" si="62"/>
        <v>0</v>
      </c>
      <c r="H70" s="2807">
        <f t="shared" si="62"/>
        <v>0</v>
      </c>
      <c r="I70" s="2807">
        <f t="shared" si="62"/>
        <v>0</v>
      </c>
      <c r="J70" s="2807">
        <f t="shared" ref="J70:K70" si="63">J57+J54+J55-J58</f>
        <v>0</v>
      </c>
      <c r="K70" s="2807">
        <f t="shared" si="63"/>
        <v>0</v>
      </c>
      <c r="L70" s="2807">
        <f t="shared" ref="L70:M70" si="64">L57+L54+L55-L58</f>
        <v>0</v>
      </c>
      <c r="M70" s="2807">
        <f t="shared" si="64"/>
        <v>0</v>
      </c>
      <c r="N70" s="2807">
        <f>N57+N54+N55-N58</f>
        <v>75040293</v>
      </c>
      <c r="O70" s="2812"/>
    </row>
    <row r="71" spans="1:15" ht="14.4" x14ac:dyDescent="0.3">
      <c r="A71" s="2810" t="s">
        <v>1004</v>
      </c>
      <c r="B71" s="2691">
        <f t="shared" ref="B71:I71" si="65">B65</f>
        <v>2230997</v>
      </c>
      <c r="C71" s="2691">
        <f t="shared" si="65"/>
        <v>1415999</v>
      </c>
      <c r="D71" s="2691">
        <f t="shared" si="65"/>
        <v>1392664</v>
      </c>
      <c r="E71" s="2691">
        <f t="shared" si="65"/>
        <v>1333120</v>
      </c>
      <c r="F71" s="2691">
        <f t="shared" si="65"/>
        <v>1004334</v>
      </c>
      <c r="G71" s="2691">
        <f t="shared" si="65"/>
        <v>1004334</v>
      </c>
      <c r="H71" s="2691">
        <f t="shared" si="65"/>
        <v>1004334</v>
      </c>
      <c r="I71" s="2691">
        <f t="shared" si="65"/>
        <v>1004334</v>
      </c>
      <c r="J71" s="2691">
        <f t="shared" ref="J71:K71" si="66">J65</f>
        <v>1004334</v>
      </c>
      <c r="K71" s="2691">
        <f t="shared" si="66"/>
        <v>1004334</v>
      </c>
      <c r="L71" s="2691">
        <f t="shared" ref="L71:M71" si="67">L65</f>
        <v>1004334</v>
      </c>
      <c r="M71" s="2691">
        <f t="shared" si="67"/>
        <v>1004334</v>
      </c>
      <c r="N71" s="2691">
        <f>N65</f>
        <v>3925903</v>
      </c>
      <c r="O71" s="2812"/>
    </row>
    <row r="72" spans="1:15" x14ac:dyDescent="0.25">
      <c r="A72" s="2781" t="s">
        <v>1005</v>
      </c>
      <c r="B72" s="2809">
        <f>B68-(B69+B70+B71)</f>
        <v>11954017.469999999</v>
      </c>
      <c r="C72" s="2809">
        <f t="shared" ref="C72:I72" si="68">C68-(C69+C70+C71)</f>
        <v>16009602.91</v>
      </c>
      <c r="D72" s="2809">
        <f t="shared" si="68"/>
        <v>-42849612.939999998</v>
      </c>
      <c r="E72" s="2809">
        <f t="shared" si="68"/>
        <v>20243293.230000004</v>
      </c>
      <c r="F72" s="2809">
        <f t="shared" si="68"/>
        <v>20200485.469999999</v>
      </c>
      <c r="G72" s="2809">
        <f t="shared" si="68"/>
        <v>13280838.620000005</v>
      </c>
      <c r="H72" s="2809">
        <f t="shared" si="68"/>
        <v>15705882.170000002</v>
      </c>
      <c r="I72" s="2809">
        <f t="shared" si="68"/>
        <v>21728996.099999994</v>
      </c>
      <c r="J72" s="2809">
        <f t="shared" ref="J72:K72" si="69">J68-(J69+J70+J71)</f>
        <v>11849143.519999996</v>
      </c>
      <c r="K72" s="2809">
        <f t="shared" si="69"/>
        <v>18537490.469999995</v>
      </c>
      <c r="L72" s="2809">
        <f t="shared" ref="L72:M72" si="70">L68-(L69+L70+L71)</f>
        <v>21136364.299999997</v>
      </c>
      <c r="M72" s="2809">
        <f t="shared" si="70"/>
        <v>28024576.719999999</v>
      </c>
      <c r="N72" s="2809">
        <f>N68-(N69+N70+N71)</f>
        <v>166306403.48000002</v>
      </c>
      <c r="O72" s="2812"/>
    </row>
    <row r="73" spans="1:15" ht="14.4" x14ac:dyDescent="0.3">
      <c r="B73" s="2807">
        <f t="shared" ref="B73:I73" si="71">B68-B72</f>
        <v>5796547</v>
      </c>
      <c r="C73" s="2807">
        <f t="shared" si="71"/>
        <v>7704520</v>
      </c>
      <c r="D73" s="2807">
        <f t="shared" si="71"/>
        <v>66588260</v>
      </c>
      <c r="E73" s="2807">
        <f t="shared" si="71"/>
        <v>1333120</v>
      </c>
      <c r="F73" s="2807">
        <f t="shared" si="71"/>
        <v>1004334</v>
      </c>
      <c r="G73" s="2807">
        <f t="shared" si="71"/>
        <v>1004334</v>
      </c>
      <c r="H73" s="2807">
        <f t="shared" si="71"/>
        <v>1004334</v>
      </c>
      <c r="I73" s="2807">
        <f t="shared" si="71"/>
        <v>1004334</v>
      </c>
      <c r="J73" s="2807">
        <f t="shared" ref="J73:K73" si="72">J68-J72</f>
        <v>1004334</v>
      </c>
      <c r="K73" s="2807">
        <f t="shared" si="72"/>
        <v>1004431.4400000013</v>
      </c>
      <c r="L73" s="2807">
        <f t="shared" ref="L73:M73" si="73">L68-L72</f>
        <v>1004334</v>
      </c>
      <c r="M73" s="2807">
        <f t="shared" si="73"/>
        <v>1004334</v>
      </c>
      <c r="N73" s="2807">
        <f>N68-N72</f>
        <v>78975571</v>
      </c>
      <c r="O73" s="2812"/>
    </row>
    <row r="74" spans="1:15" ht="14.4" x14ac:dyDescent="0.3">
      <c r="A74" s="2779"/>
      <c r="B74" s="2807"/>
      <c r="C74" s="2807"/>
      <c r="D74" s="2807"/>
      <c r="E74" s="2807"/>
      <c r="F74" s="2687"/>
      <c r="G74" s="2687"/>
      <c r="H74" s="2687"/>
      <c r="I74" s="2687"/>
      <c r="J74" s="2687"/>
      <c r="K74" s="2687"/>
      <c r="L74" s="2687"/>
      <c r="M74" s="2687"/>
      <c r="N74" s="2687"/>
    </row>
    <row r="75" spans="1:15" ht="14.4" x14ac:dyDescent="0.3">
      <c r="A75" s="2779"/>
      <c r="B75" s="2807"/>
      <c r="C75" s="2807"/>
      <c r="D75" s="2807"/>
      <c r="E75" s="2807"/>
      <c r="F75" s="2687"/>
      <c r="G75" s="2687"/>
      <c r="H75" s="2687"/>
      <c r="I75" s="2687"/>
      <c r="J75" s="2687"/>
      <c r="K75" s="2687"/>
      <c r="L75" s="2687"/>
      <c r="M75" s="2687"/>
      <c r="N75" s="2687"/>
    </row>
    <row r="76" spans="1:15" x14ac:dyDescent="0.25">
      <c r="B76" s="2687">
        <f t="shared" ref="B76:I76" si="74">B67-B68</f>
        <v>-4845345.4699999988</v>
      </c>
      <c r="C76" s="2687">
        <f t="shared" si="74"/>
        <v>-4982971.91</v>
      </c>
      <c r="D76" s="2687">
        <f t="shared" si="74"/>
        <v>122150764.94</v>
      </c>
      <c r="E76" s="2687">
        <f t="shared" si="74"/>
        <v>-20243293.230000004</v>
      </c>
      <c r="F76" s="2687">
        <f t="shared" si="74"/>
        <v>-20200485.469999999</v>
      </c>
      <c r="G76" s="2687">
        <f t="shared" si="74"/>
        <v>-13280838.620000005</v>
      </c>
      <c r="H76" s="2687">
        <f t="shared" si="74"/>
        <v>-15705882.170000002</v>
      </c>
      <c r="I76" s="2687">
        <f t="shared" si="74"/>
        <v>-21728996.099999994</v>
      </c>
      <c r="J76" s="2687">
        <f t="shared" ref="J76:K76" si="75">J67-J68</f>
        <v>-11849143.519999996</v>
      </c>
      <c r="K76" s="2687">
        <f t="shared" si="75"/>
        <v>-18537587.909999996</v>
      </c>
      <c r="L76" s="2687">
        <f t="shared" ref="L76:M76" si="76">L67-L68</f>
        <v>-21136364.299999997</v>
      </c>
      <c r="M76" s="2687">
        <f t="shared" si="76"/>
        <v>-28024576.719999999</v>
      </c>
      <c r="N76" s="2687">
        <f>N67-N68</f>
        <v>-72256901.480000019</v>
      </c>
    </row>
    <row r="77" spans="1:15" ht="14.4" x14ac:dyDescent="0.3">
      <c r="A77" s="2772" t="s">
        <v>1006</v>
      </c>
      <c r="B77" s="2807">
        <f>B59+B66</f>
        <v>-3374117</v>
      </c>
      <c r="C77" s="2807">
        <f t="shared" ref="C77:I77" si="77">C59+(C62-C64)</f>
        <v>3018288</v>
      </c>
      <c r="D77" s="2807">
        <f t="shared" si="77"/>
        <v>65441568</v>
      </c>
      <c r="E77" s="2807">
        <f t="shared" si="77"/>
        <v>0</v>
      </c>
      <c r="F77" s="2807">
        <f t="shared" si="77"/>
        <v>0</v>
      </c>
      <c r="G77" s="2807">
        <f t="shared" si="77"/>
        <v>0</v>
      </c>
      <c r="H77" s="2807">
        <f t="shared" si="77"/>
        <v>0</v>
      </c>
      <c r="I77" s="2807">
        <f t="shared" si="77"/>
        <v>0</v>
      </c>
      <c r="J77" s="2807">
        <f t="shared" ref="J77:K77" si="78">J59+(J62-J64)</f>
        <v>0</v>
      </c>
      <c r="K77" s="2807">
        <f t="shared" si="78"/>
        <v>0</v>
      </c>
      <c r="L77" s="2807">
        <f t="shared" ref="L77:M77" si="79">L59+(L62-L64)</f>
        <v>0</v>
      </c>
      <c r="M77" s="2807">
        <f t="shared" si="79"/>
        <v>0</v>
      </c>
      <c r="N77" s="2807">
        <f>N59+(N62-N64)</f>
        <v>65085739</v>
      </c>
    </row>
    <row r="78" spans="1:15" x14ac:dyDescent="0.25">
      <c r="B78" s="2687"/>
      <c r="C78" s="2687"/>
      <c r="D78" s="2687"/>
      <c r="E78" s="2687"/>
      <c r="F78" s="2687"/>
      <c r="G78" s="2687"/>
      <c r="H78" s="2687"/>
      <c r="I78" s="2687"/>
      <c r="J78" s="2687"/>
      <c r="K78" s="2687"/>
      <c r="L78" s="2687"/>
      <c r="M78" s="2687"/>
      <c r="N78" s="2687"/>
    </row>
    <row r="79" spans="1:15" ht="14.4" x14ac:dyDescent="0.3">
      <c r="A79" s="2772" t="s">
        <v>1007</v>
      </c>
      <c r="B79" s="2807">
        <f t="shared" ref="B79:I79" si="80">B53+B70+B59+B65</f>
        <v>9524684</v>
      </c>
      <c r="C79" s="2807">
        <f t="shared" si="80"/>
        <v>18700456</v>
      </c>
      <c r="D79" s="2807">
        <f t="shared" si="80"/>
        <v>146135384</v>
      </c>
      <c r="E79" s="2807">
        <f t="shared" si="80"/>
        <v>1333120</v>
      </c>
      <c r="F79" s="2807">
        <f t="shared" si="80"/>
        <v>1004334</v>
      </c>
      <c r="G79" s="2807">
        <f t="shared" si="80"/>
        <v>1004334</v>
      </c>
      <c r="H79" s="2807">
        <f t="shared" si="80"/>
        <v>1004334</v>
      </c>
      <c r="I79" s="2807">
        <f t="shared" si="80"/>
        <v>1004334</v>
      </c>
      <c r="J79" s="2807">
        <f t="shared" ref="J79:K79" si="81">J53+J70+J59+J65</f>
        <v>1004334</v>
      </c>
      <c r="K79" s="2807">
        <f t="shared" si="81"/>
        <v>1004236.56</v>
      </c>
      <c r="L79" s="2807">
        <f t="shared" ref="L79:M79" si="82">L53+L70+L59+L65</f>
        <v>1004334</v>
      </c>
      <c r="M79" s="2807">
        <f t="shared" si="82"/>
        <v>1004334</v>
      </c>
      <c r="N79" s="2807">
        <f>N53+N70+N59+N65</f>
        <v>173246768</v>
      </c>
    </row>
    <row r="80" spans="1:15" ht="14.4" x14ac:dyDescent="0.3">
      <c r="A80" s="2772"/>
      <c r="B80" s="2807"/>
      <c r="C80" s="2807"/>
      <c r="D80" s="2807"/>
      <c r="E80" s="2807"/>
      <c r="F80" s="2687"/>
      <c r="G80" s="2687"/>
      <c r="H80" s="2687"/>
      <c r="I80" s="2687"/>
      <c r="J80" s="2687"/>
      <c r="K80" s="2687"/>
      <c r="L80" s="2687"/>
      <c r="M80" s="2687"/>
      <c r="N80" s="2687"/>
    </row>
    <row r="81" spans="1:14" ht="14.4" x14ac:dyDescent="0.3">
      <c r="A81" s="2772"/>
      <c r="B81" s="2807"/>
      <c r="C81" s="2807"/>
      <c r="D81" s="2807"/>
      <c r="E81" s="2807"/>
      <c r="F81" s="2687"/>
      <c r="G81" s="2687"/>
      <c r="H81" s="2687"/>
      <c r="I81" s="2687"/>
      <c r="J81" s="2687"/>
      <c r="K81" s="2687"/>
      <c r="L81" s="2687"/>
      <c r="M81" s="2687"/>
      <c r="N81" s="2687"/>
    </row>
    <row r="82" spans="1:14" ht="14.4" x14ac:dyDescent="0.3">
      <c r="A82" s="2772"/>
      <c r="B82" s="2807"/>
      <c r="C82" s="2807"/>
      <c r="D82" s="2807"/>
      <c r="E82" s="2807"/>
      <c r="F82" s="2687"/>
      <c r="G82" s="2687"/>
      <c r="H82" s="2687"/>
      <c r="I82" s="2687"/>
      <c r="J82" s="2687"/>
      <c r="K82" s="2687"/>
      <c r="L82" s="2687"/>
      <c r="M82" s="2687"/>
      <c r="N82" s="2687"/>
    </row>
    <row r="83" spans="1:14" ht="14.4" x14ac:dyDescent="0.3">
      <c r="A83" s="2772"/>
      <c r="B83" s="2807"/>
      <c r="C83" s="2807"/>
      <c r="D83" s="2807"/>
      <c r="E83" s="2807"/>
      <c r="F83" s="2687"/>
      <c r="G83" s="2687"/>
      <c r="H83" s="2687"/>
      <c r="I83" s="2687"/>
      <c r="J83" s="2687"/>
      <c r="K83" s="2687"/>
      <c r="L83" s="2687"/>
      <c r="M83" s="2687"/>
      <c r="N83" s="2687"/>
    </row>
    <row r="84" spans="1:14" ht="14.4" x14ac:dyDescent="0.3">
      <c r="A84" s="2772"/>
      <c r="B84" s="2787"/>
      <c r="C84" s="2787"/>
      <c r="D84" s="2787"/>
      <c r="E84" s="2787"/>
      <c r="F84" s="2393"/>
      <c r="G84" s="2393"/>
      <c r="H84" s="2393"/>
      <c r="I84" s="2393"/>
      <c r="J84" s="2393"/>
      <c r="K84" s="2393"/>
      <c r="L84" s="2393"/>
      <c r="M84" s="2393"/>
      <c r="N84" s="2393"/>
    </row>
    <row r="85" spans="1:14" ht="14.4" x14ac:dyDescent="0.3">
      <c r="A85" s="2772"/>
      <c r="B85" s="2780"/>
      <c r="C85" s="2780"/>
      <c r="D85" s="2780"/>
      <c r="E85" s="2780"/>
    </row>
    <row r="86" spans="1:14" ht="14.4" x14ac:dyDescent="0.3">
      <c r="A86" s="2772"/>
      <c r="B86" s="2780"/>
      <c r="C86" s="2780"/>
      <c r="D86" s="2780"/>
      <c r="E86" s="2780"/>
    </row>
    <row r="87" spans="1:14" ht="14.4" x14ac:dyDescent="0.3">
      <c r="A87" s="2772"/>
      <c r="B87" s="2780"/>
      <c r="C87" s="2780"/>
      <c r="D87" s="2780"/>
      <c r="E87" s="2780"/>
    </row>
    <row r="88" spans="1:14" ht="14.4" x14ac:dyDescent="0.3">
      <c r="A88" s="2772"/>
      <c r="B88" s="2780"/>
      <c r="C88" s="2780"/>
      <c r="D88" s="2780"/>
      <c r="E88" s="2780"/>
    </row>
    <row r="89" spans="1:14" ht="14.4" x14ac:dyDescent="0.3">
      <c r="B89" s="2780"/>
      <c r="C89" s="2780"/>
      <c r="D89" s="2780"/>
    </row>
    <row r="90" spans="1:14" x14ac:dyDescent="0.25">
      <c r="A90" s="2772" t="s">
        <v>1008</v>
      </c>
      <c r="B90" s="8">
        <f>14731601+10601713</f>
        <v>25333314</v>
      </c>
      <c r="C90" s="8">
        <f>27009615+8032196</f>
        <v>35041811</v>
      </c>
      <c r="D90" s="8">
        <f>22010758+10548689</f>
        <v>32559447</v>
      </c>
      <c r="E90" s="8">
        <v>29621742</v>
      </c>
    </row>
    <row r="91" spans="1:14" x14ac:dyDescent="0.25">
      <c r="A91" s="2772" t="s">
        <v>452</v>
      </c>
      <c r="B91" s="8">
        <v>4053505</v>
      </c>
      <c r="C91" s="8">
        <f>1335000</f>
        <v>1335000</v>
      </c>
      <c r="D91" s="8">
        <v>4901990</v>
      </c>
      <c r="E91" s="8">
        <v>5497360</v>
      </c>
    </row>
    <row r="92" spans="1:14" x14ac:dyDescent="0.25">
      <c r="A92" s="2772" t="s">
        <v>969</v>
      </c>
      <c r="B92" s="8">
        <v>1377592</v>
      </c>
      <c r="C92" s="8">
        <v>1668641</v>
      </c>
      <c r="D92" s="8">
        <v>1342889</v>
      </c>
      <c r="E92" s="8">
        <v>1494475</v>
      </c>
    </row>
    <row r="93" spans="1:14" ht="13.8" thickBot="1" x14ac:dyDescent="0.3">
      <c r="A93" s="2772" t="s">
        <v>64</v>
      </c>
      <c r="B93" s="914">
        <v>21100</v>
      </c>
      <c r="C93" s="914">
        <v>77390</v>
      </c>
      <c r="D93" s="914">
        <v>56540</v>
      </c>
      <c r="E93" s="914">
        <v>53405</v>
      </c>
    </row>
    <row r="94" spans="1:14" ht="14.4" x14ac:dyDescent="0.3">
      <c r="A94" s="2782"/>
      <c r="B94" s="2783">
        <f>SUM(B90:B93)</f>
        <v>30785511</v>
      </c>
      <c r="C94" s="2783">
        <f>SUM(C90:C93)</f>
        <v>38122842</v>
      </c>
      <c r="D94" s="2783">
        <f>SUM(D90:D93)</f>
        <v>38860866</v>
      </c>
      <c r="E94" s="2783">
        <f>SUM(E90:E93)</f>
        <v>36666982</v>
      </c>
    </row>
    <row r="95" spans="1:14" x14ac:dyDescent="0.25">
      <c r="A95" s="2772" t="s">
        <v>1009</v>
      </c>
      <c r="B95" s="280">
        <f>ROUND((B4),0)</f>
        <v>30785511</v>
      </c>
      <c r="C95" s="280">
        <f>ROUND((C4),0)</f>
        <v>38122842</v>
      </c>
      <c r="D95" s="280">
        <f>ROUND((D4),0)</f>
        <v>38860866</v>
      </c>
      <c r="E95" s="280">
        <f>ROUND((E4),0)</f>
        <v>36666982</v>
      </c>
    </row>
    <row r="96" spans="1:14" x14ac:dyDescent="0.25">
      <c r="A96" s="2772" t="s">
        <v>252</v>
      </c>
      <c r="B96" s="8">
        <f>B94-B95</f>
        <v>0</v>
      </c>
      <c r="C96" s="8">
        <f t="shared" ref="C96:E96" si="83">C94-C95</f>
        <v>0</v>
      </c>
      <c r="D96" s="8">
        <f t="shared" si="83"/>
        <v>0</v>
      </c>
      <c r="E96" s="8">
        <f t="shared" si="83"/>
        <v>0</v>
      </c>
    </row>
    <row r="98" spans="1:5" x14ac:dyDescent="0.25">
      <c r="A98" s="2784" t="s">
        <v>1010</v>
      </c>
      <c r="B98" s="2785">
        <f>B23+B36</f>
        <v>12771886.620000001</v>
      </c>
      <c r="C98" s="2785">
        <f>C23+C36</f>
        <v>12580166.739999998</v>
      </c>
      <c r="D98" s="2785">
        <f>D23+D36</f>
        <v>13250137.329999998</v>
      </c>
      <c r="E98" s="2785">
        <f>E23+E36</f>
        <v>14501776.51</v>
      </c>
    </row>
    <row r="99" spans="1:5" x14ac:dyDescent="0.25">
      <c r="A99" s="2784" t="s">
        <v>1011</v>
      </c>
      <c r="B99" s="2785">
        <v>12771886.41</v>
      </c>
      <c r="C99" s="2785">
        <v>12580166.739999998</v>
      </c>
      <c r="D99" s="2785">
        <v>13273501.33</v>
      </c>
      <c r="E99" s="2785">
        <v>14496258.689999999</v>
      </c>
    </row>
    <row r="100" spans="1:5" x14ac:dyDescent="0.25">
      <c r="A100" s="2782"/>
      <c r="B100" s="2785">
        <f>B98-B99</f>
        <v>0.21000000089406967</v>
      </c>
      <c r="C100" s="2785">
        <f t="shared" ref="C100:E100" si="84">C98-C99</f>
        <v>0</v>
      </c>
      <c r="D100" s="2785">
        <f t="shared" si="84"/>
        <v>-23364.000000001863</v>
      </c>
      <c r="E100" s="2785">
        <f t="shared" si="84"/>
        <v>5517.820000000298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M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8" sqref="H38"/>
    </sheetView>
  </sheetViews>
  <sheetFormatPr defaultColWidth="8.88671875" defaultRowHeight="13.2" x14ac:dyDescent="0.25"/>
  <cols>
    <col min="1" max="1" width="35" style="2443" bestFit="1" customWidth="1"/>
    <col min="2" max="2" width="15" style="2443" bestFit="1" customWidth="1"/>
    <col min="3" max="3" width="14.88671875" style="2443" bestFit="1" customWidth="1"/>
    <col min="4" max="4" width="14.33203125" style="2443" bestFit="1" customWidth="1"/>
    <col min="5" max="5" width="15.109375" style="2443" bestFit="1" customWidth="1"/>
    <col min="6" max="6" width="13.33203125" style="2443" bestFit="1" customWidth="1"/>
    <col min="7" max="7" width="14.5546875" style="2443" bestFit="1" customWidth="1"/>
    <col min="8" max="9" width="13.44140625" style="2443" bestFit="1" customWidth="1"/>
    <col min="10" max="10" width="14.5546875" style="2443" bestFit="1" customWidth="1"/>
    <col min="11" max="11" width="14.6640625" style="2443" bestFit="1" customWidth="1"/>
    <col min="12" max="12" width="14.88671875" style="2443" bestFit="1" customWidth="1"/>
    <col min="13" max="13" width="13.44140625" style="2443" bestFit="1" customWidth="1"/>
    <col min="14" max="16384" width="8.88671875" style="2443"/>
  </cols>
  <sheetData>
    <row r="1" spans="1:13" ht="16.2" thickBot="1" x14ac:dyDescent="0.3">
      <c r="A1" s="3259" t="s">
        <v>733</v>
      </c>
      <c r="B1" s="3259"/>
      <c r="C1" s="2442"/>
      <c r="D1" s="2442"/>
      <c r="E1" s="2442"/>
    </row>
    <row r="2" spans="1:13" x14ac:dyDescent="0.25">
      <c r="A2" s="2892" t="s">
        <v>734</v>
      </c>
      <c r="B2" s="2893">
        <v>45748</v>
      </c>
      <c r="C2" s="2893">
        <v>45778</v>
      </c>
      <c r="D2" s="2893">
        <v>45809</v>
      </c>
      <c r="E2" s="2893">
        <v>45839</v>
      </c>
      <c r="F2" s="2893">
        <v>45870</v>
      </c>
      <c r="G2" s="2893">
        <v>45901</v>
      </c>
      <c r="H2" s="2893">
        <v>45931</v>
      </c>
      <c r="I2" s="2893">
        <v>45962</v>
      </c>
      <c r="J2" s="2893">
        <v>45992</v>
      </c>
      <c r="K2" s="2893">
        <v>46023</v>
      </c>
      <c r="L2" s="2893">
        <v>46054</v>
      </c>
      <c r="M2" s="2894">
        <v>46082</v>
      </c>
    </row>
    <row r="3" spans="1:13" ht="15.6" x14ac:dyDescent="0.25">
      <c r="A3" s="2895" t="s">
        <v>735</v>
      </c>
      <c r="B3" s="2896" t="s">
        <v>734</v>
      </c>
      <c r="C3" s="2896" t="s">
        <v>734</v>
      </c>
      <c r="D3" s="2896" t="s">
        <v>734</v>
      </c>
      <c r="E3" s="2896" t="s">
        <v>734</v>
      </c>
      <c r="F3" s="2896" t="s">
        <v>734</v>
      </c>
      <c r="G3" s="2896" t="s">
        <v>734</v>
      </c>
      <c r="H3" s="2897"/>
      <c r="I3" s="2897"/>
      <c r="J3" s="2897"/>
      <c r="K3" s="2897"/>
      <c r="L3" s="2897"/>
      <c r="M3" s="2898"/>
    </row>
    <row r="4" spans="1:13" x14ac:dyDescent="0.25">
      <c r="A4" s="2891" t="s">
        <v>736</v>
      </c>
      <c r="B4" s="2906">
        <f>SUM(B5:B8)</f>
        <v>3102041</v>
      </c>
      <c r="C4" s="2906">
        <f t="shared" ref="C4:M4" si="0">SUM(C5:C8)</f>
        <v>5170381</v>
      </c>
      <c r="D4" s="2906">
        <f t="shared" si="0"/>
        <v>6238140.2400000002</v>
      </c>
      <c r="E4" s="2906">
        <f t="shared" si="0"/>
        <v>8147511.7999999998</v>
      </c>
      <c r="F4" s="2906">
        <f t="shared" si="0"/>
        <v>6538835</v>
      </c>
      <c r="G4" s="2906">
        <f t="shared" si="0"/>
        <v>3086531</v>
      </c>
      <c r="H4" s="2906">
        <f t="shared" si="0"/>
        <v>6541343</v>
      </c>
      <c r="I4" s="2906">
        <f t="shared" si="0"/>
        <v>11129286</v>
      </c>
      <c r="J4" s="2906">
        <f t="shared" si="0"/>
        <v>3042403.5</v>
      </c>
      <c r="K4" s="2906">
        <f t="shared" si="0"/>
        <v>2104384.33</v>
      </c>
      <c r="L4" s="2906">
        <f t="shared" si="0"/>
        <v>4291797.2200000007</v>
      </c>
      <c r="M4" s="2907">
        <f t="shared" si="0"/>
        <v>4035222.6</v>
      </c>
    </row>
    <row r="5" spans="1:13" x14ac:dyDescent="0.25">
      <c r="A5" s="2448" t="s">
        <v>737</v>
      </c>
      <c r="B5" s="2546">
        <v>125</v>
      </c>
      <c r="C5" s="2899">
        <v>125</v>
      </c>
      <c r="D5" s="2546">
        <v>135.32</v>
      </c>
      <c r="E5" s="2899">
        <v>625</v>
      </c>
      <c r="F5" s="2546">
        <v>128</v>
      </c>
      <c r="G5" s="2899">
        <v>125</v>
      </c>
      <c r="H5" s="2900"/>
      <c r="I5" s="2901"/>
      <c r="J5" s="2546">
        <v>176.5</v>
      </c>
      <c r="K5" s="2899">
        <v>115.2</v>
      </c>
      <c r="L5" s="2546">
        <v>83.22</v>
      </c>
      <c r="M5" s="188">
        <v>304.60000000000002</v>
      </c>
    </row>
    <row r="6" spans="1:13" x14ac:dyDescent="0.25">
      <c r="A6" s="2448" t="s">
        <v>748</v>
      </c>
      <c r="B6" s="2900"/>
      <c r="C6" s="2901"/>
      <c r="D6" s="2900"/>
      <c r="E6" s="2901"/>
      <c r="F6" s="2900"/>
      <c r="G6" s="2899">
        <v>6970</v>
      </c>
      <c r="H6" s="2900"/>
      <c r="I6" s="2901"/>
      <c r="J6" s="2900"/>
      <c r="K6" s="2901"/>
      <c r="L6" s="2900"/>
      <c r="M6" s="188">
        <v>100000</v>
      </c>
    </row>
    <row r="7" spans="1:13" x14ac:dyDescent="0.25">
      <c r="A7" s="2448" t="s">
        <v>629</v>
      </c>
      <c r="B7" s="2546">
        <v>3101916</v>
      </c>
      <c r="C7" s="2899">
        <v>5020256</v>
      </c>
      <c r="D7" s="2546">
        <v>6238004.9199999999</v>
      </c>
      <c r="E7" s="2899">
        <v>8146886.7999999998</v>
      </c>
      <c r="F7" s="2546">
        <v>6538707</v>
      </c>
      <c r="G7" s="2899">
        <v>3079436</v>
      </c>
      <c r="H7" s="2546">
        <v>6541343</v>
      </c>
      <c r="I7" s="2899">
        <v>11129286</v>
      </c>
      <c r="J7" s="2546">
        <v>3042227</v>
      </c>
      <c r="K7" s="2899">
        <v>2104269.13</v>
      </c>
      <c r="L7" s="2546">
        <v>4141714</v>
      </c>
      <c r="M7" s="188">
        <v>3434918</v>
      </c>
    </row>
    <row r="8" spans="1:13" x14ac:dyDescent="0.25">
      <c r="A8" s="2447" t="s">
        <v>738</v>
      </c>
      <c r="B8" s="2900"/>
      <c r="C8" s="2899">
        <v>150000</v>
      </c>
      <c r="D8" s="2900"/>
      <c r="E8" s="2901"/>
      <c r="F8" s="2900"/>
      <c r="G8" s="2901"/>
      <c r="H8" s="2900"/>
      <c r="I8" s="2901"/>
      <c r="J8" s="2900"/>
      <c r="K8" s="2901"/>
      <c r="L8" s="2546">
        <v>150000</v>
      </c>
      <c r="M8" s="188">
        <v>500000</v>
      </c>
    </row>
    <row r="9" spans="1:13" x14ac:dyDescent="0.25">
      <c r="A9" s="2891" t="s">
        <v>630</v>
      </c>
      <c r="B9" s="2906">
        <f>SUM(B10:B12)</f>
        <v>28417679.379999999</v>
      </c>
      <c r="C9" s="2906">
        <f t="shared" ref="C9:M9" si="1">SUM(C10:C12)</f>
        <v>34988640.5</v>
      </c>
      <c r="D9" s="2906">
        <f t="shared" si="1"/>
        <v>34549570.710000001</v>
      </c>
      <c r="E9" s="2906">
        <f t="shared" si="1"/>
        <v>50188503.399999999</v>
      </c>
      <c r="F9" s="2906">
        <f t="shared" si="1"/>
        <v>35691265.700000003</v>
      </c>
      <c r="G9" s="2906">
        <f t="shared" si="1"/>
        <v>35371212.600000001</v>
      </c>
      <c r="H9" s="2906">
        <f t="shared" si="1"/>
        <v>22032569.109999999</v>
      </c>
      <c r="I9" s="2906">
        <f t="shared" si="1"/>
        <v>34712680.189999998</v>
      </c>
      <c r="J9" s="2906">
        <f t="shared" si="1"/>
        <v>28647422.16</v>
      </c>
      <c r="K9" s="2906">
        <f t="shared" si="1"/>
        <v>32074603.780000001</v>
      </c>
      <c r="L9" s="2906">
        <f t="shared" si="1"/>
        <v>52241278.979999997</v>
      </c>
      <c r="M9" s="2907">
        <f t="shared" si="1"/>
        <v>58658170.659999996</v>
      </c>
    </row>
    <row r="10" spans="1:13" x14ac:dyDescent="0.25">
      <c r="A10" s="2448" t="s">
        <v>739</v>
      </c>
      <c r="B10" s="2900"/>
      <c r="C10" s="2901"/>
      <c r="D10" s="2900"/>
      <c r="E10" s="2899">
        <v>721.07</v>
      </c>
      <c r="F10" s="2900"/>
      <c r="G10" s="2901"/>
      <c r="H10" s="2900"/>
      <c r="I10" s="2901"/>
      <c r="J10" s="2900"/>
      <c r="K10" s="5"/>
      <c r="L10" s="5"/>
      <c r="M10" s="2902"/>
    </row>
    <row r="11" spans="1:13" x14ac:dyDescent="0.25">
      <c r="A11" s="2447" t="s">
        <v>740</v>
      </c>
      <c r="B11" s="2900"/>
      <c r="C11" s="2901"/>
      <c r="D11" s="2900"/>
      <c r="E11" s="2899">
        <v>13916104</v>
      </c>
      <c r="F11" s="2900"/>
      <c r="G11" s="2901"/>
      <c r="H11" s="2900"/>
      <c r="I11" s="2901"/>
      <c r="J11" s="2900"/>
      <c r="K11" s="2901"/>
      <c r="L11" s="2546">
        <v>16445123</v>
      </c>
      <c r="M11" s="2902"/>
    </row>
    <row r="12" spans="1:13" x14ac:dyDescent="0.25">
      <c r="A12" s="2448" t="s">
        <v>628</v>
      </c>
      <c r="B12" s="2546">
        <v>28417679.379999999</v>
      </c>
      <c r="C12" s="2899">
        <v>34988640.5</v>
      </c>
      <c r="D12" s="2546">
        <v>34549570.710000001</v>
      </c>
      <c r="E12" s="2899">
        <v>36271678.329999998</v>
      </c>
      <c r="F12" s="2546">
        <v>35691265.700000003</v>
      </c>
      <c r="G12" s="2899">
        <v>35371212.600000001</v>
      </c>
      <c r="H12" s="2546">
        <v>22032569.109999999</v>
      </c>
      <c r="I12" s="2899">
        <v>34712680.189999998</v>
      </c>
      <c r="J12" s="2546">
        <v>28647422.16</v>
      </c>
      <c r="K12" s="2899">
        <v>32074603.780000001</v>
      </c>
      <c r="L12" s="2546">
        <v>35796155.979999997</v>
      </c>
      <c r="M12" s="188">
        <v>58658170.659999996</v>
      </c>
    </row>
    <row r="13" spans="1:13" x14ac:dyDescent="0.25">
      <c r="A13" s="2891" t="s">
        <v>170</v>
      </c>
      <c r="B13" s="2908">
        <f>SUM(B14)</f>
        <v>0</v>
      </c>
      <c r="C13" s="2908">
        <f t="shared" ref="C13:M13" si="2">SUM(C14)</f>
        <v>0</v>
      </c>
      <c r="D13" s="2908">
        <f t="shared" si="2"/>
        <v>2</v>
      </c>
      <c r="E13" s="2908">
        <f t="shared" si="2"/>
        <v>0</v>
      </c>
      <c r="F13" s="2908">
        <f t="shared" si="2"/>
        <v>0</v>
      </c>
      <c r="G13" s="2908">
        <f t="shared" si="2"/>
        <v>0</v>
      </c>
      <c r="H13" s="2908">
        <f t="shared" si="2"/>
        <v>159630.39999999999</v>
      </c>
      <c r="I13" s="2908">
        <f t="shared" si="2"/>
        <v>0</v>
      </c>
      <c r="J13" s="2908">
        <f t="shared" si="2"/>
        <v>0</v>
      </c>
      <c r="K13" s="2908">
        <f t="shared" si="2"/>
        <v>0</v>
      </c>
      <c r="L13" s="2908">
        <f t="shared" si="2"/>
        <v>0</v>
      </c>
      <c r="M13" s="2909">
        <f t="shared" si="2"/>
        <v>0</v>
      </c>
    </row>
    <row r="14" spans="1:13" x14ac:dyDescent="0.25">
      <c r="A14" s="2447" t="s">
        <v>125</v>
      </c>
      <c r="B14" s="2900"/>
      <c r="C14" s="2901"/>
      <c r="D14" s="1532">
        <v>2</v>
      </c>
      <c r="E14" s="2901"/>
      <c r="F14" s="2900"/>
      <c r="G14" s="2901"/>
      <c r="H14" s="2546">
        <v>159630.39999999999</v>
      </c>
      <c r="I14" s="2901"/>
      <c r="J14" s="2900"/>
      <c r="K14" s="2901"/>
      <c r="L14" s="2900"/>
      <c r="M14" s="2902"/>
    </row>
    <row r="15" spans="1:13" x14ac:dyDescent="0.25">
      <c r="A15" s="2891" t="s">
        <v>741</v>
      </c>
      <c r="B15" s="2908">
        <f>SUM(B16:B17)</f>
        <v>0</v>
      </c>
      <c r="C15" s="2908">
        <f t="shared" ref="C15:M15" si="3">SUM(C16:C17)</f>
        <v>0</v>
      </c>
      <c r="D15" s="2908">
        <f t="shared" si="3"/>
        <v>2</v>
      </c>
      <c r="E15" s="2908">
        <f t="shared" si="3"/>
        <v>0</v>
      </c>
      <c r="F15" s="2908">
        <f t="shared" si="3"/>
        <v>11</v>
      </c>
      <c r="G15" s="2908">
        <f t="shared" si="3"/>
        <v>0</v>
      </c>
      <c r="H15" s="2908">
        <f t="shared" si="3"/>
        <v>0</v>
      </c>
      <c r="I15" s="2908">
        <f t="shared" si="3"/>
        <v>1</v>
      </c>
      <c r="J15" s="2908">
        <f t="shared" si="3"/>
        <v>1</v>
      </c>
      <c r="K15" s="2908">
        <f t="shared" si="3"/>
        <v>0</v>
      </c>
      <c r="L15" s="2908">
        <f t="shared" si="3"/>
        <v>13745</v>
      </c>
      <c r="M15" s="2909">
        <f t="shared" si="3"/>
        <v>52081</v>
      </c>
    </row>
    <row r="16" spans="1:13" x14ac:dyDescent="0.25">
      <c r="A16" s="2448" t="s">
        <v>381</v>
      </c>
      <c r="B16" s="2900"/>
      <c r="C16" s="2901"/>
      <c r="D16" s="2546">
        <v>2</v>
      </c>
      <c r="E16" s="2901"/>
      <c r="F16" s="2546">
        <v>11</v>
      </c>
      <c r="G16" s="2901"/>
      <c r="H16" s="2900"/>
      <c r="I16" s="2899">
        <v>1</v>
      </c>
      <c r="J16" s="2546">
        <v>1</v>
      </c>
      <c r="K16" s="2901"/>
      <c r="L16" s="2546">
        <v>7205</v>
      </c>
      <c r="M16" s="188">
        <v>52081</v>
      </c>
    </row>
    <row r="17" spans="1:13" x14ac:dyDescent="0.25">
      <c r="A17" s="2513" t="s">
        <v>981</v>
      </c>
      <c r="B17" s="2900"/>
      <c r="C17" s="2901"/>
      <c r="D17" s="2900"/>
      <c r="E17" s="2901"/>
      <c r="F17" s="2900"/>
      <c r="G17" s="2901"/>
      <c r="H17" s="2900"/>
      <c r="I17" s="2901"/>
      <c r="J17" s="2900"/>
      <c r="K17" s="2901"/>
      <c r="L17" s="2546">
        <v>6540</v>
      </c>
      <c r="M17" s="2902"/>
    </row>
    <row r="18" spans="1:13" x14ac:dyDescent="0.25">
      <c r="A18" s="2891" t="s">
        <v>126</v>
      </c>
      <c r="B18" s="2906">
        <f>SUM(B19:B20)</f>
        <v>9.6</v>
      </c>
      <c r="C18" s="2906">
        <f t="shared" ref="C18:M18" si="4">SUM(C19:C20)</f>
        <v>280268.3</v>
      </c>
      <c r="D18" s="2906">
        <f t="shared" si="4"/>
        <v>10728.54</v>
      </c>
      <c r="E18" s="2906">
        <f t="shared" si="4"/>
        <v>10131.15</v>
      </c>
      <c r="F18" s="2906">
        <f t="shared" si="4"/>
        <v>5395.7</v>
      </c>
      <c r="G18" s="2906">
        <f t="shared" si="4"/>
        <v>2092.83</v>
      </c>
      <c r="H18" s="2906">
        <f t="shared" si="4"/>
        <v>1933.45</v>
      </c>
      <c r="I18" s="2906">
        <f t="shared" si="4"/>
        <v>3040.76</v>
      </c>
      <c r="J18" s="2906">
        <f t="shared" si="4"/>
        <v>1287.01</v>
      </c>
      <c r="K18" s="2906">
        <f t="shared" si="4"/>
        <v>10496.009999999998</v>
      </c>
      <c r="L18" s="2906">
        <f t="shared" si="4"/>
        <v>15.07</v>
      </c>
      <c r="M18" s="2907">
        <f t="shared" si="4"/>
        <v>11136.39</v>
      </c>
    </row>
    <row r="19" spans="1:13" x14ac:dyDescent="0.25">
      <c r="A19" s="2447" t="s">
        <v>127</v>
      </c>
      <c r="B19" s="2546">
        <v>9.6</v>
      </c>
      <c r="C19" s="2899">
        <v>9.6199999999999992</v>
      </c>
      <c r="D19" s="2546">
        <v>9.5399999999999991</v>
      </c>
      <c r="E19" s="2899">
        <v>7.15</v>
      </c>
      <c r="F19" s="2546">
        <v>10.7</v>
      </c>
      <c r="G19" s="2899">
        <v>716.83</v>
      </c>
      <c r="H19" s="2546">
        <v>7.45</v>
      </c>
      <c r="I19" s="2899">
        <v>6.76</v>
      </c>
      <c r="J19" s="2546">
        <v>7.01</v>
      </c>
      <c r="K19" s="2899">
        <v>9139.14</v>
      </c>
      <c r="L19" s="2546">
        <v>15.07</v>
      </c>
      <c r="M19" s="188">
        <v>16.39</v>
      </c>
    </row>
    <row r="20" spans="1:13" ht="13.8" thickBot="1" x14ac:dyDescent="0.3">
      <c r="A20" s="2449" t="s">
        <v>152</v>
      </c>
      <c r="B20" s="2910"/>
      <c r="C20" s="2911">
        <v>280258.68</v>
      </c>
      <c r="D20" s="2912">
        <v>10719</v>
      </c>
      <c r="E20" s="2911">
        <v>10124</v>
      </c>
      <c r="F20" s="2912">
        <v>5385</v>
      </c>
      <c r="G20" s="2911">
        <v>1376</v>
      </c>
      <c r="H20" s="2912">
        <v>1926</v>
      </c>
      <c r="I20" s="2911">
        <v>3034</v>
      </c>
      <c r="J20" s="2912">
        <v>1280</v>
      </c>
      <c r="K20" s="2911">
        <v>1356.87</v>
      </c>
      <c r="L20" s="2910"/>
      <c r="M20" s="514">
        <v>11120</v>
      </c>
    </row>
    <row r="21" spans="1:13" ht="13.8" thickBot="1" x14ac:dyDescent="0.3">
      <c r="A21" s="2917" t="s">
        <v>0</v>
      </c>
      <c r="B21" s="2918">
        <f>SUM(B4,B9,B13,B15,B18)</f>
        <v>31519729.98</v>
      </c>
      <c r="C21" s="2918">
        <f t="shared" ref="C21:M21" si="5">SUM(C4,C9,C13,C15,C18)</f>
        <v>40439289.799999997</v>
      </c>
      <c r="D21" s="2918">
        <f t="shared" si="5"/>
        <v>40798443.490000002</v>
      </c>
      <c r="E21" s="2918">
        <f t="shared" si="5"/>
        <v>58346146.349999994</v>
      </c>
      <c r="F21" s="2918">
        <f t="shared" si="5"/>
        <v>42235507.400000006</v>
      </c>
      <c r="G21" s="2918">
        <f t="shared" si="5"/>
        <v>38459836.43</v>
      </c>
      <c r="H21" s="2918">
        <f t="shared" si="5"/>
        <v>28735475.959999997</v>
      </c>
      <c r="I21" s="2918">
        <f t="shared" si="5"/>
        <v>45845007.949999996</v>
      </c>
      <c r="J21" s="2918">
        <f t="shared" si="5"/>
        <v>31691113.670000002</v>
      </c>
      <c r="K21" s="2918">
        <f t="shared" si="5"/>
        <v>34189484.119999997</v>
      </c>
      <c r="L21" s="2918">
        <f t="shared" si="5"/>
        <v>56546836.269999996</v>
      </c>
      <c r="M21" s="2919">
        <f t="shared" si="5"/>
        <v>62756610.649999999</v>
      </c>
    </row>
    <row r="22" spans="1:13" ht="15.6" x14ac:dyDescent="0.25">
      <c r="A22" s="2913" t="s">
        <v>742</v>
      </c>
      <c r="B22" s="2914" t="s">
        <v>734</v>
      </c>
      <c r="C22" s="2914" t="s">
        <v>734</v>
      </c>
      <c r="D22" s="2914" t="s">
        <v>734</v>
      </c>
      <c r="E22" s="2914" t="s">
        <v>734</v>
      </c>
      <c r="F22" s="2914" t="s">
        <v>734</v>
      </c>
      <c r="G22" s="2914" t="s">
        <v>734</v>
      </c>
      <c r="H22" s="2915"/>
      <c r="I22" s="2915"/>
      <c r="J22" s="2915"/>
      <c r="K22" s="2915"/>
      <c r="L22" s="2915"/>
      <c r="M22" s="2916"/>
    </row>
    <row r="23" spans="1:13" x14ac:dyDescent="0.25">
      <c r="A23" s="2891" t="s">
        <v>743</v>
      </c>
      <c r="B23" s="2906">
        <f>SUM(B24:B26)</f>
        <v>3397497</v>
      </c>
      <c r="C23" s="2906">
        <f t="shared" ref="C23:M23" si="6">SUM(C24:C26)</f>
        <v>12064975.630000001</v>
      </c>
      <c r="D23" s="2906">
        <f t="shared" si="6"/>
        <v>4668542</v>
      </c>
      <c r="E23" s="2906">
        <f t="shared" si="6"/>
        <v>5315909</v>
      </c>
      <c r="F23" s="2906">
        <f t="shared" si="6"/>
        <v>2214303</v>
      </c>
      <c r="G23" s="2906">
        <f t="shared" si="6"/>
        <v>8784499</v>
      </c>
      <c r="H23" s="2906">
        <f t="shared" si="6"/>
        <v>3810526</v>
      </c>
      <c r="I23" s="2906">
        <f t="shared" si="6"/>
        <v>6617992</v>
      </c>
      <c r="J23" s="2906">
        <f t="shared" si="6"/>
        <v>3181534</v>
      </c>
      <c r="K23" s="2906">
        <f t="shared" si="6"/>
        <v>10895826.25</v>
      </c>
      <c r="L23" s="2906">
        <f t="shared" si="6"/>
        <v>7301131.7699999996</v>
      </c>
      <c r="M23" s="2907">
        <f t="shared" si="6"/>
        <v>9082775.3499999996</v>
      </c>
    </row>
    <row r="24" spans="1:13" x14ac:dyDescent="0.25">
      <c r="A24" s="2447" t="s">
        <v>744</v>
      </c>
      <c r="B24" s="2900"/>
      <c r="C24" s="2899">
        <v>84800</v>
      </c>
      <c r="D24" s="2546">
        <v>84800</v>
      </c>
      <c r="E24" s="2899">
        <v>402100</v>
      </c>
      <c r="F24" s="2546">
        <v>84800</v>
      </c>
      <c r="G24" s="2899">
        <v>384800</v>
      </c>
      <c r="H24" s="2546">
        <v>700300</v>
      </c>
      <c r="I24" s="2899">
        <v>81456</v>
      </c>
      <c r="J24" s="2546">
        <v>681102</v>
      </c>
      <c r="K24" s="2899">
        <v>277669</v>
      </c>
      <c r="L24" s="2546">
        <v>794575</v>
      </c>
      <c r="M24" s="188">
        <v>2262311</v>
      </c>
    </row>
    <row r="25" spans="1:13" x14ac:dyDescent="0.25">
      <c r="A25" s="2448" t="s">
        <v>745</v>
      </c>
      <c r="B25" s="2546">
        <v>3397497</v>
      </c>
      <c r="C25" s="2899">
        <v>11980175.630000001</v>
      </c>
      <c r="D25" s="2546">
        <v>4583742</v>
      </c>
      <c r="E25" s="2899">
        <v>4865592</v>
      </c>
      <c r="F25" s="2546">
        <v>2084308</v>
      </c>
      <c r="G25" s="2899">
        <v>8354150</v>
      </c>
      <c r="H25" s="2546">
        <v>3064320</v>
      </c>
      <c r="I25" s="2899">
        <v>6490271</v>
      </c>
      <c r="J25" s="2546">
        <v>2453804</v>
      </c>
      <c r="K25" s="2899">
        <v>10571164.25</v>
      </c>
      <c r="L25" s="2546">
        <v>6459195.7699999996</v>
      </c>
      <c r="M25" s="188">
        <v>6772732.3499999996</v>
      </c>
    </row>
    <row r="26" spans="1:13" x14ac:dyDescent="0.25">
      <c r="A26" s="2448" t="s">
        <v>746</v>
      </c>
      <c r="B26" s="2900"/>
      <c r="C26" s="2901"/>
      <c r="D26" s="2900"/>
      <c r="E26" s="2899">
        <v>48217</v>
      </c>
      <c r="F26" s="2546">
        <v>45195</v>
      </c>
      <c r="G26" s="2899">
        <v>45549</v>
      </c>
      <c r="H26" s="2546">
        <v>45906</v>
      </c>
      <c r="I26" s="2899">
        <v>46265</v>
      </c>
      <c r="J26" s="2546">
        <v>46628</v>
      </c>
      <c r="K26" s="2899">
        <v>46993</v>
      </c>
      <c r="L26" s="2546">
        <v>47361</v>
      </c>
      <c r="M26" s="188">
        <v>47732</v>
      </c>
    </row>
    <row r="27" spans="1:13" x14ac:dyDescent="0.25">
      <c r="A27" s="2891" t="s">
        <v>736</v>
      </c>
      <c r="B27" s="2906">
        <f>SUM(B28:B32)</f>
        <v>25772656.119999997</v>
      </c>
      <c r="C27" s="2906">
        <f t="shared" ref="C27:M27" si="7">SUM(C28:C32)</f>
        <v>27627324.400000002</v>
      </c>
      <c r="D27" s="2906">
        <f t="shared" si="7"/>
        <v>39789873.370000005</v>
      </c>
      <c r="E27" s="2906">
        <f t="shared" si="7"/>
        <v>36823570.809999995</v>
      </c>
      <c r="F27" s="2906">
        <f t="shared" si="7"/>
        <v>43847674.839999996</v>
      </c>
      <c r="G27" s="2906">
        <f t="shared" si="7"/>
        <v>28816030.93</v>
      </c>
      <c r="H27" s="2906">
        <f t="shared" si="7"/>
        <v>31301915.109999999</v>
      </c>
      <c r="I27" s="2906">
        <f t="shared" si="7"/>
        <v>35420578.100000001</v>
      </c>
      <c r="J27" s="2906">
        <f t="shared" si="7"/>
        <v>25111074.610000003</v>
      </c>
      <c r="K27" s="2906">
        <f t="shared" si="7"/>
        <v>26519574.470000003</v>
      </c>
      <c r="L27" s="2906">
        <f t="shared" si="7"/>
        <v>38294792.560000002</v>
      </c>
      <c r="M27" s="2907">
        <f t="shared" si="7"/>
        <v>39671750.780000001</v>
      </c>
    </row>
    <row r="28" spans="1:13" x14ac:dyDescent="0.25">
      <c r="A28" s="2448" t="s">
        <v>747</v>
      </c>
      <c r="B28" s="2546">
        <v>404670</v>
      </c>
      <c r="C28" s="2899">
        <v>409023</v>
      </c>
      <c r="D28" s="2546">
        <v>394443</v>
      </c>
      <c r="E28" s="2899">
        <v>402551</v>
      </c>
      <c r="F28" s="2546">
        <v>417463</v>
      </c>
      <c r="G28" s="2899">
        <v>432432</v>
      </c>
      <c r="H28" s="2546">
        <v>391659</v>
      </c>
      <c r="I28" s="2899">
        <v>459703</v>
      </c>
      <c r="J28" s="2546">
        <v>403580</v>
      </c>
      <c r="K28" s="2899">
        <v>417602</v>
      </c>
      <c r="L28" s="2546">
        <v>416537</v>
      </c>
      <c r="M28" s="188">
        <v>414940</v>
      </c>
    </row>
    <row r="29" spans="1:13" x14ac:dyDescent="0.25">
      <c r="A29" s="2448" t="s">
        <v>737</v>
      </c>
      <c r="B29" s="2546">
        <v>397021.86</v>
      </c>
      <c r="C29" s="2899">
        <v>283843</v>
      </c>
      <c r="D29" s="2546">
        <v>345053.32</v>
      </c>
      <c r="E29" s="2899">
        <v>379604.73</v>
      </c>
      <c r="F29" s="2546">
        <v>332176</v>
      </c>
      <c r="G29" s="2899">
        <v>338509</v>
      </c>
      <c r="H29" s="2546">
        <v>357362</v>
      </c>
      <c r="I29" s="2899">
        <v>369717</v>
      </c>
      <c r="J29" s="2546">
        <v>319935.5</v>
      </c>
      <c r="K29" s="2899">
        <v>383267.2</v>
      </c>
      <c r="L29" s="2546">
        <v>333082.21999999997</v>
      </c>
      <c r="M29" s="188">
        <v>345081.59999999998</v>
      </c>
    </row>
    <row r="30" spans="1:13" x14ac:dyDescent="0.25">
      <c r="A30" s="2448" t="s">
        <v>748</v>
      </c>
      <c r="B30" s="2546">
        <v>1503205.36</v>
      </c>
      <c r="C30" s="2899">
        <v>2940010.35</v>
      </c>
      <c r="D30" s="2546">
        <v>2744564.99</v>
      </c>
      <c r="E30" s="2899">
        <v>2945867.09</v>
      </c>
      <c r="F30" s="2546">
        <v>3430312.05</v>
      </c>
      <c r="G30" s="2899">
        <v>4259971.68</v>
      </c>
      <c r="H30" s="2546">
        <v>3134421.11</v>
      </c>
      <c r="I30" s="2899">
        <v>3166878.14</v>
      </c>
      <c r="J30" s="2546">
        <v>2855865.19</v>
      </c>
      <c r="K30" s="2899">
        <v>3193220.58</v>
      </c>
      <c r="L30" s="2546">
        <v>3239524.81</v>
      </c>
      <c r="M30" s="188">
        <v>4519605.75</v>
      </c>
    </row>
    <row r="31" spans="1:13" x14ac:dyDescent="0.25">
      <c r="A31" s="2448" t="s">
        <v>629</v>
      </c>
      <c r="B31" s="2546">
        <v>23467758.899999999</v>
      </c>
      <c r="C31" s="2899">
        <v>23994448.050000001</v>
      </c>
      <c r="D31" s="2546">
        <v>36221824.060000002</v>
      </c>
      <c r="E31" s="2899">
        <v>33095547.989999998</v>
      </c>
      <c r="F31" s="2546">
        <v>39667723.789999999</v>
      </c>
      <c r="G31" s="2899">
        <v>23785118.25</v>
      </c>
      <c r="H31" s="2546">
        <v>27418473</v>
      </c>
      <c r="I31" s="2899">
        <v>31424279.960000001</v>
      </c>
      <c r="J31" s="2546">
        <v>21531693.920000002</v>
      </c>
      <c r="K31" s="2899">
        <v>22525484.690000001</v>
      </c>
      <c r="L31" s="2546">
        <v>34305648.530000001</v>
      </c>
      <c r="M31" s="188">
        <v>34353623.43</v>
      </c>
    </row>
    <row r="32" spans="1:13" x14ac:dyDescent="0.25">
      <c r="A32" s="2447" t="s">
        <v>738</v>
      </c>
      <c r="B32" s="2900"/>
      <c r="C32" s="2901"/>
      <c r="D32" s="2546">
        <v>83988</v>
      </c>
      <c r="E32" s="2901"/>
      <c r="F32" s="2900"/>
      <c r="G32" s="2901"/>
      <c r="H32" s="2900"/>
      <c r="I32" s="2901"/>
      <c r="J32" s="2900"/>
      <c r="K32" s="2901"/>
      <c r="L32" s="2900"/>
      <c r="M32" s="188">
        <v>38500</v>
      </c>
    </row>
    <row r="33" spans="1:13" x14ac:dyDescent="0.25">
      <c r="A33" s="2891" t="s">
        <v>630</v>
      </c>
      <c r="B33" s="2906">
        <f>SUM(B34:B36)</f>
        <v>69120</v>
      </c>
      <c r="C33" s="2906">
        <f t="shared" ref="C33:M33" si="8">SUM(C34:C36)</f>
        <v>95021.75</v>
      </c>
      <c r="D33" s="2906">
        <f t="shared" si="8"/>
        <v>302200</v>
      </c>
      <c r="E33" s="2906">
        <f t="shared" si="8"/>
        <v>66740</v>
      </c>
      <c r="F33" s="2906">
        <f t="shared" si="8"/>
        <v>82260</v>
      </c>
      <c r="G33" s="2906">
        <f t="shared" si="8"/>
        <v>2177325</v>
      </c>
      <c r="H33" s="2906">
        <f t="shared" si="8"/>
        <v>119975</v>
      </c>
      <c r="I33" s="2906">
        <f t="shared" si="8"/>
        <v>99440</v>
      </c>
      <c r="J33" s="2906">
        <f t="shared" si="8"/>
        <v>65700</v>
      </c>
      <c r="K33" s="2906">
        <f t="shared" si="8"/>
        <v>176070</v>
      </c>
      <c r="L33" s="2906">
        <f t="shared" si="8"/>
        <v>65320</v>
      </c>
      <c r="M33" s="2907">
        <f t="shared" si="8"/>
        <v>471675.6</v>
      </c>
    </row>
    <row r="34" spans="1:13" x14ac:dyDescent="0.25">
      <c r="A34" s="2448" t="s">
        <v>739</v>
      </c>
      <c r="B34" s="2900"/>
      <c r="C34" s="2901"/>
      <c r="D34" s="2900"/>
      <c r="E34" s="2901"/>
      <c r="F34" s="2900"/>
      <c r="G34" s="2901"/>
      <c r="H34" s="2900"/>
      <c r="I34" s="2899">
        <v>30000</v>
      </c>
      <c r="J34" s="2900"/>
      <c r="K34" s="2901"/>
      <c r="L34" s="5"/>
      <c r="M34" s="2902"/>
    </row>
    <row r="35" spans="1:13" x14ac:dyDescent="0.25">
      <c r="A35" s="2447" t="s">
        <v>740</v>
      </c>
      <c r="B35" s="2546">
        <v>69120</v>
      </c>
      <c r="C35" s="2899">
        <v>81020</v>
      </c>
      <c r="D35" s="2546">
        <v>76300</v>
      </c>
      <c r="E35" s="2899">
        <v>66740</v>
      </c>
      <c r="F35" s="2546">
        <v>82260</v>
      </c>
      <c r="G35" s="2899">
        <v>85300</v>
      </c>
      <c r="H35" s="2546">
        <v>61740</v>
      </c>
      <c r="I35" s="2899">
        <v>69440</v>
      </c>
      <c r="J35" s="2546">
        <v>65700</v>
      </c>
      <c r="K35" s="2899">
        <v>80520</v>
      </c>
      <c r="L35" s="2546">
        <v>65320</v>
      </c>
      <c r="M35" s="188">
        <v>466560</v>
      </c>
    </row>
    <row r="36" spans="1:13" x14ac:dyDescent="0.25">
      <c r="A36" s="2448" t="s">
        <v>628</v>
      </c>
      <c r="B36" s="2900"/>
      <c r="C36" s="2899">
        <v>14001.75</v>
      </c>
      <c r="D36" s="2546">
        <v>225900</v>
      </c>
      <c r="E36" s="2901"/>
      <c r="F36" s="2900"/>
      <c r="G36" s="2899">
        <v>2092025</v>
      </c>
      <c r="H36" s="2546">
        <v>58235</v>
      </c>
      <c r="I36" s="2901"/>
      <c r="J36" s="2900"/>
      <c r="K36" s="2899">
        <v>95550</v>
      </c>
      <c r="L36" s="2900"/>
      <c r="M36" s="188">
        <v>5115.6000000000004</v>
      </c>
    </row>
    <row r="37" spans="1:13" x14ac:dyDescent="0.25">
      <c r="A37" s="2891" t="s">
        <v>170</v>
      </c>
      <c r="B37" s="2906">
        <f>SUM(B38)</f>
        <v>75457</v>
      </c>
      <c r="C37" s="2906">
        <f t="shared" ref="C37:M37" si="9">SUM(C38)</f>
        <v>99003</v>
      </c>
      <c r="D37" s="2906">
        <f t="shared" si="9"/>
        <v>64286</v>
      </c>
      <c r="E37" s="2906">
        <f t="shared" si="9"/>
        <v>504640</v>
      </c>
      <c r="F37" s="2906">
        <f t="shared" si="9"/>
        <v>62028</v>
      </c>
      <c r="G37" s="2906">
        <f t="shared" si="9"/>
        <v>1144144.3999999999</v>
      </c>
      <c r="H37" s="2906">
        <f t="shared" si="9"/>
        <v>70399</v>
      </c>
      <c r="I37" s="2906">
        <f t="shared" si="9"/>
        <v>87574</v>
      </c>
      <c r="J37" s="2906">
        <f t="shared" si="9"/>
        <v>94053</v>
      </c>
      <c r="K37" s="2906">
        <f t="shared" si="9"/>
        <v>69407</v>
      </c>
      <c r="L37" s="2906">
        <f t="shared" si="9"/>
        <v>74536</v>
      </c>
      <c r="M37" s="2907">
        <f t="shared" si="9"/>
        <v>64050</v>
      </c>
    </row>
    <row r="38" spans="1:13" x14ac:dyDescent="0.25">
      <c r="A38" s="2447" t="s">
        <v>125</v>
      </c>
      <c r="B38" s="2546">
        <v>75457</v>
      </c>
      <c r="C38" s="2899">
        <v>99003</v>
      </c>
      <c r="D38" s="2546">
        <v>64286</v>
      </c>
      <c r="E38" s="2899">
        <v>504640</v>
      </c>
      <c r="F38" s="2546">
        <v>62028</v>
      </c>
      <c r="G38" s="2899">
        <v>1144144.3999999999</v>
      </c>
      <c r="H38" s="2546">
        <v>70399</v>
      </c>
      <c r="I38" s="2899">
        <v>87574</v>
      </c>
      <c r="J38" s="2546">
        <v>94053</v>
      </c>
      <c r="K38" s="2899">
        <v>69407</v>
      </c>
      <c r="L38" s="2546">
        <v>74536</v>
      </c>
      <c r="M38" s="188">
        <v>64050</v>
      </c>
    </row>
    <row r="39" spans="1:13" x14ac:dyDescent="0.25">
      <c r="A39" s="2891" t="s">
        <v>126</v>
      </c>
      <c r="B39" s="2906">
        <f>SUM(B40:B42)</f>
        <v>942706.63</v>
      </c>
      <c r="C39" s="2906">
        <f t="shared" ref="C39:M39" si="10">SUM(C40:C42)</f>
        <v>539322.79</v>
      </c>
      <c r="D39" s="2906">
        <f t="shared" si="10"/>
        <v>592223.13</v>
      </c>
      <c r="E39" s="2906">
        <f t="shared" si="10"/>
        <v>576951.82000000007</v>
      </c>
      <c r="F39" s="2906">
        <f t="shared" si="10"/>
        <v>566390.05000000005</v>
      </c>
      <c r="G39" s="2906">
        <f t="shared" si="10"/>
        <v>506895.49</v>
      </c>
      <c r="H39" s="2906">
        <f t="shared" si="10"/>
        <v>593361.44999999995</v>
      </c>
      <c r="I39" s="2906">
        <f t="shared" si="10"/>
        <v>586870.53</v>
      </c>
      <c r="J39" s="2906">
        <f t="shared" si="10"/>
        <v>494708.43</v>
      </c>
      <c r="K39" s="2906">
        <f t="shared" si="10"/>
        <v>580557.62</v>
      </c>
      <c r="L39" s="2906">
        <f t="shared" si="10"/>
        <v>840053.21000000008</v>
      </c>
      <c r="M39" s="2907">
        <f t="shared" si="10"/>
        <v>461588.44999999995</v>
      </c>
    </row>
    <row r="40" spans="1:13" x14ac:dyDescent="0.25">
      <c r="A40" s="2447" t="s">
        <v>127</v>
      </c>
      <c r="B40" s="2546">
        <v>148064.25</v>
      </c>
      <c r="C40" s="2899">
        <v>42466.34</v>
      </c>
      <c r="D40" s="2546">
        <v>42716.85</v>
      </c>
      <c r="E40" s="2899">
        <v>43218.29</v>
      </c>
      <c r="F40" s="2546">
        <v>59254.69</v>
      </c>
      <c r="G40" s="2899">
        <v>38001.89</v>
      </c>
      <c r="H40" s="2546">
        <v>119683.65</v>
      </c>
      <c r="I40" s="2899">
        <v>32288.7</v>
      </c>
      <c r="J40" s="2546">
        <v>28065.06</v>
      </c>
      <c r="K40" s="2899">
        <v>36766.699999999997</v>
      </c>
      <c r="L40" s="2546">
        <v>42129.55</v>
      </c>
      <c r="M40" s="188">
        <v>36004.089999999997</v>
      </c>
    </row>
    <row r="41" spans="1:13" x14ac:dyDescent="0.25">
      <c r="A41" s="2448" t="s">
        <v>152</v>
      </c>
      <c r="B41" s="2546">
        <v>779031.38</v>
      </c>
      <c r="C41" s="2899">
        <v>486247.45</v>
      </c>
      <c r="D41" s="2546">
        <v>494259.28</v>
      </c>
      <c r="E41" s="2899">
        <v>490675.53</v>
      </c>
      <c r="F41" s="2546">
        <v>484254.36</v>
      </c>
      <c r="G41" s="2899">
        <v>447662.6</v>
      </c>
      <c r="H41" s="2546">
        <v>457313.8</v>
      </c>
      <c r="I41" s="2899">
        <v>504015.83</v>
      </c>
      <c r="J41" s="2546">
        <v>450027.37</v>
      </c>
      <c r="K41" s="2899">
        <v>516762.92</v>
      </c>
      <c r="L41" s="2546">
        <v>766586.66</v>
      </c>
      <c r="M41" s="188">
        <v>410619.36</v>
      </c>
    </row>
    <row r="42" spans="1:13" x14ac:dyDescent="0.25">
      <c r="A42" s="2448" t="s">
        <v>158</v>
      </c>
      <c r="B42" s="2546">
        <v>15611</v>
      </c>
      <c r="C42" s="2899">
        <v>10609</v>
      </c>
      <c r="D42" s="2546">
        <v>55247</v>
      </c>
      <c r="E42" s="2899">
        <v>43058</v>
      </c>
      <c r="F42" s="2546">
        <v>22881</v>
      </c>
      <c r="G42" s="2899">
        <v>21231</v>
      </c>
      <c r="H42" s="2546">
        <v>16364</v>
      </c>
      <c r="I42" s="2899">
        <v>50566</v>
      </c>
      <c r="J42" s="2546">
        <v>16616</v>
      </c>
      <c r="K42" s="2899">
        <v>27028</v>
      </c>
      <c r="L42" s="2546">
        <v>31337</v>
      </c>
      <c r="M42" s="188">
        <v>14965</v>
      </c>
    </row>
    <row r="43" spans="1:13" x14ac:dyDescent="0.25">
      <c r="A43" s="2920" t="s">
        <v>0</v>
      </c>
      <c r="B43" s="2921">
        <f>SUM(B23,B27,B33,B37,B39)</f>
        <v>30257436.749999996</v>
      </c>
      <c r="C43" s="2921">
        <f t="shared" ref="C43:M43" si="11">SUM(C23,C27,C33,C37,C39)</f>
        <v>40425647.57</v>
      </c>
      <c r="D43" s="2921">
        <f t="shared" si="11"/>
        <v>45417124.500000007</v>
      </c>
      <c r="E43" s="2921">
        <f t="shared" si="11"/>
        <v>43287811.629999995</v>
      </c>
      <c r="F43" s="2921">
        <f t="shared" si="11"/>
        <v>46772655.889999993</v>
      </c>
      <c r="G43" s="2921">
        <f t="shared" si="11"/>
        <v>41428894.82</v>
      </c>
      <c r="H43" s="2921">
        <f t="shared" si="11"/>
        <v>35896176.560000002</v>
      </c>
      <c r="I43" s="2921">
        <f t="shared" si="11"/>
        <v>42812454.630000003</v>
      </c>
      <c r="J43" s="2921">
        <f t="shared" si="11"/>
        <v>28947070.040000003</v>
      </c>
      <c r="K43" s="2921">
        <f t="shared" si="11"/>
        <v>38241435.339999996</v>
      </c>
      <c r="L43" s="2921">
        <f t="shared" si="11"/>
        <v>46575833.539999999</v>
      </c>
      <c r="M43" s="2922">
        <f t="shared" si="11"/>
        <v>49751840.180000007</v>
      </c>
    </row>
    <row r="44" spans="1:13" ht="13.8" thickBot="1" x14ac:dyDescent="0.3">
      <c r="A44" s="2923" t="s">
        <v>749</v>
      </c>
      <c r="B44" s="2924">
        <f>B21-B43</f>
        <v>1262293.2300000042</v>
      </c>
      <c r="C44" s="2924">
        <f t="shared" ref="C44:M44" si="12">C21-C43</f>
        <v>13642.229999996722</v>
      </c>
      <c r="D44" s="2924">
        <f t="shared" si="12"/>
        <v>-4618681.0100000054</v>
      </c>
      <c r="E44" s="2924">
        <f t="shared" si="12"/>
        <v>15058334.719999999</v>
      </c>
      <c r="F44" s="2924">
        <f t="shared" si="12"/>
        <v>-4537148.4899999872</v>
      </c>
      <c r="G44" s="2924">
        <f t="shared" si="12"/>
        <v>-2969058.3900000006</v>
      </c>
      <c r="H44" s="2924">
        <f t="shared" si="12"/>
        <v>-7160700.6000000052</v>
      </c>
      <c r="I44" s="2924">
        <f t="shared" si="12"/>
        <v>3032553.3199999928</v>
      </c>
      <c r="J44" s="2924">
        <f t="shared" si="12"/>
        <v>2744043.629999999</v>
      </c>
      <c r="K44" s="2924">
        <f t="shared" si="12"/>
        <v>-4051951.2199999988</v>
      </c>
      <c r="L44" s="2924">
        <f t="shared" si="12"/>
        <v>9971002.7299999967</v>
      </c>
      <c r="M44" s="2925">
        <f t="shared" si="12"/>
        <v>13004770.469999991</v>
      </c>
    </row>
    <row r="45" spans="1:13" ht="13.8" thickBot="1" x14ac:dyDescent="0.3">
      <c r="A45" s="2903"/>
      <c r="B45" s="2904"/>
      <c r="C45" s="2904"/>
      <c r="D45" s="2904"/>
      <c r="E45" s="2904"/>
      <c r="F45" s="2904"/>
      <c r="G45" s="2904"/>
      <c r="H45" s="2904"/>
      <c r="I45" s="2904"/>
      <c r="J45" s="2904"/>
      <c r="K45" s="2904"/>
      <c r="L45" s="2904"/>
      <c r="M45" s="2905"/>
    </row>
    <row r="46" spans="1:13" ht="14.4" x14ac:dyDescent="0.3">
      <c r="A46" s="2451" t="s">
        <v>750</v>
      </c>
      <c r="B46" s="2452">
        <f>B21-(B49+B52)</f>
        <v>31519729.98</v>
      </c>
      <c r="C46" s="2452">
        <f>C21-(C49+C52)</f>
        <v>40439289.799999997</v>
      </c>
      <c r="D46" s="2452">
        <f>D21-(D49+D52)</f>
        <v>40798443.490000002</v>
      </c>
      <c r="E46" s="2452">
        <f>E21-(E49+E52)</f>
        <v>44429321.279999994</v>
      </c>
      <c r="F46" s="2452">
        <f t="shared" ref="F46:M46" si="13">F21-(F49+F52)</f>
        <v>42235507.400000006</v>
      </c>
      <c r="G46" s="2452">
        <f t="shared" si="13"/>
        <v>38459836.43</v>
      </c>
      <c r="H46" s="2452">
        <f t="shared" si="13"/>
        <v>28735475.959999997</v>
      </c>
      <c r="I46" s="2452">
        <f t="shared" si="13"/>
        <v>45845007.949999996</v>
      </c>
      <c r="J46" s="2452">
        <f t="shared" si="13"/>
        <v>31691113.670000002</v>
      </c>
      <c r="K46" s="2452">
        <f t="shared" si="13"/>
        <v>34189484.119999997</v>
      </c>
      <c r="L46" s="2452">
        <f t="shared" si="13"/>
        <v>40101713.269999996</v>
      </c>
      <c r="M46" s="2452">
        <f t="shared" si="13"/>
        <v>62756610.649999999</v>
      </c>
    </row>
    <row r="47" spans="1:13" ht="15" thickBot="1" x14ac:dyDescent="0.35">
      <c r="A47" s="2453" t="s">
        <v>1023</v>
      </c>
      <c r="B47" s="2454">
        <f>B42-(B50+B53)</f>
        <v>-3381886</v>
      </c>
      <c r="C47" s="2454">
        <f>C42-(C50+C53)</f>
        <v>-12054366.630000001</v>
      </c>
      <c r="D47" s="2454">
        <f>D42-(D50+D53)</f>
        <v>-4613295</v>
      </c>
      <c r="E47" s="2454">
        <f>E42-(E50+E53)</f>
        <v>-5272851</v>
      </c>
      <c r="F47" s="2454">
        <f t="shared" ref="F47:M47" si="14">F42-(F50+F53)</f>
        <v>-2191422</v>
      </c>
      <c r="G47" s="2454">
        <f t="shared" si="14"/>
        <v>-8763268</v>
      </c>
      <c r="H47" s="2454">
        <f t="shared" si="14"/>
        <v>-3794162</v>
      </c>
      <c r="I47" s="2454">
        <f t="shared" si="14"/>
        <v>-6597426</v>
      </c>
      <c r="J47" s="2454">
        <f t="shared" si="14"/>
        <v>-3164918</v>
      </c>
      <c r="K47" s="2454">
        <f t="shared" si="14"/>
        <v>-10868798.25</v>
      </c>
      <c r="L47" s="2454">
        <f t="shared" si="14"/>
        <v>-7269794.7699999996</v>
      </c>
      <c r="M47" s="2454">
        <f t="shared" si="14"/>
        <v>-9067810.3499999996</v>
      </c>
    </row>
    <row r="48" spans="1:13" ht="15" thickBot="1" x14ac:dyDescent="0.35">
      <c r="A48" s="2455" t="s">
        <v>2</v>
      </c>
      <c r="B48" s="2456">
        <f>B46-B47</f>
        <v>34901615.980000004</v>
      </c>
      <c r="C48" s="2456">
        <f>C46-C47</f>
        <v>52493656.43</v>
      </c>
      <c r="D48" s="2456">
        <f>D46-D47</f>
        <v>45411738.490000002</v>
      </c>
      <c r="E48" s="2456">
        <f>E46-E47</f>
        <v>49702172.279999994</v>
      </c>
      <c r="F48" s="2456">
        <f t="shared" ref="F48:M48" si="15">F46-F47</f>
        <v>44426929.400000006</v>
      </c>
      <c r="G48" s="2456">
        <f t="shared" si="15"/>
        <v>47223104.43</v>
      </c>
      <c r="H48" s="2456">
        <f t="shared" si="15"/>
        <v>32529637.959999997</v>
      </c>
      <c r="I48" s="2456">
        <f t="shared" si="15"/>
        <v>52442433.949999996</v>
      </c>
      <c r="J48" s="2456">
        <f t="shared" si="15"/>
        <v>34856031.670000002</v>
      </c>
      <c r="K48" s="2456">
        <f t="shared" si="15"/>
        <v>45058282.369999997</v>
      </c>
      <c r="L48" s="2845">
        <f t="shared" si="15"/>
        <v>47371508.039999992</v>
      </c>
      <c r="M48" s="2456">
        <f t="shared" si="15"/>
        <v>71824421</v>
      </c>
    </row>
    <row r="49" spans="1:13" ht="14.4" x14ac:dyDescent="0.3">
      <c r="A49" s="2457" t="s">
        <v>751</v>
      </c>
      <c r="B49" s="2458">
        <f>B11</f>
        <v>0</v>
      </c>
      <c r="C49" s="2458">
        <f t="shared" ref="C49:M49" si="16">C11</f>
        <v>0</v>
      </c>
      <c r="D49" s="2458">
        <f t="shared" si="16"/>
        <v>0</v>
      </c>
      <c r="E49" s="2458">
        <f t="shared" si="16"/>
        <v>13916104</v>
      </c>
      <c r="F49" s="2458">
        <f t="shared" si="16"/>
        <v>0</v>
      </c>
      <c r="G49" s="2458">
        <f t="shared" si="16"/>
        <v>0</v>
      </c>
      <c r="H49" s="2458">
        <f t="shared" si="16"/>
        <v>0</v>
      </c>
      <c r="I49" s="2458">
        <f t="shared" si="16"/>
        <v>0</v>
      </c>
      <c r="J49" s="2458">
        <f t="shared" si="16"/>
        <v>0</v>
      </c>
      <c r="K49" s="2458">
        <f t="shared" si="16"/>
        <v>0</v>
      </c>
      <c r="L49" s="2458">
        <f t="shared" si="16"/>
        <v>16445123</v>
      </c>
      <c r="M49" s="2458">
        <f t="shared" si="16"/>
        <v>0</v>
      </c>
    </row>
    <row r="50" spans="1:13" ht="15" thickBot="1" x14ac:dyDescent="0.35">
      <c r="A50" s="2453" t="s">
        <v>752</v>
      </c>
      <c r="B50" s="2454">
        <f>B23</f>
        <v>3397497</v>
      </c>
      <c r="C50" s="2454">
        <f t="shared" ref="C50:M50" si="17">C23</f>
        <v>12064975.630000001</v>
      </c>
      <c r="D50" s="2454">
        <f t="shared" si="17"/>
        <v>4668542</v>
      </c>
      <c r="E50" s="2454">
        <f t="shared" si="17"/>
        <v>5315909</v>
      </c>
      <c r="F50" s="2454">
        <f t="shared" si="17"/>
        <v>2214303</v>
      </c>
      <c r="G50" s="2454">
        <f t="shared" si="17"/>
        <v>8784499</v>
      </c>
      <c r="H50" s="2454">
        <f t="shared" si="17"/>
        <v>3810526</v>
      </c>
      <c r="I50" s="2454">
        <f t="shared" si="17"/>
        <v>6617992</v>
      </c>
      <c r="J50" s="2454">
        <f t="shared" si="17"/>
        <v>3181534</v>
      </c>
      <c r="K50" s="2454">
        <f t="shared" si="17"/>
        <v>10895826.25</v>
      </c>
      <c r="L50" s="2454">
        <f t="shared" si="17"/>
        <v>7301131.7699999996</v>
      </c>
      <c r="M50" s="2454">
        <f t="shared" si="17"/>
        <v>9082775.3499999996</v>
      </c>
    </row>
    <row r="51" spans="1:13" ht="15" thickBot="1" x14ac:dyDescent="0.35">
      <c r="A51" s="2455"/>
      <c r="B51" s="2456">
        <f>B49-B50</f>
        <v>-3397497</v>
      </c>
      <c r="C51" s="2456">
        <f>C49-C50</f>
        <v>-12064975.630000001</v>
      </c>
      <c r="D51" s="2456">
        <f>D49-D50</f>
        <v>-4668542</v>
      </c>
      <c r="E51" s="2456">
        <f>E49-E50</f>
        <v>8600195</v>
      </c>
      <c r="F51" s="2456">
        <f t="shared" ref="F51:M51" si="18">F49-F50</f>
        <v>-2214303</v>
      </c>
      <c r="G51" s="2456">
        <f t="shared" si="18"/>
        <v>-8784499</v>
      </c>
      <c r="H51" s="2456">
        <f t="shared" si="18"/>
        <v>-3810526</v>
      </c>
      <c r="I51" s="2456">
        <f t="shared" si="18"/>
        <v>-6617992</v>
      </c>
      <c r="J51" s="2456">
        <f t="shared" si="18"/>
        <v>-3181534</v>
      </c>
      <c r="K51" s="2456">
        <f t="shared" si="18"/>
        <v>-10895826.25</v>
      </c>
      <c r="L51" s="2456">
        <f t="shared" si="18"/>
        <v>9143991.2300000004</v>
      </c>
      <c r="M51" s="2456">
        <f t="shared" si="18"/>
        <v>-9082775.3499999996</v>
      </c>
    </row>
    <row r="52" spans="1:13" ht="14.4" x14ac:dyDescent="0.3">
      <c r="A52" s="2457" t="s">
        <v>753</v>
      </c>
      <c r="B52" s="2458">
        <f>B10</f>
        <v>0</v>
      </c>
      <c r="C52" s="2458">
        <f t="shared" ref="C52:M52" si="19">C10</f>
        <v>0</v>
      </c>
      <c r="D52" s="2458">
        <f t="shared" si="19"/>
        <v>0</v>
      </c>
      <c r="E52" s="2458">
        <f t="shared" si="19"/>
        <v>721.07</v>
      </c>
      <c r="F52" s="2458">
        <f t="shared" si="19"/>
        <v>0</v>
      </c>
      <c r="G52" s="2458">
        <f t="shared" si="19"/>
        <v>0</v>
      </c>
      <c r="H52" s="2458">
        <f t="shared" si="19"/>
        <v>0</v>
      </c>
      <c r="I52" s="2458">
        <f t="shared" si="19"/>
        <v>0</v>
      </c>
      <c r="J52" s="2458">
        <f t="shared" si="19"/>
        <v>0</v>
      </c>
      <c r="K52" s="2458">
        <f t="shared" si="19"/>
        <v>0</v>
      </c>
      <c r="L52" s="2458">
        <f t="shared" si="19"/>
        <v>0</v>
      </c>
      <c r="M52" s="2458">
        <f t="shared" si="19"/>
        <v>0</v>
      </c>
    </row>
    <row r="53" spans="1:13" ht="15" thickBot="1" x14ac:dyDescent="0.35">
      <c r="A53" s="2453" t="s">
        <v>754</v>
      </c>
      <c r="B53" s="2454">
        <f>B34</f>
        <v>0</v>
      </c>
      <c r="C53" s="2454">
        <f t="shared" ref="C53:M53" si="20">C34</f>
        <v>0</v>
      </c>
      <c r="D53" s="2454">
        <f t="shared" si="20"/>
        <v>0</v>
      </c>
      <c r="E53" s="2454">
        <f t="shared" si="20"/>
        <v>0</v>
      </c>
      <c r="F53" s="2454">
        <f t="shared" si="20"/>
        <v>0</v>
      </c>
      <c r="G53" s="2454">
        <f t="shared" si="20"/>
        <v>0</v>
      </c>
      <c r="H53" s="2454">
        <f t="shared" si="20"/>
        <v>0</v>
      </c>
      <c r="I53" s="2454">
        <f t="shared" si="20"/>
        <v>30000</v>
      </c>
      <c r="J53" s="2454">
        <f t="shared" si="20"/>
        <v>0</v>
      </c>
      <c r="K53" s="2454">
        <f t="shared" si="20"/>
        <v>0</v>
      </c>
      <c r="L53" s="2454">
        <f t="shared" si="20"/>
        <v>0</v>
      </c>
      <c r="M53" s="2454">
        <f t="shared" si="20"/>
        <v>0</v>
      </c>
    </row>
    <row r="54" spans="1:13" ht="15" thickBot="1" x14ac:dyDescent="0.35">
      <c r="A54" s="2455"/>
      <c r="B54" s="2456">
        <f>B52-B53</f>
        <v>0</v>
      </c>
      <c r="C54" s="2456">
        <f>C52-C53</f>
        <v>0</v>
      </c>
      <c r="D54" s="2456">
        <f>D52-D53</f>
        <v>0</v>
      </c>
      <c r="E54" s="2456">
        <f>E52-E53</f>
        <v>721.07</v>
      </c>
      <c r="F54" s="2456">
        <f t="shared" ref="F54:M54" si="21">F52-F53</f>
        <v>0</v>
      </c>
      <c r="G54" s="2456">
        <f t="shared" si="21"/>
        <v>0</v>
      </c>
      <c r="H54" s="2456">
        <f t="shared" si="21"/>
        <v>0</v>
      </c>
      <c r="I54" s="2456">
        <f t="shared" si="21"/>
        <v>-30000</v>
      </c>
      <c r="J54" s="2456">
        <f t="shared" si="21"/>
        <v>0</v>
      </c>
      <c r="K54" s="2456">
        <f t="shared" si="21"/>
        <v>0</v>
      </c>
      <c r="L54" s="2456">
        <f t="shared" si="21"/>
        <v>0</v>
      </c>
      <c r="M54" s="2456">
        <f t="shared" si="21"/>
        <v>0</v>
      </c>
    </row>
    <row r="55" spans="1:13" ht="13.8" thickBot="1" x14ac:dyDescent="0.3">
      <c r="A55" s="52"/>
      <c r="B55" s="2459"/>
      <c r="C55" s="2459"/>
      <c r="D55" s="2459"/>
      <c r="E55" s="2459"/>
      <c r="F55" s="2459"/>
      <c r="G55" s="2459"/>
      <c r="H55" s="2459"/>
      <c r="I55" s="2459"/>
      <c r="J55" s="2459"/>
      <c r="K55" s="2459"/>
      <c r="L55" s="2459"/>
      <c r="M55" s="2459"/>
    </row>
    <row r="56" spans="1:13" ht="15" thickBot="1" x14ac:dyDescent="0.35">
      <c r="A56" s="2460"/>
      <c r="B56" s="2461">
        <f>B48+B51+B54</f>
        <v>31504118.980000004</v>
      </c>
      <c r="C56" s="2461">
        <f t="shared" ref="C56:M56" si="22">C48+C51+C54</f>
        <v>40428680.799999997</v>
      </c>
      <c r="D56" s="2461">
        <f t="shared" si="22"/>
        <v>40743196.490000002</v>
      </c>
      <c r="E56" s="2461">
        <f t="shared" si="22"/>
        <v>58303088.349999994</v>
      </c>
      <c r="F56" s="2461">
        <f t="shared" si="22"/>
        <v>42212626.400000006</v>
      </c>
      <c r="G56" s="2461">
        <f t="shared" si="22"/>
        <v>38438605.43</v>
      </c>
      <c r="H56" s="2461">
        <f t="shared" si="22"/>
        <v>28719111.959999997</v>
      </c>
      <c r="I56" s="2461">
        <f t="shared" si="22"/>
        <v>45794441.949999996</v>
      </c>
      <c r="J56" s="2461">
        <f t="shared" si="22"/>
        <v>31674497.670000002</v>
      </c>
      <c r="K56" s="2461">
        <f t="shared" si="22"/>
        <v>34162456.119999997</v>
      </c>
      <c r="L56" s="2461">
        <f t="shared" si="22"/>
        <v>56515499.269999996</v>
      </c>
      <c r="M56" s="2461">
        <f t="shared" si="22"/>
        <v>62741645.649999999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B1:AA27"/>
  <sheetViews>
    <sheetView workbookViewId="0">
      <selection activeCell="B36" sqref="B36"/>
    </sheetView>
  </sheetViews>
  <sheetFormatPr defaultRowHeight="13.2" x14ac:dyDescent="0.25"/>
  <cols>
    <col min="3" max="3" width="13.109375" bestFit="1" customWidth="1"/>
    <col min="4" max="5" width="12.109375" bestFit="1" customWidth="1"/>
    <col min="6" max="6" width="12.33203125" bestFit="1" customWidth="1"/>
    <col min="7" max="7" width="12.33203125" customWidth="1"/>
    <col min="8" max="8" width="12.88671875" bestFit="1" customWidth="1"/>
    <col min="9" max="9" width="14.44140625" bestFit="1" customWidth="1"/>
    <col min="10" max="10" width="12.6640625" bestFit="1" customWidth="1"/>
    <col min="11" max="11" width="5.6640625" bestFit="1" customWidth="1"/>
    <col min="12" max="12" width="12" bestFit="1" customWidth="1"/>
    <col min="13" max="13" width="12" customWidth="1"/>
    <col min="14" max="14" width="13.109375" bestFit="1" customWidth="1"/>
    <col min="18" max="18" width="10" bestFit="1" customWidth="1"/>
    <col min="19" max="19" width="11.88671875" bestFit="1" customWidth="1"/>
    <col min="20" max="20" width="12.33203125" bestFit="1" customWidth="1"/>
    <col min="21" max="21" width="12.44140625" bestFit="1" customWidth="1"/>
    <col min="22" max="22" width="12.33203125" bestFit="1" customWidth="1"/>
  </cols>
  <sheetData>
    <row r="1" spans="2:27" ht="15" thickBot="1" x14ac:dyDescent="0.35">
      <c r="B1" s="3269" t="s">
        <v>787</v>
      </c>
      <c r="C1" s="3270"/>
      <c r="D1" s="3270"/>
      <c r="E1" s="3270"/>
      <c r="F1" s="3270"/>
      <c r="G1" s="3270"/>
      <c r="H1" s="3270"/>
      <c r="I1" s="3270"/>
      <c r="J1" s="3270"/>
      <c r="K1" s="3270"/>
      <c r="L1" s="3270"/>
      <c r="M1" s="3270"/>
      <c r="N1" s="3270"/>
      <c r="O1" s="3270"/>
      <c r="P1" s="3271"/>
      <c r="S1">
        <v>10</v>
      </c>
      <c r="T1" t="s">
        <v>940</v>
      </c>
    </row>
    <row r="2" spans="2:27" ht="15" thickBot="1" x14ac:dyDescent="0.35">
      <c r="B2" s="2560" t="s">
        <v>788</v>
      </c>
      <c r="C2" s="2561">
        <v>20065000</v>
      </c>
      <c r="D2" s="2562">
        <f>C2/$F$2</f>
        <v>10</v>
      </c>
      <c r="E2" s="999" t="s">
        <v>789</v>
      </c>
      <c r="F2" s="2563">
        <v>2006500</v>
      </c>
      <c r="G2" s="2563"/>
      <c r="I2" s="1420">
        <f>C2</f>
        <v>20065000</v>
      </c>
      <c r="N2" s="154">
        <f>C2</f>
        <v>20065000</v>
      </c>
      <c r="O2" s="1420">
        <f>D2</f>
        <v>10</v>
      </c>
      <c r="P2" s="2564"/>
      <c r="R2" s="665"/>
      <c r="S2" s="666" t="s">
        <v>627</v>
      </c>
      <c r="T2" s="667" t="s">
        <v>790</v>
      </c>
      <c r="X2" s="4" t="s">
        <v>791</v>
      </c>
      <c r="Y2" s="4" t="s">
        <v>792</v>
      </c>
    </row>
    <row r="3" spans="2:27" ht="14.4" x14ac:dyDescent="0.3">
      <c r="B3" s="1143" t="s">
        <v>793</v>
      </c>
      <c r="C3" s="2565">
        <v>55000000</v>
      </c>
      <c r="D3" s="1420">
        <f>C3/$F$2</f>
        <v>27.410914527784701</v>
      </c>
      <c r="E3" s="3272" t="s">
        <v>794</v>
      </c>
      <c r="F3" s="3274">
        <v>3600000</v>
      </c>
      <c r="G3" s="2566"/>
      <c r="I3" s="2422"/>
      <c r="J3" s="154"/>
      <c r="K3" s="154"/>
      <c r="N3" s="154">
        <f>C3</f>
        <v>55000000</v>
      </c>
      <c r="O3" s="1420">
        <f>D3</f>
        <v>27.410914527784701</v>
      </c>
      <c r="P3" s="2564"/>
      <c r="R3" s="189" t="s">
        <v>795</v>
      </c>
      <c r="S3" s="2567">
        <f>965300*$S$1</f>
        <v>9653000</v>
      </c>
      <c r="T3" s="2568">
        <f>17700000+55000000</f>
        <v>72700000</v>
      </c>
      <c r="U3" t="s">
        <v>796</v>
      </c>
      <c r="V3" s="1762">
        <f t="shared" ref="V3:V8" si="0">S3+T3</f>
        <v>82353000</v>
      </c>
      <c r="W3" s="2569">
        <f t="shared" ref="W3:W8" si="1">V3/$V$9</f>
        <v>0.75813341189033934</v>
      </c>
      <c r="X3">
        <v>17700</v>
      </c>
      <c r="Y3" s="2570">
        <f>ROUND((X3*8%),0)</f>
        <v>1416</v>
      </c>
    </row>
    <row r="4" spans="2:27" ht="15" thickBot="1" x14ac:dyDescent="0.35">
      <c r="B4" s="145" t="s">
        <v>790</v>
      </c>
      <c r="C4" s="2571">
        <f>34061000</f>
        <v>34061000</v>
      </c>
      <c r="D4" s="2572">
        <f>C4/$F$2</f>
        <v>16.975330176924995</v>
      </c>
      <c r="E4" s="3273"/>
      <c r="F4" s="3275"/>
      <c r="G4" s="2566"/>
      <c r="I4" s="1420"/>
      <c r="N4" s="2573">
        <f>C4-F3</f>
        <v>30461000</v>
      </c>
      <c r="O4" s="2572">
        <f>D4</f>
        <v>16.975330176924995</v>
      </c>
      <c r="P4" s="2564"/>
      <c r="R4" s="155" t="s">
        <v>797</v>
      </c>
      <c r="S4" s="2574">
        <f>604950*S1</f>
        <v>6049500</v>
      </c>
      <c r="T4" s="2575">
        <f>7750000+1011000</f>
        <v>8761000</v>
      </c>
      <c r="U4" t="s">
        <v>561</v>
      </c>
      <c r="V4" s="1762">
        <f t="shared" si="0"/>
        <v>14810500</v>
      </c>
      <c r="W4" s="2569">
        <f t="shared" si="1"/>
        <v>0.13634396921547329</v>
      </c>
      <c r="X4">
        <v>7750</v>
      </c>
      <c r="Y4" s="2570">
        <f>ROUND((X4*8%),0)</f>
        <v>620</v>
      </c>
    </row>
    <row r="5" spans="2:27" ht="14.4" x14ac:dyDescent="0.3">
      <c r="B5" s="2560" t="s">
        <v>798</v>
      </c>
      <c r="C5" s="2561">
        <f>SUM(C2:C4)</f>
        <v>109126000</v>
      </c>
      <c r="D5" s="2562">
        <f>C5/$F$2</f>
        <v>54.386244704709696</v>
      </c>
      <c r="F5" s="154"/>
      <c r="G5" s="154"/>
      <c r="I5" t="s">
        <v>799</v>
      </c>
      <c r="J5" s="2576">
        <f>-'Balance Sheet'!B4</f>
        <v>-25777834.009999998</v>
      </c>
      <c r="K5" s="2576"/>
      <c r="N5" s="2577">
        <f>SUM(N2:N4)</f>
        <v>105526000</v>
      </c>
      <c r="O5" s="2562">
        <f>N5/F2</f>
        <v>52.592075753800152</v>
      </c>
      <c r="P5" s="2564"/>
      <c r="R5" s="155" t="s">
        <v>800</v>
      </c>
      <c r="S5" s="2574">
        <f>125000*S1</f>
        <v>1250000</v>
      </c>
      <c r="T5" s="2575">
        <v>4000000</v>
      </c>
      <c r="V5" s="1762">
        <f t="shared" si="0"/>
        <v>5250000</v>
      </c>
      <c r="W5" s="2569">
        <f t="shared" si="1"/>
        <v>4.8330970485887359E-2</v>
      </c>
      <c r="X5">
        <v>4000</v>
      </c>
      <c r="Y5" s="2570">
        <f>ROUND((X5*8%),0)</f>
        <v>320</v>
      </c>
    </row>
    <row r="6" spans="2:27" ht="13.8" thickBot="1" x14ac:dyDescent="0.3">
      <c r="B6" s="3276"/>
      <c r="C6" s="3142"/>
      <c r="D6" s="3142"/>
      <c r="E6" s="3142"/>
      <c r="F6" s="3142"/>
      <c r="G6" s="3142"/>
      <c r="H6" s="3142"/>
      <c r="I6" s="3142"/>
      <c r="J6" s="3142"/>
      <c r="K6" s="3142"/>
      <c r="L6" s="3142"/>
      <c r="M6" s="3142"/>
      <c r="N6" s="3142"/>
      <c r="O6" s="3142"/>
      <c r="P6" s="3277"/>
      <c r="R6" s="155" t="s">
        <v>801</v>
      </c>
      <c r="S6" s="2574">
        <f>200000*S1</f>
        <v>2000000</v>
      </c>
      <c r="T6" s="2575"/>
      <c r="V6" s="1762">
        <f t="shared" si="0"/>
        <v>2000000</v>
      </c>
      <c r="W6" s="2569">
        <f t="shared" si="1"/>
        <v>1.8411798280338041E-2</v>
      </c>
    </row>
    <row r="7" spans="2:27" ht="14.4" x14ac:dyDescent="0.3">
      <c r="B7" s="3257" t="s">
        <v>802</v>
      </c>
      <c r="C7" s="3278" t="s">
        <v>803</v>
      </c>
      <c r="D7" s="3280" t="s">
        <v>804</v>
      </c>
      <c r="E7" s="3281"/>
      <c r="F7" s="3281"/>
      <c r="G7" s="3281"/>
      <c r="H7" s="3281"/>
      <c r="I7" s="3282"/>
      <c r="J7" s="3260" t="s">
        <v>805</v>
      </c>
      <c r="K7" s="3257"/>
      <c r="L7" s="3283" t="s">
        <v>938</v>
      </c>
      <c r="M7" s="2578" t="s">
        <v>939</v>
      </c>
      <c r="N7" s="3260" t="s">
        <v>806</v>
      </c>
      <c r="O7" s="3261"/>
      <c r="P7" s="3262"/>
      <c r="R7" s="155" t="s">
        <v>807</v>
      </c>
      <c r="S7" s="2574">
        <f>110000*S1</f>
        <v>1100000</v>
      </c>
      <c r="T7" s="2575"/>
      <c r="V7" s="1762">
        <f t="shared" si="0"/>
        <v>1100000</v>
      </c>
      <c r="W7" s="2569">
        <f t="shared" si="1"/>
        <v>1.0126489054185922E-2</v>
      </c>
    </row>
    <row r="8" spans="2:27" ht="15" thickBot="1" x14ac:dyDescent="0.35">
      <c r="B8" s="3258"/>
      <c r="C8" s="3279"/>
      <c r="D8" s="2579" t="s">
        <v>808</v>
      </c>
      <c r="E8" s="2580" t="s">
        <v>809</v>
      </c>
      <c r="F8" s="2580" t="s">
        <v>810</v>
      </c>
      <c r="G8" s="2580" t="s">
        <v>811</v>
      </c>
      <c r="H8" s="2580" t="s">
        <v>812</v>
      </c>
      <c r="I8" s="2581" t="s">
        <v>0</v>
      </c>
      <c r="J8" s="3263"/>
      <c r="K8" s="3258"/>
      <c r="L8" s="3284"/>
      <c r="M8" s="2582" t="s">
        <v>813</v>
      </c>
      <c r="N8" s="3263"/>
      <c r="O8" s="3264"/>
      <c r="P8" s="3265"/>
      <c r="R8" s="362" t="s">
        <v>814</v>
      </c>
      <c r="S8" s="2583">
        <f>1250*S1</f>
        <v>12500</v>
      </c>
      <c r="T8" s="2584">
        <f>3600000-500000</f>
        <v>3100000</v>
      </c>
      <c r="V8" s="1762">
        <f t="shared" si="0"/>
        <v>3112500</v>
      </c>
      <c r="W8" s="2569">
        <f t="shared" si="1"/>
        <v>2.8653361073776074E-2</v>
      </c>
    </row>
    <row r="9" spans="2:27" ht="15" thickBot="1" x14ac:dyDescent="0.35">
      <c r="B9" s="2585">
        <v>45748</v>
      </c>
      <c r="C9" s="1078">
        <f>'Balance Sheet'!B$30</f>
        <v>159868090.35999998</v>
      </c>
      <c r="D9" s="2586">
        <f>'Balance Sheet'!B$11+'Balance Sheet'!B$15</f>
        <v>80472767.289999992</v>
      </c>
      <c r="E9" s="1614">
        <f>'Balance Sheet'!B$18</f>
        <v>19814209.079999998</v>
      </c>
      <c r="F9" s="1614">
        <f>1800000+100000+1700000</f>
        <v>3600000</v>
      </c>
      <c r="G9" s="1614">
        <f>T19</f>
        <v>2900000</v>
      </c>
      <c r="H9" s="1614">
        <f>IF(C9=0,0,(ROUND((3169036),-3)))</f>
        <v>3169000</v>
      </c>
      <c r="I9" s="2587">
        <f>SUM(D9:H9)</f>
        <v>109955976.36999999</v>
      </c>
      <c r="J9" s="2588">
        <f>IF(C9=0,0,C9-I9)</f>
        <v>49912113.989999995</v>
      </c>
      <c r="K9" s="2589">
        <f>($N$5-J9)/$N$5</f>
        <v>0.52701595824725667</v>
      </c>
      <c r="L9" s="2590">
        <f>'Balance Sheet'!B29</f>
        <v>263077.44</v>
      </c>
      <c r="M9" s="2588">
        <f>L9</f>
        <v>263077.44</v>
      </c>
      <c r="N9" s="2591">
        <f>IF(J9=0,0,$J$5+J9+M9)</f>
        <v>24397357.419999998</v>
      </c>
      <c r="O9" s="2592">
        <f>N9/$F$2</f>
        <v>12.159161435335159</v>
      </c>
      <c r="P9" s="2593">
        <f>IF(C9=0,0,((O9-$O$5)/$O$5))</f>
        <v>-0.76880240490495244</v>
      </c>
      <c r="R9" s="2455"/>
      <c r="S9" s="2594">
        <f>SUM(S3:S8)</f>
        <v>20065000</v>
      </c>
      <c r="T9" s="2595">
        <f>SUM(T3:T8)</f>
        <v>88561000</v>
      </c>
      <c r="V9" s="2596">
        <f>SUM(V3:V8)</f>
        <v>108626000</v>
      </c>
      <c r="W9" s="820">
        <f>SUM(W3:W8)</f>
        <v>1</v>
      </c>
      <c r="X9" s="2570">
        <f>SUM(X3:X8)</f>
        <v>29450</v>
      </c>
      <c r="Y9" s="2570">
        <f>ROUND((X9*8%),0)</f>
        <v>2356</v>
      </c>
    </row>
    <row r="10" spans="2:27" ht="14.4" x14ac:dyDescent="0.3">
      <c r="B10" s="2597">
        <v>45778</v>
      </c>
      <c r="C10" s="1078">
        <f>'Balance Sheet'!C$30</f>
        <v>154979764.08999997</v>
      </c>
      <c r="D10" s="2599">
        <f>'Balance Sheet'!C$11+'Balance Sheet'!C$15</f>
        <v>69910898.430000007</v>
      </c>
      <c r="E10" s="1611">
        <f>'Balance Sheet'!C$18</f>
        <v>23658400.449999999</v>
      </c>
      <c r="F10" s="1611">
        <f>IF(C10=0,0,F9)</f>
        <v>3600000</v>
      </c>
      <c r="G10" s="1611">
        <f t="shared" ref="G10:G20" si="2">IF(C10=0,0,G9)</f>
        <v>2900000</v>
      </c>
      <c r="H10" s="1611">
        <f>IF(C10=0,0,ROUND((3022884),-3))</f>
        <v>3023000</v>
      </c>
      <c r="I10" s="2600">
        <f t="shared" ref="I10:I20" si="3">SUM(D10:H10)</f>
        <v>103092298.88000001</v>
      </c>
      <c r="J10" s="2601">
        <f t="shared" ref="J10:J20" si="4">C10-I10</f>
        <v>51887465.209999964</v>
      </c>
      <c r="K10" s="2589">
        <f>IF(J10=0,0,($N$5-J10)/$N$5)</f>
        <v>0.50829686323749634</v>
      </c>
      <c r="L10" s="2598">
        <f>'Balance Sheet'!C29</f>
        <v>1829351.22</v>
      </c>
      <c r="M10" s="2602">
        <f t="shared" ref="M10:M11" si="5">M9+L10</f>
        <v>2092428.66</v>
      </c>
      <c r="N10" s="2591">
        <f t="shared" ref="N10:N20" si="6">IF(J10=0,0,$J$5+J10+M10)</f>
        <v>28202059.859999966</v>
      </c>
      <c r="O10" s="2603">
        <f t="shared" ref="O10:O20" si="7">N10/$F$2</f>
        <v>14.055350042362305</v>
      </c>
      <c r="P10" s="2593">
        <f t="shared" ref="P10:P20" si="8">IF(C10=0,0,((O10-$O$5)/$O$5))</f>
        <v>-0.73274776017284871</v>
      </c>
      <c r="R10" s="2604">
        <v>45467</v>
      </c>
      <c r="T10" s="2570">
        <f>S9+T9</f>
        <v>108626000</v>
      </c>
    </row>
    <row r="11" spans="2:27" ht="15" thickBot="1" x14ac:dyDescent="0.35">
      <c r="B11" s="2585">
        <v>45809</v>
      </c>
      <c r="C11" s="1078">
        <f>'Balance Sheet'!D$30</f>
        <v>164917825.33999997</v>
      </c>
      <c r="D11" s="2586">
        <f>'Balance Sheet'!D$11+'Balance Sheet'!D$15</f>
        <v>80398914.439999998</v>
      </c>
      <c r="E11" s="1614">
        <f>'Balance Sheet'!D$18</f>
        <v>19059023.579999998</v>
      </c>
      <c r="F11" s="1611">
        <f t="shared" ref="F11:F18" si="9">IF(C11=0,0,F10)</f>
        <v>3600000</v>
      </c>
      <c r="G11" s="1611">
        <f t="shared" si="2"/>
        <v>2900000</v>
      </c>
      <c r="H11" s="1611">
        <v>2913000</v>
      </c>
      <c r="I11" s="2600">
        <f>SUM(D11:H11)</f>
        <v>108870938.02</v>
      </c>
      <c r="J11" s="2601">
        <f t="shared" si="4"/>
        <v>56046887.319999978</v>
      </c>
      <c r="K11" s="2589">
        <f t="shared" ref="K11:K20" si="10">IF(J11=0,0,($N$5-J11)/$N$5)</f>
        <v>0.46888077516441468</v>
      </c>
      <c r="L11" s="2598">
        <f>'Balance Sheet'!D29</f>
        <v>1872122.11</v>
      </c>
      <c r="M11" s="2602">
        <f t="shared" si="5"/>
        <v>3964550.77</v>
      </c>
      <c r="N11" s="2591">
        <f t="shared" si="6"/>
        <v>34233604.079999983</v>
      </c>
      <c r="O11" s="2603">
        <f t="shared" si="7"/>
        <v>17.061352643907291</v>
      </c>
      <c r="P11" s="2593">
        <f t="shared" si="8"/>
        <v>-0.67559081098497076</v>
      </c>
    </row>
    <row r="12" spans="2:27" ht="15" thickBot="1" x14ac:dyDescent="0.35">
      <c r="B12" s="2597">
        <v>45839</v>
      </c>
      <c r="C12" s="1078">
        <f>'Balance Sheet'!E$30</f>
        <v>150830324.51999998</v>
      </c>
      <c r="D12" s="2586">
        <f>'Balance Sheet'!E$11+'Balance Sheet'!E$15</f>
        <v>63538244.539999999</v>
      </c>
      <c r="E12" s="1614">
        <f>'Balance Sheet'!E$18</f>
        <v>21608913.41</v>
      </c>
      <c r="F12" s="1611">
        <f t="shared" si="9"/>
        <v>3600000</v>
      </c>
      <c r="G12" s="1611">
        <f t="shared" si="2"/>
        <v>2900000</v>
      </c>
      <c r="H12" s="1611">
        <v>2778000</v>
      </c>
      <c r="I12" s="2600">
        <f t="shared" si="3"/>
        <v>94425157.950000003</v>
      </c>
      <c r="J12" s="2601">
        <f t="shared" si="4"/>
        <v>56405166.569999978</v>
      </c>
      <c r="K12" s="2589">
        <f t="shared" si="10"/>
        <v>0.46548560004169609</v>
      </c>
      <c r="L12" s="2605">
        <f>'Balance Sheet'!E29</f>
        <v>588796.25</v>
      </c>
      <c r="M12" s="2602">
        <f>IF(L12=0,0,M11+L12)</f>
        <v>4553347.0199999996</v>
      </c>
      <c r="N12" s="2591">
        <f t="shared" si="6"/>
        <v>35180679.579999983</v>
      </c>
      <c r="O12" s="2603">
        <f t="shared" si="7"/>
        <v>17.533356381759273</v>
      </c>
      <c r="P12" s="2593">
        <f t="shared" si="8"/>
        <v>-0.66661600382844066</v>
      </c>
      <c r="R12" s="3266" t="s">
        <v>815</v>
      </c>
      <c r="S12" s="3267"/>
      <c r="T12" s="3268"/>
      <c r="Y12" s="2700">
        <v>45748</v>
      </c>
      <c r="Z12" s="2700">
        <v>45931</v>
      </c>
      <c r="AA12" s="2700">
        <v>45962</v>
      </c>
    </row>
    <row r="13" spans="2:27" ht="15" thickBot="1" x14ac:dyDescent="0.35">
      <c r="B13" s="2585">
        <v>45870</v>
      </c>
      <c r="C13" s="1078">
        <f>'Balance Sheet'!F$30</f>
        <v>156566584.06999999</v>
      </c>
      <c r="D13" s="2586">
        <f>'Balance Sheet'!F$11+'Balance Sheet'!F$15</f>
        <v>72747229.030000001</v>
      </c>
      <c r="E13" s="1614">
        <f>'Balance Sheet'!F$18</f>
        <v>17039367.43</v>
      </c>
      <c r="F13" s="1611">
        <f t="shared" si="9"/>
        <v>3600000</v>
      </c>
      <c r="G13" s="1611">
        <f t="shared" si="2"/>
        <v>2900000</v>
      </c>
      <c r="H13" s="1611">
        <v>2247000</v>
      </c>
      <c r="I13" s="2600">
        <f t="shared" si="3"/>
        <v>98533596.460000008</v>
      </c>
      <c r="J13" s="2601">
        <f t="shared" si="4"/>
        <v>58032987.609999985</v>
      </c>
      <c r="K13" s="2589">
        <f t="shared" si="10"/>
        <v>0.45005981833860864</v>
      </c>
      <c r="L13" s="2605">
        <f>'Balance Sheet'!F29</f>
        <v>1142016.04</v>
      </c>
      <c r="M13" s="2602">
        <f t="shared" ref="M13:M20" si="11">IF(L13=0,0,M12+L13)</f>
        <v>5695363.0599999996</v>
      </c>
      <c r="N13" s="2591">
        <f t="shared" si="6"/>
        <v>37950516.659999989</v>
      </c>
      <c r="O13" s="2603">
        <f t="shared" si="7"/>
        <v>18.913788517318707</v>
      </c>
      <c r="P13" s="2593">
        <f t="shared" si="8"/>
        <v>-0.64036809260277106</v>
      </c>
      <c r="R13" s="1136"/>
      <c r="S13" s="2606" t="s">
        <v>816</v>
      </c>
      <c r="T13" s="2606" t="s">
        <v>817</v>
      </c>
      <c r="V13" s="4" t="s">
        <v>818</v>
      </c>
      <c r="X13" s="2699" t="s">
        <v>941</v>
      </c>
      <c r="Y13">
        <v>18</v>
      </c>
      <c r="Z13">
        <v>15</v>
      </c>
      <c r="AA13">
        <v>12</v>
      </c>
    </row>
    <row r="14" spans="2:27" ht="14.4" x14ac:dyDescent="0.3">
      <c r="B14" s="2597">
        <v>45901</v>
      </c>
      <c r="C14" s="1078">
        <f>'Balance Sheet'!G$30</f>
        <v>152061191.49999997</v>
      </c>
      <c r="D14" s="2586">
        <f>'Balance Sheet'!G$11+'Balance Sheet'!G$15</f>
        <v>69638628.599999994</v>
      </c>
      <c r="E14" s="1614">
        <f>'Balance Sheet'!G$18</f>
        <v>16259171.01</v>
      </c>
      <c r="F14" s="1611">
        <f>IF(C14=0,0,F13)-300000</f>
        <v>3300000</v>
      </c>
      <c r="G14" s="1611">
        <f t="shared" si="2"/>
        <v>2900000</v>
      </c>
      <c r="H14" s="1611">
        <v>2075000</v>
      </c>
      <c r="I14" s="2600">
        <f t="shared" si="3"/>
        <v>94172799.609999999</v>
      </c>
      <c r="J14" s="2601">
        <f t="shared" si="4"/>
        <v>57888391.889999971</v>
      </c>
      <c r="K14" s="2589">
        <f t="shared" si="10"/>
        <v>0.45143005619468218</v>
      </c>
      <c r="L14" s="2605">
        <f>'Balance Sheet'!G29</f>
        <v>-586546.72</v>
      </c>
      <c r="M14" s="2602">
        <f t="shared" si="11"/>
        <v>5108816.34</v>
      </c>
      <c r="N14" s="2591">
        <f t="shared" si="6"/>
        <v>37219374.219999969</v>
      </c>
      <c r="O14" s="2603">
        <f t="shared" si="7"/>
        <v>18.54940155494641</v>
      </c>
      <c r="P14" s="2593">
        <f t="shared" si="8"/>
        <v>-0.6472966451869685</v>
      </c>
      <c r="R14" s="2607" t="s">
        <v>234</v>
      </c>
      <c r="S14" s="2608">
        <v>4655606</v>
      </c>
      <c r="T14" s="2608">
        <v>4631518</v>
      </c>
      <c r="U14" t="s">
        <v>819</v>
      </c>
      <c r="V14" s="2421">
        <v>6231518</v>
      </c>
      <c r="X14" s="2699" t="s">
        <v>942</v>
      </c>
      <c r="Y14">
        <v>1</v>
      </c>
      <c r="Z14">
        <v>1</v>
      </c>
      <c r="AA14">
        <v>1</v>
      </c>
    </row>
    <row r="15" spans="2:27" ht="14.4" x14ac:dyDescent="0.3">
      <c r="B15" s="2585">
        <v>45931</v>
      </c>
      <c r="C15" s="1078">
        <f>'Balance Sheet'!H$30</f>
        <v>162171485.30000001</v>
      </c>
      <c r="D15" s="2586">
        <f>'Balance Sheet'!H$11+'Balance Sheet'!H$15</f>
        <v>84250042.450000003</v>
      </c>
      <c r="E15" s="1614">
        <f>'Balance Sheet'!H$18</f>
        <v>13558516.58</v>
      </c>
      <c r="F15" s="1611">
        <f t="shared" si="9"/>
        <v>3300000</v>
      </c>
      <c r="G15" s="1611">
        <f t="shared" si="2"/>
        <v>2900000</v>
      </c>
      <c r="H15" s="1611">
        <v>1898000</v>
      </c>
      <c r="I15" s="2600">
        <f t="shared" si="3"/>
        <v>105906559.03</v>
      </c>
      <c r="J15" s="2601">
        <f t="shared" si="4"/>
        <v>56264926.270000011</v>
      </c>
      <c r="K15" s="2589">
        <f t="shared" si="10"/>
        <v>0.46681456446752451</v>
      </c>
      <c r="L15" s="2609">
        <f>'Balance Sheet'!H29</f>
        <v>-1135715.6200000001</v>
      </c>
      <c r="M15" s="2602">
        <f t="shared" si="11"/>
        <v>3973100.7199999997</v>
      </c>
      <c r="N15" s="2591">
        <f t="shared" si="6"/>
        <v>34460192.980000012</v>
      </c>
      <c r="O15" s="2603">
        <f t="shared" si="7"/>
        <v>17.174280079740846</v>
      </c>
      <c r="P15" s="2593">
        <f t="shared" si="8"/>
        <v>-0.67344357807554533</v>
      </c>
      <c r="R15" s="2610" t="s">
        <v>820</v>
      </c>
      <c r="S15" s="2611">
        <v>1371060</v>
      </c>
      <c r="T15" s="2611">
        <v>1381046</v>
      </c>
      <c r="V15" s="2421">
        <v>1546385</v>
      </c>
      <c r="X15" s="2699" t="s">
        <v>943</v>
      </c>
      <c r="Y15">
        <v>17</v>
      </c>
      <c r="Z15">
        <v>17</v>
      </c>
      <c r="AA15">
        <v>17</v>
      </c>
    </row>
    <row r="16" spans="2:27" ht="14.4" x14ac:dyDescent="0.3">
      <c r="B16" s="2597">
        <v>45962</v>
      </c>
      <c r="C16" s="1078">
        <f>'Balance Sheet'!I$30</f>
        <v>160008566.69</v>
      </c>
      <c r="D16" s="2586">
        <f>'Balance Sheet'!I$11+'Balance Sheet'!I$15</f>
        <v>81179665.800000012</v>
      </c>
      <c r="E16" s="1614">
        <f>'Balance Sheet'!I$18</f>
        <v>14544279.449999999</v>
      </c>
      <c r="F16" s="1611">
        <f t="shared" si="9"/>
        <v>3300000</v>
      </c>
      <c r="G16" s="1611">
        <f t="shared" si="2"/>
        <v>2900000</v>
      </c>
      <c r="H16" s="1611">
        <v>1768000</v>
      </c>
      <c r="I16" s="2600">
        <f t="shared" si="3"/>
        <v>103691945.25000001</v>
      </c>
      <c r="J16" s="2601">
        <f t="shared" si="4"/>
        <v>56316621.439999983</v>
      </c>
      <c r="K16" s="2589">
        <f t="shared" si="10"/>
        <v>0.46632468358508822</v>
      </c>
      <c r="L16" s="2605">
        <f>'Balance Sheet'!I29</f>
        <v>-150685.83000000002</v>
      </c>
      <c r="M16" s="2602">
        <f t="shared" si="11"/>
        <v>3822414.8899999997</v>
      </c>
      <c r="N16" s="2591">
        <f t="shared" si="6"/>
        <v>34361202.319999985</v>
      </c>
      <c r="O16" s="2603">
        <f t="shared" si="7"/>
        <v>17.124945088462489</v>
      </c>
      <c r="P16" s="2593">
        <f t="shared" si="8"/>
        <v>-0.67438164698747249</v>
      </c>
      <c r="R16" s="2612" t="s">
        <v>0</v>
      </c>
      <c r="S16" s="2613">
        <f>SUM(S14:S15)</f>
        <v>6026666</v>
      </c>
      <c r="T16" s="2613">
        <f>SUM(T14:T15)</f>
        <v>6012564</v>
      </c>
      <c r="V16" s="2423">
        <f>SUM(V14:V15)</f>
        <v>7777903</v>
      </c>
      <c r="Y16">
        <f>SUM(Y13:Y15)</f>
        <v>36</v>
      </c>
      <c r="Z16">
        <f>SUM(Z13:Z15)</f>
        <v>33</v>
      </c>
      <c r="AA16">
        <f>SUM(AA13:AA15)</f>
        <v>30</v>
      </c>
    </row>
    <row r="17" spans="2:22" ht="14.4" x14ac:dyDescent="0.3">
      <c r="B17" s="2585">
        <v>45992</v>
      </c>
      <c r="C17" s="1078">
        <f>'Balance Sheet'!J$30</f>
        <v>161999772.04000002</v>
      </c>
      <c r="D17" s="2586">
        <f>'Balance Sheet'!J$11+'Balance Sheet'!J$15</f>
        <v>78523434.170000002</v>
      </c>
      <c r="E17" s="1614">
        <f>'Balance Sheet'!J$18</f>
        <v>21202877.359999999</v>
      </c>
      <c r="F17" s="1611">
        <f t="shared" si="9"/>
        <v>3300000</v>
      </c>
      <c r="G17" s="1611">
        <f t="shared" si="2"/>
        <v>2900000</v>
      </c>
      <c r="H17" s="1611">
        <v>1610000</v>
      </c>
      <c r="I17" s="2600">
        <f t="shared" si="3"/>
        <v>107536311.53</v>
      </c>
      <c r="J17" s="2601">
        <f t="shared" si="4"/>
        <v>54463460.51000002</v>
      </c>
      <c r="K17" s="2589">
        <f t="shared" si="10"/>
        <v>0.48388586215719331</v>
      </c>
      <c r="L17" s="2605">
        <f>'Balance Sheet'!J29</f>
        <v>-1559399.9300000002</v>
      </c>
      <c r="M17" s="2602">
        <f t="shared" si="11"/>
        <v>2263014.9599999995</v>
      </c>
      <c r="N17" s="2591">
        <f t="shared" si="6"/>
        <v>30948641.460000023</v>
      </c>
      <c r="O17" s="2603">
        <f t="shared" si="7"/>
        <v>15.424192105656628</v>
      </c>
      <c r="P17" s="2593">
        <f t="shared" si="8"/>
        <v>-0.70672022572636106</v>
      </c>
      <c r="R17" s="2610" t="s">
        <v>821</v>
      </c>
      <c r="S17" s="2611">
        <v>3129311</v>
      </c>
      <c r="T17" s="2698">
        <v>3129111</v>
      </c>
      <c r="U17" t="s">
        <v>822</v>
      </c>
      <c r="V17" s="2421">
        <v>2716357</v>
      </c>
    </row>
    <row r="18" spans="2:22" ht="15" thickBot="1" x14ac:dyDescent="0.35">
      <c r="B18" s="2597">
        <v>46023</v>
      </c>
      <c r="C18" s="1078">
        <f>'Balance Sheet'!K$30</f>
        <v>165847902.24000001</v>
      </c>
      <c r="D18" s="2586">
        <f>'Balance Sheet'!K11+'Balance Sheet'!K$15</f>
        <v>82698738</v>
      </c>
      <c r="E18" s="1614">
        <f>'Balance Sheet'!K$18</f>
        <v>19678676.089999996</v>
      </c>
      <c r="F18" s="1611">
        <f t="shared" si="9"/>
        <v>3300000</v>
      </c>
      <c r="G18" s="1611">
        <f t="shared" si="2"/>
        <v>2900000</v>
      </c>
      <c r="H18" s="2878">
        <v>1455000</v>
      </c>
      <c r="I18" s="2587">
        <f t="shared" si="3"/>
        <v>110032414.09</v>
      </c>
      <c r="J18" s="2588">
        <f t="shared" si="4"/>
        <v>55815488.150000006</v>
      </c>
      <c r="K18" s="2589">
        <f t="shared" si="10"/>
        <v>0.47107359181623482</v>
      </c>
      <c r="L18" s="2605">
        <f>'Balance Sheet'!K29</f>
        <v>1326243.6399999999</v>
      </c>
      <c r="M18" s="2602">
        <f t="shared" si="11"/>
        <v>3589258.5999999996</v>
      </c>
      <c r="N18" s="2591">
        <f t="shared" si="6"/>
        <v>33626912.74000001</v>
      </c>
      <c r="O18" s="2592">
        <f t="shared" si="7"/>
        <v>16.758989653625722</v>
      </c>
      <c r="P18" s="2593">
        <f t="shared" si="8"/>
        <v>-0.68134002293273677</v>
      </c>
      <c r="R18" s="2614" t="s">
        <v>823</v>
      </c>
      <c r="S18" s="2615">
        <f>S16-S17</f>
        <v>2897355</v>
      </c>
      <c r="T18" s="2615">
        <f>T16-T17</f>
        <v>2883453</v>
      </c>
      <c r="V18" s="2570">
        <f>V16-V17</f>
        <v>5061546</v>
      </c>
    </row>
    <row r="19" spans="2:22" ht="14.4" x14ac:dyDescent="0.3">
      <c r="B19" s="2585">
        <v>46054</v>
      </c>
      <c r="C19" s="1078">
        <f>'Balance Sheet'!L$30</f>
        <v>146253012.34999999</v>
      </c>
      <c r="D19" s="2586">
        <f>'Balance Sheet'!L$11+'Balance Sheet'!L$15</f>
        <v>73018315.900000006</v>
      </c>
      <c r="E19" s="1614">
        <f>'Balance Sheet'!L$18</f>
        <v>8843329.6799999997</v>
      </c>
      <c r="F19" s="1611">
        <v>1800000</v>
      </c>
      <c r="G19" s="1611">
        <f t="shared" si="2"/>
        <v>2900000</v>
      </c>
      <c r="H19" s="1611">
        <f>2241833+1000000</f>
        <v>3241833</v>
      </c>
      <c r="I19" s="2600">
        <f t="shared" si="3"/>
        <v>89803478.580000013</v>
      </c>
      <c r="J19" s="2601">
        <f t="shared" si="4"/>
        <v>56449533.769999981</v>
      </c>
      <c r="K19" s="2589">
        <f t="shared" si="10"/>
        <v>0.46506516147679261</v>
      </c>
      <c r="L19" s="2605">
        <f>'Balance Sheet'!L29</f>
        <v>1687985.62</v>
      </c>
      <c r="M19" s="2602">
        <f t="shared" si="11"/>
        <v>5277244.22</v>
      </c>
      <c r="N19" s="2591">
        <f t="shared" si="6"/>
        <v>35948943.979999982</v>
      </c>
      <c r="O19" s="2603">
        <f t="shared" si="7"/>
        <v>17.916244196361816</v>
      </c>
      <c r="P19" s="2593">
        <f t="shared" si="8"/>
        <v>-0.65933567101946455</v>
      </c>
      <c r="R19" t="s">
        <v>531</v>
      </c>
      <c r="S19" s="1762">
        <f>ROUNDUP((S18),-5)</f>
        <v>2900000</v>
      </c>
      <c r="T19" s="2616">
        <f>ROUNDUP((T18),-5)</f>
        <v>2900000</v>
      </c>
    </row>
    <row r="20" spans="2:22" ht="15" thickBot="1" x14ac:dyDescent="0.35">
      <c r="B20" s="2617">
        <v>46082</v>
      </c>
      <c r="C20" s="2618">
        <f>'Balance Sheet'!M$30</f>
        <v>124915283.26000001</v>
      </c>
      <c r="D20" s="2619">
        <f>'Balance Sheet'!M$11+'Balance Sheet'!M$15</f>
        <v>53391268.080000006</v>
      </c>
      <c r="E20" s="2620">
        <f>'Balance Sheet'!M$18</f>
        <v>4847342.09</v>
      </c>
      <c r="F20" s="1612"/>
      <c r="G20" s="1612">
        <f t="shared" si="2"/>
        <v>2900000</v>
      </c>
      <c r="H20" s="1612">
        <v>2247012</v>
      </c>
      <c r="I20" s="2621">
        <f t="shared" si="3"/>
        <v>63385622.170000002</v>
      </c>
      <c r="J20" s="2622">
        <f t="shared" si="4"/>
        <v>61529661.090000004</v>
      </c>
      <c r="K20" s="2623">
        <f t="shared" si="10"/>
        <v>0.41692416001743643</v>
      </c>
      <c r="L20" s="2624">
        <f>'Balance Sheet'!M29</f>
        <v>4326038.32</v>
      </c>
      <c r="M20" s="2625">
        <f t="shared" si="11"/>
        <v>9603282.5399999991</v>
      </c>
      <c r="N20" s="2626">
        <f t="shared" si="6"/>
        <v>45355109.620000005</v>
      </c>
      <c r="O20" s="2627">
        <f t="shared" si="7"/>
        <v>22.604091512584105</v>
      </c>
      <c r="P20" s="2628">
        <f t="shared" si="8"/>
        <v>-0.57019967003392524</v>
      </c>
      <c r="R20" s="999" t="s">
        <v>824</v>
      </c>
      <c r="S20" s="152">
        <v>200000</v>
      </c>
    </row>
    <row r="21" spans="2:22" ht="14.4" x14ac:dyDescent="0.3">
      <c r="J21" s="154"/>
      <c r="L21" s="2629">
        <f>M18+J5</f>
        <v>-22188575.409999996</v>
      </c>
      <c r="M21" s="154"/>
      <c r="R21">
        <v>11</v>
      </c>
      <c r="S21" s="152">
        <f>R21*S20</f>
        <v>2200000</v>
      </c>
    </row>
    <row r="22" spans="2:22" ht="14.4" x14ac:dyDescent="0.3">
      <c r="M22" s="2629"/>
      <c r="N22" s="2477"/>
    </row>
    <row r="27" spans="2:22" x14ac:dyDescent="0.25">
      <c r="N27" t="s">
        <v>825</v>
      </c>
    </row>
  </sheetData>
  <mergeCells count="12">
    <mergeCell ref="N7:P8"/>
    <mergeCell ref="R12:T12"/>
    <mergeCell ref="B1:P1"/>
    <mergeCell ref="E3:E4"/>
    <mergeCell ref="F3:F4"/>
    <mergeCell ref="B6:P6"/>
    <mergeCell ref="B7:B8"/>
    <mergeCell ref="C7:C8"/>
    <mergeCell ref="D7:I7"/>
    <mergeCell ref="J7:J8"/>
    <mergeCell ref="K7:K8"/>
    <mergeCell ref="L7:L8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R40"/>
  <sheetViews>
    <sheetView workbookViewId="0">
      <selection activeCell="B30" sqref="B30"/>
    </sheetView>
  </sheetViews>
  <sheetFormatPr defaultRowHeight="13.2" x14ac:dyDescent="0.25"/>
  <cols>
    <col min="1" max="1" width="15.44140625" bestFit="1" customWidth="1"/>
    <col min="2" max="2" width="16.88671875" bestFit="1" customWidth="1"/>
    <col min="3" max="3" width="12.88671875" bestFit="1" customWidth="1"/>
    <col min="4" max="9" width="12.5546875" bestFit="1" customWidth="1"/>
    <col min="10" max="10" width="12.5546875" customWidth="1"/>
    <col min="11" max="11" width="12.88671875" bestFit="1" customWidth="1"/>
    <col min="12" max="12" width="12.5546875" customWidth="1"/>
    <col min="13" max="13" width="12.88671875" bestFit="1" customWidth="1"/>
    <col min="14" max="14" width="12.5546875" customWidth="1"/>
    <col min="15" max="15" width="12.88671875" bestFit="1" customWidth="1"/>
    <col min="16" max="16" width="28.6640625" bestFit="1" customWidth="1"/>
    <col min="17" max="17" width="48.5546875" bestFit="1" customWidth="1"/>
    <col min="18" max="18" width="15.33203125" bestFit="1" customWidth="1"/>
  </cols>
  <sheetData>
    <row r="1" spans="2:18" ht="13.8" thickBot="1" x14ac:dyDescent="0.3">
      <c r="B1" s="3142"/>
      <c r="C1" s="3142"/>
      <c r="D1" s="3142"/>
      <c r="E1" s="3142"/>
      <c r="F1" s="3142"/>
      <c r="G1" s="3142"/>
      <c r="H1" s="3142"/>
      <c r="I1" s="3142"/>
      <c r="J1" s="3142"/>
      <c r="K1" s="3142"/>
      <c r="L1" s="3142"/>
      <c r="M1" s="3142"/>
      <c r="N1" s="3142"/>
      <c r="O1" s="3142"/>
    </row>
    <row r="2" spans="2:18" ht="15" thickBot="1" x14ac:dyDescent="0.35">
      <c r="B2" s="121"/>
      <c r="C2" s="2424" t="s">
        <v>16</v>
      </c>
      <c r="D2" s="2424" t="s">
        <v>4</v>
      </c>
      <c r="E2" s="2424" t="s">
        <v>17</v>
      </c>
      <c r="F2" s="2424" t="s">
        <v>18</v>
      </c>
      <c r="G2" s="2424" t="s">
        <v>19</v>
      </c>
      <c r="H2" s="2424" t="s">
        <v>20</v>
      </c>
      <c r="I2" s="2424" t="s">
        <v>13</v>
      </c>
      <c r="J2" s="2441" t="s">
        <v>5</v>
      </c>
      <c r="K2" s="2441" t="s">
        <v>6</v>
      </c>
      <c r="L2" s="2441" t="s">
        <v>7</v>
      </c>
      <c r="M2" s="2441" t="s">
        <v>8</v>
      </c>
      <c r="N2" s="2441" t="s">
        <v>9</v>
      </c>
      <c r="O2" s="2425" t="s">
        <v>731</v>
      </c>
    </row>
    <row r="3" spans="2:18" ht="15" thickBot="1" x14ac:dyDescent="0.35">
      <c r="B3" s="3285" t="s">
        <v>698</v>
      </c>
      <c r="C3" s="3286"/>
      <c r="D3" s="3286"/>
      <c r="E3" s="3286"/>
      <c r="F3" s="3286"/>
      <c r="G3" s="3286"/>
      <c r="H3" s="3286"/>
      <c r="I3" s="3286"/>
      <c r="J3" s="3286"/>
      <c r="K3" s="3286"/>
      <c r="L3" s="3286"/>
      <c r="M3" s="3286"/>
      <c r="N3" s="3286"/>
      <c r="O3" s="3287"/>
    </row>
    <row r="4" spans="2:18" x14ac:dyDescent="0.25">
      <c r="B4" s="979" t="s">
        <v>611</v>
      </c>
      <c r="C4" s="2426">
        <f>(MTY!C8-B28)/B28</f>
        <v>-0.13155178700802353</v>
      </c>
      <c r="D4" s="2426">
        <f>(MTY!F8-MTY!C8)/MTY!C8</f>
        <v>0.1267084602263388</v>
      </c>
      <c r="E4" s="2426" t="e">
        <f>(MTY!I8-MTY!F8)/MTY!F8</f>
        <v>#DIV/0!</v>
      </c>
      <c r="F4" s="2426" t="e">
        <f>(MTY!L8-MTY!I8)/MTY!I8</f>
        <v>#DIV/0!</v>
      </c>
      <c r="G4" s="2426" t="e">
        <f>(MTY!O8-MTY!L8)/MTY!L8</f>
        <v>#DIV/0!</v>
      </c>
      <c r="H4" s="2426" t="e">
        <f>(MTY!R8-MTY!O8)/MTY!O8</f>
        <v>#DIV/0!</v>
      </c>
      <c r="I4" s="2426" t="e">
        <f>(MTY!U8-MTY!R8)/MTY!R8</f>
        <v>#DIV/0!</v>
      </c>
      <c r="J4" s="2426" t="e">
        <f>(MTY!X8-MTY!U8)/MTY!U8</f>
        <v>#DIV/0!</v>
      </c>
      <c r="K4" s="2426" t="e">
        <f>(MTY!AA8-MTY!X8)/MTY!X8</f>
        <v>#DIV/0!</v>
      </c>
      <c r="L4" s="2426" t="e">
        <f>(MTY!AD8-MTY!AA8)/MTY!AA8</f>
        <v>#DIV/0!</v>
      </c>
      <c r="M4" s="2426" t="e">
        <f>(MTY!AG8-MTY!AD8)/MTY!AD8</f>
        <v>#DIV/0!</v>
      </c>
      <c r="N4" s="2426" t="e">
        <f>(MTY!AJ8-MTY!AG8)/MTY!AG8</f>
        <v>#DIV/0!</v>
      </c>
      <c r="O4" s="2427">
        <f>((MTY!AM8-(C30))/(C30))</f>
        <v>-0.83369877662966574</v>
      </c>
      <c r="P4" t="s">
        <v>732</v>
      </c>
      <c r="Q4" t="s">
        <v>699</v>
      </c>
      <c r="R4" s="1761">
        <v>314808653</v>
      </c>
    </row>
    <row r="5" spans="2:18" x14ac:dyDescent="0.25">
      <c r="B5" s="990" t="s">
        <v>612</v>
      </c>
      <c r="C5" s="2731">
        <f>MTY!C66/MTY!C8</f>
        <v>0.23688144024885741</v>
      </c>
      <c r="D5" s="2731">
        <f>MTY!F66/MTY!F8</f>
        <v>0.29540161151081534</v>
      </c>
      <c r="E5" s="2731" t="e">
        <f>MTY!I66/MTY!I8</f>
        <v>#DIV/0!</v>
      </c>
      <c r="F5" s="2731" t="e">
        <f>MTY!L66/MTY!L8</f>
        <v>#DIV/0!</v>
      </c>
      <c r="G5" s="2731" t="e">
        <f>MTY!O66/MTY!O8</f>
        <v>#DIV/0!</v>
      </c>
      <c r="H5" s="2731" t="e">
        <f>MTY!R66/MTY!R8</f>
        <v>#DIV/0!</v>
      </c>
      <c r="I5" s="2731" t="e">
        <f>MTY!U66/MTY!U8</f>
        <v>#DIV/0!</v>
      </c>
      <c r="J5" s="2731" t="e">
        <f>MTY!X66/MTY!X8</f>
        <v>#DIV/0!</v>
      </c>
      <c r="K5" s="2731" t="e">
        <f>MTY!AA66/MTY!AA8</f>
        <v>#DIV/0!</v>
      </c>
      <c r="L5" s="2731" t="e">
        <f>MTY!AD66/MTY!AD8</f>
        <v>#DIV/0!</v>
      </c>
      <c r="M5" s="2731" t="e">
        <f>MTY!AG66/MTY!AG8</f>
        <v>#DIV/0!</v>
      </c>
      <c r="N5" s="2731" t="e">
        <f>MTY!AJ66/MTY!AJ8</f>
        <v>#DIV/0!</v>
      </c>
      <c r="O5" s="2732">
        <f>MTY!AM66/MTY!AM8</f>
        <v>-0.32623463680991405</v>
      </c>
      <c r="P5" t="s">
        <v>700</v>
      </c>
      <c r="Q5" t="s">
        <v>701</v>
      </c>
    </row>
    <row r="6" spans="2:18" x14ac:dyDescent="0.25">
      <c r="B6" s="990" t="s">
        <v>219</v>
      </c>
      <c r="C6" s="2731">
        <f>MTY!C69/MTY!C8</f>
        <v>0.17312861449737171</v>
      </c>
      <c r="D6" s="2731">
        <f>MTY!F69/MTY!F8</f>
        <v>0.23949076148830092</v>
      </c>
      <c r="E6" s="2731" t="e">
        <f>MTY!I69/MTY!I8</f>
        <v>#DIV/0!</v>
      </c>
      <c r="F6" s="2731" t="e">
        <f>MTY!L69/MTY!L8</f>
        <v>#DIV/0!</v>
      </c>
      <c r="G6" s="2731" t="e">
        <f>MTY!O69/MTY!O8</f>
        <v>#DIV/0!</v>
      </c>
      <c r="H6" s="2731" t="e">
        <f>MTY!R69/MTY!R8</f>
        <v>#DIV/0!</v>
      </c>
      <c r="I6" s="2731" t="e">
        <f>MTY!U69/MTY!U8</f>
        <v>#DIV/0!</v>
      </c>
      <c r="J6" s="2731" t="e">
        <f>MTY!X69/MTY!X8</f>
        <v>#DIV/0!</v>
      </c>
      <c r="K6" s="2731" t="e">
        <f>MTY!AA69/MTY!AA8</f>
        <v>#DIV/0!</v>
      </c>
      <c r="L6" s="2731" t="e">
        <f>MTY!AD69/MTY!AD8</f>
        <v>#DIV/0!</v>
      </c>
      <c r="M6" s="2731" t="e">
        <f>MTY!AG69/MTY!AG8</f>
        <v>#DIV/0!</v>
      </c>
      <c r="N6" s="2731" t="e">
        <f>MTY!AJ69/MTY!AJ8</f>
        <v>#DIV/0!</v>
      </c>
      <c r="O6" s="2732">
        <f>MTY!AM69/MTY!AM8</f>
        <v>-0.32623463680991405</v>
      </c>
      <c r="P6" t="s">
        <v>702</v>
      </c>
      <c r="Q6" t="s">
        <v>703</v>
      </c>
    </row>
    <row r="7" spans="2:18" ht="13.8" thickBot="1" x14ac:dyDescent="0.3">
      <c r="B7" s="224" t="s">
        <v>704</v>
      </c>
      <c r="C7" s="2733">
        <f>MTY!C72/MTY!C8</f>
        <v>0.15442719517264991</v>
      </c>
      <c r="D7" s="2733">
        <f>MTY!F72/MTY!F8</f>
        <v>0.22621934030600666</v>
      </c>
      <c r="E7" s="2733" t="e">
        <f>MTY!I72/MTY!I8</f>
        <v>#DIV/0!</v>
      </c>
      <c r="F7" s="2733" t="e">
        <f>MTY!L72/MTY!L8</f>
        <v>#DIV/0!</v>
      </c>
      <c r="G7" s="2733" t="e">
        <f>MTY!O72/MTY!O8</f>
        <v>#DIV/0!</v>
      </c>
      <c r="H7" s="2733" t="e">
        <f>MTY!R72/MTY!R8</f>
        <v>#DIV/0!</v>
      </c>
      <c r="I7" s="2733" t="e">
        <f>MTY!U72/MTY!U8</f>
        <v>#DIV/0!</v>
      </c>
      <c r="J7" s="2733" t="e">
        <f>MTY!X72/MTY!X8</f>
        <v>#DIV/0!</v>
      </c>
      <c r="K7" s="2733" t="e">
        <f>MTY!AA72/MTY!AA8</f>
        <v>#DIV/0!</v>
      </c>
      <c r="L7" s="2733" t="e">
        <f>MTY!AD72/MTY!AD8</f>
        <v>#DIV/0!</v>
      </c>
      <c r="M7" s="2733" t="e">
        <f>MTY!AG72/MTY!AG8</f>
        <v>#DIV/0!</v>
      </c>
      <c r="N7" s="2733" t="e">
        <f>MTY!AJ72/MTY!AJ8</f>
        <v>#DIV/0!</v>
      </c>
      <c r="O7" s="2734">
        <f>MTY!AM72/MTY!AM8</f>
        <v>-0.32623463680991405</v>
      </c>
      <c r="P7" t="s">
        <v>705</v>
      </c>
      <c r="Q7" t="s">
        <v>706</v>
      </c>
    </row>
    <row r="8" spans="2:18" ht="15" thickBot="1" x14ac:dyDescent="0.35">
      <c r="B8" s="3285" t="s">
        <v>707</v>
      </c>
      <c r="C8" s="3286"/>
      <c r="D8" s="3286"/>
      <c r="E8" s="3286"/>
      <c r="F8" s="3286"/>
      <c r="G8" s="3286"/>
      <c r="H8" s="3286"/>
      <c r="I8" s="3286"/>
      <c r="J8" s="3286"/>
      <c r="K8" s="3286"/>
      <c r="L8" s="3286"/>
      <c r="M8" s="3286"/>
      <c r="N8" s="3286"/>
      <c r="O8" s="3287"/>
    </row>
    <row r="9" spans="2:18" x14ac:dyDescent="0.25">
      <c r="B9" s="979" t="s">
        <v>708</v>
      </c>
      <c r="C9" s="2428">
        <f>(C10+C11)-C12</f>
        <v>172</v>
      </c>
      <c r="D9" s="2428">
        <f t="shared" ref="D9:O9" si="0">(D10+D11)-D12</f>
        <v>142</v>
      </c>
      <c r="E9" s="2428" t="e">
        <f t="shared" si="0"/>
        <v>#DIV/0!</v>
      </c>
      <c r="F9" s="2428" t="e">
        <f t="shared" si="0"/>
        <v>#DIV/0!</v>
      </c>
      <c r="G9" s="2428" t="e">
        <f t="shared" si="0"/>
        <v>#DIV/0!</v>
      </c>
      <c r="H9" s="2428" t="e">
        <f t="shared" si="0"/>
        <v>#DIV/0!</v>
      </c>
      <c r="I9" s="2428" t="e">
        <f t="shared" si="0"/>
        <v>#DIV/0!</v>
      </c>
      <c r="J9" s="2428" t="e">
        <f t="shared" si="0"/>
        <v>#DIV/0!</v>
      </c>
      <c r="K9" s="2428" t="e">
        <f t="shared" si="0"/>
        <v>#DIV/0!</v>
      </c>
      <c r="L9" s="2428" t="e">
        <f t="shared" si="0"/>
        <v>#DIV/0!</v>
      </c>
      <c r="M9" s="2428" t="e">
        <f t="shared" si="0"/>
        <v>#DIV/0!</v>
      </c>
      <c r="N9" s="2428" t="e">
        <f t="shared" si="0"/>
        <v>#DIV/0!</v>
      </c>
      <c r="O9" s="2429">
        <f t="shared" si="0"/>
        <v>433.71500543276028</v>
      </c>
      <c r="P9" t="s">
        <v>709</v>
      </c>
      <c r="Q9" t="s">
        <v>614</v>
      </c>
    </row>
    <row r="10" spans="2:18" x14ac:dyDescent="0.25">
      <c r="B10" s="990" t="s">
        <v>619</v>
      </c>
      <c r="C10" s="5">
        <f>ROUND(((((('Stock Valuation (FIFO)'!D25+'Stock Valuation (FIFO)'!G25)/2)/MTY!C57)*'KPI''s'!C25)),0)</f>
        <v>147</v>
      </c>
      <c r="D10" s="5">
        <f>ROUND(((((('Stock Valuation (FIFO)'!J25+'Stock Valuation (FIFO)'!G25)/2)/MTY!F57)*'KPI''s'!G25)),0)</f>
        <v>118</v>
      </c>
      <c r="E10" s="5">
        <f>ROUND(((((('Stock Valuation (FIFO)'!M25+'Stock Valuation (FIFO)'!J25)/2)/MTY!I57)*'KPI''s'!E25)),0)</f>
        <v>15</v>
      </c>
      <c r="F10" s="5" t="e">
        <f>ROUND(((((('Stock Valuation (FIFO)'!P25+'Stock Valuation (FIFO)'!M25)/2)/MTY!L57)*'KPI''s'!F25)),0)</f>
        <v>#DIV/0!</v>
      </c>
      <c r="G10" s="5" t="e">
        <f>ROUND(((((('Stock Valuation (FIFO)'!R25+'Stock Valuation (FIFO)'!P25)/2)/MTY!O57)*'KPI''s'!G25)),0)</f>
        <v>#DIV/0!</v>
      </c>
      <c r="H10" s="5" t="e">
        <f>ROUND(((((('Stock Valuation (FIFO)'!V25+'Stock Valuation (FIFO)'!R25)/2)/MTY!R57)*'KPI''s'!H25)),0)</f>
        <v>#DIV/0!</v>
      </c>
      <c r="I10" s="5" t="e">
        <f>ROUND(((((('Stock Valuation (FIFO)'!Y25+'Stock Valuation (FIFO)'!V25)/2)/MTY!U57)*'KPI''s'!I25)),0)</f>
        <v>#DIV/0!</v>
      </c>
      <c r="J10" s="5" t="e">
        <f>ROUND(((((('Stock Valuation (FIFO)'!AB25+'Stock Valuation (FIFO)'!Y25)/2)/MTY!X57)*'KPI''s'!J25)),0)</f>
        <v>#DIV/0!</v>
      </c>
      <c r="K10" s="5" t="e">
        <f>ROUND(((((('Stock Valuation (FIFO)'!AE25+'Stock Valuation (FIFO)'!AB25)/2)/MTY!AA57)*'KPI''s'!K25)),0)</f>
        <v>#DIV/0!</v>
      </c>
      <c r="L10" s="5" t="e">
        <f>ROUND(((((('Stock Valuation (FIFO)'!AH25+'Stock Valuation (FIFO)'!AE25)/2)/MTY!AD57)*'KPI''s'!L25)),0)</f>
        <v>#DIV/0!</v>
      </c>
      <c r="M10" s="5" t="e">
        <f>ROUND(((((('Stock Valuation (FIFO)'!AK25+'Stock Valuation (FIFO)'!AH25)/2)/MTY!AG57)*'KPI''s'!M25)),0)</f>
        <v>#DIV/0!</v>
      </c>
      <c r="N10" s="5" t="e">
        <f>ROUND(((((('Stock Valuation (FIFO)'!AN25+'Stock Valuation (FIFO)'!AK25)/2)/MTY!AJ57)*'KPI''s'!N25)),0)</f>
        <v>#DIV/0!</v>
      </c>
      <c r="O10" s="2431">
        <f>ROUND(((((B24+'Balance Sheet'!H23)/2)/MTY!AM57)*'KPI''s'!O25),0)</f>
        <v>218</v>
      </c>
      <c r="P10" t="s">
        <v>620</v>
      </c>
      <c r="Q10" t="s">
        <v>621</v>
      </c>
    </row>
    <row r="11" spans="2:18" x14ac:dyDescent="0.25">
      <c r="B11" s="990" t="s">
        <v>622</v>
      </c>
      <c r="C11" s="2430">
        <f>ROUND(((('Balance Sheet'!B51/MTY!C8)*'KPI''s'!C25)),0)</f>
        <v>32</v>
      </c>
      <c r="D11" s="2430">
        <f>ROUND(((('Balance Sheet'!C51/MTY!F8)*'KPI''s'!D25)),0)</f>
        <v>34</v>
      </c>
      <c r="E11" s="2430" t="e">
        <f>ROUND(((('Balance Sheet'!D51/MTY!I8)*'KPI''s'!E25)),0)</f>
        <v>#DIV/0!</v>
      </c>
      <c r="F11" s="2430" t="e">
        <f>ROUND(((('Balance Sheet'!E51/MTY!L8)*'KPI''s'!F25)),0)</f>
        <v>#DIV/0!</v>
      </c>
      <c r="G11" s="2430" t="e">
        <f>ROUND(((('Balance Sheet'!F51/MTY!O8)*'KPI''s'!G25)),0)</f>
        <v>#DIV/0!</v>
      </c>
      <c r="H11" s="2430" t="e">
        <f>ROUND(((('Balance Sheet'!G51/MTY!R8)*'KPI''s'!H25)),0)</f>
        <v>#DIV/0!</v>
      </c>
      <c r="I11" s="2430" t="e">
        <f>ROUND(((('Balance Sheet'!H51/MTY!U8)*'KPI''s'!I25)),0)</f>
        <v>#DIV/0!</v>
      </c>
      <c r="J11" s="2430" t="e">
        <f>ROUND(((('Balance Sheet'!I51/MTY!X8)*'KPI''s'!J25)),0)</f>
        <v>#DIV/0!</v>
      </c>
      <c r="K11" s="2430" t="e">
        <f>ROUND(((('Balance Sheet'!J51/MTY!AA8)*'KPI''s'!K25)),0)</f>
        <v>#DIV/0!</v>
      </c>
      <c r="L11" s="2430" t="e">
        <f>ROUND(((('Balance Sheet'!K51/MTY!AD8)*'KPI''s'!L25)),0)</f>
        <v>#DIV/0!</v>
      </c>
      <c r="M11" s="2430" t="e">
        <f>ROUND(((('Balance Sheet'!L51/MTY!AG8)*'KPI''s'!M25)),0)</f>
        <v>#DIV/0!</v>
      </c>
      <c r="N11" s="2430" t="e">
        <f>ROUND(((('Balance Sheet'!M51/MTY!AJ8)*'KPI''s'!N25)),0)</f>
        <v>#DIV/0!</v>
      </c>
      <c r="O11" s="2431">
        <f>('Balance Sheet'!H51/MTY!AM8)*'KPI''s'!O25</f>
        <v>256.59970686877779</v>
      </c>
      <c r="P11" t="s">
        <v>710</v>
      </c>
      <c r="Q11" t="s">
        <v>623</v>
      </c>
    </row>
    <row r="12" spans="2:18" x14ac:dyDescent="0.25">
      <c r="B12" s="990" t="s">
        <v>624</v>
      </c>
      <c r="C12" s="2430">
        <f>ROUND(((('Balance Sheet'!B23/MTY!C8)*'KPI''s'!C25)),0)</f>
        <v>7</v>
      </c>
      <c r="D12" s="2430">
        <f>ROUND(((('Balance Sheet'!C23/MTY!F8)*'KPI''s'!D25)),0)</f>
        <v>10</v>
      </c>
      <c r="E12" s="2430" t="e">
        <f>ROUND(((('Balance Sheet'!D23/MTY!I8)*'KPI''s'!E25)),0)</f>
        <v>#DIV/0!</v>
      </c>
      <c r="F12" s="2430" t="e">
        <f>ROUND(((('Balance Sheet'!E23/MTY!L8)*'KPI''s'!F25)),0)</f>
        <v>#DIV/0!</v>
      </c>
      <c r="G12" s="2430" t="e">
        <f>ROUND(((('Balance Sheet'!F23/MTY!R8)*'KPI''s'!G25)),0)</f>
        <v>#DIV/0!</v>
      </c>
      <c r="H12" s="2430" t="e">
        <f>ROUND(((('Balance Sheet'!G23/MTY!R8)*'KPI''s'!H25)),0)</f>
        <v>#DIV/0!</v>
      </c>
      <c r="I12" s="2430" t="e">
        <f>ROUND(((('Balance Sheet'!H23/MTY!U8)*'KPI''s'!I25)),0)</f>
        <v>#DIV/0!</v>
      </c>
      <c r="J12" s="2430" t="e">
        <f>ROUND(((('Balance Sheet'!I23/MTY!X8)*'KPI''s'!J25)),0)</f>
        <v>#DIV/0!</v>
      </c>
      <c r="K12" s="2430" t="e">
        <f>ROUND(((('Balance Sheet'!J23/MTY!AA8)*'KPI''s'!K25)),0)</f>
        <v>#DIV/0!</v>
      </c>
      <c r="L12" s="2430" t="e">
        <f>ROUND(((('Balance Sheet'!K23/MTY!AD8)*'KPI''s'!L25)),0)</f>
        <v>#DIV/0!</v>
      </c>
      <c r="M12" s="2430" t="e">
        <f>ROUND(((('Balance Sheet'!L23/MTY!AG8)*'KPI''s'!M25)),0)</f>
        <v>#DIV/0!</v>
      </c>
      <c r="N12" s="2430" t="e">
        <f>ROUND(((('Balance Sheet'!M23/MTY!AJ8)*'KPI''s'!N25)),0)</f>
        <v>#DIV/0!</v>
      </c>
      <c r="O12" s="2431">
        <f>('Balance Sheet'!H23/MTY!AM8)*O25</f>
        <v>40.884701436017508</v>
      </c>
      <c r="P12" t="s">
        <v>625</v>
      </c>
      <c r="Q12" t="s">
        <v>626</v>
      </c>
    </row>
    <row r="13" spans="2:18" x14ac:dyDescent="0.25">
      <c r="B13" s="990" t="s">
        <v>613</v>
      </c>
      <c r="C13" s="1">
        <f>'Balance Sheet'!B46/'Balance Sheet'!B18</f>
        <v>7.7832698851283153</v>
      </c>
      <c r="D13" s="1">
        <f>'Balance Sheet'!C46/'Balance Sheet'!C18</f>
        <v>6.316189798030071</v>
      </c>
      <c r="E13" s="1">
        <f>'Balance Sheet'!D46/'Balance Sheet'!D18</f>
        <v>8.2602755145969571</v>
      </c>
      <c r="F13" s="1">
        <f>'Balance Sheet'!E46/'Balance Sheet'!E18</f>
        <v>6.6336183717439408</v>
      </c>
      <c r="G13" s="1">
        <f>'Balance Sheet'!F46/'Balance Sheet'!F18</f>
        <v>8.7724498397062867</v>
      </c>
      <c r="H13" s="1">
        <f>'Balance Sheet'!G46/'Balance Sheet'!G18</f>
        <v>8.9239853262358935</v>
      </c>
      <c r="I13" s="1">
        <f>'Balance Sheet'!H46/'Balance Sheet'!H18</f>
        <v>11.456407962735994</v>
      </c>
      <c r="J13" s="1">
        <f>'Balance Sheet'!I46/'Balance Sheet'!I18</f>
        <v>10.539812524022977</v>
      </c>
      <c r="K13" s="1">
        <f>'Balance Sheet'!J46/'Balance Sheet'!J18</f>
        <v>7.3296742423831107</v>
      </c>
      <c r="L13" s="1">
        <f>'Balance Sheet'!K46/'Balance Sheet'!K18</f>
        <v>8.0992904970366855</v>
      </c>
      <c r="M13" s="1">
        <f>'Balance Sheet'!L46/'Balance Sheet'!L18</f>
        <v>15.834807637749407</v>
      </c>
      <c r="N13" s="1">
        <f>'Balance Sheet'!M46/'Balance Sheet'!M18</f>
        <v>24.487790023088714</v>
      </c>
      <c r="O13" s="2432">
        <f>'Balance Sheet'!G46/'Balance Sheet'!G18</f>
        <v>8.9239853262358935</v>
      </c>
      <c r="P13" t="s">
        <v>711</v>
      </c>
      <c r="Q13" t="s">
        <v>712</v>
      </c>
    </row>
    <row r="14" spans="2:18" ht="13.8" thickBot="1" x14ac:dyDescent="0.3">
      <c r="B14" s="224" t="s">
        <v>713</v>
      </c>
      <c r="C14" s="136">
        <f>(('Balance Sheet'!B46-('Balance Sheet'!B48+'Balance Sheet'!B47))/'Balance Sheet'!B18)</f>
        <v>1.735048302518468</v>
      </c>
      <c r="D14" s="136">
        <f>(('Balance Sheet'!C46-('Balance Sheet'!C48+'Balance Sheet'!C47))/'Balance Sheet'!C18)</f>
        <v>1.6792657493461285</v>
      </c>
      <c r="E14" s="136">
        <f>(('Balance Sheet'!D46-('Balance Sheet'!D48+'Balance Sheet'!D47))/'Balance Sheet'!D18)</f>
        <v>2.4530310072684234</v>
      </c>
      <c r="F14" s="136">
        <f>(('Balance Sheet'!E46-('Balance Sheet'!E48+'Balance Sheet'!E47))/'Balance Sheet'!E18)</f>
        <v>2.1710898229750466</v>
      </c>
      <c r="G14" s="136">
        <f>(('Balance Sheet'!F46-('Balance Sheet'!F48+'Balance Sheet'!F47))/'Balance Sheet'!F18)</f>
        <v>2.7087665824223626</v>
      </c>
      <c r="H14" s="136">
        <f>(('Balance Sheet'!G46-('Balance Sheet'!G48+'Balance Sheet'!G47))/'Balance Sheet'!G18)</f>
        <v>2.5798438606864753</v>
      </c>
      <c r="I14" s="136">
        <f>(('Balance Sheet'!H46-('Balance Sheet'!H48+'Balance Sheet'!H47))/'Balance Sheet'!H18)</f>
        <v>3.5158957123906842</v>
      </c>
      <c r="J14" s="136">
        <f>(('Balance Sheet'!I46-('Balance Sheet'!I48+'Balance Sheet'!I47))/'Balance Sheet'!I18)</f>
        <v>3.310503477709239</v>
      </c>
      <c r="K14" s="136">
        <f>(('Balance Sheet'!J46-('Balance Sheet'!J48+'Balance Sheet'!J47))/'Balance Sheet'!J18)</f>
        <v>2.1246017832930582</v>
      </c>
      <c r="L14" s="136">
        <f>(('Balance Sheet'!K46-('Balance Sheet'!K48+'Balance Sheet'!K47))/'Balance Sheet'!K18)</f>
        <v>2.2419655188297787</v>
      </c>
      <c r="M14" s="136">
        <f>(('Balance Sheet'!L46-('Balance Sheet'!L48+'Balance Sheet'!L47))/'Balance Sheet'!L18)</f>
        <v>3.2926515705790145</v>
      </c>
      <c r="N14" s="136">
        <f>(('Balance Sheet'!M46-('Balance Sheet'!M48+'Balance Sheet'!M47))/'Balance Sheet'!M18)</f>
        <v>3.3015297812414137</v>
      </c>
      <c r="O14" s="1005">
        <f>('Balance Sheet'!G46-('Balance Sheet'!G47+'Balance Sheet'!G48))/'Balance Sheet'!G18</f>
        <v>2.5798438606864753</v>
      </c>
      <c r="P14" t="s">
        <v>714</v>
      </c>
      <c r="Q14" t="s">
        <v>715</v>
      </c>
    </row>
    <row r="15" spans="2:18" ht="15" thickBot="1" x14ac:dyDescent="0.35">
      <c r="B15" s="3285" t="s">
        <v>716</v>
      </c>
      <c r="C15" s="3286"/>
      <c r="D15" s="3286"/>
      <c r="E15" s="3286"/>
      <c r="F15" s="3286"/>
      <c r="G15" s="3286"/>
      <c r="H15" s="3286"/>
      <c r="I15" s="3286"/>
      <c r="J15" s="3286"/>
      <c r="K15" s="3286"/>
      <c r="L15" s="3286"/>
      <c r="M15" s="3286"/>
      <c r="N15" s="3286"/>
      <c r="O15" s="3287"/>
    </row>
    <row r="16" spans="2:18" x14ac:dyDescent="0.25">
      <c r="B16" s="979" t="s">
        <v>717</v>
      </c>
      <c r="C16" s="59">
        <f>'Balance Sheet'!B10/'Balance Sheet'!B4</f>
        <v>4.4229029190649207</v>
      </c>
      <c r="D16" s="59">
        <f>'Balance Sheet'!C10/'Balance Sheet'!C4</f>
        <v>4.0131761415589944</v>
      </c>
      <c r="E16" s="59">
        <f>'Balance Sheet'!D10/'Balance Sheet'!D4</f>
        <v>4.5045019839508234</v>
      </c>
      <c r="F16" s="59">
        <f>'Balance Sheet'!E10/'Balance Sheet'!E4</f>
        <v>3.8362461912679526</v>
      </c>
      <c r="G16" s="59">
        <f>'Balance Sheet'!F10/'Balance Sheet'!F4</f>
        <v>4.191737249455584</v>
      </c>
      <c r="H16" s="59">
        <f>'Balance Sheet'!G10/'Balance Sheet'!G4</f>
        <v>4.0699795630346678</v>
      </c>
      <c r="I16" s="59">
        <f>'Balance Sheet'!H10/'Balance Sheet'!H4</f>
        <v>4.6110127563041132</v>
      </c>
      <c r="J16" s="59">
        <f>'Balance Sheet'!I10/'Balance Sheet'!I4</f>
        <v>4.4947114546184483</v>
      </c>
      <c r="K16" s="59">
        <f>'Balance Sheet'!J10/'Balance Sheet'!J4</f>
        <v>4.3741430380170261</v>
      </c>
      <c r="L16" s="59">
        <f>'Balance Sheet'!K10/'Balance Sheet'!K4</f>
        <v>4.5311029993710479</v>
      </c>
      <c r="M16" s="59">
        <f>'Balance Sheet'!L10/'Balance Sheet'!L4</f>
        <v>4.1258118063271683</v>
      </c>
      <c r="N16" s="59">
        <f>'Balance Sheet'!M10/'Balance Sheet'!M4</f>
        <v>3.2852532158887939</v>
      </c>
      <c r="O16" s="101">
        <f>'Balance Sheet'!H10/'Balance Sheet'!H4</f>
        <v>4.6110127563041132</v>
      </c>
      <c r="P16" t="s">
        <v>718</v>
      </c>
      <c r="Q16" t="s">
        <v>719</v>
      </c>
    </row>
    <row r="17" spans="1:17" x14ac:dyDescent="0.25">
      <c r="B17" s="990" t="s">
        <v>720</v>
      </c>
      <c r="C17" s="2433">
        <f>MTY!C69/('Balance Sheet'!B10+'Direct Expns'!S61)</f>
        <v>4.533265916539158E-2</v>
      </c>
      <c r="D17" s="2433">
        <f>MTY!F69/('Balance Sheet'!F10+'Direct Expns'!T61)</f>
        <v>7.4551436606206722E-2</v>
      </c>
      <c r="E17" s="2433" t="e">
        <f>MTY!I69/('Balance Sheet'!D10+'Direct Expns'!U61)</f>
        <v>#DIV/0!</v>
      </c>
      <c r="F17" s="2433" t="e">
        <f>MTY!L69/('Balance Sheet'!E10+'Direct Expns'!V61)</f>
        <v>#DIV/0!</v>
      </c>
      <c r="G17" s="2433" t="e">
        <f>MTY!O69/('Balance Sheet'!F10+'Direct Expns'!W61)</f>
        <v>#DIV/0!</v>
      </c>
      <c r="H17" s="2433">
        <f>MTY!R69/('Balance Sheet'!G10+'Direct Expns'!X61)</f>
        <v>0</v>
      </c>
      <c r="I17" s="2433">
        <f>MTY!U69/('Balance Sheet'!H10+'Direct Expns'!Y61)</f>
        <v>0</v>
      </c>
      <c r="J17" s="2433">
        <f>MTY!X69/('Balance Sheet'!I10+'Direct Expns'!Z61)</f>
        <v>0</v>
      </c>
      <c r="K17" s="2433">
        <f>MTY!AA69/('Balance Sheet'!J10+'Direct Expns'!AA61)</f>
        <v>0</v>
      </c>
      <c r="L17" s="2433">
        <f>MTY!AB69/('Balance Sheet'!K10+'Direct Expns'!AB61)</f>
        <v>0</v>
      </c>
      <c r="M17" s="2433">
        <f>MTY!AC69/('Balance Sheet'!L10+'Direct Expns'!AC61)</f>
        <v>0</v>
      </c>
      <c r="N17" s="2433">
        <f>MTY!AD69/('Balance Sheet'!M10+'Direct Expns'!AD61)</f>
        <v>0</v>
      </c>
      <c r="O17" s="2434">
        <f>MTY!AM69/(MTY!AM70+'Balance Sheet'!H10)</f>
        <v>-0.17425748925582424</v>
      </c>
      <c r="P17" t="s">
        <v>721</v>
      </c>
      <c r="Q17" t="s">
        <v>722</v>
      </c>
    </row>
    <row r="18" spans="1:17" ht="13.8" thickBot="1" x14ac:dyDescent="0.3">
      <c r="B18" s="224" t="s">
        <v>723</v>
      </c>
      <c r="C18" s="2435" t="e">
        <f>MTY!C69/'Direct Expns'!S61</f>
        <v>#DIV/0!</v>
      </c>
      <c r="D18" s="2435" t="e">
        <f>MTY!F69/'Direct Expns'!T61</f>
        <v>#DIV/0!</v>
      </c>
      <c r="E18" s="2435" t="e">
        <f>MTY!I69/'Direct Expns'!U61</f>
        <v>#DIV/0!</v>
      </c>
      <c r="F18" s="2435" t="e">
        <f>MTY!L69/'Direct Expns'!V61</f>
        <v>#DIV/0!</v>
      </c>
      <c r="G18" s="2435" t="e">
        <f>MTY!O69/'Direct Expns'!W61</f>
        <v>#DIV/0!</v>
      </c>
      <c r="H18" s="2435" t="e">
        <f>MTY!R69/'Direct Expns'!X61</f>
        <v>#DIV/0!</v>
      </c>
      <c r="I18" s="2435" t="e">
        <f>MTY!U69/'Direct Expns'!Y61</f>
        <v>#DIV/0!</v>
      </c>
      <c r="J18" s="2435" t="e">
        <f>MTY!X69/'Direct Expns'!Z61</f>
        <v>#DIV/0!</v>
      </c>
      <c r="K18" s="2435" t="e">
        <f>MTY!AA69/'Direct Expns'!AA61</f>
        <v>#DIV/0!</v>
      </c>
      <c r="L18" s="2435" t="e">
        <f>MTY!AB69/'Direct Expns'!AB61</f>
        <v>#DIV/0!</v>
      </c>
      <c r="M18" s="2435" t="e">
        <f>MTY!AC69/'Direct Expns'!AC61</f>
        <v>#DIV/0!</v>
      </c>
      <c r="N18" s="2435" t="e">
        <f>MTY!AD69/'Direct Expns'!AD61</f>
        <v>#DIV/0!</v>
      </c>
      <c r="O18" s="2436" t="e">
        <f>MTY!AM69/MTY!AM70</f>
        <v>#DIV/0!</v>
      </c>
      <c r="P18" t="s">
        <v>724</v>
      </c>
      <c r="Q18" t="s">
        <v>725</v>
      </c>
    </row>
    <row r="19" spans="1:17" ht="15" thickBot="1" x14ac:dyDescent="0.35">
      <c r="B19" s="3285" t="s">
        <v>726</v>
      </c>
      <c r="C19" s="3286"/>
      <c r="D19" s="3286"/>
      <c r="E19" s="3286"/>
      <c r="F19" s="3286"/>
      <c r="G19" s="3286"/>
      <c r="H19" s="3286"/>
      <c r="I19" s="3286"/>
      <c r="J19" s="3286"/>
      <c r="K19" s="3286"/>
      <c r="L19" s="3286"/>
      <c r="M19" s="3286"/>
      <c r="N19" s="3286"/>
      <c r="O19" s="3287"/>
    </row>
    <row r="20" spans="1:17" x14ac:dyDescent="0.25">
      <c r="B20" s="979" t="s">
        <v>615</v>
      </c>
      <c r="C20" s="2437">
        <f>MTY!C$72/'KPI''s'!$B$31</f>
        <v>2.2976336905058559</v>
      </c>
      <c r="D20" s="2437">
        <f>MTY!F$72/'KPI''s'!$B$31</f>
        <v>3.7922616496386743</v>
      </c>
      <c r="E20" s="2437" t="e">
        <f>MTY!I$72/'KPI''s'!$B$31</f>
        <v>#DIV/0!</v>
      </c>
      <c r="F20" s="2437" t="e">
        <f>MTY!L$72/'KPI''s'!$B$31</f>
        <v>#DIV/0!</v>
      </c>
      <c r="G20" s="2437" t="e">
        <f>MTY!O$72/'KPI''s'!$B$31</f>
        <v>#DIV/0!</v>
      </c>
      <c r="H20" s="2437">
        <f>MTY!R$72/'KPI''s'!$B$31</f>
        <v>0</v>
      </c>
      <c r="I20" s="2437">
        <f>MTY!U$72/'KPI''s'!$B$31</f>
        <v>0</v>
      </c>
      <c r="J20" s="2437">
        <f>MTY!X$72/'KPI''s'!$B$31</f>
        <v>0</v>
      </c>
      <c r="K20" s="2437">
        <f>MTY!AA$72/'KPI''s'!$B$31</f>
        <v>0</v>
      </c>
      <c r="L20" s="2437">
        <f>MTY!AD$72/'KPI''s'!$B$31</f>
        <v>0</v>
      </c>
      <c r="M20" s="2437">
        <f>MTY!AG$72/'KPI''s'!$B$31</f>
        <v>0</v>
      </c>
      <c r="N20" s="2437">
        <f>MTY!AJ$72/'KPI''s'!$B$31</f>
        <v>0</v>
      </c>
      <c r="O20" s="2438">
        <f>MTY!AM72/'KPI''s'!B31</f>
        <v>-10.322741091452778</v>
      </c>
      <c r="P20" t="s">
        <v>616</v>
      </c>
      <c r="Q20" t="s">
        <v>727</v>
      </c>
    </row>
    <row r="21" spans="1:17" x14ac:dyDescent="0.25">
      <c r="B21" s="990" t="s">
        <v>617</v>
      </c>
      <c r="C21" s="2433">
        <f>10/C20</f>
        <v>4.3523038686808082</v>
      </c>
      <c r="D21" s="2433">
        <f t="shared" ref="D21:J21" si="1">10/D20</f>
        <v>2.6369488510775088</v>
      </c>
      <c r="E21" s="2433" t="e">
        <f t="shared" si="1"/>
        <v>#DIV/0!</v>
      </c>
      <c r="F21" s="2433" t="e">
        <f t="shared" si="1"/>
        <v>#DIV/0!</v>
      </c>
      <c r="G21" s="2433" t="e">
        <f t="shared" si="1"/>
        <v>#DIV/0!</v>
      </c>
      <c r="H21" s="2433" t="e">
        <f t="shared" si="1"/>
        <v>#DIV/0!</v>
      </c>
      <c r="I21" s="2433" t="e">
        <f t="shared" si="1"/>
        <v>#DIV/0!</v>
      </c>
      <c r="J21" s="2433" t="e">
        <f t="shared" si="1"/>
        <v>#DIV/0!</v>
      </c>
      <c r="K21" s="2433" t="e">
        <f t="shared" ref="K21:L21" si="2">10/K20</f>
        <v>#DIV/0!</v>
      </c>
      <c r="L21" s="2433" t="e">
        <f t="shared" si="2"/>
        <v>#DIV/0!</v>
      </c>
      <c r="M21" s="2433" t="e">
        <f t="shared" ref="M21:N21" si="3">10/M20</f>
        <v>#DIV/0!</v>
      </c>
      <c r="N21" s="2433" t="e">
        <f t="shared" si="3"/>
        <v>#DIV/0!</v>
      </c>
      <c r="O21" s="2434">
        <f t="shared" ref="O21" si="4">10/O20</f>
        <v>-0.96873494272562855</v>
      </c>
      <c r="P21" t="s">
        <v>728</v>
      </c>
      <c r="Q21" t="s">
        <v>729</v>
      </c>
    </row>
    <row r="22" spans="1:17" ht="13.8" thickBot="1" x14ac:dyDescent="0.3">
      <c r="B22" s="1023" t="s">
        <v>618</v>
      </c>
      <c r="C22" s="2439">
        <f>'Balance Sheet'!B4+'Balance Sheet'!B10-('Balance Sheet'!B52+'Balance Sheet'!B53)</f>
        <v>139742598.29999998</v>
      </c>
      <c r="D22" s="2439">
        <f>'Balance Sheet'!C4+'Balance Sheet'!C10-('Balance Sheet'!C52+'Balance Sheet'!C53)</f>
        <v>129208670.44</v>
      </c>
      <c r="E22" s="2439">
        <f>'Balance Sheet'!D4+'Balance Sheet'!D10-('Balance Sheet'!D52+'Balance Sheet'!D53)</f>
        <v>141859369.44999999</v>
      </c>
      <c r="F22" s="2439">
        <f>'Balance Sheet'!E4+'Balance Sheet'!E10-('Balance Sheet'!E52+'Balance Sheet'!E53)</f>
        <v>124639797.54999998</v>
      </c>
      <c r="G22" s="2439">
        <f>'Balance Sheet'!F4+'Balance Sheet'!F10-('Balance Sheet'!F52+'Balance Sheet'!F53)</f>
        <v>133537714.03999999</v>
      </c>
      <c r="H22" s="2439">
        <f>'Balance Sheet'!G4+'Balance Sheet'!G10-('Balance Sheet'!G52+'Balance Sheet'!G53)</f>
        <v>130570825.60999998</v>
      </c>
      <c r="I22" s="2439">
        <f>'Balance Sheet'!H4+'Balance Sheet'!H10-('Balance Sheet'!H52+'Balance Sheet'!H53)</f>
        <v>144573620.46000001</v>
      </c>
      <c r="J22" s="2439">
        <f>'Balance Sheet'!I4+'Balance Sheet'!I10-('Balance Sheet'!I52+'Balance Sheet'!I53)</f>
        <v>141581472.81</v>
      </c>
      <c r="K22" s="2439">
        <f>'Balance Sheet'!J4+'Balance Sheet'!J10-('Balance Sheet'!J52+'Balance Sheet'!J53)</f>
        <v>138522963.18000001</v>
      </c>
      <c r="L22" s="2439">
        <f>'Balance Sheet'!K4+'Balance Sheet'!K10-('Balance Sheet'!K52+'Balance Sheet'!K53)</f>
        <v>142484213.00999999</v>
      </c>
      <c r="M22" s="2846">
        <f>'Balance Sheet'!L4+'Balance Sheet'!L10-('Balance Sheet'!L52+'Balance Sheet'!L53)</f>
        <v>132074138.91</v>
      </c>
      <c r="N22" s="2846">
        <f>'Balance Sheet'!M4+'Balance Sheet'!M10-('Balance Sheet'!M52+'Balance Sheet'!M53)</f>
        <v>110255132.09</v>
      </c>
      <c r="O22" s="2440">
        <f>L22</f>
        <v>142484213.00999999</v>
      </c>
      <c r="P22" t="s">
        <v>730</v>
      </c>
      <c r="Q22" s="980" t="s">
        <v>933</v>
      </c>
    </row>
    <row r="24" spans="1:17" x14ac:dyDescent="0.25">
      <c r="A24" t="s">
        <v>596</v>
      </c>
      <c r="B24" s="1145">
        <f>'Stock Valuation (FIFO)'!D25</f>
        <v>82860386</v>
      </c>
      <c r="C24" s="1761"/>
      <c r="D24" s="1762"/>
      <c r="E24" s="1762"/>
      <c r="F24" s="1762"/>
    </row>
    <row r="25" spans="1:17" x14ac:dyDescent="0.25">
      <c r="A25" t="s">
        <v>915</v>
      </c>
      <c r="C25" s="4">
        <v>30</v>
      </c>
      <c r="D25" s="2730">
        <v>31</v>
      </c>
      <c r="E25" s="2730">
        <v>30</v>
      </c>
      <c r="F25" s="2730">
        <v>31</v>
      </c>
      <c r="G25" s="2730">
        <v>31</v>
      </c>
      <c r="H25" s="2730">
        <v>30</v>
      </c>
      <c r="I25" s="2730">
        <v>31</v>
      </c>
      <c r="J25" s="4">
        <v>30</v>
      </c>
      <c r="K25" s="4">
        <v>31</v>
      </c>
      <c r="L25" s="4">
        <v>31</v>
      </c>
      <c r="M25" s="4">
        <v>28</v>
      </c>
      <c r="N25" s="4">
        <v>31</v>
      </c>
      <c r="O25">
        <f>SUM(C25:N25)</f>
        <v>365</v>
      </c>
    </row>
    <row r="26" spans="1:17" x14ac:dyDescent="0.25">
      <c r="A26" t="s">
        <v>916</v>
      </c>
      <c r="C26" s="1761">
        <f>'Balance Sheet'!B4+'Balance Sheet'!B10</f>
        <v>139790691.29999998</v>
      </c>
      <c r="D26" s="1761">
        <f>'Balance Sheet'!C4+'Balance Sheet'!C10</f>
        <v>129228822.44</v>
      </c>
      <c r="E26" s="1761">
        <f>'Balance Sheet'!D4+'Balance Sheet'!D10</f>
        <v>141894138.44999999</v>
      </c>
      <c r="F26" s="1761">
        <f>'Balance Sheet'!E4+'Balance Sheet'!E10</f>
        <v>124667951.54999998</v>
      </c>
      <c r="G26" s="1761">
        <f>'Balance Sheet'!F4+'Balance Sheet'!F10</f>
        <v>133831741.03999999</v>
      </c>
      <c r="H26" s="1761">
        <f>'Balance Sheet'!G4+'Balance Sheet'!G10</f>
        <v>130693091.60999998</v>
      </c>
      <c r="I26" s="1761">
        <f>'Balance Sheet'!H4+'Balance Sheet'!H10</f>
        <v>144639755.46000001</v>
      </c>
      <c r="J26" s="1761">
        <f>'Balance Sheet'!I4+'Balance Sheet'!I10</f>
        <v>141641759.81</v>
      </c>
      <c r="K26" s="1761">
        <f>'Balance Sheet'!J4+'Balance Sheet'!J10</f>
        <v>138533767.18000001</v>
      </c>
      <c r="L26" s="152">
        <f>'Balance Sheet'!K4+'Balance Sheet'!K10</f>
        <v>142579855.00999999</v>
      </c>
      <c r="M26" s="152">
        <f>'Balance Sheet'!L4+'Balance Sheet'!L10</f>
        <v>132132325.91</v>
      </c>
      <c r="N26" s="152">
        <f>'Balance Sheet'!M4+'Balance Sheet'!M10</f>
        <v>110464546.09</v>
      </c>
      <c r="O26" s="1762">
        <f>H26</f>
        <v>130693091.60999998</v>
      </c>
    </row>
    <row r="27" spans="1:17" x14ac:dyDescent="0.25">
      <c r="C27" s="1761"/>
      <c r="D27" s="1761"/>
      <c r="E27" s="1761"/>
      <c r="F27" s="1761"/>
      <c r="G27" s="1761"/>
      <c r="H27" s="1761"/>
    </row>
    <row r="28" spans="1:17" x14ac:dyDescent="0.25">
      <c r="A28" t="s">
        <v>917</v>
      </c>
      <c r="B28" s="1761">
        <v>34375755</v>
      </c>
    </row>
    <row r="29" spans="1:17" x14ac:dyDescent="0.25">
      <c r="A29" t="s">
        <v>927</v>
      </c>
      <c r="B29" s="1761">
        <v>109016560</v>
      </c>
      <c r="C29" s="2829">
        <v>12</v>
      </c>
    </row>
    <row r="30" spans="1:17" x14ac:dyDescent="0.25">
      <c r="A30" t="s">
        <v>928</v>
      </c>
      <c r="B30" s="1761">
        <v>381776055</v>
      </c>
      <c r="C30" s="1762">
        <f>ROUND(((B30/12)*C29),0)</f>
        <v>381776055</v>
      </c>
    </row>
    <row r="31" spans="1:17" x14ac:dyDescent="0.25">
      <c r="A31" t="s">
        <v>627</v>
      </c>
      <c r="B31" s="1761">
        <v>2006500</v>
      </c>
    </row>
    <row r="32" spans="1:17" x14ac:dyDescent="0.25">
      <c r="A32" t="s">
        <v>929</v>
      </c>
      <c r="B32" t="s">
        <v>930</v>
      </c>
      <c r="O32" s="329">
        <v>0.05</v>
      </c>
    </row>
    <row r="33" spans="1:17" x14ac:dyDescent="0.25">
      <c r="A33" t="s">
        <v>918</v>
      </c>
      <c r="B33" t="s">
        <v>919</v>
      </c>
      <c r="O33" s="4">
        <v>1</v>
      </c>
    </row>
    <row r="34" spans="1:17" x14ac:dyDescent="0.25">
      <c r="A34" t="s">
        <v>920</v>
      </c>
      <c r="B34" s="980" t="s">
        <v>934</v>
      </c>
      <c r="O34" s="340">
        <v>9.5000000000000001E-2</v>
      </c>
    </row>
    <row r="35" spans="1:17" x14ac:dyDescent="0.25">
      <c r="A35" t="s">
        <v>526</v>
      </c>
      <c r="B35" t="s">
        <v>921</v>
      </c>
      <c r="O35" s="340">
        <v>9.5000000000000001E-2</v>
      </c>
    </row>
    <row r="36" spans="1:17" x14ac:dyDescent="0.25">
      <c r="A36" t="s">
        <v>922</v>
      </c>
      <c r="B36" t="s">
        <v>923</v>
      </c>
      <c r="D36" t="s">
        <v>924</v>
      </c>
      <c r="O36" s="567">
        <f>(O32+(O33*(O35-O32)))</f>
        <v>9.5000000000000001E-2</v>
      </c>
    </row>
    <row r="37" spans="1:17" x14ac:dyDescent="0.25">
      <c r="A37" t="s">
        <v>925</v>
      </c>
      <c r="B37" t="s">
        <v>925</v>
      </c>
      <c r="D37" t="s">
        <v>926</v>
      </c>
      <c r="G37" s="1704"/>
      <c r="O37" s="340">
        <f>('Balance Sheet'!O4/('Balance Sheet'!O4+'Balance Sheet'!O10)*O36)+(O34*(1-0.25)*('Balance Sheet'!O10/('Balance Sheet'!O4+'Balance Sheet'!O10)))</f>
        <v>7.6792262919712695E-2</v>
      </c>
    </row>
    <row r="38" spans="1:17" x14ac:dyDescent="0.25">
      <c r="A38" s="980" t="s">
        <v>935</v>
      </c>
      <c r="B38" s="980" t="s">
        <v>936</v>
      </c>
      <c r="E38" s="2569"/>
      <c r="O38" s="1762">
        <f>MTY!AM72+MTY!AM71+-MTY!AM24</f>
        <v>-20712580</v>
      </c>
      <c r="Q38" s="2569" t="e">
        <f>Q9/V3</f>
        <v>#VALUE!</v>
      </c>
    </row>
    <row r="39" spans="1:17" x14ac:dyDescent="0.25">
      <c r="A39" s="980" t="s">
        <v>937</v>
      </c>
      <c r="B39" s="2569"/>
      <c r="D39" s="2569"/>
      <c r="E39" s="2569"/>
      <c r="Q39" s="2569" t="e">
        <f>Q10/V3</f>
        <v>#VALUE!</v>
      </c>
    </row>
    <row r="40" spans="1:17" x14ac:dyDescent="0.25">
      <c r="B40" s="2569"/>
      <c r="D40" s="2569"/>
    </row>
  </sheetData>
  <mergeCells count="5">
    <mergeCell ref="B15:O15"/>
    <mergeCell ref="B19:O19"/>
    <mergeCell ref="B1:O1"/>
    <mergeCell ref="B3:O3"/>
    <mergeCell ref="B8:O8"/>
  </mergeCells>
  <phoneticPr fontId="22" type="noConversion"/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70"/>
  <sheetViews>
    <sheetView showZeros="0" zoomScale="96" zoomScaleNormal="96" workbookViewId="0">
      <selection activeCell="S23" sqref="S23"/>
    </sheetView>
  </sheetViews>
  <sheetFormatPr defaultRowHeight="13.2" x14ac:dyDescent="0.25"/>
  <cols>
    <col min="1" max="1" width="33.88671875" bestFit="1" customWidth="1"/>
    <col min="2" max="2" width="10.33203125" bestFit="1" customWidth="1"/>
    <col min="3" max="3" width="15.109375" style="1252" bestFit="1" customWidth="1"/>
    <col min="4" max="4" width="7.5546875" bestFit="1" customWidth="1"/>
    <col min="5" max="5" width="10.33203125" bestFit="1" customWidth="1"/>
    <col min="6" max="6" width="15.109375" style="8" bestFit="1" customWidth="1"/>
    <col min="7" max="7" width="8.109375" bestFit="1" customWidth="1"/>
    <col min="8" max="8" width="10.6640625" bestFit="1" customWidth="1"/>
    <col min="9" max="9" width="14" bestFit="1" customWidth="1"/>
    <col min="10" max="10" width="7.88671875" bestFit="1" customWidth="1"/>
    <col min="11" max="11" width="10.33203125" customWidth="1"/>
    <col min="12" max="12" width="14" bestFit="1" customWidth="1"/>
    <col min="13" max="13" width="7" bestFit="1" customWidth="1"/>
    <col min="14" max="14" width="10.33203125" customWidth="1"/>
    <col min="15" max="15" width="14.109375" bestFit="1" customWidth="1"/>
    <col min="16" max="16" width="7" bestFit="1" customWidth="1"/>
    <col min="17" max="19" width="10" customWidth="1"/>
    <col min="20" max="22" width="10.5546875" customWidth="1"/>
    <col min="23" max="25" width="10.6640625" customWidth="1"/>
    <col min="26" max="31" width="10.33203125" customWidth="1"/>
    <col min="32" max="37" width="10.6640625" customWidth="1"/>
    <col min="38" max="38" width="9.88671875" bestFit="1" customWidth="1"/>
    <col min="39" max="39" width="15.109375" bestFit="1" customWidth="1"/>
    <col min="40" max="40" width="7.44140625" bestFit="1" customWidth="1"/>
    <col min="41" max="41" width="10" customWidth="1"/>
    <col min="42" max="42" width="12" bestFit="1" customWidth="1"/>
    <col min="43" max="57" width="10" customWidth="1"/>
  </cols>
  <sheetData>
    <row r="1" spans="1:48" ht="15.6" thickBot="1" x14ac:dyDescent="0.3">
      <c r="A1" s="143" t="s">
        <v>604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</row>
    <row r="2" spans="1:48" ht="13.8" thickBot="1" x14ac:dyDescent="0.3">
      <c r="A2" s="1146" t="s">
        <v>67</v>
      </c>
      <c r="B2" s="3244">
        <v>45748</v>
      </c>
      <c r="C2" s="3245"/>
      <c r="D2" s="3246"/>
      <c r="E2" s="3244">
        <v>45778</v>
      </c>
      <c r="F2" s="3245"/>
      <c r="G2" s="3246"/>
      <c r="H2" s="3245">
        <v>45809</v>
      </c>
      <c r="I2" s="3245"/>
      <c r="J2" s="3245"/>
      <c r="K2" s="3244">
        <v>45839</v>
      </c>
      <c r="L2" s="3245"/>
      <c r="M2" s="3246"/>
      <c r="N2" s="3245">
        <v>45870</v>
      </c>
      <c r="O2" s="3245"/>
      <c r="P2" s="3245"/>
      <c r="Q2" s="3244">
        <v>45901</v>
      </c>
      <c r="R2" s="3245"/>
      <c r="S2" s="3246"/>
      <c r="T2" s="3245">
        <v>45931</v>
      </c>
      <c r="U2" s="3245"/>
      <c r="V2" s="3245"/>
      <c r="W2" s="3244">
        <v>45962</v>
      </c>
      <c r="X2" s="3245"/>
      <c r="Y2" s="3246"/>
      <c r="Z2" s="3245">
        <v>45992</v>
      </c>
      <c r="AA2" s="3245"/>
      <c r="AB2" s="3245"/>
      <c r="AC2" s="3244">
        <v>46023</v>
      </c>
      <c r="AD2" s="3245"/>
      <c r="AE2" s="3246"/>
      <c r="AF2" s="3245">
        <v>46054</v>
      </c>
      <c r="AG2" s="3245"/>
      <c r="AH2" s="3245"/>
      <c r="AI2" s="3244">
        <v>46082</v>
      </c>
      <c r="AJ2" s="3245"/>
      <c r="AK2" s="3246"/>
      <c r="AL2" s="3288" t="s">
        <v>0</v>
      </c>
      <c r="AM2" s="3289"/>
      <c r="AN2" s="3290"/>
    </row>
    <row r="3" spans="1:48" ht="13.8" thickBot="1" x14ac:dyDescent="0.3">
      <c r="A3" s="1855" t="s">
        <v>1</v>
      </c>
      <c r="B3" s="1161"/>
      <c r="C3" s="1162"/>
      <c r="D3" s="1163"/>
      <c r="E3" s="1161"/>
      <c r="F3" s="1162"/>
      <c r="G3" s="1163"/>
      <c r="H3" s="1162"/>
      <c r="I3" s="1162"/>
      <c r="J3" s="1162"/>
      <c r="K3" s="1161"/>
      <c r="L3" s="1162"/>
      <c r="M3" s="1163"/>
      <c r="N3" s="1162"/>
      <c r="O3" s="1162"/>
      <c r="P3" s="1162"/>
      <c r="Q3" s="1161"/>
      <c r="R3" s="1162"/>
      <c r="S3" s="1163"/>
      <c r="T3" s="1162"/>
      <c r="U3" s="1162"/>
      <c r="V3" s="1162"/>
      <c r="W3" s="1161"/>
      <c r="X3" s="1162"/>
      <c r="Y3" s="1163"/>
      <c r="Z3" s="1162"/>
      <c r="AA3" s="1162"/>
      <c r="AB3" s="1162"/>
      <c r="AC3" s="1161"/>
      <c r="AD3" s="1162"/>
      <c r="AE3" s="1163"/>
      <c r="AF3" s="1162"/>
      <c r="AG3" s="1162"/>
      <c r="AH3" s="1162"/>
      <c r="AI3" s="1161"/>
      <c r="AJ3" s="1162"/>
      <c r="AK3" s="1163"/>
      <c r="AL3" s="1854"/>
      <c r="AM3" s="52"/>
      <c r="AN3" s="1163"/>
    </row>
    <row r="4" spans="1:48" x14ac:dyDescent="0.25">
      <c r="A4" s="1169" t="s">
        <v>71</v>
      </c>
      <c r="B4" s="407">
        <v>195845</v>
      </c>
      <c r="C4" s="1778">
        <f>'Stock Valuation (FIFO)'!D5</f>
        <v>17215561</v>
      </c>
      <c r="D4" s="1439">
        <f t="shared" ref="D4:D9" si="0">IF(B4=0,0,C4/B4)</f>
        <v>87.904010824887024</v>
      </c>
      <c r="E4" s="407">
        <f>B8</f>
        <v>75695</v>
      </c>
      <c r="F4" s="1782">
        <f>C8</f>
        <v>10273379</v>
      </c>
      <c r="G4" s="1439">
        <f t="shared" ref="G4:G9" si="1">IF(E4=0,0,F4/E4)</f>
        <v>135.72070810489464</v>
      </c>
      <c r="H4" s="1175">
        <f>E8</f>
        <v>90040</v>
      </c>
      <c r="I4" s="1782">
        <f>F8</f>
        <v>13740910</v>
      </c>
      <c r="J4" s="1218">
        <f t="shared" ref="J4:J9" si="2">IF(H4=0,0,I4/H4)</f>
        <v>152.60895157707685</v>
      </c>
      <c r="K4" s="407">
        <f>H8</f>
        <v>0</v>
      </c>
      <c r="L4" s="1782">
        <f>I8</f>
        <v>0</v>
      </c>
      <c r="M4" s="1439">
        <f t="shared" ref="M4:M9" si="3">IF(K4=0,0,L4/K4)</f>
        <v>0</v>
      </c>
      <c r="N4" s="1175">
        <f>K8</f>
        <v>0</v>
      </c>
      <c r="O4" s="1782">
        <f>L8</f>
        <v>0</v>
      </c>
      <c r="P4" s="1439">
        <f>IF(N4=0,0,O4/N4)</f>
        <v>0</v>
      </c>
      <c r="Q4" s="407">
        <f>N8</f>
        <v>0</v>
      </c>
      <c r="R4" s="408"/>
      <c r="S4" s="410"/>
      <c r="T4" s="1175">
        <f>Q8</f>
        <v>-72940</v>
      </c>
      <c r="U4" s="409"/>
      <c r="V4" s="1167"/>
      <c r="W4" s="1180">
        <f>T8</f>
        <v>-72940</v>
      </c>
      <c r="X4" s="409"/>
      <c r="Y4" s="1170"/>
      <c r="Z4" s="1179">
        <f>W8</f>
        <v>-72940</v>
      </c>
      <c r="AA4" s="409"/>
      <c r="AB4" s="1167"/>
      <c r="AC4" s="1180">
        <f>Z8</f>
        <v>-72940</v>
      </c>
      <c r="AD4" s="409"/>
      <c r="AE4" s="1170"/>
      <c r="AF4" s="1179">
        <f>AC8</f>
        <v>-72940</v>
      </c>
      <c r="AG4" s="409"/>
      <c r="AH4" s="1167"/>
      <c r="AI4" s="1180">
        <f>AF8</f>
        <v>-72940</v>
      </c>
      <c r="AJ4" s="1167"/>
      <c r="AK4" s="1170"/>
      <c r="AL4" s="1169">
        <f>B4</f>
        <v>195845</v>
      </c>
      <c r="AM4" s="1946">
        <f>C4</f>
        <v>17215561</v>
      </c>
      <c r="AN4" s="1220">
        <f t="shared" ref="AN4:AN9" si="4">IF(AL4=0,0,AM4/AL4)</f>
        <v>87.904010824887024</v>
      </c>
    </row>
    <row r="5" spans="1:48" x14ac:dyDescent="0.25">
      <c r="A5" s="1171" t="s">
        <v>72</v>
      </c>
      <c r="B5" s="411">
        <f>Purchase!$B5</f>
        <v>0</v>
      </c>
      <c r="C5" s="1225">
        <f>Purchase!$C5-Purchase!$N5</f>
        <v>0</v>
      </c>
      <c r="D5" s="1535">
        <f t="shared" si="0"/>
        <v>0</v>
      </c>
      <c r="E5" s="411">
        <f>Purchase!$B6</f>
        <v>76000</v>
      </c>
      <c r="F5" s="1225">
        <f>Purchase!C6-Purchase!N6</f>
        <v>11262176.01</v>
      </c>
      <c r="G5" s="1535">
        <f t="shared" si="1"/>
        <v>148.18652644736841</v>
      </c>
      <c r="H5" s="411">
        <f>Purchase!$B7</f>
        <v>0</v>
      </c>
      <c r="I5" s="1225">
        <f>Purchase!$C7-Purchase!$N7</f>
        <v>0</v>
      </c>
      <c r="J5" s="1916">
        <f t="shared" si="2"/>
        <v>0</v>
      </c>
      <c r="K5" s="411">
        <f>Purchase!$B8</f>
        <v>0</v>
      </c>
      <c r="L5" s="1225">
        <f>Purchase!$C8-Purchase!$N8</f>
        <v>0</v>
      </c>
      <c r="M5" s="1535">
        <f t="shared" si="3"/>
        <v>0</v>
      </c>
      <c r="N5" s="411">
        <f>Purchase!$B9</f>
        <v>0</v>
      </c>
      <c r="O5" s="1225">
        <f>Purchase!$C9-Purchase!$N9</f>
        <v>0</v>
      </c>
      <c r="P5" s="1535">
        <f>IF(N5=0,0,O5/N5)</f>
        <v>0</v>
      </c>
      <c r="Q5" s="411">
        <v>37000</v>
      </c>
      <c r="R5" s="412"/>
      <c r="S5" s="413"/>
      <c r="T5" s="1176"/>
      <c r="U5" s="412"/>
      <c r="V5" s="414"/>
      <c r="W5" s="411"/>
      <c r="X5" s="412"/>
      <c r="Y5" s="413"/>
      <c r="Z5" s="1176"/>
      <c r="AA5" s="412"/>
      <c r="AB5" s="414"/>
      <c r="AC5" s="411"/>
      <c r="AD5" s="412"/>
      <c r="AE5" s="413"/>
      <c r="AF5" s="1176"/>
      <c r="AG5" s="412"/>
      <c r="AH5" s="414"/>
      <c r="AI5" s="411"/>
      <c r="AJ5" s="414"/>
      <c r="AK5" s="413"/>
      <c r="AL5" s="1171">
        <f t="shared" ref="AL5:AM7" si="5">SUM(B5,E5,H5,K5,N5,Q5,T5,W5,Z5,AC5,AF5,AI5)</f>
        <v>113000</v>
      </c>
      <c r="AM5" s="1945">
        <f t="shared" si="5"/>
        <v>11262176.01</v>
      </c>
      <c r="AN5" s="1535">
        <f t="shared" si="4"/>
        <v>99.665274424778758</v>
      </c>
    </row>
    <row r="6" spans="1:48" ht="13.8" thickBot="1" x14ac:dyDescent="0.3">
      <c r="A6" s="1172" t="s">
        <v>103</v>
      </c>
      <c r="B6" s="424"/>
      <c r="C6" s="1226"/>
      <c r="D6" s="1903">
        <f t="shared" si="0"/>
        <v>0</v>
      </c>
      <c r="E6" s="424"/>
      <c r="F6" s="1959"/>
      <c r="G6" s="1903">
        <f t="shared" si="1"/>
        <v>0</v>
      </c>
      <c r="H6" s="1177"/>
      <c r="I6" s="425"/>
      <c r="J6" s="1926">
        <f t="shared" si="2"/>
        <v>0</v>
      </c>
      <c r="K6" s="424"/>
      <c r="L6" s="425"/>
      <c r="M6" s="1903">
        <f t="shared" si="3"/>
        <v>0</v>
      </c>
      <c r="N6" s="1177"/>
      <c r="O6" s="425"/>
      <c r="P6" s="733"/>
      <c r="Q6" s="424"/>
      <c r="R6" s="425"/>
      <c r="S6" s="426"/>
      <c r="T6" s="1177"/>
      <c r="U6" s="425"/>
      <c r="V6" s="733"/>
      <c r="W6" s="424"/>
      <c r="X6" s="425"/>
      <c r="Y6" s="426"/>
      <c r="Z6" s="1177"/>
      <c r="AA6" s="425"/>
      <c r="AB6" s="733"/>
      <c r="AC6" s="424"/>
      <c r="AD6" s="425"/>
      <c r="AE6" s="426"/>
      <c r="AF6" s="1177"/>
      <c r="AG6" s="425"/>
      <c r="AH6" s="733"/>
      <c r="AI6" s="424"/>
      <c r="AJ6" s="733"/>
      <c r="AK6" s="426"/>
      <c r="AL6" s="1172">
        <f t="shared" si="5"/>
        <v>0</v>
      </c>
      <c r="AM6" s="1960">
        <f t="shared" si="5"/>
        <v>0</v>
      </c>
      <c r="AN6" s="1903">
        <f t="shared" si="4"/>
        <v>0</v>
      </c>
    </row>
    <row r="7" spans="1:48" ht="13.8" thickBot="1" x14ac:dyDescent="0.3">
      <c r="A7" s="452" t="s">
        <v>112</v>
      </c>
      <c r="B7" s="563">
        <v>40000</v>
      </c>
      <c r="C7" s="1181">
        <f>'Inventory Sales'!D25</f>
        <v>0</v>
      </c>
      <c r="D7" s="1183">
        <f t="shared" si="0"/>
        <v>0</v>
      </c>
      <c r="E7" s="563">
        <v>14000</v>
      </c>
      <c r="F7" s="1828">
        <f>'Inventory Sales'!G$42</f>
        <v>9375</v>
      </c>
      <c r="G7" s="1183">
        <f t="shared" si="1"/>
        <v>0.6696428571428571</v>
      </c>
      <c r="H7" s="1867">
        <v>51000</v>
      </c>
      <c r="I7" s="1828">
        <f>'Inventory Sales'!J$42</f>
        <v>0</v>
      </c>
      <c r="J7" s="1224">
        <f t="shared" si="2"/>
        <v>0</v>
      </c>
      <c r="K7" s="563">
        <v>55000</v>
      </c>
      <c r="L7" s="1828">
        <f>'Inventory Sales'!M$42</f>
        <v>0</v>
      </c>
      <c r="M7" s="1183">
        <f t="shared" si="3"/>
        <v>0</v>
      </c>
      <c r="N7" s="1867">
        <v>58000</v>
      </c>
      <c r="O7" s="1828">
        <f>'Inventory Sales'!P$42</f>
        <v>0</v>
      </c>
      <c r="P7" s="1183">
        <f>IF(N7=0,0,O7/N7)</f>
        <v>0</v>
      </c>
      <c r="Q7" s="563">
        <v>31000</v>
      </c>
      <c r="R7" s="564"/>
      <c r="S7" s="565"/>
      <c r="T7" s="1867"/>
      <c r="U7" s="564"/>
      <c r="V7" s="1790"/>
      <c r="W7" s="563"/>
      <c r="X7" s="564"/>
      <c r="Y7" s="565"/>
      <c r="Z7" s="1867"/>
      <c r="AA7" s="564"/>
      <c r="AB7" s="1790"/>
      <c r="AC7" s="563"/>
      <c r="AD7" s="564"/>
      <c r="AE7" s="565"/>
      <c r="AF7" s="1867"/>
      <c r="AG7" s="564"/>
      <c r="AH7" s="1790"/>
      <c r="AI7" s="563"/>
      <c r="AJ7" s="1790"/>
      <c r="AK7" s="565"/>
      <c r="AL7" s="1171">
        <f t="shared" si="5"/>
        <v>249000</v>
      </c>
      <c r="AM7" s="1954">
        <f t="shared" si="5"/>
        <v>9375</v>
      </c>
      <c r="AN7" s="1947">
        <f t="shared" si="4"/>
        <v>3.7650602409638557E-2</v>
      </c>
    </row>
    <row r="8" spans="1:48" ht="13.8" thickBot="1" x14ac:dyDescent="0.3">
      <c r="A8" s="1804" t="s">
        <v>75</v>
      </c>
      <c r="B8" s="1812">
        <f>'Stock Valuation (FIFO)'!E5</f>
        <v>75695</v>
      </c>
      <c r="C8" s="1829">
        <f>'Stock Valuation (FIFO)'!G5</f>
        <v>10273379</v>
      </c>
      <c r="D8" s="1883">
        <f t="shared" si="0"/>
        <v>135.72070810489464</v>
      </c>
      <c r="E8" s="1812">
        <f>'Stock Valuation (FIFO)'!H5</f>
        <v>90040</v>
      </c>
      <c r="F8" s="1830">
        <f>'Stock Valuation (FIFO)'!J5</f>
        <v>13740910</v>
      </c>
      <c r="G8" s="1883">
        <f t="shared" si="1"/>
        <v>152.60895157707685</v>
      </c>
      <c r="H8" s="1812">
        <f>'Stock Valuation (FIFO)'!K5</f>
        <v>0</v>
      </c>
      <c r="I8" s="1829">
        <f>'Stock Valuation (FIFO)'!M5</f>
        <v>0</v>
      </c>
      <c r="J8" s="1918">
        <f t="shared" si="2"/>
        <v>0</v>
      </c>
      <c r="K8" s="1812">
        <f>'Stock Valuation (FIFO)'!N5</f>
        <v>0</v>
      </c>
      <c r="L8" s="1829">
        <f>'Stock Valuation (FIFO)'!P5</f>
        <v>0</v>
      </c>
      <c r="M8" s="1883">
        <f t="shared" si="3"/>
        <v>0</v>
      </c>
      <c r="N8" s="1868">
        <f>'Stock Valuation (FIFO)'!Q5</f>
        <v>0</v>
      </c>
      <c r="O8" s="1829">
        <f>'Stock Valuation (FIFO)'!S5</f>
        <v>0</v>
      </c>
      <c r="P8" s="1883">
        <f>IF(N8=0,0,O8/N8)</f>
        <v>0</v>
      </c>
      <c r="Q8" s="1812">
        <f>(Q4+Q5+Q6)-(Q13+Q7)</f>
        <v>-72940</v>
      </c>
      <c r="R8" s="423"/>
      <c r="S8" s="1806"/>
      <c r="T8" s="1868">
        <f>(T4+T5+T6)-(T13+T7)</f>
        <v>-72940</v>
      </c>
      <c r="U8" s="423"/>
      <c r="V8" s="428"/>
      <c r="W8" s="1812">
        <f>(W4+W5+W6)-(W13+W7)</f>
        <v>-72940</v>
      </c>
      <c r="X8" s="423"/>
      <c r="Y8" s="1806"/>
      <c r="Z8" s="1868">
        <f>(Z4+Z5+Z6)-(Z13+Z7)</f>
        <v>-72940</v>
      </c>
      <c r="AA8" s="423"/>
      <c r="AB8" s="428"/>
      <c r="AC8" s="1812">
        <f>(AC4+AC5+AC6)-(AC13+AC7)</f>
        <v>-72940</v>
      </c>
      <c r="AD8" s="423"/>
      <c r="AE8" s="1806"/>
      <c r="AF8" s="1868">
        <f>(AF4+AF5+AF6)-(AF13+AF7)</f>
        <v>-72940</v>
      </c>
      <c r="AG8" s="423"/>
      <c r="AH8" s="428"/>
      <c r="AI8" s="1812">
        <f>(AI4+AI5+AI6)-(AI13+AI7)</f>
        <v>-72940</v>
      </c>
      <c r="AJ8" s="428"/>
      <c r="AK8" s="1806"/>
      <c r="AL8" s="1953">
        <f>N8</f>
        <v>0</v>
      </c>
      <c r="AM8" s="1957">
        <f>O8</f>
        <v>0</v>
      </c>
      <c r="AN8" s="1961">
        <f t="shared" si="4"/>
        <v>0</v>
      </c>
      <c r="AP8" s="8">
        <f>AM8+AM21+AM33+AM7</f>
        <v>9375</v>
      </c>
    </row>
    <row r="9" spans="1:48" x14ac:dyDescent="0.25">
      <c r="A9" s="1807" t="s">
        <v>73</v>
      </c>
      <c r="B9" s="435"/>
      <c r="C9" s="1917"/>
      <c r="D9" s="1884">
        <f t="shared" si="0"/>
        <v>0</v>
      </c>
      <c r="E9" s="435"/>
      <c r="F9" s="1958"/>
      <c r="G9" s="1884">
        <f t="shared" si="1"/>
        <v>0</v>
      </c>
      <c r="H9" s="1239"/>
      <c r="I9" s="420"/>
      <c r="J9" s="1919">
        <f t="shared" si="2"/>
        <v>0</v>
      </c>
      <c r="K9" s="435"/>
      <c r="L9" s="420"/>
      <c r="M9" s="1884">
        <f t="shared" si="3"/>
        <v>0</v>
      </c>
      <c r="N9" s="1239"/>
      <c r="O9" s="420"/>
      <c r="P9" s="1168"/>
      <c r="Q9" s="435"/>
      <c r="R9" s="420"/>
      <c r="S9" s="421"/>
      <c r="T9" s="1239"/>
      <c r="U9" s="420"/>
      <c r="V9" s="1168"/>
      <c r="W9" s="435"/>
      <c r="X9" s="420"/>
      <c r="Y9" s="421"/>
      <c r="Z9" s="1239"/>
      <c r="AA9" s="420"/>
      <c r="AB9" s="1168"/>
      <c r="AC9" s="435"/>
      <c r="AD9" s="420"/>
      <c r="AE9" s="421"/>
      <c r="AF9" s="1239"/>
      <c r="AG9" s="420"/>
      <c r="AH9" s="1168"/>
      <c r="AI9" s="435"/>
      <c r="AJ9" s="1168"/>
      <c r="AK9" s="421"/>
      <c r="AL9" s="1807">
        <f>SUM(B9,E9,H9,K9,N9,Q9,T9,W9,Z9,AC9,AF9,AI9)</f>
        <v>0</v>
      </c>
      <c r="AM9" s="1954">
        <f>SUM(C9,F9,I9,L9,O9,R9,U9,X9,AA9,AD9,AG9,AJ9)</f>
        <v>0</v>
      </c>
      <c r="AN9" s="1884">
        <f t="shared" si="4"/>
        <v>0</v>
      </c>
    </row>
    <row r="10" spans="1:48" x14ac:dyDescent="0.25">
      <c r="A10" s="1171" t="s">
        <v>192</v>
      </c>
      <c r="B10" s="411">
        <f>(B4+B5)-(B7+B8)</f>
        <v>80150</v>
      </c>
      <c r="C10" s="1985">
        <f>(C4+C5)-(C7+C8)</f>
        <v>6942182</v>
      </c>
      <c r="D10" s="1535">
        <f>IF(B10=0,0,C13/B10)</f>
        <v>214.79177791640674</v>
      </c>
      <c r="E10" s="411">
        <f>(E4+E5)-(E7+E8)</f>
        <v>47655</v>
      </c>
      <c r="F10" s="1985">
        <f>(F4+F5)-(F7+F8)</f>
        <v>7785270.0099999979</v>
      </c>
      <c r="G10" s="1535">
        <f>IF(E10=0,0,F13/E10)</f>
        <v>451.9054663728885</v>
      </c>
      <c r="H10" s="411">
        <f>(H4+H5)-(H7+H8)</f>
        <v>39040</v>
      </c>
      <c r="I10" s="1985">
        <f>(I4+I5)-(I7+I8)</f>
        <v>13740910</v>
      </c>
      <c r="J10" s="1916">
        <f>IF(H10=0,0,I13/H10)</f>
        <v>351.97003073770492</v>
      </c>
      <c r="K10" s="411">
        <f>(K4+K5)-(K7+K8)</f>
        <v>-55000</v>
      </c>
      <c r="L10" s="1985">
        <f>(L4+L5)-(L7+L8)</f>
        <v>0</v>
      </c>
      <c r="M10" s="1535">
        <f>IF(K10=0,0,L13/K10)</f>
        <v>0</v>
      </c>
      <c r="N10" s="411">
        <f>(N4+N5)-(N7+N8)</f>
        <v>-58000</v>
      </c>
      <c r="O10" s="1985">
        <f>(O4+O5)-(O7+O8)</f>
        <v>0</v>
      </c>
      <c r="P10" s="1535">
        <f>IF(N10=0,0,O13/N10)</f>
        <v>0</v>
      </c>
      <c r="Q10" s="1906">
        <v>78940</v>
      </c>
      <c r="R10" s="752"/>
      <c r="S10" s="1803"/>
      <c r="T10" s="1822"/>
      <c r="U10" s="752"/>
      <c r="V10" s="1787"/>
      <c r="W10" s="1906"/>
      <c r="X10" s="752"/>
      <c r="Y10" s="1803"/>
      <c r="Z10" s="1822"/>
      <c r="AA10" s="752"/>
      <c r="AB10" s="1787"/>
      <c r="AC10" s="1906"/>
      <c r="AD10" s="752"/>
      <c r="AE10" s="1803"/>
      <c r="AF10" s="1822"/>
      <c r="AG10" s="752"/>
      <c r="AH10" s="1787"/>
      <c r="AI10" s="1906"/>
      <c r="AJ10" s="1787"/>
      <c r="AK10" s="1803"/>
      <c r="AL10" s="411">
        <f>(AL4+AL5)-(AL7+AL8)</f>
        <v>59845</v>
      </c>
      <c r="AM10" s="1985">
        <f>(AM4+AM5)-(AM7+AM8)</f>
        <v>28468362.009999998</v>
      </c>
      <c r="AN10" s="1535">
        <f>IF(AL10=0,0,AM13/AL10)</f>
        <v>475.70159595622022</v>
      </c>
    </row>
    <row r="11" spans="1:48" x14ac:dyDescent="0.25">
      <c r="A11" s="1858" t="s">
        <v>191</v>
      </c>
      <c r="B11" s="427"/>
      <c r="C11" s="1823"/>
      <c r="D11" s="1535">
        <f>IF(B11=0,0,C11/B11)</f>
        <v>0</v>
      </c>
      <c r="E11" s="427"/>
      <c r="F11" s="1825"/>
      <c r="G11" s="1535">
        <f>IF(E11=0,0,F11/E11)</f>
        <v>0</v>
      </c>
      <c r="H11" s="1824"/>
      <c r="I11" s="1825"/>
      <c r="J11" s="1916">
        <f>IF(H11=0,0,I11/H11)</f>
        <v>0</v>
      </c>
      <c r="K11" s="427"/>
      <c r="L11" s="1825"/>
      <c r="M11" s="1535">
        <f>IF(K11=0,0,L11/K11)</f>
        <v>0</v>
      </c>
      <c r="N11" s="1824"/>
      <c r="O11" s="415"/>
      <c r="P11" s="1788"/>
      <c r="Q11" s="427"/>
      <c r="R11" s="415"/>
      <c r="S11" s="808"/>
      <c r="T11" s="1824"/>
      <c r="U11" s="415"/>
      <c r="V11" s="1788"/>
      <c r="W11" s="427"/>
      <c r="X11" s="415"/>
      <c r="Y11" s="808"/>
      <c r="Z11" s="1824"/>
      <c r="AA11" s="415"/>
      <c r="AB11" s="1788"/>
      <c r="AC11" s="427"/>
      <c r="AD11" s="415"/>
      <c r="AE11" s="808"/>
      <c r="AF11" s="1824"/>
      <c r="AG11" s="415"/>
      <c r="AH11" s="1788"/>
      <c r="AI11" s="427"/>
      <c r="AJ11" s="1788"/>
      <c r="AK11" s="808"/>
      <c r="AL11" s="1171">
        <f>SUM(B11,E11,H11,K11,N11,Q11,T11,W11,Z11,AC11,AF11,AI11)</f>
        <v>0</v>
      </c>
      <c r="AM11" s="1945">
        <f>SUM(C11,F11,I11,L11,O11,R11,U11,X11,AA11,AD11,AG11,AJ11)</f>
        <v>0</v>
      </c>
      <c r="AN11" s="1535">
        <f>IF(AL11=0,0,AM11/AL11)</f>
        <v>0</v>
      </c>
    </row>
    <row r="12" spans="1:48" ht="13.8" thickBot="1" x14ac:dyDescent="0.3">
      <c r="A12" s="1858" t="s">
        <v>190</v>
      </c>
      <c r="B12" s="427"/>
      <c r="C12" s="1780"/>
      <c r="D12" s="1882">
        <f>IF(B12=0,0,C12/B12)</f>
        <v>0</v>
      </c>
      <c r="E12" s="427"/>
      <c r="F12" s="1826"/>
      <c r="G12" s="1882">
        <f>IF(E12=0,0,F12/E12)</f>
        <v>0</v>
      </c>
      <c r="H12" s="1824"/>
      <c r="I12" s="1826"/>
      <c r="J12" s="1917">
        <f>IF(H12=0,0,I12/H12)</f>
        <v>0</v>
      </c>
      <c r="K12" s="427"/>
      <c r="L12" s="1826"/>
      <c r="M12" s="1882">
        <f>IF(K12=0,0,L12/K12)</f>
        <v>0</v>
      </c>
      <c r="N12" s="1824"/>
      <c r="O12" s="415"/>
      <c r="P12" s="1788"/>
      <c r="Q12" s="427"/>
      <c r="R12" s="415"/>
      <c r="S12" s="808"/>
      <c r="T12" s="1824"/>
      <c r="U12" s="415"/>
      <c r="V12" s="1788"/>
      <c r="W12" s="427"/>
      <c r="X12" s="415"/>
      <c r="Y12" s="808"/>
      <c r="Z12" s="1824"/>
      <c r="AA12" s="415"/>
      <c r="AB12" s="1788"/>
      <c r="AC12" s="427"/>
      <c r="AD12" s="415"/>
      <c r="AE12" s="808"/>
      <c r="AF12" s="1824"/>
      <c r="AG12" s="415"/>
      <c r="AH12" s="1788"/>
      <c r="AI12" s="427"/>
      <c r="AJ12" s="1788"/>
      <c r="AK12" s="808"/>
      <c r="AL12" s="1171">
        <f>SUM(B12,E12,H12,K12,N12,Q12,T12,W12,Z12,AC12,AF12,AI12)</f>
        <v>0</v>
      </c>
      <c r="AM12" s="1955">
        <f>SUM(C12,F12,I12,L12,O12,R12,U12,X12,AA12,AD12,AG12,AJ12)</f>
        <v>0</v>
      </c>
      <c r="AN12" s="1221">
        <f>IF(AL12=0,0,AM12/AL12)</f>
        <v>0</v>
      </c>
    </row>
    <row r="13" spans="1:48" ht="13.8" thickBot="1" x14ac:dyDescent="0.3">
      <c r="A13" s="1859"/>
      <c r="B13" s="422">
        <f>SUM(B10:B12)</f>
        <v>80150</v>
      </c>
      <c r="C13" s="1827">
        <f>ROUND((SUM(C4:C9)-SUM(C7:C8)),0)</f>
        <v>17215561</v>
      </c>
      <c r="D13" s="1885">
        <f>IF(B13=0,0,C13/B13)</f>
        <v>214.79177791640674</v>
      </c>
      <c r="E13" s="1907">
        <f>SUM(E10:E12)</f>
        <v>47655</v>
      </c>
      <c r="F13" s="1827">
        <f>ROUND((SUM(F4:F9)-SUM(F7:F8)),0)</f>
        <v>21535555</v>
      </c>
      <c r="G13" s="1885">
        <f>IF(E13=0,0,F13/E13)</f>
        <v>451.9054663728885</v>
      </c>
      <c r="H13" s="1869">
        <f>SUM(H9:H12)</f>
        <v>39040</v>
      </c>
      <c r="I13" s="1827">
        <f>ROUND((SUM(I4:I9)-SUM(I7:I8)),0)</f>
        <v>13740910</v>
      </c>
      <c r="J13" s="1850">
        <f>IF(H13=0,0,I13/H13)</f>
        <v>351.97003073770492</v>
      </c>
      <c r="K13" s="422">
        <f>SUM(K9:K12)</f>
        <v>-55000</v>
      </c>
      <c r="L13" s="1827">
        <f>ROUND((SUM(L4:L9)-SUM(L7:L8)),0)</f>
        <v>0</v>
      </c>
      <c r="M13" s="1885">
        <f>IF(K13=0,0,L13/K13)</f>
        <v>0</v>
      </c>
      <c r="N13" s="1869">
        <f>SUM(N9:N12)</f>
        <v>-58000</v>
      </c>
      <c r="O13" s="1827">
        <f>ROUND((SUM(O4:O9)-SUM(O7:O8)),0)</f>
        <v>0</v>
      </c>
      <c r="P13" s="1885">
        <f>IF(N13=0,0,O13/N13)</f>
        <v>0</v>
      </c>
      <c r="Q13" s="422">
        <f>SUM(Q9:Q12)</f>
        <v>78940</v>
      </c>
      <c r="R13" s="416"/>
      <c r="S13" s="417"/>
      <c r="T13" s="1869">
        <f>SUM(T9:T12)</f>
        <v>0</v>
      </c>
      <c r="U13" s="416"/>
      <c r="V13" s="1789"/>
      <c r="W13" s="422">
        <f>SUM(W9:W12)</f>
        <v>0</v>
      </c>
      <c r="X13" s="416"/>
      <c r="Y13" s="417"/>
      <c r="Z13" s="1869">
        <f>SUM(Z9:Z12)</f>
        <v>0</v>
      </c>
      <c r="AA13" s="416"/>
      <c r="AB13" s="1789"/>
      <c r="AC13" s="422">
        <f>SUM(AC10:AC12)</f>
        <v>0</v>
      </c>
      <c r="AD13" s="416"/>
      <c r="AE13" s="417"/>
      <c r="AF13" s="1869">
        <f>SUM(AF10:AF12)</f>
        <v>0</v>
      </c>
      <c r="AG13" s="416"/>
      <c r="AH13" s="1789"/>
      <c r="AI13" s="422">
        <f>SUM(AI10:AI12)</f>
        <v>0</v>
      </c>
      <c r="AJ13" s="1789"/>
      <c r="AK13" s="417"/>
      <c r="AL13" s="1804">
        <f>SUM(AL10:AL12)</f>
        <v>59845</v>
      </c>
      <c r="AM13" s="1956">
        <f>SUM(AM10:AM12)</f>
        <v>28468362.009999998</v>
      </c>
      <c r="AN13" s="1949">
        <f>IF(AL13=0,0,AM13/AL13)</f>
        <v>475.70159595622022</v>
      </c>
    </row>
    <row r="14" spans="1:48" x14ac:dyDescent="0.25">
      <c r="A14" s="2198" t="s">
        <v>648</v>
      </c>
      <c r="C14" s="1252">
        <f>'Inventory Sales'!D42</f>
        <v>0</v>
      </c>
      <c r="D14" s="1442">
        <f>IF(B7=0,0,C14/B7)</f>
        <v>0</v>
      </c>
      <c r="F14" s="1252">
        <f>'Inventory Sales'!G42</f>
        <v>9375</v>
      </c>
      <c r="G14" s="1442">
        <f>IF(E7=0,0,F14/E7)</f>
        <v>0.6696428571428571</v>
      </c>
      <c r="I14" s="1252">
        <f>'Inventory Sales'!J42</f>
        <v>0</v>
      </c>
      <c r="J14" s="1442">
        <f>IF(H7=0,0,I14/H7)</f>
        <v>0</v>
      </c>
      <c r="L14" s="1252">
        <f>'Inventory Sales'!M42</f>
        <v>0</v>
      </c>
      <c r="M14" s="1442">
        <f>IF(K7=0,0,L14/K7)</f>
        <v>0</v>
      </c>
      <c r="O14" s="1252">
        <f>'Inventory Sales'!P42</f>
        <v>0</v>
      </c>
      <c r="P14" s="1442">
        <f>IF(N7=0,0,O14/N7)</f>
        <v>0</v>
      </c>
      <c r="AM14" s="1252">
        <f>'Inventory Sales'!AN42</f>
        <v>9375</v>
      </c>
      <c r="AN14" s="1442">
        <f>IF(AL7=0,0,AM14/AL7)</f>
        <v>3.7650602409638557E-2</v>
      </c>
    </row>
    <row r="15" spans="1:48" ht="13.8" thickBot="1" x14ac:dyDescent="0.3"/>
    <row r="16" spans="1:48" ht="13.8" thickBot="1" x14ac:dyDescent="0.3">
      <c r="A16" s="1855" t="s">
        <v>76</v>
      </c>
      <c r="B16" s="1161"/>
      <c r="C16" s="1162"/>
      <c r="D16" s="1163"/>
      <c r="E16" s="1161"/>
      <c r="F16" s="1162"/>
      <c r="G16" s="1163"/>
      <c r="H16" s="1162"/>
      <c r="I16" s="1162"/>
      <c r="J16" s="1162"/>
      <c r="K16" s="1161"/>
      <c r="L16" s="1162"/>
      <c r="M16" s="1163"/>
      <c r="N16" s="1162"/>
      <c r="O16" s="1162"/>
      <c r="P16" s="1162"/>
      <c r="Q16" s="1161"/>
      <c r="R16" s="1162"/>
      <c r="S16" s="1163"/>
      <c r="T16" s="1162"/>
      <c r="U16" s="1162"/>
      <c r="V16" s="1162"/>
      <c r="W16" s="1161"/>
      <c r="X16" s="1162"/>
      <c r="Y16" s="1163"/>
      <c r="Z16" s="1162"/>
      <c r="AA16" s="1162"/>
      <c r="AB16" s="1162"/>
      <c r="AC16" s="1161"/>
      <c r="AD16" s="1162"/>
      <c r="AE16" s="1163"/>
      <c r="AF16" s="1162"/>
      <c r="AG16" s="1162"/>
      <c r="AH16" s="1162"/>
      <c r="AI16" s="1161"/>
      <c r="AJ16" s="1162"/>
      <c r="AK16" s="1163"/>
      <c r="AL16" s="1161"/>
      <c r="AM16" s="121"/>
      <c r="AN16" s="1948"/>
    </row>
    <row r="17" spans="1:40" x14ac:dyDescent="0.25">
      <c r="A17" s="1807" t="s">
        <v>71</v>
      </c>
      <c r="B17" s="435">
        <v>1664</v>
      </c>
      <c r="C17" s="1188">
        <f>'Stock Valuation (FIFO)'!D6</f>
        <v>528736</v>
      </c>
      <c r="D17" s="1884">
        <f t="shared" ref="D17:D25" si="6">IF(B17=0,0,C17/B17)</f>
        <v>317.75</v>
      </c>
      <c r="E17" s="435">
        <f>B21</f>
        <v>2392</v>
      </c>
      <c r="F17" s="1783">
        <f>C21</f>
        <v>586833</v>
      </c>
      <c r="G17" s="1884">
        <f t="shared" ref="G17:G25" si="7">IF(E17=0,0,F17/E17)</f>
        <v>245.33152173913044</v>
      </c>
      <c r="H17" s="1239">
        <f>E21</f>
        <v>2239</v>
      </c>
      <c r="I17" s="1783">
        <f>F21</f>
        <v>579248</v>
      </c>
      <c r="J17" s="1919">
        <f t="shared" ref="J17:J25" si="8">IF(H17=0,0,I17/H17)</f>
        <v>258.7083519428316</v>
      </c>
      <c r="K17" s="435">
        <f>H21</f>
        <v>0</v>
      </c>
      <c r="L17" s="1783">
        <f>I21</f>
        <v>0</v>
      </c>
      <c r="M17" s="1884">
        <f t="shared" ref="M17:M25" si="9">IF(K17=0,0,L17/K17)</f>
        <v>0</v>
      </c>
      <c r="N17" s="1239">
        <f>K21</f>
        <v>0</v>
      </c>
      <c r="O17" s="1783">
        <f>L21</f>
        <v>0</v>
      </c>
      <c r="P17" s="1884">
        <f t="shared" ref="P17:P22" si="10">IF(N17=0,0,O17/N17)</f>
        <v>0</v>
      </c>
      <c r="Q17" s="435">
        <f>N21</f>
        <v>0</v>
      </c>
      <c r="R17" s="420"/>
      <c r="S17" s="421"/>
      <c r="T17" s="1239">
        <f>Q21</f>
        <v>0</v>
      </c>
      <c r="U17" s="420"/>
      <c r="V17" s="1168"/>
      <c r="W17" s="435">
        <f>T21</f>
        <v>0</v>
      </c>
      <c r="X17" s="420"/>
      <c r="Y17" s="421"/>
      <c r="Z17" s="1239">
        <f>W21</f>
        <v>0</v>
      </c>
      <c r="AA17" s="420"/>
      <c r="AB17" s="1168"/>
      <c r="AC17" s="435">
        <f>Z21</f>
        <v>0.2</v>
      </c>
      <c r="AD17" s="420"/>
      <c r="AE17" s="421"/>
      <c r="AF17" s="1239">
        <f>AC21</f>
        <v>0.2</v>
      </c>
      <c r="AG17" s="420"/>
      <c r="AH17" s="1168"/>
      <c r="AI17" s="435">
        <f>AF21</f>
        <v>0.2</v>
      </c>
      <c r="AJ17" s="1168"/>
      <c r="AK17" s="421"/>
      <c r="AL17" s="1807">
        <f>B17</f>
        <v>1664</v>
      </c>
      <c r="AM17" s="1954">
        <f>C17</f>
        <v>528736</v>
      </c>
      <c r="AN17" s="1884">
        <f t="shared" ref="AN17:AN25" si="11">IF(AL17=0,0,AM17/AL17)</f>
        <v>317.75</v>
      </c>
    </row>
    <row r="18" spans="1:40" x14ac:dyDescent="0.25">
      <c r="A18" s="1171" t="s">
        <v>72</v>
      </c>
      <c r="B18" s="411">
        <v>1521.6</v>
      </c>
      <c r="C18" s="1779">
        <f>ROUND((Purchase!$F5),0)</f>
        <v>222664</v>
      </c>
      <c r="D18" s="1535">
        <f t="shared" si="6"/>
        <v>146.33543638275501</v>
      </c>
      <c r="E18" s="411">
        <v>1174.4000000000001</v>
      </c>
      <c r="F18" s="1779">
        <f>Purchase!$F6</f>
        <v>170591</v>
      </c>
      <c r="G18" s="1535">
        <f t="shared" si="7"/>
        <v>145.25800408719346</v>
      </c>
      <c r="H18" s="1176">
        <v>1663.9</v>
      </c>
      <c r="I18" s="1779">
        <f>Purchase!$F7</f>
        <v>0</v>
      </c>
      <c r="J18" s="1916">
        <f t="shared" si="8"/>
        <v>0</v>
      </c>
      <c r="K18" s="411">
        <v>1650</v>
      </c>
      <c r="L18" s="1779">
        <f>Purchase!$F8</f>
        <v>0</v>
      </c>
      <c r="M18" s="1535">
        <f t="shared" si="9"/>
        <v>0</v>
      </c>
      <c r="N18" s="1176">
        <v>1596.3</v>
      </c>
      <c r="O18" s="1779">
        <f>Purchase!$F9</f>
        <v>0</v>
      </c>
      <c r="P18" s="1535">
        <f t="shared" si="10"/>
        <v>0</v>
      </c>
      <c r="Q18" s="411">
        <v>844.1</v>
      </c>
      <c r="R18" s="412"/>
      <c r="S18" s="413"/>
      <c r="T18" s="1176"/>
      <c r="U18" s="412"/>
      <c r="V18" s="414"/>
      <c r="W18" s="411"/>
      <c r="X18" s="412"/>
      <c r="Y18" s="413"/>
      <c r="Z18" s="1176"/>
      <c r="AA18" s="412"/>
      <c r="AB18" s="414"/>
      <c r="AC18" s="411"/>
      <c r="AD18" s="412"/>
      <c r="AE18" s="413"/>
      <c r="AF18" s="1176"/>
      <c r="AG18" s="412"/>
      <c r="AH18" s="414"/>
      <c r="AI18" s="411"/>
      <c r="AJ18" s="414"/>
      <c r="AK18" s="413"/>
      <c r="AL18" s="1171">
        <f t="shared" ref="AL18:AM20" si="12">SUM(B18,E18,H18,K18,N18,Q18,T18,W18,Z18,AC18,AF18,AI18)</f>
        <v>8450.2999999999993</v>
      </c>
      <c r="AM18" s="1945">
        <f t="shared" si="12"/>
        <v>393255</v>
      </c>
      <c r="AN18" s="1535">
        <f t="shared" si="11"/>
        <v>46.537401039016373</v>
      </c>
    </row>
    <row r="19" spans="1:40" ht="13.8" thickBot="1" x14ac:dyDescent="0.3">
      <c r="A19" s="1172" t="s">
        <v>73</v>
      </c>
      <c r="B19" s="424"/>
      <c r="C19" s="1780"/>
      <c r="D19" s="1647">
        <f t="shared" si="6"/>
        <v>0</v>
      </c>
      <c r="E19" s="424"/>
      <c r="F19" s="1785"/>
      <c r="G19" s="1647">
        <f t="shared" si="7"/>
        <v>0</v>
      </c>
      <c r="H19" s="1177"/>
      <c r="I19" s="425"/>
      <c r="J19" s="1920">
        <f t="shared" si="8"/>
        <v>0</v>
      </c>
      <c r="K19" s="424"/>
      <c r="L19" s="425"/>
      <c r="M19" s="1647">
        <f t="shared" si="9"/>
        <v>0</v>
      </c>
      <c r="N19" s="1177"/>
      <c r="O19" s="425"/>
      <c r="P19" s="1647">
        <f t="shared" si="10"/>
        <v>0</v>
      </c>
      <c r="Q19" s="424"/>
      <c r="R19" s="425"/>
      <c r="S19" s="426"/>
      <c r="T19" s="1177"/>
      <c r="U19" s="425"/>
      <c r="V19" s="733"/>
      <c r="W19" s="424"/>
      <c r="X19" s="425"/>
      <c r="Y19" s="426"/>
      <c r="Z19" s="1177"/>
      <c r="AA19" s="425"/>
      <c r="AB19" s="733"/>
      <c r="AC19" s="424"/>
      <c r="AD19" s="425"/>
      <c r="AE19" s="426"/>
      <c r="AF19" s="1177"/>
      <c r="AG19" s="425"/>
      <c r="AH19" s="733"/>
      <c r="AI19" s="424"/>
      <c r="AJ19" s="733"/>
      <c r="AK19" s="426"/>
      <c r="AL19" s="1172">
        <f t="shared" si="12"/>
        <v>0</v>
      </c>
      <c r="AM19" s="1955">
        <f t="shared" si="12"/>
        <v>0</v>
      </c>
      <c r="AN19" s="1903">
        <f t="shared" si="11"/>
        <v>0</v>
      </c>
    </row>
    <row r="20" spans="1:40" ht="13.8" thickBot="1" x14ac:dyDescent="0.3">
      <c r="A20" s="452" t="s">
        <v>112</v>
      </c>
      <c r="B20" s="563">
        <f>SUM('Inventory Sales'!B24)</f>
        <v>0</v>
      </c>
      <c r="C20" s="1181">
        <f>SUM('Inventory Sales'!D24)</f>
        <v>0</v>
      </c>
      <c r="D20" s="1886">
        <f t="shared" si="6"/>
        <v>0</v>
      </c>
      <c r="E20" s="563">
        <v>25</v>
      </c>
      <c r="F20" s="1828">
        <f>'Inventory Sales'!G24</f>
        <v>9500</v>
      </c>
      <c r="G20" s="1886">
        <f t="shared" si="7"/>
        <v>380</v>
      </c>
      <c r="H20" s="1867">
        <v>228</v>
      </c>
      <c r="I20" s="1181">
        <f>'Inventory Sales'!$J24</f>
        <v>0</v>
      </c>
      <c r="J20" s="1851">
        <f t="shared" si="8"/>
        <v>0</v>
      </c>
      <c r="K20" s="563">
        <v>227</v>
      </c>
      <c r="L20" s="1181">
        <f>'Inventory Sales'!$M24</f>
        <v>0</v>
      </c>
      <c r="M20" s="1886">
        <f t="shared" si="9"/>
        <v>0</v>
      </c>
      <c r="N20" s="1867">
        <v>367</v>
      </c>
      <c r="O20" s="1181">
        <f>'Inventory Sales'!$P24</f>
        <v>0</v>
      </c>
      <c r="P20" s="1886">
        <f t="shared" si="10"/>
        <v>0</v>
      </c>
      <c r="Q20" s="563">
        <v>229</v>
      </c>
      <c r="R20" s="564"/>
      <c r="S20" s="565"/>
      <c r="T20" s="1867"/>
      <c r="U20" s="564"/>
      <c r="V20" s="1790"/>
      <c r="W20" s="563"/>
      <c r="X20" s="564"/>
      <c r="Y20" s="565"/>
      <c r="Z20" s="1867"/>
      <c r="AA20" s="564"/>
      <c r="AB20" s="1790"/>
      <c r="AC20" s="563"/>
      <c r="AD20" s="564"/>
      <c r="AE20" s="565"/>
      <c r="AF20" s="1867"/>
      <c r="AG20" s="564"/>
      <c r="AH20" s="1790"/>
      <c r="AI20" s="563"/>
      <c r="AJ20" s="1790"/>
      <c r="AK20" s="565"/>
      <c r="AL20" s="1171">
        <f t="shared" si="12"/>
        <v>1076</v>
      </c>
      <c r="AM20" s="1954">
        <f t="shared" si="12"/>
        <v>9500</v>
      </c>
      <c r="AN20" s="1247">
        <f t="shared" si="11"/>
        <v>8.8289962825278803</v>
      </c>
    </row>
    <row r="21" spans="1:40" ht="13.8" thickBot="1" x14ac:dyDescent="0.3">
      <c r="A21" s="1804" t="s">
        <v>75</v>
      </c>
      <c r="B21" s="1812">
        <f>'Stock Valuation (FIFO)'!E6</f>
        <v>2392</v>
      </c>
      <c r="C21" s="1829">
        <f>'Stock Valuation (FIFO)'!G6</f>
        <v>586833</v>
      </c>
      <c r="D21" s="1883">
        <f t="shared" si="6"/>
        <v>245.33152173913044</v>
      </c>
      <c r="E21" s="1812">
        <f>'Stock Valuation (FIFO)'!H6</f>
        <v>2239</v>
      </c>
      <c r="F21" s="1830">
        <f>'Stock Valuation (FIFO)'!J6</f>
        <v>579248</v>
      </c>
      <c r="G21" s="1883">
        <f t="shared" si="7"/>
        <v>258.7083519428316</v>
      </c>
      <c r="H21" s="1812">
        <f>'Stock Valuation (FIFO)'!K6</f>
        <v>0</v>
      </c>
      <c r="I21" s="1829">
        <f>'Stock Valuation (FIFO)'!M6</f>
        <v>0</v>
      </c>
      <c r="J21" s="1918">
        <f t="shared" si="8"/>
        <v>0</v>
      </c>
      <c r="K21" s="1812">
        <f>'Stock Valuation (FIFO)'!N6</f>
        <v>0</v>
      </c>
      <c r="L21" s="1829">
        <f>'Stock Valuation (FIFO)'!P6</f>
        <v>0</v>
      </c>
      <c r="M21" s="1883">
        <f t="shared" si="9"/>
        <v>0</v>
      </c>
      <c r="N21" s="1868">
        <f>'Stock Valuation (FIFO)'!Q6</f>
        <v>0</v>
      </c>
      <c r="O21" s="1829">
        <f>'Stock Valuation (FIFO)'!S6</f>
        <v>0</v>
      </c>
      <c r="P21" s="1883">
        <f t="shared" si="10"/>
        <v>0</v>
      </c>
      <c r="Q21" s="1812">
        <f>'Stock Valuation (FIFO)'!T6</f>
        <v>0</v>
      </c>
      <c r="R21" s="423"/>
      <c r="S21" s="1806"/>
      <c r="T21" s="1868">
        <f>(T17+T18)-(T25+T20)</f>
        <v>0</v>
      </c>
      <c r="U21" s="423"/>
      <c r="V21" s="428"/>
      <c r="W21" s="1812">
        <f>(W17+W18)-(W25+W20)</f>
        <v>0</v>
      </c>
      <c r="X21" s="423"/>
      <c r="Y21" s="1806"/>
      <c r="Z21" s="1868">
        <f>(Z17+Z18)-(Z25+Z20)+0.2</f>
        <v>0.2</v>
      </c>
      <c r="AA21" s="423"/>
      <c r="AB21" s="428"/>
      <c r="AC21" s="1812">
        <f>(AC17+AC18)-(AC25)-AC20</f>
        <v>0.2</v>
      </c>
      <c r="AD21" s="423"/>
      <c r="AE21" s="1806"/>
      <c r="AF21" s="1868">
        <f>(AF17+AF18)-(AF25+AF20)</f>
        <v>0.2</v>
      </c>
      <c r="AG21" s="423"/>
      <c r="AH21" s="428"/>
      <c r="AI21" s="1812">
        <f>(AI17+AI18)-(AI25+AI20)</f>
        <v>0.2</v>
      </c>
      <c r="AJ21" s="428"/>
      <c r="AK21" s="1806"/>
      <c r="AL21" s="1821">
        <f>N21</f>
        <v>0</v>
      </c>
      <c r="AM21" s="1962">
        <f>O21</f>
        <v>0</v>
      </c>
      <c r="AN21" s="1961">
        <f t="shared" si="11"/>
        <v>0</v>
      </c>
    </row>
    <row r="22" spans="1:40" x14ac:dyDescent="0.25">
      <c r="A22" s="429" t="s">
        <v>198</v>
      </c>
      <c r="B22" s="418">
        <f>(B17+B18)-(B20+B21)</f>
        <v>793.59999999999991</v>
      </c>
      <c r="C22" s="1986">
        <f>(C17+C18)-(C20+C21)</f>
        <v>164567</v>
      </c>
      <c r="D22" s="1884">
        <f t="shared" si="6"/>
        <v>207.36769153225808</v>
      </c>
      <c r="E22" s="418">
        <f>(E17+E18)-(E20+E21)</f>
        <v>1302.4000000000001</v>
      </c>
      <c r="F22" s="1986">
        <f>(F17+F18)-(F20+F21)</f>
        <v>168676</v>
      </c>
      <c r="G22" s="1884">
        <f t="shared" si="7"/>
        <v>129.51167076167076</v>
      </c>
      <c r="H22" s="418">
        <f>(H17+H18)-(H20+H21)</f>
        <v>3674.9</v>
      </c>
      <c r="I22" s="1986">
        <f>(I17+I18)-(I20+I21)</f>
        <v>579248</v>
      </c>
      <c r="J22" s="1919">
        <f t="shared" si="8"/>
        <v>157.62279245693759</v>
      </c>
      <c r="K22" s="418">
        <f>(K17+K18)-(K20+K21)</f>
        <v>1423</v>
      </c>
      <c r="L22" s="1986">
        <f>(L17+L18)-(L20+L21)</f>
        <v>0</v>
      </c>
      <c r="M22" s="1884">
        <f t="shared" si="9"/>
        <v>0</v>
      </c>
      <c r="N22" s="418">
        <f>(N17+N18)-(N20+N21)</f>
        <v>1229.3</v>
      </c>
      <c r="O22" s="1986">
        <f>(O17+O18)-(O20+O21)</f>
        <v>0</v>
      </c>
      <c r="P22" s="1884">
        <f t="shared" si="10"/>
        <v>0</v>
      </c>
      <c r="Q22" s="418">
        <f>(Q17+Q18)-(Q20+Q21)</f>
        <v>615.1</v>
      </c>
      <c r="R22" s="419"/>
      <c r="S22" s="1173"/>
      <c r="T22" s="1178"/>
      <c r="U22" s="419"/>
      <c r="V22" s="214"/>
      <c r="W22" s="418"/>
      <c r="X22" s="419"/>
      <c r="Y22" s="1173"/>
      <c r="Z22" s="1178"/>
      <c r="AA22" s="419"/>
      <c r="AB22" s="214"/>
      <c r="AC22" s="418"/>
      <c r="AD22" s="419"/>
      <c r="AE22" s="1173"/>
      <c r="AF22" s="1178"/>
      <c r="AG22" s="419"/>
      <c r="AH22" s="214"/>
      <c r="AI22" s="418"/>
      <c r="AJ22" s="214"/>
      <c r="AK22" s="1173"/>
      <c r="AL22" s="418">
        <f>(AL17+AL18)-(AL20+AL21)</f>
        <v>9038.2999999999993</v>
      </c>
      <c r="AM22" s="1986">
        <f>(AM17+AM18)-(AM20+AM21)</f>
        <v>912491</v>
      </c>
      <c r="AN22" s="1884">
        <f t="shared" si="11"/>
        <v>100.95825542413951</v>
      </c>
    </row>
    <row r="23" spans="1:40" x14ac:dyDescent="0.25">
      <c r="A23" s="1174" t="s">
        <v>194</v>
      </c>
      <c r="B23" s="427"/>
      <c r="C23" s="1831"/>
      <c r="D23" s="1535">
        <f t="shared" si="6"/>
        <v>0</v>
      </c>
      <c r="E23" s="427"/>
      <c r="F23" s="1831"/>
      <c r="G23" s="1535">
        <f t="shared" si="7"/>
        <v>0</v>
      </c>
      <c r="H23" s="1824"/>
      <c r="I23" s="1831"/>
      <c r="J23" s="1916">
        <f t="shared" si="8"/>
        <v>0</v>
      </c>
      <c r="K23" s="427"/>
      <c r="L23" s="1831"/>
      <c r="M23" s="1535">
        <f t="shared" si="9"/>
        <v>0</v>
      </c>
      <c r="N23" s="1824"/>
      <c r="O23" s="415"/>
      <c r="P23" s="1788"/>
      <c r="Q23" s="427"/>
      <c r="R23" s="415"/>
      <c r="S23" s="808"/>
      <c r="T23" s="1824"/>
      <c r="U23" s="415"/>
      <c r="V23" s="1788"/>
      <c r="W23" s="427"/>
      <c r="X23" s="415"/>
      <c r="Y23" s="808"/>
      <c r="Z23" s="1824"/>
      <c r="AA23" s="415"/>
      <c r="AB23" s="1788"/>
      <c r="AC23" s="427"/>
      <c r="AD23" s="415"/>
      <c r="AE23" s="808"/>
      <c r="AF23" s="1824"/>
      <c r="AG23" s="415"/>
      <c r="AH23" s="1788"/>
      <c r="AI23" s="427"/>
      <c r="AJ23" s="1788"/>
      <c r="AK23" s="808"/>
      <c r="AL23" s="1171">
        <f>SUM(B23,E23,H23,K23,N23,Q23,T23,W23,Z23,AC23,AF23,AI23)</f>
        <v>0</v>
      </c>
      <c r="AM23" s="1945">
        <f>SUM(C23,F23,I23,L23,O23,R23,U23,X23,AA23,AD23,AG23,AJ23)</f>
        <v>0</v>
      </c>
      <c r="AN23" s="1535">
        <f t="shared" si="11"/>
        <v>0</v>
      </c>
    </row>
    <row r="24" spans="1:40" ht="13.8" thickBot="1" x14ac:dyDescent="0.3">
      <c r="A24" s="1174" t="s">
        <v>357</v>
      </c>
      <c r="B24" s="427"/>
      <c r="C24" s="1831"/>
      <c r="D24" s="1647">
        <f t="shared" si="6"/>
        <v>0</v>
      </c>
      <c r="E24" s="427"/>
      <c r="F24" s="1831"/>
      <c r="G24" s="1647">
        <f t="shared" si="7"/>
        <v>0</v>
      </c>
      <c r="H24" s="1824"/>
      <c r="I24" s="1831"/>
      <c r="J24" s="1920">
        <f t="shared" si="8"/>
        <v>0</v>
      </c>
      <c r="K24" s="427"/>
      <c r="L24" s="1831"/>
      <c r="M24" s="1647">
        <f t="shared" si="9"/>
        <v>0</v>
      </c>
      <c r="N24" s="1824"/>
      <c r="O24" s="415"/>
      <c r="P24" s="1788"/>
      <c r="Q24" s="427"/>
      <c r="R24" s="415"/>
      <c r="S24" s="808"/>
      <c r="T24" s="1824"/>
      <c r="U24" s="415"/>
      <c r="V24" s="1788"/>
      <c r="W24" s="427"/>
      <c r="X24" s="415"/>
      <c r="Y24" s="808"/>
      <c r="Z24" s="1824"/>
      <c r="AA24" s="415"/>
      <c r="AB24" s="1788"/>
      <c r="AC24" s="427"/>
      <c r="AD24" s="415"/>
      <c r="AE24" s="808"/>
      <c r="AF24" s="1824"/>
      <c r="AG24" s="415"/>
      <c r="AH24" s="1788"/>
      <c r="AI24" s="427"/>
      <c r="AJ24" s="1788"/>
      <c r="AK24" s="808"/>
      <c r="AL24" s="1171">
        <f>SUM(B24,E24,H24,K24,N24,Q24,T24,W24,Z24,AC24,AF24,AI24)</f>
        <v>0</v>
      </c>
      <c r="AM24" s="1945">
        <f>SUM(C24,F24,I24,L24,O24,R24,U24,X24,AA24,AD24,AG24,AJ24)</f>
        <v>0</v>
      </c>
      <c r="AN24" s="1903">
        <f t="shared" si="11"/>
        <v>0</v>
      </c>
    </row>
    <row r="25" spans="1:40" ht="13.8" thickBot="1" x14ac:dyDescent="0.3">
      <c r="A25" s="1804" t="s">
        <v>74</v>
      </c>
      <c r="B25" s="422">
        <f>SUM(B22:B24)</f>
        <v>793.59999999999991</v>
      </c>
      <c r="C25" s="1827">
        <f>ROUND((SUM(C17:C19)-SUM(C20:C21)),0)</f>
        <v>164567</v>
      </c>
      <c r="D25" s="1885">
        <f t="shared" si="6"/>
        <v>207.36769153225808</v>
      </c>
      <c r="E25" s="422">
        <f>SUM(E22:E24)</f>
        <v>1302.4000000000001</v>
      </c>
      <c r="F25" s="1827">
        <f>(SUM(F17:F19)-SUM(F20:F21))</f>
        <v>168676</v>
      </c>
      <c r="G25" s="1885">
        <f t="shared" si="7"/>
        <v>129.51167076167076</v>
      </c>
      <c r="H25" s="1869">
        <f>SUM(H22:H24)</f>
        <v>3674.9</v>
      </c>
      <c r="I25" s="1827">
        <f>ROUND((SUM(I17:I19)-SUM(I20:I21)),0)</f>
        <v>579248</v>
      </c>
      <c r="J25" s="1850">
        <f t="shared" si="8"/>
        <v>157.62279245693759</v>
      </c>
      <c r="K25" s="422">
        <f>SUM(K22:K24)</f>
        <v>1423</v>
      </c>
      <c r="L25" s="1827">
        <f>ROUND((SUM(L17:L19)-SUM(L20:L21)),0)</f>
        <v>0</v>
      </c>
      <c r="M25" s="1885">
        <f t="shared" si="9"/>
        <v>0</v>
      </c>
      <c r="N25" s="1869">
        <f>SUM(N22:N24)</f>
        <v>1229.3</v>
      </c>
      <c r="O25" s="1827">
        <f>ROUND((SUM(O17:O19)-SUM(O20:O21)),0)</f>
        <v>0</v>
      </c>
      <c r="P25" s="1885">
        <f>IF(N25=0,0,O25/N25)</f>
        <v>0</v>
      </c>
      <c r="Q25" s="1869">
        <f>SUM(Q22:Q24)</f>
        <v>615.1</v>
      </c>
      <c r="R25" s="416"/>
      <c r="S25" s="417"/>
      <c r="T25" s="1869">
        <f>SUM(T22:T24)</f>
        <v>0</v>
      </c>
      <c r="U25" s="416"/>
      <c r="V25" s="1789"/>
      <c r="W25" s="422">
        <f>SUM(W22:W24)</f>
        <v>0</v>
      </c>
      <c r="X25" s="416"/>
      <c r="Y25" s="417"/>
      <c r="Z25" s="1869">
        <f>SUM(Z22:Z24)</f>
        <v>0</v>
      </c>
      <c r="AA25" s="416"/>
      <c r="AB25" s="1789"/>
      <c r="AC25" s="422">
        <f>SUM(AC22:AC24)</f>
        <v>0</v>
      </c>
      <c r="AD25" s="416"/>
      <c r="AE25" s="417"/>
      <c r="AF25" s="1869">
        <f>SUM(AF22:AF24)</f>
        <v>0</v>
      </c>
      <c r="AG25" s="416"/>
      <c r="AH25" s="1789"/>
      <c r="AI25" s="422">
        <f>SUM(AI22:AI24)</f>
        <v>0</v>
      </c>
      <c r="AJ25" s="1789"/>
      <c r="AK25" s="417"/>
      <c r="AL25" s="1804">
        <f>SUM(AL22:AL24)</f>
        <v>9038.2999999999993</v>
      </c>
      <c r="AM25" s="1956">
        <f>SUM(AM22:AM24)</f>
        <v>912491</v>
      </c>
      <c r="AN25" s="1949">
        <f t="shared" si="11"/>
        <v>100.95825542413951</v>
      </c>
    </row>
    <row r="28" spans="1:40" ht="13.8" thickBot="1" x14ac:dyDescent="0.3">
      <c r="A28" s="1998" t="s">
        <v>22</v>
      </c>
      <c r="B28" s="1240"/>
      <c r="C28" s="1240"/>
      <c r="D28" s="1240"/>
      <c r="E28" s="1240"/>
      <c r="F28" s="1240"/>
      <c r="G28" s="1240"/>
      <c r="H28" s="1240"/>
      <c r="I28" s="1240"/>
      <c r="J28" s="1240"/>
      <c r="K28" s="1240"/>
      <c r="L28" s="1240"/>
      <c r="M28" s="1240"/>
      <c r="N28" s="1240"/>
      <c r="O28" s="1240"/>
      <c r="P28" s="1240"/>
      <c r="Q28" s="1240"/>
      <c r="R28" s="1240"/>
      <c r="S28" s="1240"/>
      <c r="T28" s="1240"/>
      <c r="U28" s="1240"/>
      <c r="V28" s="1240"/>
      <c r="W28" s="1240"/>
      <c r="X28" s="1240"/>
      <c r="Y28" s="1240"/>
      <c r="Z28" s="1240"/>
      <c r="AA28" s="1240"/>
      <c r="AB28" s="1240"/>
      <c r="AC28" s="1240"/>
      <c r="AD28" s="1240"/>
      <c r="AE28" s="1240"/>
      <c r="AF28" s="1240"/>
      <c r="AG28" s="1240"/>
      <c r="AH28" s="1240"/>
      <c r="AI28" s="1240"/>
      <c r="AJ28" s="1240"/>
      <c r="AK28" s="1240"/>
      <c r="AL28" s="1240"/>
      <c r="AM28" s="7"/>
      <c r="AN28" s="1240"/>
    </row>
    <row r="29" spans="1:40" x14ac:dyDescent="0.25">
      <c r="A29" s="1807" t="s">
        <v>71</v>
      </c>
      <c r="B29" s="435">
        <v>32</v>
      </c>
      <c r="C29" s="1188">
        <f>'Stock Valuation (FIFO)'!D7</f>
        <v>30350</v>
      </c>
      <c r="D29" s="1884">
        <f t="shared" ref="D29:D37" si="13">IF(B29=0,0,C29/B29)</f>
        <v>948.4375</v>
      </c>
      <c r="E29" s="435">
        <f>B33</f>
        <v>21</v>
      </c>
      <c r="F29" s="1783">
        <f>C33</f>
        <v>31807</v>
      </c>
      <c r="G29" s="1884">
        <f>IF(E29=0,0,F29/E29)</f>
        <v>1514.6190476190477</v>
      </c>
      <c r="H29" s="1239">
        <f>E33</f>
        <v>20</v>
      </c>
      <c r="I29" s="1783">
        <f>F33</f>
        <v>31370</v>
      </c>
      <c r="J29" s="1919">
        <f>IF(H29=0,0,I29/H29)</f>
        <v>1568.5</v>
      </c>
      <c r="K29" s="435">
        <f>H33</f>
        <v>0</v>
      </c>
      <c r="L29" s="1783">
        <f>I33</f>
        <v>0</v>
      </c>
      <c r="M29" s="1884">
        <f t="shared" ref="M29:M37" si="14">IF(K29=0,0,L29/K29)</f>
        <v>0</v>
      </c>
      <c r="N29" s="1239">
        <f>K33</f>
        <v>0</v>
      </c>
      <c r="O29" s="1783">
        <f>L33</f>
        <v>0</v>
      </c>
      <c r="P29" s="1884">
        <f t="shared" ref="P29:P34" si="15">IF(N29=0,0,O29/N29)</f>
        <v>0</v>
      </c>
      <c r="Q29" s="435">
        <f>N33</f>
        <v>0</v>
      </c>
      <c r="R29" s="420"/>
      <c r="S29" s="421"/>
      <c r="T29" s="1239">
        <f>Q33</f>
        <v>0</v>
      </c>
      <c r="U29" s="420"/>
      <c r="V29" s="1168"/>
      <c r="W29" s="435">
        <f>T33</f>
        <v>0</v>
      </c>
      <c r="X29" s="420"/>
      <c r="Y29" s="421"/>
      <c r="Z29" s="1239">
        <f>W33</f>
        <v>0</v>
      </c>
      <c r="AA29" s="420"/>
      <c r="AB29" s="1168"/>
      <c r="AC29" s="435">
        <f>Z33</f>
        <v>0.1</v>
      </c>
      <c r="AD29" s="420"/>
      <c r="AE29" s="421"/>
      <c r="AF29" s="1239">
        <f>AC33</f>
        <v>0.1</v>
      </c>
      <c r="AG29" s="420"/>
      <c r="AH29" s="1168"/>
      <c r="AI29" s="435">
        <f>AF33</f>
        <v>0.1</v>
      </c>
      <c r="AJ29" s="1168"/>
      <c r="AK29" s="421"/>
      <c r="AL29" s="1807">
        <f>B29</f>
        <v>32</v>
      </c>
      <c r="AM29" s="1807">
        <f>C29</f>
        <v>30350</v>
      </c>
      <c r="AN29" s="1884">
        <f t="shared" ref="AN29:AN37" si="16">IF(AL29=0,0,AM29/AL29)</f>
        <v>948.4375</v>
      </c>
    </row>
    <row r="30" spans="1:40" x14ac:dyDescent="0.25">
      <c r="A30" s="1171" t="s">
        <v>72</v>
      </c>
      <c r="B30" s="411">
        <v>10</v>
      </c>
      <c r="C30" s="1779">
        <f>Purchase!$I5</f>
        <v>3380</v>
      </c>
      <c r="D30" s="1535">
        <f t="shared" si="13"/>
        <v>338</v>
      </c>
      <c r="E30" s="411">
        <v>11</v>
      </c>
      <c r="F30" s="1779">
        <f>Purchase!$I6</f>
        <v>1820</v>
      </c>
      <c r="G30" s="1535">
        <f>IF(E30=0,0,F30/E30)</f>
        <v>165.45454545454547</v>
      </c>
      <c r="H30" s="1176">
        <v>4</v>
      </c>
      <c r="I30" s="1779">
        <f>Purchase!$I7</f>
        <v>0</v>
      </c>
      <c r="J30" s="1916">
        <f>IF(H30=0,0,I30/H30)</f>
        <v>0</v>
      </c>
      <c r="K30" s="411">
        <v>11</v>
      </c>
      <c r="L30" s="1779">
        <f>Purchase!$I8</f>
        <v>0</v>
      </c>
      <c r="M30" s="1535">
        <f t="shared" si="14"/>
        <v>0</v>
      </c>
      <c r="N30" s="1176">
        <v>13</v>
      </c>
      <c r="O30" s="1779">
        <f>Purchase!$I9</f>
        <v>0</v>
      </c>
      <c r="P30" s="1535">
        <f t="shared" si="15"/>
        <v>0</v>
      </c>
      <c r="Q30" s="411"/>
      <c r="R30" s="412"/>
      <c r="S30" s="413"/>
      <c r="T30" s="1176"/>
      <c r="U30" s="412"/>
      <c r="V30" s="414"/>
      <c r="W30" s="411"/>
      <c r="X30" s="412"/>
      <c r="Y30" s="413"/>
      <c r="Z30" s="1176"/>
      <c r="AA30" s="412"/>
      <c r="AB30" s="414"/>
      <c r="AC30" s="411"/>
      <c r="AD30" s="412"/>
      <c r="AE30" s="413"/>
      <c r="AF30" s="1176"/>
      <c r="AG30" s="412"/>
      <c r="AH30" s="414"/>
      <c r="AI30" s="411"/>
      <c r="AJ30" s="414"/>
      <c r="AK30" s="413"/>
      <c r="AL30" s="1171">
        <f t="shared" ref="AL30:AM32" si="17">SUM(B30,E30,H30,K30,N30,Q30,T30,W30,Z30,AC30,AF30,AI30)</f>
        <v>49</v>
      </c>
      <c r="AM30" s="1945">
        <f t="shared" si="17"/>
        <v>5200</v>
      </c>
      <c r="AN30" s="1535">
        <f t="shared" si="16"/>
        <v>106.12244897959184</v>
      </c>
    </row>
    <row r="31" spans="1:40" x14ac:dyDescent="0.25">
      <c r="A31" s="2008" t="s">
        <v>73</v>
      </c>
      <c r="B31" s="2009"/>
      <c r="C31" s="2010"/>
      <c r="D31" s="1190">
        <f t="shared" si="13"/>
        <v>0</v>
      </c>
      <c r="E31" s="2009"/>
      <c r="F31" s="2083"/>
      <c r="G31" s="1190">
        <f>IF(E31=0,0,F31/E31)</f>
        <v>0</v>
      </c>
      <c r="H31" s="2011"/>
      <c r="I31" s="2012"/>
      <c r="J31" s="1459">
        <f>IF(H31=0,0,I31/H31)</f>
        <v>0</v>
      </c>
      <c r="K31" s="2009"/>
      <c r="L31" s="2012"/>
      <c r="M31" s="1190">
        <f t="shared" si="14"/>
        <v>0</v>
      </c>
      <c r="N31" s="2011"/>
      <c r="O31" s="2012"/>
      <c r="P31" s="1190">
        <f t="shared" si="15"/>
        <v>0</v>
      </c>
      <c r="Q31" s="2009"/>
      <c r="R31" s="2012"/>
      <c r="S31" s="2013"/>
      <c r="T31" s="2011"/>
      <c r="U31" s="2012"/>
      <c r="V31" s="2014"/>
      <c r="W31" s="2009"/>
      <c r="X31" s="2012"/>
      <c r="Y31" s="2013"/>
      <c r="Z31" s="2011"/>
      <c r="AA31" s="2012"/>
      <c r="AB31" s="2014"/>
      <c r="AC31" s="2009"/>
      <c r="AD31" s="2012"/>
      <c r="AE31" s="2013"/>
      <c r="AF31" s="2011"/>
      <c r="AG31" s="2012"/>
      <c r="AH31" s="2014"/>
      <c r="AI31" s="2009"/>
      <c r="AJ31" s="2014"/>
      <c r="AK31" s="2013"/>
      <c r="AL31" s="2008">
        <f t="shared" si="17"/>
        <v>0</v>
      </c>
      <c r="AM31" s="2084">
        <f t="shared" si="17"/>
        <v>0</v>
      </c>
      <c r="AN31" s="1535">
        <f t="shared" si="16"/>
        <v>0</v>
      </c>
    </row>
    <row r="32" spans="1:40" ht="13.8" thickBot="1" x14ac:dyDescent="0.3">
      <c r="A32" s="452" t="s">
        <v>640</v>
      </c>
      <c r="B32" s="452">
        <f>'Inventory Sales'!B23</f>
        <v>0</v>
      </c>
      <c r="C32" s="1851">
        <f>'Inventory Sales'!D23</f>
        <v>0</v>
      </c>
      <c r="D32" s="1884">
        <f t="shared" si="13"/>
        <v>0</v>
      </c>
      <c r="E32" s="452"/>
      <c r="F32" s="1852"/>
      <c r="G32" s="1912"/>
      <c r="H32" s="1867"/>
      <c r="I32" s="1181"/>
      <c r="J32" s="1851"/>
      <c r="K32" s="563">
        <v>2</v>
      </c>
      <c r="L32" s="1851">
        <f>'Inventory Sales'!M23</f>
        <v>0</v>
      </c>
      <c r="M32" s="1884">
        <f t="shared" si="14"/>
        <v>0</v>
      </c>
      <c r="N32" s="1867">
        <v>4</v>
      </c>
      <c r="O32" s="1851">
        <f>'Inventory Sales'!P23</f>
        <v>0</v>
      </c>
      <c r="P32" s="1884">
        <f t="shared" si="15"/>
        <v>0</v>
      </c>
      <c r="Q32" s="563"/>
      <c r="R32" s="564"/>
      <c r="S32" s="565"/>
      <c r="T32" s="1867"/>
      <c r="U32" s="564"/>
      <c r="V32" s="1790"/>
      <c r="W32" s="563"/>
      <c r="X32" s="564"/>
      <c r="Y32" s="565"/>
      <c r="Z32" s="1867"/>
      <c r="AA32" s="564"/>
      <c r="AB32" s="1790"/>
      <c r="AC32" s="563"/>
      <c r="AD32" s="564"/>
      <c r="AE32" s="565"/>
      <c r="AF32" s="1867"/>
      <c r="AG32" s="564"/>
      <c r="AH32" s="1790"/>
      <c r="AI32" s="563"/>
      <c r="AJ32" s="1790"/>
      <c r="AK32" s="565"/>
      <c r="AL32" s="1807">
        <f t="shared" si="17"/>
        <v>6</v>
      </c>
      <c r="AM32" s="1954">
        <f t="shared" si="17"/>
        <v>0</v>
      </c>
      <c r="AN32" s="1884">
        <f t="shared" si="16"/>
        <v>0</v>
      </c>
    </row>
    <row r="33" spans="1:40" ht="13.8" thickBot="1" x14ac:dyDescent="0.3">
      <c r="A33" s="1804" t="s">
        <v>75</v>
      </c>
      <c r="B33" s="1805">
        <f>'Stock Valuation (FIFO)'!E7</f>
        <v>21</v>
      </c>
      <c r="C33" s="1832">
        <f>'Stock Valuation (FIFO)'!G7-C32</f>
        <v>31807</v>
      </c>
      <c r="D33" s="1883">
        <f t="shared" si="13"/>
        <v>1514.6190476190477</v>
      </c>
      <c r="E33" s="1805">
        <f>'Stock Valuation (FIFO)'!H7</f>
        <v>20</v>
      </c>
      <c r="F33" s="1833">
        <f>'Stock Valuation (FIFO)'!J7</f>
        <v>31370</v>
      </c>
      <c r="G33" s="1913">
        <f>IF(E33=0,0,F33/E33)</f>
        <v>1568.5</v>
      </c>
      <c r="H33" s="1805">
        <f>'Stock Valuation (FIFO)'!K7</f>
        <v>0</v>
      </c>
      <c r="I33" s="423">
        <f>'Stock Valuation (FIFO)'!M7</f>
        <v>0</v>
      </c>
      <c r="J33" s="1918">
        <f>IF(H33=0,0,I33/H33)</f>
        <v>0</v>
      </c>
      <c r="K33" s="1805">
        <f>'Stock Valuation (FIFO)'!N7</f>
        <v>0</v>
      </c>
      <c r="L33" s="1829">
        <f>'Stock Valuation (FIFO)'!P7</f>
        <v>0</v>
      </c>
      <c r="M33" s="1883">
        <f t="shared" si="14"/>
        <v>0</v>
      </c>
      <c r="N33" s="1868">
        <f>'Stock Valuation (FIFO)'!Q7</f>
        <v>0</v>
      </c>
      <c r="O33" s="1829">
        <f>'Stock Valuation (FIFO)'!S7</f>
        <v>0</v>
      </c>
      <c r="P33" s="1883">
        <f t="shared" si="15"/>
        <v>0</v>
      </c>
      <c r="Q33" s="1812">
        <f>(Q29+Q30)-(Q37)</f>
        <v>0</v>
      </c>
      <c r="R33" s="423"/>
      <c r="S33" s="1806"/>
      <c r="T33" s="1868">
        <f>(T29+T30)-(T37)</f>
        <v>0</v>
      </c>
      <c r="U33" s="423"/>
      <c r="V33" s="428"/>
      <c r="W33" s="1812">
        <f>(W29+W30)-(W37)</f>
        <v>0</v>
      </c>
      <c r="X33" s="423"/>
      <c r="Y33" s="1806"/>
      <c r="Z33" s="1868">
        <f>(Z29+Z30)-(Z37)+0.1</f>
        <v>0.1</v>
      </c>
      <c r="AA33" s="423"/>
      <c r="AB33" s="428"/>
      <c r="AC33" s="1812">
        <f>(AC29+AC30)-(AC37)</f>
        <v>0.1</v>
      </c>
      <c r="AD33" s="423"/>
      <c r="AE33" s="1806"/>
      <c r="AF33" s="1868">
        <f>(AF29+AF30)-(AF37)</f>
        <v>0.1</v>
      </c>
      <c r="AG33" s="423"/>
      <c r="AH33" s="428"/>
      <c r="AI33" s="1812">
        <f>(AI29+AI30)-(AI37)</f>
        <v>0.1</v>
      </c>
      <c r="AJ33" s="428"/>
      <c r="AK33" s="1806"/>
      <c r="AL33" s="1821">
        <f>N33</f>
        <v>0</v>
      </c>
      <c r="AM33" s="1962">
        <f>O33</f>
        <v>0</v>
      </c>
      <c r="AN33" s="1963">
        <f t="shared" si="16"/>
        <v>0</v>
      </c>
    </row>
    <row r="34" spans="1:40" x14ac:dyDescent="0.25">
      <c r="A34" s="429" t="s">
        <v>193</v>
      </c>
      <c r="B34" s="418">
        <f>(B29+B30)-(B32+B33)</f>
        <v>21</v>
      </c>
      <c r="C34" s="1986">
        <f>(C29+C30)-(C32+C33)</f>
        <v>1923</v>
      </c>
      <c r="D34" s="1884">
        <f t="shared" si="13"/>
        <v>91.571428571428569</v>
      </c>
      <c r="E34" s="418">
        <f>(E29+E30)-(E32+E33)</f>
        <v>12</v>
      </c>
      <c r="F34" s="1986">
        <f>(F29+F30)-(F32+F33)</f>
        <v>2257</v>
      </c>
      <c r="G34" s="1908">
        <f>IF(E34=0,0,F34/E34)</f>
        <v>188.08333333333334</v>
      </c>
      <c r="H34" s="418">
        <f>(H29+H30)-(H32+H33)</f>
        <v>24</v>
      </c>
      <c r="I34" s="1986">
        <f>(I29+I30)-(I32+I33)</f>
        <v>31370</v>
      </c>
      <c r="J34" s="1919">
        <f>IF(H34=0,0,I34/H34)</f>
        <v>1307.0833333333333</v>
      </c>
      <c r="K34" s="418">
        <f>(K29+K30)-(K32+K33)</f>
        <v>9</v>
      </c>
      <c r="L34" s="1986">
        <f>(L29+L30)-(L32+L33)</f>
        <v>0</v>
      </c>
      <c r="M34" s="1884">
        <f t="shared" si="14"/>
        <v>0</v>
      </c>
      <c r="N34" s="418">
        <f>(N29+N30)-(N32+N33)</f>
        <v>9</v>
      </c>
      <c r="O34" s="1986">
        <f>(O29+O30)-(O32+O33)</f>
        <v>0</v>
      </c>
      <c r="P34" s="1884">
        <f t="shared" si="15"/>
        <v>0</v>
      </c>
      <c r="Q34" s="418"/>
      <c r="R34" s="419"/>
      <c r="S34" s="1173"/>
      <c r="T34" s="1178"/>
      <c r="U34" s="419"/>
      <c r="V34" s="214"/>
      <c r="W34" s="418"/>
      <c r="X34" s="419"/>
      <c r="Y34" s="1173"/>
      <c r="Z34" s="1178"/>
      <c r="AA34" s="419"/>
      <c r="AB34" s="214"/>
      <c r="AC34" s="418"/>
      <c r="AD34" s="419"/>
      <c r="AE34" s="1173"/>
      <c r="AF34" s="1178"/>
      <c r="AG34" s="419"/>
      <c r="AH34" s="214"/>
      <c r="AI34" s="418"/>
      <c r="AJ34" s="214"/>
      <c r="AK34" s="1173"/>
      <c r="AL34" s="1202">
        <f>(AL29+AL30)-(AL32+AL33)</f>
        <v>75</v>
      </c>
      <c r="AM34" s="1996">
        <f>(AM29+AM30)-(AM32+AM33)</f>
        <v>35550</v>
      </c>
      <c r="AN34" s="1884">
        <f t="shared" si="16"/>
        <v>474</v>
      </c>
    </row>
    <row r="35" spans="1:40" x14ac:dyDescent="0.25">
      <c r="A35" s="1174" t="s">
        <v>194</v>
      </c>
      <c r="B35" s="427"/>
      <c r="C35" s="1831"/>
      <c r="D35" s="1535">
        <f t="shared" si="13"/>
        <v>0</v>
      </c>
      <c r="E35" s="427"/>
      <c r="F35" s="1831"/>
      <c r="G35" s="1909">
        <f>IF(E35=0,0,F35/E35)</f>
        <v>0</v>
      </c>
      <c r="H35" s="1824"/>
      <c r="I35" s="1831"/>
      <c r="J35" s="1916">
        <f>IF(H35=0,0,I35/H35)</f>
        <v>0</v>
      </c>
      <c r="K35" s="427">
        <v>0</v>
      </c>
      <c r="L35" s="1831"/>
      <c r="M35" s="1535">
        <f t="shared" si="14"/>
        <v>0</v>
      </c>
      <c r="N35" s="1824"/>
      <c r="O35" s="415"/>
      <c r="P35" s="1788"/>
      <c r="Q35" s="427"/>
      <c r="R35" s="415"/>
      <c r="S35" s="808"/>
      <c r="T35" s="1824"/>
      <c r="U35" s="415"/>
      <c r="V35" s="1788"/>
      <c r="W35" s="427"/>
      <c r="X35" s="415"/>
      <c r="Y35" s="808"/>
      <c r="Z35" s="1824"/>
      <c r="AA35" s="415"/>
      <c r="AB35" s="1788"/>
      <c r="AC35" s="427"/>
      <c r="AD35" s="415"/>
      <c r="AE35" s="808"/>
      <c r="AF35" s="1824"/>
      <c r="AG35" s="415"/>
      <c r="AH35" s="1788"/>
      <c r="AI35" s="427"/>
      <c r="AJ35" s="1788"/>
      <c r="AK35" s="808"/>
      <c r="AL35" s="1807">
        <f>SUM(B35,E35,H35,K35,N35,Q35,T35,W35,Z35,AC35,AF35,AI35)</f>
        <v>0</v>
      </c>
      <c r="AM35" s="1954">
        <f>SUM(C35,F35,I35,L35,O35,R35,U35,X35,AA35,AD35,AG35,AJ35)</f>
        <v>0</v>
      </c>
      <c r="AN35" s="1535">
        <f t="shared" si="16"/>
        <v>0</v>
      </c>
    </row>
    <row r="36" spans="1:40" ht="13.8" thickBot="1" x14ac:dyDescent="0.3">
      <c r="A36" s="1174" t="s">
        <v>195</v>
      </c>
      <c r="B36" s="427"/>
      <c r="C36" s="1831"/>
      <c r="D36" s="1647">
        <f t="shared" si="13"/>
        <v>0</v>
      </c>
      <c r="E36" s="427"/>
      <c r="F36" s="1831"/>
      <c r="G36" s="1910">
        <f>IF(E36=0,0,F36/E36)</f>
        <v>0</v>
      </c>
      <c r="H36" s="1824"/>
      <c r="I36" s="1831"/>
      <c r="J36" s="1920">
        <f>IF(H36=0,0,I36/H36)</f>
        <v>0</v>
      </c>
      <c r="K36" s="427"/>
      <c r="L36" s="1831"/>
      <c r="M36" s="1647">
        <f t="shared" si="14"/>
        <v>0</v>
      </c>
      <c r="N36" s="1824"/>
      <c r="O36" s="415"/>
      <c r="P36" s="1788"/>
      <c r="Q36" s="427"/>
      <c r="R36" s="415"/>
      <c r="S36" s="808"/>
      <c r="T36" s="1824"/>
      <c r="U36" s="415"/>
      <c r="V36" s="1788"/>
      <c r="W36" s="427"/>
      <c r="X36" s="415"/>
      <c r="Y36" s="808"/>
      <c r="Z36" s="1824"/>
      <c r="AA36" s="415"/>
      <c r="AB36" s="1788"/>
      <c r="AC36" s="427"/>
      <c r="AD36" s="415"/>
      <c r="AE36" s="808"/>
      <c r="AF36" s="1824"/>
      <c r="AG36" s="415"/>
      <c r="AH36" s="1788"/>
      <c r="AI36" s="427"/>
      <c r="AJ36" s="1788"/>
      <c r="AK36" s="808"/>
      <c r="AL36" s="1807">
        <f>SUM(B36,E36,H36,K36,N36,Q36,T36,W36,Z36,AC36,AF36,AI36)</f>
        <v>0</v>
      </c>
      <c r="AM36" s="1954">
        <f>SUM(C36,F36,I36,L36,O36,R36,U36,X36,AA36,AD36,AG36,AJ36)</f>
        <v>0</v>
      </c>
      <c r="AN36" s="1647">
        <f t="shared" si="16"/>
        <v>0</v>
      </c>
    </row>
    <row r="37" spans="1:40" ht="13.8" thickBot="1" x14ac:dyDescent="0.3">
      <c r="A37" s="1201" t="s">
        <v>74</v>
      </c>
      <c r="B37" s="1202">
        <f>SUM(B34:B36)</f>
        <v>21</v>
      </c>
      <c r="C37" s="1203">
        <f>ROUND((SUM(C29:C31)-SUM(C33)),0)</f>
        <v>1923</v>
      </c>
      <c r="D37" s="1194">
        <f t="shared" si="13"/>
        <v>91.571428571428569</v>
      </c>
      <c r="E37" s="1202">
        <f>SUM(E34:E36)</f>
        <v>12</v>
      </c>
      <c r="F37" s="1853">
        <f>ROUND((SUM(F29:F31)-SUM(F33)),0)</f>
        <v>2257</v>
      </c>
      <c r="G37" s="1911">
        <f>IF(E37=0,0,F37/E37)</f>
        <v>188.08333333333334</v>
      </c>
      <c r="H37" s="1206">
        <f>SUM(H34:H36)</f>
        <v>24</v>
      </c>
      <c r="I37" s="1203">
        <f>ROUND((SUM(I29:I31)-SUM(I33)),0)</f>
        <v>31370</v>
      </c>
      <c r="J37" s="1195">
        <f>IF(H37=0,0,I37/H37)</f>
        <v>1307.0833333333333</v>
      </c>
      <c r="K37" s="1202">
        <f>SUM(K34:K36)</f>
        <v>9</v>
      </c>
      <c r="L37" s="1203">
        <f>ROUND((SUM(L29:L31)-SUM(L33)),0)</f>
        <v>0</v>
      </c>
      <c r="M37" s="1194">
        <f t="shared" si="14"/>
        <v>0</v>
      </c>
      <c r="N37" s="1206">
        <f>SUM(N34:N36)</f>
        <v>9</v>
      </c>
      <c r="O37" s="1203">
        <f>ROUND((SUM(O29:O31)-SUM(O33)),0)</f>
        <v>0</v>
      </c>
      <c r="P37" s="1194">
        <f>IF(N37=0,0,O37/N37)</f>
        <v>0</v>
      </c>
      <c r="Q37" s="1202">
        <f>SUM(Q34:Q36)</f>
        <v>0</v>
      </c>
      <c r="R37" s="1204"/>
      <c r="S37" s="1205"/>
      <c r="T37" s="1206">
        <f>SUM(T34:T36)</f>
        <v>0</v>
      </c>
      <c r="U37" s="1204"/>
      <c r="V37" s="1207"/>
      <c r="W37" s="1202">
        <f>SUM(W34:W36)</f>
        <v>0</v>
      </c>
      <c r="X37" s="1204"/>
      <c r="Y37" s="1205"/>
      <c r="Z37" s="1206">
        <f>SUM(Z34:Z36)</f>
        <v>0</v>
      </c>
      <c r="AA37" s="1204"/>
      <c r="AB37" s="1207"/>
      <c r="AC37" s="1202">
        <f>SUM(AC34:AC36)</f>
        <v>0</v>
      </c>
      <c r="AD37" s="1204"/>
      <c r="AE37" s="1205"/>
      <c r="AF37" s="1206">
        <f>SUM(AF34:AF36)</f>
        <v>0</v>
      </c>
      <c r="AG37" s="1204"/>
      <c r="AH37" s="1207"/>
      <c r="AI37" s="1202">
        <f>SUM(AI34:AI36)</f>
        <v>0</v>
      </c>
      <c r="AJ37" s="1207"/>
      <c r="AK37" s="1205"/>
      <c r="AL37" s="1804">
        <f>SUM(AL34:AL36)</f>
        <v>75</v>
      </c>
      <c r="AM37" s="1956">
        <f>SUM(AM34:AM36)</f>
        <v>35550</v>
      </c>
      <c r="AN37" s="1194">
        <f t="shared" si="16"/>
        <v>474</v>
      </c>
    </row>
    <row r="38" spans="1:40" x14ac:dyDescent="0.25">
      <c r="A38" s="2039"/>
      <c r="B38" s="2039"/>
      <c r="C38" s="1442"/>
      <c r="D38" s="1442"/>
      <c r="E38" s="2039"/>
      <c r="F38" s="2199"/>
      <c r="G38" s="2199"/>
      <c r="H38" s="2039"/>
      <c r="I38" s="1442"/>
      <c r="J38" s="1442"/>
      <c r="K38" s="2039"/>
      <c r="L38" s="1442"/>
      <c r="M38" s="1442"/>
      <c r="N38" s="2039"/>
      <c r="O38" s="1442"/>
      <c r="P38" s="1442"/>
      <c r="Q38" s="2039"/>
      <c r="R38" s="2039"/>
      <c r="S38" s="2039"/>
      <c r="T38" s="2039"/>
      <c r="U38" s="2039"/>
      <c r="V38" s="2039"/>
      <c r="W38" s="2039"/>
      <c r="X38" s="2039"/>
      <c r="Y38" s="2039"/>
      <c r="Z38" s="2039"/>
      <c r="AA38" s="2039"/>
      <c r="AB38" s="2039"/>
      <c r="AC38" s="2039"/>
      <c r="AD38" s="2039"/>
      <c r="AE38" s="2039"/>
      <c r="AF38" s="2039"/>
      <c r="AG38" s="2039"/>
      <c r="AH38" s="2039"/>
      <c r="AI38" s="2039"/>
      <c r="AJ38" s="2039"/>
      <c r="AK38" s="2039"/>
      <c r="AL38" s="2039"/>
      <c r="AM38" s="1442"/>
      <c r="AN38" s="1442"/>
    </row>
    <row r="40" spans="1:40" ht="13.8" thickBot="1" x14ac:dyDescent="0.3">
      <c r="A40" s="1857" t="s">
        <v>641</v>
      </c>
      <c r="B40" s="2064"/>
      <c r="C40" s="2065"/>
      <c r="D40" s="2075">
        <f>IF(B40=0,0,C40/B40)</f>
        <v>0</v>
      </c>
      <c r="E40" s="2064"/>
      <c r="F40" s="2066"/>
      <c r="G40" s="2064"/>
      <c r="H40" s="2064"/>
      <c r="I40" s="2064"/>
      <c r="J40" s="2064"/>
      <c r="K40" s="2064"/>
      <c r="L40" s="2064"/>
      <c r="M40" s="2064"/>
      <c r="N40" s="2064"/>
      <c r="O40" s="2064"/>
      <c r="P40" s="2064"/>
      <c r="Q40" s="2064"/>
      <c r="R40" s="2064"/>
      <c r="S40" s="2064"/>
      <c r="T40" s="2064"/>
      <c r="U40" s="2064"/>
      <c r="V40" s="2064"/>
      <c r="W40" s="2064"/>
      <c r="X40" s="2064"/>
      <c r="Y40" s="2064"/>
      <c r="Z40" s="2064"/>
      <c r="AA40" s="2064"/>
      <c r="AB40" s="2064"/>
      <c r="AC40" s="2064"/>
      <c r="AD40" s="2064"/>
      <c r="AE40" s="2064"/>
      <c r="AF40" s="2064"/>
      <c r="AG40" s="2064"/>
      <c r="AH40" s="2064"/>
      <c r="AI40" s="2064"/>
      <c r="AJ40" s="2064"/>
      <c r="AK40" s="2064"/>
      <c r="AL40" s="2064"/>
      <c r="AM40" s="2064"/>
      <c r="AN40" s="2075">
        <f>IF(AL40=0,0,AM40/AL40)</f>
        <v>0</v>
      </c>
    </row>
    <row r="41" spans="1:40" ht="13.8" thickBot="1" x14ac:dyDescent="0.3">
      <c r="A41" s="1804" t="s">
        <v>113</v>
      </c>
      <c r="B41" s="1887">
        <f>B8+B21+B33</f>
        <v>78108</v>
      </c>
      <c r="C41" s="1834">
        <f>C8+C21+C33</f>
        <v>10892019</v>
      </c>
      <c r="D41" s="1883">
        <f>IF(B41=0,0,C41/B41)</f>
        <v>139.4481871255185</v>
      </c>
      <c r="E41" s="1887">
        <f>SUM(E8+E21+E33)</f>
        <v>92299</v>
      </c>
      <c r="F41" s="1834">
        <f>F8+F21+F33</f>
        <v>14351528</v>
      </c>
      <c r="G41" s="1883">
        <f>IF(E41=0,0,F41/E41)</f>
        <v>155.48952859727623</v>
      </c>
      <c r="H41" s="1870">
        <f>H8+H21+H33</f>
        <v>0</v>
      </c>
      <c r="I41" s="1834">
        <f>I8+I21+I33</f>
        <v>0</v>
      </c>
      <c r="J41" s="1918">
        <f>IF(H41=0,0,I41/H41)</f>
        <v>0</v>
      </c>
      <c r="K41" s="1887">
        <f>K8+K21+K33</f>
        <v>0</v>
      </c>
      <c r="L41" s="1834">
        <f>L8+L21+L33</f>
        <v>0</v>
      </c>
      <c r="M41" s="1883">
        <f>IF(K41=0,0,L41/K41)</f>
        <v>0</v>
      </c>
      <c r="N41" s="1870">
        <f>N8+N21+N33</f>
        <v>0</v>
      </c>
      <c r="O41" s="1834">
        <f>O8+O21+O33</f>
        <v>0</v>
      </c>
      <c r="P41" s="1883">
        <f>IF(N41=0,0,O41/N41)</f>
        <v>0</v>
      </c>
      <c r="Q41" s="1887">
        <f>Q8+Q21+Q33</f>
        <v>-72940</v>
      </c>
      <c r="R41" s="430"/>
      <c r="S41" s="431"/>
      <c r="T41" s="1870">
        <f>T8+T21+T33</f>
        <v>-72940</v>
      </c>
      <c r="U41" s="430"/>
      <c r="V41" s="1791"/>
      <c r="W41" s="1887">
        <f>W8+W21+W33</f>
        <v>-72940</v>
      </c>
      <c r="X41" s="430"/>
      <c r="Y41" s="431"/>
      <c r="Z41" s="1870">
        <f>Z8+Z21+Z33</f>
        <v>-72939.7</v>
      </c>
      <c r="AA41" s="430"/>
      <c r="AB41" s="1791"/>
      <c r="AC41" s="1887">
        <f>AC8+AC21+AC33</f>
        <v>-72939.7</v>
      </c>
      <c r="AD41" s="430"/>
      <c r="AE41" s="431"/>
      <c r="AF41" s="1870">
        <f>AF8+AF21+AF33</f>
        <v>-72939.7</v>
      </c>
      <c r="AG41" s="430"/>
      <c r="AH41" s="1791"/>
      <c r="AI41" s="1887">
        <f>AI8+AI21+AI33</f>
        <v>-72939.7</v>
      </c>
      <c r="AJ41" s="1791"/>
      <c r="AK41" s="431"/>
      <c r="AL41" s="1887">
        <f>AL8+AL21+AL33</f>
        <v>0</v>
      </c>
      <c r="AM41" s="1834">
        <f>AM8+AM21+AM33</f>
        <v>0</v>
      </c>
      <c r="AN41" s="1605">
        <f>IF(AL41=0,0,AM41/AL41)</f>
        <v>0</v>
      </c>
    </row>
    <row r="42" spans="1:40" ht="13.8" thickBot="1" x14ac:dyDescent="0.3">
      <c r="A42" s="1854" t="s">
        <v>77</v>
      </c>
      <c r="B42" s="1162"/>
      <c r="C42" s="1162"/>
      <c r="D42" s="1162"/>
      <c r="E42" s="1162"/>
      <c r="F42" s="1162"/>
      <c r="G42" s="1162"/>
      <c r="H42" s="1162"/>
      <c r="I42" s="1162"/>
      <c r="J42" s="1162"/>
      <c r="K42" s="1162"/>
      <c r="L42" s="1162"/>
      <c r="M42" s="1162"/>
      <c r="N42" s="1162"/>
      <c r="O42" s="1162"/>
      <c r="P42" s="1162"/>
      <c r="Q42" s="1162"/>
      <c r="R42" s="1162"/>
      <c r="S42" s="1162"/>
      <c r="T42" s="1162"/>
      <c r="U42" s="1162"/>
      <c r="V42" s="1162"/>
      <c r="W42" s="1162"/>
      <c r="X42" s="1162"/>
      <c r="Y42" s="1162"/>
      <c r="Z42" s="1162"/>
      <c r="AA42" s="1162"/>
      <c r="AB42" s="1162"/>
      <c r="AC42" s="1162"/>
      <c r="AD42" s="1162"/>
      <c r="AE42" s="1162"/>
      <c r="AF42" s="1162"/>
      <c r="AG42" s="1162"/>
      <c r="AH42" s="1162"/>
      <c r="AI42" s="1162"/>
      <c r="AJ42" s="1162"/>
      <c r="AK42" s="1162"/>
      <c r="AL42" s="1162"/>
      <c r="AM42" s="52"/>
      <c r="AN42" s="1162"/>
    </row>
    <row r="43" spans="1:40" x14ac:dyDescent="0.25">
      <c r="A43" s="1860" t="s">
        <v>196</v>
      </c>
      <c r="B43" s="435">
        <f>B10+B25+B37</f>
        <v>80964.600000000006</v>
      </c>
      <c r="C43" s="2076">
        <f>C10+C22+C34</f>
        <v>7108672</v>
      </c>
      <c r="D43" s="1884">
        <f>IF(B43=0,0,C43/B43)</f>
        <v>87.799754460591416</v>
      </c>
      <c r="E43" s="2077">
        <f>SUM(E10+E22+E34)</f>
        <v>48969.4</v>
      </c>
      <c r="F43" s="2076">
        <f>F10+F22+F34</f>
        <v>7956203.0099999979</v>
      </c>
      <c r="G43" s="1884">
        <f>IF(E43=0,0,F43/E43)</f>
        <v>162.47295270107449</v>
      </c>
      <c r="H43" s="2078">
        <f>SUM(H10+H22+H34)</f>
        <v>42738.9</v>
      </c>
      <c r="I43" s="2076">
        <f>I10+I22+I34</f>
        <v>14351528</v>
      </c>
      <c r="J43" s="1919">
        <f>IF(H43=0,0,I43/H43)</f>
        <v>335.79544630301666</v>
      </c>
      <c r="K43" s="435">
        <f>K10+K22+K34</f>
        <v>-53568</v>
      </c>
      <c r="L43" s="2076">
        <f>L10+L22+L34</f>
        <v>0</v>
      </c>
      <c r="M43" s="1884">
        <f>IF(K43=0,0,L43/K43)</f>
        <v>0</v>
      </c>
      <c r="N43" s="2078">
        <f>SUM(N10+N22+N34)</f>
        <v>-56761.7</v>
      </c>
      <c r="O43" s="2076">
        <f>O10+O22+O34</f>
        <v>0</v>
      </c>
      <c r="P43" s="1884">
        <f>IF(N43=0,0,O43/N43)</f>
        <v>0</v>
      </c>
      <c r="Q43" s="2077">
        <f>SUM(Q10+Q22+Q34)</f>
        <v>79555.100000000006</v>
      </c>
      <c r="R43" s="2079"/>
      <c r="S43" s="2080"/>
      <c r="T43" s="2078">
        <f>SUM(T10+T22+T34)</f>
        <v>0</v>
      </c>
      <c r="U43" s="2079"/>
      <c r="V43" s="2081"/>
      <c r="W43" s="2077">
        <f>SUM(W10+W22+W34)</f>
        <v>0</v>
      </c>
      <c r="X43" s="2079"/>
      <c r="Y43" s="2080"/>
      <c r="Z43" s="2078">
        <f>SUM(Z10+Z22+Z34)</f>
        <v>0</v>
      </c>
      <c r="AA43" s="2079"/>
      <c r="AB43" s="2081"/>
      <c r="AC43" s="2077">
        <f>SUM(AC10+AC22+AC34)</f>
        <v>0</v>
      </c>
      <c r="AD43" s="2079"/>
      <c r="AE43" s="2080"/>
      <c r="AF43" s="2078">
        <f>SUM(AF10+AF22+AF34)</f>
        <v>0</v>
      </c>
      <c r="AG43" s="2079"/>
      <c r="AH43" s="2081"/>
      <c r="AI43" s="2077">
        <f>SUM(AI10+AI22+AI34)</f>
        <v>0</v>
      </c>
      <c r="AJ43" s="2081"/>
      <c r="AK43" s="2080"/>
      <c r="AL43" s="2082">
        <f>SUM(AL10+AL22+AL34)</f>
        <v>68958.3</v>
      </c>
      <c r="AM43" s="1954">
        <f>SUM(C43,F43,I43,L43,O43,R43,U43,X43,AA43,AD43,AG43,AJ43)</f>
        <v>29416403.009999998</v>
      </c>
      <c r="AN43" s="1884">
        <f>IF(AL43=0,0,AM43/AL43)</f>
        <v>426.58248550210777</v>
      </c>
    </row>
    <row r="44" spans="1:40" x14ac:dyDescent="0.25">
      <c r="A44" s="1861" t="s">
        <v>191</v>
      </c>
      <c r="B44" s="1888">
        <f>SUM(B11+B23+B35)</f>
        <v>0</v>
      </c>
      <c r="C44" s="1836">
        <f>SUM(C11+C23+C35)</f>
        <v>0</v>
      </c>
      <c r="D44" s="1535">
        <f>IF(B44=0,0,C44/B44)</f>
        <v>0</v>
      </c>
      <c r="E44" s="1888">
        <f>SUM(E11+E23+E35)</f>
        <v>0</v>
      </c>
      <c r="F44" s="1836">
        <f>SUM(F11+F23+F35)</f>
        <v>0</v>
      </c>
      <c r="G44" s="1535">
        <f>IF(E44=0,0,F44/E44)</f>
        <v>0</v>
      </c>
      <c r="H44" s="1871">
        <f>SUM(H11+H23+H35)</f>
        <v>0</v>
      </c>
      <c r="I44" s="1836">
        <f>SUM(I11+I23+I35)</f>
        <v>0</v>
      </c>
      <c r="J44" s="1916">
        <f>IF(H44=0,0,I44/H44)</f>
        <v>0</v>
      </c>
      <c r="K44" s="1888">
        <f>SUM(K11+K23+K35)</f>
        <v>0</v>
      </c>
      <c r="L44" s="1836">
        <f>SUM(L11+L23+L35)</f>
        <v>0</v>
      </c>
      <c r="M44" s="1535">
        <f>IF(K44=0,0,L44/K44)</f>
        <v>0</v>
      </c>
      <c r="N44" s="1871">
        <f>SUM(N11+N23+N35)</f>
        <v>0</v>
      </c>
      <c r="O44" s="739"/>
      <c r="P44" s="1792"/>
      <c r="Q44" s="1888">
        <f>SUM(Q11+Q23+Q35)</f>
        <v>0</v>
      </c>
      <c r="R44" s="739"/>
      <c r="S44" s="740"/>
      <c r="T44" s="1871">
        <f>SUM(T11+T23+T35)</f>
        <v>0</v>
      </c>
      <c r="U44" s="739"/>
      <c r="V44" s="1792"/>
      <c r="W44" s="1888">
        <f>SUM(W11+W23+W35)</f>
        <v>0</v>
      </c>
      <c r="X44" s="739"/>
      <c r="Y44" s="740"/>
      <c r="Z44" s="1871">
        <f>SUM(Z11+Z23+Z35)</f>
        <v>0</v>
      </c>
      <c r="AA44" s="739"/>
      <c r="AB44" s="1792"/>
      <c r="AC44" s="1888">
        <f>SUM(AC11+AC23+AC35)</f>
        <v>0</v>
      </c>
      <c r="AD44" s="739"/>
      <c r="AE44" s="740"/>
      <c r="AF44" s="1871">
        <f>SUM(AF11+AF23+AF35)</f>
        <v>0</v>
      </c>
      <c r="AG44" s="739"/>
      <c r="AH44" s="1792"/>
      <c r="AI44" s="1888">
        <f>SUM(AI11+AI23+AI35)</f>
        <v>0</v>
      </c>
      <c r="AJ44" s="1792"/>
      <c r="AK44" s="740"/>
      <c r="AL44" s="1808">
        <f>SUM(AL11+AL23+AL35)</f>
        <v>0</v>
      </c>
      <c r="AM44" s="1808"/>
      <c r="AN44" s="1535">
        <f>IF(AL44=0,0,AM44/AL44)</f>
        <v>0</v>
      </c>
    </row>
    <row r="45" spans="1:40" ht="13.8" thickBot="1" x14ac:dyDescent="0.3">
      <c r="A45" s="1862" t="s">
        <v>190</v>
      </c>
      <c r="B45" s="1889">
        <f>SUM(B12+B24+B36)</f>
        <v>0</v>
      </c>
      <c r="C45" s="1828">
        <f>SUM(C12+C24+C36)</f>
        <v>0</v>
      </c>
      <c r="D45" s="1647">
        <f>IF(B45=0,0,C45/B45)</f>
        <v>0</v>
      </c>
      <c r="E45" s="1889">
        <f>SUM(E12+E24+E36)</f>
        <v>0</v>
      </c>
      <c r="F45" s="1828">
        <f>SUM(F12+F24+F36)</f>
        <v>0</v>
      </c>
      <c r="G45" s="1647">
        <f>IF(E45=0,0,F45/E45)</f>
        <v>0</v>
      </c>
      <c r="H45" s="1872">
        <f>SUM(H12+H24+H36)</f>
        <v>0</v>
      </c>
      <c r="I45" s="1828">
        <f>SUM(I12+I24+I36)</f>
        <v>0</v>
      </c>
      <c r="J45" s="1920">
        <f>IF(H45=0,0,I45/H45)</f>
        <v>0</v>
      </c>
      <c r="K45" s="1889">
        <f>SUM(K12+K24+K36)</f>
        <v>0</v>
      </c>
      <c r="L45" s="1828">
        <f>SUM(L12+L24+L36)</f>
        <v>0</v>
      </c>
      <c r="M45" s="1647">
        <f>IF(K45=0,0,L45/K45)</f>
        <v>0</v>
      </c>
      <c r="N45" s="1872">
        <f>SUM(N12+N24+N36)</f>
        <v>0</v>
      </c>
      <c r="O45" s="741"/>
      <c r="P45" s="1793"/>
      <c r="Q45" s="1889">
        <f>SUM(Q12+Q24+Q36)</f>
        <v>0</v>
      </c>
      <c r="R45" s="741"/>
      <c r="S45" s="742"/>
      <c r="T45" s="1872">
        <f>SUM(T12+T24+T36)</f>
        <v>0</v>
      </c>
      <c r="U45" s="741"/>
      <c r="V45" s="1793"/>
      <c r="W45" s="1889">
        <f>SUM(W12+W24+W36)</f>
        <v>0</v>
      </c>
      <c r="X45" s="741"/>
      <c r="Y45" s="742"/>
      <c r="Z45" s="1872">
        <f>SUM(Z12+Z24+Z36)</f>
        <v>0</v>
      </c>
      <c r="AA45" s="741"/>
      <c r="AB45" s="1793"/>
      <c r="AC45" s="1889">
        <f>SUM(AC12+AC24+AC36)</f>
        <v>0</v>
      </c>
      <c r="AD45" s="741"/>
      <c r="AE45" s="742"/>
      <c r="AF45" s="1872">
        <f>SUM(AF12+AF24+AF36)</f>
        <v>0</v>
      </c>
      <c r="AG45" s="741"/>
      <c r="AH45" s="1793"/>
      <c r="AI45" s="1889">
        <f>SUM(AI12+AI24+AI36)</f>
        <v>0</v>
      </c>
      <c r="AJ45" s="1793"/>
      <c r="AK45" s="742"/>
      <c r="AL45" s="1809">
        <f>SUM(AL12+AL24+AL36)</f>
        <v>0</v>
      </c>
      <c r="AM45" s="1809"/>
      <c r="AN45" s="1647">
        <f>IF(AL45=0,0,AM45/AL45)</f>
        <v>0</v>
      </c>
    </row>
    <row r="46" spans="1:40" ht="13.8" thickBot="1" x14ac:dyDescent="0.3">
      <c r="A46" s="449"/>
      <c r="B46" s="422">
        <f>SUM(B43:B45)</f>
        <v>80964.600000000006</v>
      </c>
      <c r="C46" s="1827">
        <f>SUM(C43:C45)</f>
        <v>7108672</v>
      </c>
      <c r="D46" s="1885">
        <f>IF(B46=0,0,C46/B46)</f>
        <v>87.799754460591416</v>
      </c>
      <c r="E46" s="422">
        <f>SUM(E43:E45)</f>
        <v>48969.4</v>
      </c>
      <c r="F46" s="1827">
        <f>SUM(F43:F45)</f>
        <v>7956203.0099999979</v>
      </c>
      <c r="G46" s="1885">
        <f>IF(E46=0,0,F46/E46)</f>
        <v>162.47295270107449</v>
      </c>
      <c r="H46" s="1869">
        <f>SUM(H43:H45)</f>
        <v>42738.9</v>
      </c>
      <c r="I46" s="1827">
        <f>SUM(I43:I45)</f>
        <v>14351528</v>
      </c>
      <c r="J46" s="1850">
        <f>IF(H46=0,0,I46/H46)</f>
        <v>335.79544630301666</v>
      </c>
      <c r="K46" s="422">
        <f>SUM(K43:K45)</f>
        <v>-53568</v>
      </c>
      <c r="L46" s="1827">
        <f>SUM(L43:L45)</f>
        <v>0</v>
      </c>
      <c r="M46" s="1885">
        <f>IF(K46=0,0,L46/K46)</f>
        <v>0</v>
      </c>
      <c r="N46" s="1869">
        <f>SUM(N43:N45)</f>
        <v>-56761.7</v>
      </c>
      <c r="O46" s="1827">
        <f>SUM(O43:O45)</f>
        <v>0</v>
      </c>
      <c r="P46" s="1885">
        <f>IF(N46=0,0,O46/N46)</f>
        <v>0</v>
      </c>
      <c r="Q46" s="422">
        <f>SUM(Q43:Q45)</f>
        <v>79555.100000000006</v>
      </c>
      <c r="R46" s="416"/>
      <c r="S46" s="417"/>
      <c r="T46" s="1869">
        <f>SUM(T43:T45)</f>
        <v>0</v>
      </c>
      <c r="U46" s="416"/>
      <c r="V46" s="1789"/>
      <c r="W46" s="422">
        <f>SUM(W43:W45)</f>
        <v>0</v>
      </c>
      <c r="X46" s="416"/>
      <c r="Y46" s="417"/>
      <c r="Z46" s="1869">
        <f>SUM(Z43:Z45)</f>
        <v>0</v>
      </c>
      <c r="AA46" s="416"/>
      <c r="AB46" s="1789"/>
      <c r="AC46" s="422">
        <f>SUM(AC43:AC45)</f>
        <v>0</v>
      </c>
      <c r="AD46" s="416"/>
      <c r="AE46" s="417"/>
      <c r="AF46" s="1869">
        <f>SUM(AF43:AF45)</f>
        <v>0</v>
      </c>
      <c r="AG46" s="416"/>
      <c r="AH46" s="1789"/>
      <c r="AI46" s="422">
        <f>SUM(AI43:AI45)</f>
        <v>0</v>
      </c>
      <c r="AJ46" s="1789"/>
      <c r="AK46" s="417"/>
      <c r="AL46" s="422">
        <f>SUM(AL43:AL45)</f>
        <v>68958.3</v>
      </c>
      <c r="AM46" s="1827">
        <f>SUM(AM43:AM45)</f>
        <v>29416403.009999998</v>
      </c>
      <c r="AN46" s="1885">
        <f>IF(AL46=0,0,AM46/AL46)</f>
        <v>426.58248550210777</v>
      </c>
    </row>
    <row r="47" spans="1:40" x14ac:dyDescent="0.25">
      <c r="A47" s="1863" t="s">
        <v>78</v>
      </c>
      <c r="B47" s="435"/>
      <c r="C47" s="1188"/>
      <c r="D47" s="421"/>
      <c r="E47" s="435"/>
      <c r="F47" s="1188"/>
      <c r="G47" s="421"/>
      <c r="H47" s="1239"/>
      <c r="I47" s="1188"/>
      <c r="J47" s="1168"/>
      <c r="K47" s="435"/>
      <c r="L47" s="1188"/>
      <c r="M47" s="421"/>
      <c r="N47" s="1239"/>
      <c r="O47" s="420"/>
      <c r="P47" s="1168"/>
      <c r="Q47" s="435"/>
      <c r="R47" s="420"/>
      <c r="S47" s="421"/>
      <c r="T47" s="1239"/>
      <c r="U47" s="420"/>
      <c r="V47" s="1168"/>
      <c r="W47" s="435"/>
      <c r="X47" s="420"/>
      <c r="Y47" s="421"/>
      <c r="Z47" s="1239"/>
      <c r="AA47" s="420"/>
      <c r="AB47" s="1168"/>
      <c r="AC47" s="435"/>
      <c r="AD47" s="420"/>
      <c r="AE47" s="421"/>
      <c r="AF47" s="1239"/>
      <c r="AG47" s="420"/>
      <c r="AH47" s="1168"/>
      <c r="AI47" s="435"/>
      <c r="AJ47" s="1168"/>
      <c r="AK47" s="421"/>
      <c r="AL47" s="1807">
        <f>SUM(B47:AI47)</f>
        <v>0</v>
      </c>
      <c r="AM47" s="1807"/>
      <c r="AN47" s="421"/>
    </row>
    <row r="48" spans="1:40" x14ac:dyDescent="0.25">
      <c r="A48" s="1864" t="s">
        <v>79</v>
      </c>
      <c r="B48" s="411">
        <f>95089.3-B49</f>
        <v>76198</v>
      </c>
      <c r="C48" s="1779">
        <f>IF(B48=0,0,ROUND(((B48*D48)),0))</f>
        <v>6690166</v>
      </c>
      <c r="D48" s="1184">
        <f>D43</f>
        <v>87.799754460591416</v>
      </c>
      <c r="E48" s="411">
        <f>87799.5-E49</f>
        <v>75966</v>
      </c>
      <c r="F48" s="1779">
        <f>IF(E48=0,0,ROUND(((E48*G48)),0))</f>
        <v>12342420</v>
      </c>
      <c r="G48" s="1184">
        <f>G43</f>
        <v>162.47295270107449</v>
      </c>
      <c r="H48" s="1176">
        <f>100823-H49</f>
        <v>82191</v>
      </c>
      <c r="I48" s="1779">
        <f>IF(H48=0,0,ROUND(((H48*J48)),0))</f>
        <v>27599364</v>
      </c>
      <c r="J48" s="1225">
        <f>J43</f>
        <v>335.79544630301666</v>
      </c>
      <c r="K48" s="411">
        <f>106908-K49</f>
        <v>97832</v>
      </c>
      <c r="L48" s="1779">
        <f>IF(K48=0,0,ROUND(((K48*M48)),0))</f>
        <v>0</v>
      </c>
      <c r="M48" s="1184">
        <f>M43</f>
        <v>0</v>
      </c>
      <c r="N48" s="1176">
        <f>98773.7-N49</f>
        <v>74564</v>
      </c>
      <c r="O48" s="1779">
        <f>IF(N48=0,0,ROUND(((N48*P48)),0))</f>
        <v>0</v>
      </c>
      <c r="P48" s="1184">
        <f>P43</f>
        <v>0</v>
      </c>
      <c r="Q48" s="411"/>
      <c r="R48" s="412"/>
      <c r="S48" s="413"/>
      <c r="T48" s="1176"/>
      <c r="U48" s="412"/>
      <c r="V48" s="414"/>
      <c r="W48" s="411"/>
      <c r="X48" s="412"/>
      <c r="Y48" s="413"/>
      <c r="Z48" s="1176"/>
      <c r="AA48" s="412"/>
      <c r="AB48" s="414"/>
      <c r="AC48" s="411"/>
      <c r="AD48" s="412"/>
      <c r="AE48" s="413"/>
      <c r="AF48" s="1176"/>
      <c r="AG48" s="412"/>
      <c r="AH48" s="414"/>
      <c r="AI48" s="411"/>
      <c r="AJ48" s="414"/>
      <c r="AK48" s="413"/>
      <c r="AL48" s="1171">
        <f t="shared" ref="AL48:AM50" si="18">SUM(B48,E48,H48,K48,N48,Q48,T48,W48,Z48,AC48,AF48,AI48)</f>
        <v>406751</v>
      </c>
      <c r="AM48" s="1945">
        <f t="shared" si="18"/>
        <v>46631950</v>
      </c>
      <c r="AN48" s="1184">
        <f>AN43</f>
        <v>426.58248550210777</v>
      </c>
    </row>
    <row r="49" spans="1:40" x14ac:dyDescent="0.25">
      <c r="A49" s="1864" t="s">
        <v>80</v>
      </c>
      <c r="B49" s="411">
        <v>18891.3</v>
      </c>
      <c r="C49" s="1779">
        <f>ROUND((Purchase!$M22),0)</f>
        <v>668801</v>
      </c>
      <c r="D49" s="1535">
        <f>IF(B49=0,0,C49/B49)</f>
        <v>35.402592727869447</v>
      </c>
      <c r="E49" s="411">
        <v>11833.5</v>
      </c>
      <c r="F49" s="1779">
        <f>ROUND((Purchase!$M23),0)</f>
        <v>462250</v>
      </c>
      <c r="G49" s="1535">
        <f>IF(E49=0,0,F49/E49)</f>
        <v>39.062830100984492</v>
      </c>
      <c r="H49" s="1176">
        <v>18632</v>
      </c>
      <c r="I49" s="1779">
        <f>ROUND((Purchase!$M24),0)</f>
        <v>0</v>
      </c>
      <c r="J49" s="1916">
        <f>IF(H49=0,0,I49/H49)</f>
        <v>0</v>
      </c>
      <c r="K49" s="411">
        <v>9076</v>
      </c>
      <c r="L49" s="1779">
        <f>ROUND((Purchase!$M25),0)</f>
        <v>0</v>
      </c>
      <c r="M49" s="1535">
        <f>IF(K49=0,0,L49/K49)</f>
        <v>0</v>
      </c>
      <c r="N49" s="1176">
        <v>24209.7</v>
      </c>
      <c r="O49" s="1779">
        <f>ROUND((Purchase!$M26),0)</f>
        <v>0</v>
      </c>
      <c r="P49" s="1535">
        <f>IF(N49=0,0,O49/N49)</f>
        <v>0</v>
      </c>
      <c r="Q49" s="411"/>
      <c r="R49" s="412"/>
      <c r="S49" s="413"/>
      <c r="T49" s="1176"/>
      <c r="U49" s="412"/>
      <c r="V49" s="414"/>
      <c r="W49" s="411"/>
      <c r="X49" s="412"/>
      <c r="Y49" s="413"/>
      <c r="Z49" s="1176"/>
      <c r="AA49" s="412"/>
      <c r="AB49" s="414"/>
      <c r="AC49" s="411"/>
      <c r="AD49" s="412"/>
      <c r="AE49" s="413"/>
      <c r="AF49" s="1176"/>
      <c r="AG49" s="412"/>
      <c r="AH49" s="414"/>
      <c r="AI49" s="411"/>
      <c r="AJ49" s="414"/>
      <c r="AK49" s="413"/>
      <c r="AL49" s="1171">
        <f t="shared" si="18"/>
        <v>82642.5</v>
      </c>
      <c r="AM49" s="1945">
        <f t="shared" si="18"/>
        <v>1131051</v>
      </c>
      <c r="AN49" s="1535">
        <f>IF(AL49=0,0,AM49/AL49)</f>
        <v>13.686069516290045</v>
      </c>
    </row>
    <row r="50" spans="1:40" x14ac:dyDescent="0.25">
      <c r="A50" s="1864" t="s">
        <v>81</v>
      </c>
      <c r="B50" s="411"/>
      <c r="C50" s="1779"/>
      <c r="D50" s="1184"/>
      <c r="E50" s="411"/>
      <c r="F50" s="1779"/>
      <c r="G50" s="1184"/>
      <c r="H50" s="1176"/>
      <c r="I50" s="1779"/>
      <c r="J50" s="1225"/>
      <c r="K50" s="411"/>
      <c r="L50" s="1779"/>
      <c r="M50" s="1184"/>
      <c r="N50" s="1176"/>
      <c r="O50" s="412"/>
      <c r="P50" s="414"/>
      <c r="Q50" s="411"/>
      <c r="R50" s="412"/>
      <c r="S50" s="413"/>
      <c r="T50" s="1176"/>
      <c r="U50" s="412"/>
      <c r="V50" s="414"/>
      <c r="W50" s="411"/>
      <c r="X50" s="412"/>
      <c r="Y50" s="413"/>
      <c r="Z50" s="1176"/>
      <c r="AA50" s="412"/>
      <c r="AB50" s="414"/>
      <c r="AC50" s="411"/>
      <c r="AD50" s="412"/>
      <c r="AE50" s="413"/>
      <c r="AF50" s="1176"/>
      <c r="AG50" s="412"/>
      <c r="AH50" s="414"/>
      <c r="AI50" s="411"/>
      <c r="AJ50" s="414"/>
      <c r="AK50" s="413"/>
      <c r="AL50" s="1171">
        <f t="shared" si="18"/>
        <v>0</v>
      </c>
      <c r="AM50" s="1945">
        <f t="shared" si="18"/>
        <v>0</v>
      </c>
      <c r="AN50" s="1184"/>
    </row>
    <row r="51" spans="1:40" x14ac:dyDescent="0.25">
      <c r="A51" s="1864" t="s">
        <v>0</v>
      </c>
      <c r="B51" s="411">
        <f>SUM(B48:B50)</f>
        <v>95089.3</v>
      </c>
      <c r="C51" s="1779">
        <f>SUM(C48:C50)</f>
        <v>7358967</v>
      </c>
      <c r="D51" s="1535">
        <f>IF(B51=0,0,C51/B51)</f>
        <v>77.39006386628148</v>
      </c>
      <c r="E51" s="411">
        <f>SUM(E48:E50)</f>
        <v>87799.5</v>
      </c>
      <c r="F51" s="1779">
        <f>SUM(F48:F50)</f>
        <v>12804670</v>
      </c>
      <c r="G51" s="1535">
        <f>IF(E51=0,0,F51/E51)</f>
        <v>145.83989658255456</v>
      </c>
      <c r="H51" s="1176">
        <f>SUM(H48:H50)</f>
        <v>100823</v>
      </c>
      <c r="I51" s="1779">
        <f>SUM(I48:I50)</f>
        <v>27599364</v>
      </c>
      <c r="J51" s="1916">
        <f>IF(H51=0,0,I51/H51)</f>
        <v>273.74075359788935</v>
      </c>
      <c r="K51" s="411">
        <f>SUM(K48:K50)</f>
        <v>106908</v>
      </c>
      <c r="L51" s="1779">
        <f>SUM(L48:L50)</f>
        <v>0</v>
      </c>
      <c r="M51" s="1535">
        <f>IF(K51=0,0,L51/K51)</f>
        <v>0</v>
      </c>
      <c r="N51" s="1176">
        <f>SUM(N48:N50)</f>
        <v>98773.7</v>
      </c>
      <c r="O51" s="1779">
        <f>SUM(O48:O50)</f>
        <v>0</v>
      </c>
      <c r="P51" s="1535">
        <f>IF(N51=0,0,O51/N51)</f>
        <v>0</v>
      </c>
      <c r="Q51" s="411">
        <f>SUM(Q48:Q50)</f>
        <v>0</v>
      </c>
      <c r="R51" s="412"/>
      <c r="S51" s="413"/>
      <c r="T51" s="1176">
        <f>SUM(T48:T50)</f>
        <v>0</v>
      </c>
      <c r="U51" s="412"/>
      <c r="V51" s="414"/>
      <c r="W51" s="411">
        <f>SUM(W48:W50)</f>
        <v>0</v>
      </c>
      <c r="X51" s="412"/>
      <c r="Y51" s="413"/>
      <c r="Z51" s="1176">
        <f>SUM(Z48:Z50)</f>
        <v>0</v>
      </c>
      <c r="AA51" s="412"/>
      <c r="AB51" s="414"/>
      <c r="AC51" s="411">
        <f>SUM(AC48:AC50)</f>
        <v>0</v>
      </c>
      <c r="AD51" s="412"/>
      <c r="AE51" s="413"/>
      <c r="AF51" s="1176">
        <f>SUM(AF48:AF50)</f>
        <v>0</v>
      </c>
      <c r="AG51" s="412"/>
      <c r="AH51" s="414"/>
      <c r="AI51" s="411">
        <f>SUM(AI48:AI50)</f>
        <v>0</v>
      </c>
      <c r="AJ51" s="412"/>
      <c r="AK51" s="413"/>
      <c r="AL51" s="1171">
        <f>SUM(AL48:AL50)</f>
        <v>489393.5</v>
      </c>
      <c r="AM51" s="1779">
        <f>SUM(AM48:AM50)</f>
        <v>47763001</v>
      </c>
      <c r="AN51" s="1535">
        <f>IF(AL51=0,0,AM51/AL51)</f>
        <v>97.59631257873265</v>
      </c>
    </row>
    <row r="52" spans="1:40" x14ac:dyDescent="0.25">
      <c r="A52" s="1864" t="s">
        <v>82</v>
      </c>
      <c r="B52" s="411">
        <f>B43-B48</f>
        <v>4766.6000000000058</v>
      </c>
      <c r="C52" s="1779">
        <f>ROUND((B52*D51),0)</f>
        <v>368887</v>
      </c>
      <c r="D52" s="1535">
        <f>IF(B52=0,0,C52/B52)</f>
        <v>77.389963495992859</v>
      </c>
      <c r="E52" s="411">
        <f>E43-E48</f>
        <v>-26996.6</v>
      </c>
      <c r="F52" s="1779">
        <f>ROUND((E52*G51),0)</f>
        <v>-3937181</v>
      </c>
      <c r="G52" s="1535">
        <f>IF(E52=0,0,F52/E52)</f>
        <v>145.83988354089036</v>
      </c>
      <c r="H52" s="1176">
        <f>H43-H48</f>
        <v>-39452.1</v>
      </c>
      <c r="I52" s="1779">
        <f>ROUND((H52*J51),0)</f>
        <v>-10799648</v>
      </c>
      <c r="J52" s="1916">
        <f>IF(H52=0,0,I52/H52)</f>
        <v>273.74076411648559</v>
      </c>
      <c r="K52" s="411">
        <f>K43-K48</f>
        <v>-151400</v>
      </c>
      <c r="L52" s="1779">
        <f>ROUND((K52*M51),0)</f>
        <v>0</v>
      </c>
      <c r="M52" s="1535">
        <f>IF(K52=0,0,L52/K52)</f>
        <v>0</v>
      </c>
      <c r="N52" s="1176">
        <f>N43-N48</f>
        <v>-131325.70000000001</v>
      </c>
      <c r="O52" s="1779">
        <f>ROUND((N52*P51),0)</f>
        <v>0</v>
      </c>
      <c r="P52" s="1535">
        <f>IF(N52=0,0,O52/N52)</f>
        <v>0</v>
      </c>
      <c r="Q52" s="411">
        <f>Q43-Q48</f>
        <v>79555.100000000006</v>
      </c>
      <c r="R52" s="412"/>
      <c r="S52" s="413"/>
      <c r="T52" s="1176">
        <f>T43-T48</f>
        <v>0</v>
      </c>
      <c r="U52" s="412"/>
      <c r="V52" s="414"/>
      <c r="W52" s="411">
        <f>W43-W48</f>
        <v>0</v>
      </c>
      <c r="X52" s="412"/>
      <c r="Y52" s="413"/>
      <c r="Z52" s="1176">
        <f>Z43-Z48</f>
        <v>0</v>
      </c>
      <c r="AA52" s="412"/>
      <c r="AB52" s="414"/>
      <c r="AC52" s="411">
        <f>AC43-AC48</f>
        <v>0</v>
      </c>
      <c r="AD52" s="412"/>
      <c r="AE52" s="413"/>
      <c r="AF52" s="1176">
        <f>AF43-AF48</f>
        <v>0</v>
      </c>
      <c r="AG52" s="412"/>
      <c r="AH52" s="414"/>
      <c r="AI52" s="411">
        <f>AI43-AI48</f>
        <v>0</v>
      </c>
      <c r="AJ52" s="414"/>
      <c r="AK52" s="413"/>
      <c r="AL52" s="1171">
        <f>AL43-AL48</f>
        <v>-337792.7</v>
      </c>
      <c r="AM52" s="1779">
        <f>ROUND((AL52*AN51),0)</f>
        <v>-32967322</v>
      </c>
      <c r="AN52" s="1535">
        <f>IF(AL52=0,0,AM52/AL52)</f>
        <v>97.596312768156324</v>
      </c>
    </row>
    <row r="53" spans="1:40" ht="13.8" thickBot="1" x14ac:dyDescent="0.3">
      <c r="A53" s="1865" t="s">
        <v>83</v>
      </c>
      <c r="B53" s="1890">
        <f>IF(B52=0,0,B52/B43)</f>
        <v>5.8872643105752458E-2</v>
      </c>
      <c r="C53" s="1837">
        <f>C52/C51</f>
        <v>5.0127551869712149E-2</v>
      </c>
      <c r="D53" s="1891"/>
      <c r="E53" s="1890">
        <f>IF(E52=0,0,E52/E43)</f>
        <v>-0.5512952986967371</v>
      </c>
      <c r="F53" s="1837">
        <f>F52/F51</f>
        <v>-0.30748008343830807</v>
      </c>
      <c r="G53" s="1891"/>
      <c r="H53" s="1873">
        <f>IF(H52=0,0,H52/H43)</f>
        <v>-0.92309582137116297</v>
      </c>
      <c r="I53" s="1837">
        <f>I52/I51</f>
        <v>-0.39130061113002457</v>
      </c>
      <c r="J53" s="1921"/>
      <c r="K53" s="1890">
        <f>IF(K52=0,0,K52/K43)</f>
        <v>2.8263142174432496</v>
      </c>
      <c r="L53" s="1837" t="e">
        <f>L52/L51</f>
        <v>#DIV/0!</v>
      </c>
      <c r="M53" s="1891"/>
      <c r="N53" s="1929">
        <f>IF(N52=0,0,N52/N43)</f>
        <v>2.3136322555526001</v>
      </c>
      <c r="O53" s="1837" t="e">
        <f>O52/O51</f>
        <v>#DIV/0!</v>
      </c>
      <c r="P53" s="451"/>
      <c r="Q53" s="1933">
        <f>IF(Q52=0,0,Q52/Q43)</f>
        <v>1</v>
      </c>
      <c r="R53" s="450"/>
      <c r="S53" s="1781"/>
      <c r="T53" s="1929">
        <f>IF(T52=0,0,T52/T43)</f>
        <v>0</v>
      </c>
      <c r="U53" s="450"/>
      <c r="V53" s="451"/>
      <c r="W53" s="1933">
        <f>IF(W52=0,0,W52/W43)</f>
        <v>0</v>
      </c>
      <c r="X53" s="450"/>
      <c r="Y53" s="1781"/>
      <c r="Z53" s="1929">
        <f>IF(Z52=0,0,Z52/Z43)</f>
        <v>0</v>
      </c>
      <c r="AA53" s="450"/>
      <c r="AB53" s="451"/>
      <c r="AC53" s="1933">
        <f>IF(AC52=0,0,AC52/AC43)</f>
        <v>0</v>
      </c>
      <c r="AD53" s="450"/>
      <c r="AE53" s="1781"/>
      <c r="AF53" s="1929">
        <f>IF(AF52=0,0,AF52/AF43)</f>
        <v>0</v>
      </c>
      <c r="AG53" s="450"/>
      <c r="AH53" s="451"/>
      <c r="AI53" s="1933">
        <f>IF(AI52=0,0,AI52/AI43)</f>
        <v>0</v>
      </c>
      <c r="AJ53" s="451"/>
      <c r="AK53" s="1781"/>
      <c r="AL53" s="1810">
        <f>IF(AL52=0,0,AL52/AL43)</f>
        <v>-4.8985067787343946</v>
      </c>
      <c r="AM53" s="1837">
        <f>AM52/AM51</f>
        <v>-0.69022719070771954</v>
      </c>
      <c r="AN53" s="1891"/>
    </row>
    <row r="54" spans="1:40" ht="13.8" thickBot="1" x14ac:dyDescent="0.3">
      <c r="A54" s="1862" t="s">
        <v>67</v>
      </c>
      <c r="B54" s="563"/>
      <c r="C54" s="1181"/>
      <c r="D54" s="1886"/>
      <c r="E54" s="563"/>
      <c r="F54" s="1181"/>
      <c r="G54" s="1886"/>
      <c r="H54" s="1867"/>
      <c r="I54" s="1181"/>
      <c r="J54" s="1851"/>
      <c r="K54" s="563"/>
      <c r="L54" s="1181"/>
      <c r="M54" s="1886"/>
      <c r="N54" s="1867"/>
      <c r="O54" s="564"/>
      <c r="P54" s="1790"/>
      <c r="Q54" s="563"/>
      <c r="R54" s="564"/>
      <c r="S54" s="565"/>
      <c r="T54" s="1867"/>
      <c r="U54" s="564"/>
      <c r="V54" s="1790"/>
      <c r="W54" s="563"/>
      <c r="X54" s="564"/>
      <c r="Y54" s="565"/>
      <c r="Z54" s="1867"/>
      <c r="AA54" s="564"/>
      <c r="AB54" s="1790"/>
      <c r="AC54" s="563"/>
      <c r="AD54" s="564"/>
      <c r="AE54" s="565"/>
      <c r="AF54" s="1867"/>
      <c r="AG54" s="564"/>
      <c r="AH54" s="1790"/>
      <c r="AI54" s="563"/>
      <c r="AJ54" s="1790"/>
      <c r="AK54" s="565"/>
      <c r="AL54" s="452"/>
      <c r="AM54" s="452"/>
      <c r="AN54" s="1949"/>
    </row>
    <row r="55" spans="1:40" ht="13.8" thickBot="1" x14ac:dyDescent="0.3">
      <c r="A55" s="1855" t="s">
        <v>104</v>
      </c>
      <c r="B55" s="1161"/>
      <c r="C55" s="1162"/>
      <c r="D55" s="1163"/>
      <c r="E55" s="1161"/>
      <c r="F55" s="1162"/>
      <c r="G55" s="1163"/>
      <c r="H55" s="1162"/>
      <c r="I55" s="1162"/>
      <c r="J55" s="1162"/>
      <c r="K55" s="1161"/>
      <c r="L55" s="1162"/>
      <c r="M55" s="1163"/>
      <c r="N55" s="1162"/>
      <c r="O55" s="1162"/>
      <c r="P55" s="1162"/>
      <c r="Q55" s="1161"/>
      <c r="R55" s="1162"/>
      <c r="S55" s="1163"/>
      <c r="T55" s="1162"/>
      <c r="U55" s="1162"/>
      <c r="V55" s="1162"/>
      <c r="W55" s="1161"/>
      <c r="X55" s="1162"/>
      <c r="Y55" s="1163"/>
      <c r="Z55" s="1162"/>
      <c r="AA55" s="1162"/>
      <c r="AB55" s="1162"/>
      <c r="AC55" s="1161"/>
      <c r="AD55" s="1162"/>
      <c r="AE55" s="1163"/>
      <c r="AF55" s="1162"/>
      <c r="AG55" s="1162"/>
      <c r="AH55" s="1162"/>
      <c r="AI55" s="1161"/>
      <c r="AJ55" s="1162"/>
      <c r="AK55" s="1163"/>
      <c r="AL55" s="1161"/>
      <c r="AM55" s="1143"/>
      <c r="AN55" s="1948"/>
    </row>
    <row r="56" spans="1:40" x14ac:dyDescent="0.25">
      <c r="A56" s="1169" t="s">
        <v>84</v>
      </c>
      <c r="B56" s="407">
        <v>49725</v>
      </c>
      <c r="C56" s="1778">
        <f>'Stock Valuation (FIFO)'!D10</f>
        <v>6345332</v>
      </c>
      <c r="D56" s="1535">
        <f t="shared" ref="D56:D65" si="19">IF(B56=0,0,C56/B56)</f>
        <v>127.60848667672197</v>
      </c>
      <c r="E56" s="407">
        <f>B61</f>
        <v>60119.999999999985</v>
      </c>
      <c r="F56" s="1782">
        <f>C61</f>
        <v>4852120</v>
      </c>
      <c r="G56" s="1535">
        <f t="shared" ref="G56:G65" si="20">IF(E56=0,0,F56/E56)</f>
        <v>80.707252162342002</v>
      </c>
      <c r="H56" s="1175">
        <f>E61</f>
        <v>57939</v>
      </c>
      <c r="I56" s="1782">
        <f>F61</f>
        <v>3519207</v>
      </c>
      <c r="J56" s="1916">
        <f t="shared" ref="J56:J65" si="21">IF(H56=0,0,I56/H56)</f>
        <v>60.739864340081809</v>
      </c>
      <c r="K56" s="407">
        <f>H61</f>
        <v>72217.099999999991</v>
      </c>
      <c r="L56" s="1782">
        <f>I61</f>
        <v>0</v>
      </c>
      <c r="M56" s="1535">
        <f t="shared" ref="M56:M65" si="22">IF(K56=0,0,L56/K56)</f>
        <v>0</v>
      </c>
      <c r="N56" s="1175">
        <f>K61</f>
        <v>76817.999999999971</v>
      </c>
      <c r="O56" s="1782">
        <f>L61</f>
        <v>0</v>
      </c>
      <c r="P56" s="1535">
        <f t="shared" ref="P56:P63" si="23">IF(N56=0,0,O56/N56)</f>
        <v>0</v>
      </c>
      <c r="Q56" s="407">
        <f>N61</f>
        <v>77470.799999999974</v>
      </c>
      <c r="R56" s="408"/>
      <c r="S56" s="410"/>
      <c r="T56" s="1175">
        <f>Q61</f>
        <v>77470.799999999974</v>
      </c>
      <c r="U56" s="408"/>
      <c r="V56" s="1794"/>
      <c r="W56" s="407">
        <f>T61</f>
        <v>77470.799999999974</v>
      </c>
      <c r="X56" s="408"/>
      <c r="Y56" s="410"/>
      <c r="Z56" s="1175">
        <f>W61</f>
        <v>77470.799999999974</v>
      </c>
      <c r="AA56" s="408"/>
      <c r="AB56" s="1794"/>
      <c r="AC56" s="407">
        <f>Z61</f>
        <v>77470.799999999974</v>
      </c>
      <c r="AD56" s="408"/>
      <c r="AE56" s="410"/>
      <c r="AF56" s="1175">
        <f>AC61</f>
        <v>77470.799999999974</v>
      </c>
      <c r="AG56" s="408"/>
      <c r="AH56" s="1794"/>
      <c r="AI56" s="407">
        <f>AF61</f>
        <v>77470.799999999974</v>
      </c>
      <c r="AJ56" s="1794"/>
      <c r="AK56" s="410"/>
      <c r="AL56" s="1169">
        <f>B56</f>
        <v>49725</v>
      </c>
      <c r="AM56" s="1964">
        <f>C56</f>
        <v>6345332</v>
      </c>
      <c r="AN56" s="1535">
        <f t="shared" ref="AN56:AN65" si="24">IF(AL56=0,0,AM56/AL56)</f>
        <v>127.60848667672197</v>
      </c>
    </row>
    <row r="57" spans="1:40" x14ac:dyDescent="0.25">
      <c r="A57" s="1171" t="s">
        <v>85</v>
      </c>
      <c r="B57" s="411">
        <f>B51-B58</f>
        <v>76198</v>
      </c>
      <c r="C57" s="1779">
        <f>C48</f>
        <v>6690166</v>
      </c>
      <c r="D57" s="1535">
        <f t="shared" si="19"/>
        <v>87.799758523845767</v>
      </c>
      <c r="E57" s="411">
        <f>E51-E58</f>
        <v>75966</v>
      </c>
      <c r="F57" s="1779">
        <f>F48</f>
        <v>12342420</v>
      </c>
      <c r="G57" s="1535">
        <f t="shared" si="20"/>
        <v>162.47294842429508</v>
      </c>
      <c r="H57" s="1176">
        <f>H51-H58</f>
        <v>82191</v>
      </c>
      <c r="I57" s="1779">
        <f>I48</f>
        <v>27599364</v>
      </c>
      <c r="J57" s="1916">
        <f t="shared" si="21"/>
        <v>335.79545205679455</v>
      </c>
      <c r="K57" s="411">
        <f>K51-K58</f>
        <v>97832</v>
      </c>
      <c r="L57" s="1779">
        <f>L48</f>
        <v>0</v>
      </c>
      <c r="M57" s="1535">
        <f t="shared" si="22"/>
        <v>0</v>
      </c>
      <c r="N57" s="1176">
        <f>N51-N58</f>
        <v>74564</v>
      </c>
      <c r="O57" s="1779">
        <f>O48</f>
        <v>0</v>
      </c>
      <c r="P57" s="1535">
        <f t="shared" si="23"/>
        <v>0</v>
      </c>
      <c r="Q57" s="411">
        <f>Q51-Q58</f>
        <v>0</v>
      </c>
      <c r="R57" s="412"/>
      <c r="S57" s="413"/>
      <c r="T57" s="1176">
        <f>T51-T58</f>
        <v>0</v>
      </c>
      <c r="U57" s="412"/>
      <c r="V57" s="414"/>
      <c r="W57" s="411">
        <f>W51-W58</f>
        <v>0</v>
      </c>
      <c r="X57" s="412"/>
      <c r="Y57" s="413"/>
      <c r="Z57" s="1176">
        <f>Z51-Z58</f>
        <v>0</v>
      </c>
      <c r="AA57" s="412"/>
      <c r="AB57" s="414"/>
      <c r="AC57" s="411">
        <f>AC51-AC58</f>
        <v>0</v>
      </c>
      <c r="AD57" s="412"/>
      <c r="AE57" s="413"/>
      <c r="AF57" s="1176">
        <f>AF51-AF58</f>
        <v>0</v>
      </c>
      <c r="AG57" s="412"/>
      <c r="AH57" s="414"/>
      <c r="AI57" s="411">
        <f>AI51-AI58</f>
        <v>0</v>
      </c>
      <c r="AJ57" s="414"/>
      <c r="AK57" s="413"/>
      <c r="AL57" s="411">
        <f>AL51-AL58</f>
        <v>406751</v>
      </c>
      <c r="AM57" s="1779">
        <f>AM48</f>
        <v>46631950</v>
      </c>
      <c r="AN57" s="1535">
        <f t="shared" si="24"/>
        <v>114.64495477577191</v>
      </c>
    </row>
    <row r="58" spans="1:40" x14ac:dyDescent="0.25">
      <c r="A58" s="1171" t="s">
        <v>86</v>
      </c>
      <c r="B58" s="411">
        <f>B49</f>
        <v>18891.3</v>
      </c>
      <c r="C58" s="1838">
        <f>C49</f>
        <v>668801</v>
      </c>
      <c r="D58" s="1535">
        <f t="shared" si="19"/>
        <v>35.402592727869447</v>
      </c>
      <c r="E58" s="411">
        <f>E49</f>
        <v>11833.5</v>
      </c>
      <c r="F58" s="1838">
        <f>F49</f>
        <v>462250</v>
      </c>
      <c r="G58" s="1535">
        <f t="shared" si="20"/>
        <v>39.062830100984492</v>
      </c>
      <c r="H58" s="1176">
        <f>H49</f>
        <v>18632</v>
      </c>
      <c r="I58" s="1838">
        <f>I49</f>
        <v>0</v>
      </c>
      <c r="J58" s="1916">
        <f t="shared" si="21"/>
        <v>0</v>
      </c>
      <c r="K58" s="411">
        <f>K49</f>
        <v>9076</v>
      </c>
      <c r="L58" s="1838">
        <f>L49</f>
        <v>0</v>
      </c>
      <c r="M58" s="1535">
        <f t="shared" si="22"/>
        <v>0</v>
      </c>
      <c r="N58" s="1176">
        <f>N49</f>
        <v>24209.7</v>
      </c>
      <c r="O58" s="1838">
        <f>O49</f>
        <v>0</v>
      </c>
      <c r="P58" s="1535">
        <f t="shared" si="23"/>
        <v>0</v>
      </c>
      <c r="Q58" s="411">
        <f>Q49</f>
        <v>0</v>
      </c>
      <c r="R58" s="412"/>
      <c r="S58" s="413"/>
      <c r="T58" s="1176">
        <f>T49</f>
        <v>0</v>
      </c>
      <c r="U58" s="412"/>
      <c r="V58" s="414"/>
      <c r="W58" s="411">
        <f>W49</f>
        <v>0</v>
      </c>
      <c r="X58" s="412"/>
      <c r="Y58" s="413"/>
      <c r="Z58" s="1176">
        <f>Z49</f>
        <v>0</v>
      </c>
      <c r="AA58" s="412"/>
      <c r="AB58" s="414"/>
      <c r="AC58" s="411">
        <f>AC49</f>
        <v>0</v>
      </c>
      <c r="AD58" s="412"/>
      <c r="AE58" s="413"/>
      <c r="AF58" s="1176">
        <f>AF49</f>
        <v>0</v>
      </c>
      <c r="AG58" s="412"/>
      <c r="AH58" s="414"/>
      <c r="AI58" s="411">
        <f>AI49</f>
        <v>0</v>
      </c>
      <c r="AJ58" s="414"/>
      <c r="AK58" s="413"/>
      <c r="AL58" s="411">
        <f>AL49</f>
        <v>82642.5</v>
      </c>
      <c r="AM58" s="1838">
        <f>AM49</f>
        <v>1131051</v>
      </c>
      <c r="AN58" s="1535">
        <f t="shared" si="24"/>
        <v>13.686069516290045</v>
      </c>
    </row>
    <row r="59" spans="1:40" ht="13.8" thickBot="1" x14ac:dyDescent="0.3">
      <c r="A59" s="1811" t="s">
        <v>114</v>
      </c>
      <c r="B59" s="432">
        <v>773</v>
      </c>
      <c r="C59" s="1839">
        <f>ROUND((B59*D56),0)</f>
        <v>98641</v>
      </c>
      <c r="D59" s="1892">
        <f t="shared" si="19"/>
        <v>127.60802069857698</v>
      </c>
      <c r="E59" s="432">
        <v>283</v>
      </c>
      <c r="F59" s="1839">
        <f>ROUND((E59*G56),0)</f>
        <v>22840</v>
      </c>
      <c r="G59" s="1892">
        <f t="shared" si="20"/>
        <v>80.706713780918733</v>
      </c>
      <c r="H59" s="1874">
        <v>215.8</v>
      </c>
      <c r="I59" s="1839">
        <f>ROUND((H59*J56),0)</f>
        <v>13108</v>
      </c>
      <c r="J59" s="1922">
        <f t="shared" si="21"/>
        <v>60.741427247451341</v>
      </c>
      <c r="K59" s="432">
        <v>225.4</v>
      </c>
      <c r="L59" s="1839">
        <f>ROUND((K59*M56),0)</f>
        <v>0</v>
      </c>
      <c r="M59" s="1892">
        <f t="shared" si="22"/>
        <v>0</v>
      </c>
      <c r="N59" s="1874">
        <v>199.3</v>
      </c>
      <c r="O59" s="1839">
        <f>ROUND((N59*P56),0)</f>
        <v>0</v>
      </c>
      <c r="P59" s="1892">
        <f t="shared" si="23"/>
        <v>0</v>
      </c>
      <c r="Q59" s="432"/>
      <c r="R59" s="433"/>
      <c r="S59" s="434"/>
      <c r="T59" s="1874"/>
      <c r="U59" s="433"/>
      <c r="V59" s="1795"/>
      <c r="W59" s="432"/>
      <c r="X59" s="433"/>
      <c r="Y59" s="434"/>
      <c r="Z59" s="1874"/>
      <c r="AA59" s="433"/>
      <c r="AB59" s="1795"/>
      <c r="AC59" s="432"/>
      <c r="AD59" s="433"/>
      <c r="AE59" s="434"/>
      <c r="AF59" s="1874"/>
      <c r="AG59" s="433"/>
      <c r="AH59" s="1795"/>
      <c r="AI59" s="432"/>
      <c r="AJ59" s="1795"/>
      <c r="AK59" s="434"/>
      <c r="AL59" s="1811">
        <f>SUM(B59,E59,H59,K59,N59,Q59,T59,W59,Z59,AC59,AF59,AI59)</f>
        <v>1696.5</v>
      </c>
      <c r="AM59" s="1965">
        <f>SUM(C59,F59,I59,L59,O59,R59,U59,X59,AA59,AD59,AG59,AJ59)</f>
        <v>134589</v>
      </c>
      <c r="AN59" s="1950">
        <f t="shared" si="24"/>
        <v>79.333333333333329</v>
      </c>
    </row>
    <row r="60" spans="1:40" ht="14.4" thickTop="1" thickBot="1" x14ac:dyDescent="0.3">
      <c r="A60" s="1807" t="s">
        <v>0</v>
      </c>
      <c r="B60" s="1893">
        <f>SUM(B56:B59)</f>
        <v>145587.29999999999</v>
      </c>
      <c r="C60" s="1840">
        <f>SUM(C56:C59)</f>
        <v>13802940</v>
      </c>
      <c r="D60" s="1894">
        <f t="shared" si="19"/>
        <v>94.808681801228545</v>
      </c>
      <c r="E60" s="435">
        <f>SUM(E56:E59)</f>
        <v>148202.5</v>
      </c>
      <c r="F60" s="1840">
        <f>SUM(F56:F59)</f>
        <v>17679630</v>
      </c>
      <c r="G60" s="1894">
        <f t="shared" si="20"/>
        <v>119.29373661038106</v>
      </c>
      <c r="H60" s="1239">
        <f>SUM(H56:H59)</f>
        <v>158977.79999999999</v>
      </c>
      <c r="I60" s="1840">
        <f>SUM(I56:I59)</f>
        <v>31131679</v>
      </c>
      <c r="J60" s="1923">
        <f t="shared" si="21"/>
        <v>195.82406474363088</v>
      </c>
      <c r="K60" s="435">
        <f>SUM(K56:K59)</f>
        <v>179350.49999999997</v>
      </c>
      <c r="L60" s="1840">
        <f>SUM(L56:L59)</f>
        <v>0</v>
      </c>
      <c r="M60" s="1894">
        <f t="shared" si="22"/>
        <v>0</v>
      </c>
      <c r="N60" s="1239">
        <f>SUM(N56:N59)</f>
        <v>175790.99999999997</v>
      </c>
      <c r="O60" s="1840">
        <f>SUM(O56:O59)</f>
        <v>0</v>
      </c>
      <c r="P60" s="1894">
        <f t="shared" si="23"/>
        <v>0</v>
      </c>
      <c r="Q60" s="435">
        <f>SUM(Q56:Q59)</f>
        <v>77470.799999999974</v>
      </c>
      <c r="R60" s="420"/>
      <c r="S60" s="421"/>
      <c r="T60" s="1239">
        <f>SUM(T56:T59)</f>
        <v>77470.799999999974</v>
      </c>
      <c r="U60" s="420"/>
      <c r="V60" s="1168"/>
      <c r="W60" s="435">
        <f>SUM(W56:W59)</f>
        <v>77470.799999999974</v>
      </c>
      <c r="X60" s="420"/>
      <c r="Y60" s="421"/>
      <c r="Z60" s="1239">
        <f>SUM(Z56:Z59)</f>
        <v>77470.799999999974</v>
      </c>
      <c r="AA60" s="420"/>
      <c r="AB60" s="1168"/>
      <c r="AC60" s="435">
        <f>SUM(AC56:AC59)</f>
        <v>77470.799999999974</v>
      </c>
      <c r="AD60" s="420"/>
      <c r="AE60" s="421"/>
      <c r="AF60" s="1239">
        <f>SUM(AF56:AF59)</f>
        <v>77470.799999999974</v>
      </c>
      <c r="AG60" s="420"/>
      <c r="AH60" s="1168"/>
      <c r="AI60" s="435">
        <f>SUM(AI56:AI59)</f>
        <v>77470.799999999974</v>
      </c>
      <c r="AJ60" s="1168"/>
      <c r="AK60" s="421"/>
      <c r="AL60" s="1807">
        <f>SUM(AL56:AL59)</f>
        <v>540815</v>
      </c>
      <c r="AM60" s="1840">
        <f>SUM(AM56:AM59)</f>
        <v>54242922</v>
      </c>
      <c r="AN60" s="1894">
        <f t="shared" si="24"/>
        <v>100.298479147213</v>
      </c>
    </row>
    <row r="61" spans="1:40" ht="13.8" thickBot="1" x14ac:dyDescent="0.3">
      <c r="A61" s="1804" t="s">
        <v>89</v>
      </c>
      <c r="B61" s="1812">
        <f>B60-B65</f>
        <v>60119.999999999985</v>
      </c>
      <c r="C61" s="1829">
        <f>'Stock Valuation (FIFO)'!G10</f>
        <v>4852120</v>
      </c>
      <c r="D61" s="1647">
        <f t="shared" si="19"/>
        <v>80.707252162342002</v>
      </c>
      <c r="E61" s="1812">
        <f>E60-E65</f>
        <v>57939</v>
      </c>
      <c r="F61" s="1830">
        <f>'Stock Valuation (FIFO)'!J10</f>
        <v>3519207</v>
      </c>
      <c r="G61" s="1884">
        <f t="shared" si="20"/>
        <v>60.739864340081809</v>
      </c>
      <c r="H61" s="1868">
        <f>H60-H65</f>
        <v>72217.099999999991</v>
      </c>
      <c r="I61" s="1829">
        <f>'Stock Valuation (FIFO)'!M10</f>
        <v>0</v>
      </c>
      <c r="J61" s="1919">
        <f t="shared" si="21"/>
        <v>0</v>
      </c>
      <c r="K61" s="1812">
        <f>K60-K65</f>
        <v>76817.999999999971</v>
      </c>
      <c r="L61" s="1829">
        <f>'Stock Valuation (FIFO)'!P10</f>
        <v>0</v>
      </c>
      <c r="M61" s="1884">
        <f t="shared" si="22"/>
        <v>0</v>
      </c>
      <c r="N61" s="1868">
        <f>N60-N65</f>
        <v>77470.799999999974</v>
      </c>
      <c r="O61" s="1829">
        <f>'Stock Valuation (FIFO)'!S10</f>
        <v>0</v>
      </c>
      <c r="P61" s="1884">
        <f t="shared" si="23"/>
        <v>0</v>
      </c>
      <c r="Q61" s="1812">
        <f>Q60-Q65</f>
        <v>77470.799999999974</v>
      </c>
      <c r="R61" s="423"/>
      <c r="S61" s="1806"/>
      <c r="T61" s="1868">
        <f>T60-T65</f>
        <v>77470.799999999974</v>
      </c>
      <c r="U61" s="423"/>
      <c r="V61" s="428"/>
      <c r="W61" s="1812">
        <f>W60-W65</f>
        <v>77470.799999999974</v>
      </c>
      <c r="X61" s="423"/>
      <c r="Y61" s="1806"/>
      <c r="Z61" s="1868">
        <f>Z60-Z65</f>
        <v>77470.799999999974</v>
      </c>
      <c r="AA61" s="423"/>
      <c r="AB61" s="428"/>
      <c r="AC61" s="1812">
        <f>AC60-AC65</f>
        <v>77470.799999999974</v>
      </c>
      <c r="AD61" s="423"/>
      <c r="AE61" s="1806"/>
      <c r="AF61" s="1868">
        <f>AF60-AF65</f>
        <v>77470.799999999974</v>
      </c>
      <c r="AG61" s="423"/>
      <c r="AH61" s="428"/>
      <c r="AI61" s="1812">
        <f>AI60-AI65</f>
        <v>77470.799999999974</v>
      </c>
      <c r="AJ61" s="423"/>
      <c r="AK61" s="1806"/>
      <c r="AL61" s="1953">
        <f>K61</f>
        <v>76817.999999999971</v>
      </c>
      <c r="AM61" s="1957">
        <f>L61</f>
        <v>0</v>
      </c>
      <c r="AN61" s="1966">
        <f t="shared" si="24"/>
        <v>0</v>
      </c>
    </row>
    <row r="62" spans="1:40" x14ac:dyDescent="0.25">
      <c r="A62" s="1171" t="s">
        <v>639</v>
      </c>
      <c r="B62" s="411">
        <v>79417.3</v>
      </c>
      <c r="C62" s="1779">
        <f>C60-(C61+C64+C63)</f>
        <v>7867820</v>
      </c>
      <c r="D62" s="1884">
        <f t="shared" si="19"/>
        <v>99.069346351487638</v>
      </c>
      <c r="E62" s="411">
        <v>85763.5</v>
      </c>
      <c r="F62" s="1779">
        <f>F60-(F61+F64+F63)</f>
        <v>13367923</v>
      </c>
      <c r="G62" s="1535">
        <f t="shared" si="20"/>
        <v>155.86960653424825</v>
      </c>
      <c r="H62" s="1176">
        <v>86760.7</v>
      </c>
      <c r="I62" s="1779">
        <f>I60-(I61+I64+I63)</f>
        <v>31131679</v>
      </c>
      <c r="J62" s="1916">
        <f t="shared" si="21"/>
        <v>358.82235851024717</v>
      </c>
      <c r="K62" s="411">
        <v>102532.5</v>
      </c>
      <c r="L62" s="1779">
        <f>L60-(L61+L64+L63)</f>
        <v>0</v>
      </c>
      <c r="M62" s="1535">
        <f t="shared" si="22"/>
        <v>0</v>
      </c>
      <c r="N62" s="1176">
        <v>90820.2</v>
      </c>
      <c r="O62" s="1779">
        <f>O60-(O61+O64+O63)</f>
        <v>0</v>
      </c>
      <c r="P62" s="1535">
        <f t="shared" si="23"/>
        <v>0</v>
      </c>
      <c r="Q62" s="411"/>
      <c r="R62" s="412"/>
      <c r="S62" s="413"/>
      <c r="T62" s="1176"/>
      <c r="U62" s="412"/>
      <c r="V62" s="414"/>
      <c r="W62" s="411"/>
      <c r="X62" s="412"/>
      <c r="Y62" s="413"/>
      <c r="Z62" s="1176"/>
      <c r="AA62" s="412"/>
      <c r="AB62" s="414"/>
      <c r="AC62" s="411"/>
      <c r="AD62" s="412"/>
      <c r="AE62" s="413"/>
      <c r="AF62" s="1176"/>
      <c r="AG62" s="412"/>
      <c r="AH62" s="414"/>
      <c r="AI62" s="411"/>
      <c r="AJ62" s="414"/>
      <c r="AK62" s="413"/>
      <c r="AL62" s="1171">
        <f>SUM(B62,E62,H62,K62,N62,Q62,T62,W62,Z62,AC62,AF62,AI62)</f>
        <v>445294.2</v>
      </c>
      <c r="AM62" s="1779">
        <f>AM60-(AM61+AM64+AM63)</f>
        <v>52367422</v>
      </c>
      <c r="AN62" s="1535">
        <f t="shared" si="24"/>
        <v>117.60185064166566</v>
      </c>
    </row>
    <row r="63" spans="1:40" x14ac:dyDescent="0.25">
      <c r="A63" s="1171" t="s">
        <v>3</v>
      </c>
      <c r="B63" s="411">
        <f>'Inventory Sales'!B10</f>
        <v>6050</v>
      </c>
      <c r="C63" s="1779">
        <f>'Inventory Sales'!$D10</f>
        <v>1083000</v>
      </c>
      <c r="D63" s="1535">
        <f t="shared" si="19"/>
        <v>179.0082644628099</v>
      </c>
      <c r="E63" s="411">
        <f>'Inventory Sales'!E$10</f>
        <v>4500</v>
      </c>
      <c r="F63" s="1779">
        <f>'Inventory Sales'!$G10</f>
        <v>792500</v>
      </c>
      <c r="G63" s="1535">
        <f t="shared" si="20"/>
        <v>176.11111111111111</v>
      </c>
      <c r="H63" s="411">
        <f>'Inventory Sales'!H$10</f>
        <v>0</v>
      </c>
      <c r="I63" s="1779">
        <f>'Inventory Sales'!$J10</f>
        <v>0</v>
      </c>
      <c r="J63" s="1916">
        <f t="shared" si="21"/>
        <v>0</v>
      </c>
      <c r="K63" s="411">
        <f>'Inventory Sales'!K$10</f>
        <v>0</v>
      </c>
      <c r="L63" s="1779">
        <f>'Inventory Sales'!$M10</f>
        <v>0</v>
      </c>
      <c r="M63" s="1535">
        <f t="shared" si="22"/>
        <v>0</v>
      </c>
      <c r="N63" s="1176">
        <v>7500</v>
      </c>
      <c r="O63" s="1779">
        <f>'Inventory Sales'!$P10</f>
        <v>0</v>
      </c>
      <c r="P63" s="1535">
        <f t="shared" si="23"/>
        <v>0</v>
      </c>
      <c r="Q63" s="411"/>
      <c r="R63" s="412"/>
      <c r="S63" s="413"/>
      <c r="T63" s="1176"/>
      <c r="U63" s="412"/>
      <c r="V63" s="414"/>
      <c r="W63" s="411"/>
      <c r="X63" s="412"/>
      <c r="Y63" s="413"/>
      <c r="Z63" s="1176"/>
      <c r="AA63" s="412"/>
      <c r="AB63" s="414"/>
      <c r="AC63" s="411"/>
      <c r="AD63" s="412"/>
      <c r="AE63" s="413"/>
      <c r="AF63" s="1176"/>
      <c r="AG63" s="412"/>
      <c r="AH63" s="414"/>
      <c r="AI63" s="411"/>
      <c r="AJ63" s="414"/>
      <c r="AK63" s="413"/>
      <c r="AL63" s="1171">
        <f>SUM(B63,E63,H63,K63,N63,Q63,T63,W63,Z63,AC63,AF63,AI63)</f>
        <v>18050</v>
      </c>
      <c r="AM63" s="1945">
        <f>SUM(C63,F63,I63,L63,O63,R63,U63,X63,AA63,AD63,AG63,AJ63)</f>
        <v>1875500</v>
      </c>
      <c r="AN63" s="1535">
        <f t="shared" si="24"/>
        <v>103.90581717451524</v>
      </c>
    </row>
    <row r="64" spans="1:40" ht="13.8" thickBot="1" x14ac:dyDescent="0.3">
      <c r="A64" s="1811" t="s">
        <v>88</v>
      </c>
      <c r="B64" s="432"/>
      <c r="C64" s="1841"/>
      <c r="D64" s="1892">
        <f t="shared" si="19"/>
        <v>0</v>
      </c>
      <c r="E64" s="432"/>
      <c r="F64" s="1842"/>
      <c r="G64" s="1892">
        <f t="shared" si="20"/>
        <v>0</v>
      </c>
      <c r="H64" s="1874"/>
      <c r="I64" s="433"/>
      <c r="J64" s="1922">
        <f t="shared" si="21"/>
        <v>0</v>
      </c>
      <c r="K64" s="432"/>
      <c r="L64" s="433"/>
      <c r="M64" s="1892">
        <f t="shared" si="22"/>
        <v>0</v>
      </c>
      <c r="N64" s="1874"/>
      <c r="O64" s="433"/>
      <c r="P64" s="1795"/>
      <c r="Q64" s="432"/>
      <c r="R64" s="433"/>
      <c r="S64" s="434"/>
      <c r="T64" s="1874"/>
      <c r="U64" s="433"/>
      <c r="V64" s="1795"/>
      <c r="W64" s="432"/>
      <c r="X64" s="433"/>
      <c r="Y64" s="434"/>
      <c r="Z64" s="1874"/>
      <c r="AA64" s="433"/>
      <c r="AB64" s="1795"/>
      <c r="AC64" s="432"/>
      <c r="AD64" s="433"/>
      <c r="AE64" s="434"/>
      <c r="AF64" s="1874"/>
      <c r="AG64" s="433"/>
      <c r="AH64" s="1795"/>
      <c r="AI64" s="432"/>
      <c r="AJ64" s="1795"/>
      <c r="AK64" s="434"/>
      <c r="AL64" s="1811">
        <f>SUM(B64:AI64)</f>
        <v>0</v>
      </c>
      <c r="AM64" s="1811"/>
      <c r="AN64" s="1950">
        <f t="shared" si="24"/>
        <v>0</v>
      </c>
    </row>
    <row r="65" spans="1:40" ht="14.4" thickTop="1" thickBot="1" x14ac:dyDescent="0.3">
      <c r="A65" s="452" t="s">
        <v>0</v>
      </c>
      <c r="B65" s="563">
        <f>SUM(B62:B64)</f>
        <v>85467.3</v>
      </c>
      <c r="C65" s="1181">
        <f>SUM(C60:C64)</f>
        <v>27605880</v>
      </c>
      <c r="D65" s="1895">
        <f t="shared" si="19"/>
        <v>322.99932254792185</v>
      </c>
      <c r="E65" s="563">
        <f>SUM(E62:E64)</f>
        <v>90263.5</v>
      </c>
      <c r="F65" s="1181">
        <f>SUM(F60:F64)</f>
        <v>35359260</v>
      </c>
      <c r="G65" s="1895">
        <f t="shared" si="20"/>
        <v>391.73375727730479</v>
      </c>
      <c r="H65" s="1867">
        <f>SUM(H62:H64)</f>
        <v>86760.7</v>
      </c>
      <c r="I65" s="1181">
        <f>SUM(I60:I64)</f>
        <v>62263358</v>
      </c>
      <c r="J65" s="1924">
        <f t="shared" si="21"/>
        <v>717.64471702049434</v>
      </c>
      <c r="K65" s="563">
        <f>SUM(K62:K64)</f>
        <v>102532.5</v>
      </c>
      <c r="L65" s="1181">
        <f>SUM(L60:L64)</f>
        <v>0</v>
      </c>
      <c r="M65" s="1895">
        <f t="shared" si="22"/>
        <v>0</v>
      </c>
      <c r="N65" s="1867">
        <f>SUM(N62:N64)</f>
        <v>98320.2</v>
      </c>
      <c r="O65" s="1181">
        <f>SUM(O60:O64)</f>
        <v>0</v>
      </c>
      <c r="P65" s="1895">
        <f>IF(N65=0,0,O65/N65)</f>
        <v>0</v>
      </c>
      <c r="Q65" s="563">
        <f>SUM(Q62:Q64)</f>
        <v>0</v>
      </c>
      <c r="R65" s="564"/>
      <c r="S65" s="565"/>
      <c r="T65" s="1867">
        <f>SUM(T62:T64)</f>
        <v>0</v>
      </c>
      <c r="U65" s="564"/>
      <c r="V65" s="1790"/>
      <c r="W65" s="563">
        <f>SUM(W62:W64)</f>
        <v>0</v>
      </c>
      <c r="X65" s="564"/>
      <c r="Y65" s="565"/>
      <c r="Z65" s="1867">
        <f>SUM(Z62:Z64)</f>
        <v>0</v>
      </c>
      <c r="AA65" s="564"/>
      <c r="AB65" s="1790"/>
      <c r="AC65" s="563">
        <f>SUM(AC62:AC64)</f>
        <v>0</v>
      </c>
      <c r="AD65" s="564"/>
      <c r="AE65" s="565"/>
      <c r="AF65" s="1867">
        <f>SUM(AF62:AF64)</f>
        <v>0</v>
      </c>
      <c r="AG65" s="564"/>
      <c r="AH65" s="1790"/>
      <c r="AI65" s="563">
        <f>SUM(AI62:AI64)</f>
        <v>0</v>
      </c>
      <c r="AJ65" s="1790"/>
      <c r="AK65" s="565"/>
      <c r="AL65" s="563">
        <f>SUM(AL62:AL64)</f>
        <v>463344.2</v>
      </c>
      <c r="AM65" s="1181">
        <f>SUM(AM60:AM64)</f>
        <v>108485844</v>
      </c>
      <c r="AN65" s="1951">
        <f t="shared" si="24"/>
        <v>234.13661809082751</v>
      </c>
    </row>
    <row r="66" spans="1:40" ht="13.8" thickBot="1" x14ac:dyDescent="0.3"/>
    <row r="67" spans="1:40" ht="13.8" thickBot="1" x14ac:dyDescent="0.3">
      <c r="A67" s="1855" t="s">
        <v>105</v>
      </c>
      <c r="B67" s="1161"/>
      <c r="C67" s="1162"/>
      <c r="D67" s="1163"/>
      <c r="E67" s="1161"/>
      <c r="F67" s="1162"/>
      <c r="G67" s="1163"/>
      <c r="H67" s="1162"/>
      <c r="I67" s="1162"/>
      <c r="J67" s="1162"/>
      <c r="K67" s="1161"/>
      <c r="L67" s="1162"/>
      <c r="M67" s="1163"/>
      <c r="N67" s="1162"/>
      <c r="O67" s="1162"/>
      <c r="P67" s="1162"/>
      <c r="Q67" s="1161"/>
      <c r="R67" s="1162"/>
      <c r="S67" s="1163"/>
      <c r="T67" s="1162"/>
      <c r="U67" s="1162"/>
      <c r="V67" s="1162"/>
      <c r="W67" s="1161"/>
      <c r="X67" s="1162"/>
      <c r="Y67" s="1163"/>
      <c r="Z67" s="1162"/>
      <c r="AA67" s="1162"/>
      <c r="AB67" s="1162"/>
      <c r="AC67" s="1161"/>
      <c r="AD67" s="1162"/>
      <c r="AE67" s="1163"/>
      <c r="AF67" s="1162"/>
      <c r="AG67" s="1162"/>
      <c r="AH67" s="1162"/>
      <c r="AI67" s="1161"/>
      <c r="AJ67" s="1162"/>
      <c r="AK67" s="1163"/>
      <c r="AL67" s="1161"/>
      <c r="AM67" s="149"/>
      <c r="AN67" s="1163"/>
    </row>
    <row r="68" spans="1:40" x14ac:dyDescent="0.25">
      <c r="A68" s="1169" t="s">
        <v>106</v>
      </c>
      <c r="B68" s="407">
        <v>76468</v>
      </c>
      <c r="C68" s="1778">
        <f>'Stock Valuation (FIFO)'!D11</f>
        <v>10716557</v>
      </c>
      <c r="D68" s="1535">
        <f>IF(B68=0,0,C68/B68)</f>
        <v>140.14433488518074</v>
      </c>
      <c r="E68" s="407">
        <f>B71</f>
        <v>63905.599999999991</v>
      </c>
      <c r="F68" s="1782">
        <f>C71</f>
        <v>9161334</v>
      </c>
      <c r="G68" s="1535">
        <f>IF(E68=0,0,F68/E68)</f>
        <v>143.35729576124785</v>
      </c>
      <c r="H68" s="1175">
        <f>E71</f>
        <v>61851.199999999968</v>
      </c>
      <c r="I68" s="1782">
        <f>F71</f>
        <v>11729241</v>
      </c>
      <c r="J68" s="1916">
        <f>IF(H68=0,0,I68/H68)</f>
        <v>189.63643389295609</v>
      </c>
      <c r="K68" s="407">
        <f>H71</f>
        <v>66527.899999999951</v>
      </c>
      <c r="L68" s="1782">
        <f>I71</f>
        <v>0</v>
      </c>
      <c r="M68" s="1535">
        <f>IF(K68=0,0,L68/K68)</f>
        <v>0</v>
      </c>
      <c r="N68" s="1175">
        <f>K71</f>
        <v>73739.299999999974</v>
      </c>
      <c r="O68" s="1782">
        <f>L71</f>
        <v>0</v>
      </c>
      <c r="P68" s="1535">
        <f>IF(N68=0,0,O68/N68)</f>
        <v>0</v>
      </c>
      <c r="Q68" s="407">
        <f>N71</f>
        <v>77584.899999999965</v>
      </c>
      <c r="R68" s="408"/>
      <c r="S68" s="410"/>
      <c r="T68" s="1175">
        <f>Q71</f>
        <v>77584.899999999965</v>
      </c>
      <c r="U68" s="408"/>
      <c r="V68" s="1794"/>
      <c r="W68" s="407">
        <f>T71</f>
        <v>77584.899999999965</v>
      </c>
      <c r="X68" s="408"/>
      <c r="Y68" s="410"/>
      <c r="Z68" s="1175">
        <f>W71</f>
        <v>77584.899999999965</v>
      </c>
      <c r="AA68" s="408"/>
      <c r="AB68" s="1794"/>
      <c r="AC68" s="407">
        <f>Z71</f>
        <v>77584.899999999965</v>
      </c>
      <c r="AD68" s="408"/>
      <c r="AE68" s="410"/>
      <c r="AF68" s="1175">
        <f>AC71</f>
        <v>77584.899999999965</v>
      </c>
      <c r="AG68" s="408"/>
      <c r="AH68" s="1794"/>
      <c r="AI68" s="407">
        <f>AF71+0.1</f>
        <v>77584.999999999971</v>
      </c>
      <c r="AJ68" s="1794"/>
      <c r="AK68" s="410"/>
      <c r="AL68" s="1169">
        <f>B68</f>
        <v>76468</v>
      </c>
      <c r="AM68" s="2032">
        <f>C68</f>
        <v>10716557</v>
      </c>
      <c r="AN68" s="1246">
        <f>IF(AL68=0,0,AM68/AL68)</f>
        <v>140.14433488518074</v>
      </c>
    </row>
    <row r="69" spans="1:40" ht="13.8" thickBot="1" x14ac:dyDescent="0.3">
      <c r="A69" s="1811" t="s">
        <v>107</v>
      </c>
      <c r="B69" s="432">
        <f>B62</f>
        <v>79417.3</v>
      </c>
      <c r="C69" s="1841">
        <f>C62</f>
        <v>7867820</v>
      </c>
      <c r="D69" s="1892">
        <f>IF(B69=0,0,C69/B69)</f>
        <v>99.069346351487638</v>
      </c>
      <c r="E69" s="432">
        <f>E62</f>
        <v>85763.5</v>
      </c>
      <c r="F69" s="1841">
        <f>F62</f>
        <v>13367923</v>
      </c>
      <c r="G69" s="1892">
        <f>IF(E69=0,0,F69/E69)</f>
        <v>155.86960653424825</v>
      </c>
      <c r="H69" s="1874">
        <f>H62</f>
        <v>86760.7</v>
      </c>
      <c r="I69" s="1841">
        <f>I62</f>
        <v>31131679</v>
      </c>
      <c r="J69" s="1922">
        <f>IF(H69=0,0,I69/H69)</f>
        <v>358.82235851024717</v>
      </c>
      <c r="K69" s="432">
        <f>K62</f>
        <v>102532.5</v>
      </c>
      <c r="L69" s="1841">
        <f>L62</f>
        <v>0</v>
      </c>
      <c r="M69" s="1892">
        <f>IF(K69=0,0,L69/K69)</f>
        <v>0</v>
      </c>
      <c r="N69" s="1874">
        <f>N62</f>
        <v>90820.2</v>
      </c>
      <c r="O69" s="1841">
        <f>O62</f>
        <v>0</v>
      </c>
      <c r="P69" s="1892">
        <f>IF(N69=0,0,O69/N69)</f>
        <v>0</v>
      </c>
      <c r="Q69" s="432">
        <f>Q62</f>
        <v>0</v>
      </c>
      <c r="R69" s="433"/>
      <c r="S69" s="434"/>
      <c r="T69" s="1874">
        <f>T62</f>
        <v>0</v>
      </c>
      <c r="U69" s="433"/>
      <c r="V69" s="1795"/>
      <c r="W69" s="432">
        <f>W62</f>
        <v>0</v>
      </c>
      <c r="X69" s="433"/>
      <c r="Y69" s="434"/>
      <c r="Z69" s="1874">
        <f>Z62</f>
        <v>0</v>
      </c>
      <c r="AA69" s="433"/>
      <c r="AB69" s="1795"/>
      <c r="AC69" s="432">
        <f>AC62</f>
        <v>0</v>
      </c>
      <c r="AD69" s="433"/>
      <c r="AE69" s="434"/>
      <c r="AF69" s="1874">
        <f>AF62</f>
        <v>0</v>
      </c>
      <c r="AG69" s="433"/>
      <c r="AH69" s="1795"/>
      <c r="AI69" s="432">
        <f>AI62</f>
        <v>0</v>
      </c>
      <c r="AJ69" s="1795"/>
      <c r="AK69" s="434"/>
      <c r="AL69" s="1811">
        <f>SUM(B69,E69,H69,K69,N69,Q69,T69,W69,Z69,AC69,AF69,AI69)</f>
        <v>445294.2</v>
      </c>
      <c r="AM69" s="2025">
        <f>SUM(C69,F69,I69,L69,O69,R69,U69,X69,AA69,AD69,AG69,AJ69)</f>
        <v>52367422</v>
      </c>
      <c r="AN69" s="2027">
        <f>IF(AL69=0,0,AM69/AL69)</f>
        <v>117.60185064166566</v>
      </c>
    </row>
    <row r="70" spans="1:40" ht="14.4" thickTop="1" thickBot="1" x14ac:dyDescent="0.3">
      <c r="A70" s="1861" t="s">
        <v>0</v>
      </c>
      <c r="B70" s="1896">
        <f>SUM(B68:B69)</f>
        <v>155885.29999999999</v>
      </c>
      <c r="C70" s="1843">
        <f>SUM(C68:C69)</f>
        <v>18584377</v>
      </c>
      <c r="D70" s="1895">
        <f>IF(B70=0,0,C70/B70)</f>
        <v>119.21827779784239</v>
      </c>
      <c r="E70" s="1896">
        <f>SUM(E68:E69)</f>
        <v>149669.09999999998</v>
      </c>
      <c r="F70" s="1843">
        <f>SUM(F68:F69)</f>
        <v>22529257</v>
      </c>
      <c r="G70" s="1884">
        <f>IF(E70=0,0,F70/E70)</f>
        <v>150.52710947015785</v>
      </c>
      <c r="H70" s="1875">
        <f>SUM(H68:H69)</f>
        <v>148611.89999999997</v>
      </c>
      <c r="I70" s="1843">
        <f>SUM(I68:I69)</f>
        <v>42860920</v>
      </c>
      <c r="J70" s="1919">
        <f>IF(H70=0,0,I70/H70)</f>
        <v>288.40839798158834</v>
      </c>
      <c r="K70" s="1896">
        <f>SUM(K68:K69)</f>
        <v>169060.39999999997</v>
      </c>
      <c r="L70" s="1843">
        <f>SUM(L68:L69)</f>
        <v>0</v>
      </c>
      <c r="M70" s="1884">
        <f>IF(K70=0,0,L70/K70)</f>
        <v>0</v>
      </c>
      <c r="N70" s="1875">
        <f>SUM(N68:N69)</f>
        <v>164559.49999999997</v>
      </c>
      <c r="O70" s="1843">
        <f>SUM(O68:O69)</f>
        <v>0</v>
      </c>
      <c r="P70" s="1884">
        <f>IF(N70=0,0,O70/N70)</f>
        <v>0</v>
      </c>
      <c r="Q70" s="1896">
        <f>SUM(Q68:Q69)</f>
        <v>77584.899999999965</v>
      </c>
      <c r="R70" s="436"/>
      <c r="S70" s="437"/>
      <c r="T70" s="1875">
        <f>SUM(T68:T69)</f>
        <v>77584.899999999965</v>
      </c>
      <c r="U70" s="436"/>
      <c r="V70" s="1796"/>
      <c r="W70" s="1896">
        <f>SUM(W68:W69)</f>
        <v>77584.899999999965</v>
      </c>
      <c r="X70" s="436"/>
      <c r="Y70" s="437"/>
      <c r="Z70" s="1875">
        <f>SUM(Z68:Z69)</f>
        <v>77584.899999999965</v>
      </c>
      <c r="AA70" s="436"/>
      <c r="AB70" s="1796"/>
      <c r="AC70" s="1896">
        <f>SUM(AC68:AC69)</f>
        <v>77584.899999999965</v>
      </c>
      <c r="AD70" s="436"/>
      <c r="AE70" s="437"/>
      <c r="AF70" s="1875">
        <f>SUM(AF68:AF69)</f>
        <v>77584.899999999965</v>
      </c>
      <c r="AG70" s="436"/>
      <c r="AH70" s="1796"/>
      <c r="AI70" s="1896">
        <f>SUM(AI68:AI69)</f>
        <v>77584.999999999971</v>
      </c>
      <c r="AJ70" s="1796"/>
      <c r="AK70" s="437"/>
      <c r="AL70" s="1999">
        <f>SUM(AL68:AL69)</f>
        <v>521762.2</v>
      </c>
      <c r="AM70" s="2033">
        <f>SUM(AM68:AM69)</f>
        <v>63083979</v>
      </c>
      <c r="AN70" s="2028">
        <f>IF(AL70=0,0,AM70/AL70)</f>
        <v>120.9056137067806</v>
      </c>
    </row>
    <row r="71" spans="1:40" ht="16.2" thickBot="1" x14ac:dyDescent="0.35">
      <c r="A71" s="1804" t="s">
        <v>108</v>
      </c>
      <c r="B71" s="1897">
        <f>B70-B79</f>
        <v>63905.599999999991</v>
      </c>
      <c r="C71" s="1844">
        <f>'Stock Valuation (FIFO)'!G11</f>
        <v>9161334</v>
      </c>
      <c r="D71" s="1949">
        <f>IF(B71=0,0,C71/B71)</f>
        <v>143.35729576124785</v>
      </c>
      <c r="E71" s="1897">
        <f>SUM(E70-E79)</f>
        <v>61851.199999999968</v>
      </c>
      <c r="F71" s="1693">
        <f>'Stock Valuation (FIFO)'!J11</f>
        <v>11729241</v>
      </c>
      <c r="G71" s="1884">
        <f>IF(E71=0,0,F71/E71)</f>
        <v>189.63643389295609</v>
      </c>
      <c r="H71" s="1876">
        <f>H70-H79</f>
        <v>66527.899999999951</v>
      </c>
      <c r="I71" s="1967">
        <f>'Stock Valuation (FIFO)'!M11</f>
        <v>0</v>
      </c>
      <c r="J71" s="1919">
        <f>IF(H71=0,0,I71/H71)</f>
        <v>0</v>
      </c>
      <c r="K71" s="1897">
        <f>K70-K79</f>
        <v>73739.299999999974</v>
      </c>
      <c r="L71" s="1967">
        <f>'Stock Valuation (FIFO)'!P11</f>
        <v>0</v>
      </c>
      <c r="M71" s="1884">
        <f>IF(K71=0,0,L71/K71)</f>
        <v>0</v>
      </c>
      <c r="N71" s="1930">
        <f>N70-N79</f>
        <v>77584.899999999965</v>
      </c>
      <c r="O71" s="1991">
        <f>'Stock Valuation (FIFO)'!S11</f>
        <v>0</v>
      </c>
      <c r="P71" s="1992">
        <f>IF(N71=0,0,O71/N71)</f>
        <v>0</v>
      </c>
      <c r="Q71" s="1934">
        <f>Q70-Q79</f>
        <v>77584.899999999965</v>
      </c>
      <c r="R71" s="438"/>
      <c r="S71" s="1814"/>
      <c r="T71" s="1930">
        <f>T70-T79</f>
        <v>77584.899999999965</v>
      </c>
      <c r="U71" s="438"/>
      <c r="V71" s="1797"/>
      <c r="W71" s="1934">
        <f>W70-W79</f>
        <v>77584.899999999965</v>
      </c>
      <c r="X71" s="438"/>
      <c r="Y71" s="1814"/>
      <c r="Z71" s="1930">
        <f>Z70-Z79</f>
        <v>77584.899999999965</v>
      </c>
      <c r="AA71" s="438"/>
      <c r="AB71" s="1797"/>
      <c r="AC71" s="1934">
        <f>AC70-AC79</f>
        <v>77584.899999999965</v>
      </c>
      <c r="AD71" s="438"/>
      <c r="AE71" s="1814"/>
      <c r="AF71" s="1930">
        <f>AF70-AF79</f>
        <v>77584.899999999965</v>
      </c>
      <c r="AG71" s="438"/>
      <c r="AH71" s="1797"/>
      <c r="AI71" s="1934">
        <f>AI70-AI79</f>
        <v>77584.999999999971</v>
      </c>
      <c r="AJ71" s="1797"/>
      <c r="AK71" s="1814"/>
      <c r="AL71" s="1942">
        <f>AL70-AL79</f>
        <v>77584.900000000023</v>
      </c>
      <c r="AM71" s="2034">
        <f>AM70-AM79</f>
        <v>0</v>
      </c>
      <c r="AN71" s="2029">
        <f>IF(AL71=0,0,AM71/AL71)</f>
        <v>0</v>
      </c>
    </row>
    <row r="72" spans="1:40" x14ac:dyDescent="0.25">
      <c r="A72" s="1864" t="s">
        <v>87</v>
      </c>
      <c r="B72" s="411">
        <f>B70-B71</f>
        <v>91979.7</v>
      </c>
      <c r="C72" s="1985">
        <f>C70-C71</f>
        <v>9423043</v>
      </c>
      <c r="D72" s="1884">
        <f>IF(B72=0,0,C72/B72)</f>
        <v>102.44698558486274</v>
      </c>
      <c r="E72" s="411">
        <f>E70-E71</f>
        <v>87817.900000000009</v>
      </c>
      <c r="F72" s="1985">
        <f>F70-F71</f>
        <v>10800016</v>
      </c>
      <c r="G72" s="1535">
        <f>IF(E72=0,0,F72/E72)</f>
        <v>122.98194331679531</v>
      </c>
      <c r="H72" s="411">
        <f>H70-H71</f>
        <v>82084.000000000015</v>
      </c>
      <c r="I72" s="1985">
        <f>I70-I71</f>
        <v>42860920</v>
      </c>
      <c r="J72" s="1916">
        <f>IF(H72=0,0,I72/H72)</f>
        <v>522.15925149846487</v>
      </c>
      <c r="K72" s="411">
        <f>K70-K71</f>
        <v>95321.099999999991</v>
      </c>
      <c r="L72" s="1985">
        <f>L70-L71</f>
        <v>0</v>
      </c>
      <c r="M72" s="1535">
        <f>IF(K72=0,0,L72/K72)</f>
        <v>0</v>
      </c>
      <c r="N72" s="411">
        <f>N70-N71</f>
        <v>86974.6</v>
      </c>
      <c r="O72" s="1985">
        <f>O70-O71</f>
        <v>0</v>
      </c>
      <c r="P72" s="1535">
        <f>IF(N72=0,0,O72/N72)</f>
        <v>0</v>
      </c>
      <c r="Q72" s="411"/>
      <c r="R72" s="412"/>
      <c r="S72" s="413"/>
      <c r="T72" s="1176"/>
      <c r="U72" s="412"/>
      <c r="V72" s="414"/>
      <c r="W72" s="411"/>
      <c r="X72" s="412"/>
      <c r="Y72" s="413"/>
      <c r="Z72" s="1176"/>
      <c r="AA72" s="412"/>
      <c r="AB72" s="414"/>
      <c r="AC72" s="411"/>
      <c r="AD72" s="412"/>
      <c r="AE72" s="413"/>
      <c r="AF72" s="1176"/>
      <c r="AG72" s="412"/>
      <c r="AH72" s="414"/>
      <c r="AI72" s="411"/>
      <c r="AJ72" s="414"/>
      <c r="AK72" s="413"/>
      <c r="AL72" s="1171">
        <f>AL70-AL71</f>
        <v>444177.3</v>
      </c>
      <c r="AM72" s="2035">
        <f>AM70-AM71</f>
        <v>63083979</v>
      </c>
      <c r="AN72" s="1246">
        <f>IF(AL72=0,0,AM72/AL72)</f>
        <v>142.02432001815492</v>
      </c>
    </row>
    <row r="73" spans="1:40" ht="13.8" thickBot="1" x14ac:dyDescent="0.3">
      <c r="A73" s="2015"/>
      <c r="B73" s="427"/>
      <c r="C73" s="1442"/>
      <c r="D73" s="2016"/>
      <c r="E73" s="427"/>
      <c r="F73" s="1442"/>
      <c r="G73" s="2016"/>
      <c r="H73" s="1824"/>
      <c r="I73" s="1442"/>
      <c r="J73" s="2017"/>
      <c r="K73" s="427"/>
      <c r="L73" s="1442"/>
      <c r="M73" s="2016"/>
      <c r="N73" s="1824"/>
      <c r="O73" s="1442"/>
      <c r="P73" s="2016"/>
      <c r="Q73" s="427"/>
      <c r="R73" s="415"/>
      <c r="S73" s="808"/>
      <c r="T73" s="1824"/>
      <c r="U73" s="415"/>
      <c r="V73" s="1788"/>
      <c r="W73" s="427"/>
      <c r="X73" s="415"/>
      <c r="Y73" s="808"/>
      <c r="Z73" s="1824"/>
      <c r="AA73" s="415"/>
      <c r="AB73" s="1788"/>
      <c r="AC73" s="427"/>
      <c r="AD73" s="415"/>
      <c r="AE73" s="808"/>
      <c r="AF73" s="1824"/>
      <c r="AG73" s="415"/>
      <c r="AH73" s="1788"/>
      <c r="AI73" s="427"/>
      <c r="AJ73" s="1788"/>
      <c r="AK73" s="808"/>
      <c r="AL73" s="1174"/>
      <c r="AM73" s="2036"/>
      <c r="AN73" s="1598"/>
    </row>
    <row r="74" spans="1:40" x14ac:dyDescent="0.25">
      <c r="A74" s="1169" t="s">
        <v>90</v>
      </c>
      <c r="B74" s="407">
        <v>88053.7</v>
      </c>
      <c r="C74" s="2018">
        <f>(C70-C71)-(SUM(C75:C78))</f>
        <v>8950683</v>
      </c>
      <c r="D74" s="2019">
        <f t="shared" ref="D74:D79" si="25">IF(B74=0,0,C74/B74)</f>
        <v>101.65027704684755</v>
      </c>
      <c r="E74" s="407">
        <v>83808.3</v>
      </c>
      <c r="F74" s="2018">
        <f>(F70-F71)-(SUM(F75:F78))</f>
        <v>10215685</v>
      </c>
      <c r="G74" s="2019">
        <f t="shared" ref="G74:G79" si="26">IF(E74=0,0,F74/E74)</f>
        <v>121.89347594450669</v>
      </c>
      <c r="H74" s="1175">
        <v>78913.600000000006</v>
      </c>
      <c r="I74" s="2018">
        <f>(I70-I71)-(SUM(I75:I78))</f>
        <v>41982718</v>
      </c>
      <c r="J74" s="2020">
        <f t="shared" ref="J74:J79" si="27">IF(H74=0,0,I74/H74)</f>
        <v>532.00865250096308</v>
      </c>
      <c r="K74" s="407">
        <v>90523.4</v>
      </c>
      <c r="L74" s="2018">
        <f>(L70-L71)-(SUM(L75:L78))</f>
        <v>0</v>
      </c>
      <c r="M74" s="2019">
        <f t="shared" ref="M74:M79" si="28">IF(K74=0,0,L74/K74)</f>
        <v>0</v>
      </c>
      <c r="N74" s="1175">
        <v>83229.2</v>
      </c>
      <c r="O74" s="2018">
        <f>(O70-O71)-(SUM(O75:O78))</f>
        <v>0</v>
      </c>
      <c r="P74" s="2019">
        <f>IF(N74=0,0,O74/N74)</f>
        <v>0</v>
      </c>
      <c r="Q74" s="407"/>
      <c r="R74" s="408"/>
      <c r="S74" s="410"/>
      <c r="T74" s="1175"/>
      <c r="U74" s="408"/>
      <c r="V74" s="1794"/>
      <c r="W74" s="407"/>
      <c r="X74" s="408"/>
      <c r="Y74" s="410"/>
      <c r="Z74" s="1175"/>
      <c r="AA74" s="408"/>
      <c r="AB74" s="1794"/>
      <c r="AC74" s="407"/>
      <c r="AD74" s="408"/>
      <c r="AE74" s="410"/>
      <c r="AF74" s="1175"/>
      <c r="AG74" s="408"/>
      <c r="AH74" s="1794"/>
      <c r="AI74" s="2021"/>
      <c r="AJ74" s="2022"/>
      <c r="AK74" s="2023"/>
      <c r="AL74" s="1169">
        <f t="shared" ref="AL74:AM77" si="29">SUM(B74,E74,H74,K74,N74,Q74,T74,W74,Z74,AC74,AF74,AI74)</f>
        <v>424528.2</v>
      </c>
      <c r="AM74" s="2032">
        <f t="shared" si="29"/>
        <v>61149086</v>
      </c>
      <c r="AN74" s="2030">
        <f t="shared" ref="AN74:AN79" si="30">IF(AL74=0,0,AM74/AL74)</f>
        <v>144.04010381406937</v>
      </c>
    </row>
    <row r="75" spans="1:40" x14ac:dyDescent="0.25">
      <c r="A75" s="1171" t="s">
        <v>109</v>
      </c>
      <c r="B75" s="411">
        <f>B59</f>
        <v>773</v>
      </c>
      <c r="C75" s="1779">
        <f>C59</f>
        <v>98641</v>
      </c>
      <c r="D75" s="1535">
        <f t="shared" si="25"/>
        <v>127.60802069857698</v>
      </c>
      <c r="E75" s="411">
        <f>E59</f>
        <v>283</v>
      </c>
      <c r="F75" s="1779">
        <f>F59</f>
        <v>22840</v>
      </c>
      <c r="G75" s="1535">
        <f t="shared" si="26"/>
        <v>80.706713780918733</v>
      </c>
      <c r="H75" s="1176">
        <f>H59</f>
        <v>215.8</v>
      </c>
      <c r="I75" s="1779">
        <f>I59</f>
        <v>13108</v>
      </c>
      <c r="J75" s="1916">
        <f t="shared" si="27"/>
        <v>60.741427247451341</v>
      </c>
      <c r="K75" s="411">
        <v>225.4</v>
      </c>
      <c r="L75" s="1779">
        <f>L59</f>
        <v>0</v>
      </c>
      <c r="M75" s="1535">
        <f t="shared" si="28"/>
        <v>0</v>
      </c>
      <c r="N75" s="1176">
        <v>199.3</v>
      </c>
      <c r="O75" s="1779">
        <f>O59</f>
        <v>0</v>
      </c>
      <c r="P75" s="1535">
        <f>IF(N75=0,0,O75/N75)</f>
        <v>0</v>
      </c>
      <c r="Q75" s="411"/>
      <c r="R75" s="412"/>
      <c r="S75" s="413"/>
      <c r="T75" s="1176"/>
      <c r="U75" s="412"/>
      <c r="V75" s="414"/>
      <c r="W75" s="411"/>
      <c r="X75" s="412"/>
      <c r="Y75" s="413"/>
      <c r="Z75" s="1176"/>
      <c r="AA75" s="412"/>
      <c r="AB75" s="414"/>
      <c r="AC75" s="411"/>
      <c r="AD75" s="412"/>
      <c r="AE75" s="413"/>
      <c r="AF75" s="1176"/>
      <c r="AG75" s="412"/>
      <c r="AH75" s="414"/>
      <c r="AI75" s="411"/>
      <c r="AJ75" s="414"/>
      <c r="AK75" s="413"/>
      <c r="AL75" s="1171">
        <f t="shared" si="29"/>
        <v>1696.5</v>
      </c>
      <c r="AM75" s="2035">
        <f t="shared" si="29"/>
        <v>134589</v>
      </c>
      <c r="AN75" s="1246">
        <f t="shared" si="30"/>
        <v>79.333333333333329</v>
      </c>
    </row>
    <row r="76" spans="1:40" x14ac:dyDescent="0.25">
      <c r="A76" s="1171" t="s">
        <v>91</v>
      </c>
      <c r="B76" s="411">
        <v>108</v>
      </c>
      <c r="C76" s="1779">
        <f>ROUND((B76*D69),0)</f>
        <v>10699</v>
      </c>
      <c r="D76" s="1535">
        <f t="shared" si="25"/>
        <v>99.06481481481481</v>
      </c>
      <c r="E76" s="411">
        <v>100.6</v>
      </c>
      <c r="F76" s="1779">
        <f>ROUND((E76*G69),0)</f>
        <v>15680</v>
      </c>
      <c r="G76" s="1535">
        <f t="shared" si="26"/>
        <v>155.86481113320082</v>
      </c>
      <c r="H76" s="1176">
        <v>184.1</v>
      </c>
      <c r="I76" s="1779">
        <f>ROUND((H76*J69),0)</f>
        <v>66059</v>
      </c>
      <c r="J76" s="1916">
        <f t="shared" si="27"/>
        <v>358.82129277566543</v>
      </c>
      <c r="K76" s="411">
        <v>176.3</v>
      </c>
      <c r="L76" s="1779">
        <f>ROUND((K76*M69),0)</f>
        <v>0</v>
      </c>
      <c r="M76" s="1535">
        <f t="shared" si="28"/>
        <v>0</v>
      </c>
      <c r="N76" s="1176">
        <v>111.3</v>
      </c>
      <c r="O76" s="1779">
        <f>ROUND((N76*P69),0)</f>
        <v>0</v>
      </c>
      <c r="P76" s="1535">
        <f>IF(N76=0,0,O76/N76)</f>
        <v>0</v>
      </c>
      <c r="Q76" s="411"/>
      <c r="R76" s="412"/>
      <c r="S76" s="413"/>
      <c r="T76" s="1176"/>
      <c r="U76" s="412"/>
      <c r="V76" s="414"/>
      <c r="W76" s="411"/>
      <c r="X76" s="412"/>
      <c r="Y76" s="413"/>
      <c r="Z76" s="1176"/>
      <c r="AA76" s="412"/>
      <c r="AB76" s="414"/>
      <c r="AC76" s="411"/>
      <c r="AD76" s="412"/>
      <c r="AE76" s="413"/>
      <c r="AF76" s="1176"/>
      <c r="AG76" s="412"/>
      <c r="AH76" s="414"/>
      <c r="AI76" s="411"/>
      <c r="AJ76" s="414"/>
      <c r="AK76" s="413"/>
      <c r="AL76" s="1171">
        <f t="shared" si="29"/>
        <v>680.3</v>
      </c>
      <c r="AM76" s="2035">
        <f t="shared" si="29"/>
        <v>92438</v>
      </c>
      <c r="AN76" s="1246">
        <f t="shared" si="30"/>
        <v>135.87828899015142</v>
      </c>
    </row>
    <row r="77" spans="1:40" x14ac:dyDescent="0.25">
      <c r="A77" s="2008" t="s">
        <v>64</v>
      </c>
      <c r="B77" s="2009">
        <f>32+3013</f>
        <v>3045</v>
      </c>
      <c r="C77" s="2010">
        <f>ROUND((B77*D70),0)</f>
        <v>363020</v>
      </c>
      <c r="D77" s="1535">
        <f t="shared" si="25"/>
        <v>119.2183908045977</v>
      </c>
      <c r="E77" s="2009">
        <f>36+3590</f>
        <v>3626</v>
      </c>
      <c r="F77" s="2010">
        <f>ROUND((E77*G70),0)</f>
        <v>545811</v>
      </c>
      <c r="G77" s="1535">
        <f t="shared" si="26"/>
        <v>150.52702702702703</v>
      </c>
      <c r="H77" s="2011">
        <f>26+2744.5</f>
        <v>2770.5</v>
      </c>
      <c r="I77" s="2010">
        <f>ROUND((H77*J70),0)</f>
        <v>799035</v>
      </c>
      <c r="J77" s="1916">
        <f t="shared" si="27"/>
        <v>288.40822956145098</v>
      </c>
      <c r="K77" s="2009">
        <f>35+4361</f>
        <v>4396</v>
      </c>
      <c r="L77" s="2010">
        <f>ROUND((K77*M70),0)</f>
        <v>0</v>
      </c>
      <c r="M77" s="1535">
        <f t="shared" si="28"/>
        <v>0</v>
      </c>
      <c r="N77" s="2011">
        <f>21+3413.8</f>
        <v>3434.8</v>
      </c>
      <c r="O77" s="2010">
        <f>ROUND((N77*P70),0)</f>
        <v>0</v>
      </c>
      <c r="P77" s="1535">
        <f>IF(N77=0,0,O77/N77)</f>
        <v>0</v>
      </c>
      <c r="Q77" s="2009"/>
      <c r="R77" s="2012"/>
      <c r="S77" s="2013"/>
      <c r="T77" s="2011"/>
      <c r="U77" s="2012"/>
      <c r="V77" s="2014"/>
      <c r="W77" s="2009"/>
      <c r="X77" s="2012"/>
      <c r="Y77" s="2013"/>
      <c r="Z77" s="2011"/>
      <c r="AA77" s="2012"/>
      <c r="AB77" s="2014"/>
      <c r="AC77" s="2009"/>
      <c r="AD77" s="2012"/>
      <c r="AE77" s="2013"/>
      <c r="AF77" s="2011"/>
      <c r="AG77" s="2012"/>
      <c r="AH77" s="2014"/>
      <c r="AI77" s="2009"/>
      <c r="AJ77" s="2014"/>
      <c r="AK77" s="2013"/>
      <c r="AL77" s="2008">
        <f t="shared" si="29"/>
        <v>17272.3</v>
      </c>
      <c r="AM77" s="2037">
        <f t="shared" si="29"/>
        <v>1707866</v>
      </c>
      <c r="AN77" s="1246">
        <f t="shared" si="30"/>
        <v>98.878898583280744</v>
      </c>
    </row>
    <row r="78" spans="1:40" ht="13.8" thickBot="1" x14ac:dyDescent="0.3">
      <c r="A78" s="2000" t="s">
        <v>110</v>
      </c>
      <c r="B78" s="2001"/>
      <c r="C78" s="1839"/>
      <c r="D78" s="2002">
        <f t="shared" si="25"/>
        <v>0</v>
      </c>
      <c r="E78" s="2001"/>
      <c r="F78" s="1839"/>
      <c r="G78" s="2002">
        <f t="shared" si="26"/>
        <v>0</v>
      </c>
      <c r="H78" s="2003"/>
      <c r="I78" s="1839"/>
      <c r="J78" s="2004">
        <f t="shared" si="27"/>
        <v>0</v>
      </c>
      <c r="K78" s="2001"/>
      <c r="L78" s="1839"/>
      <c r="M78" s="2002">
        <f t="shared" si="28"/>
        <v>0</v>
      </c>
      <c r="N78" s="2003"/>
      <c r="O78" s="2005"/>
      <c r="P78" s="2006"/>
      <c r="Q78" s="2001"/>
      <c r="R78" s="2005"/>
      <c r="S78" s="2007"/>
      <c r="T78" s="2003"/>
      <c r="U78" s="2005"/>
      <c r="V78" s="2006"/>
      <c r="W78" s="2001"/>
      <c r="X78" s="2005"/>
      <c r="Y78" s="2007"/>
      <c r="Z78" s="2003"/>
      <c r="AA78" s="2005"/>
      <c r="AB78" s="2006"/>
      <c r="AC78" s="2001"/>
      <c r="AD78" s="2005"/>
      <c r="AE78" s="2007"/>
      <c r="AF78" s="2003"/>
      <c r="AG78" s="2005"/>
      <c r="AH78" s="2006"/>
      <c r="AI78" s="2001"/>
      <c r="AJ78" s="2006"/>
      <c r="AK78" s="2007"/>
      <c r="AL78" s="2000">
        <f>SUM(B78:AI78)</f>
        <v>0</v>
      </c>
      <c r="AM78" s="2038"/>
      <c r="AN78" s="2031">
        <f t="shared" si="30"/>
        <v>0</v>
      </c>
    </row>
    <row r="79" spans="1:40" ht="14.4" thickTop="1" thickBot="1" x14ac:dyDescent="0.3">
      <c r="A79" s="2042" t="s">
        <v>0</v>
      </c>
      <c r="B79" s="2043">
        <f>SUM(B74:B78)</f>
        <v>91979.7</v>
      </c>
      <c r="C79" s="2044">
        <f>SUM(C74:C78)</f>
        <v>9423043</v>
      </c>
      <c r="D79" s="1951">
        <f t="shared" si="25"/>
        <v>102.44698558486274</v>
      </c>
      <c r="E79" s="2043">
        <f>SUM(E74:E78)</f>
        <v>87817.900000000009</v>
      </c>
      <c r="F79" s="2044">
        <f>SUM(F74:F78)</f>
        <v>10800016</v>
      </c>
      <c r="G79" s="1951">
        <f t="shared" si="26"/>
        <v>122.98194331679531</v>
      </c>
      <c r="H79" s="2045">
        <f>SUM(H74:H78)</f>
        <v>82084.000000000015</v>
      </c>
      <c r="I79" s="2044">
        <f>SUM(I74:I78)</f>
        <v>42860920</v>
      </c>
      <c r="J79" s="2046">
        <f t="shared" si="27"/>
        <v>522.15925149846487</v>
      </c>
      <c r="K79" s="2043">
        <f>SUM(K74:K78)</f>
        <v>95321.099999999991</v>
      </c>
      <c r="L79" s="2044">
        <f>SUM(L74:L78)</f>
        <v>0</v>
      </c>
      <c r="M79" s="1951">
        <f t="shared" si="28"/>
        <v>0</v>
      </c>
      <c r="N79" s="2045">
        <f>SUM(N74:N78)</f>
        <v>86974.6</v>
      </c>
      <c r="O79" s="2044">
        <f>SUM(O74:O78)</f>
        <v>0</v>
      </c>
      <c r="P79" s="1951">
        <f>IF(N79=0,0,O79/N79)</f>
        <v>0</v>
      </c>
      <c r="Q79" s="2043">
        <f>SUM(Q74:Q78)</f>
        <v>0</v>
      </c>
      <c r="R79" s="2047"/>
      <c r="S79" s="2048"/>
      <c r="T79" s="2045">
        <f>SUM(T74:T78)</f>
        <v>0</v>
      </c>
      <c r="U79" s="2047"/>
      <c r="V79" s="2049"/>
      <c r="W79" s="2043">
        <f>SUM(W74:W78)</f>
        <v>0</v>
      </c>
      <c r="X79" s="2047"/>
      <c r="Y79" s="2048"/>
      <c r="Z79" s="2045">
        <f>SUM(Z74:Z78)</f>
        <v>0</v>
      </c>
      <c r="AA79" s="2047"/>
      <c r="AB79" s="2049"/>
      <c r="AC79" s="2043">
        <f>SUM(AC74:AC78)</f>
        <v>0</v>
      </c>
      <c r="AD79" s="2047"/>
      <c r="AE79" s="2048"/>
      <c r="AF79" s="2045">
        <f>SUM(AF74:AF78)</f>
        <v>0</v>
      </c>
      <c r="AG79" s="2047"/>
      <c r="AH79" s="2049"/>
      <c r="AI79" s="2043">
        <f>SUM(AI74:AI78)</f>
        <v>0</v>
      </c>
      <c r="AJ79" s="2049"/>
      <c r="AK79" s="2048"/>
      <c r="AL79" s="2050">
        <f>SUM(AL74:AL78)</f>
        <v>444177.3</v>
      </c>
      <c r="AM79" s="2051">
        <f>SUM(AM74:AM78)</f>
        <v>63083979</v>
      </c>
      <c r="AN79" s="2052">
        <f t="shared" si="30"/>
        <v>142.02432001815492</v>
      </c>
    </row>
    <row r="80" spans="1:40" x14ac:dyDescent="0.25">
      <c r="A80" s="2039" t="s">
        <v>92</v>
      </c>
      <c r="B80" s="2040">
        <f>IF(B79=0,0,B78/B70)</f>
        <v>0</v>
      </c>
      <c r="C80" s="2041"/>
      <c r="D80" s="2280">
        <f>C79/B74</f>
        <v>107.01473078360138</v>
      </c>
      <c r="E80" s="2040">
        <f>IF(E79=0,0,E78/E70)</f>
        <v>0</v>
      </c>
      <c r="F80" s="2041"/>
      <c r="G80" s="1442">
        <f>F79/E74</f>
        <v>128.86570900495536</v>
      </c>
      <c r="H80" s="2040">
        <f>IF(H79=0,0,H78/H70)</f>
        <v>0</v>
      </c>
      <c r="I80" s="2041"/>
      <c r="J80" s="1442">
        <f>I79/H74</f>
        <v>543.13730459641931</v>
      </c>
      <c r="K80" s="2040">
        <f>IF(K79=0,0,K78/K70)</f>
        <v>0</v>
      </c>
      <c r="L80" s="2041"/>
      <c r="M80" s="1442">
        <f>L79/K74</f>
        <v>0</v>
      </c>
      <c r="N80" s="1802">
        <f>IF(N79=0,0,N78/N70)</f>
        <v>0</v>
      </c>
      <c r="O80" s="1802"/>
      <c r="P80" s="1442">
        <f>O79/N74</f>
        <v>0</v>
      </c>
      <c r="Q80" s="1802">
        <f>IF(Q79=0,0,Q78/Q70)</f>
        <v>0</v>
      </c>
      <c r="R80" s="1802"/>
      <c r="S80" s="1802"/>
      <c r="T80" s="1802">
        <f>IF(T79=0,0,T78/T70)</f>
        <v>0</v>
      </c>
      <c r="U80" s="1802"/>
      <c r="V80" s="1802"/>
      <c r="W80" s="1802">
        <f>IF(W79=0,0,W78/W70)</f>
        <v>0</v>
      </c>
      <c r="X80" s="1802"/>
      <c r="Y80" s="1802"/>
      <c r="Z80" s="1802">
        <f>IF(Z79=0,0,Z78/Z70)</f>
        <v>0</v>
      </c>
      <c r="AA80" s="1802"/>
      <c r="AB80" s="1802"/>
      <c r="AC80" s="1802">
        <f>IF(AC79=0,0,AC78/AC70)</f>
        <v>0</v>
      </c>
      <c r="AD80" s="1802"/>
      <c r="AE80" s="1802"/>
      <c r="AF80" s="1802">
        <f>IF(AF79=0,0,AF78/AF70)</f>
        <v>0</v>
      </c>
      <c r="AG80" s="1802"/>
      <c r="AH80" s="1802"/>
      <c r="AI80" s="1802">
        <f>SUM(AI76:AI78)/AI70</f>
        <v>0</v>
      </c>
      <c r="AJ80" s="1802"/>
      <c r="AK80" s="1802"/>
      <c r="AL80" s="1802">
        <f>IF(AL79=0,0,AL78/AL70)</f>
        <v>0</v>
      </c>
      <c r="AM80" s="1802"/>
      <c r="AN80" s="1442">
        <f>AM79/AL74</f>
        <v>148.59785286348469</v>
      </c>
    </row>
    <row r="81" spans="1:40" ht="13.8" thickBot="1" x14ac:dyDescent="0.3">
      <c r="B81" s="2">
        <f>B56+B68</f>
        <v>126193</v>
      </c>
      <c r="C81" s="1252">
        <f>C56+C68</f>
        <v>17061889</v>
      </c>
      <c r="D81" s="8">
        <f>D80-D79</f>
        <v>4.5677451987386348</v>
      </c>
      <c r="G81" s="8">
        <f>G80-G79</f>
        <v>5.8837656881600537</v>
      </c>
      <c r="J81" s="8">
        <f>J80-J79</f>
        <v>20.978053097954444</v>
      </c>
      <c r="M81" s="8">
        <f>M80-M79</f>
        <v>0</v>
      </c>
      <c r="P81" s="8">
        <f>P80-P79</f>
        <v>0</v>
      </c>
      <c r="AN81" s="8">
        <f>AN80-AN79</f>
        <v>6.5735328453297655</v>
      </c>
    </row>
    <row r="82" spans="1:40" ht="13.8" thickBot="1" x14ac:dyDescent="0.3">
      <c r="A82" s="439"/>
      <c r="B82" s="1898"/>
      <c r="C82" s="1846"/>
      <c r="D82" s="1899"/>
      <c r="E82" s="1898"/>
      <c r="F82" s="1847"/>
      <c r="G82" s="1899"/>
      <c r="H82" s="1845"/>
      <c r="I82" s="1845"/>
      <c r="J82" s="1845"/>
      <c r="K82" s="1898"/>
      <c r="L82" s="1845"/>
      <c r="M82" s="1899"/>
      <c r="N82" s="440"/>
      <c r="O82" s="440"/>
      <c r="P82" s="440"/>
      <c r="Q82" s="1815"/>
      <c r="R82" s="440"/>
      <c r="S82" s="1816"/>
      <c r="T82" s="440"/>
      <c r="U82" s="440"/>
      <c r="V82" s="440"/>
      <c r="W82" s="1815"/>
      <c r="X82" s="440"/>
      <c r="Y82" s="1816"/>
      <c r="Z82" s="440"/>
      <c r="AA82" s="440"/>
      <c r="AB82" s="440"/>
      <c r="AC82" s="1815"/>
      <c r="AD82" s="440"/>
      <c r="AE82" s="1816"/>
      <c r="AF82" s="440"/>
      <c r="AG82" s="440"/>
      <c r="AH82" s="440"/>
      <c r="AI82" s="1815"/>
      <c r="AJ82" s="440"/>
      <c r="AK82" s="1816"/>
      <c r="AL82" s="1943"/>
      <c r="AM82" s="2068"/>
      <c r="AN82" s="1899"/>
    </row>
    <row r="83" spans="1:40" ht="16.2" thickBot="1" x14ac:dyDescent="0.35">
      <c r="A83" s="1866" t="s">
        <v>115</v>
      </c>
      <c r="B83" s="1900">
        <f>B61+B71</f>
        <v>124025.59999999998</v>
      </c>
      <c r="C83" s="1844">
        <f>C61+C71</f>
        <v>14013454</v>
      </c>
      <c r="D83" s="1901">
        <f>IF(B83=0,0,(C83/B83))</f>
        <v>112.9883991692038</v>
      </c>
      <c r="E83" s="1900">
        <f>SUM(E61+E71)</f>
        <v>119790.19999999997</v>
      </c>
      <c r="F83" s="1844">
        <f>F61+F71</f>
        <v>15248448</v>
      </c>
      <c r="G83" s="1901">
        <f>IF(E83=0,0,(F83/E83))</f>
        <v>127.29295050847234</v>
      </c>
      <c r="H83" s="1877">
        <f>H61+H71</f>
        <v>138744.99999999994</v>
      </c>
      <c r="I83" s="1844">
        <f>I61+I71</f>
        <v>0</v>
      </c>
      <c r="J83" s="1925">
        <f>IF(H83=0,0,(I83/H83))</f>
        <v>0</v>
      </c>
      <c r="K83" s="1900">
        <f>K61+K71</f>
        <v>150557.29999999993</v>
      </c>
      <c r="L83" s="1844">
        <f>L61+L71</f>
        <v>0</v>
      </c>
      <c r="M83" s="1901">
        <f>IF(K83=0,0,(L83/K83))</f>
        <v>0</v>
      </c>
      <c r="N83" s="1931">
        <f>N61+N71</f>
        <v>155055.69999999995</v>
      </c>
      <c r="O83" s="1844">
        <f>O61+O71</f>
        <v>0</v>
      </c>
      <c r="P83" s="1901">
        <f>IF(N83=0,0,(O83/N83))</f>
        <v>0</v>
      </c>
      <c r="Q83" s="1935">
        <f>Q61+Q71</f>
        <v>155055.69999999995</v>
      </c>
      <c r="R83" s="441"/>
      <c r="S83" s="1936"/>
      <c r="T83" s="1931">
        <f>T61+T71</f>
        <v>155055.69999999995</v>
      </c>
      <c r="U83" s="441"/>
      <c r="V83" s="1932"/>
      <c r="W83" s="1935">
        <f>W61+W71</f>
        <v>155055.69999999995</v>
      </c>
      <c r="X83" s="441"/>
      <c r="Y83" s="1936"/>
      <c r="Z83" s="1931">
        <f>Z61+Z71</f>
        <v>155055.69999999995</v>
      </c>
      <c r="AA83" s="441"/>
      <c r="AB83" s="1932"/>
      <c r="AC83" s="1935">
        <f>AC61+AC71</f>
        <v>155055.69999999995</v>
      </c>
      <c r="AD83" s="441"/>
      <c r="AE83" s="1936"/>
      <c r="AF83" s="1938">
        <f>AF61+AF71</f>
        <v>155055.69999999995</v>
      </c>
      <c r="AG83" s="1693"/>
      <c r="AH83" s="1939"/>
      <c r="AI83" s="1940">
        <f>AI61+AI71-0.01</f>
        <v>155055.78999999992</v>
      </c>
      <c r="AJ83" s="1798"/>
      <c r="AK83" s="1817"/>
      <c r="AL83" s="1944">
        <f>AL61+AL71</f>
        <v>154402.9</v>
      </c>
      <c r="AM83" s="2069">
        <f>AM61+AM71</f>
        <v>0</v>
      </c>
      <c r="AN83" s="1968">
        <f>IF(AL83=0,0,(AM83/AL83))</f>
        <v>0</v>
      </c>
    </row>
    <row r="84" spans="1:40" ht="15.6" x14ac:dyDescent="0.3">
      <c r="A84" s="2252"/>
      <c r="B84" s="2253"/>
      <c r="C84" s="2254"/>
      <c r="D84" s="2255"/>
      <c r="E84" s="2253"/>
      <c r="F84" s="2254"/>
      <c r="G84" s="2255"/>
      <c r="H84" s="2256"/>
      <c r="I84" s="2254"/>
      <c r="J84" s="2256"/>
      <c r="K84" s="2253"/>
      <c r="L84" s="2254"/>
      <c r="M84" s="2255"/>
      <c r="N84" s="2257"/>
      <c r="O84" s="2254"/>
      <c r="P84" s="2256"/>
      <c r="Q84" s="2258"/>
      <c r="R84" s="2257"/>
      <c r="S84" s="2259"/>
      <c r="T84" s="2257"/>
      <c r="U84" s="2257"/>
      <c r="V84" s="2257"/>
      <c r="W84" s="2258"/>
      <c r="X84" s="2257"/>
      <c r="Y84" s="2259"/>
      <c r="Z84" s="2257"/>
      <c r="AA84" s="2257"/>
      <c r="AB84" s="2257"/>
      <c r="AC84" s="2258"/>
      <c r="AD84" s="2257"/>
      <c r="AE84" s="2259"/>
      <c r="AF84" s="2260"/>
      <c r="AG84" s="2260"/>
      <c r="AH84" s="2260"/>
      <c r="AI84" s="2261"/>
      <c r="AJ84" s="2262"/>
      <c r="AK84" s="2263"/>
      <c r="AL84" s="2264"/>
      <c r="AM84" s="2265"/>
      <c r="AN84" s="2266"/>
    </row>
    <row r="85" spans="1:40" ht="13.8" thickBot="1" x14ac:dyDescent="0.3">
      <c r="A85" s="429"/>
      <c r="B85" s="1818"/>
      <c r="C85" s="1902"/>
      <c r="D85" s="442"/>
      <c r="E85" s="1818"/>
      <c r="F85" s="1914"/>
      <c r="G85" s="442"/>
      <c r="H85" s="142"/>
      <c r="I85" s="142"/>
      <c r="J85" s="142"/>
      <c r="K85" s="1818"/>
      <c r="L85" s="1802"/>
      <c r="M85" s="442"/>
      <c r="N85" s="142"/>
      <c r="O85" s="142"/>
      <c r="P85" s="142"/>
      <c r="Q85" s="1818"/>
      <c r="R85" s="1802"/>
      <c r="S85" s="442"/>
      <c r="T85" s="142"/>
      <c r="U85" s="142"/>
      <c r="V85" s="142"/>
      <c r="W85" s="1818"/>
      <c r="X85" s="1802"/>
      <c r="Y85" s="442"/>
      <c r="Z85" s="142"/>
      <c r="AA85" s="142"/>
      <c r="AB85" s="142"/>
      <c r="AC85" s="1818"/>
      <c r="AD85" s="1802"/>
      <c r="AE85" s="442"/>
      <c r="AF85" s="142"/>
      <c r="AG85" s="142"/>
      <c r="AH85" s="142"/>
      <c r="AI85" s="1818"/>
      <c r="AJ85" s="1802"/>
      <c r="AK85" s="442"/>
      <c r="AL85" s="1818"/>
      <c r="AM85" s="2070"/>
      <c r="AN85" s="1952"/>
    </row>
    <row r="86" spans="1:40" ht="13.8" thickBot="1" x14ac:dyDescent="0.3">
      <c r="A86" s="1856" t="s">
        <v>90</v>
      </c>
      <c r="B86" s="1161"/>
      <c r="C86" s="1162"/>
      <c r="D86" s="1163"/>
      <c r="E86" s="1161"/>
      <c r="F86" s="1162"/>
      <c r="G86" s="1163"/>
      <c r="H86" s="1162"/>
      <c r="I86" s="1162"/>
      <c r="J86" s="1162"/>
      <c r="K86" s="1161"/>
      <c r="L86" s="1162"/>
      <c r="M86" s="1163"/>
      <c r="N86" s="1162"/>
      <c r="O86" s="1162"/>
      <c r="P86" s="1162"/>
      <c r="Q86" s="1161"/>
      <c r="R86" s="1162"/>
      <c r="S86" s="1163"/>
      <c r="T86" s="1162"/>
      <c r="U86" s="1162"/>
      <c r="V86" s="1162"/>
      <c r="W86" s="1161"/>
      <c r="X86" s="1162"/>
      <c r="Y86" s="1163"/>
      <c r="Z86" s="1162"/>
      <c r="AA86" s="1162"/>
      <c r="AB86" s="1162"/>
      <c r="AC86" s="1161"/>
      <c r="AD86" s="1162"/>
      <c r="AE86" s="1163"/>
      <c r="AF86" s="1162"/>
      <c r="AG86" s="1162"/>
      <c r="AH86" s="1162"/>
      <c r="AI86" s="1161"/>
      <c r="AJ86" s="1162"/>
      <c r="AK86" s="1163"/>
      <c r="AL86" s="1161"/>
      <c r="AM86" s="258"/>
      <c r="AN86" s="1948"/>
    </row>
    <row r="87" spans="1:40" x14ac:dyDescent="0.25">
      <c r="A87" s="1169" t="s">
        <v>84</v>
      </c>
      <c r="B87" s="407">
        <v>206027</v>
      </c>
      <c r="C87" s="1778">
        <f>'Stock Valuation (FIFO)'!D14</f>
        <v>47792780</v>
      </c>
      <c r="D87" s="1535">
        <f t="shared" ref="D87:D96" si="31">IF(B87=0,0,C87/B87)</f>
        <v>231.97338212952673</v>
      </c>
      <c r="E87" s="407">
        <f>B92</f>
        <v>209358.7</v>
      </c>
      <c r="F87" s="1782">
        <f>C92</f>
        <v>54221750</v>
      </c>
      <c r="G87" s="1535">
        <f t="shared" ref="G87:G96" si="32">IF(E87=0,0,F87/E87)</f>
        <v>258.98971478137759</v>
      </c>
      <c r="H87" s="1175">
        <f>E92</f>
        <v>185198.47</v>
      </c>
      <c r="I87" s="1782">
        <f>F92</f>
        <v>49947148</v>
      </c>
      <c r="J87" s="1916">
        <f t="shared" ref="J87:J96" si="33">IF(H87=0,0,I87/H87)</f>
        <v>269.69525180202623</v>
      </c>
      <c r="K87" s="407">
        <f>H92</f>
        <v>264112.07</v>
      </c>
      <c r="L87" s="1782">
        <f>I92</f>
        <v>0</v>
      </c>
      <c r="M87" s="1535">
        <f t="shared" ref="M87:M96" si="34">IF(K87=0,0,L87/K87)</f>
        <v>0</v>
      </c>
      <c r="N87" s="1175">
        <f>K92</f>
        <v>354635.47</v>
      </c>
      <c r="O87" s="1782">
        <f>L92</f>
        <v>0</v>
      </c>
      <c r="P87" s="1535">
        <f>IF(N87=0,0,O87/N87)</f>
        <v>0</v>
      </c>
      <c r="Q87" s="407">
        <f>N92</f>
        <v>455441.57</v>
      </c>
      <c r="R87" s="408"/>
      <c r="S87" s="410"/>
      <c r="T87" s="1175">
        <f>Q92</f>
        <v>455441.57</v>
      </c>
      <c r="U87" s="408"/>
      <c r="V87" s="1794"/>
      <c r="W87" s="407">
        <f>T92</f>
        <v>455441.57</v>
      </c>
      <c r="X87" s="408"/>
      <c r="Y87" s="410"/>
      <c r="Z87" s="1175">
        <f>W92</f>
        <v>455441.57</v>
      </c>
      <c r="AA87" s="408"/>
      <c r="AB87" s="1794"/>
      <c r="AC87" s="407">
        <f>Z92</f>
        <v>455442.17</v>
      </c>
      <c r="AD87" s="408"/>
      <c r="AE87" s="410"/>
      <c r="AF87" s="1175">
        <f>AC92</f>
        <v>455442.17</v>
      </c>
      <c r="AG87" s="408"/>
      <c r="AH87" s="1794"/>
      <c r="AI87" s="407">
        <f>AF92</f>
        <v>455442.17</v>
      </c>
      <c r="AJ87" s="1794"/>
      <c r="AK87" s="410"/>
      <c r="AL87" s="1169">
        <f>B87</f>
        <v>206027</v>
      </c>
      <c r="AM87" s="2024">
        <f>C87</f>
        <v>47792780</v>
      </c>
      <c r="AN87" s="1535">
        <f t="shared" ref="AN87:AN96" si="35">IF(AL87=0,0,AM87/AL87)</f>
        <v>231.97338212952673</v>
      </c>
    </row>
    <row r="88" spans="1:40" x14ac:dyDescent="0.25">
      <c r="A88" s="1171" t="s">
        <v>78</v>
      </c>
      <c r="B88" s="411">
        <f>B74</f>
        <v>88053.7</v>
      </c>
      <c r="C88" s="1779">
        <f>C74</f>
        <v>8950683</v>
      </c>
      <c r="D88" s="1535">
        <f t="shared" si="31"/>
        <v>101.65027704684755</v>
      </c>
      <c r="E88" s="411">
        <f>E74</f>
        <v>83808.3</v>
      </c>
      <c r="F88" s="1779">
        <f>F74</f>
        <v>10215685</v>
      </c>
      <c r="G88" s="1535">
        <f t="shared" si="32"/>
        <v>121.89347594450669</v>
      </c>
      <c r="H88" s="1176">
        <f>H74</f>
        <v>78913.600000000006</v>
      </c>
      <c r="I88" s="1779">
        <f>I74</f>
        <v>41982718</v>
      </c>
      <c r="J88" s="1916">
        <f t="shared" si="33"/>
        <v>532.00865250096308</v>
      </c>
      <c r="K88" s="411">
        <f>K74</f>
        <v>90523.4</v>
      </c>
      <c r="L88" s="1779">
        <f>L74</f>
        <v>0</v>
      </c>
      <c r="M88" s="1535">
        <f t="shared" si="34"/>
        <v>0</v>
      </c>
      <c r="N88" s="1176">
        <f>N74</f>
        <v>83229.2</v>
      </c>
      <c r="O88" s="1779">
        <f>O74</f>
        <v>0</v>
      </c>
      <c r="P88" s="1535">
        <f>IF(N88=0,0,O88/N88)</f>
        <v>0</v>
      </c>
      <c r="Q88" s="411">
        <f>Q74</f>
        <v>0</v>
      </c>
      <c r="R88" s="412"/>
      <c r="S88" s="413"/>
      <c r="T88" s="1176">
        <f>T74</f>
        <v>0</v>
      </c>
      <c r="U88" s="412"/>
      <c r="V88" s="414"/>
      <c r="W88" s="1937">
        <f>W74</f>
        <v>0</v>
      </c>
      <c r="X88" s="1053"/>
      <c r="Y88" s="1813"/>
      <c r="Z88" s="1176">
        <f>Z74</f>
        <v>0</v>
      </c>
      <c r="AA88" s="412"/>
      <c r="AB88" s="414"/>
      <c r="AC88" s="411">
        <f>AC74</f>
        <v>0</v>
      </c>
      <c r="AD88" s="412"/>
      <c r="AE88" s="413"/>
      <c r="AF88" s="1176">
        <f>AF74</f>
        <v>0</v>
      </c>
      <c r="AG88" s="412"/>
      <c r="AH88" s="414"/>
      <c r="AI88" s="411">
        <f>AI74</f>
        <v>0</v>
      </c>
      <c r="AJ88" s="412"/>
      <c r="AK88" s="413"/>
      <c r="AL88" s="1171">
        <f>AL74</f>
        <v>424528.2</v>
      </c>
      <c r="AM88" s="2026">
        <f>AM74</f>
        <v>61149086</v>
      </c>
      <c r="AN88" s="1535">
        <f t="shared" si="35"/>
        <v>144.04010381406937</v>
      </c>
    </row>
    <row r="89" spans="1:40" x14ac:dyDescent="0.25">
      <c r="A89" s="1171" t="s">
        <v>93</v>
      </c>
      <c r="B89" s="411">
        <f>Purchase!$B22</f>
        <v>5222</v>
      </c>
      <c r="C89" s="1779">
        <f>ROUND((Purchase!$C22+Purchase!$H22),0)</f>
        <v>1742334</v>
      </c>
      <c r="D89" s="1535">
        <f t="shared" si="31"/>
        <v>333.65262351589428</v>
      </c>
      <c r="E89" s="411">
        <f>Purchase!$B23</f>
        <v>192</v>
      </c>
      <c r="F89" s="1779">
        <f>Purchase!$C23</f>
        <v>48300</v>
      </c>
      <c r="G89" s="1535">
        <f t="shared" si="32"/>
        <v>251.5625</v>
      </c>
      <c r="H89" s="1176">
        <f>Purchase!$B24</f>
        <v>0</v>
      </c>
      <c r="I89" s="1779">
        <f>Purchase!$C24</f>
        <v>0</v>
      </c>
      <c r="J89" s="1916">
        <f t="shared" si="33"/>
        <v>0</v>
      </c>
      <c r="K89" s="411">
        <f>Purchase!$B25</f>
        <v>0</v>
      </c>
      <c r="L89" s="1779">
        <f>Purchase!$C25</f>
        <v>0</v>
      </c>
      <c r="M89" s="1535">
        <f t="shared" si="34"/>
        <v>0</v>
      </c>
      <c r="N89" s="1176">
        <v>25076.9</v>
      </c>
      <c r="O89" s="1779">
        <f>Purchase!$C26</f>
        <v>0</v>
      </c>
      <c r="P89" s="1535">
        <f>IF(N89=0,0,O89/N89)</f>
        <v>0</v>
      </c>
      <c r="Q89" s="411"/>
      <c r="R89" s="412"/>
      <c r="S89" s="413"/>
      <c r="T89" s="1176"/>
      <c r="U89" s="412"/>
      <c r="V89" s="414"/>
      <c r="W89" s="411"/>
      <c r="X89" s="412"/>
      <c r="Y89" s="413"/>
      <c r="Z89" s="1176"/>
      <c r="AA89" s="412"/>
      <c r="AB89" s="414"/>
      <c r="AC89" s="411"/>
      <c r="AD89" s="412"/>
      <c r="AE89" s="413"/>
      <c r="AF89" s="1176"/>
      <c r="AG89" s="412"/>
      <c r="AH89" s="414"/>
      <c r="AI89" s="411"/>
      <c r="AJ89" s="414"/>
      <c r="AK89" s="413"/>
      <c r="AL89" s="1171">
        <f>SUM(B89,E89,H89,K89,N89,Q89,T89,W89,Z89,AC89,AF89,AI89)</f>
        <v>30490.9</v>
      </c>
      <c r="AM89" s="2026">
        <f>SUM(C89,F89,I89,L89,O89,R89,U89,X89,AA89,AD89,AG89,AJ89)</f>
        <v>1790634</v>
      </c>
      <c r="AN89" s="1535">
        <f t="shared" si="35"/>
        <v>58.726833251888266</v>
      </c>
    </row>
    <row r="90" spans="1:40" ht="13.8" thickBot="1" x14ac:dyDescent="0.3">
      <c r="A90" s="1172" t="s">
        <v>407</v>
      </c>
      <c r="B90" s="424"/>
      <c r="C90" s="1780"/>
      <c r="D90" s="1903">
        <f t="shared" si="31"/>
        <v>0</v>
      </c>
      <c r="E90" s="424"/>
      <c r="F90" s="1785"/>
      <c r="G90" s="1903">
        <f t="shared" si="32"/>
        <v>0</v>
      </c>
      <c r="H90" s="1177"/>
      <c r="I90" s="425"/>
      <c r="J90" s="1926">
        <f t="shared" si="33"/>
        <v>0</v>
      </c>
      <c r="K90" s="424"/>
      <c r="L90" s="425"/>
      <c r="M90" s="1903">
        <f t="shared" si="34"/>
        <v>0</v>
      </c>
      <c r="N90" s="1177"/>
      <c r="O90" s="425"/>
      <c r="P90" s="733"/>
      <c r="Q90" s="424"/>
      <c r="R90" s="425"/>
      <c r="S90" s="426"/>
      <c r="T90" s="1177"/>
      <c r="U90" s="425"/>
      <c r="V90" s="733"/>
      <c r="W90" s="424"/>
      <c r="X90" s="425"/>
      <c r="Y90" s="426"/>
      <c r="Z90" s="1177"/>
      <c r="AA90" s="425"/>
      <c r="AB90" s="733"/>
      <c r="AC90" s="424"/>
      <c r="AD90" s="425"/>
      <c r="AE90" s="426"/>
      <c r="AF90" s="1177"/>
      <c r="AG90" s="425"/>
      <c r="AH90" s="733"/>
      <c r="AI90" s="424"/>
      <c r="AJ90" s="733"/>
      <c r="AK90" s="426"/>
      <c r="AL90" s="1172">
        <f>SUM(B90,E90,H90,K90,N90,Q90,T90,W90,Z90,AC90,AF90,AI90)</f>
        <v>0</v>
      </c>
      <c r="AM90" s="2071">
        <f>SUM(C90,F90,I90,L90,O90,R90,U90,X90,AA90,AD90,AG90,AJ90)</f>
        <v>0</v>
      </c>
      <c r="AN90" s="1903">
        <f t="shared" si="35"/>
        <v>0</v>
      </c>
    </row>
    <row r="91" spans="1:40" ht="13.8" thickBot="1" x14ac:dyDescent="0.3">
      <c r="A91" s="452" t="s">
        <v>183</v>
      </c>
      <c r="B91" s="1849">
        <f>SUM(B87:B90)</f>
        <v>299302.7</v>
      </c>
      <c r="C91" s="1835">
        <f>SUM(C87:C90)</f>
        <v>58485797</v>
      </c>
      <c r="D91" s="1904">
        <f t="shared" si="31"/>
        <v>195.40684731544351</v>
      </c>
      <c r="E91" s="1849">
        <f>SUM(E87:E90)</f>
        <v>293359</v>
      </c>
      <c r="F91" s="1835">
        <f>SUM(F87:F90)</f>
        <v>64485735</v>
      </c>
      <c r="G91" s="1904">
        <f t="shared" si="32"/>
        <v>219.81849883589732</v>
      </c>
      <c r="H91" s="1878">
        <f>SUM(H87:H90)</f>
        <v>264112.07</v>
      </c>
      <c r="I91" s="1835">
        <f>SUM(I87:I90)</f>
        <v>91929866</v>
      </c>
      <c r="J91" s="1927">
        <f t="shared" si="33"/>
        <v>348.07143043481506</v>
      </c>
      <c r="K91" s="1849">
        <f>SUM(K87:K90)</f>
        <v>354635.47</v>
      </c>
      <c r="L91" s="1835">
        <f>SUM(L87:L90)</f>
        <v>0</v>
      </c>
      <c r="M91" s="1904">
        <f t="shared" si="34"/>
        <v>0</v>
      </c>
      <c r="N91" s="1849">
        <f>ROUND(SUM(N87:N90),0)</f>
        <v>462942</v>
      </c>
      <c r="O91" s="1835">
        <f>SUM(O87:O90)</f>
        <v>0</v>
      </c>
      <c r="P91" s="1904">
        <f t="shared" ref="P91:P96" si="36">IF(N91=0,0,O91/N91)</f>
        <v>0</v>
      </c>
      <c r="Q91" s="563"/>
      <c r="R91" s="564"/>
      <c r="S91" s="565"/>
      <c r="T91" s="1867"/>
      <c r="U91" s="564"/>
      <c r="V91" s="1790"/>
      <c r="W91" s="563"/>
      <c r="X91" s="564"/>
      <c r="Y91" s="565"/>
      <c r="Z91" s="1867"/>
      <c r="AA91" s="564"/>
      <c r="AB91" s="1790"/>
      <c r="AC91" s="563"/>
      <c r="AD91" s="564"/>
      <c r="AE91" s="565"/>
      <c r="AF91" s="1867"/>
      <c r="AG91" s="564"/>
      <c r="AH91" s="1790"/>
      <c r="AI91" s="563"/>
      <c r="AJ91" s="1790"/>
      <c r="AK91" s="565"/>
      <c r="AL91" s="2067">
        <f>SUM(AL87:AL90)</f>
        <v>661046.1</v>
      </c>
      <c r="AM91" s="2072">
        <f>SUM(AM87:AM90)</f>
        <v>110732500</v>
      </c>
      <c r="AN91" s="1904">
        <f t="shared" si="35"/>
        <v>167.51101020034761</v>
      </c>
    </row>
    <row r="92" spans="1:40" ht="13.8" thickBot="1" x14ac:dyDescent="0.3">
      <c r="A92" s="449" t="s">
        <v>89</v>
      </c>
      <c r="B92" s="1812">
        <f>B91-B94</f>
        <v>209358.7</v>
      </c>
      <c r="C92" s="1829">
        <f>'Stock Valuation (FIFO)'!G14</f>
        <v>54221750</v>
      </c>
      <c r="D92" s="1883">
        <f t="shared" si="31"/>
        <v>258.98971478137759</v>
      </c>
      <c r="E92" s="1812">
        <f>E91-E94</f>
        <v>185198.47</v>
      </c>
      <c r="F92" s="1830">
        <f>'Stock Valuation (FIFO)'!J14</f>
        <v>49947148</v>
      </c>
      <c r="G92" s="1905">
        <f t="shared" si="32"/>
        <v>269.69525180202623</v>
      </c>
      <c r="H92" s="1812">
        <f>H91-H94</f>
        <v>264112.07</v>
      </c>
      <c r="I92" s="1829">
        <f>'Stock Valuation (FIFO)'!M14</f>
        <v>0</v>
      </c>
      <c r="J92" s="1928">
        <f t="shared" si="33"/>
        <v>0</v>
      </c>
      <c r="K92" s="1812">
        <f>K91-K94</f>
        <v>354635.47</v>
      </c>
      <c r="L92" s="1829">
        <f>'Stock Valuation (FIFO)'!P14</f>
        <v>0</v>
      </c>
      <c r="M92" s="1905">
        <f t="shared" si="34"/>
        <v>0</v>
      </c>
      <c r="N92" s="1868">
        <f>(N87+N88+N89+N90)-(N94+N95+N96+N145)</f>
        <v>455441.57</v>
      </c>
      <c r="O92" s="1832">
        <f>'Stock Valuation (FIFO)'!S14</f>
        <v>0</v>
      </c>
      <c r="P92" s="1993">
        <f t="shared" si="36"/>
        <v>0</v>
      </c>
      <c r="Q92" s="1812">
        <f>(Q87+Q88+Q89+Q90)-(Q94+Q95+Q96+Q145)</f>
        <v>455441.57</v>
      </c>
      <c r="R92" s="423"/>
      <c r="S92" s="1806"/>
      <c r="T92" s="1868">
        <f>(T87+T88+T89+T90)-(T94+T95+T96+T145)</f>
        <v>455441.57</v>
      </c>
      <c r="U92" s="423"/>
      <c r="V92" s="428"/>
      <c r="W92" s="1812">
        <f>(W87+W88+W89+W90)-(W94+W95+W96+W145)</f>
        <v>455441.57</v>
      </c>
      <c r="X92" s="423"/>
      <c r="Y92" s="1806"/>
      <c r="Z92" s="1868">
        <f>(Z87+Z88+Z89+Z90)-(Z94+Z95+Z96+Z145)+0.6</f>
        <v>455442.17</v>
      </c>
      <c r="AA92" s="423"/>
      <c r="AB92" s="428"/>
      <c r="AC92" s="1812">
        <f>(AC87+AC88+AC89+AC90)-(AC94+AC95+AC96+AC145)</f>
        <v>455442.17</v>
      </c>
      <c r="AD92" s="423"/>
      <c r="AE92" s="1806"/>
      <c r="AF92" s="1868">
        <f>(AF87+AF88+AF89+AF90)-(AF94+AF95+AF96+AF145)</f>
        <v>455442.17</v>
      </c>
      <c r="AG92" s="423"/>
      <c r="AH92" s="428"/>
      <c r="AI92" s="1812">
        <f>(AI87+AI88+AI89+AI90)-(AI94+AI95+AI96+AI145)</f>
        <v>455442.17</v>
      </c>
      <c r="AJ92" s="428"/>
      <c r="AK92" s="1806"/>
      <c r="AL92" s="1821">
        <f>AL91-AL94</f>
        <v>462941.56999999995</v>
      </c>
      <c r="AM92" s="2073">
        <f>O92</f>
        <v>0</v>
      </c>
      <c r="AN92" s="2054">
        <f t="shared" si="35"/>
        <v>0</v>
      </c>
    </row>
    <row r="93" spans="1:40" x14ac:dyDescent="0.25">
      <c r="A93" s="1210" t="s">
        <v>87</v>
      </c>
      <c r="B93" s="1210">
        <f>(B91-B92)</f>
        <v>89944</v>
      </c>
      <c r="C93" s="2055">
        <f>(C91-C92)</f>
        <v>4264047</v>
      </c>
      <c r="D93" s="1966">
        <f t="shared" si="31"/>
        <v>47.407798185537665</v>
      </c>
      <c r="E93" s="730">
        <f>(E91-E92)</f>
        <v>108160.53</v>
      </c>
      <c r="F93" s="2053">
        <f>(F91-F92)</f>
        <v>14538587</v>
      </c>
      <c r="G93" s="1535">
        <f t="shared" si="32"/>
        <v>134.4167507315284</v>
      </c>
      <c r="H93" s="730">
        <f>(H91-H92)</f>
        <v>0</v>
      </c>
      <c r="I93" s="2053">
        <f>(I91-I92)</f>
        <v>91929866</v>
      </c>
      <c r="J93" s="1535">
        <f t="shared" si="33"/>
        <v>0</v>
      </c>
      <c r="K93" s="730">
        <f>(K91-K92)</f>
        <v>0</v>
      </c>
      <c r="L93" s="2053">
        <f>(L91-L92)</f>
        <v>0</v>
      </c>
      <c r="M93" s="1535">
        <f t="shared" si="34"/>
        <v>0</v>
      </c>
      <c r="N93" s="730">
        <f>(N91-N92)</f>
        <v>7500.429999999993</v>
      </c>
      <c r="O93" s="2053">
        <f>(O91-O92)</f>
        <v>0</v>
      </c>
      <c r="P93" s="1535">
        <f t="shared" si="36"/>
        <v>0</v>
      </c>
      <c r="Q93" s="730"/>
      <c r="R93" s="731"/>
      <c r="S93" s="732"/>
      <c r="T93" s="1211"/>
      <c r="U93" s="731"/>
      <c r="V93" s="1212"/>
      <c r="W93" s="730"/>
      <c r="X93" s="731"/>
      <c r="Y93" s="732"/>
      <c r="Z93" s="1211"/>
      <c r="AA93" s="731"/>
      <c r="AB93" s="1212"/>
      <c r="AC93" s="730"/>
      <c r="AD93" s="731"/>
      <c r="AE93" s="732"/>
      <c r="AF93" s="1211"/>
      <c r="AG93" s="731"/>
      <c r="AH93" s="1212"/>
      <c r="AI93" s="730"/>
      <c r="AJ93" s="1212"/>
      <c r="AK93" s="732"/>
      <c r="AL93" s="1210">
        <f>(AL91-AL92)</f>
        <v>198104.53000000003</v>
      </c>
      <c r="AM93" s="2074">
        <f>(AM91-AM92)</f>
        <v>110732500</v>
      </c>
      <c r="AN93" s="1535">
        <f t="shared" si="35"/>
        <v>558.95995916903053</v>
      </c>
    </row>
    <row r="94" spans="1:40" ht="13.8" thickBot="1" x14ac:dyDescent="0.3">
      <c r="A94" s="429" t="s">
        <v>94</v>
      </c>
      <c r="B94" s="418">
        <f>'Inventory Sales'!B11-'Inventory Sales'!B10</f>
        <v>89944</v>
      </c>
      <c r="C94" s="2076">
        <f>'Inventory Sales'!D11-('Inventory Sales'!D10+'Inventory Sales'!D35)</f>
        <v>26267991</v>
      </c>
      <c r="D94" s="1238">
        <f t="shared" si="31"/>
        <v>292.04828559992882</v>
      </c>
      <c r="E94" s="418">
        <f>'Inventory Sales'!E11-'Inventory Sales'!E10</f>
        <v>108160.53</v>
      </c>
      <c r="F94" s="2076">
        <f>'Inventory Sales'!G11-('Inventory Sales'!G35+'Inventory Sales'!G10)</f>
        <v>31183853.399999999</v>
      </c>
      <c r="G94" s="1238">
        <f t="shared" si="32"/>
        <v>288.31084130227543</v>
      </c>
      <c r="H94" s="1178">
        <f>'Inventory Sales'!H11-'Inventory Sales'!H10</f>
        <v>0</v>
      </c>
      <c r="I94" s="2076">
        <f>'Inventory Sales'!J11-('Inventory Sales'!J10+'Inventory Sales'!J35)</f>
        <v>0</v>
      </c>
      <c r="J94" s="1997">
        <f t="shared" si="33"/>
        <v>0</v>
      </c>
      <c r="K94" s="418">
        <f>'Inventory Sales'!K11-'Inventory Sales'!K10</f>
        <v>0</v>
      </c>
      <c r="L94" s="2076">
        <f>'Inventory Sales'!M11-('Inventory Sales'!M10+'Inventory Sales'!M35)</f>
        <v>0</v>
      </c>
      <c r="M94" s="1238">
        <f t="shared" si="34"/>
        <v>0</v>
      </c>
      <c r="N94" s="1178">
        <f>'Inventory Sales'!N11-'Inventory Sales'!N10</f>
        <v>0</v>
      </c>
      <c r="O94" s="2076">
        <f>'Inventory Sales'!P11-('Inventory Sales'!P10+'Inventory Sales'!P35)</f>
        <v>0</v>
      </c>
      <c r="P94" s="1238">
        <f t="shared" si="36"/>
        <v>0</v>
      </c>
      <c r="Q94" s="418"/>
      <c r="R94" s="419"/>
      <c r="S94" s="1173"/>
      <c r="T94" s="1178"/>
      <c r="U94" s="419"/>
      <c r="V94" s="214"/>
      <c r="W94" s="418"/>
      <c r="X94" s="419"/>
      <c r="Y94" s="1173"/>
      <c r="Z94" s="1178"/>
      <c r="AA94" s="419"/>
      <c r="AB94" s="214"/>
      <c r="AC94" s="418"/>
      <c r="AD94" s="419"/>
      <c r="AE94" s="1173"/>
      <c r="AF94" s="1178"/>
      <c r="AG94" s="419"/>
      <c r="AH94" s="214"/>
      <c r="AI94" s="418"/>
      <c r="AJ94" s="214"/>
      <c r="AK94" s="1173"/>
      <c r="AL94" s="429">
        <f t="shared" ref="AL94:AM96" si="37">SUM(B94,E94,H94,K94,N94,Q94,T94,W94,Z94,AC94,AF94,AI94)</f>
        <v>198104.53</v>
      </c>
      <c r="AM94" s="1997">
        <f t="shared" si="37"/>
        <v>57451844.399999999</v>
      </c>
      <c r="AN94" s="1238">
        <f t="shared" si="35"/>
        <v>290.00772672891429</v>
      </c>
    </row>
    <row r="95" spans="1:40" x14ac:dyDescent="0.25">
      <c r="A95" s="1819" t="s">
        <v>644</v>
      </c>
      <c r="B95" s="443">
        <f>B89</f>
        <v>5222</v>
      </c>
      <c r="C95" s="1848">
        <f>ROUND((B95*D94),0)</f>
        <v>1525076</v>
      </c>
      <c r="D95" s="2179">
        <f t="shared" si="31"/>
        <v>292.04825737265418</v>
      </c>
      <c r="E95" s="443">
        <f>E89</f>
        <v>192</v>
      </c>
      <c r="F95" s="1848">
        <f>ROUND((E95*G94),0)</f>
        <v>55356</v>
      </c>
      <c r="G95" s="2179">
        <f t="shared" si="32"/>
        <v>288.3125</v>
      </c>
      <c r="H95" s="443">
        <f>H89</f>
        <v>0</v>
      </c>
      <c r="I95" s="1848">
        <f>ROUND((H95*J94),0)</f>
        <v>0</v>
      </c>
      <c r="J95" s="2179">
        <f t="shared" si="33"/>
        <v>0</v>
      </c>
      <c r="K95" s="443">
        <f>K89</f>
        <v>0</v>
      </c>
      <c r="L95" s="1848">
        <f>ROUND((K95*M94),0)</f>
        <v>0</v>
      </c>
      <c r="M95" s="2179">
        <f t="shared" si="34"/>
        <v>0</v>
      </c>
      <c r="N95" s="443">
        <f>N89</f>
        <v>25076.9</v>
      </c>
      <c r="O95" s="1848">
        <f>ROUND((N95*P94),0)</f>
        <v>0</v>
      </c>
      <c r="P95" s="2179">
        <f t="shared" si="36"/>
        <v>0</v>
      </c>
      <c r="Q95" s="443"/>
      <c r="R95" s="444"/>
      <c r="S95" s="445"/>
      <c r="T95" s="1879"/>
      <c r="U95" s="444"/>
      <c r="V95" s="1799"/>
      <c r="W95" s="443"/>
      <c r="X95" s="444"/>
      <c r="Y95" s="445"/>
      <c r="Z95" s="1879"/>
      <c r="AA95" s="444"/>
      <c r="AB95" s="1799"/>
      <c r="AC95" s="443"/>
      <c r="AD95" s="444"/>
      <c r="AE95" s="445"/>
      <c r="AF95" s="1879"/>
      <c r="AG95" s="444"/>
      <c r="AH95" s="1799"/>
      <c r="AI95" s="443"/>
      <c r="AJ95" s="1799"/>
      <c r="AK95" s="445"/>
      <c r="AL95" s="1819">
        <f t="shared" si="37"/>
        <v>30490.9</v>
      </c>
      <c r="AM95" s="2180">
        <f t="shared" si="37"/>
        <v>1580432</v>
      </c>
      <c r="AN95" s="2179">
        <f t="shared" si="35"/>
        <v>51.832907523228236</v>
      </c>
    </row>
    <row r="96" spans="1:40" ht="14.4" thickBot="1" x14ac:dyDescent="0.35">
      <c r="A96" s="2181" t="s">
        <v>645</v>
      </c>
      <c r="B96" s="2182">
        <f>B94-B95</f>
        <v>84722</v>
      </c>
      <c r="C96" s="2183">
        <f>C94-C95</f>
        <v>24742915</v>
      </c>
      <c r="D96" s="2184">
        <f t="shared" si="31"/>
        <v>292.04828733977007</v>
      </c>
      <c r="E96" s="2182">
        <f>E94-E95</f>
        <v>107968.53</v>
      </c>
      <c r="F96" s="2183">
        <f>F94-F95</f>
        <v>31128497.399999999</v>
      </c>
      <c r="G96" s="2184">
        <f t="shared" si="32"/>
        <v>288.31083835261995</v>
      </c>
      <c r="H96" s="2182">
        <f>H94-H95</f>
        <v>0</v>
      </c>
      <c r="I96" s="2183">
        <f>I94-I95</f>
        <v>0</v>
      </c>
      <c r="J96" s="2184">
        <f t="shared" si="33"/>
        <v>0</v>
      </c>
      <c r="K96" s="2182">
        <f>K94-K95</f>
        <v>0</v>
      </c>
      <c r="L96" s="2183">
        <f>L94-L95</f>
        <v>0</v>
      </c>
      <c r="M96" s="2184">
        <f t="shared" si="34"/>
        <v>0</v>
      </c>
      <c r="N96" s="2182">
        <f>N94-N95</f>
        <v>-25076.9</v>
      </c>
      <c r="O96" s="2183">
        <f>O94-O95</f>
        <v>0</v>
      </c>
      <c r="P96" s="2184">
        <f t="shared" si="36"/>
        <v>0</v>
      </c>
      <c r="Q96" s="2185"/>
      <c r="R96" s="2186"/>
      <c r="S96" s="2187"/>
      <c r="T96" s="2188"/>
      <c r="U96" s="2186"/>
      <c r="V96" s="2189"/>
      <c r="W96" s="2185"/>
      <c r="X96" s="2186"/>
      <c r="Y96" s="2187"/>
      <c r="Z96" s="2188"/>
      <c r="AA96" s="2186"/>
      <c r="AB96" s="2189"/>
      <c r="AC96" s="2185"/>
      <c r="AD96" s="2186"/>
      <c r="AE96" s="2187"/>
      <c r="AF96" s="2188"/>
      <c r="AG96" s="2186"/>
      <c r="AH96" s="2189"/>
      <c r="AI96" s="2185"/>
      <c r="AJ96" s="2189"/>
      <c r="AK96" s="2187"/>
      <c r="AL96" s="2181">
        <f t="shared" si="37"/>
        <v>167613.63</v>
      </c>
      <c r="AM96" s="2190">
        <f t="shared" si="37"/>
        <v>55871412.399999999</v>
      </c>
      <c r="AN96" s="2184">
        <f t="shared" si="35"/>
        <v>333.3345408723622</v>
      </c>
    </row>
    <row r="97" spans="1:41" ht="14.4" thickBot="1" x14ac:dyDescent="0.35">
      <c r="A97" s="2192"/>
      <c r="B97" s="2193"/>
      <c r="C97" s="2194"/>
      <c r="D97" s="2195"/>
      <c r="E97" s="2193"/>
      <c r="F97" s="2194"/>
      <c r="G97" s="2195"/>
      <c r="H97" s="2193"/>
      <c r="I97" s="2194"/>
      <c r="J97" s="2195"/>
      <c r="K97" s="2193"/>
      <c r="L97" s="2194"/>
      <c r="M97" s="2195"/>
      <c r="N97" s="2193"/>
      <c r="O97" s="2194"/>
      <c r="P97" s="2195"/>
      <c r="Q97" s="2192"/>
      <c r="R97" s="2192"/>
      <c r="S97" s="2192"/>
      <c r="T97" s="2192"/>
      <c r="U97" s="2192"/>
      <c r="V97" s="2192"/>
      <c r="W97" s="2192"/>
      <c r="X97" s="2192"/>
      <c r="Y97" s="2192"/>
      <c r="Z97" s="2192"/>
      <c r="AA97" s="2192"/>
      <c r="AB97" s="2192"/>
      <c r="AC97" s="2192"/>
      <c r="AD97" s="2192"/>
      <c r="AE97" s="2192"/>
      <c r="AF97" s="2192"/>
      <c r="AG97" s="2192"/>
      <c r="AH97" s="2192"/>
      <c r="AI97" s="2192"/>
      <c r="AJ97" s="2192"/>
      <c r="AK97" s="2192"/>
      <c r="AL97" s="2192"/>
      <c r="AM97" s="2195"/>
      <c r="AN97" s="2195"/>
    </row>
    <row r="101" spans="1:41" ht="13.8" thickBot="1" x14ac:dyDescent="0.3">
      <c r="AM101" s="7"/>
      <c r="AO101" s="525"/>
    </row>
    <row r="102" spans="1:41" ht="13.8" thickBot="1" x14ac:dyDescent="0.3">
      <c r="A102" s="1855" t="s">
        <v>642</v>
      </c>
      <c r="B102" s="1161"/>
      <c r="C102" s="1162"/>
      <c r="D102" s="1163"/>
      <c r="E102" s="1161"/>
      <c r="F102" s="1162"/>
      <c r="G102" s="1163"/>
      <c r="H102" s="1162"/>
      <c r="I102" s="1162"/>
      <c r="J102" s="1162"/>
      <c r="K102" s="1161"/>
      <c r="L102" s="1162"/>
      <c r="M102" s="1163"/>
      <c r="N102" s="1162"/>
      <c r="O102" s="1162"/>
      <c r="P102" s="1162"/>
      <c r="Q102" s="1161"/>
      <c r="R102" s="1162"/>
      <c r="S102" s="1163"/>
      <c r="T102" s="1162"/>
      <c r="U102" s="1162"/>
      <c r="V102" s="1162"/>
      <c r="W102" s="1161"/>
      <c r="X102" s="1162"/>
      <c r="Y102" s="1163"/>
      <c r="Z102" s="1162"/>
      <c r="AA102" s="1162"/>
      <c r="AB102" s="1162"/>
      <c r="AC102" s="1161"/>
      <c r="AD102" s="1162"/>
      <c r="AE102" s="1163"/>
      <c r="AF102" s="1162"/>
      <c r="AG102" s="1162"/>
      <c r="AH102" s="1162"/>
      <c r="AI102" s="1161"/>
      <c r="AJ102" s="1162"/>
      <c r="AK102" s="1163"/>
      <c r="AL102" s="1161"/>
      <c r="AM102" s="1143"/>
      <c r="AN102" s="1163"/>
    </row>
    <row r="103" spans="1:41" x14ac:dyDescent="0.25">
      <c r="A103" s="1819" t="s">
        <v>84</v>
      </c>
      <c r="B103" s="443">
        <v>706</v>
      </c>
      <c r="C103" s="1848">
        <f>'Trading PL'!C45</f>
        <v>226435</v>
      </c>
      <c r="D103" s="1535">
        <f t="shared" ref="D103:D121" si="38">IF(B103=0,0,C103/B103)</f>
        <v>320.72946175637395</v>
      </c>
      <c r="E103" s="443">
        <f>B112</f>
        <v>-729.20000000000073</v>
      </c>
      <c r="F103" s="1786">
        <f>C112</f>
        <v>224652</v>
      </c>
      <c r="G103" s="1535">
        <f t="shared" ref="G103:G121" si="39">IF(E103=0,0,F103/E103)</f>
        <v>-308.08008776741605</v>
      </c>
      <c r="H103" s="1879">
        <f>E112</f>
        <v>-2251.3000000000011</v>
      </c>
      <c r="I103" s="1786">
        <f>F112</f>
        <v>245972</v>
      </c>
      <c r="J103" s="1916">
        <f t="shared" ref="J103:J121" si="40">IF(H103=0,0,I103/H103)</f>
        <v>-109.25776218185044</v>
      </c>
      <c r="K103" s="443">
        <f>H112</f>
        <v>-2302.2000000000012</v>
      </c>
      <c r="L103" s="1786">
        <f>I112</f>
        <v>0</v>
      </c>
      <c r="M103" s="1535">
        <f t="shared" ref="M103:M121" si="41">IF(K103=0,0,L103/K103)</f>
        <v>0</v>
      </c>
      <c r="N103" s="1879">
        <f>K112</f>
        <v>-2302.2000000000012</v>
      </c>
      <c r="O103" s="1786">
        <f>L112</f>
        <v>0</v>
      </c>
      <c r="P103" s="1535">
        <f t="shared" ref="P103:P113" si="42">IF(N103=0,0,O103/N103)</f>
        <v>0</v>
      </c>
      <c r="Q103" s="443">
        <f>N112</f>
        <v>-3719.2000000000012</v>
      </c>
      <c r="R103" s="444"/>
      <c r="S103" s="445"/>
      <c r="T103" s="1879">
        <f>Q112</f>
        <v>-3719.2000000000012</v>
      </c>
      <c r="U103" s="444"/>
      <c r="V103" s="1799"/>
      <c r="W103" s="443">
        <f>T112</f>
        <v>-3719.2000000000012</v>
      </c>
      <c r="X103" s="444"/>
      <c r="Y103" s="445"/>
      <c r="Z103" s="1879">
        <f>W112</f>
        <v>-3719.2000000000012</v>
      </c>
      <c r="AA103" s="444"/>
      <c r="AB103" s="1799"/>
      <c r="AC103" s="443">
        <f>Z112</f>
        <v>-3719.2000000000012</v>
      </c>
      <c r="AD103" s="444"/>
      <c r="AE103" s="445"/>
      <c r="AF103" s="1879">
        <f>AC112</f>
        <v>-3719.2000000000012</v>
      </c>
      <c r="AG103" s="444"/>
      <c r="AH103" s="1799"/>
      <c r="AI103" s="443">
        <f>AF112</f>
        <v>-3719.2000000000012</v>
      </c>
      <c r="AJ103" s="1799"/>
      <c r="AK103" s="445"/>
      <c r="AL103" s="1819">
        <f>B103</f>
        <v>706</v>
      </c>
      <c r="AM103" s="1786">
        <f>C103</f>
        <v>226435</v>
      </c>
      <c r="AN103" s="1535">
        <f t="shared" ref="AN103:AN121" si="43">IF(AL103=0,0,AM103/AL103)</f>
        <v>320.72946175637395</v>
      </c>
    </row>
    <row r="104" spans="1:41" x14ac:dyDescent="0.25">
      <c r="A104" s="1171" t="s">
        <v>380</v>
      </c>
      <c r="B104" s="411">
        <f>Purchase!$B37+1</f>
        <v>545.4</v>
      </c>
      <c r="C104" s="1779">
        <f>ROUND((Purchase!$C37),0)</f>
        <v>144459</v>
      </c>
      <c r="D104" s="1535">
        <f t="shared" si="38"/>
        <v>264.86798679867985</v>
      </c>
      <c r="E104" s="411">
        <f>Purchase!B38</f>
        <v>192</v>
      </c>
      <c r="F104" s="1779">
        <f>ROUND((Purchase!$C38),0)</f>
        <v>48300</v>
      </c>
      <c r="G104" s="1535">
        <f t="shared" si="39"/>
        <v>251.5625</v>
      </c>
      <c r="H104" s="411">
        <f>Purchase!$B39</f>
        <v>0</v>
      </c>
      <c r="I104" s="1779">
        <f>ROUND((Purchase!$C39),0)</f>
        <v>0</v>
      </c>
      <c r="J104" s="1916">
        <f t="shared" si="40"/>
        <v>0</v>
      </c>
      <c r="K104" s="411">
        <f>Purchase!$B40</f>
        <v>0</v>
      </c>
      <c r="L104" s="1779">
        <f>ROUND((Purchase!$C40),0)</f>
        <v>0</v>
      </c>
      <c r="M104" s="1535">
        <f t="shared" si="41"/>
        <v>0</v>
      </c>
      <c r="N104" s="1176">
        <f>Purchase!B41</f>
        <v>0</v>
      </c>
      <c r="O104" s="1779">
        <f>Purchase!C41</f>
        <v>0</v>
      </c>
      <c r="P104" s="1535">
        <f t="shared" si="42"/>
        <v>0</v>
      </c>
      <c r="Q104" s="411"/>
      <c r="R104" s="412"/>
      <c r="S104" s="413"/>
      <c r="T104" s="1176"/>
      <c r="U104" s="412"/>
      <c r="V104" s="414"/>
      <c r="W104" s="411"/>
      <c r="X104" s="412"/>
      <c r="Y104" s="413"/>
      <c r="Z104" s="1176"/>
      <c r="AA104" s="412"/>
      <c r="AB104" s="414"/>
      <c r="AC104" s="411"/>
      <c r="AD104" s="412"/>
      <c r="AE104" s="413"/>
      <c r="AF104" s="1176"/>
      <c r="AG104" s="412"/>
      <c r="AH104" s="414"/>
      <c r="AI104" s="411"/>
      <c r="AJ104" s="414"/>
      <c r="AK104" s="413"/>
      <c r="AL104" s="1171">
        <f>Purchase!B49</f>
        <v>736.4</v>
      </c>
      <c r="AM104" s="1779">
        <f>Purchase!C49</f>
        <v>192759</v>
      </c>
      <c r="AN104" s="1535">
        <f t="shared" si="43"/>
        <v>261.75855513307988</v>
      </c>
      <c r="AO104" s="2"/>
    </row>
    <row r="105" spans="1:41" x14ac:dyDescent="0.25">
      <c r="A105" s="1171" t="s">
        <v>379</v>
      </c>
      <c r="B105" s="411"/>
      <c r="C105" s="1779"/>
      <c r="D105" s="1535">
        <f t="shared" si="38"/>
        <v>0</v>
      </c>
      <c r="E105" s="411"/>
      <c r="F105" s="1784"/>
      <c r="G105" s="1535">
        <f t="shared" si="39"/>
        <v>0</v>
      </c>
      <c r="H105" s="1176"/>
      <c r="I105" s="412"/>
      <c r="J105" s="1916">
        <f t="shared" si="40"/>
        <v>0</v>
      </c>
      <c r="K105" s="411"/>
      <c r="L105" s="412"/>
      <c r="M105" s="1535">
        <f t="shared" si="41"/>
        <v>0</v>
      </c>
      <c r="N105" s="1176"/>
      <c r="O105" s="412"/>
      <c r="P105" s="1535">
        <f t="shared" si="42"/>
        <v>0</v>
      </c>
      <c r="Q105" s="411"/>
      <c r="R105" s="412"/>
      <c r="S105" s="413"/>
      <c r="T105" s="1176"/>
      <c r="U105" s="412"/>
      <c r="V105" s="414"/>
      <c r="W105" s="411"/>
      <c r="X105" s="412"/>
      <c r="Y105" s="413"/>
      <c r="Z105" s="1176"/>
      <c r="AA105" s="412"/>
      <c r="AB105" s="414"/>
      <c r="AC105" s="411"/>
      <c r="AD105" s="412"/>
      <c r="AE105" s="413"/>
      <c r="AF105" s="1176"/>
      <c r="AG105" s="412"/>
      <c r="AH105" s="414"/>
      <c r="AI105" s="1941"/>
      <c r="AJ105" s="1800"/>
      <c r="AK105" s="1820"/>
      <c r="AL105" s="1171">
        <f>SUM(B105:AI105)</f>
        <v>0</v>
      </c>
      <c r="AM105" s="412"/>
      <c r="AN105" s="1535">
        <f t="shared" si="43"/>
        <v>0</v>
      </c>
      <c r="AO105" s="2"/>
    </row>
    <row r="106" spans="1:41" x14ac:dyDescent="0.25">
      <c r="A106" s="1171" t="s">
        <v>116</v>
      </c>
      <c r="B106" s="411">
        <f>Purchase!$E37</f>
        <v>1316.2</v>
      </c>
      <c r="C106" s="1779">
        <f>Purchase!$F37</f>
        <v>356572</v>
      </c>
      <c r="D106" s="1535">
        <f t="shared" si="38"/>
        <v>270.9101960188421</v>
      </c>
      <c r="E106" s="411">
        <f>Purchase!$E38</f>
        <v>1087</v>
      </c>
      <c r="F106" s="1779">
        <f>Purchase!$F38</f>
        <v>261589</v>
      </c>
      <c r="G106" s="1535">
        <f t="shared" si="39"/>
        <v>240.65225390984361</v>
      </c>
      <c r="H106" s="411">
        <f>Purchase!$E39</f>
        <v>0</v>
      </c>
      <c r="I106" s="1779">
        <f>Purchase!$F39</f>
        <v>0</v>
      </c>
      <c r="J106" s="1916">
        <f t="shared" si="40"/>
        <v>0</v>
      </c>
      <c r="K106" s="411">
        <f>Purchase!$E40</f>
        <v>0</v>
      </c>
      <c r="L106" s="1779">
        <f>Purchase!$F40</f>
        <v>0</v>
      </c>
      <c r="M106" s="1535">
        <f t="shared" si="41"/>
        <v>0</v>
      </c>
      <c r="N106" s="411">
        <f>Purchase!$E41</f>
        <v>0</v>
      </c>
      <c r="O106" s="1779">
        <f>Purchase!$F41</f>
        <v>0</v>
      </c>
      <c r="P106" s="1535">
        <f t="shared" si="42"/>
        <v>0</v>
      </c>
      <c r="Q106" s="411"/>
      <c r="R106" s="412"/>
      <c r="S106" s="413"/>
      <c r="T106" s="1176"/>
      <c r="U106" s="412"/>
      <c r="V106" s="414"/>
      <c r="W106" s="411"/>
      <c r="X106" s="412"/>
      <c r="Y106" s="413"/>
      <c r="Z106" s="1176"/>
      <c r="AA106" s="412"/>
      <c r="AB106" s="414"/>
      <c r="AC106" s="411"/>
      <c r="AD106" s="412"/>
      <c r="AE106" s="413"/>
      <c r="AF106" s="1176"/>
      <c r="AG106" s="412"/>
      <c r="AH106" s="414"/>
      <c r="AI106" s="411"/>
      <c r="AJ106" s="414"/>
      <c r="AK106" s="413"/>
      <c r="AL106" s="1807">
        <f>SUM(B106,E106,H106,K106,N106,Q106,T106,W106,Z106,AC106,AF106,AI106)</f>
        <v>2403.1999999999998</v>
      </c>
      <c r="AM106" s="2035">
        <f>SUM(C106,F106,I106,L106,O106,R106,U106,X106,AA106,AD106,AG106,AJ106)</f>
        <v>618161</v>
      </c>
      <c r="AN106" s="1535">
        <f t="shared" si="43"/>
        <v>257.22411784287618</v>
      </c>
      <c r="AO106" s="2"/>
    </row>
    <row r="107" spans="1:41" x14ac:dyDescent="0.25">
      <c r="A107" s="1171" t="s">
        <v>179</v>
      </c>
      <c r="B107" s="411"/>
      <c r="C107" s="1779"/>
      <c r="D107" s="1535">
        <f t="shared" si="38"/>
        <v>0</v>
      </c>
      <c r="E107" s="411"/>
      <c r="F107" s="1779"/>
      <c r="G107" s="1535">
        <f t="shared" si="39"/>
        <v>0</v>
      </c>
      <c r="H107" s="411"/>
      <c r="I107" s="1779"/>
      <c r="J107" s="1916">
        <f t="shared" si="40"/>
        <v>0</v>
      </c>
      <c r="K107" s="411"/>
      <c r="L107" s="1779"/>
      <c r="M107" s="1535">
        <f t="shared" si="41"/>
        <v>0</v>
      </c>
      <c r="N107" s="1176"/>
      <c r="O107" s="1779"/>
      <c r="P107" s="1535">
        <f t="shared" si="42"/>
        <v>0</v>
      </c>
      <c r="Q107" s="411"/>
      <c r="R107" s="412"/>
      <c r="S107" s="413"/>
      <c r="T107" s="1176"/>
      <c r="U107" s="412"/>
      <c r="V107" s="414"/>
      <c r="W107" s="411"/>
      <c r="X107" s="412"/>
      <c r="Y107" s="413"/>
      <c r="Z107" s="1176"/>
      <c r="AA107" s="412"/>
      <c r="AB107" s="414"/>
      <c r="AC107" s="411"/>
      <c r="AD107" s="412"/>
      <c r="AE107" s="413"/>
      <c r="AF107" s="1176"/>
      <c r="AG107" s="412"/>
      <c r="AH107" s="414"/>
      <c r="AI107" s="411"/>
      <c r="AJ107" s="414"/>
      <c r="AK107" s="413"/>
      <c r="AL107" s="411"/>
      <c r="AM107" s="1779"/>
      <c r="AN107" s="1535">
        <f t="shared" si="43"/>
        <v>0</v>
      </c>
    </row>
    <row r="108" spans="1:41" x14ac:dyDescent="0.25">
      <c r="A108" s="1171" t="s">
        <v>180</v>
      </c>
      <c r="B108" s="411"/>
      <c r="C108" s="1779"/>
      <c r="D108" s="1535">
        <f t="shared" si="38"/>
        <v>0</v>
      </c>
      <c r="E108" s="411"/>
      <c r="F108" s="1784"/>
      <c r="G108" s="1535">
        <f t="shared" si="39"/>
        <v>0</v>
      </c>
      <c r="H108" s="1176"/>
      <c r="I108" s="412"/>
      <c r="J108" s="1916">
        <f t="shared" si="40"/>
        <v>0</v>
      </c>
      <c r="K108" s="411"/>
      <c r="L108" s="412"/>
      <c r="M108" s="1535">
        <f t="shared" si="41"/>
        <v>0</v>
      </c>
      <c r="N108" s="1176"/>
      <c r="O108" s="1779"/>
      <c r="P108" s="1535">
        <f t="shared" si="42"/>
        <v>0</v>
      </c>
      <c r="Q108" s="411"/>
      <c r="R108" s="412"/>
      <c r="S108" s="413"/>
      <c r="T108" s="1176"/>
      <c r="U108" s="412"/>
      <c r="V108" s="414"/>
      <c r="W108" s="411"/>
      <c r="X108" s="412"/>
      <c r="Y108" s="413"/>
      <c r="Z108" s="1176"/>
      <c r="AA108" s="412"/>
      <c r="AB108" s="414"/>
      <c r="AC108" s="411"/>
      <c r="AD108" s="412"/>
      <c r="AE108" s="413"/>
      <c r="AF108" s="1176"/>
      <c r="AG108" s="412"/>
      <c r="AH108" s="414"/>
      <c r="AI108" s="411"/>
      <c r="AJ108" s="414"/>
      <c r="AK108" s="413"/>
      <c r="AL108" s="1807">
        <f>SUM(B108,E108,H108,K108,N108,Q108,T108,W108,Z108,AC108,AF108,AI108)</f>
        <v>0</v>
      </c>
      <c r="AM108" s="2035">
        <f>SUM(C108,F108,I108,L108,O108,R108,U108,X108,AA108,AD108,AG108,AJ108)</f>
        <v>0</v>
      </c>
      <c r="AN108" s="1535">
        <f t="shared" si="43"/>
        <v>0</v>
      </c>
    </row>
    <row r="109" spans="1:41" x14ac:dyDescent="0.25">
      <c r="A109" s="1171" t="s">
        <v>181</v>
      </c>
      <c r="B109" s="411">
        <v>0</v>
      </c>
      <c r="C109" s="1779"/>
      <c r="D109" s="1535">
        <f t="shared" si="38"/>
        <v>0</v>
      </c>
      <c r="E109" s="411"/>
      <c r="F109" s="1784"/>
      <c r="G109" s="1535">
        <f t="shared" si="39"/>
        <v>0</v>
      </c>
      <c r="H109" s="1176"/>
      <c r="I109" s="412"/>
      <c r="J109" s="1916">
        <f t="shared" si="40"/>
        <v>0</v>
      </c>
      <c r="K109" s="411"/>
      <c r="L109" s="412"/>
      <c r="M109" s="1535">
        <f t="shared" si="41"/>
        <v>0</v>
      </c>
      <c r="N109" s="1176"/>
      <c r="O109" s="412"/>
      <c r="P109" s="1535">
        <f t="shared" si="42"/>
        <v>0</v>
      </c>
      <c r="Q109" s="411"/>
      <c r="R109" s="412"/>
      <c r="S109" s="413"/>
      <c r="T109" s="1176"/>
      <c r="U109" s="412"/>
      <c r="V109" s="414"/>
      <c r="W109" s="411"/>
      <c r="X109" s="412"/>
      <c r="Y109" s="413"/>
      <c r="Z109" s="1176"/>
      <c r="AA109" s="412"/>
      <c r="AB109" s="414"/>
      <c r="AC109" s="411"/>
      <c r="AD109" s="412"/>
      <c r="AE109" s="413"/>
      <c r="AF109" s="1176"/>
      <c r="AG109" s="412"/>
      <c r="AH109" s="414"/>
      <c r="AI109" s="411"/>
      <c r="AJ109" s="414"/>
      <c r="AK109" s="413"/>
      <c r="AL109" s="1171">
        <f>SUM(B109:AI109)</f>
        <v>0</v>
      </c>
      <c r="AM109" s="412"/>
      <c r="AN109" s="1535">
        <f t="shared" si="43"/>
        <v>0</v>
      </c>
    </row>
    <row r="110" spans="1:41" ht="13.8" thickBot="1" x14ac:dyDescent="0.3">
      <c r="A110" s="1174" t="s">
        <v>182</v>
      </c>
      <c r="B110" s="427">
        <f>Purchase!$H37</f>
        <v>6124.2</v>
      </c>
      <c r="C110" s="1831">
        <f>ROUND((Purchase!$I37),0)</f>
        <v>1399839</v>
      </c>
      <c r="D110" s="1647">
        <f t="shared" si="38"/>
        <v>228.57499755070052</v>
      </c>
      <c r="E110" s="427">
        <f>Purchase!$H38</f>
        <v>3727.5</v>
      </c>
      <c r="F110" s="1831">
        <f>ROUND((Purchase!I38),0)</f>
        <v>820165</v>
      </c>
      <c r="G110" s="1647">
        <f t="shared" si="39"/>
        <v>220.03085177733064</v>
      </c>
      <c r="H110" s="427">
        <f>Purchase!$H39</f>
        <v>0</v>
      </c>
      <c r="I110" s="1831">
        <f>ROUND((Purchase!I39),0)</f>
        <v>0</v>
      </c>
      <c r="J110" s="1920">
        <f t="shared" si="40"/>
        <v>0</v>
      </c>
      <c r="K110" s="427">
        <f>Purchase!$H40</f>
        <v>0</v>
      </c>
      <c r="L110" s="1831">
        <f>ROUND((Purchase!I40),0)</f>
        <v>0</v>
      </c>
      <c r="M110" s="1647">
        <f t="shared" si="41"/>
        <v>0</v>
      </c>
      <c r="N110" s="1824">
        <v>4998.6000000000004</v>
      </c>
      <c r="O110" s="1831">
        <f>ROUND((Purchase!I41),0)</f>
        <v>0</v>
      </c>
      <c r="P110" s="1647">
        <f t="shared" si="42"/>
        <v>0</v>
      </c>
      <c r="Q110" s="427"/>
      <c r="R110" s="415"/>
      <c r="S110" s="808"/>
      <c r="T110" s="1824"/>
      <c r="U110" s="415"/>
      <c r="V110" s="1788"/>
      <c r="W110" s="427"/>
      <c r="X110" s="415"/>
      <c r="Y110" s="808"/>
      <c r="Z110" s="1824"/>
      <c r="AA110" s="415"/>
      <c r="AB110" s="1788"/>
      <c r="AC110" s="427"/>
      <c r="AD110" s="415"/>
      <c r="AE110" s="808"/>
      <c r="AF110" s="1824"/>
      <c r="AG110" s="415"/>
      <c r="AH110" s="1788"/>
      <c r="AI110" s="427"/>
      <c r="AJ110" s="1788"/>
      <c r="AK110" s="808"/>
      <c r="AL110" s="427">
        <f>Purchase!$H49</f>
        <v>9851.7000000000007</v>
      </c>
      <c r="AM110" s="1831">
        <f>Purchase!I49</f>
        <v>2220004</v>
      </c>
      <c r="AN110" s="1647">
        <f t="shared" si="43"/>
        <v>225.34222519971172</v>
      </c>
    </row>
    <row r="111" spans="1:41" ht="13.8" thickBot="1" x14ac:dyDescent="0.3">
      <c r="A111" s="1603" t="s">
        <v>183</v>
      </c>
      <c r="B111" s="446">
        <f>SUM(B104:B110)</f>
        <v>7985.7999999999993</v>
      </c>
      <c r="C111" s="1604">
        <f>SUM(C104:C110)</f>
        <v>1900870</v>
      </c>
      <c r="D111" s="1885">
        <f t="shared" si="38"/>
        <v>238.03125547847432</v>
      </c>
      <c r="E111" s="446">
        <f>SUM(E104:E110)</f>
        <v>5006.5</v>
      </c>
      <c r="F111" s="1604">
        <f>SUM(F104:F110)</f>
        <v>1130054</v>
      </c>
      <c r="G111" s="1885">
        <f t="shared" si="39"/>
        <v>225.71736742235095</v>
      </c>
      <c r="H111" s="1880">
        <f>SUM(H104:H110)</f>
        <v>0</v>
      </c>
      <c r="I111" s="1604">
        <f>SUM(I104:I110)</f>
        <v>0</v>
      </c>
      <c r="J111" s="1850">
        <f t="shared" si="40"/>
        <v>0</v>
      </c>
      <c r="K111" s="446">
        <f>SUM(K104:K110)</f>
        <v>0</v>
      </c>
      <c r="L111" s="1604">
        <f>SUM(L104:L110)</f>
        <v>0</v>
      </c>
      <c r="M111" s="1885">
        <f t="shared" si="41"/>
        <v>0</v>
      </c>
      <c r="N111" s="1880">
        <f>SUM(N104:N110)</f>
        <v>4998.6000000000004</v>
      </c>
      <c r="O111" s="1604">
        <f>SUM(O104:O110)</f>
        <v>0</v>
      </c>
      <c r="P111" s="1885">
        <f t="shared" si="42"/>
        <v>0</v>
      </c>
      <c r="Q111" s="446">
        <f>SUM(Q104:Q110)</f>
        <v>0</v>
      </c>
      <c r="R111" s="447"/>
      <c r="S111" s="448"/>
      <c r="T111" s="1880">
        <f>SUM(T104:T110)</f>
        <v>0</v>
      </c>
      <c r="U111" s="447"/>
      <c r="V111" s="1801"/>
      <c r="W111" s="446">
        <f>SUM(W104:W110)</f>
        <v>0</v>
      </c>
      <c r="X111" s="447"/>
      <c r="Y111" s="448"/>
      <c r="Z111" s="1880">
        <f>SUM(Z104:Z110)</f>
        <v>0</v>
      </c>
      <c r="AA111" s="447"/>
      <c r="AB111" s="1801"/>
      <c r="AC111" s="446">
        <f>SUM(AC104:AC110)</f>
        <v>0</v>
      </c>
      <c r="AD111" s="447"/>
      <c r="AE111" s="448"/>
      <c r="AF111" s="1880">
        <f>SUM(AF104:AF110)</f>
        <v>0</v>
      </c>
      <c r="AG111" s="447"/>
      <c r="AH111" s="1801"/>
      <c r="AI111" s="446">
        <f>SUM(AI104:AI110)</f>
        <v>0</v>
      </c>
      <c r="AJ111" s="1801"/>
      <c r="AK111" s="448"/>
      <c r="AL111" s="1603">
        <f>SUM(AL104:AL110)</f>
        <v>12991.300000000001</v>
      </c>
      <c r="AM111" s="1604">
        <f>SUM(AM104:AM110)</f>
        <v>3030924</v>
      </c>
      <c r="AN111" s="1885">
        <f t="shared" si="43"/>
        <v>233.30413430526582</v>
      </c>
    </row>
    <row r="112" spans="1:41" ht="13.8" thickBot="1" x14ac:dyDescent="0.3">
      <c r="A112" s="449" t="s">
        <v>89</v>
      </c>
      <c r="B112" s="1812">
        <f>(B103+B111)-(B121)</f>
        <v>-729.20000000000073</v>
      </c>
      <c r="C112" s="1829">
        <f>SUM('Stock Valuation (FIFO)'!G15:G19)</f>
        <v>224652</v>
      </c>
      <c r="D112" s="1885">
        <f t="shared" si="38"/>
        <v>-308.08008776741605</v>
      </c>
      <c r="E112" s="1812">
        <f>SUM(E103+E111-E121)</f>
        <v>-2251.3000000000011</v>
      </c>
      <c r="F112" s="1830">
        <f>SUM('Stock Valuation (FIFO)'!J15:J19)</f>
        <v>245972</v>
      </c>
      <c r="G112" s="1885">
        <f t="shared" si="39"/>
        <v>-109.25776218185044</v>
      </c>
      <c r="H112" s="1868">
        <f>(H103+H111)-(H121)</f>
        <v>-2302.2000000000012</v>
      </c>
      <c r="I112" s="1829">
        <f>SUM('Stock Valuation (FIFO)'!M15:M19)</f>
        <v>0</v>
      </c>
      <c r="J112" s="1850">
        <f t="shared" si="40"/>
        <v>0</v>
      </c>
      <c r="K112" s="1812">
        <f>(K103+K111)-(K121)</f>
        <v>-2302.2000000000012</v>
      </c>
      <c r="L112" s="1829">
        <f>SUM('Stock Valuation (FIFO)'!P15:P19)</f>
        <v>0</v>
      </c>
      <c r="M112" s="1885">
        <f t="shared" si="41"/>
        <v>0</v>
      </c>
      <c r="N112" s="1868">
        <f>(N103+N111)-(N121)</f>
        <v>-3719.2000000000012</v>
      </c>
      <c r="O112" s="1829">
        <f>SUM('Stock Valuation (FIFO)'!S15:S19)</f>
        <v>0</v>
      </c>
      <c r="P112" s="1885">
        <f t="shared" si="42"/>
        <v>0</v>
      </c>
      <c r="Q112" s="1812">
        <f>(Q103+Q111)-(Q121)</f>
        <v>-3719.2000000000012</v>
      </c>
      <c r="R112" s="423"/>
      <c r="S112" s="1806"/>
      <c r="T112" s="1868">
        <f>(T103+T111)-(T121)</f>
        <v>-3719.2000000000012</v>
      </c>
      <c r="U112" s="423"/>
      <c r="V112" s="428"/>
      <c r="W112" s="1812">
        <f>(W103+W111)-(W121)</f>
        <v>-3719.2000000000012</v>
      </c>
      <c r="X112" s="423"/>
      <c r="Y112" s="1806"/>
      <c r="Z112" s="1868">
        <f>(Z103+Z111)-(Z121)</f>
        <v>-3719.2000000000012</v>
      </c>
      <c r="AA112" s="423"/>
      <c r="AB112" s="428"/>
      <c r="AC112" s="1812">
        <f>(AC103+AC111)-(AC121)</f>
        <v>-3719.2000000000012</v>
      </c>
      <c r="AD112" s="423"/>
      <c r="AE112" s="1806"/>
      <c r="AF112" s="1868">
        <f>(AF103+AF111)-(AF121)</f>
        <v>-3719.2000000000012</v>
      </c>
      <c r="AG112" s="423"/>
      <c r="AH112" s="428"/>
      <c r="AI112" s="1812">
        <f>(AI103+AI111)-(AI121)-0.3</f>
        <v>-3719.5000000000014</v>
      </c>
      <c r="AJ112" s="428"/>
      <c r="AK112" s="1806"/>
      <c r="AL112" s="1821">
        <f>N112</f>
        <v>-3719.2000000000012</v>
      </c>
      <c r="AM112" s="1962">
        <f>O112</f>
        <v>0</v>
      </c>
      <c r="AN112" s="1949">
        <f t="shared" si="43"/>
        <v>0</v>
      </c>
    </row>
    <row r="113" spans="1:40" x14ac:dyDescent="0.25">
      <c r="A113" s="2056" t="s">
        <v>87</v>
      </c>
      <c r="B113" s="1201">
        <f>B103+B111-B112</f>
        <v>9421</v>
      </c>
      <c r="C113" s="2055">
        <f>C103+C111-C112</f>
        <v>1902653</v>
      </c>
      <c r="D113" s="2019">
        <f t="shared" si="38"/>
        <v>201.95870926653222</v>
      </c>
      <c r="E113" s="1201">
        <f>E103+E111-E112</f>
        <v>6528.6</v>
      </c>
      <c r="F113" s="2055">
        <f>F103+F111-F112</f>
        <v>1108734</v>
      </c>
      <c r="G113" s="2019">
        <f t="shared" si="39"/>
        <v>169.82722176270562</v>
      </c>
      <c r="H113" s="1201">
        <f>H103+H111-H112</f>
        <v>50.900000000000091</v>
      </c>
      <c r="I113" s="2055">
        <f>I103+I111-I112</f>
        <v>245972</v>
      </c>
      <c r="J113" s="2019">
        <f t="shared" si="40"/>
        <v>4832.4557956777908</v>
      </c>
      <c r="K113" s="1201">
        <f>K103+K111-K112</f>
        <v>0</v>
      </c>
      <c r="L113" s="2055">
        <f>L103+L111-L112</f>
        <v>0</v>
      </c>
      <c r="M113" s="2019">
        <f t="shared" si="41"/>
        <v>0</v>
      </c>
      <c r="N113" s="1201">
        <f>N103+N111-N112</f>
        <v>6415.6</v>
      </c>
      <c r="O113" s="2055">
        <f>O103+O111-O112</f>
        <v>0</v>
      </c>
      <c r="P113" s="2019">
        <f t="shared" si="42"/>
        <v>0</v>
      </c>
      <c r="Q113" s="2057"/>
      <c r="R113" s="2058"/>
      <c r="S113" s="2059"/>
      <c r="T113" s="2060"/>
      <c r="U113" s="2058"/>
      <c r="V113" s="2061"/>
      <c r="W113" s="2057"/>
      <c r="X113" s="2058"/>
      <c r="Y113" s="2059"/>
      <c r="Z113" s="2060"/>
      <c r="AA113" s="2058"/>
      <c r="AB113" s="2061"/>
      <c r="AC113" s="2057"/>
      <c r="AD113" s="2058"/>
      <c r="AE113" s="2059"/>
      <c r="AF113" s="2060"/>
      <c r="AG113" s="2058"/>
      <c r="AH113" s="2061"/>
      <c r="AI113" s="2057"/>
      <c r="AJ113" s="2061"/>
      <c r="AK113" s="2059"/>
      <c r="AL113" s="1201">
        <f>AL103+AL111-AL112</f>
        <v>17416.500000000004</v>
      </c>
      <c r="AM113" s="2055">
        <f>AM103+AM111-AM112</f>
        <v>3257359</v>
      </c>
      <c r="AN113" s="2019">
        <f t="shared" si="43"/>
        <v>187.02718686303214</v>
      </c>
    </row>
    <row r="114" spans="1:40" x14ac:dyDescent="0.25">
      <c r="A114" s="1807" t="s">
        <v>97</v>
      </c>
      <c r="B114" s="435"/>
      <c r="C114" s="1188"/>
      <c r="D114" s="1884">
        <f t="shared" si="38"/>
        <v>0</v>
      </c>
      <c r="E114" s="435"/>
      <c r="F114" s="1783"/>
      <c r="G114" s="1884">
        <f t="shared" si="39"/>
        <v>0</v>
      </c>
      <c r="H114" s="1239"/>
      <c r="I114" s="420"/>
      <c r="J114" s="1919">
        <f t="shared" si="40"/>
        <v>0</v>
      </c>
      <c r="K114" s="435"/>
      <c r="L114" s="420"/>
      <c r="M114" s="1884">
        <f t="shared" si="41"/>
        <v>0</v>
      </c>
      <c r="N114" s="1239"/>
      <c r="O114" s="420"/>
      <c r="P114" s="1168"/>
      <c r="Q114" s="435"/>
      <c r="R114" s="420"/>
      <c r="S114" s="421"/>
      <c r="T114" s="1239"/>
      <c r="U114" s="420"/>
      <c r="V114" s="1168"/>
      <c r="W114" s="435"/>
      <c r="X114" s="420"/>
      <c r="Y114" s="421"/>
      <c r="Z114" s="1239"/>
      <c r="AA114" s="420"/>
      <c r="AB114" s="1168"/>
      <c r="AC114" s="435"/>
      <c r="AD114" s="420"/>
      <c r="AE114" s="421"/>
      <c r="AF114" s="1239"/>
      <c r="AG114" s="420"/>
      <c r="AH114" s="1168"/>
      <c r="AI114" s="435"/>
      <c r="AJ114" s="1168"/>
      <c r="AK114" s="421"/>
      <c r="AL114" s="1807">
        <f>SUM(B114:AI114)</f>
        <v>0</v>
      </c>
      <c r="AM114" s="1807"/>
      <c r="AN114" s="1884">
        <f t="shared" si="43"/>
        <v>0</v>
      </c>
    </row>
    <row r="115" spans="1:40" x14ac:dyDescent="0.25">
      <c r="A115" s="1171" t="s">
        <v>184</v>
      </c>
      <c r="B115" s="411">
        <f>'Inventory Sales'!B$12</f>
        <v>1148</v>
      </c>
      <c r="C115" s="1779">
        <f>'Inventory Sales'!D$12</f>
        <v>331440</v>
      </c>
      <c r="D115" s="1535">
        <f t="shared" si="38"/>
        <v>288.71080139372822</v>
      </c>
      <c r="E115" s="411">
        <f>'Inventory Sales'!E$12</f>
        <v>1087</v>
      </c>
      <c r="F115" s="1779">
        <f>'Inventory Sales'!G$12</f>
        <v>333198.46000000002</v>
      </c>
      <c r="G115" s="1535">
        <f t="shared" si="39"/>
        <v>306.53032198712054</v>
      </c>
      <c r="H115" s="1176">
        <f>'Inventory Sales'!H$12+50.9</f>
        <v>50.9</v>
      </c>
      <c r="I115" s="1779">
        <f>'Inventory Sales'!J$12+45428</f>
        <v>45428</v>
      </c>
      <c r="J115" s="1916">
        <f t="shared" si="40"/>
        <v>892.49508840864439</v>
      </c>
      <c r="K115" s="411">
        <f>'Inventory Sales'!K$12</f>
        <v>0</v>
      </c>
      <c r="L115" s="1779">
        <f>'Inventory Sales'!M$12</f>
        <v>0</v>
      </c>
      <c r="M115" s="1535">
        <f t="shared" si="41"/>
        <v>0</v>
      </c>
      <c r="N115" s="1176">
        <v>420</v>
      </c>
      <c r="O115" s="1779">
        <f>'Inventory Sales'!P$12</f>
        <v>0</v>
      </c>
      <c r="P115" s="1916">
        <f t="shared" ref="P115:P121" si="44">IF(N115=0,0,O115/N115)</f>
        <v>0</v>
      </c>
      <c r="Q115" s="411"/>
      <c r="R115" s="412"/>
      <c r="S115" s="413"/>
      <c r="T115" s="1176"/>
      <c r="U115" s="412"/>
      <c r="V115" s="414"/>
      <c r="W115" s="411"/>
      <c r="X115" s="412"/>
      <c r="Y115" s="413"/>
      <c r="Z115" s="1176"/>
      <c r="AA115" s="412"/>
      <c r="AB115" s="414"/>
      <c r="AC115" s="411"/>
      <c r="AD115" s="412"/>
      <c r="AE115" s="413"/>
      <c r="AF115" s="1176"/>
      <c r="AG115" s="412"/>
      <c r="AH115" s="414"/>
      <c r="AI115" s="411"/>
      <c r="AJ115" s="414"/>
      <c r="AK115" s="413"/>
      <c r="AL115" s="1171">
        <f>'Inventory Sales'!AL12</f>
        <v>2235</v>
      </c>
      <c r="AM115" s="1945">
        <f>'Inventory Sales'!AN12</f>
        <v>664638.46</v>
      </c>
      <c r="AN115" s="1535">
        <f t="shared" si="43"/>
        <v>297.37738702460848</v>
      </c>
    </row>
    <row r="116" spans="1:40" x14ac:dyDescent="0.25">
      <c r="A116" s="1171" t="s">
        <v>185</v>
      </c>
      <c r="B116" s="411">
        <f>'Inventory Sales'!B$13</f>
        <v>544</v>
      </c>
      <c r="C116" s="1779">
        <f>ROUND(('Inventory Sales'!D13),0)</f>
        <v>175653</v>
      </c>
      <c r="D116" s="1535">
        <f t="shared" si="38"/>
        <v>322.89154411764707</v>
      </c>
      <c r="E116" s="411">
        <f>'Inventory Sales'!E$13</f>
        <v>24</v>
      </c>
      <c r="F116" s="1779">
        <f>ROUND(('Inventory Sales'!G13),0)</f>
        <v>7500</v>
      </c>
      <c r="G116" s="1535">
        <f t="shared" si="39"/>
        <v>312.5</v>
      </c>
      <c r="H116" s="1176">
        <f>'Inventory Sales'!H$13</f>
        <v>0</v>
      </c>
      <c r="I116" s="1779">
        <f>ROUND(('Inventory Sales'!J13),0)</f>
        <v>0</v>
      </c>
      <c r="J116" s="1916">
        <f t="shared" si="40"/>
        <v>0</v>
      </c>
      <c r="K116" s="411">
        <f>'Inventory Sales'!K$13</f>
        <v>0</v>
      </c>
      <c r="L116" s="1779">
        <f>ROUND(('Inventory Sales'!M13),0)</f>
        <v>0</v>
      </c>
      <c r="M116" s="1535">
        <f t="shared" si="41"/>
        <v>0</v>
      </c>
      <c r="N116" s="1176"/>
      <c r="O116" s="1779">
        <f>ROUND(('Inventory Sales'!P13),0)</f>
        <v>0</v>
      </c>
      <c r="P116" s="1535">
        <f t="shared" si="44"/>
        <v>0</v>
      </c>
      <c r="Q116" s="411"/>
      <c r="R116" s="412"/>
      <c r="S116" s="413"/>
      <c r="T116" s="1176"/>
      <c r="U116" s="412"/>
      <c r="V116" s="414"/>
      <c r="W116" s="411"/>
      <c r="X116" s="412"/>
      <c r="Y116" s="413"/>
      <c r="Z116" s="1176"/>
      <c r="AA116" s="412"/>
      <c r="AB116" s="414"/>
      <c r="AC116" s="411"/>
      <c r="AD116" s="412"/>
      <c r="AE116" s="413"/>
      <c r="AF116" s="1176"/>
      <c r="AG116" s="412"/>
      <c r="AH116" s="414"/>
      <c r="AI116" s="411"/>
      <c r="AJ116" s="414"/>
      <c r="AK116" s="413"/>
      <c r="AL116" s="1171">
        <f>'Inventory Sales'!AL13</f>
        <v>568</v>
      </c>
      <c r="AM116" s="1945">
        <f>ROUND(('Inventory Sales'!AN13),0)</f>
        <v>183153</v>
      </c>
      <c r="AN116" s="1535">
        <f t="shared" si="43"/>
        <v>322.45246478873241</v>
      </c>
    </row>
    <row r="117" spans="1:40" ht="12" customHeight="1" x14ac:dyDescent="0.25">
      <c r="A117" s="1171" t="s">
        <v>186</v>
      </c>
      <c r="B117" s="411">
        <f>'Inventory Sales'!B$17</f>
        <v>1150</v>
      </c>
      <c r="C117" s="1779">
        <f>'Inventory Sales'!D$17</f>
        <v>288500</v>
      </c>
      <c r="D117" s="1535">
        <f t="shared" si="38"/>
        <v>250.86956521739131</v>
      </c>
      <c r="E117" s="411">
        <f>'Inventory Sales'!E$17</f>
        <v>1690.1</v>
      </c>
      <c r="F117" s="1779">
        <f>'Inventory Sales'!G$17</f>
        <v>405600</v>
      </c>
      <c r="G117" s="1535">
        <f t="shared" si="39"/>
        <v>239.98579965682507</v>
      </c>
      <c r="H117" s="1176">
        <f>'Inventory Sales'!H$17</f>
        <v>0</v>
      </c>
      <c r="I117" s="1779">
        <f>'Inventory Sales'!J$17</f>
        <v>0</v>
      </c>
      <c r="J117" s="1916">
        <f t="shared" si="40"/>
        <v>0</v>
      </c>
      <c r="K117" s="411">
        <f>'Inventory Sales'!K$17</f>
        <v>0</v>
      </c>
      <c r="L117" s="1779">
        <f>'Inventory Sales'!M$17</f>
        <v>0</v>
      </c>
      <c r="M117" s="1535">
        <f t="shared" si="41"/>
        <v>0</v>
      </c>
      <c r="N117" s="1176">
        <v>715</v>
      </c>
      <c r="O117" s="1779">
        <f>'Inventory Sales'!P$17</f>
        <v>0</v>
      </c>
      <c r="P117" s="1535">
        <f t="shared" si="44"/>
        <v>0</v>
      </c>
      <c r="Q117" s="411"/>
      <c r="R117" s="412"/>
      <c r="S117" s="413"/>
      <c r="T117" s="1176"/>
      <c r="U117" s="412"/>
      <c r="V117" s="414"/>
      <c r="W117" s="411"/>
      <c r="X117" s="412"/>
      <c r="Y117" s="413"/>
      <c r="Z117" s="1176"/>
      <c r="AA117" s="412"/>
      <c r="AB117" s="414"/>
      <c r="AC117" s="411"/>
      <c r="AD117" s="412"/>
      <c r="AE117" s="413"/>
      <c r="AF117" s="1176"/>
      <c r="AG117" s="412"/>
      <c r="AH117" s="414"/>
      <c r="AI117" s="411"/>
      <c r="AJ117" s="414"/>
      <c r="AK117" s="413"/>
      <c r="AL117" s="1171">
        <f>'Inventory Sales'!AL17</f>
        <v>2840.1</v>
      </c>
      <c r="AM117" s="1945">
        <f>'Inventory Sales'!AN17</f>
        <v>694100</v>
      </c>
      <c r="AN117" s="1535">
        <f t="shared" si="43"/>
        <v>244.39280307031444</v>
      </c>
    </row>
    <row r="118" spans="1:40" x14ac:dyDescent="0.25">
      <c r="A118" s="1171" t="s">
        <v>187</v>
      </c>
      <c r="B118" s="411">
        <f>'Inventory Sales'!B$15</f>
        <v>455</v>
      </c>
      <c r="C118" s="1779">
        <f>'Inventory Sales'!D$15</f>
        <v>89930</v>
      </c>
      <c r="D118" s="1535">
        <f t="shared" si="38"/>
        <v>197.64835164835165</v>
      </c>
      <c r="E118" s="411">
        <f>'Inventory Sales'!E$15</f>
        <v>0</v>
      </c>
      <c r="F118" s="1779">
        <f>'Inventory Sales'!G$15</f>
        <v>0</v>
      </c>
      <c r="G118" s="1535">
        <f t="shared" si="39"/>
        <v>0</v>
      </c>
      <c r="H118" s="1176">
        <f>'Inventory Sales'!H$15</f>
        <v>0</v>
      </c>
      <c r="I118" s="1779">
        <f>'Inventory Sales'!J$15</f>
        <v>0</v>
      </c>
      <c r="J118" s="1916">
        <f t="shared" si="40"/>
        <v>0</v>
      </c>
      <c r="K118" s="411">
        <f>'Inventory Sales'!K$15</f>
        <v>0</v>
      </c>
      <c r="L118" s="1779">
        <f>'Inventory Sales'!M$15</f>
        <v>0</v>
      </c>
      <c r="M118" s="1535">
        <f t="shared" si="41"/>
        <v>0</v>
      </c>
      <c r="N118" s="1176">
        <v>282</v>
      </c>
      <c r="O118" s="1779">
        <f>'Inventory Sales'!P$15</f>
        <v>0</v>
      </c>
      <c r="P118" s="1535">
        <f t="shared" si="44"/>
        <v>0</v>
      </c>
      <c r="Q118" s="411"/>
      <c r="R118" s="412"/>
      <c r="S118" s="413"/>
      <c r="T118" s="1176"/>
      <c r="U118" s="412"/>
      <c r="V118" s="414"/>
      <c r="W118" s="411"/>
      <c r="X118" s="412"/>
      <c r="Y118" s="413"/>
      <c r="Z118" s="1176"/>
      <c r="AA118" s="412"/>
      <c r="AB118" s="414"/>
      <c r="AC118" s="411"/>
      <c r="AD118" s="412"/>
      <c r="AE118" s="413"/>
      <c r="AF118" s="1176"/>
      <c r="AG118" s="412"/>
      <c r="AH118" s="414"/>
      <c r="AI118" s="1941"/>
      <c r="AJ118" s="1800"/>
      <c r="AK118" s="1820"/>
      <c r="AL118" s="1171">
        <f>'Inventory Sales'!AL15</f>
        <v>455</v>
      </c>
      <c r="AM118" s="1945">
        <f>'Inventory Sales'!AN15</f>
        <v>89930</v>
      </c>
      <c r="AN118" s="1535">
        <f t="shared" si="43"/>
        <v>197.64835164835165</v>
      </c>
    </row>
    <row r="119" spans="1:40" x14ac:dyDescent="0.25">
      <c r="A119" s="1171" t="s">
        <v>643</v>
      </c>
      <c r="B119" s="411"/>
      <c r="C119" s="1779"/>
      <c r="D119" s="1535">
        <f t="shared" si="38"/>
        <v>0</v>
      </c>
      <c r="E119" s="411"/>
      <c r="F119" s="1779"/>
      <c r="G119" s="1535">
        <f t="shared" si="39"/>
        <v>0</v>
      </c>
      <c r="H119" s="1176"/>
      <c r="I119" s="1779"/>
      <c r="J119" s="1916">
        <f t="shared" si="40"/>
        <v>0</v>
      </c>
      <c r="K119" s="411"/>
      <c r="L119" s="1779"/>
      <c r="M119" s="1535">
        <f t="shared" si="41"/>
        <v>0</v>
      </c>
      <c r="N119" s="1176"/>
      <c r="O119" s="1779"/>
      <c r="P119" s="1535">
        <f t="shared" si="44"/>
        <v>0</v>
      </c>
      <c r="Q119" s="411"/>
      <c r="R119" s="412"/>
      <c r="S119" s="413"/>
      <c r="T119" s="1176"/>
      <c r="U119" s="412"/>
      <c r="V119" s="414"/>
      <c r="W119" s="411"/>
      <c r="X119" s="412"/>
      <c r="Y119" s="413"/>
      <c r="Z119" s="1176"/>
      <c r="AA119" s="412"/>
      <c r="AB119" s="414"/>
      <c r="AC119" s="411"/>
      <c r="AD119" s="412"/>
      <c r="AE119" s="413"/>
      <c r="AF119" s="1176"/>
      <c r="AG119" s="412"/>
      <c r="AH119" s="414"/>
      <c r="AI119" s="411"/>
      <c r="AJ119" s="414"/>
      <c r="AK119" s="413"/>
      <c r="AL119" s="1171">
        <f>'Inventory Sales'!AL16</f>
        <v>168</v>
      </c>
      <c r="AM119" s="1945">
        <f>'Inventory Sales'!AN16</f>
        <v>102300</v>
      </c>
      <c r="AN119" s="1535">
        <f t="shared" si="43"/>
        <v>608.92857142857144</v>
      </c>
    </row>
    <row r="120" spans="1:40" ht="13.8" thickBot="1" x14ac:dyDescent="0.3">
      <c r="A120" s="1172" t="s">
        <v>188</v>
      </c>
      <c r="B120" s="424">
        <f>'Inventory Sales'!B$14</f>
        <v>6124</v>
      </c>
      <c r="C120" s="1780">
        <f>'Inventory Sales'!D$14</f>
        <v>1514749</v>
      </c>
      <c r="D120" s="1647">
        <f t="shared" si="38"/>
        <v>247.34634225996081</v>
      </c>
      <c r="E120" s="424">
        <f>'Inventory Sales'!E$14</f>
        <v>3727.5</v>
      </c>
      <c r="F120" s="1780">
        <f>'Inventory Sales'!G$14</f>
        <v>904111</v>
      </c>
      <c r="G120" s="1647">
        <f t="shared" si="39"/>
        <v>242.5515761234071</v>
      </c>
      <c r="H120" s="1177">
        <f>'Inventory Sales'!H$14</f>
        <v>0</v>
      </c>
      <c r="I120" s="1780">
        <f>'Inventory Sales'!J$14</f>
        <v>0</v>
      </c>
      <c r="J120" s="1920">
        <f t="shared" si="40"/>
        <v>0</v>
      </c>
      <c r="K120" s="424">
        <f>'Inventory Sales'!K$14</f>
        <v>0</v>
      </c>
      <c r="L120" s="1780">
        <f>'Inventory Sales'!M$14</f>
        <v>0</v>
      </c>
      <c r="M120" s="1647">
        <f t="shared" si="41"/>
        <v>0</v>
      </c>
      <c r="N120" s="1177">
        <v>4998.6000000000004</v>
      </c>
      <c r="O120" s="1780">
        <f>'Inventory Sales'!P$14</f>
        <v>0</v>
      </c>
      <c r="P120" s="1647">
        <f t="shared" si="44"/>
        <v>0</v>
      </c>
      <c r="Q120" s="424"/>
      <c r="R120" s="425"/>
      <c r="S120" s="426"/>
      <c r="T120" s="1177"/>
      <c r="U120" s="425"/>
      <c r="V120" s="733"/>
      <c r="W120" s="424"/>
      <c r="X120" s="425"/>
      <c r="Y120" s="426"/>
      <c r="Z120" s="1177"/>
      <c r="AA120" s="425"/>
      <c r="AB120" s="733"/>
      <c r="AC120" s="424"/>
      <c r="AD120" s="425"/>
      <c r="AE120" s="426"/>
      <c r="AF120" s="1177"/>
      <c r="AG120" s="425"/>
      <c r="AH120" s="733"/>
      <c r="AI120" s="424"/>
      <c r="AJ120" s="733"/>
      <c r="AK120" s="426"/>
      <c r="AL120" s="1171">
        <f>'Inventory Sales'!AL14</f>
        <v>9851.5</v>
      </c>
      <c r="AM120" s="1945">
        <f>'Inventory Sales'!AN14</f>
        <v>2418860</v>
      </c>
      <c r="AN120" s="1647">
        <f t="shared" si="43"/>
        <v>245.53215246409175</v>
      </c>
    </row>
    <row r="121" spans="1:40" ht="13.8" thickBot="1" x14ac:dyDescent="0.3">
      <c r="A121" s="1603" t="s">
        <v>189</v>
      </c>
      <c r="B121" s="446">
        <f>SUM(B114:B120)</f>
        <v>9421</v>
      </c>
      <c r="C121" s="1604">
        <f>SUM(C115:C120)</f>
        <v>2400272</v>
      </c>
      <c r="D121" s="1885">
        <f t="shared" si="38"/>
        <v>254.77889820613524</v>
      </c>
      <c r="E121" s="446">
        <f>SUM(E114:E120)</f>
        <v>6528.6</v>
      </c>
      <c r="F121" s="1604">
        <f>SUM(F115:F120)</f>
        <v>1650409.46</v>
      </c>
      <c r="G121" s="1885">
        <f t="shared" si="39"/>
        <v>252.79684158931468</v>
      </c>
      <c r="H121" s="1880">
        <f>SUM(H114:H120)</f>
        <v>50.9</v>
      </c>
      <c r="I121" s="1604">
        <f>SUM(I115:I120)</f>
        <v>45428</v>
      </c>
      <c r="J121" s="1850">
        <f t="shared" si="40"/>
        <v>892.49508840864439</v>
      </c>
      <c r="K121" s="446">
        <f>SUM(K114:K120)</f>
        <v>0</v>
      </c>
      <c r="L121" s="1604">
        <f>SUM(L115:L120)</f>
        <v>0</v>
      </c>
      <c r="M121" s="1885">
        <f t="shared" si="41"/>
        <v>0</v>
      </c>
      <c r="N121" s="1880">
        <f>SUM(N114:N120)</f>
        <v>6415.6</v>
      </c>
      <c r="O121" s="1604">
        <f>SUM(O115:O120)</f>
        <v>0</v>
      </c>
      <c r="P121" s="1885">
        <f t="shared" si="44"/>
        <v>0</v>
      </c>
      <c r="Q121" s="446">
        <f>SUM(Q114:Q120)</f>
        <v>0</v>
      </c>
      <c r="R121" s="447"/>
      <c r="S121" s="448"/>
      <c r="T121" s="1880">
        <f>SUM(T114:T120)</f>
        <v>0</v>
      </c>
      <c r="U121" s="447"/>
      <c r="V121" s="1801"/>
      <c r="W121" s="446">
        <f>SUM(W114:W120)</f>
        <v>0</v>
      </c>
      <c r="X121" s="447"/>
      <c r="Y121" s="448"/>
      <c r="Z121" s="1880">
        <f>SUM(Z114:Z120)</f>
        <v>0</v>
      </c>
      <c r="AA121" s="447"/>
      <c r="AB121" s="1801"/>
      <c r="AC121" s="446">
        <f>SUM(AC114:AC120)</f>
        <v>0</v>
      </c>
      <c r="AD121" s="447"/>
      <c r="AE121" s="448"/>
      <c r="AF121" s="1880">
        <f>SUM(AF114:AF120)</f>
        <v>0</v>
      </c>
      <c r="AG121" s="447"/>
      <c r="AH121" s="1801"/>
      <c r="AI121" s="446">
        <f>SUM(AI114:AI120)</f>
        <v>0</v>
      </c>
      <c r="AJ121" s="1801"/>
      <c r="AK121" s="448"/>
      <c r="AL121" s="1603">
        <f>SUM(AL114:AL120)</f>
        <v>16117.6</v>
      </c>
      <c r="AM121" s="1604">
        <f>SUM(AM115:AM120)</f>
        <v>4152981.46</v>
      </c>
      <c r="AN121" s="1885">
        <f t="shared" si="43"/>
        <v>257.66748523353351</v>
      </c>
    </row>
    <row r="122" spans="1:40" x14ac:dyDescent="0.25">
      <c r="B122" s="2">
        <f>B113-B121</f>
        <v>0</v>
      </c>
      <c r="C122" s="1713">
        <f>C121-C113</f>
        <v>497619</v>
      </c>
      <c r="E122" s="2">
        <f>E113-E121</f>
        <v>0</v>
      </c>
      <c r="F122" s="1713">
        <f>F121-F113</f>
        <v>541675.46</v>
      </c>
      <c r="H122" s="2">
        <f>H113-H121</f>
        <v>9.2370555648813024E-14</v>
      </c>
      <c r="I122" s="1713">
        <f>I121-I113</f>
        <v>-200544</v>
      </c>
      <c r="K122" s="2">
        <f>K113-K121</f>
        <v>0</v>
      </c>
      <c r="L122" s="1713">
        <f>L121-L113</f>
        <v>0</v>
      </c>
      <c r="N122" s="2">
        <f>N113-N121</f>
        <v>0</v>
      </c>
      <c r="O122" s="1713">
        <f>O121-O113</f>
        <v>0</v>
      </c>
      <c r="AL122" s="2062">
        <f>AL113-AL121</f>
        <v>1298.9000000000033</v>
      </c>
      <c r="AM122" s="1713">
        <f>AM121-AM113</f>
        <v>895622.46</v>
      </c>
    </row>
    <row r="123" spans="1:40" ht="13.8" thickBot="1" x14ac:dyDescent="0.3">
      <c r="A123" s="2063"/>
      <c r="B123" s="2267">
        <f>B81+B87+B103</f>
        <v>332926</v>
      </c>
      <c r="C123" s="2268">
        <f>C81+C87+C103</f>
        <v>65081104</v>
      </c>
      <c r="D123" s="2064"/>
      <c r="E123" s="2064"/>
      <c r="F123" s="2066"/>
      <c r="G123" s="2064"/>
      <c r="H123" s="2064"/>
      <c r="I123" s="2064"/>
      <c r="J123" s="2064"/>
      <c r="K123" s="2064"/>
      <c r="L123" s="2064"/>
      <c r="M123" s="2064"/>
      <c r="N123" s="2064"/>
      <c r="O123" s="2064"/>
      <c r="P123" s="2064"/>
      <c r="Q123" s="2064"/>
      <c r="R123" s="2064"/>
      <c r="S123" s="2064"/>
      <c r="T123" s="2064"/>
      <c r="U123" s="2064"/>
      <c r="V123" s="2064"/>
      <c r="W123" s="2064"/>
      <c r="X123" s="2064"/>
      <c r="Y123" s="2064"/>
      <c r="Z123" s="2064"/>
      <c r="AA123" s="2064"/>
      <c r="AB123" s="2064"/>
      <c r="AC123" s="2064"/>
      <c r="AD123" s="2064"/>
      <c r="AE123" s="2064"/>
      <c r="AF123" s="2064"/>
      <c r="AG123" s="2064"/>
      <c r="AH123" s="2064"/>
      <c r="AI123" s="2064"/>
      <c r="AJ123" s="2064"/>
      <c r="AK123" s="2064"/>
      <c r="AL123" s="2064"/>
      <c r="AM123" s="2064"/>
      <c r="AN123" s="2064"/>
    </row>
    <row r="124" spans="1:40" ht="13.8" thickBot="1" x14ac:dyDescent="0.3">
      <c r="A124" s="2245" t="s">
        <v>117</v>
      </c>
      <c r="B124" s="1887">
        <f>B83+B92+B112</f>
        <v>332655.09999999998</v>
      </c>
      <c r="C124" s="1834">
        <f>C83+C92+C112</f>
        <v>68459856</v>
      </c>
      <c r="D124" s="1883">
        <f>IF(B124=0,0,C124/B124)</f>
        <v>205.79830581283738</v>
      </c>
      <c r="E124" s="1887">
        <f>E83+E92+E112</f>
        <v>302737.37</v>
      </c>
      <c r="F124" s="1834">
        <f>F83+F92+F112</f>
        <v>65441568</v>
      </c>
      <c r="G124" s="1883">
        <f>IF(E124=0,0,F124/E124)</f>
        <v>216.16613766579263</v>
      </c>
      <c r="H124" s="1870">
        <f>H83+H92+H112</f>
        <v>400554.86999999994</v>
      </c>
      <c r="I124" s="1834">
        <f>I83+I92+I112</f>
        <v>0</v>
      </c>
      <c r="J124" s="1918">
        <f>IF(H124=0,0,I124/H124)</f>
        <v>0</v>
      </c>
      <c r="K124" s="1887">
        <f>K83+K92+K112</f>
        <v>502890.56999999989</v>
      </c>
      <c r="L124" s="1834">
        <f>L83+L92+L112</f>
        <v>0</v>
      </c>
      <c r="M124" s="1883">
        <f>IF(K124=0,0,L124/K124)</f>
        <v>0</v>
      </c>
      <c r="N124" s="1870">
        <f>N83+N92+N112</f>
        <v>606778.07000000007</v>
      </c>
      <c r="O124" s="1834">
        <f>O83+O92+O112</f>
        <v>0</v>
      </c>
      <c r="P124" s="1883">
        <f>IF(N124=0,0,O124/N124)</f>
        <v>0</v>
      </c>
      <c r="Q124" s="1887">
        <f>Q83+Q92+Q112</f>
        <v>606778.07000000007</v>
      </c>
      <c r="R124" s="430"/>
      <c r="S124" s="431"/>
      <c r="T124" s="1870">
        <f>T83+T92+T112</f>
        <v>606778.07000000007</v>
      </c>
      <c r="U124" s="430"/>
      <c r="V124" s="1791"/>
      <c r="W124" s="1887">
        <f>W83+W92+W112</f>
        <v>606778.07000000007</v>
      </c>
      <c r="X124" s="430"/>
      <c r="Y124" s="431"/>
      <c r="Z124" s="1870">
        <f>Z83+Z92+Z112</f>
        <v>606778.66999999993</v>
      </c>
      <c r="AA124" s="430"/>
      <c r="AB124" s="1791"/>
      <c r="AC124" s="1887">
        <f>AC83+AC92+AC112</f>
        <v>606778.66999999993</v>
      </c>
      <c r="AD124" s="430"/>
      <c r="AE124" s="431"/>
      <c r="AF124" s="1870">
        <f>AF83+AF92+AF112</f>
        <v>606778.66999999993</v>
      </c>
      <c r="AG124" s="430"/>
      <c r="AH124" s="1791"/>
      <c r="AI124" s="1887">
        <f>AI83+AI92+AI112</f>
        <v>606778.46</v>
      </c>
      <c r="AJ124" s="1791"/>
      <c r="AK124" s="431"/>
      <c r="AL124" s="1805">
        <f>AL83+AL92+AL112</f>
        <v>613625.27</v>
      </c>
      <c r="AM124" s="1834">
        <f>AM83+AM92+AM112</f>
        <v>0</v>
      </c>
      <c r="AN124" s="1605">
        <f>IF(AL124=0,0,AM124/AL124)</f>
        <v>0</v>
      </c>
    </row>
    <row r="125" spans="1:40" x14ac:dyDescent="0.25">
      <c r="A125" s="2246"/>
      <c r="B125" s="2269">
        <f>B123-B124</f>
        <v>270.90000000002328</v>
      </c>
      <c r="C125" s="2270">
        <f>C123-C124</f>
        <v>-3378752</v>
      </c>
      <c r="D125" s="2249">
        <f>C125/B125</f>
        <v>-12472.321889995237</v>
      </c>
      <c r="E125" s="2269">
        <f>B124-E124</f>
        <v>29917.729999999981</v>
      </c>
      <c r="F125" s="2248">
        <f>C124-F124</f>
        <v>3018288</v>
      </c>
      <c r="G125" s="2249">
        <f>F125/E125</f>
        <v>100.88626376399553</v>
      </c>
      <c r="H125" s="2269">
        <f>E124-H124</f>
        <v>-97817.499999999942</v>
      </c>
      <c r="I125" s="2248">
        <f>F124-I124</f>
        <v>65441568</v>
      </c>
      <c r="J125" s="2272">
        <f>I125/H125</f>
        <v>-669.01697549007122</v>
      </c>
      <c r="K125" s="2269">
        <f>H124-K124</f>
        <v>-102335.69999999995</v>
      </c>
      <c r="L125" s="2271">
        <f>I124-L124</f>
        <v>0</v>
      </c>
      <c r="M125" s="2249">
        <f>L125/K125</f>
        <v>0</v>
      </c>
      <c r="N125" s="2269">
        <f>K124-N124</f>
        <v>-103887.50000000017</v>
      </c>
      <c r="O125" s="2271">
        <f>L124-O124</f>
        <v>0</v>
      </c>
      <c r="P125" s="2272">
        <f>O125/N125</f>
        <v>0</v>
      </c>
      <c r="Q125" s="2247"/>
      <c r="R125" s="2247"/>
      <c r="S125" s="2247"/>
      <c r="T125" s="2247"/>
      <c r="U125" s="2247"/>
      <c r="V125" s="2247"/>
      <c r="W125" s="2247"/>
      <c r="X125" s="2247"/>
      <c r="Y125" s="2247"/>
      <c r="Z125" s="2247"/>
      <c r="AA125" s="2247"/>
      <c r="AB125" s="2247"/>
      <c r="AC125" s="2247"/>
      <c r="AD125" s="2247"/>
      <c r="AE125" s="2247"/>
      <c r="AF125" s="2247"/>
      <c r="AG125" s="2247"/>
      <c r="AH125" s="2247"/>
      <c r="AI125" s="2247"/>
      <c r="AJ125" s="2247"/>
      <c r="AK125" s="2247"/>
      <c r="AL125" s="2269">
        <f>B123-AL124</f>
        <v>-280699.27</v>
      </c>
      <c r="AM125" s="2248">
        <f>C123-AM124</f>
        <v>65081104</v>
      </c>
      <c r="AN125" s="2272">
        <f>AM125/AL125</f>
        <v>-231.85348504825109</v>
      </c>
    </row>
    <row r="126" spans="1:40" ht="13.8" thickBot="1" x14ac:dyDescent="0.3">
      <c r="A126" s="1998" t="s">
        <v>64</v>
      </c>
      <c r="B126" s="1240"/>
      <c r="C126" s="1240"/>
      <c r="D126" s="1240"/>
      <c r="E126" s="1240"/>
      <c r="F126" s="1240"/>
      <c r="G126" s="1240"/>
      <c r="H126" s="1240"/>
      <c r="I126" s="1240"/>
      <c r="J126" s="1240"/>
      <c r="K126" s="1240"/>
      <c r="L126" s="1240"/>
      <c r="M126" s="1240"/>
      <c r="N126" s="1240"/>
      <c r="O126" s="1240"/>
      <c r="P126" s="1240"/>
      <c r="Q126" s="1240"/>
      <c r="R126" s="1240"/>
      <c r="S126" s="1240"/>
      <c r="T126" s="1240"/>
      <c r="U126" s="1240"/>
      <c r="V126" s="1240"/>
      <c r="W126" s="1240"/>
      <c r="X126" s="1240"/>
      <c r="Y126" s="1240"/>
      <c r="Z126" s="1240"/>
      <c r="AA126" s="1240"/>
      <c r="AB126" s="1240"/>
      <c r="AC126" s="1240"/>
      <c r="AD126" s="1240"/>
      <c r="AE126" s="1240"/>
      <c r="AF126" s="1240"/>
      <c r="AG126" s="1240"/>
      <c r="AH126" s="1240"/>
      <c r="AI126" s="1240"/>
      <c r="AJ126" s="1240"/>
      <c r="AK126" s="1240"/>
      <c r="AL126" s="1240"/>
      <c r="AM126" s="7"/>
      <c r="AN126" s="1240"/>
    </row>
    <row r="127" spans="1:40" x14ac:dyDescent="0.25">
      <c r="A127" s="1807" t="s">
        <v>84</v>
      </c>
      <c r="B127" s="2250">
        <v>0</v>
      </c>
      <c r="C127" s="2251"/>
      <c r="D127" s="1884">
        <f>IF(B127=0,0,C127/B127)</f>
        <v>0</v>
      </c>
      <c r="E127" s="1969">
        <f>B132</f>
        <v>101803.6</v>
      </c>
      <c r="F127" s="1783">
        <f>C132</f>
        <v>27155141</v>
      </c>
      <c r="G127" s="1884">
        <f>IF(E127=0,0,F127/E127)</f>
        <v>266.74047872570321</v>
      </c>
      <c r="H127" s="1970">
        <f>E132</f>
        <v>183455.6</v>
      </c>
      <c r="I127" s="420"/>
      <c r="J127" s="1919">
        <f>IF(H127=0,0,I127/H127)</f>
        <v>0</v>
      </c>
      <c r="K127" s="1969">
        <f>H132</f>
        <v>141304.1</v>
      </c>
      <c r="L127" s="420"/>
      <c r="M127" s="1884">
        <f>IF(K127=0,0,L127/K127)</f>
        <v>0</v>
      </c>
      <c r="N127" s="1239">
        <f>K132</f>
        <v>-10864.100000000006</v>
      </c>
      <c r="O127" s="420"/>
      <c r="P127" s="1168"/>
      <c r="Q127" s="435">
        <f>N132</f>
        <v>-136532.70000000001</v>
      </c>
      <c r="R127" s="420"/>
      <c r="S127" s="421"/>
      <c r="T127" s="1239">
        <f>Q132</f>
        <v>-56977.600000000006</v>
      </c>
      <c r="U127" s="420"/>
      <c r="V127" s="1168"/>
      <c r="W127" s="435">
        <f>T132</f>
        <v>-56977.600000000006</v>
      </c>
      <c r="X127" s="420"/>
      <c r="Y127" s="421"/>
      <c r="Z127" s="1239">
        <f>W132</f>
        <v>-56977.600000000006</v>
      </c>
      <c r="AA127" s="420"/>
      <c r="AB127" s="1168"/>
      <c r="AC127" s="435">
        <f>Z132</f>
        <v>-56977.600000000006</v>
      </c>
      <c r="AD127" s="420"/>
      <c r="AE127" s="421"/>
      <c r="AF127" s="1239">
        <f>AC132</f>
        <v>-56977.600000000006</v>
      </c>
      <c r="AG127" s="420"/>
      <c r="AH127" s="1168"/>
      <c r="AI127" s="435">
        <f>AF132</f>
        <v>-56977.600000000006</v>
      </c>
      <c r="AJ127" s="1168"/>
      <c r="AK127" s="421"/>
      <c r="AL127" s="1807">
        <f>B127</f>
        <v>0</v>
      </c>
      <c r="AM127" s="1807">
        <f>C127</f>
        <v>0</v>
      </c>
      <c r="AN127" s="1884">
        <f>IF(AL127=0,0,AM127/AL127)</f>
        <v>0</v>
      </c>
    </row>
    <row r="128" spans="1:40" ht="13.8" thickBot="1" x14ac:dyDescent="0.3">
      <c r="A128" s="1172" t="s">
        <v>95</v>
      </c>
      <c r="B128" s="1971">
        <f>B52+B76+B77+B78+B145</f>
        <v>103913.60000000001</v>
      </c>
      <c r="C128" s="1972">
        <f>C52+C76+C77+C78+C145</f>
        <v>27176241</v>
      </c>
      <c r="D128" s="1903">
        <f>IF(B128=0,0,C128/B128)</f>
        <v>261.52727843131214</v>
      </c>
      <c r="E128" s="1973">
        <f>E52+E76+E77+E78+E145</f>
        <v>89391</v>
      </c>
      <c r="F128" s="1972">
        <f>F52+F76+F77+F78+F145</f>
        <v>15215999</v>
      </c>
      <c r="G128" s="1903">
        <f>IF(E128=0,0,F128/E128)</f>
        <v>170.21846718349721</v>
      </c>
      <c r="H128" s="1974">
        <f>H52+H76+H77+H78+H145</f>
        <v>-36497.5</v>
      </c>
      <c r="I128" s="1972">
        <f>I52+I76+I77+I78+I145</f>
        <v>-9934554</v>
      </c>
      <c r="J128" s="1926">
        <f>IF(H128=0,0,I128/H128)</f>
        <v>272.19820535653128</v>
      </c>
      <c r="K128" s="1973">
        <f>K52+K76+K77+K78+K145</f>
        <v>-146827.70000000001</v>
      </c>
      <c r="L128" s="1972">
        <f>L52+L76+L77+L78+L145</f>
        <v>0</v>
      </c>
      <c r="M128" s="1903">
        <f>IF(K128=0,0,L128/K128)</f>
        <v>0</v>
      </c>
      <c r="N128" s="1975">
        <f>N52+N76+N77+N78+N145</f>
        <v>-120279.60000000002</v>
      </c>
      <c r="O128" s="1972">
        <f>O52+O76+O77+O78+O145</f>
        <v>0</v>
      </c>
      <c r="P128" s="1903">
        <f>IF(N128=0,0,O128/N128)</f>
        <v>0</v>
      </c>
      <c r="Q128" s="1971">
        <f>Q52+Q76+Q77+Q78+Q145</f>
        <v>79555.100000000006</v>
      </c>
      <c r="R128" s="1976"/>
      <c r="S128" s="1978"/>
      <c r="T128" s="1975">
        <f>T52+T76+T77+T78+T145</f>
        <v>0</v>
      </c>
      <c r="U128" s="1976"/>
      <c r="V128" s="1977"/>
      <c r="W128" s="1971">
        <f>W52+W76+W77+W78+W145</f>
        <v>0</v>
      </c>
      <c r="X128" s="1976"/>
      <c r="Y128" s="1978"/>
      <c r="Z128" s="1975">
        <f>Z52+Z76+Z77+Z78+Z145</f>
        <v>0</v>
      </c>
      <c r="AA128" s="1976"/>
      <c r="AB128" s="1977"/>
      <c r="AC128" s="1971">
        <f>AC52+AC76+AC77+AC78+AC145</f>
        <v>0</v>
      </c>
      <c r="AD128" s="1976"/>
      <c r="AE128" s="1978"/>
      <c r="AF128" s="1975">
        <f>AF52+AF76+AF77+AF78+AF145</f>
        <v>0</v>
      </c>
      <c r="AG128" s="1976"/>
      <c r="AH128" s="1977"/>
      <c r="AI128" s="1971">
        <f>AI52+AI76+AI77+AI78+AI145</f>
        <v>0</v>
      </c>
      <c r="AJ128" s="1977"/>
      <c r="AK128" s="1978"/>
      <c r="AL128" s="1172">
        <f t="shared" ref="AL128:AM131" si="45">SUM(B128,E128,H128,K128,N128,Q128,T128,W128,Z128,AC128,AF128,AI128)</f>
        <v>-30745.10000000002</v>
      </c>
      <c r="AM128" s="1960">
        <f t="shared" si="45"/>
        <v>32457686</v>
      </c>
      <c r="AN128" s="1903">
        <f>IF(AL128=0,0,AM128/AL128)</f>
        <v>-1055.7027298658966</v>
      </c>
    </row>
    <row r="129" spans="1:40" x14ac:dyDescent="0.25">
      <c r="A129" s="1807" t="s">
        <v>96</v>
      </c>
      <c r="B129" s="435"/>
      <c r="C129" s="1188"/>
      <c r="D129" s="1884">
        <f>IF(B129=0,0,C129/B129)</f>
        <v>0</v>
      </c>
      <c r="E129" s="1969"/>
      <c r="F129" s="1783"/>
      <c r="G129" s="1884">
        <f>IF(E129=0,0,F129/E129)</f>
        <v>0</v>
      </c>
      <c r="H129" s="1970"/>
      <c r="I129" s="420"/>
      <c r="J129" s="1919">
        <f>IF(H129=0,0,I129/H129)</f>
        <v>0</v>
      </c>
      <c r="K129" s="1969"/>
      <c r="L129" s="420"/>
      <c r="M129" s="1884">
        <f>IF(K129=0,0,L129/K129)</f>
        <v>0</v>
      </c>
      <c r="N129" s="1239"/>
      <c r="O129" s="420"/>
      <c r="P129" s="1168"/>
      <c r="Q129" s="435"/>
      <c r="R129" s="420"/>
      <c r="S129" s="421"/>
      <c r="T129" s="1239"/>
      <c r="U129" s="420"/>
      <c r="V129" s="1168"/>
      <c r="W129" s="435"/>
      <c r="X129" s="420"/>
      <c r="Y129" s="421"/>
      <c r="Z129" s="1239"/>
      <c r="AA129" s="420"/>
      <c r="AB129" s="1168"/>
      <c r="AC129" s="435"/>
      <c r="AD129" s="420"/>
      <c r="AE129" s="421"/>
      <c r="AF129" s="1239"/>
      <c r="AG129" s="420"/>
      <c r="AH129" s="1168"/>
      <c r="AI129" s="435"/>
      <c r="AJ129" s="1168"/>
      <c r="AK129" s="421"/>
      <c r="AL129" s="1807">
        <f t="shared" si="45"/>
        <v>0</v>
      </c>
      <c r="AM129" s="1954">
        <f t="shared" si="45"/>
        <v>0</v>
      </c>
      <c r="AN129" s="1884">
        <f>IF(AL129=0,0,AM129/AL129)</f>
        <v>0</v>
      </c>
    </row>
    <row r="130" spans="1:40" x14ac:dyDescent="0.25">
      <c r="A130" s="1171" t="s">
        <v>97</v>
      </c>
      <c r="B130" s="411"/>
      <c r="C130" s="1779"/>
      <c r="D130" s="1535">
        <f>IF(B130=0,0,C130/B130)</f>
        <v>0</v>
      </c>
      <c r="E130" s="1915"/>
      <c r="F130" s="1784"/>
      <c r="G130" s="1535">
        <f>IF(E130=0,0,F130/E130)</f>
        <v>0</v>
      </c>
      <c r="H130" s="1881"/>
      <c r="I130" s="412"/>
      <c r="J130" s="1916">
        <f>IF(H130=0,0,I130/H130)</f>
        <v>0</v>
      </c>
      <c r="K130" s="1915"/>
      <c r="L130" s="412"/>
      <c r="M130" s="1535">
        <f>IF(K130=0,0,L130/K130)</f>
        <v>0</v>
      </c>
      <c r="N130" s="1176"/>
      <c r="O130" s="412"/>
      <c r="P130" s="414"/>
      <c r="Q130" s="411"/>
      <c r="R130" s="412"/>
      <c r="S130" s="413"/>
      <c r="T130" s="1176"/>
      <c r="U130" s="412"/>
      <c r="V130" s="414"/>
      <c r="W130" s="411"/>
      <c r="X130" s="412"/>
      <c r="Y130" s="413"/>
      <c r="Z130" s="1176"/>
      <c r="AA130" s="412"/>
      <c r="AB130" s="414"/>
      <c r="AC130" s="411"/>
      <c r="AD130" s="412"/>
      <c r="AE130" s="413"/>
      <c r="AF130" s="1176"/>
      <c r="AG130" s="412"/>
      <c r="AH130" s="414"/>
      <c r="AI130" s="411"/>
      <c r="AJ130" s="414"/>
      <c r="AK130" s="413"/>
      <c r="AL130" s="1171">
        <f t="shared" si="45"/>
        <v>0</v>
      </c>
      <c r="AM130" s="1945">
        <f t="shared" si="45"/>
        <v>0</v>
      </c>
      <c r="AN130" s="1535">
        <f>IF(AL130=0,0,AM130/AL130)</f>
        <v>0</v>
      </c>
    </row>
    <row r="131" spans="1:40" ht="13.8" thickBot="1" x14ac:dyDescent="0.3">
      <c r="A131" s="1172" t="s">
        <v>94</v>
      </c>
      <c r="B131" s="424">
        <v>2110</v>
      </c>
      <c r="C131" s="1780">
        <f>ROUND((B131*D131),0)</f>
        <v>21100</v>
      </c>
      <c r="D131" s="1903">
        <v>10</v>
      </c>
      <c r="E131" s="1983">
        <v>7739</v>
      </c>
      <c r="F131" s="1780">
        <f>ROUND((E131*G131),0)</f>
        <v>77390</v>
      </c>
      <c r="G131" s="1903">
        <v>10</v>
      </c>
      <c r="H131" s="1984">
        <v>5654</v>
      </c>
      <c r="I131" s="1780">
        <f>ROUND((H131*J131),0)</f>
        <v>56540</v>
      </c>
      <c r="J131" s="1926">
        <v>10</v>
      </c>
      <c r="K131" s="1983">
        <v>5340.5</v>
      </c>
      <c r="L131" s="1780">
        <f>ROUND((K131*M131),0)</f>
        <v>53405</v>
      </c>
      <c r="M131" s="1903">
        <v>10</v>
      </c>
      <c r="N131" s="1177">
        <v>5389</v>
      </c>
      <c r="O131" s="1780">
        <f>ROUND((N131*P131),0)</f>
        <v>53890</v>
      </c>
      <c r="P131" s="733">
        <v>10</v>
      </c>
      <c r="Q131" s="424"/>
      <c r="R131" s="425"/>
      <c r="S131" s="426"/>
      <c r="T131" s="1177"/>
      <c r="U131" s="425"/>
      <c r="V131" s="733"/>
      <c r="W131" s="424"/>
      <c r="X131" s="425"/>
      <c r="Y131" s="426"/>
      <c r="Z131" s="1177"/>
      <c r="AA131" s="425"/>
      <c r="AB131" s="733"/>
      <c r="AC131" s="424"/>
      <c r="AD131" s="425"/>
      <c r="AE131" s="426"/>
      <c r="AF131" s="1177"/>
      <c r="AG131" s="425"/>
      <c r="AH131" s="733"/>
      <c r="AI131" s="424"/>
      <c r="AJ131" s="733"/>
      <c r="AK131" s="426"/>
      <c r="AL131" s="1172">
        <f t="shared" si="45"/>
        <v>26232.5</v>
      </c>
      <c r="AM131" s="1960">
        <f t="shared" si="45"/>
        <v>262325</v>
      </c>
      <c r="AN131" s="1903">
        <v>10</v>
      </c>
    </row>
    <row r="132" spans="1:40" ht="13.8" thickBot="1" x14ac:dyDescent="0.3">
      <c r="A132" s="1862" t="s">
        <v>89</v>
      </c>
      <c r="B132" s="1196">
        <f>(B127+B128)-(B129+B130+B131)</f>
        <v>101803.6</v>
      </c>
      <c r="C132" s="1979">
        <f>C128-C131</f>
        <v>27155141</v>
      </c>
      <c r="D132" s="1247">
        <f>IF(B132=0,0,C132/B132)</f>
        <v>266.74047872570321</v>
      </c>
      <c r="E132" s="1980">
        <f>SUM(E127+E128-E129-E130-E131)</f>
        <v>183455.6</v>
      </c>
      <c r="F132" s="1979">
        <f>F128-F131</f>
        <v>15138609</v>
      </c>
      <c r="G132" s="1247">
        <f>IF(E132=0,0,F132/E132)</f>
        <v>82.519198105699687</v>
      </c>
      <c r="H132" s="1981">
        <f>(H127+H128)-(H129+H130+H131)</f>
        <v>141304.1</v>
      </c>
      <c r="I132" s="1979">
        <f>I128-I131</f>
        <v>-9991094</v>
      </c>
      <c r="J132" s="1480">
        <f>IF(H132=0,0,I132/H132)</f>
        <v>-70.706327700328586</v>
      </c>
      <c r="K132" s="1980">
        <f>(K127+K128)-(K129+K130+K131)</f>
        <v>-10864.100000000006</v>
      </c>
      <c r="L132" s="1979">
        <f>L128-L131</f>
        <v>-53405</v>
      </c>
      <c r="M132" s="1247">
        <f>IF(K132=0,0,L132/K132)</f>
        <v>4.915731629863493</v>
      </c>
      <c r="N132" s="1199">
        <f>(N127+N128)-(N129+N130+N131)</f>
        <v>-136532.70000000001</v>
      </c>
      <c r="O132" s="1979">
        <f>O128-O131</f>
        <v>-53890</v>
      </c>
      <c r="P132" s="1247">
        <f>IF(N132=0,0,O132/N132)</f>
        <v>0.39470397933974788</v>
      </c>
      <c r="Q132" s="1196">
        <f>(Q127+Q128)-(Q129+Q130+Q131)</f>
        <v>-56977.600000000006</v>
      </c>
      <c r="R132" s="1197"/>
      <c r="S132" s="1198"/>
      <c r="T132" s="1199">
        <f>(T127+T128)-(T129+T130+T131)</f>
        <v>-56977.600000000006</v>
      </c>
      <c r="U132" s="1197"/>
      <c r="V132" s="1200"/>
      <c r="W132" s="1196">
        <f>(W127+W128)-(W129+W130+W131)</f>
        <v>-56977.600000000006</v>
      </c>
      <c r="X132" s="1197"/>
      <c r="Y132" s="1198"/>
      <c r="Z132" s="1199">
        <f>(Z127+Z128)-(Z129+Z130+Z131)</f>
        <v>-56977.600000000006</v>
      </c>
      <c r="AA132" s="1197"/>
      <c r="AB132" s="1200"/>
      <c r="AC132" s="1196">
        <f>(AC127+AC128)-(AC129+AC130+AC131)</f>
        <v>-56977.600000000006</v>
      </c>
      <c r="AD132" s="1197"/>
      <c r="AE132" s="1198"/>
      <c r="AF132" s="1199">
        <f>(AF127+AF128)-(AF129+AF130+AF131)</f>
        <v>-56977.600000000006</v>
      </c>
      <c r="AG132" s="1197"/>
      <c r="AH132" s="1200"/>
      <c r="AI132" s="1196">
        <f>(AI127+AI128)-(AI129+AI130+AI131)</f>
        <v>-56977.600000000006</v>
      </c>
      <c r="AJ132" s="1200"/>
      <c r="AK132" s="1198"/>
      <c r="AL132" s="1982">
        <f>(AL127+AL128)-(AL129+AL130+AL131)</f>
        <v>-56977.60000000002</v>
      </c>
      <c r="AM132" s="1979">
        <f>AM128-AM131</f>
        <v>32195361</v>
      </c>
      <c r="AN132" s="1247">
        <f>IF(AL132=0,0,AM132/AL132)</f>
        <v>-565.05295063323115</v>
      </c>
    </row>
    <row r="133" spans="1:40" ht="13.8" thickBot="1" x14ac:dyDescent="0.3">
      <c r="A133" s="52"/>
      <c r="B133" s="52"/>
      <c r="C133" s="2196"/>
      <c r="D133" s="52"/>
      <c r="E133" s="52"/>
      <c r="F133" s="2197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</row>
    <row r="134" spans="1:40" x14ac:dyDescent="0.25">
      <c r="H134" s="170"/>
      <c r="I134" s="170"/>
      <c r="J134" s="170"/>
    </row>
    <row r="142" spans="1:40" ht="13.8" x14ac:dyDescent="0.3">
      <c r="A142" s="2203" t="s">
        <v>665</v>
      </c>
      <c r="B142" s="2232">
        <f>ROUND((B96),0)</f>
        <v>84722</v>
      </c>
      <c r="C142" s="2281">
        <f>ROUND((B142*D142),0)</f>
        <v>20726431</v>
      </c>
      <c r="D142" s="1919">
        <f>MTY!D3-D93</f>
        <v>244.64048770252214</v>
      </c>
      <c r="E142" s="2234">
        <f>ROUND((E96),0)</f>
        <v>107969</v>
      </c>
      <c r="F142" s="2233">
        <f>ROUND((E142*G142),0)</f>
        <v>17967916</v>
      </c>
      <c r="G142" s="1919">
        <f>G96-G88</f>
        <v>166.41736240811326</v>
      </c>
      <c r="H142" s="2234">
        <f>ROUND((H96),0)</f>
        <v>0</v>
      </c>
      <c r="I142" s="2233">
        <f>ROUND((H142*J142),0)</f>
        <v>0</v>
      </c>
      <c r="J142" s="1884">
        <f>J96-J88</f>
        <v>-532.00865250096308</v>
      </c>
      <c r="K142" s="2234">
        <f>ROUND((K96),0)</f>
        <v>0</v>
      </c>
      <c r="L142" s="2233">
        <f>ROUND((K142*M142),0)</f>
        <v>0</v>
      </c>
      <c r="M142" s="1884">
        <f>M96-M88</f>
        <v>0</v>
      </c>
      <c r="N142" s="2235">
        <f>ROUND((N96),0)</f>
        <v>-25077</v>
      </c>
      <c r="O142" s="2233">
        <f>ROUND((N142*P142),0)</f>
        <v>0</v>
      </c>
      <c r="P142" s="2236">
        <f>P96-P88</f>
        <v>0</v>
      </c>
      <c r="Q142" s="2203"/>
      <c r="R142" s="2203"/>
      <c r="S142" s="2203"/>
      <c r="T142" s="2203"/>
      <c r="U142" s="2203"/>
      <c r="V142" s="2203"/>
      <c r="W142" s="2203"/>
      <c r="X142" s="2203"/>
      <c r="Y142" s="2203"/>
      <c r="Z142" s="2203"/>
      <c r="AA142" s="2203"/>
      <c r="AB142" s="2203"/>
      <c r="AC142" s="2203"/>
      <c r="AD142" s="2203"/>
      <c r="AE142" s="2203"/>
      <c r="AF142" s="2203"/>
      <c r="AG142" s="2203"/>
      <c r="AH142" s="2203"/>
      <c r="AI142" s="2203"/>
      <c r="AJ142" s="2203"/>
      <c r="AK142" s="2231"/>
      <c r="AL142" s="2234">
        <f>ROUND((AL96),0)</f>
        <v>167614</v>
      </c>
      <c r="AM142" s="2233">
        <f>ROUND((AL142*AN142),0)</f>
        <v>31728398</v>
      </c>
      <c r="AN142" s="1884">
        <f>AN96-AN88</f>
        <v>189.29443705829283</v>
      </c>
    </row>
    <row r="143" spans="1:40" ht="13.8" x14ac:dyDescent="0.3">
      <c r="A143" s="2274" t="s">
        <v>662</v>
      </c>
      <c r="B143" s="2242">
        <f>ROUND(($B63),0)</f>
        <v>6050</v>
      </c>
      <c r="C143" s="2282">
        <f>ROUND((B143*D143),0)</f>
        <v>868814</v>
      </c>
      <c r="D143" s="1535">
        <f>MTY!D4-D58</f>
        <v>143.60567173494047</v>
      </c>
      <c r="E143" s="2242">
        <f>ROUND(($E63),0)</f>
        <v>4500</v>
      </c>
      <c r="F143" s="2244">
        <f>ROUND((E143*G143),0)</f>
        <v>616717</v>
      </c>
      <c r="G143" s="1535">
        <f>G63-G58</f>
        <v>137.04828101012663</v>
      </c>
      <c r="H143" s="2242">
        <f>ROUND(($H63),0)</f>
        <v>0</v>
      </c>
      <c r="I143" s="2244">
        <f>ROUND((H143*J143),0)</f>
        <v>0</v>
      </c>
      <c r="J143" s="1535">
        <f>J63-J58</f>
        <v>0</v>
      </c>
      <c r="K143" s="2242">
        <f>ROUND(($K63),0)</f>
        <v>0</v>
      </c>
      <c r="L143" s="2244">
        <f>ROUND((K143*M143),0)</f>
        <v>0</v>
      </c>
      <c r="M143" s="1535">
        <f>M63-M58</f>
        <v>0</v>
      </c>
      <c r="N143" s="2242">
        <f>ROUND(($N63),0)</f>
        <v>7500</v>
      </c>
      <c r="O143" s="2244">
        <f>ROUND((N143*P143),0)</f>
        <v>0</v>
      </c>
      <c r="P143" s="1535">
        <f>P63-P58</f>
        <v>0</v>
      </c>
      <c r="Q143" s="2241"/>
      <c r="R143" s="2241"/>
      <c r="S143" s="2241"/>
      <c r="T143" s="2241"/>
      <c r="U143" s="2241"/>
      <c r="V143" s="2241"/>
      <c r="W143" s="2241"/>
      <c r="X143" s="2241"/>
      <c r="Y143" s="2241"/>
      <c r="Z143" s="2241"/>
      <c r="AA143" s="2241"/>
      <c r="AB143" s="2241"/>
      <c r="AC143" s="2241"/>
      <c r="AD143" s="2241"/>
      <c r="AE143" s="2241"/>
      <c r="AF143" s="2241"/>
      <c r="AG143" s="2241"/>
      <c r="AH143" s="2241"/>
      <c r="AI143" s="2241"/>
      <c r="AJ143" s="2241"/>
      <c r="AK143" s="2243"/>
      <c r="AL143" s="2242">
        <f>ROUND(($AL63),0)</f>
        <v>18050</v>
      </c>
      <c r="AM143" s="2244">
        <f>ROUND((AL143*AN143),0)</f>
        <v>1628466</v>
      </c>
      <c r="AN143" s="1535">
        <f>AN63-AN58</f>
        <v>90.219747658225188</v>
      </c>
    </row>
    <row r="144" spans="1:40" ht="14.4" thickBot="1" x14ac:dyDescent="0.35">
      <c r="A144" s="2273" t="s">
        <v>663</v>
      </c>
      <c r="B144" s="2206">
        <f>ROUND((B95),)</f>
        <v>5222</v>
      </c>
      <c r="C144" s="2283">
        <f>MTY!C5-C89</f>
        <v>4838390</v>
      </c>
      <c r="D144" s="1903">
        <f t="shared" ref="D144" si="46">IF(B144=0,0,C144/B144)</f>
        <v>926.53963998468021</v>
      </c>
      <c r="E144" s="2223">
        <f>ROUND((E95),)</f>
        <v>192</v>
      </c>
      <c r="F144" s="2207">
        <f>ROUND((E144*G144),0)</f>
        <v>7056</v>
      </c>
      <c r="G144" s="1926">
        <f>G95-G89</f>
        <v>36.75</v>
      </c>
      <c r="H144" s="2223">
        <f>ROUND((H95),)</f>
        <v>0</v>
      </c>
      <c r="I144" s="2207">
        <f>ROUND((H144*J144),0)</f>
        <v>0</v>
      </c>
      <c r="J144" s="1903">
        <f>J95-J89</f>
        <v>0</v>
      </c>
      <c r="K144" s="2223">
        <f>ROUND((K95),)</f>
        <v>0</v>
      </c>
      <c r="L144" s="2207">
        <f>ROUND((K144*M144),0)</f>
        <v>0</v>
      </c>
      <c r="M144" s="1903">
        <f>M95-M89</f>
        <v>0</v>
      </c>
      <c r="N144" s="2219">
        <f>ROUND((N95),)</f>
        <v>25077</v>
      </c>
      <c r="O144" s="2207">
        <f>ROUND((N144*P144),0)</f>
        <v>0</v>
      </c>
      <c r="P144" s="2208">
        <f>P95-P89</f>
        <v>0</v>
      </c>
      <c r="Q144" s="2205"/>
      <c r="R144" s="2205"/>
      <c r="S144" s="2205"/>
      <c r="T144" s="2205"/>
      <c r="U144" s="2205"/>
      <c r="V144" s="2205"/>
      <c r="W144" s="2205"/>
      <c r="X144" s="2205"/>
      <c r="Y144" s="2205"/>
      <c r="Z144" s="2205"/>
      <c r="AA144" s="2205"/>
      <c r="AB144" s="2205"/>
      <c r="AC144" s="2205"/>
      <c r="AD144" s="2205"/>
      <c r="AE144" s="2205"/>
      <c r="AF144" s="2205"/>
      <c r="AG144" s="2205"/>
      <c r="AH144" s="2205"/>
      <c r="AI144" s="2205"/>
      <c r="AJ144" s="2205"/>
      <c r="AK144" s="2230"/>
      <c r="AL144" s="2223">
        <f>ROUND((AL95),)</f>
        <v>30491</v>
      </c>
      <c r="AM144" s="2207">
        <f>ROUND((AL144*AN144),0)</f>
        <v>-210203</v>
      </c>
      <c r="AN144" s="1903">
        <f>AN95-AN89</f>
        <v>-6.8939257286600295</v>
      </c>
    </row>
    <row r="145" spans="1:40" ht="13.8" x14ac:dyDescent="0.3">
      <c r="A145" s="2203" t="s">
        <v>649</v>
      </c>
      <c r="B145" s="2191">
        <f>SUM(B142:B144)</f>
        <v>95994</v>
      </c>
      <c r="C145" s="2284">
        <f>SUM(C142:C144)</f>
        <v>26433635</v>
      </c>
      <c r="D145" s="2216">
        <f>IF(B145=0,0,C145/B145)</f>
        <v>275.3675750567744</v>
      </c>
      <c r="E145" s="2224">
        <f>SUM(E142:E144)</f>
        <v>112661</v>
      </c>
      <c r="F145" s="2204">
        <f>SUM(F142:F144)</f>
        <v>18591689</v>
      </c>
      <c r="G145" s="2216">
        <f t="shared" ref="G145:G147" si="47">IF(E145=0,0,F145/E145)</f>
        <v>165.02329111227488</v>
      </c>
      <c r="H145" s="2224">
        <f>SUM(H142:H144)</f>
        <v>0</v>
      </c>
      <c r="I145" s="2204">
        <f>SUM(I142:I144)</f>
        <v>0</v>
      </c>
      <c r="J145" s="2225">
        <f t="shared" ref="J145:J147" si="48">IF(H145=0,0,I145/H145)</f>
        <v>0</v>
      </c>
      <c r="K145" s="2224">
        <f>SUM(K142:K144)</f>
        <v>0</v>
      </c>
      <c r="L145" s="2204">
        <f>SUM(L142:L144)</f>
        <v>0</v>
      </c>
      <c r="M145" s="2225">
        <f t="shared" ref="M145:M147" si="49">IF(K145=0,0,L145/K145)</f>
        <v>0</v>
      </c>
      <c r="N145" s="2220">
        <f>SUM(N142:N144)</f>
        <v>7500</v>
      </c>
      <c r="O145" s="2204">
        <f>SUM(O142:O144)</f>
        <v>0</v>
      </c>
      <c r="P145" s="2204">
        <f t="shared" ref="P145:P147" si="50">IF(N145=0,0,O145/N145)</f>
        <v>0</v>
      </c>
      <c r="Q145" s="2203"/>
      <c r="R145" s="2203"/>
      <c r="S145" s="2203"/>
      <c r="T145" s="2203"/>
      <c r="U145" s="2203"/>
      <c r="V145" s="2203"/>
      <c r="W145" s="2203"/>
      <c r="X145" s="2203"/>
      <c r="Y145" s="2203"/>
      <c r="Z145" s="2203"/>
      <c r="AA145" s="2203"/>
      <c r="AB145" s="2203"/>
      <c r="AC145" s="2203"/>
      <c r="AD145" s="2203"/>
      <c r="AE145" s="2203"/>
      <c r="AF145" s="2203"/>
      <c r="AG145" s="2203"/>
      <c r="AH145" s="2203"/>
      <c r="AI145" s="2203"/>
      <c r="AJ145" s="2203"/>
      <c r="AK145" s="2231"/>
      <c r="AL145" s="2224">
        <f>SUM(AL142:AL144)</f>
        <v>216155</v>
      </c>
      <c r="AM145" s="2204">
        <f>SUM(AM142:AM144)</f>
        <v>33146661</v>
      </c>
      <c r="AN145" s="2225">
        <f t="shared" ref="AN145:AN147" si="51">IF(AL145=0,0,AM145/AL145)</f>
        <v>153.34672341606716</v>
      </c>
    </row>
    <row r="146" spans="1:40" x14ac:dyDescent="0.25">
      <c r="A146" s="2200" t="s">
        <v>646</v>
      </c>
      <c r="B146" s="2201">
        <f>B7+B20+B32</f>
        <v>40000</v>
      </c>
      <c r="C146" s="1330">
        <f>(MTY!C6)-C14</f>
        <v>0</v>
      </c>
      <c r="D146" s="2217">
        <f>IF(B146=0,0,C146/B146)</f>
        <v>0</v>
      </c>
      <c r="E146" s="570">
        <f>E7+E20+E32</f>
        <v>14025</v>
      </c>
      <c r="F146" s="2202">
        <f>(F7+F20+F32)-F14</f>
        <v>9500</v>
      </c>
      <c r="G146" s="2217">
        <f t="shared" si="47"/>
        <v>0.67736185383244207</v>
      </c>
      <c r="H146" s="570">
        <f>H7+H20+H32</f>
        <v>51228</v>
      </c>
      <c r="I146" s="2202">
        <f>(I7+I20+I32)-I14</f>
        <v>0</v>
      </c>
      <c r="J146" s="2226">
        <f t="shared" si="48"/>
        <v>0</v>
      </c>
      <c r="K146" s="570">
        <f>K7+K20+K32</f>
        <v>55229</v>
      </c>
      <c r="L146" s="2202">
        <f>(L7+L20+L32)-L14</f>
        <v>0</v>
      </c>
      <c r="M146" s="2226">
        <f t="shared" si="49"/>
        <v>0</v>
      </c>
      <c r="N146" s="2221">
        <f>N7+N20+N32</f>
        <v>58371</v>
      </c>
      <c r="O146" s="2202">
        <f>(O7+O20+O32)-O14</f>
        <v>0</v>
      </c>
      <c r="P146" s="2202">
        <f t="shared" si="50"/>
        <v>0</v>
      </c>
      <c r="Q146" s="2201">
        <f>Q7+Q20+Q32</f>
        <v>31229</v>
      </c>
      <c r="R146" s="2202">
        <f>(R7+R20+R32)-R14</f>
        <v>0</v>
      </c>
      <c r="S146" s="2202">
        <f t="shared" ref="S146:S147" si="52">IF(Q146=0,0,R146/Q146)</f>
        <v>0</v>
      </c>
      <c r="T146" s="2201">
        <f>T7+T20+T32</f>
        <v>0</v>
      </c>
      <c r="U146" s="2202">
        <f>(U7+U20+U32)-U14</f>
        <v>0</v>
      </c>
      <c r="V146" s="2202">
        <f t="shared" ref="V146:V147" si="53">IF(T146=0,0,U146/T146)</f>
        <v>0</v>
      </c>
      <c r="W146" s="2201">
        <f>W7+W20+W32</f>
        <v>0</v>
      </c>
      <c r="X146" s="2202">
        <f>(X7+X20+X32)-X14</f>
        <v>0</v>
      </c>
      <c r="Y146" s="2202">
        <f t="shared" ref="Y146:Y147" si="54">IF(W146=0,0,X146/W146)</f>
        <v>0</v>
      </c>
      <c r="Z146" s="2201">
        <f>Z7+Z20+Z32</f>
        <v>0</v>
      </c>
      <c r="AA146" s="2202">
        <f>(AA7+AA20+AA32)-AA14</f>
        <v>0</v>
      </c>
      <c r="AB146" s="2202">
        <f t="shared" ref="AB146:AB147" si="55">IF(Z146=0,0,AA146/Z146)</f>
        <v>0</v>
      </c>
      <c r="AC146" s="2201">
        <f>AC7+AC20+AC32</f>
        <v>0</v>
      </c>
      <c r="AD146" s="2202">
        <f>(AD7+AD20+AD32)-AD14</f>
        <v>0</v>
      </c>
      <c r="AE146" s="2202">
        <f t="shared" ref="AE146:AE147" si="56">IF(AC146=0,0,AD146/AC146)</f>
        <v>0</v>
      </c>
      <c r="AF146" s="2201">
        <f>AF7+AF20+AF32</f>
        <v>0</v>
      </c>
      <c r="AG146" s="2202">
        <f>(AG7+AG20+AG32)-AG14</f>
        <v>0</v>
      </c>
      <c r="AH146" s="2202">
        <f t="shared" ref="AH146:AH147" si="57">IF(AF146=0,0,AG146/AF146)</f>
        <v>0</v>
      </c>
      <c r="AI146" s="2201">
        <f>AI7+AI20+AI32</f>
        <v>0</v>
      </c>
      <c r="AJ146" s="2202">
        <f>(AJ7+AJ20+AJ32)-AJ14</f>
        <v>0</v>
      </c>
      <c r="AK146" s="2217">
        <f t="shared" ref="AK146:AK147" si="58">IF(AI146=0,0,AJ146/AI146)</f>
        <v>0</v>
      </c>
      <c r="AL146" s="570">
        <f>AL7+AL20+AL32</f>
        <v>250082</v>
      </c>
      <c r="AM146" s="2202">
        <f>(AM7+AM20+AM32)-AM14</f>
        <v>9500</v>
      </c>
      <c r="AN146" s="2226">
        <f t="shared" si="51"/>
        <v>3.7987540086851512E-2</v>
      </c>
    </row>
    <row r="147" spans="1:40" ht="13.8" thickBot="1" x14ac:dyDescent="0.3">
      <c r="A147" s="2209" t="s">
        <v>647</v>
      </c>
      <c r="B147" s="2210">
        <f>ROUND((B121),0)</f>
        <v>9421</v>
      </c>
      <c r="C147" s="2285">
        <f>MTY!C7-C113</f>
        <v>599919</v>
      </c>
      <c r="D147" s="2218">
        <f>IF(B147=0,0,C147/B147)</f>
        <v>63.67890882071967</v>
      </c>
      <c r="E147" s="2227">
        <f>ROUND((E121),0)</f>
        <v>6529</v>
      </c>
      <c r="F147" s="2211">
        <f>F121-F113</f>
        <v>541675.46</v>
      </c>
      <c r="G147" s="2218">
        <f t="shared" si="47"/>
        <v>82.964536682493488</v>
      </c>
      <c r="H147" s="2227">
        <f>ROUND((H121),0)</f>
        <v>51</v>
      </c>
      <c r="I147" s="2211">
        <f>I121-I113</f>
        <v>-200544</v>
      </c>
      <c r="J147" s="2228">
        <f t="shared" si="48"/>
        <v>-3932.2352941176468</v>
      </c>
      <c r="K147" s="2227">
        <f>ROUND((K121),0)</f>
        <v>0</v>
      </c>
      <c r="L147" s="2211">
        <f>L121-L113</f>
        <v>0</v>
      </c>
      <c r="M147" s="2228">
        <f t="shared" si="49"/>
        <v>0</v>
      </c>
      <c r="N147" s="2222">
        <f>ROUND((N121),0)</f>
        <v>6416</v>
      </c>
      <c r="O147" s="2211">
        <f>O121-O113</f>
        <v>0</v>
      </c>
      <c r="P147" s="2212">
        <f t="shared" si="50"/>
        <v>0</v>
      </c>
      <c r="Q147" s="2210">
        <f>ROUND((Q121),0)</f>
        <v>0</v>
      </c>
      <c r="R147" s="2211">
        <f>R121-R113</f>
        <v>0</v>
      </c>
      <c r="S147" s="2212">
        <f t="shared" si="52"/>
        <v>0</v>
      </c>
      <c r="T147" s="2210">
        <f>ROUND((T121),0)</f>
        <v>0</v>
      </c>
      <c r="U147" s="2211">
        <f>U121-U113</f>
        <v>0</v>
      </c>
      <c r="V147" s="2212">
        <f t="shared" si="53"/>
        <v>0</v>
      </c>
      <c r="W147" s="2210">
        <f>ROUND((W121),0)</f>
        <v>0</v>
      </c>
      <c r="X147" s="2211">
        <f>X121-X113</f>
        <v>0</v>
      </c>
      <c r="Y147" s="2212">
        <f t="shared" si="54"/>
        <v>0</v>
      </c>
      <c r="Z147" s="2210">
        <f>ROUND((Z121),0)</f>
        <v>0</v>
      </c>
      <c r="AA147" s="2211">
        <f>AA121-AA113</f>
        <v>0</v>
      </c>
      <c r="AB147" s="2212">
        <f t="shared" si="55"/>
        <v>0</v>
      </c>
      <c r="AC147" s="2210">
        <f>ROUND((AC121),0)</f>
        <v>0</v>
      </c>
      <c r="AD147" s="2211">
        <f>AD121-AD113</f>
        <v>0</v>
      </c>
      <c r="AE147" s="2212">
        <f t="shared" si="56"/>
        <v>0</v>
      </c>
      <c r="AF147" s="2210">
        <f>ROUND((AF121),0)</f>
        <v>0</v>
      </c>
      <c r="AG147" s="2211">
        <f>AG121-AG113</f>
        <v>0</v>
      </c>
      <c r="AH147" s="2212">
        <f t="shared" si="57"/>
        <v>0</v>
      </c>
      <c r="AI147" s="2210">
        <f>ROUND((AI121),0)</f>
        <v>0</v>
      </c>
      <c r="AJ147" s="2211">
        <f>AJ121-AJ113</f>
        <v>0</v>
      </c>
      <c r="AK147" s="2218">
        <f t="shared" si="58"/>
        <v>0</v>
      </c>
      <c r="AL147" s="2227">
        <f>ROUND((AL121),0)</f>
        <v>16118</v>
      </c>
      <c r="AM147" s="2211">
        <f>AM121-AM113</f>
        <v>895622.46</v>
      </c>
      <c r="AN147" s="2228">
        <f t="shared" si="51"/>
        <v>55.566600074450925</v>
      </c>
    </row>
    <row r="148" spans="1:40" ht="13.8" thickBot="1" x14ac:dyDescent="0.3">
      <c r="A148" s="2213" t="s">
        <v>403</v>
      </c>
      <c r="B148" s="2214">
        <f>SUM(B145:B147)</f>
        <v>145415</v>
      </c>
      <c r="C148" s="1331">
        <f>SUM(C145:C147)</f>
        <v>27033554</v>
      </c>
      <c r="D148" s="230">
        <f>IF(B148=0,0,C148/B148)</f>
        <v>185.90622700546712</v>
      </c>
      <c r="E148" s="2214">
        <f>SUM(E145:E147)</f>
        <v>133215</v>
      </c>
      <c r="F148" s="2215">
        <f>SUM(F145:F147)</f>
        <v>19142864.460000001</v>
      </c>
      <c r="G148" s="230">
        <f>IF(E148=0,0,F148/E148)</f>
        <v>143.6990163269902</v>
      </c>
      <c r="H148" s="2237">
        <f>SUM(H145:H147)</f>
        <v>51279</v>
      </c>
      <c r="I148" s="2215">
        <f>SUM(I145:I147)</f>
        <v>-200544</v>
      </c>
      <c r="J148" s="660">
        <f>IF(H148=0,0,I148/H148)</f>
        <v>-3.9108406950213537</v>
      </c>
      <c r="K148" s="2237">
        <f>SUM(K145:K147)</f>
        <v>55229</v>
      </c>
      <c r="L148" s="2215">
        <f>SUM(L145:L147)</f>
        <v>0</v>
      </c>
      <c r="M148" s="660">
        <f>IF(K148=0,0,L148/K148)</f>
        <v>0</v>
      </c>
      <c r="N148" s="2237">
        <f>SUM(N145:N147)</f>
        <v>72287</v>
      </c>
      <c r="O148" s="2215">
        <f>SUM(O145:O147)</f>
        <v>0</v>
      </c>
      <c r="P148" s="660">
        <f>IF(N148=0,0,O148/N148)</f>
        <v>0</v>
      </c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/>
      <c r="AE148" s="328"/>
      <c r="AF148" s="328"/>
      <c r="AG148" s="328"/>
      <c r="AH148" s="328"/>
      <c r="AI148" s="328"/>
      <c r="AJ148" s="328"/>
      <c r="AK148" s="2229"/>
      <c r="AL148" s="2237">
        <f>SUM(AL145:AL147)</f>
        <v>482355</v>
      </c>
      <c r="AM148" s="2215">
        <f>SUM(AM145:AM147)</f>
        <v>34051783.460000001</v>
      </c>
      <c r="AN148" s="660">
        <f>IF(AL148=0,0,AM148/AL148)</f>
        <v>70.59485951218501</v>
      </c>
    </row>
    <row r="150" spans="1:40" x14ac:dyDescent="0.25">
      <c r="A150" s="982" t="s">
        <v>650</v>
      </c>
      <c r="B150" s="1145"/>
      <c r="C150" s="1145">
        <f>ROUND((SUM('Direct Expns'!S46)),0)</f>
        <v>125000</v>
      </c>
      <c r="D150" s="2238"/>
      <c r="E150" s="1145"/>
      <c r="F150" s="1145">
        <f>ROUND((SUM('Direct Expns'!T46)),0)</f>
        <v>125000</v>
      </c>
      <c r="G150" s="1145"/>
      <c r="H150" s="1145"/>
      <c r="I150" s="1145">
        <f>ROUND((SUM('Direct Expns'!U46)),0)</f>
        <v>0</v>
      </c>
      <c r="J150" s="1145"/>
      <c r="K150" s="1145"/>
      <c r="L150" s="1145">
        <f>ROUND((SUM('Direct Expns'!V46)),0)</f>
        <v>0</v>
      </c>
      <c r="M150" s="1145"/>
      <c r="N150" s="1145"/>
      <c r="O150" s="1145">
        <f>ROUND((SUM('Direct Expns'!W46)),0)</f>
        <v>0</v>
      </c>
      <c r="P150" s="1145"/>
      <c r="Q150" s="1145"/>
      <c r="R150" s="1145"/>
      <c r="S150" s="1145"/>
      <c r="T150" s="1145"/>
      <c r="U150" s="1145"/>
      <c r="V150" s="1145"/>
      <c r="W150" s="1145"/>
      <c r="X150" s="1145"/>
      <c r="Y150" s="1145"/>
      <c r="Z150" s="1145"/>
      <c r="AA150" s="1145"/>
      <c r="AB150" s="1145"/>
      <c r="AC150" s="1145"/>
      <c r="AD150" s="1145"/>
      <c r="AE150" s="1145"/>
      <c r="AF150" s="1145"/>
      <c r="AG150" s="1145"/>
      <c r="AH150" s="1145"/>
      <c r="AI150" s="1145"/>
      <c r="AJ150" s="1145"/>
      <c r="AK150" s="1145"/>
      <c r="AL150" s="1145"/>
      <c r="AM150" s="1145">
        <f>ROUND((SUM('Direct Expns'!AE46)),0)</f>
        <v>17668311</v>
      </c>
      <c r="AN150" s="1145"/>
    </row>
    <row r="151" spans="1:40" x14ac:dyDescent="0.25">
      <c r="A151" s="2239" t="s">
        <v>651</v>
      </c>
      <c r="B151" s="1145"/>
      <c r="C151" s="1145">
        <f>ROUND(('Direct Expns'!S47),0)</f>
        <v>458584</v>
      </c>
      <c r="D151" s="1145"/>
      <c r="E151" s="1145"/>
      <c r="F151" s="1145">
        <f>ROUND(('Direct Expns'!T47),0)</f>
        <v>347702</v>
      </c>
      <c r="G151" s="1145"/>
      <c r="H151" s="1145"/>
      <c r="I151" s="1145">
        <f>ROUND(('Direct Expns'!U47),0)</f>
        <v>0</v>
      </c>
      <c r="J151" s="1145"/>
      <c r="K151" s="1145"/>
      <c r="L151" s="1145">
        <f>ROUND(('Direct Expns'!V47),0)</f>
        <v>0</v>
      </c>
      <c r="M151" s="1145"/>
      <c r="N151" s="1145"/>
      <c r="O151" s="1145">
        <f>ROUND(('Direct Expns'!W47),0)</f>
        <v>0</v>
      </c>
      <c r="P151" s="1145"/>
      <c r="Q151" s="1145"/>
      <c r="R151" s="1145"/>
      <c r="S151" s="1145"/>
      <c r="T151" s="1145"/>
      <c r="U151" s="1145"/>
      <c r="V151" s="1145"/>
      <c r="W151" s="1145"/>
      <c r="X151" s="1145"/>
      <c r="Y151" s="1145"/>
      <c r="Z151" s="1145"/>
      <c r="AA151" s="1145"/>
      <c r="AB151" s="1145"/>
      <c r="AC151" s="1145"/>
      <c r="AD151" s="1145"/>
      <c r="AE151" s="1145"/>
      <c r="AF151" s="1145"/>
      <c r="AG151" s="1145"/>
      <c r="AH151" s="1145"/>
      <c r="AI151" s="1145"/>
      <c r="AJ151" s="1145"/>
      <c r="AK151" s="1145"/>
      <c r="AL151" s="1145"/>
      <c r="AM151" s="1145">
        <f>ROUND(('Direct Expns'!AE47),0)</f>
        <v>806286</v>
      </c>
      <c r="AN151" s="1145"/>
    </row>
    <row r="152" spans="1:40" x14ac:dyDescent="0.25">
      <c r="A152" s="2239" t="s">
        <v>652</v>
      </c>
      <c r="B152" s="1145"/>
      <c r="C152" s="1145">
        <f>'Direct Expns'!$S48</f>
        <v>2611833.23</v>
      </c>
      <c r="D152" s="1145"/>
      <c r="E152" s="1145"/>
      <c r="F152" s="1145">
        <f>'Direct Expns'!$T48</f>
        <v>2478334</v>
      </c>
      <c r="G152" s="1145"/>
      <c r="H152" s="1145"/>
      <c r="I152" s="1145">
        <f>'Direct Expns'!$U48</f>
        <v>0</v>
      </c>
      <c r="J152" s="1145"/>
      <c r="K152" s="1145"/>
      <c r="L152" s="1145">
        <f>'Direct Expns'!$V48</f>
        <v>0</v>
      </c>
      <c r="M152" s="1145"/>
      <c r="N152" s="1145"/>
      <c r="O152" s="1145">
        <f>'Direct Expns'!$W48</f>
        <v>0</v>
      </c>
      <c r="P152" s="1145"/>
      <c r="Q152" s="1145"/>
      <c r="R152" s="1145"/>
      <c r="S152" s="1145"/>
      <c r="T152" s="1145"/>
      <c r="U152" s="1145"/>
      <c r="V152" s="1145"/>
      <c r="W152" s="1145"/>
      <c r="X152" s="1145"/>
      <c r="Y152" s="1145"/>
      <c r="Z152" s="1145"/>
      <c r="AA152" s="1145"/>
      <c r="AB152" s="1145"/>
      <c r="AC152" s="1145"/>
      <c r="AD152" s="1145"/>
      <c r="AE152" s="1145"/>
      <c r="AF152" s="1145"/>
      <c r="AG152" s="1145"/>
      <c r="AH152" s="1145"/>
      <c r="AI152" s="1145"/>
      <c r="AJ152" s="1145"/>
      <c r="AK152" s="1145"/>
      <c r="AL152" s="1145"/>
      <c r="AM152" s="1145">
        <f>'Direct Expns'!$AE48</f>
        <v>22508478</v>
      </c>
      <c r="AN152" s="1145"/>
    </row>
    <row r="153" spans="1:40" x14ac:dyDescent="0.25">
      <c r="A153" s="2239"/>
      <c r="B153" s="1145"/>
      <c r="C153" s="1145"/>
      <c r="D153" s="1145"/>
      <c r="E153" s="1145"/>
      <c r="F153" s="1145"/>
      <c r="G153" s="1145"/>
      <c r="H153" s="1145"/>
      <c r="I153" s="1145"/>
      <c r="J153" s="1145"/>
      <c r="K153" s="1145"/>
      <c r="L153" s="1145"/>
      <c r="M153" s="1145"/>
      <c r="N153" s="1145"/>
      <c r="O153" s="1145"/>
      <c r="P153" s="1145"/>
      <c r="Q153" s="1145"/>
      <c r="R153" s="1145"/>
      <c r="S153" s="1145"/>
      <c r="T153" s="1145"/>
      <c r="U153" s="1145"/>
      <c r="V153" s="1145"/>
      <c r="W153" s="1145"/>
      <c r="X153" s="1145"/>
      <c r="Y153" s="1145"/>
      <c r="Z153" s="1145"/>
      <c r="AA153" s="1145"/>
      <c r="AB153" s="1145"/>
      <c r="AC153" s="1145"/>
      <c r="AD153" s="1145"/>
      <c r="AE153" s="1145"/>
      <c r="AF153" s="1145"/>
      <c r="AG153" s="1145"/>
      <c r="AH153" s="1145"/>
      <c r="AI153" s="1145"/>
      <c r="AJ153" s="1145"/>
      <c r="AK153" s="1145"/>
      <c r="AL153" s="1145"/>
      <c r="AM153" s="1145"/>
      <c r="AN153" s="1145"/>
    </row>
    <row r="154" spans="1:40" x14ac:dyDescent="0.25">
      <c r="A154" s="2239" t="s">
        <v>657</v>
      </c>
      <c r="B154" s="1145"/>
      <c r="C154" s="1145">
        <f>C145-(C150+C151)</f>
        <v>25850051</v>
      </c>
      <c r="D154" s="1145">
        <f>C154/B145</f>
        <v>269.28819509552682</v>
      </c>
      <c r="E154" s="1145"/>
      <c r="F154" s="1145">
        <f>F145-(F150+F151)</f>
        <v>18118987</v>
      </c>
      <c r="G154" s="1145">
        <f>F154/E145</f>
        <v>160.82750019971419</v>
      </c>
      <c r="H154" s="1145"/>
      <c r="I154" s="1145">
        <f>I145-(I150+I151)</f>
        <v>0</v>
      </c>
      <c r="J154" s="1145" t="e">
        <f>I154/H145</f>
        <v>#DIV/0!</v>
      </c>
      <c r="K154" s="1145"/>
      <c r="L154" s="1145">
        <f>L145-(L150+L151)</f>
        <v>0</v>
      </c>
      <c r="M154" s="1145" t="e">
        <f>L154/K145</f>
        <v>#DIV/0!</v>
      </c>
      <c r="N154" s="1145"/>
      <c r="O154" s="1145">
        <f>O145-(O150+O151)</f>
        <v>0</v>
      </c>
      <c r="P154" s="1145">
        <f>O154/N145</f>
        <v>0</v>
      </c>
      <c r="Q154" s="1145"/>
      <c r="R154" s="1145"/>
      <c r="S154" s="1145"/>
      <c r="T154" s="1145"/>
      <c r="U154" s="1145"/>
      <c r="V154" s="1145"/>
      <c r="W154" s="1145"/>
      <c r="X154" s="1145"/>
      <c r="Y154" s="1145"/>
      <c r="Z154" s="1145"/>
      <c r="AA154" s="1145"/>
      <c r="AB154" s="1145"/>
      <c r="AC154" s="1145"/>
      <c r="AD154" s="1145"/>
      <c r="AE154" s="1145"/>
      <c r="AF154" s="1145"/>
      <c r="AG154" s="1145"/>
      <c r="AH154" s="1145"/>
      <c r="AI154" s="1145"/>
      <c r="AJ154" s="1145"/>
      <c r="AK154" s="1145"/>
      <c r="AL154" s="1145"/>
      <c r="AM154" s="1145">
        <f>AM145-(AM150+AM151)</f>
        <v>14672064</v>
      </c>
      <c r="AN154" s="1145">
        <f>AM154/AL145</f>
        <v>67.877513821100592</v>
      </c>
    </row>
    <row r="155" spans="1:40" x14ac:dyDescent="0.25">
      <c r="A155" s="2239" t="s">
        <v>658</v>
      </c>
      <c r="B155" s="1145"/>
      <c r="C155" s="1145">
        <f>C146</f>
        <v>0</v>
      </c>
      <c r="D155" s="1145">
        <f>C155/B146</f>
        <v>0</v>
      </c>
      <c r="E155" s="1145"/>
      <c r="F155" s="1145">
        <f>F146</f>
        <v>9500</v>
      </c>
      <c r="G155" s="1145">
        <f>F155/E146</f>
        <v>0.67736185383244207</v>
      </c>
      <c r="H155" s="1145"/>
      <c r="I155" s="1145">
        <f>I146</f>
        <v>0</v>
      </c>
      <c r="J155" s="1145">
        <f>I155/H146</f>
        <v>0</v>
      </c>
      <c r="K155" s="1145"/>
      <c r="L155" s="1145">
        <f>L146</f>
        <v>0</v>
      </c>
      <c r="M155" s="1145">
        <f>L155/K146</f>
        <v>0</v>
      </c>
      <c r="N155" s="1145"/>
      <c r="O155" s="1145">
        <f>O146</f>
        <v>0</v>
      </c>
      <c r="P155" s="1145">
        <f>O155/N146</f>
        <v>0</v>
      </c>
      <c r="Q155" s="1145"/>
      <c r="R155" s="1145"/>
      <c r="S155" s="1145"/>
      <c r="T155" s="1145"/>
      <c r="U155" s="1145"/>
      <c r="V155" s="1145"/>
      <c r="W155" s="1145"/>
      <c r="X155" s="1145"/>
      <c r="Y155" s="1145"/>
      <c r="Z155" s="1145"/>
      <c r="AA155" s="1145"/>
      <c r="AB155" s="1145"/>
      <c r="AC155" s="1145"/>
      <c r="AD155" s="1145"/>
      <c r="AE155" s="1145"/>
      <c r="AF155" s="1145"/>
      <c r="AG155" s="1145"/>
      <c r="AH155" s="1145"/>
      <c r="AI155" s="1145"/>
      <c r="AJ155" s="1145"/>
      <c r="AK155" s="1145"/>
      <c r="AL155" s="1145"/>
      <c r="AM155" s="1145">
        <f>AM146</f>
        <v>9500</v>
      </c>
      <c r="AN155" s="1145">
        <f>AM155/AL146</f>
        <v>3.7987540086851512E-2</v>
      </c>
    </row>
    <row r="156" spans="1:40" x14ac:dyDescent="0.25">
      <c r="A156" s="2239" t="s">
        <v>659</v>
      </c>
      <c r="B156" s="1145"/>
      <c r="C156" s="1145">
        <f>ROUND((C147-C155),0)</f>
        <v>599919</v>
      </c>
      <c r="D156" s="1145">
        <f>C156/B147</f>
        <v>63.67890882071967</v>
      </c>
      <c r="E156" s="1145"/>
      <c r="F156" s="1145">
        <f>ROUND((F147-F155),0)</f>
        <v>532175</v>
      </c>
      <c r="G156" s="1145">
        <f>F156/E147</f>
        <v>81.509419512942259</v>
      </c>
      <c r="H156" s="1145"/>
      <c r="I156" s="1145">
        <f>ROUND((I147-I155),0)</f>
        <v>-200544</v>
      </c>
      <c r="J156" s="1145">
        <f>I156/H147</f>
        <v>-3932.2352941176468</v>
      </c>
      <c r="K156" s="1145"/>
      <c r="L156" s="1145">
        <f>ROUND((L147-L155),0)</f>
        <v>0</v>
      </c>
      <c r="M156" s="1145" t="e">
        <f>L156/K147</f>
        <v>#DIV/0!</v>
      </c>
      <c r="N156" s="1145"/>
      <c r="O156" s="1145">
        <f>ROUND((O147-O155),0)</f>
        <v>0</v>
      </c>
      <c r="P156" s="1145">
        <f>O156/N147</f>
        <v>0</v>
      </c>
      <c r="Q156" s="1145"/>
      <c r="R156" s="1145"/>
      <c r="S156" s="1145"/>
      <c r="T156" s="1145"/>
      <c r="U156" s="1145"/>
      <c r="V156" s="1145"/>
      <c r="W156" s="1145"/>
      <c r="X156" s="1145"/>
      <c r="Y156" s="1145"/>
      <c r="Z156" s="1145"/>
      <c r="AA156" s="1145"/>
      <c r="AB156" s="1145"/>
      <c r="AC156" s="1145"/>
      <c r="AD156" s="1145"/>
      <c r="AE156" s="1145"/>
      <c r="AF156" s="1145"/>
      <c r="AG156" s="1145"/>
      <c r="AH156" s="1145"/>
      <c r="AI156" s="1145"/>
      <c r="AJ156" s="1145"/>
      <c r="AK156" s="1145"/>
      <c r="AL156" s="1145"/>
      <c r="AM156" s="1145">
        <f>ROUND((AM147-AM155),0)</f>
        <v>886122</v>
      </c>
      <c r="AN156" s="1145">
        <f>AM156/AL147</f>
        <v>54.977168383174089</v>
      </c>
    </row>
    <row r="157" spans="1:40" x14ac:dyDescent="0.25">
      <c r="A157" s="2238" t="s">
        <v>656</v>
      </c>
      <c r="B157" s="984"/>
      <c r="C157" s="984">
        <f>SUM(C154:C156)</f>
        <v>26449970</v>
      </c>
      <c r="D157" s="984">
        <f>C157/B148</f>
        <v>181.89299590826255</v>
      </c>
      <c r="E157" s="984"/>
      <c r="F157" s="984">
        <f>SUM(F154:F156)</f>
        <v>18660662</v>
      </c>
      <c r="G157" s="984">
        <f>F157/E148</f>
        <v>140.0792853657621</v>
      </c>
      <c r="H157" s="984"/>
      <c r="I157" s="984">
        <f>SUM(I154:I156)</f>
        <v>-200544</v>
      </c>
      <c r="J157" s="984">
        <f>I157/H148</f>
        <v>-3.9108406950213537</v>
      </c>
      <c r="K157" s="984"/>
      <c r="L157" s="984">
        <f>SUM(L154:L156)</f>
        <v>0</v>
      </c>
      <c r="M157" s="984">
        <f>L157/K148</f>
        <v>0</v>
      </c>
      <c r="N157" s="984"/>
      <c r="O157" s="984">
        <f>SUM(O154:O156)</f>
        <v>0</v>
      </c>
      <c r="P157" s="984">
        <f>O157/N148</f>
        <v>0</v>
      </c>
      <c r="Q157" s="984"/>
      <c r="R157" s="984"/>
      <c r="S157" s="984"/>
      <c r="T157" s="984"/>
      <c r="U157" s="984"/>
      <c r="V157" s="984"/>
      <c r="W157" s="984"/>
      <c r="X157" s="984"/>
      <c r="Y157" s="984"/>
      <c r="Z157" s="984"/>
      <c r="AA157" s="984"/>
      <c r="AB157" s="984"/>
      <c r="AC157" s="984"/>
      <c r="AD157" s="984"/>
      <c r="AE157" s="984"/>
      <c r="AF157" s="984"/>
      <c r="AG157" s="984"/>
      <c r="AH157" s="984"/>
      <c r="AI157" s="984"/>
      <c r="AJ157" s="984"/>
      <c r="AK157" s="984"/>
      <c r="AL157" s="984"/>
      <c r="AM157" s="984">
        <f>SUM(AM154:AM156)</f>
        <v>15567686</v>
      </c>
      <c r="AN157" s="984">
        <f>AM157/AL148</f>
        <v>32.274333219309433</v>
      </c>
    </row>
    <row r="158" spans="1:40" x14ac:dyDescent="0.25">
      <c r="A158" s="2239" t="s">
        <v>453</v>
      </c>
      <c r="B158" s="1145"/>
      <c r="C158" s="1145">
        <f>ROUND(('Direct Expns'!$S54+'Direct Expns'!$S55+'Direct Expns'!$S56),0)</f>
        <v>0</v>
      </c>
      <c r="D158" s="1145">
        <f>C158/B148</f>
        <v>0</v>
      </c>
      <c r="E158" s="1145"/>
      <c r="F158" s="1145">
        <f>ROUND(('Direct Expns'!$T54+'Direct Expns'!$T55+'Direct Expns'!$T56),0)</f>
        <v>0</v>
      </c>
      <c r="G158" s="1145">
        <f>F158/E148</f>
        <v>0</v>
      </c>
      <c r="H158" s="1145"/>
      <c r="I158" s="1145">
        <f>ROUND(('Direct Expns'!$U54+'Direct Expns'!$U55+'Direct Expns'!$U56),0)</f>
        <v>0</v>
      </c>
      <c r="J158" s="1145">
        <f>I158/H148</f>
        <v>0</v>
      </c>
      <c r="K158" s="1145"/>
      <c r="L158" s="1145">
        <f>ROUND(('Direct Expns'!$V54+'Direct Expns'!$V55+'Direct Expns'!$V56),0)</f>
        <v>0</v>
      </c>
      <c r="M158" s="1145">
        <f>L158/K148</f>
        <v>0</v>
      </c>
      <c r="N158" s="1145"/>
      <c r="O158" s="1145">
        <f>ROUND(('Direct Expns'!$W54+'Direct Expns'!$W55+'Direct Expns'!$W56),0)</f>
        <v>0</v>
      </c>
      <c r="P158" s="1145">
        <f>O158/N148</f>
        <v>0</v>
      </c>
      <c r="Q158" s="1145"/>
      <c r="R158" s="1145"/>
      <c r="S158" s="1145"/>
      <c r="T158" s="1145"/>
      <c r="U158" s="1145"/>
      <c r="V158" s="1145"/>
      <c r="W158" s="1145"/>
      <c r="X158" s="1145"/>
      <c r="Y158" s="1145"/>
      <c r="Z158" s="1145"/>
      <c r="AA158" s="1145"/>
      <c r="AB158" s="1145"/>
      <c r="AC158" s="1145"/>
      <c r="AD158" s="1145"/>
      <c r="AE158" s="1145"/>
      <c r="AF158" s="1145"/>
      <c r="AG158" s="1145"/>
      <c r="AH158" s="1145"/>
      <c r="AI158" s="1145"/>
      <c r="AJ158" s="1145"/>
      <c r="AK158" s="1145"/>
      <c r="AL158" s="1145"/>
      <c r="AM158" s="1145">
        <f>ROUND(('Direct Expns'!$AE54+'Direct Expns'!$AE55+'Direct Expns'!$AE56),0)</f>
        <v>0</v>
      </c>
      <c r="AN158" s="1145">
        <f>AM158/AL148</f>
        <v>0</v>
      </c>
    </row>
    <row r="159" spans="1:40" x14ac:dyDescent="0.25">
      <c r="A159" s="2238" t="s">
        <v>655</v>
      </c>
      <c r="B159" s="2240"/>
      <c r="C159" s="2240">
        <f>C157-C158</f>
        <v>26449970</v>
      </c>
      <c r="D159" s="2240"/>
      <c r="E159" s="2240"/>
      <c r="F159" s="2240">
        <f>F157-F158</f>
        <v>18660662</v>
      </c>
      <c r="G159" s="2240"/>
      <c r="H159" s="2240"/>
      <c r="I159" s="2240">
        <f>I157-I158</f>
        <v>-200544</v>
      </c>
      <c r="J159" s="2240"/>
      <c r="K159" s="2240"/>
      <c r="L159" s="2240">
        <f>L157-L158</f>
        <v>0</v>
      </c>
      <c r="M159" s="2240"/>
      <c r="N159" s="2240"/>
      <c r="O159" s="2240">
        <f>O157-O158</f>
        <v>0</v>
      </c>
      <c r="P159" s="2240"/>
      <c r="Q159" s="2240"/>
      <c r="R159" s="2240"/>
      <c r="S159" s="2240"/>
      <c r="T159" s="2240"/>
      <c r="U159" s="2240"/>
      <c r="V159" s="2240"/>
      <c r="W159" s="2240"/>
      <c r="X159" s="2240"/>
      <c r="Y159" s="2240"/>
      <c r="Z159" s="2240"/>
      <c r="AA159" s="2240"/>
      <c r="AB159" s="2240"/>
      <c r="AC159" s="2240"/>
      <c r="AD159" s="2240"/>
      <c r="AE159" s="2240"/>
      <c r="AF159" s="2240"/>
      <c r="AG159" s="2240"/>
      <c r="AH159" s="2240"/>
      <c r="AI159" s="2240"/>
      <c r="AJ159" s="2240"/>
      <c r="AK159" s="2240"/>
      <c r="AL159" s="2240"/>
      <c r="AM159" s="2240">
        <f>AM157-AM158</f>
        <v>15567686</v>
      </c>
      <c r="AN159" s="2240"/>
    </row>
    <row r="160" spans="1:40" x14ac:dyDescent="0.25">
      <c r="A160" s="2239" t="s">
        <v>654</v>
      </c>
      <c r="B160" s="1145"/>
      <c r="C160" s="1145">
        <f>ROUND(('Direct Expns'!$S49+'Direct Expns'!$S58),0)</f>
        <v>0</v>
      </c>
      <c r="D160" s="1145"/>
      <c r="E160" s="1145"/>
      <c r="F160" s="1145">
        <f>ROUND(('Direct Expns'!$T49+'Direct Expns'!$T58),0)</f>
        <v>0</v>
      </c>
      <c r="G160" s="1145"/>
      <c r="H160" s="1145"/>
      <c r="I160" s="1145">
        <f>ROUND(('Direct Expns'!$U49+'Direct Expns'!$U58),0)</f>
        <v>0</v>
      </c>
      <c r="J160" s="1145"/>
      <c r="K160" s="1145"/>
      <c r="L160" s="1145">
        <f>ROUND(('Direct Expns'!$V49+'Direct Expns'!$V58),0)</f>
        <v>0</v>
      </c>
      <c r="M160" s="1145"/>
      <c r="N160" s="1145"/>
      <c r="O160" s="1145">
        <f>ROUND(('Direct Expns'!$W49+'Direct Expns'!$W58),0)</f>
        <v>0</v>
      </c>
      <c r="P160" s="1145"/>
      <c r="Q160" s="1145"/>
      <c r="R160" s="1145"/>
      <c r="S160" s="1145"/>
      <c r="T160" s="1145"/>
      <c r="U160" s="1145"/>
      <c r="V160" s="1145"/>
      <c r="W160" s="1145"/>
      <c r="X160" s="1145"/>
      <c r="Y160" s="1145"/>
      <c r="Z160" s="1145"/>
      <c r="AA160" s="1145"/>
      <c r="AB160" s="1145"/>
      <c r="AC160" s="1145"/>
      <c r="AD160" s="1145"/>
      <c r="AE160" s="1145"/>
      <c r="AF160" s="1145"/>
      <c r="AG160" s="1145"/>
      <c r="AH160" s="1145"/>
      <c r="AI160" s="1145"/>
      <c r="AJ160" s="1145"/>
      <c r="AK160" s="1145"/>
      <c r="AL160" s="1145"/>
      <c r="AM160" s="1145">
        <f>ROUND(('Direct Expns'!$AE49+'Direct Expns'!$AE58),0)</f>
        <v>0</v>
      </c>
      <c r="AN160" s="1145"/>
    </row>
    <row r="161" spans="1:40" x14ac:dyDescent="0.25">
      <c r="A161" s="982" t="s">
        <v>55</v>
      </c>
      <c r="B161" s="1145"/>
      <c r="C161" s="1145">
        <f>'Direct Expns'!$S57</f>
        <v>0</v>
      </c>
      <c r="D161" s="1145"/>
      <c r="E161" s="1145"/>
      <c r="F161" s="1145">
        <f>'Direct Expns'!$T57</f>
        <v>0</v>
      </c>
      <c r="G161" s="1145"/>
      <c r="H161" s="1145"/>
      <c r="I161" s="1145">
        <f>'Direct Expns'!$U57</f>
        <v>0</v>
      </c>
      <c r="J161" s="1145"/>
      <c r="K161" s="1145"/>
      <c r="L161" s="1145">
        <f>'Direct Expns'!$V57</f>
        <v>0</v>
      </c>
      <c r="M161" s="1145"/>
      <c r="N161" s="1145"/>
      <c r="O161" s="1145">
        <f>'Direct Expns'!$W57</f>
        <v>0</v>
      </c>
      <c r="P161" s="1145"/>
      <c r="Q161" s="1145"/>
      <c r="R161" s="1145"/>
      <c r="S161" s="1145"/>
      <c r="T161" s="1145"/>
      <c r="U161" s="1145"/>
      <c r="V161" s="1145"/>
      <c r="W161" s="1145"/>
      <c r="X161" s="1145"/>
      <c r="Y161" s="1145"/>
      <c r="Z161" s="1145"/>
      <c r="AA161" s="1145"/>
      <c r="AB161" s="1145"/>
      <c r="AC161" s="1145"/>
      <c r="AD161" s="1145"/>
      <c r="AE161" s="1145"/>
      <c r="AF161" s="1145"/>
      <c r="AG161" s="1145"/>
      <c r="AH161" s="1145"/>
      <c r="AI161" s="1145"/>
      <c r="AJ161" s="1145"/>
      <c r="AK161" s="1145"/>
      <c r="AL161" s="1145"/>
      <c r="AM161" s="1145">
        <f>'Direct Expns'!$AE57</f>
        <v>0</v>
      </c>
      <c r="AN161" s="1145"/>
    </row>
    <row r="162" spans="1:40" x14ac:dyDescent="0.25">
      <c r="A162" s="984" t="s">
        <v>660</v>
      </c>
      <c r="B162" s="1145"/>
      <c r="C162" s="984">
        <f>C159-(C160+C161)</f>
        <v>26449970</v>
      </c>
      <c r="D162" s="1145"/>
      <c r="E162" s="1145"/>
      <c r="F162" s="984">
        <f>F159-(F160+F161)</f>
        <v>18660662</v>
      </c>
      <c r="G162" s="1145"/>
      <c r="H162" s="1145"/>
      <c r="I162" s="984">
        <f>I159-(I160+I161)</f>
        <v>-200544</v>
      </c>
      <c r="J162" s="1145"/>
      <c r="K162" s="1145"/>
      <c r="L162" s="984">
        <f>L159-(L160+L161)</f>
        <v>0</v>
      </c>
      <c r="M162" s="1145"/>
      <c r="N162" s="1145"/>
      <c r="O162" s="984">
        <f>O159-(O160+O161)</f>
        <v>0</v>
      </c>
      <c r="P162" s="1145"/>
      <c r="Q162" s="1145"/>
      <c r="R162" s="1145"/>
      <c r="S162" s="1145"/>
      <c r="T162" s="1145"/>
      <c r="U162" s="1145"/>
      <c r="V162" s="1145"/>
      <c r="W162" s="1145"/>
      <c r="X162" s="1145"/>
      <c r="Y162" s="1145"/>
      <c r="Z162" s="1145"/>
      <c r="AA162" s="1145"/>
      <c r="AB162" s="1145"/>
      <c r="AC162" s="1145"/>
      <c r="AD162" s="1145"/>
      <c r="AE162" s="1145"/>
      <c r="AF162" s="1145"/>
      <c r="AG162" s="1145"/>
      <c r="AH162" s="1145"/>
      <c r="AI162" s="1145"/>
      <c r="AJ162" s="1145"/>
      <c r="AK162" s="1145"/>
      <c r="AL162" s="1145"/>
      <c r="AM162" s="984">
        <f>AM159-(AM160+AM161)</f>
        <v>15567686</v>
      </c>
      <c r="AN162" s="1145"/>
    </row>
    <row r="163" spans="1:40" x14ac:dyDescent="0.25">
      <c r="A163" s="982" t="s">
        <v>664</v>
      </c>
      <c r="B163" s="1145"/>
      <c r="C163" s="1145"/>
      <c r="D163" s="1145"/>
      <c r="E163" s="1145"/>
      <c r="F163" s="1145"/>
      <c r="G163" s="1145"/>
      <c r="H163" s="1145"/>
      <c r="I163" s="1145"/>
      <c r="J163" s="1145"/>
      <c r="K163" s="1145"/>
      <c r="L163" s="1145"/>
      <c r="M163" s="1145"/>
      <c r="N163" s="1145"/>
      <c r="O163" s="1145"/>
      <c r="P163" s="1145"/>
      <c r="Q163" s="1145"/>
      <c r="R163" s="1145"/>
      <c r="S163" s="1145"/>
      <c r="T163" s="1145"/>
      <c r="U163" s="1145"/>
      <c r="V163" s="1145"/>
      <c r="W163" s="1145"/>
      <c r="X163" s="1145"/>
      <c r="Y163" s="1145"/>
      <c r="Z163" s="1145"/>
      <c r="AA163" s="1145"/>
      <c r="AB163" s="1145"/>
      <c r="AC163" s="1145"/>
      <c r="AD163" s="1145"/>
      <c r="AE163" s="1145"/>
      <c r="AF163" s="1145"/>
      <c r="AG163" s="1145"/>
      <c r="AH163" s="1145"/>
      <c r="AI163" s="1145"/>
      <c r="AJ163" s="1145"/>
      <c r="AK163" s="1145"/>
      <c r="AL163" s="1145"/>
      <c r="AM163" s="1145"/>
      <c r="AN163" s="1145"/>
    </row>
    <row r="164" spans="1:40" x14ac:dyDescent="0.25">
      <c r="A164" s="1145"/>
      <c r="B164" s="1145"/>
      <c r="C164" s="1145">
        <f>C162-C163</f>
        <v>26449970</v>
      </c>
      <c r="D164" s="1145"/>
      <c r="E164" s="1145"/>
      <c r="F164" s="1145">
        <f>F162-F163</f>
        <v>18660662</v>
      </c>
      <c r="G164" s="1145"/>
      <c r="H164" s="1145"/>
      <c r="I164" s="1145">
        <f>I162-I163</f>
        <v>-200544</v>
      </c>
      <c r="J164" s="1145"/>
      <c r="K164" s="1145"/>
      <c r="L164" s="1145">
        <f>L162-L163</f>
        <v>0</v>
      </c>
      <c r="M164" s="1145"/>
      <c r="N164" s="1145"/>
      <c r="O164" s="1145">
        <f>O162-O163</f>
        <v>0</v>
      </c>
      <c r="P164" s="1145"/>
      <c r="Q164" s="1145"/>
      <c r="R164" s="1145"/>
      <c r="S164" s="1145"/>
      <c r="T164" s="1145"/>
      <c r="U164" s="1145"/>
      <c r="V164" s="1145"/>
      <c r="W164" s="1145"/>
      <c r="X164" s="1145"/>
      <c r="Y164" s="1145"/>
      <c r="Z164" s="1145"/>
      <c r="AA164" s="1145"/>
      <c r="AB164" s="1145"/>
      <c r="AC164" s="1145"/>
      <c r="AD164" s="1145"/>
      <c r="AE164" s="1145"/>
      <c r="AF164" s="1145"/>
      <c r="AG164" s="1145"/>
      <c r="AH164" s="1145"/>
      <c r="AI164" s="1145"/>
      <c r="AJ164" s="1145"/>
      <c r="AK164" s="1145"/>
      <c r="AL164" s="1145"/>
      <c r="AM164" s="1145">
        <f>AM162-AM163</f>
        <v>15567686</v>
      </c>
      <c r="AN164" s="1145"/>
    </row>
    <row r="165" spans="1:40" x14ac:dyDescent="0.25">
      <c r="A165" s="1145"/>
      <c r="B165" s="1145"/>
      <c r="C165" s="1145"/>
      <c r="D165" s="1145"/>
      <c r="E165" s="1145"/>
      <c r="F165" s="1145"/>
      <c r="G165" s="1145"/>
      <c r="H165" s="1145"/>
      <c r="I165" s="1145"/>
      <c r="J165" s="1145"/>
      <c r="K165" s="1145"/>
      <c r="L165" s="1145"/>
      <c r="M165" s="1145"/>
      <c r="N165" s="1145"/>
      <c r="O165" s="1145"/>
      <c r="P165" s="1145"/>
      <c r="Q165" s="1145"/>
      <c r="R165" s="1145"/>
      <c r="S165" s="1145"/>
      <c r="T165" s="1145"/>
      <c r="U165" s="1145"/>
      <c r="V165" s="1145"/>
      <c r="W165" s="1145"/>
      <c r="X165" s="1145"/>
      <c r="Y165" s="1145"/>
      <c r="Z165" s="1145"/>
      <c r="AA165" s="1145"/>
      <c r="AB165" s="1145"/>
      <c r="AC165" s="1145"/>
      <c r="AD165" s="1145"/>
      <c r="AE165" s="1145"/>
      <c r="AF165" s="1145"/>
      <c r="AG165" s="1145"/>
      <c r="AH165" s="1145"/>
      <c r="AI165" s="1145"/>
      <c r="AJ165" s="1145"/>
      <c r="AK165" s="1145"/>
      <c r="AL165" s="1145"/>
      <c r="AM165" s="1145"/>
      <c r="AN165" s="1145"/>
    </row>
    <row r="166" spans="1:40" x14ac:dyDescent="0.25">
      <c r="A166" s="982" t="s">
        <v>661</v>
      </c>
      <c r="B166" s="1145"/>
      <c r="C166" s="1145">
        <f>'PAL I'!D28</f>
        <v>4610202</v>
      </c>
      <c r="D166" s="1145"/>
      <c r="E166" s="1145"/>
      <c r="F166" s="1145">
        <f>'PAL I'!G28</f>
        <v>7609174</v>
      </c>
      <c r="G166" s="1145"/>
      <c r="H166" s="1145"/>
      <c r="I166" s="1145">
        <f>'PAL I'!J28</f>
        <v>-79793096</v>
      </c>
      <c r="J166" s="1145"/>
      <c r="K166" s="1145"/>
      <c r="L166" s="1145">
        <f>'PAL I'!M28</f>
        <v>0</v>
      </c>
      <c r="M166" s="1145"/>
      <c r="N166" s="1145"/>
      <c r="O166" s="1145">
        <f>'PAL I'!P28</f>
        <v>0</v>
      </c>
      <c r="P166" s="1145"/>
      <c r="Q166" s="1145"/>
      <c r="R166" s="1145"/>
      <c r="S166" s="1145"/>
      <c r="T166" s="1145"/>
      <c r="U166" s="1145"/>
      <c r="V166" s="1145"/>
      <c r="W166" s="1145"/>
      <c r="X166" s="1145"/>
      <c r="Y166" s="1145"/>
      <c r="Z166" s="1145"/>
      <c r="AA166" s="1145"/>
      <c r="AB166" s="1145"/>
      <c r="AC166" s="1145"/>
      <c r="AD166" s="1145"/>
      <c r="AE166" s="1145"/>
      <c r="AF166" s="1145"/>
      <c r="AG166" s="1145"/>
      <c r="AH166" s="1145"/>
      <c r="AI166" s="1145"/>
      <c r="AJ166" s="1145"/>
      <c r="AK166" s="1145"/>
      <c r="AL166" s="1145"/>
      <c r="AM166" s="1145">
        <f>'PAL I'!AN28</f>
        <v>12219376</v>
      </c>
      <c r="AN166" s="1145"/>
    </row>
    <row r="167" spans="1:40" x14ac:dyDescent="0.25">
      <c r="A167" s="1145"/>
      <c r="B167" s="1145"/>
      <c r="C167" s="1145">
        <f>C164-C166</f>
        <v>21839768</v>
      </c>
      <c r="D167" s="1145"/>
      <c r="E167" s="1145"/>
      <c r="F167" s="1145">
        <f>F164-F166</f>
        <v>11051488</v>
      </c>
      <c r="G167" s="1145"/>
      <c r="H167" s="1145"/>
      <c r="I167" s="1145">
        <f>I164-I166</f>
        <v>79592552</v>
      </c>
      <c r="J167" s="1145"/>
      <c r="K167" s="1145">
        <f>K164-K166</f>
        <v>0</v>
      </c>
      <c r="L167" s="1145">
        <f>L164-L166</f>
        <v>0</v>
      </c>
      <c r="M167" s="1145"/>
      <c r="N167" s="1145"/>
      <c r="O167" s="1145">
        <f>O164-O166</f>
        <v>0</v>
      </c>
      <c r="P167" s="1145"/>
      <c r="Q167" s="1145"/>
      <c r="R167" s="1145"/>
      <c r="S167" s="1145"/>
      <c r="T167" s="1145"/>
      <c r="U167" s="1145"/>
      <c r="V167" s="1145"/>
      <c r="W167" s="1145"/>
      <c r="X167" s="1145"/>
      <c r="Y167" s="1145"/>
      <c r="Z167" s="1145"/>
      <c r="AA167" s="1145"/>
      <c r="AB167" s="1145"/>
      <c r="AC167" s="1145"/>
      <c r="AD167" s="1145"/>
      <c r="AE167" s="1145"/>
      <c r="AF167" s="1145"/>
      <c r="AG167" s="1145"/>
      <c r="AH167" s="1145"/>
      <c r="AI167" s="1145"/>
      <c r="AJ167" s="1145"/>
      <c r="AK167" s="1145"/>
      <c r="AL167" s="1145"/>
      <c r="AM167" s="1145">
        <f>AM164-AM166</f>
        <v>3348310</v>
      </c>
      <c r="AN167" s="1145"/>
    </row>
    <row r="168" spans="1:40" x14ac:dyDescent="0.25">
      <c r="A168" s="1145"/>
      <c r="B168" s="1145"/>
      <c r="C168" s="1145"/>
      <c r="D168" s="1145"/>
      <c r="E168" s="1145"/>
      <c r="F168" s="1145"/>
      <c r="G168" s="1145"/>
      <c r="H168" s="1145"/>
      <c r="I168" s="1145"/>
      <c r="J168" s="1145"/>
      <c r="K168" s="1145"/>
      <c r="L168" s="1145"/>
      <c r="M168" s="1145"/>
      <c r="N168" s="1145"/>
      <c r="O168" s="1145"/>
      <c r="P168" s="1145"/>
      <c r="Q168" s="1145"/>
      <c r="R168" s="1145"/>
      <c r="S168" s="1145"/>
      <c r="T168" s="1145"/>
      <c r="U168" s="1145"/>
      <c r="V168" s="1145"/>
      <c r="W168" s="1145"/>
      <c r="X168" s="1145"/>
      <c r="Y168" s="1145"/>
      <c r="Z168" s="1145"/>
      <c r="AA168" s="1145"/>
      <c r="AB168" s="1145"/>
      <c r="AC168" s="1145"/>
      <c r="AD168" s="1145"/>
      <c r="AE168" s="1145"/>
      <c r="AF168" s="1145"/>
      <c r="AG168" s="1145"/>
      <c r="AH168" s="1145"/>
      <c r="AI168" s="1145"/>
      <c r="AJ168" s="1145"/>
      <c r="AK168" s="1145"/>
      <c r="AL168" s="1145"/>
      <c r="AM168" s="1145"/>
      <c r="AN168" s="1145"/>
    </row>
    <row r="169" spans="1:40" x14ac:dyDescent="0.25">
      <c r="A169" s="1145"/>
      <c r="B169" s="1145"/>
      <c r="C169" s="1145"/>
      <c r="D169" s="1145"/>
      <c r="E169" s="1145"/>
      <c r="F169" s="1145"/>
      <c r="G169" s="1145"/>
      <c r="H169" s="1145"/>
      <c r="I169" s="1145"/>
      <c r="J169" s="1145"/>
      <c r="K169" s="1145"/>
      <c r="L169" s="1145"/>
      <c r="M169" s="1145"/>
      <c r="N169" s="1145"/>
      <c r="O169" s="1145"/>
      <c r="P169" s="1145"/>
      <c r="Q169" s="1145"/>
      <c r="R169" s="1145"/>
      <c r="S169" s="1145"/>
      <c r="T169" s="1145"/>
      <c r="U169" s="1145"/>
      <c r="V169" s="1145"/>
      <c r="W169" s="1145"/>
      <c r="X169" s="1145"/>
      <c r="Y169" s="1145"/>
      <c r="Z169" s="1145"/>
      <c r="AA169" s="1145"/>
      <c r="AB169" s="1145"/>
      <c r="AC169" s="1145"/>
      <c r="AD169" s="1145"/>
      <c r="AE169" s="1145"/>
      <c r="AF169" s="1145"/>
      <c r="AG169" s="1145"/>
      <c r="AH169" s="1145"/>
      <c r="AI169" s="1145"/>
      <c r="AJ169" s="1145"/>
      <c r="AK169" s="1145"/>
      <c r="AL169" s="1145"/>
      <c r="AM169" s="1145"/>
      <c r="AN169" s="1145"/>
    </row>
    <row r="170" spans="1:40" x14ac:dyDescent="0.25">
      <c r="A170" s="1145"/>
      <c r="B170" s="1145"/>
      <c r="C170" s="1145"/>
      <c r="D170" s="1145"/>
      <c r="E170" s="1145"/>
      <c r="F170" s="1145"/>
      <c r="G170" s="1145"/>
      <c r="H170" s="1145"/>
      <c r="I170" s="1145"/>
      <c r="J170" s="1145"/>
      <c r="K170" s="1145"/>
      <c r="L170" s="1145"/>
      <c r="M170" s="1145"/>
      <c r="N170" s="1145"/>
      <c r="O170" s="1145"/>
      <c r="P170" s="1145"/>
      <c r="Q170" s="1145"/>
      <c r="R170" s="1145"/>
      <c r="S170" s="1145"/>
      <c r="T170" s="1145"/>
      <c r="U170" s="1145"/>
      <c r="V170" s="1145"/>
      <c r="W170" s="1145"/>
      <c r="X170" s="1145"/>
      <c r="Y170" s="1145"/>
      <c r="Z170" s="1145"/>
      <c r="AA170" s="1145"/>
      <c r="AB170" s="1145"/>
      <c r="AC170" s="1145"/>
      <c r="AD170" s="1145"/>
      <c r="AE170" s="1145"/>
      <c r="AF170" s="1145"/>
      <c r="AG170" s="1145"/>
      <c r="AH170" s="1145"/>
      <c r="AI170" s="1145"/>
      <c r="AJ170" s="1145"/>
      <c r="AK170" s="1145"/>
      <c r="AL170" s="1145"/>
      <c r="AM170" s="1145"/>
      <c r="AN170" s="1145"/>
    </row>
  </sheetData>
  <mergeCells count="13">
    <mergeCell ref="B2:D2"/>
    <mergeCell ref="E2:G2"/>
    <mergeCell ref="H2:J2"/>
    <mergeCell ref="K2:M2"/>
    <mergeCell ref="N2:P2"/>
    <mergeCell ref="AF2:AH2"/>
    <mergeCell ref="AI2:AK2"/>
    <mergeCell ref="AL2:AN2"/>
    <mergeCell ref="Q2:S2"/>
    <mergeCell ref="T2:V2"/>
    <mergeCell ref="W2:Y2"/>
    <mergeCell ref="Z2:AB2"/>
    <mergeCell ref="AC2:AE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G61"/>
  <sheetViews>
    <sheetView showZero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4" sqref="K4"/>
    </sheetView>
  </sheetViews>
  <sheetFormatPr defaultRowHeight="13.2" x14ac:dyDescent="0.25"/>
  <cols>
    <col min="2" max="2" width="13.109375" bestFit="1" customWidth="1"/>
    <col min="3" max="4" width="12" bestFit="1" customWidth="1"/>
    <col min="5" max="5" width="15.6640625" bestFit="1" customWidth="1"/>
    <col min="6" max="6" width="10.44140625" bestFit="1" customWidth="1"/>
    <col min="7" max="7" width="13.109375" bestFit="1" customWidth="1"/>
    <col min="8" max="8" width="6.44140625" bestFit="1" customWidth="1"/>
    <col min="9" max="9" width="12.33203125" bestFit="1" customWidth="1"/>
    <col min="10" max="10" width="12.44140625" bestFit="1" customWidth="1"/>
    <col min="11" max="11" width="13.109375" bestFit="1" customWidth="1"/>
    <col min="12" max="12" width="6.44140625" customWidth="1"/>
    <col min="13" max="14" width="12" bestFit="1" customWidth="1"/>
    <col min="15" max="15" width="13.109375" bestFit="1" customWidth="1"/>
    <col min="16" max="16" width="6.44140625" bestFit="1" customWidth="1"/>
    <col min="17" max="17" width="12" bestFit="1" customWidth="1"/>
    <col min="18" max="18" width="6.44140625" bestFit="1" customWidth="1"/>
    <col min="19" max="19" width="12" bestFit="1" customWidth="1"/>
    <col min="20" max="20" width="5.6640625" bestFit="1" customWidth="1"/>
    <col min="21" max="21" width="10.44140625" bestFit="1" customWidth="1"/>
    <col min="22" max="22" width="12.6640625" bestFit="1" customWidth="1"/>
    <col min="23" max="23" width="13.109375" bestFit="1" customWidth="1"/>
    <col min="24" max="24" width="14.6640625" bestFit="1" customWidth="1"/>
    <col min="25" max="25" width="7.33203125" bestFit="1" customWidth="1"/>
    <col min="26" max="26" width="12.6640625" bestFit="1" customWidth="1"/>
    <col min="27" max="27" width="7.33203125" bestFit="1" customWidth="1"/>
    <col min="33" max="33" width="7" bestFit="1" customWidth="1"/>
    <col min="34" max="34" width="5.33203125" customWidth="1"/>
    <col min="39" max="40" width="9.44140625" bestFit="1" customWidth="1"/>
  </cols>
  <sheetData>
    <row r="1" spans="1:59" ht="13.8" thickBot="1" x14ac:dyDescent="0.3"/>
    <row r="2" spans="1:59" ht="13.8" thickBot="1" x14ac:dyDescent="0.3">
      <c r="A2" s="3295" t="s">
        <v>227</v>
      </c>
      <c r="B2" s="3297" t="s">
        <v>3</v>
      </c>
      <c r="C2" s="3298"/>
      <c r="D2" s="3298"/>
      <c r="E2" s="3298"/>
      <c r="F2" s="3299"/>
      <c r="G2" s="3300" t="s">
        <v>87</v>
      </c>
      <c r="H2" s="3301"/>
      <c r="I2" s="3301"/>
      <c r="J2" s="3301"/>
      <c r="K2" s="3301"/>
      <c r="L2" s="3301"/>
      <c r="M2" s="3301"/>
      <c r="N2" s="3301"/>
      <c r="O2" s="3301"/>
      <c r="P2" s="3302"/>
      <c r="Q2" s="3305" t="s">
        <v>515</v>
      </c>
      <c r="R2" s="3306"/>
      <c r="S2" s="3306"/>
      <c r="T2" s="3306"/>
      <c r="U2" s="3307"/>
      <c r="V2" s="3303" t="s">
        <v>517</v>
      </c>
      <c r="W2" s="3300" t="s">
        <v>516</v>
      </c>
      <c r="X2" s="3301"/>
      <c r="Y2" s="3302"/>
      <c r="Z2" s="3295" t="s">
        <v>50</v>
      </c>
      <c r="AA2" s="980"/>
      <c r="AB2" s="744"/>
      <c r="AC2" s="744"/>
      <c r="AD2" s="744"/>
      <c r="AE2" s="744"/>
      <c r="AF2" s="744"/>
      <c r="AG2" s="744"/>
      <c r="AH2" s="744"/>
      <c r="AI2" s="744"/>
      <c r="AJ2" s="744"/>
    </row>
    <row r="3" spans="1:59" ht="15" customHeight="1" thickBot="1" x14ac:dyDescent="0.35">
      <c r="A3" s="3296"/>
      <c r="B3" s="1093" t="s">
        <v>396</v>
      </c>
      <c r="C3" s="1092" t="s">
        <v>226</v>
      </c>
      <c r="D3" s="1094" t="s">
        <v>452</v>
      </c>
      <c r="E3" s="1092" t="s">
        <v>0</v>
      </c>
      <c r="F3" s="1140" t="s">
        <v>35</v>
      </c>
      <c r="G3" s="1104" t="s">
        <v>396</v>
      </c>
      <c r="H3" s="1082" t="s">
        <v>451</v>
      </c>
      <c r="I3" s="1487" t="s">
        <v>524</v>
      </c>
      <c r="J3" s="1106" t="s">
        <v>52</v>
      </c>
      <c r="K3" s="1107" t="s">
        <v>454</v>
      </c>
      <c r="L3" s="1082" t="s">
        <v>451</v>
      </c>
      <c r="M3" s="1098" t="s">
        <v>226</v>
      </c>
      <c r="N3" s="1099" t="s">
        <v>48</v>
      </c>
      <c r="O3" s="1100" t="s">
        <v>367</v>
      </c>
      <c r="P3" s="1082" t="s">
        <v>451</v>
      </c>
      <c r="Q3" s="1497" t="s">
        <v>216</v>
      </c>
      <c r="R3" s="1493" t="s">
        <v>451</v>
      </c>
      <c r="S3" s="1498" t="s">
        <v>21</v>
      </c>
      <c r="T3" s="1493" t="s">
        <v>451</v>
      </c>
      <c r="U3" s="1494" t="s">
        <v>226</v>
      </c>
      <c r="V3" s="3304"/>
      <c r="W3" s="745" t="s">
        <v>47</v>
      </c>
      <c r="X3" s="743" t="s">
        <v>453</v>
      </c>
      <c r="Y3" s="1082" t="s">
        <v>451</v>
      </c>
      <c r="Z3" s="3296"/>
      <c r="AA3" s="980"/>
      <c r="AB3" s="744"/>
      <c r="AC3" s="744"/>
      <c r="AD3" s="744"/>
      <c r="AE3" s="744"/>
      <c r="AF3" s="744"/>
      <c r="AG3" s="744"/>
      <c r="AH3" s="744"/>
      <c r="AI3" s="744"/>
      <c r="AJ3" s="744"/>
      <c r="AM3" s="1067" t="s">
        <v>282</v>
      </c>
      <c r="AN3" s="1067" t="s">
        <v>368</v>
      </c>
      <c r="AO3" s="1067" t="s">
        <v>369</v>
      </c>
      <c r="AP3" s="1067" t="s">
        <v>50</v>
      </c>
      <c r="AQ3" s="1067" t="s">
        <v>370</v>
      </c>
      <c r="AW3" s="796"/>
      <c r="AX3" s="796"/>
      <c r="AY3" s="796"/>
      <c r="AZ3" s="796"/>
      <c r="BA3" s="796"/>
      <c r="BE3" s="1067"/>
      <c r="BF3" s="1067"/>
      <c r="BG3" s="1067"/>
    </row>
    <row r="4" spans="1:59" ht="14.4" customHeight="1" x14ac:dyDescent="0.3">
      <c r="A4" s="1070" t="s">
        <v>16</v>
      </c>
      <c r="B4" s="1095">
        <f>MTY!C$3+MTY!C$4+MTY!C$5</f>
        <v>27350991</v>
      </c>
      <c r="C4" s="1096">
        <f>MTY!C$7</f>
        <v>2502572</v>
      </c>
      <c r="D4" s="1097">
        <f>MTY!C$6</f>
        <v>0</v>
      </c>
      <c r="E4" s="1096">
        <f t="shared" ref="E4:E15" si="0">IF(B4=0,0,SUM(B4:D4))</f>
        <v>29853563</v>
      </c>
      <c r="F4" s="1141">
        <f>MTY!C$46+MTY!C$47</f>
        <v>21805</v>
      </c>
      <c r="G4" s="1105">
        <f>IF(B4=0,0,CONSUMPTION!D34)</f>
        <v>7108672</v>
      </c>
      <c r="H4" s="1083">
        <f t="shared" ref="H4:H15" si="1">IF(B4=0,0,G4/B4)</f>
        <v>0.2599054637544943</v>
      </c>
      <c r="I4" s="1488">
        <f>CONSUMPTION!D49</f>
        <v>6946085</v>
      </c>
      <c r="J4" s="1404">
        <f>IF(B4=0,0,CONSUMPTION!D92)</f>
        <v>-3380535</v>
      </c>
      <c r="K4" s="1108">
        <f>G4+I4+J4</f>
        <v>10674222</v>
      </c>
      <c r="L4" s="1083">
        <f t="shared" ref="L4:L15" si="2">IF(F4=0,0,K4/B4)</f>
        <v>0.3902681990572115</v>
      </c>
      <c r="M4" s="1101">
        <f>CONSUMPTION!D60</f>
        <v>2230997</v>
      </c>
      <c r="N4" s="1698">
        <f>CONSUMPTION!D72</f>
        <v>0</v>
      </c>
      <c r="O4" s="1103">
        <f t="shared" ref="O4:O16" si="3">IF(G4=0,0,(K4+M4+N4))</f>
        <v>12905219</v>
      </c>
      <c r="P4" s="1083">
        <f>IF(B4=0,0,O4/(E4))</f>
        <v>0.43228404596128106</v>
      </c>
      <c r="Q4" s="1495">
        <f>'Direct Expns'!S46</f>
        <v>125000</v>
      </c>
      <c r="R4" s="1083">
        <f>IF(B4=0,0,Q4/E4)</f>
        <v>4.1871049026878295E-3</v>
      </c>
      <c r="S4" s="1090">
        <f>'Direct Expns'!S47</f>
        <v>458583.82</v>
      </c>
      <c r="T4" s="1083">
        <f>IF(B4=0,0,S4/(E4))</f>
        <v>1.5361108488122506E-2</v>
      </c>
      <c r="U4" s="1499">
        <f>'Direct Expns'!S48</f>
        <v>2611833.23</v>
      </c>
      <c r="V4" s="1405">
        <f t="shared" ref="V4:V15" si="4">(E4+F4)-(O4+Q4+S4+U4)</f>
        <v>13774731.949999999</v>
      </c>
      <c r="W4" s="1077">
        <f>IF(B4=0,0,'Direct Expns'!S51)</f>
        <v>0</v>
      </c>
      <c r="X4" s="593">
        <f>'Direct Expns'!S50</f>
        <v>3225980</v>
      </c>
      <c r="Y4" s="1083">
        <f t="shared" ref="Y4:Y15" si="5">IF(B4=0,0,X4/(E4))</f>
        <v>0.10806013339178308</v>
      </c>
      <c r="Z4" s="1078">
        <f t="shared" ref="Z4:Z15" si="6">V4-(W4+X4)</f>
        <v>10548751.949999999</v>
      </c>
      <c r="AA4" s="1081">
        <f t="shared" ref="AA4:AA16" si="7">IF(B4=0,0,Z4/B4)</f>
        <v>0.38568079489331847</v>
      </c>
      <c r="AB4" s="744"/>
      <c r="AC4" s="744"/>
      <c r="AD4" s="744"/>
      <c r="AE4" s="744"/>
      <c r="AF4" s="744"/>
      <c r="AG4" s="744"/>
      <c r="AH4" s="744"/>
      <c r="AI4" s="744"/>
      <c r="AJ4" s="744"/>
      <c r="AL4" t="str">
        <f t="shared" ref="AL4:AL15" si="8">A4</f>
        <v>Apr</v>
      </c>
      <c r="AM4" s="822">
        <f t="shared" ref="AM4:AM15" si="9">ROUND((O4/100000),0)</f>
        <v>129</v>
      </c>
      <c r="AN4" s="50">
        <f t="shared" ref="AN4:AN15" si="10">ROUND((Q4/100000),0)</f>
        <v>1</v>
      </c>
      <c r="AO4">
        <f>ROUND((X4/100000),0)</f>
        <v>32</v>
      </c>
      <c r="AP4" s="50">
        <f>Z4/100000</f>
        <v>105.48751949999999</v>
      </c>
      <c r="AQ4">
        <f t="shared" ref="AQ4:AQ15" si="11">ROUND(((B4+F4)/100000),0)</f>
        <v>274</v>
      </c>
      <c r="AW4" s="560"/>
      <c r="AX4" s="560"/>
      <c r="AY4" s="560"/>
      <c r="AZ4" s="560"/>
      <c r="BA4" s="560"/>
      <c r="BE4" s="8"/>
      <c r="BF4" s="8"/>
      <c r="BG4" s="8"/>
    </row>
    <row r="5" spans="1:59" ht="14.4" customHeight="1" x14ac:dyDescent="0.3">
      <c r="A5" s="1066" t="s">
        <v>4</v>
      </c>
      <c r="B5" s="1095">
        <f>MTY!F$3+MTY!F$4+MTY!F$5</f>
        <v>31976353</v>
      </c>
      <c r="C5" s="1096">
        <f>MTY!$F7</f>
        <v>1650409</v>
      </c>
      <c r="D5" s="1097">
        <f>MTY!F$6</f>
        <v>9500</v>
      </c>
      <c r="E5" s="1096">
        <f t="shared" si="0"/>
        <v>33636262</v>
      </c>
      <c r="F5" s="1141">
        <f>MTY!F$46+MTY!F$47</f>
        <v>74600</v>
      </c>
      <c r="G5" s="1105">
        <f>IF(B5=0,0,CONSUMPTION!G34)</f>
        <v>7965578</v>
      </c>
      <c r="H5" s="1083">
        <f t="shared" si="1"/>
        <v>0.24910839581987351</v>
      </c>
      <c r="I5" s="2819">
        <f>IF(D5=0,0,CONSUMPTION!G49)</f>
        <v>3239538</v>
      </c>
      <c r="J5" s="1404">
        <f>CONSUMPTION!G92</f>
        <v>3039608</v>
      </c>
      <c r="K5" s="1108">
        <f>G5+I5+J5</f>
        <v>14244724</v>
      </c>
      <c r="L5" s="1083">
        <f t="shared" si="2"/>
        <v>0.44547681844768228</v>
      </c>
      <c r="M5" s="1101">
        <f>CONSUMPTION!G60</f>
        <v>1448934</v>
      </c>
      <c r="N5" s="1698">
        <f>CONSUMPTION!G72</f>
        <v>9500</v>
      </c>
      <c r="O5" s="1103">
        <f t="shared" si="3"/>
        <v>15703158</v>
      </c>
      <c r="P5" s="1083">
        <f>IF(B5=0,0,O5/(E5))</f>
        <v>0.46685205389350337</v>
      </c>
      <c r="Q5" s="1495">
        <f>'Direct Expns'!T46</f>
        <v>125000</v>
      </c>
      <c r="R5" s="1083">
        <f>IF(B5=0,0,Q5/E5)</f>
        <v>3.7162274452494158E-3</v>
      </c>
      <c r="S5" s="1090">
        <f>'Direct Expns'!T47</f>
        <v>347702</v>
      </c>
      <c r="T5" s="1083">
        <f>IF(B5=0,0,S5/(E5))</f>
        <v>1.0337117721344899E-2</v>
      </c>
      <c r="U5" s="1499">
        <f>'Direct Expns'!$T48</f>
        <v>2478334</v>
      </c>
      <c r="V5" s="1405">
        <f t="shared" si="4"/>
        <v>15056668</v>
      </c>
      <c r="W5" s="1077">
        <f>IF(B5=0,0,'Direct Expns'!T51)</f>
        <v>0</v>
      </c>
      <c r="X5" s="593">
        <f>'Direct Expns'!T50</f>
        <v>3219870</v>
      </c>
      <c r="Y5" s="1083">
        <f t="shared" si="5"/>
        <v>9.5726154113081885E-2</v>
      </c>
      <c r="Z5" s="1078">
        <f t="shared" si="6"/>
        <v>11836798</v>
      </c>
      <c r="AA5" s="1081">
        <f t="shared" si="7"/>
        <v>0.37017348413685575</v>
      </c>
      <c r="AB5" s="744"/>
      <c r="AC5" s="744"/>
      <c r="AD5" s="744"/>
      <c r="AE5" s="744"/>
      <c r="AF5" s="744"/>
      <c r="AG5" s="744"/>
      <c r="AH5" s="744"/>
      <c r="AI5" s="744"/>
      <c r="AJ5" s="744"/>
      <c r="AL5" t="str">
        <f t="shared" si="8"/>
        <v>May</v>
      </c>
      <c r="AM5" s="822">
        <f t="shared" si="9"/>
        <v>157</v>
      </c>
      <c r="AN5" s="50">
        <f t="shared" si="10"/>
        <v>1</v>
      </c>
      <c r="AO5">
        <f t="shared" ref="AO5:AO13" si="12">ROUND((X5/100000),0)</f>
        <v>32</v>
      </c>
      <c r="AP5" s="50">
        <f t="shared" ref="AP5:AP13" si="13">Z5/100000</f>
        <v>118.36798</v>
      </c>
      <c r="AQ5">
        <f t="shared" si="11"/>
        <v>321</v>
      </c>
      <c r="AW5" s="39"/>
      <c r="AX5" s="77"/>
      <c r="AY5" s="67"/>
      <c r="AZ5" s="67"/>
      <c r="BA5" s="77"/>
    </row>
    <row r="6" spans="1:59" ht="14.4" customHeight="1" x14ac:dyDescent="0.3">
      <c r="A6" s="1066" t="s">
        <v>17</v>
      </c>
      <c r="B6" s="1095" t="e">
        <f>MTY!I$3+MTY!I$4+MTY!I$5</f>
        <v>#DIV/0!</v>
      </c>
      <c r="C6" s="1096">
        <f>MTY!I$7</f>
        <v>0</v>
      </c>
      <c r="D6" s="1097">
        <f>MTY!I$6</f>
        <v>0</v>
      </c>
      <c r="E6" s="1096" t="e">
        <f t="shared" si="0"/>
        <v>#DIV/0!</v>
      </c>
      <c r="F6" s="1141">
        <f>MTY!I$46+MTY!I$47</f>
        <v>0</v>
      </c>
      <c r="G6" s="1105" t="e">
        <f>IF(B6=0,0,CONSUMPTION!J34)</f>
        <v>#DIV/0!</v>
      </c>
      <c r="H6" s="1083" t="e">
        <f t="shared" si="1"/>
        <v>#DIV/0!</v>
      </c>
      <c r="I6" s="2819">
        <f>IF(D6=0,0,CONSUMPTION!J49)</f>
        <v>0</v>
      </c>
      <c r="J6" s="1404" t="e">
        <f>IF(B6=0,0,CONSUMPTION!J92)</f>
        <v>#DIV/0!</v>
      </c>
      <c r="K6" s="1108" t="e">
        <f t="shared" ref="K6:K14" si="14">G6+I6+J6</f>
        <v>#DIV/0!</v>
      </c>
      <c r="L6" s="1083">
        <f t="shared" si="2"/>
        <v>0</v>
      </c>
      <c r="M6" s="1770">
        <f>CONSUMPTION!J60</f>
        <v>245972</v>
      </c>
      <c r="N6" s="1698">
        <f>CONSUMPTION!J72</f>
        <v>0</v>
      </c>
      <c r="O6" s="1103" t="e">
        <f t="shared" si="3"/>
        <v>#DIV/0!</v>
      </c>
      <c r="P6" s="1083" t="e">
        <f>IF(B6=0,0,O6/(E6))</f>
        <v>#DIV/0!</v>
      </c>
      <c r="Q6" s="1495">
        <f>'Direct Expns'!U46</f>
        <v>0</v>
      </c>
      <c r="R6" s="1083" t="e">
        <f>IF(B6=0,0,Q6/E6)</f>
        <v>#DIV/0!</v>
      </c>
      <c r="S6" s="1090">
        <f>'Direct Expns'!U47</f>
        <v>0</v>
      </c>
      <c r="T6" s="1083" t="e">
        <f>IF(B6=0,0,S6/(E6))</f>
        <v>#DIV/0!</v>
      </c>
      <c r="U6" s="1499">
        <f>'Direct Expns'!U$48</f>
        <v>0</v>
      </c>
      <c r="V6" s="1405" t="e">
        <f t="shared" si="4"/>
        <v>#DIV/0!</v>
      </c>
      <c r="W6" s="1077" t="e">
        <f>IF(B6=0,0,'Direct Expns'!U51)</f>
        <v>#DIV/0!</v>
      </c>
      <c r="X6" s="593">
        <f>'Direct Expns'!U50</f>
        <v>0</v>
      </c>
      <c r="Y6" s="1083" t="e">
        <f t="shared" si="5"/>
        <v>#DIV/0!</v>
      </c>
      <c r="Z6" s="1078" t="e">
        <f t="shared" si="6"/>
        <v>#DIV/0!</v>
      </c>
      <c r="AA6" s="1081" t="e">
        <f t="shared" si="7"/>
        <v>#DIV/0!</v>
      </c>
      <c r="AB6" s="744"/>
      <c r="AC6" s="744"/>
      <c r="AD6" s="744"/>
      <c r="AE6" s="744"/>
      <c r="AF6" s="744"/>
      <c r="AG6" s="744"/>
      <c r="AH6" s="744"/>
      <c r="AI6" s="744"/>
      <c r="AJ6" s="744"/>
      <c r="AL6" t="str">
        <f t="shared" si="8"/>
        <v>Jun</v>
      </c>
      <c r="AM6" s="822" t="e">
        <f t="shared" si="9"/>
        <v>#DIV/0!</v>
      </c>
      <c r="AN6" s="50">
        <f t="shared" si="10"/>
        <v>0</v>
      </c>
      <c r="AO6">
        <f t="shared" si="12"/>
        <v>0</v>
      </c>
      <c r="AP6" s="50" t="e">
        <f t="shared" si="13"/>
        <v>#DIV/0!</v>
      </c>
      <c r="AQ6" t="e">
        <f t="shared" si="11"/>
        <v>#DIV/0!</v>
      </c>
      <c r="AW6" s="39"/>
      <c r="AX6" s="77"/>
      <c r="AY6" s="67"/>
      <c r="AZ6" s="39"/>
      <c r="BA6" s="77"/>
    </row>
    <row r="7" spans="1:59" ht="14.4" customHeight="1" x14ac:dyDescent="0.3">
      <c r="A7" s="1066" t="s">
        <v>18</v>
      </c>
      <c r="B7" s="1095" t="e">
        <f>MTY!L$3+MTY!L$4+MTY!L$5</f>
        <v>#DIV/0!</v>
      </c>
      <c r="C7" s="1096">
        <f>MTY!L$7</f>
        <v>0</v>
      </c>
      <c r="D7" s="1097">
        <f>MTY!L$6</f>
        <v>0</v>
      </c>
      <c r="E7" s="1096" t="e">
        <f t="shared" si="0"/>
        <v>#DIV/0!</v>
      </c>
      <c r="F7" s="1141">
        <f>MTY!L$46+MTY!L$47</f>
        <v>0</v>
      </c>
      <c r="G7" s="1105" t="e">
        <f>IF(B7=0,0,CONSUMPTION!M34)</f>
        <v>#DIV/0!</v>
      </c>
      <c r="H7" s="1083" t="e">
        <f t="shared" si="1"/>
        <v>#DIV/0!</v>
      </c>
      <c r="I7" s="2819">
        <f>IF(D7=0,0,CONSUMPTION!M49)</f>
        <v>0</v>
      </c>
      <c r="J7" s="1404" t="e">
        <f>IF(B7=0,0,CONSUMPTION!M92)</f>
        <v>#DIV/0!</v>
      </c>
      <c r="K7" s="1108" t="e">
        <f t="shared" si="14"/>
        <v>#DIV/0!</v>
      </c>
      <c r="L7" s="1083">
        <f t="shared" si="2"/>
        <v>0</v>
      </c>
      <c r="M7" s="1770" t="e">
        <f>IF(B7=0,0,CONSUMPTION!M60)</f>
        <v>#DIV/0!</v>
      </c>
      <c r="N7" s="1102">
        <f>CONSUMPTION!M72</f>
        <v>0</v>
      </c>
      <c r="O7" s="1103" t="e">
        <f t="shared" si="3"/>
        <v>#DIV/0!</v>
      </c>
      <c r="P7" s="1083" t="e">
        <f>IF(B7=0,0,O7/(E7))</f>
        <v>#DIV/0!</v>
      </c>
      <c r="Q7" s="1495">
        <f>'Direct Expns'!V46</f>
        <v>0</v>
      </c>
      <c r="R7" s="1083" t="e">
        <f>IF(B7=0,0,Q7/E7)</f>
        <v>#DIV/0!</v>
      </c>
      <c r="S7" s="1090">
        <f>'Direct Expns'!V47</f>
        <v>0</v>
      </c>
      <c r="T7" s="1083" t="e">
        <f>IF(B7=0,0,S7/(E7))</f>
        <v>#DIV/0!</v>
      </c>
      <c r="U7" s="1499">
        <f>'Direct Expns'!V$48</f>
        <v>0</v>
      </c>
      <c r="V7" s="1405" t="e">
        <f t="shared" si="4"/>
        <v>#DIV/0!</v>
      </c>
      <c r="W7" s="1077" t="e">
        <f>IF(B7=0,0,'Direct Expns'!V51)</f>
        <v>#DIV/0!</v>
      </c>
      <c r="X7" s="593">
        <f>'Direct Expns'!V50</f>
        <v>0</v>
      </c>
      <c r="Y7" s="1083" t="e">
        <f t="shared" si="5"/>
        <v>#DIV/0!</v>
      </c>
      <c r="Z7" s="1078" t="e">
        <f t="shared" si="6"/>
        <v>#DIV/0!</v>
      </c>
      <c r="AA7" s="1081" t="e">
        <f t="shared" si="7"/>
        <v>#DIV/0!</v>
      </c>
      <c r="AB7" s="744"/>
      <c r="AC7" s="744"/>
      <c r="AD7" s="744"/>
      <c r="AE7" s="744"/>
      <c r="AF7" s="744"/>
      <c r="AG7" s="744"/>
      <c r="AH7" s="744"/>
      <c r="AI7" s="744"/>
      <c r="AJ7" s="744"/>
      <c r="AL7" t="str">
        <f t="shared" si="8"/>
        <v>Jul</v>
      </c>
      <c r="AM7" s="822" t="e">
        <f t="shared" si="9"/>
        <v>#DIV/0!</v>
      </c>
      <c r="AN7" s="50">
        <f t="shared" si="10"/>
        <v>0</v>
      </c>
      <c r="AO7">
        <f t="shared" si="12"/>
        <v>0</v>
      </c>
      <c r="AP7" s="50" t="e">
        <f t="shared" si="13"/>
        <v>#DIV/0!</v>
      </c>
      <c r="AQ7" t="e">
        <f t="shared" si="11"/>
        <v>#DIV/0!</v>
      </c>
      <c r="AW7" s="39"/>
      <c r="AX7" s="77"/>
      <c r="AY7" s="67"/>
      <c r="AZ7" s="39"/>
      <c r="BA7" s="77"/>
    </row>
    <row r="8" spans="1:59" ht="14.4" customHeight="1" x14ac:dyDescent="0.3">
      <c r="A8" s="1066" t="s">
        <v>19</v>
      </c>
      <c r="B8" s="1095" t="e">
        <f>MTY!O$3+MTY!O$4+MTY!O$5</f>
        <v>#DIV/0!</v>
      </c>
      <c r="C8" s="1096">
        <f>MTY!O$7</f>
        <v>0</v>
      </c>
      <c r="D8" s="1097">
        <f>MTY!O$6</f>
        <v>0</v>
      </c>
      <c r="E8" s="1096" t="e">
        <f t="shared" si="0"/>
        <v>#DIV/0!</v>
      </c>
      <c r="F8" s="1141">
        <f>MTY!O$46+MTY!O$47</f>
        <v>0</v>
      </c>
      <c r="G8" s="1105" t="e">
        <f>IF(B8=0,0,CONSUMPTION!P34)</f>
        <v>#DIV/0!</v>
      </c>
      <c r="H8" s="1083" t="e">
        <f t="shared" si="1"/>
        <v>#DIV/0!</v>
      </c>
      <c r="I8" s="2819">
        <f>IF(D8=0,0,CONSUMPTION!P49)</f>
        <v>0</v>
      </c>
      <c r="J8" s="1404" t="e">
        <f>IF(B8=0,0,CONSUMPTION!P92)</f>
        <v>#DIV/0!</v>
      </c>
      <c r="K8" s="1108" t="e">
        <f t="shared" si="14"/>
        <v>#DIV/0!</v>
      </c>
      <c r="L8" s="1083">
        <f t="shared" si="2"/>
        <v>0</v>
      </c>
      <c r="M8" s="1101" t="e">
        <f>IF(B8=0,0,CONSUMPTION!P60)</f>
        <v>#DIV/0!</v>
      </c>
      <c r="N8" s="1102">
        <f>CONSUMPTION!P72</f>
        <v>0</v>
      </c>
      <c r="O8" s="1103" t="e">
        <f t="shared" si="3"/>
        <v>#DIV/0!</v>
      </c>
      <c r="P8" s="1083" t="e">
        <f>IF(B8=0,0,O8/(E8))</f>
        <v>#DIV/0!</v>
      </c>
      <c r="Q8" s="1495">
        <f>'Direct Expns'!W46</f>
        <v>0</v>
      </c>
      <c r="R8" s="1083" t="e">
        <f>IF(B8=0,0,Q8/E8)</f>
        <v>#DIV/0!</v>
      </c>
      <c r="S8" s="1090">
        <f>'Direct Expns'!W47</f>
        <v>0</v>
      </c>
      <c r="T8" s="1083" t="e">
        <f>IF(B8=0,0,S8/(E8))</f>
        <v>#DIV/0!</v>
      </c>
      <c r="U8" s="1499">
        <f>'Direct Expns'!W$48</f>
        <v>0</v>
      </c>
      <c r="V8" s="1405" t="e">
        <f t="shared" si="4"/>
        <v>#DIV/0!</v>
      </c>
      <c r="W8" s="1077" t="e">
        <f>IF(B8=0,0,'PAL II'!Y$35)</f>
        <v>#DIV/0!</v>
      </c>
      <c r="X8" s="593">
        <f>'Direct Expns'!W50</f>
        <v>0</v>
      </c>
      <c r="Y8" s="1083" t="e">
        <f t="shared" si="5"/>
        <v>#DIV/0!</v>
      </c>
      <c r="Z8" s="1078" t="e">
        <f t="shared" si="6"/>
        <v>#DIV/0!</v>
      </c>
      <c r="AA8" s="1081" t="e">
        <f t="shared" si="7"/>
        <v>#DIV/0!</v>
      </c>
      <c r="AB8" s="744"/>
      <c r="AC8" s="744"/>
      <c r="AD8" s="744"/>
      <c r="AE8" s="744"/>
      <c r="AF8" s="744"/>
      <c r="AG8" s="744"/>
      <c r="AH8" s="744"/>
      <c r="AI8" s="744"/>
      <c r="AJ8" s="744"/>
      <c r="AL8" t="str">
        <f t="shared" si="8"/>
        <v>Aug</v>
      </c>
      <c r="AM8" s="822" t="e">
        <f t="shared" si="9"/>
        <v>#DIV/0!</v>
      </c>
      <c r="AN8" s="50">
        <f t="shared" si="10"/>
        <v>0</v>
      </c>
      <c r="AO8">
        <f t="shared" si="12"/>
        <v>0</v>
      </c>
      <c r="AP8" s="50" t="e">
        <f t="shared" si="13"/>
        <v>#DIV/0!</v>
      </c>
      <c r="AQ8" t="e">
        <f t="shared" si="11"/>
        <v>#DIV/0!</v>
      </c>
      <c r="AW8" s="39"/>
      <c r="AX8" s="39"/>
      <c r="AY8" s="67"/>
      <c r="AZ8" s="39"/>
      <c r="BA8" s="39"/>
    </row>
    <row r="9" spans="1:59" ht="14.4" customHeight="1" x14ac:dyDescent="0.3">
      <c r="A9" s="1066" t="s">
        <v>20</v>
      </c>
      <c r="B9" s="1095">
        <f>MTY!R$3+MTY!R$4+MTY!R$5</f>
        <v>0</v>
      </c>
      <c r="C9" s="1096">
        <f>MTY!R$7</f>
        <v>0</v>
      </c>
      <c r="D9" s="1097">
        <f>MTY!R$6</f>
        <v>0</v>
      </c>
      <c r="E9" s="1096">
        <f t="shared" si="0"/>
        <v>0</v>
      </c>
      <c r="F9" s="1141">
        <f>MTY!R$46+MTY!R$47</f>
        <v>0</v>
      </c>
      <c r="G9" s="1105">
        <f>IF(B9=0,0,CONSUMPTION!S34)</f>
        <v>0</v>
      </c>
      <c r="H9" s="1083">
        <f t="shared" si="1"/>
        <v>0</v>
      </c>
      <c r="I9" s="2819">
        <f>IF(D9=0,0,CONSUMPTION!S49)</f>
        <v>0</v>
      </c>
      <c r="J9" s="1404">
        <f>IF(B9=0,0,CONSUMPTION!S92)</f>
        <v>0</v>
      </c>
      <c r="K9" s="1108">
        <f t="shared" si="14"/>
        <v>0</v>
      </c>
      <c r="L9" s="1083">
        <f t="shared" si="2"/>
        <v>0</v>
      </c>
      <c r="M9" s="1101">
        <f>IF(B9=0,0,CONSUMPTION!S60)</f>
        <v>0</v>
      </c>
      <c r="N9" s="1102">
        <f>CONSUMPTION!S72</f>
        <v>0</v>
      </c>
      <c r="O9" s="1103">
        <f t="shared" si="3"/>
        <v>0</v>
      </c>
      <c r="P9" s="1083">
        <f t="shared" ref="P9:P15" si="15">IF(B9=0,0,O9/(B9+C9+D9))</f>
        <v>0</v>
      </c>
      <c r="Q9" s="1495">
        <f>'Direct Expns'!X46</f>
        <v>0</v>
      </c>
      <c r="R9" s="1083">
        <f t="shared" ref="R9:R15" si="16">IF(B9=0,0,Q9/B9)</f>
        <v>0</v>
      </c>
      <c r="S9" s="1090">
        <f>'Direct Expns'!X47</f>
        <v>0</v>
      </c>
      <c r="T9" s="1083">
        <f t="shared" ref="T9:T15" si="17">IF(B9=0,0,S9/(B9+C9+D9))</f>
        <v>0</v>
      </c>
      <c r="U9" s="1499">
        <f>'Direct Expns'!X$48</f>
        <v>0</v>
      </c>
      <c r="V9" s="1405">
        <f t="shared" si="4"/>
        <v>0</v>
      </c>
      <c r="W9" s="1077">
        <f>IF(B9=0,0,'PAL II'!Y$35)</f>
        <v>0</v>
      </c>
      <c r="X9" s="593">
        <f>'Direct Expns'!X50</f>
        <v>0</v>
      </c>
      <c r="Y9" s="1083">
        <f t="shared" si="5"/>
        <v>0</v>
      </c>
      <c r="Z9" s="1078">
        <f t="shared" si="6"/>
        <v>0</v>
      </c>
      <c r="AA9" s="1081">
        <f t="shared" si="7"/>
        <v>0</v>
      </c>
      <c r="AB9" s="744"/>
      <c r="AC9" s="744"/>
      <c r="AD9" s="744"/>
      <c r="AE9" s="744"/>
      <c r="AF9" s="744"/>
      <c r="AG9" s="744"/>
      <c r="AH9" s="744"/>
      <c r="AI9" s="744"/>
      <c r="AJ9" s="744"/>
      <c r="AL9" t="str">
        <f t="shared" si="8"/>
        <v>Sep</v>
      </c>
      <c r="AM9" s="822">
        <f t="shared" si="9"/>
        <v>0</v>
      </c>
      <c r="AN9" s="50">
        <f t="shared" si="10"/>
        <v>0</v>
      </c>
      <c r="AO9">
        <f t="shared" si="12"/>
        <v>0</v>
      </c>
      <c r="AP9" s="50">
        <f t="shared" si="13"/>
        <v>0</v>
      </c>
      <c r="AQ9">
        <f t="shared" si="11"/>
        <v>0</v>
      </c>
      <c r="AW9" s="39"/>
      <c r="AX9" s="77"/>
      <c r="AY9" s="67"/>
      <c r="AZ9" s="39"/>
      <c r="BA9" s="77"/>
    </row>
    <row r="10" spans="1:59" ht="14.4" customHeight="1" x14ac:dyDescent="0.3">
      <c r="A10" s="1066" t="s">
        <v>13</v>
      </c>
      <c r="B10" s="1095">
        <f>MTY!U$3+MTY!U$4+MTY!U$5</f>
        <v>0</v>
      </c>
      <c r="C10" s="1096">
        <f>MTY!U$7</f>
        <v>0</v>
      </c>
      <c r="D10" s="1097">
        <f>MTY!U$6</f>
        <v>0</v>
      </c>
      <c r="E10" s="1096">
        <f t="shared" si="0"/>
        <v>0</v>
      </c>
      <c r="F10" s="1141">
        <f>MTY!U$46+MTY!U$47</f>
        <v>0</v>
      </c>
      <c r="G10" s="1105">
        <f>IF(B10=0,0,CONSUMPTION!V34)</f>
        <v>0</v>
      </c>
      <c r="H10" s="1083">
        <f t="shared" si="1"/>
        <v>0</v>
      </c>
      <c r="I10" s="2819">
        <f>IF(D10=0,0,CONSUMPTION!V49)</f>
        <v>0</v>
      </c>
      <c r="J10" s="1404">
        <f>IF(B10=0,0,CONSUMPTION!V92)</f>
        <v>0</v>
      </c>
      <c r="K10" s="1108">
        <f t="shared" si="14"/>
        <v>0</v>
      </c>
      <c r="L10" s="1083">
        <f t="shared" si="2"/>
        <v>0</v>
      </c>
      <c r="M10" s="1101">
        <f>IF(B10=0,0,CONSUMPTION!V60)</f>
        <v>0</v>
      </c>
      <c r="N10" s="1102">
        <f>IF(B10=0,0,CONSUMPTION!V72)</f>
        <v>0</v>
      </c>
      <c r="O10" s="1103">
        <f t="shared" si="3"/>
        <v>0</v>
      </c>
      <c r="P10" s="1083">
        <f t="shared" si="15"/>
        <v>0</v>
      </c>
      <c r="Q10" s="1495">
        <f>'Direct Expns'!Y46</f>
        <v>0</v>
      </c>
      <c r="R10" s="1083">
        <f t="shared" si="16"/>
        <v>0</v>
      </c>
      <c r="S10" s="1090">
        <f>'Direct Expns'!Y47</f>
        <v>0</v>
      </c>
      <c r="T10" s="1083">
        <f t="shared" si="17"/>
        <v>0</v>
      </c>
      <c r="U10" s="1499">
        <f>'Direct Expns'!Y$48</f>
        <v>0</v>
      </c>
      <c r="V10" s="1405">
        <f t="shared" si="4"/>
        <v>0</v>
      </c>
      <c r="W10" s="1077">
        <f>IF(B10=0,0,'PAL II'!AC$35)</f>
        <v>0</v>
      </c>
      <c r="X10" s="593">
        <f>'Direct Expns'!Y50</f>
        <v>0</v>
      </c>
      <c r="Y10" s="1083">
        <f t="shared" si="5"/>
        <v>0</v>
      </c>
      <c r="Z10" s="1078">
        <f t="shared" si="6"/>
        <v>0</v>
      </c>
      <c r="AA10" s="1081">
        <f t="shared" si="7"/>
        <v>0</v>
      </c>
      <c r="AB10" s="744"/>
      <c r="AC10" s="744"/>
      <c r="AD10" s="744"/>
      <c r="AE10" s="744"/>
      <c r="AF10" s="744"/>
      <c r="AG10" s="744"/>
      <c r="AH10" s="744"/>
      <c r="AI10" s="744"/>
      <c r="AJ10" s="744"/>
      <c r="AL10" t="str">
        <f t="shared" si="8"/>
        <v>Oct</v>
      </c>
      <c r="AM10" s="822">
        <f t="shared" si="9"/>
        <v>0</v>
      </c>
      <c r="AN10" s="50">
        <f t="shared" si="10"/>
        <v>0</v>
      </c>
      <c r="AO10">
        <f t="shared" si="12"/>
        <v>0</v>
      </c>
      <c r="AP10" s="50">
        <f t="shared" si="13"/>
        <v>0</v>
      </c>
      <c r="AQ10">
        <f t="shared" si="11"/>
        <v>0</v>
      </c>
      <c r="AW10" s="908"/>
      <c r="AX10" s="77"/>
      <c r="AY10" s="67"/>
      <c r="AZ10" s="39"/>
      <c r="BA10" s="77"/>
    </row>
    <row r="11" spans="1:59" ht="14.4" customHeight="1" x14ac:dyDescent="0.3">
      <c r="A11" s="1066" t="s">
        <v>5</v>
      </c>
      <c r="B11" s="1095">
        <f>MTY!X$3+MTY!X$4+MTY!X$5</f>
        <v>0</v>
      </c>
      <c r="C11" s="1096">
        <f>MTY!X$7</f>
        <v>0</v>
      </c>
      <c r="D11" s="1097">
        <f>MTY!X$6</f>
        <v>0</v>
      </c>
      <c r="E11" s="1096">
        <f t="shared" si="0"/>
        <v>0</v>
      </c>
      <c r="F11" s="1141">
        <f>MTY!X$46+MTY!X$47</f>
        <v>0</v>
      </c>
      <c r="G11" s="1105">
        <f>IF(B11=0,0,CONSUMPTION!Y34)</f>
        <v>0</v>
      </c>
      <c r="H11" s="1083">
        <f t="shared" si="1"/>
        <v>0</v>
      </c>
      <c r="I11" s="2819">
        <f>IF(D11=0,0,CONSUMPTION!Y49)</f>
        <v>0</v>
      </c>
      <c r="J11" s="1404">
        <f>IF(B11=0,0,CONSUMPTION!Y92)</f>
        <v>0</v>
      </c>
      <c r="K11" s="1108">
        <f t="shared" si="14"/>
        <v>0</v>
      </c>
      <c r="L11" s="1083">
        <f t="shared" si="2"/>
        <v>0</v>
      </c>
      <c r="M11" s="1101">
        <f>IF(B11=0,0,CONSUMPTION!Y60)</f>
        <v>0</v>
      </c>
      <c r="N11" s="1102">
        <f>IF(B11=0,0,CONSUMPTION!Y72)</f>
        <v>0</v>
      </c>
      <c r="O11" s="1103">
        <f t="shared" si="3"/>
        <v>0</v>
      </c>
      <c r="P11" s="1083">
        <f t="shared" si="15"/>
        <v>0</v>
      </c>
      <c r="Q11" s="1495">
        <f>'Direct Expns'!Z46</f>
        <v>0</v>
      </c>
      <c r="R11" s="1083">
        <f t="shared" si="16"/>
        <v>0</v>
      </c>
      <c r="S11" s="1090">
        <f>'Direct Expns'!Z47</f>
        <v>0</v>
      </c>
      <c r="T11" s="1083">
        <f t="shared" si="17"/>
        <v>0</v>
      </c>
      <c r="U11" s="1499">
        <f>'Direct Expns'!Z$48</f>
        <v>0</v>
      </c>
      <c r="V11" s="1405">
        <f t="shared" si="4"/>
        <v>0</v>
      </c>
      <c r="W11" s="1077">
        <f>IF(B11=0,0,'PAL II'!AG$35)</f>
        <v>0</v>
      </c>
      <c r="X11" s="593">
        <f>'Direct Expns'!Z50</f>
        <v>0</v>
      </c>
      <c r="Y11" s="1083">
        <f t="shared" si="5"/>
        <v>0</v>
      </c>
      <c r="Z11" s="1078">
        <f t="shared" si="6"/>
        <v>0</v>
      </c>
      <c r="AA11" s="1081">
        <f t="shared" si="7"/>
        <v>0</v>
      </c>
      <c r="AB11" s="744"/>
      <c r="AC11" s="744"/>
      <c r="AD11" s="744"/>
      <c r="AE11" s="744"/>
      <c r="AF11" s="744"/>
      <c r="AG11" s="744"/>
      <c r="AH11" s="744"/>
      <c r="AI11" s="744"/>
      <c r="AJ11" s="744"/>
      <c r="AL11" t="str">
        <f t="shared" si="8"/>
        <v>Nov</v>
      </c>
      <c r="AM11" s="822">
        <f t="shared" si="9"/>
        <v>0</v>
      </c>
      <c r="AN11" s="50">
        <f t="shared" si="10"/>
        <v>0</v>
      </c>
      <c r="AO11">
        <f t="shared" si="12"/>
        <v>0</v>
      </c>
      <c r="AP11" s="50">
        <f t="shared" si="13"/>
        <v>0</v>
      </c>
      <c r="AQ11">
        <f t="shared" si="11"/>
        <v>0</v>
      </c>
      <c r="AW11" s="39"/>
      <c r="AX11" s="77"/>
      <c r="AY11" s="67"/>
      <c r="AZ11" s="39"/>
      <c r="BA11" s="77"/>
    </row>
    <row r="12" spans="1:59" ht="14.4" customHeight="1" x14ac:dyDescent="0.3">
      <c r="A12" s="1066" t="s">
        <v>6</v>
      </c>
      <c r="B12" s="1095">
        <f>MTY!AA$3+MTY!AA$4+MTY!AA$5</f>
        <v>0</v>
      </c>
      <c r="C12" s="1096">
        <f>MTY!AA$7</f>
        <v>0</v>
      </c>
      <c r="D12" s="1097">
        <f>MTY!AA$6</f>
        <v>0</v>
      </c>
      <c r="E12" s="1096">
        <f t="shared" si="0"/>
        <v>0</v>
      </c>
      <c r="F12" s="1141">
        <f>MTY!AA$46+MTY!AA$47</f>
        <v>0</v>
      </c>
      <c r="G12" s="1105">
        <f>IF(B12=0,0,CONSUMPTION!AB34)</f>
        <v>0</v>
      </c>
      <c r="H12" s="1083">
        <f t="shared" si="1"/>
        <v>0</v>
      </c>
      <c r="I12" s="2819">
        <f>CONSUMPTION!AB49</f>
        <v>0</v>
      </c>
      <c r="J12" s="1404">
        <f>CONSUMPTION!AB92</f>
        <v>0</v>
      </c>
      <c r="K12" s="1108">
        <f t="shared" si="14"/>
        <v>0</v>
      </c>
      <c r="L12" s="1083">
        <f t="shared" si="2"/>
        <v>0</v>
      </c>
      <c r="M12" s="1101">
        <f>IF(B12=0,0,CONSUMPTION!AB60)</f>
        <v>0</v>
      </c>
      <c r="N12" s="1698">
        <f>CONSUMPTION!AB72</f>
        <v>0</v>
      </c>
      <c r="O12" s="1103">
        <f t="shared" si="3"/>
        <v>0</v>
      </c>
      <c r="P12" s="1083">
        <f t="shared" si="15"/>
        <v>0</v>
      </c>
      <c r="Q12" s="1495">
        <f>'Direct Expns'!AA46</f>
        <v>0</v>
      </c>
      <c r="R12" s="1083">
        <f t="shared" si="16"/>
        <v>0</v>
      </c>
      <c r="S12" s="1090">
        <f>'Direct Expns'!AA47</f>
        <v>0</v>
      </c>
      <c r="T12" s="1083">
        <f t="shared" si="17"/>
        <v>0</v>
      </c>
      <c r="U12" s="1499">
        <f>'Direct Expns'!AA$48</f>
        <v>0</v>
      </c>
      <c r="V12" s="1405">
        <f t="shared" si="4"/>
        <v>0</v>
      </c>
      <c r="W12" s="1077">
        <f>IF(B12=0,0,'PAL II'!AK$35)</f>
        <v>0</v>
      </c>
      <c r="X12" s="593">
        <f>'Direct Expns'!AA50</f>
        <v>0</v>
      </c>
      <c r="Y12" s="1083">
        <f t="shared" si="5"/>
        <v>0</v>
      </c>
      <c r="Z12" s="1078">
        <f t="shared" si="6"/>
        <v>0</v>
      </c>
      <c r="AA12" s="1081">
        <f t="shared" si="7"/>
        <v>0</v>
      </c>
      <c r="AB12" s="744"/>
      <c r="AC12" s="744"/>
      <c r="AD12" s="744"/>
      <c r="AE12" s="744"/>
      <c r="AF12" s="744"/>
      <c r="AG12" s="744"/>
      <c r="AH12" s="744"/>
      <c r="AI12" s="744"/>
      <c r="AJ12" s="744"/>
      <c r="AL12" t="str">
        <f t="shared" si="8"/>
        <v>Dec</v>
      </c>
      <c r="AM12" s="822">
        <f t="shared" si="9"/>
        <v>0</v>
      </c>
      <c r="AN12" s="50">
        <f t="shared" si="10"/>
        <v>0</v>
      </c>
      <c r="AO12">
        <f t="shared" si="12"/>
        <v>0</v>
      </c>
      <c r="AP12" s="50">
        <f t="shared" si="13"/>
        <v>0</v>
      </c>
      <c r="AQ12">
        <f t="shared" si="11"/>
        <v>0</v>
      </c>
      <c r="AW12" s="39"/>
      <c r="AX12" s="77"/>
      <c r="AY12" s="67"/>
      <c r="AZ12" s="39"/>
      <c r="BA12" s="77"/>
    </row>
    <row r="13" spans="1:59" ht="14.4" customHeight="1" x14ac:dyDescent="0.3">
      <c r="A13" s="1066" t="s">
        <v>7</v>
      </c>
      <c r="B13" s="1095">
        <f>MTY!AD$3+MTY!AD$4+MTY!AD$5</f>
        <v>0</v>
      </c>
      <c r="C13" s="1096">
        <f>MTY!AD$7</f>
        <v>0</v>
      </c>
      <c r="D13" s="1097">
        <f>MTY!AD$6</f>
        <v>0</v>
      </c>
      <c r="E13" s="1096">
        <f t="shared" si="0"/>
        <v>0</v>
      </c>
      <c r="F13" s="1141">
        <f>MTY!AD$46+MTY!AD$47</f>
        <v>0</v>
      </c>
      <c r="G13" s="1771">
        <f>IF(B13=0,0,CONSUMPTION!AE34)</f>
        <v>0</v>
      </c>
      <c r="H13" s="1083">
        <f t="shared" si="1"/>
        <v>0</v>
      </c>
      <c r="I13" s="2819">
        <f>IF(D13=0,0,CONSUMPTION!AE49)</f>
        <v>0</v>
      </c>
      <c r="J13" s="1404">
        <f>IF(B13=0,0,CONSUMPTION!AE92)</f>
        <v>0</v>
      </c>
      <c r="K13" s="1108">
        <f t="shared" si="14"/>
        <v>0</v>
      </c>
      <c r="L13" s="1083">
        <f t="shared" si="2"/>
        <v>0</v>
      </c>
      <c r="M13" s="1101">
        <f>IF(B13=0,0,CONSUMPTION!AE60)</f>
        <v>0</v>
      </c>
      <c r="N13" s="1102">
        <f>IF(B13=0,0,CONSUMPTION!AE72)</f>
        <v>0</v>
      </c>
      <c r="O13" s="1103">
        <f t="shared" si="3"/>
        <v>0</v>
      </c>
      <c r="P13" s="1083">
        <f t="shared" si="15"/>
        <v>0</v>
      </c>
      <c r="Q13" s="1495">
        <f>'Direct Expns'!AB46</f>
        <v>0</v>
      </c>
      <c r="R13" s="1083">
        <f t="shared" si="16"/>
        <v>0</v>
      </c>
      <c r="S13" s="1090">
        <f>'Direct Expns'!AB47</f>
        <v>0</v>
      </c>
      <c r="T13" s="1083">
        <f t="shared" si="17"/>
        <v>0</v>
      </c>
      <c r="U13" s="1499">
        <f>'Direct Expns'!AB$48</f>
        <v>0</v>
      </c>
      <c r="V13" s="1405">
        <f t="shared" si="4"/>
        <v>0</v>
      </c>
      <c r="W13" s="1077">
        <f>IF(B13=0,0,'PAL II'!AO$35)</f>
        <v>0</v>
      </c>
      <c r="X13" s="593">
        <f>'Direct Expns'!AB50</f>
        <v>0</v>
      </c>
      <c r="Y13" s="1083">
        <f t="shared" si="5"/>
        <v>0</v>
      </c>
      <c r="Z13" s="1078">
        <f t="shared" si="6"/>
        <v>0</v>
      </c>
      <c r="AA13" s="1081">
        <f t="shared" si="7"/>
        <v>0</v>
      </c>
      <c r="AB13" s="744"/>
      <c r="AC13" s="744"/>
      <c r="AD13" s="744"/>
      <c r="AE13" s="744"/>
      <c r="AF13" s="744"/>
      <c r="AG13" s="744"/>
      <c r="AH13" s="744"/>
      <c r="AI13" s="744"/>
      <c r="AJ13" s="744"/>
      <c r="AL13" t="str">
        <f t="shared" si="8"/>
        <v>Jan</v>
      </c>
      <c r="AM13" s="822">
        <f t="shared" si="9"/>
        <v>0</v>
      </c>
      <c r="AN13" s="50">
        <f t="shared" si="10"/>
        <v>0</v>
      </c>
      <c r="AO13">
        <f t="shared" si="12"/>
        <v>0</v>
      </c>
      <c r="AP13" s="50">
        <f t="shared" si="13"/>
        <v>0</v>
      </c>
      <c r="AQ13">
        <f t="shared" si="11"/>
        <v>0</v>
      </c>
      <c r="AW13" s="39"/>
      <c r="AX13" s="77"/>
      <c r="AY13" s="129"/>
      <c r="AZ13" s="77"/>
      <c r="BA13" s="77"/>
    </row>
    <row r="14" spans="1:59" ht="14.4" customHeight="1" x14ac:dyDescent="0.3">
      <c r="A14" s="1066" t="s">
        <v>8</v>
      </c>
      <c r="B14" s="1095">
        <f>MTY!AG$3+MTY!AG$4+MTY!AG$5</f>
        <v>0</v>
      </c>
      <c r="C14" s="1096">
        <f>MTY!AG$7</f>
        <v>0</v>
      </c>
      <c r="D14" s="1097">
        <f>MTY!AG$6</f>
        <v>0</v>
      </c>
      <c r="E14" s="1096">
        <f t="shared" si="0"/>
        <v>0</v>
      </c>
      <c r="F14" s="1141">
        <f>MTY!AG$46+MTY!AG$47</f>
        <v>0</v>
      </c>
      <c r="G14" s="1105">
        <f>IF(B14=0,0,CONSUMPTION!AH34)</f>
        <v>0</v>
      </c>
      <c r="H14" s="1083">
        <f t="shared" si="1"/>
        <v>0</v>
      </c>
      <c r="I14" s="2819">
        <f>IF(D14=0,0,CONSUMPTION!AH49)</f>
        <v>0</v>
      </c>
      <c r="J14" s="1404">
        <f>IF(B14=0,0,CONSUMPTION!AH92)</f>
        <v>0</v>
      </c>
      <c r="K14" s="1108">
        <f t="shared" si="14"/>
        <v>0</v>
      </c>
      <c r="L14" s="1083">
        <f t="shared" si="2"/>
        <v>0</v>
      </c>
      <c r="M14" s="1101">
        <f>IF(B14=0,0,CONSUMPTION!AH60)</f>
        <v>0</v>
      </c>
      <c r="N14" s="1698">
        <f>IF(B14=0,0,CONSUMPTION!AH72)</f>
        <v>0</v>
      </c>
      <c r="O14" s="1103">
        <f t="shared" si="3"/>
        <v>0</v>
      </c>
      <c r="P14" s="1083">
        <f t="shared" si="15"/>
        <v>0</v>
      </c>
      <c r="Q14" s="1495">
        <f>'Direct Expns'!AC46</f>
        <v>0</v>
      </c>
      <c r="R14" s="1083">
        <f t="shared" si="16"/>
        <v>0</v>
      </c>
      <c r="S14" s="1090">
        <f>'Direct Expns'!AC47</f>
        <v>0</v>
      </c>
      <c r="T14" s="1083">
        <f t="shared" si="17"/>
        <v>0</v>
      </c>
      <c r="U14" s="1499">
        <f>'Direct Expns'!AC$48</f>
        <v>0</v>
      </c>
      <c r="V14" s="1405">
        <f t="shared" si="4"/>
        <v>0</v>
      </c>
      <c r="W14" s="1077">
        <f>IF(B14=0,0,'PAL II'!AS$35)</f>
        <v>0</v>
      </c>
      <c r="X14" s="593">
        <f>'Direct Expns'!AC50</f>
        <v>0</v>
      </c>
      <c r="Y14" s="1083">
        <f t="shared" si="5"/>
        <v>0</v>
      </c>
      <c r="Z14" s="1078">
        <f t="shared" si="6"/>
        <v>0</v>
      </c>
      <c r="AA14" s="1081">
        <f t="shared" si="7"/>
        <v>0</v>
      </c>
      <c r="AB14" s="744"/>
      <c r="AC14" s="744"/>
      <c r="AD14" s="744"/>
      <c r="AE14" s="744"/>
      <c r="AF14" s="744"/>
      <c r="AG14" s="744"/>
      <c r="AH14" s="744"/>
      <c r="AI14" s="744"/>
      <c r="AJ14" s="744"/>
      <c r="AL14" t="str">
        <f t="shared" si="8"/>
        <v>Feb</v>
      </c>
      <c r="AM14" s="822">
        <f t="shared" si="9"/>
        <v>0</v>
      </c>
      <c r="AN14" s="50">
        <f t="shared" si="10"/>
        <v>0</v>
      </c>
      <c r="AO14">
        <f>ROUND((X14/100000),0)</f>
        <v>0</v>
      </c>
      <c r="AP14" s="50">
        <f>Z14/100000</f>
        <v>0</v>
      </c>
      <c r="AQ14">
        <f t="shared" si="11"/>
        <v>0</v>
      </c>
      <c r="AW14" s="39"/>
      <c r="AX14" s="39"/>
      <c r="AY14" s="817"/>
      <c r="AZ14" s="39"/>
      <c r="BA14" s="39"/>
    </row>
    <row r="15" spans="1:59" ht="15" customHeight="1" thickBot="1" x14ac:dyDescent="0.35">
      <c r="A15" s="1072" t="s">
        <v>9</v>
      </c>
      <c r="B15" s="1095">
        <f>MTY!AJ$3+MTY!AJ$4+MTY!AJ$5</f>
        <v>0</v>
      </c>
      <c r="C15" s="1096">
        <f>MTY!AJ$7</f>
        <v>0</v>
      </c>
      <c r="D15" s="1097">
        <f>MTY!AJ$6</f>
        <v>0</v>
      </c>
      <c r="E15" s="1096">
        <f t="shared" si="0"/>
        <v>0</v>
      </c>
      <c r="F15" s="1141">
        <f>MTY!AJ$46+MTY!AJ$47</f>
        <v>0</v>
      </c>
      <c r="G15" s="1771">
        <f>IF(B15=0,0,CONSUMPTION!AK34)</f>
        <v>0</v>
      </c>
      <c r="H15" s="1083">
        <f t="shared" si="1"/>
        <v>0</v>
      </c>
      <c r="I15" s="2819">
        <f>IF(D15=0,0,CONSUMPTION!AK49)</f>
        <v>0</v>
      </c>
      <c r="J15" s="1404">
        <f>IF(B15=0,0,CONSUMPTION!AK92)</f>
        <v>0</v>
      </c>
      <c r="K15" s="1108">
        <f>G15+I15+J15</f>
        <v>0</v>
      </c>
      <c r="L15" s="1083">
        <f t="shared" si="2"/>
        <v>0</v>
      </c>
      <c r="M15" s="1770">
        <f>IF(B15=0,0,CONSUMPTION!AK60)</f>
        <v>0</v>
      </c>
      <c r="N15" s="1698">
        <f>IF(B15=0,0,CONSUMPTION!AK72)</f>
        <v>0</v>
      </c>
      <c r="O15" s="1103">
        <f t="shared" si="3"/>
        <v>0</v>
      </c>
      <c r="P15" s="1083">
        <f t="shared" si="15"/>
        <v>0</v>
      </c>
      <c r="Q15" s="1496">
        <f>'Direct Expns'!AD46</f>
        <v>0</v>
      </c>
      <c r="R15" s="1089">
        <f t="shared" si="16"/>
        <v>0</v>
      </c>
      <c r="S15" s="1091">
        <f>'Direct Expns'!AD47</f>
        <v>0</v>
      </c>
      <c r="T15" s="1089">
        <f t="shared" si="17"/>
        <v>0</v>
      </c>
      <c r="U15" s="1499">
        <f>'Direct Expns'!AD$48</f>
        <v>0</v>
      </c>
      <c r="V15" s="1405">
        <f t="shared" si="4"/>
        <v>0</v>
      </c>
      <c r="W15" s="1087">
        <f>IF(B15=0,0,'PAL II'!AW$35)</f>
        <v>0</v>
      </c>
      <c r="X15" s="1088">
        <f>'Direct Expns'!AD50</f>
        <v>0</v>
      </c>
      <c r="Y15" s="1083">
        <f t="shared" si="5"/>
        <v>0</v>
      </c>
      <c r="Z15" s="1079">
        <f t="shared" si="6"/>
        <v>0</v>
      </c>
      <c r="AA15" s="1081">
        <f t="shared" si="7"/>
        <v>0</v>
      </c>
      <c r="AB15" s="744"/>
      <c r="AC15" s="744"/>
      <c r="AD15" s="744"/>
      <c r="AE15" s="744"/>
      <c r="AF15" s="744"/>
      <c r="AG15" s="744"/>
      <c r="AH15" s="744"/>
      <c r="AI15" s="744"/>
      <c r="AJ15" s="744"/>
      <c r="AL15" t="str">
        <f t="shared" si="8"/>
        <v>Mar</v>
      </c>
      <c r="AM15" s="822">
        <f t="shared" si="9"/>
        <v>0</v>
      </c>
      <c r="AN15" s="50">
        <f t="shared" si="10"/>
        <v>0</v>
      </c>
      <c r="AO15">
        <f>ROUND((X15/100000),0)</f>
        <v>0</v>
      </c>
      <c r="AP15" s="50">
        <f>Z15/100000</f>
        <v>0</v>
      </c>
      <c r="AQ15">
        <f t="shared" si="11"/>
        <v>0</v>
      </c>
      <c r="AW15" s="39"/>
      <c r="AX15" s="39"/>
      <c r="AY15" s="909"/>
      <c r="AZ15" s="39"/>
      <c r="BA15" s="39"/>
    </row>
    <row r="16" spans="1:59" ht="15" customHeight="1" thickBot="1" x14ac:dyDescent="0.35">
      <c r="A16" s="746"/>
      <c r="B16" s="1073" t="e">
        <f>SUM(B4:B15)</f>
        <v>#DIV/0!</v>
      </c>
      <c r="C16" s="1073">
        <f t="shared" ref="C16:D16" si="18">SUM(C4:C15)</f>
        <v>4152981</v>
      </c>
      <c r="D16" s="1073">
        <f t="shared" si="18"/>
        <v>9500</v>
      </c>
      <c r="E16" s="1085" t="e">
        <f>SUM(E4:E15)</f>
        <v>#DIV/0!</v>
      </c>
      <c r="F16" s="1074">
        <f>SUM(F4:F15)</f>
        <v>96405</v>
      </c>
      <c r="G16" s="1085" t="e">
        <f t="shared" ref="G16:X16" si="19">SUM(G4:G15)</f>
        <v>#DIV/0!</v>
      </c>
      <c r="H16" s="1084" t="e">
        <f>G16/B16</f>
        <v>#DIV/0!</v>
      </c>
      <c r="I16" s="1086">
        <f t="shared" si="19"/>
        <v>10185623</v>
      </c>
      <c r="J16" s="1692" t="e">
        <f>SUM(J4:J15)</f>
        <v>#DIV/0!</v>
      </c>
      <c r="K16" s="1073" t="e">
        <f t="shared" ref="K16" si="20">SUM(K4:K15)</f>
        <v>#DIV/0!</v>
      </c>
      <c r="L16" s="1084" t="e">
        <f>K16/B16</f>
        <v>#DIV/0!</v>
      </c>
      <c r="M16" s="1086">
        <f>CONSUMPTION!AN60</f>
        <v>3925903</v>
      </c>
      <c r="N16" s="1086">
        <f t="shared" si="19"/>
        <v>9500</v>
      </c>
      <c r="O16" s="1080" t="e">
        <f t="shared" si="3"/>
        <v>#DIV/0!</v>
      </c>
      <c r="P16" s="1084" t="e">
        <f>O16/B16</f>
        <v>#DIV/0!</v>
      </c>
      <c r="Q16" s="1085">
        <f>SUM(Q4:Q15)</f>
        <v>250000</v>
      </c>
      <c r="R16" s="1084" t="e">
        <f>Q16/E16</f>
        <v>#DIV/0!</v>
      </c>
      <c r="S16" s="1085">
        <f>SUM(S4:S15)</f>
        <v>806285.82000000007</v>
      </c>
      <c r="T16" s="1084" t="e">
        <f>IF(B16=0,0,S16/(E16))</f>
        <v>#DIV/0!</v>
      </c>
      <c r="U16" s="1080">
        <f>SUM(U4:U15)</f>
        <v>5090167.2300000004</v>
      </c>
      <c r="V16" s="1075" t="e">
        <f>(E16+F16)-(SUM(O16,Q16,S16))</f>
        <v>#DIV/0!</v>
      </c>
      <c r="W16" s="1073" t="e">
        <f>SUM(W4:W15)</f>
        <v>#DIV/0!</v>
      </c>
      <c r="X16" s="1074">
        <f t="shared" si="19"/>
        <v>6445850</v>
      </c>
      <c r="Y16" s="1084" t="e">
        <f>IF(B16=0,0,X16/E16)</f>
        <v>#DIV/0!</v>
      </c>
      <c r="Z16" s="1080" t="e">
        <f>SUM(Z4:Z15)</f>
        <v>#DIV/0!</v>
      </c>
      <c r="AA16" s="1081" t="e">
        <f t="shared" si="7"/>
        <v>#DIV/0!</v>
      </c>
      <c r="AB16" s="744"/>
      <c r="AC16" s="744"/>
      <c r="AD16" s="744"/>
      <c r="AE16" s="744"/>
      <c r="AF16" s="744"/>
      <c r="AG16" s="744"/>
      <c r="AH16" s="744"/>
      <c r="AI16" s="744"/>
      <c r="AJ16" s="744"/>
      <c r="AM16" s="50" t="e">
        <f>SUM(AM4:AM15)</f>
        <v>#DIV/0!</v>
      </c>
      <c r="AN16" s="50">
        <f>SUM(AN4:AN15)</f>
        <v>2</v>
      </c>
      <c r="AO16" s="50">
        <f>SUM(AO4:AO15)</f>
        <v>64</v>
      </c>
      <c r="AP16" s="50" t="e">
        <f>SUM(AP4:AP15)</f>
        <v>#DIV/0!</v>
      </c>
      <c r="AQ16" s="50" t="e">
        <f>SUM(AQ4:AQ15)</f>
        <v>#DIV/0!</v>
      </c>
      <c r="AW16" s="39"/>
      <c r="AX16" s="39"/>
      <c r="AY16" s="817"/>
      <c r="AZ16" s="39"/>
      <c r="BA16" s="39"/>
    </row>
    <row r="17" spans="1:53" ht="14.4" customHeight="1" thickBot="1" x14ac:dyDescent="0.35">
      <c r="A17" s="1076"/>
      <c r="B17" s="3291" t="s">
        <v>1018</v>
      </c>
      <c r="C17" s="3292"/>
      <c r="D17" s="3292"/>
      <c r="E17" s="3292"/>
      <c r="F17" s="3293"/>
      <c r="G17" s="3294" t="s">
        <v>592</v>
      </c>
      <c r="H17" s="3292"/>
      <c r="I17" s="3292"/>
      <c r="J17" s="3292"/>
      <c r="K17" s="3292"/>
      <c r="L17" s="3292"/>
      <c r="M17" s="3292"/>
      <c r="N17" s="3292"/>
      <c r="O17" s="3293"/>
      <c r="P17" s="154"/>
      <c r="Q17" s="3294" t="s">
        <v>593</v>
      </c>
      <c r="R17" s="3292"/>
      <c r="S17" s="3292"/>
      <c r="T17" s="3292"/>
      <c r="U17" s="3292"/>
      <c r="V17" s="3292"/>
      <c r="W17" s="3292"/>
      <c r="X17" s="3292"/>
      <c r="Y17" s="3293"/>
      <c r="Z17" s="154" t="e">
        <f>#REF!</f>
        <v>#REF!</v>
      </c>
      <c r="AA17" s="1071"/>
      <c r="AB17" s="744"/>
      <c r="AC17" s="744"/>
      <c r="AD17" s="744"/>
      <c r="AE17" s="744"/>
      <c r="AF17" s="744"/>
      <c r="AG17" s="744"/>
      <c r="AH17" s="744"/>
      <c r="AI17" s="744"/>
      <c r="AJ17" s="744"/>
      <c r="AW17" s="39"/>
      <c r="AX17" s="77"/>
      <c r="AY17" s="67"/>
      <c r="AZ17" s="39"/>
      <c r="BA17" s="77"/>
    </row>
    <row r="18" spans="1:53" ht="14.4" customHeight="1" x14ac:dyDescent="0.3">
      <c r="A18" s="980"/>
      <c r="B18" s="1706"/>
      <c r="C18" s="1706"/>
      <c r="D18" s="1706"/>
      <c r="E18" s="1706"/>
      <c r="F18" s="1706"/>
      <c r="G18" s="1707">
        <f>CONSUMPTION!AN34</f>
        <v>29425778</v>
      </c>
      <c r="H18" s="1706"/>
      <c r="I18" s="1707">
        <f>CONSUMPTION!AN49</f>
        <v>10185623</v>
      </c>
      <c r="J18" s="1706">
        <f>CONSUMPTION!AN92</f>
        <v>64854669</v>
      </c>
      <c r="K18" s="1706">
        <f>CONSUMPTION!AN117</f>
        <v>28608377</v>
      </c>
      <c r="L18" s="1706"/>
      <c r="M18" s="1706">
        <f>CONSUMPTION!AN60</f>
        <v>3925903</v>
      </c>
      <c r="N18" s="1706">
        <f>CONSUMPTION!AN72</f>
        <v>9500</v>
      </c>
      <c r="O18" s="1706"/>
      <c r="P18" s="154"/>
      <c r="Q18" s="1707"/>
      <c r="R18" s="1706"/>
      <c r="S18" s="1706"/>
      <c r="T18" s="1706"/>
      <c r="U18" s="1706"/>
      <c r="V18" s="1706"/>
      <c r="W18" s="1706"/>
      <c r="X18" s="1706"/>
      <c r="Y18" s="1706"/>
      <c r="Z18" s="154"/>
      <c r="AA18" s="1071"/>
      <c r="AB18" s="744"/>
      <c r="AC18" s="744"/>
      <c r="AD18" s="744"/>
      <c r="AE18" s="744"/>
      <c r="AF18" s="744"/>
      <c r="AG18" s="744"/>
      <c r="AH18" s="744"/>
      <c r="AI18" s="744"/>
      <c r="AJ18" s="744"/>
      <c r="AW18" s="39"/>
      <c r="AX18" s="77"/>
      <c r="AY18" s="67"/>
      <c r="AZ18" s="39"/>
      <c r="BA18" s="77"/>
    </row>
    <row r="19" spans="1:53" ht="14.4" customHeight="1" x14ac:dyDescent="0.3">
      <c r="A19" s="980"/>
      <c r="B19" s="1706"/>
      <c r="C19" s="1706"/>
      <c r="D19" s="1706"/>
      <c r="E19" s="1706"/>
      <c r="F19" s="1706"/>
      <c r="G19" s="1707" t="e">
        <f>G16-G18</f>
        <v>#DIV/0!</v>
      </c>
      <c r="H19" s="1706"/>
      <c r="I19" s="1707">
        <f>I16-I18</f>
        <v>0</v>
      </c>
      <c r="J19" s="1707" t="e">
        <f>J16-J18</f>
        <v>#DIV/0!</v>
      </c>
      <c r="K19" s="1707" t="e">
        <f>K16-K18</f>
        <v>#DIV/0!</v>
      </c>
      <c r="L19" s="1706"/>
      <c r="M19" s="1706"/>
      <c r="N19" s="1706"/>
      <c r="O19" s="1706"/>
      <c r="P19" s="154"/>
      <c r="Q19" s="1707"/>
      <c r="R19" s="1706"/>
      <c r="S19" s="1706"/>
      <c r="T19" s="1706"/>
      <c r="U19" s="1706"/>
      <c r="V19" s="1706"/>
      <c r="W19" s="1706"/>
      <c r="X19" s="1706"/>
      <c r="Y19" s="1706"/>
      <c r="Z19" s="154"/>
      <c r="AA19" s="1071"/>
      <c r="AB19" s="744"/>
      <c r="AC19" s="744"/>
      <c r="AD19" s="744"/>
      <c r="AE19" s="744"/>
      <c r="AF19" s="744"/>
      <c r="AG19" s="744"/>
      <c r="AH19" s="744"/>
      <c r="AI19" s="744"/>
      <c r="AJ19" s="744"/>
      <c r="AW19" s="39"/>
      <c r="AX19" s="77"/>
      <c r="AY19" s="67"/>
      <c r="AZ19" s="39"/>
      <c r="BA19" s="77"/>
    </row>
    <row r="20" spans="1:53" ht="14.4" customHeight="1" x14ac:dyDescent="0.3">
      <c r="B20" s="2"/>
      <c r="C20" s="2"/>
      <c r="D20" s="2"/>
      <c r="E20" s="152" t="e">
        <f>E16</f>
        <v>#DIV/0!</v>
      </c>
      <c r="G20" s="1489" t="e">
        <f>G16+I16+M16+N16</f>
        <v>#DIV/0!</v>
      </c>
      <c r="J20" s="154"/>
      <c r="M20" s="154">
        <f>M16-M18</f>
        <v>0</v>
      </c>
      <c r="N20" s="154">
        <f>N16-N18</f>
        <v>0</v>
      </c>
      <c r="O20" s="154" t="e">
        <f>O16</f>
        <v>#DIV/0!</v>
      </c>
      <c r="Q20" s="152">
        <f>ROUND(('Direct Expns'!AE46),0)</f>
        <v>17668311</v>
      </c>
      <c r="S20" s="152">
        <f>ROUND(('Direct Expns'!AE47),0)</f>
        <v>806286</v>
      </c>
      <c r="U20" s="152">
        <f>ROUND(('Direct Expns'!AE48),0)</f>
        <v>22508478</v>
      </c>
      <c r="W20" s="152">
        <f>'Direct Expns'!AE51</f>
        <v>0</v>
      </c>
      <c r="X20" s="152">
        <f>ROUND(('Direct Expns'!AE50),0)</f>
        <v>6445850</v>
      </c>
      <c r="Z20" s="154" t="e">
        <f>#REF!</f>
        <v>#REF!</v>
      </c>
      <c r="AA20" s="4"/>
      <c r="AW20" s="39"/>
      <c r="AX20" s="39"/>
      <c r="AY20" s="129"/>
      <c r="AZ20" s="39"/>
      <c r="BA20" s="39"/>
    </row>
    <row r="21" spans="1:53" ht="14.4" customHeight="1" x14ac:dyDescent="0.3">
      <c r="B21" s="831"/>
      <c r="C21" s="831"/>
      <c r="D21" s="831"/>
      <c r="E21" s="1492">
        <f>'PAL II'!BA17</f>
        <v>63489826</v>
      </c>
      <c r="F21" s="1138" t="s">
        <v>501</v>
      </c>
      <c r="G21" s="1486">
        <f>'PAL II'!BA11</f>
        <v>43315734</v>
      </c>
      <c r="H21" s="832"/>
      <c r="I21" s="832"/>
      <c r="J21" s="1486">
        <f>'PAL II'!BA19</f>
        <v>0</v>
      </c>
      <c r="K21" s="832"/>
      <c r="L21" s="832"/>
      <c r="M21" s="832"/>
      <c r="O21" s="152">
        <f>'PAL I'!AN11</f>
        <v>28608377</v>
      </c>
      <c r="P21" s="832"/>
      <c r="Q21" s="832"/>
      <c r="R21" s="832"/>
      <c r="S21" s="832"/>
      <c r="T21" s="832"/>
      <c r="U21" s="832"/>
      <c r="V21" s="832"/>
      <c r="W21" s="832"/>
      <c r="X21" s="1486">
        <f>X16-X20</f>
        <v>0</v>
      </c>
      <c r="Y21" s="832"/>
      <c r="Z21" s="154" t="e">
        <f>Z16-Z17</f>
        <v>#DIV/0!</v>
      </c>
      <c r="AA21" s="4"/>
      <c r="AB21" s="821"/>
      <c r="AC21" s="821"/>
      <c r="AD21" s="821"/>
      <c r="AE21" s="821"/>
      <c r="AF21" s="821"/>
      <c r="AG21" s="821"/>
      <c r="AH21" s="821"/>
      <c r="AI21" s="821"/>
      <c r="AJ21" s="821"/>
      <c r="AK21" s="821"/>
      <c r="AL21" s="821"/>
      <c r="AM21" s="821"/>
      <c r="AN21" s="821"/>
      <c r="AO21" s="821"/>
      <c r="AP21" s="821"/>
      <c r="AQ21" s="821"/>
      <c r="AR21" s="821"/>
      <c r="AW21" s="39"/>
      <c r="AX21" s="77"/>
      <c r="AY21" s="817"/>
      <c r="AZ21" s="39"/>
      <c r="BA21" s="77"/>
    </row>
    <row r="22" spans="1:53" ht="14.4" customHeight="1" x14ac:dyDescent="0.3">
      <c r="F22" s="153"/>
      <c r="G22" s="1490" t="e">
        <f>G20-G21</f>
        <v>#DIV/0!</v>
      </c>
      <c r="J22" s="1705"/>
      <c r="N22" s="1491" t="s">
        <v>525</v>
      </c>
      <c r="O22" s="1490" t="e">
        <f>O20-O21</f>
        <v>#DIV/0!</v>
      </c>
      <c r="W22" s="980"/>
      <c r="X22" s="980"/>
      <c r="Y22" s="980"/>
      <c r="Z22" s="154" t="e">
        <f>Z16-Z20</f>
        <v>#DIV/0!</v>
      </c>
      <c r="AA22" s="820"/>
      <c r="AB22" s="821"/>
      <c r="AC22" s="821"/>
      <c r="AD22" s="821"/>
      <c r="AE22" s="821"/>
      <c r="AF22" s="821"/>
      <c r="AG22" s="821"/>
      <c r="AH22" s="821"/>
      <c r="AI22" s="821"/>
      <c r="AJ22" s="821"/>
      <c r="AK22" s="821"/>
      <c r="AL22" s="821"/>
      <c r="AM22" s="821"/>
      <c r="AN22" s="821"/>
      <c r="AO22" s="821"/>
      <c r="AP22" s="821"/>
      <c r="AQ22" s="821"/>
      <c r="AR22" s="821"/>
      <c r="AW22" s="77"/>
      <c r="AX22" s="77"/>
      <c r="AY22" s="816"/>
      <c r="AZ22" s="77"/>
      <c r="BA22" s="77"/>
    </row>
    <row r="23" spans="1:53" ht="14.4" customHeight="1" x14ac:dyDescent="0.3">
      <c r="B23" s="1142"/>
      <c r="C23" s="1142"/>
      <c r="D23" s="1142"/>
      <c r="E23" s="1139"/>
      <c r="J23" s="154"/>
      <c r="Z23" s="154"/>
      <c r="AB23" s="821"/>
      <c r="AC23" s="821"/>
      <c r="AD23" s="821"/>
      <c r="AE23" s="821"/>
      <c r="AF23" s="821"/>
      <c r="AG23" s="821"/>
      <c r="AH23" s="821"/>
      <c r="AI23" s="821"/>
      <c r="AJ23" s="821"/>
      <c r="AK23" s="821"/>
      <c r="AL23" s="821"/>
      <c r="AM23" s="821"/>
      <c r="AN23" s="821"/>
      <c r="AO23" s="821"/>
      <c r="AP23" s="821"/>
      <c r="AQ23" s="821"/>
      <c r="AR23" s="821"/>
      <c r="AW23" s="39"/>
      <c r="AX23" s="77"/>
      <c r="AY23" s="910"/>
      <c r="AZ23" s="39"/>
      <c r="BA23" s="77"/>
    </row>
    <row r="24" spans="1:53" ht="14.4" customHeight="1" x14ac:dyDescent="0.3">
      <c r="AB24" s="821"/>
      <c r="AC24" s="821"/>
      <c r="AD24" s="821"/>
      <c r="AE24" s="821"/>
      <c r="AF24" s="821"/>
      <c r="AG24" s="821"/>
      <c r="AH24" s="821"/>
      <c r="AI24" s="821"/>
      <c r="AJ24" s="821"/>
      <c r="AK24" s="821"/>
      <c r="AL24" s="821"/>
      <c r="AM24" s="821"/>
      <c r="AN24" s="821"/>
      <c r="AO24" s="821"/>
      <c r="AP24" s="821"/>
      <c r="AQ24" s="821"/>
      <c r="AR24" s="821"/>
      <c r="AW24" s="39"/>
      <c r="AX24" s="77"/>
      <c r="AY24" s="67"/>
      <c r="AZ24" s="39"/>
      <c r="BA24" s="77"/>
    </row>
    <row r="25" spans="1:53" ht="14.4" customHeight="1" x14ac:dyDescent="0.3">
      <c r="X25" s="154"/>
      <c r="Z25" s="152"/>
      <c r="AB25" s="821"/>
      <c r="AC25" s="821"/>
      <c r="AD25" s="821"/>
      <c r="AE25" s="821"/>
      <c r="AF25" s="821"/>
      <c r="AG25" s="821"/>
      <c r="AH25" s="821"/>
      <c r="AI25" s="821"/>
      <c r="AJ25" s="821"/>
      <c r="AK25" s="821"/>
      <c r="AL25" s="821"/>
      <c r="AM25" s="821"/>
      <c r="AN25" s="821"/>
      <c r="AO25" s="821"/>
      <c r="AP25" s="821"/>
      <c r="AQ25" s="821"/>
      <c r="AR25" s="821"/>
      <c r="AW25" s="39"/>
      <c r="AX25" s="39"/>
      <c r="AY25" s="67"/>
      <c r="AZ25" s="39"/>
      <c r="BA25" s="39"/>
    </row>
    <row r="26" spans="1:53" ht="14.4" customHeight="1" x14ac:dyDescent="0.3">
      <c r="G26" s="8"/>
      <c r="X26" s="154"/>
      <c r="Z26" s="152"/>
      <c r="AB26" s="821"/>
      <c r="AC26" s="821"/>
      <c r="AD26" s="821"/>
      <c r="AE26" s="821"/>
      <c r="AF26" s="821"/>
      <c r="AG26" s="821"/>
      <c r="AH26" s="821"/>
      <c r="AI26" s="821"/>
      <c r="AJ26" s="821"/>
      <c r="AK26" s="821"/>
      <c r="AL26" s="821"/>
      <c r="AM26" s="821"/>
      <c r="AN26" s="821"/>
      <c r="AO26" s="821"/>
      <c r="AP26" s="821"/>
      <c r="AQ26" s="821"/>
      <c r="AR26" s="821"/>
      <c r="AW26" s="39"/>
      <c r="AX26" s="77"/>
      <c r="AY26" s="67"/>
      <c r="AZ26" s="39"/>
      <c r="BA26" s="77"/>
    </row>
    <row r="27" spans="1:53" ht="14.4" customHeight="1" x14ac:dyDescent="0.3">
      <c r="G27" s="8"/>
      <c r="AB27" s="821"/>
      <c r="AC27" s="821"/>
      <c r="AD27" s="821"/>
      <c r="AE27" s="821"/>
      <c r="AF27" s="821"/>
      <c r="AG27" s="821"/>
      <c r="AH27" s="821"/>
      <c r="AI27" s="821"/>
      <c r="AJ27" s="821"/>
      <c r="AK27" s="821"/>
      <c r="AL27" s="821"/>
      <c r="AM27" s="821"/>
      <c r="AN27" s="821"/>
      <c r="AO27" s="821"/>
      <c r="AP27" s="821"/>
      <c r="AQ27" s="821"/>
      <c r="AR27" s="821"/>
      <c r="AW27" s="39"/>
      <c r="AX27" s="77"/>
      <c r="AY27" s="67"/>
      <c r="AZ27" s="39"/>
      <c r="BA27" s="77"/>
    </row>
    <row r="28" spans="1:53" ht="14.4" customHeight="1" x14ac:dyDescent="0.3">
      <c r="F28" t="s">
        <v>473</v>
      </c>
      <c r="AB28" s="821"/>
      <c r="AC28" s="821"/>
      <c r="AD28" s="821"/>
      <c r="AE28" s="821"/>
      <c r="AF28" s="821"/>
      <c r="AG28" s="821"/>
      <c r="AH28" s="821"/>
      <c r="AI28" s="821"/>
      <c r="AJ28" s="821"/>
      <c r="AK28" s="821"/>
      <c r="AL28" s="821"/>
      <c r="AM28" s="821"/>
      <c r="AN28" s="821"/>
      <c r="AO28" s="821"/>
      <c r="AP28" s="821"/>
      <c r="AQ28" s="821"/>
      <c r="AR28" s="821"/>
      <c r="AW28" s="39"/>
      <c r="AX28" s="39"/>
      <c r="AY28" s="67"/>
      <c r="AZ28" s="39"/>
      <c r="BA28" s="39"/>
    </row>
    <row r="29" spans="1:53" ht="14.4" customHeight="1" x14ac:dyDescent="0.3">
      <c r="F29" t="s">
        <v>474</v>
      </c>
      <c r="AB29" s="821"/>
      <c r="AC29" s="821"/>
      <c r="AD29" s="821"/>
      <c r="AE29" s="821"/>
      <c r="AF29" s="821"/>
      <c r="AG29" s="821"/>
      <c r="AH29" s="821"/>
      <c r="AI29" s="821"/>
      <c r="AJ29" s="821"/>
      <c r="AK29" s="821"/>
      <c r="AL29" s="821"/>
      <c r="AM29" s="821"/>
      <c r="AN29" s="821"/>
      <c r="AO29" s="821"/>
      <c r="AP29" s="821"/>
      <c r="AQ29" s="821"/>
      <c r="AR29" s="821"/>
      <c r="AW29" s="39"/>
      <c r="AX29" s="39"/>
      <c r="AY29" s="67"/>
      <c r="AZ29" s="39"/>
      <c r="BA29" s="39"/>
    </row>
    <row r="30" spans="1:53" ht="14.4" customHeight="1" x14ac:dyDescent="0.3">
      <c r="AB30" s="821"/>
      <c r="AC30" s="821"/>
      <c r="AD30" s="821"/>
      <c r="AE30" s="821"/>
      <c r="AF30" s="821"/>
      <c r="AG30" s="821"/>
      <c r="AH30" s="821"/>
      <c r="AI30" s="821"/>
      <c r="AJ30" s="821"/>
      <c r="AK30" s="821"/>
      <c r="AL30" s="821"/>
      <c r="AM30" s="821"/>
      <c r="AN30" s="821"/>
      <c r="AO30" s="821"/>
      <c r="AP30" s="821"/>
      <c r="AQ30" s="821"/>
      <c r="AR30" s="821"/>
      <c r="AW30" s="77"/>
      <c r="AX30" s="77"/>
      <c r="AY30" s="77"/>
      <c r="AZ30" s="77"/>
      <c r="BA30" s="77"/>
    </row>
    <row r="31" spans="1:53" ht="14.4" customHeight="1" x14ac:dyDescent="0.3">
      <c r="F31" t="s">
        <v>475</v>
      </c>
      <c r="AB31" s="821"/>
      <c r="AC31" s="821"/>
      <c r="AD31" s="821"/>
      <c r="AE31" s="821"/>
      <c r="AF31" s="821"/>
      <c r="AG31" s="821"/>
      <c r="AH31" s="821"/>
      <c r="AI31" s="821"/>
      <c r="AJ31" s="821"/>
      <c r="AK31" s="821"/>
      <c r="AL31" s="821"/>
      <c r="AM31" s="821"/>
      <c r="AN31" s="821"/>
      <c r="AO31" s="821"/>
      <c r="AP31" s="821"/>
      <c r="AQ31" s="821"/>
      <c r="AR31" s="821"/>
      <c r="AW31" s="77"/>
      <c r="AX31" s="77"/>
      <c r="AY31" s="77"/>
      <c r="AZ31" s="77"/>
      <c r="BA31" s="77"/>
    </row>
    <row r="32" spans="1:53" ht="14.4" customHeight="1" x14ac:dyDescent="0.3">
      <c r="F32" t="s">
        <v>476</v>
      </c>
      <c r="AB32" s="821"/>
      <c r="AC32" s="821"/>
      <c r="AD32" s="821"/>
      <c r="AE32" s="821"/>
      <c r="AF32" s="821"/>
      <c r="AG32" s="821"/>
      <c r="AH32" s="821"/>
      <c r="AI32" s="821"/>
      <c r="AJ32" s="821"/>
      <c r="AK32" s="821"/>
      <c r="AL32" s="821"/>
      <c r="AM32" s="821"/>
      <c r="AN32" s="821"/>
      <c r="AO32" s="821"/>
      <c r="AP32" s="821"/>
      <c r="AQ32" s="821"/>
      <c r="AR32" s="821"/>
      <c r="AW32" s="77"/>
      <c r="AX32" s="77"/>
      <c r="AY32" s="12"/>
      <c r="AZ32" s="77"/>
      <c r="BA32" s="77"/>
    </row>
    <row r="33" spans="6:53" ht="14.4" customHeight="1" x14ac:dyDescent="0.3">
      <c r="F33" t="s">
        <v>477</v>
      </c>
      <c r="AB33" s="821"/>
      <c r="AC33" s="821"/>
      <c r="AD33" s="821"/>
      <c r="AE33" s="821"/>
      <c r="AF33" s="821"/>
      <c r="AG33" s="821"/>
      <c r="AH33" s="821"/>
      <c r="AI33" s="821"/>
      <c r="AJ33" s="821"/>
      <c r="AK33" s="821"/>
      <c r="AL33" s="821"/>
      <c r="AM33" s="821"/>
      <c r="AN33" s="821"/>
      <c r="AO33" s="821"/>
      <c r="AP33" s="821"/>
      <c r="AQ33" s="821"/>
      <c r="AR33" s="821"/>
      <c r="AW33" s="912"/>
      <c r="AX33" s="912"/>
      <c r="AY33" s="911"/>
      <c r="AZ33" s="912"/>
      <c r="BA33" s="912"/>
    </row>
    <row r="34" spans="6:53" ht="14.4" customHeight="1" x14ac:dyDescent="0.25">
      <c r="AB34" s="821"/>
      <c r="AC34" s="821"/>
      <c r="AD34" s="821"/>
      <c r="AE34" s="821"/>
      <c r="AF34" s="821"/>
      <c r="AG34" s="821"/>
      <c r="AH34" s="821"/>
      <c r="AI34" s="821"/>
      <c r="AJ34" s="821"/>
      <c r="AK34" s="821"/>
      <c r="AL34" s="821"/>
      <c r="AM34" s="821"/>
      <c r="AN34" s="821"/>
      <c r="AO34" s="821"/>
      <c r="AP34" s="821"/>
      <c r="AQ34" s="821"/>
      <c r="AR34" s="821"/>
    </row>
    <row r="35" spans="6:53" ht="14.4" customHeight="1" x14ac:dyDescent="0.25">
      <c r="AB35" s="821"/>
      <c r="AC35" s="821"/>
      <c r="AD35" s="821"/>
      <c r="AE35" s="821"/>
      <c r="AF35" s="821"/>
      <c r="AG35" s="821"/>
      <c r="AH35" s="821"/>
      <c r="AI35" s="821"/>
      <c r="AJ35" s="821"/>
      <c r="AK35" s="821"/>
      <c r="AL35" s="821"/>
      <c r="AM35" s="821"/>
      <c r="AN35" s="821"/>
      <c r="AO35" s="821"/>
      <c r="AP35" s="821"/>
      <c r="AQ35" s="821"/>
      <c r="AR35" s="821"/>
    </row>
    <row r="36" spans="6:53" ht="14.4" customHeight="1" x14ac:dyDescent="0.25">
      <c r="AB36" s="821"/>
      <c r="AC36" s="821"/>
      <c r="AD36" s="821"/>
      <c r="AE36" s="821"/>
      <c r="AF36" s="821"/>
      <c r="AG36" s="821"/>
      <c r="AH36" s="821"/>
      <c r="AI36" s="821"/>
      <c r="AJ36" s="821"/>
      <c r="AK36" s="821"/>
      <c r="AL36" s="821"/>
      <c r="AM36" s="821"/>
      <c r="AN36" s="821"/>
      <c r="AO36" s="821"/>
      <c r="AP36" s="821"/>
      <c r="AQ36" s="821"/>
      <c r="AR36" s="821"/>
    </row>
    <row r="37" spans="6:53" ht="14.4" customHeight="1" x14ac:dyDescent="0.25">
      <c r="AB37" s="821"/>
      <c r="AC37" s="821"/>
      <c r="AD37" s="821"/>
      <c r="AE37" s="821"/>
      <c r="AF37" s="821"/>
      <c r="AG37" s="821"/>
      <c r="AH37" s="821"/>
      <c r="AI37" s="821"/>
      <c r="AJ37" s="821"/>
      <c r="AK37" s="821"/>
      <c r="AL37" s="821"/>
      <c r="AM37" s="821"/>
      <c r="AN37" s="821"/>
      <c r="AO37" s="821"/>
      <c r="AP37" s="821"/>
      <c r="AQ37" s="821"/>
      <c r="AR37" s="821"/>
    </row>
    <row r="38" spans="6:53" ht="14.4" customHeight="1" x14ac:dyDescent="0.25">
      <c r="AB38" s="821"/>
      <c r="AC38" s="821"/>
      <c r="AD38" s="821"/>
      <c r="AE38" s="821"/>
      <c r="AF38" s="821"/>
      <c r="AG38" s="821"/>
      <c r="AH38" s="821"/>
      <c r="AI38" s="821"/>
      <c r="AJ38" s="821"/>
      <c r="AK38" s="821"/>
      <c r="AL38" s="821"/>
      <c r="AM38" s="821"/>
      <c r="AN38" s="821"/>
      <c r="AO38" s="821"/>
      <c r="AP38" s="821"/>
      <c r="AQ38" s="821"/>
      <c r="AR38" s="821"/>
    </row>
    <row r="39" spans="6:53" ht="14.4" customHeight="1" x14ac:dyDescent="0.25">
      <c r="AB39" s="821"/>
      <c r="AC39" s="821"/>
      <c r="AD39" s="821"/>
      <c r="AE39" s="821"/>
      <c r="AF39" s="821"/>
      <c r="AG39" s="821"/>
      <c r="AH39" s="821"/>
      <c r="AI39" s="821"/>
      <c r="AJ39" s="821"/>
      <c r="AK39" s="821"/>
      <c r="AL39" s="821"/>
      <c r="AM39" s="821"/>
      <c r="AN39" s="821"/>
      <c r="AO39" s="821"/>
      <c r="AP39" s="821"/>
      <c r="AQ39" s="821"/>
      <c r="AR39" s="821"/>
    </row>
    <row r="40" spans="6:53" ht="14.4" customHeight="1" x14ac:dyDescent="0.25">
      <c r="AB40" s="821"/>
      <c r="AC40" s="821"/>
      <c r="AD40" s="821"/>
      <c r="AE40" s="821"/>
      <c r="AF40" s="821"/>
      <c r="AG40" s="821"/>
      <c r="AH40" s="821"/>
      <c r="AI40" s="821"/>
      <c r="AJ40" s="821"/>
      <c r="AK40" s="821"/>
      <c r="AL40" s="821"/>
      <c r="AM40" s="821"/>
      <c r="AN40" s="821"/>
      <c r="AO40" s="821"/>
      <c r="AP40" s="821"/>
      <c r="AQ40" s="821"/>
      <c r="AR40" s="821"/>
    </row>
    <row r="41" spans="6:53" ht="14.4" customHeight="1" x14ac:dyDescent="0.25">
      <c r="AB41" s="821"/>
      <c r="AC41" s="821"/>
      <c r="AD41" s="821"/>
      <c r="AE41" s="821"/>
      <c r="AF41" s="821"/>
      <c r="AG41" s="821"/>
      <c r="AH41" s="821"/>
      <c r="AI41" s="821"/>
      <c r="AJ41" s="821"/>
      <c r="AK41" s="821"/>
      <c r="AL41" s="821"/>
      <c r="AM41" s="821"/>
      <c r="AN41" s="821"/>
      <c r="AO41" s="821"/>
      <c r="AP41" s="821"/>
      <c r="AQ41" s="821"/>
      <c r="AR41" s="821"/>
    </row>
    <row r="42" spans="6:53" ht="14.4" customHeight="1" x14ac:dyDescent="0.25">
      <c r="AB42" s="821"/>
      <c r="AC42" s="821"/>
      <c r="AD42" s="821"/>
      <c r="AE42" s="821"/>
      <c r="AF42" s="821"/>
      <c r="AG42" s="821"/>
      <c r="AH42" s="821"/>
      <c r="AI42" s="821"/>
      <c r="AJ42" s="821"/>
      <c r="AK42" s="821"/>
      <c r="AL42" s="821"/>
      <c r="AM42" s="821"/>
      <c r="AN42" s="821"/>
      <c r="AO42" s="821"/>
      <c r="AP42" s="821"/>
      <c r="AQ42" s="821"/>
      <c r="AR42" s="821"/>
    </row>
    <row r="43" spans="6:53" ht="14.4" customHeight="1" x14ac:dyDescent="0.25">
      <c r="AB43" s="821"/>
      <c r="AC43" s="821"/>
      <c r="AD43" s="821"/>
      <c r="AE43" s="821"/>
      <c r="AF43" s="821"/>
      <c r="AG43" s="821"/>
      <c r="AH43" s="821"/>
      <c r="AI43" s="821"/>
      <c r="AJ43" s="821"/>
      <c r="AK43" s="821"/>
      <c r="AL43" s="821"/>
      <c r="AM43" s="821"/>
      <c r="AN43" s="821"/>
      <c r="AO43" s="821"/>
      <c r="AP43" s="821"/>
      <c r="AQ43" s="821"/>
      <c r="AR43" s="821"/>
    </row>
    <row r="44" spans="6:53" ht="14.4" customHeight="1" x14ac:dyDescent="0.25">
      <c r="AB44" s="821"/>
      <c r="AC44" s="821"/>
      <c r="AD44" s="821"/>
      <c r="AE44" s="821"/>
      <c r="AF44" s="821"/>
      <c r="AG44" s="821"/>
      <c r="AH44" s="821"/>
      <c r="AI44" s="821"/>
      <c r="AJ44" s="821"/>
      <c r="AK44" s="821"/>
      <c r="AL44" s="821"/>
      <c r="AM44" s="821"/>
      <c r="AN44" s="821"/>
      <c r="AO44" s="821"/>
      <c r="AP44" s="821"/>
      <c r="AQ44" s="821"/>
      <c r="AR44" s="821"/>
    </row>
    <row r="45" spans="6:53" ht="14.4" customHeight="1" x14ac:dyDescent="0.25">
      <c r="AB45" s="821"/>
      <c r="AC45" s="821"/>
      <c r="AD45" s="821"/>
      <c r="AE45" s="821"/>
      <c r="AF45" s="821"/>
      <c r="AG45" s="821"/>
      <c r="AH45" s="821"/>
      <c r="AI45" s="821"/>
      <c r="AJ45" s="821"/>
      <c r="AK45" s="821"/>
      <c r="AL45" s="821"/>
      <c r="AM45" s="821"/>
      <c r="AN45" s="821"/>
      <c r="AO45" s="821"/>
      <c r="AP45" s="821"/>
      <c r="AQ45" s="821"/>
      <c r="AR45" s="821"/>
    </row>
    <row r="46" spans="6:53" ht="14.4" customHeight="1" x14ac:dyDescent="0.25">
      <c r="AB46" s="821"/>
      <c r="AC46" s="821"/>
      <c r="AD46" s="821"/>
      <c r="AE46" s="821"/>
      <c r="AF46" s="821"/>
      <c r="AG46" s="821"/>
      <c r="AH46" s="821"/>
      <c r="AI46" s="821"/>
      <c r="AJ46" s="821"/>
      <c r="AK46" s="821"/>
      <c r="AL46" s="821"/>
      <c r="AM46" s="821"/>
      <c r="AN46" s="821"/>
      <c r="AO46" s="821"/>
      <c r="AP46" s="821"/>
      <c r="AQ46" s="821"/>
      <c r="AR46" s="821"/>
    </row>
    <row r="47" spans="6:53" ht="14.4" customHeight="1" x14ac:dyDescent="0.25">
      <c r="AB47" s="821"/>
      <c r="AC47" s="821"/>
      <c r="AD47" s="821"/>
      <c r="AE47" s="821"/>
      <c r="AF47" s="821"/>
      <c r="AG47" s="821"/>
      <c r="AH47" s="821"/>
      <c r="AI47" s="821"/>
      <c r="AJ47" s="821"/>
      <c r="AK47" s="821"/>
      <c r="AL47" s="821"/>
      <c r="AM47" s="821"/>
      <c r="AN47" s="821"/>
      <c r="AO47" s="821"/>
      <c r="AP47" s="821"/>
      <c r="AQ47" s="821"/>
      <c r="AR47" s="821"/>
    </row>
    <row r="48" spans="6:53" ht="14.4" customHeight="1" x14ac:dyDescent="0.25">
      <c r="AB48" s="821"/>
      <c r="AC48" s="821"/>
      <c r="AD48" s="821"/>
      <c r="AE48" s="821"/>
      <c r="AF48" s="821"/>
      <c r="AG48" s="821"/>
      <c r="AH48" s="821"/>
      <c r="AI48" s="821"/>
      <c r="AJ48" s="821"/>
      <c r="AK48" s="821"/>
      <c r="AL48" s="821"/>
      <c r="AM48" s="821"/>
      <c r="AN48" s="821"/>
      <c r="AO48" s="821"/>
      <c r="AP48" s="821"/>
      <c r="AQ48" s="821"/>
      <c r="AR48" s="821"/>
    </row>
    <row r="49" spans="28:44" x14ac:dyDescent="0.25">
      <c r="AB49" s="821"/>
      <c r="AC49" s="821"/>
      <c r="AD49" s="821"/>
      <c r="AE49" s="821"/>
      <c r="AF49" s="821"/>
      <c r="AG49" s="821"/>
      <c r="AH49" s="821"/>
      <c r="AI49" s="821"/>
      <c r="AJ49" s="821"/>
      <c r="AK49" s="821"/>
      <c r="AL49" s="821"/>
      <c r="AM49" s="821"/>
      <c r="AN49" s="821"/>
      <c r="AO49" s="821"/>
      <c r="AP49" s="821"/>
      <c r="AQ49" s="821"/>
      <c r="AR49" s="821"/>
    </row>
    <row r="50" spans="28:44" x14ac:dyDescent="0.25">
      <c r="AB50" s="821"/>
      <c r="AC50" s="821"/>
      <c r="AD50" s="821"/>
      <c r="AE50" s="821"/>
      <c r="AF50" s="821"/>
      <c r="AG50" s="821"/>
      <c r="AH50" s="821"/>
      <c r="AI50" s="821"/>
      <c r="AJ50" s="821"/>
      <c r="AK50" s="821"/>
      <c r="AL50" s="821"/>
      <c r="AM50" s="821"/>
      <c r="AN50" s="821"/>
      <c r="AO50" s="821"/>
      <c r="AP50" s="821"/>
      <c r="AQ50" s="821"/>
      <c r="AR50" s="821"/>
    </row>
    <row r="51" spans="28:44" x14ac:dyDescent="0.25">
      <c r="AB51" s="821"/>
      <c r="AC51" s="821"/>
      <c r="AD51" s="821"/>
      <c r="AE51" s="821"/>
      <c r="AF51" s="821"/>
      <c r="AG51" s="821"/>
      <c r="AH51" s="821"/>
      <c r="AI51" s="821"/>
      <c r="AJ51" s="821"/>
      <c r="AK51" s="821"/>
      <c r="AL51" s="821"/>
      <c r="AM51" s="821"/>
      <c r="AN51" s="821"/>
      <c r="AO51" s="821"/>
      <c r="AP51" s="821"/>
      <c r="AQ51" s="821"/>
      <c r="AR51" s="821"/>
    </row>
    <row r="52" spans="28:44" x14ac:dyDescent="0.25">
      <c r="AB52" s="821"/>
      <c r="AC52" s="821"/>
      <c r="AD52" s="821"/>
      <c r="AE52" s="821"/>
      <c r="AF52" s="821"/>
      <c r="AG52" s="821"/>
      <c r="AH52" s="821"/>
      <c r="AI52" s="821"/>
      <c r="AJ52" s="821"/>
      <c r="AK52" s="821"/>
      <c r="AL52" s="821"/>
      <c r="AM52" s="821"/>
      <c r="AN52" s="821"/>
      <c r="AO52" s="821"/>
      <c r="AP52" s="821"/>
      <c r="AQ52" s="821"/>
      <c r="AR52" s="821"/>
    </row>
    <row r="53" spans="28:44" x14ac:dyDescent="0.25">
      <c r="AB53" s="821"/>
      <c r="AC53" s="821"/>
      <c r="AD53" s="821"/>
      <c r="AE53" s="821"/>
      <c r="AF53" s="821"/>
      <c r="AG53" s="821"/>
      <c r="AH53" s="821"/>
      <c r="AI53" s="821"/>
      <c r="AJ53" s="821"/>
      <c r="AK53" s="821"/>
      <c r="AL53" s="821"/>
      <c r="AM53" s="821"/>
      <c r="AN53" s="821"/>
      <c r="AO53" s="821"/>
      <c r="AP53" s="821"/>
      <c r="AQ53" s="821"/>
      <c r="AR53" s="821"/>
    </row>
    <row r="54" spans="28:44" x14ac:dyDescent="0.25">
      <c r="AB54" s="821"/>
      <c r="AC54" s="821"/>
      <c r="AD54" s="821"/>
      <c r="AE54" s="821"/>
      <c r="AF54" s="821"/>
      <c r="AG54" s="821"/>
      <c r="AH54" s="821"/>
      <c r="AI54" s="821"/>
      <c r="AJ54" s="821"/>
      <c r="AK54" s="821"/>
      <c r="AL54" s="821"/>
      <c r="AM54" s="821"/>
      <c r="AN54" s="821"/>
      <c r="AO54" s="821"/>
      <c r="AP54" s="821"/>
      <c r="AQ54" s="821"/>
      <c r="AR54" s="821"/>
    </row>
    <row r="55" spans="28:44" x14ac:dyDescent="0.25">
      <c r="AB55" s="821"/>
      <c r="AC55" s="821"/>
      <c r="AD55" s="821"/>
      <c r="AE55" s="821"/>
      <c r="AF55" s="821"/>
      <c r="AG55" s="821"/>
      <c r="AH55" s="821"/>
      <c r="AI55" s="821"/>
      <c r="AJ55" s="821"/>
      <c r="AK55" s="821"/>
      <c r="AL55" s="821"/>
      <c r="AM55" s="821"/>
      <c r="AN55" s="821"/>
      <c r="AO55" s="821"/>
      <c r="AP55" s="821"/>
      <c r="AQ55" s="821"/>
      <c r="AR55" s="821"/>
    </row>
    <row r="56" spans="28:44" x14ac:dyDescent="0.25">
      <c r="AB56" s="821"/>
      <c r="AC56" s="821"/>
      <c r="AD56" s="821"/>
      <c r="AE56" s="821"/>
      <c r="AF56" s="821"/>
      <c r="AG56" s="821"/>
      <c r="AH56" s="821"/>
      <c r="AI56" s="821"/>
      <c r="AJ56" s="821"/>
      <c r="AK56" s="821"/>
      <c r="AL56" s="821"/>
      <c r="AM56" s="821"/>
      <c r="AN56" s="821"/>
      <c r="AO56" s="821"/>
      <c r="AP56" s="821"/>
      <c r="AQ56" s="821"/>
      <c r="AR56" s="821"/>
    </row>
    <row r="57" spans="28:44" x14ac:dyDescent="0.25">
      <c r="AB57" s="821"/>
      <c r="AC57" s="821"/>
      <c r="AD57" s="821"/>
      <c r="AE57" s="821"/>
      <c r="AF57" s="821"/>
      <c r="AG57" s="821"/>
      <c r="AH57" s="821"/>
      <c r="AI57" s="821"/>
      <c r="AJ57" s="821"/>
      <c r="AK57" s="821"/>
      <c r="AL57" s="821"/>
      <c r="AM57" s="821"/>
      <c r="AN57" s="821"/>
      <c r="AO57" s="821"/>
      <c r="AP57" s="821"/>
      <c r="AQ57" s="821"/>
      <c r="AR57" s="821"/>
    </row>
    <row r="58" spans="28:44" x14ac:dyDescent="0.25">
      <c r="AB58" s="821"/>
      <c r="AC58" s="821"/>
      <c r="AD58" s="821"/>
      <c r="AE58" s="821"/>
      <c r="AF58" s="821"/>
      <c r="AG58" s="821"/>
      <c r="AH58" s="821"/>
      <c r="AI58" s="821"/>
      <c r="AJ58" s="821"/>
      <c r="AK58" s="821"/>
      <c r="AL58" s="821"/>
      <c r="AM58" s="821"/>
      <c r="AN58" s="821"/>
      <c r="AO58" s="821"/>
      <c r="AP58" s="821"/>
      <c r="AQ58" s="821"/>
      <c r="AR58" s="821"/>
    </row>
    <row r="59" spans="28:44" x14ac:dyDescent="0.25">
      <c r="AB59" s="821"/>
      <c r="AC59" s="821"/>
      <c r="AD59" s="821"/>
      <c r="AE59" s="821"/>
      <c r="AF59" s="821"/>
      <c r="AG59" s="821"/>
      <c r="AH59" s="821"/>
      <c r="AI59" s="821"/>
      <c r="AJ59" s="821"/>
      <c r="AK59" s="821"/>
      <c r="AL59" s="821"/>
      <c r="AM59" s="821"/>
      <c r="AN59" s="821"/>
      <c r="AO59" s="821"/>
      <c r="AP59" s="821"/>
      <c r="AQ59" s="821"/>
      <c r="AR59" s="821"/>
    </row>
    <row r="60" spans="28:44" x14ac:dyDescent="0.25">
      <c r="AB60" s="821"/>
      <c r="AC60" s="821"/>
      <c r="AD60" s="821"/>
      <c r="AE60" s="821"/>
      <c r="AF60" s="821"/>
      <c r="AG60" s="821"/>
      <c r="AH60" s="821"/>
      <c r="AI60" s="821"/>
      <c r="AJ60" s="821"/>
      <c r="AK60" s="821"/>
      <c r="AL60" s="821"/>
      <c r="AM60" s="821"/>
      <c r="AN60" s="821"/>
      <c r="AO60" s="821"/>
      <c r="AP60" s="821"/>
      <c r="AQ60" s="821"/>
      <c r="AR60" s="821"/>
    </row>
    <row r="61" spans="28:44" x14ac:dyDescent="0.25">
      <c r="AB61" s="821"/>
      <c r="AC61" s="821"/>
      <c r="AD61" s="821"/>
      <c r="AE61" s="821"/>
      <c r="AF61" s="821"/>
      <c r="AG61" s="821"/>
      <c r="AH61" s="821"/>
      <c r="AI61" s="821"/>
      <c r="AJ61" s="821"/>
      <c r="AK61" s="821"/>
      <c r="AL61" s="821"/>
      <c r="AM61" s="821"/>
      <c r="AN61" s="821"/>
      <c r="AO61" s="821"/>
      <c r="AP61" s="821"/>
      <c r="AQ61" s="821"/>
      <c r="AR61" s="821"/>
    </row>
  </sheetData>
  <mergeCells count="10">
    <mergeCell ref="B17:F17"/>
    <mergeCell ref="G17:O17"/>
    <mergeCell ref="Q17:Y17"/>
    <mergeCell ref="Z2:Z3"/>
    <mergeCell ref="A2:A3"/>
    <mergeCell ref="B2:F2"/>
    <mergeCell ref="G2:P2"/>
    <mergeCell ref="W2:Y2"/>
    <mergeCell ref="V2:V3"/>
    <mergeCell ref="Q2:U2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V50"/>
  <sheetViews>
    <sheetView showZeros="0" zoomScale="95" zoomScaleNormal="95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Q29" sqref="Q29"/>
    </sheetView>
  </sheetViews>
  <sheetFormatPr defaultRowHeight="13.2" x14ac:dyDescent="0.25"/>
  <cols>
    <col min="1" max="1" width="27.33203125" customWidth="1"/>
    <col min="2" max="2" width="8.5546875" customWidth="1"/>
    <col min="3" max="3" width="12.44140625" bestFit="1" customWidth="1"/>
    <col min="4" max="4" width="6.88671875" bestFit="1" customWidth="1"/>
    <col min="5" max="5" width="7.88671875" customWidth="1"/>
    <col min="6" max="6" width="11.33203125" bestFit="1" customWidth="1"/>
    <col min="7" max="7" width="9" bestFit="1" customWidth="1"/>
    <col min="8" max="8" width="8.88671875" bestFit="1" customWidth="1"/>
    <col min="9" max="9" width="11.33203125" customWidth="1"/>
    <col min="10" max="10" width="6.6640625" customWidth="1"/>
    <col min="11" max="11" width="8" style="3" bestFit="1" customWidth="1"/>
    <col min="12" max="12" width="11.6640625" style="3" customWidth="1"/>
    <col min="13" max="13" width="6.6640625" style="3" customWidth="1"/>
    <col min="14" max="14" width="10.44140625" bestFit="1" customWidth="1"/>
    <col min="15" max="15" width="11.33203125" customWidth="1"/>
    <col min="16" max="16" width="6.6640625" customWidth="1"/>
    <col min="17" max="17" width="8.5546875" customWidth="1"/>
    <col min="18" max="18" width="11.6640625" customWidth="1"/>
    <col min="19" max="19" width="6.88671875" customWidth="1"/>
    <col min="20" max="20" width="8" customWidth="1"/>
    <col min="21" max="21" width="12" customWidth="1"/>
    <col min="22" max="22" width="6.88671875" customWidth="1"/>
    <col min="23" max="23" width="9.88671875" customWidth="1"/>
    <col min="24" max="24" width="11.88671875" customWidth="1"/>
    <col min="25" max="25" width="7.33203125" customWidth="1"/>
    <col min="26" max="26" width="8.88671875" customWidth="1"/>
    <col min="27" max="27" width="10.88671875" customWidth="1"/>
    <col min="28" max="28" width="8.109375" customWidth="1"/>
    <col min="29" max="29" width="9.5546875" hidden="1" customWidth="1"/>
    <col min="30" max="30" width="11.109375" hidden="1" customWidth="1"/>
    <col min="31" max="31" width="6.88671875" hidden="1" customWidth="1"/>
    <col min="32" max="32" width="8.33203125" hidden="1" customWidth="1"/>
    <col min="33" max="33" width="11.88671875" hidden="1" customWidth="1"/>
    <col min="34" max="34" width="6.6640625" hidden="1" customWidth="1"/>
    <col min="35" max="35" width="8" hidden="1" customWidth="1"/>
    <col min="36" max="36" width="11.6640625" hidden="1" customWidth="1"/>
    <col min="37" max="37" width="11.109375" hidden="1" customWidth="1"/>
    <col min="38" max="38" width="9.109375" bestFit="1" customWidth="1"/>
    <col min="39" max="39" width="13.88671875" bestFit="1" customWidth="1"/>
    <col min="40" max="40" width="7.6640625" bestFit="1" customWidth="1"/>
    <col min="42" max="42" width="11.5546875" bestFit="1" customWidth="1"/>
    <col min="44" max="44" width="11.109375" bestFit="1" customWidth="1"/>
    <col min="45" max="45" width="6.6640625" bestFit="1" customWidth="1"/>
    <col min="46" max="46" width="11.109375" bestFit="1" customWidth="1"/>
    <col min="48" max="48" width="11.109375" bestFit="1" customWidth="1"/>
  </cols>
  <sheetData>
    <row r="1" spans="1:48" ht="16.2" thickBot="1" x14ac:dyDescent="0.3">
      <c r="A1" s="574" t="s">
        <v>608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170"/>
      <c r="AM1" s="170"/>
      <c r="AN1" s="171"/>
    </row>
    <row r="2" spans="1:48" x14ac:dyDescent="0.25">
      <c r="A2" s="181" t="s">
        <v>67</v>
      </c>
      <c r="B2" s="3308" t="s">
        <v>16</v>
      </c>
      <c r="C2" s="3309"/>
      <c r="D2" s="3310"/>
      <c r="E2" s="3311" t="s">
        <v>4</v>
      </c>
      <c r="F2" s="3312"/>
      <c r="G2" s="3313"/>
      <c r="H2" s="3308" t="s">
        <v>17</v>
      </c>
      <c r="I2" s="3309"/>
      <c r="J2" s="3310"/>
      <c r="K2" s="3314" t="s">
        <v>18</v>
      </c>
      <c r="L2" s="3315"/>
      <c r="M2" s="3316"/>
      <c r="N2" s="3308" t="s">
        <v>19</v>
      </c>
      <c r="O2" s="3309"/>
      <c r="P2" s="3310"/>
      <c r="Q2" s="3311" t="s">
        <v>20</v>
      </c>
      <c r="R2" s="3312"/>
      <c r="S2" s="3313"/>
      <c r="T2" s="3308" t="s">
        <v>13</v>
      </c>
      <c r="U2" s="3309"/>
      <c r="V2" s="3310"/>
      <c r="W2" s="3311" t="s">
        <v>5</v>
      </c>
      <c r="X2" s="3312"/>
      <c r="Y2" s="3313"/>
      <c r="Z2" s="3311" t="s">
        <v>6</v>
      </c>
      <c r="AA2" s="3312"/>
      <c r="AB2" s="3313"/>
      <c r="AC2" s="3311" t="s">
        <v>7</v>
      </c>
      <c r="AD2" s="3312"/>
      <c r="AE2" s="3313"/>
      <c r="AF2" s="3311" t="s">
        <v>8</v>
      </c>
      <c r="AG2" s="3312"/>
      <c r="AH2" s="3312"/>
      <c r="AI2" s="3311" t="s">
        <v>9</v>
      </c>
      <c r="AJ2" s="3312"/>
      <c r="AK2" s="3313"/>
      <c r="AL2" s="3311" t="s">
        <v>165</v>
      </c>
      <c r="AM2" s="3312"/>
      <c r="AN2" s="3313"/>
      <c r="AO2" s="144"/>
    </row>
    <row r="3" spans="1:48" ht="13.8" thickBot="1" x14ac:dyDescent="0.3">
      <c r="A3" s="182" t="s">
        <v>166</v>
      </c>
      <c r="B3" s="183" t="s">
        <v>10</v>
      </c>
      <c r="C3" s="185" t="s">
        <v>15</v>
      </c>
      <c r="D3" s="184" t="s">
        <v>14</v>
      </c>
      <c r="E3" s="183" t="s">
        <v>10</v>
      </c>
      <c r="F3" s="185" t="s">
        <v>15</v>
      </c>
      <c r="G3" s="184" t="s">
        <v>14</v>
      </c>
      <c r="H3" s="183" t="s">
        <v>10</v>
      </c>
      <c r="I3" s="185" t="s">
        <v>15</v>
      </c>
      <c r="J3" s="184" t="s">
        <v>14</v>
      </c>
      <c r="K3" s="719" t="s">
        <v>10</v>
      </c>
      <c r="L3" s="720" t="s">
        <v>15</v>
      </c>
      <c r="M3" s="721" t="s">
        <v>14</v>
      </c>
      <c r="N3" s="183" t="s">
        <v>10</v>
      </c>
      <c r="O3" s="185" t="s">
        <v>15</v>
      </c>
      <c r="P3" s="184" t="s">
        <v>14</v>
      </c>
      <c r="Q3" s="183" t="s">
        <v>10</v>
      </c>
      <c r="R3" s="185" t="s">
        <v>15</v>
      </c>
      <c r="S3" s="184" t="s">
        <v>14</v>
      </c>
      <c r="T3" s="183" t="s">
        <v>10</v>
      </c>
      <c r="U3" s="185" t="s">
        <v>15</v>
      </c>
      <c r="V3" s="184" t="s">
        <v>14</v>
      </c>
      <c r="W3" s="183" t="s">
        <v>10</v>
      </c>
      <c r="X3" s="185" t="s">
        <v>15</v>
      </c>
      <c r="Y3" s="184" t="s">
        <v>14</v>
      </c>
      <c r="Z3" s="183" t="s">
        <v>10</v>
      </c>
      <c r="AA3" s="185" t="s">
        <v>15</v>
      </c>
      <c r="AB3" s="184" t="s">
        <v>14</v>
      </c>
      <c r="AC3" s="183" t="s">
        <v>10</v>
      </c>
      <c r="AD3" s="185" t="s">
        <v>15</v>
      </c>
      <c r="AE3" s="184" t="s">
        <v>14</v>
      </c>
      <c r="AF3" s="183" t="s">
        <v>10</v>
      </c>
      <c r="AG3" s="185" t="s">
        <v>15</v>
      </c>
      <c r="AH3" s="184" t="s">
        <v>14</v>
      </c>
      <c r="AI3" s="183" t="s">
        <v>10</v>
      </c>
      <c r="AJ3" s="185" t="s">
        <v>15</v>
      </c>
      <c r="AK3" s="184" t="s">
        <v>14</v>
      </c>
      <c r="AL3" s="206" t="s">
        <v>10</v>
      </c>
      <c r="AM3" s="207" t="s">
        <v>15</v>
      </c>
      <c r="AN3" s="208" t="s">
        <v>14</v>
      </c>
    </row>
    <row r="4" spans="1:48" ht="13.8" thickBot="1" x14ac:dyDescent="0.3">
      <c r="A4" s="2767" t="s">
        <v>167</v>
      </c>
      <c r="B4" s="212">
        <f>SUM(B5:B10)</f>
        <v>9420.7000000000007</v>
      </c>
      <c r="C4" s="847">
        <f>SUM(C5:C10)</f>
        <v>2400272</v>
      </c>
      <c r="D4" s="454">
        <f>IF(B4=0,0,C4/B4)</f>
        <v>254.78701158088037</v>
      </c>
      <c r="E4" s="212">
        <f>SUM(E5:E10)</f>
        <v>6529</v>
      </c>
      <c r="F4" s="847">
        <f>SUM(F5:F10)</f>
        <v>1650409</v>
      </c>
      <c r="G4" s="454">
        <f t="shared" ref="G4:G9" si="0">IF(E4=0,0,F4/E4)</f>
        <v>252.78128350436515</v>
      </c>
      <c r="H4" s="212">
        <f>SUM(H5:H10)</f>
        <v>0</v>
      </c>
      <c r="I4" s="847">
        <f>SUM(I5:I10)</f>
        <v>0</v>
      </c>
      <c r="J4" s="454">
        <f>IF(H4=0,0,I4/H4)</f>
        <v>0</v>
      </c>
      <c r="K4" s="212">
        <f>SUM(K5:K10)</f>
        <v>0</v>
      </c>
      <c r="L4" s="847">
        <f>SUM(L5:L10)</f>
        <v>0</v>
      </c>
      <c r="M4" s="454">
        <f>IF(K4=0,0,L4/K4)</f>
        <v>0</v>
      </c>
      <c r="N4" s="212">
        <f>SUM(N5:N10)</f>
        <v>0</v>
      </c>
      <c r="O4" s="847">
        <f>SUM(O5:O10)</f>
        <v>0</v>
      </c>
      <c r="P4" s="454">
        <f>IF(N4=0,0,O4/N4)</f>
        <v>0</v>
      </c>
      <c r="Q4" s="212">
        <f>SUM(Q5:Q10)</f>
        <v>0</v>
      </c>
      <c r="R4" s="847">
        <f>SUM(R5:R10)</f>
        <v>0</v>
      </c>
      <c r="S4" s="454">
        <f>IF(Q4=0,0,R4/Q4)</f>
        <v>0</v>
      </c>
      <c r="T4" s="212">
        <f>SUM(T5:T10)</f>
        <v>0</v>
      </c>
      <c r="U4" s="847">
        <f>SUM(U5:U10)</f>
        <v>0</v>
      </c>
      <c r="V4" s="454">
        <f>IF(T4=0,0,U4/T4)</f>
        <v>0</v>
      </c>
      <c r="W4" s="212">
        <f>SUM(W5:W10)</f>
        <v>0</v>
      </c>
      <c r="X4" s="847">
        <f>SUM(X5:X10)</f>
        <v>0</v>
      </c>
      <c r="Y4" s="454">
        <f>IF(W4=0,0,X4/W4)</f>
        <v>0</v>
      </c>
      <c r="Z4" s="212">
        <f>SUM(Z5:Z10)</f>
        <v>0</v>
      </c>
      <c r="AA4" s="847">
        <f>SUM(AA5:AA10)</f>
        <v>0</v>
      </c>
      <c r="AB4" s="454">
        <f>IF(Z4=0,0,AA4/Z4)</f>
        <v>0</v>
      </c>
      <c r="AC4" s="212">
        <f>SUM(AC5:AC8)</f>
        <v>0</v>
      </c>
      <c r="AD4" s="453">
        <f>SUM(AD5:AD8)</f>
        <v>0</v>
      </c>
      <c r="AE4" s="454">
        <f>IF(AC4=0,0,AD4/AC4)</f>
        <v>0</v>
      </c>
      <c r="AF4" s="212">
        <f>SUM(AF5:AF8)</f>
        <v>0</v>
      </c>
      <c r="AG4" s="453">
        <f>SUM(AG5:AG8)</f>
        <v>0</v>
      </c>
      <c r="AH4" s="454">
        <f>IF(AF4=0,0,AG4/AF4)</f>
        <v>0</v>
      </c>
      <c r="AI4" s="212">
        <f>SUM(AI5:AI8)</f>
        <v>0</v>
      </c>
      <c r="AJ4" s="453">
        <f>SUM(AJ5:AJ8)</f>
        <v>0</v>
      </c>
      <c r="AK4" s="454">
        <f>IF(AI4=0,0,AJ4/AI4)</f>
        <v>0</v>
      </c>
      <c r="AL4" s="212">
        <f>SUM(AL5:AL10)</f>
        <v>15949.7</v>
      </c>
      <c r="AM4" s="847">
        <f>SUM(AM5:AM10)</f>
        <v>4050681</v>
      </c>
      <c r="AN4" s="848">
        <f t="shared" ref="AN4:AN7" si="1">IF(AL4=0,0,AM4/AL4)</f>
        <v>253.96596801193752</v>
      </c>
      <c r="AO4">
        <f>' Qty Analysis'!AL121-' Qty Analysis'!AL119</f>
        <v>15949.6</v>
      </c>
      <c r="AP4" s="2">
        <f>AO4-AL4</f>
        <v>-0.1000000000003638</v>
      </c>
      <c r="AV4" s="8">
        <f>AM4-AM8</f>
        <v>1631821</v>
      </c>
    </row>
    <row r="5" spans="1:48" x14ac:dyDescent="0.25">
      <c r="A5" s="2765" t="s">
        <v>954</v>
      </c>
      <c r="B5" s="132">
        <f>ROUND(('Inventory Sales'!B12+'Inventory Sales'!B15),0)</f>
        <v>1603</v>
      </c>
      <c r="C5" s="458">
        <f>'Inventory Sales'!D12+'Inventory Sales'!D15</f>
        <v>421370</v>
      </c>
      <c r="D5" s="188">
        <f>IF(B5=0,0,C5/B5)</f>
        <v>262.86338116032437</v>
      </c>
      <c r="E5" s="132">
        <f>'Inventory Sales'!E12</f>
        <v>1087</v>
      </c>
      <c r="F5" s="458">
        <f>ROUND(('Inventory Sales'!G12+'Inventory Sales'!G15),0)</f>
        <v>333198</v>
      </c>
      <c r="G5" s="188">
        <f t="shared" si="0"/>
        <v>306.52989880404783</v>
      </c>
      <c r="H5" s="132">
        <f>ROUND(('Inventory Sales'!H12),0)</f>
        <v>0</v>
      </c>
      <c r="I5" s="458">
        <f>ROUND(('Inventory Sales'!J12),0)</f>
        <v>0</v>
      </c>
      <c r="J5" s="188">
        <f>IF(H5=0,0,I5/H5)</f>
        <v>0</v>
      </c>
      <c r="K5" s="132">
        <f>ROUND(('Inventory Sales'!K12),0)</f>
        <v>0</v>
      </c>
      <c r="L5" s="458">
        <f>ROUND(('Inventory Sales'!M12),0)</f>
        <v>0</v>
      </c>
      <c r="M5" s="188">
        <f>IF(K5=0,0,L5/K5)</f>
        <v>0</v>
      </c>
      <c r="N5" s="132">
        <f>ROUND(('Inventory Sales'!N12),0)</f>
        <v>0</v>
      </c>
      <c r="O5" s="458">
        <f>ROUND(('Inventory Sales'!P12),0)</f>
        <v>0</v>
      </c>
      <c r="P5" s="188">
        <f>IF(N5=0,0,O5/N5)</f>
        <v>0</v>
      </c>
      <c r="Q5" s="132">
        <f>ROUND(('Inventory Sales'!Q12),0)+ROUND(('Inventory Sales'!Q15),0)</f>
        <v>0</v>
      </c>
      <c r="R5" s="458">
        <f>ROUND(('Inventory Sales'!S12+'Inventory Sales'!S15),0)</f>
        <v>0</v>
      </c>
      <c r="S5" s="188">
        <f>IF(Q5=0,0,R5/Q5)</f>
        <v>0</v>
      </c>
      <c r="T5" s="132">
        <f>ROUND(('Inventory Sales'!T12),0)+ROUND(('Inventory Sales'!T15),0)</f>
        <v>0</v>
      </c>
      <c r="U5" s="458">
        <f>ROUND(('Inventory Sales'!V12),0)+ROUND(('Inventory Sales'!V15),0)</f>
        <v>0</v>
      </c>
      <c r="V5" s="188">
        <f>IF(T5=0,0,U5/T5)</f>
        <v>0</v>
      </c>
      <c r="W5" s="132">
        <f>ROUND(('Inventory Sales'!W12),0)+'Inventory Sales'!W15+'Inventory Sales'!W16</f>
        <v>0</v>
      </c>
      <c r="X5" s="458">
        <f>ROUND(('Inventory Sales'!Y12),0)+ROUND(('Inventory Sales'!Y15),0)</f>
        <v>0</v>
      </c>
      <c r="Y5" s="188">
        <f>IF(W5=0,0,X5/W5)</f>
        <v>0</v>
      </c>
      <c r="Z5" s="132">
        <f>ROUND(('Inventory Sales'!Z12),0)+'Inventory Sales'!Z15</f>
        <v>0</v>
      </c>
      <c r="AA5" s="458">
        <f>ROUND(('Inventory Sales'!AB12),0)+ROUND(('Inventory Sales'!AB15),0)</f>
        <v>0</v>
      </c>
      <c r="AB5" s="188">
        <f>IF(Z5=0,0,AA5/Z5)</f>
        <v>0</v>
      </c>
      <c r="AC5" s="132">
        <f>ROUND(('Inventory Sales'!AC12),0)+'Inventory Sales'!AC15</f>
        <v>0</v>
      </c>
      <c r="AD5" s="458">
        <f>ROUND(('Inventory Sales'!AE12),0)+ROUND(('Inventory Sales'!AE15),0)</f>
        <v>0</v>
      </c>
      <c r="AE5" s="188">
        <f>IF(AC5=0,0,AD5/AC5)</f>
        <v>0</v>
      </c>
      <c r="AF5" s="132">
        <f>ROUND(('Inventory Sales'!AF12),0)+'Inventory Sales'!AF15</f>
        <v>0</v>
      </c>
      <c r="AG5" s="458">
        <f>ROUND(('Inventory Sales'!AH12),0)+ROUND(('Inventory Sales'!AH15),0)</f>
        <v>0</v>
      </c>
      <c r="AH5" s="188">
        <f>IF(AF5=0,0,AG5/AF5)</f>
        <v>0</v>
      </c>
      <c r="AI5" s="132">
        <f>ROUND(('Inventory Sales'!AI12),0)+'Inventory Sales'!AI15</f>
        <v>0</v>
      </c>
      <c r="AJ5" s="458">
        <f>ROUND(('Inventory Sales'!AK12),0)+ROUND(('Inventory Sales'!AK15),0)</f>
        <v>0</v>
      </c>
      <c r="AK5" s="188">
        <f>IF(AI5=0,0,AJ5/AI5)</f>
        <v>0</v>
      </c>
      <c r="AL5" s="850">
        <f>SUM(B5,E5,H5,K5,N5,Q5,T5,W5,Z5,AC5,AF5,AI5)</f>
        <v>2690</v>
      </c>
      <c r="AM5" s="851">
        <f>SUM(C5,F5,I5,L5,O5,R5,U5,X5,AA5,AD5,AG5,AJ5)</f>
        <v>754568</v>
      </c>
      <c r="AN5" s="852">
        <f>IF(AL5=0,0,AM5/AL5)</f>
        <v>280.50855018587362</v>
      </c>
      <c r="AR5" s="980" t="s">
        <v>174</v>
      </c>
      <c r="AS5" s="8">
        <f>G5-G12</f>
        <v>65.877644894204224</v>
      </c>
      <c r="AT5">
        <f>ROUND((E5*AS5),0)</f>
        <v>71609</v>
      </c>
      <c r="AV5" s="8">
        <f>AM17-AM13</f>
        <v>1474829</v>
      </c>
    </row>
    <row r="6" spans="1:48" x14ac:dyDescent="0.25">
      <c r="A6" s="187" t="s">
        <v>955</v>
      </c>
      <c r="B6" s="998">
        <f>ROUND(('Inventory Sales'!B13),0)</f>
        <v>544</v>
      </c>
      <c r="C6" s="458">
        <f>ROUND(('Inventory Sales'!D13),0)</f>
        <v>175653</v>
      </c>
      <c r="D6" s="188">
        <f t="shared" ref="D6:D13" si="2">IF(B6=0,0,C6/B6)</f>
        <v>322.89154411764707</v>
      </c>
      <c r="E6" s="132">
        <f>ROUND(('Inventory Sales'!E13),0)</f>
        <v>24</v>
      </c>
      <c r="F6" s="458">
        <f>ROUND(('Inventory Sales'!G13),0)</f>
        <v>7500</v>
      </c>
      <c r="G6" s="188">
        <f t="shared" si="0"/>
        <v>312.5</v>
      </c>
      <c r="H6" s="132">
        <f>ROUND(('Inventory Sales'!H13),0)</f>
        <v>0</v>
      </c>
      <c r="I6" s="458">
        <f>ROUND(('Inventory Sales'!J13),0)</f>
        <v>0</v>
      </c>
      <c r="J6" s="188">
        <f t="shared" ref="J6:J16" si="3">IF(H6=0,0,I6/H6)</f>
        <v>0</v>
      </c>
      <c r="K6" s="132">
        <f>ROUND(('Inventory Sales'!K13),0)</f>
        <v>0</v>
      </c>
      <c r="L6" s="458">
        <f>ROUND(('Inventory Sales'!M13),0)</f>
        <v>0</v>
      </c>
      <c r="M6" s="188">
        <f>IF(K6=0,0,L6/K6)</f>
        <v>0</v>
      </c>
      <c r="N6" s="132">
        <f>ROUND(('Inventory Sales'!N13),0)</f>
        <v>0</v>
      </c>
      <c r="O6" s="458">
        <f>ROUND(('Inventory Sales'!P13),0)</f>
        <v>0</v>
      </c>
      <c r="P6" s="188">
        <f t="shared" ref="P6:P16" si="4">IF(N6=0,0,O6/N6)</f>
        <v>0</v>
      </c>
      <c r="Q6" s="132">
        <f>ROUND(('Inventory Sales'!Q13),0)</f>
        <v>0</v>
      </c>
      <c r="R6" s="458">
        <f>ROUND(('Inventory Sales'!S13),0)</f>
        <v>0</v>
      </c>
      <c r="S6" s="188">
        <f>IF(Q6=0,0,R6/Q6)</f>
        <v>0</v>
      </c>
      <c r="T6" s="132">
        <f>ROUND(('Inventory Sales'!T13),0)</f>
        <v>0</v>
      </c>
      <c r="U6" s="458">
        <f>ROUND(('Inventory Sales'!V13),0)</f>
        <v>0</v>
      </c>
      <c r="V6" s="188">
        <f t="shared" ref="V6:V16" si="5">IF(T6=0,0,U6/T6)</f>
        <v>0</v>
      </c>
      <c r="W6" s="132">
        <f>ROUND(('Inventory Sales'!W13),0)</f>
        <v>0</v>
      </c>
      <c r="X6" s="458">
        <f>ROUND(('Inventory Sales'!Y13),0)</f>
        <v>0</v>
      </c>
      <c r="Y6" s="188">
        <f t="shared" ref="Y6:Y14" si="6">IF(W6=0,0,X6/W6)</f>
        <v>0</v>
      </c>
      <c r="Z6" s="132">
        <f>ROUND(('Inventory Sales'!Z13),0)</f>
        <v>0</v>
      </c>
      <c r="AA6" s="458">
        <f>ROUND(('Inventory Sales'!AB13),0)</f>
        <v>0</v>
      </c>
      <c r="AB6" s="188">
        <f t="shared" ref="AB6:AB14" si="7">IF(Z6=0,0,AA6/Z6)</f>
        <v>0</v>
      </c>
      <c r="AC6" s="132">
        <f>ROUND(('Inventory Sales'!AC13),0)</f>
        <v>0</v>
      </c>
      <c r="AD6" s="458">
        <f>ROUND(('Inventory Sales'!AE13),0)</f>
        <v>0</v>
      </c>
      <c r="AE6" s="188">
        <f t="shared" ref="AE6:AE12" si="8">IF(AC6=0,0,AD6/AC6)</f>
        <v>0</v>
      </c>
      <c r="AF6" s="132">
        <f>ROUND(('Inventory Sales'!AF13),0)</f>
        <v>0</v>
      </c>
      <c r="AG6" s="458">
        <f>ROUND(('Inventory Sales'!AH13),0)</f>
        <v>0</v>
      </c>
      <c r="AH6" s="188">
        <f t="shared" ref="AH6:AH14" si="9">IF(AF6=0,0,AG6/AF6)</f>
        <v>0</v>
      </c>
      <c r="AI6" s="132">
        <f>ROUND(('Inventory Sales'!AI13),0)</f>
        <v>0</v>
      </c>
      <c r="AJ6" s="458">
        <f>ROUND(('Inventory Sales'!AK13),0)</f>
        <v>0</v>
      </c>
      <c r="AK6" s="188">
        <f t="shared" ref="AK6:AK14" si="10">IF(AI6=0,0,AJ6/AI6)</f>
        <v>0</v>
      </c>
      <c r="AL6" s="850">
        <f t="shared" ref="AL6:AL8" si="11">SUM(B6,E6,H6,K6,N6,Q6,T6,W6,Z6,AC6,AF6,AI6)</f>
        <v>568</v>
      </c>
      <c r="AM6" s="851">
        <f t="shared" ref="AM6:AM8" si="12">SUM(C6,F6,I6,L6,O6,R6,U6,X6,AA6,AD6,AG6,AJ6)</f>
        <v>183153</v>
      </c>
      <c r="AN6" s="852">
        <f t="shared" si="1"/>
        <v>322.45246478873241</v>
      </c>
      <c r="AR6" s="980" t="s">
        <v>175</v>
      </c>
      <c r="AS6" s="8">
        <f>G6-G14</f>
        <v>60.9375</v>
      </c>
      <c r="AT6">
        <f>ROUND((E6*AS6),0)</f>
        <v>1463</v>
      </c>
    </row>
    <row r="7" spans="1:48" x14ac:dyDescent="0.25">
      <c r="A7" s="210" t="s">
        <v>956</v>
      </c>
      <c r="B7" s="132">
        <f>'Inventory Sales'!B17-0.3</f>
        <v>1149.7</v>
      </c>
      <c r="C7" s="458">
        <f>'Inventory Sales'!D17</f>
        <v>288500</v>
      </c>
      <c r="D7" s="188">
        <f t="shared" si="2"/>
        <v>250.93502652865965</v>
      </c>
      <c r="E7" s="132">
        <f>ROUND((' Qty Analysis'!E117),0)</f>
        <v>1690</v>
      </c>
      <c r="F7" s="458">
        <f>ROUND(('Inventory Sales'!G17),0)</f>
        <v>405600</v>
      </c>
      <c r="G7" s="188">
        <f t="shared" si="0"/>
        <v>240</v>
      </c>
      <c r="H7" s="132">
        <f>ROUND(('Inventory Sales'!H17),0)</f>
        <v>0</v>
      </c>
      <c r="I7" s="458">
        <f>ROUND(('Inventory Sales'!J17),0)</f>
        <v>0</v>
      </c>
      <c r="J7" s="188">
        <f t="shared" si="3"/>
        <v>0</v>
      </c>
      <c r="K7" s="132">
        <f>ROUND(('Inventory Sales'!K17),0)</f>
        <v>0</v>
      </c>
      <c r="L7" s="458">
        <f>ROUND(('Inventory Sales'!M17),0)</f>
        <v>0</v>
      </c>
      <c r="M7" s="188">
        <f t="shared" ref="M7" si="13">IF(K7=0,0,L7/K7)</f>
        <v>0</v>
      </c>
      <c r="N7" s="132">
        <f>ROUND(('Inventory Sales'!N17),0)</f>
        <v>0</v>
      </c>
      <c r="O7" s="458">
        <f>ROUND(('Inventory Sales'!P17),0)</f>
        <v>0</v>
      </c>
      <c r="P7" s="188">
        <f t="shared" si="4"/>
        <v>0</v>
      </c>
      <c r="Q7" s="132">
        <f>ROUND(('Inventory Sales'!Q17),0)</f>
        <v>0</v>
      </c>
      <c r="R7" s="458">
        <f>ROUND(('Inventory Sales'!S17),0)</f>
        <v>0</v>
      </c>
      <c r="S7" s="188">
        <f t="shared" ref="S7" si="14">IF(Q7=0,0,R7/Q7)</f>
        <v>0</v>
      </c>
      <c r="T7" s="132">
        <f>ROUND(('Inventory Sales'!T17),0)</f>
        <v>0</v>
      </c>
      <c r="U7" s="458">
        <f>ROUND(('Inventory Sales'!V17),0)</f>
        <v>0</v>
      </c>
      <c r="V7" s="188">
        <f t="shared" si="5"/>
        <v>0</v>
      </c>
      <c r="W7" s="132">
        <f>ROUND(('Inventory Sales'!W17),0)</f>
        <v>0</v>
      </c>
      <c r="X7" s="458">
        <f>ROUND(('Inventory Sales'!Y17),0)</f>
        <v>0</v>
      </c>
      <c r="Y7" s="188">
        <f t="shared" si="6"/>
        <v>0</v>
      </c>
      <c r="Z7" s="132">
        <f>ROUND(('Inventory Sales'!Z17),0)</f>
        <v>0</v>
      </c>
      <c r="AA7" s="458">
        <f>ROUND(('Inventory Sales'!AB17),0)</f>
        <v>0</v>
      </c>
      <c r="AB7" s="188">
        <f t="shared" si="7"/>
        <v>0</v>
      </c>
      <c r="AC7" s="132">
        <f>ROUND(('Inventory Sales'!AC17),0)</f>
        <v>0</v>
      </c>
      <c r="AD7" s="458">
        <f>ROUND(('Inventory Sales'!AE17),0)</f>
        <v>0</v>
      </c>
      <c r="AE7" s="188">
        <f t="shared" si="8"/>
        <v>0</v>
      </c>
      <c r="AF7" s="132">
        <f>ROUND(('Inventory Sales'!AF17),0)</f>
        <v>0</v>
      </c>
      <c r="AG7" s="458">
        <f>ROUND(('Inventory Sales'!AH17),0)</f>
        <v>0</v>
      </c>
      <c r="AH7" s="188">
        <f t="shared" si="9"/>
        <v>0</v>
      </c>
      <c r="AI7" s="132">
        <f>ROUND(('Inventory Sales'!AI17),0)</f>
        <v>0</v>
      </c>
      <c r="AJ7" s="458">
        <f>ROUND(('Inventory Sales'!AK17),0)</f>
        <v>0</v>
      </c>
      <c r="AK7" s="188">
        <f t="shared" si="10"/>
        <v>0</v>
      </c>
      <c r="AL7" s="850">
        <f t="shared" si="11"/>
        <v>2839.7</v>
      </c>
      <c r="AM7" s="851">
        <f t="shared" si="12"/>
        <v>694100</v>
      </c>
      <c r="AN7" s="852">
        <f t="shared" si="1"/>
        <v>244.427228228334</v>
      </c>
      <c r="AR7" s="980" t="s">
        <v>544</v>
      </c>
      <c r="AS7" s="8">
        <f>G7-G16</f>
        <v>240</v>
      </c>
      <c r="AT7">
        <f>ROUND((E7*AS7),0)</f>
        <v>405600</v>
      </c>
    </row>
    <row r="8" spans="1:48" x14ac:dyDescent="0.25">
      <c r="A8" s="187" t="s">
        <v>178</v>
      </c>
      <c r="B8" s="132">
        <f>ROUND(('Inventory Sales'!B14),0)</f>
        <v>6124</v>
      </c>
      <c r="C8" s="458">
        <f>ROUND(('Inventory Sales'!D14),0)</f>
        <v>1514749</v>
      </c>
      <c r="D8" s="188">
        <f t="shared" si="2"/>
        <v>247.34634225996081</v>
      </c>
      <c r="E8" s="132">
        <f>ROUND((' Qty Analysis'!E120),0)</f>
        <v>3728</v>
      </c>
      <c r="F8" s="458">
        <f>ROUND(('Inventory Sales'!G14),0)</f>
        <v>904111</v>
      </c>
      <c r="G8" s="188">
        <f t="shared" si="0"/>
        <v>242.51904506437768</v>
      </c>
      <c r="H8" s="132">
        <f>ROUND(('Inventory Sales'!H14),0)</f>
        <v>0</v>
      </c>
      <c r="I8" s="458">
        <f>ROUND(('Inventory Sales'!J14),0)</f>
        <v>0</v>
      </c>
      <c r="J8" s="188">
        <f t="shared" si="3"/>
        <v>0</v>
      </c>
      <c r="K8" s="132">
        <f>ROUND(('Inventory Sales'!K14),0)</f>
        <v>0</v>
      </c>
      <c r="L8" s="458">
        <f>ROUND(('Inventory Sales'!M14),0)</f>
        <v>0</v>
      </c>
      <c r="M8" s="188">
        <f>IF(K8=0,0,L8/K8)</f>
        <v>0</v>
      </c>
      <c r="N8" s="132">
        <f>ROUND(('Inventory Sales'!N14),0)</f>
        <v>0</v>
      </c>
      <c r="O8" s="458">
        <f>'Inventory Sales'!P14</f>
        <v>0</v>
      </c>
      <c r="P8" s="188">
        <f t="shared" si="4"/>
        <v>0</v>
      </c>
      <c r="Q8" s="132">
        <f>ROUND(('Inventory Sales'!Q14),0)</f>
        <v>0</v>
      </c>
      <c r="R8" s="458">
        <f>ROUND(('Inventory Sales'!S14),0)</f>
        <v>0</v>
      </c>
      <c r="S8" s="188">
        <f t="shared" ref="S8:S16" si="15">IF(Q8=0,0,R8/Q8)</f>
        <v>0</v>
      </c>
      <c r="T8" s="132">
        <f>ROUND(('Inventory Sales'!T14),0)</f>
        <v>0</v>
      </c>
      <c r="U8" s="458">
        <f>ROUND(('Inventory Sales'!V14),0)</f>
        <v>0</v>
      </c>
      <c r="V8" s="188">
        <f>IF(T8=0,0,U8/T8)</f>
        <v>0</v>
      </c>
      <c r="W8" s="132">
        <f>ROUND(('Inventory Sales'!W14),0)</f>
        <v>0</v>
      </c>
      <c r="X8" s="458">
        <f>ROUND(('Inventory Sales'!Y14),0)</f>
        <v>0</v>
      </c>
      <c r="Y8" s="188">
        <f t="shared" si="6"/>
        <v>0</v>
      </c>
      <c r="Z8" s="132">
        <f>ROUND(('Inventory Sales'!Z14),0)</f>
        <v>0</v>
      </c>
      <c r="AA8" s="458">
        <f>ROUND(('Inventory Sales'!AB14),0)</f>
        <v>0</v>
      </c>
      <c r="AB8" s="188">
        <f t="shared" si="7"/>
        <v>0</v>
      </c>
      <c r="AC8" s="132">
        <f>ROUND(('Inventory Sales'!AC14),0)</f>
        <v>0</v>
      </c>
      <c r="AD8" s="458">
        <f>ROUND(('Inventory Sales'!AE14),0)</f>
        <v>0</v>
      </c>
      <c r="AE8" s="188">
        <f t="shared" si="8"/>
        <v>0</v>
      </c>
      <c r="AF8" s="132">
        <f>ROUND(('Inventory Sales'!AF14),0)</f>
        <v>0</v>
      </c>
      <c r="AG8" s="458">
        <f>ROUND(('Inventory Sales'!AH14),0)</f>
        <v>0</v>
      </c>
      <c r="AH8" s="188">
        <f>IF(AF8=0,0,AG8/AF8)</f>
        <v>0</v>
      </c>
      <c r="AI8" s="132">
        <f>ROUND(('Inventory Sales'!AI14),0)</f>
        <v>0</v>
      </c>
      <c r="AJ8" s="458">
        <f>'Inventory Sales'!AK14</f>
        <v>0</v>
      </c>
      <c r="AK8" s="188">
        <f t="shared" si="10"/>
        <v>0</v>
      </c>
      <c r="AL8" s="850">
        <f t="shared" si="11"/>
        <v>9852</v>
      </c>
      <c r="AM8" s="851">
        <f t="shared" si="12"/>
        <v>2418860</v>
      </c>
      <c r="AN8" s="852">
        <f>IF(AL8=0,0,AM8/AL8)</f>
        <v>245.51969143321153</v>
      </c>
      <c r="AR8" s="980" t="s">
        <v>269</v>
      </c>
      <c r="AS8" s="8">
        <f>G8-G13</f>
        <v>22.517703862660937</v>
      </c>
      <c r="AT8">
        <f>ROUND((E8*AS8),0)</f>
        <v>83946</v>
      </c>
    </row>
    <row r="9" spans="1:48" x14ac:dyDescent="0.25">
      <c r="A9" s="2765" t="s">
        <v>201</v>
      </c>
      <c r="B9" s="131"/>
      <c r="C9" s="205"/>
      <c r="D9" s="455">
        <f>IF(B9=0,0,C9/B9)</f>
        <v>0</v>
      </c>
      <c r="E9" s="131"/>
      <c r="F9" s="205"/>
      <c r="G9" s="455">
        <f t="shared" si="0"/>
        <v>0</v>
      </c>
      <c r="H9" s="131"/>
      <c r="I9" s="205"/>
      <c r="J9" s="455"/>
      <c r="K9" s="131"/>
      <c r="L9" s="205"/>
      <c r="M9" s="455"/>
      <c r="N9" s="131">
        <f>'Inventory Sales'!N15</f>
        <v>0</v>
      </c>
      <c r="O9" s="532">
        <f>'Inventory Sales'!P15</f>
        <v>0</v>
      </c>
      <c r="P9" s="455">
        <f>IF(N9=0,0,O9/N9)</f>
        <v>0</v>
      </c>
      <c r="Q9" s="131"/>
      <c r="R9" s="205"/>
      <c r="S9" s="455"/>
      <c r="T9" s="131"/>
      <c r="U9" s="205"/>
      <c r="V9" s="455">
        <f>IF(T9=0,0,U9/T9)</f>
        <v>0</v>
      </c>
      <c r="W9" s="131"/>
      <c r="X9" s="205"/>
      <c r="Y9" s="455">
        <f>IF(W9=0,0,X9/W9)</f>
        <v>0</v>
      </c>
      <c r="Z9" s="131"/>
      <c r="AA9" s="205"/>
      <c r="AB9" s="455">
        <f>IF(Z9=0,0,AA9/Z9)</f>
        <v>0</v>
      </c>
      <c r="AC9" s="131"/>
      <c r="AD9" s="205"/>
      <c r="AE9" s="455">
        <f>IF(AC9=0,0,AD9/AC9)</f>
        <v>0</v>
      </c>
      <c r="AF9" s="131"/>
      <c r="AG9" s="205"/>
      <c r="AH9" s="455">
        <f>IF(AF9=0,0,AG9/AF9)</f>
        <v>0</v>
      </c>
      <c r="AI9" s="131"/>
      <c r="AJ9" s="205"/>
      <c r="AK9" s="455">
        <f>IF(AI9=0,0,AJ9/AI9)</f>
        <v>0</v>
      </c>
      <c r="AL9" s="849">
        <f>SUM(B9,E9,H9,K9,N9,Q9,T9,W9,Z9,AC9,AF9,AI9)</f>
        <v>0</v>
      </c>
      <c r="AM9" s="2766">
        <f>SUM(C9,F9,I9,L9,O9,R9,U9,X9,AA9,AD9,AG9,AJ9)</f>
        <v>0</v>
      </c>
      <c r="AN9" s="858">
        <f>IF(AL9=0,0,AM9/AL9)</f>
        <v>0</v>
      </c>
      <c r="AR9" s="980"/>
      <c r="AS9" s="8"/>
    </row>
    <row r="10" spans="1:48" ht="13.8" thickBot="1" x14ac:dyDescent="0.3">
      <c r="A10" s="211" t="s">
        <v>581</v>
      </c>
      <c r="B10" s="133"/>
      <c r="C10" s="228"/>
      <c r="D10" s="456"/>
      <c r="E10" s="133"/>
      <c r="F10" s="228"/>
      <c r="G10" s="456"/>
      <c r="H10" s="133">
        <f>'Inventory Sales'!H16</f>
        <v>0</v>
      </c>
      <c r="I10" s="228">
        <f>'Inventory Sales'!J16</f>
        <v>0</v>
      </c>
      <c r="J10" s="456">
        <f>IF(H10=0,0,I10/H10)</f>
        <v>0</v>
      </c>
      <c r="K10" s="133"/>
      <c r="L10" s="228"/>
      <c r="M10" s="456" t="e">
        <f>L10/K10</f>
        <v>#DIV/0!</v>
      </c>
      <c r="N10" s="133"/>
      <c r="O10" s="228"/>
      <c r="P10" s="456"/>
      <c r="Q10" s="133">
        <f>ROUND(('Inventory Sales'!Q16),0)</f>
        <v>0</v>
      </c>
      <c r="R10" s="228">
        <f>ROUND(('Inventory Sales'!S16),)</f>
        <v>0</v>
      </c>
      <c r="S10" s="456">
        <f>IF(Q10=0,0,R10/Q10)</f>
        <v>0</v>
      </c>
      <c r="T10" s="133">
        <f>ROUND(('Inventory Sales'!T16),0)</f>
        <v>0</v>
      </c>
      <c r="U10" s="228">
        <f>ROUND(('Inventory Sales'!V16),)</f>
        <v>0</v>
      </c>
      <c r="V10" s="456">
        <f>IF(T10=0,0,U10/T10)</f>
        <v>0</v>
      </c>
      <c r="W10" s="133"/>
      <c r="X10" s="228"/>
      <c r="Y10" s="456"/>
      <c r="Z10" s="133">
        <f>'Inventory Sales'!Z16</f>
        <v>0</v>
      </c>
      <c r="AA10" s="228">
        <f>'Inventory Sales'!AB16</f>
        <v>0</v>
      </c>
      <c r="AB10" s="456">
        <f>IF(Z10=0,0,AA10/Z10)</f>
        <v>0</v>
      </c>
      <c r="AC10" s="133"/>
      <c r="AD10" s="228"/>
      <c r="AE10" s="456"/>
      <c r="AF10" s="133"/>
      <c r="AG10" s="228"/>
      <c r="AH10" s="456"/>
      <c r="AI10" s="228"/>
      <c r="AJ10" s="2768"/>
      <c r="AK10" s="456">
        <f>IF(AI10=0,0,AJ10/AI10)</f>
        <v>0</v>
      </c>
      <c r="AL10" s="853">
        <f>SUM(B10,E10,H10,K10,N10,Q10,T10,W10,Z10,AC10,AF10,AI10)</f>
        <v>0</v>
      </c>
      <c r="AM10" s="164">
        <f>SUM(C10,F10,I10,L10,O10,R10,U10,X10,AA10,AD10,AG10,AJ10)</f>
        <v>0</v>
      </c>
      <c r="AN10" s="854">
        <f>IF(AL10=0,0,AM10/AL10)</f>
        <v>0</v>
      </c>
      <c r="AR10" s="980"/>
      <c r="AS10" s="8"/>
    </row>
    <row r="11" spans="1:48" x14ac:dyDescent="0.25">
      <c r="A11" s="569" t="s">
        <v>71</v>
      </c>
      <c r="B11" s="533">
        <f>B45</f>
        <v>1005</v>
      </c>
      <c r="C11" s="405">
        <f>ROUND(C45,0)</f>
        <v>226435</v>
      </c>
      <c r="D11" s="457">
        <f>IF(B11=0,0,C11/B11)</f>
        <v>225.3084577114428</v>
      </c>
      <c r="E11" s="533">
        <f>B18</f>
        <v>941</v>
      </c>
      <c r="F11" s="405">
        <f>C18</f>
        <v>224652</v>
      </c>
      <c r="G11" s="457">
        <f>IF(E11=0,0,F11/E11)</f>
        <v>238.7375132837407</v>
      </c>
      <c r="H11" s="533">
        <f>IF(H4=0,0,E39)</f>
        <v>0</v>
      </c>
      <c r="I11" s="405">
        <f>IF(I4=0,0,F18)</f>
        <v>0</v>
      </c>
      <c r="J11" s="457">
        <f t="shared" si="3"/>
        <v>0</v>
      </c>
      <c r="K11" s="533">
        <f>IF(K4=0,0,H18)</f>
        <v>0</v>
      </c>
      <c r="L11" s="405">
        <f>IF(L4=0,0,I18)</f>
        <v>0</v>
      </c>
      <c r="M11" s="457">
        <f>IF(K11=0,0,L11/K11)</f>
        <v>0</v>
      </c>
      <c r="N11" s="533">
        <f>IF(N4=0,0,K18)</f>
        <v>0</v>
      </c>
      <c r="O11" s="405">
        <f>IF(O4=0,0,L18)</f>
        <v>0</v>
      </c>
      <c r="P11" s="457">
        <f>IF(N11=0,0,O11/N11)</f>
        <v>0</v>
      </c>
      <c r="Q11" s="533">
        <f>IF(Q4=0,0,N18)</f>
        <v>0</v>
      </c>
      <c r="R11" s="405">
        <f>IF(R4=0,0,O18)</f>
        <v>0</v>
      </c>
      <c r="S11" s="457">
        <f t="shared" si="15"/>
        <v>0</v>
      </c>
      <c r="T11" s="533">
        <f>IF(T4=0,0,Q18)</f>
        <v>0</v>
      </c>
      <c r="U11" s="405">
        <f>IF(U4=0,0,R18)</f>
        <v>0</v>
      </c>
      <c r="V11" s="457">
        <f t="shared" si="5"/>
        <v>0</v>
      </c>
      <c r="W11" s="533">
        <f>IF(W4=0,0,T18)</f>
        <v>0</v>
      </c>
      <c r="X11" s="405">
        <f>IF(X4=0,0,U18)</f>
        <v>0</v>
      </c>
      <c r="Y11" s="457">
        <f>IF(W11=0,0,X11/W11)</f>
        <v>0</v>
      </c>
      <c r="Z11" s="533">
        <f>IF(Z4=0,0,W39)</f>
        <v>0</v>
      </c>
      <c r="AA11" s="405">
        <f>IF(AA4=0,0,X18)</f>
        <v>0</v>
      </c>
      <c r="AB11" s="457">
        <f>IF(Z11=0,0,AA11/Z11)</f>
        <v>0</v>
      </c>
      <c r="AC11" s="533">
        <f>IF(AC4=0,0,Z39)</f>
        <v>0</v>
      </c>
      <c r="AD11" s="405">
        <f>IF(AD4=0,0,AA18)</f>
        <v>0</v>
      </c>
      <c r="AE11" s="457">
        <f>IF(AC11=0,0,AD11/AC11)</f>
        <v>0</v>
      </c>
      <c r="AF11" s="533">
        <f>IF(AF4=0,0,AC39)</f>
        <v>0</v>
      </c>
      <c r="AG11" s="405">
        <f>IF(AG4=0,0,AD18)</f>
        <v>0</v>
      </c>
      <c r="AH11" s="457">
        <f>IF(AF11=0,0,AG11/AF11)</f>
        <v>0</v>
      </c>
      <c r="AI11" s="533">
        <f>IF(AI4=0,0,AF39)</f>
        <v>0</v>
      </c>
      <c r="AJ11" s="405">
        <f>IF(AJ4=0,0,AG18)</f>
        <v>0</v>
      </c>
      <c r="AK11" s="457">
        <f>IF(AI11=0,0,AJ11/AI11)</f>
        <v>0</v>
      </c>
      <c r="AL11" s="533">
        <f>B11</f>
        <v>1005</v>
      </c>
      <c r="AM11" s="861">
        <f>+C11</f>
        <v>226435</v>
      </c>
      <c r="AN11" s="855">
        <f t="shared" ref="AN11:AN17" si="16">IF(AL11=0,0,AM11/AL11)</f>
        <v>225.3084577114428</v>
      </c>
      <c r="AO11" s="2">
        <f>AL11</f>
        <v>1005</v>
      </c>
      <c r="AS11" s="8"/>
      <c r="AT11" s="9">
        <f>F11-F18</f>
        <v>-21320</v>
      </c>
      <c r="AU11" s="9" t="e">
        <f>#REF!-AT11</f>
        <v>#REF!</v>
      </c>
    </row>
    <row r="12" spans="1:48" x14ac:dyDescent="0.25">
      <c r="A12" s="576" t="s">
        <v>273</v>
      </c>
      <c r="B12" s="843">
        <f>Purchase!E37</f>
        <v>1316.2</v>
      </c>
      <c r="C12" s="458">
        <f>ROUND((Purchase!$F37),0)</f>
        <v>356572</v>
      </c>
      <c r="D12" s="188">
        <f t="shared" si="2"/>
        <v>270.9101960188421</v>
      </c>
      <c r="E12" s="843">
        <f>Purchase!E38-E16</f>
        <v>1087</v>
      </c>
      <c r="F12" s="458">
        <f>ROUND((Purchase!$F38),0)</f>
        <v>261589</v>
      </c>
      <c r="G12" s="188">
        <f t="shared" ref="G12:G16" si="17">IF(E12=0,0,F12/E12)</f>
        <v>240.65225390984361</v>
      </c>
      <c r="H12" s="843">
        <f>ROUND((Purchase!E39),0)</f>
        <v>0</v>
      </c>
      <c r="I12" s="458">
        <f>ROUND((Purchase!$F39),0)</f>
        <v>0</v>
      </c>
      <c r="J12" s="188">
        <f>IF(H12=0,0,I12/H12)</f>
        <v>0</v>
      </c>
      <c r="K12" s="843">
        <f>Purchase!E40</f>
        <v>0</v>
      </c>
      <c r="L12" s="458">
        <f>ROUND((Purchase!$F40),0)</f>
        <v>0</v>
      </c>
      <c r="M12" s="188">
        <f t="shared" ref="M12:M16" si="18">IF(K12=0,0,L12/K12)</f>
        <v>0</v>
      </c>
      <c r="N12" s="843">
        <f>Purchase!E41</f>
        <v>0</v>
      </c>
      <c r="O12" s="458">
        <f>ROUND((Purchase!$F41),0)</f>
        <v>0</v>
      </c>
      <c r="P12" s="188">
        <f t="shared" si="4"/>
        <v>0</v>
      </c>
      <c r="Q12" s="843">
        <f>ROUND((Purchase!E42),0)</f>
        <v>0</v>
      </c>
      <c r="R12" s="458">
        <f>ROUND((Purchase!$F42),0)</f>
        <v>0</v>
      </c>
      <c r="S12" s="188">
        <f t="shared" si="15"/>
        <v>0</v>
      </c>
      <c r="T12" s="843">
        <f>Purchase!E43</f>
        <v>0</v>
      </c>
      <c r="U12" s="458">
        <f>ROUND((Purchase!$F43),0)</f>
        <v>0</v>
      </c>
      <c r="V12" s="188">
        <f t="shared" si="5"/>
        <v>0</v>
      </c>
      <c r="W12" s="843">
        <f>Purchase!E44</f>
        <v>0</v>
      </c>
      <c r="X12" s="458">
        <f>ROUND((Purchase!F44),0)</f>
        <v>0</v>
      </c>
      <c r="Y12" s="188">
        <f t="shared" si="6"/>
        <v>0</v>
      </c>
      <c r="Z12" s="843">
        <f>Purchase!E45</f>
        <v>0</v>
      </c>
      <c r="AA12" s="458">
        <f>ROUND((Purchase!F45),0)</f>
        <v>0</v>
      </c>
      <c r="AB12" s="188">
        <f t="shared" si="7"/>
        <v>0</v>
      </c>
      <c r="AC12" s="843">
        <f>Purchase!E46</f>
        <v>0</v>
      </c>
      <c r="AD12" s="458">
        <f>ROUND((Purchase!F46),0)</f>
        <v>0</v>
      </c>
      <c r="AE12" s="188">
        <f t="shared" si="8"/>
        <v>0</v>
      </c>
      <c r="AF12" s="843">
        <f>Purchase!E47</f>
        <v>0</v>
      </c>
      <c r="AG12" s="458">
        <f>Purchase!F47</f>
        <v>0</v>
      </c>
      <c r="AH12" s="188">
        <f t="shared" si="9"/>
        <v>0</v>
      </c>
      <c r="AI12" s="843">
        <f>Purchase!E48</f>
        <v>0</v>
      </c>
      <c r="AJ12" s="458">
        <f>Purchase!F48</f>
        <v>0</v>
      </c>
      <c r="AK12" s="188">
        <f t="shared" si="10"/>
        <v>0</v>
      </c>
      <c r="AL12" s="850">
        <f t="shared" ref="AL12:AM16" si="19">SUM(B12,E12,H12,K12,N12,Q12,T12,W12,Z12,AC12,AF12,AI12)</f>
        <v>2403.1999999999998</v>
      </c>
      <c r="AM12" s="856">
        <f>SUM(C12,F12,I12,L12,O12,R12,U12,X12,AA12,AD12,AG12,AJ12)</f>
        <v>618161</v>
      </c>
      <c r="AN12" s="852">
        <f t="shared" si="16"/>
        <v>257.22411784287618</v>
      </c>
      <c r="AO12" s="2">
        <f>Purchase!E49</f>
        <v>2403.1999999999998</v>
      </c>
      <c r="AP12" s="2">
        <f>AO12-AL12</f>
        <v>0</v>
      </c>
      <c r="AS12" s="8"/>
    </row>
    <row r="13" spans="1:48" x14ac:dyDescent="0.25">
      <c r="A13" s="576" t="s">
        <v>274</v>
      </c>
      <c r="B13" s="840">
        <f>ROUND((Purchase!H37),)</f>
        <v>6124</v>
      </c>
      <c r="C13" s="458">
        <f>ROUND((Purchase!$I37),0)</f>
        <v>1399839</v>
      </c>
      <c r="D13" s="188">
        <f t="shared" si="2"/>
        <v>228.5824624428478</v>
      </c>
      <c r="E13" s="840">
        <f>ROUND(Purchase!H38,0)</f>
        <v>3728</v>
      </c>
      <c r="F13" s="458">
        <f>ROUND((Purchase!$I38),0)</f>
        <v>820165</v>
      </c>
      <c r="G13" s="188">
        <f t="shared" si="17"/>
        <v>220.00134120171674</v>
      </c>
      <c r="H13" s="840">
        <f>ROUND((Purchase!H39),0)</f>
        <v>0</v>
      </c>
      <c r="I13" s="458">
        <f>ROUND((Purchase!$I39),0)</f>
        <v>0</v>
      </c>
      <c r="J13" s="188">
        <f>IF(H13=0,0,I13/H13)</f>
        <v>0</v>
      </c>
      <c r="K13" s="840">
        <f>ROUND((Purchase!H40),0)</f>
        <v>0</v>
      </c>
      <c r="L13" s="458">
        <f>ROUND((Purchase!$I40),0)</f>
        <v>0</v>
      </c>
      <c r="M13" s="188">
        <f t="shared" si="18"/>
        <v>0</v>
      </c>
      <c r="N13" s="840">
        <f>ROUND((Purchase!H41),0)</f>
        <v>0</v>
      </c>
      <c r="O13" s="458">
        <f>ROUND((Purchase!$I41),0)</f>
        <v>0</v>
      </c>
      <c r="P13" s="188">
        <f t="shared" si="4"/>
        <v>0</v>
      </c>
      <c r="Q13" s="840">
        <f>ROUND((Purchase!H42),0)</f>
        <v>0</v>
      </c>
      <c r="R13" s="458">
        <f>ROUND((Purchase!$I42),0)</f>
        <v>0</v>
      </c>
      <c r="S13" s="188">
        <f t="shared" si="15"/>
        <v>0</v>
      </c>
      <c r="T13" s="840">
        <f>ROUND((Purchase!H43),0)</f>
        <v>0</v>
      </c>
      <c r="U13" s="458">
        <f>ROUND((Purchase!$I43),0)</f>
        <v>0</v>
      </c>
      <c r="V13" s="188">
        <f t="shared" si="5"/>
        <v>0</v>
      </c>
      <c r="W13" s="840">
        <f>Purchase!H44</f>
        <v>0</v>
      </c>
      <c r="X13" s="458">
        <f>Purchase!I44</f>
        <v>0</v>
      </c>
      <c r="Y13" s="188">
        <f t="shared" si="6"/>
        <v>0</v>
      </c>
      <c r="Z13" s="840">
        <f>Purchase!H45</f>
        <v>0</v>
      </c>
      <c r="AA13" s="458">
        <f>Purchase!I45</f>
        <v>0</v>
      </c>
      <c r="AB13" s="188">
        <f t="shared" si="7"/>
        <v>0</v>
      </c>
      <c r="AC13" s="840">
        <f>ROUND((Purchase!H46),0)</f>
        <v>0</v>
      </c>
      <c r="AD13" s="458">
        <f>Purchase!I46</f>
        <v>0</v>
      </c>
      <c r="AE13" s="188">
        <f t="shared" ref="AE13:AE16" si="20">IF(AC13=0,0,AD13/AC13)</f>
        <v>0</v>
      </c>
      <c r="AF13" s="840">
        <f>ROUND((Purchase!H47),0)</f>
        <v>0</v>
      </c>
      <c r="AG13" s="458">
        <f>Purchase!I47</f>
        <v>0</v>
      </c>
      <c r="AH13" s="188">
        <f t="shared" si="9"/>
        <v>0</v>
      </c>
      <c r="AI13" s="840">
        <f>Purchase!H48</f>
        <v>0</v>
      </c>
      <c r="AJ13" s="458">
        <f>Purchase!I48</f>
        <v>0</v>
      </c>
      <c r="AK13" s="188">
        <f t="shared" si="10"/>
        <v>0</v>
      </c>
      <c r="AL13" s="850">
        <f t="shared" si="19"/>
        <v>9852</v>
      </c>
      <c r="AM13" s="856">
        <f>SUM(C13,F13,I13,L13,O13,R13,U13,X13,AA13,AD13,AG13,AJ13)</f>
        <v>2220004</v>
      </c>
      <c r="AN13" s="852">
        <f t="shared" si="16"/>
        <v>225.33536337799433</v>
      </c>
      <c r="AO13" s="2">
        <f>Purchase!H49</f>
        <v>9851.7000000000007</v>
      </c>
      <c r="AP13" s="2">
        <f>AO13-AL13</f>
        <v>-0.2999999999992724</v>
      </c>
      <c r="AR13" s="980" t="s">
        <v>269</v>
      </c>
      <c r="AS13" s="8">
        <f>AN8-AN13</f>
        <v>20.184328055217208</v>
      </c>
      <c r="AT13" s="8">
        <f>AL8*AS13</f>
        <v>198855.99999999994</v>
      </c>
    </row>
    <row r="14" spans="1:48" x14ac:dyDescent="0.25">
      <c r="A14" s="576" t="s">
        <v>374</v>
      </c>
      <c r="B14" s="840">
        <f>ROUND((Purchase!B37),0)</f>
        <v>544</v>
      </c>
      <c r="C14" s="458">
        <f>ROUND((Purchase!$C37),0)</f>
        <v>144459</v>
      </c>
      <c r="D14" s="188">
        <f t="shared" ref="D14:D16" si="21">IF(B14=0,0,C14/B14)</f>
        <v>265.54963235294116</v>
      </c>
      <c r="E14" s="840">
        <f>ROUND((Purchase!B38),0)</f>
        <v>192</v>
      </c>
      <c r="F14" s="458">
        <f>ROUND((Purchase!$C38),0)</f>
        <v>48300</v>
      </c>
      <c r="G14" s="188">
        <f t="shared" si="17"/>
        <v>251.5625</v>
      </c>
      <c r="H14" s="840">
        <f>Purchase!$B39</f>
        <v>0</v>
      </c>
      <c r="I14" s="458">
        <f>ROUND((Purchase!$C39),0)</f>
        <v>0</v>
      </c>
      <c r="J14" s="188">
        <f t="shared" si="3"/>
        <v>0</v>
      </c>
      <c r="K14" s="840">
        <f>Purchase!B40</f>
        <v>0</v>
      </c>
      <c r="L14" s="458">
        <f>ROUND((Purchase!$C40),0)</f>
        <v>0</v>
      </c>
      <c r="M14" s="188">
        <f t="shared" si="18"/>
        <v>0</v>
      </c>
      <c r="N14" s="840">
        <f>Purchase!B41</f>
        <v>0</v>
      </c>
      <c r="O14" s="458">
        <f>ROUND((Purchase!$C41),0)</f>
        <v>0</v>
      </c>
      <c r="P14" s="188">
        <f t="shared" si="4"/>
        <v>0</v>
      </c>
      <c r="Q14" s="840">
        <f>Purchase!B42</f>
        <v>0</v>
      </c>
      <c r="R14" s="458">
        <f>ROUND((Purchase!$C42),0)</f>
        <v>0</v>
      </c>
      <c r="S14" s="188">
        <f t="shared" si="15"/>
        <v>0</v>
      </c>
      <c r="T14" s="840">
        <f>Purchase!B43</f>
        <v>0</v>
      </c>
      <c r="U14" s="458">
        <f>ROUND((Purchase!$C43),0)</f>
        <v>0</v>
      </c>
      <c r="V14" s="188">
        <f t="shared" si="5"/>
        <v>0</v>
      </c>
      <c r="W14" s="840">
        <f>ROUND((Purchase!B44),0)</f>
        <v>0</v>
      </c>
      <c r="X14" s="458">
        <f>Purchase!C44</f>
        <v>0</v>
      </c>
      <c r="Y14" s="188">
        <f t="shared" si="6"/>
        <v>0</v>
      </c>
      <c r="Z14" s="840">
        <f>Purchase!B45</f>
        <v>0</v>
      </c>
      <c r="AA14" s="458">
        <f>Purchase!C45</f>
        <v>0</v>
      </c>
      <c r="AB14" s="188">
        <f t="shared" si="7"/>
        <v>0</v>
      </c>
      <c r="AC14" s="840">
        <f>Purchase!B46</f>
        <v>0</v>
      </c>
      <c r="AD14" s="458">
        <f>ROUND((Purchase!C46),0)</f>
        <v>0</v>
      </c>
      <c r="AE14" s="188">
        <f t="shared" si="20"/>
        <v>0</v>
      </c>
      <c r="AF14" s="840">
        <f>Purchase!B47</f>
        <v>0</v>
      </c>
      <c r="AG14" s="458">
        <f>ROUND((Purchase!C47),0)</f>
        <v>0</v>
      </c>
      <c r="AH14" s="188">
        <f t="shared" si="9"/>
        <v>0</v>
      </c>
      <c r="AI14" s="840">
        <f>Purchase!B48</f>
        <v>0</v>
      </c>
      <c r="AJ14" s="458">
        <f>ROUND(Purchase!C48,0)</f>
        <v>0</v>
      </c>
      <c r="AK14" s="188">
        <f t="shared" si="10"/>
        <v>0</v>
      </c>
      <c r="AL14" s="850">
        <f t="shared" si="19"/>
        <v>736</v>
      </c>
      <c r="AM14" s="856">
        <f>SUM(C14,F14,I14,L14,O14,R14,U14,X14,AA14,AD14,AG14,AJ14)</f>
        <v>192759</v>
      </c>
      <c r="AN14" s="852">
        <f>IF(AL14=0,0,AM14/AL14)</f>
        <v>261.90081521739131</v>
      </c>
      <c r="AO14" s="2">
        <f>Purchase!B49</f>
        <v>736.4</v>
      </c>
      <c r="AP14" s="2">
        <f>AO14-AL14</f>
        <v>0.39999999999997726</v>
      </c>
      <c r="AR14" s="980" t="s">
        <v>174</v>
      </c>
      <c r="AS14" s="8">
        <f>AN5-AN12</f>
        <v>23.284432342997434</v>
      </c>
      <c r="AT14" s="8">
        <f>AS14*AL5</f>
        <v>62635.123002663095</v>
      </c>
    </row>
    <row r="15" spans="1:48" ht="13.8" thickBot="1" x14ac:dyDescent="0.3">
      <c r="A15" s="577" t="s">
        <v>946</v>
      </c>
      <c r="B15" s="841">
        <f>Purchase!B52</f>
        <v>1050</v>
      </c>
      <c r="C15" s="404">
        <f>ROUND((Purchase!$C52),0)</f>
        <v>239925</v>
      </c>
      <c r="D15" s="188">
        <f t="shared" si="21"/>
        <v>228.5</v>
      </c>
      <c r="E15" s="841">
        <f>Purchase!$H53</f>
        <v>1620</v>
      </c>
      <c r="F15" s="404">
        <f>ROUND((Purchase!$C53),0)</f>
        <v>340200</v>
      </c>
      <c r="G15" s="188">
        <f t="shared" si="17"/>
        <v>210</v>
      </c>
      <c r="H15" s="841">
        <f>Purchase!$H54-H16</f>
        <v>0</v>
      </c>
      <c r="I15" s="404">
        <f>ROUND((Purchase!$C54),0)</f>
        <v>0</v>
      </c>
      <c r="J15" s="188">
        <f t="shared" si="3"/>
        <v>0</v>
      </c>
      <c r="K15" s="841">
        <f>Purchase!$H55-K16</f>
        <v>0</v>
      </c>
      <c r="L15" s="404">
        <f>ROUND((Purchase!$C55),0)</f>
        <v>0</v>
      </c>
      <c r="M15" s="188">
        <f t="shared" si="18"/>
        <v>0</v>
      </c>
      <c r="N15" s="841">
        <f>Purchase!$H56-N16</f>
        <v>0</v>
      </c>
      <c r="O15" s="404">
        <f>ROUND((Purchase!$C56),0)</f>
        <v>0</v>
      </c>
      <c r="P15" s="188">
        <f t="shared" si="4"/>
        <v>0</v>
      </c>
      <c r="Q15" s="841">
        <f>Purchase!$H57-Q16</f>
        <v>0</v>
      </c>
      <c r="R15" s="404">
        <f>ROUND((Purchase!$C57),0)</f>
        <v>0</v>
      </c>
      <c r="S15" s="188">
        <f t="shared" si="15"/>
        <v>0</v>
      </c>
      <c r="T15" s="841">
        <f>Purchase!B58</f>
        <v>0</v>
      </c>
      <c r="U15" s="404">
        <f>ROUND((Purchase!$C58),0)</f>
        <v>0</v>
      </c>
      <c r="V15" s="188">
        <f t="shared" si="5"/>
        <v>0</v>
      </c>
      <c r="W15" s="841"/>
      <c r="X15" s="404"/>
      <c r="Y15" s="188"/>
      <c r="Z15" s="841"/>
      <c r="AA15" s="404"/>
      <c r="AB15" s="188"/>
      <c r="AC15" s="841"/>
      <c r="AD15" s="404"/>
      <c r="AE15" s="188"/>
      <c r="AF15" s="841"/>
      <c r="AG15" s="404"/>
      <c r="AH15" s="188"/>
      <c r="AI15" s="841"/>
      <c r="AJ15" s="404"/>
      <c r="AK15" s="188"/>
      <c r="AL15" s="849">
        <f t="shared" si="19"/>
        <v>2670</v>
      </c>
      <c r="AM15" s="857">
        <f t="shared" si="19"/>
        <v>580125</v>
      </c>
      <c r="AN15" s="858">
        <f t="shared" si="16"/>
        <v>217.27528089887642</v>
      </c>
      <c r="AO15" s="2">
        <f>Purchase!B64</f>
        <v>2670</v>
      </c>
      <c r="AP15" s="2">
        <f>AO15-AL15</f>
        <v>0</v>
      </c>
      <c r="AR15" s="983" t="s">
        <v>175</v>
      </c>
      <c r="AS15" s="914">
        <f>AN6-AN14</f>
        <v>60.551649571341102</v>
      </c>
      <c r="AT15" s="914">
        <f>AS15*AL6</f>
        <v>34393.336956521744</v>
      </c>
    </row>
    <row r="16" spans="1:48" ht="13.8" thickBot="1" x14ac:dyDescent="0.3">
      <c r="A16" s="578" t="s">
        <v>275</v>
      </c>
      <c r="B16" s="842">
        <f>Purchase!$E52</f>
        <v>455</v>
      </c>
      <c r="C16" s="228">
        <f>ROUND((Purchase!$F52),0)</f>
        <v>83784</v>
      </c>
      <c r="D16" s="456">
        <f t="shared" si="21"/>
        <v>184.14065934065934</v>
      </c>
      <c r="E16" s="842">
        <f>Purchase!$E53</f>
        <v>0</v>
      </c>
      <c r="F16" s="228">
        <f>ROUND((Purchase!$F53),0)</f>
        <v>0</v>
      </c>
      <c r="G16" s="456">
        <f t="shared" si="17"/>
        <v>0</v>
      </c>
      <c r="H16" s="842">
        <f>Purchase!$E54</f>
        <v>0</v>
      </c>
      <c r="I16" s="228">
        <f>ROUND((Purchase!$F54),0)</f>
        <v>0</v>
      </c>
      <c r="J16" s="456">
        <f t="shared" si="3"/>
        <v>0</v>
      </c>
      <c r="K16" s="842">
        <f>Purchase!$E55</f>
        <v>0</v>
      </c>
      <c r="L16" s="228">
        <f>ROUND((Purchase!$F55),0)</f>
        <v>0</v>
      </c>
      <c r="M16" s="456">
        <f t="shared" si="18"/>
        <v>0</v>
      </c>
      <c r="N16" s="842">
        <f>Purchase!$E56</f>
        <v>0</v>
      </c>
      <c r="O16" s="228">
        <f>ROUND((Purchase!$F56),0)</f>
        <v>0</v>
      </c>
      <c r="P16" s="456">
        <f t="shared" si="4"/>
        <v>0</v>
      </c>
      <c r="Q16" s="842">
        <f>Purchase!$E57</f>
        <v>0</v>
      </c>
      <c r="R16" s="228">
        <f>ROUND((Purchase!$F57),0)</f>
        <v>0</v>
      </c>
      <c r="S16" s="456">
        <f t="shared" si="15"/>
        <v>0</v>
      </c>
      <c r="T16" s="842">
        <f>Purchase!$E58</f>
        <v>0</v>
      </c>
      <c r="U16" s="228">
        <f>ROUND((Purchase!$F58),0)</f>
        <v>0</v>
      </c>
      <c r="V16" s="456">
        <f t="shared" si="5"/>
        <v>0</v>
      </c>
      <c r="W16" s="842"/>
      <c r="X16" s="228"/>
      <c r="Y16" s="456">
        <f>IF(W16=0,0,X16/W16)</f>
        <v>0</v>
      </c>
      <c r="Z16" s="842"/>
      <c r="AA16" s="228"/>
      <c r="AB16" s="456">
        <f>IF(Z16=0,0,AA16/Z16)</f>
        <v>0</v>
      </c>
      <c r="AC16" s="842"/>
      <c r="AD16" s="228"/>
      <c r="AE16" s="456">
        <f t="shared" si="20"/>
        <v>0</v>
      </c>
      <c r="AF16" s="842"/>
      <c r="AG16" s="228"/>
      <c r="AH16" s="456">
        <f>IF(AF16=0,0,AG16/AF16)</f>
        <v>0</v>
      </c>
      <c r="AI16" s="842"/>
      <c r="AJ16" s="228"/>
      <c r="AK16" s="456">
        <f>IF(AI16=0,0,AJ16/AI16)</f>
        <v>0</v>
      </c>
      <c r="AL16" s="853">
        <f t="shared" si="19"/>
        <v>455</v>
      </c>
      <c r="AM16" s="859">
        <f>SUM(C16,F16,I16,L16,O16,R16,U16,X16,AA16,AD16,AG16,AJ16)</f>
        <v>83784</v>
      </c>
      <c r="AN16" s="854">
        <f t="shared" si="16"/>
        <v>184.14065934065934</v>
      </c>
      <c r="AO16" s="531">
        <v>15</v>
      </c>
      <c r="AT16" s="8">
        <f>SUM(AT13:AT15)</f>
        <v>295884.45995918475</v>
      </c>
    </row>
    <row r="17" spans="1:46" ht="13.8" thickBot="1" x14ac:dyDescent="0.3">
      <c r="A17" s="579" t="s">
        <v>276</v>
      </c>
      <c r="B17" s="531">
        <f>SUM(B12:B16)</f>
        <v>9489.2000000000007</v>
      </c>
      <c r="C17" s="532">
        <f>SUM(C12:C16)</f>
        <v>2224579</v>
      </c>
      <c r="D17" s="457">
        <f>IF(B17=0,0,C17/B17)</f>
        <v>234.43272351726171</v>
      </c>
      <c r="E17" s="531">
        <f>SUM(E12:E16)</f>
        <v>6627</v>
      </c>
      <c r="F17" s="532">
        <f>SUM(F12:F16)</f>
        <v>1470254</v>
      </c>
      <c r="G17" s="457">
        <f>IF(E17=0,0,F17/E17)</f>
        <v>221.8581560283688</v>
      </c>
      <c r="H17" s="1438">
        <f>SUM(H12:H16)</f>
        <v>0</v>
      </c>
      <c r="I17" s="532">
        <f>SUM(I12:I16)</f>
        <v>0</v>
      </c>
      <c r="J17" s="457">
        <f>IF(H17=0,0,I17/H17)</f>
        <v>0</v>
      </c>
      <c r="K17" s="889">
        <f>ROUND(SUM(K12:K16),0)</f>
        <v>0</v>
      </c>
      <c r="L17" s="532">
        <f>SUM(L12:L16)</f>
        <v>0</v>
      </c>
      <c r="M17" s="457">
        <f>IF(K17=0,0,L17/K17)</f>
        <v>0</v>
      </c>
      <c r="N17" s="531">
        <f>SUM(N12:N16)</f>
        <v>0</v>
      </c>
      <c r="O17" s="532">
        <f>SUM(O12:O16)</f>
        <v>0</v>
      </c>
      <c r="P17" s="457">
        <f>IF(N17=0,0,O17/N17)</f>
        <v>0</v>
      </c>
      <c r="Q17" s="531">
        <f>SUM(Q12:Q16)</f>
        <v>0</v>
      </c>
      <c r="R17" s="532">
        <f>SUM(R12:R16)</f>
        <v>0</v>
      </c>
      <c r="S17" s="457">
        <f>IF(Q17=0,0,R17/Q17)</f>
        <v>0</v>
      </c>
      <c r="T17" s="531">
        <f>SUM(T12:T16)</f>
        <v>0</v>
      </c>
      <c r="U17" s="532">
        <f>SUM(U12:U16)</f>
        <v>0</v>
      </c>
      <c r="V17" s="457">
        <f>IF(T17=0,0,U17/T17)</f>
        <v>0</v>
      </c>
      <c r="W17" s="531">
        <f>SUM(W12:W16)</f>
        <v>0</v>
      </c>
      <c r="X17" s="532">
        <f>SUM(X12:X16)</f>
        <v>0</v>
      </c>
      <c r="Y17" s="457">
        <f>IF(W17=0,0,X17/W17)</f>
        <v>0</v>
      </c>
      <c r="Z17" s="531">
        <f>SUM(Z12:Z16)</f>
        <v>0</v>
      </c>
      <c r="AA17" s="532">
        <f>SUM(AA12:AA16)</f>
        <v>0</v>
      </c>
      <c r="AB17" s="457">
        <f>IF(Z17=0,0,AA17/Z17)</f>
        <v>0</v>
      </c>
      <c r="AC17" s="531">
        <f>SUM(AC12:AC16)</f>
        <v>0</v>
      </c>
      <c r="AD17" s="532">
        <f>SUM(AD12:AD16)</f>
        <v>0</v>
      </c>
      <c r="AE17" s="457">
        <f>IF(AC17=0,0,AD17/AC17)</f>
        <v>0</v>
      </c>
      <c r="AF17" s="531">
        <f>SUM(AF12:AF16)</f>
        <v>0</v>
      </c>
      <c r="AG17" s="532">
        <f>SUM(AG12:AG16)</f>
        <v>0</v>
      </c>
      <c r="AH17" s="457">
        <f>IF(AF17=0,0,AG17/AF17)</f>
        <v>0</v>
      </c>
      <c r="AI17" s="531">
        <f>SUM(AI12:AI16)</f>
        <v>0</v>
      </c>
      <c r="AJ17" s="532">
        <f>SUM(AJ12:AJ16)</f>
        <v>0</v>
      </c>
      <c r="AK17" s="457">
        <f>IF(AI17=0,0,AJ17/AI17)</f>
        <v>0</v>
      </c>
      <c r="AL17" s="860">
        <f>SUM(AL12:AL16)</f>
        <v>16116.2</v>
      </c>
      <c r="AM17" s="1650">
        <f>SUM(AM12:AM16)</f>
        <v>3694833</v>
      </c>
      <c r="AN17" s="858">
        <f t="shared" si="16"/>
        <v>229.2620468845013</v>
      </c>
      <c r="AO17" s="2">
        <f>SUM(AO12:AO16)</f>
        <v>15676.300000000001</v>
      </c>
      <c r="AP17" s="2">
        <f>AO17-AL17</f>
        <v>-439.89999999999964</v>
      </c>
      <c r="AR17" s="983" t="s">
        <v>410</v>
      </c>
      <c r="AS17" s="7"/>
      <c r="AT17" s="584">
        <f>AM24</f>
        <v>681721</v>
      </c>
    </row>
    <row r="18" spans="1:46" ht="13.8" thickBot="1" x14ac:dyDescent="0.3">
      <c r="A18" s="190" t="s">
        <v>169</v>
      </c>
      <c r="B18" s="2737">
        <f>'Stock Valuation (FIFO)'!E21</f>
        <v>941</v>
      </c>
      <c r="C18" s="530">
        <f>'Stock Valuation (FIFO)'!G21</f>
        <v>224652</v>
      </c>
      <c r="D18" s="460">
        <f>IF(B18=0,0,C18/B18)</f>
        <v>238.7375132837407</v>
      </c>
      <c r="E18" s="2737">
        <f>'Stock Valuation (FIFO)'!H21</f>
        <v>1039</v>
      </c>
      <c r="F18" s="530">
        <f>'Stock Valuation (FIFO)'!J21</f>
        <v>245972</v>
      </c>
      <c r="G18" s="460">
        <f>IF(E18=0,0,F18/E18)</f>
        <v>236.73917228103946</v>
      </c>
      <c r="H18" s="2737">
        <f>'Stock Valuation (FIFO)'!K21</f>
        <v>0</v>
      </c>
      <c r="I18" s="530">
        <f>'Stock Valuation (FIFO)'!M21</f>
        <v>0</v>
      </c>
      <c r="J18" s="460">
        <f>IF(H18=0,0,I18/H18)</f>
        <v>0</v>
      </c>
      <c r="K18" s="2737">
        <f>'Stock Valuation (FIFO)'!N21</f>
        <v>0</v>
      </c>
      <c r="L18" s="530">
        <f>'Stock Valuation (FIFO)'!P21</f>
        <v>0</v>
      </c>
      <c r="M18" s="460">
        <f>IF(K18=0,0,L18/K18)</f>
        <v>0</v>
      </c>
      <c r="N18" s="2737">
        <f>'Stock Valuation (FIFO)'!Q21</f>
        <v>0</v>
      </c>
      <c r="O18" s="530">
        <f>'Stock Valuation (FIFO)'!S21</f>
        <v>0</v>
      </c>
      <c r="P18" s="460">
        <f>IF(N18=0,0,O18/N18)</f>
        <v>0</v>
      </c>
      <c r="Q18" s="2737">
        <f>'Stock Valuation (FIFO)'!T21</f>
        <v>0</v>
      </c>
      <c r="R18" s="530">
        <f>'Stock Valuation (FIFO)'!V21</f>
        <v>0</v>
      </c>
      <c r="S18" s="460">
        <f>IF(Q18=0,0,R18/Q18)</f>
        <v>0</v>
      </c>
      <c r="T18" s="2737">
        <f>'Stock Valuation (FIFO)'!W21</f>
        <v>0</v>
      </c>
      <c r="U18" s="530">
        <f>'Stock Valuation (FIFO)'!Y21</f>
        <v>0</v>
      </c>
      <c r="V18" s="460">
        <f>IF(T18=0,0,U18/T18)</f>
        <v>0</v>
      </c>
      <c r="W18" s="2737">
        <f>'Stock Valuation (FIFO)'!Z21</f>
        <v>0</v>
      </c>
      <c r="X18" s="530">
        <f>'Stock Valuation (FIFO)'!AB21</f>
        <v>0</v>
      </c>
      <c r="Y18" s="460">
        <f>IF(W18=0,0,X18/W18)</f>
        <v>0</v>
      </c>
      <c r="Z18" s="2737">
        <f>'Stock Valuation (FIFO)'!AC21</f>
        <v>0</v>
      </c>
      <c r="AA18" s="530">
        <f>'Stock Valuation (FIFO)'!AE21</f>
        <v>0</v>
      </c>
      <c r="AB18" s="460">
        <f>IF(Z18=0,0,AA18/Z18)</f>
        <v>0</v>
      </c>
      <c r="AC18" s="202">
        <f>ROUND((AC39),0)</f>
        <v>0</v>
      </c>
      <c r="AD18" s="530">
        <f>ROUND(AD39,0)</f>
        <v>0</v>
      </c>
      <c r="AE18" s="460">
        <f>IF(AC18=0,0,AD18/AC18)</f>
        <v>0</v>
      </c>
      <c r="AF18" s="202">
        <f>ROUND((AF39),0)</f>
        <v>0</v>
      </c>
      <c r="AG18" s="530">
        <f>AG39</f>
        <v>0</v>
      </c>
      <c r="AH18" s="460">
        <f>IF(AF18=0,0,AG18/AF18)</f>
        <v>0</v>
      </c>
      <c r="AI18" s="202">
        <f>AI39</f>
        <v>0</v>
      </c>
      <c r="AJ18" s="530">
        <f>AJ39</f>
        <v>0</v>
      </c>
      <c r="AK18" s="460">
        <f>IF(AI18=0,0,AJ18/AI18)</f>
        <v>0</v>
      </c>
      <c r="AL18" s="2737">
        <f>Z18</f>
        <v>0</v>
      </c>
      <c r="AM18" s="530">
        <f>AA18</f>
        <v>0</v>
      </c>
      <c r="AN18" s="848">
        <f>IF(AL18=0,0,AM18/AL18)</f>
        <v>0</v>
      </c>
      <c r="AO18" s="531">
        <f>AL18</f>
        <v>0</v>
      </c>
      <c r="AS18" s="980" t="s">
        <v>122</v>
      </c>
      <c r="AT18" s="8">
        <f>AT16-AT17</f>
        <v>-385836.54004081525</v>
      </c>
    </row>
    <row r="19" spans="1:46" x14ac:dyDescent="0.25">
      <c r="A19" s="537" t="s">
        <v>168</v>
      </c>
      <c r="B19" s="533">
        <f>B11+B17-B18</f>
        <v>9553.2000000000007</v>
      </c>
      <c r="C19" s="405">
        <f>C11+C17-C18</f>
        <v>2226362</v>
      </c>
      <c r="D19" s="191">
        <f>IF(B19=0,0,C19/B19)</f>
        <v>233.0488213373529</v>
      </c>
      <c r="E19" s="533">
        <f>E11+E17-E18</f>
        <v>6529</v>
      </c>
      <c r="F19" s="405">
        <f>F11+F17-F18</f>
        <v>1448934</v>
      </c>
      <c r="G19" s="191">
        <f>IF(E19=0,0,F19/E19)</f>
        <v>221.9228059427171</v>
      </c>
      <c r="H19" s="533">
        <f>H11+H17-H18</f>
        <v>0</v>
      </c>
      <c r="I19" s="405">
        <f>I11+I17-I18</f>
        <v>0</v>
      </c>
      <c r="J19" s="191">
        <f>IF(H19=0,0,I19/H19)</f>
        <v>0</v>
      </c>
      <c r="K19" s="533">
        <f>K11+K17-K18</f>
        <v>0</v>
      </c>
      <c r="L19" s="405">
        <f>L11+L17-L18</f>
        <v>0</v>
      </c>
      <c r="M19" s="191">
        <f>IF(K19=0,0,L19/K19)</f>
        <v>0</v>
      </c>
      <c r="N19" s="533">
        <f>N11+N17-N18</f>
        <v>0</v>
      </c>
      <c r="O19" s="405">
        <f>O11+O17-O18</f>
        <v>0</v>
      </c>
      <c r="P19" s="191">
        <f>IF(N19=0,0,O19/N19)</f>
        <v>0</v>
      </c>
      <c r="Q19" s="533">
        <f>Q11+Q17-Q18</f>
        <v>0</v>
      </c>
      <c r="R19" s="405">
        <f>R11+R17-R18</f>
        <v>0</v>
      </c>
      <c r="S19" s="191">
        <f>IF(Q19=0,0,R19/Q19)</f>
        <v>0</v>
      </c>
      <c r="T19" s="533">
        <f>T11+T17-T18</f>
        <v>0</v>
      </c>
      <c r="U19" s="405">
        <f>U11+U17-U18</f>
        <v>0</v>
      </c>
      <c r="V19" s="191">
        <f>IF(T19=0,0,U19/T19)</f>
        <v>0</v>
      </c>
      <c r="W19" s="533">
        <f>W11+W17-W18</f>
        <v>0</v>
      </c>
      <c r="X19" s="405">
        <f>X11+X17-X18</f>
        <v>0</v>
      </c>
      <c r="Y19" s="191">
        <f>IF(W19=0,0,X19/W19)</f>
        <v>0</v>
      </c>
      <c r="Z19" s="533">
        <f>Z11+Z17-Z18</f>
        <v>0</v>
      </c>
      <c r="AA19" s="405">
        <f>AA11+AA17-AA18</f>
        <v>0</v>
      </c>
      <c r="AB19" s="191">
        <f>IF(Z19=0,0,AA19/Z19)</f>
        <v>0</v>
      </c>
      <c r="AC19" s="533">
        <f>AC11+AC17-AC18</f>
        <v>0</v>
      </c>
      <c r="AD19" s="405">
        <f>AD11+AD17-AD18</f>
        <v>0</v>
      </c>
      <c r="AE19" s="191">
        <f>IF(AC19=0,0,AD19/AC19)</f>
        <v>0</v>
      </c>
      <c r="AF19" s="533">
        <f>AF11+AF17-AF18</f>
        <v>0</v>
      </c>
      <c r="AG19" s="405">
        <f>AG11+AG17-AG18</f>
        <v>0</v>
      </c>
      <c r="AH19" s="191">
        <f>IF(AF19=0,0,AG19/AF19)</f>
        <v>0</v>
      </c>
      <c r="AI19" s="533">
        <f>AI11+AI17-AI18</f>
        <v>0</v>
      </c>
      <c r="AJ19" s="405">
        <f>AJ11+AJ17-AJ18</f>
        <v>0</v>
      </c>
      <c r="AK19" s="191">
        <f>IF(AI19=0,0,AJ19/AI19)</f>
        <v>0</v>
      </c>
      <c r="AL19" s="533">
        <f>AL11+AL17-AL18</f>
        <v>17121.2</v>
      </c>
      <c r="AM19" s="861">
        <f>AM11+AM17-AM18</f>
        <v>3921268</v>
      </c>
      <c r="AN19" s="855">
        <f>AM19/AL4</f>
        <v>245.85214768929822</v>
      </c>
      <c r="AO19" s="2">
        <f>AO11+AO17-AO18</f>
        <v>16681.300000000003</v>
      </c>
      <c r="AP19" s="2">
        <f>AO19-AL19</f>
        <v>-439.89999999999782</v>
      </c>
      <c r="AQ19" t="e">
        <f>#REF!</f>
        <v>#REF!</v>
      </c>
      <c r="AR19" s="8" t="e">
        <f>AM19-AQ19</f>
        <v>#REF!</v>
      </c>
      <c r="AS19" s="980" t="s">
        <v>411</v>
      </c>
      <c r="AT19" s="995">
        <f>AM25</f>
        <v>-552308</v>
      </c>
    </row>
    <row r="20" spans="1:46" x14ac:dyDescent="0.25">
      <c r="A20" s="192" t="s">
        <v>132</v>
      </c>
      <c r="B20" s="132"/>
      <c r="C20" s="458">
        <v>3432</v>
      </c>
      <c r="D20" s="188">
        <f>IF(C20=0,0,C20/B$4)</f>
        <v>0.36430413875826634</v>
      </c>
      <c r="E20" s="132"/>
      <c r="F20" s="458">
        <v>3300</v>
      </c>
      <c r="G20" s="188">
        <f>IF(F20=0,0,F20/E$4)</f>
        <v>0.50543727982845765</v>
      </c>
      <c r="H20" s="132"/>
      <c r="I20" s="458">
        <v>3036</v>
      </c>
      <c r="J20" s="188" t="e">
        <f>IF(I20=0,0,I20/H$4)</f>
        <v>#DIV/0!</v>
      </c>
      <c r="K20" s="132"/>
      <c r="L20" s="458">
        <v>3779</v>
      </c>
      <c r="M20" s="188" t="e">
        <f>IF(L20=0,0,L20/K$4)</f>
        <v>#DIV/0!</v>
      </c>
      <c r="N20" s="132"/>
      <c r="O20" s="458">
        <v>3432</v>
      </c>
      <c r="P20" s="188" t="e">
        <f>IF(O20=0,0,O20/N$4)</f>
        <v>#DIV/0!</v>
      </c>
      <c r="Q20" s="132"/>
      <c r="R20" s="458">
        <v>3442</v>
      </c>
      <c r="S20" s="188" t="e">
        <f>IF(R20=0,0,R20/Q$4)</f>
        <v>#DIV/0!</v>
      </c>
      <c r="T20" s="132"/>
      <c r="U20" s="458">
        <v>3300</v>
      </c>
      <c r="V20" s="188" t="e">
        <f>IF(U20=0,0,U20/T$4)</f>
        <v>#DIV/0!</v>
      </c>
      <c r="W20" s="132"/>
      <c r="X20" s="458">
        <v>3168</v>
      </c>
      <c r="Y20" s="188" t="e">
        <f>IF(X20=0,0,X20/W$4)</f>
        <v>#DIV/0!</v>
      </c>
      <c r="Z20" s="132"/>
      <c r="AA20" s="458">
        <v>3219</v>
      </c>
      <c r="AB20" s="188" t="e">
        <f>IF(AA20=0,0,AA20/Z$4)</f>
        <v>#DIV/0!</v>
      </c>
      <c r="AC20" s="132"/>
      <c r="AD20" s="458"/>
      <c r="AE20" s="188">
        <f>IF(AD20=0,0,AD20/AC$4)</f>
        <v>0</v>
      </c>
      <c r="AF20" s="132"/>
      <c r="AG20" s="458"/>
      <c r="AH20" s="188">
        <f>IF(AG20=0,0,AG20/AF$4)</f>
        <v>0</v>
      </c>
      <c r="AI20" s="132"/>
      <c r="AJ20" s="458"/>
      <c r="AK20" s="188">
        <f>IF(AJ20=0,0,AJ20/AI$4)</f>
        <v>0</v>
      </c>
      <c r="AL20" s="850"/>
      <c r="AM20" s="862">
        <f>SUM(C20,F20,I20,L20,O20,R20,U20,X20,AA20,AD20,AG20,AJ20)</f>
        <v>30108</v>
      </c>
      <c r="AN20" s="852">
        <f>IF(AM20=0,0,AM20/AL$4)</f>
        <v>1.887684407857201</v>
      </c>
      <c r="AS20" s="980" t="s">
        <v>252</v>
      </c>
      <c r="AT20" s="8">
        <f>AT18-AT19</f>
        <v>166471.45995918475</v>
      </c>
    </row>
    <row r="21" spans="1:46" x14ac:dyDescent="0.25">
      <c r="A21" s="192" t="s">
        <v>171</v>
      </c>
      <c r="B21" s="132"/>
      <c r="C21" s="458">
        <v>94000</v>
      </c>
      <c r="D21" s="188">
        <f>IF(C21=0,0,C21/B$4)</f>
        <v>9.9780271105119578</v>
      </c>
      <c r="E21" s="132"/>
      <c r="F21" s="458">
        <v>94000</v>
      </c>
      <c r="G21" s="188">
        <f>IF(F21=0,0,F21/E$4)</f>
        <v>14.397304334507581</v>
      </c>
      <c r="H21" s="132"/>
      <c r="I21" s="458">
        <v>94000</v>
      </c>
      <c r="J21" s="188" t="e">
        <f>IF(I21=0,0,I21/H$4)</f>
        <v>#DIV/0!</v>
      </c>
      <c r="K21" s="132"/>
      <c r="L21" s="458">
        <v>94000</v>
      </c>
      <c r="M21" s="188" t="e">
        <f>IF(L21=0,0,L21/K$4)</f>
        <v>#DIV/0!</v>
      </c>
      <c r="N21" s="132"/>
      <c r="O21" s="458">
        <v>94000</v>
      </c>
      <c r="P21" s="188" t="e">
        <f>IF(O21=0,0,O21/N$4)</f>
        <v>#DIV/0!</v>
      </c>
      <c r="Q21" s="132"/>
      <c r="R21" s="458">
        <v>94000</v>
      </c>
      <c r="S21" s="188" t="e">
        <f>IF(R21=0,0,R21/Q$4)</f>
        <v>#DIV/0!</v>
      </c>
      <c r="T21" s="132"/>
      <c r="U21" s="458">
        <v>94000</v>
      </c>
      <c r="V21" s="188" t="e">
        <f>IF(U21=0,0,U21/T$4)</f>
        <v>#DIV/0!</v>
      </c>
      <c r="W21" s="132"/>
      <c r="X21" s="458">
        <f>'Direct Expns'!Z48-X20</f>
        <v>-3168</v>
      </c>
      <c r="Y21" s="188" t="e">
        <f>IF(X21=0,0,X21/W$4)</f>
        <v>#DIV/0!</v>
      </c>
      <c r="Z21" s="132"/>
      <c r="AA21" s="458">
        <f>'Direct Expns'!AA48-AA20</f>
        <v>-3219</v>
      </c>
      <c r="AB21" s="188" t="e">
        <f>IF(AA21=0,0,AA21/Z$4)</f>
        <v>#DIV/0!</v>
      </c>
      <c r="AC21" s="132"/>
      <c r="AD21" s="458"/>
      <c r="AE21" s="188">
        <f>IF(AD21=0,0,AD21/AC$4)</f>
        <v>0</v>
      </c>
      <c r="AF21" s="132"/>
      <c r="AG21" s="458"/>
      <c r="AH21" s="188">
        <f>IF(AG21=0,0,AG21/AF$4)</f>
        <v>0</v>
      </c>
      <c r="AI21" s="132"/>
      <c r="AJ21" s="458"/>
      <c r="AK21" s="188">
        <f>IF(AJ21=0,0,AJ21/AI$4)</f>
        <v>0</v>
      </c>
      <c r="AL21" s="850"/>
      <c r="AM21" s="862">
        <f>SUM(C21,F21,I21,L21,O21,R21,U21,X21,AA21,AD21,AG21,AJ21)</f>
        <v>651613</v>
      </c>
      <c r="AN21" s="852">
        <f>IF(AM21=0,0,AM21/AL$4)</f>
        <v>40.854248042282926</v>
      </c>
    </row>
    <row r="22" spans="1:46" x14ac:dyDescent="0.25">
      <c r="A22" s="513" t="s">
        <v>212</v>
      </c>
      <c r="B22" s="137"/>
      <c r="C22" s="406"/>
      <c r="D22" s="514"/>
      <c r="E22" s="137"/>
      <c r="F22" s="406"/>
      <c r="G22" s="514"/>
      <c r="H22" s="137"/>
      <c r="I22" s="406"/>
      <c r="J22" s="514"/>
      <c r="K22" s="137"/>
      <c r="L22" s="406"/>
      <c r="M22" s="514"/>
      <c r="N22" s="137"/>
      <c r="O22" s="406"/>
      <c r="P22" s="514"/>
      <c r="Q22" s="137"/>
      <c r="R22" s="406"/>
      <c r="S22" s="514"/>
      <c r="T22" s="137"/>
      <c r="U22" s="406"/>
      <c r="V22" s="514"/>
      <c r="W22" s="137"/>
      <c r="X22" s="406"/>
      <c r="Y22" s="514"/>
      <c r="Z22" s="137"/>
      <c r="AA22" s="406"/>
      <c r="AB22" s="514"/>
      <c r="AC22" s="137"/>
      <c r="AD22" s="406"/>
      <c r="AE22" s="514"/>
      <c r="AF22" s="137"/>
      <c r="AG22" s="406"/>
      <c r="AH22" s="514"/>
      <c r="AI22" s="137"/>
      <c r="AJ22" s="406"/>
      <c r="AK22" s="514"/>
      <c r="AL22" s="863"/>
      <c r="AM22" s="862">
        <f>SUM(C22,F22,I22,L22,O22,R22,U22,X22,AA22,AD22,AG22,AJ22)</f>
        <v>0</v>
      </c>
      <c r="AN22" s="852">
        <f>IF(AM22=0,0,AM22/AL$4)</f>
        <v>0</v>
      </c>
    </row>
    <row r="23" spans="1:46" ht="13.8" thickBot="1" x14ac:dyDescent="0.3">
      <c r="A23" s="252" t="s">
        <v>172</v>
      </c>
      <c r="B23" s="253"/>
      <c r="C23" s="254"/>
      <c r="D23" s="459">
        <f>IF(C23=0,0,C23/B$4)</f>
        <v>0</v>
      </c>
      <c r="E23" s="253"/>
      <c r="F23" s="254"/>
      <c r="G23" s="459">
        <f>IF(F23=0,0,F23/E$4)</f>
        <v>0</v>
      </c>
      <c r="H23" s="253"/>
      <c r="I23" s="254"/>
      <c r="J23" s="459">
        <f>IF(I23=0,0,I23/H$4)</f>
        <v>0</v>
      </c>
      <c r="K23" s="253"/>
      <c r="L23" s="254"/>
      <c r="M23" s="459">
        <f>IF(L23=0,0,L23/K$4)</f>
        <v>0</v>
      </c>
      <c r="N23" s="253"/>
      <c r="O23" s="254"/>
      <c r="P23" s="459">
        <f>IF(O23=0,0,O23/N$4)</f>
        <v>0</v>
      </c>
      <c r="Q23" s="253"/>
      <c r="R23" s="254"/>
      <c r="S23" s="459">
        <f>IF(R23=0,0,R23/Q$4)</f>
        <v>0</v>
      </c>
      <c r="T23" s="253"/>
      <c r="U23" s="254"/>
      <c r="V23" s="459">
        <f>IF(U23=0,0,U23/T$4)</f>
        <v>0</v>
      </c>
      <c r="W23" s="253"/>
      <c r="X23" s="254"/>
      <c r="Y23" s="459">
        <f>IF(X23=0,0,X23/W$4)</f>
        <v>0</v>
      </c>
      <c r="Z23" s="253"/>
      <c r="AA23" s="254"/>
      <c r="AB23" s="459">
        <f>IF(AA23=0,0,AA23/Z$4)</f>
        <v>0</v>
      </c>
      <c r="AC23" s="253"/>
      <c r="AD23" s="254"/>
      <c r="AE23" s="459">
        <f>IF(AD23=0,0,AD23/AC$4)</f>
        <v>0</v>
      </c>
      <c r="AF23" s="253"/>
      <c r="AG23" s="254"/>
      <c r="AH23" s="459">
        <f>IF(AG23=0,0,AG23/AF$4)</f>
        <v>0</v>
      </c>
      <c r="AI23" s="253"/>
      <c r="AJ23" s="254"/>
      <c r="AK23" s="459">
        <f>IF(AJ23=0,0,AJ23/AI$4)</f>
        <v>0</v>
      </c>
      <c r="AL23" s="864"/>
      <c r="AM23" s="865">
        <f>SUM(C23,F23,I23,L23,O23,R23,U23,X23,AA23,AD23,AG23,AJ23)</f>
        <v>0</v>
      </c>
      <c r="AN23" s="866">
        <f>IF(AM23=0,0,AM23/AL$4)</f>
        <v>0</v>
      </c>
    </row>
    <row r="24" spans="1:46" ht="14.4" thickTop="1" thickBot="1" x14ac:dyDescent="0.3">
      <c r="A24" s="251" t="s">
        <v>170</v>
      </c>
      <c r="B24" s="138"/>
      <c r="C24" s="453">
        <f>SUM(C20:C23)</f>
        <v>97432</v>
      </c>
      <c r="D24" s="460">
        <f>IF(C24=0,0,C24/B$4)</f>
        <v>10.342331249270224</v>
      </c>
      <c r="E24" s="138"/>
      <c r="F24" s="453">
        <f>SUM(F20:F23)</f>
        <v>97300</v>
      </c>
      <c r="G24" s="460">
        <f>IF(F24=0,0,F24/E$4)</f>
        <v>14.902741614336039</v>
      </c>
      <c r="H24" s="138"/>
      <c r="I24" s="453">
        <f>SUM(I20:I23)</f>
        <v>97036</v>
      </c>
      <c r="J24" s="460" t="e">
        <f>IF(I24=0,0,I24/H$4)</f>
        <v>#DIV/0!</v>
      </c>
      <c r="K24" s="138"/>
      <c r="L24" s="453">
        <f>SUM(L20:L23)</f>
        <v>97779</v>
      </c>
      <c r="M24" s="460" t="e">
        <f>IF(L24=0,0,L24/K$4)</f>
        <v>#DIV/0!</v>
      </c>
      <c r="N24" s="138"/>
      <c r="O24" s="453">
        <f>SUM(O20:O23)</f>
        <v>97432</v>
      </c>
      <c r="P24" s="460" t="e">
        <f>IF(O24=0,0,O24/N$4)</f>
        <v>#DIV/0!</v>
      </c>
      <c r="Q24" s="138"/>
      <c r="R24" s="453">
        <f>SUM(R20:R23)</f>
        <v>97442</v>
      </c>
      <c r="S24" s="460" t="e">
        <f>IF(R24=0,0,R24/Q$4)</f>
        <v>#DIV/0!</v>
      </c>
      <c r="T24" s="138"/>
      <c r="U24" s="453">
        <f>SUM(U20:U23)</f>
        <v>97300</v>
      </c>
      <c r="V24" s="460" t="e">
        <f>IF(U24=0,0,U24/T$4)</f>
        <v>#DIV/0!</v>
      </c>
      <c r="W24" s="138"/>
      <c r="X24" s="453">
        <f>SUM(X20:X23)</f>
        <v>0</v>
      </c>
      <c r="Y24" s="460">
        <f>IF(X24=0,0,X24/W$4)</f>
        <v>0</v>
      </c>
      <c r="Z24" s="138"/>
      <c r="AA24" s="453">
        <f>SUM(AA20:AA23)</f>
        <v>0</v>
      </c>
      <c r="AB24" s="460">
        <f>IF(AA24=0,0,AA24/Z$4)</f>
        <v>0</v>
      </c>
      <c r="AC24" s="138"/>
      <c r="AD24" s="453">
        <f>SUM(AD20:AD23)</f>
        <v>0</v>
      </c>
      <c r="AE24" s="460">
        <f>IF(AD24=0,0,AD24/AC$4)</f>
        <v>0</v>
      </c>
      <c r="AF24" s="138"/>
      <c r="AG24" s="453">
        <f>SUM(AG20:AG23)</f>
        <v>0</v>
      </c>
      <c r="AH24" s="460">
        <f>IF(AG24=0,0,AG24/AF$4)</f>
        <v>0</v>
      </c>
      <c r="AI24" s="138"/>
      <c r="AJ24" s="453">
        <f>SUM(AJ20:AJ23)</f>
        <v>0</v>
      </c>
      <c r="AK24" s="460">
        <f>IF(AJ24=0,0,AJ24/AI$4)</f>
        <v>0</v>
      </c>
      <c r="AL24" s="867"/>
      <c r="AM24" s="847">
        <f>SUM(AM20:AM23)</f>
        <v>681721</v>
      </c>
      <c r="AN24" s="848">
        <f>IF(AM24=0,0,AM24/AL$4)</f>
        <v>42.741932450140126</v>
      </c>
      <c r="AP24">
        <f>ROUND(((AM24+AM26)/AQ24),0)</f>
        <v>230378</v>
      </c>
      <c r="AQ24">
        <v>3</v>
      </c>
    </row>
    <row r="25" spans="1:46" ht="13.8" thickBot="1" x14ac:dyDescent="0.3">
      <c r="A25" s="249" t="s">
        <v>173</v>
      </c>
      <c r="B25" s="512">
        <f>B19-B4</f>
        <v>132.5</v>
      </c>
      <c r="C25" s="270">
        <f>C4-(C19+C24)</f>
        <v>76478</v>
      </c>
      <c r="D25" s="461"/>
      <c r="E25" s="512">
        <f>E19-E4</f>
        <v>0</v>
      </c>
      <c r="F25" s="270">
        <f>F4-(F19+F24)</f>
        <v>104175</v>
      </c>
      <c r="G25" s="461"/>
      <c r="H25" s="512">
        <f>H19-H4</f>
        <v>0</v>
      </c>
      <c r="I25" s="270">
        <f>I4-(I19+I24)</f>
        <v>-97036</v>
      </c>
      <c r="J25" s="461"/>
      <c r="K25" s="512">
        <f>K19-K4</f>
        <v>0</v>
      </c>
      <c r="L25" s="270">
        <f>L4-(L19+L24)</f>
        <v>-97779</v>
      </c>
      <c r="M25" s="461"/>
      <c r="N25" s="512">
        <f>N19-N4</f>
        <v>0</v>
      </c>
      <c r="O25" s="270">
        <f>O4-(O19+O24)</f>
        <v>-97432</v>
      </c>
      <c r="P25" s="461"/>
      <c r="Q25" s="512">
        <f>Q19-Q4</f>
        <v>0</v>
      </c>
      <c r="R25" s="270">
        <f>R4-(R19+R24)</f>
        <v>-97442</v>
      </c>
      <c r="S25" s="461"/>
      <c r="T25" s="512">
        <f>T19-T4</f>
        <v>0</v>
      </c>
      <c r="U25" s="270">
        <f>U4-(U19+U24)</f>
        <v>-97300</v>
      </c>
      <c r="V25" s="461"/>
      <c r="W25" s="512">
        <f>W19-W4</f>
        <v>0</v>
      </c>
      <c r="X25" s="270">
        <f>X4-(X19+X24)</f>
        <v>0</v>
      </c>
      <c r="Y25" s="461"/>
      <c r="Z25" s="512">
        <f>Z19-Z4</f>
        <v>0</v>
      </c>
      <c r="AA25" s="270">
        <f>AA4-(AA19+AA24)</f>
        <v>0</v>
      </c>
      <c r="AB25" s="461"/>
      <c r="AC25" s="512">
        <f>AC19-AC4</f>
        <v>0</v>
      </c>
      <c r="AD25" s="270">
        <f>AD4-(AD19+AD24)</f>
        <v>0</v>
      </c>
      <c r="AE25" s="461"/>
      <c r="AF25" s="512">
        <f>AF19-AF4</f>
        <v>0</v>
      </c>
      <c r="AG25" s="270">
        <f>AG4-(AG19+AG24)</f>
        <v>0</v>
      </c>
      <c r="AH25" s="461"/>
      <c r="AI25" s="512">
        <f>AI19-AI4</f>
        <v>0</v>
      </c>
      <c r="AJ25" s="270">
        <f>AJ4-(AJ19+AJ24)</f>
        <v>0</v>
      </c>
      <c r="AK25" s="461"/>
      <c r="AL25" s="524">
        <f>AL19-AL4</f>
        <v>1171.5</v>
      </c>
      <c r="AM25" s="270">
        <f>AM4-(AM19+AM24)</f>
        <v>-552308</v>
      </c>
      <c r="AN25" s="921">
        <f>AM25/AL4</f>
        <v>-34.628112127500827</v>
      </c>
      <c r="AP25" s="340">
        <f>AL25/AL19</f>
        <v>6.8423942247038752E-2</v>
      </c>
    </row>
    <row r="26" spans="1:46" x14ac:dyDescent="0.25">
      <c r="A26" s="217" t="s">
        <v>197</v>
      </c>
      <c r="B26" s="580"/>
      <c r="C26" s="8">
        <f>ROUND((C39*2%),0)</f>
        <v>4493</v>
      </c>
      <c r="D26" s="229"/>
      <c r="E26" s="580">
        <f>E25/E19</f>
        <v>0</v>
      </c>
      <c r="F26" s="96">
        <f>ROUND((F39*2%),0)</f>
        <v>4919</v>
      </c>
      <c r="H26" s="580" t="e">
        <f>H25/H19</f>
        <v>#DIV/0!</v>
      </c>
      <c r="I26" s="8">
        <f>ROUND((I39*2%),0)</f>
        <v>0</v>
      </c>
      <c r="K26" s="722" t="e">
        <f>K25/K19</f>
        <v>#DIV/0!</v>
      </c>
      <c r="L26" s="591">
        <f>ROUND((L39*2%),0)</f>
        <v>0</v>
      </c>
      <c r="N26" s="580" t="e">
        <f>N25/N19</f>
        <v>#DIV/0!</v>
      </c>
      <c r="O26" s="280">
        <f>ROUND((O39*2%),0)</f>
        <v>0</v>
      </c>
      <c r="Q26" s="580" t="e">
        <f>Q25/Q19</f>
        <v>#DIV/0!</v>
      </c>
      <c r="R26" s="8">
        <f>ROUND((R39*2%),0)</f>
        <v>0</v>
      </c>
      <c r="T26" s="580" t="e">
        <f>T25/T19</f>
        <v>#DIV/0!</v>
      </c>
      <c r="U26" s="8">
        <f>ROUND((U39*2%),0)</f>
        <v>0</v>
      </c>
      <c r="W26" s="580" t="e">
        <f>W25/W19</f>
        <v>#DIV/0!</v>
      </c>
      <c r="X26" s="8">
        <f>ROUND((X39*2%),0)</f>
        <v>0</v>
      </c>
      <c r="Z26" s="580" t="e">
        <f>Z25/Z19</f>
        <v>#DIV/0!</v>
      </c>
      <c r="AA26" s="8">
        <f>ROUND((AA39*2%),0)</f>
        <v>0</v>
      </c>
      <c r="AC26" s="580"/>
      <c r="AD26" s="8">
        <f>ROUND((AD39*2%),0)</f>
        <v>0</v>
      </c>
      <c r="AF26" s="580" t="e">
        <f>AF25/AF19</f>
        <v>#DIV/0!</v>
      </c>
      <c r="AG26" s="8">
        <f>ROUND((AG39*2%),0)</f>
        <v>0</v>
      </c>
      <c r="AJ26" s="8">
        <f>ROUND((AJ39*2%),0)</f>
        <v>0</v>
      </c>
      <c r="AL26" s="722">
        <f>AL25/AL19</f>
        <v>6.8423942247038752E-2</v>
      </c>
      <c r="AM26" s="868">
        <f>SUM(C26,F26,I26,L26,O26,R26,U26,X26,AA26,AD26,AG26,AJ26)</f>
        <v>9412</v>
      </c>
      <c r="AN26" s="869">
        <f>AM26/AL4</f>
        <v>0.59010514304344275</v>
      </c>
    </row>
    <row r="27" spans="1:46" ht="13.8" thickBot="1" x14ac:dyDescent="0.3">
      <c r="A27" s="145"/>
      <c r="B27" s="7"/>
      <c r="C27" s="581">
        <f>C25-C26</f>
        <v>71985</v>
      </c>
      <c r="D27" s="582"/>
      <c r="E27" s="582"/>
      <c r="F27" s="583">
        <f>F25-F26</f>
        <v>99256</v>
      </c>
      <c r="G27" s="582"/>
      <c r="H27" s="582"/>
      <c r="I27" s="583">
        <f>I25-I26</f>
        <v>-97036</v>
      </c>
      <c r="J27" s="582"/>
      <c r="K27" s="723"/>
      <c r="L27" s="585">
        <f>L25-L26</f>
        <v>-97779</v>
      </c>
      <c r="M27" s="585"/>
      <c r="N27" s="585"/>
      <c r="O27" s="1641">
        <f>O25-O26</f>
        <v>-97432</v>
      </c>
      <c r="P27" s="585"/>
      <c r="Q27" s="585"/>
      <c r="R27" s="585">
        <f>R25-R26</f>
        <v>-97442</v>
      </c>
      <c r="S27" s="582"/>
      <c r="T27" s="582"/>
      <c r="U27" s="582">
        <f>U25-U26</f>
        <v>-97300</v>
      </c>
      <c r="V27" s="582"/>
      <c r="W27" s="582"/>
      <c r="X27" s="582">
        <f>X25-X26</f>
        <v>0</v>
      </c>
      <c r="Y27" s="582"/>
      <c r="Z27" s="582"/>
      <c r="AA27" s="582">
        <f>AA25-AA26</f>
        <v>0</v>
      </c>
      <c r="AB27" s="582"/>
      <c r="AC27" s="582"/>
      <c r="AD27" s="582">
        <f>AD25-AD26</f>
        <v>0</v>
      </c>
      <c r="AE27" s="582"/>
      <c r="AF27" s="582"/>
      <c r="AG27" s="582">
        <f>AG25-AG26</f>
        <v>0</v>
      </c>
      <c r="AH27" s="582"/>
      <c r="AI27" s="582"/>
      <c r="AJ27" s="582">
        <f>AJ25-AJ26</f>
        <v>0</v>
      </c>
      <c r="AK27" s="582"/>
      <c r="AL27" s="723"/>
      <c r="AM27" s="585">
        <f>AM25-AM26</f>
        <v>-561720</v>
      </c>
      <c r="AN27" s="922">
        <f>AM27/AL4</f>
        <v>-35.218217270544272</v>
      </c>
      <c r="AO27" s="340">
        <f>AM27/AM4</f>
        <v>-0.13867297869173109</v>
      </c>
    </row>
    <row r="28" spans="1:46" x14ac:dyDescent="0.25">
      <c r="O28" s="280"/>
      <c r="AM28" s="227"/>
    </row>
    <row r="29" spans="1:46" x14ac:dyDescent="0.25">
      <c r="F29" s="1514">
        <f>C27+F27</f>
        <v>171241</v>
      </c>
      <c r="I29" s="8">
        <f>F29+I27</f>
        <v>74205</v>
      </c>
      <c r="L29" s="591">
        <f>I29+L27</f>
        <v>-23574</v>
      </c>
      <c r="O29" s="280">
        <f>L29+O27</f>
        <v>-121006</v>
      </c>
      <c r="R29" s="8">
        <f>O29+R27</f>
        <v>-218448</v>
      </c>
      <c r="U29" s="8">
        <f>R29+U27</f>
        <v>-315748</v>
      </c>
      <c r="X29" s="8">
        <f>U29+X27</f>
        <v>-315748</v>
      </c>
      <c r="AA29" s="8">
        <f>X29+AA27</f>
        <v>-315748</v>
      </c>
      <c r="AD29" s="8">
        <f>AA29+AD27</f>
        <v>-315748</v>
      </c>
      <c r="AG29" s="8">
        <f>AD29+AG27</f>
        <v>-315748</v>
      </c>
      <c r="AJ29" s="8">
        <f>AG29+AJ27</f>
        <v>-315748</v>
      </c>
      <c r="AM29" s="538">
        <f>AM27-AJ29</f>
        <v>-245972</v>
      </c>
    </row>
    <row r="30" spans="1:46" x14ac:dyDescent="0.25">
      <c r="AH30" t="s">
        <v>271</v>
      </c>
    </row>
    <row r="31" spans="1:46" ht="13.8" thickBot="1" x14ac:dyDescent="0.3">
      <c r="A31" s="194" t="s">
        <v>609</v>
      </c>
    </row>
    <row r="32" spans="1:46" x14ac:dyDescent="0.25">
      <c r="A32" s="225" t="s">
        <v>67</v>
      </c>
      <c r="B32" s="3308" t="s">
        <v>16</v>
      </c>
      <c r="C32" s="3309"/>
      <c r="D32" s="3310"/>
      <c r="E32" s="3311" t="s">
        <v>4</v>
      </c>
      <c r="F32" s="3312"/>
      <c r="G32" s="3313"/>
      <c r="H32" s="3308" t="s">
        <v>17</v>
      </c>
      <c r="I32" s="3309"/>
      <c r="J32" s="3310"/>
      <c r="K32" s="3314" t="s">
        <v>18</v>
      </c>
      <c r="L32" s="3315"/>
      <c r="M32" s="3316"/>
      <c r="N32" s="3308" t="s">
        <v>19</v>
      </c>
      <c r="O32" s="3309"/>
      <c r="P32" s="3310"/>
      <c r="Q32" s="3311" t="s">
        <v>20</v>
      </c>
      <c r="R32" s="3312"/>
      <c r="S32" s="3313"/>
      <c r="T32" s="3308" t="s">
        <v>13</v>
      </c>
      <c r="U32" s="3309"/>
      <c r="V32" s="3310"/>
      <c r="W32" s="3311" t="s">
        <v>5</v>
      </c>
      <c r="X32" s="3312"/>
      <c r="Y32" s="3313"/>
      <c r="Z32" s="3311" t="s">
        <v>6</v>
      </c>
      <c r="AA32" s="3312"/>
      <c r="AB32" s="3313"/>
      <c r="AC32" s="3311" t="s">
        <v>7</v>
      </c>
      <c r="AD32" s="3312"/>
      <c r="AE32" s="3313"/>
      <c r="AF32" s="3311" t="s">
        <v>8</v>
      </c>
      <c r="AG32" s="3312"/>
      <c r="AH32" s="3312"/>
      <c r="AI32" s="3311" t="s">
        <v>9</v>
      </c>
      <c r="AJ32" s="3312"/>
      <c r="AK32" s="3313"/>
      <c r="AL32" s="3311" t="s">
        <v>165</v>
      </c>
      <c r="AM32" s="3312"/>
      <c r="AN32" s="3313"/>
    </row>
    <row r="33" spans="1:40" ht="13.8" thickBot="1" x14ac:dyDescent="0.3">
      <c r="A33" s="226"/>
      <c r="B33" s="183" t="s">
        <v>10</v>
      </c>
      <c r="C33" s="185" t="s">
        <v>15</v>
      </c>
      <c r="D33" s="184" t="s">
        <v>14</v>
      </c>
      <c r="E33" s="183" t="s">
        <v>10</v>
      </c>
      <c r="F33" s="185" t="s">
        <v>15</v>
      </c>
      <c r="G33" s="184" t="s">
        <v>14</v>
      </c>
      <c r="H33" s="183" t="s">
        <v>10</v>
      </c>
      <c r="I33" s="185" t="s">
        <v>15</v>
      </c>
      <c r="J33" s="184" t="s">
        <v>14</v>
      </c>
      <c r="K33" s="719" t="s">
        <v>10</v>
      </c>
      <c r="L33" s="720" t="s">
        <v>15</v>
      </c>
      <c r="M33" s="721" t="s">
        <v>14</v>
      </c>
      <c r="N33" s="183" t="s">
        <v>10</v>
      </c>
      <c r="O33" s="185" t="s">
        <v>15</v>
      </c>
      <c r="P33" s="184" t="s">
        <v>14</v>
      </c>
      <c r="Q33" s="183" t="s">
        <v>10</v>
      </c>
      <c r="R33" s="185" t="s">
        <v>15</v>
      </c>
      <c r="S33" s="184" t="s">
        <v>14</v>
      </c>
      <c r="T33" s="183" t="s">
        <v>10</v>
      </c>
      <c r="U33" s="185" t="s">
        <v>15</v>
      </c>
      <c r="V33" s="184" t="s">
        <v>14</v>
      </c>
      <c r="W33" s="183" t="s">
        <v>10</v>
      </c>
      <c r="X33" s="185" t="s">
        <v>15</v>
      </c>
      <c r="Y33" s="184" t="s">
        <v>14</v>
      </c>
      <c r="Z33" s="193" t="s">
        <v>10</v>
      </c>
      <c r="AA33" s="185" t="s">
        <v>15</v>
      </c>
      <c r="AB33" s="184" t="s">
        <v>14</v>
      </c>
      <c r="AC33" s="183" t="s">
        <v>10</v>
      </c>
      <c r="AD33" s="185" t="s">
        <v>15</v>
      </c>
      <c r="AE33" s="184" t="s">
        <v>14</v>
      </c>
      <c r="AF33" s="183" t="s">
        <v>10</v>
      </c>
      <c r="AG33" s="185" t="s">
        <v>15</v>
      </c>
      <c r="AH33" s="184" t="s">
        <v>14</v>
      </c>
      <c r="AI33" s="183" t="s">
        <v>10</v>
      </c>
      <c r="AJ33" s="185" t="s">
        <v>15</v>
      </c>
      <c r="AK33" s="184" t="s">
        <v>14</v>
      </c>
      <c r="AL33" s="206" t="s">
        <v>10</v>
      </c>
      <c r="AM33" s="208" t="s">
        <v>15</v>
      </c>
      <c r="AN33" s="208" t="s">
        <v>14</v>
      </c>
    </row>
    <row r="34" spans="1:40" x14ac:dyDescent="0.25">
      <c r="A34" s="196" t="s">
        <v>174</v>
      </c>
      <c r="B34" s="132">
        <f>'Stock Valuation (FIFO)'!E15</f>
        <v>387</v>
      </c>
      <c r="C34" s="53">
        <f>'Stock Valuation (FIFO)'!G15</f>
        <v>92997</v>
      </c>
      <c r="D34" s="101">
        <f>IF(C34=0,0,C34/B34)</f>
        <v>240.30232558139534</v>
      </c>
      <c r="E34" s="132">
        <f>'Stock Valuation (FIFO)'!H15</f>
        <v>387</v>
      </c>
      <c r="F34" s="53">
        <f>'Stock Valuation (FIFO)'!J15</f>
        <v>93541</v>
      </c>
      <c r="G34" s="101">
        <f>IF(F34=0,0,F34/E34)</f>
        <v>241.70801033591732</v>
      </c>
      <c r="H34" s="132">
        <f>'Stock Valuation (FIFO)'!K15</f>
        <v>0</v>
      </c>
      <c r="I34" s="53">
        <f>'Stock Valuation (FIFO)'!M15</f>
        <v>0</v>
      </c>
      <c r="J34" s="101">
        <f>IF(I34=0,0,I34/H34)</f>
        <v>0</v>
      </c>
      <c r="K34" s="132">
        <f>'Stock Valuation (FIFO)'!N15</f>
        <v>0</v>
      </c>
      <c r="L34" s="53">
        <f>'Stock Valuation (FIFO)'!P15</f>
        <v>0</v>
      </c>
      <c r="M34" s="101">
        <f>IF(L34=0,0,L34/K34)</f>
        <v>0</v>
      </c>
      <c r="N34" s="132">
        <f>'Stock Valuation (FIFO)'!Q15</f>
        <v>0</v>
      </c>
      <c r="O34" s="53">
        <f>'Stock Valuation (FIFO)'!S15</f>
        <v>0</v>
      </c>
      <c r="P34" s="101">
        <f>IF(O34=0,0,O34/N34)</f>
        <v>0</v>
      </c>
      <c r="Q34" s="132">
        <f>'Stock Valuation (FIFO)'!T15</f>
        <v>0</v>
      </c>
      <c r="R34" s="53">
        <f>'Stock Valuation (FIFO)'!V15</f>
        <v>0</v>
      </c>
      <c r="S34" s="101">
        <f>IF(R34=0,0,R34/Q34)</f>
        <v>0</v>
      </c>
      <c r="T34" s="132">
        <f>'Stock Valuation (FIFO)'!W15</f>
        <v>0</v>
      </c>
      <c r="U34" s="53">
        <f>'Stock Valuation (FIFO)'!Y15</f>
        <v>0</v>
      </c>
      <c r="V34" s="101">
        <f>IF(U34=0,0,U34/T34)</f>
        <v>0</v>
      </c>
      <c r="W34" s="132"/>
      <c r="X34" s="53"/>
      <c r="Y34" s="101">
        <f>IF(X34=0,0,X34/W34)</f>
        <v>0</v>
      </c>
      <c r="Z34" s="132"/>
      <c r="AA34" s="53"/>
      <c r="AB34" s="101">
        <f>IF(AA34=0,0,AA34/Z34)</f>
        <v>0</v>
      </c>
      <c r="AC34" s="132"/>
      <c r="AD34" s="53"/>
      <c r="AE34" s="101">
        <f>IF(AD34=0,0,AD34/AC34)</f>
        <v>0</v>
      </c>
      <c r="AF34" s="132"/>
      <c r="AG34" s="53"/>
      <c r="AH34" s="101">
        <f>IF(AG34=0,0,AG34/AF34)</f>
        <v>0</v>
      </c>
      <c r="AI34" s="132"/>
      <c r="AJ34" s="53"/>
      <c r="AK34" s="101">
        <f>IF(AJ34=0,0,AJ34/AI34)</f>
        <v>0</v>
      </c>
      <c r="AL34" s="97">
        <f>SUM(AI34)</f>
        <v>0</v>
      </c>
      <c r="AM34" s="99">
        <f>SUM(AJ34)</f>
        <v>0</v>
      </c>
      <c r="AN34" s="188">
        <f>IF(AL34=0,0,AM34/AL34)</f>
        <v>0</v>
      </c>
    </row>
    <row r="35" spans="1:40" x14ac:dyDescent="0.25">
      <c r="A35" s="196" t="s">
        <v>175</v>
      </c>
      <c r="B35" s="132">
        <f>'Stock Valuation (FIFO)'!E16</f>
        <v>172</v>
      </c>
      <c r="C35" s="53">
        <f>'Stock Valuation (FIFO)'!G16</f>
        <v>45827</v>
      </c>
      <c r="D35" s="101">
        <f t="shared" ref="D35:D38" si="22">IF(C35=0,0,C35/B35)</f>
        <v>266.43604651162792</v>
      </c>
      <c r="E35" s="132">
        <f>'Stock Valuation (FIFO)'!H16</f>
        <v>340</v>
      </c>
      <c r="F35" s="53">
        <f>'Stock Valuation (FIFO)'!J16</f>
        <v>87729</v>
      </c>
      <c r="G35" s="101">
        <f>IF(F35=0,0,F35/E35)</f>
        <v>258.02647058823527</v>
      </c>
      <c r="H35" s="132">
        <f>'Stock Valuation (FIFO)'!K16</f>
        <v>0</v>
      </c>
      <c r="I35" s="53">
        <f>'Stock Valuation (FIFO)'!M16</f>
        <v>0</v>
      </c>
      <c r="J35" s="101">
        <f t="shared" ref="J35:J38" si="23">IF(I35=0,0,I35/H35)</f>
        <v>0</v>
      </c>
      <c r="K35" s="132">
        <f>'Stock Valuation (FIFO)'!N16</f>
        <v>0</v>
      </c>
      <c r="L35" s="53">
        <f>'Stock Valuation (FIFO)'!P16</f>
        <v>0</v>
      </c>
      <c r="M35" s="101">
        <f t="shared" ref="M35:M38" si="24">IF(L35=0,0,L35/K35)</f>
        <v>0</v>
      </c>
      <c r="N35" s="132">
        <f>'Stock Valuation (FIFO)'!Q16</f>
        <v>0</v>
      </c>
      <c r="O35" s="53">
        <f>'Stock Valuation (FIFO)'!S16</f>
        <v>0</v>
      </c>
      <c r="P35" s="101">
        <f t="shared" ref="P35:P38" si="25">IF(O35=0,0,O35/N35)</f>
        <v>0</v>
      </c>
      <c r="Q35" s="132">
        <f>'Stock Valuation (FIFO)'!T16</f>
        <v>0</v>
      </c>
      <c r="R35" s="53">
        <f>'Stock Valuation (FIFO)'!V16</f>
        <v>0</v>
      </c>
      <c r="S35" s="101">
        <f t="shared" ref="S35:S38" si="26">IF(R35=0,0,R35/Q35)</f>
        <v>0</v>
      </c>
      <c r="T35" s="132">
        <f>'Stock Valuation (FIFO)'!W16</f>
        <v>0</v>
      </c>
      <c r="U35" s="53">
        <f>'Stock Valuation (FIFO)'!Y16</f>
        <v>0</v>
      </c>
      <c r="V35" s="101">
        <f t="shared" ref="V35:V38" si="27">IF(U35=0,0,U35/T35)</f>
        <v>0</v>
      </c>
      <c r="W35" s="132"/>
      <c r="X35" s="53"/>
      <c r="Y35" s="101">
        <f t="shared" ref="Y35:Y38" si="28">IF(X35=0,0,X35/W35)</f>
        <v>0</v>
      </c>
      <c r="Z35" s="132"/>
      <c r="AA35" s="53"/>
      <c r="AB35" s="101">
        <f t="shared" ref="AB35:AB38" si="29">IF(AA35=0,0,AA35/Z35)</f>
        <v>0</v>
      </c>
      <c r="AC35" s="132"/>
      <c r="AD35" s="53"/>
      <c r="AE35" s="101">
        <f t="shared" ref="AE35:AE38" si="30">IF(AD35=0,0,AD35/AC35)</f>
        <v>0</v>
      </c>
      <c r="AF35" s="132"/>
      <c r="AG35" s="1694"/>
      <c r="AH35" s="101">
        <f t="shared" ref="AH35:AH38" si="31">IF(AG35=0,0,AG35/AF35)</f>
        <v>0</v>
      </c>
      <c r="AI35" s="132"/>
      <c r="AJ35" s="53"/>
      <c r="AK35" s="101">
        <f t="shared" ref="AK35:AK38" si="32">IF(AJ35=0,0,AJ35/AI35)</f>
        <v>0</v>
      </c>
      <c r="AL35" s="97">
        <f>SUM(AI35)</f>
        <v>0</v>
      </c>
      <c r="AM35" s="99">
        <f>AJ35</f>
        <v>0</v>
      </c>
      <c r="AN35" s="188">
        <f>IF(AL35=0,0,AM35/AL35)</f>
        <v>0</v>
      </c>
    </row>
    <row r="36" spans="1:40" x14ac:dyDescent="0.25">
      <c r="A36" s="1776" t="s">
        <v>202</v>
      </c>
      <c r="B36" s="132">
        <f>'Stock Valuation (FIFO)'!E17</f>
        <v>346</v>
      </c>
      <c r="C36" s="53">
        <f>'Stock Valuation (FIFO)'!G17</f>
        <v>79107</v>
      </c>
      <c r="D36" s="101">
        <f t="shared" si="22"/>
        <v>228.63294797687863</v>
      </c>
      <c r="E36" s="132">
        <f>'Stock Valuation (FIFO)'!H17</f>
        <v>276</v>
      </c>
      <c r="F36" s="53">
        <f>'Stock Valuation (FIFO)'!J17</f>
        <v>57981</v>
      </c>
      <c r="G36" s="101">
        <f t="shared" ref="G36:G38" si="33">IF(F36=0,0,F36/E36)</f>
        <v>210.07608695652175</v>
      </c>
      <c r="H36" s="132">
        <f>'Stock Valuation (FIFO)'!K17</f>
        <v>0</v>
      </c>
      <c r="I36" s="53">
        <f>'Stock Valuation (FIFO)'!M17</f>
        <v>0</v>
      </c>
      <c r="J36" s="101">
        <f t="shared" si="23"/>
        <v>0</v>
      </c>
      <c r="K36" s="132">
        <f>'Stock Valuation (FIFO)'!N17</f>
        <v>0</v>
      </c>
      <c r="L36" s="53">
        <f>'Stock Valuation (FIFO)'!P17</f>
        <v>0</v>
      </c>
      <c r="M36" s="101">
        <f t="shared" si="24"/>
        <v>0</v>
      </c>
      <c r="N36" s="132">
        <f>'Stock Valuation (FIFO)'!Q17</f>
        <v>0</v>
      </c>
      <c r="O36" s="53">
        <f>'Stock Valuation (FIFO)'!S17</f>
        <v>0</v>
      </c>
      <c r="P36" s="101">
        <f t="shared" si="25"/>
        <v>0</v>
      </c>
      <c r="Q36" s="132">
        <f>'Stock Valuation (FIFO)'!T17</f>
        <v>0</v>
      </c>
      <c r="R36" s="53">
        <f>'Stock Valuation (FIFO)'!V17</f>
        <v>0</v>
      </c>
      <c r="S36" s="101">
        <f t="shared" si="26"/>
        <v>0</v>
      </c>
      <c r="T36" s="132">
        <f>'Stock Valuation (FIFO)'!W17</f>
        <v>0</v>
      </c>
      <c r="U36" s="53">
        <f>'Stock Valuation (FIFO)'!Y17</f>
        <v>0</v>
      </c>
      <c r="V36" s="101">
        <f t="shared" si="27"/>
        <v>0</v>
      </c>
      <c r="W36" s="132"/>
      <c r="X36" s="53"/>
      <c r="Y36" s="101">
        <f t="shared" si="28"/>
        <v>0</v>
      </c>
      <c r="Z36" s="132"/>
      <c r="AA36" s="53"/>
      <c r="AB36" s="101">
        <f t="shared" si="29"/>
        <v>0</v>
      </c>
      <c r="AC36" s="132"/>
      <c r="AD36" s="53"/>
      <c r="AE36" s="101">
        <f t="shared" si="30"/>
        <v>0</v>
      </c>
      <c r="AF36" s="132"/>
      <c r="AG36" s="53"/>
      <c r="AH36" s="101">
        <f t="shared" si="31"/>
        <v>0</v>
      </c>
      <c r="AI36" s="132"/>
      <c r="AJ36" s="53"/>
      <c r="AK36" s="101">
        <f t="shared" si="32"/>
        <v>0</v>
      </c>
      <c r="AL36" s="97"/>
      <c r="AM36" s="197"/>
      <c r="AN36" s="188"/>
    </row>
    <row r="37" spans="1:40" x14ac:dyDescent="0.25">
      <c r="A37" s="1776" t="s">
        <v>638</v>
      </c>
      <c r="B37" s="132">
        <f>'Stock Valuation (FIFO)'!E18</f>
        <v>0</v>
      </c>
      <c r="C37" s="53">
        <f>'Stock Valuation (FIFO)'!G18</f>
        <v>0</v>
      </c>
      <c r="D37" s="101">
        <f t="shared" si="22"/>
        <v>0</v>
      </c>
      <c r="E37" s="132">
        <f>'Stock Valuation (FIFO)'!H18</f>
        <v>0</v>
      </c>
      <c r="F37" s="53">
        <f>'Stock Valuation (FIFO)'!J18</f>
        <v>0</v>
      </c>
      <c r="G37" s="101">
        <f t="shared" si="33"/>
        <v>0</v>
      </c>
      <c r="H37" s="132">
        <f>'Stock Valuation (FIFO)'!K18</f>
        <v>0</v>
      </c>
      <c r="I37" s="53">
        <f>'Stock Valuation (FIFO)'!M18</f>
        <v>0</v>
      </c>
      <c r="J37" s="101">
        <f t="shared" si="23"/>
        <v>0</v>
      </c>
      <c r="K37" s="132">
        <f>'Stock Valuation (FIFO)'!N18</f>
        <v>0</v>
      </c>
      <c r="L37" s="53">
        <f>'Stock Valuation (FIFO)'!P18</f>
        <v>0</v>
      </c>
      <c r="M37" s="101">
        <f t="shared" si="24"/>
        <v>0</v>
      </c>
      <c r="N37" s="132">
        <f>'Stock Valuation (FIFO)'!Q18</f>
        <v>0</v>
      </c>
      <c r="O37" s="53">
        <f>'Stock Valuation (FIFO)'!S18</f>
        <v>0</v>
      </c>
      <c r="P37" s="101">
        <f t="shared" si="25"/>
        <v>0</v>
      </c>
      <c r="Q37" s="132"/>
      <c r="R37" s="53"/>
      <c r="S37" s="101">
        <f t="shared" si="26"/>
        <v>0</v>
      </c>
      <c r="T37" s="132"/>
      <c r="U37" s="53"/>
      <c r="V37" s="101">
        <f t="shared" si="27"/>
        <v>0</v>
      </c>
      <c r="W37" s="132"/>
      <c r="X37" s="53"/>
      <c r="Y37" s="101">
        <f t="shared" si="28"/>
        <v>0</v>
      </c>
      <c r="Z37" s="132"/>
      <c r="AA37" s="53"/>
      <c r="AB37" s="101">
        <f t="shared" si="29"/>
        <v>0</v>
      </c>
      <c r="AC37" s="132"/>
      <c r="AD37" s="53"/>
      <c r="AE37" s="101">
        <f t="shared" si="30"/>
        <v>0</v>
      </c>
      <c r="AF37" s="132"/>
      <c r="AG37" s="53"/>
      <c r="AH37" s="101">
        <f t="shared" si="31"/>
        <v>0</v>
      </c>
      <c r="AI37" s="132"/>
      <c r="AJ37" s="53"/>
      <c r="AK37" s="101">
        <f t="shared" si="32"/>
        <v>0</v>
      </c>
      <c r="AL37" s="97">
        <f>SUM(AI37)</f>
        <v>0</v>
      </c>
      <c r="AM37" s="197"/>
      <c r="AN37" s="188">
        <f>IF(AL37=0,0,AM37/AL37)</f>
        <v>0</v>
      </c>
    </row>
    <row r="38" spans="1:40" ht="13.8" thickBot="1" x14ac:dyDescent="0.3">
      <c r="A38" s="1777" t="s">
        <v>257</v>
      </c>
      <c r="B38" s="132">
        <f>'Stock Valuation (FIFO)'!E19</f>
        <v>36</v>
      </c>
      <c r="C38" s="53">
        <f>'Stock Valuation (FIFO)'!G19</f>
        <v>6721</v>
      </c>
      <c r="D38" s="815">
        <f t="shared" si="22"/>
        <v>186.69444444444446</v>
      </c>
      <c r="E38" s="132">
        <f>'Stock Valuation (FIFO)'!H19</f>
        <v>36</v>
      </c>
      <c r="F38" s="53">
        <f>'Stock Valuation (FIFO)'!J19</f>
        <v>6721</v>
      </c>
      <c r="G38" s="815">
        <f t="shared" si="33"/>
        <v>186.69444444444446</v>
      </c>
      <c r="H38" s="132">
        <f>'Stock Valuation (FIFO)'!K19</f>
        <v>0</v>
      </c>
      <c r="I38" s="53">
        <f>'Stock Valuation (FIFO)'!M19</f>
        <v>0</v>
      </c>
      <c r="J38" s="815">
        <f t="shared" si="23"/>
        <v>0</v>
      </c>
      <c r="K38" s="132">
        <f>'Stock Valuation (FIFO)'!N19</f>
        <v>0</v>
      </c>
      <c r="L38" s="53">
        <f>'Stock Valuation (FIFO)'!P19</f>
        <v>0</v>
      </c>
      <c r="M38" s="815">
        <f t="shared" si="24"/>
        <v>0</v>
      </c>
      <c r="N38" s="132">
        <f>'Stock Valuation (FIFO)'!Q19</f>
        <v>0</v>
      </c>
      <c r="O38" s="53">
        <f>'Stock Valuation (FIFO)'!S19</f>
        <v>0</v>
      </c>
      <c r="P38" s="815">
        <f t="shared" si="25"/>
        <v>0</v>
      </c>
      <c r="Q38" s="137">
        <f>'Stock Valuation (FIFO)'!T19</f>
        <v>0</v>
      </c>
      <c r="R38" s="107">
        <f>'Stock Valuation (FIFO)'!V19</f>
        <v>0</v>
      </c>
      <c r="S38" s="815">
        <f t="shared" si="26"/>
        <v>0</v>
      </c>
      <c r="T38" s="137">
        <f>'Stock Valuation (FIFO)'!W19</f>
        <v>0</v>
      </c>
      <c r="U38" s="107">
        <f>'Stock Valuation (FIFO)'!Y19</f>
        <v>0</v>
      </c>
      <c r="V38" s="815">
        <f t="shared" si="27"/>
        <v>0</v>
      </c>
      <c r="W38" s="137"/>
      <c r="X38" s="107"/>
      <c r="Y38" s="815">
        <f t="shared" si="28"/>
        <v>0</v>
      </c>
      <c r="Z38" s="137"/>
      <c r="AA38" s="107"/>
      <c r="AB38" s="815">
        <f t="shared" si="29"/>
        <v>0</v>
      </c>
      <c r="AC38" s="137"/>
      <c r="AD38" s="107"/>
      <c r="AE38" s="815">
        <f t="shared" si="30"/>
        <v>0</v>
      </c>
      <c r="AF38" s="137"/>
      <c r="AG38" s="107"/>
      <c r="AH38" s="815">
        <f t="shared" si="31"/>
        <v>0</v>
      </c>
      <c r="AI38" s="137"/>
      <c r="AJ38" s="107"/>
      <c r="AK38" s="815">
        <f t="shared" si="32"/>
        <v>0</v>
      </c>
      <c r="AL38" s="97">
        <f>SUM(AI38)</f>
        <v>0</v>
      </c>
      <c r="AM38" s="197"/>
      <c r="AN38" s="191">
        <f>IF(AL38=0,0,AM38/AL38)</f>
        <v>0</v>
      </c>
    </row>
    <row r="39" spans="1:40" ht="13.8" thickBot="1" x14ac:dyDescent="0.3">
      <c r="A39" s="198" t="s">
        <v>0</v>
      </c>
      <c r="B39" s="203">
        <f>SUM(B34:B38)</f>
        <v>941</v>
      </c>
      <c r="C39" s="230">
        <f>ROUND(SUM(C34:C38),0)</f>
        <v>224652</v>
      </c>
      <c r="D39" s="150">
        <f>IF(C39=0,0,C39/B39)</f>
        <v>238.7375132837407</v>
      </c>
      <c r="E39" s="203">
        <f>SUM(E34:E38)</f>
        <v>1039</v>
      </c>
      <c r="F39" s="230">
        <f>SUM(F34:F38)</f>
        <v>245972</v>
      </c>
      <c r="G39" s="150">
        <f>IF(F39=0,0,F39/E39)</f>
        <v>236.73917228103946</v>
      </c>
      <c r="H39" s="203">
        <f>SUM(H34:H38)</f>
        <v>0</v>
      </c>
      <c r="I39" s="230">
        <f>SUM(I34:I38)</f>
        <v>0</v>
      </c>
      <c r="J39" s="150">
        <f>IF(I39=0,0,I39/H39)</f>
        <v>0</v>
      </c>
      <c r="K39" s="203">
        <f>SUM(K34:K38)</f>
        <v>0</v>
      </c>
      <c r="L39" s="230">
        <f>ROUND(SUM(L34:L38),0)</f>
        <v>0</v>
      </c>
      <c r="M39" s="150">
        <f>IF(L39=0,0,L39/K39)</f>
        <v>0</v>
      </c>
      <c r="N39" s="203">
        <f>SUM(N34:N38)</f>
        <v>0</v>
      </c>
      <c r="O39" s="230">
        <f>ROUND(SUM(O34:O38),0)</f>
        <v>0</v>
      </c>
      <c r="P39" s="150">
        <f>IF(O39=0,0,O39/N39)</f>
        <v>0</v>
      </c>
      <c r="Q39" s="203">
        <f>SUM(Q34:Q38)</f>
        <v>0</v>
      </c>
      <c r="R39" s="230">
        <f>SUM(R34:R38)</f>
        <v>0</v>
      </c>
      <c r="S39" s="150">
        <f>IF(R39=0,0,R39/Q39)</f>
        <v>0</v>
      </c>
      <c r="T39" s="203">
        <f>SUM(T34:T38)</f>
        <v>0</v>
      </c>
      <c r="U39" s="230">
        <f>ROUND(SUM(U34:U38),0)</f>
        <v>0</v>
      </c>
      <c r="V39" s="150">
        <f>IF(U39=0,0,U39/T39)</f>
        <v>0</v>
      </c>
      <c r="W39" s="203">
        <f>SUM(W34:W38)</f>
        <v>0</v>
      </c>
      <c r="X39" s="230">
        <f>SUM(X34:X38)</f>
        <v>0</v>
      </c>
      <c r="Y39" s="150">
        <f>IF(X39=0,0,X39/W39)</f>
        <v>0</v>
      </c>
      <c r="Z39" s="203">
        <f>SUM(Z34:Z38)</f>
        <v>0</v>
      </c>
      <c r="AA39" s="230">
        <f>SUM(AA34:AA38)</f>
        <v>0</v>
      </c>
      <c r="AB39" s="150">
        <f>IF(AA39=0,0,AA39/Z39)</f>
        <v>0</v>
      </c>
      <c r="AC39" s="203">
        <f>SUM(AC34:AC38)</f>
        <v>0</v>
      </c>
      <c r="AD39" s="230">
        <f>ROUND(SUM(AD34:AD38),0)</f>
        <v>0</v>
      </c>
      <c r="AE39" s="150">
        <f>IF(AD39=0,0,AD39/AC39)</f>
        <v>0</v>
      </c>
      <c r="AF39" s="203">
        <f>SUM(AF34:AF38)</f>
        <v>0</v>
      </c>
      <c r="AG39" s="230">
        <f>SUM(AG34:AG38)</f>
        <v>0</v>
      </c>
      <c r="AH39" s="150">
        <f>IF(AG39=0,0,AG39/AF39)</f>
        <v>0</v>
      </c>
      <c r="AI39" s="203">
        <f>SUM(AI34:AI38)</f>
        <v>0</v>
      </c>
      <c r="AJ39" s="230">
        <f>SUM(AJ34:AJ38)</f>
        <v>0</v>
      </c>
      <c r="AK39" s="150">
        <f>IF(AJ39=0,0,AJ39/AI39)</f>
        <v>0</v>
      </c>
      <c r="AL39" s="204">
        <f>SUM(AL34:AL38)</f>
        <v>0</v>
      </c>
      <c r="AM39" s="660">
        <f>SUM(AM34:AM38)</f>
        <v>0</v>
      </c>
      <c r="AN39" s="209" t="e">
        <f>AM39/AL39</f>
        <v>#DIV/0!</v>
      </c>
    </row>
    <row r="40" spans="1:40" ht="13.8" thickBot="1" x14ac:dyDescent="0.3">
      <c r="A40" s="3317" t="s">
        <v>71</v>
      </c>
      <c r="B40" s="3317"/>
      <c r="C40" s="52"/>
      <c r="K40" s="526"/>
      <c r="L40" s="1299"/>
    </row>
    <row r="41" spans="1:40" x14ac:dyDescent="0.25">
      <c r="A41" s="979" t="s">
        <v>174</v>
      </c>
      <c r="B41" s="131">
        <f>'Stock Valuation (FIFO)'!B15</f>
        <v>387</v>
      </c>
      <c r="C41" s="59">
        <f>'Stock Valuation (FIFO)'!D15</f>
        <v>83070</v>
      </c>
      <c r="D41" s="233">
        <f>C41/B41</f>
        <v>214.65116279069767</v>
      </c>
    </row>
    <row r="42" spans="1:40" x14ac:dyDescent="0.25">
      <c r="A42" s="223" t="s">
        <v>175</v>
      </c>
      <c r="B42" s="132">
        <f>'Stock Valuation (FIFO)'!B16</f>
        <v>172</v>
      </c>
      <c r="C42" s="59">
        <f>'Stock Valuation (FIFO)'!D16</f>
        <v>41408</v>
      </c>
      <c r="D42" s="99">
        <f>C42/B42</f>
        <v>240.74418604651163</v>
      </c>
      <c r="F42" s="1056"/>
      <c r="G42" s="1056"/>
      <c r="H42" s="1056"/>
      <c r="M42" s="1532"/>
    </row>
    <row r="43" spans="1:40" x14ac:dyDescent="0.25">
      <c r="A43" s="223" t="s">
        <v>202</v>
      </c>
      <c r="B43" s="231">
        <f>'Stock Valuation (FIFO)'!B17</f>
        <v>446</v>
      </c>
      <c r="C43" s="59">
        <f>'Stock Valuation (FIFO)'!D17</f>
        <v>101957</v>
      </c>
      <c r="D43" s="99">
        <f>C43/B43</f>
        <v>228.6031390134529</v>
      </c>
      <c r="F43" s="964"/>
      <c r="G43" s="1056"/>
      <c r="H43" s="1056"/>
    </row>
    <row r="44" spans="1:40" ht="13.8" thickBot="1" x14ac:dyDescent="0.3">
      <c r="A44" s="224" t="s">
        <v>176</v>
      </c>
      <c r="B44" s="137">
        <v>0</v>
      </c>
      <c r="C44" s="53"/>
      <c r="D44" s="234">
        <v>0</v>
      </c>
      <c r="F44" s="1056"/>
      <c r="G44" s="1056"/>
      <c r="H44" s="1056"/>
    </row>
    <row r="45" spans="1:40" ht="13.8" thickBot="1" x14ac:dyDescent="0.3">
      <c r="A45" s="121" t="s">
        <v>203</v>
      </c>
      <c r="B45" s="232">
        <f>SUM(B41:B44)</f>
        <v>1005</v>
      </c>
      <c r="C45" s="257">
        <f>ROUND(SUM(C41:C44),0)</f>
        <v>226435</v>
      </c>
      <c r="D45" s="150">
        <f>C45/B45</f>
        <v>225.3084577114428</v>
      </c>
    </row>
    <row r="46" spans="1:40" x14ac:dyDescent="0.25">
      <c r="B46" s="236"/>
      <c r="C46" s="218"/>
      <c r="D46" s="8">
        <f>C46/B45</f>
        <v>0</v>
      </c>
    </row>
    <row r="47" spans="1:40" ht="13.8" thickBot="1" x14ac:dyDescent="0.3">
      <c r="A47" s="3" t="s">
        <v>208</v>
      </c>
      <c r="C47" s="8"/>
      <c r="D47" s="8">
        <f>C47/B45</f>
        <v>0</v>
      </c>
    </row>
    <row r="48" spans="1:40" ht="13.8" thickBot="1" x14ac:dyDescent="0.3">
      <c r="A48" s="255" t="s">
        <v>98</v>
      </c>
      <c r="B48" s="256">
        <v>0</v>
      </c>
      <c r="C48" s="235">
        <f>ROUND((B48*D48),0)</f>
        <v>0</v>
      </c>
      <c r="D48" s="273"/>
    </row>
    <row r="49" spans="1:40" ht="13.8" thickBot="1" x14ac:dyDescent="0.3">
      <c r="A49" s="121" t="s">
        <v>209</v>
      </c>
      <c r="B49" s="272"/>
      <c r="C49" s="257">
        <f>ROUND((B49*D49),0)</f>
        <v>0</v>
      </c>
      <c r="D49" s="250">
        <f>D48</f>
        <v>0</v>
      </c>
      <c r="E49" s="134"/>
      <c r="F49" s="277">
        <f>ROUND((E49*D49),0)</f>
        <v>0</v>
      </c>
      <c r="G49" s="250">
        <f>IF(E49=0,0,F49/E49)</f>
        <v>0</v>
      </c>
      <c r="H49" s="134">
        <f>E49-H50</f>
        <v>0</v>
      </c>
      <c r="I49" s="277">
        <f>ROUND((H49*G49),0)</f>
        <v>0</v>
      </c>
      <c r="J49" s="250">
        <f>G49</f>
        <v>0</v>
      </c>
      <c r="K49" s="724">
        <f>H49-K50</f>
        <v>0</v>
      </c>
      <c r="L49" s="725">
        <f>ROUND((K49*J49),0)</f>
        <v>0</v>
      </c>
      <c r="M49" s="726">
        <f>J49</f>
        <v>0</v>
      </c>
      <c r="N49" s="134"/>
      <c r="O49" s="258"/>
      <c r="P49" s="186">
        <f>IF(N49=0,0,O49/N49)</f>
        <v>0</v>
      </c>
      <c r="Q49" s="134"/>
      <c r="R49" s="258"/>
      <c r="S49" s="186">
        <f>IF(Q49=0,0,R49/Q49)</f>
        <v>0</v>
      </c>
      <c r="T49" s="134"/>
      <c r="U49" s="258"/>
      <c r="V49" s="186">
        <f>IF(T49=0,0,U49/T49)</f>
        <v>0</v>
      </c>
      <c r="W49" s="134"/>
      <c r="X49" s="258"/>
      <c r="Y49" s="186">
        <f>IF(W49=0,0,X49/W49)</f>
        <v>0</v>
      </c>
      <c r="Z49" s="134"/>
      <c r="AA49" s="258"/>
      <c r="AB49" s="186">
        <f>IF(Z49=0,0,AA49/Z49)</f>
        <v>0</v>
      </c>
      <c r="AC49" s="259"/>
      <c r="AD49" s="149"/>
      <c r="AE49" s="186">
        <f>IF(AC49=0,0,AD49/AC49)</f>
        <v>0</v>
      </c>
      <c r="AF49" s="149"/>
      <c r="AG49" s="149"/>
      <c r="AH49" s="186">
        <f>IF(AF49=0,0,AG49/AF49)</f>
        <v>0</v>
      </c>
      <c r="AI49" s="149"/>
      <c r="AJ49" s="258"/>
      <c r="AK49" s="186">
        <f>IF(AI49=0,0,AJ49/AI49)</f>
        <v>0</v>
      </c>
      <c r="AL49" s="260">
        <f>Q49</f>
        <v>0</v>
      </c>
      <c r="AM49" s="261">
        <f>R49</f>
        <v>0</v>
      </c>
      <c r="AN49" s="186">
        <f>IF(AL49=0,0,AM49/AL49)</f>
        <v>0</v>
      </c>
    </row>
    <row r="50" spans="1:40" ht="13.8" thickBot="1" x14ac:dyDescent="0.3">
      <c r="A50" s="262" t="s">
        <v>177</v>
      </c>
      <c r="B50" s="272">
        <f>B48-B49</f>
        <v>0</v>
      </c>
      <c r="C50" s="263">
        <f>C48-C49</f>
        <v>0</v>
      </c>
      <c r="D50" s="250">
        <f>IF(B50=0,0,C50/B50)</f>
        <v>0</v>
      </c>
      <c r="E50" s="135">
        <f>B49-E49</f>
        <v>0</v>
      </c>
      <c r="F50" s="264"/>
      <c r="G50" s="250">
        <f>IF(E50=0,0,F50/E50)</f>
        <v>0</v>
      </c>
      <c r="H50" s="134"/>
      <c r="I50" s="352"/>
      <c r="J50" s="250">
        <f>IF(H50=0,0,I50/H50)</f>
        <v>0</v>
      </c>
      <c r="K50" s="727"/>
      <c r="L50" s="728">
        <f>+K50*J50</f>
        <v>0</v>
      </c>
      <c r="M50" s="726">
        <f>IF(K50=0,0,L50/K50)</f>
        <v>0</v>
      </c>
      <c r="N50" s="134"/>
      <c r="O50" s="266">
        <f>+N50*M50</f>
        <v>0</v>
      </c>
      <c r="P50" s="250">
        <f>IF(N50=0,0,O50/N50)</f>
        <v>0</v>
      </c>
      <c r="Q50" s="134"/>
      <c r="R50" s="266">
        <f>+Q50*P50</f>
        <v>0</v>
      </c>
      <c r="S50" s="250">
        <f>IF(Q50=0,0,R50/Q50)</f>
        <v>0</v>
      </c>
      <c r="T50" s="134"/>
      <c r="U50" s="265"/>
      <c r="V50" s="250">
        <f>IF(T50=0,0,U50/T50)</f>
        <v>0</v>
      </c>
      <c r="W50" s="134">
        <v>0</v>
      </c>
      <c r="X50" s="266">
        <v>0</v>
      </c>
      <c r="Y50" s="250">
        <f>IF(W50=0,0,X50/W50)</f>
        <v>0</v>
      </c>
      <c r="Z50" s="267">
        <v>0</v>
      </c>
      <c r="AA50" s="266">
        <v>0</v>
      </c>
      <c r="AB50" s="250">
        <f>IF(Z50=0,0,AA50/Z50)</f>
        <v>0</v>
      </c>
      <c r="AC50" s="268">
        <v>0</v>
      </c>
      <c r="AD50" s="264">
        <v>0</v>
      </c>
      <c r="AE50" s="250">
        <f>IF(AC50=0,0,AD50/AC50)</f>
        <v>0</v>
      </c>
      <c r="AF50" s="268">
        <v>0</v>
      </c>
      <c r="AG50" s="264">
        <v>0</v>
      </c>
      <c r="AH50" s="250">
        <f>IF(AF50=0,0,AG50/AF50)</f>
        <v>0</v>
      </c>
      <c r="AI50" s="269"/>
      <c r="AJ50" s="266"/>
      <c r="AK50" s="250">
        <f>IF(AI50=0,0,AJ50/AI50)</f>
        <v>0</v>
      </c>
      <c r="AL50" s="134">
        <f>SUM(B50,E50,H50,K50,N50,Q50,T50,W50,Z50,AC50,AF50,AI50)</f>
        <v>0</v>
      </c>
      <c r="AM50" s="282">
        <f>SUM(C50,F50,I50,L50,O50,R50,U50,X50,AA50,AD50,AG50,AJ50)</f>
        <v>0</v>
      </c>
      <c r="AN50" s="250">
        <f>IF(AL50=0,0,AM50/AL50)</f>
        <v>0</v>
      </c>
    </row>
  </sheetData>
  <mergeCells count="27">
    <mergeCell ref="A40:B40"/>
    <mergeCell ref="E32:G32"/>
    <mergeCell ref="H32:J32"/>
    <mergeCell ref="K32:M32"/>
    <mergeCell ref="N32:P32"/>
    <mergeCell ref="N2:P2"/>
    <mergeCell ref="T32:V32"/>
    <mergeCell ref="T2:V2"/>
    <mergeCell ref="W2:Y2"/>
    <mergeCell ref="AI2:AK2"/>
    <mergeCell ref="Q2:S2"/>
    <mergeCell ref="W32:Y32"/>
    <mergeCell ref="Z2:AB2"/>
    <mergeCell ref="Z32:AB32"/>
    <mergeCell ref="Q32:S32"/>
    <mergeCell ref="AL2:AN2"/>
    <mergeCell ref="AL32:AN32"/>
    <mergeCell ref="AI32:AK32"/>
    <mergeCell ref="AF32:AH32"/>
    <mergeCell ref="AC32:AE32"/>
    <mergeCell ref="AC2:AE2"/>
    <mergeCell ref="AF2:AH2"/>
    <mergeCell ref="B2:D2"/>
    <mergeCell ref="B32:D32"/>
    <mergeCell ref="E2:G2"/>
    <mergeCell ref="H2:J2"/>
    <mergeCell ref="K2:M2"/>
  </mergeCells>
  <printOptions horizontalCentered="1"/>
  <pageMargins left="0.7" right="0.7" top="0.75" bottom="0.75" header="0.3" footer="0.3"/>
  <pageSetup paperSize="9" scale="68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84"/>
  <sheetViews>
    <sheetView showZeros="0" zoomScale="92" zoomScaleNormal="92" workbookViewId="0">
      <pane xSplit="2" ySplit="3" topLeftCell="AA68" activePane="bottomRight" state="frozen"/>
      <selection pane="topRight" activeCell="C1" sqref="C1"/>
      <selection pane="bottomLeft" activeCell="A4" sqref="A4"/>
      <selection pane="bottomRight" activeCell="AK24" sqref="AK24"/>
    </sheetView>
  </sheetViews>
  <sheetFormatPr defaultColWidth="9.109375" defaultRowHeight="14.4" x14ac:dyDescent="0.3"/>
  <cols>
    <col min="1" max="1" width="3.5546875" style="12" customWidth="1"/>
    <col min="2" max="2" width="21.6640625" style="12" customWidth="1"/>
    <col min="3" max="3" width="8.44140625" style="12" customWidth="1"/>
    <col min="4" max="4" width="9.88671875" style="12" customWidth="1"/>
    <col min="5" max="5" width="15" style="12" customWidth="1"/>
    <col min="6" max="6" width="9.6640625" style="12" customWidth="1"/>
    <col min="7" max="7" width="7.33203125" style="12" customWidth="1"/>
    <col min="8" max="8" width="11.5546875" style="12" customWidth="1"/>
    <col min="9" max="9" width="16" style="12" bestFit="1" customWidth="1"/>
    <col min="10" max="10" width="7.88671875" style="12" customWidth="1"/>
    <col min="11" max="11" width="7.33203125" style="12" customWidth="1"/>
    <col min="12" max="12" width="9.6640625" style="12" customWidth="1"/>
    <col min="13" max="13" width="15.6640625" style="12" customWidth="1"/>
    <col min="14" max="14" width="8.33203125" style="12" customWidth="1"/>
    <col min="15" max="15" width="7.5546875" style="12" customWidth="1"/>
    <col min="16" max="16" width="10.109375" style="12" customWidth="1"/>
    <col min="17" max="17" width="15.6640625" style="12" customWidth="1"/>
    <col min="18" max="18" width="8.33203125" style="12" customWidth="1"/>
    <col min="19" max="19" width="7.33203125" style="12" customWidth="1"/>
    <col min="20" max="20" width="9.6640625" style="12" customWidth="1"/>
    <col min="21" max="21" width="15.6640625" style="12" customWidth="1"/>
    <col min="22" max="22" width="7.88671875" style="12" customWidth="1"/>
    <col min="23" max="23" width="6.88671875" style="12" customWidth="1"/>
    <col min="24" max="24" width="10.44140625" style="12" customWidth="1"/>
    <col min="25" max="25" width="15.6640625" style="12" customWidth="1"/>
    <col min="26" max="26" width="8.6640625" style="12" customWidth="1"/>
    <col min="27" max="27" width="8.44140625" style="12" customWidth="1"/>
    <col min="28" max="28" width="9.6640625" style="12" customWidth="1"/>
    <col min="29" max="29" width="15.6640625" style="12" customWidth="1"/>
    <col min="30" max="30" width="8.6640625" style="12" customWidth="1"/>
    <col min="31" max="31" width="7" style="12" customWidth="1"/>
    <col min="32" max="32" width="9.6640625" style="12" customWidth="1"/>
    <col min="33" max="33" width="15.6640625" style="12" customWidth="1"/>
    <col min="34" max="34" width="8.33203125" style="12" customWidth="1"/>
    <col min="35" max="35" width="6.44140625" style="12" customWidth="1"/>
    <col min="36" max="36" width="9.6640625" style="12" customWidth="1"/>
    <col min="37" max="37" width="15.6640625" style="12" customWidth="1"/>
    <col min="38" max="38" width="8.33203125" style="12" customWidth="1"/>
    <col min="39" max="39" width="6.44140625" style="12" hidden="1" customWidth="1"/>
    <col min="40" max="40" width="9.44140625" style="12" hidden="1" customWidth="1"/>
    <col min="41" max="41" width="15.6640625" style="12" hidden="1" customWidth="1"/>
    <col min="42" max="42" width="7.33203125" style="12" hidden="1" customWidth="1"/>
    <col min="43" max="43" width="7.6640625" style="12" hidden="1" customWidth="1"/>
    <col min="44" max="44" width="9.6640625" style="12" hidden="1" customWidth="1"/>
    <col min="45" max="45" width="15.6640625" style="12" hidden="1" customWidth="1"/>
    <col min="46" max="46" width="8.33203125" style="12" hidden="1" customWidth="1"/>
    <col min="47" max="47" width="5.33203125" style="12" hidden="1" customWidth="1"/>
    <col min="48" max="48" width="9.6640625" style="12" hidden="1" customWidth="1"/>
    <col min="49" max="49" width="15.6640625" style="12" hidden="1" customWidth="1"/>
    <col min="50" max="50" width="7.5546875" style="12" hidden="1" customWidth="1"/>
    <col min="51" max="51" width="7.109375" style="12" bestFit="1" customWidth="1"/>
    <col min="52" max="52" width="12.109375" style="12" bestFit="1" customWidth="1"/>
    <col min="53" max="53" width="17.33203125" style="12" bestFit="1" customWidth="1"/>
    <col min="54" max="55" width="8.88671875" style="12" bestFit="1" customWidth="1"/>
    <col min="56" max="57" width="15.33203125" style="12" bestFit="1" customWidth="1"/>
    <col min="58" max="58" width="15.5546875" style="12" bestFit="1" customWidth="1"/>
    <col min="59" max="59" width="14.6640625" style="12" bestFit="1" customWidth="1"/>
    <col min="60" max="60" width="9.109375" style="12"/>
    <col min="61" max="61" width="11.33203125" style="12" bestFit="1" customWidth="1"/>
    <col min="62" max="63" width="15.6640625" style="12" bestFit="1" customWidth="1"/>
    <col min="64" max="64" width="14.6640625" style="12" bestFit="1" customWidth="1"/>
    <col min="65" max="65" width="9.109375" style="12"/>
    <col min="66" max="66" width="15.88671875" style="12" bestFit="1" customWidth="1"/>
    <col min="67" max="70" width="9.109375" style="12"/>
    <col min="71" max="71" width="12.44140625" style="12" bestFit="1" customWidth="1"/>
    <col min="72" max="72" width="9.109375" style="12"/>
    <col min="73" max="74" width="10.33203125" style="12" bestFit="1" customWidth="1"/>
    <col min="75" max="76" width="9.109375" style="12"/>
    <col min="77" max="77" width="26.6640625" style="12" bestFit="1" customWidth="1"/>
    <col min="78" max="78" width="11.5546875" style="12" bestFit="1" customWidth="1"/>
    <col min="79" max="79" width="9" style="12" bestFit="1" customWidth="1"/>
    <col min="80" max="85" width="9.109375" style="12"/>
    <col min="86" max="91" width="11.109375" style="12" bestFit="1" customWidth="1"/>
    <col min="92" max="93" width="9.109375" style="12"/>
    <col min="94" max="94" width="12.44140625" style="12" bestFit="1" customWidth="1"/>
    <col min="95" max="95" width="11.109375" style="12" bestFit="1" customWidth="1"/>
    <col min="96" max="96" width="12.44140625" style="12" bestFit="1" customWidth="1"/>
    <col min="97" max="99" width="9.109375" style="12"/>
    <col min="100" max="100" width="11.109375" style="12" bestFit="1" customWidth="1"/>
    <col min="101" max="101" width="9.109375" style="12"/>
    <col min="102" max="102" width="11" style="12" bestFit="1" customWidth="1"/>
    <col min="103" max="103" width="10.44140625" style="12" bestFit="1" customWidth="1"/>
    <col min="104" max="16384" width="9.109375" style="12"/>
  </cols>
  <sheetData>
    <row r="1" spans="2:103" ht="15" thickBot="1" x14ac:dyDescent="0.35">
      <c r="B1" s="3196"/>
      <c r="C1" s="3196"/>
      <c r="D1" s="3196"/>
      <c r="E1" s="3196"/>
      <c r="F1" s="3196"/>
      <c r="G1" s="3196"/>
      <c r="H1" s="3196"/>
      <c r="I1" s="3196"/>
      <c r="J1" s="3196"/>
      <c r="K1" s="3196"/>
      <c r="L1" s="3196"/>
      <c r="M1" s="3196"/>
      <c r="N1" s="3196"/>
      <c r="O1" s="3196"/>
      <c r="P1" s="3196"/>
      <c r="Q1" s="3196"/>
      <c r="R1" s="3196"/>
      <c r="S1" s="3196"/>
      <c r="T1" s="3196"/>
      <c r="U1" s="3196"/>
      <c r="V1" s="3196"/>
      <c r="W1" s="3196"/>
      <c r="X1" s="3196"/>
      <c r="Y1" s="3196"/>
      <c r="Z1" s="3196"/>
      <c r="AA1" s="3196"/>
      <c r="AB1" s="3196"/>
      <c r="AC1" s="3196"/>
      <c r="AD1" s="3196"/>
      <c r="AE1" s="3196"/>
      <c r="AF1" s="3196"/>
      <c r="AG1" s="3196"/>
      <c r="AH1" s="3196"/>
      <c r="AI1" s="3196"/>
      <c r="AJ1" s="3196"/>
      <c r="AK1" s="3196"/>
      <c r="AL1" s="3196"/>
      <c r="AM1" s="3196"/>
      <c r="AN1" s="3196"/>
      <c r="AO1" s="3196"/>
      <c r="AP1" s="3196"/>
      <c r="AQ1" s="3196"/>
      <c r="AR1" s="3196"/>
      <c r="AS1" s="3196"/>
      <c r="AT1" s="3196"/>
      <c r="AU1" s="3196"/>
      <c r="AV1" s="3196"/>
      <c r="AW1" s="3196"/>
      <c r="AX1" s="3196"/>
      <c r="AY1" s="3196"/>
      <c r="AZ1" s="3196"/>
      <c r="BA1" s="3196"/>
      <c r="BB1" s="3196"/>
      <c r="CC1" s="12">
        <v>12</v>
      </c>
    </row>
    <row r="2" spans="2:103" ht="15" thickBot="1" x14ac:dyDescent="0.35">
      <c r="B2" s="49"/>
      <c r="C2" s="3251">
        <v>45748</v>
      </c>
      <c r="D2" s="3252"/>
      <c r="E2" s="3252"/>
      <c r="F2" s="3253"/>
      <c r="G2" s="3251">
        <v>45778</v>
      </c>
      <c r="H2" s="3252"/>
      <c r="I2" s="3252"/>
      <c r="J2" s="3252"/>
      <c r="K2" s="3251">
        <v>45809</v>
      </c>
      <c r="L2" s="3252"/>
      <c r="M2" s="3252"/>
      <c r="N2" s="3253"/>
      <c r="O2" s="3251">
        <v>45839</v>
      </c>
      <c r="P2" s="3252"/>
      <c r="Q2" s="3252"/>
      <c r="R2" s="3252"/>
      <c r="S2" s="3251">
        <v>45870</v>
      </c>
      <c r="T2" s="3252"/>
      <c r="U2" s="3252"/>
      <c r="V2" s="3253"/>
      <c r="W2" s="3251">
        <v>45901</v>
      </c>
      <c r="X2" s="3252"/>
      <c r="Y2" s="3252"/>
      <c r="Z2" s="3252"/>
      <c r="AA2" s="3251">
        <v>45931</v>
      </c>
      <c r="AB2" s="3252"/>
      <c r="AC2" s="3252"/>
      <c r="AD2" s="3253"/>
      <c r="AE2" s="3251">
        <v>45962</v>
      </c>
      <c r="AF2" s="3252"/>
      <c r="AG2" s="3252"/>
      <c r="AH2" s="3252"/>
      <c r="AI2" s="3251">
        <v>45992</v>
      </c>
      <c r="AJ2" s="3252"/>
      <c r="AK2" s="3252"/>
      <c r="AL2" s="3253"/>
      <c r="AM2" s="3251">
        <v>46023</v>
      </c>
      <c r="AN2" s="3252"/>
      <c r="AO2" s="3252"/>
      <c r="AP2" s="3252"/>
      <c r="AQ2" s="3251">
        <v>46054</v>
      </c>
      <c r="AR2" s="3252"/>
      <c r="AS2" s="3252"/>
      <c r="AT2" s="3253"/>
      <c r="AU2" s="3251">
        <v>46082</v>
      </c>
      <c r="AV2" s="3252"/>
      <c r="AW2" s="3252"/>
      <c r="AX2" s="3252"/>
      <c r="AY2" s="3318" t="s">
        <v>0</v>
      </c>
      <c r="AZ2" s="3319"/>
      <c r="BA2" s="3319"/>
      <c r="BB2" s="3320"/>
    </row>
    <row r="3" spans="2:103" ht="15" thickBot="1" x14ac:dyDescent="0.35">
      <c r="B3" s="22"/>
      <c r="C3" s="599" t="s">
        <v>298</v>
      </c>
      <c r="D3" s="216" t="s">
        <v>10</v>
      </c>
      <c r="E3" s="597" t="s">
        <v>15</v>
      </c>
      <c r="F3" s="598" t="s">
        <v>14</v>
      </c>
      <c r="G3" s="599" t="s">
        <v>298</v>
      </c>
      <c r="H3" s="216" t="s">
        <v>10</v>
      </c>
      <c r="I3" s="63" t="s">
        <v>15</v>
      </c>
      <c r="J3" s="63" t="s">
        <v>14</v>
      </c>
      <c r="K3" s="638" t="s">
        <v>298</v>
      </c>
      <c r="L3" s="62" t="s">
        <v>10</v>
      </c>
      <c r="M3" s="63" t="s">
        <v>15</v>
      </c>
      <c r="N3" s="61" t="s">
        <v>14</v>
      </c>
      <c r="O3" s="638" t="s">
        <v>298</v>
      </c>
      <c r="P3" s="62" t="s">
        <v>10</v>
      </c>
      <c r="Q3" s="63" t="s">
        <v>15</v>
      </c>
      <c r="R3" s="63" t="s">
        <v>14</v>
      </c>
      <c r="S3" s="638" t="s">
        <v>298</v>
      </c>
      <c r="T3" s="62" t="s">
        <v>10</v>
      </c>
      <c r="U3" s="63" t="s">
        <v>15</v>
      </c>
      <c r="V3" s="61" t="s">
        <v>14</v>
      </c>
      <c r="W3" s="638" t="s">
        <v>298</v>
      </c>
      <c r="X3" s="62" t="s">
        <v>10</v>
      </c>
      <c r="Y3" s="63" t="s">
        <v>15</v>
      </c>
      <c r="Z3" s="61" t="s">
        <v>14</v>
      </c>
      <c r="AA3" s="918" t="s">
        <v>298</v>
      </c>
      <c r="AB3" s="216" t="s">
        <v>10</v>
      </c>
      <c r="AC3" s="63" t="s">
        <v>15</v>
      </c>
      <c r="AD3" s="63" t="s">
        <v>14</v>
      </c>
      <c r="AE3" s="638" t="s">
        <v>298</v>
      </c>
      <c r="AF3" s="62" t="s">
        <v>10</v>
      </c>
      <c r="AG3" s="63" t="s">
        <v>15</v>
      </c>
      <c r="AH3" s="61" t="s">
        <v>14</v>
      </c>
      <c r="AI3" s="638" t="s">
        <v>298</v>
      </c>
      <c r="AJ3" s="62" t="s">
        <v>10</v>
      </c>
      <c r="AK3" s="63" t="s">
        <v>15</v>
      </c>
      <c r="AL3" s="63" t="s">
        <v>14</v>
      </c>
      <c r="AM3" s="638" t="s">
        <v>298</v>
      </c>
      <c r="AN3" s="62" t="s">
        <v>10</v>
      </c>
      <c r="AO3" s="63" t="s">
        <v>15</v>
      </c>
      <c r="AP3" s="61" t="s">
        <v>14</v>
      </c>
      <c r="AQ3" s="638" t="s">
        <v>298</v>
      </c>
      <c r="AR3" s="62" t="s">
        <v>10</v>
      </c>
      <c r="AS3" s="63" t="s">
        <v>15</v>
      </c>
      <c r="AT3" s="61" t="s">
        <v>14</v>
      </c>
      <c r="AU3" s="638" t="s">
        <v>298</v>
      </c>
      <c r="AV3" s="62" t="s">
        <v>10</v>
      </c>
      <c r="AW3" s="63" t="s">
        <v>15</v>
      </c>
      <c r="AX3" s="61" t="s">
        <v>14</v>
      </c>
      <c r="AY3" s="638" t="s">
        <v>298</v>
      </c>
      <c r="AZ3" s="62" t="s">
        <v>10</v>
      </c>
      <c r="BA3" s="63" t="s">
        <v>15</v>
      </c>
      <c r="BB3" s="61" t="s">
        <v>14</v>
      </c>
      <c r="BD3" s="870" t="s">
        <v>384</v>
      </c>
      <c r="BE3" s="987"/>
      <c r="BN3" s="3325" t="s">
        <v>336</v>
      </c>
      <c r="BO3" s="3325"/>
      <c r="BP3" s="3325"/>
      <c r="BQ3" s="3325"/>
      <c r="BR3" s="3325"/>
      <c r="BS3" s="3325"/>
      <c r="BT3" s="3325"/>
      <c r="BU3" s="3325"/>
      <c r="BV3" s="3325"/>
      <c r="BY3" s="3318" t="s">
        <v>359</v>
      </c>
      <c r="BZ3" s="3319"/>
      <c r="CA3" s="3319"/>
      <c r="CB3" s="3320"/>
      <c r="CH3" s="560"/>
      <c r="CI3" s="560"/>
      <c r="CJ3" s="560"/>
      <c r="CK3" s="560"/>
      <c r="CL3" s="560"/>
      <c r="CM3" s="560"/>
      <c r="CP3" s="560"/>
      <c r="CQ3" s="560"/>
      <c r="CR3" s="751"/>
      <c r="CS3" s="560"/>
      <c r="CT3" s="560"/>
      <c r="CU3" s="560"/>
      <c r="CV3" s="751"/>
      <c r="CW3" s="560"/>
    </row>
    <row r="4" spans="2:103" ht="15" thickBot="1" x14ac:dyDescent="0.35">
      <c r="B4" s="13" t="s">
        <v>68</v>
      </c>
      <c r="C4" s="13"/>
      <c r="D4" s="605">
        <f>'Stock Valuation (FIFO)'!B8</f>
        <v>143489</v>
      </c>
      <c r="E4" s="81">
        <f>'Stock Valuation (FIFO)'!D8</f>
        <v>17774647</v>
      </c>
      <c r="F4" s="36">
        <f t="shared" ref="F4:F10" si="0">E4/D4</f>
        <v>123.87463150485404</v>
      </c>
      <c r="G4" s="13"/>
      <c r="H4" s="605">
        <f>D10</f>
        <v>78108</v>
      </c>
      <c r="I4" s="81">
        <f>+E10</f>
        <v>10892019</v>
      </c>
      <c r="J4" s="818">
        <f t="shared" ref="J4:J11" si="1">IF(H4=0,0,I4/H4)</f>
        <v>139.4481871255185</v>
      </c>
      <c r="K4" s="639"/>
      <c r="L4" s="84">
        <f>H10</f>
        <v>92299</v>
      </c>
      <c r="M4" s="106">
        <f>I10</f>
        <v>14351528</v>
      </c>
      <c r="N4" s="36">
        <f t="shared" ref="N4:N11" si="2">IF(L4=0,0,M4/L4)</f>
        <v>155.48952859727623</v>
      </c>
      <c r="O4" s="639"/>
      <c r="P4" s="84">
        <f>L10</f>
        <v>0</v>
      </c>
      <c r="Q4" s="83">
        <f>M10</f>
        <v>0</v>
      </c>
      <c r="R4" s="83">
        <f t="shared" ref="R4:R11" si="3">IF(P4=0,0,Q4/P4)</f>
        <v>0</v>
      </c>
      <c r="S4" s="639"/>
      <c r="T4" s="84">
        <f>P10</f>
        <v>0</v>
      </c>
      <c r="U4" s="83">
        <f>Q10</f>
        <v>0</v>
      </c>
      <c r="V4" s="83">
        <f t="shared" ref="V4:V6" si="4">IF(T4=0,0,U4/T4)</f>
        <v>0</v>
      </c>
      <c r="W4" s="639"/>
      <c r="X4" s="146">
        <f>T10</f>
        <v>0</v>
      </c>
      <c r="Y4" s="83">
        <f>U10</f>
        <v>0</v>
      </c>
      <c r="Z4" s="36">
        <f t="shared" ref="Z4:Z11" si="5">IF(X4=0,0,Y4/X4)</f>
        <v>0</v>
      </c>
      <c r="AA4" s="13"/>
      <c r="AB4" s="605">
        <f>X10</f>
        <v>0</v>
      </c>
      <c r="AC4" s="81">
        <f>Y10</f>
        <v>0</v>
      </c>
      <c r="AD4" s="83">
        <f t="shared" ref="AD4:AD11" si="6">IF(AB4=0,0,AC4/AB4)</f>
        <v>0</v>
      </c>
      <c r="AE4" s="639"/>
      <c r="AF4" s="80">
        <f>AB10</f>
        <v>0</v>
      </c>
      <c r="AG4" s="81">
        <f>AC10</f>
        <v>0</v>
      </c>
      <c r="AH4" s="83">
        <f>IF(AF4=0,0,AG4/AF4)</f>
        <v>0</v>
      </c>
      <c r="AI4" s="639"/>
      <c r="AJ4" s="139">
        <f>AF10</f>
        <v>0</v>
      </c>
      <c r="AK4" s="130">
        <f>AG10</f>
        <v>0</v>
      </c>
      <c r="AL4" s="83">
        <f>IF(AJ4=0,0,AK4/AJ4)</f>
        <v>0</v>
      </c>
      <c r="AM4" s="639"/>
      <c r="AN4" s="146">
        <f>AJ10</f>
        <v>0</v>
      </c>
      <c r="AO4" s="81">
        <f>AK10</f>
        <v>0</v>
      </c>
      <c r="AP4" s="83">
        <f>IF(AN4=0,0,AO4/AN4)</f>
        <v>0</v>
      </c>
      <c r="AQ4" s="639"/>
      <c r="AR4" s="146">
        <f>AN10</f>
        <v>0</v>
      </c>
      <c r="AS4" s="81">
        <f>AO10</f>
        <v>0</v>
      </c>
      <c r="AT4" s="36">
        <f>IF(AR4=0,0,AS4/AR4)</f>
        <v>0</v>
      </c>
      <c r="AU4" s="639"/>
      <c r="AV4" s="147">
        <f>AR10</f>
        <v>0</v>
      </c>
      <c r="AW4" s="83">
        <f>AS10</f>
        <v>0</v>
      </c>
      <c r="AX4" s="36">
        <f>IF(AV4=0,0,AW4/AV4)</f>
        <v>0</v>
      </c>
      <c r="AY4" s="639"/>
      <c r="AZ4" s="146">
        <f>+D4</f>
        <v>143489</v>
      </c>
      <c r="BA4" s="83">
        <f>E4</f>
        <v>17774647</v>
      </c>
      <c r="BB4" s="36">
        <f t="shared" ref="BB4:BB16" si="7">IF(AZ4=0,0,BA4/AZ4)</f>
        <v>123.87463150485404</v>
      </c>
      <c r="BD4" s="871">
        <f>' Qty Analysis'!B4+' Qty Analysis'!B17+' Qty Analysis'!B29</f>
        <v>197541</v>
      </c>
      <c r="BE4" s="988"/>
      <c r="BF4" s="67">
        <f>AZ4-BD4</f>
        <v>-54052</v>
      </c>
      <c r="BG4" s="39">
        <f>BA4-BA10</f>
        <v>17774647</v>
      </c>
      <c r="BI4" s="397"/>
      <c r="BJ4" s="390" t="s">
        <v>250</v>
      </c>
      <c r="BK4" s="390" t="s">
        <v>251</v>
      </c>
      <c r="BL4" s="383" t="s">
        <v>252</v>
      </c>
      <c r="BN4" s="665" t="s">
        <v>312</v>
      </c>
      <c r="BO4" s="666" t="s">
        <v>313</v>
      </c>
      <c r="BP4" s="666" t="s">
        <v>314</v>
      </c>
      <c r="BQ4" s="667" t="s">
        <v>315</v>
      </c>
      <c r="BR4" s="668" t="s">
        <v>316</v>
      </c>
      <c r="BS4"/>
      <c r="BT4" s="3326" t="s">
        <v>78</v>
      </c>
      <c r="BU4" s="3134"/>
      <c r="BV4" s="3134"/>
      <c r="BW4" s="560">
        <v>6</v>
      </c>
      <c r="BY4" s="60" t="s">
        <v>351</v>
      </c>
      <c r="BZ4" s="216" t="s">
        <v>318</v>
      </c>
      <c r="CA4" s="216" t="s">
        <v>352</v>
      </c>
      <c r="CB4" s="712" t="s">
        <v>353</v>
      </c>
      <c r="CH4" s="67"/>
      <c r="CI4" s="67"/>
      <c r="CJ4" s="67"/>
      <c r="CK4" s="67"/>
      <c r="CL4" s="67"/>
      <c r="CM4" s="67"/>
      <c r="CP4" s="67"/>
      <c r="CQ4" s="67"/>
      <c r="CR4" s="714"/>
      <c r="CS4" s="67"/>
      <c r="CT4" s="67"/>
      <c r="CU4" s="67"/>
      <c r="CV4" s="714"/>
      <c r="CW4" s="67"/>
      <c r="CX4" s="67"/>
      <c r="CY4" s="713">
        <f>CR4-CX4</f>
        <v>0</v>
      </c>
    </row>
    <row r="5" spans="2:103" ht="16.5" customHeight="1" thickBot="1" x14ac:dyDescent="0.4">
      <c r="B5" s="69" t="s">
        <v>69</v>
      </c>
      <c r="C5" s="69"/>
      <c r="D5" s="332">
        <f>'PAL I'!C5</f>
        <v>827</v>
      </c>
      <c r="E5" s="558">
        <f>'PAL I'!D5</f>
        <v>226044</v>
      </c>
      <c r="F5" s="70">
        <f t="shared" si="0"/>
        <v>273.33010882708584</v>
      </c>
      <c r="G5" s="69"/>
      <c r="H5" s="332">
        <f>'PAL I'!F5</f>
        <v>76649</v>
      </c>
      <c r="I5" s="93">
        <f>ROUND(('PAL I'!G5),0)</f>
        <v>11434587</v>
      </c>
      <c r="J5" s="20">
        <f t="shared" si="1"/>
        <v>149.18116348549884</v>
      </c>
      <c r="K5" s="640"/>
      <c r="L5" s="139">
        <f>'PAL I'!I5</f>
        <v>0</v>
      </c>
      <c r="M5" s="93">
        <f>'PAL I'!J5</f>
        <v>0</v>
      </c>
      <c r="N5" s="20">
        <f t="shared" si="2"/>
        <v>0</v>
      </c>
      <c r="O5" s="640"/>
      <c r="P5" s="139">
        <f>'PAL I'!L5</f>
        <v>0</v>
      </c>
      <c r="Q5" s="19">
        <f>'PAL I'!M5</f>
        <v>0</v>
      </c>
      <c r="R5" s="20">
        <f t="shared" si="3"/>
        <v>0</v>
      </c>
      <c r="S5" s="640"/>
      <c r="T5" s="139">
        <f>'PAL I'!O5</f>
        <v>0</v>
      </c>
      <c r="U5" s="93">
        <f>'PAL I'!P5</f>
        <v>0</v>
      </c>
      <c r="V5" s="20">
        <f t="shared" si="4"/>
        <v>0</v>
      </c>
      <c r="W5" s="640"/>
      <c r="X5" s="139">
        <f>'PAL I'!R5</f>
        <v>0</v>
      </c>
      <c r="Y5" s="105">
        <f>'PAL I'!S5</f>
        <v>0</v>
      </c>
      <c r="Z5" s="70" t="e">
        <f>Y5/X5</f>
        <v>#DIV/0!</v>
      </c>
      <c r="AA5" s="69"/>
      <c r="AB5" s="332">
        <f>'PAL I'!U5</f>
        <v>0</v>
      </c>
      <c r="AC5" s="93">
        <f>'PAL I'!V5</f>
        <v>0</v>
      </c>
      <c r="AD5" s="70" t="e">
        <f>AC5/AB5</f>
        <v>#DIV/0!</v>
      </c>
      <c r="AE5" s="640"/>
      <c r="AF5" s="139">
        <f>'PAL I'!X5</f>
        <v>0</v>
      </c>
      <c r="AG5" s="93">
        <f>'PAL I'!Y5</f>
        <v>0</v>
      </c>
      <c r="AH5" s="70" t="e">
        <f>AG5/AF5</f>
        <v>#DIV/0!</v>
      </c>
      <c r="AI5" s="640"/>
      <c r="AJ5" s="139">
        <f>'PAL I'!AA5</f>
        <v>0</v>
      </c>
      <c r="AK5" s="93">
        <f>'PAL I'!AB5</f>
        <v>0</v>
      </c>
      <c r="AL5" s="70" t="e">
        <f>AK5/AJ5</f>
        <v>#DIV/0!</v>
      </c>
      <c r="AM5" s="640"/>
      <c r="AN5" s="139">
        <f>'PAL I'!AD5</f>
        <v>0</v>
      </c>
      <c r="AO5" s="93">
        <f>'PAL I'!AE5</f>
        <v>0</v>
      </c>
      <c r="AP5" s="70" t="e">
        <f>AO5/AN5</f>
        <v>#DIV/0!</v>
      </c>
      <c r="AQ5" s="640"/>
      <c r="AR5" s="139">
        <f>'PAL I'!AG5</f>
        <v>0</v>
      </c>
      <c r="AS5" s="105">
        <f>'PAL I'!AH5</f>
        <v>0</v>
      </c>
      <c r="AT5" s="70" t="e">
        <f>AS5/AR5</f>
        <v>#DIV/0!</v>
      </c>
      <c r="AU5" s="640"/>
      <c r="AV5" s="139">
        <f>'PAL I'!AJ5</f>
        <v>0</v>
      </c>
      <c r="AW5" s="139">
        <f>'PAL I'!AK5</f>
        <v>0</v>
      </c>
      <c r="AX5" s="70" t="e">
        <f>AW5/AV5</f>
        <v>#DIV/0!</v>
      </c>
      <c r="AY5" s="640"/>
      <c r="AZ5" s="549">
        <f>SUM(D5,H5,L5,P5,T5,X5,AB5,AF5,AJ5,AN5,AR5,AV5)</f>
        <v>77476</v>
      </c>
      <c r="BA5" s="93">
        <f>ROUND((SUM(E5,I5,M5,Q5,U5,Y5,AC5,AG5,AK5,AO5,AS5,AW5)),0)</f>
        <v>11660631</v>
      </c>
      <c r="BB5" s="70">
        <f t="shared" si="7"/>
        <v>150.50636326088079</v>
      </c>
      <c r="BD5" s="871">
        <f>' Qty Analysis'!AL5+' Qty Analysis'!AL18+' Qty Analysis'!AL30</f>
        <v>121499.3</v>
      </c>
      <c r="BE5" s="1047">
        <f>AZ5-BD5</f>
        <v>-44023.3</v>
      </c>
      <c r="BF5" s="12" t="s">
        <v>531</v>
      </c>
      <c r="BG5" s="39">
        <f>BG4-BA19</f>
        <v>17774647</v>
      </c>
      <c r="BI5" s="13" t="s">
        <v>3</v>
      </c>
      <c r="BJ5" s="391"/>
      <c r="BK5" s="391"/>
      <c r="BL5" s="384">
        <f>BJ5-BK5</f>
        <v>0</v>
      </c>
      <c r="BN5" s="155" t="s">
        <v>317</v>
      </c>
      <c r="BO5" s="5">
        <v>7</v>
      </c>
      <c r="BP5" s="5">
        <f>ROUND((122080*117%),0)</f>
        <v>142834</v>
      </c>
      <c r="BQ5" s="197">
        <f>ROUND((BP5/BO5),0)</f>
        <v>20405</v>
      </c>
      <c r="BR5" s="8">
        <f>ROUND((BP5/$BV$6),0)</f>
        <v>2</v>
      </c>
      <c r="BS5" s="669">
        <f t="shared" ref="BS5:BS24" si="8">BP5/$BP$26</f>
        <v>5.0009908568075363E-2</v>
      </c>
      <c r="BT5"/>
      <c r="BU5" t="s">
        <v>318</v>
      </c>
      <c r="BV5" t="s">
        <v>319</v>
      </c>
      <c r="BY5" s="708" t="s">
        <v>347</v>
      </c>
      <c r="BZ5" s="709"/>
      <c r="CA5" s="710"/>
      <c r="CB5" s="711" t="e">
        <f t="shared" ref="CB5:CB20" si="9">CA5/$CA$23</f>
        <v>#DIV/0!</v>
      </c>
      <c r="CD5" s="686" t="e">
        <f>CA5/CA21</f>
        <v>#DIV/0!</v>
      </c>
      <c r="CE5" s="39" t="e">
        <f>CA5/#REF!</f>
        <v>#REF!</v>
      </c>
      <c r="CH5" s="67"/>
      <c r="CI5" s="67"/>
      <c r="CJ5" s="67"/>
      <c r="CK5" s="67"/>
      <c r="CL5" s="67"/>
      <c r="CM5" s="67"/>
      <c r="CP5" s="67"/>
      <c r="CQ5" s="67"/>
      <c r="CR5" s="714"/>
      <c r="CS5" s="67"/>
      <c r="CT5" s="67"/>
      <c r="CU5" s="67"/>
      <c r="CV5" s="714"/>
      <c r="CW5" s="67"/>
      <c r="CX5" s="67"/>
      <c r="CY5" s="713">
        <f t="shared" ref="CY5:CY16" si="10">CR5-CX5</f>
        <v>0</v>
      </c>
    </row>
    <row r="6" spans="2:103" ht="17.25" customHeight="1" thickBot="1" x14ac:dyDescent="0.4">
      <c r="B6" s="17" t="s">
        <v>70</v>
      </c>
      <c r="C6" s="17"/>
      <c r="D6" s="286">
        <f>'PAL I'!C6</f>
        <v>9490</v>
      </c>
      <c r="E6" s="19">
        <f>'PAL I'!D6</f>
        <v>2224579</v>
      </c>
      <c r="F6" s="70">
        <f t="shared" si="0"/>
        <v>234.41296101159114</v>
      </c>
      <c r="G6" s="17"/>
      <c r="H6" s="332">
        <f>'PAL I'!F6</f>
        <v>6627</v>
      </c>
      <c r="I6" s="93">
        <f>'PAL I'!G6</f>
        <v>1470254</v>
      </c>
      <c r="J6" s="20">
        <f t="shared" si="1"/>
        <v>221.8581560283688</v>
      </c>
      <c r="K6" s="641"/>
      <c r="L6" s="139">
        <f>'PAL I'!I6</f>
        <v>0</v>
      </c>
      <c r="M6" s="93">
        <f>'PAL I'!J6</f>
        <v>0</v>
      </c>
      <c r="N6" s="20">
        <f t="shared" si="2"/>
        <v>0</v>
      </c>
      <c r="O6" s="641"/>
      <c r="P6" s="139">
        <f>'PAL I'!L6</f>
        <v>0</v>
      </c>
      <c r="Q6" s="89">
        <f>'PAL I'!M6</f>
        <v>0</v>
      </c>
      <c r="R6" s="20">
        <f t="shared" si="3"/>
        <v>0</v>
      </c>
      <c r="S6" s="641"/>
      <c r="T6" s="139">
        <f>'PAL I'!O6</f>
        <v>0</v>
      </c>
      <c r="U6" s="93">
        <f>'PAL I'!P6</f>
        <v>0</v>
      </c>
      <c r="V6" s="20">
        <f t="shared" si="4"/>
        <v>0</v>
      </c>
      <c r="W6" s="641"/>
      <c r="X6" s="139">
        <f>'PAL I'!R6</f>
        <v>0</v>
      </c>
      <c r="Y6" s="19">
        <f>'PAL I'!S6</f>
        <v>0</v>
      </c>
      <c r="Z6" s="70" t="e">
        <f>Y6/X6</f>
        <v>#DIV/0!</v>
      </c>
      <c r="AA6" s="17"/>
      <c r="AB6" s="332">
        <f>'PAL I'!U6</f>
        <v>0</v>
      </c>
      <c r="AC6" s="93">
        <f>'PAL I'!V6</f>
        <v>0</v>
      </c>
      <c r="AD6" s="70" t="e">
        <f>AC6/AB6</f>
        <v>#DIV/0!</v>
      </c>
      <c r="AE6" s="641"/>
      <c r="AF6" s="139">
        <f>'PAL I'!X6</f>
        <v>0</v>
      </c>
      <c r="AG6" s="93">
        <f>'PAL I'!Y6</f>
        <v>0</v>
      </c>
      <c r="AH6" s="70" t="e">
        <f>AG6/AF6</f>
        <v>#DIV/0!</v>
      </c>
      <c r="AI6" s="641"/>
      <c r="AJ6" s="139">
        <f>'PAL I'!AA6</f>
        <v>0</v>
      </c>
      <c r="AK6" s="93">
        <f>'PAL I'!AB6</f>
        <v>0</v>
      </c>
      <c r="AL6" s="70" t="e">
        <f>AK6/AJ6</f>
        <v>#DIV/0!</v>
      </c>
      <c r="AM6" s="641"/>
      <c r="AN6" s="139">
        <f>'PAL I'!AD6</f>
        <v>0</v>
      </c>
      <c r="AO6" s="93">
        <f>'PAL I'!AE6</f>
        <v>0</v>
      </c>
      <c r="AP6" s="70" t="e">
        <f>AO6/AN6</f>
        <v>#DIV/0!</v>
      </c>
      <c r="AQ6" s="641"/>
      <c r="AR6" s="286">
        <f>'PAL I'!AG6</f>
        <v>0</v>
      </c>
      <c r="AS6" s="19">
        <f>'PAL I'!AH6</f>
        <v>0</v>
      </c>
      <c r="AT6" s="70" t="e">
        <f>AS6/AR6</f>
        <v>#DIV/0!</v>
      </c>
      <c r="AU6" s="641"/>
      <c r="AV6" s="286">
        <f>'PAL I'!AJ6</f>
        <v>0</v>
      </c>
      <c r="AW6" s="286">
        <f>'PAL I'!AK6</f>
        <v>0</v>
      </c>
      <c r="AX6" s="70" t="e">
        <f>AW6/AV6</f>
        <v>#DIV/0!</v>
      </c>
      <c r="AY6" s="641"/>
      <c r="AZ6" s="549">
        <f>SUM(D6,H6,L6,P6,T6,X6,AB6,AF6,AJ6,AN6,AR6,AV6)</f>
        <v>16117</v>
      </c>
      <c r="BA6" s="93">
        <f>ROUND((SUM(E6,I6,M6,Q6,U6,Y6,AC6,AG6,AK6,AO6,AS6,AW6)),0)</f>
        <v>3694833</v>
      </c>
      <c r="BB6" s="70">
        <f t="shared" si="7"/>
        <v>229.2506669975802</v>
      </c>
      <c r="BD6" s="871">
        <f>' Qty Analysis'!AL111</f>
        <v>12991.300000000001</v>
      </c>
      <c r="BE6" s="1047">
        <f>AZ6-BD6</f>
        <v>3125.6999999999989</v>
      </c>
      <c r="BF6" s="12" t="s">
        <v>532</v>
      </c>
      <c r="BG6" s="39"/>
      <c r="BI6" s="22" t="s">
        <v>248</v>
      </c>
      <c r="BJ6" s="392"/>
      <c r="BK6" s="392"/>
      <c r="BL6" s="385">
        <f>BJ6-BK6</f>
        <v>0</v>
      </c>
      <c r="BN6" s="155" t="s">
        <v>320</v>
      </c>
      <c r="BO6" s="5">
        <v>17</v>
      </c>
      <c r="BP6" s="5">
        <f>ROUND((306816*117%),0)</f>
        <v>358975</v>
      </c>
      <c r="BQ6" s="197">
        <f>ROUND((BP6/BO6),0)</f>
        <v>21116</v>
      </c>
      <c r="BR6" s="8">
        <f>ROUND((BP6/$BV$6),0)</f>
        <v>5</v>
      </c>
      <c r="BS6" s="669">
        <f t="shared" si="8"/>
        <v>0.12568650971214734</v>
      </c>
      <c r="BT6" t="s">
        <v>216</v>
      </c>
      <c r="BU6" s="2">
        <f>' Qty Analysis'!AL48</f>
        <v>406751</v>
      </c>
      <c r="BV6" s="670">
        <f>BU6/$BW$4</f>
        <v>67791.833333333328</v>
      </c>
      <c r="BY6" s="691" t="s">
        <v>339</v>
      </c>
      <c r="BZ6" s="688"/>
      <c r="CA6" s="687"/>
      <c r="CB6" s="690" t="e">
        <f t="shared" si="9"/>
        <v>#DIV/0!</v>
      </c>
      <c r="CC6" s="3321" t="e">
        <f>SUM(CB6:CB20)</f>
        <v>#DIV/0!</v>
      </c>
      <c r="CH6" s="67"/>
      <c r="CI6" s="67"/>
      <c r="CJ6" s="67"/>
      <c r="CK6" s="67"/>
      <c r="CL6" s="67"/>
      <c r="CM6" s="67"/>
      <c r="CP6" s="67"/>
      <c r="CQ6" s="67"/>
      <c r="CR6" s="714"/>
      <c r="CS6" s="67"/>
      <c r="CT6" s="67"/>
      <c r="CU6" s="67"/>
      <c r="CV6" s="714"/>
      <c r="CW6" s="67"/>
      <c r="CX6" s="67"/>
      <c r="CY6" s="713">
        <f t="shared" si="10"/>
        <v>0</v>
      </c>
    </row>
    <row r="7" spans="2:103" ht="17.25" customHeight="1" thickBot="1" x14ac:dyDescent="0.4">
      <c r="B7" s="69" t="str">
        <f>'PAL I'!B7</f>
        <v>Purchase Yarn</v>
      </c>
      <c r="C7" s="69"/>
      <c r="D7" s="332">
        <f>'PAL I'!C7</f>
        <v>3668</v>
      </c>
      <c r="E7" s="105">
        <f>'PAL I'!D7</f>
        <v>668801</v>
      </c>
      <c r="F7" s="70">
        <f>'PAL I'!E7</f>
        <v>182.33396946564886</v>
      </c>
      <c r="G7" s="69"/>
      <c r="H7" s="332">
        <f>'PAL I'!F7</f>
        <v>4150</v>
      </c>
      <c r="I7" s="105">
        <f>'PAL I'!G7</f>
        <v>462250</v>
      </c>
      <c r="J7" s="70">
        <f>'PAL I'!H7</f>
        <v>111.3855421686747</v>
      </c>
      <c r="K7" s="640"/>
      <c r="L7" s="139">
        <f>'PAL I'!I7</f>
        <v>0</v>
      </c>
      <c r="M7" s="93">
        <f>'PAL I'!J7</f>
        <v>0</v>
      </c>
      <c r="N7" s="70">
        <f>'PAL I'!K7</f>
        <v>0</v>
      </c>
      <c r="O7" s="640"/>
      <c r="P7" s="139">
        <f>'PAL I'!L7</f>
        <v>0</v>
      </c>
      <c r="Q7" s="19">
        <f>'PAL I'!M7</f>
        <v>0</v>
      </c>
      <c r="R7" s="93">
        <f>'PAL I'!N7</f>
        <v>0</v>
      </c>
      <c r="S7" s="640"/>
      <c r="T7" s="139">
        <f>'PAL I'!O7</f>
        <v>0</v>
      </c>
      <c r="U7" s="93">
        <f>'PAL I'!P7</f>
        <v>0</v>
      </c>
      <c r="V7" s="93">
        <f>'PAL I'!Q7</f>
        <v>0</v>
      </c>
      <c r="W7" s="640"/>
      <c r="X7" s="139">
        <f>'PAL I'!R7</f>
        <v>0</v>
      </c>
      <c r="Y7" s="19">
        <f>'PAL I'!S7</f>
        <v>0</v>
      </c>
      <c r="Z7" s="70">
        <f>'PAL I'!T7</f>
        <v>0</v>
      </c>
      <c r="AA7" s="69"/>
      <c r="AB7" s="332">
        <f>'PAL I'!U7</f>
        <v>0</v>
      </c>
      <c r="AC7" s="93">
        <f>'PAL I'!V7</f>
        <v>0</v>
      </c>
      <c r="AD7" s="70" t="e">
        <f t="shared" ref="AD7:AD8" si="11">AC7/AB7</f>
        <v>#DIV/0!</v>
      </c>
      <c r="AE7" s="640"/>
      <c r="AF7" s="139">
        <f>'PAL I'!X7</f>
        <v>0</v>
      </c>
      <c r="AG7" s="93">
        <f>'PAL I'!Y7</f>
        <v>0</v>
      </c>
      <c r="AH7" s="70" t="e">
        <f t="shared" ref="AH7:AH8" si="12">AG7/AF7</f>
        <v>#DIV/0!</v>
      </c>
      <c r="AI7" s="640"/>
      <c r="AJ7" s="139">
        <f>'PAL I'!AA7</f>
        <v>0</v>
      </c>
      <c r="AK7" s="93">
        <f>'PAL I'!AB7</f>
        <v>0</v>
      </c>
      <c r="AL7" s="70"/>
      <c r="AM7" s="640"/>
      <c r="AN7" s="139"/>
      <c r="AO7" s="93"/>
      <c r="AP7" s="70"/>
      <c r="AQ7" s="640"/>
      <c r="AR7" s="2647"/>
      <c r="AS7" s="42"/>
      <c r="AT7" s="70"/>
      <c r="AU7" s="640"/>
      <c r="AV7" s="2647"/>
      <c r="AW7" s="2647"/>
      <c r="AX7" s="70"/>
      <c r="AY7" s="640"/>
      <c r="AZ7" s="549">
        <f>'PAL I'!AM7</f>
        <v>7818</v>
      </c>
      <c r="BA7" s="93">
        <f>'PAL I'!AN7</f>
        <v>1131051</v>
      </c>
      <c r="BB7" s="70">
        <f>'PAL I'!AO7</f>
        <v>144.67267843438219</v>
      </c>
      <c r="BD7" s="871"/>
      <c r="BE7" s="1047"/>
      <c r="BG7" s="39"/>
      <c r="BI7" s="73"/>
      <c r="BJ7" s="550"/>
      <c r="BK7" s="550"/>
      <c r="BL7" s="551"/>
      <c r="BN7" s="362"/>
      <c r="BO7" s="118"/>
      <c r="BP7" s="118"/>
      <c r="BQ7" s="529"/>
      <c r="BR7" s="8"/>
      <c r="BS7" s="669"/>
      <c r="BT7"/>
      <c r="BU7" s="2"/>
      <c r="BV7" s="670"/>
      <c r="BY7" s="691"/>
      <c r="BZ7" s="688"/>
      <c r="CA7" s="687"/>
      <c r="CB7" s="690"/>
      <c r="CC7" s="3322"/>
      <c r="CH7" s="67"/>
      <c r="CI7" s="67"/>
      <c r="CJ7" s="67"/>
      <c r="CK7" s="67"/>
      <c r="CL7" s="67"/>
      <c r="CM7" s="67"/>
      <c r="CP7" s="67"/>
      <c r="CQ7" s="67"/>
      <c r="CR7" s="714"/>
      <c r="CS7" s="67"/>
      <c r="CT7" s="67"/>
      <c r="CU7" s="67"/>
      <c r="CV7" s="714"/>
      <c r="CW7" s="67"/>
      <c r="CX7" s="67"/>
      <c r="CY7" s="713"/>
    </row>
    <row r="8" spans="2:103" ht="17.25" customHeight="1" thickBot="1" x14ac:dyDescent="0.4">
      <c r="B8" s="22" t="str">
        <f>'PAL I'!B8</f>
        <v>Purchase-Fabric+ Cons</v>
      </c>
      <c r="C8" s="22"/>
      <c r="D8" s="122">
        <f>'PAL I'!C$8</f>
        <v>22533</v>
      </c>
      <c r="E8" s="24">
        <f>'PAL I'!D$8</f>
        <v>6277284</v>
      </c>
      <c r="F8" s="25">
        <f>'PAL I'!E$8</f>
        <v>278.58181334043405</v>
      </c>
      <c r="G8" s="22"/>
      <c r="H8" s="122">
        <f>'PAL I'!$F8</f>
        <v>9376</v>
      </c>
      <c r="I8" s="24">
        <f>'PAL I'!$G8</f>
        <v>2777288</v>
      </c>
      <c r="J8" s="25">
        <f>'PAL I'!$H8</f>
        <v>296.21245733788396</v>
      </c>
      <c r="K8" s="56"/>
      <c r="L8" s="141">
        <f>'PAL I'!I8</f>
        <v>0</v>
      </c>
      <c r="M8" s="26">
        <f>'PAL I'!J8</f>
        <v>0</v>
      </c>
      <c r="N8" s="25">
        <f>'PAL I'!K8</f>
        <v>0</v>
      </c>
      <c r="O8" s="56"/>
      <c r="P8" s="141">
        <f>'PAL I'!L8</f>
        <v>0</v>
      </c>
      <c r="Q8" s="95">
        <f>'PAL I'!M8</f>
        <v>0</v>
      </c>
      <c r="R8" s="26">
        <f>'PAL I'!N8</f>
        <v>0</v>
      </c>
      <c r="S8" s="56"/>
      <c r="T8" s="141">
        <f>'PAL I'!O8</f>
        <v>0</v>
      </c>
      <c r="U8" s="26">
        <f>'PAL I'!P8</f>
        <v>0</v>
      </c>
      <c r="V8" s="26">
        <f>'PAL I'!Q8</f>
        <v>0</v>
      </c>
      <c r="W8" s="56"/>
      <c r="X8" s="141">
        <f>'PAL I'!R8</f>
        <v>0</v>
      </c>
      <c r="Y8" s="805">
        <f>'PAL I'!S8</f>
        <v>0</v>
      </c>
      <c r="Z8" s="25">
        <f>'PAL I'!T8</f>
        <v>0</v>
      </c>
      <c r="AA8" s="22"/>
      <c r="AB8" s="122">
        <f>'PAL I'!U8</f>
        <v>0</v>
      </c>
      <c r="AC8" s="24">
        <f>'PAL I'!V8</f>
        <v>0</v>
      </c>
      <c r="AD8" s="70" t="e">
        <f t="shared" si="11"/>
        <v>#DIV/0!</v>
      </c>
      <c r="AE8" s="56"/>
      <c r="AF8" s="122">
        <f>'PAL I'!X8</f>
        <v>0</v>
      </c>
      <c r="AG8" s="24">
        <f>'PAL I'!Y8</f>
        <v>0</v>
      </c>
      <c r="AH8" s="25" t="e">
        <f t="shared" si="12"/>
        <v>#DIV/0!</v>
      </c>
      <c r="AI8" s="56"/>
      <c r="AJ8" s="122">
        <f>'PAL I'!AA8</f>
        <v>0</v>
      </c>
      <c r="AK8" s="24">
        <f>'PAL I'!AB8</f>
        <v>0</v>
      </c>
      <c r="AL8" s="25"/>
      <c r="AM8" s="56"/>
      <c r="AN8" s="141"/>
      <c r="AO8" s="26"/>
      <c r="AP8" s="25"/>
      <c r="AQ8" s="56"/>
      <c r="AR8" s="949"/>
      <c r="AS8" s="805"/>
      <c r="AT8" s="25"/>
      <c r="AU8" s="56"/>
      <c r="AV8" s="949"/>
      <c r="AW8" s="949"/>
      <c r="AX8" s="25"/>
      <c r="AY8" s="56"/>
      <c r="AZ8" s="86">
        <f>'PAL I'!AM8</f>
        <v>31909</v>
      </c>
      <c r="BA8" s="26">
        <f>'PAL I'!AN8</f>
        <v>9054572</v>
      </c>
      <c r="BB8" s="25">
        <f>'PAL I'!AO8</f>
        <v>283.7623241091855</v>
      </c>
      <c r="BD8" s="878">
        <f>' Qty Analysis'!AL58+' Qty Analysis'!AL89</f>
        <v>113133.4</v>
      </c>
      <c r="BE8" s="1048">
        <f>AZ8-BD8</f>
        <v>-81224.399999999994</v>
      </c>
      <c r="BF8" s="12" t="s">
        <v>533</v>
      </c>
      <c r="BG8" s="39"/>
      <c r="BI8" s="11"/>
      <c r="BJ8" s="393">
        <f>SUM(BJ5:BJ6)</f>
        <v>0</v>
      </c>
      <c r="BK8" s="393">
        <f>SUM(BK5:BK6)</f>
        <v>0</v>
      </c>
      <c r="BL8" s="386">
        <f>SUM(BL5:BL6)</f>
        <v>0</v>
      </c>
      <c r="BN8" s="156" t="s">
        <v>321</v>
      </c>
      <c r="BO8" s="6">
        <v>4</v>
      </c>
      <c r="BP8" s="6">
        <f>ROUND((50000*117%),0)</f>
        <v>58500</v>
      </c>
      <c r="BQ8" s="671">
        <f>ROUND((BP8/BO8),0)</f>
        <v>14625</v>
      </c>
      <c r="BR8" s="523">
        <f>ROUND((BP8/$BV$6),0)</f>
        <v>1</v>
      </c>
      <c r="BS8" s="672">
        <f t="shared" si="8"/>
        <v>2.0482375703490829E-2</v>
      </c>
      <c r="BT8" s="3" t="s">
        <v>335</v>
      </c>
      <c r="BU8" s="2"/>
      <c r="BV8" s="670"/>
      <c r="BY8" s="691" t="s">
        <v>342</v>
      </c>
      <c r="BZ8" s="688"/>
      <c r="CA8" s="687"/>
      <c r="CB8" s="690" t="e">
        <f t="shared" si="9"/>
        <v>#DIV/0!</v>
      </c>
      <c r="CC8" s="3323"/>
      <c r="CH8" s="67"/>
      <c r="CI8" s="67"/>
      <c r="CJ8" s="67"/>
      <c r="CK8" s="67"/>
      <c r="CL8" s="67"/>
      <c r="CM8" s="67"/>
      <c r="CP8" s="67"/>
      <c r="CQ8" s="67"/>
      <c r="CR8" s="714"/>
      <c r="CS8" s="67"/>
      <c r="CT8" s="67"/>
      <c r="CU8" s="67"/>
      <c r="CV8" s="714"/>
      <c r="CW8" s="67"/>
      <c r="CX8" s="67"/>
      <c r="CY8" s="713">
        <f t="shared" si="10"/>
        <v>0</v>
      </c>
    </row>
    <row r="9" spans="2:103" ht="15" x14ac:dyDescent="0.35">
      <c r="B9" s="13"/>
      <c r="C9" s="13"/>
      <c r="D9" s="605">
        <f>SUM(D4:D8)</f>
        <v>180007</v>
      </c>
      <c r="E9" s="81">
        <f>SUM(E4:E8)</f>
        <v>27171355</v>
      </c>
      <c r="F9" s="16">
        <f t="shared" si="0"/>
        <v>150.94610209602959</v>
      </c>
      <c r="G9" s="13"/>
      <c r="H9" s="605">
        <f>SUM(H4:H8)</f>
        <v>174910</v>
      </c>
      <c r="I9" s="81">
        <f>SUM(I4:I8)</f>
        <v>27036398</v>
      </c>
      <c r="J9" s="89">
        <f t="shared" si="1"/>
        <v>154.5731976445029</v>
      </c>
      <c r="K9" s="639"/>
      <c r="L9" s="84">
        <f>SUM(L4:L8)</f>
        <v>92299</v>
      </c>
      <c r="M9" s="81">
        <f>SUM(M4:M8)</f>
        <v>14351528</v>
      </c>
      <c r="N9" s="274">
        <f>IF(L9=0,0,M9/L9)</f>
        <v>155.48952859727623</v>
      </c>
      <c r="O9" s="639"/>
      <c r="P9" s="84">
        <f>SUM(P4:P8)</f>
        <v>0</v>
      </c>
      <c r="Q9" s="81">
        <f>SUM(Q4:Q8)</f>
        <v>0</v>
      </c>
      <c r="R9" s="357">
        <f t="shared" si="3"/>
        <v>0</v>
      </c>
      <c r="S9" s="639"/>
      <c r="T9" s="84">
        <f>SUM(T4:T8)</f>
        <v>0</v>
      </c>
      <c r="U9" s="81">
        <f>SUM(U4:U8)</f>
        <v>0</v>
      </c>
      <c r="V9" s="44">
        <f t="shared" ref="V9:V11" si="13">IF(T9=0,0,U9/T9)</f>
        <v>0</v>
      </c>
      <c r="W9" s="639"/>
      <c r="X9" s="84">
        <f>SUM(X4:X8)</f>
        <v>0</v>
      </c>
      <c r="Y9" s="81">
        <f>SUM(Y4:Y8)</f>
        <v>0</v>
      </c>
      <c r="Z9" s="44">
        <f t="shared" si="5"/>
        <v>0</v>
      </c>
      <c r="AA9" s="13"/>
      <c r="AB9" s="605">
        <f>SUM(AB4:AB8)</f>
        <v>0</v>
      </c>
      <c r="AC9" s="81">
        <f>SUM(AC4:AC8)</f>
        <v>0</v>
      </c>
      <c r="AD9" s="89">
        <f t="shared" si="6"/>
        <v>0</v>
      </c>
      <c r="AE9" s="639"/>
      <c r="AF9" s="84">
        <f>SUM(AF4:AF8)</f>
        <v>0</v>
      </c>
      <c r="AG9" s="81">
        <f>SUM(AG4:AG8)</f>
        <v>0</v>
      </c>
      <c r="AH9" s="81">
        <f>IF(AF9=0,0,AG9/AF9)</f>
        <v>0</v>
      </c>
      <c r="AI9" s="639"/>
      <c r="AJ9" s="84">
        <f>SUM(AJ4:AJ8)</f>
        <v>0</v>
      </c>
      <c r="AK9" s="81">
        <f>SUM(AK4:AK8)</f>
        <v>0</v>
      </c>
      <c r="AL9" s="81">
        <f>IF(AJ9=0,0,AK9/AJ9)</f>
        <v>0</v>
      </c>
      <c r="AM9" s="639"/>
      <c r="AN9" s="84">
        <f>SUM(AN4:AN8)</f>
        <v>0</v>
      </c>
      <c r="AO9" s="81">
        <f>SUM(AO4:AO8)</f>
        <v>0</v>
      </c>
      <c r="AP9" s="81">
        <f>IF(AN9=0,0,AO9/AN9)</f>
        <v>0</v>
      </c>
      <c r="AQ9" s="639"/>
      <c r="AR9" s="84">
        <f>SUM(AR4:AR8)</f>
        <v>0</v>
      </c>
      <c r="AS9" s="81">
        <f>SUM(AS4:AS8)</f>
        <v>0</v>
      </c>
      <c r="AT9" s="16">
        <f>IF(AR9=0,0,AS9/AR9)</f>
        <v>0</v>
      </c>
      <c r="AU9" s="639"/>
      <c r="AV9" s="84">
        <f>SUM(AV4:AV8)</f>
        <v>0</v>
      </c>
      <c r="AW9" s="81">
        <f>SUM(AW4:AW8)</f>
        <v>0</v>
      </c>
      <c r="AX9" s="16" t="e">
        <f>AW9/AV9</f>
        <v>#DIV/0!</v>
      </c>
      <c r="AY9" s="639"/>
      <c r="AZ9" s="84">
        <f>SUM(AZ4:AZ8)</f>
        <v>276809</v>
      </c>
      <c r="BA9" s="81">
        <f>SUM(BA4:BA8)</f>
        <v>43315734</v>
      </c>
      <c r="BB9" s="44">
        <f t="shared" si="7"/>
        <v>156.4823903847057</v>
      </c>
      <c r="BD9" s="871">
        <f>SUM(BD4:BD8)</f>
        <v>445165</v>
      </c>
      <c r="BE9" s="1047">
        <f>SUM(BE6:BE8)</f>
        <v>-78098.7</v>
      </c>
      <c r="BG9" s="39"/>
      <c r="BI9" s="13" t="s">
        <v>98</v>
      </c>
      <c r="BJ9" s="391"/>
      <c r="BK9" s="391"/>
      <c r="BL9" s="384">
        <f t="shared" ref="BL9:BL26" si="14">BJ9-BK9</f>
        <v>0</v>
      </c>
      <c r="BN9" s="189"/>
      <c r="BO9" s="10">
        <f>SUM(BO5:BO8)</f>
        <v>28</v>
      </c>
      <c r="BP9" s="10">
        <f>SUM(BP5:BP8)</f>
        <v>560309</v>
      </c>
      <c r="BQ9" s="200">
        <f>ROUND((BP9/BO9),0)</f>
        <v>20011</v>
      </c>
      <c r="BR9" s="8">
        <f>SUM(BR5:BR8)</f>
        <v>8</v>
      </c>
      <c r="BS9" s="669">
        <f t="shared" si="8"/>
        <v>0.19617879398371355</v>
      </c>
      <c r="BT9" t="s">
        <v>21</v>
      </c>
      <c r="BU9">
        <f>' Qty Analysis'!AL88</f>
        <v>424528.2</v>
      </c>
      <c r="BV9" s="670">
        <f>BU9/$BW$4</f>
        <v>70754.7</v>
      </c>
      <c r="BY9" s="691" t="s">
        <v>343</v>
      </c>
      <c r="BZ9" s="688"/>
      <c r="CA9" s="687"/>
      <c r="CB9" s="690" t="e">
        <f t="shared" si="9"/>
        <v>#DIV/0!</v>
      </c>
      <c r="CC9" s="3323"/>
      <c r="CH9" s="67"/>
      <c r="CI9" s="67"/>
      <c r="CJ9" s="67"/>
      <c r="CK9" s="67"/>
      <c r="CL9" s="67"/>
      <c r="CM9" s="67"/>
      <c r="CP9" s="67"/>
      <c r="CQ9" s="67"/>
      <c r="CR9" s="714"/>
      <c r="CS9" s="67"/>
      <c r="CT9" s="67"/>
      <c r="CU9" s="67"/>
      <c r="CV9" s="714"/>
      <c r="CW9" s="67"/>
      <c r="CX9" s="67"/>
      <c r="CY9" s="713">
        <f t="shared" si="10"/>
        <v>0</v>
      </c>
    </row>
    <row r="10" spans="2:103" ht="15.6" thickBot="1" x14ac:dyDescent="0.4">
      <c r="B10" s="22" t="s">
        <v>53</v>
      </c>
      <c r="C10" s="22"/>
      <c r="D10" s="122">
        <f>ROUND(('Stock Valuation (FIFO)'!E8),0)</f>
        <v>78108</v>
      </c>
      <c r="E10" s="26">
        <f>'Stock Valuation (FIFO)'!G8</f>
        <v>10892019</v>
      </c>
      <c r="F10" s="25">
        <f t="shared" si="0"/>
        <v>139.4481871255185</v>
      </c>
      <c r="G10" s="22"/>
      <c r="H10" s="122">
        <f>ROUND(('Stock Valuation (FIFO)'!H8),0)</f>
        <v>92299</v>
      </c>
      <c r="I10" s="26">
        <f>ROUND(('Stock Valuation (FIFO)'!J8),0)</f>
        <v>14351528</v>
      </c>
      <c r="J10" s="26">
        <f t="shared" si="1"/>
        <v>155.48952859727623</v>
      </c>
      <c r="K10" s="56"/>
      <c r="L10" s="86">
        <f>ROUND((('Stock Valuation (FIFO)'!K8)),0)</f>
        <v>0</v>
      </c>
      <c r="M10" s="26">
        <f>SUM('Stock Valuation (FIFO)'!M8)</f>
        <v>0</v>
      </c>
      <c r="N10" s="238">
        <f t="shared" si="2"/>
        <v>0</v>
      </c>
      <c r="O10" s="56"/>
      <c r="P10" s="86">
        <f>SUM('Stock Valuation (FIFO)'!N8)</f>
        <v>0</v>
      </c>
      <c r="Q10" s="26">
        <f>SUM('Stock Valuation (FIFO)'!P8)</f>
        <v>0</v>
      </c>
      <c r="R10" s="354">
        <f t="shared" si="3"/>
        <v>0</v>
      </c>
      <c r="S10" s="56"/>
      <c r="T10" s="86">
        <f>SUM('Stock Valuation (FIFO)'!Q8)</f>
        <v>0</v>
      </c>
      <c r="U10" s="26">
        <f>SUM('Stock Valuation (FIFO)'!S8)</f>
        <v>0</v>
      </c>
      <c r="V10" s="25">
        <f t="shared" si="13"/>
        <v>0</v>
      </c>
      <c r="W10" s="56"/>
      <c r="X10" s="86">
        <f>ROUND(('Stock Valuation (FIFO)'!T8),0)</f>
        <v>0</v>
      </c>
      <c r="Y10" s="26">
        <f>'Stock Valuation (FIFO)'!V8</f>
        <v>0</v>
      </c>
      <c r="Z10" s="25">
        <f t="shared" si="5"/>
        <v>0</v>
      </c>
      <c r="AA10" s="22"/>
      <c r="AB10" s="122">
        <f>'Stock Valuation (FIFO)'!W8</f>
        <v>0</v>
      </c>
      <c r="AC10" s="26">
        <f>'Stock Valuation (FIFO)'!Y8</f>
        <v>0</v>
      </c>
      <c r="AD10" s="26">
        <f t="shared" si="6"/>
        <v>0</v>
      </c>
      <c r="AE10" s="640"/>
      <c r="AF10" s="549">
        <f>'Stock Valuation (FIFO)'!Z8</f>
        <v>0</v>
      </c>
      <c r="AG10" s="93">
        <f>'Stock Valuation (FIFO)'!AB8</f>
        <v>0</v>
      </c>
      <c r="AH10" s="93">
        <f>IF(AF10=0,0,AG10/AF10)</f>
        <v>0</v>
      </c>
      <c r="AI10" s="640"/>
      <c r="AJ10" s="86">
        <f>'Stock Valuation (FIFO)'!AC8</f>
        <v>0</v>
      </c>
      <c r="AK10" s="26">
        <f>'Stock Valuation (FIFO)'!AE8</f>
        <v>0</v>
      </c>
      <c r="AL10" s="93">
        <f>IF(AJ10=0,0,AK10/AJ10)</f>
        <v>0</v>
      </c>
      <c r="AM10" s="56"/>
      <c r="AN10" s="86">
        <f>ROUND(('Stock Valuation (FIFO)'!AF8),0)</f>
        <v>0</v>
      </c>
      <c r="AO10" s="26">
        <f>'Stock Valuation (FIFO)'!AH8</f>
        <v>0</v>
      </c>
      <c r="AP10" s="93">
        <f>IF(AN10=0,0,AO10/AN10)</f>
        <v>0</v>
      </c>
      <c r="AQ10" s="56"/>
      <c r="AR10" s="86">
        <f>ROUND(('Stock Valuation (FIFO)'!AI8),0)</f>
        <v>0</v>
      </c>
      <c r="AS10" s="26">
        <f>'Stock Valuation (FIFO)'!AK8</f>
        <v>0</v>
      </c>
      <c r="AT10" s="70">
        <f>IF(AR10=0,0,AS10/AR10)</f>
        <v>0</v>
      </c>
      <c r="AU10" s="56"/>
      <c r="AV10" s="86">
        <f>'Stock Valuation (FIFO)'!AL8</f>
        <v>0</v>
      </c>
      <c r="AW10" s="26">
        <f>'Stock Valuation (FIFO)'!AN8</f>
        <v>0</v>
      </c>
      <c r="AX10" s="25" t="e">
        <f>AW10/AV10</f>
        <v>#DIV/0!</v>
      </c>
      <c r="AY10" s="56"/>
      <c r="AZ10" s="1674">
        <f>AJ10</f>
        <v>0</v>
      </c>
      <c r="BA10" s="1675">
        <f>AK10</f>
        <v>0</v>
      </c>
      <c r="BB10" s="25">
        <f t="shared" si="7"/>
        <v>0</v>
      </c>
      <c r="BD10" s="878">
        <f>' Qty Analysis'!AL8+' Qty Analysis'!AL21+' Qty Analysis'!AL33</f>
        <v>0</v>
      </c>
      <c r="BE10" s="1048">
        <f>AZ10-BD10</f>
        <v>0</v>
      </c>
      <c r="BG10" s="39"/>
      <c r="BI10" s="17" t="s">
        <v>100</v>
      </c>
      <c r="BJ10" s="394"/>
      <c r="BK10" s="394"/>
      <c r="BL10" s="387">
        <f t="shared" si="14"/>
        <v>0</v>
      </c>
      <c r="BN10" s="362" t="s">
        <v>323</v>
      </c>
      <c r="BO10" s="118">
        <v>8</v>
      </c>
      <c r="BP10" s="118">
        <f>ROUND((144480*117%),0)</f>
        <v>169042</v>
      </c>
      <c r="BQ10" s="529">
        <f>ROUND((BP10/BO10),0)</f>
        <v>21130</v>
      </c>
      <c r="BR10" s="8">
        <f>ROUND((BP10/$BV$6),0)</f>
        <v>2</v>
      </c>
      <c r="BS10" s="672">
        <f t="shared" si="8"/>
        <v>5.9186012883239256E-2</v>
      </c>
      <c r="BT10" s="3" t="s">
        <v>322</v>
      </c>
      <c r="BU10"/>
      <c r="BV10"/>
      <c r="BY10" s="691" t="s">
        <v>344</v>
      </c>
      <c r="BZ10" s="688"/>
      <c r="CA10" s="687"/>
      <c r="CB10" s="690" t="e">
        <f t="shared" si="9"/>
        <v>#DIV/0!</v>
      </c>
      <c r="CC10" s="3323"/>
      <c r="CH10" s="67"/>
      <c r="CI10" s="67"/>
      <c r="CJ10" s="67"/>
      <c r="CK10" s="67"/>
      <c r="CL10" s="67"/>
      <c r="CM10" s="67"/>
      <c r="CP10" s="67"/>
      <c r="CQ10" s="67"/>
      <c r="CR10" s="714"/>
      <c r="CS10" s="67"/>
      <c r="CT10" s="67"/>
      <c r="CU10" s="67"/>
      <c r="CV10" s="714"/>
      <c r="CW10" s="67"/>
      <c r="CX10" s="67"/>
      <c r="CY10" s="713">
        <f t="shared" si="10"/>
        <v>0</v>
      </c>
    </row>
    <row r="11" spans="2:103" ht="15.6" thickBot="1" x14ac:dyDescent="0.4">
      <c r="B11" s="11"/>
      <c r="C11" s="748">
        <f>E11/E$17</f>
        <v>0.54530630062481988</v>
      </c>
      <c r="D11" s="333">
        <f>D9-D10</f>
        <v>101899</v>
      </c>
      <c r="E11" s="112">
        <f>E9-E10</f>
        <v>16279336</v>
      </c>
      <c r="F11" s="738">
        <f>IF(D11=0,0,E11/D11)</f>
        <v>159.75952659005486</v>
      </c>
      <c r="G11" s="748">
        <f>I11/I$17</f>
        <v>0.37711888505569124</v>
      </c>
      <c r="H11" s="333">
        <f>H9-H10</f>
        <v>82611</v>
      </c>
      <c r="I11" s="29">
        <f>I9-I10</f>
        <v>12684870</v>
      </c>
      <c r="J11" s="29">
        <f t="shared" si="1"/>
        <v>153.5494062534045</v>
      </c>
      <c r="K11" s="750" t="e">
        <f>M11/M$17</f>
        <v>#DIV/0!</v>
      </c>
      <c r="L11" s="245">
        <f>L9-L10</f>
        <v>92299</v>
      </c>
      <c r="M11" s="29">
        <f>M9-M10</f>
        <v>14351528</v>
      </c>
      <c r="N11" s="738">
        <f t="shared" si="2"/>
        <v>155.48952859727623</v>
      </c>
      <c r="O11" s="750" t="e">
        <f>Q11/Q$17</f>
        <v>#DIV/0!</v>
      </c>
      <c r="P11" s="245">
        <f>P9-P10</f>
        <v>0</v>
      </c>
      <c r="Q11" s="29">
        <f>Q9-Q10</f>
        <v>0</v>
      </c>
      <c r="R11" s="749">
        <f t="shared" si="3"/>
        <v>0</v>
      </c>
      <c r="S11" s="750" t="e">
        <f>U11/U$17</f>
        <v>#DIV/0!</v>
      </c>
      <c r="T11" s="245">
        <f>T9-T10</f>
        <v>0</v>
      </c>
      <c r="U11" s="29">
        <f>U9-U10</f>
        <v>0</v>
      </c>
      <c r="V11" s="31">
        <f t="shared" si="13"/>
        <v>0</v>
      </c>
      <c r="W11" s="750" t="e">
        <f>Y11/Y$17</f>
        <v>#DIV/0!</v>
      </c>
      <c r="X11" s="245">
        <f>X9-X10</f>
        <v>0</v>
      </c>
      <c r="Y11" s="29">
        <f>Y9-Y10</f>
        <v>0</v>
      </c>
      <c r="Z11" s="31">
        <f t="shared" si="5"/>
        <v>0</v>
      </c>
      <c r="AA11" s="748" t="e">
        <f>AC11/AC$17</f>
        <v>#DIV/0!</v>
      </c>
      <c r="AB11" s="333">
        <f>AB9-AB10</f>
        <v>0</v>
      </c>
      <c r="AC11" s="29">
        <f>AC9-AC10</f>
        <v>0</v>
      </c>
      <c r="AD11" s="29">
        <f t="shared" si="6"/>
        <v>0</v>
      </c>
      <c r="AE11" s="750" t="e">
        <f>AG11/AG$17</f>
        <v>#DIV/0!</v>
      </c>
      <c r="AF11" s="245">
        <f>AF9-AF10</f>
        <v>0</v>
      </c>
      <c r="AG11" s="29">
        <f>AG9-AG10</f>
        <v>0</v>
      </c>
      <c r="AH11" s="29">
        <f>IF(AF11=0,0,AG11/AF11)</f>
        <v>0</v>
      </c>
      <c r="AI11" s="750" t="e">
        <f>AK11/AK$17</f>
        <v>#DIV/0!</v>
      </c>
      <c r="AJ11" s="245">
        <f>AJ9-AJ10</f>
        <v>0</v>
      </c>
      <c r="AK11" s="29">
        <f>AK9-AK10</f>
        <v>0</v>
      </c>
      <c r="AL11" s="29">
        <f>IF(AJ11=0,0,AK11/AJ11)</f>
        <v>0</v>
      </c>
      <c r="AM11" s="750" t="e">
        <f>AO11/AO$17</f>
        <v>#DIV/0!</v>
      </c>
      <c r="AN11" s="245">
        <f>AN9-AN10</f>
        <v>0</v>
      </c>
      <c r="AO11" s="29">
        <f>AO9-AO10</f>
        <v>0</v>
      </c>
      <c r="AP11" s="29">
        <f>IF(AN11=0,0,AO11/AN11)</f>
        <v>0</v>
      </c>
      <c r="AQ11" s="750" t="e">
        <f>AS11/AS$17</f>
        <v>#DIV/0!</v>
      </c>
      <c r="AR11" s="245">
        <f>AR9-AR10</f>
        <v>0</v>
      </c>
      <c r="AS11" s="29">
        <f>AS9-AS10</f>
        <v>0</v>
      </c>
      <c r="AT11" s="31">
        <f>IF(AR11=0,0,AS11/AR11)</f>
        <v>0</v>
      </c>
      <c r="AU11" s="748" t="e">
        <f>AW11/AW$17</f>
        <v>#DIV/0!</v>
      </c>
      <c r="AV11" s="333">
        <f>AV9-AV10</f>
        <v>0</v>
      </c>
      <c r="AW11" s="29">
        <f>AW9-AW10</f>
        <v>0</v>
      </c>
      <c r="AX11" s="31">
        <f>IF(AV11=0,0,AW11/AV11)</f>
        <v>0</v>
      </c>
      <c r="AY11" s="750">
        <f>BA11/BA$17</f>
        <v>0.68224685322023093</v>
      </c>
      <c r="AZ11" s="245">
        <f>AZ9-AZ10</f>
        <v>276809</v>
      </c>
      <c r="BA11" s="29">
        <f>BA9-BA10</f>
        <v>43315734</v>
      </c>
      <c r="BB11" s="31">
        <f>IF(AZ11=0,0,BA11/AZ11)</f>
        <v>156.4823903847057</v>
      </c>
      <c r="BC11" s="589">
        <f>BA11/$BA$17</f>
        <v>0.68224685322023093</v>
      </c>
      <c r="BD11" s="880">
        <f>BD9-BD10</f>
        <v>445165</v>
      </c>
      <c r="BE11" s="1049">
        <f>SUM(BE9:BE10)</f>
        <v>-78098.7</v>
      </c>
      <c r="BF11" s="39">
        <f>BA11/(AZ15+AZ16)</f>
        <v>400.4783099112426</v>
      </c>
      <c r="BI11" s="22" t="s">
        <v>99</v>
      </c>
      <c r="BJ11" s="392"/>
      <c r="BK11" s="392"/>
      <c r="BL11" s="385">
        <f t="shared" si="14"/>
        <v>0</v>
      </c>
      <c r="BN11" s="673" t="s">
        <v>259</v>
      </c>
      <c r="BO11" s="328">
        <f>SUM(BO9:BO10)</f>
        <v>36</v>
      </c>
      <c r="BP11" s="328">
        <f>SUM(BP9:BP10)</f>
        <v>729351</v>
      </c>
      <c r="BQ11" s="199"/>
      <c r="BR11" s="674">
        <f>SUM(BR9:BR10)</f>
        <v>10</v>
      </c>
      <c r="BS11" s="675">
        <f t="shared" si="8"/>
        <v>0.25536480686695279</v>
      </c>
      <c r="BT11"/>
      <c r="BU11"/>
      <c r="BV11"/>
      <c r="BY11" s="691" t="s">
        <v>350</v>
      </c>
      <c r="BZ11" s="688"/>
      <c r="CA11" s="687"/>
      <c r="CB11" s="690" t="e">
        <f t="shared" si="9"/>
        <v>#DIV/0!</v>
      </c>
      <c r="CC11" s="3323"/>
      <c r="CH11" s="67"/>
      <c r="CI11" s="67"/>
      <c r="CJ11" s="67"/>
      <c r="CK11" s="67"/>
      <c r="CL11" s="67"/>
      <c r="CM11" s="67"/>
      <c r="CP11" s="67"/>
      <c r="CQ11" s="67"/>
      <c r="CR11" s="714"/>
      <c r="CS11" s="67"/>
      <c r="CT11" s="67"/>
      <c r="CU11" s="67"/>
      <c r="CV11" s="714"/>
      <c r="CW11" s="67"/>
      <c r="CX11" s="67"/>
      <c r="CY11" s="713">
        <f t="shared" si="10"/>
        <v>0</v>
      </c>
    </row>
    <row r="12" spans="2:103" ht="15" x14ac:dyDescent="0.35">
      <c r="B12" s="13" t="s">
        <v>358</v>
      </c>
      <c r="C12" s="623"/>
      <c r="D12" s="605">
        <f>'Inventory Sales'!B25+'Inventory Sales'!B24</f>
        <v>0</v>
      </c>
      <c r="E12" s="557">
        <f>'Inventory Sales'!D25+'Inventory Sales'!D24</f>
        <v>0</v>
      </c>
      <c r="F12" s="36" t="e">
        <f>E12/D12</f>
        <v>#DIV/0!</v>
      </c>
      <c r="G12" s="623"/>
      <c r="H12" s="605">
        <f>'Inventory Sales'!E25+'Inventory Sales'!E24</f>
        <v>25</v>
      </c>
      <c r="I12" s="81">
        <f>'Inventory Sales'!G25+'Inventory Sales'!G24</f>
        <v>9500</v>
      </c>
      <c r="J12" s="36">
        <f>I12/H12</f>
        <v>380</v>
      </c>
      <c r="K12" s="642"/>
      <c r="L12" s="605">
        <f>'Inventory Sales'!H25+'Inventory Sales'!H24</f>
        <v>0</v>
      </c>
      <c r="M12" s="557">
        <f>'Inventory Sales'!J25+'Inventory Sales'!J24</f>
        <v>0</v>
      </c>
      <c r="N12" s="36" t="e">
        <f>M12/L12</f>
        <v>#DIV/0!</v>
      </c>
      <c r="O12" s="642"/>
      <c r="P12" s="605">
        <f>'Inventory Sales'!K25+'Inventory Sales'!K24</f>
        <v>0</v>
      </c>
      <c r="Q12" s="557">
        <f>'Inventory Sales'!M25+'Inventory Sales'!M24</f>
        <v>0</v>
      </c>
      <c r="R12" s="36" t="e">
        <f>Q12/P12</f>
        <v>#DIV/0!</v>
      </c>
      <c r="S12" s="642"/>
      <c r="T12" s="605">
        <f>'Inventory Sales'!N25+'Inventory Sales'!N24</f>
        <v>0</v>
      </c>
      <c r="U12" s="557">
        <f>'Inventory Sales'!P25+'Inventory Sales'!P24</f>
        <v>0</v>
      </c>
      <c r="V12" s="36" t="e">
        <f>U12/T12</f>
        <v>#DIV/0!</v>
      </c>
      <c r="W12" s="642"/>
      <c r="X12" s="84">
        <f>'Inventory Sales'!Q25+'Inventory Sales'!Q24</f>
        <v>0</v>
      </c>
      <c r="Y12" s="81">
        <f>'Inventory Sales'!S25+'Inventory Sales'!S24</f>
        <v>0</v>
      </c>
      <c r="Z12" s="20">
        <f t="shared" ref="Z12:Z13" si="15">IF(Y12=0,0,Y12/X12)</f>
        <v>0</v>
      </c>
      <c r="AA12" s="623"/>
      <c r="AB12" s="605">
        <f>'Inventory Sales'!T25+'Inventory Sales'!T24</f>
        <v>0</v>
      </c>
      <c r="AC12" s="81">
        <f>'Inventory Sales'!V25+'Inventory Sales'!V24</f>
        <v>0</v>
      </c>
      <c r="AD12" s="20">
        <f t="shared" ref="AD12:AD13" si="16">IF(AC12=0,0,AC12/AB12)</f>
        <v>0</v>
      </c>
      <c r="AE12" s="642"/>
      <c r="AF12" s="84">
        <f>'Inventory Sales'!W25+'Inventory Sales'!W24</f>
        <v>0</v>
      </c>
      <c r="AG12" s="81">
        <f>'Inventory Sales'!Y25+'Inventory Sales'!Y24</f>
        <v>0</v>
      </c>
      <c r="AH12" s="20">
        <f t="shared" ref="AH12:AH13" si="17">IF(AG12=0,0,AG12/AF12)</f>
        <v>0</v>
      </c>
      <c r="AI12" s="642"/>
      <c r="AJ12" s="84">
        <f>'Inventory Sales'!Z25+'Inventory Sales'!Z24</f>
        <v>0</v>
      </c>
      <c r="AK12" s="81">
        <f>'Inventory Sales'!AB25+'Inventory Sales'!AB24</f>
        <v>0</v>
      </c>
      <c r="AL12" s="36" t="e">
        <f>AK12/AJ12</f>
        <v>#DIV/0!</v>
      </c>
      <c r="AM12" s="642"/>
      <c r="AN12" s="84">
        <f>'Inventory Sales'!AC25+'Inventory Sales'!AC24</f>
        <v>0</v>
      </c>
      <c r="AO12" s="81">
        <f>'Inventory Sales'!AE25+'Inventory Sales'!AE24</f>
        <v>0</v>
      </c>
      <c r="AP12" s="36" t="e">
        <f>AO12/AN12</f>
        <v>#DIV/0!</v>
      </c>
      <c r="AQ12" s="642"/>
      <c r="AR12" s="84">
        <f>'Inventory Sales'!AF25+'Inventory Sales'!AF24</f>
        <v>0</v>
      </c>
      <c r="AS12" s="81">
        <f>'Inventory Sales'!AH25+'Inventory Sales'!AH24</f>
        <v>0</v>
      </c>
      <c r="AT12" s="36" t="e">
        <f>AS12/AR12</f>
        <v>#DIV/0!</v>
      </c>
      <c r="AU12" s="83"/>
      <c r="AV12" s="605">
        <f>'Inventory Sales'!AI25+'Inventory Sales'!AI22</f>
        <v>0</v>
      </c>
      <c r="AW12" s="81">
        <f>'Inventory Sales'!AK25+'Inventory Sales'!AK22</f>
        <v>0</v>
      </c>
      <c r="AX12" s="36" t="e">
        <f>AW12/AV12</f>
        <v>#DIV/0!</v>
      </c>
      <c r="AY12" s="642"/>
      <c r="AZ12" s="67">
        <f>SUM(D12,H12,L12,P12,T12,X12,AB12,AF12,AJ12,AN12,AR12,AV12)</f>
        <v>25</v>
      </c>
      <c r="BA12" s="89">
        <f>ROUND((SUM(E12,I12,M12,Q12,U12,Y12,AC12,AG12,AK12,AO12,AS12,AW12)),0)</f>
        <v>9500</v>
      </c>
      <c r="BB12" s="44">
        <f>IF(AZ12=0,0,BA12/AZ12)</f>
        <v>380</v>
      </c>
      <c r="BC12" s="589"/>
      <c r="BD12" s="879">
        <f>' Qty Analysis'!AL7+' Qty Analysis'!AL20</f>
        <v>250076</v>
      </c>
      <c r="BE12" s="1047">
        <f>AZ12-BD12</f>
        <v>-250051</v>
      </c>
      <c r="BF12" s="39"/>
      <c r="BG12" s="12">
        <f>ROUND((BA12/6),-3)</f>
        <v>2000</v>
      </c>
      <c r="BI12" s="13" t="s">
        <v>246</v>
      </c>
      <c r="BJ12" s="391">
        <f>BJ9+BJ10-BJ11</f>
        <v>0</v>
      </c>
      <c r="BK12" s="391">
        <f>BK9+BK10-BK11</f>
        <v>0</v>
      </c>
      <c r="BL12" s="384">
        <f t="shared" si="14"/>
        <v>0</v>
      </c>
      <c r="BN12" s="100" t="s">
        <v>324</v>
      </c>
      <c r="BO12" s="10">
        <v>2</v>
      </c>
      <c r="BP12" s="10">
        <f>ROUND((39320*117%),0)</f>
        <v>46004</v>
      </c>
      <c r="BQ12" s="200">
        <f>ROUND((BP12/BO12),0)</f>
        <v>23002</v>
      </c>
      <c r="BR12" s="8">
        <f>BP12/$BV$9</f>
        <v>0.65019002271227211</v>
      </c>
      <c r="BS12" s="669">
        <f t="shared" si="8"/>
        <v>1.6107200202793027E-2</v>
      </c>
      <c r="BT12" s="3326" t="s">
        <v>3</v>
      </c>
      <c r="BU12" s="3134"/>
      <c r="BV12" s="3134"/>
      <c r="BY12" s="691" t="s">
        <v>111</v>
      </c>
      <c r="BZ12" s="688"/>
      <c r="CA12" s="687"/>
      <c r="CB12" s="690" t="e">
        <f t="shared" si="9"/>
        <v>#DIV/0!</v>
      </c>
      <c r="CC12" s="3323"/>
      <c r="CH12" s="67"/>
      <c r="CI12" s="67"/>
      <c r="CJ12" s="67"/>
      <c r="CK12" s="67"/>
      <c r="CL12" s="67"/>
      <c r="CM12" s="67"/>
      <c r="CP12" s="67"/>
      <c r="CQ12" s="67"/>
      <c r="CR12" s="714"/>
      <c r="CS12" s="67"/>
      <c r="CT12" s="67"/>
      <c r="CU12" s="67"/>
      <c r="CV12" s="714"/>
      <c r="CW12" s="67"/>
      <c r="CX12" s="67"/>
      <c r="CY12" s="713">
        <f t="shared" si="10"/>
        <v>0</v>
      </c>
    </row>
    <row r="13" spans="2:103" ht="15" x14ac:dyDescent="0.35">
      <c r="B13" s="13" t="s">
        <v>500</v>
      </c>
      <c r="C13" s="623"/>
      <c r="D13" s="605">
        <f>ROUND(('Trading PL'!B4),0)</f>
        <v>9421</v>
      </c>
      <c r="E13" s="557">
        <f>ROUND(('Trading PL'!C4),0)</f>
        <v>2400272</v>
      </c>
      <c r="F13" s="16">
        <f>E13/D13</f>
        <v>254.77889820613524</v>
      </c>
      <c r="G13" s="623"/>
      <c r="H13" s="605">
        <f>ROUND(('Trading PL'!E4),0)</f>
        <v>6529</v>
      </c>
      <c r="I13" s="81">
        <f>ROUND(('Trading PL'!F4),0)</f>
        <v>1650409</v>
      </c>
      <c r="J13" s="16">
        <f>I13/H13</f>
        <v>252.78128350436515</v>
      </c>
      <c r="K13" s="642"/>
      <c r="L13" s="605">
        <f>ROUND(('Trading PL'!H4),0)</f>
        <v>0</v>
      </c>
      <c r="M13" s="557">
        <f>ROUND(('Trading PL'!I4),0)</f>
        <v>0</v>
      </c>
      <c r="N13" s="16" t="e">
        <f>M13/L13</f>
        <v>#DIV/0!</v>
      </c>
      <c r="O13" s="642"/>
      <c r="P13" s="605">
        <f>ROUND(('Trading PL'!K4),0)</f>
        <v>0</v>
      </c>
      <c r="Q13" s="557">
        <f>ROUND(('Trading PL'!L4),0)</f>
        <v>0</v>
      </c>
      <c r="R13" s="16" t="e">
        <f>Q13/P13</f>
        <v>#DIV/0!</v>
      </c>
      <c r="S13" s="642"/>
      <c r="T13" s="84">
        <f>'Trading PL'!N4</f>
        <v>0</v>
      </c>
      <c r="U13" s="557">
        <f>'Trading PL'!O4</f>
        <v>0</v>
      </c>
      <c r="V13" s="16" t="e">
        <f>U13/T13</f>
        <v>#DIV/0!</v>
      </c>
      <c r="W13" s="642"/>
      <c r="X13" s="84">
        <f>ROUND(('Trading PL'!Q4),0)</f>
        <v>0</v>
      </c>
      <c r="Y13" s="81">
        <f>ROUND(('Trading PL'!R4),0)</f>
        <v>0</v>
      </c>
      <c r="Z13" s="20">
        <f t="shared" si="15"/>
        <v>0</v>
      </c>
      <c r="AA13" s="623"/>
      <c r="AB13" s="605">
        <f>ROUND(('Trading PL'!T4),0)</f>
        <v>0</v>
      </c>
      <c r="AC13" s="81">
        <f>'Trading PL'!U4</f>
        <v>0</v>
      </c>
      <c r="AD13" s="20">
        <f t="shared" si="16"/>
        <v>0</v>
      </c>
      <c r="AE13" s="642"/>
      <c r="AF13" s="84">
        <f>'Trading PL'!W4</f>
        <v>0</v>
      </c>
      <c r="AG13" s="81">
        <f>'Trading PL'!X4</f>
        <v>0</v>
      </c>
      <c r="AH13" s="20">
        <f t="shared" si="17"/>
        <v>0</v>
      </c>
      <c r="AI13" s="642"/>
      <c r="AJ13" s="84">
        <f>'Trading PL'!Z4</f>
        <v>0</v>
      </c>
      <c r="AK13" s="81">
        <f>'Trading PL'!AA4</f>
        <v>0</v>
      </c>
      <c r="AL13" s="20">
        <f t="shared" ref="AL13" si="18">IF(AK13=0,0,AK13/AJ13)</f>
        <v>0</v>
      </c>
      <c r="AM13" s="642"/>
      <c r="AN13" s="84">
        <f>'Trading PL'!AC4</f>
        <v>0</v>
      </c>
      <c r="AO13" s="81">
        <f>'Trading PL'!AD4</f>
        <v>0</v>
      </c>
      <c r="AP13" s="20">
        <f t="shared" ref="AP13" si="19">IF(AO13=0,0,AO13/AN13)</f>
        <v>0</v>
      </c>
      <c r="AQ13" s="642"/>
      <c r="AR13" s="84">
        <f>'Trading PL'!AF4</f>
        <v>0</v>
      </c>
      <c r="AS13" s="81">
        <f>'Trading PL'!AG4</f>
        <v>0</v>
      </c>
      <c r="AT13" s="20">
        <f t="shared" ref="AT13" si="20">IF(AS13=0,0,AS13/AR13)</f>
        <v>0</v>
      </c>
      <c r="AU13" s="642"/>
      <c r="AV13" s="84">
        <f>'Trading PL'!AI4</f>
        <v>0</v>
      </c>
      <c r="AW13" s="81">
        <f>'Trading PL'!AJ4</f>
        <v>0</v>
      </c>
      <c r="AX13" s="20">
        <f t="shared" ref="AX13" si="21">IF(AW13=0,0,AW13/AV13)</f>
        <v>0</v>
      </c>
      <c r="AY13" s="642"/>
      <c r="AZ13" s="747">
        <f>SUM(D13,H13,L13,P13,T13,X13,AB13,AF13,AJ13,AN13,AR13,AV13)</f>
        <v>15950</v>
      </c>
      <c r="BA13" s="21">
        <f>ROUND((SUM(E13,I13,M13,Q13,U13,Y13,AC13,AG13,AK13,AO13,AS13,AW13)),0)</f>
        <v>4050681</v>
      </c>
      <c r="BB13" s="20">
        <f>IF(AZ13=0,0,BA13/AZ13)</f>
        <v>253.96119122257053</v>
      </c>
      <c r="BC13" s="589"/>
      <c r="BD13" s="871">
        <f>'Trading PL'!AL4</f>
        <v>15949.7</v>
      </c>
      <c r="BE13" s="1047">
        <f>AZ13-BD13</f>
        <v>0.2999999999992724</v>
      </c>
      <c r="BF13" s="39"/>
      <c r="BG13" s="12">
        <f>ROUND((BA13/6),-3)</f>
        <v>675000</v>
      </c>
      <c r="BI13" s="17" t="s">
        <v>52</v>
      </c>
      <c r="BJ13" s="394"/>
      <c r="BK13" s="394"/>
      <c r="BL13" s="387">
        <f t="shared" si="14"/>
        <v>0</v>
      </c>
      <c r="BN13" s="155" t="s">
        <v>326</v>
      </c>
      <c r="BO13" s="5">
        <v>5</v>
      </c>
      <c r="BP13" s="5">
        <f>ROUND((59050*117%),0)</f>
        <v>69089</v>
      </c>
      <c r="BQ13" s="197">
        <f>ROUND((BP13/BO13),0)</f>
        <v>13818</v>
      </c>
      <c r="BR13" s="8">
        <f>BP13/$BV$9</f>
        <v>0.9764581010166109</v>
      </c>
      <c r="BS13" s="669">
        <f t="shared" si="8"/>
        <v>2.4189860768862866E-2</v>
      </c>
      <c r="BT13" s="3" t="s">
        <v>325</v>
      </c>
      <c r="BU13" s="2">
        <f>AZ16</f>
        <v>98784</v>
      </c>
      <c r="BV13" s="670">
        <f>BU13/$BW$4</f>
        <v>16464</v>
      </c>
      <c r="BY13" s="691" t="s">
        <v>348</v>
      </c>
      <c r="BZ13" s="688"/>
      <c r="CA13" s="687"/>
      <c r="CB13" s="690" t="e">
        <f t="shared" si="9"/>
        <v>#DIV/0!</v>
      </c>
      <c r="CC13" s="3323"/>
      <c r="CH13" s="67"/>
      <c r="CI13" s="67"/>
      <c r="CJ13" s="67"/>
      <c r="CK13" s="67"/>
      <c r="CL13" s="67"/>
      <c r="CM13" s="67"/>
      <c r="CP13" s="67"/>
      <c r="CQ13" s="67"/>
      <c r="CR13" s="714"/>
      <c r="CS13" s="67"/>
      <c r="CT13" s="67"/>
      <c r="CU13" s="67"/>
      <c r="CV13" s="714"/>
      <c r="CW13" s="67"/>
      <c r="CX13" s="67"/>
      <c r="CY13" s="713">
        <f t="shared" si="10"/>
        <v>0</v>
      </c>
    </row>
    <row r="14" spans="2:103" ht="15" x14ac:dyDescent="0.35">
      <c r="B14" s="17" t="s">
        <v>827</v>
      </c>
      <c r="C14" s="623"/>
      <c r="D14" s="605">
        <f>ROUND(('Inventory Sales'!B10),0)</f>
        <v>6050</v>
      </c>
      <c r="E14" s="557">
        <f>'Inventory Sales'!D10</f>
        <v>1083000</v>
      </c>
      <c r="F14" s="16">
        <f>E14/D14</f>
        <v>179.0082644628099</v>
      </c>
      <c r="G14" s="623"/>
      <c r="H14" s="605">
        <f>'Inventory Sales'!E10</f>
        <v>4500</v>
      </c>
      <c r="I14" s="81">
        <f>'Inventory Sales'!G10</f>
        <v>792500</v>
      </c>
      <c r="J14" s="16">
        <f>I14/H14</f>
        <v>176.11111111111111</v>
      </c>
      <c r="K14" s="642"/>
      <c r="L14" s="84">
        <f>ROUND(('Inventory Sales'!H10),0)</f>
        <v>0</v>
      </c>
      <c r="M14" s="557">
        <f>ROUND(('Inventory Sales'!J10),0)</f>
        <v>0</v>
      </c>
      <c r="N14" s="16" t="e">
        <f>M14/L14</f>
        <v>#DIV/0!</v>
      </c>
      <c r="O14" s="642"/>
      <c r="P14" s="84">
        <f>'Inventory Sales'!K10</f>
        <v>0</v>
      </c>
      <c r="Q14" s="557">
        <f>'Inventory Sales'!M10</f>
        <v>0</v>
      </c>
      <c r="R14" s="16" t="e">
        <f>Q14/P14</f>
        <v>#DIV/0!</v>
      </c>
      <c r="S14" s="642"/>
      <c r="T14" s="84">
        <f>'Inventory Sales'!N10</f>
        <v>0</v>
      </c>
      <c r="U14" s="557">
        <f>'Inventory Sales'!P10</f>
        <v>0</v>
      </c>
      <c r="V14" s="16" t="e">
        <f>U14/T14</f>
        <v>#DIV/0!</v>
      </c>
      <c r="W14" s="642"/>
      <c r="X14" s="84">
        <f>'Inventory Sales'!Q10</f>
        <v>0</v>
      </c>
      <c r="Y14" s="81">
        <f>'Inventory Sales'!S10</f>
        <v>0</v>
      </c>
      <c r="Z14" s="16" t="e">
        <f>Y14/X14</f>
        <v>#DIV/0!</v>
      </c>
      <c r="AA14" s="623"/>
      <c r="AB14" s="605"/>
      <c r="AC14" s="81"/>
      <c r="AD14" s="20"/>
      <c r="AE14" s="642"/>
      <c r="AF14" s="84"/>
      <c r="AG14" s="81"/>
      <c r="AH14" s="20"/>
      <c r="AI14" s="642"/>
      <c r="AJ14" s="84"/>
      <c r="AK14" s="81"/>
      <c r="AL14" s="20"/>
      <c r="AM14" s="642"/>
      <c r="AN14" s="84"/>
      <c r="AO14" s="81"/>
      <c r="AP14" s="20"/>
      <c r="AQ14" s="642"/>
      <c r="AR14" s="84"/>
      <c r="AS14" s="81"/>
      <c r="AT14" s="20"/>
      <c r="AU14" s="642"/>
      <c r="AV14" s="84"/>
      <c r="AW14" s="81"/>
      <c r="AX14" s="20"/>
      <c r="AY14" s="642"/>
      <c r="AZ14" s="747">
        <f>'Inventory Sales'!AL10</f>
        <v>10550</v>
      </c>
      <c r="BA14" s="21">
        <f>'Inventory Sales'!AN10</f>
        <v>1875500</v>
      </c>
      <c r="BB14" s="16">
        <f>BA14/AZ14</f>
        <v>177.77251184834122</v>
      </c>
      <c r="BC14" s="589"/>
      <c r="BD14" s="871"/>
      <c r="BE14" s="1047"/>
      <c r="BF14" s="39"/>
      <c r="BI14" s="69"/>
      <c r="BJ14" s="2645"/>
      <c r="BK14" s="2645"/>
      <c r="BL14" s="2646"/>
      <c r="BN14" s="155"/>
      <c r="BO14" s="5"/>
      <c r="BP14" s="5"/>
      <c r="BQ14" s="197"/>
      <c r="BR14" s="8"/>
      <c r="BS14" s="669"/>
      <c r="BT14" s="3"/>
      <c r="BU14" s="2"/>
      <c r="BV14" s="670"/>
      <c r="BY14" s="691"/>
      <c r="BZ14" s="688"/>
      <c r="CA14" s="687"/>
      <c r="CB14" s="690"/>
      <c r="CC14" s="3323"/>
      <c r="CH14" s="67"/>
      <c r="CI14" s="67"/>
      <c r="CJ14" s="67"/>
      <c r="CK14" s="67"/>
      <c r="CL14" s="67"/>
      <c r="CM14" s="67"/>
      <c r="CP14" s="67"/>
      <c r="CQ14" s="67"/>
      <c r="CR14" s="714"/>
      <c r="CS14" s="67"/>
      <c r="CT14" s="67"/>
      <c r="CU14" s="67"/>
      <c r="CV14" s="714"/>
      <c r="CW14" s="67"/>
      <c r="CX14" s="67"/>
      <c r="CY14" s="713"/>
    </row>
    <row r="15" spans="2:103" ht="15.6" thickBot="1" x14ac:dyDescent="0.4">
      <c r="B15" s="17" t="s">
        <v>828</v>
      </c>
      <c r="C15" s="17"/>
      <c r="D15" s="286">
        <f>'Inventory Sales'!H45</f>
        <v>0</v>
      </c>
      <c r="E15" s="21">
        <f>'Inventory Sales'!J45</f>
        <v>0</v>
      </c>
      <c r="F15" s="20" t="e">
        <f>F16</f>
        <v>#DIV/0!</v>
      </c>
      <c r="G15" s="17"/>
      <c r="H15" s="286">
        <f>H8</f>
        <v>9376</v>
      </c>
      <c r="I15" s="21">
        <f>ROUND((H15*248.96),0)</f>
        <v>2334249</v>
      </c>
      <c r="J15" s="20">
        <f>IF(I15=0,0,I15/H15)</f>
        <v>248.9600042662116</v>
      </c>
      <c r="K15" s="641"/>
      <c r="L15" s="169">
        <f>L8</f>
        <v>0</v>
      </c>
      <c r="M15" s="21">
        <f>ROUND((L15*243.45),0)</f>
        <v>0</v>
      </c>
      <c r="N15" s="20">
        <f>IF(M15=0,0,M15/L15)</f>
        <v>0</v>
      </c>
      <c r="O15" s="641"/>
      <c r="P15" s="169">
        <f>P8</f>
        <v>0</v>
      </c>
      <c r="Q15" s="21">
        <f>ROUND((P15*248.96),0)</f>
        <v>0</v>
      </c>
      <c r="R15" s="20">
        <f>IF(Q15=0,0,Q15/P15)</f>
        <v>0</v>
      </c>
      <c r="S15" s="641"/>
      <c r="T15" s="169">
        <f>T8</f>
        <v>0</v>
      </c>
      <c r="U15" s="102">
        <f>ROUND((T15*248.96),0)</f>
        <v>0</v>
      </c>
      <c r="V15" s="20">
        <f>IF(U15=0,0,U15/T15)</f>
        <v>0</v>
      </c>
      <c r="W15" s="641"/>
      <c r="X15" s="169">
        <f>X8</f>
        <v>0</v>
      </c>
      <c r="Y15" s="21">
        <f>'Inventory Sales'!S45</f>
        <v>0</v>
      </c>
      <c r="Z15" s="20">
        <f>IF(Y15=0,0,Y15/X15)</f>
        <v>0</v>
      </c>
      <c r="AA15" s="17"/>
      <c r="AB15" s="286">
        <f>AB8</f>
        <v>0</v>
      </c>
      <c r="AC15" s="21">
        <f>ROUND((AB15*254),0)</f>
        <v>0</v>
      </c>
      <c r="AD15" s="20">
        <f>IF(AC15=0,0,AC15/AB15)</f>
        <v>0</v>
      </c>
      <c r="AE15" s="641"/>
      <c r="AF15" s="286">
        <f>AF8</f>
        <v>0</v>
      </c>
      <c r="AG15" s="21">
        <f>ROUND((AF15*236),0)</f>
        <v>0</v>
      </c>
      <c r="AH15" s="20">
        <f>IF(AG15=0,0,AG15/AF15)</f>
        <v>0</v>
      </c>
      <c r="AI15" s="641"/>
      <c r="AJ15" s="169">
        <f>AJ8</f>
        <v>0</v>
      </c>
      <c r="AK15" s="21">
        <f>ROUND((AJ15*242),0)</f>
        <v>0</v>
      </c>
      <c r="AL15" s="20">
        <f>IF(AK15=0,0,AK15/AJ15)</f>
        <v>0</v>
      </c>
      <c r="AM15" s="641"/>
      <c r="AN15" s="169">
        <f>AN8</f>
        <v>0</v>
      </c>
      <c r="AO15" s="21">
        <f>ROUND((AN15*250),0)</f>
        <v>0</v>
      </c>
      <c r="AP15" s="20">
        <f>IF(AO15=0,0,AO15/AN15)</f>
        <v>0</v>
      </c>
      <c r="AQ15" s="641"/>
      <c r="AR15" s="169">
        <f>AR8</f>
        <v>0</v>
      </c>
      <c r="AS15" s="21">
        <f>ROUND((AR15*248),0)</f>
        <v>0</v>
      </c>
      <c r="AT15" s="20" t="e">
        <f>AS15/AR15</f>
        <v>#DIV/0!</v>
      </c>
      <c r="AU15" s="641"/>
      <c r="AV15" s="169">
        <f>AV8</f>
        <v>0</v>
      </c>
      <c r="AW15" s="356">
        <f>ROUND((AV15*246),0)</f>
        <v>0</v>
      </c>
      <c r="AX15" s="20" t="e">
        <f>AW15/AV15</f>
        <v>#DIV/0!</v>
      </c>
      <c r="AY15" s="641"/>
      <c r="AZ15" s="747">
        <f>SUM(D15,H15,L15,P15,T15,X15,AB15,AF15,AJ15,AN15,AR15,AV15)</f>
        <v>9376</v>
      </c>
      <c r="BA15" s="21">
        <f>ROUND((SUM(E15,I15,M15,Q15,U15,Y15,AC15,AG15,AK15,AO15,AS15,AW15)),0)</f>
        <v>2334249</v>
      </c>
      <c r="BB15" s="20">
        <f>IF(AZ15=0,0,BA15/AZ15)</f>
        <v>248.9600042662116</v>
      </c>
      <c r="BC15" s="39">
        <f>BB11+BB19</f>
        <v>156.4823903847057</v>
      </c>
      <c r="BD15" s="871"/>
      <c r="BE15" s="1050"/>
      <c r="BI15" s="22" t="s">
        <v>247</v>
      </c>
      <c r="BJ15" s="392"/>
      <c r="BK15" s="392"/>
      <c r="BL15" s="385">
        <f t="shared" si="14"/>
        <v>0</v>
      </c>
      <c r="BN15" s="155" t="s">
        <v>327</v>
      </c>
      <c r="BO15" s="5">
        <v>10</v>
      </c>
      <c r="BP15" s="5">
        <f>ROUND((180600*117%),0)</f>
        <v>211302</v>
      </c>
      <c r="BQ15" s="197">
        <f>ROUND((BP15/BO15),0)</f>
        <v>21130</v>
      </c>
      <c r="BR15" s="8">
        <f>BP15/$BV$9</f>
        <v>2.9864023167365561</v>
      </c>
      <c r="BS15" s="669">
        <f t="shared" si="8"/>
        <v>7.398234104100887E-2</v>
      </c>
      <c r="BT15" s="676" t="s">
        <v>226</v>
      </c>
      <c r="BU15" s="677" t="e">
        <f>#REF!</f>
        <v>#REF!</v>
      </c>
      <c r="BV15" s="678" t="e">
        <f>BU15/$BW$4</f>
        <v>#REF!</v>
      </c>
      <c r="BY15" s="691" t="s">
        <v>349</v>
      </c>
      <c r="BZ15" s="688"/>
      <c r="CA15" s="687"/>
      <c r="CB15" s="690" t="e">
        <f t="shared" si="9"/>
        <v>#DIV/0!</v>
      </c>
      <c r="CC15" s="3323"/>
      <c r="CH15" s="67"/>
      <c r="CI15" s="67"/>
      <c r="CJ15" s="67"/>
      <c r="CK15" s="67"/>
      <c r="CL15" s="67"/>
      <c r="CM15" s="67"/>
      <c r="CP15" s="67"/>
      <c r="CQ15" s="67"/>
      <c r="CR15" s="714"/>
      <c r="CS15" s="67"/>
      <c r="CT15" s="67"/>
      <c r="CU15" s="67"/>
      <c r="CV15" s="714"/>
      <c r="CW15" s="67"/>
      <c r="CX15" s="67"/>
      <c r="CY15" s="713">
        <f t="shared" si="10"/>
        <v>0</v>
      </c>
    </row>
    <row r="16" spans="2:103" ht="15.6" thickBot="1" x14ac:dyDescent="0.4">
      <c r="B16" s="22" t="s">
        <v>214</v>
      </c>
      <c r="C16" s="22"/>
      <c r="D16" s="122">
        <f>ROUND(('Inventory Sales'!H46),0)</f>
        <v>0</v>
      </c>
      <c r="E16" s="24">
        <f>'Inventory Sales'!J46</f>
        <v>0</v>
      </c>
      <c r="F16" s="25" t="e">
        <f>E16/D16</f>
        <v>#DIV/0!</v>
      </c>
      <c r="G16" s="22"/>
      <c r="H16" s="122">
        <f>'PAL I'!F12-SUM(H12:H15)</f>
        <v>98784</v>
      </c>
      <c r="I16" s="24">
        <f>'PAL I'!G12-SUM(I12:I15)</f>
        <v>28849605</v>
      </c>
      <c r="J16" s="25">
        <f>I16/H16</f>
        <v>292.04734572400389</v>
      </c>
      <c r="K16" s="56"/>
      <c r="L16" s="122">
        <f>'PAL I'!I12-SUM(L12:L15)</f>
        <v>0</v>
      </c>
      <c r="M16" s="24">
        <f>'PAL I'!J12-SUM(M12:M15)</f>
        <v>0</v>
      </c>
      <c r="N16" s="25" t="e">
        <f>M16/L16</f>
        <v>#DIV/0!</v>
      </c>
      <c r="O16" s="56"/>
      <c r="P16" s="122">
        <f>'PAL I'!L12-SUM(P12:P15)</f>
        <v>0</v>
      </c>
      <c r="Q16" s="24">
        <f>'PAL I'!M12-SUM(Q12:Q15)</f>
        <v>0</v>
      </c>
      <c r="R16" s="25" t="e">
        <f>Q16/P16</f>
        <v>#DIV/0!</v>
      </c>
      <c r="S16" s="56"/>
      <c r="T16" s="122">
        <f>'PAL I'!O12-SUM(T12:T15)</f>
        <v>0</v>
      </c>
      <c r="U16" s="1638">
        <f>'PAL I'!P12-SUM(U12:U15)</f>
        <v>0</v>
      </c>
      <c r="V16" s="25" t="e">
        <f>U16/T16</f>
        <v>#DIV/0!</v>
      </c>
      <c r="W16" s="56"/>
      <c r="X16" s="122">
        <f>'PAL I'!R12-SUM(X12:X15)</f>
        <v>0</v>
      </c>
      <c r="Y16" s="1638">
        <f>'PAL I'!S12-SUM(Y12:Y15)</f>
        <v>0</v>
      </c>
      <c r="Z16" s="25" t="e">
        <f>Y16/X16</f>
        <v>#DIV/0!</v>
      </c>
      <c r="AA16" s="22"/>
      <c r="AB16" s="122">
        <f>ROUND(('Inventory Sales'!T11),0)-AB15</f>
        <v>0</v>
      </c>
      <c r="AC16" s="26">
        <f>ROUND((AC17-(AC12+AC13+AC15)),0)</f>
        <v>0</v>
      </c>
      <c r="AD16" s="25" t="e">
        <f>AC16/AB16</f>
        <v>#DIV/0!</v>
      </c>
      <c r="AE16" s="56"/>
      <c r="AF16" s="122">
        <f>ROUND(('Inventory Sales'!W11),0)-AF15</f>
        <v>0</v>
      </c>
      <c r="AG16" s="26">
        <f>ROUND((AG17-(AG12+AG13+AG15)),0)</f>
        <v>0</v>
      </c>
      <c r="AH16" s="25" t="e">
        <f>AG16/AF16</f>
        <v>#DIV/0!</v>
      </c>
      <c r="AI16" s="56"/>
      <c r="AJ16" s="86">
        <f>ROUND(('Inventory Sales'!Z11),0)-AJ15</f>
        <v>0</v>
      </c>
      <c r="AK16" s="26">
        <f>(AK17-(SUM(AK12:AK15)))</f>
        <v>0</v>
      </c>
      <c r="AL16" s="25" t="e">
        <f>AK16/AJ16</f>
        <v>#DIV/0!</v>
      </c>
      <c r="AM16" s="56"/>
      <c r="AN16" s="86">
        <f>ROUND(('Inventory Sales'!AC11),0)-AN15</f>
        <v>0</v>
      </c>
      <c r="AO16" s="26">
        <f>(AO17-(SUM(AO12:AO15)))</f>
        <v>0</v>
      </c>
      <c r="AP16" s="25" t="e">
        <f>AO16/AN16</f>
        <v>#DIV/0!</v>
      </c>
      <c r="AQ16" s="56"/>
      <c r="AR16" s="86">
        <f>ROUND(('Inventory Sales'!AF11+'Inventory Sales'!AF20),0)-AR15</f>
        <v>0</v>
      </c>
      <c r="AS16" s="26">
        <f>(AS17-(SUM(AS12:AS15)))</f>
        <v>0</v>
      </c>
      <c r="AT16" s="25" t="e">
        <f>AS16/AR16</f>
        <v>#DIV/0!</v>
      </c>
      <c r="AU16" s="56"/>
      <c r="AV16" s="86">
        <f>ROUND(('Inventory Sales'!AI11+'Inventory Sales'!AI20),0)-AV15</f>
        <v>0</v>
      </c>
      <c r="AW16" s="26">
        <f>(AW17-(SUM(AW12:AW15)))</f>
        <v>0</v>
      </c>
      <c r="AX16" s="25" t="e">
        <f>AW16/AV16</f>
        <v>#DIV/0!</v>
      </c>
      <c r="AY16" s="56"/>
      <c r="AZ16" s="67">
        <f>SUM(D16,H16,L16,P16,T16,X16,AB16,AF16,AJ16,AN16,AR16,AV16)</f>
        <v>98784</v>
      </c>
      <c r="BA16" s="26">
        <f>ROUND((BA17-(BA12+BA13+BA15)),0)</f>
        <v>57095396</v>
      </c>
      <c r="BB16" s="25">
        <f t="shared" si="7"/>
        <v>577.98222384191774</v>
      </c>
      <c r="BC16" s="39">
        <f>BA25/AZ16</f>
        <v>41.328362892776155</v>
      </c>
      <c r="BD16" s="878">
        <f>' Qty Analysis'!AL63+' Qty Analysis'!AL94</f>
        <v>216154.53</v>
      </c>
      <c r="BE16" s="1048">
        <f>(AZ16+AZ15)-BD16</f>
        <v>-107994.53</v>
      </c>
      <c r="BF16" s="12" t="s">
        <v>534</v>
      </c>
      <c r="BG16" s="12">
        <f>ROUND((BA16/6),-3)</f>
        <v>9516000</v>
      </c>
      <c r="BI16" s="398" t="s">
        <v>219</v>
      </c>
      <c r="BJ16" s="395" t="e">
        <f>BJ8-#REF!</f>
        <v>#REF!</v>
      </c>
      <c r="BK16" s="395" t="e">
        <f>BK8-#REF!</f>
        <v>#REF!</v>
      </c>
      <c r="BL16" s="388" t="e">
        <f t="shared" si="14"/>
        <v>#REF!</v>
      </c>
      <c r="BN16" s="362" t="s">
        <v>328</v>
      </c>
      <c r="BO16" s="118">
        <v>4</v>
      </c>
      <c r="BP16" s="118">
        <f>ROUND((110440*117%),0)</f>
        <v>129215</v>
      </c>
      <c r="BQ16" s="529">
        <f>ROUND((BP16/BO16),0)</f>
        <v>32304</v>
      </c>
      <c r="BR16" s="8">
        <f>BP16/$BV$9</f>
        <v>1.8262391049640518</v>
      </c>
      <c r="BS16" s="669">
        <f t="shared" si="8"/>
        <v>4.5241541479086621E-2</v>
      </c>
      <c r="BT16"/>
      <c r="BU16"/>
      <c r="BV16"/>
      <c r="BY16" s="691" t="s">
        <v>341</v>
      </c>
      <c r="BZ16" s="689"/>
      <c r="CA16" s="687"/>
      <c r="CB16" s="690" t="e">
        <f t="shared" si="9"/>
        <v>#DIV/0!</v>
      </c>
      <c r="CC16" s="3323"/>
      <c r="CH16" s="67"/>
      <c r="CI16" s="67"/>
      <c r="CJ16" s="67"/>
      <c r="CK16" s="67"/>
      <c r="CL16" s="67"/>
      <c r="CM16" s="67"/>
      <c r="CP16" s="67"/>
      <c r="CQ16" s="67"/>
      <c r="CR16" s="714"/>
      <c r="CS16" s="67"/>
      <c r="CT16" s="67"/>
      <c r="CU16" s="67"/>
      <c r="CV16" s="714"/>
      <c r="CW16" s="67"/>
      <c r="CX16" s="67"/>
      <c r="CY16" s="713">
        <f t="shared" si="10"/>
        <v>0</v>
      </c>
    </row>
    <row r="17" spans="2:103" ht="15.6" thickBot="1" x14ac:dyDescent="0.4">
      <c r="B17" s="49" t="s">
        <v>215</v>
      </c>
      <c r="C17" s="49"/>
      <c r="D17" s="243">
        <f>SUM(D12:D16)</f>
        <v>15471</v>
      </c>
      <c r="E17" s="83">
        <f>'PAL I'!D12</f>
        <v>29853563</v>
      </c>
      <c r="F17" s="36">
        <f>E17/D17</f>
        <v>1929.6466291771701</v>
      </c>
      <c r="G17" s="49"/>
      <c r="H17" s="243">
        <f>SUM(H12:H16)</f>
        <v>119214</v>
      </c>
      <c r="I17" s="83">
        <f>'PAL I'!G12</f>
        <v>33636263</v>
      </c>
      <c r="J17" s="83">
        <f>I17/H17</f>
        <v>282.15027597429832</v>
      </c>
      <c r="K17" s="55"/>
      <c r="L17" s="243">
        <f>SUM(L12:L16)</f>
        <v>0</v>
      </c>
      <c r="M17" s="83">
        <f>'PAL I'!J12</f>
        <v>0</v>
      </c>
      <c r="N17" s="36" t="e">
        <f>M17/L17</f>
        <v>#DIV/0!</v>
      </c>
      <c r="O17" s="55"/>
      <c r="P17" s="147">
        <f>'PAL I'!L12</f>
        <v>0</v>
      </c>
      <c r="Q17" s="83">
        <f>'PAL I'!M12</f>
        <v>0</v>
      </c>
      <c r="R17" s="83" t="e">
        <f>Q17/P17</f>
        <v>#DIV/0!</v>
      </c>
      <c r="S17" s="55"/>
      <c r="T17" s="147">
        <f>'PAL I'!O12</f>
        <v>0</v>
      </c>
      <c r="U17" s="1639">
        <f>'PAL I'!P12</f>
        <v>0</v>
      </c>
      <c r="V17" s="36" t="e">
        <f>U17/T17</f>
        <v>#DIV/0!</v>
      </c>
      <c r="W17" s="55"/>
      <c r="X17" s="147">
        <f>'PAL I'!R12</f>
        <v>0</v>
      </c>
      <c r="Y17" s="83">
        <f>'PAL I'!S12</f>
        <v>0</v>
      </c>
      <c r="Z17" s="36" t="e">
        <f>Y17/X17</f>
        <v>#DIV/0!</v>
      </c>
      <c r="AA17" s="49"/>
      <c r="AB17" s="243">
        <f>'PAL I'!U12</f>
        <v>0</v>
      </c>
      <c r="AC17" s="83">
        <f>'PAL I'!V12</f>
        <v>0</v>
      </c>
      <c r="AD17" s="83" t="e">
        <f>AC17/AB17</f>
        <v>#DIV/0!</v>
      </c>
      <c r="AE17" s="55"/>
      <c r="AF17" s="147">
        <f>'PAL I'!X12</f>
        <v>0</v>
      </c>
      <c r="AG17" s="83">
        <f>'PAL I'!Y12</f>
        <v>0</v>
      </c>
      <c r="AH17" s="83" t="e">
        <f>AG17/AF17</f>
        <v>#DIV/0!</v>
      </c>
      <c r="AI17" s="49"/>
      <c r="AJ17" s="243">
        <f>'PAL I'!AA12</f>
        <v>0</v>
      </c>
      <c r="AK17" s="83">
        <f>'PAL I'!AB12</f>
        <v>0</v>
      </c>
      <c r="AL17" s="83" t="e">
        <f>AK17/AJ17</f>
        <v>#DIV/0!</v>
      </c>
      <c r="AM17" s="55"/>
      <c r="AN17" s="147">
        <f>'PAL I'!AD12</f>
        <v>0</v>
      </c>
      <c r="AO17" s="83">
        <f>'PAL I'!AE12</f>
        <v>0</v>
      </c>
      <c r="AP17" s="83" t="e">
        <f>AO17/AN17</f>
        <v>#DIV/0!</v>
      </c>
      <c r="AQ17" s="55"/>
      <c r="AR17" s="147">
        <f>'PAL I'!AG12</f>
        <v>0</v>
      </c>
      <c r="AS17" s="83">
        <f>'PAL I'!AH12</f>
        <v>0</v>
      </c>
      <c r="AT17" s="36" t="e">
        <f>AS17/AR17</f>
        <v>#DIV/0!</v>
      </c>
      <c r="AU17" s="55"/>
      <c r="AV17" s="147">
        <f>'PAL I'!AJ12</f>
        <v>0</v>
      </c>
      <c r="AW17" s="355">
        <f>'PAL I'!AK12</f>
        <v>0</v>
      </c>
      <c r="AX17" s="36" t="e">
        <f>AW17/AV17</f>
        <v>#DIV/0!</v>
      </c>
      <c r="AY17" s="55"/>
      <c r="AZ17" s="243">
        <f>SUM(AZ12:AZ16)</f>
        <v>134685</v>
      </c>
      <c r="BA17" s="83">
        <f>'PAL I'!AN12</f>
        <v>63489826</v>
      </c>
      <c r="BB17" s="36">
        <f>BA17/AZ17</f>
        <v>471.39492890819321</v>
      </c>
      <c r="BD17" s="871">
        <f>SUM(BD12:BD16)</f>
        <v>482180.23</v>
      </c>
      <c r="BE17" s="1047">
        <f>AZ17-BD17</f>
        <v>-347495.23</v>
      </c>
      <c r="BF17" s="72">
        <f>BA17/6</f>
        <v>10581637.666666666</v>
      </c>
      <c r="BI17" s="17" t="s">
        <v>245</v>
      </c>
      <c r="BJ17" s="394"/>
      <c r="BK17" s="394"/>
      <c r="BL17" s="387">
        <f t="shared" si="14"/>
        <v>0</v>
      </c>
      <c r="BN17" s="673" t="s">
        <v>261</v>
      </c>
      <c r="BO17" s="328">
        <f>SUM(BO12:BO16)</f>
        <v>21</v>
      </c>
      <c r="BP17" s="328">
        <f>SUM(BP12:BP16)</f>
        <v>455610</v>
      </c>
      <c r="BQ17" s="199"/>
      <c r="BR17" s="674">
        <f>SUM(BR12:BR16)</f>
        <v>6.4392895454294914</v>
      </c>
      <c r="BS17" s="675">
        <f t="shared" si="8"/>
        <v>0.15952094349175139</v>
      </c>
      <c r="BT17"/>
      <c r="BU17"/>
      <c r="BV17"/>
      <c r="BY17" s="691" t="s">
        <v>338</v>
      </c>
      <c r="BZ17" s="689"/>
      <c r="CA17" s="687"/>
      <c r="CB17" s="690" t="e">
        <f t="shared" si="9"/>
        <v>#DIV/0!</v>
      </c>
      <c r="CC17" s="3323"/>
      <c r="CG17" s="51"/>
      <c r="CH17" s="714"/>
      <c r="CI17" s="714"/>
      <c r="CJ17" s="714"/>
      <c r="CK17" s="714"/>
      <c r="CL17" s="714"/>
      <c r="CM17" s="714"/>
      <c r="CO17" s="51"/>
      <c r="CP17" s="714"/>
      <c r="CQ17" s="714"/>
      <c r="CR17" s="714"/>
      <c r="CS17" s="714"/>
      <c r="CT17" s="714"/>
      <c r="CU17" s="714"/>
      <c r="CV17" s="714"/>
      <c r="CW17" s="714"/>
      <c r="CX17" s="67">
        <f>SUM(CX4:CX16)</f>
        <v>0</v>
      </c>
      <c r="CY17" s="713">
        <f>SUM(CY4:CY16)</f>
        <v>0</v>
      </c>
    </row>
    <row r="18" spans="2:103" ht="15.6" thickBot="1" x14ac:dyDescent="0.4">
      <c r="B18" s="13"/>
      <c r="C18" s="13"/>
      <c r="D18" s="607">
        <f>D11-D17</f>
        <v>86428</v>
      </c>
      <c r="E18" s="81">
        <f>E17-E11</f>
        <v>13574227</v>
      </c>
      <c r="F18" s="16"/>
      <c r="G18" s="13"/>
      <c r="H18" s="607">
        <f>H11-H17</f>
        <v>-36603</v>
      </c>
      <c r="I18" s="81">
        <f>I17-I11</f>
        <v>20951393</v>
      </c>
      <c r="J18" s="89"/>
      <c r="K18" s="639"/>
      <c r="L18" s="607">
        <f>L11-L17</f>
        <v>92299</v>
      </c>
      <c r="M18" s="81">
        <f>M17-M11</f>
        <v>-14351528</v>
      </c>
      <c r="N18" s="274"/>
      <c r="O18" s="639"/>
      <c r="P18" s="607">
        <f>P11-P17</f>
        <v>0</v>
      </c>
      <c r="Q18" s="81">
        <f>Q17-Q11</f>
        <v>0</v>
      </c>
      <c r="R18" s="357"/>
      <c r="S18" s="639"/>
      <c r="T18" s="607">
        <f>T11-T17</f>
        <v>0</v>
      </c>
      <c r="U18" s="557">
        <f>U17-U11</f>
        <v>0</v>
      </c>
      <c r="V18" s="44"/>
      <c r="W18" s="639"/>
      <c r="X18" s="607">
        <f>X11-X17</f>
        <v>0</v>
      </c>
      <c r="Y18" s="81">
        <f>Y17-Y11</f>
        <v>0</v>
      </c>
      <c r="Z18" s="44"/>
      <c r="AA18" s="13"/>
      <c r="AB18" s="605">
        <f>AB11-AB17</f>
        <v>0</v>
      </c>
      <c r="AC18" s="81">
        <f>AC17-AC11</f>
        <v>0</v>
      </c>
      <c r="AD18" s="89"/>
      <c r="AE18" s="639"/>
      <c r="AF18" s="607">
        <f>AF11-AF17</f>
        <v>0</v>
      </c>
      <c r="AG18" s="81">
        <f>AG17-AG11</f>
        <v>0</v>
      </c>
      <c r="AH18" s="357"/>
      <c r="AI18" s="639"/>
      <c r="AJ18" s="607">
        <f>AJ11-AJ17</f>
        <v>0</v>
      </c>
      <c r="AK18" s="81">
        <f>AK17-AK11</f>
        <v>0</v>
      </c>
      <c r="AL18" s="89"/>
      <c r="AM18" s="639"/>
      <c r="AN18" s="607">
        <f>AN11-AN17</f>
        <v>0</v>
      </c>
      <c r="AO18" s="81">
        <f>AO17-AO11</f>
        <v>0</v>
      </c>
      <c r="AP18" s="274"/>
      <c r="AQ18" s="639"/>
      <c r="AR18" s="607">
        <f>AR11-AR17</f>
        <v>0</v>
      </c>
      <c r="AS18" s="81">
        <f>AS17-AS11</f>
        <v>0</v>
      </c>
      <c r="AT18" s="274"/>
      <c r="AU18" s="639"/>
      <c r="AV18" s="607">
        <f>AV11-AV17</f>
        <v>0</v>
      </c>
      <c r="AW18" s="81">
        <f>AW17-AW11</f>
        <v>0</v>
      </c>
      <c r="AX18" s="521"/>
      <c r="AY18" s="643"/>
      <c r="AZ18" s="88">
        <f>AZ11-AZ17</f>
        <v>142124</v>
      </c>
      <c r="BA18" s="81">
        <f>BA17-BA11</f>
        <v>20174092</v>
      </c>
      <c r="BB18" s="274"/>
      <c r="BD18" s="871">
        <f>BD11-BD17</f>
        <v>-37015.229999999981</v>
      </c>
      <c r="BE18" s="1047">
        <f>AZ18-BD18</f>
        <v>179139.22999999998</v>
      </c>
      <c r="BF18" s="39">
        <f>BE16-BF11</f>
        <v>-108395.00830991124</v>
      </c>
      <c r="BG18" s="39">
        <f>BA18-BA19</f>
        <v>20174092</v>
      </c>
      <c r="BI18" s="22" t="s">
        <v>47</v>
      </c>
      <c r="BJ18" s="392"/>
      <c r="BK18" s="392"/>
      <c r="BL18" s="385">
        <f t="shared" si="14"/>
        <v>0</v>
      </c>
      <c r="BN18" s="673" t="s">
        <v>322</v>
      </c>
      <c r="BO18" s="328">
        <f>23+11+3+5</f>
        <v>42</v>
      </c>
      <c r="BP18" s="328">
        <f>ROUND((553915*117%),0)</f>
        <v>648081</v>
      </c>
      <c r="BQ18" s="199">
        <f t="shared" ref="BQ18:BQ23" si="22">ROUND((BP18/BO18),0)</f>
        <v>15431</v>
      </c>
      <c r="BR18" s="674">
        <f>BP18/BV9</f>
        <v>9.1595469982912796</v>
      </c>
      <c r="BS18" s="675">
        <f t="shared" si="8"/>
        <v>0.2269100603127186</v>
      </c>
      <c r="BT18"/>
      <c r="BU18"/>
      <c r="BV18"/>
      <c r="BY18" s="691" t="s">
        <v>272</v>
      </c>
      <c r="BZ18" s="689"/>
      <c r="CA18" s="687"/>
      <c r="CB18" s="690" t="e">
        <f t="shared" si="9"/>
        <v>#DIV/0!</v>
      </c>
      <c r="CC18" s="3323"/>
    </row>
    <row r="19" spans="2:103" ht="15.6" thickBot="1" x14ac:dyDescent="0.4">
      <c r="B19" s="17" t="s">
        <v>51</v>
      </c>
      <c r="C19" s="17"/>
      <c r="D19" s="608">
        <f>ROUND(('Stock Valuation (FIFO)'!E27),0)</f>
        <v>9193</v>
      </c>
      <c r="E19" s="102">
        <f>'Stock Valuation (FIFO)'!G27</f>
        <v>-3374117</v>
      </c>
      <c r="F19" s="151">
        <f>E19/D19</f>
        <v>-367.03111062765146</v>
      </c>
      <c r="G19" s="17"/>
      <c r="H19" s="608">
        <f>'Stock Valuation (FIFO)'!H27</f>
        <v>40456</v>
      </c>
      <c r="I19" s="21">
        <f>'Stock Valuation (FIFO)'!J27</f>
        <v>3018288</v>
      </c>
      <c r="J19" s="93"/>
      <c r="K19" s="641"/>
      <c r="L19" s="109">
        <f>'Stock Valuation (FIFO)'!K27</f>
        <v>254369</v>
      </c>
      <c r="M19" s="102">
        <f>'Stock Valuation (FIFO)'!M27</f>
        <v>65441568</v>
      </c>
      <c r="N19" s="237"/>
      <c r="O19" s="641"/>
      <c r="P19" s="109">
        <f>'Stock Valuation (FIFO)'!N27</f>
        <v>0</v>
      </c>
      <c r="Q19" s="892">
        <f>'Stock Valuation (FIFO)'!P27</f>
        <v>0</v>
      </c>
      <c r="R19" s="353"/>
      <c r="S19" s="641"/>
      <c r="T19" s="109">
        <f>'Stock Valuation (FIFO)'!Q27</f>
        <v>0</v>
      </c>
      <c r="U19" s="102">
        <f>'Stock Valuation (FIFO)'!S27</f>
        <v>0</v>
      </c>
      <c r="V19" s="70" t="e">
        <f>U19/T19</f>
        <v>#DIV/0!</v>
      </c>
      <c r="W19" s="641"/>
      <c r="X19" s="109">
        <f>'Stock Valuation (FIFO)'!T27</f>
        <v>0</v>
      </c>
      <c r="Y19" s="356">
        <f>'Stock Valuation (FIFO)'!V27</f>
        <v>0</v>
      </c>
      <c r="Z19" s="70"/>
      <c r="AA19" s="17"/>
      <c r="AB19" s="608">
        <f>'Stock Valuation (FIFO)'!W27</f>
        <v>0</v>
      </c>
      <c r="AC19" s="892">
        <f>'Stock Valuation (FIFO)'!Y27</f>
        <v>0</v>
      </c>
      <c r="AD19" s="93"/>
      <c r="AE19" s="641"/>
      <c r="AF19" s="608">
        <f>'Stock Valuation (FIFO)'!Z27</f>
        <v>0</v>
      </c>
      <c r="AG19" s="102">
        <f>'Stock Valuation (FIFO)'!AB27</f>
        <v>0</v>
      </c>
      <c r="AH19" s="353"/>
      <c r="AI19" s="641"/>
      <c r="AJ19" s="109">
        <f>'Stock Valuation (FIFO)'!AC27</f>
        <v>0</v>
      </c>
      <c r="AK19" s="102">
        <f>'Stock Valuation (FIFO)'!AE27</f>
        <v>0</v>
      </c>
      <c r="AL19" s="93"/>
      <c r="AM19" s="641"/>
      <c r="AN19" s="109">
        <f>'Stock Valuation (FIFO)'!AF27</f>
        <v>0</v>
      </c>
      <c r="AO19" s="102">
        <f>'Stock Valuation (FIFO)'!AH27</f>
        <v>0</v>
      </c>
      <c r="AP19" s="237"/>
      <c r="AQ19" s="641"/>
      <c r="AR19" s="109">
        <f>ROUND(('Stock Valuation (FIFO)'!AI27),0)</f>
        <v>0</v>
      </c>
      <c r="AS19" s="21">
        <f>'Stock Valuation (FIFO)'!AK27</f>
        <v>0</v>
      </c>
      <c r="AT19" s="237"/>
      <c r="AU19" s="641"/>
      <c r="AV19" s="109">
        <f>'Stock Valuation (FIFO)'!AL27</f>
        <v>0</v>
      </c>
      <c r="AW19" s="353">
        <f>'Stock Valuation (FIFO)'!AN27</f>
        <v>0</v>
      </c>
      <c r="AX19" s="20"/>
      <c r="AY19" s="919">
        <f>BA19/BA$17</f>
        <v>0</v>
      </c>
      <c r="AZ19" s="1676">
        <f>'Stock Valuation (FIFO)'!AC30</f>
        <v>0</v>
      </c>
      <c r="BA19" s="1677">
        <f>'Stock Valuation (FIFO)'!AE30</f>
        <v>0</v>
      </c>
      <c r="BB19" s="326">
        <f>BA19/AZ17</f>
        <v>0</v>
      </c>
      <c r="BC19" s="920">
        <f>BA19/BA17</f>
        <v>0</v>
      </c>
      <c r="BF19" s="39"/>
      <c r="BG19" s="39"/>
      <c r="BI19" s="73"/>
      <c r="BJ19" s="550"/>
      <c r="BK19" s="550"/>
      <c r="BL19" s="551"/>
      <c r="BN19" s="155" t="s">
        <v>329</v>
      </c>
      <c r="BO19" s="5">
        <f>5+3+5</f>
        <v>13</v>
      </c>
      <c r="BP19" s="5">
        <f>ROUND(((266200+81000)*109%),0)</f>
        <v>378448</v>
      </c>
      <c r="BQ19" s="197">
        <f t="shared" si="22"/>
        <v>29111</v>
      </c>
      <c r="BR19" s="8" t="e">
        <f>BP19/#REF!</f>
        <v>#REF!</v>
      </c>
      <c r="BS19" s="669">
        <f t="shared" si="8"/>
        <v>0.13250451487580678</v>
      </c>
      <c r="BT19"/>
      <c r="BU19"/>
      <c r="BV19"/>
      <c r="BY19" s="691" t="s">
        <v>345</v>
      </c>
      <c r="BZ19" s="689"/>
      <c r="CA19" s="687"/>
      <c r="CB19" s="690" t="e">
        <f t="shared" si="9"/>
        <v>#DIV/0!</v>
      </c>
      <c r="CC19" s="3323"/>
    </row>
    <row r="20" spans="2:103" ht="15.6" thickBot="1" x14ac:dyDescent="0.4">
      <c r="B20" s="17"/>
      <c r="C20" s="17"/>
      <c r="D20" s="609">
        <f>D24/D11</f>
        <v>0.93838997438640226</v>
      </c>
      <c r="E20" s="21"/>
      <c r="F20" s="20"/>
      <c r="G20" s="17"/>
      <c r="H20" s="609">
        <f>H24/H11</f>
        <v>4.6640277929089348E-2</v>
      </c>
      <c r="I20" s="21"/>
      <c r="J20" s="21"/>
      <c r="K20" s="641"/>
      <c r="L20" s="242"/>
      <c r="M20" s="241"/>
      <c r="N20" s="239"/>
      <c r="O20" s="641"/>
      <c r="P20" s="242"/>
      <c r="Q20" s="21"/>
      <c r="R20" s="356"/>
      <c r="S20" s="641"/>
      <c r="T20" s="242"/>
      <c r="U20" s="21"/>
      <c r="V20" s="20"/>
      <c r="W20" s="641"/>
      <c r="X20" s="242"/>
      <c r="Y20" s="21"/>
      <c r="Z20" s="20"/>
      <c r="AA20" s="17"/>
      <c r="AB20" s="614"/>
      <c r="AC20" s="21"/>
      <c r="AD20" s="21"/>
      <c r="AE20" s="641"/>
      <c r="AF20" s="242"/>
      <c r="AG20" s="21"/>
      <c r="AH20" s="239"/>
      <c r="AI20" s="641"/>
      <c r="AJ20" s="169"/>
      <c r="AK20" s="21"/>
      <c r="AL20" s="20"/>
      <c r="AM20" s="641"/>
      <c r="AN20" s="169"/>
      <c r="AO20" s="21"/>
      <c r="AP20" s="239" t="s">
        <v>271</v>
      </c>
      <c r="AQ20" s="641"/>
      <c r="AR20" s="169"/>
      <c r="AS20" s="21"/>
      <c r="AT20" s="239"/>
      <c r="AU20" s="641"/>
      <c r="AV20" s="169"/>
      <c r="AW20" s="356"/>
      <c r="AX20" s="20"/>
      <c r="AY20" s="639"/>
      <c r="AZ20" s="596">
        <f>AZ24/AZ11</f>
        <v>0.51343706310127202</v>
      </c>
      <c r="BA20" s="21"/>
      <c r="BB20" s="20"/>
      <c r="BC20" s="907">
        <f>BC11+BC19</f>
        <v>0.68224685322023093</v>
      </c>
      <c r="BD20" s="872"/>
      <c r="BE20" s="988"/>
      <c r="BF20" s="1412"/>
      <c r="BG20" s="39"/>
      <c r="BI20" s="73"/>
      <c r="BJ20" s="550"/>
      <c r="BK20" s="550"/>
      <c r="BL20" s="551"/>
      <c r="BN20" s="155" t="s">
        <v>330</v>
      </c>
      <c r="BO20" s="5">
        <v>12</v>
      </c>
      <c r="BP20" s="5">
        <f>ROUND((274360*117%),0)</f>
        <v>321001</v>
      </c>
      <c r="BQ20" s="197">
        <f t="shared" si="22"/>
        <v>26750</v>
      </c>
      <c r="BR20" s="8" t="e">
        <f>BP20/#REF!</f>
        <v>#REF!</v>
      </c>
      <c r="BS20" s="669">
        <f t="shared" si="8"/>
        <v>0.11239082193497879</v>
      </c>
      <c r="BT20"/>
      <c r="BU20"/>
      <c r="BV20"/>
      <c r="BY20" s="693" t="s">
        <v>234</v>
      </c>
      <c r="BZ20" s="694"/>
      <c r="CA20" s="695"/>
      <c r="CB20" s="696" t="e">
        <f t="shared" si="9"/>
        <v>#DIV/0!</v>
      </c>
      <c r="CC20" s="3324"/>
      <c r="CD20" s="686" t="e">
        <f>(SUM(CA6:CA20))/CA21</f>
        <v>#DIV/0!</v>
      </c>
      <c r="CE20" s="39" t="e">
        <f>SUM(CA6:CA20)/#REF!</f>
        <v>#REF!</v>
      </c>
    </row>
    <row r="21" spans="2:103" ht="15" thickBot="1" x14ac:dyDescent="0.35">
      <c r="B21" s="69" t="s">
        <v>277</v>
      </c>
      <c r="C21" s="69"/>
      <c r="D21" s="610"/>
      <c r="E21" s="93"/>
      <c r="F21" s="70"/>
      <c r="G21" s="69"/>
      <c r="H21" s="610"/>
      <c r="I21" s="93"/>
      <c r="J21" s="93"/>
      <c r="K21" s="640"/>
      <c r="L21" s="548"/>
      <c r="M21" s="547"/>
      <c r="N21" s="237"/>
      <c r="O21" s="640"/>
      <c r="P21" s="548"/>
      <c r="Q21" s="93"/>
      <c r="R21" s="353"/>
      <c r="S21" s="640"/>
      <c r="T21" s="548"/>
      <c r="U21" s="93"/>
      <c r="V21" s="70"/>
      <c r="W21" s="640"/>
      <c r="X21" s="548"/>
      <c r="Y21" s="93"/>
      <c r="Z21" s="70"/>
      <c r="AA21" s="69"/>
      <c r="AB21" s="615"/>
      <c r="AC21" s="93"/>
      <c r="AD21" s="93"/>
      <c r="AE21" s="640"/>
      <c r="AF21" s="548"/>
      <c r="AG21" s="93"/>
      <c r="AH21" s="237"/>
      <c r="AI21" s="640"/>
      <c r="AJ21" s="549"/>
      <c r="AK21" s="93"/>
      <c r="AL21" s="70"/>
      <c r="AM21" s="640"/>
      <c r="AN21" s="549"/>
      <c r="AO21" s="93"/>
      <c r="AP21" s="237"/>
      <c r="AQ21" s="640"/>
      <c r="AR21" s="549"/>
      <c r="AS21" s="93"/>
      <c r="AT21" s="237"/>
      <c r="AU21" s="640"/>
      <c r="AV21" s="549"/>
      <c r="AW21" s="353"/>
      <c r="AX21" s="70"/>
      <c r="AY21" s="640"/>
      <c r="AZ21" s="609"/>
      <c r="BA21" s="93"/>
      <c r="BB21" s="70"/>
      <c r="BD21" s="872"/>
      <c r="BE21" s="988"/>
      <c r="BI21" s="11"/>
      <c r="BJ21" s="393">
        <f>SUM(BJ17:BJ18)</f>
        <v>0</v>
      </c>
      <c r="BK21" s="393">
        <f>SUM(BK17:BK18)</f>
        <v>0</v>
      </c>
      <c r="BL21" s="386">
        <f t="shared" si="14"/>
        <v>0</v>
      </c>
      <c r="BN21" s="155" t="s">
        <v>331</v>
      </c>
      <c r="BO21" s="5">
        <v>4</v>
      </c>
      <c r="BP21" s="5">
        <f>ROUND((84000*117%),0)</f>
        <v>98280</v>
      </c>
      <c r="BQ21" s="197">
        <f t="shared" si="22"/>
        <v>24570</v>
      </c>
      <c r="BR21" s="8">
        <f>BP21/$BV$6</f>
        <v>1.4497321457107666</v>
      </c>
      <c r="BS21" s="669">
        <f t="shared" si="8"/>
        <v>3.4410391181864591E-2</v>
      </c>
      <c r="BT21"/>
      <c r="BU21"/>
      <c r="BV21"/>
      <c r="BY21" s="643"/>
      <c r="BZ21" s="697">
        <f>SUM(BZ5:BZ20)</f>
        <v>0</v>
      </c>
      <c r="CA21" s="698">
        <f>SUM(CA5:CA20)</f>
        <v>0</v>
      </c>
      <c r="CB21" s="699" t="e">
        <f>CA21/CA23</f>
        <v>#DIV/0!</v>
      </c>
      <c r="CE21" s="39" t="e">
        <f>CA21/#REF!</f>
        <v>#REF!</v>
      </c>
    </row>
    <row r="22" spans="2:103" ht="15.6" thickBot="1" x14ac:dyDescent="0.4">
      <c r="B22" s="69" t="s">
        <v>64</v>
      </c>
      <c r="C22" s="69"/>
      <c r="D22" s="886">
        <f>'Inventory Sales'!B21</f>
        <v>2174</v>
      </c>
      <c r="E22" s="93">
        <f>'PAL I'!D15</f>
        <v>21740</v>
      </c>
      <c r="F22" s="70"/>
      <c r="G22" s="69"/>
      <c r="H22" s="886">
        <f>'Inventory Sales'!E21</f>
        <v>7460</v>
      </c>
      <c r="I22" s="93">
        <f>'PAL I'!G15</f>
        <v>74600</v>
      </c>
      <c r="J22" s="93"/>
      <c r="K22" s="640"/>
      <c r="L22" s="886">
        <f>'Inventory Sales'!H21</f>
        <v>0</v>
      </c>
      <c r="M22" s="547">
        <f>'PAL I'!J15</f>
        <v>0</v>
      </c>
      <c r="N22" s="237"/>
      <c r="O22" s="640"/>
      <c r="P22" s="891">
        <f>'Inventory Sales'!K21</f>
        <v>0</v>
      </c>
      <c r="Q22" s="93">
        <f>'PAL I'!M15</f>
        <v>0</v>
      </c>
      <c r="R22" s="353"/>
      <c r="S22" s="640"/>
      <c r="T22" s="891">
        <f>'Inventory Sales'!N21</f>
        <v>0</v>
      </c>
      <c r="U22" s="93">
        <f>'Inventory Sales'!P21</f>
        <v>0</v>
      </c>
      <c r="V22" s="70"/>
      <c r="W22" s="640"/>
      <c r="X22" s="891">
        <f>'Inventory Sales'!Q21</f>
        <v>0</v>
      </c>
      <c r="Y22" s="93">
        <f>'Inventory Sales'!S21</f>
        <v>0</v>
      </c>
      <c r="Z22" s="70"/>
      <c r="AA22" s="69"/>
      <c r="AB22" s="615">
        <f>'Inventory Sales'!T21</f>
        <v>0</v>
      </c>
      <c r="AC22" s="93">
        <f>'Inventory Sales'!V21</f>
        <v>0</v>
      </c>
      <c r="AD22" s="93"/>
      <c r="AE22" s="640"/>
      <c r="AF22" s="923">
        <f>'Inventory Sales'!W21</f>
        <v>0</v>
      </c>
      <c r="AG22" s="93">
        <f>'Inventory Sales'!Y21</f>
        <v>0</v>
      </c>
      <c r="AH22" s="237"/>
      <c r="AI22" s="640"/>
      <c r="AJ22" s="549">
        <f>'Inventory Sales'!Z21</f>
        <v>0</v>
      </c>
      <c r="AK22" s="93">
        <f>'Inventory Sales'!AB21</f>
        <v>0</v>
      </c>
      <c r="AL22" s="70"/>
      <c r="AM22" s="640"/>
      <c r="AN22" s="549">
        <f>'Inventory Sales'!AC21</f>
        <v>0</v>
      </c>
      <c r="AO22" s="93">
        <f>'Inventory Sales'!AE21</f>
        <v>0</v>
      </c>
      <c r="AP22" s="237"/>
      <c r="AQ22" s="640"/>
      <c r="AR22" s="549">
        <f>'PAL I'!AG15</f>
        <v>0</v>
      </c>
      <c r="AS22" s="93">
        <f>'PAL I'!AH15</f>
        <v>0</v>
      </c>
      <c r="AT22" s="237"/>
      <c r="AU22" s="640"/>
      <c r="AV22" s="549">
        <f>'Inventory Sales'!AI21</f>
        <v>0</v>
      </c>
      <c r="AW22" s="353">
        <f>'Inventory Sales'!AK21</f>
        <v>0</v>
      </c>
      <c r="AX22" s="70"/>
      <c r="AY22" s="640"/>
      <c r="AZ22" s="67">
        <f>SUM(D22,H22,L22,P22,T22,X22,AB22,AF22,AJ22,AN22,AR22,AV22)</f>
        <v>9634</v>
      </c>
      <c r="BA22" s="19">
        <f>ROUND((SUM(E22,I22,M22,Q22,U22,Y22,AC22,AG22,AK22,AO22,AS22,AW22)),0)</f>
        <v>96340</v>
      </c>
      <c r="BB22" s="70"/>
      <c r="BD22" s="871">
        <f>' Qty Analysis'!AL131</f>
        <v>26232.5</v>
      </c>
      <c r="BE22" s="988"/>
      <c r="BI22" s="13" t="s">
        <v>253</v>
      </c>
      <c r="BJ22" s="391" t="e">
        <f>BJ16-BJ21</f>
        <v>#REF!</v>
      </c>
      <c r="BK22" s="391" t="e">
        <f>BK16-BK21</f>
        <v>#REF!</v>
      </c>
      <c r="BL22" s="384" t="e">
        <f t="shared" si="14"/>
        <v>#REF!</v>
      </c>
      <c r="BN22" s="155" t="s">
        <v>332</v>
      </c>
      <c r="BO22" s="5">
        <v>5</v>
      </c>
      <c r="BP22" s="5">
        <f>ROUND((71650*117%),0)</f>
        <v>83831</v>
      </c>
      <c r="BQ22" s="197">
        <f t="shared" si="22"/>
        <v>16766</v>
      </c>
      <c r="BR22" s="8">
        <f>BP22/BV9</f>
        <v>1.1848117510214871</v>
      </c>
      <c r="BS22" s="669">
        <f t="shared" si="8"/>
        <v>2.9351419446142557E-2</v>
      </c>
      <c r="BT22"/>
      <c r="BU22"/>
      <c r="BV22"/>
      <c r="BY22" s="704" t="s">
        <v>346</v>
      </c>
      <c r="BZ22" s="705"/>
      <c r="CA22" s="706">
        <f>ROUND((BZ22/$CC$1),0)</f>
        <v>0</v>
      </c>
      <c r="CB22" s="707" t="e">
        <f>CA22/$CA$23</f>
        <v>#DIV/0!</v>
      </c>
      <c r="CE22" s="39" t="e">
        <f>CA22/#REF!</f>
        <v>#REF!</v>
      </c>
    </row>
    <row r="23" spans="2:103" ht="15" thickBot="1" x14ac:dyDescent="0.35">
      <c r="B23" s="22" t="s">
        <v>35</v>
      </c>
      <c r="C23" s="22"/>
      <c r="D23" s="122"/>
      <c r="E23" s="26">
        <f>'PAL I'!D17</f>
        <v>65</v>
      </c>
      <c r="F23" s="25" t="e">
        <f>E23/D16</f>
        <v>#DIV/0!</v>
      </c>
      <c r="G23" s="22"/>
      <c r="H23" s="122"/>
      <c r="I23" s="26">
        <f>'PAL I'!G17</f>
        <v>0</v>
      </c>
      <c r="J23" s="353">
        <f>IF(I23=0,0,I23/H$16)</f>
        <v>0</v>
      </c>
      <c r="K23" s="56"/>
      <c r="L23" s="86"/>
      <c r="M23" s="26">
        <f>'PAL I'!J17</f>
        <v>0</v>
      </c>
      <c r="N23" s="70">
        <f>IF(M23=0,0,M23/L$16)</f>
        <v>0</v>
      </c>
      <c r="O23" s="56"/>
      <c r="P23" s="86"/>
      <c r="Q23" s="26">
        <f>'PAL I'!M17</f>
        <v>0</v>
      </c>
      <c r="R23" s="93">
        <f>IF(Q23=0,0,Q23/P$16)</f>
        <v>0</v>
      </c>
      <c r="S23" s="56"/>
      <c r="T23" s="86"/>
      <c r="U23" s="26">
        <f>'PAL I'!P17</f>
        <v>0</v>
      </c>
      <c r="V23" s="70">
        <f>IF(U23=0,0,U23/T$16)</f>
        <v>0</v>
      </c>
      <c r="W23" s="56"/>
      <c r="X23" s="86"/>
      <c r="Y23" s="26">
        <f>'PAL I'!S17</f>
        <v>0</v>
      </c>
      <c r="Z23" s="70">
        <f>IF(Y23=0,0,Y23/X$16)</f>
        <v>0</v>
      </c>
      <c r="AA23" s="22"/>
      <c r="AB23" s="122"/>
      <c r="AC23" s="26">
        <f>'PAL I'!V17</f>
        <v>0</v>
      </c>
      <c r="AD23" s="93">
        <f>IF(AC23=0,0,AC23/AB$16)</f>
        <v>0</v>
      </c>
      <c r="AE23" s="56"/>
      <c r="AF23" s="86"/>
      <c r="AG23" s="26">
        <f>'PAL I'!Y17</f>
        <v>0</v>
      </c>
      <c r="AH23" s="93">
        <f>IF(AG23=0,0,AG23/AF$16)</f>
        <v>0</v>
      </c>
      <c r="AI23" s="56"/>
      <c r="AJ23" s="86"/>
      <c r="AK23" s="26">
        <f>'PAL I'!AB17</f>
        <v>0</v>
      </c>
      <c r="AL23" s="70"/>
      <c r="AM23" s="56"/>
      <c r="AN23" s="86"/>
      <c r="AO23" s="26">
        <f>'PAL I'!AE17</f>
        <v>0</v>
      </c>
      <c r="AP23" s="70"/>
      <c r="AQ23" s="56"/>
      <c r="AR23" s="86"/>
      <c r="AS23" s="26">
        <f>'PAL I'!AH17</f>
        <v>0</v>
      </c>
      <c r="AT23" s="70"/>
      <c r="AU23" s="56"/>
      <c r="AV23" s="86"/>
      <c r="AW23" s="93">
        <f>'PAL I'!AK17</f>
        <v>0</v>
      </c>
      <c r="AX23" s="25" t="e">
        <f>AW23/AV16</f>
        <v>#DIV/0!</v>
      </c>
      <c r="AY23" s="56"/>
      <c r="AZ23" s="86"/>
      <c r="BA23" s="95">
        <f>ROUND((SUM(E23,I23,M23,Q23,U23,Y23,AC23,AG23,AK23,AO23,AS23,AW23)),0)</f>
        <v>65</v>
      </c>
      <c r="BB23" s="70">
        <f>IF(BA23=0,0,BA23/$AZ$16)</f>
        <v>6.5800129575639774E-4</v>
      </c>
      <c r="BD23" s="872"/>
      <c r="BE23" s="872"/>
      <c r="BI23" s="22" t="s">
        <v>249</v>
      </c>
      <c r="BJ23" s="392"/>
      <c r="BK23" s="392"/>
      <c r="BL23" s="385">
        <f t="shared" si="14"/>
        <v>0</v>
      </c>
      <c r="BN23" s="362" t="s">
        <v>333</v>
      </c>
      <c r="BO23" s="118">
        <v>6</v>
      </c>
      <c r="BP23" s="118">
        <f>ROUND((120950*117%),0)</f>
        <v>141512</v>
      </c>
      <c r="BQ23" s="529">
        <f t="shared" si="22"/>
        <v>23585</v>
      </c>
      <c r="BR23" s="523" t="e">
        <f>BP23/#REF!</f>
        <v>#REF!</v>
      </c>
      <c r="BS23" s="669">
        <f t="shared" si="8"/>
        <v>4.954704188978451E-2</v>
      </c>
      <c r="BT23"/>
      <c r="BU23"/>
      <c r="BV23"/>
      <c r="BY23" s="700"/>
      <c r="BZ23" s="701">
        <f>SUM(BZ21:BZ22)</f>
        <v>0</v>
      </c>
      <c r="CA23" s="702">
        <f>SUM(CA21:CA22)</f>
        <v>0</v>
      </c>
      <c r="CB23" s="703" t="e">
        <f>SUM(CB21:CB22)</f>
        <v>#DIV/0!</v>
      </c>
    </row>
    <row r="24" spans="2:103" ht="15.6" thickBot="1" x14ac:dyDescent="0.4">
      <c r="B24" s="65"/>
      <c r="C24" s="629">
        <f>E24/E17</f>
        <v>0.56844635261794374</v>
      </c>
      <c r="D24" s="611">
        <f>D18+D19</f>
        <v>95621</v>
      </c>
      <c r="E24" s="110">
        <f>E18-E19+SUM(E21:E23)</f>
        <v>16970149</v>
      </c>
      <c r="F24" s="92" t="e">
        <f>E24/(D16)</f>
        <v>#DIV/0!</v>
      </c>
      <c r="G24" s="629">
        <f>I24/I17</f>
        <v>0.53536580445931226</v>
      </c>
      <c r="H24" s="611">
        <f>H18+H19</f>
        <v>3853</v>
      </c>
      <c r="I24" s="110">
        <f>I18-I19+SUM(I21:I23)</f>
        <v>18007705</v>
      </c>
      <c r="J24" s="110">
        <f>I24/(H16)</f>
        <v>182.29374190152251</v>
      </c>
      <c r="K24" s="644" t="e">
        <f>M24/M17</f>
        <v>#DIV/0!</v>
      </c>
      <c r="L24" s="111">
        <f>L18+L19</f>
        <v>346668</v>
      </c>
      <c r="M24" s="110">
        <f>M18-M19+SUM(M21:M23)</f>
        <v>-79793096</v>
      </c>
      <c r="N24" s="92" t="e">
        <f>M24/(L16)</f>
        <v>#DIV/0!</v>
      </c>
      <c r="O24" s="644" t="e">
        <f>Q24/Q17</f>
        <v>#DIV/0!</v>
      </c>
      <c r="P24" s="111">
        <f>P18+P19</f>
        <v>0</v>
      </c>
      <c r="Q24" s="110">
        <f>Q18-Q19+SUM(Q21:Q23)</f>
        <v>0</v>
      </c>
      <c r="R24" s="92" t="e">
        <f>Q24/(P16)</f>
        <v>#DIV/0!</v>
      </c>
      <c r="S24" s="644" t="e">
        <f>U24/U17</f>
        <v>#DIV/0!</v>
      </c>
      <c r="T24" s="111">
        <f>T18+T19</f>
        <v>0</v>
      </c>
      <c r="U24" s="110">
        <f>U18-U19+SUM(U21:U23)</f>
        <v>0</v>
      </c>
      <c r="V24" s="92" t="e">
        <f>U24/(T16)</f>
        <v>#DIV/0!</v>
      </c>
      <c r="W24" s="644" t="e">
        <f>Y24/Y17</f>
        <v>#DIV/0!</v>
      </c>
      <c r="X24" s="111">
        <f>X18+X19</f>
        <v>0</v>
      </c>
      <c r="Y24" s="110">
        <f>Y18-Y19+SUM(Y21:Y23)</f>
        <v>0</v>
      </c>
      <c r="Z24" s="92" t="e">
        <f>Y24/(X16)</f>
        <v>#DIV/0!</v>
      </c>
      <c r="AA24" s="629" t="e">
        <f>AC24/AC17</f>
        <v>#DIV/0!</v>
      </c>
      <c r="AB24" s="1410">
        <f>AB18+AB19</f>
        <v>0</v>
      </c>
      <c r="AC24" s="110">
        <f>AC18-AC19+AC20+AC22+AC23</f>
        <v>0</v>
      </c>
      <c r="AD24" s="92" t="e">
        <f>AC24/(AB16)</f>
        <v>#DIV/0!</v>
      </c>
      <c r="AE24" s="629" t="e">
        <f>AG24/AG17</f>
        <v>#DIV/0!</v>
      </c>
      <c r="AF24" s="611">
        <f>AF18+AF19</f>
        <v>0</v>
      </c>
      <c r="AG24" s="110">
        <f>AG18-AG19+AG20+AG22+AG23</f>
        <v>0</v>
      </c>
      <c r="AH24" s="92" t="e">
        <f>AG24/(AF16)</f>
        <v>#DIV/0!</v>
      </c>
      <c r="AI24" s="629" t="e">
        <f>AK24/AK17</f>
        <v>#DIV/0!</v>
      </c>
      <c r="AJ24" s="91">
        <f>AJ18+AJ19</f>
        <v>0</v>
      </c>
      <c r="AK24" s="110">
        <f>AK18-AK19+AK20+AK22+AK23</f>
        <v>0</v>
      </c>
      <c r="AL24" s="92" t="e">
        <f>AK24/(AJ16)</f>
        <v>#DIV/0!</v>
      </c>
      <c r="AM24" s="629" t="e">
        <f>AO24/AO17</f>
        <v>#DIV/0!</v>
      </c>
      <c r="AN24" s="91">
        <f>AN18-AN19</f>
        <v>0</v>
      </c>
      <c r="AO24" s="110">
        <f>AO18-AO19+AO20+AO22+AO23</f>
        <v>0</v>
      </c>
      <c r="AP24" s="92">
        <f>AO24/(AZ15+AN16)</f>
        <v>0</v>
      </c>
      <c r="AQ24" s="629" t="e">
        <f>AS24/AS17</f>
        <v>#DIV/0!</v>
      </c>
      <c r="AR24" s="91">
        <f>AR18+AR19</f>
        <v>0</v>
      </c>
      <c r="AS24" s="110">
        <f>AS18-AS19+AS20+AS22+AS23</f>
        <v>0</v>
      </c>
      <c r="AT24" s="92">
        <f>AS24/(AZ15+AR16)</f>
        <v>0</v>
      </c>
      <c r="AU24" s="629" t="e">
        <f>AW24/AW17</f>
        <v>#DIV/0!</v>
      </c>
      <c r="AV24" s="611">
        <f>AV18+AV19</f>
        <v>0</v>
      </c>
      <c r="AW24" s="110">
        <f>AW18-AW19+AW20+AW22+AW23</f>
        <v>0</v>
      </c>
      <c r="AX24" s="92" t="e">
        <f>AW24/(BD15+AV16)</f>
        <v>#DIV/0!</v>
      </c>
      <c r="AY24" s="644">
        <f>BA24/BA17</f>
        <v>0.31927157904008119</v>
      </c>
      <c r="AZ24" s="111">
        <f>AZ18+AZ19</f>
        <v>142124</v>
      </c>
      <c r="BA24" s="110">
        <f>BA18-BA19+SUM(BA21:BA23)</f>
        <v>20270497</v>
      </c>
      <c r="BB24" s="92">
        <f>BA24/(AZ16)</f>
        <v>205.20020448655652</v>
      </c>
      <c r="BD24" s="1413">
        <f>'PAL I'!AN18</f>
        <v>34977854</v>
      </c>
      <c r="BE24" s="1413">
        <f>BA24-BD24</f>
        <v>-14707357</v>
      </c>
      <c r="BF24" s="128">
        <f>AZ24/AZ11</f>
        <v>0.51343706310127202</v>
      </c>
      <c r="BG24" s="67"/>
      <c r="BH24" s="128"/>
      <c r="BI24" s="73"/>
      <c r="BJ24" s="550"/>
      <c r="BK24" s="550"/>
      <c r="BL24" s="551"/>
      <c r="BN24" s="673" t="s">
        <v>334</v>
      </c>
      <c r="BO24" s="328">
        <f>SUM(BO19:BO23)</f>
        <v>40</v>
      </c>
      <c r="BP24" s="328">
        <f>SUM(BP19:BP23)</f>
        <v>1023072</v>
      </c>
      <c r="BQ24" s="199"/>
      <c r="BR24" s="674" t="e">
        <f>SUM(BR19:BR23)</f>
        <v>#REF!</v>
      </c>
      <c r="BS24" s="675">
        <f t="shared" si="8"/>
        <v>0.35820418932857723</v>
      </c>
      <c r="BT24"/>
      <c r="BU24"/>
      <c r="BV24"/>
      <c r="BY24" s="692" t="s">
        <v>340</v>
      </c>
      <c r="BZ24" s="684"/>
      <c r="CA24" s="685">
        <f>ROUND((BZ24/$CC$1),0)</f>
        <v>0</v>
      </c>
      <c r="CE24" s="39" t="e">
        <f>CA24/#REF!</f>
        <v>#REF!</v>
      </c>
    </row>
    <row r="25" spans="2:103" ht="15.6" thickTop="1" thickBot="1" x14ac:dyDescent="0.35">
      <c r="B25" s="13" t="s">
        <v>36</v>
      </c>
      <c r="C25" s="600">
        <f>E25/E$17</f>
        <v>6.3035591430074867E-2</v>
      </c>
      <c r="D25" s="612"/>
      <c r="E25" s="81">
        <f>'PAL I'!D19-(E26+E30)</f>
        <v>1881837</v>
      </c>
      <c r="F25" s="16" t="e">
        <f>E25/D16</f>
        <v>#DIV/0!</v>
      </c>
      <c r="G25" s="600">
        <f>I25/I$17</f>
        <v>7.9905814745234921E-2</v>
      </c>
      <c r="H25" s="612"/>
      <c r="I25" s="81">
        <f>'PAL I'!G19-(I26+I30)</f>
        <v>2687733</v>
      </c>
      <c r="J25" s="16">
        <f>I25/H16</f>
        <v>27.208181486880466</v>
      </c>
      <c r="K25" s="600" t="e">
        <f>M25/M$17</f>
        <v>#DIV/0!</v>
      </c>
      <c r="L25" s="884"/>
      <c r="M25" s="81">
        <f>'PAL I'!J19-(M26+M30)</f>
        <v>-97036</v>
      </c>
      <c r="N25" s="16" t="e">
        <f>M25/L16</f>
        <v>#DIV/0!</v>
      </c>
      <c r="O25" s="645" t="e">
        <f>Q25/Q$17</f>
        <v>#DIV/0!</v>
      </c>
      <c r="P25" s="84"/>
      <c r="Q25" s="81">
        <f>'PAL I'!M19-(Q26+Q30)</f>
        <v>-97779</v>
      </c>
      <c r="R25" s="16" t="e">
        <f>Q25/P16</f>
        <v>#DIV/0!</v>
      </c>
      <c r="S25" s="645"/>
      <c r="T25" s="84"/>
      <c r="U25" s="81">
        <f>'PAL I'!P19-(U26+U30)</f>
        <v>-97432</v>
      </c>
      <c r="V25" s="16" t="e">
        <f>U25/T16</f>
        <v>#DIV/0!</v>
      </c>
      <c r="W25" s="645"/>
      <c r="X25" s="84"/>
      <c r="Y25" s="81">
        <f>'PAL I'!S19-(Y26+Y30)</f>
        <v>-97442</v>
      </c>
      <c r="Z25" s="16" t="e">
        <f>Y25/X16</f>
        <v>#DIV/0!</v>
      </c>
      <c r="AA25" s="645"/>
      <c r="AB25" s="84"/>
      <c r="AC25" s="81">
        <f>'PAL I'!V19-AC26</f>
        <v>-97300</v>
      </c>
      <c r="AD25" s="16" t="e">
        <f>AC25/AB16</f>
        <v>#DIV/0!</v>
      </c>
      <c r="AE25" s="645"/>
      <c r="AF25" s="84"/>
      <c r="AG25" s="81">
        <f>'PAL I'!Y19-AG26</f>
        <v>0</v>
      </c>
      <c r="AH25" s="16" t="e">
        <f>AG25/AF16</f>
        <v>#DIV/0!</v>
      </c>
      <c r="AI25" s="645"/>
      <c r="AJ25" s="84"/>
      <c r="AK25" s="81">
        <f>'PAL I'!AB19-AK26</f>
        <v>0</v>
      </c>
      <c r="AL25" s="16" t="e">
        <f>AK25/AJ16</f>
        <v>#DIV/0!</v>
      </c>
      <c r="AM25" s="645"/>
      <c r="AN25" s="84"/>
      <c r="AO25" s="81">
        <f>'PAL I'!AE19-AO26</f>
        <v>0</v>
      </c>
      <c r="AP25" s="16" t="e">
        <f>AO25/AN16</f>
        <v>#DIV/0!</v>
      </c>
      <c r="AQ25" s="645"/>
      <c r="AR25" s="84"/>
      <c r="AS25" s="81">
        <f>'PAL I'!AH19-AS26</f>
        <v>0</v>
      </c>
      <c r="AT25" s="16" t="e">
        <f>AS25/(AR16)</f>
        <v>#DIV/0!</v>
      </c>
      <c r="AU25" s="642"/>
      <c r="AV25" s="84"/>
      <c r="AW25" s="93">
        <f>'PAL I'!AK19-AW26</f>
        <v>0</v>
      </c>
      <c r="AX25" s="16" t="e">
        <f>AW25/AV16</f>
        <v>#DIV/0!</v>
      </c>
      <c r="AY25" s="645">
        <f>BA25/BA$17</f>
        <v>6.4302916816940087E-2</v>
      </c>
      <c r="AZ25" s="84"/>
      <c r="BA25" s="172">
        <f>ROUND((SUM(E25,I25,M25,Q25,U25,Y25,AC25,AG25,AK25,AO25,AS25,AW25)),0)</f>
        <v>4082581</v>
      </c>
      <c r="BB25" s="16">
        <f>BA25/AZ16</f>
        <v>41.328362892776155</v>
      </c>
      <c r="BC25" s="321">
        <f>BA25/$BA$17</f>
        <v>6.4302916816940087E-2</v>
      </c>
      <c r="BD25" s="874"/>
      <c r="BE25" s="874"/>
      <c r="BI25" s="73"/>
      <c r="BJ25" s="550"/>
      <c r="BK25" s="550"/>
      <c r="BL25" s="551"/>
      <c r="BN25"/>
      <c r="BO25"/>
      <c r="BP25"/>
      <c r="BQ25"/>
      <c r="BR25"/>
      <c r="BS25"/>
      <c r="BT25"/>
      <c r="BU25"/>
      <c r="BV25"/>
      <c r="BZ25" s="683">
        <f>SUM(BZ23:BZ24)</f>
        <v>0</v>
      </c>
      <c r="CA25" s="72">
        <f>SUM(CA23:CA24)</f>
        <v>0</v>
      </c>
      <c r="CE25" s="39" t="e">
        <f>CA25/#REF!</f>
        <v>#REF!</v>
      </c>
    </row>
    <row r="26" spans="2:103" ht="15" thickBot="1" x14ac:dyDescent="0.35">
      <c r="B26" s="13" t="s">
        <v>386</v>
      </c>
      <c r="C26" s="601">
        <f t="shared" ref="C26:C41" si="23">E26/E$17</f>
        <v>7.7839754001892511E-2</v>
      </c>
      <c r="D26" s="613"/>
      <c r="E26" s="81">
        <f>'Trading PL'!C19+'Trading PL'!C24</f>
        <v>2323794</v>
      </c>
      <c r="F26" s="16">
        <f>E26/D13</f>
        <v>246.66107631886211</v>
      </c>
      <c r="G26" s="601">
        <f>I26/I$17</f>
        <v>4.5969256453964581E-2</v>
      </c>
      <c r="H26" s="613"/>
      <c r="I26" s="81">
        <f>'Trading PL'!F19+'Trading PL'!F24</f>
        <v>1546234</v>
      </c>
      <c r="J26" s="16">
        <f>I26/H13</f>
        <v>236.82554755705314</v>
      </c>
      <c r="K26" s="601" t="e">
        <f>M26/M$17</f>
        <v>#DIV/0!</v>
      </c>
      <c r="L26" s="885"/>
      <c r="M26" s="81">
        <f>ROUND(('Trading PL'!I19+'Trading PL'!I24),0)</f>
        <v>97036</v>
      </c>
      <c r="N26" s="16" t="e">
        <f>M26/L13</f>
        <v>#DIV/0!</v>
      </c>
      <c r="O26" s="646" t="e">
        <f>Q26/Q$17</f>
        <v>#DIV/0!</v>
      </c>
      <c r="P26" s="556"/>
      <c r="Q26" s="81">
        <f>'Trading PL'!L24+'Trading PL'!L19</f>
        <v>97779</v>
      </c>
      <c r="R26" s="16" t="e">
        <f>Q26/P13</f>
        <v>#DIV/0!</v>
      </c>
      <c r="S26" s="647"/>
      <c r="T26" s="556"/>
      <c r="U26" s="81">
        <f>ROUND(('Trading PL'!O24+'Trading PL'!O19),0)</f>
        <v>97432</v>
      </c>
      <c r="V26" s="16" t="e">
        <f>U26/T13</f>
        <v>#DIV/0!</v>
      </c>
      <c r="W26" s="647"/>
      <c r="X26" s="556"/>
      <c r="Y26" s="81">
        <f>ROUND(('Trading PL'!R19+'Trading PL'!R24),0)</f>
        <v>97442</v>
      </c>
      <c r="Z26" s="16" t="e">
        <f>Y26/X13</f>
        <v>#DIV/0!</v>
      </c>
      <c r="AA26" s="647"/>
      <c r="AB26" s="556"/>
      <c r="AC26" s="81">
        <f>'Trading PL'!U19+'Trading PL'!U24</f>
        <v>97300</v>
      </c>
      <c r="AD26" s="16" t="e">
        <f>AC26/AB13</f>
        <v>#DIV/0!</v>
      </c>
      <c r="AE26" s="647"/>
      <c r="AF26" s="556"/>
      <c r="AG26" s="81">
        <f>'Trading PL'!X19+'Trading PL'!X24</f>
        <v>0</v>
      </c>
      <c r="AH26" s="16" t="e">
        <f>AG26/AF13</f>
        <v>#DIV/0!</v>
      </c>
      <c r="AI26" s="647"/>
      <c r="AJ26" s="556"/>
      <c r="AK26" s="81">
        <f>ROUND(('Trading PL'!AA19+'Trading PL'!AA24),0)</f>
        <v>0</v>
      </c>
      <c r="AL26" s="16" t="e">
        <f>AK26/AJ13</f>
        <v>#DIV/0!</v>
      </c>
      <c r="AM26" s="647"/>
      <c r="AN26" s="556"/>
      <c r="AO26" s="81">
        <f>'Trading PL'!AD19+'Trading PL'!AD24</f>
        <v>0</v>
      </c>
      <c r="AP26" s="16" t="e">
        <f>AO26/AN13</f>
        <v>#DIV/0!</v>
      </c>
      <c r="AQ26" s="647"/>
      <c r="AR26" s="556"/>
      <c r="AS26" s="81">
        <f>'Trading PL'!AG19+'Trading PL'!AG24</f>
        <v>0</v>
      </c>
      <c r="AT26" s="16" t="e">
        <f>AS26/AR16</f>
        <v>#DIV/0!</v>
      </c>
      <c r="AU26" s="642"/>
      <c r="AV26" s="556"/>
      <c r="AW26" s="93">
        <f>'Trading PL'!AJ19+'Trading PL'!AJ24</f>
        <v>0</v>
      </c>
      <c r="AX26" s="16" t="e">
        <f>AW26/AV16</f>
        <v>#DIV/0!</v>
      </c>
      <c r="AY26" s="601">
        <f>BA26/BA$17</f>
        <v>6.8625436144682458E-2</v>
      </c>
      <c r="AZ26" s="885"/>
      <c r="BA26" s="15">
        <f>SUM(E26,I26,M26,Q26,U26,Y26,AC26,AG26,AK26,AO26,AS26,AW26)</f>
        <v>4357017</v>
      </c>
      <c r="BB26" s="16">
        <f>BA26/AZ13</f>
        <v>273.16721003134796</v>
      </c>
      <c r="BC26" s="321">
        <f>BA26/$BA$17</f>
        <v>6.8625436144682458E-2</v>
      </c>
      <c r="BD26" s="874"/>
      <c r="BE26" s="874"/>
      <c r="BI26" s="73"/>
      <c r="BJ26" s="396" t="e">
        <f>SUM(BJ22:BJ23)</f>
        <v>#REF!</v>
      </c>
      <c r="BK26" s="396" t="e">
        <f>SUM(BK22:BK23)</f>
        <v>#REF!</v>
      </c>
      <c r="BL26" s="389" t="e">
        <f t="shared" si="14"/>
        <v>#REF!</v>
      </c>
      <c r="BN26" s="673" t="s">
        <v>101</v>
      </c>
      <c r="BO26" s="328">
        <f>SUM(BO11,BO17,BO18,BO24)</f>
        <v>139</v>
      </c>
      <c r="BP26" s="328">
        <f>SUM(BP11,BP17,BP18,BP24)</f>
        <v>2856114</v>
      </c>
      <c r="BQ26" s="660" t="e">
        <f>BP26/#REF!</f>
        <v>#REF!</v>
      </c>
      <c r="BR26" s="218"/>
      <c r="BS26" s="329">
        <f>SUM(BS11,BS17,BS18,BS24)</f>
        <v>1</v>
      </c>
      <c r="BT26"/>
      <c r="BU26"/>
      <c r="BV26"/>
      <c r="CA26" s="679"/>
    </row>
    <row r="27" spans="2:103" ht="15" thickBot="1" x14ac:dyDescent="0.35">
      <c r="B27" s="17" t="s">
        <v>123</v>
      </c>
      <c r="C27" s="601">
        <f t="shared" si="23"/>
        <v>2.0626851140013003E-2</v>
      </c>
      <c r="D27" s="614">
        <f>'PAL I'!C21</f>
        <v>7232</v>
      </c>
      <c r="E27" s="81">
        <f>'PAL I'!D21</f>
        <v>615785</v>
      </c>
      <c r="F27" s="20">
        <f>E27/D27</f>
        <v>85.147262168141594</v>
      </c>
      <c r="G27" s="601">
        <f t="shared" ref="G27:G33" si="24">I27/I$17</f>
        <v>1.9713931954926146E-2</v>
      </c>
      <c r="H27" s="614">
        <f>'PAL I'!F21</f>
        <v>6504</v>
      </c>
      <c r="I27" s="81">
        <f>'PAL I'!G21</f>
        <v>663103</v>
      </c>
      <c r="J27" s="21">
        <f>I27/H27</f>
        <v>101.95310578105781</v>
      </c>
      <c r="K27" s="601" t="e">
        <f t="shared" ref="K27:K28" si="25">M27/M$17</f>
        <v>#DIV/0!</v>
      </c>
      <c r="L27" s="286">
        <f>'PAL I'!I21</f>
        <v>0</v>
      </c>
      <c r="M27" s="81">
        <f>'PAL I'!J21</f>
        <v>0</v>
      </c>
      <c r="N27" s="20" t="e">
        <f>M27/L27</f>
        <v>#DIV/0!</v>
      </c>
      <c r="O27" s="646"/>
      <c r="P27" s="169">
        <f>'PAL I'!L21</f>
        <v>0</v>
      </c>
      <c r="Q27" s="81">
        <f>'PAL I'!M21</f>
        <v>0</v>
      </c>
      <c r="R27" s="20" t="e">
        <f>Q27/P27</f>
        <v>#DIV/0!</v>
      </c>
      <c r="S27" s="646"/>
      <c r="T27" s="169">
        <f>'PAL I'!O21</f>
        <v>0</v>
      </c>
      <c r="U27" s="21">
        <f>'PAL I'!P21</f>
        <v>0</v>
      </c>
      <c r="V27" s="20" t="e">
        <f>U27/T27</f>
        <v>#DIV/0!</v>
      </c>
      <c r="W27" s="646"/>
      <c r="X27" s="169">
        <f>'PAL I'!R21</f>
        <v>0</v>
      </c>
      <c r="Y27" s="21">
        <f>'PAL I'!S21</f>
        <v>0</v>
      </c>
      <c r="Z27" s="20" t="e">
        <f>Y27/X27</f>
        <v>#DIV/0!</v>
      </c>
      <c r="AA27" s="646"/>
      <c r="AB27" s="169">
        <f>'PAL I'!U21</f>
        <v>0</v>
      </c>
      <c r="AC27" s="81">
        <f>'PAL I'!V21</f>
        <v>0</v>
      </c>
      <c r="AD27" s="20" t="e">
        <f>AC27/AB27</f>
        <v>#DIV/0!</v>
      </c>
      <c r="AE27" s="646"/>
      <c r="AF27" s="169">
        <f>'PAL I'!X21</f>
        <v>0</v>
      </c>
      <c r="AG27" s="81">
        <f>'PAL I'!Y21</f>
        <v>0</v>
      </c>
      <c r="AH27" s="20" t="e">
        <f>AG27/AF27</f>
        <v>#DIV/0!</v>
      </c>
      <c r="AI27" s="646"/>
      <c r="AJ27" s="169">
        <f>'PAL I'!AA21</f>
        <v>0</v>
      </c>
      <c r="AK27" s="81">
        <f>'PAL I'!AB21</f>
        <v>0</v>
      </c>
      <c r="AL27" s="20" t="e">
        <f>AK27/AJ27</f>
        <v>#DIV/0!</v>
      </c>
      <c r="AM27" s="646"/>
      <c r="AN27" s="169">
        <f>'PAL I'!AD21</f>
        <v>0</v>
      </c>
      <c r="AO27" s="81">
        <f>'PAL I'!AE21</f>
        <v>0</v>
      </c>
      <c r="AP27" s="20" t="e">
        <f>AO27/AN27</f>
        <v>#DIV/0!</v>
      </c>
      <c r="AQ27" s="646"/>
      <c r="AR27" s="169">
        <f>'PAL I'!AG21</f>
        <v>0</v>
      </c>
      <c r="AS27" s="81">
        <f>'PAL I'!AH21</f>
        <v>0</v>
      </c>
      <c r="AT27" s="20" t="e">
        <f>AS27/AR27</f>
        <v>#DIV/0!</v>
      </c>
      <c r="AU27" s="646"/>
      <c r="AV27" s="169">
        <f>'PAL I'!AJ21</f>
        <v>0</v>
      </c>
      <c r="AW27" s="93">
        <f>'PAL I'!AK21</f>
        <v>0</v>
      </c>
      <c r="AX27" s="70">
        <f>IF(AW27=0,0,AW27/AV27)</f>
        <v>0</v>
      </c>
      <c r="AY27" s="646">
        <f t="shared" ref="AY27:AY41" si="26">BA27/BA$17</f>
        <v>2.0143195856293573E-2</v>
      </c>
      <c r="AZ27" s="549">
        <f>SUM(D27,H27,L27,P27,T27,X27,AB27,AF27,AJ27,AN27,AR27,AV27)</f>
        <v>13736</v>
      </c>
      <c r="BA27" s="81">
        <f>SUM(E27,I27,M27,Q27,U27,Y27,AC27,AG27,AK27,AO27,AS27,AW27)</f>
        <v>1278888</v>
      </c>
      <c r="BB27" s="20">
        <f>BA27/AZ27</f>
        <v>93.104834012813043</v>
      </c>
      <c r="BC27" s="586">
        <f t="shared" ref="BC27:BC32" si="27">BA27/$BA$17</f>
        <v>2.0143195856293573E-2</v>
      </c>
      <c r="BD27" s="873"/>
      <c r="BE27" s="873"/>
      <c r="BI27" s="12" t="s">
        <v>121</v>
      </c>
      <c r="BJ27" s="165"/>
      <c r="BK27" s="331"/>
      <c r="BN27"/>
      <c r="BO27"/>
      <c r="BP27"/>
      <c r="BQ27"/>
      <c r="BR27"/>
      <c r="BS27"/>
      <c r="BT27"/>
      <c r="BU27"/>
      <c r="BV27"/>
      <c r="CA27" s="679"/>
    </row>
    <row r="28" spans="2:103" ht="15" thickBot="1" x14ac:dyDescent="0.35">
      <c r="B28" s="41" t="s">
        <v>42</v>
      </c>
      <c r="C28" s="602">
        <f t="shared" si="23"/>
        <v>0.21611695059648325</v>
      </c>
      <c r="D28" s="615">
        <f>'PAL I'!C22</f>
        <v>76252</v>
      </c>
      <c r="E28" s="89">
        <f>'PAL I'!D22</f>
        <v>6451861</v>
      </c>
      <c r="F28" s="44">
        <f>E28/D28</f>
        <v>84.61235115144521</v>
      </c>
      <c r="G28" s="602">
        <f t="shared" si="24"/>
        <v>0.13571329252598602</v>
      </c>
      <c r="H28" s="615">
        <f>'PAL I'!F22</f>
        <v>55243</v>
      </c>
      <c r="I28" s="89">
        <f>'PAL I'!G22</f>
        <v>4564888</v>
      </c>
      <c r="J28" s="89">
        <f>I28/H28</f>
        <v>82.632876563546517</v>
      </c>
      <c r="K28" s="601" t="e">
        <f t="shared" si="25"/>
        <v>#DIV/0!</v>
      </c>
      <c r="L28" s="286">
        <f>'PAL I'!I22</f>
        <v>0</v>
      </c>
      <c r="M28" s="81">
        <f>'PAL I'!J22</f>
        <v>0</v>
      </c>
      <c r="N28" s="44" t="e">
        <f>M28/L28</f>
        <v>#DIV/0!</v>
      </c>
      <c r="O28" s="893"/>
      <c r="P28" s="169">
        <f>'PAL I'!L22</f>
        <v>0</v>
      </c>
      <c r="Q28" s="81">
        <f>'PAL I'!M22</f>
        <v>0</v>
      </c>
      <c r="R28" s="44" t="e">
        <f>Q28/P28</f>
        <v>#DIV/0!</v>
      </c>
      <c r="S28" s="647"/>
      <c r="T28" s="169">
        <f>'PAL I'!O22</f>
        <v>0</v>
      </c>
      <c r="U28" s="21">
        <f>'PAL I'!P22</f>
        <v>0</v>
      </c>
      <c r="V28" s="44" t="e">
        <f>U28/T28</f>
        <v>#DIV/0!</v>
      </c>
      <c r="W28" s="647"/>
      <c r="X28" s="67">
        <f>'PAL I'!R22</f>
        <v>0</v>
      </c>
      <c r="Y28" s="89">
        <f>'PAL I'!S22</f>
        <v>0</v>
      </c>
      <c r="Z28" s="44" t="e">
        <f>Y28/X28</f>
        <v>#DIV/0!</v>
      </c>
      <c r="AA28" s="647"/>
      <c r="AB28" s="169">
        <f>'PAL I'!U22</f>
        <v>0</v>
      </c>
      <c r="AC28" s="81">
        <f>'PAL I'!V22</f>
        <v>0</v>
      </c>
      <c r="AD28" s="44" t="e">
        <f>AC28/AB28</f>
        <v>#DIV/0!</v>
      </c>
      <c r="AE28" s="647"/>
      <c r="AF28" s="169">
        <f>'PAL I'!X22</f>
        <v>0</v>
      </c>
      <c r="AG28" s="81">
        <f>'PAL I'!Y22</f>
        <v>0</v>
      </c>
      <c r="AH28" s="44" t="e">
        <f>AG28/AF28</f>
        <v>#DIV/0!</v>
      </c>
      <c r="AI28" s="647"/>
      <c r="AJ28" s="169">
        <f>'PAL I'!AA22</f>
        <v>0</v>
      </c>
      <c r="AK28" s="81">
        <f>'PAL I'!AB22</f>
        <v>0</v>
      </c>
      <c r="AL28" s="44" t="e">
        <f>AK28/AJ28</f>
        <v>#DIV/0!</v>
      </c>
      <c r="AM28" s="647"/>
      <c r="AN28" s="169">
        <f>'PAL I'!AD22</f>
        <v>0</v>
      </c>
      <c r="AO28" s="81">
        <f>'PAL I'!AE22</f>
        <v>0</v>
      </c>
      <c r="AP28" s="44" t="e">
        <f>AO28/AN28</f>
        <v>#DIV/0!</v>
      </c>
      <c r="AQ28" s="647"/>
      <c r="AR28" s="169">
        <f>'PAL I'!AG22</f>
        <v>0</v>
      </c>
      <c r="AS28" s="81">
        <f>'PAL I'!AH22</f>
        <v>0</v>
      </c>
      <c r="AT28" s="44" t="e">
        <f>AS28/AR28</f>
        <v>#DIV/0!</v>
      </c>
      <c r="AU28" s="647"/>
      <c r="AV28" s="169">
        <f>'PAL I'!AJ22</f>
        <v>0</v>
      </c>
      <c r="AW28" s="93">
        <f>'PAL I'!AK22</f>
        <v>0</v>
      </c>
      <c r="AX28" s="70">
        <f>IF(AW28=0,0,AW28/AV28)</f>
        <v>0</v>
      </c>
      <c r="AY28" s="647">
        <f t="shared" si="26"/>
        <v>0.17351991167844749</v>
      </c>
      <c r="AZ28" s="86">
        <f>SUM(D28,H28,L28,P28,T28,X28,AB28,AF28,AJ28,AN28,AR28,AV28)</f>
        <v>131495</v>
      </c>
      <c r="BA28" s="95">
        <f>ROUND((SUM(E28,I28,M28,Q28,U28,Y28,AC28,AG28,AK28,AO28,AS28,AW28)),0)</f>
        <v>11016749</v>
      </c>
      <c r="BB28" s="57">
        <f>BA28/AZ28</f>
        <v>83.780744515000563</v>
      </c>
      <c r="BC28" s="586">
        <f t="shared" si="27"/>
        <v>0.17351991167844749</v>
      </c>
      <c r="BD28" s="873"/>
      <c r="BE28" s="873"/>
      <c r="BI28" s="11"/>
      <c r="BJ28" s="400" t="e">
        <f>BJ22+BJ27</f>
        <v>#REF!</v>
      </c>
      <c r="BK28" s="400" t="e">
        <f>BK22+BK27</f>
        <v>#REF!</v>
      </c>
      <c r="BL28" s="399"/>
      <c r="BN28" s="12" t="s">
        <v>337</v>
      </c>
      <c r="BT28"/>
      <c r="BU28"/>
      <c r="BV28"/>
      <c r="CA28" s="681"/>
    </row>
    <row r="29" spans="2:103" ht="15" thickBot="1" x14ac:dyDescent="0.35">
      <c r="B29" s="303" t="s">
        <v>224</v>
      </c>
      <c r="C29" s="624">
        <f t="shared" si="23"/>
        <v>0.37761914716846362</v>
      </c>
      <c r="D29" s="616"/>
      <c r="E29" s="304">
        <f>SUM(E25:E28)</f>
        <v>11273277</v>
      </c>
      <c r="F29" s="305">
        <f>E29/D17</f>
        <v>728.67151444638353</v>
      </c>
      <c r="G29" s="624">
        <f t="shared" si="24"/>
        <v>0.28130229568011167</v>
      </c>
      <c r="H29" s="616"/>
      <c r="I29" s="304">
        <f>SUM(I25:I28)</f>
        <v>9461958</v>
      </c>
      <c r="J29" s="304">
        <f>I29/H17</f>
        <v>79.369520358347174</v>
      </c>
      <c r="K29" s="624" t="e">
        <f>M29/M$17</f>
        <v>#DIV/0!</v>
      </c>
      <c r="L29" s="997"/>
      <c r="M29" s="304">
        <f>SUM(M25:M28)</f>
        <v>0</v>
      </c>
      <c r="N29" s="305" t="e">
        <f>M29/L17</f>
        <v>#DIV/0!</v>
      </c>
      <c r="O29" s="648" t="e">
        <f>Q29/Q$17</f>
        <v>#DIV/0!</v>
      </c>
      <c r="P29" s="306"/>
      <c r="Q29" s="304">
        <f>SUM(Q25:Q28)</f>
        <v>0</v>
      </c>
      <c r="R29" s="304" t="e">
        <f>Q29/P17</f>
        <v>#DIV/0!</v>
      </c>
      <c r="S29" s="648" t="e">
        <f>U29/U$17</f>
        <v>#DIV/0!</v>
      </c>
      <c r="T29" s="306"/>
      <c r="U29" s="304">
        <f>SUM(U25:U28)</f>
        <v>0</v>
      </c>
      <c r="V29" s="305" t="e">
        <f>U29/T17</f>
        <v>#DIV/0!</v>
      </c>
      <c r="W29" s="648" t="e">
        <f>Y29/Y$17</f>
        <v>#DIV/0!</v>
      </c>
      <c r="X29" s="306"/>
      <c r="Y29" s="304">
        <f>SUM(Y25:Y28)</f>
        <v>0</v>
      </c>
      <c r="Z29" s="305" t="e">
        <f>Y29/X17</f>
        <v>#DIV/0!</v>
      </c>
      <c r="AA29" s="648" t="e">
        <f>AC29/AC$17</f>
        <v>#DIV/0!</v>
      </c>
      <c r="AB29" s="306"/>
      <c r="AC29" s="304">
        <f>SUM(AC25:AC28)</f>
        <v>0</v>
      </c>
      <c r="AD29" s="304" t="e">
        <f>AC29/AB17</f>
        <v>#DIV/0!</v>
      </c>
      <c r="AE29" s="648" t="e">
        <f>AG29/AG$17</f>
        <v>#DIV/0!</v>
      </c>
      <c r="AF29" s="306"/>
      <c r="AG29" s="304">
        <f>SUM(AG25:AG28)</f>
        <v>0</v>
      </c>
      <c r="AH29" s="304" t="e">
        <f>AG29/AF17</f>
        <v>#DIV/0!</v>
      </c>
      <c r="AI29" s="648" t="e">
        <f>AK29/AK$17</f>
        <v>#DIV/0!</v>
      </c>
      <c r="AJ29" s="306"/>
      <c r="AK29" s="304">
        <f>SUM(AK25:AK28)</f>
        <v>0</v>
      </c>
      <c r="AL29" s="304" t="e">
        <f>AK29/AJ17</f>
        <v>#DIV/0!</v>
      </c>
      <c r="AM29" s="648" t="e">
        <f>AO29/AO$17</f>
        <v>#DIV/0!</v>
      </c>
      <c r="AN29" s="306"/>
      <c r="AO29" s="304">
        <f>SUM(AO25:AO28)</f>
        <v>0</v>
      </c>
      <c r="AP29" s="304" t="e">
        <f>AO29/AN17</f>
        <v>#DIV/0!</v>
      </c>
      <c r="AQ29" s="648" t="e">
        <f>AS29/AS$17</f>
        <v>#DIV/0!</v>
      </c>
      <c r="AR29" s="306"/>
      <c r="AS29" s="304">
        <f>SUM(AS25:AS28)</f>
        <v>0</v>
      </c>
      <c r="AT29" s="305" t="e">
        <f>AS29/AR17</f>
        <v>#DIV/0!</v>
      </c>
      <c r="AU29" s="648" t="e">
        <f>AW29/AW$17</f>
        <v>#DIV/0!</v>
      </c>
      <c r="AV29" s="306"/>
      <c r="AW29" s="304">
        <f>SUM(AW25:AW28)</f>
        <v>0</v>
      </c>
      <c r="AX29" s="305" t="e">
        <f>AW29/AV17</f>
        <v>#DIV/0!</v>
      </c>
      <c r="AY29" s="648">
        <f t="shared" si="26"/>
        <v>0.32659146049636362</v>
      </c>
      <c r="AZ29" s="306"/>
      <c r="BA29" s="304">
        <f>SUM(BA25:BA28)</f>
        <v>20735235</v>
      </c>
      <c r="BB29" s="305">
        <f>BA29/AZ17</f>
        <v>153.95355830270631</v>
      </c>
      <c r="BC29" s="589">
        <f t="shared" si="27"/>
        <v>0.32659146049636362</v>
      </c>
      <c r="BD29" s="873"/>
      <c r="BE29" s="873"/>
      <c r="BF29" s="39">
        <f>(BA27+BA28)/AZ17</f>
        <v>91.291806808479038</v>
      </c>
    </row>
    <row r="30" spans="2:103" x14ac:dyDescent="0.3">
      <c r="B30" s="13" t="s">
        <v>837</v>
      </c>
      <c r="C30" s="603"/>
      <c r="D30" s="617"/>
      <c r="E30" s="83">
        <f>'Direct Expns'!S$54</f>
        <v>0</v>
      </c>
      <c r="F30" s="36"/>
      <c r="G30" s="603"/>
      <c r="H30" s="617"/>
      <c r="I30" s="83">
        <f>'Direct Expns'!T$54</f>
        <v>0</v>
      </c>
      <c r="J30" s="83"/>
      <c r="K30" s="649" t="e">
        <f>M30/M$17</f>
        <v>#DIV/0!</v>
      </c>
      <c r="L30" s="147"/>
      <c r="M30" s="83">
        <f>'Direct Expns'!U$54</f>
        <v>0</v>
      </c>
      <c r="N30" s="36"/>
      <c r="O30" s="649"/>
      <c r="P30" s="147"/>
      <c r="Q30" s="83">
        <f>'Direct Expns'!V$54</f>
        <v>0</v>
      </c>
      <c r="R30" s="83"/>
      <c r="S30" s="649"/>
      <c r="T30" s="147"/>
      <c r="U30" s="83">
        <f>'Direct Expns'!W$54</f>
        <v>0</v>
      </c>
      <c r="V30" s="36"/>
      <c r="W30" s="649"/>
      <c r="X30" s="147"/>
      <c r="Y30" s="83">
        <f>'Direct Expns'!X$54</f>
        <v>0</v>
      </c>
      <c r="Z30" s="36"/>
      <c r="AA30" s="649"/>
      <c r="AB30" s="147"/>
      <c r="AC30" s="83"/>
      <c r="AD30" s="83"/>
      <c r="AE30" s="649"/>
      <c r="AF30" s="147"/>
      <c r="AG30" s="83"/>
      <c r="AH30" s="36"/>
      <c r="AI30" s="649"/>
      <c r="AJ30" s="147"/>
      <c r="AK30" s="83"/>
      <c r="AL30" s="36"/>
      <c r="AM30" s="649"/>
      <c r="AN30" s="147"/>
      <c r="AO30" s="83"/>
      <c r="AP30" s="16"/>
      <c r="AQ30" s="649"/>
      <c r="AR30" s="147"/>
      <c r="AS30" s="83"/>
      <c r="AT30" s="36"/>
      <c r="AU30" s="642"/>
      <c r="AV30" s="147"/>
      <c r="AW30" s="83"/>
      <c r="AX30" s="36"/>
      <c r="AY30" s="649">
        <f t="shared" si="26"/>
        <v>0</v>
      </c>
      <c r="AZ30" s="146"/>
      <c r="BA30" s="590">
        <f>SUM(E30,I30,M30,Q30,U30,Y30,AC30,AG30,AK30,AO30,AS30,AW30)</f>
        <v>0</v>
      </c>
      <c r="BB30" s="16">
        <f>BA30/AZ17</f>
        <v>0</v>
      </c>
      <c r="BC30" s="586">
        <f t="shared" si="27"/>
        <v>0</v>
      </c>
      <c r="BD30" s="873"/>
      <c r="BE30" s="873"/>
      <c r="BF30" s="39">
        <f>BB25+BF29</f>
        <v>132.62016970125518</v>
      </c>
      <c r="BG30" s="128">
        <f>(BA24-BA29)/BA17</f>
        <v>-7.31988145628246E-3</v>
      </c>
    </row>
    <row r="31" spans="2:103" x14ac:dyDescent="0.3">
      <c r="B31" s="13" t="s">
        <v>217</v>
      </c>
      <c r="C31" s="601">
        <f t="shared" si="23"/>
        <v>1.4602042643955095E-2</v>
      </c>
      <c r="D31" s="618"/>
      <c r="E31" s="81">
        <f>'Indirect Expns'!B67</f>
        <v>435923</v>
      </c>
      <c r="F31" s="16">
        <f>E31/D17</f>
        <v>28.176782367009242</v>
      </c>
      <c r="G31" s="601"/>
      <c r="H31" s="618"/>
      <c r="I31" s="81">
        <f>'Indirect Expns'!C67</f>
        <v>342282</v>
      </c>
      <c r="J31" s="16">
        <f>I31/H17</f>
        <v>2.8711560722733909</v>
      </c>
      <c r="K31" s="646"/>
      <c r="L31" s="84"/>
      <c r="M31" s="81">
        <f>'Indirect Expns'!D67</f>
        <v>0</v>
      </c>
      <c r="N31" s="16"/>
      <c r="O31" s="646"/>
      <c r="P31" s="84"/>
      <c r="Q31" s="81">
        <f>'Indirect Expns'!E67</f>
        <v>0</v>
      </c>
      <c r="R31" s="81"/>
      <c r="S31" s="646"/>
      <c r="T31" s="84"/>
      <c r="U31" s="81">
        <f>'Indirect Expns'!F67</f>
        <v>0</v>
      </c>
      <c r="V31" s="16"/>
      <c r="W31" s="646"/>
      <c r="X31" s="84"/>
      <c r="Y31" s="81">
        <f>'Indirect Expns'!G67</f>
        <v>0</v>
      </c>
      <c r="Z31" s="16"/>
      <c r="AA31" s="646"/>
      <c r="AB31" s="84"/>
      <c r="AC31" s="81">
        <f>'Indirect Expns'!H67</f>
        <v>0</v>
      </c>
      <c r="AD31" s="81"/>
      <c r="AE31" s="646"/>
      <c r="AF31" s="81"/>
      <c r="AG31" s="81">
        <f>'Indirect Expns'!I67</f>
        <v>0</v>
      </c>
      <c r="AH31" s="81"/>
      <c r="AI31" s="646"/>
      <c r="AJ31" s="84"/>
      <c r="AK31" s="81">
        <f>'Indirect Expns'!J67</f>
        <v>0</v>
      </c>
      <c r="AL31" s="81"/>
      <c r="AM31" s="646"/>
      <c r="AN31" s="84"/>
      <c r="AO31" s="81">
        <f>'Indirect Expns'!K67</f>
        <v>0</v>
      </c>
      <c r="AP31" s="81"/>
      <c r="AQ31" s="646"/>
      <c r="AR31" s="84"/>
      <c r="AS31" s="81">
        <f>'Indirect Expns'!L67</f>
        <v>0</v>
      </c>
      <c r="AT31" s="16"/>
      <c r="AU31" s="646"/>
      <c r="AV31" s="84"/>
      <c r="AW31" s="81">
        <f>'Indirect Expns'!M67</f>
        <v>0</v>
      </c>
      <c r="AX31" s="16"/>
      <c r="AY31" s="646">
        <f t="shared" si="26"/>
        <v>1.2257160698471594E-2</v>
      </c>
      <c r="AZ31" s="84"/>
      <c r="BA31" s="19">
        <f>ROUND((SUM(E31,I31,M31,Q31,U31,Y31,AC31,AG31,AK31,AO31,AS31,AW31)),0)</f>
        <v>778205</v>
      </c>
      <c r="BB31" s="16">
        <f>BA31/AZ17</f>
        <v>5.7779633960723169</v>
      </c>
      <c r="BC31" s="586">
        <f t="shared" si="27"/>
        <v>1.2257160698471594E-2</v>
      </c>
      <c r="BD31" s="873"/>
      <c r="BE31" s="944">
        <f>'Indirect Expns'!N67</f>
        <v>778205</v>
      </c>
    </row>
    <row r="32" spans="2:103" ht="15" thickBot="1" x14ac:dyDescent="0.35">
      <c r="B32" s="283" t="s">
        <v>218</v>
      </c>
      <c r="C32" s="604">
        <f t="shared" si="23"/>
        <v>2.2497482126337819E-3</v>
      </c>
      <c r="D32" s="619"/>
      <c r="E32" s="46">
        <f>'Indirect Expns'!B68</f>
        <v>67163</v>
      </c>
      <c r="F32" s="284">
        <f>E32/D17</f>
        <v>4.3412190550061407</v>
      </c>
      <c r="G32" s="604"/>
      <c r="H32" s="619"/>
      <c r="I32" s="46">
        <f>'Indirect Expns'!C68</f>
        <v>121589</v>
      </c>
      <c r="J32" s="284">
        <f>I32/H17</f>
        <v>1.0199221567936652</v>
      </c>
      <c r="K32" s="650"/>
      <c r="L32" s="288"/>
      <c r="M32" s="46">
        <f>'Indirect Expns'!D68</f>
        <v>0</v>
      </c>
      <c r="N32" s="284"/>
      <c r="O32" s="650"/>
      <c r="P32" s="285"/>
      <c r="Q32" s="46">
        <f>'Indirect Expns'!E68</f>
        <v>0</v>
      </c>
      <c r="R32" s="114"/>
      <c r="S32" s="650"/>
      <c r="T32" s="285"/>
      <c r="U32" s="46">
        <f>'Indirect Expns'!F68</f>
        <v>0</v>
      </c>
      <c r="V32" s="284"/>
      <c r="W32" s="650"/>
      <c r="X32" s="285"/>
      <c r="Y32" s="46">
        <f>'Indirect Expns'!G68</f>
        <v>0</v>
      </c>
      <c r="Z32" s="284"/>
      <c r="AA32" s="650"/>
      <c r="AB32" s="285"/>
      <c r="AC32" s="46">
        <f>'Indirect Expns'!H68</f>
        <v>0</v>
      </c>
      <c r="AD32" s="114"/>
      <c r="AE32" s="650"/>
      <c r="AF32" s="46"/>
      <c r="AG32" s="46">
        <f>'Indirect Expns'!I68</f>
        <v>0</v>
      </c>
      <c r="AH32" s="114"/>
      <c r="AI32" s="650"/>
      <c r="AJ32" s="285"/>
      <c r="AK32" s="114">
        <f>'Indirect Expns'!J68</f>
        <v>0</v>
      </c>
      <c r="AL32" s="114"/>
      <c r="AM32" s="650"/>
      <c r="AN32" s="285"/>
      <c r="AO32" s="46">
        <f>'Indirect Expns'!K68</f>
        <v>0</v>
      </c>
      <c r="AP32" s="114"/>
      <c r="AQ32" s="650"/>
      <c r="AR32" s="285"/>
      <c r="AS32" s="46">
        <f>'Indirect Expns'!L68</f>
        <v>0</v>
      </c>
      <c r="AT32" s="284"/>
      <c r="AU32" s="650"/>
      <c r="AV32" s="285"/>
      <c r="AW32" s="114">
        <f>'Indirect Expns'!M68</f>
        <v>0</v>
      </c>
      <c r="AX32" s="284"/>
      <c r="AY32" s="650">
        <f t="shared" si="26"/>
        <v>2.9729487682010657E-3</v>
      </c>
      <c r="AZ32" s="285"/>
      <c r="BA32" s="46">
        <f>ROUND((SUM(E32,I32,M32,Q32,U32,Y32,AC32,AG32,AK32,AO32,AS32,AW32)),0)</f>
        <v>188752</v>
      </c>
      <c r="BB32" s="284">
        <f>BA32/AZ17</f>
        <v>1.401432973233842</v>
      </c>
      <c r="BC32" s="586">
        <f t="shared" si="27"/>
        <v>2.9729487682010657E-3</v>
      </c>
      <c r="BD32" s="873"/>
      <c r="BE32" s="944">
        <f>'Indirect Expns'!N68</f>
        <v>188752</v>
      </c>
    </row>
    <row r="33" spans="2:78" ht="15.6" thickTop="1" thickBot="1" x14ac:dyDescent="0.35">
      <c r="B33" s="41" t="s">
        <v>0</v>
      </c>
      <c r="C33" s="625">
        <f t="shared" si="23"/>
        <v>1.6851790856588878E-2</v>
      </c>
      <c r="D33" s="620"/>
      <c r="E33" s="89">
        <f>SUM(E30:E32)</f>
        <v>503086</v>
      </c>
      <c r="F33" s="44">
        <f>E33/D17</f>
        <v>32.518001422015381</v>
      </c>
      <c r="G33" s="632">
        <f t="shared" si="24"/>
        <v>1.3790800720044316E-2</v>
      </c>
      <c r="H33" s="620"/>
      <c r="I33" s="89">
        <f>SUM(I30:I32)</f>
        <v>463871</v>
      </c>
      <c r="J33" s="44">
        <f>I33/H17</f>
        <v>3.8910782290670558</v>
      </c>
      <c r="K33" s="632" t="e">
        <f>M33/M$17</f>
        <v>#DIV/0!</v>
      </c>
      <c r="L33" s="67"/>
      <c r="M33" s="89">
        <f>SUM(M30:M32)</f>
        <v>0</v>
      </c>
      <c r="N33" s="44" t="e">
        <f>M33/L17</f>
        <v>#DIV/0!</v>
      </c>
      <c r="O33" s="625"/>
      <c r="P33" s="67"/>
      <c r="Q33" s="89">
        <f>SUM(Q30:Q32)</f>
        <v>0</v>
      </c>
      <c r="R33" s="44" t="e">
        <f>Q33/P17</f>
        <v>#DIV/0!</v>
      </c>
      <c r="S33" s="625"/>
      <c r="T33" s="67"/>
      <c r="U33" s="89">
        <f>SUM(U30:U32)</f>
        <v>0</v>
      </c>
      <c r="V33" s="44" t="e">
        <f>U33/T17</f>
        <v>#DIV/0!</v>
      </c>
      <c r="W33" s="625"/>
      <c r="X33" s="67"/>
      <c r="Y33" s="89">
        <f>SUM(Y30:Y32)</f>
        <v>0</v>
      </c>
      <c r="Z33" s="44" t="e">
        <f>Y33/X17</f>
        <v>#DIV/0!</v>
      </c>
      <c r="AA33" s="625"/>
      <c r="AB33" s="67"/>
      <c r="AC33" s="89">
        <f>SUM(AC31:AC32)</f>
        <v>0</v>
      </c>
      <c r="AD33" s="44" t="e">
        <f>AC33/AB17</f>
        <v>#DIV/0!</v>
      </c>
      <c r="AE33" s="625"/>
      <c r="AF33" s="89"/>
      <c r="AG33" s="89">
        <f>SUM(AG31:AG32)</f>
        <v>0</v>
      </c>
      <c r="AH33" s="44" t="e">
        <f>AG33/AF17</f>
        <v>#DIV/0!</v>
      </c>
      <c r="AI33" s="625"/>
      <c r="AJ33" s="67"/>
      <c r="AK33" s="89">
        <f>SUM(AK31:AK32)</f>
        <v>0</v>
      </c>
      <c r="AL33" s="44" t="e">
        <f>AK33/AJ17</f>
        <v>#DIV/0!</v>
      </c>
      <c r="AM33" s="625"/>
      <c r="AN33" s="67"/>
      <c r="AO33" s="89">
        <f>SUM(AO31:AO32)</f>
        <v>0</v>
      </c>
      <c r="AP33" s="274" t="e">
        <f>AO33/AN17</f>
        <v>#DIV/0!</v>
      </c>
      <c r="AQ33" s="625"/>
      <c r="AR33" s="67"/>
      <c r="AS33" s="89">
        <f>SUM(AS31:AS32)</f>
        <v>0</v>
      </c>
      <c r="AT33" s="274" t="e">
        <f>AS33/AR17</f>
        <v>#DIV/0!</v>
      </c>
      <c r="AU33" s="625"/>
      <c r="AV33" s="67"/>
      <c r="AW33" s="89">
        <f>SUM(AW31:AW32)</f>
        <v>0</v>
      </c>
      <c r="AX33" s="274" t="e">
        <f>AW33/AV17</f>
        <v>#DIV/0!</v>
      </c>
      <c r="AY33" s="625">
        <f t="shared" si="26"/>
        <v>1.5230109466672661E-2</v>
      </c>
      <c r="AZ33" s="67"/>
      <c r="BA33" s="89">
        <f>SUM(BA30:BA32)</f>
        <v>966957</v>
      </c>
      <c r="BB33" s="44">
        <f>BA33/AZ17</f>
        <v>7.1793963693061587</v>
      </c>
      <c r="BC33" s="588">
        <f>SUM(BC30:BC32)</f>
        <v>1.5230109466672661E-2</v>
      </c>
      <c r="BD33" s="875"/>
      <c r="BE33" s="945"/>
    </row>
    <row r="34" spans="2:78" ht="15" thickBot="1" x14ac:dyDescent="0.35">
      <c r="B34" s="291" t="s">
        <v>219</v>
      </c>
      <c r="C34" s="953">
        <f>E34/E17</f>
        <v>0.17397541459289131</v>
      </c>
      <c r="D34" s="621"/>
      <c r="E34" s="292">
        <f>E24-(E29+E33)</f>
        <v>5193786</v>
      </c>
      <c r="F34" s="293">
        <f>E34/D17</f>
        <v>335.7110723288734</v>
      </c>
      <c r="G34" s="953">
        <f>I34/I17</f>
        <v>0.24027270805915626</v>
      </c>
      <c r="H34" s="633"/>
      <c r="I34" s="292">
        <f>I24-(I29+I33)</f>
        <v>8081876</v>
      </c>
      <c r="J34" s="302">
        <f>I34/H17</f>
        <v>67.793010887982959</v>
      </c>
      <c r="K34" s="953" t="e">
        <f>M34/M17</f>
        <v>#DIV/0!</v>
      </c>
      <c r="L34" s="294"/>
      <c r="M34" s="292">
        <f>M24-(M29+M33)</f>
        <v>-79793096</v>
      </c>
      <c r="N34" s="293" t="e">
        <f>M34/L17</f>
        <v>#DIV/0!</v>
      </c>
      <c r="O34" s="953" t="e">
        <f>Q34/Q17</f>
        <v>#DIV/0!</v>
      </c>
      <c r="P34" s="294"/>
      <c r="Q34" s="292">
        <f>Q24-(Q29+Q33)</f>
        <v>0</v>
      </c>
      <c r="R34" s="293" t="e">
        <f>Q34/P17</f>
        <v>#DIV/0!</v>
      </c>
      <c r="S34" s="953" t="e">
        <f>U34/U17</f>
        <v>#DIV/0!</v>
      </c>
      <c r="T34" s="294"/>
      <c r="U34" s="292">
        <f>U24-(U29+U33)</f>
        <v>0</v>
      </c>
      <c r="V34" s="906" t="e">
        <f>U34/T17</f>
        <v>#DIV/0!</v>
      </c>
      <c r="W34" s="953" t="e">
        <f>Y34/Y17</f>
        <v>#DIV/0!</v>
      </c>
      <c r="X34" s="294"/>
      <c r="Y34" s="292">
        <f>Y24-(Y29+Y33)</f>
        <v>0</v>
      </c>
      <c r="Z34" s="302" t="e">
        <f>Y34/X17</f>
        <v>#DIV/0!</v>
      </c>
      <c r="AA34" s="953" t="e">
        <f>AC34/AC17</f>
        <v>#DIV/0!</v>
      </c>
      <c r="AB34" s="294"/>
      <c r="AC34" s="292">
        <f>AC24-(AC29+AC33)</f>
        <v>0</v>
      </c>
      <c r="AD34" s="1045" t="e">
        <f>AC34/AB17</f>
        <v>#DIV/0!</v>
      </c>
      <c r="AE34" s="953"/>
      <c r="AF34" s="806"/>
      <c r="AG34" s="292">
        <f>AG24-(AG29+AG33)</f>
        <v>0</v>
      </c>
      <c r="AH34" s="293" t="e">
        <f>AG34/AF17</f>
        <v>#DIV/0!</v>
      </c>
      <c r="AI34" s="953"/>
      <c r="AJ34" s="294"/>
      <c r="AK34" s="292">
        <f>AK24-(AK29+AK33)</f>
        <v>0</v>
      </c>
      <c r="AL34" s="293" t="e">
        <f>AK34/AJ17</f>
        <v>#DIV/0!</v>
      </c>
      <c r="AM34" s="953" t="e">
        <f>AO34/AO17</f>
        <v>#DIV/0!</v>
      </c>
      <c r="AN34" s="294"/>
      <c r="AO34" s="946">
        <f>AO24-(AO29+AO33)</f>
        <v>0</v>
      </c>
      <c r="AP34" s="950" t="e">
        <f>AO34/AN17</f>
        <v>#DIV/0!</v>
      </c>
      <c r="AQ34" s="953" t="e">
        <f>AS34/AS17</f>
        <v>#DIV/0!</v>
      </c>
      <c r="AR34" s="294"/>
      <c r="AS34" s="946">
        <f>AS24-(AS29+AS33)</f>
        <v>0</v>
      </c>
      <c r="AT34" s="950" t="e">
        <f>AS34/AR17</f>
        <v>#DIV/0!</v>
      </c>
      <c r="AU34" s="627"/>
      <c r="AV34" s="294"/>
      <c r="AW34" s="1055">
        <f>AW24-(AW29+AW33)</f>
        <v>0</v>
      </c>
      <c r="AX34" s="950" t="e">
        <f>AW34/AV17</f>
        <v>#DIV/0!</v>
      </c>
      <c r="AY34" s="953">
        <f>BA34/BA17</f>
        <v>-2.2549990922955121E-2</v>
      </c>
      <c r="AZ34" s="656"/>
      <c r="BA34" s="951">
        <f>ROUND(((BA24-(BA29+BA33))),0)</f>
        <v>-1431695</v>
      </c>
      <c r="BB34" s="952">
        <f>BA34/AZ17</f>
        <v>-10.62995136800683</v>
      </c>
      <c r="BC34" s="1336">
        <f>BA34/BA17</f>
        <v>-2.2549990922955121E-2</v>
      </c>
      <c r="BD34" s="873"/>
      <c r="BE34" s="873"/>
    </row>
    <row r="35" spans="2:78" x14ac:dyDescent="0.3">
      <c r="B35" s="311" t="s">
        <v>39</v>
      </c>
      <c r="C35" s="626">
        <f t="shared" si="23"/>
        <v>4.1871049026878295E-3</v>
      </c>
      <c r="D35" s="316"/>
      <c r="E35" s="312">
        <f>'PAL I'!D24</f>
        <v>125000</v>
      </c>
      <c r="F35" s="313">
        <f>E35/D17</f>
        <v>8.079632861482775</v>
      </c>
      <c r="G35" s="626"/>
      <c r="H35" s="316"/>
      <c r="I35" s="312">
        <f>'PAL I'!G24</f>
        <v>125000</v>
      </c>
      <c r="J35" s="313">
        <f>I35/H17</f>
        <v>1.0485345680876408</v>
      </c>
      <c r="K35" s="651"/>
      <c r="L35" s="634"/>
      <c r="M35" s="312">
        <f>'PAL I'!J24</f>
        <v>0</v>
      </c>
      <c r="N35" s="313" t="e">
        <f>M35/L17</f>
        <v>#DIV/0!</v>
      </c>
      <c r="O35" s="651"/>
      <c r="P35" s="314"/>
      <c r="Q35" s="312">
        <f>'PAL I'!M24</f>
        <v>0</v>
      </c>
      <c r="R35" s="313" t="e">
        <f>Q35/P17</f>
        <v>#DIV/0!</v>
      </c>
      <c r="S35" s="651"/>
      <c r="T35" s="314"/>
      <c r="U35" s="312">
        <f>'PAL I'!P24</f>
        <v>0</v>
      </c>
      <c r="V35" s="313" t="e">
        <f>U35/T17</f>
        <v>#DIV/0!</v>
      </c>
      <c r="W35" s="651"/>
      <c r="X35" s="314"/>
      <c r="Y35" s="312">
        <f>'PAL I'!S24</f>
        <v>0</v>
      </c>
      <c r="Z35" s="313" t="e">
        <f>Y35/X17</f>
        <v>#DIV/0!</v>
      </c>
      <c r="AA35" s="651"/>
      <c r="AB35" s="314"/>
      <c r="AC35" s="312">
        <f>'PAL I'!V24</f>
        <v>0</v>
      </c>
      <c r="AD35" s="315"/>
      <c r="AE35" s="651"/>
      <c r="AF35" s="314"/>
      <c r="AG35" s="312">
        <f>'PAL I'!Y24</f>
        <v>0</v>
      </c>
      <c r="AH35" s="315"/>
      <c r="AI35" s="651"/>
      <c r="AJ35" s="314"/>
      <c r="AK35" s="312">
        <f>'PAL I'!AB24</f>
        <v>0</v>
      </c>
      <c r="AL35" s="315"/>
      <c r="AM35" s="651"/>
      <c r="AN35" s="314"/>
      <c r="AO35" s="312">
        <f>'PAL I'!AE24</f>
        <v>0</v>
      </c>
      <c r="AP35" s="315"/>
      <c r="AQ35" s="651"/>
      <c r="AR35" s="314"/>
      <c r="AS35" s="312">
        <f>'PAL I'!AH24</f>
        <v>0</v>
      </c>
      <c r="AT35" s="313"/>
      <c r="AU35" s="651"/>
      <c r="AV35" s="314"/>
      <c r="AW35" s="312">
        <f>'PAL I'!AK24</f>
        <v>0</v>
      </c>
      <c r="AX35" s="313"/>
      <c r="AY35" s="651">
        <f t="shared" si="26"/>
        <v>3.9376387643588751E-3</v>
      </c>
      <c r="AZ35" s="314"/>
      <c r="BA35" s="312">
        <f>'PAL I'!AN24</f>
        <v>250000</v>
      </c>
      <c r="BB35" s="313">
        <f>IF(BA35=0,0,BA35/AZ17)</f>
        <v>1.8561829453910978</v>
      </c>
      <c r="BC35" s="587">
        <f>BA35/BA17</f>
        <v>3.9376387643588751E-3</v>
      </c>
      <c r="BD35" s="876"/>
      <c r="BE35" s="876"/>
      <c r="BI35" s="12" t="s">
        <v>47</v>
      </c>
      <c r="BJ35" s="39">
        <f>BA35</f>
        <v>250000</v>
      </c>
    </row>
    <row r="36" spans="2:78" x14ac:dyDescent="0.3">
      <c r="B36" s="17" t="s">
        <v>220</v>
      </c>
      <c r="C36" s="601">
        <f t="shared" si="23"/>
        <v>1.2526812963665342E-2</v>
      </c>
      <c r="D36" s="286"/>
      <c r="E36" s="19">
        <f>'Indirect Expns'!B70</f>
        <v>373970</v>
      </c>
      <c r="F36" s="20">
        <f>E36/D17</f>
        <v>24.172322409669704</v>
      </c>
      <c r="G36" s="601"/>
      <c r="H36" s="286"/>
      <c r="I36" s="19">
        <f>'Indirect Expns'!C70</f>
        <v>263465</v>
      </c>
      <c r="J36" s="20">
        <f>I36/H17</f>
        <v>2.2100172798496822</v>
      </c>
      <c r="K36" s="646"/>
      <c r="L36" s="169"/>
      <c r="M36" s="19">
        <f>'Indirect Expns'!D70</f>
        <v>0</v>
      </c>
      <c r="N36" s="20" t="e">
        <f>M36/L17</f>
        <v>#DIV/0!</v>
      </c>
      <c r="O36" s="646"/>
      <c r="P36" s="140"/>
      <c r="Q36" s="19">
        <f>'Indirect Expns'!E70</f>
        <v>0</v>
      </c>
      <c r="R36" s="20" t="e">
        <f>Q36/P17</f>
        <v>#DIV/0!</v>
      </c>
      <c r="S36" s="646"/>
      <c r="T36" s="140"/>
      <c r="U36" s="19">
        <f>'Indirect Expns'!F70</f>
        <v>0</v>
      </c>
      <c r="V36" s="20" t="e">
        <f>U36/T17</f>
        <v>#DIV/0!</v>
      </c>
      <c r="W36" s="646"/>
      <c r="X36" s="140"/>
      <c r="Y36" s="19">
        <f>'Indirect Expns'!G70</f>
        <v>0</v>
      </c>
      <c r="Z36" s="20" t="e">
        <f>Y36/X17</f>
        <v>#DIV/0!</v>
      </c>
      <c r="AA36" s="646"/>
      <c r="AB36" s="140"/>
      <c r="AC36" s="19">
        <f>'Indirect Expns'!H70</f>
        <v>0</v>
      </c>
      <c r="AD36" s="20" t="e">
        <f>AC36/AB17</f>
        <v>#DIV/0!</v>
      </c>
      <c r="AE36" s="646"/>
      <c r="AF36" s="140"/>
      <c r="AG36" s="19">
        <f>'Indirect Expns'!I70</f>
        <v>0</v>
      </c>
      <c r="AH36" s="21"/>
      <c r="AI36" s="646"/>
      <c r="AJ36" s="140"/>
      <c r="AK36" s="19">
        <f>'Indirect Expns'!J70</f>
        <v>0</v>
      </c>
      <c r="AL36" s="21"/>
      <c r="AM36" s="646"/>
      <c r="AN36" s="140"/>
      <c r="AO36" s="19">
        <f>'Indirect Expns'!K70</f>
        <v>0</v>
      </c>
      <c r="AP36" s="21"/>
      <c r="AQ36" s="646"/>
      <c r="AR36" s="140"/>
      <c r="AS36" s="19">
        <f>'Indirect Expns'!L70</f>
        <v>0</v>
      </c>
      <c r="AT36" s="20"/>
      <c r="AU36" s="646"/>
      <c r="AV36" s="140"/>
      <c r="AW36" s="19">
        <f>'Indirect Expns'!M70</f>
        <v>0</v>
      </c>
      <c r="AX36" s="20"/>
      <c r="AY36" s="646">
        <f t="shared" si="26"/>
        <v>1.0039955063036399E-2</v>
      </c>
      <c r="AZ36" s="140"/>
      <c r="BA36" s="19">
        <f>ROUND((SUM(E36,I36,M36,Q36,U36,Y36,AC36,AG36,AK36,AO36,AS36,AW36)),0)</f>
        <v>637435</v>
      </c>
      <c r="BB36" s="20">
        <f>BA36/AZ17</f>
        <v>4.732783903181498</v>
      </c>
      <c r="BC36" s="586">
        <f>BA36/$BA$17</f>
        <v>1.0039955063036399E-2</v>
      </c>
      <c r="BD36" s="873"/>
      <c r="BE36" s="873"/>
      <c r="BI36" s="12" t="s">
        <v>243</v>
      </c>
      <c r="BJ36" s="39">
        <f>BA38</f>
        <v>0</v>
      </c>
    </row>
    <row r="37" spans="2:78" x14ac:dyDescent="0.3">
      <c r="B37" s="17" t="s">
        <v>221</v>
      </c>
      <c r="C37" s="601">
        <f t="shared" si="23"/>
        <v>0</v>
      </c>
      <c r="D37" s="286"/>
      <c r="E37" s="19">
        <f>'Indirect Expns'!B71</f>
        <v>0</v>
      </c>
      <c r="F37" s="20">
        <f>E37/D17</f>
        <v>0</v>
      </c>
      <c r="G37" s="601"/>
      <c r="H37" s="286"/>
      <c r="I37" s="19">
        <f>'Indirect Expns'!C71</f>
        <v>0</v>
      </c>
      <c r="J37" s="20">
        <f>I37/H17</f>
        <v>0</v>
      </c>
      <c r="K37" s="646"/>
      <c r="L37" s="169"/>
      <c r="M37" s="19">
        <f>'Indirect Expns'!D71</f>
        <v>0</v>
      </c>
      <c r="N37" s="20" t="e">
        <f>M37/L17</f>
        <v>#DIV/0!</v>
      </c>
      <c r="O37" s="646"/>
      <c r="P37" s="140"/>
      <c r="Q37" s="19">
        <f>'Indirect Expns'!E71</f>
        <v>0</v>
      </c>
      <c r="R37" s="20" t="e">
        <f>Q37/P17</f>
        <v>#DIV/0!</v>
      </c>
      <c r="S37" s="646"/>
      <c r="T37" s="140"/>
      <c r="U37" s="19">
        <f>'Indirect Expns'!F71</f>
        <v>0</v>
      </c>
      <c r="V37" s="20" t="e">
        <f>U37/T17</f>
        <v>#DIV/0!</v>
      </c>
      <c r="W37" s="646"/>
      <c r="X37" s="140"/>
      <c r="Y37" s="19"/>
      <c r="Z37" s="20" t="e">
        <f>Y37/X17</f>
        <v>#DIV/0!</v>
      </c>
      <c r="AA37" s="646"/>
      <c r="AB37" s="140"/>
      <c r="AC37" s="19">
        <f>'Indirect Expns'!H71</f>
        <v>0</v>
      </c>
      <c r="AD37" s="20" t="e">
        <f>AC37/AB17</f>
        <v>#DIV/0!</v>
      </c>
      <c r="AE37" s="646"/>
      <c r="AF37" s="140"/>
      <c r="AG37" s="19"/>
      <c r="AH37" s="21"/>
      <c r="AI37" s="646"/>
      <c r="AJ37" s="140"/>
      <c r="AK37" s="19">
        <f>'Indirect Expns'!J71</f>
        <v>0</v>
      </c>
      <c r="AL37" s="21"/>
      <c r="AM37" s="646"/>
      <c r="AN37" s="140"/>
      <c r="AO37" s="19"/>
      <c r="AP37" s="21"/>
      <c r="AQ37" s="646"/>
      <c r="AR37" s="140"/>
      <c r="AS37" s="19">
        <f>'Indirect Expns'!L71</f>
        <v>0</v>
      </c>
      <c r="AT37" s="20"/>
      <c r="AU37" s="646"/>
      <c r="AV37" s="140"/>
      <c r="AW37" s="19">
        <f>'Indirect Expns'!M71</f>
        <v>0</v>
      </c>
      <c r="AX37" s="20"/>
      <c r="AY37" s="646">
        <f t="shared" si="26"/>
        <v>0</v>
      </c>
      <c r="AZ37" s="140"/>
      <c r="BA37" s="19">
        <f>ROUND((SUM(E37,I37,M37,Q37,U37,Y37,AC37,AG37,AK37,AO37,AS37,AW37)),0)</f>
        <v>0</v>
      </c>
      <c r="BB37" s="20">
        <f>BA37/AZ17</f>
        <v>0</v>
      </c>
      <c r="BC37" s="586">
        <f>BA37/$BA$17</f>
        <v>0</v>
      </c>
      <c r="BD37" s="873"/>
      <c r="BE37" s="873"/>
      <c r="BJ37" s="39">
        <f>SUM(BJ35:BJ36)</f>
        <v>250000</v>
      </c>
      <c r="BY37" s="680"/>
      <c r="BZ37" s="682"/>
    </row>
    <row r="38" spans="2:78" x14ac:dyDescent="0.3">
      <c r="B38" s="69" t="s">
        <v>366</v>
      </c>
      <c r="C38" s="601">
        <f t="shared" si="23"/>
        <v>0</v>
      </c>
      <c r="D38" s="332" t="s">
        <v>2</v>
      </c>
      <c r="E38" s="105">
        <f>'Indirect Expns'!B72</f>
        <v>0</v>
      </c>
      <c r="F38" s="20">
        <f>E38/D17</f>
        <v>0</v>
      </c>
      <c r="G38" s="601"/>
      <c r="H38" s="332"/>
      <c r="I38" s="19">
        <f>'Indirect Expns'!C72</f>
        <v>0</v>
      </c>
      <c r="J38" s="20">
        <f>I38/H17</f>
        <v>0</v>
      </c>
      <c r="K38" s="646"/>
      <c r="L38" s="549"/>
      <c r="M38" s="19">
        <f>'Indirect Expns'!D72</f>
        <v>0</v>
      </c>
      <c r="N38" s="20" t="e">
        <f>M38/L17</f>
        <v>#DIV/0!</v>
      </c>
      <c r="O38" s="646"/>
      <c r="P38" s="139"/>
      <c r="Q38" s="19">
        <f>'Indirect Expns'!E72</f>
        <v>0</v>
      </c>
      <c r="R38" s="20" t="e">
        <f>Q38/P17</f>
        <v>#DIV/0!</v>
      </c>
      <c r="S38" s="646"/>
      <c r="T38" s="139"/>
      <c r="U38" s="19">
        <f>'Indirect Expns'!F72</f>
        <v>0</v>
      </c>
      <c r="V38" s="20" t="e">
        <f>U38/T17</f>
        <v>#DIV/0!</v>
      </c>
      <c r="W38" s="646"/>
      <c r="X38" s="139"/>
      <c r="Y38" s="105">
        <f>'Indirect Expns'!G72</f>
        <v>0</v>
      </c>
      <c r="Z38" s="20" t="e">
        <f>Y38/X17</f>
        <v>#DIV/0!</v>
      </c>
      <c r="AA38" s="646"/>
      <c r="AB38" s="139"/>
      <c r="AC38" s="19">
        <f>'Indirect Expns'!H72</f>
        <v>0</v>
      </c>
      <c r="AD38" s="20" t="e">
        <f>AC38/AB17</f>
        <v>#DIV/0!</v>
      </c>
      <c r="AE38" s="646"/>
      <c r="AF38" s="139"/>
      <c r="AG38" s="19">
        <f>'Indirect Expns'!I72</f>
        <v>0</v>
      </c>
      <c r="AH38" s="21"/>
      <c r="AI38" s="646"/>
      <c r="AJ38" s="139"/>
      <c r="AK38" s="19">
        <f>'Indirect Expns'!J72</f>
        <v>0</v>
      </c>
      <c r="AL38" s="21"/>
      <c r="AM38" s="646"/>
      <c r="AN38" s="139"/>
      <c r="AO38" s="19">
        <f>'Indirect Expns'!K72</f>
        <v>0</v>
      </c>
      <c r="AP38" s="21"/>
      <c r="AQ38" s="646"/>
      <c r="AR38" s="139"/>
      <c r="AS38" s="19">
        <f>'Indirect Expns'!L72</f>
        <v>0</v>
      </c>
      <c r="AT38" s="20"/>
      <c r="AU38" s="646"/>
      <c r="AV38" s="139"/>
      <c r="AW38" s="19">
        <f>'Indirect Expns'!M72</f>
        <v>0</v>
      </c>
      <c r="AX38" s="20"/>
      <c r="AY38" s="646">
        <f t="shared" si="26"/>
        <v>0</v>
      </c>
      <c r="AZ38" s="139"/>
      <c r="BA38" s="19">
        <f>ROUND((SUM(E38,I38,M38,Q38,U38,Y38,AC38,AG38,AK38,AO38,AS38,AW38)),0)</f>
        <v>0</v>
      </c>
      <c r="BB38" s="20">
        <f>BA38/AZ17</f>
        <v>0</v>
      </c>
      <c r="BC38" s="586">
        <f>BA38/$BA$17</f>
        <v>0</v>
      </c>
      <c r="BD38" s="873"/>
      <c r="BE38" s="873"/>
      <c r="BG38" s="39">
        <f>BA38/9</f>
        <v>0</v>
      </c>
      <c r="BI38" s="12" t="s">
        <v>300</v>
      </c>
      <c r="BJ38" s="77">
        <f>BA44</f>
        <v>-2487981</v>
      </c>
    </row>
    <row r="39" spans="2:78" ht="15" thickBot="1" x14ac:dyDescent="0.35">
      <c r="B39" s="45" t="s">
        <v>222</v>
      </c>
      <c r="C39" s="604">
        <f t="shared" si="23"/>
        <v>2.8343015538882244E-3</v>
      </c>
      <c r="D39" s="290"/>
      <c r="E39" s="46">
        <f>'Indirect Expns'!B73</f>
        <v>84614</v>
      </c>
      <c r="F39" s="287">
        <f>E39/D17</f>
        <v>5.4692004395320275</v>
      </c>
      <c r="G39" s="604"/>
      <c r="H39" s="290"/>
      <c r="I39" s="46">
        <f>'Indirect Expns'!C73</f>
        <v>84237</v>
      </c>
      <c r="J39" s="287">
        <f>I39/H17</f>
        <v>0.70660325129598878</v>
      </c>
      <c r="K39" s="650"/>
      <c r="L39" s="635"/>
      <c r="M39" s="46">
        <f>'Indirect Expns'!D73</f>
        <v>0</v>
      </c>
      <c r="N39" s="287" t="e">
        <f>M39/L17</f>
        <v>#DIV/0!</v>
      </c>
      <c r="O39" s="650"/>
      <c r="P39" s="288"/>
      <c r="Q39" s="46">
        <f>'Indirect Expns'!E73</f>
        <v>0</v>
      </c>
      <c r="R39" s="287" t="e">
        <f>Q39/P17</f>
        <v>#DIV/0!</v>
      </c>
      <c r="S39" s="650"/>
      <c r="T39" s="288"/>
      <c r="U39" s="46">
        <f>'Indirect Expns'!F73</f>
        <v>0</v>
      </c>
      <c r="V39" s="287" t="e">
        <f>U39/T17</f>
        <v>#DIV/0!</v>
      </c>
      <c r="W39" s="650"/>
      <c r="X39" s="288"/>
      <c r="Y39" s="46">
        <f>'Indirect Expns'!G73</f>
        <v>0</v>
      </c>
      <c r="Z39" s="287" t="e">
        <f>Y39/X17</f>
        <v>#DIV/0!</v>
      </c>
      <c r="AA39" s="650"/>
      <c r="AB39" s="288"/>
      <c r="AC39" s="46">
        <f>'Indirect Expns'!H73</f>
        <v>0</v>
      </c>
      <c r="AD39" s="287" t="e">
        <f>AC39/AB17</f>
        <v>#DIV/0!</v>
      </c>
      <c r="AE39" s="650"/>
      <c r="AF39" s="288"/>
      <c r="AG39" s="46">
        <f>'Indirect Expns'!I73</f>
        <v>0</v>
      </c>
      <c r="AH39" s="289"/>
      <c r="AI39" s="650"/>
      <c r="AJ39" s="288"/>
      <c r="AK39" s="46">
        <f>'Indirect Expns'!J73</f>
        <v>0</v>
      </c>
      <c r="AL39" s="289"/>
      <c r="AM39" s="650"/>
      <c r="AN39" s="288"/>
      <c r="AO39" s="46">
        <f>'Indirect Expns'!K73</f>
        <v>0</v>
      </c>
      <c r="AP39" s="289"/>
      <c r="AQ39" s="650"/>
      <c r="AR39" s="288"/>
      <c r="AS39" s="46">
        <f>'Indirect Expns'!L73</f>
        <v>0</v>
      </c>
      <c r="AT39" s="287"/>
      <c r="AU39" s="650"/>
      <c r="AV39" s="288"/>
      <c r="AW39" s="46">
        <f>'Indirect Expns'!M73</f>
        <v>0</v>
      </c>
      <c r="AX39" s="287"/>
      <c r="AY39" s="650">
        <f t="shared" si="26"/>
        <v>2.6594969720030418E-3</v>
      </c>
      <c r="AZ39" s="288"/>
      <c r="BA39" s="46">
        <f>ROUND((SUM(E39,I39,M39,Q39,U39,Y39,AC39,AG39,AK39,AO39,AS39,AW39)),0)</f>
        <v>168851</v>
      </c>
      <c r="BB39" s="287">
        <f>BA39/AZ17</f>
        <v>1.2536733860489291</v>
      </c>
      <c r="BC39" s="586">
        <f>BA39/$BA$17</f>
        <v>2.6594969720030418E-3</v>
      </c>
      <c r="BD39" s="39">
        <f>BA40+BA33</f>
        <v>1773243</v>
      </c>
      <c r="BE39" s="873"/>
      <c r="BI39" s="12" t="s">
        <v>301</v>
      </c>
      <c r="BJ39" s="39">
        <f>SUM(BJ37:BJ38)</f>
        <v>-2237981</v>
      </c>
      <c r="BK39" s="128">
        <f>BJ39/BA17</f>
        <v>-3.5249442957994565E-2</v>
      </c>
    </row>
    <row r="40" spans="2:78" ht="15" thickTop="1" x14ac:dyDescent="0.3">
      <c r="B40" s="123" t="s">
        <v>223</v>
      </c>
      <c r="C40" s="603">
        <f t="shared" si="23"/>
        <v>1.5361114517553566E-2</v>
      </c>
      <c r="D40" s="298"/>
      <c r="E40" s="295">
        <f>SUM(E36:E39)</f>
        <v>458584</v>
      </c>
      <c r="F40" s="296">
        <f>E40/D17</f>
        <v>29.641522849201731</v>
      </c>
      <c r="G40" s="603"/>
      <c r="H40" s="298"/>
      <c r="I40" s="295">
        <f>SUM(I36:I39)</f>
        <v>347702</v>
      </c>
      <c r="J40" s="296">
        <f>I40/H17</f>
        <v>2.916620531145671</v>
      </c>
      <c r="K40" s="649"/>
      <c r="L40" s="124"/>
      <c r="M40" s="295">
        <f>SUM(M36:M39)</f>
        <v>0</v>
      </c>
      <c r="N40" s="296" t="e">
        <f>M40/L17</f>
        <v>#DIV/0!</v>
      </c>
      <c r="O40" s="649"/>
      <c r="P40" s="297"/>
      <c r="Q40" s="295">
        <f>SUM(Q36:Q39)</f>
        <v>0</v>
      </c>
      <c r="R40" s="296" t="e">
        <f>Q40/P17</f>
        <v>#DIV/0!</v>
      </c>
      <c r="S40" s="649"/>
      <c r="T40" s="297"/>
      <c r="U40" s="295">
        <f>SUM(U36:U39)</f>
        <v>0</v>
      </c>
      <c r="V40" s="296" t="e">
        <f>U40/T17</f>
        <v>#DIV/0!</v>
      </c>
      <c r="W40" s="649"/>
      <c r="X40" s="297"/>
      <c r="Y40" s="295">
        <f>SUM(Y36:Y39)</f>
        <v>0</v>
      </c>
      <c r="Z40" s="296" t="e">
        <f>Y40/X17</f>
        <v>#DIV/0!</v>
      </c>
      <c r="AA40" s="649"/>
      <c r="AB40" s="297"/>
      <c r="AC40" s="295">
        <f>SUM(AC36:AC39)</f>
        <v>0</v>
      </c>
      <c r="AD40" s="296" t="e">
        <f>AC40/AB17</f>
        <v>#DIV/0!</v>
      </c>
      <c r="AE40" s="649"/>
      <c r="AF40" s="297"/>
      <c r="AG40" s="295">
        <f>SUM(AG36:AG39)</f>
        <v>0</v>
      </c>
      <c r="AH40" s="296" t="e">
        <f>AG40/AF17</f>
        <v>#DIV/0!</v>
      </c>
      <c r="AI40" s="649"/>
      <c r="AJ40" s="297"/>
      <c r="AK40" s="295">
        <f>SUM(AK36:AK39)</f>
        <v>0</v>
      </c>
      <c r="AL40" s="296" t="e">
        <f>AK40/AJ17</f>
        <v>#DIV/0!</v>
      </c>
      <c r="AM40" s="649"/>
      <c r="AN40" s="297"/>
      <c r="AO40" s="295">
        <f>SUM(AO36:AO39)</f>
        <v>0</v>
      </c>
      <c r="AP40" s="296" t="e">
        <f>AO40/AN17</f>
        <v>#DIV/0!</v>
      </c>
      <c r="AQ40" s="649"/>
      <c r="AR40" s="297"/>
      <c r="AS40" s="295">
        <f>SUM(AS36:AS39)</f>
        <v>0</v>
      </c>
      <c r="AT40" s="296" t="e">
        <f>AS40/AR17</f>
        <v>#DIV/0!</v>
      </c>
      <c r="AU40" s="649"/>
      <c r="AV40" s="297"/>
      <c r="AW40" s="295">
        <f>SUM(AW36:AW39)</f>
        <v>0</v>
      </c>
      <c r="AX40" s="296" t="e">
        <f>AW40/AV17</f>
        <v>#DIV/0!</v>
      </c>
      <c r="AY40" s="649">
        <f t="shared" si="26"/>
        <v>1.269945203503944E-2</v>
      </c>
      <c r="AZ40" s="297"/>
      <c r="BA40" s="295">
        <f>SUM(BA36:BA39)</f>
        <v>806286</v>
      </c>
      <c r="BB40" s="296">
        <f>BA40/AZ17</f>
        <v>5.9864572892304269</v>
      </c>
      <c r="BC40" s="588">
        <f>BA40/BA17</f>
        <v>1.269945203503944E-2</v>
      </c>
      <c r="BD40" s="39">
        <f>BA35+BA40</f>
        <v>1056286</v>
      </c>
      <c r="BE40" s="12">
        <v>6</v>
      </c>
      <c r="BI40" s="39">
        <f>BJ39/AZ17</f>
        <v>-16.616408657237258</v>
      </c>
    </row>
    <row r="41" spans="2:78" ht="15" thickBot="1" x14ac:dyDescent="0.35">
      <c r="B41" s="594" t="s">
        <v>287</v>
      </c>
      <c r="C41" s="628">
        <f t="shared" si="23"/>
        <v>1.9548219420241396E-2</v>
      </c>
      <c r="D41" s="310"/>
      <c r="E41" s="307">
        <f>E35+E40</f>
        <v>583584</v>
      </c>
      <c r="F41" s="308">
        <f>E41/(D17)</f>
        <v>37.721155710684506</v>
      </c>
      <c r="G41" s="628"/>
      <c r="H41" s="310"/>
      <c r="I41" s="307">
        <f>I35+I40</f>
        <v>472702</v>
      </c>
      <c r="J41" s="308">
        <f>I41/(H17)</f>
        <v>3.9651550992333116</v>
      </c>
      <c r="K41" s="652"/>
      <c r="L41" s="636"/>
      <c r="M41" s="307">
        <f>M35+M40</f>
        <v>0</v>
      </c>
      <c r="N41" s="308" t="e">
        <f>M41/(L17)</f>
        <v>#DIV/0!</v>
      </c>
      <c r="O41" s="652"/>
      <c r="P41" s="309"/>
      <c r="Q41" s="307">
        <f>Q35+Q40</f>
        <v>0</v>
      </c>
      <c r="R41" s="308" t="e">
        <f>Q41/(P17)</f>
        <v>#DIV/0!</v>
      </c>
      <c r="S41" s="652"/>
      <c r="T41" s="309"/>
      <c r="U41" s="307">
        <f>U35+U40</f>
        <v>0</v>
      </c>
      <c r="V41" s="308" t="e">
        <f>U41/(T17)</f>
        <v>#DIV/0!</v>
      </c>
      <c r="W41" s="652"/>
      <c r="X41" s="309"/>
      <c r="Y41" s="307">
        <f>Y35+Y40</f>
        <v>0</v>
      </c>
      <c r="Z41" s="308" t="e">
        <f>Y41/(X17)</f>
        <v>#DIV/0!</v>
      </c>
      <c r="AA41" s="652"/>
      <c r="AB41" s="309"/>
      <c r="AC41" s="307">
        <f>AC35+AC40</f>
        <v>0</v>
      </c>
      <c r="AD41" s="308" t="e">
        <f>AC41/(AB17)</f>
        <v>#DIV/0!</v>
      </c>
      <c r="AE41" s="652"/>
      <c r="AF41" s="309"/>
      <c r="AG41" s="307">
        <f>AG35+AG40</f>
        <v>0</v>
      </c>
      <c r="AH41" s="308" t="e">
        <f>AG41/(AF17)</f>
        <v>#DIV/0!</v>
      </c>
      <c r="AI41" s="652"/>
      <c r="AJ41" s="309"/>
      <c r="AK41" s="307">
        <f>AK35+AK40</f>
        <v>0</v>
      </c>
      <c r="AL41" s="308" t="e">
        <f>AK41/(AJ17)</f>
        <v>#DIV/0!</v>
      </c>
      <c r="AM41" s="652"/>
      <c r="AN41" s="309"/>
      <c r="AO41" s="307">
        <f>AO35+AO40</f>
        <v>0</v>
      </c>
      <c r="AP41" s="308" t="e">
        <f>AO41/(AN17)</f>
        <v>#DIV/0!</v>
      </c>
      <c r="AQ41" s="652"/>
      <c r="AR41" s="309"/>
      <c r="AS41" s="307">
        <f>AS35+AS40</f>
        <v>0</v>
      </c>
      <c r="AT41" s="308" t="e">
        <f>AS41/(AR17)</f>
        <v>#DIV/0!</v>
      </c>
      <c r="AU41" s="652"/>
      <c r="AV41" s="309"/>
      <c r="AW41" s="307">
        <f>AW35+AW40</f>
        <v>0</v>
      </c>
      <c r="AX41" s="308" t="e">
        <f>AW41/(AV17)</f>
        <v>#DIV/0!</v>
      </c>
      <c r="AY41" s="652">
        <f t="shared" si="26"/>
        <v>1.6637090799398315E-2</v>
      </c>
      <c r="AZ41" s="309"/>
      <c r="BA41" s="307">
        <f>BA35+BA40</f>
        <v>1056286</v>
      </c>
      <c r="BB41" s="308">
        <f>BA41/(AZ17)</f>
        <v>7.8426402346215243</v>
      </c>
      <c r="BC41" s="589">
        <f>BA41/$BA$17</f>
        <v>1.6637090799398315E-2</v>
      </c>
      <c r="BD41" s="464">
        <f>ROUND(((BA35+BA40)/BE40),0)</f>
        <v>176048</v>
      </c>
      <c r="BE41" s="873"/>
    </row>
    <row r="42" spans="2:78" ht="15" thickBot="1" x14ac:dyDescent="0.35">
      <c r="B42" s="595" t="s">
        <v>38</v>
      </c>
      <c r="C42" s="631">
        <f>E42/E17</f>
        <v>0.41401915744529388</v>
      </c>
      <c r="D42" s="622">
        <f>D25+D41</f>
        <v>0</v>
      </c>
      <c r="E42" s="320">
        <f>SUM(E29,E33,E41)</f>
        <v>12359947</v>
      </c>
      <c r="F42" s="318">
        <f>E42/(D17)</f>
        <v>798.91067157908344</v>
      </c>
      <c r="G42" s="631">
        <f>I42/I17</f>
        <v>0.3091464411489469</v>
      </c>
      <c r="H42" s="622">
        <f>H25+H41</f>
        <v>0</v>
      </c>
      <c r="I42" s="320">
        <f>SUM(I29,I33,I41)</f>
        <v>10398531</v>
      </c>
      <c r="J42" s="318">
        <f>I42/(H17)</f>
        <v>87.225753686647536</v>
      </c>
      <c r="K42" s="653" t="e">
        <f>M42/M17</f>
        <v>#DIV/0!</v>
      </c>
      <c r="L42" s="637"/>
      <c r="M42" s="320">
        <f>SUM(M29,M33,M41)</f>
        <v>0</v>
      </c>
      <c r="N42" s="318" t="e">
        <f>M42/(L17)</f>
        <v>#DIV/0!</v>
      </c>
      <c r="O42" s="653" t="e">
        <f>Q42/Q17</f>
        <v>#DIV/0!</v>
      </c>
      <c r="P42" s="319"/>
      <c r="Q42" s="320">
        <f>SUM(Q29,Q33,Q41)</f>
        <v>0</v>
      </c>
      <c r="R42" s="317" t="e">
        <f>Q42/(P17)</f>
        <v>#DIV/0!</v>
      </c>
      <c r="S42" s="653" t="e">
        <f>U42/U17</f>
        <v>#DIV/0!</v>
      </c>
      <c r="T42" s="319"/>
      <c r="U42" s="320">
        <f>SUM(U29,U33,U41)</f>
        <v>0</v>
      </c>
      <c r="V42" s="318" t="e">
        <f>U42/(T17)</f>
        <v>#DIV/0!</v>
      </c>
      <c r="W42" s="653" t="e">
        <f>Y42/Y17</f>
        <v>#DIV/0!</v>
      </c>
      <c r="X42" s="319"/>
      <c r="Y42" s="320">
        <f>SUM(Y29,Y33,Y41)</f>
        <v>0</v>
      </c>
      <c r="Z42" s="318" t="e">
        <f>Y42/(X17)</f>
        <v>#DIV/0!</v>
      </c>
      <c r="AA42" s="653" t="e">
        <f>AC42/AC17</f>
        <v>#DIV/0!</v>
      </c>
      <c r="AB42" s="319"/>
      <c r="AC42" s="320">
        <f>SUM(AC29,AC33,AC41)</f>
        <v>0</v>
      </c>
      <c r="AD42" s="317" t="e">
        <f>AC42/(AB17)</f>
        <v>#DIV/0!</v>
      </c>
      <c r="AE42" s="653" t="e">
        <f>AG42/AG17</f>
        <v>#DIV/0!</v>
      </c>
      <c r="AF42" s="319"/>
      <c r="AG42" s="320">
        <f>SUM(AG29,AG33,AG41)</f>
        <v>0</v>
      </c>
      <c r="AH42" s="317" t="e">
        <f>AG42/(AF17)</f>
        <v>#DIV/0!</v>
      </c>
      <c r="AI42" s="653" t="e">
        <f>AK42/AK17</f>
        <v>#DIV/0!</v>
      </c>
      <c r="AJ42" s="319"/>
      <c r="AK42" s="320">
        <f>SUM(AK29,AK33,AK41)</f>
        <v>0</v>
      </c>
      <c r="AL42" s="317" t="e">
        <f>AK42/(AJ17)</f>
        <v>#DIV/0!</v>
      </c>
      <c r="AM42" s="653" t="e">
        <f>AO42/AO17</f>
        <v>#DIV/0!</v>
      </c>
      <c r="AN42" s="319"/>
      <c r="AO42" s="320">
        <f>SUM(AO29,AO33,AO41)</f>
        <v>0</v>
      </c>
      <c r="AP42" s="317" t="e">
        <f>AO42/(AN17)</f>
        <v>#DIV/0!</v>
      </c>
      <c r="AQ42" s="653" t="e">
        <f>AS42/AS17</f>
        <v>#DIV/0!</v>
      </c>
      <c r="AR42" s="319"/>
      <c r="AS42" s="320">
        <f>SUM(AS29,AS33,AS41)</f>
        <v>0</v>
      </c>
      <c r="AT42" s="318" t="e">
        <f>AS42/(AR17)</f>
        <v>#DIV/0!</v>
      </c>
      <c r="AU42" s="653" t="e">
        <f>AW42/AW17</f>
        <v>#DIV/0!</v>
      </c>
      <c r="AV42" s="319"/>
      <c r="AW42" s="320">
        <f>SUM(AW29,AW33+AW41)</f>
        <v>0</v>
      </c>
      <c r="AX42" s="318" t="e">
        <f>SUM(AX25:AX41)</f>
        <v>#DIV/0!</v>
      </c>
      <c r="AY42" s="653">
        <f>BA42/BA17</f>
        <v>0.3584586607624346</v>
      </c>
      <c r="AZ42" s="319">
        <f>AZ25+AZ41</f>
        <v>0</v>
      </c>
      <c r="BA42" s="320">
        <f>SUM(BA29,BA33,BA41)</f>
        <v>22758478</v>
      </c>
      <c r="BB42" s="318">
        <f>BA42/(AZ17)</f>
        <v>168.975594906634</v>
      </c>
      <c r="BD42" s="872"/>
      <c r="BE42" s="872"/>
    </row>
    <row r="43" spans="2:78" ht="15" thickBot="1" x14ac:dyDescent="0.35">
      <c r="D43" s="67"/>
      <c r="E43" s="39"/>
      <c r="F43" s="64"/>
      <c r="H43" s="67"/>
      <c r="I43" s="39"/>
      <c r="J43" s="64"/>
      <c r="K43" s="39"/>
      <c r="L43" s="67"/>
      <c r="M43" s="39"/>
      <c r="N43" s="64"/>
      <c r="O43" s="39"/>
      <c r="P43" s="67"/>
      <c r="Q43" s="39"/>
      <c r="R43" s="64"/>
      <c r="S43" s="39"/>
      <c r="T43" s="67"/>
      <c r="U43" s="39"/>
      <c r="V43" s="64"/>
      <c r="W43" s="39"/>
      <c r="X43" s="67"/>
      <c r="Y43" s="39"/>
      <c r="Z43" s="64"/>
      <c r="AA43" s="39"/>
      <c r="AB43" s="67"/>
      <c r="AC43" s="39"/>
      <c r="AD43" s="64"/>
      <c r="AE43" s="39"/>
      <c r="AF43" s="67"/>
      <c r="AG43" s="39"/>
      <c r="AH43" s="64"/>
      <c r="AI43" s="39"/>
      <c r="AJ43" s="67"/>
      <c r="AK43" s="39"/>
      <c r="AL43" s="64"/>
      <c r="AM43" s="39"/>
      <c r="AN43" s="67"/>
      <c r="AO43" s="39"/>
      <c r="AP43" s="64"/>
      <c r="AQ43" s="39"/>
      <c r="AR43" s="67"/>
      <c r="AS43" s="39"/>
      <c r="AT43" s="64"/>
      <c r="AU43" s="39"/>
      <c r="AV43" s="67"/>
      <c r="AW43" s="64"/>
      <c r="AX43" s="64"/>
      <c r="AY43" s="39"/>
      <c r="AZ43" s="67"/>
      <c r="BA43" s="39"/>
      <c r="BB43" s="64"/>
      <c r="BD43" s="872"/>
      <c r="BE43" s="872"/>
    </row>
    <row r="44" spans="2:78" ht="15" thickBot="1" x14ac:dyDescent="0.35">
      <c r="B44" s="74" t="s">
        <v>40</v>
      </c>
      <c r="C44" s="630">
        <f>E44/E17</f>
        <v>0.15442719517264991</v>
      </c>
      <c r="D44" s="271"/>
      <c r="E44" s="112">
        <f>E34-(E35+E40)</f>
        <v>4610202</v>
      </c>
      <c r="F44" s="76"/>
      <c r="G44" s="630">
        <f>I44/I17</f>
        <v>0.22621936331036535</v>
      </c>
      <c r="H44" s="271"/>
      <c r="I44" s="112">
        <f>I24-I42</f>
        <v>7609174</v>
      </c>
      <c r="J44" s="76">
        <f>I44/(H16)</f>
        <v>77.028405409782962</v>
      </c>
      <c r="K44" s="655" t="e">
        <f>M44/M17</f>
        <v>#DIV/0!</v>
      </c>
      <c r="L44" s="654"/>
      <c r="M44" s="112">
        <f>M24-M42</f>
        <v>-79793096</v>
      </c>
      <c r="N44" s="76" t="e">
        <f>M44/L16</f>
        <v>#DIV/0!</v>
      </c>
      <c r="O44" s="655" t="e">
        <f>Q44/Q17</f>
        <v>#DIV/0!</v>
      </c>
      <c r="P44" s="654"/>
      <c r="Q44" s="112">
        <f>Q24-Q42</f>
        <v>0</v>
      </c>
      <c r="R44" s="76" t="e">
        <f>Q44/(P16)</f>
        <v>#DIV/0!</v>
      </c>
      <c r="S44" s="655" t="e">
        <f>U44/U17</f>
        <v>#DIV/0!</v>
      </c>
      <c r="T44" s="338"/>
      <c r="U44" s="112">
        <f>U24-U42</f>
        <v>0</v>
      </c>
      <c r="V44" s="76" t="e">
        <f>U44/(T16)</f>
        <v>#DIV/0!</v>
      </c>
      <c r="W44" s="655" t="e">
        <f>Y44/Y17</f>
        <v>#DIV/0!</v>
      </c>
      <c r="X44" s="654"/>
      <c r="Y44" s="112">
        <f>Y24-Y42</f>
        <v>0</v>
      </c>
      <c r="Z44" s="76" t="e">
        <f>Y44/(X16)</f>
        <v>#DIV/0!</v>
      </c>
      <c r="AA44" s="655" t="e">
        <f>AC44/AC17</f>
        <v>#DIV/0!</v>
      </c>
      <c r="AB44" s="654"/>
      <c r="AC44" s="112">
        <f>AC24-AC42</f>
        <v>0</v>
      </c>
      <c r="AD44" s="1046">
        <f>IF(AC42=0,0,AC44/AB16)</f>
        <v>0</v>
      </c>
      <c r="AE44" s="655" t="e">
        <f>AG44/AG17</f>
        <v>#DIV/0!</v>
      </c>
      <c r="AF44" s="338"/>
      <c r="AG44" s="112">
        <f>AG24-AG42</f>
        <v>0</v>
      </c>
      <c r="AH44" s="281">
        <f>IF(AG42=0,0,AG44/AF16)</f>
        <v>0</v>
      </c>
      <c r="AI44" s="655" t="e">
        <f>AK44/AK17</f>
        <v>#DIV/0!</v>
      </c>
      <c r="AJ44" s="657"/>
      <c r="AK44" s="112">
        <f>AK24-AK42</f>
        <v>0</v>
      </c>
      <c r="AL44" s="281">
        <f>IF(AK42=0,0,AK44/AJ16)</f>
        <v>0</v>
      </c>
      <c r="AM44" s="655" t="e">
        <f>AO44/AO17</f>
        <v>#DIV/0!</v>
      </c>
      <c r="AN44" s="654"/>
      <c r="AO44" s="112">
        <f>AO24-AO42</f>
        <v>0</v>
      </c>
      <c r="AP44" s="281">
        <f>IF(AO42=0,0,AO44/AN16)</f>
        <v>0</v>
      </c>
      <c r="AQ44" s="655" t="e">
        <f>AS44/AS17</f>
        <v>#DIV/0!</v>
      </c>
      <c r="AR44" s="657"/>
      <c r="AS44" s="112">
        <f>AS24-AS42</f>
        <v>0</v>
      </c>
      <c r="AT44" s="659">
        <f>IF(AS42=0,0,AS44/AR16)</f>
        <v>0</v>
      </c>
      <c r="AU44" s="658">
        <f>IF($AW$17=0,0,(AW44/AW$17))</f>
        <v>0</v>
      </c>
      <c r="AV44" s="654"/>
      <c r="AW44" s="112">
        <f>AW24-AW42</f>
        <v>0</v>
      </c>
      <c r="AX44" s="76">
        <f>IF(AW42=0,0,AW44/AV16)</f>
        <v>0</v>
      </c>
      <c r="AY44" s="655">
        <f>BA44/BA17</f>
        <v>-3.918708172235344E-2</v>
      </c>
      <c r="AZ44" s="654"/>
      <c r="BA44" s="112">
        <f>BA34-(BA35+BA40)</f>
        <v>-2487981</v>
      </c>
      <c r="BB44" s="76">
        <f>BA44/(AZ17)</f>
        <v>-18.472591602628356</v>
      </c>
      <c r="BC44" s="1337">
        <f>BA44/BA17</f>
        <v>-3.918708172235344E-2</v>
      </c>
      <c r="BD44" s="877"/>
      <c r="BE44" s="877"/>
      <c r="BF44" s="129">
        <f>BF24+AZ24</f>
        <v>142124.51343706311</v>
      </c>
      <c r="BG44" s="128">
        <f>BF44/AZ16</f>
        <v>1.4387402153897708</v>
      </c>
    </row>
    <row r="45" spans="2:78" x14ac:dyDescent="0.3">
      <c r="E45" s="77"/>
      <c r="F45" s="77"/>
      <c r="G45" s="77"/>
      <c r="I45" s="77"/>
      <c r="J45" s="77"/>
      <c r="K45" s="77"/>
      <c r="M45" s="77"/>
      <c r="N45" s="77"/>
      <c r="O45" s="77"/>
      <c r="Q45" s="77"/>
      <c r="R45" s="77"/>
      <c r="S45" s="77"/>
      <c r="U45" s="77"/>
      <c r="V45" s="77"/>
      <c r="W45" s="77"/>
      <c r="Y45" s="39"/>
      <c r="AC45" s="39"/>
      <c r="AD45" s="39"/>
      <c r="AG45" s="77"/>
      <c r="AK45" s="39"/>
      <c r="AO45" s="39"/>
      <c r="BA45" s="77"/>
      <c r="BB45" s="39"/>
      <c r="BD45" s="872"/>
      <c r="BE45" s="872"/>
    </row>
    <row r="46" spans="2:78" ht="15" thickBot="1" x14ac:dyDescent="0.35">
      <c r="B46" s="299" t="s">
        <v>120</v>
      </c>
      <c r="C46" s="299"/>
      <c r="D46" s="299"/>
      <c r="E46" s="300">
        <f>E44+E45</f>
        <v>4610202</v>
      </c>
      <c r="F46" s="300"/>
      <c r="G46" s="300"/>
      <c r="H46" s="299"/>
      <c r="I46" s="300">
        <f>I44+I45</f>
        <v>7609174</v>
      </c>
      <c r="J46" s="300"/>
      <c r="K46" s="300"/>
      <c r="L46" s="299"/>
      <c r="M46" s="300">
        <f>M44+M45</f>
        <v>-79793096</v>
      </c>
      <c r="N46" s="300"/>
      <c r="O46" s="300"/>
      <c r="P46" s="299"/>
      <c r="Q46" s="300">
        <f>Q44-Q45</f>
        <v>0</v>
      </c>
      <c r="R46" s="300"/>
      <c r="S46" s="300"/>
      <c r="T46" s="299"/>
      <c r="U46" s="300">
        <f>U44-U45</f>
        <v>0</v>
      </c>
      <c r="V46" s="300"/>
      <c r="W46" s="300"/>
      <c r="X46" s="299"/>
      <c r="Y46" s="300">
        <f>Y44-Y45</f>
        <v>0</v>
      </c>
      <c r="Z46" s="299"/>
      <c r="AA46" s="299"/>
      <c r="AB46" s="299"/>
      <c r="AC46" s="300">
        <f>AC44-AC45</f>
        <v>0</v>
      </c>
      <c r="AD46" s="301"/>
      <c r="AE46" s="299"/>
      <c r="AF46" s="299"/>
      <c r="AG46" s="300">
        <f>AG44+AG45</f>
        <v>0</v>
      </c>
      <c r="AH46" s="299"/>
      <c r="AI46" s="299"/>
      <c r="AJ46" s="299"/>
      <c r="AK46" s="300">
        <f>AK44+AK45</f>
        <v>0</v>
      </c>
      <c r="AL46" s="299"/>
      <c r="AM46" s="299"/>
      <c r="AN46" s="299"/>
      <c r="AO46" s="300">
        <f>AO44-AO45</f>
        <v>0</v>
      </c>
      <c r="AP46" s="299"/>
      <c r="AQ46" s="299"/>
      <c r="AR46" s="299"/>
      <c r="AS46" s="300">
        <f>AS44-AS45</f>
        <v>0</v>
      </c>
      <c r="AT46" s="299"/>
      <c r="AU46" s="299"/>
      <c r="AV46" s="299"/>
      <c r="AW46" s="300">
        <f>AW44-AW45</f>
        <v>0</v>
      </c>
      <c r="AX46" s="299"/>
      <c r="AY46" s="299"/>
      <c r="AZ46" s="299"/>
      <c r="BA46" s="300">
        <f>BA44+BA45</f>
        <v>-2487981</v>
      </c>
      <c r="BB46" s="301"/>
      <c r="BD46" s="872"/>
      <c r="BE46" s="872"/>
    </row>
    <row r="47" spans="2:78" ht="15" thickBot="1" x14ac:dyDescent="0.35">
      <c r="B47" s="12" t="s">
        <v>118</v>
      </c>
      <c r="E47" s="77">
        <f>'PAL I'!D28</f>
        <v>4610202</v>
      </c>
      <c r="F47" s="77"/>
      <c r="G47" s="77"/>
      <c r="H47" s="72"/>
      <c r="I47" s="166">
        <f>'PAL I'!G28</f>
        <v>7609174</v>
      </c>
      <c r="J47" s="72"/>
      <c r="K47" s="72"/>
      <c r="L47" s="72"/>
      <c r="M47" s="77">
        <f>I47+M46</f>
        <v>-72183922</v>
      </c>
      <c r="N47" s="77"/>
      <c r="O47" s="77"/>
      <c r="P47" s="77"/>
      <c r="Q47" s="77">
        <f>'PAL I'!M28</f>
        <v>0</v>
      </c>
      <c r="R47" s="77"/>
      <c r="S47" s="77"/>
      <c r="T47" s="77"/>
      <c r="U47" s="77">
        <f>'PAL I'!P28</f>
        <v>0</v>
      </c>
      <c r="V47" s="77"/>
      <c r="W47" s="77"/>
      <c r="X47" s="77"/>
      <c r="Y47" s="77">
        <f>'PAL I'!S28</f>
        <v>0</v>
      </c>
      <c r="Z47" s="77"/>
      <c r="AA47" s="77"/>
      <c r="AB47" s="77"/>
      <c r="AC47" s="1043">
        <f>'PAL I'!V28</f>
        <v>0</v>
      </c>
      <c r="AD47" s="39"/>
      <c r="AE47" s="77"/>
      <c r="AF47" s="77"/>
      <c r="AG47" s="77">
        <f>'PAL I'!Y28</f>
        <v>0</v>
      </c>
      <c r="AH47" s="77"/>
      <c r="AI47" s="77"/>
      <c r="AJ47" s="77"/>
      <c r="AK47" s="77">
        <f>'PAL I'!AB28</f>
        <v>0</v>
      </c>
      <c r="AL47" s="77"/>
      <c r="AM47" s="77"/>
      <c r="AN47" s="77"/>
      <c r="AO47" s="77">
        <f>'PAL I'!AE28</f>
        <v>0</v>
      </c>
      <c r="AP47" s="77"/>
      <c r="AQ47" s="77"/>
      <c r="AR47" s="77"/>
      <c r="AS47" s="77">
        <f>'PAL I'!AH28</f>
        <v>0</v>
      </c>
      <c r="AT47" s="77"/>
      <c r="AU47" s="77"/>
      <c r="AV47" s="77"/>
      <c r="AW47" s="77">
        <f>'PAL I'!AK28</f>
        <v>0</v>
      </c>
      <c r="AX47" s="77"/>
      <c r="AY47" s="77"/>
      <c r="AZ47" s="77"/>
      <c r="BA47" s="77">
        <f>'PAL I'!AN28</f>
        <v>12219376</v>
      </c>
    </row>
    <row r="48" spans="2:78" x14ac:dyDescent="0.3">
      <c r="B48" s="51"/>
      <c r="C48" s="51"/>
      <c r="D48" s="51"/>
      <c r="E48" s="79"/>
      <c r="F48" s="79"/>
      <c r="G48" s="79"/>
      <c r="H48" s="72"/>
      <c r="I48" s="350">
        <f>E47+I47</f>
        <v>12219376</v>
      </c>
      <c r="J48" s="72"/>
      <c r="K48" s="72"/>
      <c r="L48" s="72"/>
      <c r="M48" s="79">
        <f>I48+M46</f>
        <v>-67573720</v>
      </c>
      <c r="N48" s="79"/>
      <c r="O48" s="79"/>
      <c r="P48" s="51"/>
      <c r="Q48" s="351">
        <f>M48+Q46</f>
        <v>-67573720</v>
      </c>
      <c r="R48" s="79"/>
      <c r="S48" s="79"/>
      <c r="T48" s="51"/>
      <c r="U48" s="79">
        <f>Q48+U47</f>
        <v>-67573720</v>
      </c>
      <c r="V48" s="79"/>
      <c r="W48" s="79"/>
      <c r="X48" s="51"/>
      <c r="Y48" s="79">
        <f>U48+Y47</f>
        <v>-67573720</v>
      </c>
      <c r="Z48" s="51"/>
      <c r="AA48" s="51"/>
      <c r="AB48" s="51"/>
      <c r="AC48" s="1044">
        <f>Y48+AC47</f>
        <v>-67573720</v>
      </c>
      <c r="AD48" s="464"/>
      <c r="AE48" s="51"/>
      <c r="AF48" s="51"/>
      <c r="AG48" s="79">
        <f>AC48+AG47</f>
        <v>-67573720</v>
      </c>
      <c r="AH48" s="51"/>
      <c r="AI48" s="51"/>
      <c r="AJ48" s="51"/>
      <c r="AK48" s="79">
        <f>AG48+AK46</f>
        <v>-67573720</v>
      </c>
      <c r="AL48" s="51"/>
      <c r="AM48" s="51"/>
      <c r="AN48" s="51"/>
      <c r="AO48" s="79">
        <f>AK48+AO46</f>
        <v>-67573720</v>
      </c>
      <c r="AP48" s="51"/>
      <c r="AQ48" s="51"/>
      <c r="AR48" s="51"/>
      <c r="AS48" s="79">
        <f>AO48+AS46</f>
        <v>-67573720</v>
      </c>
      <c r="AT48" s="51"/>
      <c r="AU48" s="51"/>
      <c r="AV48" s="51"/>
      <c r="AW48" s="79">
        <f>AS48+AW46</f>
        <v>-67573720</v>
      </c>
      <c r="AX48" s="51"/>
      <c r="AY48" s="51"/>
      <c r="AZ48" s="51"/>
      <c r="BA48" s="351">
        <f>BA46-BA47</f>
        <v>-14707357</v>
      </c>
      <c r="BD48" s="55" t="s">
        <v>306</v>
      </c>
      <c r="BE48" s="661">
        <f>BC11</f>
        <v>0.68224685322023093</v>
      </c>
    </row>
    <row r="49" spans="1:57" x14ac:dyDescent="0.3">
      <c r="H49" s="72"/>
      <c r="I49" s="72"/>
      <c r="J49" s="72"/>
      <c r="K49" s="72"/>
      <c r="L49" s="72"/>
      <c r="AW49" s="39">
        <f>AW46-AW47</f>
        <v>0</v>
      </c>
      <c r="AZ49" s="67">
        <f>'PAL I'!AM33</f>
        <v>145231</v>
      </c>
      <c r="BA49" s="39">
        <f>'PAL I'!AN33</f>
        <v>12295637</v>
      </c>
      <c r="BB49" s="39">
        <f>BA49/AZ49</f>
        <v>84.662620239480546</v>
      </c>
      <c r="BD49" s="641" t="s">
        <v>307</v>
      </c>
      <c r="BE49" s="662">
        <f>BC19</f>
        <v>0</v>
      </c>
    </row>
    <row r="50" spans="1:57" x14ac:dyDescent="0.3">
      <c r="B50" s="12" t="s">
        <v>42</v>
      </c>
      <c r="F50" s="39">
        <f>'PAL I'!E33</f>
        <v>84.658689090125051</v>
      </c>
      <c r="G50" s="39"/>
      <c r="H50" s="72"/>
      <c r="I50" s="72"/>
      <c r="J50" s="39">
        <f>'PAL I'!H33</f>
        <v>84.667935284305315</v>
      </c>
      <c r="K50" s="39"/>
      <c r="L50" s="72"/>
      <c r="N50" s="39" t="e">
        <f>'PAL I'!K33</f>
        <v>#DIV/0!</v>
      </c>
      <c r="O50" s="39"/>
      <c r="R50" s="39" t="e">
        <f>'PAL I'!N33</f>
        <v>#DIV/0!</v>
      </c>
      <c r="S50" s="39"/>
      <c r="V50" s="39" t="e">
        <f>'PAL I'!Q33</f>
        <v>#DIV/0!</v>
      </c>
      <c r="W50" s="39"/>
      <c r="Z50" s="39" t="e">
        <f>'PAL I'!T33</f>
        <v>#DIV/0!</v>
      </c>
      <c r="AA50" s="39"/>
      <c r="AD50" s="39" t="e">
        <f>'PAL I'!W33</f>
        <v>#DIV/0!</v>
      </c>
      <c r="AE50" s="39"/>
      <c r="AH50" s="39" t="e">
        <f>'PAL I'!Z33</f>
        <v>#DIV/0!</v>
      </c>
      <c r="AI50" s="39"/>
      <c r="AL50" s="39" t="e">
        <f>'PAL I'!AC33</f>
        <v>#DIV/0!</v>
      </c>
      <c r="AP50" s="39" t="e">
        <f>'PAL I'!AF33</f>
        <v>#DIV/0!</v>
      </c>
      <c r="AT50" s="39" t="e">
        <f>'PAL I'!AI33</f>
        <v>#DIV/0!</v>
      </c>
      <c r="AX50" s="39" t="e">
        <f>'PAL I'!AL33</f>
        <v>#DIV/0!</v>
      </c>
      <c r="BA50" s="330"/>
      <c r="BB50" s="39">
        <f>'PAL I'!AO33</f>
        <v>84.662620239480546</v>
      </c>
      <c r="BD50" s="641" t="s">
        <v>394</v>
      </c>
      <c r="BE50" s="662">
        <f>BC29</f>
        <v>0.32659146049636362</v>
      </c>
    </row>
    <row r="51" spans="1:57" x14ac:dyDescent="0.3">
      <c r="B51" s="12" t="s">
        <v>355</v>
      </c>
      <c r="E51" s="39">
        <f>E40+E33</f>
        <v>961670</v>
      </c>
      <c r="H51" s="72"/>
      <c r="I51" s="39">
        <f>I40+I33</f>
        <v>811573</v>
      </c>
      <c r="J51" s="72"/>
      <c r="K51" s="72"/>
      <c r="L51" s="72"/>
      <c r="M51" s="39">
        <f>M40+M33</f>
        <v>0</v>
      </c>
      <c r="Q51" s="39">
        <f>Q40+Q33</f>
        <v>0</v>
      </c>
      <c r="U51" s="39">
        <f>U40+U33</f>
        <v>0</v>
      </c>
      <c r="Y51" s="39">
        <f>Y40+Y33</f>
        <v>0</v>
      </c>
      <c r="AC51" s="39">
        <f>AC40+AC33</f>
        <v>0</v>
      </c>
      <c r="AG51" s="39">
        <f>AG40+AG33</f>
        <v>0</v>
      </c>
      <c r="AK51" s="39">
        <f>AK40+AK33</f>
        <v>0</v>
      </c>
      <c r="AO51" s="39">
        <f>AO40+AO33</f>
        <v>0</v>
      </c>
      <c r="AS51" s="39">
        <f>AS40+AS33</f>
        <v>0</v>
      </c>
      <c r="AW51" s="39">
        <f>AW40+AW33</f>
        <v>0</v>
      </c>
      <c r="BA51" s="334"/>
      <c r="BD51" s="641" t="s">
        <v>308</v>
      </c>
      <c r="BE51" s="662">
        <f>BC33</f>
        <v>1.5230109466672661E-2</v>
      </c>
    </row>
    <row r="52" spans="1:57" x14ac:dyDescent="0.3">
      <c r="H52" s="72"/>
      <c r="I52" s="72">
        <f>'PAL I'!G32</f>
        <v>12219376</v>
      </c>
      <c r="J52" s="72"/>
      <c r="K52" s="72"/>
      <c r="L52" s="72"/>
      <c r="M52" s="72">
        <f>'PAL I'!J32</f>
        <v>-67573720</v>
      </c>
      <c r="Q52" s="72">
        <f>'PAL I'!M32</f>
        <v>-67573720</v>
      </c>
      <c r="U52" s="72">
        <f>'PAL I'!P32</f>
        <v>-67573720</v>
      </c>
      <c r="Y52" s="72">
        <f>'PAL I'!S32</f>
        <v>-67573720</v>
      </c>
      <c r="AC52" s="72">
        <f>'PAL I'!V32</f>
        <v>-67573720</v>
      </c>
      <c r="BD52" s="641" t="s">
        <v>309</v>
      </c>
      <c r="BE52" s="662">
        <f>BC36</f>
        <v>1.0039955063036399E-2</v>
      </c>
    </row>
    <row r="53" spans="1:57" x14ac:dyDescent="0.3">
      <c r="A53" s="12">
        <v>6</v>
      </c>
      <c r="E53" s="39">
        <f>E35+E41</f>
        <v>708584</v>
      </c>
      <c r="H53" s="72"/>
      <c r="I53" s="39">
        <f>I35+I41+E53</f>
        <v>1306286</v>
      </c>
      <c r="J53" s="72"/>
      <c r="K53" s="72"/>
      <c r="L53" s="72"/>
      <c r="M53" s="39">
        <f>M35+M41+I53</f>
        <v>1306286</v>
      </c>
      <c r="Q53" s="39">
        <f>Q35+Q41+M53</f>
        <v>1306286</v>
      </c>
      <c r="U53" s="39">
        <f>U35+U41+Q53</f>
        <v>1306286</v>
      </c>
      <c r="Y53" s="39">
        <f>Y35+Y41+U53</f>
        <v>1306286</v>
      </c>
      <c r="AC53" s="39">
        <f>AC35+AC41+Y53</f>
        <v>1306286</v>
      </c>
      <c r="AG53" s="39">
        <f>AG35+AG41+AC53</f>
        <v>1306286</v>
      </c>
      <c r="AK53" s="39">
        <f>AK35+AK41+AG53</f>
        <v>1306286</v>
      </c>
      <c r="AO53" s="39">
        <f>AO35+AO41+AK53</f>
        <v>1306286</v>
      </c>
      <c r="AS53" s="39"/>
      <c r="AT53" s="39" t="e">
        <f>AT35+AT41+AP53</f>
        <v>#DIV/0!</v>
      </c>
      <c r="AU53" s="39"/>
      <c r="AW53" s="39">
        <f>AW35+AW41+AS53</f>
        <v>0</v>
      </c>
      <c r="BA53" s="39">
        <f>BA35+BA41+AW53</f>
        <v>1306286</v>
      </c>
      <c r="BD53" s="641" t="s">
        <v>310</v>
      </c>
      <c r="BE53" s="662">
        <f>BC39</f>
        <v>2.6594969720030418E-3</v>
      </c>
    </row>
    <row r="54" spans="1:57" x14ac:dyDescent="0.3">
      <c r="B54" s="12" t="s">
        <v>258</v>
      </c>
      <c r="E54" s="464">
        <f>E41+E35</f>
        <v>708584</v>
      </c>
      <c r="I54" s="464">
        <f>ROUND((I53/2),0)</f>
        <v>653143</v>
      </c>
      <c r="M54" s="464">
        <f>ROUND((M53/3),0)</f>
        <v>435429</v>
      </c>
      <c r="Q54" s="464">
        <f>ROUND((Q53/4),0)</f>
        <v>326572</v>
      </c>
      <c r="U54" s="464">
        <f>ROUND((U53/5),0)</f>
        <v>261257</v>
      </c>
      <c r="Y54" s="464">
        <f>ROUND((Y53/6),0)</f>
        <v>217714</v>
      </c>
      <c r="AC54" s="464">
        <f>ROUND((AC53/7),0)</f>
        <v>186612</v>
      </c>
      <c r="AG54" s="464">
        <f>ROUND((AG53/8),0)</f>
        <v>163286</v>
      </c>
      <c r="AK54" s="464">
        <f>ROUND((AK53/9),0)</f>
        <v>145143</v>
      </c>
      <c r="AO54" s="464">
        <f>ROUND((AO53/10),0)</f>
        <v>130629</v>
      </c>
      <c r="AT54" s="464" t="e">
        <f>ROUND((AT53/11),0)</f>
        <v>#DIV/0!</v>
      </c>
      <c r="AU54" s="464"/>
      <c r="AW54" s="464">
        <f>ROUND((AW53/12),0)</f>
        <v>0</v>
      </c>
      <c r="BA54" s="464">
        <f>ROUND((BA53/8),0)</f>
        <v>163286</v>
      </c>
      <c r="BD54" s="641" t="s">
        <v>311</v>
      </c>
      <c r="BE54" s="662">
        <f>BC38</f>
        <v>0</v>
      </c>
    </row>
    <row r="55" spans="1:57" ht="15" thickBot="1" x14ac:dyDescent="0.35">
      <c r="BD55" s="640" t="s">
        <v>47</v>
      </c>
      <c r="BE55" s="663">
        <f>BC35</f>
        <v>3.9376387643588751E-3</v>
      </c>
    </row>
    <row r="56" spans="1:57" ht="15" thickBot="1" x14ac:dyDescent="0.35">
      <c r="B56" s="12" t="s">
        <v>64</v>
      </c>
      <c r="D56" s="77"/>
      <c r="E56" s="77"/>
      <c r="F56" s="79">
        <f>(E11/D17)-F11</f>
        <v>892.48893827970153</v>
      </c>
      <c r="G56" s="79"/>
      <c r="H56" s="77"/>
      <c r="I56" s="77"/>
      <c r="J56" s="79">
        <f>(I11/H17)-J11</f>
        <v>-47.145208759821529</v>
      </c>
      <c r="K56" s="79"/>
      <c r="L56" s="77"/>
      <c r="M56" s="77"/>
      <c r="N56" s="79" t="e">
        <f>(M11/L17)-N11</f>
        <v>#DIV/0!</v>
      </c>
      <c r="O56" s="79"/>
      <c r="P56" s="77"/>
      <c r="Q56" s="77"/>
      <c r="R56" s="79" t="e">
        <f>(Q11/P17)-R11</f>
        <v>#DIV/0!</v>
      </c>
      <c r="S56" s="79"/>
      <c r="T56" s="77"/>
      <c r="U56" s="77"/>
      <c r="V56" s="79" t="e">
        <f>(U11/T17)-V11</f>
        <v>#DIV/0!</v>
      </c>
      <c r="W56" s="79"/>
      <c r="X56" s="77"/>
      <c r="Y56" s="77"/>
      <c r="Z56" s="79" t="e">
        <f>(Y11/X17)-Z11</f>
        <v>#DIV/0!</v>
      </c>
      <c r="AA56" s="79"/>
      <c r="AB56" s="77"/>
      <c r="AC56" s="77"/>
      <c r="AD56" s="79" t="e">
        <f>(AC11/AB17)-AD11</f>
        <v>#DIV/0!</v>
      </c>
      <c r="AE56" s="79"/>
      <c r="AF56" s="77"/>
      <c r="AG56" s="77"/>
      <c r="AH56" s="79" t="e">
        <f>(AG11/AF17)-AH11</f>
        <v>#DIV/0!</v>
      </c>
      <c r="AI56" s="79"/>
      <c r="AJ56" s="129">
        <f>AJ11-AJ12</f>
        <v>0</v>
      </c>
      <c r="AK56" s="129">
        <f>AK11-AK12</f>
        <v>0</v>
      </c>
      <c r="AL56" s="79" t="e">
        <f>(AK11/AJ17)-AL11</f>
        <v>#DIV/0!</v>
      </c>
      <c r="AM56" s="79"/>
      <c r="AN56" s="129">
        <f>AN11-AN12</f>
        <v>0</v>
      </c>
      <c r="AO56" s="129">
        <f>AO11-AO12</f>
        <v>0</v>
      </c>
      <c r="AP56" s="79" t="e">
        <f>(AO11/AN17)-AP11</f>
        <v>#DIV/0!</v>
      </c>
      <c r="AQ56" s="79"/>
      <c r="AR56" s="129">
        <f>AR11-AR12</f>
        <v>0</v>
      </c>
      <c r="AS56" s="77">
        <f>AS11-AS12</f>
        <v>0</v>
      </c>
      <c r="AT56" s="79" t="e">
        <f>(AS11/AR17)-AT11</f>
        <v>#DIV/0!</v>
      </c>
      <c r="AU56" s="79"/>
      <c r="AV56" s="129">
        <f>AV11-AV12</f>
        <v>0</v>
      </c>
      <c r="AW56" s="77">
        <f>AW11-AW12</f>
        <v>0</v>
      </c>
      <c r="AX56" s="79" t="e">
        <f>(AW11/AV17)-AX11</f>
        <v>#DIV/0!</v>
      </c>
      <c r="AY56" s="79"/>
      <c r="AZ56" s="129">
        <f>AZ11-AZ12</f>
        <v>276784</v>
      </c>
      <c r="BA56" s="77">
        <f>BA11-BA12</f>
        <v>43306234</v>
      </c>
      <c r="BB56" s="79">
        <f>(BA11/AZ17)-BB11</f>
        <v>165.12531648688355</v>
      </c>
      <c r="BD56" s="58"/>
      <c r="BE56" s="664">
        <f>SUM(BE48:BE55)</f>
        <v>1.0407055139826655</v>
      </c>
    </row>
    <row r="57" spans="1:57" x14ac:dyDescent="0.3">
      <c r="AL57" s="39" t="e">
        <f>AK56/AJ56</f>
        <v>#DIV/0!</v>
      </c>
      <c r="AP57" s="39" t="e">
        <f>AO56/AN56</f>
        <v>#DIV/0!</v>
      </c>
      <c r="AT57" s="12" t="e">
        <f>AS56/AR56</f>
        <v>#DIV/0!</v>
      </c>
    </row>
    <row r="58" spans="1:57" x14ac:dyDescent="0.3">
      <c r="AL58" s="39" t="e">
        <f>AL57-AL11</f>
        <v>#DIV/0!</v>
      </c>
      <c r="AP58" s="39" t="e">
        <f>AP57-AP11</f>
        <v>#DIV/0!</v>
      </c>
      <c r="AT58" s="39" t="e">
        <f>AT57-AT11</f>
        <v>#DIV/0!</v>
      </c>
    </row>
    <row r="59" spans="1:57" x14ac:dyDescent="0.3">
      <c r="B59" s="12" t="s">
        <v>44</v>
      </c>
      <c r="M59" s="12">
        <v>288320</v>
      </c>
      <c r="AK59" s="12">
        <v>1787480</v>
      </c>
      <c r="BA59" s="39">
        <f>SUM(E59,I59,M59,Q59,U59,Y59,AC59,AG59,AK59,AO59,AS59,AW59)</f>
        <v>2075800</v>
      </c>
    </row>
    <row r="60" spans="1:57" ht="15" thickBot="1" x14ac:dyDescent="0.35">
      <c r="B60" s="54" t="s">
        <v>45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>
        <v>812068</v>
      </c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>
        <v>1177970</v>
      </c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64">
        <f>SUM(E60,I60,M60,Q60,U60,Y60,AC60,AG60,AK60,AO60,AS60,AW60)</f>
        <v>1990038</v>
      </c>
    </row>
    <row r="61" spans="1:57" x14ac:dyDescent="0.3">
      <c r="M61" s="219">
        <f>M59-M60</f>
        <v>-523748</v>
      </c>
      <c r="AK61" s="219">
        <f>AK59-AK60</f>
        <v>609510</v>
      </c>
      <c r="BA61" s="219">
        <f>BA59-BA60</f>
        <v>85762</v>
      </c>
    </row>
    <row r="62" spans="1:57" ht="15" thickBot="1" x14ac:dyDescent="0.35">
      <c r="B62" s="54" t="s">
        <v>286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73">
        <v>1117075</v>
      </c>
      <c r="AL62" s="573"/>
      <c r="AM62" s="573"/>
      <c r="AN62" s="573"/>
      <c r="AO62" s="573"/>
      <c r="AP62" s="573"/>
      <c r="AQ62" s="573"/>
      <c r="AR62" s="573"/>
      <c r="AS62" s="573"/>
      <c r="AT62" s="573"/>
      <c r="AU62" s="573"/>
      <c r="AV62" s="573"/>
      <c r="AW62" s="573"/>
      <c r="AX62" s="573"/>
      <c r="AY62" s="573"/>
      <c r="AZ62" s="573"/>
      <c r="BA62" s="573">
        <f>SUM(E62,I62,M62,Q62,U62,Y62,AC62,AG62,AK62,AO62,AS62,AW62)</f>
        <v>1117075</v>
      </c>
      <c r="BD62" s="872"/>
      <c r="BE62" s="872"/>
    </row>
    <row r="63" spans="1:57" x14ac:dyDescent="0.3">
      <c r="AK63" s="219">
        <f>AK61-AK62</f>
        <v>-507565</v>
      </c>
      <c r="BA63" s="219">
        <f>BA61-BA62</f>
        <v>-1031313</v>
      </c>
      <c r="BD63" s="872"/>
      <c r="BE63" s="872"/>
    </row>
    <row r="64" spans="1:57" x14ac:dyDescent="0.3">
      <c r="B64" s="12" t="s">
        <v>393</v>
      </c>
      <c r="E64" s="39">
        <f>'Inventory Sales'!D42</f>
        <v>0</v>
      </c>
      <c r="F64" s="72"/>
      <c r="G64" s="39">
        <f>'Inventory Sales'!G42</f>
        <v>9375</v>
      </c>
      <c r="H64" s="72"/>
      <c r="I64" s="39">
        <f>'Inventory Sales'!G42</f>
        <v>9375</v>
      </c>
      <c r="M64" s="39">
        <f>'Inventory Sales'!J42</f>
        <v>0</v>
      </c>
      <c r="Q64" s="39">
        <f>'Inventory Sales'!M42</f>
        <v>0</v>
      </c>
      <c r="U64" s="39">
        <f>'Inventory Sales'!P42</f>
        <v>0</v>
      </c>
      <c r="V64" s="39"/>
      <c r="Y64" s="39">
        <f>'Inventory Sales'!S42</f>
        <v>0</v>
      </c>
      <c r="AB64" s="39"/>
      <c r="AC64" s="39">
        <f>'Inventory Sales'!V42</f>
        <v>0</v>
      </c>
      <c r="AG64" s="39">
        <f>'Inventory Sales'!Y42</f>
        <v>0</v>
      </c>
      <c r="AK64" s="39">
        <f>'Inventory Sales'!AB42</f>
        <v>0</v>
      </c>
      <c r="AM64" s="77"/>
      <c r="AO64" s="39">
        <f>'Inventory Sales'!AE42</f>
        <v>0</v>
      </c>
      <c r="AS64" s="39">
        <f>'Inventory Sales'!AH42</f>
        <v>0</v>
      </c>
      <c r="AW64" s="39">
        <f>'Inventory Sales'!AK42</f>
        <v>0</v>
      </c>
      <c r="BA64" s="39">
        <f>'Inventory Sales'!AN42</f>
        <v>9375</v>
      </c>
    </row>
    <row r="67" spans="2:54" x14ac:dyDescent="0.3">
      <c r="B67" s="12" t="s">
        <v>303</v>
      </c>
      <c r="D67" s="67">
        <f>D16</f>
        <v>0</v>
      </c>
      <c r="E67" s="12" t="e">
        <f>ROUND((D67*F67),0)</f>
        <v>#DIV/0!</v>
      </c>
      <c r="F67" s="77" t="e">
        <f>F11+F25+F50</f>
        <v>#DIV/0!</v>
      </c>
      <c r="G67" s="77"/>
      <c r="H67" s="67">
        <f>H16</f>
        <v>98784</v>
      </c>
      <c r="I67" s="12">
        <f>ROUND((H67*J67),0)</f>
        <v>26219795</v>
      </c>
      <c r="J67" s="77">
        <f>J11+J25+J50</f>
        <v>265.42552302459029</v>
      </c>
      <c r="L67" s="67">
        <f>L16</f>
        <v>0</v>
      </c>
      <c r="M67" s="12" t="e">
        <f>ROUND((L67*N67),0)</f>
        <v>#DIV/0!</v>
      </c>
      <c r="N67" s="77" t="e">
        <f>N11+N25+N50</f>
        <v>#DIV/0!</v>
      </c>
      <c r="P67" s="67">
        <f>P16</f>
        <v>0</v>
      </c>
      <c r="Q67" s="12" t="e">
        <f>ROUND((P67*R67),0)</f>
        <v>#DIV/0!</v>
      </c>
      <c r="R67" s="77" t="e">
        <f>R11+R25+R50</f>
        <v>#DIV/0!</v>
      </c>
      <c r="T67" s="67">
        <f>T16</f>
        <v>0</v>
      </c>
      <c r="U67" s="12" t="e">
        <f>ROUND((T67*V67),0)</f>
        <v>#DIV/0!</v>
      </c>
      <c r="V67" s="77" t="e">
        <f>V11+V25+V50</f>
        <v>#DIV/0!</v>
      </c>
      <c r="X67" s="67">
        <f>X16</f>
        <v>0</v>
      </c>
      <c r="Y67" s="12" t="e">
        <f>ROUND((X67*Z67),0)</f>
        <v>#DIV/0!</v>
      </c>
      <c r="Z67" s="77" t="e">
        <f>Z11+Z25+Z50</f>
        <v>#DIV/0!</v>
      </c>
      <c r="AB67" s="67">
        <f>AB16</f>
        <v>0</v>
      </c>
      <c r="AC67" s="12" t="e">
        <f>ROUND((AB67*AD67),0)</f>
        <v>#DIV/0!</v>
      </c>
      <c r="AD67" s="77" t="e">
        <f>AD11+AD25+AD50</f>
        <v>#DIV/0!</v>
      </c>
      <c r="AF67" s="67">
        <f>AF16</f>
        <v>0</v>
      </c>
      <c r="AG67" s="12" t="e">
        <f>ROUND((AF67*AH67),0)</f>
        <v>#DIV/0!</v>
      </c>
      <c r="AH67" s="77" t="e">
        <f>AH11+AH25+AH50</f>
        <v>#DIV/0!</v>
      </c>
      <c r="AJ67" s="67">
        <f>AJ16</f>
        <v>0</v>
      </c>
      <c r="AK67" s="12" t="e">
        <f>ROUND((AJ67*AL67),0)</f>
        <v>#DIV/0!</v>
      </c>
      <c r="AL67" s="77" t="e">
        <f>AL11+AL25+AL50</f>
        <v>#DIV/0!</v>
      </c>
      <c r="AN67" s="67">
        <f>AN16</f>
        <v>0</v>
      </c>
      <c r="AO67" s="12" t="e">
        <f>ROUND((AN67*AP67),0)</f>
        <v>#DIV/0!</v>
      </c>
      <c r="AP67" s="77" t="e">
        <f>AP11+AP25+AP50</f>
        <v>#DIV/0!</v>
      </c>
      <c r="AR67" s="67">
        <f>AR16</f>
        <v>0</v>
      </c>
      <c r="AS67" s="12" t="e">
        <f>ROUND((AR67*AT67),0)</f>
        <v>#DIV/0!</v>
      </c>
      <c r="AT67" s="77" t="e">
        <f>AT11+AT25+AT50</f>
        <v>#DIV/0!</v>
      </c>
      <c r="AV67" s="67">
        <f>AV16</f>
        <v>0</v>
      </c>
      <c r="AW67" s="12" t="e">
        <f>ROUND((AV67*AX67),0)</f>
        <v>#DIV/0!</v>
      </c>
      <c r="AX67" s="77" t="e">
        <f>AX11+AX25+AX50</f>
        <v>#DIV/0!</v>
      </c>
      <c r="AZ67" s="67">
        <f>AZ16</f>
        <v>98784</v>
      </c>
      <c r="BA67" s="12">
        <f>ROUND((AZ67*BB67),0)</f>
        <v>27903850</v>
      </c>
      <c r="BB67" s="77">
        <f>BB11+BB25+BB50</f>
        <v>282.4733735169624</v>
      </c>
    </row>
    <row r="68" spans="2:54" x14ac:dyDescent="0.3">
      <c r="B68" s="12" t="s">
        <v>304</v>
      </c>
      <c r="E68" s="12">
        <f>'PAL I'!D38</f>
        <v>81106131</v>
      </c>
      <c r="I68" s="12">
        <f>'PAL I'!G38</f>
        <v>79572486</v>
      </c>
      <c r="M68" s="12">
        <f>'PAL I'!J38</f>
        <v>39896548</v>
      </c>
      <c r="Q68" s="12">
        <f>'PAL I'!M38</f>
        <v>0</v>
      </c>
      <c r="U68" s="12">
        <f>'PAL I'!P38</f>
        <v>0</v>
      </c>
      <c r="Y68" s="12">
        <f>'PAL I'!S38</f>
        <v>0</v>
      </c>
      <c r="AC68" s="12">
        <f>'PAL I'!V38</f>
        <v>0</v>
      </c>
      <c r="AG68" s="12">
        <f>'PAL I'!Y38</f>
        <v>0</v>
      </c>
      <c r="AK68" s="12">
        <f>'PAL I'!AB38</f>
        <v>0</v>
      </c>
      <c r="AO68" s="12">
        <f>'PAL I'!AE38</f>
        <v>0</v>
      </c>
      <c r="AS68" s="12">
        <f>'PAL I'!AH38</f>
        <v>0</v>
      </c>
      <c r="AW68" s="12">
        <f>'PAL I'!AK38</f>
        <v>0</v>
      </c>
      <c r="BA68" s="12">
        <f>'PAL I'!AN38</f>
        <v>81326741</v>
      </c>
    </row>
    <row r="70" spans="2:54" x14ac:dyDescent="0.3">
      <c r="B70" s="12" t="s">
        <v>302</v>
      </c>
      <c r="E70" s="39" t="e">
        <f>E67/E68</f>
        <v>#DIV/0!</v>
      </c>
      <c r="I70" s="39">
        <f>I67/I68</f>
        <v>0.32950830516970403</v>
      </c>
      <c r="M70" s="39" t="e">
        <f>M67/M68</f>
        <v>#DIV/0!</v>
      </c>
      <c r="Q70" s="39" t="e">
        <f>Q67/Q68</f>
        <v>#DIV/0!</v>
      </c>
      <c r="U70" s="39" t="e">
        <f>U67/U68</f>
        <v>#DIV/0!</v>
      </c>
      <c r="Y70" s="39" t="e">
        <f>Y67/Y68</f>
        <v>#DIV/0!</v>
      </c>
      <c r="AC70" s="39" t="e">
        <f>AC67/AC68</f>
        <v>#DIV/0!</v>
      </c>
      <c r="AG70" s="39" t="e">
        <f>AG67/AG68</f>
        <v>#DIV/0!</v>
      </c>
      <c r="AK70" s="39" t="e">
        <f>AK67/AK68</f>
        <v>#DIV/0!</v>
      </c>
      <c r="AO70" s="39" t="e">
        <f>AO67/AO68</f>
        <v>#DIV/0!</v>
      </c>
      <c r="AS70" s="39" t="e">
        <f>AS67/AS68</f>
        <v>#DIV/0!</v>
      </c>
      <c r="AW70" s="39" t="e">
        <f>AW67/AW68</f>
        <v>#DIV/0!</v>
      </c>
      <c r="BA70" s="39">
        <f>BA67/BA68</f>
        <v>0.34310793297373121</v>
      </c>
    </row>
    <row r="73" spans="2:54" ht="15" thickBot="1" x14ac:dyDescent="0.35">
      <c r="B73" s="12" t="s">
        <v>354</v>
      </c>
    </row>
    <row r="74" spans="2:54" x14ac:dyDescent="0.3">
      <c r="B74" s="159" t="s">
        <v>48</v>
      </c>
      <c r="E74" s="959">
        <f>E12-E64</f>
        <v>0</v>
      </c>
      <c r="I74" s="959">
        <f>I12-I64</f>
        <v>125</v>
      </c>
      <c r="M74" s="959">
        <f>M12-M64</f>
        <v>0</v>
      </c>
      <c r="Q74" s="959">
        <f>Q12-Q64</f>
        <v>0</v>
      </c>
      <c r="U74" s="959">
        <f>U12-U64</f>
        <v>0</v>
      </c>
      <c r="Y74" s="959">
        <f>Y12-Y64</f>
        <v>0</v>
      </c>
      <c r="AC74" s="959">
        <f>AC12-AC64</f>
        <v>0</v>
      </c>
      <c r="AG74" s="959">
        <f>AG12-AG64</f>
        <v>0</v>
      </c>
      <c r="AK74" s="959">
        <f>AK12-AK64</f>
        <v>0</v>
      </c>
      <c r="AO74" s="959">
        <f>AO12-AO64</f>
        <v>0</v>
      </c>
      <c r="AR74" s="958"/>
      <c r="AS74" s="959">
        <f>AS12-AS64</f>
        <v>0</v>
      </c>
      <c r="AW74" s="959">
        <f>AW12-AW64</f>
        <v>0</v>
      </c>
      <c r="BA74" s="959">
        <f>BA12-BA64</f>
        <v>125</v>
      </c>
    </row>
    <row r="75" spans="2:54" x14ac:dyDescent="0.3">
      <c r="B75" s="163" t="s">
        <v>226</v>
      </c>
      <c r="E75" s="960">
        <f>'Trading PL'!C25</f>
        <v>76478</v>
      </c>
      <c r="I75" s="960">
        <f>'Trading PL'!F25</f>
        <v>104175</v>
      </c>
      <c r="M75" s="960">
        <f>'Trading PL'!I25</f>
        <v>-97036</v>
      </c>
      <c r="Q75" s="960">
        <f>'Trading PL'!L25</f>
        <v>-97779</v>
      </c>
      <c r="U75" s="960">
        <f>'Trading PL'!O25</f>
        <v>-97432</v>
      </c>
      <c r="Y75" s="960">
        <f>'Trading PL'!R25</f>
        <v>-97442</v>
      </c>
      <c r="AC75" s="960">
        <f>'Trading PL'!U25</f>
        <v>-97300</v>
      </c>
      <c r="AG75" s="960">
        <f>'Trading PL'!X25</f>
        <v>0</v>
      </c>
      <c r="AK75" s="960">
        <f>'Trading PL'!AA25</f>
        <v>0</v>
      </c>
      <c r="AO75" s="960">
        <f>'Trading PL'!AD25</f>
        <v>0</v>
      </c>
      <c r="AR75" s="958"/>
      <c r="AS75" s="960">
        <f>'Trading PL'!AG25</f>
        <v>0</v>
      </c>
      <c r="AW75" s="960">
        <f>'Trading PL'!AJ25</f>
        <v>0</v>
      </c>
      <c r="BA75" s="960">
        <f>'Trading PL'!AM25</f>
        <v>-552308</v>
      </c>
    </row>
    <row r="76" spans="2:54" ht="15" thickBot="1" x14ac:dyDescent="0.35">
      <c r="B76" s="162" t="s">
        <v>381</v>
      </c>
      <c r="E76" s="963">
        <f>E22+E23</f>
        <v>21805</v>
      </c>
      <c r="I76" s="963">
        <f>I22+I23</f>
        <v>74600</v>
      </c>
      <c r="M76" s="963">
        <f>M22+M23</f>
        <v>0</v>
      </c>
      <c r="Q76" s="963">
        <f>Q22+Q23</f>
        <v>0</v>
      </c>
      <c r="U76" s="963">
        <f>U22+U23</f>
        <v>0</v>
      </c>
      <c r="Y76" s="963">
        <f>Y22+Y23</f>
        <v>0</v>
      </c>
      <c r="AC76" s="963">
        <f>AC22+AC23</f>
        <v>0</v>
      </c>
      <c r="AG76" s="963">
        <f>AG22+AG23</f>
        <v>0</v>
      </c>
      <c r="AK76" s="963">
        <f>AK22+AK23</f>
        <v>0</v>
      </c>
      <c r="AO76" s="963">
        <f>AO22+AO23</f>
        <v>0</v>
      </c>
      <c r="AS76" s="963">
        <f>AS22+AS23</f>
        <v>0</v>
      </c>
      <c r="AW76" s="963">
        <f>AW22+AW23</f>
        <v>0</v>
      </c>
      <c r="BA76" s="963">
        <f>BA22+BA23</f>
        <v>96405</v>
      </c>
    </row>
    <row r="77" spans="2:54" ht="15" thickBot="1" x14ac:dyDescent="0.35">
      <c r="B77" s="962" t="s">
        <v>403</v>
      </c>
      <c r="E77" s="961">
        <f>SUM(E74:E76)</f>
        <v>98283</v>
      </c>
      <c r="I77" s="961">
        <f>SUM(I74:I76)</f>
        <v>178900</v>
      </c>
      <c r="M77" s="961">
        <f>SUM(M74:M76)</f>
        <v>-97036</v>
      </c>
      <c r="Q77" s="961">
        <f>SUM(Q74:Q76)</f>
        <v>-97779</v>
      </c>
      <c r="U77" s="961">
        <f>SUM(U74:U76)</f>
        <v>-97432</v>
      </c>
      <c r="Y77" s="961">
        <f>SUM(Y74:Y76)</f>
        <v>-97442</v>
      </c>
      <c r="AC77" s="961">
        <f>SUM(AC74:AC76)</f>
        <v>-97300</v>
      </c>
      <c r="AG77" s="961">
        <f>SUM(AG74:AG76)</f>
        <v>0</v>
      </c>
      <c r="AK77" s="961">
        <f>SUM(AK74:AK76)</f>
        <v>0</v>
      </c>
      <c r="AO77" s="961">
        <f>SUM(AO74:AO76)</f>
        <v>0</v>
      </c>
      <c r="AR77" s="795"/>
      <c r="AS77" s="961">
        <f>SUM(AS74:AS76)</f>
        <v>0</v>
      </c>
      <c r="AW77" s="961">
        <f>SUM(AW74:AW76)</f>
        <v>0</v>
      </c>
      <c r="BA77" s="961">
        <f>SUM(BA74:BA76)</f>
        <v>-455778</v>
      </c>
    </row>
    <row r="79" spans="2:54" x14ac:dyDescent="0.3">
      <c r="L79" s="67"/>
      <c r="M79" s="39"/>
      <c r="X79" s="67"/>
      <c r="Y79" s="39"/>
      <c r="Z79" s="39"/>
      <c r="AJ79" s="67">
        <f>AB15+AB16+AF15+AF16+AJ15+AJ16</f>
        <v>0</v>
      </c>
      <c r="AK79" s="39">
        <f>AC15+AC16+AG15+AG16+AK15+AK16</f>
        <v>0</v>
      </c>
      <c r="AL79" s="39" t="e">
        <f>AK79/AJ79</f>
        <v>#DIV/0!</v>
      </c>
      <c r="AV79" s="67">
        <f>AN15+AN16+AR15+AR16+AV15+AV16</f>
        <v>0</v>
      </c>
      <c r="AW79" s="39">
        <f>AO15+AO16+AS15+AS16+AW15+AW16</f>
        <v>0</v>
      </c>
      <c r="AX79" s="39" t="e">
        <f>AW79/AV79</f>
        <v>#DIV/0!</v>
      </c>
      <c r="AZ79" s="67"/>
      <c r="BA79" s="39"/>
      <c r="BB79" s="39"/>
    </row>
    <row r="80" spans="2:54" x14ac:dyDescent="0.3">
      <c r="B80" s="12" t="s">
        <v>688</v>
      </c>
      <c r="E80" s="39">
        <f>E24-(E29+E35)</f>
        <v>5571872</v>
      </c>
      <c r="F80" s="128">
        <f>E80/$E$17</f>
        <v>0.18664010054679236</v>
      </c>
      <c r="I80" s="39">
        <f>I24-(I29+I35)</f>
        <v>8420747</v>
      </c>
      <c r="J80" s="128">
        <f>I80/$I$17</f>
        <v>0.25034728144443397</v>
      </c>
      <c r="M80" s="39">
        <f>M24-(M29+M35)</f>
        <v>-79793096</v>
      </c>
      <c r="N80" s="128" t="e">
        <f>M80/$M$17</f>
        <v>#DIV/0!</v>
      </c>
      <c r="Q80" s="39">
        <f>Q24-(Q29+Q35)</f>
        <v>0</v>
      </c>
      <c r="R80" s="128" t="e">
        <f>Q80/$Q$17</f>
        <v>#DIV/0!</v>
      </c>
      <c r="U80" s="39">
        <f>U24-(U29+U35)</f>
        <v>0</v>
      </c>
      <c r="V80" s="128" t="e">
        <f>U80/$U$17</f>
        <v>#DIV/0!</v>
      </c>
      <c r="Y80" s="39">
        <f>Y24-(Y29+Y35)</f>
        <v>0</v>
      </c>
      <c r="Z80" s="128" t="e">
        <f>Y80/$U$17</f>
        <v>#DIV/0!</v>
      </c>
      <c r="AK80" s="39">
        <f>AC22+AC23+AG22+AG23+AK22+AK23</f>
        <v>0</v>
      </c>
      <c r="AW80" s="39">
        <f>AO22+AO23+AS22+AS23+AW22+AW23</f>
        <v>0</v>
      </c>
      <c r="BA80" s="39">
        <f>BA24-(BA29+BA35)</f>
        <v>-714738</v>
      </c>
      <c r="BB80" s="128">
        <f>BA80/$BA$17</f>
        <v>-1.1257520220641335E-2</v>
      </c>
    </row>
    <row r="81" spans="2:54" x14ac:dyDescent="0.3">
      <c r="B81" s="12" t="s">
        <v>368</v>
      </c>
      <c r="E81" s="39">
        <f>E80-(E33)</f>
        <v>5068786</v>
      </c>
      <c r="F81" s="128">
        <f t="shared" ref="F81:F83" si="28">E81/$E$17</f>
        <v>0.16978830969020348</v>
      </c>
      <c r="I81" s="39">
        <f>I80-(I33)</f>
        <v>7956876</v>
      </c>
      <c r="J81" s="128">
        <f t="shared" ref="J81:J83" si="29">I81/$I$17</f>
        <v>0.23655648072438962</v>
      </c>
      <c r="M81" s="39">
        <f>M80-(M33)</f>
        <v>-79793096</v>
      </c>
      <c r="N81" s="128" t="e">
        <f t="shared" ref="N81:N83" si="30">M81/$M$17</f>
        <v>#DIV/0!</v>
      </c>
      <c r="Q81" s="39">
        <f>Q80-(Q33)</f>
        <v>0</v>
      </c>
      <c r="R81" s="128" t="e">
        <f t="shared" ref="R81:R83" si="31">Q81/$Q$17</f>
        <v>#DIV/0!</v>
      </c>
      <c r="U81" s="39">
        <f>U80-(U33)</f>
        <v>0</v>
      </c>
      <c r="V81" s="128" t="e">
        <f t="shared" ref="V81:V83" si="32">U81/$U$17</f>
        <v>#DIV/0!</v>
      </c>
      <c r="Y81" s="39">
        <f>Y80-(Y33)</f>
        <v>0</v>
      </c>
      <c r="Z81" s="128" t="e">
        <f t="shared" ref="Z81:Z83" si="33">Y81/$U$17</f>
        <v>#DIV/0!</v>
      </c>
      <c r="AW81" s="39">
        <f>M80+Y80+AK80+AW80</f>
        <v>-79793096</v>
      </c>
      <c r="BA81" s="39">
        <f>BA80-(BA33)</f>
        <v>-1681695</v>
      </c>
      <c r="BB81" s="128">
        <f t="shared" ref="BB81:BB83" si="34">BA81/$BA$17</f>
        <v>-2.6487629687313996E-2</v>
      </c>
    </row>
    <row r="82" spans="2:54" x14ac:dyDescent="0.3">
      <c r="B82" s="12" t="s">
        <v>219</v>
      </c>
      <c r="E82" s="39">
        <f>E81+E35</f>
        <v>5193786</v>
      </c>
      <c r="F82" s="128">
        <f t="shared" si="28"/>
        <v>0.17397541459289131</v>
      </c>
      <c r="I82" s="39">
        <f>I81+I35</f>
        <v>8081876</v>
      </c>
      <c r="J82" s="128">
        <f t="shared" si="29"/>
        <v>0.24027270805915626</v>
      </c>
      <c r="M82" s="39">
        <f>M81+M35</f>
        <v>-79793096</v>
      </c>
      <c r="N82" s="128" t="e">
        <f t="shared" si="30"/>
        <v>#DIV/0!</v>
      </c>
      <c r="Q82" s="39">
        <f>Q81+Q35</f>
        <v>0</v>
      </c>
      <c r="R82" s="128" t="e">
        <f t="shared" si="31"/>
        <v>#DIV/0!</v>
      </c>
      <c r="U82" s="39">
        <f>U81+U35</f>
        <v>0</v>
      </c>
      <c r="V82" s="128" t="e">
        <f t="shared" si="32"/>
        <v>#DIV/0!</v>
      </c>
      <c r="Y82" s="39">
        <f>Y81+Y35</f>
        <v>0</v>
      </c>
      <c r="Z82" s="128" t="e">
        <f t="shared" si="33"/>
        <v>#DIV/0!</v>
      </c>
      <c r="AZ82" s="67"/>
      <c r="BA82" s="39">
        <f>BA81+BA35</f>
        <v>-1431695</v>
      </c>
      <c r="BB82" s="128">
        <f t="shared" si="34"/>
        <v>-2.2549990922955121E-2</v>
      </c>
    </row>
    <row r="83" spans="2:54" x14ac:dyDescent="0.3">
      <c r="B83" s="12" t="s">
        <v>689</v>
      </c>
      <c r="E83" s="39">
        <f>E82-(E40+E35)</f>
        <v>4610202</v>
      </c>
      <c r="F83" s="128">
        <f t="shared" si="28"/>
        <v>0.15442719517264991</v>
      </c>
      <c r="I83" s="39">
        <f>I82-(I40+I35)</f>
        <v>7609174</v>
      </c>
      <c r="J83" s="128">
        <f t="shared" si="29"/>
        <v>0.22621936331036535</v>
      </c>
      <c r="M83" s="39">
        <f>M82-(M40+M35)</f>
        <v>-79793096</v>
      </c>
      <c r="N83" s="128" t="e">
        <f t="shared" si="30"/>
        <v>#DIV/0!</v>
      </c>
      <c r="Q83" s="39">
        <f>Q82-(Q40+Q35)</f>
        <v>0</v>
      </c>
      <c r="R83" s="128" t="e">
        <f t="shared" si="31"/>
        <v>#DIV/0!</v>
      </c>
      <c r="U83" s="39">
        <f>U82-(U40+U35)</f>
        <v>0</v>
      </c>
      <c r="V83" s="128" t="e">
        <f t="shared" si="32"/>
        <v>#DIV/0!</v>
      </c>
      <c r="Y83" s="2692">
        <f>Y82-(Y40+Y35)</f>
        <v>0</v>
      </c>
      <c r="Z83" s="128" t="e">
        <f t="shared" si="33"/>
        <v>#DIV/0!</v>
      </c>
      <c r="BA83" s="39">
        <f>BA82-(BA40+BA35)</f>
        <v>-2487981</v>
      </c>
      <c r="BB83" s="128">
        <f t="shared" si="34"/>
        <v>-3.918708172235344E-2</v>
      </c>
    </row>
    <row r="84" spans="2:54" x14ac:dyDescent="0.3">
      <c r="E84" s="39">
        <f>E44-E83</f>
        <v>0</v>
      </c>
    </row>
  </sheetData>
  <mergeCells count="19">
    <mergeCell ref="B1:BB1"/>
    <mergeCell ref="C2:F2"/>
    <mergeCell ref="G2:J2"/>
    <mergeCell ref="S2:V2"/>
    <mergeCell ref="W2:Z2"/>
    <mergeCell ref="K2:N2"/>
    <mergeCell ref="AQ2:AT2"/>
    <mergeCell ref="AY2:BB2"/>
    <mergeCell ref="AE2:AH2"/>
    <mergeCell ref="AI2:AL2"/>
    <mergeCell ref="BY3:CB3"/>
    <mergeCell ref="CC6:CC20"/>
    <mergeCell ref="BN3:BV3"/>
    <mergeCell ref="O2:R2"/>
    <mergeCell ref="AU2:AX2"/>
    <mergeCell ref="AA2:AD2"/>
    <mergeCell ref="BT4:BV4"/>
    <mergeCell ref="BT12:BV12"/>
    <mergeCell ref="AM2:AP2"/>
  </mergeCells>
  <printOptions horizontalCentered="1"/>
  <pageMargins left="0.25" right="0.25" top="0.75" bottom="0.75" header="0.3" footer="0.3"/>
  <pageSetup paperSize="9" scale="66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5A64-7E8F-47D7-A514-CCD49474C08A}">
  <dimension ref="C2:H31"/>
  <sheetViews>
    <sheetView workbookViewId="0">
      <selection activeCell="D32" sqref="D32"/>
    </sheetView>
  </sheetViews>
  <sheetFormatPr defaultRowHeight="13.2" x14ac:dyDescent="0.25"/>
  <cols>
    <col min="3" max="3" width="50.6640625" customWidth="1"/>
    <col min="7" max="7" width="24.5546875" bestFit="1" customWidth="1"/>
    <col min="8" max="8" width="78.88671875" bestFit="1" customWidth="1"/>
  </cols>
  <sheetData>
    <row r="2" spans="3:8" ht="14.4" x14ac:dyDescent="0.3">
      <c r="C2" t="s">
        <v>839</v>
      </c>
      <c r="G2" s="999" t="s">
        <v>840</v>
      </c>
    </row>
    <row r="3" spans="3:8" x14ac:dyDescent="0.25">
      <c r="C3" t="s">
        <v>841</v>
      </c>
      <c r="D3" t="s">
        <v>842</v>
      </c>
      <c r="G3" t="s">
        <v>843</v>
      </c>
      <c r="H3" t="s">
        <v>844</v>
      </c>
    </row>
    <row r="4" spans="3:8" x14ac:dyDescent="0.25">
      <c r="C4" t="s">
        <v>845</v>
      </c>
      <c r="D4" t="s">
        <v>846</v>
      </c>
      <c r="G4" t="s">
        <v>847</v>
      </c>
      <c r="H4" t="s">
        <v>848</v>
      </c>
    </row>
    <row r="5" spans="3:8" x14ac:dyDescent="0.25">
      <c r="G5" t="s">
        <v>849</v>
      </c>
      <c r="H5" t="s">
        <v>850</v>
      </c>
    </row>
    <row r="6" spans="3:8" x14ac:dyDescent="0.25">
      <c r="C6" t="s">
        <v>698</v>
      </c>
      <c r="G6" t="s">
        <v>851</v>
      </c>
      <c r="H6" t="s">
        <v>852</v>
      </c>
    </row>
    <row r="7" spans="3:8" x14ac:dyDescent="0.25">
      <c r="C7" t="s">
        <v>853</v>
      </c>
      <c r="D7" t="s">
        <v>854</v>
      </c>
      <c r="G7" t="s">
        <v>855</v>
      </c>
      <c r="H7" t="s">
        <v>856</v>
      </c>
    </row>
    <row r="8" spans="3:8" x14ac:dyDescent="0.25">
      <c r="C8" t="s">
        <v>857</v>
      </c>
      <c r="D8" t="s">
        <v>858</v>
      </c>
      <c r="G8" t="s">
        <v>859</v>
      </c>
      <c r="H8" t="s">
        <v>860</v>
      </c>
    </row>
    <row r="9" spans="3:8" x14ac:dyDescent="0.25">
      <c r="G9" t="s">
        <v>861</v>
      </c>
      <c r="H9" t="s">
        <v>862</v>
      </c>
    </row>
    <row r="10" spans="3:8" x14ac:dyDescent="0.25">
      <c r="C10" t="s">
        <v>863</v>
      </c>
      <c r="G10" t="s">
        <v>864</v>
      </c>
      <c r="H10" t="s">
        <v>865</v>
      </c>
    </row>
    <row r="11" spans="3:8" x14ac:dyDescent="0.25">
      <c r="C11" t="s">
        <v>866</v>
      </c>
      <c r="D11" s="2696" t="s">
        <v>867</v>
      </c>
      <c r="G11" t="s">
        <v>868</v>
      </c>
      <c r="H11" t="s">
        <v>869</v>
      </c>
    </row>
    <row r="12" spans="3:8" x14ac:dyDescent="0.25">
      <c r="G12" t="s">
        <v>870</v>
      </c>
      <c r="H12" t="s">
        <v>871</v>
      </c>
    </row>
    <row r="13" spans="3:8" x14ac:dyDescent="0.25">
      <c r="C13" t="s">
        <v>872</v>
      </c>
      <c r="G13" t="s">
        <v>873</v>
      </c>
      <c r="H13" t="s">
        <v>874</v>
      </c>
    </row>
    <row r="14" spans="3:8" x14ac:dyDescent="0.25">
      <c r="C14" t="s">
        <v>875</v>
      </c>
      <c r="D14" t="s">
        <v>876</v>
      </c>
      <c r="G14" t="s">
        <v>877</v>
      </c>
      <c r="H14" t="s">
        <v>878</v>
      </c>
    </row>
    <row r="15" spans="3:8" x14ac:dyDescent="0.25">
      <c r="C15" t="s">
        <v>879</v>
      </c>
      <c r="D15" t="s">
        <v>880</v>
      </c>
    </row>
    <row r="16" spans="3:8" ht="14.4" x14ac:dyDescent="0.3">
      <c r="G16" s="999" t="s">
        <v>881</v>
      </c>
    </row>
    <row r="17" spans="3:8" x14ac:dyDescent="0.25">
      <c r="C17" t="s">
        <v>882</v>
      </c>
      <c r="G17" t="s">
        <v>883</v>
      </c>
      <c r="H17" t="s">
        <v>884</v>
      </c>
    </row>
    <row r="18" spans="3:8" x14ac:dyDescent="0.25">
      <c r="C18" t="s">
        <v>885</v>
      </c>
      <c r="G18" t="s">
        <v>886</v>
      </c>
      <c r="H18" t="s">
        <v>887</v>
      </c>
    </row>
    <row r="19" spans="3:8" x14ac:dyDescent="0.25">
      <c r="C19" t="s">
        <v>888</v>
      </c>
      <c r="D19" s="2696" t="s">
        <v>889</v>
      </c>
      <c r="G19" t="s">
        <v>890</v>
      </c>
      <c r="H19" t="s">
        <v>891</v>
      </c>
    </row>
    <row r="20" spans="3:8" x14ac:dyDescent="0.25">
      <c r="C20" t="s">
        <v>892</v>
      </c>
      <c r="G20" t="s">
        <v>893</v>
      </c>
      <c r="H20" t="s">
        <v>894</v>
      </c>
    </row>
    <row r="21" spans="3:8" x14ac:dyDescent="0.25">
      <c r="G21" t="s">
        <v>895</v>
      </c>
      <c r="H21" t="s">
        <v>896</v>
      </c>
    </row>
    <row r="22" spans="3:8" x14ac:dyDescent="0.25">
      <c r="C22" t="s">
        <v>897</v>
      </c>
      <c r="G22" t="s">
        <v>898</v>
      </c>
      <c r="H22" t="s">
        <v>899</v>
      </c>
    </row>
    <row r="23" spans="3:8" x14ac:dyDescent="0.25">
      <c r="C23" t="s">
        <v>900</v>
      </c>
      <c r="D23" s="2697" t="s">
        <v>901</v>
      </c>
      <c r="G23" t="s">
        <v>902</v>
      </c>
      <c r="H23" t="s">
        <v>903</v>
      </c>
    </row>
    <row r="24" spans="3:8" x14ac:dyDescent="0.25">
      <c r="C24" t="s">
        <v>904</v>
      </c>
      <c r="D24" s="2697" t="s">
        <v>901</v>
      </c>
      <c r="G24" t="s">
        <v>905</v>
      </c>
      <c r="H24" t="s">
        <v>906</v>
      </c>
    </row>
    <row r="25" spans="3:8" x14ac:dyDescent="0.25">
      <c r="G25" t="s">
        <v>907</v>
      </c>
      <c r="H25" t="s">
        <v>908</v>
      </c>
    </row>
    <row r="26" spans="3:8" x14ac:dyDescent="0.25">
      <c r="C26" t="s">
        <v>909</v>
      </c>
      <c r="G26" t="s">
        <v>910</v>
      </c>
      <c r="H26" t="s">
        <v>911</v>
      </c>
    </row>
    <row r="27" spans="3:8" x14ac:dyDescent="0.25">
      <c r="C27" t="s">
        <v>912</v>
      </c>
    </row>
    <row r="28" spans="3:8" x14ac:dyDescent="0.25">
      <c r="C28" t="s">
        <v>913</v>
      </c>
    </row>
    <row r="29" spans="3:8" x14ac:dyDescent="0.25">
      <c r="C29" t="s">
        <v>914</v>
      </c>
    </row>
    <row r="31" spans="3:8" x14ac:dyDescent="0.25">
      <c r="C31" t="s">
        <v>931</v>
      </c>
      <c r="D31" t="s">
        <v>618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AS41"/>
  <sheetViews>
    <sheetView showZeros="0" workbookViewId="0">
      <selection activeCell="I10" sqref="I10"/>
    </sheetView>
  </sheetViews>
  <sheetFormatPr defaultRowHeight="13.2" x14ac:dyDescent="0.25"/>
  <cols>
    <col min="4" max="4" width="10.5546875" bestFit="1" customWidth="1"/>
    <col min="5" max="5" width="7.5546875" bestFit="1" customWidth="1"/>
    <col min="6" max="6" width="10.5546875" bestFit="1" customWidth="1"/>
    <col min="7" max="7" width="7.5546875" bestFit="1" customWidth="1"/>
    <col min="8" max="8" width="10.5546875" bestFit="1" customWidth="1"/>
    <col min="9" max="9" width="7.109375" bestFit="1" customWidth="1"/>
    <col min="11" max="11" width="7" bestFit="1" customWidth="1"/>
    <col min="12" max="12" width="7.5546875" bestFit="1" customWidth="1"/>
    <col min="13" max="13" width="7.88671875" bestFit="1" customWidth="1"/>
    <col min="22" max="22" width="9.5546875" customWidth="1"/>
    <col min="23" max="23" width="4.44140625" bestFit="1" customWidth="1"/>
    <col min="24" max="24" width="8.5546875" bestFit="1" customWidth="1"/>
    <col min="25" max="26" width="9.5546875" bestFit="1" customWidth="1"/>
    <col min="27" max="28" width="10.5546875" bestFit="1" customWidth="1"/>
    <col min="29" max="29" width="8" bestFit="1" customWidth="1"/>
    <col min="30" max="30" width="9.5546875" bestFit="1" customWidth="1"/>
    <col min="31" max="31" width="9" bestFit="1" customWidth="1"/>
    <col min="35" max="35" width="11.88671875" bestFit="1" customWidth="1"/>
    <col min="38" max="38" width="11.5546875" bestFit="1" customWidth="1"/>
    <col min="41" max="41" width="11.5546875" bestFit="1" customWidth="1"/>
    <col min="43" max="43" width="10.5546875" bestFit="1" customWidth="1"/>
  </cols>
  <sheetData>
    <row r="1" spans="2:45" ht="15" thickBot="1" x14ac:dyDescent="0.35">
      <c r="C1" s="3142" t="s">
        <v>372</v>
      </c>
      <c r="D1" s="3142"/>
      <c r="E1" s="3142"/>
      <c r="F1" s="3142"/>
      <c r="G1" s="3142"/>
      <c r="H1" s="3142"/>
      <c r="I1" s="3142"/>
      <c r="J1" s="3142"/>
      <c r="K1" s="3142"/>
      <c r="L1" s="3142"/>
      <c r="M1" s="3142"/>
      <c r="N1" s="2"/>
      <c r="O1" s="329">
        <v>0.1</v>
      </c>
      <c r="P1" s="2"/>
      <c r="Q1" s="2"/>
      <c r="R1" s="2"/>
      <c r="S1" s="2"/>
      <c r="V1" s="12"/>
      <c r="W1" s="194"/>
      <c r="X1" s="2"/>
      <c r="Z1" s="2"/>
      <c r="AB1" s="2"/>
      <c r="AD1" s="2"/>
      <c r="AG1" s="194"/>
      <c r="AH1" s="2"/>
      <c r="AI1" s="96"/>
      <c r="AJ1" s="8"/>
      <c r="AK1" s="2"/>
      <c r="AL1" s="8"/>
      <c r="AM1" s="8"/>
      <c r="AN1" s="2"/>
      <c r="AO1" s="8"/>
      <c r="AP1" s="8"/>
      <c r="AQ1" s="8"/>
      <c r="AR1" s="2"/>
    </row>
    <row r="2" spans="2:45" ht="15" thickBot="1" x14ac:dyDescent="0.35">
      <c r="B2">
        <v>12</v>
      </c>
      <c r="C2" s="98"/>
      <c r="D2" s="158" t="s">
        <v>241</v>
      </c>
      <c r="E2" s="148" t="s">
        <v>48</v>
      </c>
      <c r="F2" s="148" t="s">
        <v>239</v>
      </c>
      <c r="G2" s="374" t="s">
        <v>240</v>
      </c>
      <c r="H2" s="371" t="s">
        <v>244</v>
      </c>
      <c r="I2" s="378" t="s">
        <v>46</v>
      </c>
      <c r="J2" s="371" t="s">
        <v>219</v>
      </c>
      <c r="K2" s="375" t="s">
        <v>47</v>
      </c>
      <c r="L2" s="365" t="s">
        <v>245</v>
      </c>
      <c r="M2" s="371" t="s">
        <v>50</v>
      </c>
      <c r="O2" s="465" t="s">
        <v>64</v>
      </c>
      <c r="V2" s="51"/>
      <c r="W2" s="194"/>
      <c r="X2" s="2"/>
      <c r="Z2" s="2"/>
      <c r="AB2" s="2"/>
      <c r="AD2" s="2"/>
      <c r="AG2" s="194"/>
      <c r="AH2" s="2"/>
      <c r="AI2" s="96"/>
      <c r="AJ2" s="8"/>
      <c r="AK2" s="2"/>
      <c r="AL2" s="8"/>
      <c r="AM2" s="8"/>
      <c r="AN2" s="2"/>
      <c r="AO2" s="8"/>
      <c r="AP2" s="8"/>
      <c r="AQ2" s="8"/>
      <c r="AR2" s="2"/>
    </row>
    <row r="3" spans="2:45" ht="14.4" x14ac:dyDescent="0.3">
      <c r="C3" s="189" t="s">
        <v>16</v>
      </c>
      <c r="D3" s="361" t="e">
        <f>'PAL II'!F16</f>
        <v>#DIV/0!</v>
      </c>
      <c r="E3" s="361">
        <f>'PAL II'!F11</f>
        <v>159.75952659005486</v>
      </c>
      <c r="F3" s="361" t="e">
        <f>IF(D3=0,0,'PAL II'!F25)</f>
        <v>#DIV/0!</v>
      </c>
      <c r="G3" s="366" t="e">
        <f>IF(D3=0,0,'PAL II'!F50)</f>
        <v>#DIV/0!</v>
      </c>
      <c r="H3" s="372" t="e">
        <f t="shared" ref="H3:H15" si="0">D3-(E3+F3+G3)</f>
        <v>#DIV/0!</v>
      </c>
      <c r="I3" s="379" t="e">
        <f>IF(D3=0,0,'PAL II'!F33)</f>
        <v>#DIV/0!</v>
      </c>
      <c r="J3" s="372" t="e">
        <f>H3-I3</f>
        <v>#DIV/0!</v>
      </c>
      <c r="K3" s="115" t="e">
        <f>IF(D3=0,0,'PAL II'!F35)</f>
        <v>#DIV/0!</v>
      </c>
      <c r="L3" s="366" t="e">
        <f>IF(D3=0,0,'PAL II'!F40)</f>
        <v>#DIV/0!</v>
      </c>
      <c r="M3" s="372" t="e">
        <f>J3-(K3+L3)</f>
        <v>#DIV/0!</v>
      </c>
      <c r="O3" s="466" t="e">
        <f>IF(D3=0,0,'PAL II'!F$56)</f>
        <v>#DIV/0!</v>
      </c>
      <c r="V3" s="12"/>
      <c r="W3" s="194"/>
      <c r="X3" s="2"/>
      <c r="Z3" s="2"/>
      <c r="AB3" s="2"/>
      <c r="AD3" s="2"/>
      <c r="AG3" s="194"/>
      <c r="AH3" s="2"/>
      <c r="AI3" s="96"/>
      <c r="AJ3" s="8"/>
      <c r="AK3" s="2"/>
      <c r="AL3" s="8"/>
      <c r="AM3" s="8"/>
      <c r="AN3" s="2"/>
      <c r="AO3" s="8"/>
      <c r="AP3" s="8"/>
      <c r="AQ3" s="8"/>
      <c r="AR3" s="2"/>
      <c r="AS3" s="2">
        <f>AK3-AR3</f>
        <v>0</v>
      </c>
    </row>
    <row r="4" spans="2:45" ht="14.4" x14ac:dyDescent="0.3">
      <c r="C4" s="155" t="s">
        <v>4</v>
      </c>
      <c r="D4" s="360">
        <f>IF('PAL II'!I16=0,0,'PAL II'!J16)</f>
        <v>292.04734572400389</v>
      </c>
      <c r="E4" s="360">
        <f>'PAL II'!J11</f>
        <v>153.5494062534045</v>
      </c>
      <c r="F4" s="360">
        <f>IF(D4=0,0,'PAL II'!J25)</f>
        <v>27.208181486880466</v>
      </c>
      <c r="G4" s="360">
        <f>IF(E4=0,0,'PAL II'!J50)</f>
        <v>84.667935284305315</v>
      </c>
      <c r="H4" s="373">
        <f t="shared" si="0"/>
        <v>26.621822699413599</v>
      </c>
      <c r="I4" s="379">
        <f>IF(D4=0,0,'PAL II'!F34)</f>
        <v>335.7110723288734</v>
      </c>
      <c r="J4" s="373">
        <f t="shared" ref="J4:J14" si="1">H4-I4</f>
        <v>-309.0892496294598</v>
      </c>
      <c r="K4" s="376">
        <f>'PAL II'!J35</f>
        <v>1.0485345680876408</v>
      </c>
      <c r="L4" s="367">
        <f>'PAL II'!J40</f>
        <v>2.916620531145671</v>
      </c>
      <c r="M4" s="373">
        <f t="shared" ref="M4:M14" si="2">J4-(K4+L4)</f>
        <v>-313.0544047286931</v>
      </c>
      <c r="O4" s="466">
        <f>'PAL II'!J$56</f>
        <v>-47.145208759821529</v>
      </c>
      <c r="V4" s="12"/>
      <c r="W4" s="194"/>
      <c r="X4" s="2"/>
      <c r="Z4" s="2"/>
      <c r="AB4" s="2"/>
      <c r="AC4" s="9"/>
      <c r="AD4" s="2"/>
      <c r="AE4" s="9"/>
      <c r="AG4" s="194"/>
      <c r="AH4" s="2"/>
      <c r="AI4" s="96"/>
      <c r="AJ4" s="8"/>
      <c r="AK4" s="2"/>
      <c r="AL4" s="8"/>
      <c r="AM4" s="8"/>
      <c r="AN4" s="2"/>
      <c r="AO4" s="8"/>
      <c r="AP4" s="8"/>
      <c r="AR4" s="2"/>
    </row>
    <row r="5" spans="2:45" ht="14.4" x14ac:dyDescent="0.3">
      <c r="C5" s="155" t="s">
        <v>17</v>
      </c>
      <c r="D5" s="360">
        <f>IF('PAL II'!M16=0,0,'PAL II'!N16)</f>
        <v>0</v>
      </c>
      <c r="E5" s="360">
        <f>'PAL II'!N11</f>
        <v>155.48952859727623</v>
      </c>
      <c r="F5" s="360">
        <f>IF(D5=0,0,'PAL II'!N25)</f>
        <v>0</v>
      </c>
      <c r="G5" s="360" t="e">
        <f>IF(E5=0,0,'PAL II'!N50)</f>
        <v>#DIV/0!</v>
      </c>
      <c r="H5" s="373" t="e">
        <f t="shared" si="0"/>
        <v>#DIV/0!</v>
      </c>
      <c r="I5" s="380" t="e">
        <f>'PAL II'!N33</f>
        <v>#DIV/0!</v>
      </c>
      <c r="J5" s="373" t="e">
        <f t="shared" si="1"/>
        <v>#DIV/0!</v>
      </c>
      <c r="K5" s="376" t="e">
        <f>'PAL II'!N35</f>
        <v>#DIV/0!</v>
      </c>
      <c r="L5" s="367" t="e">
        <f>'PAL II'!N40</f>
        <v>#DIV/0!</v>
      </c>
      <c r="M5" s="373" t="e">
        <f t="shared" si="2"/>
        <v>#DIV/0!</v>
      </c>
      <c r="O5" s="466" t="e">
        <f>'PAL II'!N$56</f>
        <v>#DIV/0!</v>
      </c>
      <c r="V5" s="12"/>
      <c r="W5" s="194"/>
      <c r="X5" s="2"/>
      <c r="Y5" s="8"/>
      <c r="Z5" s="2"/>
      <c r="AA5" s="8"/>
      <c r="AB5" s="2"/>
      <c r="AD5" s="2"/>
      <c r="AG5" s="194"/>
      <c r="AH5" s="2"/>
      <c r="AI5" s="96"/>
      <c r="AJ5" s="8"/>
      <c r="AK5" s="2"/>
      <c r="AL5" s="8"/>
      <c r="AM5" s="8"/>
      <c r="AN5" s="2"/>
      <c r="AO5" s="8"/>
      <c r="AP5" s="8"/>
      <c r="AR5" s="2"/>
    </row>
    <row r="6" spans="2:45" ht="14.4" x14ac:dyDescent="0.3">
      <c r="C6" s="155" t="s">
        <v>18</v>
      </c>
      <c r="D6" s="360">
        <f>IF('PAL II'!Q16=0,0,'PAL II'!R16)</f>
        <v>0</v>
      </c>
      <c r="E6" s="360">
        <f>'PAL II'!R11</f>
        <v>0</v>
      </c>
      <c r="F6" s="360">
        <f>IF(D6=0,0,'PAL II'!R25)</f>
        <v>0</v>
      </c>
      <c r="G6" s="360">
        <f>IF(E6=0,0,'PAL II'!R50)</f>
        <v>0</v>
      </c>
      <c r="H6" s="373">
        <f t="shared" si="0"/>
        <v>0</v>
      </c>
      <c r="I6" s="380" t="e">
        <f>'PAL II'!R33</f>
        <v>#DIV/0!</v>
      </c>
      <c r="J6" s="373" t="e">
        <f t="shared" si="1"/>
        <v>#DIV/0!</v>
      </c>
      <c r="K6" s="376" t="e">
        <f>'PAL II'!R35</f>
        <v>#DIV/0!</v>
      </c>
      <c r="L6" s="367" t="e">
        <f>'PAL II'!R40</f>
        <v>#DIV/0!</v>
      </c>
      <c r="M6" s="373" t="e">
        <f t="shared" si="2"/>
        <v>#DIV/0!</v>
      </c>
      <c r="O6" s="466" t="e">
        <f>'PAL II'!R$56</f>
        <v>#DIV/0!</v>
      </c>
      <c r="V6" s="12"/>
      <c r="W6" s="194"/>
      <c r="X6" s="2"/>
      <c r="Z6" s="2"/>
      <c r="AB6" s="2"/>
      <c r="AD6" s="2"/>
      <c r="AG6" s="194"/>
      <c r="AH6" s="2"/>
      <c r="AI6" s="96"/>
      <c r="AJ6" s="8"/>
      <c r="AK6" s="2"/>
      <c r="AL6" s="8"/>
      <c r="AM6" s="8"/>
      <c r="AN6" s="2"/>
      <c r="AO6" s="8"/>
      <c r="AP6" s="8"/>
      <c r="AR6" s="2"/>
    </row>
    <row r="7" spans="2:45" ht="14.4" x14ac:dyDescent="0.3">
      <c r="C7" s="155" t="s">
        <v>19</v>
      </c>
      <c r="D7" s="360">
        <f>IF('PAL II'!U16=0,0,'PAL II'!V16)</f>
        <v>0</v>
      </c>
      <c r="E7" s="360">
        <f>'PAL II'!V11</f>
        <v>0</v>
      </c>
      <c r="F7" s="360">
        <f>IF(D7=0,0,'PAL II'!V25)</f>
        <v>0</v>
      </c>
      <c r="G7" s="367">
        <f>IF(D7=0,0,'PAL II'!V50)</f>
        <v>0</v>
      </c>
      <c r="H7" s="373">
        <f t="shared" si="0"/>
        <v>0</v>
      </c>
      <c r="I7" s="380" t="e">
        <f>'PAL II'!V33</f>
        <v>#DIV/0!</v>
      </c>
      <c r="J7" s="373" t="e">
        <f t="shared" si="1"/>
        <v>#DIV/0!</v>
      </c>
      <c r="K7" s="376" t="e">
        <f>'PAL II'!V35</f>
        <v>#DIV/0!</v>
      </c>
      <c r="L7" s="367" t="e">
        <f>'PAL II'!V40</f>
        <v>#DIV/0!</v>
      </c>
      <c r="M7" s="373" t="e">
        <f t="shared" si="2"/>
        <v>#DIV/0!</v>
      </c>
      <c r="O7" s="466" t="e">
        <f>'PAL II'!V$56</f>
        <v>#DIV/0!</v>
      </c>
      <c r="V7" s="12"/>
      <c r="X7" s="341"/>
      <c r="Y7" s="194"/>
      <c r="Z7" s="341"/>
      <c r="AA7" s="194"/>
      <c r="AB7" s="341"/>
      <c r="AC7" s="194"/>
      <c r="AD7" s="341"/>
      <c r="AE7" s="194"/>
      <c r="AF7" s="324"/>
      <c r="AH7" s="341"/>
      <c r="AI7" s="592"/>
      <c r="AJ7" s="8"/>
      <c r="AK7" s="341"/>
      <c r="AL7" s="218"/>
      <c r="AM7" s="8"/>
      <c r="AN7" s="341"/>
      <c r="AO7" s="218"/>
      <c r="AP7" s="8"/>
      <c r="AQ7" s="8"/>
      <c r="AR7" s="2"/>
      <c r="AS7" s="2">
        <f>SUM(AS1:AS6)</f>
        <v>0</v>
      </c>
    </row>
    <row r="8" spans="2:45" ht="14.4" x14ac:dyDescent="0.3">
      <c r="C8" s="155" t="s">
        <v>20</v>
      </c>
      <c r="D8" s="360">
        <f>IF('PAL II'!Y16=0,0,'PAL II'!Z16)</f>
        <v>0</v>
      </c>
      <c r="E8" s="360">
        <f>'PAL II'!Z11</f>
        <v>0</v>
      </c>
      <c r="F8" s="360">
        <f>IF(D8=0,0,'PAL II'!Z25)</f>
        <v>0</v>
      </c>
      <c r="G8" s="367">
        <f>IF(D8=0,0,('PAL II'!Z50))</f>
        <v>0</v>
      </c>
      <c r="H8" s="373">
        <f t="shared" si="0"/>
        <v>0</v>
      </c>
      <c r="I8" s="380" t="e">
        <f>'PAL II'!Z33</f>
        <v>#DIV/0!</v>
      </c>
      <c r="J8" s="373" t="e">
        <f t="shared" si="1"/>
        <v>#DIV/0!</v>
      </c>
      <c r="K8" s="376" t="e">
        <f>'PAL II'!Z35</f>
        <v>#DIV/0!</v>
      </c>
      <c r="L8" s="367" t="e">
        <f>'PAL II'!Z40</f>
        <v>#DIV/0!</v>
      </c>
      <c r="M8" s="373" t="e">
        <f t="shared" si="2"/>
        <v>#DIV/0!</v>
      </c>
      <c r="O8" s="466" t="e">
        <f>'PAL II'!Z$56</f>
        <v>#DIV/0!</v>
      </c>
      <c r="V8" s="51"/>
      <c r="AB8" s="2"/>
      <c r="AD8" s="2"/>
    </row>
    <row r="9" spans="2:45" ht="14.4" x14ac:dyDescent="0.3">
      <c r="C9" s="155" t="s">
        <v>13</v>
      </c>
      <c r="D9" s="360">
        <f>IF('PAL II'!AC16=0,0,'PAL II'!AD16)</f>
        <v>0</v>
      </c>
      <c r="E9" s="360">
        <f>'PAL II'!AD11</f>
        <v>0</v>
      </c>
      <c r="F9" s="360">
        <f>IF(D9=0,0,'PAL II'!AD25)</f>
        <v>0</v>
      </c>
      <c r="G9" s="360">
        <f>IF(E9=0,0,'PAL II'!R53)</f>
        <v>0</v>
      </c>
      <c r="H9" s="373">
        <f t="shared" si="0"/>
        <v>0</v>
      </c>
      <c r="I9" s="380" t="e">
        <f>'PAL II'!AD33</f>
        <v>#DIV/0!</v>
      </c>
      <c r="J9" s="373" t="e">
        <f t="shared" si="1"/>
        <v>#DIV/0!</v>
      </c>
      <c r="K9" s="376">
        <f>'PAL II'!AD35</f>
        <v>0</v>
      </c>
      <c r="L9" s="367" t="e">
        <f>'PAL II'!AD40</f>
        <v>#DIV/0!</v>
      </c>
      <c r="M9" s="373" t="e">
        <f t="shared" si="2"/>
        <v>#DIV/0!</v>
      </c>
      <c r="O9" s="466" t="e">
        <f>'PAL II'!AD$56</f>
        <v>#DIV/0!</v>
      </c>
      <c r="V9" s="12"/>
      <c r="Y9" s="218"/>
      <c r="Z9" s="2"/>
      <c r="AC9" s="218"/>
      <c r="AD9" s="2"/>
      <c r="AE9" s="9"/>
    </row>
    <row r="10" spans="2:45" ht="14.4" x14ac:dyDescent="0.3">
      <c r="C10" s="155" t="s">
        <v>5</v>
      </c>
      <c r="D10" s="360">
        <f>IF('PAL II'!AG16=0,0,'PAL II'!AH16)</f>
        <v>0</v>
      </c>
      <c r="E10" s="360">
        <f>'PAL II'!AH11</f>
        <v>0</v>
      </c>
      <c r="F10" s="360">
        <f>IF(D10=0,0,'PAL II'!AH25)</f>
        <v>0</v>
      </c>
      <c r="G10" s="360">
        <f>IF(E10=0,0,'PAL II'!R54)</f>
        <v>0</v>
      </c>
      <c r="H10" s="373">
        <f t="shared" si="0"/>
        <v>0</v>
      </c>
      <c r="I10" s="380" t="e">
        <f>'PAL II'!AH33</f>
        <v>#DIV/0!</v>
      </c>
      <c r="J10" s="373" t="e">
        <f t="shared" si="1"/>
        <v>#DIV/0!</v>
      </c>
      <c r="K10" s="376">
        <f>'PAL II'!AH35</f>
        <v>0</v>
      </c>
      <c r="L10" s="367" t="e">
        <f>'PAL II'!AH40</f>
        <v>#DIV/0!</v>
      </c>
      <c r="M10" s="373" t="e">
        <f t="shared" si="2"/>
        <v>#DIV/0!</v>
      </c>
      <c r="O10" s="466" t="e">
        <f>'PAL II'!AH$56</f>
        <v>#DIV/0!</v>
      </c>
      <c r="V10" s="12"/>
      <c r="W10" s="359"/>
      <c r="Y10" s="218"/>
      <c r="AC10" s="218"/>
    </row>
    <row r="11" spans="2:45" ht="14.4" x14ac:dyDescent="0.3">
      <c r="C11" s="155" t="s">
        <v>6</v>
      </c>
      <c r="D11" s="360">
        <f>IF('PAL II'!AK16=0,0,'PAL II'!AL16)</f>
        <v>0</v>
      </c>
      <c r="E11" s="360">
        <f>'PAL II'!AL11</f>
        <v>0</v>
      </c>
      <c r="F11" s="360">
        <f>IF(D11=0,0,'PAL II'!AL25)</f>
        <v>0</v>
      </c>
      <c r="G11" s="360">
        <f>IF(E11=0,0,'PAL II'!R55)</f>
        <v>0</v>
      </c>
      <c r="H11" s="373">
        <f t="shared" si="0"/>
        <v>0</v>
      </c>
      <c r="I11" s="380" t="e">
        <f>'PAL II'!AL33</f>
        <v>#DIV/0!</v>
      </c>
      <c r="J11" s="373" t="e">
        <f t="shared" si="1"/>
        <v>#DIV/0!</v>
      </c>
      <c r="K11" s="376">
        <f>'PAL II'!AL35</f>
        <v>0</v>
      </c>
      <c r="L11" s="367" t="e">
        <f>'PAL II'!AL40</f>
        <v>#DIV/0!</v>
      </c>
      <c r="M11" s="373" t="e">
        <f t="shared" si="2"/>
        <v>#DIV/0!</v>
      </c>
      <c r="O11" s="466" t="e">
        <f>'PAL II'!AL$56</f>
        <v>#DIV/0!</v>
      </c>
      <c r="V11" s="12"/>
      <c r="W11" s="194"/>
      <c r="X11" s="218"/>
      <c r="Y11" s="218"/>
      <c r="Z11" s="341"/>
      <c r="AA11" s="218"/>
      <c r="AB11" s="1068"/>
      <c r="AC11" s="218"/>
    </row>
    <row r="12" spans="2:45" ht="14.4" x14ac:dyDescent="0.3">
      <c r="C12" s="155" t="s">
        <v>7</v>
      </c>
      <c r="D12" s="360">
        <f>IF('PAL II'!AO16=0,0,'PAL II'!AP16)</f>
        <v>0</v>
      </c>
      <c r="E12" s="360">
        <f>'PAL II'!AP11</f>
        <v>0</v>
      </c>
      <c r="F12" s="360">
        <f>IF(D12=0,0,'PAL II'!AP25)</f>
        <v>0</v>
      </c>
      <c r="G12" s="360">
        <f>IF(E12=0,0,'PAL II'!R56)</f>
        <v>0</v>
      </c>
      <c r="H12" s="373">
        <f t="shared" si="0"/>
        <v>0</v>
      </c>
      <c r="I12" s="380" t="e">
        <f>'PAL II'!AP33</f>
        <v>#DIV/0!</v>
      </c>
      <c r="J12" s="373" t="e">
        <f t="shared" si="1"/>
        <v>#DIV/0!</v>
      </c>
      <c r="K12" s="376">
        <f>'PAL II'!AP35</f>
        <v>0</v>
      </c>
      <c r="L12" s="367" t="e">
        <f>'PAL II'!AP40</f>
        <v>#DIV/0!</v>
      </c>
      <c r="M12" s="373" t="e">
        <f t="shared" si="2"/>
        <v>#DIV/0!</v>
      </c>
      <c r="O12" s="466" t="e">
        <f>'PAL II'!AP$56</f>
        <v>#DIV/0!</v>
      </c>
      <c r="V12" s="12"/>
      <c r="X12" s="8"/>
      <c r="Y12" s="8"/>
      <c r="AB12" s="1069"/>
    </row>
    <row r="13" spans="2:45" ht="14.4" x14ac:dyDescent="0.3">
      <c r="C13" s="155" t="s">
        <v>8</v>
      </c>
      <c r="D13" s="360">
        <f>IF('PAL II'!AS16=0,0,'PAL II'!AT16)</f>
        <v>0</v>
      </c>
      <c r="E13" s="360">
        <f>'PAL II'!AT11</f>
        <v>0</v>
      </c>
      <c r="F13" s="360">
        <f>IF(D13=0,0,'PAL II'!AT25)</f>
        <v>0</v>
      </c>
      <c r="G13" s="360">
        <f>IF(E13=0,0,'PAL II'!R57)</f>
        <v>0</v>
      </c>
      <c r="H13" s="373">
        <f t="shared" si="0"/>
        <v>0</v>
      </c>
      <c r="I13" s="380" t="e">
        <f>'PAL II'!AT33</f>
        <v>#DIV/0!</v>
      </c>
      <c r="J13" s="373" t="e">
        <f t="shared" si="1"/>
        <v>#DIV/0!</v>
      </c>
      <c r="K13" s="376">
        <f>'PAL II'!AT35</f>
        <v>0</v>
      </c>
      <c r="L13" s="367" t="e">
        <f>'PAL II'!AT40</f>
        <v>#DIV/0!</v>
      </c>
      <c r="M13" s="373" t="e">
        <f t="shared" si="2"/>
        <v>#DIV/0!</v>
      </c>
      <c r="O13" s="466" t="e">
        <f>'PAL II'!AT56</f>
        <v>#DIV/0!</v>
      </c>
      <c r="V13" s="12"/>
      <c r="X13" s="8"/>
      <c r="Y13" s="8"/>
      <c r="AB13" s="152"/>
    </row>
    <row r="14" spans="2:45" ht="15" thickBot="1" x14ac:dyDescent="0.4">
      <c r="C14" s="362" t="s">
        <v>9</v>
      </c>
      <c r="D14" s="363">
        <f>IF('PAL II'!AW16=0,0,'PAL II'!AX16)</f>
        <v>0</v>
      </c>
      <c r="E14" s="363">
        <f>'PAL II'!AX11</f>
        <v>0</v>
      </c>
      <c r="F14" s="360">
        <f>IF(D14=0,0,'PAL II'!AX25)</f>
        <v>0</v>
      </c>
      <c r="G14" s="360">
        <f>IF(E14=0,0,'PAL II'!R58)</f>
        <v>0</v>
      </c>
      <c r="H14" s="377">
        <f t="shared" si="0"/>
        <v>0</v>
      </c>
      <c r="I14" s="381" t="e">
        <f>'PAL II'!AX33</f>
        <v>#DIV/0!</v>
      </c>
      <c r="J14" s="377" t="e">
        <f t="shared" si="1"/>
        <v>#DIV/0!</v>
      </c>
      <c r="K14" s="120">
        <f>'PAL II'!AX35</f>
        <v>0</v>
      </c>
      <c r="L14" s="368" t="e">
        <f>'PAL II'!AX40</f>
        <v>#DIV/0!</v>
      </c>
      <c r="M14" s="373" t="e">
        <f t="shared" si="2"/>
        <v>#DIV/0!</v>
      </c>
      <c r="O14" s="466" t="e">
        <f>'PAL II'!AX56</f>
        <v>#DIV/0!</v>
      </c>
      <c r="V14" s="343"/>
      <c r="X14" s="8"/>
      <c r="Y14" s="8"/>
      <c r="Z14" s="2"/>
      <c r="AA14" s="8"/>
      <c r="AB14" s="152"/>
    </row>
    <row r="15" spans="2:45" ht="15" thickBot="1" x14ac:dyDescent="0.35">
      <c r="C15" s="339" t="s">
        <v>101</v>
      </c>
      <c r="D15" s="364">
        <f>'PAL II'!BB16</f>
        <v>577.98222384191774</v>
      </c>
      <c r="E15" s="364">
        <f>'PAL II'!BB11</f>
        <v>156.4823903847057</v>
      </c>
      <c r="F15" s="364">
        <f>'PAL II'!BB25</f>
        <v>41.328362892776155</v>
      </c>
      <c r="G15" s="369">
        <f>'PAL II'!BB50</f>
        <v>84.662620239480546</v>
      </c>
      <c r="H15" s="370">
        <f t="shared" si="0"/>
        <v>295.50885032495535</v>
      </c>
      <c r="I15" s="382">
        <f>'PAL II'!BB33</f>
        <v>7.1793963693061587</v>
      </c>
      <c r="J15" s="370">
        <f>H15-I15</f>
        <v>288.32945395564917</v>
      </c>
      <c r="K15" s="819">
        <f>'PAL II'!BB35</f>
        <v>1.8561829453910978</v>
      </c>
      <c r="L15" s="369">
        <f>'PAL II'!BB40</f>
        <v>5.9864572892304269</v>
      </c>
      <c r="M15" s="370">
        <f>J15-(K15+L15)</f>
        <v>280.48681372102766</v>
      </c>
      <c r="O15" s="370">
        <f>'PAL II'!BB56</f>
        <v>165.12531648688355</v>
      </c>
      <c r="V15" s="348"/>
      <c r="Y15" s="8"/>
      <c r="AB15" s="152"/>
    </row>
    <row r="16" spans="2:45" ht="14.4" x14ac:dyDescent="0.3">
      <c r="E16" s="3327">
        <f>SUM(E15:G15)+I15</f>
        <v>289.65276988626857</v>
      </c>
      <c r="F16" s="3325"/>
      <c r="G16" s="3325"/>
      <c r="J16" s="96">
        <f>D15-E16</f>
        <v>288.32945395564917</v>
      </c>
      <c r="V16" s="348"/>
      <c r="W16" s="194"/>
      <c r="X16" s="218"/>
      <c r="Y16" s="218"/>
      <c r="Z16" s="341"/>
      <c r="AA16" s="218"/>
      <c r="AB16" s="342"/>
    </row>
    <row r="17" spans="2:29" x14ac:dyDescent="0.25">
      <c r="W17" s="344"/>
      <c r="X17" s="345"/>
      <c r="Y17" s="345"/>
      <c r="Z17" s="346"/>
      <c r="AA17" s="345"/>
      <c r="AB17" s="347"/>
    </row>
    <row r="18" spans="2:29" ht="13.8" thickBot="1" x14ac:dyDescent="0.3">
      <c r="B18" s="980"/>
      <c r="C18" s="3328" t="s">
        <v>415</v>
      </c>
      <c r="D18" s="3328"/>
      <c r="E18" s="3328"/>
      <c r="F18" s="3328"/>
      <c r="G18" s="3328"/>
      <c r="H18" s="3328"/>
      <c r="I18" s="3328"/>
      <c r="J18" s="3328"/>
      <c r="K18" s="3328"/>
      <c r="L18" s="3328"/>
      <c r="M18" s="3328"/>
      <c r="N18" s="3328"/>
      <c r="O18" s="3328"/>
      <c r="P18" s="3328"/>
      <c r="W18" s="344"/>
      <c r="Y18" s="347"/>
      <c r="Z18" s="346"/>
      <c r="AB18" s="347"/>
    </row>
    <row r="19" spans="2:29" ht="15" thickBot="1" x14ac:dyDescent="0.35">
      <c r="B19" s="999" t="s">
        <v>412</v>
      </c>
      <c r="C19" s="98"/>
      <c r="D19" s="666" t="s">
        <v>16</v>
      </c>
      <c r="E19" s="666" t="s">
        <v>4</v>
      </c>
      <c r="F19" s="666" t="s">
        <v>17</v>
      </c>
      <c r="G19" s="666" t="s">
        <v>18</v>
      </c>
      <c r="H19" s="666" t="s">
        <v>19</v>
      </c>
      <c r="I19" s="666" t="s">
        <v>20</v>
      </c>
      <c r="J19" s="666" t="s">
        <v>13</v>
      </c>
      <c r="K19" s="666" t="s">
        <v>5</v>
      </c>
      <c r="L19" s="666" t="s">
        <v>6</v>
      </c>
      <c r="M19" s="666" t="s">
        <v>7</v>
      </c>
      <c r="N19" s="666" t="s">
        <v>8</v>
      </c>
      <c r="O19" s="666" t="s">
        <v>9</v>
      </c>
      <c r="P19" s="667" t="s">
        <v>0</v>
      </c>
      <c r="W19" s="344"/>
      <c r="Y19" s="347"/>
      <c r="Z19" s="346"/>
      <c r="AB19" s="347"/>
    </row>
    <row r="20" spans="2:29" x14ac:dyDescent="0.25">
      <c r="B20" s="2">
        <v>30000</v>
      </c>
      <c r="C20" s="189" t="s">
        <v>335</v>
      </c>
      <c r="D20" s="325">
        <v>29214</v>
      </c>
      <c r="E20" s="325">
        <v>23725</v>
      </c>
      <c r="F20" s="325">
        <v>30329</v>
      </c>
      <c r="G20" s="325">
        <v>30380</v>
      </c>
      <c r="H20" s="325"/>
      <c r="I20" s="325"/>
      <c r="J20" s="325"/>
      <c r="K20" s="325"/>
      <c r="L20" s="325"/>
      <c r="M20" s="325"/>
      <c r="N20" s="325"/>
      <c r="O20" s="325"/>
      <c r="P20" s="157">
        <f>SUM(D20:O20)</f>
        <v>113648</v>
      </c>
    </row>
    <row r="21" spans="2:29" ht="13.8" thickBot="1" x14ac:dyDescent="0.3">
      <c r="B21" s="2">
        <v>1000</v>
      </c>
      <c r="C21" s="362" t="s">
        <v>64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005">
        <f>SUM(D21:O21)</f>
        <v>0</v>
      </c>
    </row>
    <row r="22" spans="2:29" ht="13.8" thickBot="1" x14ac:dyDescent="0.3">
      <c r="B22" s="1000">
        <f>SUM(B20:B21)</f>
        <v>31000</v>
      </c>
      <c r="C22" s="339" t="s">
        <v>0</v>
      </c>
      <c r="D22" s="358">
        <f>SUM(D20:D21)</f>
        <v>29214</v>
      </c>
      <c r="E22" s="358">
        <f t="shared" ref="E22:P22" si="3">SUM(E20:E21)</f>
        <v>23725</v>
      </c>
      <c r="F22" s="358">
        <f t="shared" si="3"/>
        <v>30329</v>
      </c>
      <c r="G22" s="358">
        <f t="shared" si="3"/>
        <v>30380</v>
      </c>
      <c r="H22" s="358">
        <f t="shared" si="3"/>
        <v>0</v>
      </c>
      <c r="I22" s="358">
        <f t="shared" si="3"/>
        <v>0</v>
      </c>
      <c r="J22" s="358">
        <f t="shared" si="3"/>
        <v>0</v>
      </c>
      <c r="K22" s="358">
        <f t="shared" si="3"/>
        <v>0</v>
      </c>
      <c r="L22" s="358">
        <f t="shared" si="3"/>
        <v>0</v>
      </c>
      <c r="M22" s="358">
        <f t="shared" si="3"/>
        <v>0</v>
      </c>
      <c r="N22" s="358">
        <f t="shared" si="3"/>
        <v>0</v>
      </c>
      <c r="O22" s="358">
        <f t="shared" si="3"/>
        <v>0</v>
      </c>
      <c r="P22" s="1006">
        <f t="shared" si="3"/>
        <v>113648</v>
      </c>
    </row>
    <row r="23" spans="2:29" x14ac:dyDescent="0.25">
      <c r="C23" s="189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157"/>
    </row>
    <row r="24" spans="2:29" x14ac:dyDescent="0.25">
      <c r="B24" s="9">
        <v>220100</v>
      </c>
      <c r="C24" s="155" t="s">
        <v>413</v>
      </c>
      <c r="D24" s="5">
        <v>176548</v>
      </c>
      <c r="E24" s="5">
        <v>186269</v>
      </c>
      <c r="F24" s="5">
        <v>186733</v>
      </c>
      <c r="G24" s="5">
        <v>205508</v>
      </c>
      <c r="H24" s="5"/>
      <c r="I24" s="5"/>
      <c r="J24" s="5"/>
      <c r="K24" s="5"/>
      <c r="L24" s="5"/>
      <c r="M24" s="5"/>
      <c r="N24" s="5"/>
      <c r="O24" s="5"/>
      <c r="P24" s="197">
        <f>SUM(D24:O24)</f>
        <v>755058</v>
      </c>
    </row>
    <row r="25" spans="2:29" x14ac:dyDescent="0.25">
      <c r="B25" s="9">
        <v>53970</v>
      </c>
      <c r="C25" s="155" t="s">
        <v>299</v>
      </c>
      <c r="D25" s="5">
        <v>56636</v>
      </c>
      <c r="E25" s="5">
        <v>60433</v>
      </c>
      <c r="F25" s="5">
        <v>62100</v>
      </c>
      <c r="G25" s="5">
        <v>62099</v>
      </c>
      <c r="H25" s="5"/>
      <c r="I25" s="5"/>
      <c r="J25" s="5"/>
      <c r="K25" s="5"/>
      <c r="L25" s="5"/>
      <c r="M25" s="5"/>
      <c r="N25" s="5"/>
      <c r="O25" s="5"/>
      <c r="P25" s="197">
        <f t="shared" ref="P25:P27" si="4">SUM(D25:O25)</f>
        <v>241268</v>
      </c>
    </row>
    <row r="26" spans="2:29" x14ac:dyDescent="0.25">
      <c r="B26" s="9">
        <v>27000</v>
      </c>
      <c r="C26" s="155" t="s">
        <v>62</v>
      </c>
      <c r="D26" s="5">
        <v>27000</v>
      </c>
      <c r="E26" s="5">
        <f>D26</f>
        <v>27000</v>
      </c>
      <c r="F26" s="5">
        <f t="shared" ref="F26:G26" si="5">E26</f>
        <v>27000</v>
      </c>
      <c r="G26" s="5">
        <f t="shared" si="5"/>
        <v>27000</v>
      </c>
      <c r="H26" s="5"/>
      <c r="I26" s="5"/>
      <c r="J26" s="5"/>
      <c r="K26" s="5"/>
      <c r="L26" s="5"/>
      <c r="M26" s="5"/>
      <c r="N26" s="5"/>
      <c r="O26" s="5"/>
      <c r="P26" s="197">
        <f t="shared" si="4"/>
        <v>108000</v>
      </c>
    </row>
    <row r="27" spans="2:29" ht="13.8" thickBot="1" x14ac:dyDescent="0.3">
      <c r="B27" s="9"/>
      <c r="C27" s="1007" t="s">
        <v>416</v>
      </c>
      <c r="D27" s="118"/>
      <c r="E27" s="118"/>
      <c r="F27" s="118">
        <v>2102</v>
      </c>
      <c r="G27" s="118"/>
      <c r="H27" s="118"/>
      <c r="I27" s="118"/>
      <c r="J27" s="118"/>
      <c r="K27" s="118"/>
      <c r="L27" s="118"/>
      <c r="M27" s="118"/>
      <c r="N27" s="118"/>
      <c r="O27" s="118"/>
      <c r="P27" s="529">
        <f t="shared" si="4"/>
        <v>2102</v>
      </c>
    </row>
    <row r="28" spans="2:29" ht="13.8" thickBot="1" x14ac:dyDescent="0.3">
      <c r="B28" s="1001">
        <f>SUM(B24:B27)</f>
        <v>301070</v>
      </c>
      <c r="C28" s="339"/>
      <c r="D28" s="328">
        <f>SUM(D24:D27)</f>
        <v>260184</v>
      </c>
      <c r="E28" s="328">
        <f t="shared" ref="E28:P28" si="6">SUM(E24:E27)</f>
        <v>273702</v>
      </c>
      <c r="F28" s="328">
        <f t="shared" si="6"/>
        <v>277935</v>
      </c>
      <c r="G28" s="328">
        <f t="shared" si="6"/>
        <v>294607</v>
      </c>
      <c r="H28" s="328">
        <f t="shared" si="6"/>
        <v>0</v>
      </c>
      <c r="I28" s="328">
        <f t="shared" si="6"/>
        <v>0</v>
      </c>
      <c r="J28" s="328">
        <f t="shared" si="6"/>
        <v>0</v>
      </c>
      <c r="K28" s="328">
        <f t="shared" si="6"/>
        <v>0</v>
      </c>
      <c r="L28" s="328">
        <f t="shared" si="6"/>
        <v>0</v>
      </c>
      <c r="M28" s="328">
        <f t="shared" si="6"/>
        <v>0</v>
      </c>
      <c r="N28" s="328">
        <f t="shared" si="6"/>
        <v>0</v>
      </c>
      <c r="O28" s="328">
        <f t="shared" si="6"/>
        <v>0</v>
      </c>
      <c r="P28" s="199">
        <f t="shared" si="6"/>
        <v>1106428</v>
      </c>
    </row>
    <row r="29" spans="2:29" ht="15" thickBot="1" x14ac:dyDescent="0.35">
      <c r="B29" s="1002">
        <f>B28/B22</f>
        <v>9.7119354838709686</v>
      </c>
      <c r="C29" s="98" t="s">
        <v>414</v>
      </c>
      <c r="D29" s="1003">
        <f>IF(D22=0,0,D28/D22)</f>
        <v>8.906140891353461</v>
      </c>
      <c r="E29" s="1003">
        <f t="shared" ref="E29:P29" si="7">IF(E22=0,0,E28/E22)</f>
        <v>11.536438356164384</v>
      </c>
      <c r="F29" s="1003">
        <f t="shared" si="7"/>
        <v>9.164001450756702</v>
      </c>
      <c r="G29" s="1003">
        <f t="shared" si="7"/>
        <v>9.6973996050032909</v>
      </c>
      <c r="H29" s="1003">
        <f t="shared" si="7"/>
        <v>0</v>
      </c>
      <c r="I29" s="1003">
        <f t="shared" si="7"/>
        <v>0</v>
      </c>
      <c r="J29" s="1003">
        <f t="shared" si="7"/>
        <v>0</v>
      </c>
      <c r="K29" s="1003">
        <f t="shared" si="7"/>
        <v>0</v>
      </c>
      <c r="L29" s="1003">
        <f t="shared" si="7"/>
        <v>0</v>
      </c>
      <c r="M29" s="1003">
        <f t="shared" si="7"/>
        <v>0</v>
      </c>
      <c r="N29" s="1003">
        <f t="shared" si="7"/>
        <v>0</v>
      </c>
      <c r="O29" s="1003">
        <f t="shared" si="7"/>
        <v>0</v>
      </c>
      <c r="P29" s="1004">
        <f t="shared" si="7"/>
        <v>9.7355694776854858</v>
      </c>
    </row>
    <row r="30" spans="2:29" ht="14.4" x14ac:dyDescent="0.3">
      <c r="B30" s="1002"/>
      <c r="D30" s="1002"/>
      <c r="E30" s="1002"/>
      <c r="F30" s="1002"/>
      <c r="G30" s="1002"/>
      <c r="H30" s="1002"/>
      <c r="I30" s="1002"/>
      <c r="J30" s="1002"/>
      <c r="K30" s="1002"/>
      <c r="L30" s="1002"/>
      <c r="M30" s="1002"/>
      <c r="N30" s="1002"/>
      <c r="O30" s="1002"/>
      <c r="P30" s="1002"/>
    </row>
    <row r="31" spans="2:29" ht="13.8" thickBot="1" x14ac:dyDescent="0.3">
      <c r="C31" s="3328" t="s">
        <v>421</v>
      </c>
      <c r="D31" s="3328"/>
      <c r="E31" s="3328"/>
      <c r="F31" s="3328"/>
      <c r="G31" s="3328"/>
      <c r="H31" s="3328"/>
      <c r="I31" s="3328"/>
      <c r="J31" s="3328"/>
      <c r="K31" s="3328"/>
      <c r="L31" s="3328"/>
      <c r="M31" s="3328"/>
      <c r="N31" s="3328"/>
      <c r="O31" s="3328"/>
      <c r="P31" s="3328"/>
      <c r="Q31" s="3328"/>
      <c r="R31" s="3328"/>
      <c r="S31" s="3328"/>
      <c r="T31" s="3328"/>
      <c r="U31" s="3328"/>
      <c r="V31" s="3328"/>
      <c r="W31" s="3328"/>
      <c r="X31" s="3328"/>
      <c r="Y31" s="3328"/>
      <c r="Z31" s="3328"/>
      <c r="AA31" s="3328"/>
      <c r="AB31" s="3328"/>
      <c r="AC31" s="3328"/>
    </row>
    <row r="32" spans="2:29" ht="15" thickBot="1" x14ac:dyDescent="0.35">
      <c r="C32" s="1020" t="s">
        <v>420</v>
      </c>
      <c r="D32" s="3329">
        <f>121643+108033</f>
        <v>229676</v>
      </c>
      <c r="E32" s="3330"/>
      <c r="F32" s="3329">
        <f>111093+106815</f>
        <v>217908</v>
      </c>
      <c r="G32" s="3330"/>
      <c r="H32" s="3329">
        <f>130497+122090</f>
        <v>252587</v>
      </c>
      <c r="I32" s="3331"/>
      <c r="J32" s="3329"/>
      <c r="K32" s="3330"/>
      <c r="L32" s="3329"/>
      <c r="M32" s="3330"/>
      <c r="N32" s="3329"/>
      <c r="O32" s="3330"/>
      <c r="P32" s="3329"/>
      <c r="Q32" s="3330"/>
      <c r="R32" s="3329"/>
      <c r="S32" s="3330"/>
      <c r="T32" s="3329"/>
      <c r="U32" s="3330"/>
      <c r="V32" s="3329"/>
      <c r="W32" s="3330"/>
      <c r="X32" s="3329"/>
      <c r="Y32" s="3330"/>
      <c r="Z32" s="3329"/>
      <c r="AA32" s="3331"/>
      <c r="AB32" s="3332">
        <f>SUM(D32:Z32)</f>
        <v>700171</v>
      </c>
      <c r="AC32" s="3333"/>
    </row>
    <row r="33" spans="3:29" ht="15" thickBot="1" x14ac:dyDescent="0.35">
      <c r="C33" s="439"/>
      <c r="D33" s="3329" t="s">
        <v>16</v>
      </c>
      <c r="E33" s="3330"/>
      <c r="F33" s="3329" t="s">
        <v>4</v>
      </c>
      <c r="G33" s="3330"/>
      <c r="H33" s="3329" t="s">
        <v>17</v>
      </c>
      <c r="I33" s="3331"/>
      <c r="J33" s="3329" t="s">
        <v>18</v>
      </c>
      <c r="K33" s="3330"/>
      <c r="L33" s="3329" t="s">
        <v>19</v>
      </c>
      <c r="M33" s="3331"/>
      <c r="N33" s="3329" t="s">
        <v>20</v>
      </c>
      <c r="O33" s="3331"/>
      <c r="P33" s="3329" t="s">
        <v>13</v>
      </c>
      <c r="Q33" s="3331"/>
      <c r="R33" s="3329" t="s">
        <v>5</v>
      </c>
      <c r="S33" s="3330"/>
      <c r="T33" s="3329" t="s">
        <v>6</v>
      </c>
      <c r="U33" s="3331"/>
      <c r="V33" s="3329" t="s">
        <v>7</v>
      </c>
      <c r="W33" s="3331"/>
      <c r="X33" s="3329" t="s">
        <v>8</v>
      </c>
      <c r="Y33" s="3330"/>
      <c r="Z33" s="3329" t="s">
        <v>9</v>
      </c>
      <c r="AA33" s="3331"/>
      <c r="AB33" s="3334" t="s">
        <v>0</v>
      </c>
      <c r="AC33" s="3335"/>
    </row>
    <row r="34" spans="3:29" ht="15" thickBot="1" x14ac:dyDescent="0.35">
      <c r="C34" s="1008"/>
      <c r="D34" s="666" t="s">
        <v>15</v>
      </c>
      <c r="E34" s="666" t="s">
        <v>14</v>
      </c>
      <c r="F34" s="666" t="s">
        <v>15</v>
      </c>
      <c r="G34" s="666" t="s">
        <v>14</v>
      </c>
      <c r="H34" s="666" t="s">
        <v>15</v>
      </c>
      <c r="I34" s="1009" t="s">
        <v>14</v>
      </c>
      <c r="J34" s="666" t="s">
        <v>15</v>
      </c>
      <c r="K34" s="666" t="s">
        <v>14</v>
      </c>
      <c r="L34" s="666" t="s">
        <v>15</v>
      </c>
      <c r="M34" s="666" t="s">
        <v>14</v>
      </c>
      <c r="N34" s="666" t="s">
        <v>15</v>
      </c>
      <c r="O34" s="666" t="s">
        <v>14</v>
      </c>
      <c r="P34" s="666" t="s">
        <v>15</v>
      </c>
      <c r="Q34" s="666" t="s">
        <v>14</v>
      </c>
      <c r="R34" s="666" t="s">
        <v>15</v>
      </c>
      <c r="S34" s="666" t="s">
        <v>14</v>
      </c>
      <c r="T34" s="666" t="s">
        <v>15</v>
      </c>
      <c r="U34" s="666" t="s">
        <v>14</v>
      </c>
      <c r="V34" s="666" t="s">
        <v>15</v>
      </c>
      <c r="W34" s="666" t="s">
        <v>14</v>
      </c>
      <c r="X34" s="666" t="s">
        <v>15</v>
      </c>
      <c r="Y34" s="666" t="s">
        <v>14</v>
      </c>
      <c r="Z34" s="666" t="s">
        <v>15</v>
      </c>
      <c r="AA34" s="1009" t="s">
        <v>14</v>
      </c>
      <c r="AB34" s="1010" t="s">
        <v>15</v>
      </c>
      <c r="AC34" s="667" t="s">
        <v>14</v>
      </c>
    </row>
    <row r="35" spans="3:29" ht="14.4" x14ac:dyDescent="0.3">
      <c r="C35" s="1011" t="s">
        <v>299</v>
      </c>
      <c r="D35" s="59">
        <v>31976</v>
      </c>
      <c r="E35" s="59">
        <f>IF(D35=0,0,D35/D32)</f>
        <v>0.13922220867657048</v>
      </c>
      <c r="F35" s="913">
        <v>31744</v>
      </c>
      <c r="G35" s="59">
        <f>IF(F35=0,0,F35/F32)</f>
        <v>0.14567615691025571</v>
      </c>
      <c r="H35" s="59">
        <v>31985</v>
      </c>
      <c r="I35" s="814">
        <f>IF(H35=0,0,H35/H32)</f>
        <v>0.12662963652127782</v>
      </c>
      <c r="J35" s="814"/>
      <c r="K35" s="59">
        <f>IF(J35=0,0,J35/J32)</f>
        <v>0</v>
      </c>
      <c r="L35" s="59"/>
      <c r="M35" s="59">
        <f>IF(L35=0,0,L35/L32)</f>
        <v>0</v>
      </c>
      <c r="N35" s="913"/>
      <c r="O35" s="59">
        <f>IF(N35=0,0,N35/N32)</f>
        <v>0</v>
      </c>
      <c r="P35" s="59"/>
      <c r="Q35" s="59">
        <f>IF(P35=0,0,P35/P32)</f>
        <v>0</v>
      </c>
      <c r="R35" s="913"/>
      <c r="S35" s="59">
        <f>IF(R35=0,0,R35/R32)</f>
        <v>0</v>
      </c>
      <c r="T35" s="59"/>
      <c r="U35" s="59">
        <f>IF(T35=0,0,T35/T32)</f>
        <v>0</v>
      </c>
      <c r="V35" s="913"/>
      <c r="W35" s="59">
        <f>IF(V35=0,0,V35/V32)</f>
        <v>0</v>
      </c>
      <c r="X35" s="59"/>
      <c r="Y35" s="59">
        <f>IF(X35=0,0,X35/X32)</f>
        <v>0</v>
      </c>
      <c r="Z35" s="59"/>
      <c r="AA35" s="814">
        <f>IF(Z35=0,0,Z35/Z32)</f>
        <v>0</v>
      </c>
      <c r="AB35" s="1012">
        <f>SUM(D35,F35,H35,J35,L35,N35,P35,R35,T35,V35,X35,Z35)</f>
        <v>95705</v>
      </c>
      <c r="AC35" s="101">
        <f>IF(AB35=0,0,AB35/AB32)</f>
        <v>0.13668803763652021</v>
      </c>
    </row>
    <row r="36" spans="3:29" ht="14.4" x14ac:dyDescent="0.3">
      <c r="C36" s="1013" t="s">
        <v>417</v>
      </c>
      <c r="D36" s="53">
        <v>805139</v>
      </c>
      <c r="E36" s="59">
        <f>IF(D36=0,0,D36/D32)</f>
        <v>3.5055425904317388</v>
      </c>
      <c r="F36" s="546">
        <v>813691</v>
      </c>
      <c r="G36" s="59">
        <f>IF(F36=0,0,F36/F32)</f>
        <v>3.7341033830790975</v>
      </c>
      <c r="H36" s="53">
        <v>775226</v>
      </c>
      <c r="I36" s="814">
        <f>IF(H36=0,0,H36/H32)</f>
        <v>3.0691444927886233</v>
      </c>
      <c r="J36" s="248"/>
      <c r="K36" s="59">
        <f>IF(J36=0,0,J36/J32)</f>
        <v>0</v>
      </c>
      <c r="L36" s="53"/>
      <c r="M36" s="59">
        <f>IF(L36=0,0,L36/L32)</f>
        <v>0</v>
      </c>
      <c r="N36" s="546"/>
      <c r="O36" s="59">
        <f>IF(N36=0,0,N36/N32)</f>
        <v>0</v>
      </c>
      <c r="P36" s="53"/>
      <c r="Q36" s="59">
        <f>IF(P36=0,0,P36/P32)</f>
        <v>0</v>
      </c>
      <c r="R36" s="546"/>
      <c r="S36" s="59">
        <f>IF(R36=0,0,R36/R32)</f>
        <v>0</v>
      </c>
      <c r="T36" s="53"/>
      <c r="U36" s="59">
        <f>IF(T36=0,0,T36/T32)</f>
        <v>0</v>
      </c>
      <c r="V36" s="546"/>
      <c r="W36" s="59">
        <f>IF(V36=0,0,V36/V32)</f>
        <v>0</v>
      </c>
      <c r="X36" s="53"/>
      <c r="Y36" s="59">
        <f>IF(X36=0,0,X36/X32)</f>
        <v>0</v>
      </c>
      <c r="Z36" s="53"/>
      <c r="AA36" s="814">
        <f>IF(Z36=0,0,Z36/Z32)</f>
        <v>0</v>
      </c>
      <c r="AB36" s="1012">
        <f t="shared" ref="AB36:AB39" si="8">SUM(D36,F36,H36,J36,L36,N36,P36,R36,T36,V36,X36,Z36)</f>
        <v>2394056</v>
      </c>
      <c r="AC36" s="101">
        <f>IF(AB36=0,0,AB36/AB32)</f>
        <v>3.4192447273594593</v>
      </c>
    </row>
    <row r="37" spans="3:29" ht="14.4" x14ac:dyDescent="0.3">
      <c r="C37" s="1013" t="s">
        <v>62</v>
      </c>
      <c r="D37" s="53">
        <f>90000+23000+126800+140000</f>
        <v>379800</v>
      </c>
      <c r="E37" s="59">
        <f>IF(D37=0,0,D37/D32)</f>
        <v>1.653633814590989</v>
      </c>
      <c r="F37" s="546">
        <f>D37</f>
        <v>379800</v>
      </c>
      <c r="G37" s="59">
        <f>IF(F37=0,0,F37/F32)</f>
        <v>1.7429373864199571</v>
      </c>
      <c r="H37" s="53">
        <f>F37</f>
        <v>379800</v>
      </c>
      <c r="I37" s="814">
        <f>IF(H37=0,0,H37/H32)</f>
        <v>1.5036403298665411</v>
      </c>
      <c r="J37" s="248"/>
      <c r="K37" s="59">
        <f>IF(J37=0,0,J37/J32)</f>
        <v>0</v>
      </c>
      <c r="L37" s="53"/>
      <c r="M37" s="59">
        <f>IF(L37=0,0,L37/L32)</f>
        <v>0</v>
      </c>
      <c r="N37" s="546"/>
      <c r="O37" s="59">
        <f>IF(N37=0,0,N37/N32)</f>
        <v>0</v>
      </c>
      <c r="P37" s="53"/>
      <c r="Q37" s="59">
        <f>IF(P37=0,0,P37/P32)</f>
        <v>0</v>
      </c>
      <c r="R37" s="546"/>
      <c r="S37" s="59">
        <f>IF(R37=0,0,R37/R32)</f>
        <v>0</v>
      </c>
      <c r="T37" s="53"/>
      <c r="U37" s="59">
        <f>IF(T37=0,0,T37/T32)</f>
        <v>0</v>
      </c>
      <c r="V37" s="546"/>
      <c r="W37" s="59">
        <f>IF(V37=0,0,V37/V32)</f>
        <v>0</v>
      </c>
      <c r="X37" s="53"/>
      <c r="Y37" s="59">
        <f>IF(X37=0,0,X37/X32)</f>
        <v>0</v>
      </c>
      <c r="Z37" s="53"/>
      <c r="AA37" s="814">
        <f>IF(Z37=0,0,Z37/Z32)</f>
        <v>0</v>
      </c>
      <c r="AB37" s="1012">
        <f t="shared" si="8"/>
        <v>1139400</v>
      </c>
      <c r="AC37" s="101">
        <f>IF(AB37=0,0,AB37/AB32)</f>
        <v>1.6273167554783046</v>
      </c>
    </row>
    <row r="38" spans="3:29" ht="14.4" x14ac:dyDescent="0.3">
      <c r="C38" s="1013" t="s">
        <v>418</v>
      </c>
      <c r="D38" s="53"/>
      <c r="E38" s="59">
        <f>IF(D38=0,0,D38/D32)</f>
        <v>0</v>
      </c>
      <c r="F38" s="546"/>
      <c r="G38" s="59">
        <f>IF(F38=0,0,F38/F32)</f>
        <v>0</v>
      </c>
      <c r="H38" s="53"/>
      <c r="I38" s="814">
        <f>IF(H38=0,0,H38/H32)</f>
        <v>0</v>
      </c>
      <c r="J38" s="248"/>
      <c r="K38" s="59">
        <f>IF(J38=0,0,J38/J32)</f>
        <v>0</v>
      </c>
      <c r="L38" s="53"/>
      <c r="M38" s="59">
        <f>IF(L38=0,0,L38/L32)</f>
        <v>0</v>
      </c>
      <c r="N38" s="546"/>
      <c r="O38" s="59">
        <f>IF(N38=0,0,N38/N32)</f>
        <v>0</v>
      </c>
      <c r="P38" s="53"/>
      <c r="Q38" s="59">
        <f>IF(P38=0,0,P38/P32)</f>
        <v>0</v>
      </c>
      <c r="R38" s="546"/>
      <c r="S38" s="59">
        <f>IF(R38=0,0,R38/R32)</f>
        <v>0</v>
      </c>
      <c r="T38" s="53"/>
      <c r="U38" s="59">
        <f>IF(T38=0,0,T38/T32)</f>
        <v>0</v>
      </c>
      <c r="V38" s="546"/>
      <c r="W38" s="59">
        <f>IF(V38=0,0,V38/V32)</f>
        <v>0</v>
      </c>
      <c r="X38" s="53"/>
      <c r="Y38" s="59">
        <f>IF(X38=0,0,X38/X32)</f>
        <v>0</v>
      </c>
      <c r="Z38" s="53"/>
      <c r="AA38" s="814">
        <f>IF(Z38=0,0,Z38/Z32)</f>
        <v>0</v>
      </c>
      <c r="AB38" s="1012">
        <f t="shared" si="8"/>
        <v>0</v>
      </c>
      <c r="AC38" s="101">
        <f>IF(AB38=0,0,AB38/AB32)</f>
        <v>0</v>
      </c>
    </row>
    <row r="39" spans="3:29" ht="15" thickBot="1" x14ac:dyDescent="0.35">
      <c r="C39" s="1014" t="s">
        <v>419</v>
      </c>
      <c r="D39" s="107">
        <v>244002</v>
      </c>
      <c r="E39" s="59">
        <f>IF(D39=0,0,D39/D32)</f>
        <v>1.0623748236646406</v>
      </c>
      <c r="F39" s="322">
        <v>35870</v>
      </c>
      <c r="G39" s="59">
        <f>IF(F39=0,0,F39/F32)</f>
        <v>0.16461075316188484</v>
      </c>
      <c r="H39" s="107">
        <v>577344</v>
      </c>
      <c r="I39" s="814">
        <f>IF(H39=0,0,H39/H32)</f>
        <v>2.2857233349301427</v>
      </c>
      <c r="J39" s="119"/>
      <c r="K39" s="59">
        <f>IF(J39=0,0,J39/J32)</f>
        <v>0</v>
      </c>
      <c r="L39" s="107"/>
      <c r="M39" s="59">
        <f>IF(L39=0,0,L39/L32)</f>
        <v>0</v>
      </c>
      <c r="N39" s="322"/>
      <c r="O39" s="59">
        <f>IF(N39=0,0,N39/N32)</f>
        <v>0</v>
      </c>
      <c r="P39" s="107"/>
      <c r="Q39" s="59">
        <f>IF(P39=0,0,P39/P32)</f>
        <v>0</v>
      </c>
      <c r="R39" s="322"/>
      <c r="S39" s="59">
        <f>IF(R39=0,0,R39/R32)</f>
        <v>0</v>
      </c>
      <c r="T39" s="107"/>
      <c r="U39" s="59">
        <f>IF(T39=0,0,T39/T32)</f>
        <v>0</v>
      </c>
      <c r="V39" s="322"/>
      <c r="W39" s="59">
        <f>IF(V39=0,0,V39/V32)</f>
        <v>0</v>
      </c>
      <c r="X39" s="107"/>
      <c r="Y39" s="59">
        <f>IF(X39=0,0,X39/X32)</f>
        <v>0</v>
      </c>
      <c r="Z39" s="107"/>
      <c r="AA39" s="814">
        <f>IF(Z39=0,0,Z39/Z32)</f>
        <v>0</v>
      </c>
      <c r="AB39" s="323">
        <f t="shared" si="8"/>
        <v>857216</v>
      </c>
      <c r="AC39" s="99">
        <f>IF(AB39=0,0,AB39/AB32)</f>
        <v>1.224295207884931</v>
      </c>
    </row>
    <row r="40" spans="3:29" ht="15" thickBot="1" x14ac:dyDescent="0.35">
      <c r="C40" s="121"/>
      <c r="D40" s="1003">
        <f>SUM(D35:D39)</f>
        <v>1460917</v>
      </c>
      <c r="E40" s="1003">
        <f>IF(D40=0,0,D40/D32)</f>
        <v>6.3607734373639389</v>
      </c>
      <c r="F40" s="1015">
        <f t="shared" ref="F40:AB40" si="9">SUM(F35:F39)</f>
        <v>1261105</v>
      </c>
      <c r="G40" s="1003">
        <f>IF(F40=0,0,F40/F32)</f>
        <v>5.7873276795711952</v>
      </c>
      <c r="H40" s="1003">
        <f t="shared" si="9"/>
        <v>1764355</v>
      </c>
      <c r="I40" s="1016">
        <f>IF(H40=0,0,H40/H32)</f>
        <v>6.9851377941065849</v>
      </c>
      <c r="J40" s="1016">
        <f t="shared" si="9"/>
        <v>0</v>
      </c>
      <c r="K40" s="1003">
        <f>IF(J40=0,0,J40/J32)</f>
        <v>0</v>
      </c>
      <c r="L40" s="1003">
        <f t="shared" si="9"/>
        <v>0</v>
      </c>
      <c r="M40" s="1003">
        <f>IF(L40=0,0,L40/L32)</f>
        <v>0</v>
      </c>
      <c r="N40" s="1015">
        <f t="shared" si="9"/>
        <v>0</v>
      </c>
      <c r="O40" s="1003">
        <f>IF(N40=0,0,N40/N32)</f>
        <v>0</v>
      </c>
      <c r="P40" s="1003">
        <f t="shared" si="9"/>
        <v>0</v>
      </c>
      <c r="Q40" s="1003">
        <f>IF(P40=0,0,P40/P32)</f>
        <v>0</v>
      </c>
      <c r="R40" s="1015">
        <f t="shared" si="9"/>
        <v>0</v>
      </c>
      <c r="S40" s="1003">
        <f>IF(R40=0,0,R40/R32)</f>
        <v>0</v>
      </c>
      <c r="T40" s="1003">
        <f t="shared" si="9"/>
        <v>0</v>
      </c>
      <c r="U40" s="1003">
        <f>IF(T40=0,0,T40/T32)</f>
        <v>0</v>
      </c>
      <c r="V40" s="1015">
        <f t="shared" si="9"/>
        <v>0</v>
      </c>
      <c r="W40" s="1003">
        <f>IF(V40=0,0,V40/V32)</f>
        <v>0</v>
      </c>
      <c r="X40" s="1003">
        <f t="shared" si="9"/>
        <v>0</v>
      </c>
      <c r="Y40" s="1003">
        <f>IF(X40=0,0,X40/X32)</f>
        <v>0</v>
      </c>
      <c r="Z40" s="1003">
        <f t="shared" si="9"/>
        <v>0</v>
      </c>
      <c r="AA40" s="1016">
        <f>IF(Z40=0,0,Z40/Z32)</f>
        <v>0</v>
      </c>
      <c r="AB40" s="1017">
        <f t="shared" si="9"/>
        <v>4486377</v>
      </c>
      <c r="AC40" s="1004">
        <f>IF(AB40=0,0,AB40/AB32)</f>
        <v>6.4075447283592153</v>
      </c>
    </row>
    <row r="41" spans="3:29" ht="14.4" x14ac:dyDescent="0.3">
      <c r="C41" s="999" t="s">
        <v>3</v>
      </c>
      <c r="D41" s="1018">
        <v>127312</v>
      </c>
      <c r="E41" s="1019">
        <f>IF(D41=0,0,(D40/D41))</f>
        <v>11.47509268568556</v>
      </c>
      <c r="F41" s="1018">
        <v>125434</v>
      </c>
      <c r="G41" s="1019">
        <f>IF(F41=0,0,(F40/F41))</f>
        <v>10.053932745507598</v>
      </c>
      <c r="H41" s="1018">
        <v>142743</v>
      </c>
      <c r="I41" s="1019">
        <f>IF(H41=0,0,(H40/H41))</f>
        <v>12.360360928381777</v>
      </c>
      <c r="J41" s="1018"/>
      <c r="K41" s="1019"/>
      <c r="L41" s="1018"/>
      <c r="M41" s="1019">
        <f>IF(L41=0,0,(L40/L41))</f>
        <v>0</v>
      </c>
      <c r="N41" s="1018"/>
      <c r="O41" s="1019">
        <f>IF(N41=0,0,(N40/N41))</f>
        <v>0</v>
      </c>
      <c r="P41" s="1018"/>
      <c r="Q41" s="1019">
        <f>IF(P41=0,0,(P40/P41))</f>
        <v>0</v>
      </c>
      <c r="R41" s="1018"/>
      <c r="S41" s="1019">
        <f>IF(R41=0,0,(R40/R41))</f>
        <v>0</v>
      </c>
      <c r="T41" s="1018"/>
      <c r="U41" s="1019">
        <f>IF(T41=0,0,(T40/T41))</f>
        <v>0</v>
      </c>
      <c r="V41" s="1018"/>
      <c r="W41" s="1019">
        <f>IF(V41=0,0,(V40/V41))</f>
        <v>0</v>
      </c>
      <c r="X41" s="1018"/>
      <c r="Y41" s="1019">
        <f>IF(X41=0,0,(X40/X41))</f>
        <v>0</v>
      </c>
      <c r="Z41" s="1018"/>
      <c r="AA41" s="1019">
        <f>IF(Z41=0,0,(Z40/Z41))</f>
        <v>0</v>
      </c>
      <c r="AB41" s="8">
        <f>SUM(D41,F41,H41,J41,L41,N41,P41,R41,T41,V41,X41,Z41)</f>
        <v>395489</v>
      </c>
      <c r="AC41" s="1019">
        <f>IF(AB41=0,0,(AB40/AB41))</f>
        <v>11.343873028074105</v>
      </c>
    </row>
  </sheetData>
  <mergeCells count="30">
    <mergeCell ref="AB32:AC32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E16:G16"/>
    <mergeCell ref="C1:M1"/>
    <mergeCell ref="C18:P18"/>
    <mergeCell ref="V32:W32"/>
    <mergeCell ref="C31:AC31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X32:Y32"/>
    <mergeCell ref="Z32:AA32"/>
  </mergeCells>
  <pageMargins left="0.7" right="0.7" top="0.75" bottom="0.75" header="0.3" footer="0.3"/>
  <pageSetup paperSize="9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N19"/>
  <sheetViews>
    <sheetView workbookViewId="0">
      <selection activeCell="G4" sqref="G4:K4"/>
    </sheetView>
  </sheetViews>
  <sheetFormatPr defaultRowHeight="13.2" x14ac:dyDescent="0.25"/>
  <cols>
    <col min="1" max="1" width="15" customWidth="1"/>
    <col min="2" max="2" width="7.44140625" bestFit="1" customWidth="1"/>
    <col min="3" max="3" width="15" customWidth="1"/>
    <col min="4" max="4" width="13.44140625" bestFit="1" customWidth="1"/>
    <col min="5" max="5" width="6.5546875" bestFit="1" customWidth="1"/>
    <col min="6" max="6" width="3.6640625" customWidth="1"/>
    <col min="8" max="8" width="10.6640625" bestFit="1" customWidth="1"/>
    <col min="9" max="9" width="9.6640625" bestFit="1" customWidth="1"/>
    <col min="10" max="10" width="13.33203125" bestFit="1" customWidth="1"/>
    <col min="11" max="11" width="6.5546875" bestFit="1" customWidth="1"/>
    <col min="13" max="13" width="9.44140625" bestFit="1" customWidth="1"/>
    <col min="14" max="14" width="13.44140625" bestFit="1" customWidth="1"/>
  </cols>
  <sheetData>
    <row r="1" spans="2:14" ht="15.6" x14ac:dyDescent="0.25">
      <c r="B1" s="3336" t="s">
        <v>456</v>
      </c>
      <c r="C1" s="3336"/>
      <c r="D1" s="3336"/>
      <c r="E1" s="3336"/>
      <c r="F1" s="3336"/>
      <c r="G1" s="3336"/>
      <c r="H1" s="3336"/>
      <c r="I1" s="3336"/>
      <c r="J1" s="3336"/>
    </row>
    <row r="2" spans="2:14" ht="15.6" x14ac:dyDescent="0.3">
      <c r="B2" s="3337" t="s">
        <v>601</v>
      </c>
      <c r="C2" s="3337"/>
      <c r="D2" s="3337"/>
      <c r="E2" s="3337"/>
      <c r="F2" s="3337"/>
      <c r="G2" s="3337"/>
      <c r="H2" s="3337"/>
      <c r="I2" s="3337"/>
      <c r="J2" s="3337"/>
    </row>
    <row r="4" spans="2:14" ht="13.8" thickBot="1" x14ac:dyDescent="0.3">
      <c r="B4" s="3338" t="s">
        <v>599</v>
      </c>
      <c r="C4" s="3142"/>
      <c r="D4" s="3142"/>
      <c r="E4" s="3142"/>
      <c r="G4" s="3338" t="s">
        <v>600</v>
      </c>
      <c r="H4" s="3142"/>
      <c r="I4" s="3142"/>
      <c r="J4" s="3142"/>
      <c r="K4" s="3142"/>
    </row>
    <row r="5" spans="2:14" ht="15" thickBot="1" x14ac:dyDescent="0.35">
      <c r="B5" s="1729" t="s">
        <v>227</v>
      </c>
      <c r="C5" s="1737" t="s">
        <v>602</v>
      </c>
      <c r="D5" s="1739" t="s">
        <v>15</v>
      </c>
      <c r="E5" s="1746" t="s">
        <v>14</v>
      </c>
      <c r="F5" s="4"/>
      <c r="G5" s="1729" t="s">
        <v>227</v>
      </c>
      <c r="H5" s="1737" t="s">
        <v>603</v>
      </c>
      <c r="I5" s="1737" t="s">
        <v>602</v>
      </c>
      <c r="J5" s="1739" t="s">
        <v>15</v>
      </c>
      <c r="K5" s="1749" t="s">
        <v>14</v>
      </c>
      <c r="M5" s="1729" t="s">
        <v>602</v>
      </c>
      <c r="N5" s="1730" t="s">
        <v>15</v>
      </c>
    </row>
    <row r="6" spans="2:14" x14ac:dyDescent="0.25">
      <c r="B6" s="1753">
        <v>45383</v>
      </c>
      <c r="C6" s="1736">
        <v>7000</v>
      </c>
      <c r="D6" s="1740">
        <v>926250</v>
      </c>
      <c r="E6" s="1745">
        <f>D6/C6</f>
        <v>132.32142857142858</v>
      </c>
      <c r="F6" s="1719"/>
      <c r="G6" s="1753">
        <v>45383</v>
      </c>
      <c r="H6" s="1738">
        <v>94800</v>
      </c>
      <c r="I6" s="1738">
        <v>5318.6</v>
      </c>
      <c r="J6" s="1740">
        <v>1305339</v>
      </c>
      <c r="K6" s="1751">
        <f>J6/I6</f>
        <v>245.42906027902077</v>
      </c>
      <c r="L6" s="8"/>
      <c r="M6" s="1721">
        <f>C6-I6</f>
        <v>1681.3999999999996</v>
      </c>
      <c r="N6" s="1722">
        <f>J6-D6</f>
        <v>379089</v>
      </c>
    </row>
    <row r="7" spans="2:14" x14ac:dyDescent="0.25">
      <c r="B7" s="1754">
        <v>45413</v>
      </c>
      <c r="C7" s="1718">
        <v>9025</v>
      </c>
      <c r="D7" s="1741">
        <v>1185875</v>
      </c>
      <c r="E7" s="1744">
        <f t="shared" ref="E7:E18" si="0">D7/C7</f>
        <v>131.39889196675901</v>
      </c>
      <c r="F7" s="1719"/>
      <c r="G7" s="1754">
        <v>45413</v>
      </c>
      <c r="H7" s="1720">
        <v>128710</v>
      </c>
      <c r="I7" s="1720">
        <v>6758.6</v>
      </c>
      <c r="J7" s="1741">
        <v>1688348.01</v>
      </c>
      <c r="K7" s="323">
        <f t="shared" ref="K7:K18" si="1">J7/I7</f>
        <v>249.80735803272867</v>
      </c>
      <c r="M7" s="1723">
        <f t="shared" ref="M7:M17" si="2">C7-I7</f>
        <v>2266.3999999999996</v>
      </c>
      <c r="N7" s="1724">
        <f t="shared" ref="N7:N17" si="3">J7-D7</f>
        <v>502473.01</v>
      </c>
    </row>
    <row r="8" spans="2:14" x14ac:dyDescent="0.25">
      <c r="B8" s="1754">
        <v>45444</v>
      </c>
      <c r="C8" s="1718">
        <v>8000</v>
      </c>
      <c r="D8" s="1741">
        <v>1045000</v>
      </c>
      <c r="E8" s="1744">
        <f t="shared" si="0"/>
        <v>130.625</v>
      </c>
      <c r="F8" s="1719"/>
      <c r="G8" s="1754">
        <v>45444</v>
      </c>
      <c r="H8" s="1720">
        <v>136910</v>
      </c>
      <c r="I8" s="1720">
        <v>6925.7000000000007</v>
      </c>
      <c r="J8" s="1741">
        <v>1706554.01</v>
      </c>
      <c r="K8" s="323">
        <f t="shared" si="1"/>
        <v>246.4088843005039</v>
      </c>
      <c r="M8" s="1723">
        <f t="shared" si="2"/>
        <v>1074.2999999999993</v>
      </c>
      <c r="N8" s="1724">
        <f t="shared" si="3"/>
        <v>661554.01</v>
      </c>
    </row>
    <row r="9" spans="2:14" x14ac:dyDescent="0.25">
      <c r="B9" s="1754">
        <v>45474</v>
      </c>
      <c r="C9" s="1718">
        <v>8900</v>
      </c>
      <c r="D9" s="1741">
        <v>1175250</v>
      </c>
      <c r="E9" s="1744">
        <f t="shared" si="0"/>
        <v>132.05056179775281</v>
      </c>
      <c r="F9" s="1719"/>
      <c r="G9" s="1754">
        <v>45474</v>
      </c>
      <c r="H9" s="1720">
        <v>170795</v>
      </c>
      <c r="I9" s="1720">
        <v>8750.7999999999993</v>
      </c>
      <c r="J9" s="1741">
        <v>2129553.0099999998</v>
      </c>
      <c r="K9" s="323">
        <f t="shared" si="1"/>
        <v>243.35523723545276</v>
      </c>
      <c r="M9" s="1723">
        <f t="shared" si="2"/>
        <v>149.20000000000073</v>
      </c>
      <c r="N9" s="1724">
        <f t="shared" si="3"/>
        <v>954303.00999999978</v>
      </c>
    </row>
    <row r="10" spans="2:14" x14ac:dyDescent="0.25">
      <c r="B10" s="1754">
        <v>45505</v>
      </c>
      <c r="C10" s="1718">
        <v>12775</v>
      </c>
      <c r="D10" s="1741">
        <v>1692875</v>
      </c>
      <c r="E10" s="1744">
        <f t="shared" si="0"/>
        <v>132.51467710371821</v>
      </c>
      <c r="F10" s="1719"/>
      <c r="G10" s="1754">
        <v>45505</v>
      </c>
      <c r="H10" s="1720">
        <v>204430</v>
      </c>
      <c r="I10" s="1720">
        <v>10491.7</v>
      </c>
      <c r="J10" s="1741">
        <v>2561530</v>
      </c>
      <c r="K10" s="323">
        <f t="shared" si="1"/>
        <v>244.14823145915341</v>
      </c>
      <c r="M10" s="1723">
        <f t="shared" si="2"/>
        <v>2283.2999999999993</v>
      </c>
      <c r="N10" s="1724">
        <f t="shared" si="3"/>
        <v>868655</v>
      </c>
    </row>
    <row r="11" spans="2:14" x14ac:dyDescent="0.25">
      <c r="B11" s="1754">
        <v>45536</v>
      </c>
      <c r="C11" s="1718">
        <v>17025</v>
      </c>
      <c r="D11" s="1741">
        <v>2250625</v>
      </c>
      <c r="E11" s="1744">
        <f t="shared" si="0"/>
        <v>132.19530102790014</v>
      </c>
      <c r="F11" s="1719"/>
      <c r="G11" s="1754">
        <v>45536</v>
      </c>
      <c r="H11" s="1720">
        <v>191470</v>
      </c>
      <c r="I11" s="1720">
        <v>9567.5</v>
      </c>
      <c r="J11" s="1741">
        <v>2373650</v>
      </c>
      <c r="K11" s="323">
        <f t="shared" si="1"/>
        <v>248.09511366605696</v>
      </c>
      <c r="M11" s="1723">
        <f t="shared" si="2"/>
        <v>7457.5</v>
      </c>
      <c r="N11" s="1724">
        <f t="shared" si="3"/>
        <v>123025</v>
      </c>
    </row>
    <row r="12" spans="2:14" x14ac:dyDescent="0.25">
      <c r="B12" s="1754">
        <v>45566</v>
      </c>
      <c r="C12" s="1718">
        <v>6500</v>
      </c>
      <c r="D12" s="1741">
        <v>861250</v>
      </c>
      <c r="E12" s="1744">
        <f t="shared" si="0"/>
        <v>132.5</v>
      </c>
      <c r="F12" s="1719"/>
      <c r="G12" s="1754">
        <v>45566</v>
      </c>
      <c r="H12" s="1720">
        <v>214480</v>
      </c>
      <c r="I12" s="1720">
        <v>10959.2</v>
      </c>
      <c r="J12" s="1741">
        <v>2689480.01</v>
      </c>
      <c r="K12" s="323">
        <f t="shared" si="1"/>
        <v>245.40842488502807</v>
      </c>
      <c r="M12" s="1723">
        <f t="shared" si="2"/>
        <v>-4459.2000000000007</v>
      </c>
      <c r="N12" s="1724">
        <f t="shared" si="3"/>
        <v>1828230.0099999998</v>
      </c>
    </row>
    <row r="13" spans="2:14" x14ac:dyDescent="0.25">
      <c r="B13" s="1754">
        <v>45597</v>
      </c>
      <c r="C13" s="1718">
        <v>11900</v>
      </c>
      <c r="D13" s="1741">
        <v>1569000</v>
      </c>
      <c r="E13" s="1744">
        <f t="shared" si="0"/>
        <v>131.84873949579833</v>
      </c>
      <c r="F13" s="1719"/>
      <c r="G13" s="1754">
        <v>45597</v>
      </c>
      <c r="H13" s="1720">
        <v>243210</v>
      </c>
      <c r="I13" s="1720">
        <v>12593.5</v>
      </c>
      <c r="J13" s="1741">
        <v>3062488</v>
      </c>
      <c r="K13" s="323">
        <f t="shared" si="1"/>
        <v>243.18005320204867</v>
      </c>
      <c r="M13" s="1723">
        <f t="shared" si="2"/>
        <v>-693.5</v>
      </c>
      <c r="N13" s="1724">
        <f t="shared" si="3"/>
        <v>1493488</v>
      </c>
    </row>
    <row r="14" spans="2:14" x14ac:dyDescent="0.25">
      <c r="B14" s="1754">
        <v>45992</v>
      </c>
      <c r="C14" s="1718">
        <v>7000</v>
      </c>
      <c r="D14" s="1741">
        <v>915000</v>
      </c>
      <c r="E14" s="1744">
        <f t="shared" si="0"/>
        <v>130.71428571428572</v>
      </c>
      <c r="F14" s="1719"/>
      <c r="G14" s="1754">
        <v>45627</v>
      </c>
      <c r="H14" s="1720">
        <v>238610</v>
      </c>
      <c r="I14" s="1720">
        <v>12098.2</v>
      </c>
      <c r="J14" s="1741">
        <v>3023252.01</v>
      </c>
      <c r="K14" s="323">
        <f t="shared" si="1"/>
        <v>249.89271213899585</v>
      </c>
      <c r="M14" s="1723">
        <f t="shared" si="2"/>
        <v>-5098.2000000000007</v>
      </c>
      <c r="N14" s="1724">
        <f t="shared" si="3"/>
        <v>2108252.0099999998</v>
      </c>
    </row>
    <row r="15" spans="2:14" x14ac:dyDescent="0.25">
      <c r="B15" s="1754">
        <v>45658</v>
      </c>
      <c r="C15" s="1718">
        <v>12250</v>
      </c>
      <c r="D15" s="1741">
        <v>1620625</v>
      </c>
      <c r="E15" s="1744">
        <f t="shared" si="0"/>
        <v>132.29591836734693</v>
      </c>
      <c r="F15" s="1719"/>
      <c r="G15" s="1754">
        <v>45658</v>
      </c>
      <c r="H15" s="1718">
        <v>253014</v>
      </c>
      <c r="I15" s="1718">
        <v>12319.09</v>
      </c>
      <c r="J15" s="1741">
        <v>3087960</v>
      </c>
      <c r="K15" s="323">
        <f t="shared" si="1"/>
        <v>250.66461889636329</v>
      </c>
      <c r="M15" s="1723">
        <f t="shared" si="2"/>
        <v>-69.090000000000146</v>
      </c>
      <c r="N15" s="1724">
        <f t="shared" si="3"/>
        <v>1467335</v>
      </c>
    </row>
    <row r="16" spans="2:14" x14ac:dyDescent="0.25">
      <c r="B16" s="1754">
        <v>45689</v>
      </c>
      <c r="C16" s="1718">
        <v>15000</v>
      </c>
      <c r="D16" s="1741">
        <v>1980000</v>
      </c>
      <c r="E16" s="1744">
        <f t="shared" si="0"/>
        <v>132</v>
      </c>
      <c r="F16" s="1719"/>
      <c r="G16" s="1754">
        <v>45689</v>
      </c>
      <c r="H16" s="1720">
        <v>172870</v>
      </c>
      <c r="I16" s="1720">
        <v>8620.5</v>
      </c>
      <c r="J16" s="1741">
        <v>2082731</v>
      </c>
      <c r="K16" s="323">
        <f t="shared" si="1"/>
        <v>241.60211124644744</v>
      </c>
      <c r="M16" s="1723">
        <f t="shared" si="2"/>
        <v>6379.5</v>
      </c>
      <c r="N16" s="1724">
        <f t="shared" si="3"/>
        <v>102731</v>
      </c>
    </row>
    <row r="17" spans="2:14" ht="13.8" thickBot="1" x14ac:dyDescent="0.3">
      <c r="B17" s="1755">
        <v>45717</v>
      </c>
      <c r="C17" s="1731">
        <v>12000</v>
      </c>
      <c r="D17" s="1742">
        <v>1560000</v>
      </c>
      <c r="E17" s="1747">
        <f t="shared" si="0"/>
        <v>130</v>
      </c>
      <c r="F17" s="1719"/>
      <c r="G17" s="1755">
        <v>45717</v>
      </c>
      <c r="H17" s="1734">
        <v>207720</v>
      </c>
      <c r="I17" s="1734">
        <v>10327.700000000001</v>
      </c>
      <c r="J17" s="1742">
        <v>2561574</v>
      </c>
      <c r="K17" s="1750">
        <f t="shared" si="1"/>
        <v>248.02947413267231</v>
      </c>
      <c r="M17" s="1725">
        <f t="shared" si="2"/>
        <v>1672.2999999999993</v>
      </c>
      <c r="N17" s="1726">
        <f t="shared" si="3"/>
        <v>1001574</v>
      </c>
    </row>
    <row r="18" spans="2:14" ht="15" thickBot="1" x14ac:dyDescent="0.35">
      <c r="B18" s="1732" t="s">
        <v>0</v>
      </c>
      <c r="C18" s="1733">
        <f>SUM(C6:C17)</f>
        <v>127375</v>
      </c>
      <c r="D18" s="1743">
        <f>SUM(D6:D17)</f>
        <v>16781750</v>
      </c>
      <c r="E18" s="1748">
        <f t="shared" si="0"/>
        <v>131.75073601570168</v>
      </c>
      <c r="F18" s="1719"/>
      <c r="G18" s="1732" t="s">
        <v>0</v>
      </c>
      <c r="H18" s="1735">
        <f>SUM(H6:H17)</f>
        <v>2257019</v>
      </c>
      <c r="I18" s="1735">
        <f>SUM(I6:I17)</f>
        <v>114731.09</v>
      </c>
      <c r="J18" s="1743">
        <f>SUM(J6:J17)</f>
        <v>28272459.049999997</v>
      </c>
      <c r="K18" s="1752">
        <f t="shared" si="1"/>
        <v>246.42369430988583</v>
      </c>
      <c r="M18" s="1727">
        <f>SUM(M6:M17)</f>
        <v>12643.909999999996</v>
      </c>
      <c r="N18" s="1728">
        <f>SUM(N6:N17)</f>
        <v>11490709.049999999</v>
      </c>
    </row>
    <row r="19" spans="2:14" x14ac:dyDescent="0.25">
      <c r="J19" s="1719">
        <f>J18-D18</f>
        <v>11490709.049999997</v>
      </c>
    </row>
  </sheetData>
  <mergeCells count="4">
    <mergeCell ref="B1:J1"/>
    <mergeCell ref="B2:J2"/>
    <mergeCell ref="B4:E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53"/>
  <sheetViews>
    <sheetView topLeftCell="A16" workbookViewId="0">
      <selection activeCell="L46" sqref="L46"/>
    </sheetView>
  </sheetViews>
  <sheetFormatPr defaultRowHeight="13.2" x14ac:dyDescent="0.25"/>
  <cols>
    <col min="1" max="1" width="8" bestFit="1" customWidth="1"/>
    <col min="2" max="2" width="7" bestFit="1" customWidth="1"/>
    <col min="3" max="4" width="8.5546875" bestFit="1" customWidth="1"/>
    <col min="5" max="5" width="10.5546875" bestFit="1" customWidth="1"/>
    <col min="6" max="6" width="9.5546875" bestFit="1" customWidth="1"/>
    <col min="7" max="7" width="7" bestFit="1" customWidth="1"/>
    <col min="8" max="9" width="8.5546875" bestFit="1" customWidth="1"/>
    <col min="10" max="10" width="10.5546875" bestFit="1" customWidth="1"/>
    <col min="11" max="11" width="8.5546875" bestFit="1" customWidth="1"/>
    <col min="12" max="12" width="7" bestFit="1" customWidth="1"/>
    <col min="13" max="14" width="8.5546875" bestFit="1" customWidth="1"/>
    <col min="15" max="15" width="4.5546875" bestFit="1" customWidth="1"/>
    <col min="16" max="16" width="7.5546875" bestFit="1" customWidth="1"/>
    <col min="17" max="17" width="7" bestFit="1" customWidth="1"/>
    <col min="18" max="19" width="9.5546875" bestFit="1" customWidth="1"/>
    <col min="20" max="21" width="10.5546875" bestFit="1" customWidth="1"/>
    <col min="22" max="22" width="9.5546875" bestFit="1" customWidth="1"/>
    <col min="23" max="23" width="10.5546875" bestFit="1" customWidth="1"/>
    <col min="24" max="24" width="7.88671875" bestFit="1" customWidth="1"/>
    <col min="25" max="25" width="5.5546875" bestFit="1" customWidth="1"/>
    <col min="257" max="257" width="8" bestFit="1" customWidth="1"/>
    <col min="258" max="258" width="4" bestFit="1" customWidth="1"/>
    <col min="259" max="260" width="8.5546875" bestFit="1" customWidth="1"/>
    <col min="261" max="261" width="10.5546875" bestFit="1" customWidth="1"/>
    <col min="262" max="262" width="9.5546875" bestFit="1" customWidth="1"/>
    <col min="263" max="263" width="4.33203125" bestFit="1" customWidth="1"/>
    <col min="264" max="265" width="8.5546875" bestFit="1" customWidth="1"/>
    <col min="266" max="266" width="10.5546875" bestFit="1" customWidth="1"/>
    <col min="267" max="267" width="8.5546875" bestFit="1" customWidth="1"/>
    <col min="268" max="268" width="2" bestFit="1" customWidth="1"/>
    <col min="269" max="270" width="8.5546875" bestFit="1" customWidth="1"/>
    <col min="271" max="271" width="4.5546875" bestFit="1" customWidth="1"/>
    <col min="272" max="272" width="7.5546875" bestFit="1" customWidth="1"/>
    <col min="273" max="273" width="4" bestFit="1" customWidth="1"/>
    <col min="274" max="275" width="9.5546875" bestFit="1" customWidth="1"/>
    <col min="276" max="277" width="10.5546875" bestFit="1" customWidth="1"/>
    <col min="278" max="278" width="9.5546875" bestFit="1" customWidth="1"/>
    <col min="279" max="279" width="10.5546875" bestFit="1" customWidth="1"/>
    <col min="280" max="280" width="7.88671875" bestFit="1" customWidth="1"/>
    <col min="281" max="281" width="5.5546875" bestFit="1" customWidth="1"/>
    <col min="513" max="513" width="8" bestFit="1" customWidth="1"/>
    <col min="514" max="514" width="4" bestFit="1" customWidth="1"/>
    <col min="515" max="516" width="8.5546875" bestFit="1" customWidth="1"/>
    <col min="517" max="517" width="10.5546875" bestFit="1" customWidth="1"/>
    <col min="518" max="518" width="9.5546875" bestFit="1" customWidth="1"/>
    <col min="519" max="519" width="4.33203125" bestFit="1" customWidth="1"/>
    <col min="520" max="521" width="8.5546875" bestFit="1" customWidth="1"/>
    <col min="522" max="522" width="10.5546875" bestFit="1" customWidth="1"/>
    <col min="523" max="523" width="8.5546875" bestFit="1" customWidth="1"/>
    <col min="524" max="524" width="2" bestFit="1" customWidth="1"/>
    <col min="525" max="526" width="8.5546875" bestFit="1" customWidth="1"/>
    <col min="527" max="527" width="4.5546875" bestFit="1" customWidth="1"/>
    <col min="528" max="528" width="7.5546875" bestFit="1" customWidth="1"/>
    <col min="529" max="529" width="4" bestFit="1" customWidth="1"/>
    <col min="530" max="531" width="9.5546875" bestFit="1" customWidth="1"/>
    <col min="532" max="533" width="10.5546875" bestFit="1" customWidth="1"/>
    <col min="534" max="534" width="9.5546875" bestFit="1" customWidth="1"/>
    <col min="535" max="535" width="10.5546875" bestFit="1" customWidth="1"/>
    <col min="536" max="536" width="7.88671875" bestFit="1" customWidth="1"/>
    <col min="537" max="537" width="5.5546875" bestFit="1" customWidth="1"/>
    <col min="769" max="769" width="8" bestFit="1" customWidth="1"/>
    <col min="770" max="770" width="4" bestFit="1" customWidth="1"/>
    <col min="771" max="772" width="8.5546875" bestFit="1" customWidth="1"/>
    <col min="773" max="773" width="10.5546875" bestFit="1" customWidth="1"/>
    <col min="774" max="774" width="9.5546875" bestFit="1" customWidth="1"/>
    <col min="775" max="775" width="4.33203125" bestFit="1" customWidth="1"/>
    <col min="776" max="777" width="8.5546875" bestFit="1" customWidth="1"/>
    <col min="778" max="778" width="10.5546875" bestFit="1" customWidth="1"/>
    <col min="779" max="779" width="8.5546875" bestFit="1" customWidth="1"/>
    <col min="780" max="780" width="2" bestFit="1" customWidth="1"/>
    <col min="781" max="782" width="8.5546875" bestFit="1" customWidth="1"/>
    <col min="783" max="783" width="4.5546875" bestFit="1" customWidth="1"/>
    <col min="784" max="784" width="7.5546875" bestFit="1" customWidth="1"/>
    <col min="785" max="785" width="4" bestFit="1" customWidth="1"/>
    <col min="786" max="787" width="9.5546875" bestFit="1" customWidth="1"/>
    <col min="788" max="789" width="10.5546875" bestFit="1" customWidth="1"/>
    <col min="790" max="790" width="9.5546875" bestFit="1" customWidth="1"/>
    <col min="791" max="791" width="10.5546875" bestFit="1" customWidth="1"/>
    <col min="792" max="792" width="7.88671875" bestFit="1" customWidth="1"/>
    <col min="793" max="793" width="5.5546875" bestFit="1" customWidth="1"/>
    <col min="1025" max="1025" width="8" bestFit="1" customWidth="1"/>
    <col min="1026" max="1026" width="4" bestFit="1" customWidth="1"/>
    <col min="1027" max="1028" width="8.5546875" bestFit="1" customWidth="1"/>
    <col min="1029" max="1029" width="10.5546875" bestFit="1" customWidth="1"/>
    <col min="1030" max="1030" width="9.5546875" bestFit="1" customWidth="1"/>
    <col min="1031" max="1031" width="4.33203125" bestFit="1" customWidth="1"/>
    <col min="1032" max="1033" width="8.5546875" bestFit="1" customWidth="1"/>
    <col min="1034" max="1034" width="10.5546875" bestFit="1" customWidth="1"/>
    <col min="1035" max="1035" width="8.5546875" bestFit="1" customWidth="1"/>
    <col min="1036" max="1036" width="2" bestFit="1" customWidth="1"/>
    <col min="1037" max="1038" width="8.5546875" bestFit="1" customWidth="1"/>
    <col min="1039" max="1039" width="4.5546875" bestFit="1" customWidth="1"/>
    <col min="1040" max="1040" width="7.5546875" bestFit="1" customWidth="1"/>
    <col min="1041" max="1041" width="4" bestFit="1" customWidth="1"/>
    <col min="1042" max="1043" width="9.5546875" bestFit="1" customWidth="1"/>
    <col min="1044" max="1045" width="10.5546875" bestFit="1" customWidth="1"/>
    <col min="1046" max="1046" width="9.5546875" bestFit="1" customWidth="1"/>
    <col min="1047" max="1047" width="10.5546875" bestFit="1" customWidth="1"/>
    <col min="1048" max="1048" width="7.88671875" bestFit="1" customWidth="1"/>
    <col min="1049" max="1049" width="5.5546875" bestFit="1" customWidth="1"/>
    <col min="1281" max="1281" width="8" bestFit="1" customWidth="1"/>
    <col min="1282" max="1282" width="4" bestFit="1" customWidth="1"/>
    <col min="1283" max="1284" width="8.5546875" bestFit="1" customWidth="1"/>
    <col min="1285" max="1285" width="10.5546875" bestFit="1" customWidth="1"/>
    <col min="1286" max="1286" width="9.5546875" bestFit="1" customWidth="1"/>
    <col min="1287" max="1287" width="4.33203125" bestFit="1" customWidth="1"/>
    <col min="1288" max="1289" width="8.5546875" bestFit="1" customWidth="1"/>
    <col min="1290" max="1290" width="10.5546875" bestFit="1" customWidth="1"/>
    <col min="1291" max="1291" width="8.5546875" bestFit="1" customWidth="1"/>
    <col min="1292" max="1292" width="2" bestFit="1" customWidth="1"/>
    <col min="1293" max="1294" width="8.5546875" bestFit="1" customWidth="1"/>
    <col min="1295" max="1295" width="4.5546875" bestFit="1" customWidth="1"/>
    <col min="1296" max="1296" width="7.5546875" bestFit="1" customWidth="1"/>
    <col min="1297" max="1297" width="4" bestFit="1" customWidth="1"/>
    <col min="1298" max="1299" width="9.5546875" bestFit="1" customWidth="1"/>
    <col min="1300" max="1301" width="10.5546875" bestFit="1" customWidth="1"/>
    <col min="1302" max="1302" width="9.5546875" bestFit="1" customWidth="1"/>
    <col min="1303" max="1303" width="10.5546875" bestFit="1" customWidth="1"/>
    <col min="1304" max="1304" width="7.88671875" bestFit="1" customWidth="1"/>
    <col min="1305" max="1305" width="5.5546875" bestFit="1" customWidth="1"/>
    <col min="1537" max="1537" width="8" bestFit="1" customWidth="1"/>
    <col min="1538" max="1538" width="4" bestFit="1" customWidth="1"/>
    <col min="1539" max="1540" width="8.5546875" bestFit="1" customWidth="1"/>
    <col min="1541" max="1541" width="10.5546875" bestFit="1" customWidth="1"/>
    <col min="1542" max="1542" width="9.5546875" bestFit="1" customWidth="1"/>
    <col min="1543" max="1543" width="4.33203125" bestFit="1" customWidth="1"/>
    <col min="1544" max="1545" width="8.5546875" bestFit="1" customWidth="1"/>
    <col min="1546" max="1546" width="10.5546875" bestFit="1" customWidth="1"/>
    <col min="1547" max="1547" width="8.5546875" bestFit="1" customWidth="1"/>
    <col min="1548" max="1548" width="2" bestFit="1" customWidth="1"/>
    <col min="1549" max="1550" width="8.5546875" bestFit="1" customWidth="1"/>
    <col min="1551" max="1551" width="4.5546875" bestFit="1" customWidth="1"/>
    <col min="1552" max="1552" width="7.5546875" bestFit="1" customWidth="1"/>
    <col min="1553" max="1553" width="4" bestFit="1" customWidth="1"/>
    <col min="1554" max="1555" width="9.5546875" bestFit="1" customWidth="1"/>
    <col min="1556" max="1557" width="10.5546875" bestFit="1" customWidth="1"/>
    <col min="1558" max="1558" width="9.5546875" bestFit="1" customWidth="1"/>
    <col min="1559" max="1559" width="10.5546875" bestFit="1" customWidth="1"/>
    <col min="1560" max="1560" width="7.88671875" bestFit="1" customWidth="1"/>
    <col min="1561" max="1561" width="5.5546875" bestFit="1" customWidth="1"/>
    <col min="1793" max="1793" width="8" bestFit="1" customWidth="1"/>
    <col min="1794" max="1794" width="4" bestFit="1" customWidth="1"/>
    <col min="1795" max="1796" width="8.5546875" bestFit="1" customWidth="1"/>
    <col min="1797" max="1797" width="10.5546875" bestFit="1" customWidth="1"/>
    <col min="1798" max="1798" width="9.5546875" bestFit="1" customWidth="1"/>
    <col min="1799" max="1799" width="4.33203125" bestFit="1" customWidth="1"/>
    <col min="1800" max="1801" width="8.5546875" bestFit="1" customWidth="1"/>
    <col min="1802" max="1802" width="10.5546875" bestFit="1" customWidth="1"/>
    <col min="1803" max="1803" width="8.5546875" bestFit="1" customWidth="1"/>
    <col min="1804" max="1804" width="2" bestFit="1" customWidth="1"/>
    <col min="1805" max="1806" width="8.5546875" bestFit="1" customWidth="1"/>
    <col min="1807" max="1807" width="4.5546875" bestFit="1" customWidth="1"/>
    <col min="1808" max="1808" width="7.5546875" bestFit="1" customWidth="1"/>
    <col min="1809" max="1809" width="4" bestFit="1" customWidth="1"/>
    <col min="1810" max="1811" width="9.5546875" bestFit="1" customWidth="1"/>
    <col min="1812" max="1813" width="10.5546875" bestFit="1" customWidth="1"/>
    <col min="1814" max="1814" width="9.5546875" bestFit="1" customWidth="1"/>
    <col min="1815" max="1815" width="10.5546875" bestFit="1" customWidth="1"/>
    <col min="1816" max="1816" width="7.88671875" bestFit="1" customWidth="1"/>
    <col min="1817" max="1817" width="5.5546875" bestFit="1" customWidth="1"/>
    <col min="2049" max="2049" width="8" bestFit="1" customWidth="1"/>
    <col min="2050" max="2050" width="4" bestFit="1" customWidth="1"/>
    <col min="2051" max="2052" width="8.5546875" bestFit="1" customWidth="1"/>
    <col min="2053" max="2053" width="10.5546875" bestFit="1" customWidth="1"/>
    <col min="2054" max="2054" width="9.5546875" bestFit="1" customWidth="1"/>
    <col min="2055" max="2055" width="4.33203125" bestFit="1" customWidth="1"/>
    <col min="2056" max="2057" width="8.5546875" bestFit="1" customWidth="1"/>
    <col min="2058" max="2058" width="10.5546875" bestFit="1" customWidth="1"/>
    <col min="2059" max="2059" width="8.5546875" bestFit="1" customWidth="1"/>
    <col min="2060" max="2060" width="2" bestFit="1" customWidth="1"/>
    <col min="2061" max="2062" width="8.5546875" bestFit="1" customWidth="1"/>
    <col min="2063" max="2063" width="4.5546875" bestFit="1" customWidth="1"/>
    <col min="2064" max="2064" width="7.5546875" bestFit="1" customWidth="1"/>
    <col min="2065" max="2065" width="4" bestFit="1" customWidth="1"/>
    <col min="2066" max="2067" width="9.5546875" bestFit="1" customWidth="1"/>
    <col min="2068" max="2069" width="10.5546875" bestFit="1" customWidth="1"/>
    <col min="2070" max="2070" width="9.5546875" bestFit="1" customWidth="1"/>
    <col min="2071" max="2071" width="10.5546875" bestFit="1" customWidth="1"/>
    <col min="2072" max="2072" width="7.88671875" bestFit="1" customWidth="1"/>
    <col min="2073" max="2073" width="5.5546875" bestFit="1" customWidth="1"/>
    <col min="2305" max="2305" width="8" bestFit="1" customWidth="1"/>
    <col min="2306" max="2306" width="4" bestFit="1" customWidth="1"/>
    <col min="2307" max="2308" width="8.5546875" bestFit="1" customWidth="1"/>
    <col min="2309" max="2309" width="10.5546875" bestFit="1" customWidth="1"/>
    <col min="2310" max="2310" width="9.5546875" bestFit="1" customWidth="1"/>
    <col min="2311" max="2311" width="4.33203125" bestFit="1" customWidth="1"/>
    <col min="2312" max="2313" width="8.5546875" bestFit="1" customWidth="1"/>
    <col min="2314" max="2314" width="10.5546875" bestFit="1" customWidth="1"/>
    <col min="2315" max="2315" width="8.5546875" bestFit="1" customWidth="1"/>
    <col min="2316" max="2316" width="2" bestFit="1" customWidth="1"/>
    <col min="2317" max="2318" width="8.5546875" bestFit="1" customWidth="1"/>
    <col min="2319" max="2319" width="4.5546875" bestFit="1" customWidth="1"/>
    <col min="2320" max="2320" width="7.5546875" bestFit="1" customWidth="1"/>
    <col min="2321" max="2321" width="4" bestFit="1" customWidth="1"/>
    <col min="2322" max="2323" width="9.5546875" bestFit="1" customWidth="1"/>
    <col min="2324" max="2325" width="10.5546875" bestFit="1" customWidth="1"/>
    <col min="2326" max="2326" width="9.5546875" bestFit="1" customWidth="1"/>
    <col min="2327" max="2327" width="10.5546875" bestFit="1" customWidth="1"/>
    <col min="2328" max="2328" width="7.88671875" bestFit="1" customWidth="1"/>
    <col min="2329" max="2329" width="5.5546875" bestFit="1" customWidth="1"/>
    <col min="2561" max="2561" width="8" bestFit="1" customWidth="1"/>
    <col min="2562" max="2562" width="4" bestFit="1" customWidth="1"/>
    <col min="2563" max="2564" width="8.5546875" bestFit="1" customWidth="1"/>
    <col min="2565" max="2565" width="10.5546875" bestFit="1" customWidth="1"/>
    <col min="2566" max="2566" width="9.5546875" bestFit="1" customWidth="1"/>
    <col min="2567" max="2567" width="4.33203125" bestFit="1" customWidth="1"/>
    <col min="2568" max="2569" width="8.5546875" bestFit="1" customWidth="1"/>
    <col min="2570" max="2570" width="10.5546875" bestFit="1" customWidth="1"/>
    <col min="2571" max="2571" width="8.5546875" bestFit="1" customWidth="1"/>
    <col min="2572" max="2572" width="2" bestFit="1" customWidth="1"/>
    <col min="2573" max="2574" width="8.5546875" bestFit="1" customWidth="1"/>
    <col min="2575" max="2575" width="4.5546875" bestFit="1" customWidth="1"/>
    <col min="2576" max="2576" width="7.5546875" bestFit="1" customWidth="1"/>
    <col min="2577" max="2577" width="4" bestFit="1" customWidth="1"/>
    <col min="2578" max="2579" width="9.5546875" bestFit="1" customWidth="1"/>
    <col min="2580" max="2581" width="10.5546875" bestFit="1" customWidth="1"/>
    <col min="2582" max="2582" width="9.5546875" bestFit="1" customWidth="1"/>
    <col min="2583" max="2583" width="10.5546875" bestFit="1" customWidth="1"/>
    <col min="2584" max="2584" width="7.88671875" bestFit="1" customWidth="1"/>
    <col min="2585" max="2585" width="5.5546875" bestFit="1" customWidth="1"/>
    <col min="2817" max="2817" width="8" bestFit="1" customWidth="1"/>
    <col min="2818" max="2818" width="4" bestFit="1" customWidth="1"/>
    <col min="2819" max="2820" width="8.5546875" bestFit="1" customWidth="1"/>
    <col min="2821" max="2821" width="10.5546875" bestFit="1" customWidth="1"/>
    <col min="2822" max="2822" width="9.5546875" bestFit="1" customWidth="1"/>
    <col min="2823" max="2823" width="4.33203125" bestFit="1" customWidth="1"/>
    <col min="2824" max="2825" width="8.5546875" bestFit="1" customWidth="1"/>
    <col min="2826" max="2826" width="10.5546875" bestFit="1" customWidth="1"/>
    <col min="2827" max="2827" width="8.5546875" bestFit="1" customWidth="1"/>
    <col min="2828" max="2828" width="2" bestFit="1" customWidth="1"/>
    <col min="2829" max="2830" width="8.5546875" bestFit="1" customWidth="1"/>
    <col min="2831" max="2831" width="4.5546875" bestFit="1" customWidth="1"/>
    <col min="2832" max="2832" width="7.5546875" bestFit="1" customWidth="1"/>
    <col min="2833" max="2833" width="4" bestFit="1" customWidth="1"/>
    <col min="2834" max="2835" width="9.5546875" bestFit="1" customWidth="1"/>
    <col min="2836" max="2837" width="10.5546875" bestFit="1" customWidth="1"/>
    <col min="2838" max="2838" width="9.5546875" bestFit="1" customWidth="1"/>
    <col min="2839" max="2839" width="10.5546875" bestFit="1" customWidth="1"/>
    <col min="2840" max="2840" width="7.88671875" bestFit="1" customWidth="1"/>
    <col min="2841" max="2841" width="5.5546875" bestFit="1" customWidth="1"/>
    <col min="3073" max="3073" width="8" bestFit="1" customWidth="1"/>
    <col min="3074" max="3074" width="4" bestFit="1" customWidth="1"/>
    <col min="3075" max="3076" width="8.5546875" bestFit="1" customWidth="1"/>
    <col min="3077" max="3077" width="10.5546875" bestFit="1" customWidth="1"/>
    <col min="3078" max="3078" width="9.5546875" bestFit="1" customWidth="1"/>
    <col min="3079" max="3079" width="4.33203125" bestFit="1" customWidth="1"/>
    <col min="3080" max="3081" width="8.5546875" bestFit="1" customWidth="1"/>
    <col min="3082" max="3082" width="10.5546875" bestFit="1" customWidth="1"/>
    <col min="3083" max="3083" width="8.5546875" bestFit="1" customWidth="1"/>
    <col min="3084" max="3084" width="2" bestFit="1" customWidth="1"/>
    <col min="3085" max="3086" width="8.5546875" bestFit="1" customWidth="1"/>
    <col min="3087" max="3087" width="4.5546875" bestFit="1" customWidth="1"/>
    <col min="3088" max="3088" width="7.5546875" bestFit="1" customWidth="1"/>
    <col min="3089" max="3089" width="4" bestFit="1" customWidth="1"/>
    <col min="3090" max="3091" width="9.5546875" bestFit="1" customWidth="1"/>
    <col min="3092" max="3093" width="10.5546875" bestFit="1" customWidth="1"/>
    <col min="3094" max="3094" width="9.5546875" bestFit="1" customWidth="1"/>
    <col min="3095" max="3095" width="10.5546875" bestFit="1" customWidth="1"/>
    <col min="3096" max="3096" width="7.88671875" bestFit="1" customWidth="1"/>
    <col min="3097" max="3097" width="5.5546875" bestFit="1" customWidth="1"/>
    <col min="3329" max="3329" width="8" bestFit="1" customWidth="1"/>
    <col min="3330" max="3330" width="4" bestFit="1" customWidth="1"/>
    <col min="3331" max="3332" width="8.5546875" bestFit="1" customWidth="1"/>
    <col min="3333" max="3333" width="10.5546875" bestFit="1" customWidth="1"/>
    <col min="3334" max="3334" width="9.5546875" bestFit="1" customWidth="1"/>
    <col min="3335" max="3335" width="4.33203125" bestFit="1" customWidth="1"/>
    <col min="3336" max="3337" width="8.5546875" bestFit="1" customWidth="1"/>
    <col min="3338" max="3338" width="10.5546875" bestFit="1" customWidth="1"/>
    <col min="3339" max="3339" width="8.5546875" bestFit="1" customWidth="1"/>
    <col min="3340" max="3340" width="2" bestFit="1" customWidth="1"/>
    <col min="3341" max="3342" width="8.5546875" bestFit="1" customWidth="1"/>
    <col min="3343" max="3343" width="4.5546875" bestFit="1" customWidth="1"/>
    <col min="3344" max="3344" width="7.5546875" bestFit="1" customWidth="1"/>
    <col min="3345" max="3345" width="4" bestFit="1" customWidth="1"/>
    <col min="3346" max="3347" width="9.5546875" bestFit="1" customWidth="1"/>
    <col min="3348" max="3349" width="10.5546875" bestFit="1" customWidth="1"/>
    <col min="3350" max="3350" width="9.5546875" bestFit="1" customWidth="1"/>
    <col min="3351" max="3351" width="10.5546875" bestFit="1" customWidth="1"/>
    <col min="3352" max="3352" width="7.88671875" bestFit="1" customWidth="1"/>
    <col min="3353" max="3353" width="5.5546875" bestFit="1" customWidth="1"/>
    <col min="3585" max="3585" width="8" bestFit="1" customWidth="1"/>
    <col min="3586" max="3586" width="4" bestFit="1" customWidth="1"/>
    <col min="3587" max="3588" width="8.5546875" bestFit="1" customWidth="1"/>
    <col min="3589" max="3589" width="10.5546875" bestFit="1" customWidth="1"/>
    <col min="3590" max="3590" width="9.5546875" bestFit="1" customWidth="1"/>
    <col min="3591" max="3591" width="4.33203125" bestFit="1" customWidth="1"/>
    <col min="3592" max="3593" width="8.5546875" bestFit="1" customWidth="1"/>
    <col min="3594" max="3594" width="10.5546875" bestFit="1" customWidth="1"/>
    <col min="3595" max="3595" width="8.5546875" bestFit="1" customWidth="1"/>
    <col min="3596" max="3596" width="2" bestFit="1" customWidth="1"/>
    <col min="3597" max="3598" width="8.5546875" bestFit="1" customWidth="1"/>
    <col min="3599" max="3599" width="4.5546875" bestFit="1" customWidth="1"/>
    <col min="3600" max="3600" width="7.5546875" bestFit="1" customWidth="1"/>
    <col min="3601" max="3601" width="4" bestFit="1" customWidth="1"/>
    <col min="3602" max="3603" width="9.5546875" bestFit="1" customWidth="1"/>
    <col min="3604" max="3605" width="10.5546875" bestFit="1" customWidth="1"/>
    <col min="3606" max="3606" width="9.5546875" bestFit="1" customWidth="1"/>
    <col min="3607" max="3607" width="10.5546875" bestFit="1" customWidth="1"/>
    <col min="3608" max="3608" width="7.88671875" bestFit="1" customWidth="1"/>
    <col min="3609" max="3609" width="5.5546875" bestFit="1" customWidth="1"/>
    <col min="3841" max="3841" width="8" bestFit="1" customWidth="1"/>
    <col min="3842" max="3842" width="4" bestFit="1" customWidth="1"/>
    <col min="3843" max="3844" width="8.5546875" bestFit="1" customWidth="1"/>
    <col min="3845" max="3845" width="10.5546875" bestFit="1" customWidth="1"/>
    <col min="3846" max="3846" width="9.5546875" bestFit="1" customWidth="1"/>
    <col min="3847" max="3847" width="4.33203125" bestFit="1" customWidth="1"/>
    <col min="3848" max="3849" width="8.5546875" bestFit="1" customWidth="1"/>
    <col min="3850" max="3850" width="10.5546875" bestFit="1" customWidth="1"/>
    <col min="3851" max="3851" width="8.5546875" bestFit="1" customWidth="1"/>
    <col min="3852" max="3852" width="2" bestFit="1" customWidth="1"/>
    <col min="3853" max="3854" width="8.5546875" bestFit="1" customWidth="1"/>
    <col min="3855" max="3855" width="4.5546875" bestFit="1" customWidth="1"/>
    <col min="3856" max="3856" width="7.5546875" bestFit="1" customWidth="1"/>
    <col min="3857" max="3857" width="4" bestFit="1" customWidth="1"/>
    <col min="3858" max="3859" width="9.5546875" bestFit="1" customWidth="1"/>
    <col min="3860" max="3861" width="10.5546875" bestFit="1" customWidth="1"/>
    <col min="3862" max="3862" width="9.5546875" bestFit="1" customWidth="1"/>
    <col min="3863" max="3863" width="10.5546875" bestFit="1" customWidth="1"/>
    <col min="3864" max="3864" width="7.88671875" bestFit="1" customWidth="1"/>
    <col min="3865" max="3865" width="5.5546875" bestFit="1" customWidth="1"/>
    <col min="4097" max="4097" width="8" bestFit="1" customWidth="1"/>
    <col min="4098" max="4098" width="4" bestFit="1" customWidth="1"/>
    <col min="4099" max="4100" width="8.5546875" bestFit="1" customWidth="1"/>
    <col min="4101" max="4101" width="10.5546875" bestFit="1" customWidth="1"/>
    <col min="4102" max="4102" width="9.5546875" bestFit="1" customWidth="1"/>
    <col min="4103" max="4103" width="4.33203125" bestFit="1" customWidth="1"/>
    <col min="4104" max="4105" width="8.5546875" bestFit="1" customWidth="1"/>
    <col min="4106" max="4106" width="10.5546875" bestFit="1" customWidth="1"/>
    <col min="4107" max="4107" width="8.5546875" bestFit="1" customWidth="1"/>
    <col min="4108" max="4108" width="2" bestFit="1" customWidth="1"/>
    <col min="4109" max="4110" width="8.5546875" bestFit="1" customWidth="1"/>
    <col min="4111" max="4111" width="4.5546875" bestFit="1" customWidth="1"/>
    <col min="4112" max="4112" width="7.5546875" bestFit="1" customWidth="1"/>
    <col min="4113" max="4113" width="4" bestFit="1" customWidth="1"/>
    <col min="4114" max="4115" width="9.5546875" bestFit="1" customWidth="1"/>
    <col min="4116" max="4117" width="10.5546875" bestFit="1" customWidth="1"/>
    <col min="4118" max="4118" width="9.5546875" bestFit="1" customWidth="1"/>
    <col min="4119" max="4119" width="10.5546875" bestFit="1" customWidth="1"/>
    <col min="4120" max="4120" width="7.88671875" bestFit="1" customWidth="1"/>
    <col min="4121" max="4121" width="5.5546875" bestFit="1" customWidth="1"/>
    <col min="4353" max="4353" width="8" bestFit="1" customWidth="1"/>
    <col min="4354" max="4354" width="4" bestFit="1" customWidth="1"/>
    <col min="4355" max="4356" width="8.5546875" bestFit="1" customWidth="1"/>
    <col min="4357" max="4357" width="10.5546875" bestFit="1" customWidth="1"/>
    <col min="4358" max="4358" width="9.5546875" bestFit="1" customWidth="1"/>
    <col min="4359" max="4359" width="4.33203125" bestFit="1" customWidth="1"/>
    <col min="4360" max="4361" width="8.5546875" bestFit="1" customWidth="1"/>
    <col min="4362" max="4362" width="10.5546875" bestFit="1" customWidth="1"/>
    <col min="4363" max="4363" width="8.5546875" bestFit="1" customWidth="1"/>
    <col min="4364" max="4364" width="2" bestFit="1" customWidth="1"/>
    <col min="4365" max="4366" width="8.5546875" bestFit="1" customWidth="1"/>
    <col min="4367" max="4367" width="4.5546875" bestFit="1" customWidth="1"/>
    <col min="4368" max="4368" width="7.5546875" bestFit="1" customWidth="1"/>
    <col min="4369" max="4369" width="4" bestFit="1" customWidth="1"/>
    <col min="4370" max="4371" width="9.5546875" bestFit="1" customWidth="1"/>
    <col min="4372" max="4373" width="10.5546875" bestFit="1" customWidth="1"/>
    <col min="4374" max="4374" width="9.5546875" bestFit="1" customWidth="1"/>
    <col min="4375" max="4375" width="10.5546875" bestFit="1" customWidth="1"/>
    <col min="4376" max="4376" width="7.88671875" bestFit="1" customWidth="1"/>
    <col min="4377" max="4377" width="5.5546875" bestFit="1" customWidth="1"/>
    <col min="4609" max="4609" width="8" bestFit="1" customWidth="1"/>
    <col min="4610" max="4610" width="4" bestFit="1" customWidth="1"/>
    <col min="4611" max="4612" width="8.5546875" bestFit="1" customWidth="1"/>
    <col min="4613" max="4613" width="10.5546875" bestFit="1" customWidth="1"/>
    <col min="4614" max="4614" width="9.5546875" bestFit="1" customWidth="1"/>
    <col min="4615" max="4615" width="4.33203125" bestFit="1" customWidth="1"/>
    <col min="4616" max="4617" width="8.5546875" bestFit="1" customWidth="1"/>
    <col min="4618" max="4618" width="10.5546875" bestFit="1" customWidth="1"/>
    <col min="4619" max="4619" width="8.5546875" bestFit="1" customWidth="1"/>
    <col min="4620" max="4620" width="2" bestFit="1" customWidth="1"/>
    <col min="4621" max="4622" width="8.5546875" bestFit="1" customWidth="1"/>
    <col min="4623" max="4623" width="4.5546875" bestFit="1" customWidth="1"/>
    <col min="4624" max="4624" width="7.5546875" bestFit="1" customWidth="1"/>
    <col min="4625" max="4625" width="4" bestFit="1" customWidth="1"/>
    <col min="4626" max="4627" width="9.5546875" bestFit="1" customWidth="1"/>
    <col min="4628" max="4629" width="10.5546875" bestFit="1" customWidth="1"/>
    <col min="4630" max="4630" width="9.5546875" bestFit="1" customWidth="1"/>
    <col min="4631" max="4631" width="10.5546875" bestFit="1" customWidth="1"/>
    <col min="4632" max="4632" width="7.88671875" bestFit="1" customWidth="1"/>
    <col min="4633" max="4633" width="5.5546875" bestFit="1" customWidth="1"/>
    <col min="4865" max="4865" width="8" bestFit="1" customWidth="1"/>
    <col min="4866" max="4866" width="4" bestFit="1" customWidth="1"/>
    <col min="4867" max="4868" width="8.5546875" bestFit="1" customWidth="1"/>
    <col min="4869" max="4869" width="10.5546875" bestFit="1" customWidth="1"/>
    <col min="4870" max="4870" width="9.5546875" bestFit="1" customWidth="1"/>
    <col min="4871" max="4871" width="4.33203125" bestFit="1" customWidth="1"/>
    <col min="4872" max="4873" width="8.5546875" bestFit="1" customWidth="1"/>
    <col min="4874" max="4874" width="10.5546875" bestFit="1" customWidth="1"/>
    <col min="4875" max="4875" width="8.5546875" bestFit="1" customWidth="1"/>
    <col min="4876" max="4876" width="2" bestFit="1" customWidth="1"/>
    <col min="4877" max="4878" width="8.5546875" bestFit="1" customWidth="1"/>
    <col min="4879" max="4879" width="4.5546875" bestFit="1" customWidth="1"/>
    <col min="4880" max="4880" width="7.5546875" bestFit="1" customWidth="1"/>
    <col min="4881" max="4881" width="4" bestFit="1" customWidth="1"/>
    <col min="4882" max="4883" width="9.5546875" bestFit="1" customWidth="1"/>
    <col min="4884" max="4885" width="10.5546875" bestFit="1" customWidth="1"/>
    <col min="4886" max="4886" width="9.5546875" bestFit="1" customWidth="1"/>
    <col min="4887" max="4887" width="10.5546875" bestFit="1" customWidth="1"/>
    <col min="4888" max="4888" width="7.88671875" bestFit="1" customWidth="1"/>
    <col min="4889" max="4889" width="5.5546875" bestFit="1" customWidth="1"/>
    <col min="5121" max="5121" width="8" bestFit="1" customWidth="1"/>
    <col min="5122" max="5122" width="4" bestFit="1" customWidth="1"/>
    <col min="5123" max="5124" width="8.5546875" bestFit="1" customWidth="1"/>
    <col min="5125" max="5125" width="10.5546875" bestFit="1" customWidth="1"/>
    <col min="5126" max="5126" width="9.5546875" bestFit="1" customWidth="1"/>
    <col min="5127" max="5127" width="4.33203125" bestFit="1" customWidth="1"/>
    <col min="5128" max="5129" width="8.5546875" bestFit="1" customWidth="1"/>
    <col min="5130" max="5130" width="10.5546875" bestFit="1" customWidth="1"/>
    <col min="5131" max="5131" width="8.5546875" bestFit="1" customWidth="1"/>
    <col min="5132" max="5132" width="2" bestFit="1" customWidth="1"/>
    <col min="5133" max="5134" width="8.5546875" bestFit="1" customWidth="1"/>
    <col min="5135" max="5135" width="4.5546875" bestFit="1" customWidth="1"/>
    <col min="5136" max="5136" width="7.5546875" bestFit="1" customWidth="1"/>
    <col min="5137" max="5137" width="4" bestFit="1" customWidth="1"/>
    <col min="5138" max="5139" width="9.5546875" bestFit="1" customWidth="1"/>
    <col min="5140" max="5141" width="10.5546875" bestFit="1" customWidth="1"/>
    <col min="5142" max="5142" width="9.5546875" bestFit="1" customWidth="1"/>
    <col min="5143" max="5143" width="10.5546875" bestFit="1" customWidth="1"/>
    <col min="5144" max="5144" width="7.88671875" bestFit="1" customWidth="1"/>
    <col min="5145" max="5145" width="5.5546875" bestFit="1" customWidth="1"/>
    <col min="5377" max="5377" width="8" bestFit="1" customWidth="1"/>
    <col min="5378" max="5378" width="4" bestFit="1" customWidth="1"/>
    <col min="5379" max="5380" width="8.5546875" bestFit="1" customWidth="1"/>
    <col min="5381" max="5381" width="10.5546875" bestFit="1" customWidth="1"/>
    <col min="5382" max="5382" width="9.5546875" bestFit="1" customWidth="1"/>
    <col min="5383" max="5383" width="4.33203125" bestFit="1" customWidth="1"/>
    <col min="5384" max="5385" width="8.5546875" bestFit="1" customWidth="1"/>
    <col min="5386" max="5386" width="10.5546875" bestFit="1" customWidth="1"/>
    <col min="5387" max="5387" width="8.5546875" bestFit="1" customWidth="1"/>
    <col min="5388" max="5388" width="2" bestFit="1" customWidth="1"/>
    <col min="5389" max="5390" width="8.5546875" bestFit="1" customWidth="1"/>
    <col min="5391" max="5391" width="4.5546875" bestFit="1" customWidth="1"/>
    <col min="5392" max="5392" width="7.5546875" bestFit="1" customWidth="1"/>
    <col min="5393" max="5393" width="4" bestFit="1" customWidth="1"/>
    <col min="5394" max="5395" width="9.5546875" bestFit="1" customWidth="1"/>
    <col min="5396" max="5397" width="10.5546875" bestFit="1" customWidth="1"/>
    <col min="5398" max="5398" width="9.5546875" bestFit="1" customWidth="1"/>
    <col min="5399" max="5399" width="10.5546875" bestFit="1" customWidth="1"/>
    <col min="5400" max="5400" width="7.88671875" bestFit="1" customWidth="1"/>
    <col min="5401" max="5401" width="5.5546875" bestFit="1" customWidth="1"/>
    <col min="5633" max="5633" width="8" bestFit="1" customWidth="1"/>
    <col min="5634" max="5634" width="4" bestFit="1" customWidth="1"/>
    <col min="5635" max="5636" width="8.5546875" bestFit="1" customWidth="1"/>
    <col min="5637" max="5637" width="10.5546875" bestFit="1" customWidth="1"/>
    <col min="5638" max="5638" width="9.5546875" bestFit="1" customWidth="1"/>
    <col min="5639" max="5639" width="4.33203125" bestFit="1" customWidth="1"/>
    <col min="5640" max="5641" width="8.5546875" bestFit="1" customWidth="1"/>
    <col min="5642" max="5642" width="10.5546875" bestFit="1" customWidth="1"/>
    <col min="5643" max="5643" width="8.5546875" bestFit="1" customWidth="1"/>
    <col min="5644" max="5644" width="2" bestFit="1" customWidth="1"/>
    <col min="5645" max="5646" width="8.5546875" bestFit="1" customWidth="1"/>
    <col min="5647" max="5647" width="4.5546875" bestFit="1" customWidth="1"/>
    <col min="5648" max="5648" width="7.5546875" bestFit="1" customWidth="1"/>
    <col min="5649" max="5649" width="4" bestFit="1" customWidth="1"/>
    <col min="5650" max="5651" width="9.5546875" bestFit="1" customWidth="1"/>
    <col min="5652" max="5653" width="10.5546875" bestFit="1" customWidth="1"/>
    <col min="5654" max="5654" width="9.5546875" bestFit="1" customWidth="1"/>
    <col min="5655" max="5655" width="10.5546875" bestFit="1" customWidth="1"/>
    <col min="5656" max="5656" width="7.88671875" bestFit="1" customWidth="1"/>
    <col min="5657" max="5657" width="5.5546875" bestFit="1" customWidth="1"/>
    <col min="5889" max="5889" width="8" bestFit="1" customWidth="1"/>
    <col min="5890" max="5890" width="4" bestFit="1" customWidth="1"/>
    <col min="5891" max="5892" width="8.5546875" bestFit="1" customWidth="1"/>
    <col min="5893" max="5893" width="10.5546875" bestFit="1" customWidth="1"/>
    <col min="5894" max="5894" width="9.5546875" bestFit="1" customWidth="1"/>
    <col min="5895" max="5895" width="4.33203125" bestFit="1" customWidth="1"/>
    <col min="5896" max="5897" width="8.5546875" bestFit="1" customWidth="1"/>
    <col min="5898" max="5898" width="10.5546875" bestFit="1" customWidth="1"/>
    <col min="5899" max="5899" width="8.5546875" bestFit="1" customWidth="1"/>
    <col min="5900" max="5900" width="2" bestFit="1" customWidth="1"/>
    <col min="5901" max="5902" width="8.5546875" bestFit="1" customWidth="1"/>
    <col min="5903" max="5903" width="4.5546875" bestFit="1" customWidth="1"/>
    <col min="5904" max="5904" width="7.5546875" bestFit="1" customWidth="1"/>
    <col min="5905" max="5905" width="4" bestFit="1" customWidth="1"/>
    <col min="5906" max="5907" width="9.5546875" bestFit="1" customWidth="1"/>
    <col min="5908" max="5909" width="10.5546875" bestFit="1" customWidth="1"/>
    <col min="5910" max="5910" width="9.5546875" bestFit="1" customWidth="1"/>
    <col min="5911" max="5911" width="10.5546875" bestFit="1" customWidth="1"/>
    <col min="5912" max="5912" width="7.88671875" bestFit="1" customWidth="1"/>
    <col min="5913" max="5913" width="5.5546875" bestFit="1" customWidth="1"/>
    <col min="6145" max="6145" width="8" bestFit="1" customWidth="1"/>
    <col min="6146" max="6146" width="4" bestFit="1" customWidth="1"/>
    <col min="6147" max="6148" width="8.5546875" bestFit="1" customWidth="1"/>
    <col min="6149" max="6149" width="10.5546875" bestFit="1" customWidth="1"/>
    <col min="6150" max="6150" width="9.5546875" bestFit="1" customWidth="1"/>
    <col min="6151" max="6151" width="4.33203125" bestFit="1" customWidth="1"/>
    <col min="6152" max="6153" width="8.5546875" bestFit="1" customWidth="1"/>
    <col min="6154" max="6154" width="10.5546875" bestFit="1" customWidth="1"/>
    <col min="6155" max="6155" width="8.5546875" bestFit="1" customWidth="1"/>
    <col min="6156" max="6156" width="2" bestFit="1" customWidth="1"/>
    <col min="6157" max="6158" width="8.5546875" bestFit="1" customWidth="1"/>
    <col min="6159" max="6159" width="4.5546875" bestFit="1" customWidth="1"/>
    <col min="6160" max="6160" width="7.5546875" bestFit="1" customWidth="1"/>
    <col min="6161" max="6161" width="4" bestFit="1" customWidth="1"/>
    <col min="6162" max="6163" width="9.5546875" bestFit="1" customWidth="1"/>
    <col min="6164" max="6165" width="10.5546875" bestFit="1" customWidth="1"/>
    <col min="6166" max="6166" width="9.5546875" bestFit="1" customWidth="1"/>
    <col min="6167" max="6167" width="10.5546875" bestFit="1" customWidth="1"/>
    <col min="6168" max="6168" width="7.88671875" bestFit="1" customWidth="1"/>
    <col min="6169" max="6169" width="5.5546875" bestFit="1" customWidth="1"/>
    <col min="6401" max="6401" width="8" bestFit="1" customWidth="1"/>
    <col min="6402" max="6402" width="4" bestFit="1" customWidth="1"/>
    <col min="6403" max="6404" width="8.5546875" bestFit="1" customWidth="1"/>
    <col min="6405" max="6405" width="10.5546875" bestFit="1" customWidth="1"/>
    <col min="6406" max="6406" width="9.5546875" bestFit="1" customWidth="1"/>
    <col min="6407" max="6407" width="4.33203125" bestFit="1" customWidth="1"/>
    <col min="6408" max="6409" width="8.5546875" bestFit="1" customWidth="1"/>
    <col min="6410" max="6410" width="10.5546875" bestFit="1" customWidth="1"/>
    <col min="6411" max="6411" width="8.5546875" bestFit="1" customWidth="1"/>
    <col min="6412" max="6412" width="2" bestFit="1" customWidth="1"/>
    <col min="6413" max="6414" width="8.5546875" bestFit="1" customWidth="1"/>
    <col min="6415" max="6415" width="4.5546875" bestFit="1" customWidth="1"/>
    <col min="6416" max="6416" width="7.5546875" bestFit="1" customWidth="1"/>
    <col min="6417" max="6417" width="4" bestFit="1" customWidth="1"/>
    <col min="6418" max="6419" width="9.5546875" bestFit="1" customWidth="1"/>
    <col min="6420" max="6421" width="10.5546875" bestFit="1" customWidth="1"/>
    <col min="6422" max="6422" width="9.5546875" bestFit="1" customWidth="1"/>
    <col min="6423" max="6423" width="10.5546875" bestFit="1" customWidth="1"/>
    <col min="6424" max="6424" width="7.88671875" bestFit="1" customWidth="1"/>
    <col min="6425" max="6425" width="5.5546875" bestFit="1" customWidth="1"/>
    <col min="6657" max="6657" width="8" bestFit="1" customWidth="1"/>
    <col min="6658" max="6658" width="4" bestFit="1" customWidth="1"/>
    <col min="6659" max="6660" width="8.5546875" bestFit="1" customWidth="1"/>
    <col min="6661" max="6661" width="10.5546875" bestFit="1" customWidth="1"/>
    <col min="6662" max="6662" width="9.5546875" bestFit="1" customWidth="1"/>
    <col min="6663" max="6663" width="4.33203125" bestFit="1" customWidth="1"/>
    <col min="6664" max="6665" width="8.5546875" bestFit="1" customWidth="1"/>
    <col min="6666" max="6666" width="10.5546875" bestFit="1" customWidth="1"/>
    <col min="6667" max="6667" width="8.5546875" bestFit="1" customWidth="1"/>
    <col min="6668" max="6668" width="2" bestFit="1" customWidth="1"/>
    <col min="6669" max="6670" width="8.5546875" bestFit="1" customWidth="1"/>
    <col min="6671" max="6671" width="4.5546875" bestFit="1" customWidth="1"/>
    <col min="6672" max="6672" width="7.5546875" bestFit="1" customWidth="1"/>
    <col min="6673" max="6673" width="4" bestFit="1" customWidth="1"/>
    <col min="6674" max="6675" width="9.5546875" bestFit="1" customWidth="1"/>
    <col min="6676" max="6677" width="10.5546875" bestFit="1" customWidth="1"/>
    <col min="6678" max="6678" width="9.5546875" bestFit="1" customWidth="1"/>
    <col min="6679" max="6679" width="10.5546875" bestFit="1" customWidth="1"/>
    <col min="6680" max="6680" width="7.88671875" bestFit="1" customWidth="1"/>
    <col min="6681" max="6681" width="5.5546875" bestFit="1" customWidth="1"/>
    <col min="6913" max="6913" width="8" bestFit="1" customWidth="1"/>
    <col min="6914" max="6914" width="4" bestFit="1" customWidth="1"/>
    <col min="6915" max="6916" width="8.5546875" bestFit="1" customWidth="1"/>
    <col min="6917" max="6917" width="10.5546875" bestFit="1" customWidth="1"/>
    <col min="6918" max="6918" width="9.5546875" bestFit="1" customWidth="1"/>
    <col min="6919" max="6919" width="4.33203125" bestFit="1" customWidth="1"/>
    <col min="6920" max="6921" width="8.5546875" bestFit="1" customWidth="1"/>
    <col min="6922" max="6922" width="10.5546875" bestFit="1" customWidth="1"/>
    <col min="6923" max="6923" width="8.5546875" bestFit="1" customWidth="1"/>
    <col min="6924" max="6924" width="2" bestFit="1" customWidth="1"/>
    <col min="6925" max="6926" width="8.5546875" bestFit="1" customWidth="1"/>
    <col min="6927" max="6927" width="4.5546875" bestFit="1" customWidth="1"/>
    <col min="6928" max="6928" width="7.5546875" bestFit="1" customWidth="1"/>
    <col min="6929" max="6929" width="4" bestFit="1" customWidth="1"/>
    <col min="6930" max="6931" width="9.5546875" bestFit="1" customWidth="1"/>
    <col min="6932" max="6933" width="10.5546875" bestFit="1" customWidth="1"/>
    <col min="6934" max="6934" width="9.5546875" bestFit="1" customWidth="1"/>
    <col min="6935" max="6935" width="10.5546875" bestFit="1" customWidth="1"/>
    <col min="6936" max="6936" width="7.88671875" bestFit="1" customWidth="1"/>
    <col min="6937" max="6937" width="5.5546875" bestFit="1" customWidth="1"/>
    <col min="7169" max="7169" width="8" bestFit="1" customWidth="1"/>
    <col min="7170" max="7170" width="4" bestFit="1" customWidth="1"/>
    <col min="7171" max="7172" width="8.5546875" bestFit="1" customWidth="1"/>
    <col min="7173" max="7173" width="10.5546875" bestFit="1" customWidth="1"/>
    <col min="7174" max="7174" width="9.5546875" bestFit="1" customWidth="1"/>
    <col min="7175" max="7175" width="4.33203125" bestFit="1" customWidth="1"/>
    <col min="7176" max="7177" width="8.5546875" bestFit="1" customWidth="1"/>
    <col min="7178" max="7178" width="10.5546875" bestFit="1" customWidth="1"/>
    <col min="7179" max="7179" width="8.5546875" bestFit="1" customWidth="1"/>
    <col min="7180" max="7180" width="2" bestFit="1" customWidth="1"/>
    <col min="7181" max="7182" width="8.5546875" bestFit="1" customWidth="1"/>
    <col min="7183" max="7183" width="4.5546875" bestFit="1" customWidth="1"/>
    <col min="7184" max="7184" width="7.5546875" bestFit="1" customWidth="1"/>
    <col min="7185" max="7185" width="4" bestFit="1" customWidth="1"/>
    <col min="7186" max="7187" width="9.5546875" bestFit="1" customWidth="1"/>
    <col min="7188" max="7189" width="10.5546875" bestFit="1" customWidth="1"/>
    <col min="7190" max="7190" width="9.5546875" bestFit="1" customWidth="1"/>
    <col min="7191" max="7191" width="10.5546875" bestFit="1" customWidth="1"/>
    <col min="7192" max="7192" width="7.88671875" bestFit="1" customWidth="1"/>
    <col min="7193" max="7193" width="5.5546875" bestFit="1" customWidth="1"/>
    <col min="7425" max="7425" width="8" bestFit="1" customWidth="1"/>
    <col min="7426" max="7426" width="4" bestFit="1" customWidth="1"/>
    <col min="7427" max="7428" width="8.5546875" bestFit="1" customWidth="1"/>
    <col min="7429" max="7429" width="10.5546875" bestFit="1" customWidth="1"/>
    <col min="7430" max="7430" width="9.5546875" bestFit="1" customWidth="1"/>
    <col min="7431" max="7431" width="4.33203125" bestFit="1" customWidth="1"/>
    <col min="7432" max="7433" width="8.5546875" bestFit="1" customWidth="1"/>
    <col min="7434" max="7434" width="10.5546875" bestFit="1" customWidth="1"/>
    <col min="7435" max="7435" width="8.5546875" bestFit="1" customWidth="1"/>
    <col min="7436" max="7436" width="2" bestFit="1" customWidth="1"/>
    <col min="7437" max="7438" width="8.5546875" bestFit="1" customWidth="1"/>
    <col min="7439" max="7439" width="4.5546875" bestFit="1" customWidth="1"/>
    <col min="7440" max="7440" width="7.5546875" bestFit="1" customWidth="1"/>
    <col min="7441" max="7441" width="4" bestFit="1" customWidth="1"/>
    <col min="7442" max="7443" width="9.5546875" bestFit="1" customWidth="1"/>
    <col min="7444" max="7445" width="10.5546875" bestFit="1" customWidth="1"/>
    <col min="7446" max="7446" width="9.5546875" bestFit="1" customWidth="1"/>
    <col min="7447" max="7447" width="10.5546875" bestFit="1" customWidth="1"/>
    <col min="7448" max="7448" width="7.88671875" bestFit="1" customWidth="1"/>
    <col min="7449" max="7449" width="5.5546875" bestFit="1" customWidth="1"/>
    <col min="7681" max="7681" width="8" bestFit="1" customWidth="1"/>
    <col min="7682" max="7682" width="4" bestFit="1" customWidth="1"/>
    <col min="7683" max="7684" width="8.5546875" bestFit="1" customWidth="1"/>
    <col min="7685" max="7685" width="10.5546875" bestFit="1" customWidth="1"/>
    <col min="7686" max="7686" width="9.5546875" bestFit="1" customWidth="1"/>
    <col min="7687" max="7687" width="4.33203125" bestFit="1" customWidth="1"/>
    <col min="7688" max="7689" width="8.5546875" bestFit="1" customWidth="1"/>
    <col min="7690" max="7690" width="10.5546875" bestFit="1" customWidth="1"/>
    <col min="7691" max="7691" width="8.5546875" bestFit="1" customWidth="1"/>
    <col min="7692" max="7692" width="2" bestFit="1" customWidth="1"/>
    <col min="7693" max="7694" width="8.5546875" bestFit="1" customWidth="1"/>
    <col min="7695" max="7695" width="4.5546875" bestFit="1" customWidth="1"/>
    <col min="7696" max="7696" width="7.5546875" bestFit="1" customWidth="1"/>
    <col min="7697" max="7697" width="4" bestFit="1" customWidth="1"/>
    <col min="7698" max="7699" width="9.5546875" bestFit="1" customWidth="1"/>
    <col min="7700" max="7701" width="10.5546875" bestFit="1" customWidth="1"/>
    <col min="7702" max="7702" width="9.5546875" bestFit="1" customWidth="1"/>
    <col min="7703" max="7703" width="10.5546875" bestFit="1" customWidth="1"/>
    <col min="7704" max="7704" width="7.88671875" bestFit="1" customWidth="1"/>
    <col min="7705" max="7705" width="5.5546875" bestFit="1" customWidth="1"/>
    <col min="7937" max="7937" width="8" bestFit="1" customWidth="1"/>
    <col min="7938" max="7938" width="4" bestFit="1" customWidth="1"/>
    <col min="7939" max="7940" width="8.5546875" bestFit="1" customWidth="1"/>
    <col min="7941" max="7941" width="10.5546875" bestFit="1" customWidth="1"/>
    <col min="7942" max="7942" width="9.5546875" bestFit="1" customWidth="1"/>
    <col min="7943" max="7943" width="4.33203125" bestFit="1" customWidth="1"/>
    <col min="7944" max="7945" width="8.5546875" bestFit="1" customWidth="1"/>
    <col min="7946" max="7946" width="10.5546875" bestFit="1" customWidth="1"/>
    <col min="7947" max="7947" width="8.5546875" bestFit="1" customWidth="1"/>
    <col min="7948" max="7948" width="2" bestFit="1" customWidth="1"/>
    <col min="7949" max="7950" width="8.5546875" bestFit="1" customWidth="1"/>
    <col min="7951" max="7951" width="4.5546875" bestFit="1" customWidth="1"/>
    <col min="7952" max="7952" width="7.5546875" bestFit="1" customWidth="1"/>
    <col min="7953" max="7953" width="4" bestFit="1" customWidth="1"/>
    <col min="7954" max="7955" width="9.5546875" bestFit="1" customWidth="1"/>
    <col min="7956" max="7957" width="10.5546875" bestFit="1" customWidth="1"/>
    <col min="7958" max="7958" width="9.5546875" bestFit="1" customWidth="1"/>
    <col min="7959" max="7959" width="10.5546875" bestFit="1" customWidth="1"/>
    <col min="7960" max="7960" width="7.88671875" bestFit="1" customWidth="1"/>
    <col min="7961" max="7961" width="5.5546875" bestFit="1" customWidth="1"/>
    <col min="8193" max="8193" width="8" bestFit="1" customWidth="1"/>
    <col min="8194" max="8194" width="4" bestFit="1" customWidth="1"/>
    <col min="8195" max="8196" width="8.5546875" bestFit="1" customWidth="1"/>
    <col min="8197" max="8197" width="10.5546875" bestFit="1" customWidth="1"/>
    <col min="8198" max="8198" width="9.5546875" bestFit="1" customWidth="1"/>
    <col min="8199" max="8199" width="4.33203125" bestFit="1" customWidth="1"/>
    <col min="8200" max="8201" width="8.5546875" bestFit="1" customWidth="1"/>
    <col min="8202" max="8202" width="10.5546875" bestFit="1" customWidth="1"/>
    <col min="8203" max="8203" width="8.5546875" bestFit="1" customWidth="1"/>
    <col min="8204" max="8204" width="2" bestFit="1" customWidth="1"/>
    <col min="8205" max="8206" width="8.5546875" bestFit="1" customWidth="1"/>
    <col min="8207" max="8207" width="4.5546875" bestFit="1" customWidth="1"/>
    <col min="8208" max="8208" width="7.5546875" bestFit="1" customWidth="1"/>
    <col min="8209" max="8209" width="4" bestFit="1" customWidth="1"/>
    <col min="8210" max="8211" width="9.5546875" bestFit="1" customWidth="1"/>
    <col min="8212" max="8213" width="10.5546875" bestFit="1" customWidth="1"/>
    <col min="8214" max="8214" width="9.5546875" bestFit="1" customWidth="1"/>
    <col min="8215" max="8215" width="10.5546875" bestFit="1" customWidth="1"/>
    <col min="8216" max="8216" width="7.88671875" bestFit="1" customWidth="1"/>
    <col min="8217" max="8217" width="5.5546875" bestFit="1" customWidth="1"/>
    <col min="8449" max="8449" width="8" bestFit="1" customWidth="1"/>
    <col min="8450" max="8450" width="4" bestFit="1" customWidth="1"/>
    <col min="8451" max="8452" width="8.5546875" bestFit="1" customWidth="1"/>
    <col min="8453" max="8453" width="10.5546875" bestFit="1" customWidth="1"/>
    <col min="8454" max="8454" width="9.5546875" bestFit="1" customWidth="1"/>
    <col min="8455" max="8455" width="4.33203125" bestFit="1" customWidth="1"/>
    <col min="8456" max="8457" width="8.5546875" bestFit="1" customWidth="1"/>
    <col min="8458" max="8458" width="10.5546875" bestFit="1" customWidth="1"/>
    <col min="8459" max="8459" width="8.5546875" bestFit="1" customWidth="1"/>
    <col min="8460" max="8460" width="2" bestFit="1" customWidth="1"/>
    <col min="8461" max="8462" width="8.5546875" bestFit="1" customWidth="1"/>
    <col min="8463" max="8463" width="4.5546875" bestFit="1" customWidth="1"/>
    <col min="8464" max="8464" width="7.5546875" bestFit="1" customWidth="1"/>
    <col min="8465" max="8465" width="4" bestFit="1" customWidth="1"/>
    <col min="8466" max="8467" width="9.5546875" bestFit="1" customWidth="1"/>
    <col min="8468" max="8469" width="10.5546875" bestFit="1" customWidth="1"/>
    <col min="8470" max="8470" width="9.5546875" bestFit="1" customWidth="1"/>
    <col min="8471" max="8471" width="10.5546875" bestFit="1" customWidth="1"/>
    <col min="8472" max="8472" width="7.88671875" bestFit="1" customWidth="1"/>
    <col min="8473" max="8473" width="5.5546875" bestFit="1" customWidth="1"/>
    <col min="8705" max="8705" width="8" bestFit="1" customWidth="1"/>
    <col min="8706" max="8706" width="4" bestFit="1" customWidth="1"/>
    <col min="8707" max="8708" width="8.5546875" bestFit="1" customWidth="1"/>
    <col min="8709" max="8709" width="10.5546875" bestFit="1" customWidth="1"/>
    <col min="8710" max="8710" width="9.5546875" bestFit="1" customWidth="1"/>
    <col min="8711" max="8711" width="4.33203125" bestFit="1" customWidth="1"/>
    <col min="8712" max="8713" width="8.5546875" bestFit="1" customWidth="1"/>
    <col min="8714" max="8714" width="10.5546875" bestFit="1" customWidth="1"/>
    <col min="8715" max="8715" width="8.5546875" bestFit="1" customWidth="1"/>
    <col min="8716" max="8716" width="2" bestFit="1" customWidth="1"/>
    <col min="8717" max="8718" width="8.5546875" bestFit="1" customWidth="1"/>
    <col min="8719" max="8719" width="4.5546875" bestFit="1" customWidth="1"/>
    <col min="8720" max="8720" width="7.5546875" bestFit="1" customWidth="1"/>
    <col min="8721" max="8721" width="4" bestFit="1" customWidth="1"/>
    <col min="8722" max="8723" width="9.5546875" bestFit="1" customWidth="1"/>
    <col min="8724" max="8725" width="10.5546875" bestFit="1" customWidth="1"/>
    <col min="8726" max="8726" width="9.5546875" bestFit="1" customWidth="1"/>
    <col min="8727" max="8727" width="10.5546875" bestFit="1" customWidth="1"/>
    <col min="8728" max="8728" width="7.88671875" bestFit="1" customWidth="1"/>
    <col min="8729" max="8729" width="5.5546875" bestFit="1" customWidth="1"/>
    <col min="8961" max="8961" width="8" bestFit="1" customWidth="1"/>
    <col min="8962" max="8962" width="4" bestFit="1" customWidth="1"/>
    <col min="8963" max="8964" width="8.5546875" bestFit="1" customWidth="1"/>
    <col min="8965" max="8965" width="10.5546875" bestFit="1" customWidth="1"/>
    <col min="8966" max="8966" width="9.5546875" bestFit="1" customWidth="1"/>
    <col min="8967" max="8967" width="4.33203125" bestFit="1" customWidth="1"/>
    <col min="8968" max="8969" width="8.5546875" bestFit="1" customWidth="1"/>
    <col min="8970" max="8970" width="10.5546875" bestFit="1" customWidth="1"/>
    <col min="8971" max="8971" width="8.5546875" bestFit="1" customWidth="1"/>
    <col min="8972" max="8972" width="2" bestFit="1" customWidth="1"/>
    <col min="8973" max="8974" width="8.5546875" bestFit="1" customWidth="1"/>
    <col min="8975" max="8975" width="4.5546875" bestFit="1" customWidth="1"/>
    <col min="8976" max="8976" width="7.5546875" bestFit="1" customWidth="1"/>
    <col min="8977" max="8977" width="4" bestFit="1" customWidth="1"/>
    <col min="8978" max="8979" width="9.5546875" bestFit="1" customWidth="1"/>
    <col min="8980" max="8981" width="10.5546875" bestFit="1" customWidth="1"/>
    <col min="8982" max="8982" width="9.5546875" bestFit="1" customWidth="1"/>
    <col min="8983" max="8983" width="10.5546875" bestFit="1" customWidth="1"/>
    <col min="8984" max="8984" width="7.88671875" bestFit="1" customWidth="1"/>
    <col min="8985" max="8985" width="5.5546875" bestFit="1" customWidth="1"/>
    <col min="9217" max="9217" width="8" bestFit="1" customWidth="1"/>
    <col min="9218" max="9218" width="4" bestFit="1" customWidth="1"/>
    <col min="9219" max="9220" width="8.5546875" bestFit="1" customWidth="1"/>
    <col min="9221" max="9221" width="10.5546875" bestFit="1" customWidth="1"/>
    <col min="9222" max="9222" width="9.5546875" bestFit="1" customWidth="1"/>
    <col min="9223" max="9223" width="4.33203125" bestFit="1" customWidth="1"/>
    <col min="9224" max="9225" width="8.5546875" bestFit="1" customWidth="1"/>
    <col min="9226" max="9226" width="10.5546875" bestFit="1" customWidth="1"/>
    <col min="9227" max="9227" width="8.5546875" bestFit="1" customWidth="1"/>
    <col min="9228" max="9228" width="2" bestFit="1" customWidth="1"/>
    <col min="9229" max="9230" width="8.5546875" bestFit="1" customWidth="1"/>
    <col min="9231" max="9231" width="4.5546875" bestFit="1" customWidth="1"/>
    <col min="9232" max="9232" width="7.5546875" bestFit="1" customWidth="1"/>
    <col min="9233" max="9233" width="4" bestFit="1" customWidth="1"/>
    <col min="9234" max="9235" width="9.5546875" bestFit="1" customWidth="1"/>
    <col min="9236" max="9237" width="10.5546875" bestFit="1" customWidth="1"/>
    <col min="9238" max="9238" width="9.5546875" bestFit="1" customWidth="1"/>
    <col min="9239" max="9239" width="10.5546875" bestFit="1" customWidth="1"/>
    <col min="9240" max="9240" width="7.88671875" bestFit="1" customWidth="1"/>
    <col min="9241" max="9241" width="5.5546875" bestFit="1" customWidth="1"/>
    <col min="9473" max="9473" width="8" bestFit="1" customWidth="1"/>
    <col min="9474" max="9474" width="4" bestFit="1" customWidth="1"/>
    <col min="9475" max="9476" width="8.5546875" bestFit="1" customWidth="1"/>
    <col min="9477" max="9477" width="10.5546875" bestFit="1" customWidth="1"/>
    <col min="9478" max="9478" width="9.5546875" bestFit="1" customWidth="1"/>
    <col min="9479" max="9479" width="4.33203125" bestFit="1" customWidth="1"/>
    <col min="9480" max="9481" width="8.5546875" bestFit="1" customWidth="1"/>
    <col min="9482" max="9482" width="10.5546875" bestFit="1" customWidth="1"/>
    <col min="9483" max="9483" width="8.5546875" bestFit="1" customWidth="1"/>
    <col min="9484" max="9484" width="2" bestFit="1" customWidth="1"/>
    <col min="9485" max="9486" width="8.5546875" bestFit="1" customWidth="1"/>
    <col min="9487" max="9487" width="4.5546875" bestFit="1" customWidth="1"/>
    <col min="9488" max="9488" width="7.5546875" bestFit="1" customWidth="1"/>
    <col min="9489" max="9489" width="4" bestFit="1" customWidth="1"/>
    <col min="9490" max="9491" width="9.5546875" bestFit="1" customWidth="1"/>
    <col min="9492" max="9493" width="10.5546875" bestFit="1" customWidth="1"/>
    <col min="9494" max="9494" width="9.5546875" bestFit="1" customWidth="1"/>
    <col min="9495" max="9495" width="10.5546875" bestFit="1" customWidth="1"/>
    <col min="9496" max="9496" width="7.88671875" bestFit="1" customWidth="1"/>
    <col min="9497" max="9497" width="5.5546875" bestFit="1" customWidth="1"/>
    <col min="9729" max="9729" width="8" bestFit="1" customWidth="1"/>
    <col min="9730" max="9730" width="4" bestFit="1" customWidth="1"/>
    <col min="9731" max="9732" width="8.5546875" bestFit="1" customWidth="1"/>
    <col min="9733" max="9733" width="10.5546875" bestFit="1" customWidth="1"/>
    <col min="9734" max="9734" width="9.5546875" bestFit="1" customWidth="1"/>
    <col min="9735" max="9735" width="4.33203125" bestFit="1" customWidth="1"/>
    <col min="9736" max="9737" width="8.5546875" bestFit="1" customWidth="1"/>
    <col min="9738" max="9738" width="10.5546875" bestFit="1" customWidth="1"/>
    <col min="9739" max="9739" width="8.5546875" bestFit="1" customWidth="1"/>
    <col min="9740" max="9740" width="2" bestFit="1" customWidth="1"/>
    <col min="9741" max="9742" width="8.5546875" bestFit="1" customWidth="1"/>
    <col min="9743" max="9743" width="4.5546875" bestFit="1" customWidth="1"/>
    <col min="9744" max="9744" width="7.5546875" bestFit="1" customWidth="1"/>
    <col min="9745" max="9745" width="4" bestFit="1" customWidth="1"/>
    <col min="9746" max="9747" width="9.5546875" bestFit="1" customWidth="1"/>
    <col min="9748" max="9749" width="10.5546875" bestFit="1" customWidth="1"/>
    <col min="9750" max="9750" width="9.5546875" bestFit="1" customWidth="1"/>
    <col min="9751" max="9751" width="10.5546875" bestFit="1" customWidth="1"/>
    <col min="9752" max="9752" width="7.88671875" bestFit="1" customWidth="1"/>
    <col min="9753" max="9753" width="5.5546875" bestFit="1" customWidth="1"/>
    <col min="9985" max="9985" width="8" bestFit="1" customWidth="1"/>
    <col min="9986" max="9986" width="4" bestFit="1" customWidth="1"/>
    <col min="9987" max="9988" width="8.5546875" bestFit="1" customWidth="1"/>
    <col min="9989" max="9989" width="10.5546875" bestFit="1" customWidth="1"/>
    <col min="9990" max="9990" width="9.5546875" bestFit="1" customWidth="1"/>
    <col min="9991" max="9991" width="4.33203125" bestFit="1" customWidth="1"/>
    <col min="9992" max="9993" width="8.5546875" bestFit="1" customWidth="1"/>
    <col min="9994" max="9994" width="10.5546875" bestFit="1" customWidth="1"/>
    <col min="9995" max="9995" width="8.5546875" bestFit="1" customWidth="1"/>
    <col min="9996" max="9996" width="2" bestFit="1" customWidth="1"/>
    <col min="9997" max="9998" width="8.5546875" bestFit="1" customWidth="1"/>
    <col min="9999" max="9999" width="4.5546875" bestFit="1" customWidth="1"/>
    <col min="10000" max="10000" width="7.5546875" bestFit="1" customWidth="1"/>
    <col min="10001" max="10001" width="4" bestFit="1" customWidth="1"/>
    <col min="10002" max="10003" width="9.5546875" bestFit="1" customWidth="1"/>
    <col min="10004" max="10005" width="10.5546875" bestFit="1" customWidth="1"/>
    <col min="10006" max="10006" width="9.5546875" bestFit="1" customWidth="1"/>
    <col min="10007" max="10007" width="10.5546875" bestFit="1" customWidth="1"/>
    <col min="10008" max="10008" width="7.88671875" bestFit="1" customWidth="1"/>
    <col min="10009" max="10009" width="5.5546875" bestFit="1" customWidth="1"/>
    <col min="10241" max="10241" width="8" bestFit="1" customWidth="1"/>
    <col min="10242" max="10242" width="4" bestFit="1" customWidth="1"/>
    <col min="10243" max="10244" width="8.5546875" bestFit="1" customWidth="1"/>
    <col min="10245" max="10245" width="10.5546875" bestFit="1" customWidth="1"/>
    <col min="10246" max="10246" width="9.5546875" bestFit="1" customWidth="1"/>
    <col min="10247" max="10247" width="4.33203125" bestFit="1" customWidth="1"/>
    <col min="10248" max="10249" width="8.5546875" bestFit="1" customWidth="1"/>
    <col min="10250" max="10250" width="10.5546875" bestFit="1" customWidth="1"/>
    <col min="10251" max="10251" width="8.5546875" bestFit="1" customWidth="1"/>
    <col min="10252" max="10252" width="2" bestFit="1" customWidth="1"/>
    <col min="10253" max="10254" width="8.5546875" bestFit="1" customWidth="1"/>
    <col min="10255" max="10255" width="4.5546875" bestFit="1" customWidth="1"/>
    <col min="10256" max="10256" width="7.5546875" bestFit="1" customWidth="1"/>
    <col min="10257" max="10257" width="4" bestFit="1" customWidth="1"/>
    <col min="10258" max="10259" width="9.5546875" bestFit="1" customWidth="1"/>
    <col min="10260" max="10261" width="10.5546875" bestFit="1" customWidth="1"/>
    <col min="10262" max="10262" width="9.5546875" bestFit="1" customWidth="1"/>
    <col min="10263" max="10263" width="10.5546875" bestFit="1" customWidth="1"/>
    <col min="10264" max="10264" width="7.88671875" bestFit="1" customWidth="1"/>
    <col min="10265" max="10265" width="5.5546875" bestFit="1" customWidth="1"/>
    <col min="10497" max="10497" width="8" bestFit="1" customWidth="1"/>
    <col min="10498" max="10498" width="4" bestFit="1" customWidth="1"/>
    <col min="10499" max="10500" width="8.5546875" bestFit="1" customWidth="1"/>
    <col min="10501" max="10501" width="10.5546875" bestFit="1" customWidth="1"/>
    <col min="10502" max="10502" width="9.5546875" bestFit="1" customWidth="1"/>
    <col min="10503" max="10503" width="4.33203125" bestFit="1" customWidth="1"/>
    <col min="10504" max="10505" width="8.5546875" bestFit="1" customWidth="1"/>
    <col min="10506" max="10506" width="10.5546875" bestFit="1" customWidth="1"/>
    <col min="10507" max="10507" width="8.5546875" bestFit="1" customWidth="1"/>
    <col min="10508" max="10508" width="2" bestFit="1" customWidth="1"/>
    <col min="10509" max="10510" width="8.5546875" bestFit="1" customWidth="1"/>
    <col min="10511" max="10511" width="4.5546875" bestFit="1" customWidth="1"/>
    <col min="10512" max="10512" width="7.5546875" bestFit="1" customWidth="1"/>
    <col min="10513" max="10513" width="4" bestFit="1" customWidth="1"/>
    <col min="10514" max="10515" width="9.5546875" bestFit="1" customWidth="1"/>
    <col min="10516" max="10517" width="10.5546875" bestFit="1" customWidth="1"/>
    <col min="10518" max="10518" width="9.5546875" bestFit="1" customWidth="1"/>
    <col min="10519" max="10519" width="10.5546875" bestFit="1" customWidth="1"/>
    <col min="10520" max="10520" width="7.88671875" bestFit="1" customWidth="1"/>
    <col min="10521" max="10521" width="5.5546875" bestFit="1" customWidth="1"/>
    <col min="10753" max="10753" width="8" bestFit="1" customWidth="1"/>
    <col min="10754" max="10754" width="4" bestFit="1" customWidth="1"/>
    <col min="10755" max="10756" width="8.5546875" bestFit="1" customWidth="1"/>
    <col min="10757" max="10757" width="10.5546875" bestFit="1" customWidth="1"/>
    <col min="10758" max="10758" width="9.5546875" bestFit="1" customWidth="1"/>
    <col min="10759" max="10759" width="4.33203125" bestFit="1" customWidth="1"/>
    <col min="10760" max="10761" width="8.5546875" bestFit="1" customWidth="1"/>
    <col min="10762" max="10762" width="10.5546875" bestFit="1" customWidth="1"/>
    <col min="10763" max="10763" width="8.5546875" bestFit="1" customWidth="1"/>
    <col min="10764" max="10764" width="2" bestFit="1" customWidth="1"/>
    <col min="10765" max="10766" width="8.5546875" bestFit="1" customWidth="1"/>
    <col min="10767" max="10767" width="4.5546875" bestFit="1" customWidth="1"/>
    <col min="10768" max="10768" width="7.5546875" bestFit="1" customWidth="1"/>
    <col min="10769" max="10769" width="4" bestFit="1" customWidth="1"/>
    <col min="10770" max="10771" width="9.5546875" bestFit="1" customWidth="1"/>
    <col min="10772" max="10773" width="10.5546875" bestFit="1" customWidth="1"/>
    <col min="10774" max="10774" width="9.5546875" bestFit="1" customWidth="1"/>
    <col min="10775" max="10775" width="10.5546875" bestFit="1" customWidth="1"/>
    <col min="10776" max="10776" width="7.88671875" bestFit="1" customWidth="1"/>
    <col min="10777" max="10777" width="5.5546875" bestFit="1" customWidth="1"/>
    <col min="11009" max="11009" width="8" bestFit="1" customWidth="1"/>
    <col min="11010" max="11010" width="4" bestFit="1" customWidth="1"/>
    <col min="11011" max="11012" width="8.5546875" bestFit="1" customWidth="1"/>
    <col min="11013" max="11013" width="10.5546875" bestFit="1" customWidth="1"/>
    <col min="11014" max="11014" width="9.5546875" bestFit="1" customWidth="1"/>
    <col min="11015" max="11015" width="4.33203125" bestFit="1" customWidth="1"/>
    <col min="11016" max="11017" width="8.5546875" bestFit="1" customWidth="1"/>
    <col min="11018" max="11018" width="10.5546875" bestFit="1" customWidth="1"/>
    <col min="11019" max="11019" width="8.5546875" bestFit="1" customWidth="1"/>
    <col min="11020" max="11020" width="2" bestFit="1" customWidth="1"/>
    <col min="11021" max="11022" width="8.5546875" bestFit="1" customWidth="1"/>
    <col min="11023" max="11023" width="4.5546875" bestFit="1" customWidth="1"/>
    <col min="11024" max="11024" width="7.5546875" bestFit="1" customWidth="1"/>
    <col min="11025" max="11025" width="4" bestFit="1" customWidth="1"/>
    <col min="11026" max="11027" width="9.5546875" bestFit="1" customWidth="1"/>
    <col min="11028" max="11029" width="10.5546875" bestFit="1" customWidth="1"/>
    <col min="11030" max="11030" width="9.5546875" bestFit="1" customWidth="1"/>
    <col min="11031" max="11031" width="10.5546875" bestFit="1" customWidth="1"/>
    <col min="11032" max="11032" width="7.88671875" bestFit="1" customWidth="1"/>
    <col min="11033" max="11033" width="5.5546875" bestFit="1" customWidth="1"/>
    <col min="11265" max="11265" width="8" bestFit="1" customWidth="1"/>
    <col min="11266" max="11266" width="4" bestFit="1" customWidth="1"/>
    <col min="11267" max="11268" width="8.5546875" bestFit="1" customWidth="1"/>
    <col min="11269" max="11269" width="10.5546875" bestFit="1" customWidth="1"/>
    <col min="11270" max="11270" width="9.5546875" bestFit="1" customWidth="1"/>
    <col min="11271" max="11271" width="4.33203125" bestFit="1" customWidth="1"/>
    <col min="11272" max="11273" width="8.5546875" bestFit="1" customWidth="1"/>
    <col min="11274" max="11274" width="10.5546875" bestFit="1" customWidth="1"/>
    <col min="11275" max="11275" width="8.5546875" bestFit="1" customWidth="1"/>
    <col min="11276" max="11276" width="2" bestFit="1" customWidth="1"/>
    <col min="11277" max="11278" width="8.5546875" bestFit="1" customWidth="1"/>
    <col min="11279" max="11279" width="4.5546875" bestFit="1" customWidth="1"/>
    <col min="11280" max="11280" width="7.5546875" bestFit="1" customWidth="1"/>
    <col min="11281" max="11281" width="4" bestFit="1" customWidth="1"/>
    <col min="11282" max="11283" width="9.5546875" bestFit="1" customWidth="1"/>
    <col min="11284" max="11285" width="10.5546875" bestFit="1" customWidth="1"/>
    <col min="11286" max="11286" width="9.5546875" bestFit="1" customWidth="1"/>
    <col min="11287" max="11287" width="10.5546875" bestFit="1" customWidth="1"/>
    <col min="11288" max="11288" width="7.88671875" bestFit="1" customWidth="1"/>
    <col min="11289" max="11289" width="5.5546875" bestFit="1" customWidth="1"/>
    <col min="11521" max="11521" width="8" bestFit="1" customWidth="1"/>
    <col min="11522" max="11522" width="4" bestFit="1" customWidth="1"/>
    <col min="11523" max="11524" width="8.5546875" bestFit="1" customWidth="1"/>
    <col min="11525" max="11525" width="10.5546875" bestFit="1" customWidth="1"/>
    <col min="11526" max="11526" width="9.5546875" bestFit="1" customWidth="1"/>
    <col min="11527" max="11527" width="4.33203125" bestFit="1" customWidth="1"/>
    <col min="11528" max="11529" width="8.5546875" bestFit="1" customWidth="1"/>
    <col min="11530" max="11530" width="10.5546875" bestFit="1" customWidth="1"/>
    <col min="11531" max="11531" width="8.5546875" bestFit="1" customWidth="1"/>
    <col min="11532" max="11532" width="2" bestFit="1" customWidth="1"/>
    <col min="11533" max="11534" width="8.5546875" bestFit="1" customWidth="1"/>
    <col min="11535" max="11535" width="4.5546875" bestFit="1" customWidth="1"/>
    <col min="11536" max="11536" width="7.5546875" bestFit="1" customWidth="1"/>
    <col min="11537" max="11537" width="4" bestFit="1" customWidth="1"/>
    <col min="11538" max="11539" width="9.5546875" bestFit="1" customWidth="1"/>
    <col min="11540" max="11541" width="10.5546875" bestFit="1" customWidth="1"/>
    <col min="11542" max="11542" width="9.5546875" bestFit="1" customWidth="1"/>
    <col min="11543" max="11543" width="10.5546875" bestFit="1" customWidth="1"/>
    <col min="11544" max="11544" width="7.88671875" bestFit="1" customWidth="1"/>
    <col min="11545" max="11545" width="5.5546875" bestFit="1" customWidth="1"/>
    <col min="11777" max="11777" width="8" bestFit="1" customWidth="1"/>
    <col min="11778" max="11778" width="4" bestFit="1" customWidth="1"/>
    <col min="11779" max="11780" width="8.5546875" bestFit="1" customWidth="1"/>
    <col min="11781" max="11781" width="10.5546875" bestFit="1" customWidth="1"/>
    <col min="11782" max="11782" width="9.5546875" bestFit="1" customWidth="1"/>
    <col min="11783" max="11783" width="4.33203125" bestFit="1" customWidth="1"/>
    <col min="11784" max="11785" width="8.5546875" bestFit="1" customWidth="1"/>
    <col min="11786" max="11786" width="10.5546875" bestFit="1" customWidth="1"/>
    <col min="11787" max="11787" width="8.5546875" bestFit="1" customWidth="1"/>
    <col min="11788" max="11788" width="2" bestFit="1" customWidth="1"/>
    <col min="11789" max="11790" width="8.5546875" bestFit="1" customWidth="1"/>
    <col min="11791" max="11791" width="4.5546875" bestFit="1" customWidth="1"/>
    <col min="11792" max="11792" width="7.5546875" bestFit="1" customWidth="1"/>
    <col min="11793" max="11793" width="4" bestFit="1" customWidth="1"/>
    <col min="11794" max="11795" width="9.5546875" bestFit="1" customWidth="1"/>
    <col min="11796" max="11797" width="10.5546875" bestFit="1" customWidth="1"/>
    <col min="11798" max="11798" width="9.5546875" bestFit="1" customWidth="1"/>
    <col min="11799" max="11799" width="10.5546875" bestFit="1" customWidth="1"/>
    <col min="11800" max="11800" width="7.88671875" bestFit="1" customWidth="1"/>
    <col min="11801" max="11801" width="5.5546875" bestFit="1" customWidth="1"/>
    <col min="12033" max="12033" width="8" bestFit="1" customWidth="1"/>
    <col min="12034" max="12034" width="4" bestFit="1" customWidth="1"/>
    <col min="12035" max="12036" width="8.5546875" bestFit="1" customWidth="1"/>
    <col min="12037" max="12037" width="10.5546875" bestFit="1" customWidth="1"/>
    <col min="12038" max="12038" width="9.5546875" bestFit="1" customWidth="1"/>
    <col min="12039" max="12039" width="4.33203125" bestFit="1" customWidth="1"/>
    <col min="12040" max="12041" width="8.5546875" bestFit="1" customWidth="1"/>
    <col min="12042" max="12042" width="10.5546875" bestFit="1" customWidth="1"/>
    <col min="12043" max="12043" width="8.5546875" bestFit="1" customWidth="1"/>
    <col min="12044" max="12044" width="2" bestFit="1" customWidth="1"/>
    <col min="12045" max="12046" width="8.5546875" bestFit="1" customWidth="1"/>
    <col min="12047" max="12047" width="4.5546875" bestFit="1" customWidth="1"/>
    <col min="12048" max="12048" width="7.5546875" bestFit="1" customWidth="1"/>
    <col min="12049" max="12049" width="4" bestFit="1" customWidth="1"/>
    <col min="12050" max="12051" width="9.5546875" bestFit="1" customWidth="1"/>
    <col min="12052" max="12053" width="10.5546875" bestFit="1" customWidth="1"/>
    <col min="12054" max="12054" width="9.5546875" bestFit="1" customWidth="1"/>
    <col min="12055" max="12055" width="10.5546875" bestFit="1" customWidth="1"/>
    <col min="12056" max="12056" width="7.88671875" bestFit="1" customWidth="1"/>
    <col min="12057" max="12057" width="5.5546875" bestFit="1" customWidth="1"/>
    <col min="12289" max="12289" width="8" bestFit="1" customWidth="1"/>
    <col min="12290" max="12290" width="4" bestFit="1" customWidth="1"/>
    <col min="12291" max="12292" width="8.5546875" bestFit="1" customWidth="1"/>
    <col min="12293" max="12293" width="10.5546875" bestFit="1" customWidth="1"/>
    <col min="12294" max="12294" width="9.5546875" bestFit="1" customWidth="1"/>
    <col min="12295" max="12295" width="4.33203125" bestFit="1" customWidth="1"/>
    <col min="12296" max="12297" width="8.5546875" bestFit="1" customWidth="1"/>
    <col min="12298" max="12298" width="10.5546875" bestFit="1" customWidth="1"/>
    <col min="12299" max="12299" width="8.5546875" bestFit="1" customWidth="1"/>
    <col min="12300" max="12300" width="2" bestFit="1" customWidth="1"/>
    <col min="12301" max="12302" width="8.5546875" bestFit="1" customWidth="1"/>
    <col min="12303" max="12303" width="4.5546875" bestFit="1" customWidth="1"/>
    <col min="12304" max="12304" width="7.5546875" bestFit="1" customWidth="1"/>
    <col min="12305" max="12305" width="4" bestFit="1" customWidth="1"/>
    <col min="12306" max="12307" width="9.5546875" bestFit="1" customWidth="1"/>
    <col min="12308" max="12309" width="10.5546875" bestFit="1" customWidth="1"/>
    <col min="12310" max="12310" width="9.5546875" bestFit="1" customWidth="1"/>
    <col min="12311" max="12311" width="10.5546875" bestFit="1" customWidth="1"/>
    <col min="12312" max="12312" width="7.88671875" bestFit="1" customWidth="1"/>
    <col min="12313" max="12313" width="5.5546875" bestFit="1" customWidth="1"/>
    <col min="12545" max="12545" width="8" bestFit="1" customWidth="1"/>
    <col min="12546" max="12546" width="4" bestFit="1" customWidth="1"/>
    <col min="12547" max="12548" width="8.5546875" bestFit="1" customWidth="1"/>
    <col min="12549" max="12549" width="10.5546875" bestFit="1" customWidth="1"/>
    <col min="12550" max="12550" width="9.5546875" bestFit="1" customWidth="1"/>
    <col min="12551" max="12551" width="4.33203125" bestFit="1" customWidth="1"/>
    <col min="12552" max="12553" width="8.5546875" bestFit="1" customWidth="1"/>
    <col min="12554" max="12554" width="10.5546875" bestFit="1" customWidth="1"/>
    <col min="12555" max="12555" width="8.5546875" bestFit="1" customWidth="1"/>
    <col min="12556" max="12556" width="2" bestFit="1" customWidth="1"/>
    <col min="12557" max="12558" width="8.5546875" bestFit="1" customWidth="1"/>
    <col min="12559" max="12559" width="4.5546875" bestFit="1" customWidth="1"/>
    <col min="12560" max="12560" width="7.5546875" bestFit="1" customWidth="1"/>
    <col min="12561" max="12561" width="4" bestFit="1" customWidth="1"/>
    <col min="12562" max="12563" width="9.5546875" bestFit="1" customWidth="1"/>
    <col min="12564" max="12565" width="10.5546875" bestFit="1" customWidth="1"/>
    <col min="12566" max="12566" width="9.5546875" bestFit="1" customWidth="1"/>
    <col min="12567" max="12567" width="10.5546875" bestFit="1" customWidth="1"/>
    <col min="12568" max="12568" width="7.88671875" bestFit="1" customWidth="1"/>
    <col min="12569" max="12569" width="5.5546875" bestFit="1" customWidth="1"/>
    <col min="12801" max="12801" width="8" bestFit="1" customWidth="1"/>
    <col min="12802" max="12802" width="4" bestFit="1" customWidth="1"/>
    <col min="12803" max="12804" width="8.5546875" bestFit="1" customWidth="1"/>
    <col min="12805" max="12805" width="10.5546875" bestFit="1" customWidth="1"/>
    <col min="12806" max="12806" width="9.5546875" bestFit="1" customWidth="1"/>
    <col min="12807" max="12807" width="4.33203125" bestFit="1" customWidth="1"/>
    <col min="12808" max="12809" width="8.5546875" bestFit="1" customWidth="1"/>
    <col min="12810" max="12810" width="10.5546875" bestFit="1" customWidth="1"/>
    <col min="12811" max="12811" width="8.5546875" bestFit="1" customWidth="1"/>
    <col min="12812" max="12812" width="2" bestFit="1" customWidth="1"/>
    <col min="12813" max="12814" width="8.5546875" bestFit="1" customWidth="1"/>
    <col min="12815" max="12815" width="4.5546875" bestFit="1" customWidth="1"/>
    <col min="12816" max="12816" width="7.5546875" bestFit="1" customWidth="1"/>
    <col min="12817" max="12817" width="4" bestFit="1" customWidth="1"/>
    <col min="12818" max="12819" width="9.5546875" bestFit="1" customWidth="1"/>
    <col min="12820" max="12821" width="10.5546875" bestFit="1" customWidth="1"/>
    <col min="12822" max="12822" width="9.5546875" bestFit="1" customWidth="1"/>
    <col min="12823" max="12823" width="10.5546875" bestFit="1" customWidth="1"/>
    <col min="12824" max="12824" width="7.88671875" bestFit="1" customWidth="1"/>
    <col min="12825" max="12825" width="5.5546875" bestFit="1" customWidth="1"/>
    <col min="13057" max="13057" width="8" bestFit="1" customWidth="1"/>
    <col min="13058" max="13058" width="4" bestFit="1" customWidth="1"/>
    <col min="13059" max="13060" width="8.5546875" bestFit="1" customWidth="1"/>
    <col min="13061" max="13061" width="10.5546875" bestFit="1" customWidth="1"/>
    <col min="13062" max="13062" width="9.5546875" bestFit="1" customWidth="1"/>
    <col min="13063" max="13063" width="4.33203125" bestFit="1" customWidth="1"/>
    <col min="13064" max="13065" width="8.5546875" bestFit="1" customWidth="1"/>
    <col min="13066" max="13066" width="10.5546875" bestFit="1" customWidth="1"/>
    <col min="13067" max="13067" width="8.5546875" bestFit="1" customWidth="1"/>
    <col min="13068" max="13068" width="2" bestFit="1" customWidth="1"/>
    <col min="13069" max="13070" width="8.5546875" bestFit="1" customWidth="1"/>
    <col min="13071" max="13071" width="4.5546875" bestFit="1" customWidth="1"/>
    <col min="13072" max="13072" width="7.5546875" bestFit="1" customWidth="1"/>
    <col min="13073" max="13073" width="4" bestFit="1" customWidth="1"/>
    <col min="13074" max="13075" width="9.5546875" bestFit="1" customWidth="1"/>
    <col min="13076" max="13077" width="10.5546875" bestFit="1" customWidth="1"/>
    <col min="13078" max="13078" width="9.5546875" bestFit="1" customWidth="1"/>
    <col min="13079" max="13079" width="10.5546875" bestFit="1" customWidth="1"/>
    <col min="13080" max="13080" width="7.88671875" bestFit="1" customWidth="1"/>
    <col min="13081" max="13081" width="5.5546875" bestFit="1" customWidth="1"/>
    <col min="13313" max="13313" width="8" bestFit="1" customWidth="1"/>
    <col min="13314" max="13314" width="4" bestFit="1" customWidth="1"/>
    <col min="13315" max="13316" width="8.5546875" bestFit="1" customWidth="1"/>
    <col min="13317" max="13317" width="10.5546875" bestFit="1" customWidth="1"/>
    <col min="13318" max="13318" width="9.5546875" bestFit="1" customWidth="1"/>
    <col min="13319" max="13319" width="4.33203125" bestFit="1" customWidth="1"/>
    <col min="13320" max="13321" width="8.5546875" bestFit="1" customWidth="1"/>
    <col min="13322" max="13322" width="10.5546875" bestFit="1" customWidth="1"/>
    <col min="13323" max="13323" width="8.5546875" bestFit="1" customWidth="1"/>
    <col min="13324" max="13324" width="2" bestFit="1" customWidth="1"/>
    <col min="13325" max="13326" width="8.5546875" bestFit="1" customWidth="1"/>
    <col min="13327" max="13327" width="4.5546875" bestFit="1" customWidth="1"/>
    <col min="13328" max="13328" width="7.5546875" bestFit="1" customWidth="1"/>
    <col min="13329" max="13329" width="4" bestFit="1" customWidth="1"/>
    <col min="13330" max="13331" width="9.5546875" bestFit="1" customWidth="1"/>
    <col min="13332" max="13333" width="10.5546875" bestFit="1" customWidth="1"/>
    <col min="13334" max="13334" width="9.5546875" bestFit="1" customWidth="1"/>
    <col min="13335" max="13335" width="10.5546875" bestFit="1" customWidth="1"/>
    <col min="13336" max="13336" width="7.88671875" bestFit="1" customWidth="1"/>
    <col min="13337" max="13337" width="5.5546875" bestFit="1" customWidth="1"/>
    <col min="13569" max="13569" width="8" bestFit="1" customWidth="1"/>
    <col min="13570" max="13570" width="4" bestFit="1" customWidth="1"/>
    <col min="13571" max="13572" width="8.5546875" bestFit="1" customWidth="1"/>
    <col min="13573" max="13573" width="10.5546875" bestFit="1" customWidth="1"/>
    <col min="13574" max="13574" width="9.5546875" bestFit="1" customWidth="1"/>
    <col min="13575" max="13575" width="4.33203125" bestFit="1" customWidth="1"/>
    <col min="13576" max="13577" width="8.5546875" bestFit="1" customWidth="1"/>
    <col min="13578" max="13578" width="10.5546875" bestFit="1" customWidth="1"/>
    <col min="13579" max="13579" width="8.5546875" bestFit="1" customWidth="1"/>
    <col min="13580" max="13580" width="2" bestFit="1" customWidth="1"/>
    <col min="13581" max="13582" width="8.5546875" bestFit="1" customWidth="1"/>
    <col min="13583" max="13583" width="4.5546875" bestFit="1" customWidth="1"/>
    <col min="13584" max="13584" width="7.5546875" bestFit="1" customWidth="1"/>
    <col min="13585" max="13585" width="4" bestFit="1" customWidth="1"/>
    <col min="13586" max="13587" width="9.5546875" bestFit="1" customWidth="1"/>
    <col min="13588" max="13589" width="10.5546875" bestFit="1" customWidth="1"/>
    <col min="13590" max="13590" width="9.5546875" bestFit="1" customWidth="1"/>
    <col min="13591" max="13591" width="10.5546875" bestFit="1" customWidth="1"/>
    <col min="13592" max="13592" width="7.88671875" bestFit="1" customWidth="1"/>
    <col min="13593" max="13593" width="5.5546875" bestFit="1" customWidth="1"/>
    <col min="13825" max="13825" width="8" bestFit="1" customWidth="1"/>
    <col min="13826" max="13826" width="4" bestFit="1" customWidth="1"/>
    <col min="13827" max="13828" width="8.5546875" bestFit="1" customWidth="1"/>
    <col min="13829" max="13829" width="10.5546875" bestFit="1" customWidth="1"/>
    <col min="13830" max="13830" width="9.5546875" bestFit="1" customWidth="1"/>
    <col min="13831" max="13831" width="4.33203125" bestFit="1" customWidth="1"/>
    <col min="13832" max="13833" width="8.5546875" bestFit="1" customWidth="1"/>
    <col min="13834" max="13834" width="10.5546875" bestFit="1" customWidth="1"/>
    <col min="13835" max="13835" width="8.5546875" bestFit="1" customWidth="1"/>
    <col min="13836" max="13836" width="2" bestFit="1" customWidth="1"/>
    <col min="13837" max="13838" width="8.5546875" bestFit="1" customWidth="1"/>
    <col min="13839" max="13839" width="4.5546875" bestFit="1" customWidth="1"/>
    <col min="13840" max="13840" width="7.5546875" bestFit="1" customWidth="1"/>
    <col min="13841" max="13841" width="4" bestFit="1" customWidth="1"/>
    <col min="13842" max="13843" width="9.5546875" bestFit="1" customWidth="1"/>
    <col min="13844" max="13845" width="10.5546875" bestFit="1" customWidth="1"/>
    <col min="13846" max="13846" width="9.5546875" bestFit="1" customWidth="1"/>
    <col min="13847" max="13847" width="10.5546875" bestFit="1" customWidth="1"/>
    <col min="13848" max="13848" width="7.88671875" bestFit="1" customWidth="1"/>
    <col min="13849" max="13849" width="5.5546875" bestFit="1" customWidth="1"/>
    <col min="14081" max="14081" width="8" bestFit="1" customWidth="1"/>
    <col min="14082" max="14082" width="4" bestFit="1" customWidth="1"/>
    <col min="14083" max="14084" width="8.5546875" bestFit="1" customWidth="1"/>
    <col min="14085" max="14085" width="10.5546875" bestFit="1" customWidth="1"/>
    <col min="14086" max="14086" width="9.5546875" bestFit="1" customWidth="1"/>
    <col min="14087" max="14087" width="4.33203125" bestFit="1" customWidth="1"/>
    <col min="14088" max="14089" width="8.5546875" bestFit="1" customWidth="1"/>
    <col min="14090" max="14090" width="10.5546875" bestFit="1" customWidth="1"/>
    <col min="14091" max="14091" width="8.5546875" bestFit="1" customWidth="1"/>
    <col min="14092" max="14092" width="2" bestFit="1" customWidth="1"/>
    <col min="14093" max="14094" width="8.5546875" bestFit="1" customWidth="1"/>
    <col min="14095" max="14095" width="4.5546875" bestFit="1" customWidth="1"/>
    <col min="14096" max="14096" width="7.5546875" bestFit="1" customWidth="1"/>
    <col min="14097" max="14097" width="4" bestFit="1" customWidth="1"/>
    <col min="14098" max="14099" width="9.5546875" bestFit="1" customWidth="1"/>
    <col min="14100" max="14101" width="10.5546875" bestFit="1" customWidth="1"/>
    <col min="14102" max="14102" width="9.5546875" bestFit="1" customWidth="1"/>
    <col min="14103" max="14103" width="10.5546875" bestFit="1" customWidth="1"/>
    <col min="14104" max="14104" width="7.88671875" bestFit="1" customWidth="1"/>
    <col min="14105" max="14105" width="5.5546875" bestFit="1" customWidth="1"/>
    <col min="14337" max="14337" width="8" bestFit="1" customWidth="1"/>
    <col min="14338" max="14338" width="4" bestFit="1" customWidth="1"/>
    <col min="14339" max="14340" width="8.5546875" bestFit="1" customWidth="1"/>
    <col min="14341" max="14341" width="10.5546875" bestFit="1" customWidth="1"/>
    <col min="14342" max="14342" width="9.5546875" bestFit="1" customWidth="1"/>
    <col min="14343" max="14343" width="4.33203125" bestFit="1" customWidth="1"/>
    <col min="14344" max="14345" width="8.5546875" bestFit="1" customWidth="1"/>
    <col min="14346" max="14346" width="10.5546875" bestFit="1" customWidth="1"/>
    <col min="14347" max="14347" width="8.5546875" bestFit="1" customWidth="1"/>
    <col min="14348" max="14348" width="2" bestFit="1" customWidth="1"/>
    <col min="14349" max="14350" width="8.5546875" bestFit="1" customWidth="1"/>
    <col min="14351" max="14351" width="4.5546875" bestFit="1" customWidth="1"/>
    <col min="14352" max="14352" width="7.5546875" bestFit="1" customWidth="1"/>
    <col min="14353" max="14353" width="4" bestFit="1" customWidth="1"/>
    <col min="14354" max="14355" width="9.5546875" bestFit="1" customWidth="1"/>
    <col min="14356" max="14357" width="10.5546875" bestFit="1" customWidth="1"/>
    <col min="14358" max="14358" width="9.5546875" bestFit="1" customWidth="1"/>
    <col min="14359" max="14359" width="10.5546875" bestFit="1" customWidth="1"/>
    <col min="14360" max="14360" width="7.88671875" bestFit="1" customWidth="1"/>
    <col min="14361" max="14361" width="5.5546875" bestFit="1" customWidth="1"/>
    <col min="14593" max="14593" width="8" bestFit="1" customWidth="1"/>
    <col min="14594" max="14594" width="4" bestFit="1" customWidth="1"/>
    <col min="14595" max="14596" width="8.5546875" bestFit="1" customWidth="1"/>
    <col min="14597" max="14597" width="10.5546875" bestFit="1" customWidth="1"/>
    <col min="14598" max="14598" width="9.5546875" bestFit="1" customWidth="1"/>
    <col min="14599" max="14599" width="4.33203125" bestFit="1" customWidth="1"/>
    <col min="14600" max="14601" width="8.5546875" bestFit="1" customWidth="1"/>
    <col min="14602" max="14602" width="10.5546875" bestFit="1" customWidth="1"/>
    <col min="14603" max="14603" width="8.5546875" bestFit="1" customWidth="1"/>
    <col min="14604" max="14604" width="2" bestFit="1" customWidth="1"/>
    <col min="14605" max="14606" width="8.5546875" bestFit="1" customWidth="1"/>
    <col min="14607" max="14607" width="4.5546875" bestFit="1" customWidth="1"/>
    <col min="14608" max="14608" width="7.5546875" bestFit="1" customWidth="1"/>
    <col min="14609" max="14609" width="4" bestFit="1" customWidth="1"/>
    <col min="14610" max="14611" width="9.5546875" bestFit="1" customWidth="1"/>
    <col min="14612" max="14613" width="10.5546875" bestFit="1" customWidth="1"/>
    <col min="14614" max="14614" width="9.5546875" bestFit="1" customWidth="1"/>
    <col min="14615" max="14615" width="10.5546875" bestFit="1" customWidth="1"/>
    <col min="14616" max="14616" width="7.88671875" bestFit="1" customWidth="1"/>
    <col min="14617" max="14617" width="5.5546875" bestFit="1" customWidth="1"/>
    <col min="14849" max="14849" width="8" bestFit="1" customWidth="1"/>
    <col min="14850" max="14850" width="4" bestFit="1" customWidth="1"/>
    <col min="14851" max="14852" width="8.5546875" bestFit="1" customWidth="1"/>
    <col min="14853" max="14853" width="10.5546875" bestFit="1" customWidth="1"/>
    <col min="14854" max="14854" width="9.5546875" bestFit="1" customWidth="1"/>
    <col min="14855" max="14855" width="4.33203125" bestFit="1" customWidth="1"/>
    <col min="14856" max="14857" width="8.5546875" bestFit="1" customWidth="1"/>
    <col min="14858" max="14858" width="10.5546875" bestFit="1" customWidth="1"/>
    <col min="14859" max="14859" width="8.5546875" bestFit="1" customWidth="1"/>
    <col min="14860" max="14860" width="2" bestFit="1" customWidth="1"/>
    <col min="14861" max="14862" width="8.5546875" bestFit="1" customWidth="1"/>
    <col min="14863" max="14863" width="4.5546875" bestFit="1" customWidth="1"/>
    <col min="14864" max="14864" width="7.5546875" bestFit="1" customWidth="1"/>
    <col min="14865" max="14865" width="4" bestFit="1" customWidth="1"/>
    <col min="14866" max="14867" width="9.5546875" bestFit="1" customWidth="1"/>
    <col min="14868" max="14869" width="10.5546875" bestFit="1" customWidth="1"/>
    <col min="14870" max="14870" width="9.5546875" bestFit="1" customWidth="1"/>
    <col min="14871" max="14871" width="10.5546875" bestFit="1" customWidth="1"/>
    <col min="14872" max="14872" width="7.88671875" bestFit="1" customWidth="1"/>
    <col min="14873" max="14873" width="5.5546875" bestFit="1" customWidth="1"/>
    <col min="15105" max="15105" width="8" bestFit="1" customWidth="1"/>
    <col min="15106" max="15106" width="4" bestFit="1" customWidth="1"/>
    <col min="15107" max="15108" width="8.5546875" bestFit="1" customWidth="1"/>
    <col min="15109" max="15109" width="10.5546875" bestFit="1" customWidth="1"/>
    <col min="15110" max="15110" width="9.5546875" bestFit="1" customWidth="1"/>
    <col min="15111" max="15111" width="4.33203125" bestFit="1" customWidth="1"/>
    <col min="15112" max="15113" width="8.5546875" bestFit="1" customWidth="1"/>
    <col min="15114" max="15114" width="10.5546875" bestFit="1" customWidth="1"/>
    <col min="15115" max="15115" width="8.5546875" bestFit="1" customWidth="1"/>
    <col min="15116" max="15116" width="2" bestFit="1" customWidth="1"/>
    <col min="15117" max="15118" width="8.5546875" bestFit="1" customWidth="1"/>
    <col min="15119" max="15119" width="4.5546875" bestFit="1" customWidth="1"/>
    <col min="15120" max="15120" width="7.5546875" bestFit="1" customWidth="1"/>
    <col min="15121" max="15121" width="4" bestFit="1" customWidth="1"/>
    <col min="15122" max="15123" width="9.5546875" bestFit="1" customWidth="1"/>
    <col min="15124" max="15125" width="10.5546875" bestFit="1" customWidth="1"/>
    <col min="15126" max="15126" width="9.5546875" bestFit="1" customWidth="1"/>
    <col min="15127" max="15127" width="10.5546875" bestFit="1" customWidth="1"/>
    <col min="15128" max="15128" width="7.88671875" bestFit="1" customWidth="1"/>
    <col min="15129" max="15129" width="5.5546875" bestFit="1" customWidth="1"/>
    <col min="15361" max="15361" width="8" bestFit="1" customWidth="1"/>
    <col min="15362" max="15362" width="4" bestFit="1" customWidth="1"/>
    <col min="15363" max="15364" width="8.5546875" bestFit="1" customWidth="1"/>
    <col min="15365" max="15365" width="10.5546875" bestFit="1" customWidth="1"/>
    <col min="15366" max="15366" width="9.5546875" bestFit="1" customWidth="1"/>
    <col min="15367" max="15367" width="4.33203125" bestFit="1" customWidth="1"/>
    <col min="15368" max="15369" width="8.5546875" bestFit="1" customWidth="1"/>
    <col min="15370" max="15370" width="10.5546875" bestFit="1" customWidth="1"/>
    <col min="15371" max="15371" width="8.5546875" bestFit="1" customWidth="1"/>
    <col min="15372" max="15372" width="2" bestFit="1" customWidth="1"/>
    <col min="15373" max="15374" width="8.5546875" bestFit="1" customWidth="1"/>
    <col min="15375" max="15375" width="4.5546875" bestFit="1" customWidth="1"/>
    <col min="15376" max="15376" width="7.5546875" bestFit="1" customWidth="1"/>
    <col min="15377" max="15377" width="4" bestFit="1" customWidth="1"/>
    <col min="15378" max="15379" width="9.5546875" bestFit="1" customWidth="1"/>
    <col min="15380" max="15381" width="10.5546875" bestFit="1" customWidth="1"/>
    <col min="15382" max="15382" width="9.5546875" bestFit="1" customWidth="1"/>
    <col min="15383" max="15383" width="10.5546875" bestFit="1" customWidth="1"/>
    <col min="15384" max="15384" width="7.88671875" bestFit="1" customWidth="1"/>
    <col min="15385" max="15385" width="5.5546875" bestFit="1" customWidth="1"/>
    <col min="15617" max="15617" width="8" bestFit="1" customWidth="1"/>
    <col min="15618" max="15618" width="4" bestFit="1" customWidth="1"/>
    <col min="15619" max="15620" width="8.5546875" bestFit="1" customWidth="1"/>
    <col min="15621" max="15621" width="10.5546875" bestFit="1" customWidth="1"/>
    <col min="15622" max="15622" width="9.5546875" bestFit="1" customWidth="1"/>
    <col min="15623" max="15623" width="4.33203125" bestFit="1" customWidth="1"/>
    <col min="15624" max="15625" width="8.5546875" bestFit="1" customWidth="1"/>
    <col min="15626" max="15626" width="10.5546875" bestFit="1" customWidth="1"/>
    <col min="15627" max="15627" width="8.5546875" bestFit="1" customWidth="1"/>
    <col min="15628" max="15628" width="2" bestFit="1" customWidth="1"/>
    <col min="15629" max="15630" width="8.5546875" bestFit="1" customWidth="1"/>
    <col min="15631" max="15631" width="4.5546875" bestFit="1" customWidth="1"/>
    <col min="15632" max="15632" width="7.5546875" bestFit="1" customWidth="1"/>
    <col min="15633" max="15633" width="4" bestFit="1" customWidth="1"/>
    <col min="15634" max="15635" width="9.5546875" bestFit="1" customWidth="1"/>
    <col min="15636" max="15637" width="10.5546875" bestFit="1" customWidth="1"/>
    <col min="15638" max="15638" width="9.5546875" bestFit="1" customWidth="1"/>
    <col min="15639" max="15639" width="10.5546875" bestFit="1" customWidth="1"/>
    <col min="15640" max="15640" width="7.88671875" bestFit="1" customWidth="1"/>
    <col min="15641" max="15641" width="5.5546875" bestFit="1" customWidth="1"/>
    <col min="15873" max="15873" width="8" bestFit="1" customWidth="1"/>
    <col min="15874" max="15874" width="4" bestFit="1" customWidth="1"/>
    <col min="15875" max="15876" width="8.5546875" bestFit="1" customWidth="1"/>
    <col min="15877" max="15877" width="10.5546875" bestFit="1" customWidth="1"/>
    <col min="15878" max="15878" width="9.5546875" bestFit="1" customWidth="1"/>
    <col min="15879" max="15879" width="4.33203125" bestFit="1" customWidth="1"/>
    <col min="15880" max="15881" width="8.5546875" bestFit="1" customWidth="1"/>
    <col min="15882" max="15882" width="10.5546875" bestFit="1" customWidth="1"/>
    <col min="15883" max="15883" width="8.5546875" bestFit="1" customWidth="1"/>
    <col min="15884" max="15884" width="2" bestFit="1" customWidth="1"/>
    <col min="15885" max="15886" width="8.5546875" bestFit="1" customWidth="1"/>
    <col min="15887" max="15887" width="4.5546875" bestFit="1" customWidth="1"/>
    <col min="15888" max="15888" width="7.5546875" bestFit="1" customWidth="1"/>
    <col min="15889" max="15889" width="4" bestFit="1" customWidth="1"/>
    <col min="15890" max="15891" width="9.5546875" bestFit="1" customWidth="1"/>
    <col min="15892" max="15893" width="10.5546875" bestFit="1" customWidth="1"/>
    <col min="15894" max="15894" width="9.5546875" bestFit="1" customWidth="1"/>
    <col min="15895" max="15895" width="10.5546875" bestFit="1" customWidth="1"/>
    <col min="15896" max="15896" width="7.88671875" bestFit="1" customWidth="1"/>
    <col min="15897" max="15897" width="5.5546875" bestFit="1" customWidth="1"/>
    <col min="16129" max="16129" width="8" bestFit="1" customWidth="1"/>
    <col min="16130" max="16130" width="4" bestFit="1" customWidth="1"/>
    <col min="16131" max="16132" width="8.5546875" bestFit="1" customWidth="1"/>
    <col min="16133" max="16133" width="10.5546875" bestFit="1" customWidth="1"/>
    <col min="16134" max="16134" width="9.5546875" bestFit="1" customWidth="1"/>
    <col min="16135" max="16135" width="4.33203125" bestFit="1" customWidth="1"/>
    <col min="16136" max="16137" width="8.5546875" bestFit="1" customWidth="1"/>
    <col min="16138" max="16138" width="10.5546875" bestFit="1" customWidth="1"/>
    <col min="16139" max="16139" width="8.5546875" bestFit="1" customWidth="1"/>
    <col min="16140" max="16140" width="2" bestFit="1" customWidth="1"/>
    <col min="16141" max="16142" width="8.5546875" bestFit="1" customWidth="1"/>
    <col min="16143" max="16143" width="4.5546875" bestFit="1" customWidth="1"/>
    <col min="16144" max="16144" width="7.5546875" bestFit="1" customWidth="1"/>
    <col min="16145" max="16145" width="4" bestFit="1" customWidth="1"/>
    <col min="16146" max="16147" width="9.5546875" bestFit="1" customWidth="1"/>
    <col min="16148" max="16149" width="10.5546875" bestFit="1" customWidth="1"/>
    <col min="16150" max="16150" width="9.5546875" bestFit="1" customWidth="1"/>
    <col min="16151" max="16151" width="10.5546875" bestFit="1" customWidth="1"/>
    <col min="16152" max="16152" width="7.88671875" bestFit="1" customWidth="1"/>
    <col min="16153" max="16153" width="5.5546875" bestFit="1" customWidth="1"/>
  </cols>
  <sheetData>
    <row r="1" spans="1:25" ht="14.4" x14ac:dyDescent="0.3">
      <c r="A1" s="3342" t="s">
        <v>456</v>
      </c>
      <c r="B1" s="3342"/>
      <c r="C1" s="3342"/>
      <c r="D1" s="3342"/>
      <c r="E1" s="3342"/>
      <c r="F1" s="3342"/>
      <c r="G1" s="3342"/>
      <c r="H1" s="3342"/>
      <c r="I1" s="3342"/>
      <c r="J1" s="3342"/>
      <c r="K1" s="3342"/>
      <c r="L1" s="3342"/>
      <c r="M1" s="3342"/>
      <c r="N1" s="3342"/>
      <c r="O1" s="3342"/>
      <c r="P1" s="3342"/>
      <c r="Q1" s="3342"/>
      <c r="R1" s="3342"/>
      <c r="S1" s="3342"/>
      <c r="T1" s="3342"/>
      <c r="U1" s="3342"/>
      <c r="V1" s="3342"/>
    </row>
    <row r="2" spans="1:25" ht="15" thickBot="1" x14ac:dyDescent="0.35">
      <c r="A2" s="3342" t="s">
        <v>457</v>
      </c>
      <c r="B2" s="3342"/>
      <c r="C2" s="3342"/>
      <c r="D2" s="3342"/>
      <c r="E2" s="3342"/>
      <c r="F2" s="3342"/>
      <c r="G2" s="3342"/>
      <c r="H2" s="3342"/>
      <c r="I2" s="3342"/>
      <c r="J2" s="3342"/>
      <c r="K2" s="3342"/>
      <c r="L2" s="3342"/>
      <c r="M2" s="3342"/>
      <c r="N2" s="3342"/>
      <c r="O2" s="3342"/>
      <c r="P2" s="3342"/>
      <c r="Q2" s="3342"/>
      <c r="R2" s="3342"/>
      <c r="S2" s="3342"/>
      <c r="T2" s="3342"/>
      <c r="U2" s="3342"/>
      <c r="V2" s="3342"/>
    </row>
    <row r="3" spans="1:25" ht="14.4" x14ac:dyDescent="0.3">
      <c r="A3" s="1115" t="s">
        <v>458</v>
      </c>
      <c r="B3" s="3339" t="s">
        <v>459</v>
      </c>
      <c r="C3" s="3340"/>
      <c r="D3" s="3340"/>
      <c r="E3" s="3340"/>
      <c r="F3" s="3341"/>
      <c r="G3" s="3339" t="s">
        <v>460</v>
      </c>
      <c r="H3" s="3340"/>
      <c r="I3" s="3340"/>
      <c r="J3" s="3340"/>
      <c r="K3" s="3341"/>
      <c r="L3" s="3339" t="s">
        <v>461</v>
      </c>
      <c r="M3" s="3340"/>
      <c r="N3" s="3340"/>
      <c r="O3" s="3340"/>
      <c r="P3" s="3341"/>
      <c r="Q3" s="3339" t="s">
        <v>101</v>
      </c>
      <c r="R3" s="3340"/>
      <c r="S3" s="3340"/>
      <c r="T3" s="3340"/>
      <c r="U3" s="3340"/>
      <c r="V3" s="3341"/>
    </row>
    <row r="4" spans="1:25" ht="14.4" x14ac:dyDescent="0.3">
      <c r="A4" s="1116" t="s">
        <v>375</v>
      </c>
      <c r="B4" s="1117" t="s">
        <v>313</v>
      </c>
      <c r="C4" s="1118" t="s">
        <v>462</v>
      </c>
      <c r="D4" s="1119" t="s">
        <v>463</v>
      </c>
      <c r="E4" s="1119" t="s">
        <v>464</v>
      </c>
      <c r="F4" s="1120" t="s">
        <v>465</v>
      </c>
      <c r="G4" s="1117" t="str">
        <f t="shared" ref="G4:S4" si="0">B4</f>
        <v>Nos</v>
      </c>
      <c r="H4" s="1121" t="str">
        <f t="shared" si="0"/>
        <v>TRNSFR</v>
      </c>
      <c r="I4" s="1122" t="str">
        <f t="shared" si="0"/>
        <v>SALES</v>
      </c>
      <c r="J4" s="1122" t="str">
        <f t="shared" si="0"/>
        <v>SALARY RS.</v>
      </c>
      <c r="K4" s="1123" t="str">
        <f t="shared" si="0"/>
        <v>POWER</v>
      </c>
      <c r="L4" s="1117" t="str">
        <f t="shared" si="0"/>
        <v>Nos</v>
      </c>
      <c r="M4" s="1118" t="str">
        <f t="shared" si="0"/>
        <v>TRNSFR</v>
      </c>
      <c r="N4" s="1119" t="str">
        <f t="shared" si="0"/>
        <v>SALES</v>
      </c>
      <c r="O4" s="1119" t="str">
        <f t="shared" si="0"/>
        <v>SALARY RS.</v>
      </c>
      <c r="P4" s="1120" t="str">
        <f t="shared" si="0"/>
        <v>POWER</v>
      </c>
      <c r="Q4" s="1117" t="str">
        <f t="shared" si="0"/>
        <v>Nos</v>
      </c>
      <c r="R4" s="1118" t="str">
        <f t="shared" si="0"/>
        <v>TRNSFR</v>
      </c>
      <c r="S4" s="1119" t="str">
        <f t="shared" si="0"/>
        <v>SALES</v>
      </c>
      <c r="T4" s="1119" t="s">
        <v>466</v>
      </c>
      <c r="U4" s="1119" t="str">
        <f>O4</f>
        <v>SALARY RS.</v>
      </c>
      <c r="V4" s="1120" t="str">
        <f>P4</f>
        <v>POWER</v>
      </c>
      <c r="W4" s="1124" t="s">
        <v>0</v>
      </c>
      <c r="X4" s="1125" t="s">
        <v>467</v>
      </c>
      <c r="Y4" s="1125" t="s">
        <v>102</v>
      </c>
    </row>
    <row r="5" spans="1:25" ht="14.4" x14ac:dyDescent="0.3">
      <c r="A5" s="1512" t="s">
        <v>16</v>
      </c>
      <c r="B5" s="1114">
        <v>42</v>
      </c>
      <c r="C5" s="116">
        <v>87819.02</v>
      </c>
      <c r="D5" s="1">
        <v>69581.070000000007</v>
      </c>
      <c r="E5" s="53">
        <f>601393+63038+41615</f>
        <v>706046</v>
      </c>
      <c r="F5" s="99">
        <f>22500+7500</f>
        <v>30000</v>
      </c>
      <c r="G5" s="1114">
        <v>7</v>
      </c>
      <c r="H5" s="116">
        <v>21043.24</v>
      </c>
      <c r="I5" s="1">
        <v>23660.32</v>
      </c>
      <c r="J5" s="53">
        <f>99093+20900</f>
        <v>119993</v>
      </c>
      <c r="K5" s="99">
        <v>1976</v>
      </c>
      <c r="L5" s="1114"/>
      <c r="M5" s="116">
        <v>12781.26</v>
      </c>
      <c r="N5" s="1">
        <v>14792.48</v>
      </c>
      <c r="O5" s="53"/>
      <c r="P5" s="197"/>
      <c r="Q5" s="1114">
        <f>B5+G5+L5</f>
        <v>49</v>
      </c>
      <c r="R5" s="116">
        <f>C5+H5+M5</f>
        <v>121643.52</v>
      </c>
      <c r="S5" s="1">
        <f>D5+I5+N5</f>
        <v>108033.87000000001</v>
      </c>
      <c r="T5" s="53">
        <v>244002</v>
      </c>
      <c r="U5" s="53">
        <f t="shared" ref="U5:V16" si="1">E5+J5+O5</f>
        <v>826039</v>
      </c>
      <c r="V5" s="99">
        <f t="shared" si="1"/>
        <v>31976</v>
      </c>
      <c r="W5" s="8">
        <f>SUM(T5:V5)</f>
        <v>1102017</v>
      </c>
      <c r="X5" s="1002">
        <f>W5/R5</f>
        <v>9.0593974919502482</v>
      </c>
      <c r="Y5" s="1002">
        <f>W5/S5</f>
        <v>10.200662070145222</v>
      </c>
    </row>
    <row r="6" spans="1:25" ht="14.4" x14ac:dyDescent="0.3">
      <c r="A6" s="1512" t="s">
        <v>4</v>
      </c>
      <c r="B6" s="1114">
        <v>43</v>
      </c>
      <c r="C6" s="116">
        <v>83074.09</v>
      </c>
      <c r="D6" s="1">
        <v>50807.68</v>
      </c>
      <c r="E6" s="53">
        <f>595363+64215+41790</f>
        <v>701368</v>
      </c>
      <c r="F6" s="99">
        <f>22500+7500</f>
        <v>30000</v>
      </c>
      <c r="G6" s="1114">
        <v>7</v>
      </c>
      <c r="H6" s="116">
        <v>15244.78</v>
      </c>
      <c r="I6" s="1">
        <v>15780.98</v>
      </c>
      <c r="J6" s="53">
        <f>112323+20900</f>
        <v>133223</v>
      </c>
      <c r="K6" s="99">
        <v>1744</v>
      </c>
      <c r="L6" s="1114"/>
      <c r="M6" s="116">
        <v>12774.41</v>
      </c>
      <c r="N6" s="1">
        <v>40226.07</v>
      </c>
      <c r="O6" s="53"/>
      <c r="P6" s="197"/>
      <c r="Q6" s="1114">
        <f t="shared" ref="Q6:S16" si="2">B6+G6+L6</f>
        <v>50</v>
      </c>
      <c r="R6" s="116">
        <f t="shared" si="2"/>
        <v>111093.28</v>
      </c>
      <c r="S6" s="1">
        <f t="shared" si="2"/>
        <v>106814.73000000001</v>
      </c>
      <c r="T6" s="53">
        <v>35870</v>
      </c>
      <c r="U6" s="53">
        <f t="shared" si="1"/>
        <v>834591</v>
      </c>
      <c r="V6" s="99">
        <f t="shared" si="1"/>
        <v>31744</v>
      </c>
      <c r="W6" s="8">
        <f t="shared" ref="W6:W16" si="3">SUM(T6:V6)</f>
        <v>902205</v>
      </c>
      <c r="X6" s="1002">
        <f t="shared" ref="X6:X17" si="4">W6/R6</f>
        <v>8.121148281876275</v>
      </c>
      <c r="Y6" s="1002">
        <f t="shared" ref="Y6:Y17" si="5">W6/S6</f>
        <v>8.4464474141347345</v>
      </c>
    </row>
    <row r="7" spans="1:25" ht="14.4" x14ac:dyDescent="0.3">
      <c r="A7" s="1512" t="s">
        <v>17</v>
      </c>
      <c r="B7" s="1114">
        <v>40</v>
      </c>
      <c r="C7" s="116">
        <v>90167.91</v>
      </c>
      <c r="D7" s="1">
        <v>74484.38</v>
      </c>
      <c r="E7" s="53">
        <f>575554+62263+41580</f>
        <v>679397</v>
      </c>
      <c r="F7" s="99">
        <f>22500+7500</f>
        <v>30000</v>
      </c>
      <c r="G7" s="1114">
        <v>7</v>
      </c>
      <c r="H7" s="116">
        <v>23089.11</v>
      </c>
      <c r="I7" s="1">
        <v>25495.52</v>
      </c>
      <c r="J7" s="53">
        <f>95829+20900</f>
        <v>116729</v>
      </c>
      <c r="K7" s="99">
        <v>1985</v>
      </c>
      <c r="L7" s="1114"/>
      <c r="M7" s="116">
        <v>17240.080000000002</v>
      </c>
      <c r="N7" s="1">
        <v>22110.43</v>
      </c>
      <c r="O7" s="53"/>
      <c r="P7" s="197"/>
      <c r="Q7" s="1114">
        <f t="shared" si="2"/>
        <v>47</v>
      </c>
      <c r="R7" s="116">
        <f t="shared" si="2"/>
        <v>130497.1</v>
      </c>
      <c r="S7" s="1">
        <f t="shared" si="2"/>
        <v>122090.33000000002</v>
      </c>
      <c r="T7" s="53">
        <v>578644</v>
      </c>
      <c r="U7" s="53">
        <f t="shared" si="1"/>
        <v>796126</v>
      </c>
      <c r="V7" s="99">
        <f t="shared" si="1"/>
        <v>31985</v>
      </c>
      <c r="W7" s="8">
        <f t="shared" si="3"/>
        <v>1406755</v>
      </c>
      <c r="X7" s="1002">
        <f t="shared" si="4"/>
        <v>10.779971355685298</v>
      </c>
      <c r="Y7" s="1002">
        <f t="shared" si="5"/>
        <v>11.522247503139681</v>
      </c>
    </row>
    <row r="8" spans="1:25" ht="14.4" x14ac:dyDescent="0.3">
      <c r="A8" s="1512" t="s">
        <v>18</v>
      </c>
      <c r="B8" s="1114">
        <v>40</v>
      </c>
      <c r="C8" s="116">
        <v>96282.4</v>
      </c>
      <c r="D8" s="1">
        <v>51660.4</v>
      </c>
      <c r="E8" s="53">
        <f>480460+85210</f>
        <v>565670</v>
      </c>
      <c r="F8" s="99">
        <f t="shared" ref="F8:F16" si="6">22500+7500</f>
        <v>30000</v>
      </c>
      <c r="G8" s="1114">
        <v>7</v>
      </c>
      <c r="H8" s="116">
        <v>99320.7</v>
      </c>
      <c r="I8" s="1">
        <v>28852.3</v>
      </c>
      <c r="J8" s="53">
        <f>82789+20900</f>
        <v>103689</v>
      </c>
      <c r="K8" s="99">
        <v>1852</v>
      </c>
      <c r="L8" s="1114"/>
      <c r="M8" s="116">
        <v>63915.199999999997</v>
      </c>
      <c r="N8" s="1">
        <v>9979.7000000000007</v>
      </c>
      <c r="O8" s="53"/>
      <c r="P8" s="197"/>
      <c r="Q8" s="1114">
        <f t="shared" si="2"/>
        <v>47</v>
      </c>
      <c r="R8" s="116">
        <f t="shared" si="2"/>
        <v>259518.3</v>
      </c>
      <c r="S8" s="1">
        <f t="shared" si="2"/>
        <v>90492.4</v>
      </c>
      <c r="T8" s="53">
        <v>304265</v>
      </c>
      <c r="U8" s="53">
        <f t="shared" si="1"/>
        <v>669359</v>
      </c>
      <c r="V8" s="99">
        <f t="shared" si="1"/>
        <v>31852</v>
      </c>
      <c r="W8" s="8">
        <f t="shared" si="3"/>
        <v>1005476</v>
      </c>
      <c r="X8" s="1002">
        <f t="shared" si="4"/>
        <v>3.8743934435452143</v>
      </c>
      <c r="Y8" s="1002">
        <f t="shared" si="5"/>
        <v>11.111165136519753</v>
      </c>
    </row>
    <row r="9" spans="1:25" ht="14.4" x14ac:dyDescent="0.3">
      <c r="A9" s="1512" t="s">
        <v>19</v>
      </c>
      <c r="B9" s="1114">
        <v>41</v>
      </c>
      <c r="C9" s="116">
        <v>41901.9</v>
      </c>
      <c r="D9" s="1">
        <v>46325</v>
      </c>
      <c r="E9" s="53">
        <f>492521+85210</f>
        <v>577731</v>
      </c>
      <c r="F9" s="99">
        <f t="shared" si="6"/>
        <v>30000</v>
      </c>
      <c r="G9" s="1114">
        <v>7</v>
      </c>
      <c r="H9" s="116">
        <v>62924.2</v>
      </c>
      <c r="I9" s="1">
        <v>5887.5</v>
      </c>
      <c r="J9" s="53">
        <f>91563+20900</f>
        <v>112463</v>
      </c>
      <c r="K9" s="99">
        <v>1912</v>
      </c>
      <c r="L9" s="1114"/>
      <c r="M9" s="116">
        <v>8954.2999999999993</v>
      </c>
      <c r="N9" s="1">
        <v>3991.9</v>
      </c>
      <c r="O9" s="53"/>
      <c r="P9" s="197"/>
      <c r="Q9" s="1114">
        <f t="shared" si="2"/>
        <v>48</v>
      </c>
      <c r="R9" s="116">
        <f t="shared" si="2"/>
        <v>113780.40000000001</v>
      </c>
      <c r="S9" s="1">
        <f t="shared" si="2"/>
        <v>56204.4</v>
      </c>
      <c r="T9" s="53">
        <v>92238</v>
      </c>
      <c r="U9" s="53">
        <f t="shared" si="1"/>
        <v>690194</v>
      </c>
      <c r="V9" s="99">
        <f t="shared" si="1"/>
        <v>31912</v>
      </c>
      <c r="W9" s="8">
        <f t="shared" si="3"/>
        <v>814344</v>
      </c>
      <c r="X9" s="1002">
        <f t="shared" si="4"/>
        <v>7.1571553624350059</v>
      </c>
      <c r="Y9" s="1002">
        <f t="shared" si="5"/>
        <v>14.488972393620427</v>
      </c>
    </row>
    <row r="10" spans="1:25" ht="14.4" x14ac:dyDescent="0.3">
      <c r="A10" s="1512" t="s">
        <v>20</v>
      </c>
      <c r="B10" s="1114">
        <v>41</v>
      </c>
      <c r="C10" s="116">
        <v>46883.5</v>
      </c>
      <c r="D10" s="1">
        <v>46013.1</v>
      </c>
      <c r="E10" s="53">
        <f>492366+85210</f>
        <v>577576</v>
      </c>
      <c r="F10" s="99">
        <f t="shared" si="6"/>
        <v>30000</v>
      </c>
      <c r="G10" s="1114">
        <v>7</v>
      </c>
      <c r="H10" s="116">
        <v>62984.4</v>
      </c>
      <c r="I10" s="1">
        <v>29473.1</v>
      </c>
      <c r="J10" s="53">
        <f>89258+20900</f>
        <v>110158</v>
      </c>
      <c r="K10" s="99">
        <v>1920</v>
      </c>
      <c r="L10" s="1114"/>
      <c r="M10" s="116">
        <v>27352</v>
      </c>
      <c r="N10" s="1">
        <v>10959.7</v>
      </c>
      <c r="O10" s="53"/>
      <c r="P10" s="197"/>
      <c r="Q10" s="1114">
        <f t="shared" si="2"/>
        <v>48</v>
      </c>
      <c r="R10" s="116">
        <f t="shared" si="2"/>
        <v>137219.9</v>
      </c>
      <c r="S10" s="1">
        <f t="shared" si="2"/>
        <v>86445.9</v>
      </c>
      <c r="T10" s="53">
        <v>103650</v>
      </c>
      <c r="U10" s="53">
        <f t="shared" si="1"/>
        <v>687734</v>
      </c>
      <c r="V10" s="99">
        <f t="shared" si="1"/>
        <v>31920</v>
      </c>
      <c r="W10" s="8">
        <f t="shared" si="3"/>
        <v>823304</v>
      </c>
      <c r="X10" s="1002">
        <f t="shared" si="4"/>
        <v>5.9998877713800987</v>
      </c>
      <c r="Y10" s="1002">
        <f t="shared" si="5"/>
        <v>9.5239218979731834</v>
      </c>
    </row>
    <row r="11" spans="1:25" ht="14.4" x14ac:dyDescent="0.3">
      <c r="A11" s="1512" t="s">
        <v>13</v>
      </c>
      <c r="B11" s="1114">
        <v>39</v>
      </c>
      <c r="C11" s="116">
        <v>17380.8</v>
      </c>
      <c r="D11" s="1">
        <v>20504.400000000001</v>
      </c>
      <c r="E11" s="53">
        <f>448804+85210</f>
        <v>534014</v>
      </c>
      <c r="F11" s="99">
        <f t="shared" si="6"/>
        <v>30000</v>
      </c>
      <c r="G11" s="1114">
        <v>7</v>
      </c>
      <c r="H11" s="116">
        <v>32985.599999999999</v>
      </c>
      <c r="I11" s="1">
        <v>13596</v>
      </c>
      <c r="J11" s="53">
        <f>67006+20900</f>
        <v>87906</v>
      </c>
      <c r="K11" s="99">
        <v>1732</v>
      </c>
      <c r="L11" s="1114"/>
      <c r="M11" s="116">
        <v>3773</v>
      </c>
      <c r="N11" s="1">
        <v>5387.2</v>
      </c>
      <c r="O11" s="53"/>
      <c r="P11" s="197">
        <v>2896</v>
      </c>
      <c r="Q11" s="1114">
        <f t="shared" si="2"/>
        <v>46</v>
      </c>
      <c r="R11" s="116">
        <f t="shared" si="2"/>
        <v>54139.399999999994</v>
      </c>
      <c r="S11" s="1">
        <f t="shared" si="2"/>
        <v>39487.599999999999</v>
      </c>
      <c r="T11" s="53">
        <v>51238</v>
      </c>
      <c r="U11" s="53">
        <f t="shared" si="1"/>
        <v>621920</v>
      </c>
      <c r="V11" s="99">
        <f t="shared" si="1"/>
        <v>34628</v>
      </c>
      <c r="W11" s="8">
        <f t="shared" si="3"/>
        <v>707786</v>
      </c>
      <c r="X11" s="1002">
        <f t="shared" si="4"/>
        <v>13.073399409672071</v>
      </c>
      <c r="Y11" s="1002">
        <f t="shared" si="5"/>
        <v>17.924259767623255</v>
      </c>
    </row>
    <row r="12" spans="1:25" ht="14.4" x14ac:dyDescent="0.3">
      <c r="A12" s="1512" t="s">
        <v>5</v>
      </c>
      <c r="B12" s="1114">
        <v>25</v>
      </c>
      <c r="C12" s="116">
        <v>50631.7</v>
      </c>
      <c r="D12" s="1">
        <v>43143</v>
      </c>
      <c r="E12" s="53">
        <f>244643+85210</f>
        <v>329853</v>
      </c>
      <c r="F12" s="99">
        <f t="shared" si="6"/>
        <v>30000</v>
      </c>
      <c r="G12" s="1114">
        <v>5</v>
      </c>
      <c r="H12" s="116">
        <v>20397.599999999999</v>
      </c>
      <c r="I12" s="1">
        <v>4557.8</v>
      </c>
      <c r="J12" s="53">
        <f>46606+20900</f>
        <v>67506</v>
      </c>
      <c r="K12" s="99">
        <v>1888</v>
      </c>
      <c r="L12" s="1114"/>
      <c r="M12" s="116">
        <v>4837.5</v>
      </c>
      <c r="N12" s="1">
        <v>11394.8</v>
      </c>
      <c r="O12" s="53"/>
      <c r="P12" s="197">
        <v>969</v>
      </c>
      <c r="Q12" s="1114">
        <f t="shared" si="2"/>
        <v>30</v>
      </c>
      <c r="R12" s="116">
        <f t="shared" si="2"/>
        <v>75866.799999999988</v>
      </c>
      <c r="S12" s="1">
        <f t="shared" si="2"/>
        <v>59095.600000000006</v>
      </c>
      <c r="T12" s="53">
        <v>15920</v>
      </c>
      <c r="U12" s="53">
        <f t="shared" si="1"/>
        <v>397359</v>
      </c>
      <c r="V12" s="99">
        <f t="shared" si="1"/>
        <v>32857</v>
      </c>
      <c r="W12" s="8">
        <f t="shared" si="3"/>
        <v>446136</v>
      </c>
      <c r="X12" s="1002">
        <f t="shared" si="4"/>
        <v>5.8805169059456848</v>
      </c>
      <c r="Y12" s="1002">
        <f t="shared" si="5"/>
        <v>7.5493945403718712</v>
      </c>
    </row>
    <row r="13" spans="1:25" ht="14.4" x14ac:dyDescent="0.3">
      <c r="A13" s="1512" t="s">
        <v>6</v>
      </c>
      <c r="B13" s="1114">
        <v>24</v>
      </c>
      <c r="C13" s="116">
        <v>48488.6</v>
      </c>
      <c r="D13" s="1">
        <v>49645.2</v>
      </c>
      <c r="E13" s="53">
        <f>286437+47310</f>
        <v>333747</v>
      </c>
      <c r="F13" s="99">
        <f t="shared" si="6"/>
        <v>30000</v>
      </c>
      <c r="G13" s="1114">
        <v>4</v>
      </c>
      <c r="H13" s="116">
        <v>26929</v>
      </c>
      <c r="I13" s="1">
        <v>21985.4</v>
      </c>
      <c r="J13" s="53">
        <f>35506+20900</f>
        <v>56406</v>
      </c>
      <c r="K13" s="99">
        <v>1741</v>
      </c>
      <c r="L13" s="1114"/>
      <c r="M13" s="116">
        <v>18557.8</v>
      </c>
      <c r="N13" s="1">
        <v>9055.2000000000007</v>
      </c>
      <c r="O13" s="53"/>
      <c r="P13" s="197">
        <v>835</v>
      </c>
      <c r="Q13" s="1114">
        <f t="shared" si="2"/>
        <v>28</v>
      </c>
      <c r="R13" s="116">
        <f t="shared" si="2"/>
        <v>93975.400000000009</v>
      </c>
      <c r="S13" s="1">
        <f t="shared" si="2"/>
        <v>80685.8</v>
      </c>
      <c r="T13" s="53">
        <v>190768</v>
      </c>
      <c r="U13" s="53">
        <f t="shared" si="1"/>
        <v>390153</v>
      </c>
      <c r="V13" s="99">
        <f t="shared" si="1"/>
        <v>32576</v>
      </c>
      <c r="W13" s="8">
        <f t="shared" si="3"/>
        <v>613497</v>
      </c>
      <c r="X13" s="1002">
        <f t="shared" si="4"/>
        <v>6.5282722925361316</v>
      </c>
      <c r="Y13" s="1002">
        <f t="shared" si="5"/>
        <v>7.6035312285433125</v>
      </c>
    </row>
    <row r="14" spans="1:25" ht="14.4" x14ac:dyDescent="0.3">
      <c r="A14" s="1512" t="s">
        <v>7</v>
      </c>
      <c r="B14" s="1114">
        <v>23</v>
      </c>
      <c r="C14" s="116">
        <v>27711.7</v>
      </c>
      <c r="D14" s="1">
        <v>40062.1</v>
      </c>
      <c r="E14" s="53">
        <f>277768+34730</f>
        <v>312498</v>
      </c>
      <c r="F14" s="99">
        <f t="shared" si="6"/>
        <v>30000</v>
      </c>
      <c r="G14" s="1114">
        <v>4</v>
      </c>
      <c r="H14" s="116">
        <v>23718.400000000001</v>
      </c>
      <c r="I14" s="1">
        <v>12440.7</v>
      </c>
      <c r="J14" s="53">
        <f>39730+20900</f>
        <v>60630</v>
      </c>
      <c r="K14" s="99">
        <v>1887</v>
      </c>
      <c r="L14" s="1114"/>
      <c r="M14" s="116">
        <v>18305.7</v>
      </c>
      <c r="N14" s="1">
        <v>26467.1</v>
      </c>
      <c r="O14" s="53"/>
      <c r="P14" s="197">
        <v>917</v>
      </c>
      <c r="Q14" s="1114">
        <f t="shared" si="2"/>
        <v>27</v>
      </c>
      <c r="R14" s="116">
        <f t="shared" si="2"/>
        <v>69735.8</v>
      </c>
      <c r="S14" s="1">
        <f t="shared" si="2"/>
        <v>78969.899999999994</v>
      </c>
      <c r="T14" s="53">
        <v>200351</v>
      </c>
      <c r="U14" s="53">
        <f t="shared" si="1"/>
        <v>373128</v>
      </c>
      <c r="V14" s="99">
        <f t="shared" si="1"/>
        <v>32804</v>
      </c>
      <c r="W14" s="8">
        <f t="shared" si="3"/>
        <v>606283</v>
      </c>
      <c r="X14" s="1002">
        <f t="shared" si="4"/>
        <v>8.6939993518393699</v>
      </c>
      <c r="Y14" s="1002">
        <f t="shared" si="5"/>
        <v>7.6773935385507652</v>
      </c>
    </row>
    <row r="15" spans="1:25" ht="14.4" x14ac:dyDescent="0.3">
      <c r="A15" s="1512" t="s">
        <v>8</v>
      </c>
      <c r="B15" s="1114">
        <v>23</v>
      </c>
      <c r="C15" s="116">
        <v>31596.7</v>
      </c>
      <c r="D15" s="1">
        <f>57675.7+2475</f>
        <v>60150.7</v>
      </c>
      <c r="E15" s="53">
        <f>291694+47310</f>
        <v>339004</v>
      </c>
      <c r="F15" s="99">
        <f t="shared" si="6"/>
        <v>30000</v>
      </c>
      <c r="G15" s="1114">
        <v>5</v>
      </c>
      <c r="H15" s="116">
        <v>33339.199999999997</v>
      </c>
      <c r="I15" s="1">
        <v>17302.099999999999</v>
      </c>
      <c r="J15" s="53">
        <f>48366+20900</f>
        <v>69266</v>
      </c>
      <c r="K15" s="99">
        <v>1828</v>
      </c>
      <c r="L15" s="1114"/>
      <c r="M15" s="116">
        <v>2990.6</v>
      </c>
      <c r="N15" s="1">
        <v>12772</v>
      </c>
      <c r="O15" s="53"/>
      <c r="P15" s="197">
        <v>800</v>
      </c>
      <c r="Q15" s="1114">
        <f t="shared" si="2"/>
        <v>28</v>
      </c>
      <c r="R15" s="116">
        <f t="shared" si="2"/>
        <v>67926.5</v>
      </c>
      <c r="S15" s="1">
        <f t="shared" si="2"/>
        <v>90224.799999999988</v>
      </c>
      <c r="T15" s="53">
        <v>32720</v>
      </c>
      <c r="U15" s="53">
        <f t="shared" si="1"/>
        <v>408270</v>
      </c>
      <c r="V15" s="99">
        <f t="shared" si="1"/>
        <v>32628</v>
      </c>
      <c r="W15" s="8">
        <f t="shared" si="3"/>
        <v>473618</v>
      </c>
      <c r="X15" s="1002">
        <f t="shared" si="4"/>
        <v>6.972507048059299</v>
      </c>
      <c r="Y15" s="1002">
        <f t="shared" si="5"/>
        <v>5.2493106108298386</v>
      </c>
    </row>
    <row r="16" spans="1:25" ht="14.4" x14ac:dyDescent="0.3">
      <c r="A16" s="1512" t="s">
        <v>9</v>
      </c>
      <c r="B16" s="1114">
        <v>23</v>
      </c>
      <c r="C16" s="116">
        <v>37198.300000000003</v>
      </c>
      <c r="D16" s="1">
        <f>73583.4+6700.8</f>
        <v>80284.2</v>
      </c>
      <c r="E16" s="53">
        <f>282271+47310</f>
        <v>329581</v>
      </c>
      <c r="F16" s="99">
        <f t="shared" si="6"/>
        <v>30000</v>
      </c>
      <c r="G16" s="1114">
        <v>5</v>
      </c>
      <c r="H16" s="116">
        <v>31984.2</v>
      </c>
      <c r="I16" s="1">
        <v>35139.599999999999</v>
      </c>
      <c r="J16" s="53">
        <f>58330+20900</f>
        <v>79230</v>
      </c>
      <c r="K16" s="99">
        <v>2121</v>
      </c>
      <c r="L16" s="1114"/>
      <c r="M16" s="116">
        <v>1849</v>
      </c>
      <c r="N16" s="1">
        <v>3880.4</v>
      </c>
      <c r="O16" s="53"/>
      <c r="P16" s="197">
        <v>835</v>
      </c>
      <c r="Q16" s="1114">
        <f t="shared" si="2"/>
        <v>28</v>
      </c>
      <c r="R16" s="116">
        <f t="shared" si="2"/>
        <v>71031.5</v>
      </c>
      <c r="S16" s="1">
        <f t="shared" si="2"/>
        <v>119304.19999999998</v>
      </c>
      <c r="T16" s="53">
        <v>238800</v>
      </c>
      <c r="U16" s="53">
        <f t="shared" si="1"/>
        <v>408811</v>
      </c>
      <c r="V16" s="99">
        <f t="shared" si="1"/>
        <v>32956</v>
      </c>
      <c r="W16" s="8">
        <f t="shared" si="3"/>
        <v>680567</v>
      </c>
      <c r="X16" s="1002">
        <f t="shared" si="4"/>
        <v>9.5811998901895645</v>
      </c>
      <c r="Y16" s="1002">
        <f t="shared" si="5"/>
        <v>5.7044680740493634</v>
      </c>
    </row>
    <row r="17" spans="1:25" ht="15" thickBot="1" x14ac:dyDescent="0.35">
      <c r="A17" s="1126" t="s">
        <v>101</v>
      </c>
      <c r="B17" s="1127"/>
      <c r="C17" s="1128">
        <f t="shared" ref="C17:V17" si="7">SUM(C5:C16)</f>
        <v>659136.62</v>
      </c>
      <c r="D17" s="1129">
        <f t="shared" si="7"/>
        <v>632661.23</v>
      </c>
      <c r="E17" s="1130">
        <f t="shared" si="7"/>
        <v>5986485</v>
      </c>
      <c r="F17" s="1131">
        <f t="shared" si="7"/>
        <v>360000</v>
      </c>
      <c r="G17" s="1127"/>
      <c r="H17" s="1128">
        <f t="shared" si="7"/>
        <v>453960.43000000005</v>
      </c>
      <c r="I17" s="1129">
        <f t="shared" si="7"/>
        <v>234171.32</v>
      </c>
      <c r="J17" s="1130">
        <f t="shared" si="7"/>
        <v>1117199</v>
      </c>
      <c r="K17" s="1131">
        <f t="shared" si="7"/>
        <v>22586</v>
      </c>
      <c r="L17" s="1127"/>
      <c r="M17" s="1128">
        <f t="shared" si="7"/>
        <v>193330.85</v>
      </c>
      <c r="N17" s="1129">
        <f t="shared" si="7"/>
        <v>171016.97999999998</v>
      </c>
      <c r="O17" s="1130">
        <f t="shared" si="7"/>
        <v>0</v>
      </c>
      <c r="P17" s="1131">
        <f t="shared" si="7"/>
        <v>7252</v>
      </c>
      <c r="Q17" s="1127"/>
      <c r="R17" s="1128">
        <f t="shared" si="7"/>
        <v>1306427.8999999999</v>
      </c>
      <c r="S17" s="1129">
        <f t="shared" si="7"/>
        <v>1037849.53</v>
      </c>
      <c r="T17" s="1130">
        <f>SUM(T5:T16)</f>
        <v>2088466</v>
      </c>
      <c r="U17" s="1130">
        <f t="shared" si="7"/>
        <v>7103684</v>
      </c>
      <c r="V17" s="1131">
        <f t="shared" si="7"/>
        <v>389838</v>
      </c>
      <c r="W17" s="1132">
        <f>SUM(T17:V17)</f>
        <v>9581988</v>
      </c>
      <c r="X17" s="1132">
        <f t="shared" si="4"/>
        <v>7.3344943107843923</v>
      </c>
      <c r="Y17" s="1132">
        <f t="shared" si="5"/>
        <v>9.2325406747546541</v>
      </c>
    </row>
    <row r="18" spans="1:25" ht="14.4" x14ac:dyDescent="0.3">
      <c r="R18" s="1002"/>
      <c r="S18" t="s">
        <v>467</v>
      </c>
      <c r="T18" s="1002">
        <f>T17/R17</f>
        <v>1.598607929300959</v>
      </c>
      <c r="U18" s="1133">
        <f>U17/R17</f>
        <v>5.4374864468219029</v>
      </c>
      <c r="V18" s="1133">
        <f>V17/R17</f>
        <v>0.29839993466153014</v>
      </c>
      <c r="X18" s="8">
        <f>SUM(T18:W18)</f>
        <v>7.3344943107843923</v>
      </c>
    </row>
    <row r="19" spans="1:25" ht="14.4" x14ac:dyDescent="0.3">
      <c r="R19" s="1002"/>
      <c r="S19" t="s">
        <v>468</v>
      </c>
      <c r="T19" s="1002">
        <f>T17/S17</f>
        <v>2.0123013400603456</v>
      </c>
      <c r="U19" s="1133">
        <f>U17/S17</f>
        <v>6.8446184101466034</v>
      </c>
      <c r="V19" s="1133">
        <f>V17/S17</f>
        <v>0.37562092454770396</v>
      </c>
      <c r="X19" s="8">
        <f>SUM(T19:W19)</f>
        <v>9.2325406747546523</v>
      </c>
    </row>
    <row r="22" spans="1:25" ht="15" thickBot="1" x14ac:dyDescent="0.35">
      <c r="A22" s="3342" t="s">
        <v>469</v>
      </c>
      <c r="B22" s="3342"/>
      <c r="C22" s="3342"/>
      <c r="D22" s="3342"/>
      <c r="E22" s="3342"/>
      <c r="F22" s="3342"/>
      <c r="G22" s="3342"/>
      <c r="H22" s="3342"/>
      <c r="I22" s="3342"/>
      <c r="J22" s="3342"/>
      <c r="K22" s="3342"/>
      <c r="L22" s="3342"/>
      <c r="M22" s="3342"/>
      <c r="N22" s="3342"/>
      <c r="O22" s="3342"/>
      <c r="P22" s="3342"/>
      <c r="Q22" s="3342"/>
      <c r="R22" s="3342"/>
      <c r="S22" s="3342"/>
      <c r="T22" s="3342"/>
      <c r="U22" s="3342"/>
      <c r="V22" s="3342"/>
    </row>
    <row r="23" spans="1:25" ht="14.4" x14ac:dyDescent="0.3">
      <c r="A23" s="1115" t="s">
        <v>458</v>
      </c>
      <c r="B23" s="3339" t="s">
        <v>459</v>
      </c>
      <c r="C23" s="3340"/>
      <c r="D23" s="3340"/>
      <c r="E23" s="3340"/>
      <c r="F23" s="3341"/>
      <c r="G23" s="3339" t="s">
        <v>460</v>
      </c>
      <c r="H23" s="3340"/>
      <c r="I23" s="3340"/>
      <c r="J23" s="3340"/>
      <c r="K23" s="3341"/>
      <c r="L23" s="3339" t="s">
        <v>461</v>
      </c>
      <c r="M23" s="3340"/>
      <c r="N23" s="3340"/>
      <c r="O23" s="3340"/>
      <c r="P23" s="3341"/>
      <c r="Q23" s="3339" t="s">
        <v>101</v>
      </c>
      <c r="R23" s="3340"/>
      <c r="S23" s="3340"/>
      <c r="T23" s="3340"/>
      <c r="U23" s="3341"/>
    </row>
    <row r="24" spans="1:25" ht="14.4" x14ac:dyDescent="0.3">
      <c r="A24" s="1116" t="s">
        <v>375</v>
      </c>
      <c r="B24" s="1117" t="s">
        <v>536</v>
      </c>
      <c r="C24" s="1121" t="s">
        <v>537</v>
      </c>
      <c r="D24" s="1122" t="s">
        <v>538</v>
      </c>
      <c r="E24" s="1122" t="s">
        <v>464</v>
      </c>
      <c r="F24" s="1123" t="s">
        <v>465</v>
      </c>
      <c r="G24" s="1117" t="s">
        <v>536</v>
      </c>
      <c r="H24" s="1121" t="s">
        <v>537</v>
      </c>
      <c r="I24" s="1122" t="s">
        <v>538</v>
      </c>
      <c r="J24" s="1122" t="s">
        <v>464</v>
      </c>
      <c r="K24" s="1123" t="s">
        <v>465</v>
      </c>
      <c r="L24" s="1117" t="s">
        <v>536</v>
      </c>
      <c r="M24" s="1121" t="s">
        <v>537</v>
      </c>
      <c r="N24" s="1122" t="s">
        <v>538</v>
      </c>
      <c r="O24" s="1122" t="s">
        <v>464</v>
      </c>
      <c r="P24" s="1123" t="s">
        <v>465</v>
      </c>
      <c r="Q24" s="1117" t="s">
        <v>536</v>
      </c>
      <c r="R24" s="1121" t="s">
        <v>537</v>
      </c>
      <c r="S24" s="1122" t="s">
        <v>463</v>
      </c>
      <c r="T24" s="1122" t="s">
        <v>466</v>
      </c>
      <c r="U24" s="1122" t="s">
        <v>464</v>
      </c>
      <c r="V24" s="1123" t="s">
        <v>465</v>
      </c>
      <c r="W24" s="1124" t="s">
        <v>0</v>
      </c>
      <c r="X24" s="1125" t="s">
        <v>467</v>
      </c>
      <c r="Y24" s="1125" t="s">
        <v>102</v>
      </c>
    </row>
    <row r="25" spans="1:25" ht="14.4" x14ac:dyDescent="0.3">
      <c r="A25" s="1512" t="s">
        <v>16</v>
      </c>
      <c r="B25" s="1114">
        <f>14+3+1+8</f>
        <v>26</v>
      </c>
      <c r="C25" s="116">
        <f>60406+2899.9+21703.7+13731.3+18598.3+2570.1</f>
        <v>119909.30000000002</v>
      </c>
      <c r="D25" s="1">
        <v>82394.100000000006</v>
      </c>
      <c r="E25" s="53">
        <f>413948+20900</f>
        <v>434848</v>
      </c>
      <c r="F25" s="99">
        <f>22500+7500</f>
        <v>30000</v>
      </c>
      <c r="G25" s="1114">
        <v>4</v>
      </c>
      <c r="H25" s="116">
        <f>18598.3+32906.8+21703.7</f>
        <v>73208.800000000003</v>
      </c>
      <c r="I25" s="1">
        <v>6287.1</v>
      </c>
      <c r="J25" s="53">
        <v>66450</v>
      </c>
      <c r="K25" s="99">
        <v>2112</v>
      </c>
      <c r="L25" s="1114"/>
      <c r="M25" s="116">
        <f>32906.8+13571.3</f>
        <v>46478.100000000006</v>
      </c>
      <c r="N25" s="1"/>
      <c r="O25" s="53"/>
      <c r="P25" s="197">
        <v>800</v>
      </c>
      <c r="Q25" s="1114">
        <f>B25+G25+L25</f>
        <v>30</v>
      </c>
      <c r="R25" s="116">
        <f>C25+H25+M25</f>
        <v>239596.20000000004</v>
      </c>
      <c r="S25" s="1">
        <f>D25+I25+N25</f>
        <v>88681.200000000012</v>
      </c>
      <c r="T25" s="53">
        <v>146512</v>
      </c>
      <c r="U25" s="53">
        <f t="shared" ref="U25:U36" si="8">E25+J25+O25</f>
        <v>501298</v>
      </c>
      <c r="V25" s="99">
        <f t="shared" ref="V25:V36" si="9">F25+K25+P25</f>
        <v>32912</v>
      </c>
      <c r="W25" s="8">
        <f>SUM(T25:V25)</f>
        <v>680722</v>
      </c>
      <c r="X25" s="1002">
        <f>W25/R25</f>
        <v>2.8411218541863348</v>
      </c>
      <c r="Y25" s="1002">
        <f>W25/S25</f>
        <v>7.6760576086024983</v>
      </c>
    </row>
    <row r="26" spans="1:25" ht="14.4" x14ac:dyDescent="0.3">
      <c r="A26" s="1512" t="s">
        <v>4</v>
      </c>
      <c r="B26" s="1114">
        <f>14+3+1+8</f>
        <v>26</v>
      </c>
      <c r="C26" s="116">
        <f>66959.8+3293.6+20758.4+5098.3+13550.6+2175.9+3287.8</f>
        <v>115124.40000000002</v>
      </c>
      <c r="D26" s="1">
        <v>72480</v>
      </c>
      <c r="E26" s="53">
        <f>396309+20900</f>
        <v>417209</v>
      </c>
      <c r="F26" s="99">
        <f>22500+7500</f>
        <v>30000</v>
      </c>
      <c r="G26" s="1114">
        <v>3</v>
      </c>
      <c r="H26" s="116">
        <f>13550.6+27109.6+20758.4</f>
        <v>61418.6</v>
      </c>
      <c r="I26" s="1">
        <v>12315.4</v>
      </c>
      <c r="J26" s="53">
        <v>47500</v>
      </c>
      <c r="K26" s="99">
        <v>2857</v>
      </c>
      <c r="L26" s="1114"/>
      <c r="M26" s="116">
        <f>2175.9+27109.6+5098.3</f>
        <v>34383.800000000003</v>
      </c>
      <c r="N26" s="1">
        <v>2682.3</v>
      </c>
      <c r="O26" s="53"/>
      <c r="P26" s="197">
        <v>1513</v>
      </c>
      <c r="Q26" s="1114">
        <f t="shared" ref="Q26:S36" si="10">B26+G26+L26</f>
        <v>29</v>
      </c>
      <c r="R26" s="116">
        <f t="shared" si="10"/>
        <v>210926.80000000005</v>
      </c>
      <c r="S26" s="1">
        <f t="shared" si="10"/>
        <v>87477.7</v>
      </c>
      <c r="T26" s="53">
        <v>146512</v>
      </c>
      <c r="U26" s="53">
        <f t="shared" si="8"/>
        <v>464709</v>
      </c>
      <c r="V26" s="99">
        <f t="shared" si="9"/>
        <v>34370</v>
      </c>
      <c r="W26" s="8">
        <f t="shared" ref="W26:W36" si="11">SUM(T26:V26)</f>
        <v>645591</v>
      </c>
      <c r="X26" s="1002">
        <f t="shared" ref="X26:X37" si="12">W26/R26</f>
        <v>3.0607348141630171</v>
      </c>
      <c r="Y26" s="1002">
        <f t="shared" ref="Y26:Y37" si="13">W26/S26</f>
        <v>7.3800637190964098</v>
      </c>
    </row>
    <row r="27" spans="1:25" ht="14.4" x14ac:dyDescent="0.3">
      <c r="A27" s="1512" t="s">
        <v>17</v>
      </c>
      <c r="B27" s="1114">
        <f>14+3+1+7</f>
        <v>25</v>
      </c>
      <c r="C27" s="116">
        <f>73336+7645.3+15793+216.6+21654.6+3213.5</f>
        <v>121859</v>
      </c>
      <c r="D27" s="1">
        <v>76157</v>
      </c>
      <c r="E27" s="53">
        <f>398443+20900</f>
        <v>419343</v>
      </c>
      <c r="F27" s="99">
        <f>22500+7500</f>
        <v>30000</v>
      </c>
      <c r="G27" s="1114">
        <v>3</v>
      </c>
      <c r="H27" s="116">
        <f>21654.1</f>
        <v>21654.1</v>
      </c>
      <c r="I27" s="1">
        <v>17772.900000000001</v>
      </c>
      <c r="J27" s="53">
        <v>47319</v>
      </c>
      <c r="K27" s="99">
        <v>2333</v>
      </c>
      <c r="L27" s="1114"/>
      <c r="M27" s="116">
        <v>216.6</v>
      </c>
      <c r="N27" s="1">
        <v>109.1</v>
      </c>
      <c r="O27" s="53"/>
      <c r="P27" s="197">
        <v>1229</v>
      </c>
      <c r="Q27" s="1114">
        <f t="shared" si="10"/>
        <v>28</v>
      </c>
      <c r="R27" s="116">
        <f t="shared" si="10"/>
        <v>143729.70000000001</v>
      </c>
      <c r="S27" s="1">
        <f t="shared" si="10"/>
        <v>94039</v>
      </c>
      <c r="T27" s="53">
        <v>146512</v>
      </c>
      <c r="U27" s="53">
        <f t="shared" si="8"/>
        <v>466662</v>
      </c>
      <c r="V27" s="99">
        <f t="shared" si="9"/>
        <v>33562</v>
      </c>
      <c r="W27" s="8">
        <f t="shared" si="11"/>
        <v>646736</v>
      </c>
      <c r="X27" s="1002">
        <f t="shared" si="12"/>
        <v>4.4996684749220233</v>
      </c>
      <c r="Y27" s="1002">
        <f t="shared" si="13"/>
        <v>6.8773168578993822</v>
      </c>
    </row>
    <row r="28" spans="1:25" ht="14.4" x14ac:dyDescent="0.3">
      <c r="A28" s="1512" t="s">
        <v>18</v>
      </c>
      <c r="B28" s="1114">
        <f>22+1</f>
        <v>23</v>
      </c>
      <c r="C28" s="116">
        <f>72738.4+19831+22805.8+587.4</f>
        <v>115962.59999999999</v>
      </c>
      <c r="D28" s="1">
        <v>87248.6</v>
      </c>
      <c r="E28" s="53">
        <f>365486+20900</f>
        <v>386386</v>
      </c>
      <c r="F28" s="99">
        <v>30000</v>
      </c>
      <c r="G28" s="1114">
        <v>3</v>
      </c>
      <c r="H28" s="116">
        <v>22805.8</v>
      </c>
      <c r="I28" s="1">
        <v>872.6</v>
      </c>
      <c r="J28" s="53">
        <f>46821</f>
        <v>46821</v>
      </c>
      <c r="K28" s="99">
        <v>2740</v>
      </c>
      <c r="L28" s="1114"/>
      <c r="M28" s="116"/>
      <c r="N28" s="1"/>
      <c r="O28" s="53"/>
      <c r="P28" s="197">
        <v>1308</v>
      </c>
      <c r="Q28" s="1114">
        <f t="shared" si="10"/>
        <v>26</v>
      </c>
      <c r="R28" s="116">
        <f t="shared" si="10"/>
        <v>138768.4</v>
      </c>
      <c r="S28" s="1">
        <f t="shared" si="10"/>
        <v>88121.200000000012</v>
      </c>
      <c r="T28" s="53">
        <v>146512</v>
      </c>
      <c r="U28" s="53">
        <f t="shared" si="8"/>
        <v>433207</v>
      </c>
      <c r="V28" s="99">
        <f t="shared" si="9"/>
        <v>34048</v>
      </c>
      <c r="W28" s="8">
        <f t="shared" si="11"/>
        <v>613767</v>
      </c>
      <c r="X28" s="1002">
        <f t="shared" si="12"/>
        <v>4.4229594057436712</v>
      </c>
      <c r="Y28" s="1002">
        <f t="shared" si="13"/>
        <v>6.9650322510360718</v>
      </c>
    </row>
    <row r="29" spans="1:25" ht="14.4" x14ac:dyDescent="0.3">
      <c r="A29" s="1512" t="s">
        <v>19</v>
      </c>
      <c r="B29" s="1114">
        <f>22+1</f>
        <v>23</v>
      </c>
      <c r="C29" s="116">
        <f>77595.2+21760.6+25107.9+412</f>
        <v>124875.69999999998</v>
      </c>
      <c r="D29" s="1">
        <v>80482.899999999994</v>
      </c>
      <c r="E29" s="53">
        <f>358991+20900</f>
        <v>379891</v>
      </c>
      <c r="F29" s="99">
        <v>30000</v>
      </c>
      <c r="G29" s="1114">
        <v>3</v>
      </c>
      <c r="H29" s="116">
        <v>9514.2999999999993</v>
      </c>
      <c r="I29" s="1">
        <v>31842.9</v>
      </c>
      <c r="J29" s="53">
        <v>44506</v>
      </c>
      <c r="K29" s="99">
        <v>2598</v>
      </c>
      <c r="L29" s="1114"/>
      <c r="M29" s="116"/>
      <c r="N29" s="1"/>
      <c r="O29" s="53"/>
      <c r="P29" s="197">
        <v>1253</v>
      </c>
      <c r="Q29" s="1114">
        <f t="shared" si="10"/>
        <v>26</v>
      </c>
      <c r="R29" s="116">
        <f t="shared" si="10"/>
        <v>134389.99999999997</v>
      </c>
      <c r="S29" s="1">
        <f t="shared" si="10"/>
        <v>112325.79999999999</v>
      </c>
      <c r="T29" s="53">
        <v>146512</v>
      </c>
      <c r="U29" s="53">
        <f t="shared" si="8"/>
        <v>424397</v>
      </c>
      <c r="V29" s="99">
        <f t="shared" si="9"/>
        <v>33851</v>
      </c>
      <c r="W29" s="8">
        <f t="shared" si="11"/>
        <v>604760</v>
      </c>
      <c r="X29" s="1002">
        <f t="shared" si="12"/>
        <v>4.5000372051491935</v>
      </c>
      <c r="Y29" s="1002">
        <f t="shared" si="13"/>
        <v>5.3839812402849576</v>
      </c>
    </row>
    <row r="30" spans="1:25" ht="14.4" x14ac:dyDescent="0.3">
      <c r="A30" s="1512" t="s">
        <v>20</v>
      </c>
      <c r="B30" s="1114">
        <f>22+1</f>
        <v>23</v>
      </c>
      <c r="C30" s="116">
        <f>74073.6+10232+13363.9</f>
        <v>97669.5</v>
      </c>
      <c r="D30" s="1">
        <v>60188.5</v>
      </c>
      <c r="E30" s="53">
        <f>365121+20900</f>
        <v>386021</v>
      </c>
      <c r="F30" s="99">
        <v>30000</v>
      </c>
      <c r="G30" s="1114">
        <v>3</v>
      </c>
      <c r="H30" s="116">
        <f>38164.3+4929.2</f>
        <v>43093.5</v>
      </c>
      <c r="I30" s="1">
        <v>13281.6</v>
      </c>
      <c r="J30" s="53">
        <v>41470</v>
      </c>
      <c r="K30" s="99">
        <v>2516</v>
      </c>
      <c r="L30" s="1114"/>
      <c r="M30" s="116">
        <v>831.7</v>
      </c>
      <c r="N30" s="1"/>
      <c r="O30" s="53"/>
      <c r="P30" s="197">
        <v>1219</v>
      </c>
      <c r="Q30" s="1114">
        <f t="shared" si="10"/>
        <v>26</v>
      </c>
      <c r="R30" s="116">
        <f t="shared" si="10"/>
        <v>141594.70000000001</v>
      </c>
      <c r="S30" s="1">
        <f t="shared" si="10"/>
        <v>73470.100000000006</v>
      </c>
      <c r="T30" s="53">
        <v>146512</v>
      </c>
      <c r="U30" s="53">
        <f t="shared" si="8"/>
        <v>427491</v>
      </c>
      <c r="V30" s="99">
        <f t="shared" si="9"/>
        <v>33735</v>
      </c>
      <c r="W30" s="8">
        <f t="shared" si="11"/>
        <v>607738</v>
      </c>
      <c r="X30" s="1002">
        <f t="shared" si="12"/>
        <v>4.292095678722438</v>
      </c>
      <c r="Y30" s="1002">
        <f t="shared" si="13"/>
        <v>8.2719092528797429</v>
      </c>
    </row>
    <row r="31" spans="1:25" ht="14.4" x14ac:dyDescent="0.3">
      <c r="A31" s="1512" t="s">
        <v>13</v>
      </c>
      <c r="B31" s="1114">
        <f>22+1</f>
        <v>23</v>
      </c>
      <c r="C31" s="116">
        <f>64094.4+10787.5+17610.1</f>
        <v>92492</v>
      </c>
      <c r="D31" s="1">
        <v>56303</v>
      </c>
      <c r="E31" s="53">
        <f>350938+20900</f>
        <v>371838</v>
      </c>
      <c r="F31" s="99">
        <v>30000</v>
      </c>
      <c r="G31" s="1114">
        <v>2</v>
      </c>
      <c r="H31" s="116">
        <v>44384.1</v>
      </c>
      <c r="I31" s="1">
        <v>3034</v>
      </c>
      <c r="J31" s="53">
        <v>31386</v>
      </c>
      <c r="K31" s="99">
        <v>2686</v>
      </c>
      <c r="L31" s="1114"/>
      <c r="M31" s="116"/>
      <c r="N31" s="1"/>
      <c r="O31" s="53"/>
      <c r="P31" s="197"/>
      <c r="Q31" s="1114">
        <f t="shared" si="10"/>
        <v>25</v>
      </c>
      <c r="R31" s="116">
        <f t="shared" si="10"/>
        <v>136876.1</v>
      </c>
      <c r="S31" s="1">
        <f t="shared" si="10"/>
        <v>59337</v>
      </c>
      <c r="T31" s="53">
        <v>146512</v>
      </c>
      <c r="U31" s="53">
        <f t="shared" si="8"/>
        <v>403224</v>
      </c>
      <c r="V31" s="99">
        <f t="shared" si="9"/>
        <v>32686</v>
      </c>
      <c r="W31" s="8">
        <f t="shared" si="11"/>
        <v>582422</v>
      </c>
      <c r="X31" s="1002">
        <f t="shared" si="12"/>
        <v>4.2551037032761743</v>
      </c>
      <c r="Y31" s="1002">
        <f t="shared" si="13"/>
        <v>9.815494548089724</v>
      </c>
    </row>
    <row r="32" spans="1:25" ht="14.4" x14ac:dyDescent="0.3">
      <c r="A32" s="1512" t="s">
        <v>5</v>
      </c>
      <c r="B32" s="1114">
        <f>21+1</f>
        <v>22</v>
      </c>
      <c r="C32" s="116">
        <f>58519.2+5119.1+17022.7</f>
        <v>80661</v>
      </c>
      <c r="D32" s="1">
        <v>47577.4</v>
      </c>
      <c r="E32" s="53">
        <f>323742+20900</f>
        <v>344642</v>
      </c>
      <c r="F32" s="99">
        <v>30000</v>
      </c>
      <c r="G32" s="1114">
        <v>3</v>
      </c>
      <c r="H32" s="116">
        <v>32470.5</v>
      </c>
      <c r="I32" s="1">
        <v>22584.5</v>
      </c>
      <c r="J32" s="53">
        <v>44129</v>
      </c>
      <c r="K32" s="99">
        <v>2494</v>
      </c>
      <c r="L32" s="1114"/>
      <c r="M32" s="116"/>
      <c r="N32" s="1"/>
      <c r="O32" s="53"/>
      <c r="P32" s="197"/>
      <c r="Q32" s="1114">
        <f t="shared" si="10"/>
        <v>25</v>
      </c>
      <c r="R32" s="116">
        <f t="shared" si="10"/>
        <v>113131.5</v>
      </c>
      <c r="S32" s="1">
        <f t="shared" si="10"/>
        <v>70161.899999999994</v>
      </c>
      <c r="T32" s="53">
        <v>146512</v>
      </c>
      <c r="U32" s="53">
        <f t="shared" si="8"/>
        <v>388771</v>
      </c>
      <c r="V32" s="99">
        <f t="shared" si="9"/>
        <v>32494</v>
      </c>
      <c r="W32" s="8">
        <f t="shared" si="11"/>
        <v>567777</v>
      </c>
      <c r="X32" s="1002">
        <f t="shared" si="12"/>
        <v>5.0187348351254952</v>
      </c>
      <c r="Y32" s="1002">
        <f t="shared" si="13"/>
        <v>8.0923834730815454</v>
      </c>
    </row>
    <row r="33" spans="1:25" ht="14.4" x14ac:dyDescent="0.3">
      <c r="A33" s="1512" t="s">
        <v>6</v>
      </c>
      <c r="B33" s="1114">
        <f>20+1</f>
        <v>21</v>
      </c>
      <c r="C33" s="116">
        <f>73749.8+8400.2+17932.5</f>
        <v>100082.5</v>
      </c>
      <c r="D33" s="1">
        <v>71337.5</v>
      </c>
      <c r="E33" s="53">
        <f>310028+20900</f>
        <v>330928</v>
      </c>
      <c r="F33" s="99">
        <v>30000</v>
      </c>
      <c r="G33" s="1114">
        <v>3</v>
      </c>
      <c r="H33" s="116">
        <v>35689.800000000003</v>
      </c>
      <c r="I33" s="1">
        <v>14752.9</v>
      </c>
      <c r="J33" s="53">
        <v>46822</v>
      </c>
      <c r="K33" s="99">
        <v>2547</v>
      </c>
      <c r="L33" s="1114"/>
      <c r="M33" s="116"/>
      <c r="N33" s="1"/>
      <c r="O33" s="53"/>
      <c r="P33" s="197"/>
      <c r="Q33" s="1114">
        <f t="shared" si="10"/>
        <v>24</v>
      </c>
      <c r="R33" s="116">
        <f t="shared" si="10"/>
        <v>135772.29999999999</v>
      </c>
      <c r="S33" s="1">
        <f t="shared" si="10"/>
        <v>86090.4</v>
      </c>
      <c r="T33" s="53">
        <v>146512</v>
      </c>
      <c r="U33" s="53">
        <f t="shared" si="8"/>
        <v>377750</v>
      </c>
      <c r="V33" s="99">
        <f t="shared" si="9"/>
        <v>32547</v>
      </c>
      <c r="W33" s="8">
        <f t="shared" si="11"/>
        <v>556809</v>
      </c>
      <c r="X33" s="1002">
        <f t="shared" si="12"/>
        <v>4.1010500669135022</v>
      </c>
      <c r="Y33" s="1002">
        <f t="shared" si="13"/>
        <v>6.4677246243483602</v>
      </c>
    </row>
    <row r="34" spans="1:25" ht="14.4" x14ac:dyDescent="0.3">
      <c r="A34" s="1512" t="s">
        <v>7</v>
      </c>
      <c r="B34" s="1114">
        <f>21+1</f>
        <v>22</v>
      </c>
      <c r="C34" s="116">
        <f>68711.2+4590.3+20050.6</f>
        <v>93352.1</v>
      </c>
      <c r="D34" s="1">
        <v>68989.600000000006</v>
      </c>
      <c r="E34" s="53">
        <f>315345+20900</f>
        <v>336245</v>
      </c>
      <c r="F34" s="99">
        <v>30000</v>
      </c>
      <c r="G34" s="1114">
        <v>3</v>
      </c>
      <c r="H34" s="116">
        <v>38162.300000000003</v>
      </c>
      <c r="I34" s="1">
        <v>12562.9</v>
      </c>
      <c r="J34" s="53">
        <v>47592</v>
      </c>
      <c r="K34" s="99">
        <v>2740</v>
      </c>
      <c r="L34" s="1114"/>
      <c r="M34" s="116"/>
      <c r="N34" s="1"/>
      <c r="O34" s="53"/>
      <c r="P34" s="197"/>
      <c r="Q34" s="1114">
        <f t="shared" si="10"/>
        <v>25</v>
      </c>
      <c r="R34" s="116">
        <f t="shared" si="10"/>
        <v>131514.40000000002</v>
      </c>
      <c r="S34" s="1">
        <f t="shared" si="10"/>
        <v>81552.5</v>
      </c>
      <c r="T34" s="53">
        <v>146512</v>
      </c>
      <c r="U34" s="53">
        <f t="shared" si="8"/>
        <v>383837</v>
      </c>
      <c r="V34" s="99">
        <f t="shared" si="9"/>
        <v>32740</v>
      </c>
      <c r="W34" s="8">
        <f t="shared" si="11"/>
        <v>563089</v>
      </c>
      <c r="X34" s="1002">
        <f t="shared" si="12"/>
        <v>4.2815767703004379</v>
      </c>
      <c r="Y34" s="1002">
        <f t="shared" si="13"/>
        <v>6.9046197234910025</v>
      </c>
    </row>
    <row r="35" spans="1:25" ht="14.4" x14ac:dyDescent="0.3">
      <c r="A35" s="1512" t="s">
        <v>8</v>
      </c>
      <c r="B35" s="1114">
        <f>21+1</f>
        <v>22</v>
      </c>
      <c r="C35" s="116">
        <f>64380.3+10223.5+23683.5+117.4</f>
        <v>98404.7</v>
      </c>
      <c r="D35" s="1">
        <v>72495.8</v>
      </c>
      <c r="E35" s="53">
        <f>334270</f>
        <v>334270</v>
      </c>
      <c r="F35" s="99">
        <v>30000</v>
      </c>
      <c r="G35" s="1114">
        <v>3</v>
      </c>
      <c r="H35" s="116">
        <v>31923.9</v>
      </c>
      <c r="I35" s="1">
        <v>12216</v>
      </c>
      <c r="J35" s="53">
        <v>47850</v>
      </c>
      <c r="K35" s="99">
        <v>2766</v>
      </c>
      <c r="L35" s="1114"/>
      <c r="M35" s="116"/>
      <c r="N35" s="1"/>
      <c r="O35" s="53"/>
      <c r="P35" s="197"/>
      <c r="Q35" s="1114">
        <f t="shared" si="10"/>
        <v>25</v>
      </c>
      <c r="R35" s="116">
        <f t="shared" si="10"/>
        <v>130328.6</v>
      </c>
      <c r="S35" s="1">
        <f t="shared" si="10"/>
        <v>84711.8</v>
      </c>
      <c r="T35" s="53">
        <v>146512</v>
      </c>
      <c r="U35" s="53">
        <f t="shared" si="8"/>
        <v>382120</v>
      </c>
      <c r="V35" s="99">
        <f t="shared" si="9"/>
        <v>32766</v>
      </c>
      <c r="W35" s="8">
        <f t="shared" si="11"/>
        <v>561398</v>
      </c>
      <c r="X35" s="1002">
        <f t="shared" si="12"/>
        <v>4.3075579726936377</v>
      </c>
      <c r="Y35" s="1002">
        <f t="shared" si="13"/>
        <v>6.6271522975547681</v>
      </c>
    </row>
    <row r="36" spans="1:25" ht="14.4" x14ac:dyDescent="0.3">
      <c r="A36" s="1512" t="s">
        <v>9</v>
      </c>
      <c r="B36" s="1114">
        <f>20+1</f>
        <v>21</v>
      </c>
      <c r="C36" s="116">
        <f>66360+14325.1+16870.9+3436.8</f>
        <v>100992.8</v>
      </c>
      <c r="D36" s="1">
        <v>65858.3</v>
      </c>
      <c r="E36" s="53">
        <f>319707+20900</f>
        <v>340607</v>
      </c>
      <c r="F36" s="99">
        <v>30000</v>
      </c>
      <c r="G36" s="1114">
        <v>3</v>
      </c>
      <c r="H36" s="116">
        <v>38388.300000000003</v>
      </c>
      <c r="I36" s="1">
        <v>28088</v>
      </c>
      <c r="J36" s="53">
        <v>43477</v>
      </c>
      <c r="K36" s="99">
        <v>3081</v>
      </c>
      <c r="L36" s="1114"/>
      <c r="M36" s="116"/>
      <c r="N36" s="1"/>
      <c r="O36" s="53"/>
      <c r="P36" s="197"/>
      <c r="Q36" s="1114">
        <f t="shared" si="10"/>
        <v>24</v>
      </c>
      <c r="R36" s="116">
        <f t="shared" si="10"/>
        <v>139381.1</v>
      </c>
      <c r="S36" s="1">
        <f t="shared" si="10"/>
        <v>93946.3</v>
      </c>
      <c r="T36" s="53">
        <f>146512-5+2988</f>
        <v>149495</v>
      </c>
      <c r="U36" s="53">
        <f t="shared" si="8"/>
        <v>384084</v>
      </c>
      <c r="V36" s="99">
        <f t="shared" si="9"/>
        <v>33081</v>
      </c>
      <c r="W36" s="8">
        <f t="shared" si="11"/>
        <v>566660</v>
      </c>
      <c r="X36" s="1002">
        <f t="shared" si="12"/>
        <v>4.0655440371757718</v>
      </c>
      <c r="Y36" s="1002">
        <f t="shared" si="13"/>
        <v>6.0317436663285298</v>
      </c>
    </row>
    <row r="37" spans="1:25" ht="15" thickBot="1" x14ac:dyDescent="0.35">
      <c r="A37" s="1126" t="s">
        <v>101</v>
      </c>
      <c r="B37" s="1127">
        <f t="shared" ref="B37:V37" si="14">SUM(B25:B36)</f>
        <v>277</v>
      </c>
      <c r="C37" s="1128">
        <f t="shared" si="14"/>
        <v>1261385.6000000001</v>
      </c>
      <c r="D37" s="1129">
        <f t="shared" si="14"/>
        <v>841512.70000000007</v>
      </c>
      <c r="E37" s="1130">
        <f t="shared" si="14"/>
        <v>4482228</v>
      </c>
      <c r="F37" s="1131">
        <f t="shared" si="14"/>
        <v>360000</v>
      </c>
      <c r="G37" s="1127">
        <f t="shared" si="14"/>
        <v>36</v>
      </c>
      <c r="H37" s="1128">
        <f t="shared" si="14"/>
        <v>452713.99999999994</v>
      </c>
      <c r="I37" s="1129">
        <f t="shared" si="14"/>
        <v>175610.8</v>
      </c>
      <c r="J37" s="1130">
        <f t="shared" si="14"/>
        <v>555322</v>
      </c>
      <c r="K37" s="1131">
        <f t="shared" si="14"/>
        <v>31470</v>
      </c>
      <c r="L37" s="1127">
        <f t="shared" si="14"/>
        <v>0</v>
      </c>
      <c r="M37" s="1128">
        <f t="shared" si="14"/>
        <v>81910.200000000012</v>
      </c>
      <c r="N37" s="1129">
        <f t="shared" si="14"/>
        <v>2791.4</v>
      </c>
      <c r="O37" s="1130">
        <f t="shared" si="14"/>
        <v>0</v>
      </c>
      <c r="P37" s="1131">
        <f t="shared" si="14"/>
        <v>7322</v>
      </c>
      <c r="Q37" s="1127">
        <f t="shared" si="14"/>
        <v>313</v>
      </c>
      <c r="R37" s="1128">
        <f t="shared" si="14"/>
        <v>1796009.8000000007</v>
      </c>
      <c r="S37" s="1129">
        <f t="shared" si="14"/>
        <v>1019914.9000000001</v>
      </c>
      <c r="T37" s="1130">
        <f t="shared" si="14"/>
        <v>1761127</v>
      </c>
      <c r="U37" s="1130">
        <f t="shared" si="14"/>
        <v>5037550</v>
      </c>
      <c r="V37" s="1131">
        <f t="shared" si="14"/>
        <v>398792</v>
      </c>
      <c r="W37" s="1132">
        <f>SUM(T37:V37)</f>
        <v>7197469</v>
      </c>
      <c r="X37" s="1132">
        <f t="shared" si="12"/>
        <v>4.0074775761245833</v>
      </c>
      <c r="Y37" s="1132">
        <f t="shared" si="13"/>
        <v>7.0569309262959088</v>
      </c>
    </row>
    <row r="38" spans="1:25" ht="14.4" x14ac:dyDescent="0.3">
      <c r="S38" t="s">
        <v>467</v>
      </c>
      <c r="T38" s="1002">
        <f>T37/R37</f>
        <v>0.98057761154755352</v>
      </c>
      <c r="U38" s="1133">
        <f>U37/R37</f>
        <v>2.8048566327422031</v>
      </c>
      <c r="V38" s="1133">
        <f>V37/R37</f>
        <v>0.22204333183482619</v>
      </c>
      <c r="X38" s="8">
        <f>SUM(T38:W38)</f>
        <v>4.0074775761245833</v>
      </c>
    </row>
    <row r="39" spans="1:25" ht="14.4" x14ac:dyDescent="0.3">
      <c r="S39" t="s">
        <v>463</v>
      </c>
      <c r="T39" s="1002">
        <f>T37/S37</f>
        <v>1.7267391622575567</v>
      </c>
      <c r="U39" s="1133">
        <f>U37/S37</f>
        <v>4.9391865929206435</v>
      </c>
      <c r="V39" s="1133">
        <f>V37/S37</f>
        <v>0.39100517111770788</v>
      </c>
      <c r="X39" s="8">
        <f>SUM(T39:W39)</f>
        <v>7.0569309262959088</v>
      </c>
    </row>
    <row r="41" spans="1:25" x14ac:dyDescent="0.25">
      <c r="S41" t="str">
        <f>A24</f>
        <v>MONTH</v>
      </c>
      <c r="T41" s="980" t="s">
        <v>539</v>
      </c>
      <c r="U41" s="980" t="s">
        <v>540</v>
      </c>
    </row>
    <row r="42" spans="1:25" x14ac:dyDescent="0.25">
      <c r="S42" t="str">
        <f t="shared" ref="S42:S53" si="15">A25</f>
        <v>Apr</v>
      </c>
      <c r="T42" s="8">
        <f>Y5</f>
        <v>10.200662070145222</v>
      </c>
      <c r="U42" s="8">
        <f>Y25</f>
        <v>7.6760576086024983</v>
      </c>
    </row>
    <row r="43" spans="1:25" x14ac:dyDescent="0.25">
      <c r="S43" t="str">
        <f t="shared" si="15"/>
        <v>May</v>
      </c>
      <c r="T43" s="8">
        <f t="shared" ref="T43:T53" si="16">Y6</f>
        <v>8.4464474141347345</v>
      </c>
      <c r="U43" s="8">
        <f t="shared" ref="U43:U53" si="17">Y26</f>
        <v>7.3800637190964098</v>
      </c>
    </row>
    <row r="44" spans="1:25" x14ac:dyDescent="0.25">
      <c r="S44" t="str">
        <f t="shared" si="15"/>
        <v>Jun</v>
      </c>
      <c r="T44" s="8">
        <f t="shared" si="16"/>
        <v>11.522247503139681</v>
      </c>
      <c r="U44" s="8">
        <f t="shared" si="17"/>
        <v>6.8773168578993822</v>
      </c>
    </row>
    <row r="45" spans="1:25" x14ac:dyDescent="0.25">
      <c r="S45" t="str">
        <f t="shared" si="15"/>
        <v>Jul</v>
      </c>
      <c r="T45" s="8">
        <f t="shared" si="16"/>
        <v>11.111165136519753</v>
      </c>
      <c r="U45" s="8">
        <f t="shared" si="17"/>
        <v>6.9650322510360718</v>
      </c>
    </row>
    <row r="46" spans="1:25" x14ac:dyDescent="0.25">
      <c r="S46" t="str">
        <f t="shared" si="15"/>
        <v>Aug</v>
      </c>
      <c r="T46" s="8">
        <f t="shared" si="16"/>
        <v>14.488972393620427</v>
      </c>
      <c r="U46" s="8">
        <f t="shared" si="17"/>
        <v>5.3839812402849576</v>
      </c>
    </row>
    <row r="47" spans="1:25" x14ac:dyDescent="0.25">
      <c r="S47" t="str">
        <f t="shared" si="15"/>
        <v>Sep</v>
      </c>
      <c r="T47" s="8">
        <f t="shared" si="16"/>
        <v>9.5239218979731834</v>
      </c>
      <c r="U47" s="8">
        <f t="shared" si="17"/>
        <v>8.2719092528797429</v>
      </c>
    </row>
    <row r="48" spans="1:25" x14ac:dyDescent="0.25">
      <c r="S48" t="str">
        <f t="shared" si="15"/>
        <v>Oct</v>
      </c>
      <c r="T48" s="8">
        <f t="shared" si="16"/>
        <v>17.924259767623255</v>
      </c>
      <c r="U48" s="8">
        <f t="shared" si="17"/>
        <v>9.815494548089724</v>
      </c>
    </row>
    <row r="49" spans="19:21" x14ac:dyDescent="0.25">
      <c r="S49" t="str">
        <f t="shared" si="15"/>
        <v>Nov</v>
      </c>
      <c r="T49" s="8">
        <f t="shared" si="16"/>
        <v>7.5493945403718712</v>
      </c>
      <c r="U49" s="8">
        <f t="shared" si="17"/>
        <v>8.0923834730815454</v>
      </c>
    </row>
    <row r="50" spans="19:21" x14ac:dyDescent="0.25">
      <c r="S50" t="str">
        <f t="shared" si="15"/>
        <v>Dec</v>
      </c>
      <c r="T50" s="8">
        <f t="shared" si="16"/>
        <v>7.6035312285433125</v>
      </c>
      <c r="U50" s="8">
        <f t="shared" si="17"/>
        <v>6.4677246243483602</v>
      </c>
    </row>
    <row r="51" spans="19:21" x14ac:dyDescent="0.25">
      <c r="S51" t="str">
        <f t="shared" si="15"/>
        <v>Jan</v>
      </c>
      <c r="T51" s="8">
        <f t="shared" si="16"/>
        <v>7.6773935385507652</v>
      </c>
      <c r="U51" s="8">
        <f t="shared" si="17"/>
        <v>6.9046197234910025</v>
      </c>
    </row>
    <row r="52" spans="19:21" x14ac:dyDescent="0.25">
      <c r="S52" t="str">
        <f t="shared" si="15"/>
        <v>Feb</v>
      </c>
      <c r="T52" s="8">
        <f t="shared" si="16"/>
        <v>5.2493106108298386</v>
      </c>
      <c r="U52" s="8">
        <f t="shared" si="17"/>
        <v>6.6271522975547681</v>
      </c>
    </row>
    <row r="53" spans="19:21" x14ac:dyDescent="0.25">
      <c r="S53" t="str">
        <f t="shared" si="15"/>
        <v>Mar</v>
      </c>
      <c r="T53" s="8">
        <f t="shared" si="16"/>
        <v>5.7044680740493634</v>
      </c>
      <c r="U53" s="8">
        <f t="shared" si="17"/>
        <v>6.0317436663285298</v>
      </c>
    </row>
  </sheetData>
  <mergeCells count="11">
    <mergeCell ref="B23:F23"/>
    <mergeCell ref="G23:K23"/>
    <mergeCell ref="L23:P23"/>
    <mergeCell ref="Q23:U23"/>
    <mergeCell ref="A1:V1"/>
    <mergeCell ref="A2:V2"/>
    <mergeCell ref="B3:F3"/>
    <mergeCell ref="G3:K3"/>
    <mergeCell ref="L3:P3"/>
    <mergeCell ref="Q3:V3"/>
    <mergeCell ref="A22:V22"/>
  </mergeCells>
  <phoneticPr fontId="66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56"/>
  <sheetViews>
    <sheetView showZeros="0" workbookViewId="0">
      <selection activeCell="S7" sqref="S7"/>
    </sheetView>
  </sheetViews>
  <sheetFormatPr defaultColWidth="9.109375" defaultRowHeight="13.2" x14ac:dyDescent="0.25"/>
  <cols>
    <col min="1" max="1" width="9.109375" style="467"/>
    <col min="2" max="2" width="10.109375" style="467" bestFit="1" customWidth="1"/>
    <col min="3" max="3" width="15.109375" style="467" bestFit="1" customWidth="1"/>
    <col min="4" max="4" width="7.6640625" style="467" bestFit="1" customWidth="1"/>
    <col min="5" max="5" width="11.33203125" style="467" bestFit="1" customWidth="1"/>
    <col min="6" max="6" width="15.109375" style="467" bestFit="1" customWidth="1"/>
    <col min="7" max="7" width="7.6640625" style="467" bestFit="1" customWidth="1"/>
    <col min="8" max="8" width="8.88671875" style="467" bestFit="1" customWidth="1"/>
    <col min="9" max="9" width="12.5546875" style="467" bestFit="1" customWidth="1"/>
    <col min="10" max="11" width="8.88671875" style="467" bestFit="1" customWidth="1"/>
    <col min="12" max="12" width="13.88671875" style="467" bestFit="1" customWidth="1"/>
    <col min="13" max="13" width="9.109375" style="467" bestFit="1" customWidth="1"/>
    <col min="14" max="14" width="13.109375" style="467" bestFit="1" customWidth="1"/>
    <col min="15" max="15" width="15.6640625" style="467" bestFit="1" customWidth="1"/>
    <col min="16" max="16" width="7.6640625" style="467" bestFit="1" customWidth="1"/>
    <col min="17" max="18" width="9.109375" style="467"/>
    <col min="19" max="19" width="11.5546875" style="467" bestFit="1" customWidth="1"/>
    <col min="20" max="16384" width="9.109375" style="467"/>
  </cols>
  <sheetData>
    <row r="1" spans="1:19" x14ac:dyDescent="0.25">
      <c r="C1" s="468"/>
      <c r="D1" s="468"/>
    </row>
    <row r="3" spans="1:19" ht="13.8" thickBot="1" x14ac:dyDescent="0.3">
      <c r="A3" s="3345"/>
      <c r="B3" s="3345"/>
      <c r="C3" s="3345"/>
      <c r="D3" s="3345"/>
      <c r="E3" s="3345"/>
      <c r="F3" s="3345"/>
      <c r="G3" s="3345"/>
      <c r="H3" s="3345"/>
      <c r="I3" s="3345"/>
      <c r="J3" s="3345"/>
      <c r="K3" s="3345"/>
      <c r="L3" s="3345"/>
      <c r="M3" s="3345"/>
      <c r="N3" s="3345"/>
      <c r="O3" s="3345"/>
      <c r="P3" s="3345"/>
    </row>
    <row r="4" spans="1:19" x14ac:dyDescent="0.25">
      <c r="A4" s="469"/>
      <c r="B4" s="3220" t="s">
        <v>254</v>
      </c>
      <c r="C4" s="3221"/>
      <c r="D4" s="3222"/>
      <c r="E4" s="3221" t="s">
        <v>255</v>
      </c>
      <c r="F4" s="3221"/>
      <c r="G4" s="3221"/>
      <c r="H4" s="3220" t="s">
        <v>256</v>
      </c>
      <c r="I4" s="3221"/>
      <c r="J4" s="3222"/>
      <c r="K4" s="3220" t="s">
        <v>259</v>
      </c>
      <c r="L4" s="3221"/>
      <c r="M4" s="3222"/>
      <c r="N4" s="3220" t="s">
        <v>101</v>
      </c>
      <c r="O4" s="3221"/>
      <c r="P4" s="3222"/>
    </row>
    <row r="5" spans="1:19" ht="13.8" thickBot="1" x14ac:dyDescent="0.3">
      <c r="A5" s="470" t="s">
        <v>260</v>
      </c>
      <c r="B5" s="471" t="s">
        <v>119</v>
      </c>
      <c r="C5" s="472" t="s">
        <v>15</v>
      </c>
      <c r="D5" s="473" t="s">
        <v>14</v>
      </c>
      <c r="E5" s="474" t="s">
        <v>119</v>
      </c>
      <c r="F5" s="472" t="s">
        <v>15</v>
      </c>
      <c r="G5" s="475" t="s">
        <v>14</v>
      </c>
      <c r="H5" s="471" t="s">
        <v>119</v>
      </c>
      <c r="I5" s="472" t="s">
        <v>15</v>
      </c>
      <c r="J5" s="473" t="s">
        <v>14</v>
      </c>
      <c r="K5" s="471" t="s">
        <v>119</v>
      </c>
      <c r="L5" s="472" t="s">
        <v>15</v>
      </c>
      <c r="M5" s="473" t="s">
        <v>14</v>
      </c>
      <c r="N5" s="474" t="s">
        <v>119</v>
      </c>
      <c r="O5" s="475" t="s">
        <v>15</v>
      </c>
      <c r="P5" s="473" t="s">
        <v>14</v>
      </c>
    </row>
    <row r="6" spans="1:19" x14ac:dyDescent="0.25">
      <c r="A6" s="476" t="s">
        <v>262</v>
      </c>
      <c r="B6" s="478">
        <f>'Inventory Sales'!B$5</f>
        <v>29736</v>
      </c>
      <c r="C6" s="479">
        <f>'Inventory Sales'!D$5</f>
        <v>9126040</v>
      </c>
      <c r="D6" s="480">
        <f>IF(B6=0,0,C6/B6)</f>
        <v>306.9020715630885</v>
      </c>
      <c r="E6" s="481">
        <f>'Inventory Sales'!B$6</f>
        <v>60203</v>
      </c>
      <c r="F6" s="479">
        <f>'Inventory Sales'!D$6</f>
        <v>17152305</v>
      </c>
      <c r="G6" s="480">
        <f>IF(E6=0,0,F6/E6)</f>
        <v>284.90781190306132</v>
      </c>
      <c r="H6" s="483">
        <f>'Inventory Sales'!B$9</f>
        <v>5</v>
      </c>
      <c r="I6" s="508">
        <f>'Inventory Sales'!D$9</f>
        <v>4500</v>
      </c>
      <c r="J6" s="480">
        <f>IF(H6=0,0,I6/H6)</f>
        <v>900</v>
      </c>
      <c r="K6" s="483">
        <f>'Inventory Sales'!B$10</f>
        <v>6050</v>
      </c>
      <c r="L6" s="477">
        <f>'Inventory Sales'!D$10</f>
        <v>1083000</v>
      </c>
      <c r="M6" s="480">
        <f>IF(K6=0,0,L6/K6)</f>
        <v>179.0082644628099</v>
      </c>
      <c r="N6" s="481">
        <f>B6+E6+H6+K6</f>
        <v>95994</v>
      </c>
      <c r="O6" s="482">
        <f>C6+F6+I6+L6</f>
        <v>27365845</v>
      </c>
      <c r="P6" s="480">
        <f>IF(N6=0,0,O6/N6)</f>
        <v>285.0787028355939</v>
      </c>
      <c r="S6" s="504">
        <f>O9</f>
        <v>-11097.5</v>
      </c>
    </row>
    <row r="7" spans="1:19" x14ac:dyDescent="0.25">
      <c r="A7" s="484" t="s">
        <v>228</v>
      </c>
      <c r="B7" s="478">
        <f>'Inventory Sales'!E$5</f>
        <v>42618.06</v>
      </c>
      <c r="C7" s="479">
        <f>'Inventory Sales'!G$5</f>
        <v>13111445</v>
      </c>
      <c r="D7" s="480">
        <f t="shared" ref="D7:D17" si="0">IF(B7=0,0,C7/B7)</f>
        <v>307.64997280495641</v>
      </c>
      <c r="E7" s="481">
        <f>'Inventory Sales'!E$6</f>
        <v>65542.47</v>
      </c>
      <c r="F7" s="479">
        <f>'Inventory Sales'!G$6</f>
        <v>18090208.399999999</v>
      </c>
      <c r="G7" s="480">
        <f t="shared" ref="G7:G17" si="1">IF(E7=0,0,F7/E7)</f>
        <v>276.00742541439161</v>
      </c>
      <c r="H7" s="483">
        <f>'Inventory Sales'!E$9</f>
        <v>0</v>
      </c>
      <c r="I7" s="508">
        <f>'Inventory Sales'!G$9</f>
        <v>0</v>
      </c>
      <c r="J7" s="480">
        <f t="shared" ref="J7:J17" si="2">IF(H7=0,0,I7/H7)</f>
        <v>0</v>
      </c>
      <c r="K7" s="483">
        <f>'Inventory Sales'!E$10</f>
        <v>4500</v>
      </c>
      <c r="L7" s="508">
        <f>'Inventory Sales'!G$10</f>
        <v>792500</v>
      </c>
      <c r="M7" s="480">
        <f t="shared" ref="M7:M17" si="3">IF(K7=0,0,L7/K7)</f>
        <v>176.11111111111111</v>
      </c>
      <c r="N7" s="487">
        <f t="shared" ref="N7:N17" si="4">B7+E7+H7+K7</f>
        <v>112660.53</v>
      </c>
      <c r="O7" s="488">
        <f t="shared" ref="O7:O17" si="5">C7+F7+I7+L7</f>
        <v>31994153.399999999</v>
      </c>
      <c r="P7" s="480">
        <f t="shared" ref="P7:P17" si="6">IF(N7=0,0,O7/N7)</f>
        <v>283.98724380224377</v>
      </c>
      <c r="S7" s="504">
        <f>O28</f>
        <v>0</v>
      </c>
    </row>
    <row r="8" spans="1:19" x14ac:dyDescent="0.25">
      <c r="A8" s="484" t="s">
        <v>263</v>
      </c>
      <c r="B8" s="478">
        <f>'Inventory Sales'!H$5</f>
        <v>0</v>
      </c>
      <c r="C8" s="479">
        <f>'Inventory Sales'!J$5</f>
        <v>0</v>
      </c>
      <c r="D8" s="480">
        <f t="shared" si="0"/>
        <v>0</v>
      </c>
      <c r="E8" s="481">
        <f>'Inventory Sales'!H$6</f>
        <v>0</v>
      </c>
      <c r="F8" s="479">
        <f>'Inventory Sales'!J$6</f>
        <v>0</v>
      </c>
      <c r="G8" s="480">
        <f t="shared" si="1"/>
        <v>0</v>
      </c>
      <c r="H8" s="483">
        <f>'Inventory Sales'!H$9</f>
        <v>0</v>
      </c>
      <c r="I8" s="508">
        <f>'Inventory Sales'!J$9</f>
        <v>0</v>
      </c>
      <c r="J8" s="480">
        <f t="shared" si="2"/>
        <v>0</v>
      </c>
      <c r="K8" s="483">
        <f>'Inventory Sales'!H$10</f>
        <v>0</v>
      </c>
      <c r="L8" s="508">
        <f>'Inventory Sales'!J$10</f>
        <v>0</v>
      </c>
      <c r="M8" s="480">
        <f t="shared" si="3"/>
        <v>0</v>
      </c>
      <c r="N8" s="487">
        <f t="shared" si="4"/>
        <v>0</v>
      </c>
      <c r="O8" s="488">
        <f t="shared" si="5"/>
        <v>0</v>
      </c>
      <c r="P8" s="480">
        <f t="shared" si="6"/>
        <v>0</v>
      </c>
      <c r="S8" s="504">
        <f>C45</f>
        <v>0</v>
      </c>
    </row>
    <row r="9" spans="1:19" x14ac:dyDescent="0.25">
      <c r="A9" s="484" t="s">
        <v>264</v>
      </c>
      <c r="B9" s="478">
        <f>'Inventory Sales'!K$5</f>
        <v>0</v>
      </c>
      <c r="C9" s="479">
        <f>ROUND(('Inventory Sales'!M$5),0)-11097.5</f>
        <v>-11097.5</v>
      </c>
      <c r="D9" s="480">
        <f t="shared" si="0"/>
        <v>0</v>
      </c>
      <c r="E9" s="481">
        <f>'Inventory Sales'!K$6</f>
        <v>0</v>
      </c>
      <c r="F9" s="479">
        <f>'Inventory Sales'!M$6</f>
        <v>0</v>
      </c>
      <c r="G9" s="480">
        <f t="shared" si="1"/>
        <v>0</v>
      </c>
      <c r="H9" s="483">
        <f>'Inventory Sales'!K$9</f>
        <v>0</v>
      </c>
      <c r="I9" s="508">
        <f>'Inventory Sales'!M$9</f>
        <v>0</v>
      </c>
      <c r="J9" s="480">
        <f t="shared" si="2"/>
        <v>0</v>
      </c>
      <c r="K9" s="483">
        <f>'Inventory Sales'!K$10</f>
        <v>0</v>
      </c>
      <c r="L9" s="508">
        <f>'Inventory Sales'!M$10</f>
        <v>0</v>
      </c>
      <c r="M9" s="480">
        <f t="shared" si="3"/>
        <v>0</v>
      </c>
      <c r="N9" s="487">
        <f t="shared" si="4"/>
        <v>0</v>
      </c>
      <c r="O9" s="488">
        <f t="shared" si="5"/>
        <v>-11097.5</v>
      </c>
      <c r="P9" s="480">
        <f t="shared" si="6"/>
        <v>0</v>
      </c>
      <c r="S9" s="504">
        <f>F45</f>
        <v>0</v>
      </c>
    </row>
    <row r="10" spans="1:19" x14ac:dyDescent="0.25">
      <c r="A10" s="484" t="s">
        <v>265</v>
      </c>
      <c r="B10" s="478">
        <f>'Inventory Sales'!N$5</f>
        <v>0</v>
      </c>
      <c r="C10" s="479">
        <f>'Inventory Sales'!P$5</f>
        <v>0</v>
      </c>
      <c r="D10" s="480">
        <f t="shared" si="0"/>
        <v>0</v>
      </c>
      <c r="E10" s="481">
        <f>'Inventory Sales'!N$6</f>
        <v>0</v>
      </c>
      <c r="F10" s="479">
        <f>'Inventory Sales'!P$6</f>
        <v>0</v>
      </c>
      <c r="G10" s="480">
        <f t="shared" si="1"/>
        <v>0</v>
      </c>
      <c r="H10" s="483">
        <f>'Inventory Sales'!N$9</f>
        <v>0</v>
      </c>
      <c r="I10" s="508">
        <f>'Inventory Sales'!P$9</f>
        <v>0</v>
      </c>
      <c r="J10" s="480">
        <f t="shared" si="2"/>
        <v>0</v>
      </c>
      <c r="K10" s="483">
        <f>'Inventory Sales'!N$10</f>
        <v>0</v>
      </c>
      <c r="L10" s="508">
        <f>'Inventory Sales'!P$10</f>
        <v>0</v>
      </c>
      <c r="M10" s="480">
        <f t="shared" si="3"/>
        <v>0</v>
      </c>
      <c r="N10" s="487">
        <f t="shared" si="4"/>
        <v>0</v>
      </c>
      <c r="O10" s="488">
        <f t="shared" si="5"/>
        <v>0</v>
      </c>
      <c r="P10" s="480">
        <f t="shared" si="6"/>
        <v>0</v>
      </c>
      <c r="S10" s="504">
        <f>SUM(S6:S9)</f>
        <v>-11097.5</v>
      </c>
    </row>
    <row r="11" spans="1:19" x14ac:dyDescent="0.25">
      <c r="A11" s="484" t="s">
        <v>266</v>
      </c>
      <c r="B11" s="478">
        <f>'Inventory Sales'!Q$5</f>
        <v>0</v>
      </c>
      <c r="C11" s="479">
        <f>'Inventory Sales'!S$5</f>
        <v>0</v>
      </c>
      <c r="D11" s="480">
        <f t="shared" si="0"/>
        <v>0</v>
      </c>
      <c r="E11" s="481">
        <f>'Inventory Sales'!Q$6</f>
        <v>0</v>
      </c>
      <c r="F11" s="479">
        <f>'Inventory Sales'!S$6</f>
        <v>0</v>
      </c>
      <c r="G11" s="480">
        <f t="shared" si="1"/>
        <v>0</v>
      </c>
      <c r="H11" s="483">
        <f>'Inventory Sales'!Q$9</f>
        <v>0</v>
      </c>
      <c r="I11" s="508">
        <f>'Inventory Sales'!S$9</f>
        <v>0</v>
      </c>
      <c r="J11" s="480">
        <f t="shared" si="2"/>
        <v>0</v>
      </c>
      <c r="K11" s="483">
        <f>'Inventory Sales'!Q$10</f>
        <v>0</v>
      </c>
      <c r="L11" s="508">
        <f>'Inventory Sales'!S$10</f>
        <v>0</v>
      </c>
      <c r="M11" s="480">
        <f t="shared" si="3"/>
        <v>0</v>
      </c>
      <c r="N11" s="487">
        <f t="shared" si="4"/>
        <v>0</v>
      </c>
      <c r="O11" s="488">
        <f t="shared" si="5"/>
        <v>0</v>
      </c>
      <c r="P11" s="480">
        <f t="shared" si="6"/>
        <v>0</v>
      </c>
      <c r="S11" s="504">
        <v>36666982</v>
      </c>
    </row>
    <row r="12" spans="1:19" x14ac:dyDescent="0.25">
      <c r="A12" s="484" t="s">
        <v>267</v>
      </c>
      <c r="B12" s="478">
        <f>'Inventory Sales'!T$5</f>
        <v>0</v>
      </c>
      <c r="C12" s="479">
        <f>'Inventory Sales'!V$5</f>
        <v>0</v>
      </c>
      <c r="D12" s="480">
        <f t="shared" si="0"/>
        <v>0</v>
      </c>
      <c r="E12" s="481">
        <f>'Inventory Sales'!T$6</f>
        <v>0</v>
      </c>
      <c r="F12" s="479">
        <f>'Inventory Sales'!V$6</f>
        <v>0</v>
      </c>
      <c r="G12" s="480">
        <f t="shared" si="1"/>
        <v>0</v>
      </c>
      <c r="H12" s="483">
        <f>'Inventory Sales'!T$9</f>
        <v>0</v>
      </c>
      <c r="I12" s="508">
        <f>'Inventory Sales'!V$9</f>
        <v>0</v>
      </c>
      <c r="J12" s="480">
        <f t="shared" si="2"/>
        <v>0</v>
      </c>
      <c r="K12" s="483">
        <f>'Inventory Sales'!T$10</f>
        <v>0</v>
      </c>
      <c r="L12" s="508">
        <f>'Inventory Sales'!V$10</f>
        <v>0</v>
      </c>
      <c r="M12" s="480">
        <f t="shared" si="3"/>
        <v>0</v>
      </c>
      <c r="N12" s="487">
        <f t="shared" si="4"/>
        <v>0</v>
      </c>
      <c r="O12" s="488">
        <f t="shared" si="5"/>
        <v>0</v>
      </c>
      <c r="P12" s="480">
        <f t="shared" si="6"/>
        <v>0</v>
      </c>
      <c r="S12" s="504">
        <f>S10-S11</f>
        <v>-36678079.5</v>
      </c>
    </row>
    <row r="13" spans="1:19" x14ac:dyDescent="0.25">
      <c r="A13" s="484" t="s">
        <v>229</v>
      </c>
      <c r="B13" s="478">
        <f>'Inventory Sales'!W$5</f>
        <v>0</v>
      </c>
      <c r="C13" s="479">
        <f>'Inventory Sales'!Y$5</f>
        <v>0</v>
      </c>
      <c r="D13" s="480">
        <f t="shared" si="0"/>
        <v>0</v>
      </c>
      <c r="E13" s="481">
        <f>'Inventory Sales'!W$6</f>
        <v>0</v>
      </c>
      <c r="F13" s="479">
        <f>'Inventory Sales'!Y$6</f>
        <v>0</v>
      </c>
      <c r="G13" s="480">
        <f t="shared" si="1"/>
        <v>0</v>
      </c>
      <c r="H13" s="483">
        <f>'Inventory Sales'!W$9</f>
        <v>0</v>
      </c>
      <c r="I13" s="508">
        <f>'Inventory Sales'!Y$9</f>
        <v>0</v>
      </c>
      <c r="J13" s="480">
        <f t="shared" si="2"/>
        <v>0</v>
      </c>
      <c r="K13" s="483">
        <f>'Inventory Sales'!W$10</f>
        <v>0</v>
      </c>
      <c r="L13" s="508">
        <f>'Inventory Sales'!Y$10</f>
        <v>0</v>
      </c>
      <c r="M13" s="480">
        <f t="shared" si="3"/>
        <v>0</v>
      </c>
      <c r="N13" s="487">
        <f t="shared" si="4"/>
        <v>0</v>
      </c>
      <c r="O13" s="488">
        <f t="shared" si="5"/>
        <v>0</v>
      </c>
      <c r="P13" s="480">
        <f t="shared" si="6"/>
        <v>0</v>
      </c>
    </row>
    <row r="14" spans="1:19" x14ac:dyDescent="0.25">
      <c r="A14" s="484" t="s">
        <v>230</v>
      </c>
      <c r="B14" s="478">
        <f>'Inventory Sales'!Z$5</f>
        <v>0</v>
      </c>
      <c r="C14" s="479">
        <f>'Inventory Sales'!AB$5</f>
        <v>0</v>
      </c>
      <c r="D14" s="480">
        <f>IF(B14=0,0,C14/B14)</f>
        <v>0</v>
      </c>
      <c r="E14" s="481">
        <f>'Inventory Sales'!Z$6</f>
        <v>0</v>
      </c>
      <c r="F14" s="479">
        <f>'Inventory Sales'!AB$6</f>
        <v>0</v>
      </c>
      <c r="G14" s="480">
        <f>IF(E14=0,0,F14/E14)</f>
        <v>0</v>
      </c>
      <c r="H14" s="483">
        <f>'Inventory Sales'!Z$9</f>
        <v>0</v>
      </c>
      <c r="I14" s="508">
        <f>'Inventory Sales'!AB$9</f>
        <v>0</v>
      </c>
      <c r="J14" s="480">
        <f>IF(H14=0,0,I14/H14)</f>
        <v>0</v>
      </c>
      <c r="K14" s="483">
        <f>'Inventory Sales'!Z$10</f>
        <v>0</v>
      </c>
      <c r="L14" s="508">
        <f>'Inventory Sales'!AB$10</f>
        <v>0</v>
      </c>
      <c r="M14" s="480">
        <f>IF(K14=0,0,L14/K14)</f>
        <v>0</v>
      </c>
      <c r="N14" s="487">
        <f>B14+E14+H14+K14</f>
        <v>0</v>
      </c>
      <c r="O14" s="488">
        <f>C14+F14+I14+L14</f>
        <v>0</v>
      </c>
      <c r="P14" s="480">
        <f>IF(N14=0,0,O14/N14)</f>
        <v>0</v>
      </c>
    </row>
    <row r="15" spans="1:19" x14ac:dyDescent="0.25">
      <c r="A15" s="484" t="s">
        <v>231</v>
      </c>
      <c r="B15" s="478">
        <f>'Inventory Sales'!AC5</f>
        <v>0</v>
      </c>
      <c r="C15" s="479">
        <f>'Inventory Sales'!AE5</f>
        <v>0</v>
      </c>
      <c r="D15" s="480">
        <f t="shared" si="0"/>
        <v>0</v>
      </c>
      <c r="E15" s="487">
        <f>'Inventory Sales'!AC6</f>
        <v>0</v>
      </c>
      <c r="F15" s="486">
        <f>'Inventory Sales'!AE6</f>
        <v>0</v>
      </c>
      <c r="G15" s="480">
        <f t="shared" si="1"/>
        <v>0</v>
      </c>
      <c r="H15" s="489">
        <f>'Inventory Sales'!AC7+'Inventory Sales'!AC9</f>
        <v>0</v>
      </c>
      <c r="I15" s="490">
        <f>'Inventory Sales'!AE7+'Inventory Sales'!AE9</f>
        <v>0</v>
      </c>
      <c r="J15" s="480">
        <f t="shared" si="2"/>
        <v>0</v>
      </c>
      <c r="K15" s="483"/>
      <c r="L15" s="490"/>
      <c r="M15" s="480">
        <f t="shared" si="3"/>
        <v>0</v>
      </c>
      <c r="N15" s="487">
        <f t="shared" si="4"/>
        <v>0</v>
      </c>
      <c r="O15" s="488">
        <f t="shared" si="5"/>
        <v>0</v>
      </c>
      <c r="P15" s="480">
        <f t="shared" si="6"/>
        <v>0</v>
      </c>
    </row>
    <row r="16" spans="1:19" x14ac:dyDescent="0.25">
      <c r="A16" s="484" t="s">
        <v>232</v>
      </c>
      <c r="B16" s="478">
        <f>'Inventory Sales'!AF5</f>
        <v>0</v>
      </c>
      <c r="C16" s="479">
        <f>'Inventory Sales'!AH5</f>
        <v>0</v>
      </c>
      <c r="D16" s="480">
        <f t="shared" si="0"/>
        <v>0</v>
      </c>
      <c r="E16" s="491">
        <f>'Inventory Sales'!AF6</f>
        <v>0</v>
      </c>
      <c r="F16" s="490">
        <f>'Inventory Sales'!AH6</f>
        <v>0</v>
      </c>
      <c r="G16" s="480">
        <f t="shared" si="1"/>
        <v>0</v>
      </c>
      <c r="H16" s="489">
        <f>'Inventory Sales'!AF9</f>
        <v>0</v>
      </c>
      <c r="I16" s="490">
        <f>'Inventory Sales'!AH9</f>
        <v>0</v>
      </c>
      <c r="J16" s="480">
        <f t="shared" si="2"/>
        <v>0</v>
      </c>
      <c r="K16" s="489"/>
      <c r="L16" s="490"/>
      <c r="M16" s="480">
        <f t="shared" si="3"/>
        <v>0</v>
      </c>
      <c r="N16" s="487">
        <f t="shared" si="4"/>
        <v>0</v>
      </c>
      <c r="O16" s="488">
        <f t="shared" si="5"/>
        <v>0</v>
      </c>
      <c r="P16" s="480">
        <f t="shared" si="6"/>
        <v>0</v>
      </c>
    </row>
    <row r="17" spans="1:20" ht="13.8" thickBot="1" x14ac:dyDescent="0.3">
      <c r="A17" s="492" t="s">
        <v>268</v>
      </c>
      <c r="B17" s="478">
        <f>'Inventory Sales'!AI5</f>
        <v>0</v>
      </c>
      <c r="C17" s="479">
        <f>'Inventory Sales'!AK5</f>
        <v>0</v>
      </c>
      <c r="D17" s="480">
        <f t="shared" si="0"/>
        <v>0</v>
      </c>
      <c r="E17" s="825">
        <f>'Inventory Sales'!AI6</f>
        <v>0</v>
      </c>
      <c r="F17" s="826">
        <f>'Inventory Sales'!AK6</f>
        <v>0</v>
      </c>
      <c r="G17" s="480">
        <f t="shared" si="1"/>
        <v>0</v>
      </c>
      <c r="H17" s="827">
        <f>'Inventory Sales'!AI9</f>
        <v>0</v>
      </c>
      <c r="I17" s="826">
        <f>'Inventory Sales'!AK9</f>
        <v>0</v>
      </c>
      <c r="J17" s="480">
        <f t="shared" si="2"/>
        <v>0</v>
      </c>
      <c r="K17" s="827"/>
      <c r="L17" s="826"/>
      <c r="M17" s="480">
        <f t="shared" si="3"/>
        <v>0</v>
      </c>
      <c r="N17" s="828">
        <f t="shared" si="4"/>
        <v>0</v>
      </c>
      <c r="O17" s="829">
        <f t="shared" si="5"/>
        <v>0</v>
      </c>
      <c r="P17" s="480">
        <f t="shared" si="6"/>
        <v>0</v>
      </c>
      <c r="Q17" s="467" t="s">
        <v>371</v>
      </c>
    </row>
    <row r="18" spans="1:20" ht="13.8" thickBot="1" x14ac:dyDescent="0.3">
      <c r="A18" s="493" t="s">
        <v>101</v>
      </c>
      <c r="B18" s="495">
        <f t="shared" ref="B18:L18" si="7">SUM(B6:B17)</f>
        <v>72354.06</v>
      </c>
      <c r="C18" s="496">
        <f t="shared" si="7"/>
        <v>22226387.5</v>
      </c>
      <c r="D18" s="497">
        <f>C18/B18</f>
        <v>307.18922338290349</v>
      </c>
      <c r="E18" s="498">
        <f t="shared" si="7"/>
        <v>125745.47</v>
      </c>
      <c r="F18" s="496">
        <f t="shared" si="7"/>
        <v>35242513.399999999</v>
      </c>
      <c r="G18" s="499">
        <f>F18/E18</f>
        <v>280.2686522226208</v>
      </c>
      <c r="H18" s="495">
        <f t="shared" si="7"/>
        <v>5</v>
      </c>
      <c r="I18" s="496">
        <f t="shared" si="7"/>
        <v>4500</v>
      </c>
      <c r="J18" s="497">
        <f>I18/H18</f>
        <v>900</v>
      </c>
      <c r="K18" s="495">
        <f t="shared" si="7"/>
        <v>10550</v>
      </c>
      <c r="L18" s="496">
        <f t="shared" si="7"/>
        <v>1875500</v>
      </c>
      <c r="M18" s="497">
        <f>L18/K18</f>
        <v>177.77251184834122</v>
      </c>
      <c r="N18" s="495">
        <f>SUM(N6:N17)</f>
        <v>208654.53</v>
      </c>
      <c r="O18" s="499">
        <f>SUM(O6:O17)</f>
        <v>59348900.899999999</v>
      </c>
      <c r="P18" s="506">
        <f>O18/N18</f>
        <v>284.43619652063148</v>
      </c>
    </row>
    <row r="19" spans="1:20" x14ac:dyDescent="0.25">
      <c r="A19" s="500"/>
      <c r="B19" s="501">
        <f>'Inventory Sales'!AL5</f>
        <v>72354.06</v>
      </c>
      <c r="C19" s="502">
        <f>'Inventory Sales'!AN5</f>
        <v>22237485</v>
      </c>
      <c r="D19" s="500"/>
      <c r="E19" s="500">
        <f>'Inventory Sales'!AL6</f>
        <v>125745.47</v>
      </c>
      <c r="F19" s="502">
        <f>'Inventory Sales'!AN6</f>
        <v>35242513.399999999</v>
      </c>
      <c r="G19" s="500"/>
      <c r="H19" s="500">
        <f>'Inventory Sales'!AL9</f>
        <v>5</v>
      </c>
      <c r="I19" s="502">
        <f>'Inventory Sales'!AN9</f>
        <v>4500</v>
      </c>
      <c r="J19" s="500"/>
      <c r="K19" s="500">
        <f>'Inventory Sales'!AL10</f>
        <v>10550</v>
      </c>
      <c r="L19" s="500">
        <f>'Inventory Sales'!AN10</f>
        <v>1875500</v>
      </c>
      <c r="M19" s="500"/>
      <c r="N19" s="501">
        <f>'Inventory Sales'!AL11</f>
        <v>208654.53</v>
      </c>
      <c r="O19" s="502">
        <f>'Inventory Sales'!AN11</f>
        <v>59359998.399999999</v>
      </c>
      <c r="P19" s="502">
        <f>O19/N19</f>
        <v>284.48938252143387</v>
      </c>
    </row>
    <row r="20" spans="1:20" x14ac:dyDescent="0.25">
      <c r="A20" s="500"/>
      <c r="B20" s="500"/>
      <c r="C20" s="500"/>
      <c r="D20" s="500"/>
      <c r="E20" s="954">
        <f>B18+E18+H18+K18</f>
        <v>208654.53</v>
      </c>
      <c r="F20" s="955">
        <f>C18+F18+I18+L18</f>
        <v>59348900.899999999</v>
      </c>
      <c r="J20" s="500"/>
      <c r="K20" s="500"/>
      <c r="L20" s="500"/>
      <c r="M20" s="500"/>
      <c r="N20" s="503"/>
      <c r="O20" s="504"/>
    </row>
    <row r="21" spans="1:20" x14ac:dyDescent="0.25">
      <c r="E21" s="956">
        <f>'PAL II'!AZ16</f>
        <v>98784</v>
      </c>
      <c r="F21" s="957">
        <f>'PAL II'!BA16</f>
        <v>57095396</v>
      </c>
      <c r="N21" s="503"/>
      <c r="O21" s="504"/>
    </row>
    <row r="22" spans="1:20" ht="13.8" thickBot="1" x14ac:dyDescent="0.3">
      <c r="E22" s="503">
        <f>E20-E21</f>
        <v>109870.53</v>
      </c>
      <c r="F22" s="504">
        <f>F20-F21</f>
        <v>2253504.8999999985</v>
      </c>
    </row>
    <row r="23" spans="1:20" ht="13.8" thickBot="1" x14ac:dyDescent="0.3">
      <c r="A23" s="510"/>
      <c r="B23" s="509"/>
      <c r="C23" s="509"/>
      <c r="D23" s="509"/>
      <c r="E23" s="509"/>
      <c r="F23" s="509"/>
      <c r="G23" s="509"/>
      <c r="H23" s="509"/>
      <c r="I23" s="509"/>
      <c r="J23" s="509"/>
      <c r="K23" s="509"/>
      <c r="L23" s="509"/>
      <c r="M23" s="509"/>
      <c r="N23" s="509"/>
      <c r="O23" s="509"/>
      <c r="P23" s="511"/>
    </row>
    <row r="24" spans="1:20" ht="13.8" thickBot="1" x14ac:dyDescent="0.3">
      <c r="A24" s="507" t="s">
        <v>260</v>
      </c>
      <c r="B24" s="3217" t="s">
        <v>175</v>
      </c>
      <c r="C24" s="3218"/>
      <c r="D24" s="3218"/>
      <c r="E24" s="3219" t="s">
        <v>174</v>
      </c>
      <c r="F24" s="3218"/>
      <c r="G24" s="3218"/>
      <c r="H24" s="3219" t="s">
        <v>363</v>
      </c>
      <c r="I24" s="3218"/>
      <c r="J24" s="3223"/>
      <c r="K24" s="3219" t="s">
        <v>269</v>
      </c>
      <c r="L24" s="3218"/>
      <c r="M24" s="3218"/>
      <c r="N24" s="3219" t="s">
        <v>101</v>
      </c>
      <c r="O24" s="3218"/>
      <c r="P24" s="3223"/>
      <c r="Q24" s="500"/>
      <c r="R24" s="505"/>
      <c r="S24" s="500"/>
      <c r="T24" s="500"/>
    </row>
    <row r="25" spans="1:20" x14ac:dyDescent="0.25">
      <c r="A25" s="476" t="s">
        <v>262</v>
      </c>
      <c r="B25" s="477">
        <f>'Inventory Sales'!B$13</f>
        <v>544</v>
      </c>
      <c r="C25" s="508">
        <f>'Inventory Sales'!D$13</f>
        <v>175653</v>
      </c>
      <c r="D25" s="480">
        <f>IF(B25=0,0,C25/B25)</f>
        <v>322.89154411764707</v>
      </c>
      <c r="E25" s="483">
        <f>'Inventory Sales'!B$12</f>
        <v>1148</v>
      </c>
      <c r="F25" s="508">
        <f>'Inventory Sales'!D$12</f>
        <v>331440</v>
      </c>
      <c r="G25" s="480">
        <f>IF(E25=0,0,F25/E25)</f>
        <v>288.71080139372822</v>
      </c>
      <c r="H25" s="483">
        <f>'Inventory Sales'!B$15+'Inventory Sales'!B$16+'Inventory Sales'!B$17</f>
        <v>1773</v>
      </c>
      <c r="I25" s="508">
        <f>'Inventory Sales'!D$15+'Inventory Sales'!D$16+'Inventory Sales'!D$17</f>
        <v>480730</v>
      </c>
      <c r="J25" s="480">
        <f>IF(H25=0,0,I25/H25)</f>
        <v>271.13931190073322</v>
      </c>
      <c r="K25" s="483">
        <f>'Inventory Sales'!B$14</f>
        <v>6124</v>
      </c>
      <c r="L25" s="508">
        <f>'Inventory Sales'!D$14</f>
        <v>1514749</v>
      </c>
      <c r="M25" s="480">
        <f>IF(K25=0,0,L25/K25)</f>
        <v>247.34634225996081</v>
      </c>
      <c r="N25" s="483">
        <f>SUM(B25,E25,H25,K25)</f>
        <v>9589</v>
      </c>
      <c r="O25" s="807">
        <f>SUM(C25,F25,I25,L25)</f>
        <v>2502572</v>
      </c>
      <c r="P25" s="480">
        <f>IF(N25=0,0,O25/N25)</f>
        <v>260.98362707268745</v>
      </c>
      <c r="Q25" s="502"/>
      <c r="R25" s="502"/>
      <c r="S25" s="502"/>
      <c r="T25" s="502"/>
    </row>
    <row r="26" spans="1:20" x14ac:dyDescent="0.25">
      <c r="A26" s="484" t="s">
        <v>228</v>
      </c>
      <c r="B26" s="477">
        <f>'Inventory Sales'!E$13</f>
        <v>24</v>
      </c>
      <c r="C26" s="508">
        <f>'Inventory Sales'!G$13</f>
        <v>7500</v>
      </c>
      <c r="D26" s="480">
        <f t="shared" ref="D26:D36" si="8">IF(B26=0,0,C26/B26)</f>
        <v>312.5</v>
      </c>
      <c r="E26" s="483">
        <f>'Inventory Sales'!E$12</f>
        <v>1087</v>
      </c>
      <c r="F26" s="508">
        <f>'Inventory Sales'!G$12</f>
        <v>333198.46000000002</v>
      </c>
      <c r="G26" s="480">
        <f t="shared" ref="G26:G36" si="9">IF(E26=0,0,F26/E26)</f>
        <v>306.53032198712054</v>
      </c>
      <c r="H26" s="483">
        <f>'Inventory Sales'!E$15+'Inventory Sales'!E$16+'Inventory Sales'!E$17</f>
        <v>1690.1</v>
      </c>
      <c r="I26" s="508">
        <f>'Inventory Sales'!G$15+'Inventory Sales'!G$16+'Inventory Sales'!G$17</f>
        <v>405600</v>
      </c>
      <c r="J26" s="480">
        <f t="shared" ref="J26:J36" si="10">IF(H26=0,0,I26/H26)</f>
        <v>239.98579965682507</v>
      </c>
      <c r="K26" s="483">
        <f>'Inventory Sales'!E$14</f>
        <v>3727.5</v>
      </c>
      <c r="L26" s="508">
        <f>'Inventory Sales'!G$14</f>
        <v>904111</v>
      </c>
      <c r="M26" s="480">
        <f t="shared" ref="M26:M32" si="11">IF(K26=0,0,L26/K26)</f>
        <v>242.5515761234071</v>
      </c>
      <c r="N26" s="483">
        <f t="shared" ref="N26:N32" si="12">SUM(B26,E26,H26,K26)</f>
        <v>6528.6</v>
      </c>
      <c r="O26" s="807">
        <f t="shared" ref="O26:O32" si="13">SUM(C26,F26,I26,L26)</f>
        <v>1650409.46</v>
      </c>
      <c r="P26" s="480">
        <f t="shared" ref="P26:P32" si="14">IF(N26=0,0,O26/N26)</f>
        <v>252.79684158931468</v>
      </c>
      <c r="Q26" s="502"/>
      <c r="R26" s="502"/>
      <c r="S26" s="502"/>
      <c r="T26" s="502"/>
    </row>
    <row r="27" spans="1:20" x14ac:dyDescent="0.25">
      <c r="A27" s="484" t="s">
        <v>263</v>
      </c>
      <c r="B27" s="477">
        <f>'Inventory Sales'!H$13</f>
        <v>0</v>
      </c>
      <c r="C27" s="508">
        <f>'Inventory Sales'!J$13</f>
        <v>0</v>
      </c>
      <c r="D27" s="480">
        <f t="shared" si="8"/>
        <v>0</v>
      </c>
      <c r="E27" s="483">
        <f>'Inventory Sales'!H$12</f>
        <v>0</v>
      </c>
      <c r="F27" s="508">
        <f>'Inventory Sales'!J$12</f>
        <v>0</v>
      </c>
      <c r="G27" s="480">
        <f t="shared" si="9"/>
        <v>0</v>
      </c>
      <c r="H27" s="483">
        <f>'Inventory Sales'!H$15+'Inventory Sales'!H$16+'Inventory Sales'!H$17</f>
        <v>0</v>
      </c>
      <c r="I27" s="508">
        <f>'Inventory Sales'!J$15+'Inventory Sales'!J$16+'Inventory Sales'!J$17</f>
        <v>0</v>
      </c>
      <c r="J27" s="480">
        <f t="shared" si="10"/>
        <v>0</v>
      </c>
      <c r="K27" s="483">
        <f>'Inventory Sales'!H$14</f>
        <v>0</v>
      </c>
      <c r="L27" s="508">
        <f>'Inventory Sales'!J$14</f>
        <v>0</v>
      </c>
      <c r="M27" s="480">
        <f t="shared" si="11"/>
        <v>0</v>
      </c>
      <c r="N27" s="483">
        <f t="shared" si="12"/>
        <v>0</v>
      </c>
      <c r="O27" s="807">
        <f t="shared" si="13"/>
        <v>0</v>
      </c>
      <c r="P27" s="480">
        <f t="shared" si="14"/>
        <v>0</v>
      </c>
      <c r="Q27" s="502"/>
      <c r="R27" s="502"/>
      <c r="S27" s="502"/>
      <c r="T27" s="502"/>
    </row>
    <row r="28" spans="1:20" x14ac:dyDescent="0.25">
      <c r="A28" s="484" t="s">
        <v>264</v>
      </c>
      <c r="B28" s="477">
        <f>'Inventory Sales'!K$13</f>
        <v>0</v>
      </c>
      <c r="C28" s="508">
        <f>'Inventory Sales'!M$13</f>
        <v>0</v>
      </c>
      <c r="D28" s="480">
        <f t="shared" si="8"/>
        <v>0</v>
      </c>
      <c r="E28" s="483">
        <f>'Inventory Sales'!K$12</f>
        <v>0</v>
      </c>
      <c r="F28" s="508">
        <f>'Inventory Sales'!M$12</f>
        <v>0</v>
      </c>
      <c r="G28" s="480">
        <f t="shared" si="9"/>
        <v>0</v>
      </c>
      <c r="H28" s="483">
        <f>'Inventory Sales'!K$15+'Inventory Sales'!K$16+'Inventory Sales'!K$17</f>
        <v>0</v>
      </c>
      <c r="I28" s="508">
        <f>'Inventory Sales'!M$15+'Inventory Sales'!M$16+'Inventory Sales'!M$17</f>
        <v>0</v>
      </c>
      <c r="J28" s="480">
        <f t="shared" si="10"/>
        <v>0</v>
      </c>
      <c r="K28" s="483">
        <f>'Inventory Sales'!K$14</f>
        <v>0</v>
      </c>
      <c r="L28" s="508">
        <f>'Inventory Sales'!M$14</f>
        <v>0</v>
      </c>
      <c r="M28" s="480">
        <f t="shared" si="11"/>
        <v>0</v>
      </c>
      <c r="N28" s="483">
        <f t="shared" si="12"/>
        <v>0</v>
      </c>
      <c r="O28" s="807">
        <f t="shared" si="13"/>
        <v>0</v>
      </c>
      <c r="P28" s="480">
        <f t="shared" si="14"/>
        <v>0</v>
      </c>
      <c r="Q28" s="502"/>
      <c r="R28" s="502"/>
      <c r="S28" s="502"/>
      <c r="T28" s="502"/>
    </row>
    <row r="29" spans="1:20" x14ac:dyDescent="0.25">
      <c r="A29" s="484" t="s">
        <v>265</v>
      </c>
      <c r="B29" s="477">
        <f>'Inventory Sales'!N$13</f>
        <v>0</v>
      </c>
      <c r="C29" s="508">
        <f>'Inventory Sales'!P$13</f>
        <v>0</v>
      </c>
      <c r="D29" s="480">
        <f t="shared" si="8"/>
        <v>0</v>
      </c>
      <c r="E29" s="483">
        <f>'Inventory Sales'!N$12</f>
        <v>0</v>
      </c>
      <c r="F29" s="508">
        <f>'Inventory Sales'!P$12</f>
        <v>0</v>
      </c>
      <c r="G29" s="480">
        <f t="shared" si="9"/>
        <v>0</v>
      </c>
      <c r="H29" s="483">
        <f>'Inventory Sales'!N$15+'Inventory Sales'!N$16+'Inventory Sales'!N$17</f>
        <v>0</v>
      </c>
      <c r="I29" s="508">
        <f>'Inventory Sales'!P$15+'Inventory Sales'!P$16+'Inventory Sales'!P$17</f>
        <v>0</v>
      </c>
      <c r="J29" s="480">
        <f t="shared" si="10"/>
        <v>0</v>
      </c>
      <c r="K29" s="483">
        <f>'Inventory Sales'!N$14</f>
        <v>0</v>
      </c>
      <c r="L29" s="508">
        <f>'Inventory Sales'!P$14</f>
        <v>0</v>
      </c>
      <c r="M29" s="480">
        <f t="shared" si="11"/>
        <v>0</v>
      </c>
      <c r="N29" s="483">
        <f t="shared" si="12"/>
        <v>0</v>
      </c>
      <c r="O29" s="807">
        <f t="shared" si="13"/>
        <v>0</v>
      </c>
      <c r="P29" s="480">
        <f t="shared" si="14"/>
        <v>0</v>
      </c>
      <c r="Q29" s="502"/>
      <c r="R29" s="502"/>
      <c r="S29" s="502"/>
      <c r="T29" s="502"/>
    </row>
    <row r="30" spans="1:20" x14ac:dyDescent="0.25">
      <c r="A30" s="484" t="s">
        <v>266</v>
      </c>
      <c r="B30" s="477">
        <f>'Inventory Sales'!Q$13</f>
        <v>0</v>
      </c>
      <c r="C30" s="508">
        <f>'Inventory Sales'!S$13</f>
        <v>0</v>
      </c>
      <c r="D30" s="480">
        <f t="shared" si="8"/>
        <v>0</v>
      </c>
      <c r="E30" s="483">
        <f>'Inventory Sales'!Q$12</f>
        <v>0</v>
      </c>
      <c r="F30" s="508">
        <f>'Inventory Sales'!S$12</f>
        <v>0</v>
      </c>
      <c r="G30" s="480">
        <f t="shared" si="9"/>
        <v>0</v>
      </c>
      <c r="H30" s="483">
        <f>'Inventory Sales'!Q$15+'Inventory Sales'!Q$16+'Inventory Sales'!Q$17</f>
        <v>0</v>
      </c>
      <c r="I30" s="508">
        <f>'Inventory Sales'!S$15+'Inventory Sales'!S$16+'Inventory Sales'!S$17</f>
        <v>0</v>
      </c>
      <c r="J30" s="480">
        <f t="shared" si="10"/>
        <v>0</v>
      </c>
      <c r="K30" s="483">
        <f>'Inventory Sales'!Q$14</f>
        <v>0</v>
      </c>
      <c r="L30" s="508">
        <f>'Inventory Sales'!S$14</f>
        <v>0</v>
      </c>
      <c r="M30" s="480">
        <f t="shared" si="11"/>
        <v>0</v>
      </c>
      <c r="N30" s="483">
        <f t="shared" si="12"/>
        <v>0</v>
      </c>
      <c r="O30" s="807">
        <f t="shared" si="13"/>
        <v>0</v>
      </c>
      <c r="P30" s="480">
        <f t="shared" si="14"/>
        <v>0</v>
      </c>
      <c r="Q30" s="502"/>
      <c r="R30" s="502"/>
      <c r="S30" s="502"/>
      <c r="T30" s="502"/>
    </row>
    <row r="31" spans="1:20" x14ac:dyDescent="0.25">
      <c r="A31" s="484" t="s">
        <v>267</v>
      </c>
      <c r="B31" s="477">
        <f>'Inventory Sales'!T$13</f>
        <v>0</v>
      </c>
      <c r="C31" s="508">
        <f>'Inventory Sales'!V$13</f>
        <v>0</v>
      </c>
      <c r="D31" s="480">
        <f t="shared" si="8"/>
        <v>0</v>
      </c>
      <c r="E31" s="483">
        <f>'Inventory Sales'!T$12</f>
        <v>0</v>
      </c>
      <c r="F31" s="508">
        <f>'Inventory Sales'!V$12</f>
        <v>0</v>
      </c>
      <c r="G31" s="480">
        <f t="shared" si="9"/>
        <v>0</v>
      </c>
      <c r="H31" s="483">
        <f>'Inventory Sales'!T$15+'Inventory Sales'!T$16+'Inventory Sales'!T$17</f>
        <v>0</v>
      </c>
      <c r="I31" s="508">
        <f>'Inventory Sales'!V$15+'Inventory Sales'!V$16+'Inventory Sales'!V$17</f>
        <v>0</v>
      </c>
      <c r="J31" s="480">
        <f t="shared" si="10"/>
        <v>0</v>
      </c>
      <c r="K31" s="483">
        <f>'Inventory Sales'!T$14</f>
        <v>0</v>
      </c>
      <c r="L31" s="508">
        <f>'Inventory Sales'!V$14</f>
        <v>0</v>
      </c>
      <c r="M31" s="480">
        <f t="shared" si="11"/>
        <v>0</v>
      </c>
      <c r="N31" s="483">
        <f t="shared" si="12"/>
        <v>0</v>
      </c>
      <c r="O31" s="807">
        <f t="shared" si="13"/>
        <v>0</v>
      </c>
      <c r="P31" s="480">
        <f t="shared" si="14"/>
        <v>0</v>
      </c>
      <c r="Q31" s="502"/>
      <c r="R31" s="502"/>
      <c r="S31" s="502"/>
      <c r="T31" s="502"/>
    </row>
    <row r="32" spans="1:20" x14ac:dyDescent="0.25">
      <c r="A32" s="484" t="s">
        <v>229</v>
      </c>
      <c r="B32" s="477">
        <f>'Inventory Sales'!W$13</f>
        <v>0</v>
      </c>
      <c r="C32" s="508">
        <f>'Inventory Sales'!Y$13</f>
        <v>0</v>
      </c>
      <c r="D32" s="480">
        <f t="shared" si="8"/>
        <v>0</v>
      </c>
      <c r="E32" s="483">
        <f>'Inventory Sales'!W$12</f>
        <v>0</v>
      </c>
      <c r="F32" s="508">
        <f>'Inventory Sales'!Y$12</f>
        <v>0</v>
      </c>
      <c r="G32" s="480">
        <f t="shared" si="9"/>
        <v>0</v>
      </c>
      <c r="H32" s="483">
        <f>'Inventory Sales'!W$15+'Inventory Sales'!W$16+'Inventory Sales'!W$17</f>
        <v>0</v>
      </c>
      <c r="I32" s="508">
        <f>'Inventory Sales'!Y$15+'Inventory Sales'!Y$16+'Inventory Sales'!Y$17</f>
        <v>0</v>
      </c>
      <c r="J32" s="480">
        <f t="shared" si="10"/>
        <v>0</v>
      </c>
      <c r="K32" s="483">
        <f>'Inventory Sales'!W$14</f>
        <v>0</v>
      </c>
      <c r="L32" s="508">
        <f>'Inventory Sales'!Y$14</f>
        <v>0</v>
      </c>
      <c r="M32" s="480">
        <f t="shared" si="11"/>
        <v>0</v>
      </c>
      <c r="N32" s="483">
        <f t="shared" si="12"/>
        <v>0</v>
      </c>
      <c r="O32" s="807">
        <f t="shared" si="13"/>
        <v>0</v>
      </c>
      <c r="P32" s="480">
        <f t="shared" si="14"/>
        <v>0</v>
      </c>
      <c r="Q32" s="502"/>
      <c r="R32" s="502"/>
      <c r="S32" s="502"/>
      <c r="T32" s="502"/>
    </row>
    <row r="33" spans="1:20" x14ac:dyDescent="0.25">
      <c r="A33" s="484" t="s">
        <v>230</v>
      </c>
      <c r="B33" s="477">
        <f>'Inventory Sales'!Z$13</f>
        <v>0</v>
      </c>
      <c r="C33" s="508">
        <f>'Inventory Sales'!AB$13</f>
        <v>0</v>
      </c>
      <c r="D33" s="480">
        <f>IF(B33=0,0,C33/B33)</f>
        <v>0</v>
      </c>
      <c r="E33" s="483">
        <f>'Inventory Sales'!Z$12</f>
        <v>0</v>
      </c>
      <c r="F33" s="508">
        <f>'Inventory Sales'!AB$12</f>
        <v>0</v>
      </c>
      <c r="G33" s="480">
        <f>IF(E33=0,0,F33/E33)</f>
        <v>0</v>
      </c>
      <c r="H33" s="483">
        <f>'Inventory Sales'!Z$15+'Inventory Sales'!Z$16+'Inventory Sales'!Z$17</f>
        <v>0</v>
      </c>
      <c r="I33" s="508">
        <f>'Inventory Sales'!AB$15+'Inventory Sales'!AB$16+'Inventory Sales'!AB$17</f>
        <v>0</v>
      </c>
      <c r="J33" s="480">
        <f>IF(H33=0,0,I33/H33)</f>
        <v>0</v>
      </c>
      <c r="K33" s="483">
        <f>'Inventory Sales'!Z$14</f>
        <v>0</v>
      </c>
      <c r="L33" s="508">
        <f>'Inventory Sales'!AB$14</f>
        <v>0</v>
      </c>
      <c r="M33" s="480">
        <f>IF(K33=0,0,L33/K33)</f>
        <v>0</v>
      </c>
      <c r="N33" s="483">
        <f t="shared" ref="N33:O35" si="15">SUM(B33,E33,H33,K33)</f>
        <v>0</v>
      </c>
      <c r="O33" s="807">
        <f t="shared" si="15"/>
        <v>0</v>
      </c>
      <c r="P33" s="480">
        <f>IF(N33=0,0,O33/N33)</f>
        <v>0</v>
      </c>
      <c r="Q33" s="502"/>
      <c r="R33" s="502"/>
      <c r="S33" s="502"/>
      <c r="T33" s="502"/>
    </row>
    <row r="34" spans="1:20" x14ac:dyDescent="0.25">
      <c r="A34" s="484" t="s">
        <v>231</v>
      </c>
      <c r="B34" s="485">
        <f>'Inventory Sales'!AC13</f>
        <v>0</v>
      </c>
      <c r="C34" s="490">
        <f>'Inventory Sales'!AE13</f>
        <v>0</v>
      </c>
      <c r="D34" s="480">
        <f t="shared" si="8"/>
        <v>0</v>
      </c>
      <c r="E34" s="489">
        <f>'Inventory Sales'!AC12</f>
        <v>0</v>
      </c>
      <c r="F34" s="490">
        <f>'Inventory Sales'!AE12</f>
        <v>0</v>
      </c>
      <c r="G34" s="480">
        <f t="shared" si="9"/>
        <v>0</v>
      </c>
      <c r="H34" s="489">
        <f>'Inventory Sales'!AC15+'Inventory Sales'!AC16+'Inventory Sales'!AC17</f>
        <v>0</v>
      </c>
      <c r="I34" s="490">
        <f>'Inventory Sales'!AE15+'Inventory Sales'!AE16+'Inventory Sales'!AE17</f>
        <v>0</v>
      </c>
      <c r="J34" s="480">
        <f t="shared" si="10"/>
        <v>0</v>
      </c>
      <c r="K34" s="489">
        <f>'Inventory Sales'!AC14</f>
        <v>0</v>
      </c>
      <c r="L34" s="490">
        <f>+'Inventory Sales'!AE14</f>
        <v>0</v>
      </c>
      <c r="M34" s="480">
        <f>IF(K34=0,0,L34/K34)</f>
        <v>0</v>
      </c>
      <c r="N34" s="483">
        <f t="shared" si="15"/>
        <v>0</v>
      </c>
      <c r="O34" s="807">
        <f t="shared" si="15"/>
        <v>0</v>
      </c>
      <c r="P34" s="480">
        <f>IF(N34=0,0,O34/N34)</f>
        <v>0</v>
      </c>
      <c r="Q34" s="502"/>
      <c r="R34" s="502"/>
      <c r="S34" s="502"/>
      <c r="T34" s="502"/>
    </row>
    <row r="35" spans="1:20" x14ac:dyDescent="0.25">
      <c r="A35" s="484" t="s">
        <v>232</v>
      </c>
      <c r="B35" s="485">
        <f>'Inventory Sales'!AF13</f>
        <v>0</v>
      </c>
      <c r="C35" s="490">
        <f>'Inventory Sales'!AH13</f>
        <v>0</v>
      </c>
      <c r="D35" s="480">
        <f t="shared" si="8"/>
        <v>0</v>
      </c>
      <c r="E35" s="489"/>
      <c r="F35" s="490"/>
      <c r="G35" s="480">
        <f t="shared" si="9"/>
        <v>0</v>
      </c>
      <c r="H35" s="489">
        <f>'Inventory Sales'!AF15</f>
        <v>0</v>
      </c>
      <c r="I35" s="490">
        <f>'Inventory Sales'!AH15</f>
        <v>0</v>
      </c>
      <c r="J35" s="480">
        <f t="shared" si="10"/>
        <v>0</v>
      </c>
      <c r="K35" s="489">
        <f>'Inventory Sales'!AF14</f>
        <v>0</v>
      </c>
      <c r="L35" s="490">
        <f>'Inventory Sales'!AH14</f>
        <v>0</v>
      </c>
      <c r="M35" s="480">
        <f>IF(K35=0,0,L35/K35)</f>
        <v>0</v>
      </c>
      <c r="N35" s="483">
        <f t="shared" si="15"/>
        <v>0</v>
      </c>
      <c r="O35" s="807">
        <f t="shared" si="15"/>
        <v>0</v>
      </c>
      <c r="P35" s="480">
        <f>IF(N35=0,0,O35/N35)</f>
        <v>0</v>
      </c>
      <c r="Q35" s="502"/>
      <c r="R35" s="502"/>
      <c r="S35" s="502"/>
      <c r="T35" s="502"/>
    </row>
    <row r="36" spans="1:20" ht="13.8" thickBot="1" x14ac:dyDescent="0.3">
      <c r="A36" s="492" t="s">
        <v>268</v>
      </c>
      <c r="B36" s="830">
        <f>'Inventory Sales'!AI13</f>
        <v>0</v>
      </c>
      <c r="C36" s="826">
        <f>'Inventory Sales'!AK13</f>
        <v>0</v>
      </c>
      <c r="D36" s="480">
        <f t="shared" si="8"/>
        <v>0</v>
      </c>
      <c r="E36" s="827">
        <f>'Inventory Sales'!AI12</f>
        <v>0</v>
      </c>
      <c r="F36" s="826">
        <f>'Inventory Sales'!AK12</f>
        <v>0</v>
      </c>
      <c r="G36" s="480">
        <f t="shared" si="9"/>
        <v>0</v>
      </c>
      <c r="H36" s="827"/>
      <c r="I36" s="826"/>
      <c r="J36" s="480">
        <f t="shared" si="10"/>
        <v>0</v>
      </c>
      <c r="K36" s="827">
        <f>'Inventory Sales'!AI14</f>
        <v>0</v>
      </c>
      <c r="L36" s="826">
        <f>'Inventory Sales'!AK14</f>
        <v>0</v>
      </c>
      <c r="M36" s="480"/>
      <c r="N36" s="483">
        <f>SUM(B36,E36,H36,K36)</f>
        <v>0</v>
      </c>
      <c r="O36" s="807">
        <f>SUM(C36,F36,I36,L36)</f>
        <v>0</v>
      </c>
      <c r="P36" s="480">
        <f>IF(N36=0,0,O36/N36)</f>
        <v>0</v>
      </c>
      <c r="Q36" s="502"/>
      <c r="R36" s="502"/>
      <c r="S36" s="502"/>
      <c r="T36" s="502"/>
    </row>
    <row r="37" spans="1:20" ht="13.8" thickBot="1" x14ac:dyDescent="0.3">
      <c r="A37" s="493" t="s">
        <v>101</v>
      </c>
      <c r="B37" s="494">
        <f>SUM(B25:B36)</f>
        <v>568</v>
      </c>
      <c r="C37" s="496">
        <f>SUM(C25:C36)</f>
        <v>183153</v>
      </c>
      <c r="D37" s="499">
        <f>C37/B37</f>
        <v>322.45246478873241</v>
      </c>
      <c r="E37" s="495">
        <f>SUM(E25:E36)</f>
        <v>2235</v>
      </c>
      <c r="F37" s="496">
        <f>SUM(F25:F36)</f>
        <v>664638.46</v>
      </c>
      <c r="G37" s="499">
        <f>F37/E37</f>
        <v>297.37738702460848</v>
      </c>
      <c r="H37" s="495">
        <f>SUM(H25:H36)</f>
        <v>3463.1</v>
      </c>
      <c r="I37" s="496">
        <f>SUM(I25:I36)</f>
        <v>886330</v>
      </c>
      <c r="J37" s="499">
        <f>I37/H37</f>
        <v>255.93543357107794</v>
      </c>
      <c r="K37" s="495">
        <f>SUM(K25:K36)</f>
        <v>9851.5</v>
      </c>
      <c r="L37" s="496">
        <f>SUM(L25:L36)</f>
        <v>2418860</v>
      </c>
      <c r="M37" s="499">
        <f>L37/K37</f>
        <v>245.53215246409175</v>
      </c>
      <c r="N37" s="495">
        <f>SUM(N25:N36)</f>
        <v>16117.6</v>
      </c>
      <c r="O37" s="496">
        <f>SUM(O25:O36)</f>
        <v>4152981.46</v>
      </c>
      <c r="P37" s="497">
        <f>O37/N37</f>
        <v>257.66748523353351</v>
      </c>
      <c r="Q37" s="502"/>
      <c r="R37" s="502"/>
      <c r="S37" s="502"/>
      <c r="T37" s="502"/>
    </row>
    <row r="39" spans="1:20" ht="13.8" thickBot="1" x14ac:dyDescent="0.3"/>
    <row r="40" spans="1:20" ht="13.8" thickBot="1" x14ac:dyDescent="0.3">
      <c r="A40" s="510"/>
      <c r="B40" s="509"/>
      <c r="C40" s="509"/>
      <c r="D40" s="509"/>
      <c r="E40" s="509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11"/>
    </row>
    <row r="41" spans="1:20" ht="13.8" thickBot="1" x14ac:dyDescent="0.3">
      <c r="A41" s="507" t="s">
        <v>260</v>
      </c>
      <c r="B41" s="3217" t="s">
        <v>48</v>
      </c>
      <c r="C41" s="3218"/>
      <c r="D41" s="3218"/>
      <c r="E41" s="3219" t="s">
        <v>361</v>
      </c>
      <c r="F41" s="3218"/>
      <c r="G41" s="3218"/>
      <c r="H41" s="3219" t="s">
        <v>363</v>
      </c>
      <c r="I41" s="3218"/>
      <c r="J41" s="3223"/>
      <c r="K41" s="3219" t="s">
        <v>362</v>
      </c>
      <c r="L41" s="3218"/>
      <c r="M41" s="3218"/>
      <c r="N41" s="3219" t="s">
        <v>101</v>
      </c>
      <c r="O41" s="3218"/>
      <c r="P41" s="3223"/>
    </row>
    <row r="42" spans="1:20" x14ac:dyDescent="0.25">
      <c r="A42" s="476" t="s">
        <v>262</v>
      </c>
      <c r="B42" s="477">
        <f>'Inventory Sales'!B$25</f>
        <v>0</v>
      </c>
      <c r="C42" s="508">
        <f>'Inventory Sales'!D$25+'Inventory Sales'!D24</f>
        <v>0</v>
      </c>
      <c r="D42" s="480">
        <f>IF(B42=0,0,C42/B42)</f>
        <v>0</v>
      </c>
      <c r="E42" s="483">
        <f>'Inventory Sales'!B$21</f>
        <v>2174</v>
      </c>
      <c r="F42" s="508"/>
      <c r="G42" s="480">
        <f>IF(E42=0,0,F42/E42)</f>
        <v>0</v>
      </c>
      <c r="H42" s="483">
        <f>'Inventory Sales'!B$20+'Inventory Sales'!B$22</f>
        <v>0</v>
      </c>
      <c r="I42" s="508">
        <f>'Inventory Sales'!G$20+'Inventory Sales'!G$22</f>
        <v>0</v>
      </c>
      <c r="J42" s="480">
        <f>IF(H42=0,0,I42/H42)</f>
        <v>0</v>
      </c>
      <c r="K42" s="483"/>
      <c r="L42" s="508">
        <f>'Inventory Sales'!D$19</f>
        <v>0</v>
      </c>
      <c r="M42" s="480"/>
      <c r="N42" s="483">
        <f>SUM(B42,E42,H42,K42)</f>
        <v>2174</v>
      </c>
      <c r="O42" s="807">
        <f>SUM(C42,F42,I42,L42)</f>
        <v>0</v>
      </c>
      <c r="P42" s="480">
        <f>IF(N42=0,0,O42/N42)</f>
        <v>0</v>
      </c>
    </row>
    <row r="43" spans="1:20" x14ac:dyDescent="0.25">
      <c r="A43" s="484" t="s">
        <v>228</v>
      </c>
      <c r="B43" s="477">
        <f>'Inventory Sales'!E$25</f>
        <v>0</v>
      </c>
      <c r="C43" s="508">
        <f>'Inventory Sales'!G$25+'Inventory Sales'!G24</f>
        <v>9500</v>
      </c>
      <c r="D43" s="480">
        <f t="shared" ref="D43:D53" si="16">IF(B43=0,0,C43/B43)</f>
        <v>0</v>
      </c>
      <c r="E43" s="483">
        <f>'Inventory Sales'!E$21</f>
        <v>7460</v>
      </c>
      <c r="F43" s="508">
        <f>'Inventory Sales'!G21</f>
        <v>74600</v>
      </c>
      <c r="G43" s="480">
        <f t="shared" ref="G43:G53" si="17">IF(E43=0,0,F43/E43)</f>
        <v>10</v>
      </c>
      <c r="H43" s="483">
        <f>'Inventory Sales'!E$20+'Inventory Sales'!E$22</f>
        <v>0</v>
      </c>
      <c r="I43" s="508">
        <f>'Inventory Sales'!G$20+'Inventory Sales'!G$22</f>
        <v>0</v>
      </c>
      <c r="J43" s="480">
        <f t="shared" ref="J43:J53" si="18">IF(H43=0,0,I43/H43)</f>
        <v>0</v>
      </c>
      <c r="K43" s="483"/>
      <c r="L43" s="508">
        <f>'Inventory Sales'!G$19</f>
        <v>0</v>
      </c>
      <c r="M43" s="480"/>
      <c r="N43" s="483"/>
      <c r="O43" s="807">
        <f t="shared" ref="O43:O49" si="19">SUM(C43,F43,I43,L43)</f>
        <v>84100</v>
      </c>
      <c r="P43" s="480">
        <f t="shared" ref="P43:P53" si="20">IF(N43=0,0,O43/N43)</f>
        <v>0</v>
      </c>
    </row>
    <row r="44" spans="1:20" x14ac:dyDescent="0.25">
      <c r="A44" s="484" t="s">
        <v>263</v>
      </c>
      <c r="B44" s="477">
        <f>'Inventory Sales'!H$25</f>
        <v>0</v>
      </c>
      <c r="C44" s="508">
        <f>'Inventory Sales'!J$25+'Inventory Sales'!J24</f>
        <v>0</v>
      </c>
      <c r="D44" s="480">
        <f t="shared" si="16"/>
        <v>0</v>
      </c>
      <c r="E44" s="483">
        <f>'Inventory Sales'!H$21</f>
        <v>0</v>
      </c>
      <c r="F44" s="508">
        <f>'Inventory Sales'!J$21</f>
        <v>0</v>
      </c>
      <c r="G44" s="480">
        <f t="shared" si="17"/>
        <v>0</v>
      </c>
      <c r="H44" s="483">
        <f>'Inventory Sales'!H$20+'Inventory Sales'!H$22</f>
        <v>0</v>
      </c>
      <c r="I44" s="508">
        <f>'Inventory Sales'!J$20+'Inventory Sales'!J$22</f>
        <v>0</v>
      </c>
      <c r="J44" s="480">
        <f t="shared" si="18"/>
        <v>0</v>
      </c>
      <c r="K44" s="483"/>
      <c r="L44" s="508">
        <f>'Inventory Sales'!J$19</f>
        <v>0</v>
      </c>
      <c r="M44" s="480"/>
      <c r="N44" s="483"/>
      <c r="O44" s="807">
        <f t="shared" si="19"/>
        <v>0</v>
      </c>
      <c r="P44" s="480">
        <f t="shared" si="20"/>
        <v>0</v>
      </c>
    </row>
    <row r="45" spans="1:20" x14ac:dyDescent="0.25">
      <c r="A45" s="484" t="s">
        <v>264</v>
      </c>
      <c r="B45" s="477">
        <f>'Inventory Sales'!K$25</f>
        <v>0</v>
      </c>
      <c r="C45" s="508">
        <f>'Inventory Sales'!M$25+'Inventory Sales'!M24+'Inventory Sales'!M23</f>
        <v>0</v>
      </c>
      <c r="D45" s="480">
        <f t="shared" si="16"/>
        <v>0</v>
      </c>
      <c r="E45" s="483">
        <f>'Inventory Sales'!K$21</f>
        <v>0</v>
      </c>
      <c r="F45" s="508">
        <f>'Inventory Sales'!M$21</f>
        <v>0</v>
      </c>
      <c r="G45" s="480">
        <f t="shared" si="17"/>
        <v>0</v>
      </c>
      <c r="H45" s="483">
        <f>'Inventory Sales'!K$20+'Inventory Sales'!K$22</f>
        <v>0</v>
      </c>
      <c r="I45" s="508">
        <f>'Inventory Sales'!M$20+'Inventory Sales'!M$22</f>
        <v>0</v>
      </c>
      <c r="J45" s="480">
        <f t="shared" si="18"/>
        <v>0</v>
      </c>
      <c r="K45" s="483"/>
      <c r="L45" s="508">
        <f>'Inventory Sales'!M$19</f>
        <v>0</v>
      </c>
      <c r="M45" s="480"/>
      <c r="N45" s="483"/>
      <c r="O45" s="807">
        <f t="shared" si="19"/>
        <v>0</v>
      </c>
      <c r="P45" s="480">
        <f t="shared" si="20"/>
        <v>0</v>
      </c>
    </row>
    <row r="46" spans="1:20" x14ac:dyDescent="0.25">
      <c r="A46" s="484" t="s">
        <v>265</v>
      </c>
      <c r="B46" s="477">
        <f>'Inventory Sales'!N$25</f>
        <v>0</v>
      </c>
      <c r="C46" s="508">
        <f>'Inventory Sales'!P$25</f>
        <v>0</v>
      </c>
      <c r="D46" s="480">
        <f t="shared" si="16"/>
        <v>0</v>
      </c>
      <c r="E46" s="483">
        <f>'Inventory Sales'!N$21</f>
        <v>0</v>
      </c>
      <c r="F46" s="508">
        <f>'Inventory Sales'!P$21</f>
        <v>0</v>
      </c>
      <c r="G46" s="480">
        <f t="shared" si="17"/>
        <v>0</v>
      </c>
      <c r="H46" s="483">
        <f>'Inventory Sales'!N$20+'Inventory Sales'!N$22</f>
        <v>0</v>
      </c>
      <c r="I46" s="508">
        <f>'Inventory Sales'!P$20+'Inventory Sales'!P$22</f>
        <v>0</v>
      </c>
      <c r="J46" s="480">
        <f t="shared" si="18"/>
        <v>0</v>
      </c>
      <c r="K46" s="483"/>
      <c r="L46" s="508">
        <f>'Inventory Sales'!P$19</f>
        <v>0</v>
      </c>
      <c r="M46" s="480"/>
      <c r="N46" s="483"/>
      <c r="O46" s="807">
        <f t="shared" si="19"/>
        <v>0</v>
      </c>
      <c r="P46" s="480">
        <f t="shared" si="20"/>
        <v>0</v>
      </c>
    </row>
    <row r="47" spans="1:20" x14ac:dyDescent="0.25">
      <c r="A47" s="484" t="s">
        <v>266</v>
      </c>
      <c r="B47" s="477">
        <f>'Inventory Sales'!Q$25</f>
        <v>0</v>
      </c>
      <c r="C47" s="508">
        <f>'Inventory Sales'!S$25</f>
        <v>0</v>
      </c>
      <c r="D47" s="480">
        <f t="shared" si="16"/>
        <v>0</v>
      </c>
      <c r="E47" s="483">
        <f>'Inventory Sales'!Q$21</f>
        <v>0</v>
      </c>
      <c r="F47" s="508">
        <f>'Inventory Sales'!S$21</f>
        <v>0</v>
      </c>
      <c r="G47" s="480">
        <f t="shared" si="17"/>
        <v>0</v>
      </c>
      <c r="H47" s="483">
        <f>'Inventory Sales'!Q$20+'Inventory Sales'!Q$22</f>
        <v>0</v>
      </c>
      <c r="I47" s="508">
        <f>'Inventory Sales'!S$20+'Inventory Sales'!S$22</f>
        <v>0</v>
      </c>
      <c r="J47" s="480">
        <f t="shared" si="18"/>
        <v>0</v>
      </c>
      <c r="K47" s="483"/>
      <c r="L47" s="508">
        <f>'Inventory Sales'!S$19</f>
        <v>0</v>
      </c>
      <c r="M47" s="480"/>
      <c r="N47" s="483"/>
      <c r="O47" s="807">
        <f t="shared" si="19"/>
        <v>0</v>
      </c>
      <c r="P47" s="480">
        <f t="shared" si="20"/>
        <v>0</v>
      </c>
    </row>
    <row r="48" spans="1:20" x14ac:dyDescent="0.25">
      <c r="A48" s="484" t="s">
        <v>267</v>
      </c>
      <c r="B48" s="477">
        <f>'Inventory Sales'!T$25</f>
        <v>0</v>
      </c>
      <c r="C48" s="508">
        <f>'Inventory Sales'!V$25</f>
        <v>0</v>
      </c>
      <c r="D48" s="480">
        <f t="shared" si="16"/>
        <v>0</v>
      </c>
      <c r="E48" s="483">
        <f>'Inventory Sales'!T$21</f>
        <v>0</v>
      </c>
      <c r="F48" s="508">
        <f>'Inventory Sales'!V$21</f>
        <v>0</v>
      </c>
      <c r="G48" s="480">
        <f t="shared" si="17"/>
        <v>0</v>
      </c>
      <c r="H48" s="483">
        <f>'Inventory Sales'!T$20+'Inventory Sales'!T$22</f>
        <v>0</v>
      </c>
      <c r="I48" s="508">
        <f>'Inventory Sales'!V$20+'Inventory Sales'!V$22</f>
        <v>0</v>
      </c>
      <c r="J48" s="480">
        <f t="shared" si="18"/>
        <v>0</v>
      </c>
      <c r="K48" s="483"/>
      <c r="L48" s="508"/>
      <c r="M48" s="480"/>
      <c r="N48" s="483"/>
      <c r="O48" s="807">
        <f t="shared" si="19"/>
        <v>0</v>
      </c>
      <c r="P48" s="480">
        <f t="shared" si="20"/>
        <v>0</v>
      </c>
    </row>
    <row r="49" spans="1:16" x14ac:dyDescent="0.25">
      <c r="A49" s="484" t="s">
        <v>229</v>
      </c>
      <c r="B49" s="477">
        <f>'Inventory Sales'!W$25</f>
        <v>0</v>
      </c>
      <c r="C49" s="508">
        <f>'Inventory Sales'!Y$25</f>
        <v>0</v>
      </c>
      <c r="D49" s="480">
        <f t="shared" si="16"/>
        <v>0</v>
      </c>
      <c r="E49" s="483">
        <f>'Inventory Sales'!W$21</f>
        <v>0</v>
      </c>
      <c r="F49" s="508">
        <f>'Inventory Sales'!Y$21</f>
        <v>0</v>
      </c>
      <c r="G49" s="480">
        <f t="shared" si="17"/>
        <v>0</v>
      </c>
      <c r="H49" s="483">
        <f>'Inventory Sales'!W$20+'Inventory Sales'!W$22</f>
        <v>0</v>
      </c>
      <c r="I49" s="508">
        <f>'Inventory Sales'!Y$20+'Inventory Sales'!Y$22</f>
        <v>0</v>
      </c>
      <c r="J49" s="480">
        <f t="shared" si="18"/>
        <v>0</v>
      </c>
      <c r="K49" s="483"/>
      <c r="L49" s="508">
        <f>'Inventory Sales'!Y$19</f>
        <v>0</v>
      </c>
      <c r="M49" s="480"/>
      <c r="N49" s="483"/>
      <c r="O49" s="807">
        <f t="shared" si="19"/>
        <v>0</v>
      </c>
      <c r="P49" s="480">
        <f t="shared" si="20"/>
        <v>0</v>
      </c>
    </row>
    <row r="50" spans="1:16" x14ac:dyDescent="0.25">
      <c r="A50" s="484" t="s">
        <v>230</v>
      </c>
      <c r="B50" s="477">
        <f>'Inventory Sales'!Z$25</f>
        <v>0</v>
      </c>
      <c r="C50" s="508">
        <f>'Inventory Sales'!AB$25</f>
        <v>0</v>
      </c>
      <c r="D50" s="480">
        <f>IF(B50=0,0,C50/B50)</f>
        <v>0</v>
      </c>
      <c r="E50" s="483">
        <f>'Inventory Sales'!Z$21</f>
        <v>0</v>
      </c>
      <c r="F50" s="508">
        <f>'Inventory Sales'!AB$21</f>
        <v>0</v>
      </c>
      <c r="G50" s="480">
        <f>IF(E50=0,0,F50/E50)</f>
        <v>0</v>
      </c>
      <c r="H50" s="483">
        <f>'Inventory Sales'!Z$20+'Inventory Sales'!Z$22</f>
        <v>0</v>
      </c>
      <c r="I50" s="508">
        <f>'Inventory Sales'!AB$20+'Inventory Sales'!AB$22</f>
        <v>0</v>
      </c>
      <c r="J50" s="480">
        <f>IF(H50=0,0,I50/H50)</f>
        <v>0</v>
      </c>
      <c r="K50" s="483"/>
      <c r="L50" s="508">
        <f>'Inventory Sales'!AB$19</f>
        <v>0</v>
      </c>
      <c r="M50" s="480"/>
      <c r="N50" s="483"/>
      <c r="O50" s="807">
        <f>SUM(C50,F50,I50,L50)</f>
        <v>0</v>
      </c>
      <c r="P50" s="480">
        <f t="shared" si="20"/>
        <v>0</v>
      </c>
    </row>
    <row r="51" spans="1:16" x14ac:dyDescent="0.25">
      <c r="A51" s="484" t="s">
        <v>231</v>
      </c>
      <c r="B51" s="485">
        <f>'Inventory Sales'!AC25</f>
        <v>0</v>
      </c>
      <c r="C51" s="490">
        <f>'Inventory Sales'!AE25</f>
        <v>0</v>
      </c>
      <c r="D51" s="480">
        <f t="shared" si="16"/>
        <v>0</v>
      </c>
      <c r="E51" s="489">
        <f>'Inventory Sales'!AC21</f>
        <v>0</v>
      </c>
      <c r="F51" s="490">
        <f>'Inventory Sales'!AE21</f>
        <v>0</v>
      </c>
      <c r="G51" s="480">
        <f t="shared" si="17"/>
        <v>0</v>
      </c>
      <c r="H51" s="489"/>
      <c r="I51" s="490"/>
      <c r="J51" s="480">
        <f t="shared" si="18"/>
        <v>0</v>
      </c>
      <c r="K51" s="489"/>
      <c r="L51" s="490">
        <f>'Inventory Sales'!AE19</f>
        <v>0</v>
      </c>
      <c r="M51" s="480"/>
      <c r="N51" s="489"/>
      <c r="O51" s="807">
        <f>SUM(C51,F51,I51,L51)</f>
        <v>0</v>
      </c>
      <c r="P51" s="480">
        <f t="shared" si="20"/>
        <v>0</v>
      </c>
    </row>
    <row r="52" spans="1:16" x14ac:dyDescent="0.25">
      <c r="A52" s="484" t="s">
        <v>232</v>
      </c>
      <c r="B52" s="485">
        <f>'Inventory Sales'!AF25</f>
        <v>0</v>
      </c>
      <c r="C52" s="490">
        <f>'Inventory Sales'!AH25</f>
        <v>0</v>
      </c>
      <c r="D52" s="480">
        <f t="shared" si="16"/>
        <v>0</v>
      </c>
      <c r="E52" s="489">
        <f>'Inventory Sales'!AF21</f>
        <v>0</v>
      </c>
      <c r="F52" s="490">
        <f>'Inventory Sales'!AH21</f>
        <v>0</v>
      </c>
      <c r="G52" s="480">
        <f t="shared" si="17"/>
        <v>0</v>
      </c>
      <c r="H52" s="489">
        <f>'Inventory Sales'!AF20</f>
        <v>0</v>
      </c>
      <c r="I52" s="490">
        <f>'Inventory Sales'!AH20</f>
        <v>0</v>
      </c>
      <c r="J52" s="480">
        <f t="shared" si="18"/>
        <v>0</v>
      </c>
      <c r="K52" s="489"/>
      <c r="L52" s="490">
        <f>'Inventory Sales'!AH19</f>
        <v>0</v>
      </c>
      <c r="M52" s="480"/>
      <c r="N52" s="489"/>
      <c r="O52" s="807">
        <f>SUM(C52,F52,I52,L52)</f>
        <v>0</v>
      </c>
      <c r="P52" s="480">
        <f t="shared" si="20"/>
        <v>0</v>
      </c>
    </row>
    <row r="53" spans="1:16" ht="13.8" thickBot="1" x14ac:dyDescent="0.3">
      <c r="A53" s="492" t="s">
        <v>268</v>
      </c>
      <c r="B53" s="830">
        <f>'Inventory Sales'!AI25</f>
        <v>0</v>
      </c>
      <c r="C53" s="826">
        <f>'Inventory Sales'!AK25</f>
        <v>0</v>
      </c>
      <c r="D53" s="480">
        <f t="shared" si="16"/>
        <v>0</v>
      </c>
      <c r="E53" s="827">
        <f>'Inventory Sales'!AI21</f>
        <v>0</v>
      </c>
      <c r="F53" s="826">
        <f>'Inventory Sales'!AK21</f>
        <v>0</v>
      </c>
      <c r="G53" s="480">
        <f t="shared" si="17"/>
        <v>0</v>
      </c>
      <c r="H53" s="827"/>
      <c r="I53" s="826"/>
      <c r="J53" s="480">
        <f t="shared" si="18"/>
        <v>0</v>
      </c>
      <c r="K53" s="827"/>
      <c r="L53" s="826"/>
      <c r="M53" s="480"/>
      <c r="N53" s="827"/>
      <c r="O53" s="807">
        <f>SUM(C53,F53,I53,L53)</f>
        <v>0</v>
      </c>
      <c r="P53" s="480">
        <f t="shared" si="20"/>
        <v>0</v>
      </c>
    </row>
    <row r="54" spans="1:16" ht="13.8" thickBot="1" x14ac:dyDescent="0.3">
      <c r="A54" s="493" t="s">
        <v>101</v>
      </c>
      <c r="B54" s="494">
        <f>SUM(B42:B53)</f>
        <v>0</v>
      </c>
      <c r="C54" s="496">
        <f>SUM(C42:C53)</f>
        <v>9500</v>
      </c>
      <c r="D54" s="499" t="e">
        <f>C54/B54</f>
        <v>#DIV/0!</v>
      </c>
      <c r="E54" s="495">
        <f>SUM(E42:E53)</f>
        <v>9634</v>
      </c>
      <c r="F54" s="496">
        <f>SUM(F42:F53)</f>
        <v>74600</v>
      </c>
      <c r="G54" s="499">
        <f>F54/E54</f>
        <v>7.7434087606394018</v>
      </c>
      <c r="H54" s="495">
        <f>SUM(H42:H53)</f>
        <v>0</v>
      </c>
      <c r="I54" s="496">
        <f>SUM(I42:I53)</f>
        <v>0</v>
      </c>
      <c r="J54" s="499" t="e">
        <f>I54/H54</f>
        <v>#DIV/0!</v>
      </c>
      <c r="K54" s="495"/>
      <c r="L54" s="496">
        <f>SUM(L42:L53)</f>
        <v>0</v>
      </c>
      <c r="M54" s="499"/>
      <c r="N54" s="495">
        <f>SUM(N42:N53)</f>
        <v>2174</v>
      </c>
      <c r="O54" s="496">
        <f>SUM(O42:O53)</f>
        <v>84100</v>
      </c>
      <c r="P54" s="497"/>
    </row>
    <row r="55" spans="1:16" ht="13.8" thickBot="1" x14ac:dyDescent="0.3"/>
    <row r="56" spans="1:16" ht="13.8" thickBot="1" x14ac:dyDescent="0.3">
      <c r="K56" s="3343" t="s">
        <v>373</v>
      </c>
      <c r="L56" s="3344"/>
      <c r="M56" s="3344"/>
      <c r="N56" s="833">
        <f>N18+N37+B54+E54+H54</f>
        <v>234406.13</v>
      </c>
      <c r="O56" s="834">
        <f>O18+O37+O54</f>
        <v>63585982.359999999</v>
      </c>
    </row>
  </sheetData>
  <mergeCells count="17">
    <mergeCell ref="K24:M24"/>
    <mergeCell ref="K56:M56"/>
    <mergeCell ref="A3:P3"/>
    <mergeCell ref="B41:D41"/>
    <mergeCell ref="E41:G41"/>
    <mergeCell ref="H41:J41"/>
    <mergeCell ref="K41:M41"/>
    <mergeCell ref="N41:P41"/>
    <mergeCell ref="N24:P24"/>
    <mergeCell ref="N4:P4"/>
    <mergeCell ref="B4:D4"/>
    <mergeCell ref="E4:G4"/>
    <mergeCell ref="H4:J4"/>
    <mergeCell ref="K4:M4"/>
    <mergeCell ref="B24:D24"/>
    <mergeCell ref="E24:G24"/>
    <mergeCell ref="H24:J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9</vt:i4>
      </vt:variant>
    </vt:vector>
  </HeadingPairs>
  <TitlesOfParts>
    <vt:vector size="33" baseType="lpstr">
      <vt:lpstr>Table of Contents</vt:lpstr>
      <vt:lpstr>Reconcile(HMT)</vt:lpstr>
      <vt:lpstr>Inventory Sales</vt:lpstr>
      <vt:lpstr>Stock Valuation (FIFO)</vt:lpstr>
      <vt:lpstr>Purchase</vt:lpstr>
      <vt:lpstr>Direct Expns</vt:lpstr>
      <vt:lpstr>Indirect Expns</vt:lpstr>
      <vt:lpstr>CONSUMPTION</vt:lpstr>
      <vt:lpstr>PAL I</vt:lpstr>
      <vt:lpstr>MTY</vt:lpstr>
      <vt:lpstr>Balance Sheet</vt:lpstr>
      <vt:lpstr>P&amp;L</vt:lpstr>
      <vt:lpstr>Cash Flow</vt:lpstr>
      <vt:lpstr>Funds Flow</vt:lpstr>
      <vt:lpstr>KPI's</vt:lpstr>
      <vt:lpstr> Qty Analysis</vt:lpstr>
      <vt:lpstr>Fin Analysis</vt:lpstr>
      <vt:lpstr>Trading PL</vt:lpstr>
      <vt:lpstr>PAL II</vt:lpstr>
      <vt:lpstr>Abt Ratios</vt:lpstr>
      <vt:lpstr>Costing</vt:lpstr>
      <vt:lpstr>Sircilla</vt:lpstr>
      <vt:lpstr>Ins &amp;  Disp Costing</vt:lpstr>
      <vt:lpstr>Sales Summary</vt:lpstr>
      <vt:lpstr>CONSUMPTION!Print_Area</vt:lpstr>
      <vt:lpstr>Costing!Print_Area</vt:lpstr>
      <vt:lpstr>'Direct Expns'!Print_Area</vt:lpstr>
      <vt:lpstr>'Indirect Expns'!Print_Area</vt:lpstr>
      <vt:lpstr>MTY!Print_Area</vt:lpstr>
      <vt:lpstr>'PAL I'!Print_Area</vt:lpstr>
      <vt:lpstr>'PAL II'!Print_Area</vt:lpstr>
      <vt:lpstr>'Stock Valuation (FIFO)'!Print_Area</vt:lpstr>
      <vt:lpstr>'Trading PL'!Print_Area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Deepa Umashankar</cp:lastModifiedBy>
  <cp:lastPrinted>2026-04-22T08:19:10Z</cp:lastPrinted>
  <dcterms:created xsi:type="dcterms:W3CDTF">1996-10-14T23:33:28Z</dcterms:created>
  <dcterms:modified xsi:type="dcterms:W3CDTF">2026-06-18T12:04:56Z</dcterms:modified>
</cp:coreProperties>
</file>