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E:\Current FY 2020 Onwards\AI-MIS\Srp AI\AI Analysis\PMC\"/>
    </mc:Choice>
  </mc:AlternateContent>
  <xr:revisionPtr revIDLastSave="0" documentId="13_ncr:1_{0EE8E131-4101-44AB-B68C-89E68807ECFF}" xr6:coauthVersionLast="47" xr6:coauthVersionMax="47" xr10:uidLastSave="{00000000-0000-0000-0000-000000000000}"/>
  <bookViews>
    <workbookView xWindow="-120" yWindow="-120" windowWidth="29040" windowHeight="15720" tabRatio="500" firstSheet="2" activeTab="5" xr2:uid="{00000000-000D-0000-FFFF-FFFF00000000}"/>
  </bookViews>
  <sheets>
    <sheet name="How to Use" sheetId="1" r:id="rId1"/>
    <sheet name="Apr26" sheetId="2" r:id="rId2"/>
    <sheet name="Rate Card" sheetId="3" r:id="rId3"/>
    <sheet name="SKU Master" sheetId="4" r:id="rId4"/>
    <sheet name="Live Contribution" sheetId="5" r:id="rId5"/>
    <sheet name="PAL Reconciliation" sheetId="6" r:id="rId6"/>
    <sheet name="Quote Builder" sheetId="7" r:id="rId7"/>
    <sheet name="Contribution Forecast" sheetId="8" r:id="rId8"/>
    <sheet name="Ratio Master" sheetId="10" r:id="rId9"/>
  </sheets>
  <definedNames>
    <definedName name="_xlnm._FilterDatabase" localSheetId="8" hidden="1">'Ratio Master'!$J$1:$J$541</definedName>
    <definedName name="AnnualFixed">'Rate Card'!$B$21</definedName>
    <definedName name="FabRateIncKg">'Rate Card'!$B$14</definedName>
    <definedName name="FabricAddon">'Rate Card'!$B$28</definedName>
    <definedName name="LiveTotalContri">'Live Contribution'!$L$281</definedName>
    <definedName name="MonthlyFixed">'Rate Card'!$B$20</definedName>
    <definedName name="RM_rate">'Rate Card'!$B$4</definedName>
    <definedName name="Stage1_RM">'Rate Card'!$B$26</definedName>
    <definedName name="Stage2_Yarn">'Rate Card'!$B$27</definedName>
    <definedName name="WCCharge">'Rate Card'!$B$17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8" l="1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8" i="8"/>
  <c r="J542" i="10"/>
  <c r="J543" i="10"/>
  <c r="J544" i="10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F5" i="4"/>
  <c r="E5" i="4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3" i="10"/>
  <c r="J4" i="10"/>
  <c r="J5" i="10"/>
  <c r="J6" i="10"/>
  <c r="J7" i="10"/>
  <c r="J8" i="10"/>
  <c r="J9" i="10"/>
  <c r="J10" i="10"/>
  <c r="J11" i="10"/>
  <c r="J12" i="10"/>
  <c r="J13" i="10"/>
  <c r="J2" i="10"/>
  <c r="N9" i="8" l="1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N113" i="5" l="1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138" i="5"/>
  <c r="M138" i="5" s="1"/>
  <c r="L139" i="5"/>
  <c r="M139" i="5" s="1"/>
  <c r="L140" i="5"/>
  <c r="M140" i="5" s="1"/>
  <c r="L141" i="5"/>
  <c r="M141" i="5" s="1"/>
  <c r="L142" i="5"/>
  <c r="M142" i="5" s="1"/>
  <c r="L143" i="5"/>
  <c r="M143" i="5" s="1"/>
  <c r="L144" i="5"/>
  <c r="M144" i="5" s="1"/>
  <c r="L145" i="5"/>
  <c r="M145" i="5" s="1"/>
  <c r="L146" i="5"/>
  <c r="M146" i="5" s="1"/>
  <c r="L147" i="5"/>
  <c r="M147" i="5" s="1"/>
  <c r="L148" i="5"/>
  <c r="M148" i="5" s="1"/>
  <c r="L149" i="5"/>
  <c r="M149" i="5" s="1"/>
  <c r="L150" i="5"/>
  <c r="M150" i="5" s="1"/>
  <c r="L151" i="5"/>
  <c r="M151" i="5" s="1"/>
  <c r="L152" i="5"/>
  <c r="M152" i="5" s="1"/>
  <c r="L153" i="5"/>
  <c r="M153" i="5" s="1"/>
  <c r="L154" i="5"/>
  <c r="M154" i="5" s="1"/>
  <c r="L155" i="5"/>
  <c r="M155" i="5" s="1"/>
  <c r="L156" i="5"/>
  <c r="M156" i="5" s="1"/>
  <c r="L157" i="5"/>
  <c r="M157" i="5" s="1"/>
  <c r="L158" i="5"/>
  <c r="M158" i="5" s="1"/>
  <c r="L159" i="5"/>
  <c r="M159" i="5" s="1"/>
  <c r="L160" i="5"/>
  <c r="M160" i="5" s="1"/>
  <c r="L161" i="5"/>
  <c r="M161" i="5" s="1"/>
  <c r="L162" i="5"/>
  <c r="M162" i="5" s="1"/>
  <c r="L163" i="5"/>
  <c r="M163" i="5" s="1"/>
  <c r="L164" i="5"/>
  <c r="M164" i="5" s="1"/>
  <c r="L165" i="5"/>
  <c r="M165" i="5" s="1"/>
  <c r="L166" i="5"/>
  <c r="M166" i="5" s="1"/>
  <c r="L167" i="5"/>
  <c r="M167" i="5" s="1"/>
  <c r="L168" i="5"/>
  <c r="M168" i="5" s="1"/>
  <c r="L169" i="5"/>
  <c r="M169" i="5" s="1"/>
  <c r="L170" i="5"/>
  <c r="M170" i="5" s="1"/>
  <c r="L171" i="5"/>
  <c r="M171" i="5" s="1"/>
  <c r="L172" i="5"/>
  <c r="M172" i="5" s="1"/>
  <c r="L173" i="5"/>
  <c r="M173" i="5" s="1"/>
  <c r="L174" i="5"/>
  <c r="M174" i="5" s="1"/>
  <c r="L175" i="5"/>
  <c r="M175" i="5" s="1"/>
  <c r="L176" i="5"/>
  <c r="M176" i="5" s="1"/>
  <c r="L177" i="5"/>
  <c r="M177" i="5" s="1"/>
  <c r="L178" i="5"/>
  <c r="M178" i="5" s="1"/>
  <c r="L179" i="5"/>
  <c r="M179" i="5" s="1"/>
  <c r="L180" i="5"/>
  <c r="M180" i="5" s="1"/>
  <c r="L181" i="5"/>
  <c r="M181" i="5" s="1"/>
  <c r="L182" i="5"/>
  <c r="M182" i="5" s="1"/>
  <c r="L183" i="5"/>
  <c r="M183" i="5" s="1"/>
  <c r="L184" i="5"/>
  <c r="M184" i="5" s="1"/>
  <c r="L185" i="5"/>
  <c r="M185" i="5" s="1"/>
  <c r="L186" i="5"/>
  <c r="M186" i="5" s="1"/>
  <c r="L187" i="5"/>
  <c r="M187" i="5" s="1"/>
  <c r="L188" i="5"/>
  <c r="M188" i="5" s="1"/>
  <c r="L189" i="5"/>
  <c r="M189" i="5" s="1"/>
  <c r="L190" i="5"/>
  <c r="M190" i="5" s="1"/>
  <c r="L191" i="5"/>
  <c r="M191" i="5" s="1"/>
  <c r="L192" i="5"/>
  <c r="M192" i="5" s="1"/>
  <c r="L193" i="5"/>
  <c r="M193" i="5" s="1"/>
  <c r="L194" i="5"/>
  <c r="M194" i="5" s="1"/>
  <c r="L195" i="5"/>
  <c r="M195" i="5" s="1"/>
  <c r="L196" i="5"/>
  <c r="M196" i="5" s="1"/>
  <c r="L197" i="5"/>
  <c r="M197" i="5" s="1"/>
  <c r="L198" i="5"/>
  <c r="M198" i="5" s="1"/>
  <c r="L199" i="5"/>
  <c r="M199" i="5" s="1"/>
  <c r="L200" i="5"/>
  <c r="M200" i="5" s="1"/>
  <c r="L201" i="5"/>
  <c r="M201" i="5" s="1"/>
  <c r="L202" i="5"/>
  <c r="M202" i="5" s="1"/>
  <c r="L203" i="5"/>
  <c r="M203" i="5" s="1"/>
  <c r="L204" i="5"/>
  <c r="M204" i="5" s="1"/>
  <c r="L205" i="5"/>
  <c r="M205" i="5" s="1"/>
  <c r="L206" i="5"/>
  <c r="M206" i="5" s="1"/>
  <c r="L207" i="5"/>
  <c r="M207" i="5" s="1"/>
  <c r="L208" i="5"/>
  <c r="M208" i="5" s="1"/>
  <c r="L209" i="5"/>
  <c r="M209" i="5" s="1"/>
  <c r="L210" i="5"/>
  <c r="M210" i="5" s="1"/>
  <c r="L211" i="5"/>
  <c r="M211" i="5" s="1"/>
  <c r="L212" i="5"/>
  <c r="M212" i="5" s="1"/>
  <c r="L213" i="5"/>
  <c r="M213" i="5" s="1"/>
  <c r="L214" i="5"/>
  <c r="M214" i="5" s="1"/>
  <c r="L215" i="5"/>
  <c r="M215" i="5" s="1"/>
  <c r="L216" i="5"/>
  <c r="M216" i="5" s="1"/>
  <c r="L217" i="5"/>
  <c r="M217" i="5" s="1"/>
  <c r="L218" i="5"/>
  <c r="M218" i="5" s="1"/>
  <c r="L219" i="5"/>
  <c r="M219" i="5" s="1"/>
  <c r="L220" i="5"/>
  <c r="M220" i="5" s="1"/>
  <c r="L221" i="5"/>
  <c r="M221" i="5" s="1"/>
  <c r="L222" i="5"/>
  <c r="M222" i="5" s="1"/>
  <c r="L223" i="5"/>
  <c r="M223" i="5" s="1"/>
  <c r="L224" i="5"/>
  <c r="M224" i="5" s="1"/>
  <c r="L225" i="5"/>
  <c r="M225" i="5" s="1"/>
  <c r="L226" i="5"/>
  <c r="M226" i="5" s="1"/>
  <c r="L227" i="5"/>
  <c r="M227" i="5" s="1"/>
  <c r="L228" i="5"/>
  <c r="M228" i="5" s="1"/>
  <c r="L229" i="5"/>
  <c r="M229" i="5" s="1"/>
  <c r="L230" i="5"/>
  <c r="M230" i="5" s="1"/>
  <c r="L231" i="5"/>
  <c r="M231" i="5" s="1"/>
  <c r="L232" i="5"/>
  <c r="M232" i="5" s="1"/>
  <c r="L233" i="5"/>
  <c r="M233" i="5" s="1"/>
  <c r="L234" i="5"/>
  <c r="M234" i="5" s="1"/>
  <c r="L235" i="5"/>
  <c r="M235" i="5" s="1"/>
  <c r="L236" i="5"/>
  <c r="M236" i="5" s="1"/>
  <c r="L237" i="5"/>
  <c r="M237" i="5" s="1"/>
  <c r="L238" i="5"/>
  <c r="M238" i="5" s="1"/>
  <c r="L239" i="5"/>
  <c r="M239" i="5" s="1"/>
  <c r="L240" i="5"/>
  <c r="M240" i="5" s="1"/>
  <c r="L241" i="5"/>
  <c r="M241" i="5" s="1"/>
  <c r="L242" i="5"/>
  <c r="M242" i="5" s="1"/>
  <c r="L243" i="5"/>
  <c r="M243" i="5" s="1"/>
  <c r="L244" i="5"/>
  <c r="M244" i="5" s="1"/>
  <c r="L245" i="5"/>
  <c r="M245" i="5" s="1"/>
  <c r="L246" i="5"/>
  <c r="M246" i="5" s="1"/>
  <c r="L247" i="5"/>
  <c r="M247" i="5" s="1"/>
  <c r="L248" i="5"/>
  <c r="M248" i="5" s="1"/>
  <c r="L249" i="5"/>
  <c r="M249" i="5" s="1"/>
  <c r="L250" i="5"/>
  <c r="M250" i="5" s="1"/>
  <c r="L251" i="5"/>
  <c r="M251" i="5" s="1"/>
  <c r="L252" i="5"/>
  <c r="M252" i="5" s="1"/>
  <c r="L253" i="5"/>
  <c r="M253" i="5" s="1"/>
  <c r="L254" i="5"/>
  <c r="M254" i="5" s="1"/>
  <c r="L255" i="5"/>
  <c r="M255" i="5" s="1"/>
  <c r="L256" i="5"/>
  <c r="M256" i="5" s="1"/>
  <c r="L257" i="5"/>
  <c r="M257" i="5" s="1"/>
  <c r="L258" i="5"/>
  <c r="M258" i="5" s="1"/>
  <c r="L259" i="5"/>
  <c r="M259" i="5" s="1"/>
  <c r="L260" i="5"/>
  <c r="M260" i="5" s="1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N111" i="4"/>
  <c r="N112" i="4"/>
  <c r="N113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M41" i="4"/>
  <c r="N41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G101" i="4" a="1"/>
  <c r="G101" i="4" s="1"/>
  <c r="G63" i="4" a="1"/>
  <c r="G63" i="4" s="1"/>
  <c r="G69" i="4" a="1"/>
  <c r="G69" i="4" s="1"/>
  <c r="G95" i="4" a="1"/>
  <c r="G95" i="4" s="1"/>
  <c r="G135" i="4" a="1"/>
  <c r="G135" i="4" s="1"/>
  <c r="G148" i="4" a="1"/>
  <c r="G148" i="4" s="1"/>
  <c r="G167" i="4" a="1"/>
  <c r="G167" i="4" s="1"/>
  <c r="G180" i="4" a="1"/>
  <c r="G180" i="4" s="1"/>
  <c r="G199" i="4" a="1"/>
  <c r="G199" i="4" s="1"/>
  <c r="G231" i="4" a="1"/>
  <c r="G231" i="4" s="1"/>
  <c r="G237" i="4" a="1"/>
  <c r="G237" i="4" s="1"/>
  <c r="G255" i="4" a="1"/>
  <c r="G255" i="4" s="1"/>
  <c r="G8" i="4" a="1"/>
  <c r="G8" i="4" s="1"/>
  <c r="G10" i="4" a="1"/>
  <c r="G10" i="4" s="1"/>
  <c r="G14" i="4" a="1"/>
  <c r="G14" i="4" s="1"/>
  <c r="G16" i="4" a="1"/>
  <c r="G16" i="4" s="1"/>
  <c r="G24" i="4" a="1"/>
  <c r="G24" i="4" s="1"/>
  <c r="G27" i="4" a="1"/>
  <c r="G27" i="4" s="1"/>
  <c r="G33" i="4" a="1"/>
  <c r="G33" i="4" s="1"/>
  <c r="G34" i="4" a="1"/>
  <c r="G34" i="4" s="1"/>
  <c r="G35" i="4" a="1"/>
  <c r="G35" i="4" s="1"/>
  <c r="G40" i="4" a="1"/>
  <c r="G40" i="4" s="1"/>
  <c r="G42" i="4" a="1"/>
  <c r="G42" i="4" s="1"/>
  <c r="G45" i="4" a="1"/>
  <c r="G45" i="4" s="1"/>
  <c r="G46" i="4" a="1"/>
  <c r="G46" i="4" s="1"/>
  <c r="G48" i="4" a="1"/>
  <c r="G48" i="4" s="1"/>
  <c r="G50" i="4" a="1"/>
  <c r="G50" i="4" s="1"/>
  <c r="G51" i="4" a="1"/>
  <c r="G51" i="4" s="1"/>
  <c r="G54" i="4" a="1"/>
  <c r="G54" i="4" s="1"/>
  <c r="G56" i="4" a="1"/>
  <c r="G56" i="4" s="1"/>
  <c r="G59" i="4" a="1"/>
  <c r="G59" i="4" s="1"/>
  <c r="G61" i="4" a="1"/>
  <c r="G61" i="4" s="1"/>
  <c r="H61" i="4" s="1"/>
  <c r="G66" i="4" a="1"/>
  <c r="G66" i="4" s="1"/>
  <c r="G67" i="4" a="1"/>
  <c r="G67" i="4" s="1"/>
  <c r="G73" i="4" a="1"/>
  <c r="G73" i="4" s="1"/>
  <c r="G74" i="4" a="1"/>
  <c r="G74" i="4" s="1"/>
  <c r="G75" i="4" a="1"/>
  <c r="G75" i="4" s="1"/>
  <c r="G77" i="4" a="1"/>
  <c r="G77" i="4" s="1"/>
  <c r="G81" i="4" a="1"/>
  <c r="G81" i="4" s="1"/>
  <c r="G82" i="4" a="1"/>
  <c r="G82" i="4" s="1"/>
  <c r="G85" i="4" a="1"/>
  <c r="G85" i="4" s="1"/>
  <c r="G90" i="4" a="1"/>
  <c r="G90" i="4" s="1"/>
  <c r="G91" i="4" a="1"/>
  <c r="G91" i="4" s="1"/>
  <c r="G93" i="4" a="1"/>
  <c r="G93" i="4" s="1"/>
  <c r="H93" i="4" s="1"/>
  <c r="G94" i="4" a="1"/>
  <c r="G94" i="4" s="1"/>
  <c r="G98" i="4" a="1"/>
  <c r="G98" i="4" s="1"/>
  <c r="G99" i="4" a="1"/>
  <c r="G99" i="4" s="1"/>
  <c r="G106" i="4" a="1"/>
  <c r="G106" i="4" s="1"/>
  <c r="G107" i="4" a="1"/>
  <c r="G107" i="4" s="1"/>
  <c r="G109" i="4" a="1"/>
  <c r="G109" i="4" s="1"/>
  <c r="G112" i="4" a="1"/>
  <c r="G112" i="4" s="1"/>
  <c r="H113" i="4"/>
  <c r="H114" i="4"/>
  <c r="H115" i="4"/>
  <c r="H116" i="4"/>
  <c r="H117" i="4"/>
  <c r="G118" i="4" a="1"/>
  <c r="G118" i="4" s="1"/>
  <c r="H119" i="4"/>
  <c r="H120" i="4"/>
  <c r="H121" i="4"/>
  <c r="H122" i="4"/>
  <c r="H123" i="4"/>
  <c r="H124" i="4"/>
  <c r="H125" i="4"/>
  <c r="G126" i="4" a="1"/>
  <c r="G126" i="4" s="1"/>
  <c r="H127" i="4"/>
  <c r="H128" i="4"/>
  <c r="H129" i="4"/>
  <c r="H130" i="4"/>
  <c r="I131" i="5" s="1"/>
  <c r="K131" i="5" s="1"/>
  <c r="H131" i="4"/>
  <c r="I132" i="5" s="1"/>
  <c r="K132" i="5" s="1"/>
  <c r="H132" i="4"/>
  <c r="I133" i="5" s="1"/>
  <c r="K133" i="5" s="1"/>
  <c r="H133" i="4"/>
  <c r="I134" i="5" s="1"/>
  <c r="K134" i="5" s="1"/>
  <c r="H134" i="4"/>
  <c r="I135" i="5" s="1"/>
  <c r="K135" i="5" s="1"/>
  <c r="H135" i="4"/>
  <c r="I136" i="5" s="1"/>
  <c r="K136" i="5" s="1"/>
  <c r="H136" i="4"/>
  <c r="I137" i="5" s="1"/>
  <c r="K137" i="5" s="1"/>
  <c r="H137" i="4"/>
  <c r="I138" i="5" s="1"/>
  <c r="K138" i="5" s="1"/>
  <c r="H138" i="4"/>
  <c r="I139" i="5" s="1"/>
  <c r="K139" i="5" s="1"/>
  <c r="H139" i="4"/>
  <c r="I140" i="5" s="1"/>
  <c r="K140" i="5" s="1"/>
  <c r="H140" i="4"/>
  <c r="I141" i="5" s="1"/>
  <c r="K141" i="5" s="1"/>
  <c r="H141" i="4"/>
  <c r="I142" i="5" s="1"/>
  <c r="K142" i="5" s="1"/>
  <c r="G142" i="4" a="1"/>
  <c r="G142" i="4" s="1"/>
  <c r="H143" i="4"/>
  <c r="I144" i="5" s="1"/>
  <c r="K144" i="5" s="1"/>
  <c r="H144" i="4"/>
  <c r="I145" i="5" s="1"/>
  <c r="K145" i="5" s="1"/>
  <c r="H145" i="4"/>
  <c r="I146" i="5" s="1"/>
  <c r="K146" i="5" s="1"/>
  <c r="H146" i="4"/>
  <c r="I147" i="5" s="1"/>
  <c r="K147" i="5" s="1"/>
  <c r="H147" i="4"/>
  <c r="I148" i="5" s="1"/>
  <c r="K148" i="5" s="1"/>
  <c r="H148" i="4"/>
  <c r="I149" i="5" s="1"/>
  <c r="K149" i="5" s="1"/>
  <c r="H149" i="4"/>
  <c r="I150" i="5" s="1"/>
  <c r="K150" i="5" s="1"/>
  <c r="G150" i="4" a="1"/>
  <c r="G150" i="4" s="1"/>
  <c r="H151" i="4"/>
  <c r="I152" i="5" s="1"/>
  <c r="K152" i="5" s="1"/>
  <c r="H152" i="4"/>
  <c r="I153" i="5" s="1"/>
  <c r="K153" i="5" s="1"/>
  <c r="H153" i="4"/>
  <c r="I154" i="5" s="1"/>
  <c r="K154" i="5" s="1"/>
  <c r="H154" i="4"/>
  <c r="I155" i="5" s="1"/>
  <c r="K155" i="5" s="1"/>
  <c r="H155" i="4"/>
  <c r="I156" i="5" s="1"/>
  <c r="K156" i="5" s="1"/>
  <c r="H156" i="4"/>
  <c r="I157" i="5" s="1"/>
  <c r="K157" i="5" s="1"/>
  <c r="H157" i="4"/>
  <c r="I158" i="5" s="1"/>
  <c r="K158" i="5" s="1"/>
  <c r="G158" i="4" a="1"/>
  <c r="G158" i="4" s="1"/>
  <c r="H159" i="4"/>
  <c r="I160" i="5" s="1"/>
  <c r="K160" i="5" s="1"/>
  <c r="H160" i="4"/>
  <c r="I161" i="5" s="1"/>
  <c r="K161" i="5" s="1"/>
  <c r="H161" i="4"/>
  <c r="I162" i="5" s="1"/>
  <c r="K162" i="5" s="1"/>
  <c r="H162" i="4"/>
  <c r="I163" i="5" s="1"/>
  <c r="K163" i="5" s="1"/>
  <c r="H163" i="4"/>
  <c r="I164" i="5" s="1"/>
  <c r="K164" i="5" s="1"/>
  <c r="H164" i="4"/>
  <c r="I165" i="5" s="1"/>
  <c r="K165" i="5" s="1"/>
  <c r="H165" i="4"/>
  <c r="I166" i="5" s="1"/>
  <c r="K166" i="5" s="1"/>
  <c r="H166" i="4"/>
  <c r="I167" i="5" s="1"/>
  <c r="K167" i="5" s="1"/>
  <c r="H167" i="4"/>
  <c r="I168" i="5" s="1"/>
  <c r="K168" i="5" s="1"/>
  <c r="H168" i="4"/>
  <c r="I169" i="5" s="1"/>
  <c r="K169" i="5" s="1"/>
  <c r="H169" i="4"/>
  <c r="I170" i="5" s="1"/>
  <c r="K170" i="5" s="1"/>
  <c r="H170" i="4"/>
  <c r="I171" i="5" s="1"/>
  <c r="K171" i="5" s="1"/>
  <c r="H171" i="4"/>
  <c r="I172" i="5" s="1"/>
  <c r="K172" i="5" s="1"/>
  <c r="H172" i="4"/>
  <c r="I173" i="5" s="1"/>
  <c r="K173" i="5" s="1"/>
  <c r="H173" i="4"/>
  <c r="I174" i="5" s="1"/>
  <c r="K174" i="5" s="1"/>
  <c r="G174" i="4" a="1"/>
  <c r="G174" i="4" s="1"/>
  <c r="H175" i="4"/>
  <c r="I176" i="5" s="1"/>
  <c r="K176" i="5" s="1"/>
  <c r="H176" i="4"/>
  <c r="I177" i="5" s="1"/>
  <c r="K177" i="5" s="1"/>
  <c r="H177" i="4"/>
  <c r="I178" i="5" s="1"/>
  <c r="K178" i="5" s="1"/>
  <c r="H178" i="4"/>
  <c r="I179" i="5" s="1"/>
  <c r="K179" i="5" s="1"/>
  <c r="H179" i="4"/>
  <c r="I180" i="5" s="1"/>
  <c r="K180" i="5" s="1"/>
  <c r="H180" i="4"/>
  <c r="I181" i="5" s="1"/>
  <c r="K181" i="5" s="1"/>
  <c r="H181" i="4"/>
  <c r="I182" i="5" s="1"/>
  <c r="K182" i="5" s="1"/>
  <c r="G182" i="4" a="1"/>
  <c r="G182" i="4" s="1"/>
  <c r="H183" i="4"/>
  <c r="I184" i="5" s="1"/>
  <c r="K184" i="5" s="1"/>
  <c r="H184" i="4"/>
  <c r="I185" i="5" s="1"/>
  <c r="K185" i="5" s="1"/>
  <c r="H185" i="4"/>
  <c r="I186" i="5" s="1"/>
  <c r="K186" i="5" s="1"/>
  <c r="H186" i="4"/>
  <c r="I187" i="5" s="1"/>
  <c r="K187" i="5" s="1"/>
  <c r="H187" i="4"/>
  <c r="I188" i="5" s="1"/>
  <c r="K188" i="5" s="1"/>
  <c r="H188" i="4"/>
  <c r="I189" i="5" s="1"/>
  <c r="K189" i="5" s="1"/>
  <c r="H189" i="4"/>
  <c r="I190" i="5" s="1"/>
  <c r="K190" i="5" s="1"/>
  <c r="G190" i="4" a="1"/>
  <c r="G190" i="4" s="1"/>
  <c r="H191" i="4"/>
  <c r="I192" i="5" s="1"/>
  <c r="K192" i="5" s="1"/>
  <c r="H192" i="4"/>
  <c r="I193" i="5" s="1"/>
  <c r="K193" i="5" s="1"/>
  <c r="H193" i="4"/>
  <c r="I194" i="5" s="1"/>
  <c r="K194" i="5" s="1"/>
  <c r="H194" i="4"/>
  <c r="I195" i="5" s="1"/>
  <c r="K195" i="5" s="1"/>
  <c r="H195" i="4"/>
  <c r="I196" i="5" s="1"/>
  <c r="K196" i="5" s="1"/>
  <c r="H196" i="4"/>
  <c r="I197" i="5" s="1"/>
  <c r="K197" i="5" s="1"/>
  <c r="H197" i="4"/>
  <c r="I198" i="5" s="1"/>
  <c r="K198" i="5" s="1"/>
  <c r="H198" i="4"/>
  <c r="I199" i="5" s="1"/>
  <c r="K199" i="5" s="1"/>
  <c r="H199" i="4"/>
  <c r="I200" i="5" s="1"/>
  <c r="K200" i="5" s="1"/>
  <c r="H200" i="4"/>
  <c r="I201" i="5" s="1"/>
  <c r="K201" i="5" s="1"/>
  <c r="H201" i="4"/>
  <c r="I202" i="5" s="1"/>
  <c r="K202" i="5" s="1"/>
  <c r="H202" i="4"/>
  <c r="I203" i="5" s="1"/>
  <c r="K203" i="5" s="1"/>
  <c r="H203" i="4"/>
  <c r="I204" i="5" s="1"/>
  <c r="K204" i="5" s="1"/>
  <c r="H204" i="4"/>
  <c r="I205" i="5" s="1"/>
  <c r="K205" i="5" s="1"/>
  <c r="H205" i="4"/>
  <c r="I206" i="5" s="1"/>
  <c r="K206" i="5" s="1"/>
  <c r="G206" i="4" a="1"/>
  <c r="G206" i="4" s="1"/>
  <c r="H207" i="4"/>
  <c r="I208" i="5" s="1"/>
  <c r="K208" i="5" s="1"/>
  <c r="H208" i="4"/>
  <c r="I209" i="5" s="1"/>
  <c r="K209" i="5" s="1"/>
  <c r="H209" i="4"/>
  <c r="I210" i="5" s="1"/>
  <c r="K210" i="5" s="1"/>
  <c r="H210" i="4"/>
  <c r="I211" i="5" s="1"/>
  <c r="K211" i="5" s="1"/>
  <c r="H211" i="4"/>
  <c r="I212" i="5" s="1"/>
  <c r="K212" i="5" s="1"/>
  <c r="H212" i="4"/>
  <c r="I213" i="5" s="1"/>
  <c r="K213" i="5" s="1"/>
  <c r="H213" i="4"/>
  <c r="I214" i="5" s="1"/>
  <c r="K214" i="5" s="1"/>
  <c r="G214" i="4" a="1"/>
  <c r="G214" i="4" s="1"/>
  <c r="H215" i="4"/>
  <c r="I216" i="5" s="1"/>
  <c r="K216" i="5" s="1"/>
  <c r="H216" i="4"/>
  <c r="I217" i="5" s="1"/>
  <c r="K217" i="5" s="1"/>
  <c r="H217" i="4"/>
  <c r="I218" i="5" s="1"/>
  <c r="K218" i="5" s="1"/>
  <c r="H218" i="4"/>
  <c r="I219" i="5" s="1"/>
  <c r="K219" i="5" s="1"/>
  <c r="H219" i="4"/>
  <c r="I220" i="5" s="1"/>
  <c r="K220" i="5" s="1"/>
  <c r="H220" i="4"/>
  <c r="I221" i="5" s="1"/>
  <c r="K221" i="5" s="1"/>
  <c r="H221" i="4"/>
  <c r="I222" i="5" s="1"/>
  <c r="K222" i="5" s="1"/>
  <c r="G222" i="4" a="1"/>
  <c r="G222" i="4" s="1"/>
  <c r="H223" i="4"/>
  <c r="I224" i="5" s="1"/>
  <c r="K224" i="5" s="1"/>
  <c r="H224" i="4"/>
  <c r="I225" i="5" s="1"/>
  <c r="K225" i="5" s="1"/>
  <c r="H225" i="4"/>
  <c r="I226" i="5" s="1"/>
  <c r="K226" i="5" s="1"/>
  <c r="H226" i="4"/>
  <c r="I227" i="5" s="1"/>
  <c r="K227" i="5" s="1"/>
  <c r="H227" i="4"/>
  <c r="I228" i="5" s="1"/>
  <c r="K228" i="5" s="1"/>
  <c r="H228" i="4"/>
  <c r="I229" i="5" s="1"/>
  <c r="K229" i="5" s="1"/>
  <c r="H229" i="4"/>
  <c r="I230" i="5" s="1"/>
  <c r="K230" i="5" s="1"/>
  <c r="H230" i="4"/>
  <c r="I231" i="5" s="1"/>
  <c r="K231" i="5" s="1"/>
  <c r="H231" i="4"/>
  <c r="I232" i="5" s="1"/>
  <c r="K232" i="5" s="1"/>
  <c r="H232" i="4"/>
  <c r="I233" i="5" s="1"/>
  <c r="K233" i="5" s="1"/>
  <c r="H233" i="4"/>
  <c r="I234" i="5" s="1"/>
  <c r="K234" i="5" s="1"/>
  <c r="H234" i="4"/>
  <c r="I235" i="5" s="1"/>
  <c r="K235" i="5" s="1"/>
  <c r="H235" i="4"/>
  <c r="I236" i="5" s="1"/>
  <c r="K236" i="5" s="1"/>
  <c r="H236" i="4"/>
  <c r="I237" i="5" s="1"/>
  <c r="K237" i="5" s="1"/>
  <c r="H237" i="4"/>
  <c r="I238" i="5" s="1"/>
  <c r="K238" i="5" s="1"/>
  <c r="G238" i="4" a="1"/>
  <c r="G238" i="4" s="1"/>
  <c r="H239" i="4"/>
  <c r="I240" i="5" s="1"/>
  <c r="K240" i="5" s="1"/>
  <c r="H240" i="4"/>
  <c r="I241" i="5" s="1"/>
  <c r="K241" i="5" s="1"/>
  <c r="H241" i="4"/>
  <c r="I242" i="5" s="1"/>
  <c r="K242" i="5" s="1"/>
  <c r="H242" i="4"/>
  <c r="I243" i="5" s="1"/>
  <c r="K243" i="5" s="1"/>
  <c r="H243" i="4"/>
  <c r="I244" i="5" s="1"/>
  <c r="K244" i="5" s="1"/>
  <c r="H244" i="4"/>
  <c r="I245" i="5" s="1"/>
  <c r="K245" i="5" s="1"/>
  <c r="H245" i="4"/>
  <c r="I246" i="5" s="1"/>
  <c r="K246" i="5" s="1"/>
  <c r="G246" i="4" a="1"/>
  <c r="G246" i="4" s="1"/>
  <c r="H247" i="4"/>
  <c r="I248" i="5" s="1"/>
  <c r="K248" i="5" s="1"/>
  <c r="H248" i="4"/>
  <c r="I249" i="5" s="1"/>
  <c r="K249" i="5" s="1"/>
  <c r="H249" i="4"/>
  <c r="I250" i="5" s="1"/>
  <c r="K250" i="5" s="1"/>
  <c r="H250" i="4"/>
  <c r="I251" i="5" s="1"/>
  <c r="K251" i="5" s="1"/>
  <c r="H251" i="4"/>
  <c r="I252" i="5" s="1"/>
  <c r="K252" i="5" s="1"/>
  <c r="H252" i="4"/>
  <c r="I253" i="5" s="1"/>
  <c r="K253" i="5" s="1"/>
  <c r="H253" i="4"/>
  <c r="I254" i="5" s="1"/>
  <c r="K254" i="5" s="1"/>
  <c r="G254" i="4" a="1"/>
  <c r="G254" i="4" s="1"/>
  <c r="H255" i="4"/>
  <c r="I256" i="5" s="1"/>
  <c r="K256" i="5" s="1"/>
  <c r="H256" i="4"/>
  <c r="I257" i="5" s="1"/>
  <c r="K257" i="5" s="1"/>
  <c r="H257" i="4"/>
  <c r="I258" i="5" s="1"/>
  <c r="K258" i="5" s="1"/>
  <c r="H258" i="4"/>
  <c r="I259" i="5" s="1"/>
  <c r="K259" i="5" s="1"/>
  <c r="H259" i="4"/>
  <c r="I260" i="5" s="1"/>
  <c r="K260" i="5" s="1"/>
  <c r="J11" i="2"/>
  <c r="I114" i="5" l="1"/>
  <c r="K114" i="5" s="1"/>
  <c r="L116" i="8"/>
  <c r="M116" i="8" s="1"/>
  <c r="I129" i="5"/>
  <c r="K129" i="5" s="1"/>
  <c r="L131" i="8"/>
  <c r="M131" i="8" s="1"/>
  <c r="I121" i="5"/>
  <c r="K121" i="5" s="1"/>
  <c r="L123" i="8"/>
  <c r="M123" i="8" s="1"/>
  <c r="I130" i="5"/>
  <c r="K130" i="5" s="1"/>
  <c r="L132" i="8"/>
  <c r="M132" i="8" s="1"/>
  <c r="I122" i="5"/>
  <c r="K122" i="5" s="1"/>
  <c r="L124" i="8"/>
  <c r="M124" i="8" s="1"/>
  <c r="I128" i="5"/>
  <c r="K128" i="5" s="1"/>
  <c r="L130" i="8"/>
  <c r="M130" i="8" s="1"/>
  <c r="I120" i="5"/>
  <c r="K120" i="5" s="1"/>
  <c r="L122" i="8"/>
  <c r="M122" i="8" s="1"/>
  <c r="I126" i="5"/>
  <c r="K126" i="5" s="1"/>
  <c r="L128" i="8"/>
  <c r="M128" i="8" s="1"/>
  <c r="I118" i="5"/>
  <c r="K118" i="5" s="1"/>
  <c r="L120" i="8"/>
  <c r="M120" i="8" s="1"/>
  <c r="I94" i="5"/>
  <c r="K94" i="5" s="1"/>
  <c r="L94" i="5" s="1"/>
  <c r="N94" i="5" s="1"/>
  <c r="L96" i="8"/>
  <c r="M96" i="8" s="1"/>
  <c r="I62" i="5"/>
  <c r="K62" i="5" s="1"/>
  <c r="L62" i="5" s="1"/>
  <c r="M62" i="5" s="1"/>
  <c r="L64" i="8"/>
  <c r="M64" i="8" s="1"/>
  <c r="I125" i="5"/>
  <c r="K125" i="5" s="1"/>
  <c r="L127" i="8"/>
  <c r="M127" i="8" s="1"/>
  <c r="I117" i="5"/>
  <c r="K117" i="5" s="1"/>
  <c r="L119" i="8"/>
  <c r="M119" i="8" s="1"/>
  <c r="I124" i="5"/>
  <c r="K124" i="5" s="1"/>
  <c r="L126" i="8"/>
  <c r="M126" i="8" s="1"/>
  <c r="I116" i="5"/>
  <c r="K116" i="5" s="1"/>
  <c r="L118" i="8"/>
  <c r="M118" i="8" s="1"/>
  <c r="I123" i="5"/>
  <c r="K123" i="5" s="1"/>
  <c r="L125" i="8"/>
  <c r="M125" i="8" s="1"/>
  <c r="I115" i="5"/>
  <c r="K115" i="5" s="1"/>
  <c r="L117" i="8"/>
  <c r="M117" i="8" s="1"/>
  <c r="G108" i="4" a="1"/>
  <c r="G108" i="4" s="1"/>
  <c r="H108" i="4" s="1"/>
  <c r="G76" i="4" a="1"/>
  <c r="G76" i="4" s="1"/>
  <c r="G28" i="4" a="1"/>
  <c r="G28" i="4" s="1"/>
  <c r="H28" i="4" s="1"/>
  <c r="G173" i="4" a="1"/>
  <c r="G173" i="4" s="1"/>
  <c r="H254" i="4"/>
  <c r="I255" i="5" s="1"/>
  <c r="K255" i="5" s="1"/>
  <c r="G15" i="4" a="1"/>
  <c r="G15" i="4" s="1"/>
  <c r="H15" i="4" s="1"/>
  <c r="G244" i="4" a="1"/>
  <c r="G244" i="4" s="1"/>
  <c r="G154" i="4" a="1"/>
  <c r="G154" i="4" s="1"/>
  <c r="H222" i="4"/>
  <c r="I223" i="5" s="1"/>
  <c r="K223" i="5" s="1"/>
  <c r="H101" i="4"/>
  <c r="H69" i="4"/>
  <c r="G218" i="4" a="1"/>
  <c r="G218" i="4" s="1"/>
  <c r="G141" i="4" a="1"/>
  <c r="G141" i="4" s="1"/>
  <c r="H158" i="4"/>
  <c r="I159" i="5" s="1"/>
  <c r="K159" i="5" s="1"/>
  <c r="H190" i="4"/>
  <c r="I191" i="5" s="1"/>
  <c r="K191" i="5" s="1"/>
  <c r="G100" i="4" a="1"/>
  <c r="G100" i="4" s="1"/>
  <c r="H100" i="4" s="1"/>
  <c r="G92" i="4" a="1"/>
  <c r="G92" i="4" s="1"/>
  <c r="H92" i="4" s="1"/>
  <c r="G68" i="4" a="1"/>
  <c r="G68" i="4" s="1"/>
  <c r="H68" i="4" s="1"/>
  <c r="G60" i="4" a="1"/>
  <c r="G60" i="4" s="1"/>
  <c r="H60" i="4" s="1"/>
  <c r="G44" i="4" a="1"/>
  <c r="G44" i="4" s="1"/>
  <c r="H44" i="4" s="1"/>
  <c r="G36" i="4" a="1"/>
  <c r="G36" i="4" s="1"/>
  <c r="H36" i="4" s="1"/>
  <c r="G212" i="4" a="1"/>
  <c r="G212" i="4" s="1"/>
  <c r="G122" i="4" a="1"/>
  <c r="G122" i="4" s="1"/>
  <c r="H126" i="4"/>
  <c r="G205" i="4" a="1"/>
  <c r="G205" i="4" s="1"/>
  <c r="G116" i="4" a="1"/>
  <c r="G116" i="4" s="1"/>
  <c r="G37" i="4" a="1"/>
  <c r="G37" i="4" s="1"/>
  <c r="H37" i="4" s="1"/>
  <c r="H24" i="4"/>
  <c r="G186" i="4" a="1"/>
  <c r="G186" i="4" s="1"/>
  <c r="G249" i="4" a="1"/>
  <c r="G249" i="4" s="1"/>
  <c r="G243" i="4" a="1"/>
  <c r="G243" i="4" s="1"/>
  <c r="G230" i="4" a="1"/>
  <c r="G230" i="4" s="1"/>
  <c r="G224" i="4" a="1"/>
  <c r="G224" i="4" s="1"/>
  <c r="G217" i="4" a="1"/>
  <c r="G217" i="4" s="1"/>
  <c r="G211" i="4" a="1"/>
  <c r="G211" i="4" s="1"/>
  <c r="G198" i="4" a="1"/>
  <c r="G198" i="4" s="1"/>
  <c r="G192" i="4" a="1"/>
  <c r="G192" i="4" s="1"/>
  <c r="G185" i="4" a="1"/>
  <c r="G185" i="4" s="1"/>
  <c r="G179" i="4" a="1"/>
  <c r="G179" i="4" s="1"/>
  <c r="G166" i="4" a="1"/>
  <c r="G166" i="4" s="1"/>
  <c r="G160" i="4" a="1"/>
  <c r="G160" i="4" s="1"/>
  <c r="G153" i="4" a="1"/>
  <c r="G153" i="4" s="1"/>
  <c r="G147" i="4" a="1"/>
  <c r="G147" i="4" s="1"/>
  <c r="G134" i="4" a="1"/>
  <c r="G134" i="4" s="1"/>
  <c r="G128" i="4" a="1"/>
  <c r="G128" i="4" s="1"/>
  <c r="G121" i="4" a="1"/>
  <c r="G121" i="4" s="1"/>
  <c r="G115" i="4" a="1"/>
  <c r="G115" i="4" s="1"/>
  <c r="G88" i="4" a="1"/>
  <c r="G88" i="4" s="1"/>
  <c r="H88" i="4" s="1"/>
  <c r="G53" i="4" a="1"/>
  <c r="G53" i="4" s="1"/>
  <c r="H53" i="4" s="1"/>
  <c r="H56" i="4"/>
  <c r="H16" i="4"/>
  <c r="H95" i="4"/>
  <c r="H63" i="4"/>
  <c r="G39" i="4" a="1"/>
  <c r="G39" i="4" s="1"/>
  <c r="H39" i="4" s="1"/>
  <c r="G31" i="4" a="1"/>
  <c r="G31" i="4" s="1"/>
  <c r="H31" i="4" s="1"/>
  <c r="G7" i="4" a="1"/>
  <c r="G7" i="4" s="1"/>
  <c r="H7" i="4" s="1"/>
  <c r="G259" i="4" a="1"/>
  <c r="G259" i="4" s="1"/>
  <c r="G242" i="4" a="1"/>
  <c r="G242" i="4" s="1"/>
  <c r="G236" i="4" a="1"/>
  <c r="G236" i="4" s="1"/>
  <c r="G229" i="4" a="1"/>
  <c r="G229" i="4" s="1"/>
  <c r="G223" i="4" a="1"/>
  <c r="G223" i="4" s="1"/>
  <c r="G210" i="4" a="1"/>
  <c r="G210" i="4" s="1"/>
  <c r="G204" i="4" a="1"/>
  <c r="G204" i="4" s="1"/>
  <c r="G197" i="4" a="1"/>
  <c r="G197" i="4" s="1"/>
  <c r="G191" i="4" a="1"/>
  <c r="G191" i="4" s="1"/>
  <c r="G178" i="4" a="1"/>
  <c r="G178" i="4" s="1"/>
  <c r="G172" i="4" a="1"/>
  <c r="G172" i="4" s="1"/>
  <c r="G165" i="4" a="1"/>
  <c r="G165" i="4" s="1"/>
  <c r="G159" i="4" a="1"/>
  <c r="G159" i="4" s="1"/>
  <c r="G146" i="4" a="1"/>
  <c r="G146" i="4" s="1"/>
  <c r="G140" i="4" a="1"/>
  <c r="G140" i="4" s="1"/>
  <c r="G133" i="4" a="1"/>
  <c r="G133" i="4" s="1"/>
  <c r="G127" i="4" a="1"/>
  <c r="G127" i="4" s="1"/>
  <c r="G114" i="4" a="1"/>
  <c r="G114" i="4" s="1"/>
  <c r="G87" i="4" a="1"/>
  <c r="G87" i="4" s="1"/>
  <c r="H87" i="4" s="1"/>
  <c r="G25" i="4" a="1"/>
  <c r="G25" i="4" s="1"/>
  <c r="H25" i="4" s="1"/>
  <c r="H246" i="4"/>
  <c r="I247" i="5" s="1"/>
  <c r="K247" i="5" s="1"/>
  <c r="H214" i="4"/>
  <c r="I215" i="5" s="1"/>
  <c r="K215" i="5" s="1"/>
  <c r="H182" i="4"/>
  <c r="I183" i="5" s="1"/>
  <c r="K183" i="5" s="1"/>
  <c r="H150" i="4"/>
  <c r="I151" i="5" s="1"/>
  <c r="K151" i="5" s="1"/>
  <c r="H118" i="4"/>
  <c r="H85" i="4"/>
  <c r="H8" i="4"/>
  <c r="G49" i="4" a="1"/>
  <c r="G49" i="4" s="1"/>
  <c r="H49" i="4" s="1"/>
  <c r="H94" i="4"/>
  <c r="G62" i="4" a="1"/>
  <c r="G62" i="4" s="1"/>
  <c r="H62" i="4" s="1"/>
  <c r="H54" i="4"/>
  <c r="H46" i="4"/>
  <c r="G30" i="4" a="1"/>
  <c r="G30" i="4" s="1"/>
  <c r="H30" i="4" s="1"/>
  <c r="H14" i="4"/>
  <c r="G6" i="4" a="1"/>
  <c r="G6" i="4" s="1"/>
  <c r="H6" i="4" s="1"/>
  <c r="G258" i="4" a="1"/>
  <c r="G258" i="4" s="1"/>
  <c r="G253" i="4" a="1"/>
  <c r="G253" i="4" s="1"/>
  <c r="G248" i="4" a="1"/>
  <c r="G248" i="4" s="1"/>
  <c r="G241" i="4" a="1"/>
  <c r="G241" i="4" s="1"/>
  <c r="G235" i="4" a="1"/>
  <c r="G235" i="4" s="1"/>
  <c r="G216" i="4" a="1"/>
  <c r="G216" i="4" s="1"/>
  <c r="G209" i="4" a="1"/>
  <c r="G209" i="4" s="1"/>
  <c r="G203" i="4" a="1"/>
  <c r="G203" i="4" s="1"/>
  <c r="G184" i="4" a="1"/>
  <c r="G184" i="4" s="1"/>
  <c r="G177" i="4" a="1"/>
  <c r="G177" i="4" s="1"/>
  <c r="G171" i="4" a="1"/>
  <c r="G171" i="4" s="1"/>
  <c r="G152" i="4" a="1"/>
  <c r="G152" i="4" s="1"/>
  <c r="G145" i="4" a="1"/>
  <c r="G145" i="4" s="1"/>
  <c r="G139" i="4" a="1"/>
  <c r="G139" i="4" s="1"/>
  <c r="G120" i="4" a="1"/>
  <c r="G120" i="4" s="1"/>
  <c r="G113" i="4" a="1"/>
  <c r="G113" i="4" s="1"/>
  <c r="G105" i="4" a="1"/>
  <c r="G105" i="4" s="1"/>
  <c r="H105" i="4" s="1"/>
  <c r="G86" i="4" a="1"/>
  <c r="G86" i="4" s="1"/>
  <c r="H86" i="4" s="1"/>
  <c r="G80" i="4" a="1"/>
  <c r="G80" i="4" s="1"/>
  <c r="H80" i="4" s="1"/>
  <c r="G23" i="4" a="1"/>
  <c r="G23" i="4" s="1"/>
  <c r="H23" i="4" s="1"/>
  <c r="H48" i="4"/>
  <c r="G13" i="4" a="1"/>
  <c r="G13" i="4" s="1"/>
  <c r="H13" i="4" s="1"/>
  <c r="G247" i="4" a="1"/>
  <c r="G247" i="4" s="1"/>
  <c r="G234" i="4" a="1"/>
  <c r="G234" i="4" s="1"/>
  <c r="G228" i="4" a="1"/>
  <c r="G228" i="4" s="1"/>
  <c r="G221" i="4" a="1"/>
  <c r="G221" i="4" s="1"/>
  <c r="G215" i="4" a="1"/>
  <c r="G215" i="4" s="1"/>
  <c r="G202" i="4" a="1"/>
  <c r="G202" i="4" s="1"/>
  <c r="G196" i="4" a="1"/>
  <c r="G196" i="4" s="1"/>
  <c r="G189" i="4" a="1"/>
  <c r="G189" i="4" s="1"/>
  <c r="G183" i="4" a="1"/>
  <c r="G183" i="4" s="1"/>
  <c r="G170" i="4" a="1"/>
  <c r="G170" i="4" s="1"/>
  <c r="G164" i="4" a="1"/>
  <c r="G164" i="4" s="1"/>
  <c r="G157" i="4" a="1"/>
  <c r="G157" i="4" s="1"/>
  <c r="G151" i="4" a="1"/>
  <c r="G151" i="4" s="1"/>
  <c r="G138" i="4" a="1"/>
  <c r="G138" i="4" s="1"/>
  <c r="G132" i="4" a="1"/>
  <c r="G132" i="4" s="1"/>
  <c r="G125" i="4" a="1"/>
  <c r="G125" i="4" s="1"/>
  <c r="G119" i="4" a="1"/>
  <c r="G119" i="4" s="1"/>
  <c r="G111" i="4" a="1"/>
  <c r="G111" i="4" s="1"/>
  <c r="H111" i="4" s="1"/>
  <c r="G79" i="4" a="1"/>
  <c r="G79" i="4" s="1"/>
  <c r="H79" i="4" s="1"/>
  <c r="G41" i="4" a="1"/>
  <c r="G41" i="4" s="1"/>
  <c r="H41" i="4" s="1"/>
  <c r="G22" i="4" a="1"/>
  <c r="G22" i="4" s="1"/>
  <c r="H22" i="4" s="1"/>
  <c r="H238" i="4"/>
  <c r="I239" i="5" s="1"/>
  <c r="K239" i="5" s="1"/>
  <c r="H206" i="4"/>
  <c r="I207" i="5" s="1"/>
  <c r="K207" i="5" s="1"/>
  <c r="H174" i="4"/>
  <c r="I175" i="5" s="1"/>
  <c r="K175" i="5" s="1"/>
  <c r="H142" i="4"/>
  <c r="I143" i="5" s="1"/>
  <c r="K143" i="5" s="1"/>
  <c r="H109" i="4"/>
  <c r="H77" i="4"/>
  <c r="H45" i="4"/>
  <c r="H76" i="4"/>
  <c r="G52" i="4" a="1"/>
  <c r="G52" i="4" s="1"/>
  <c r="H52" i="4" s="1"/>
  <c r="G20" i="4" a="1"/>
  <c r="G20" i="4" s="1"/>
  <c r="H20" i="4" s="1"/>
  <c r="G12" i="4" a="1"/>
  <c r="G12" i="4" s="1"/>
  <c r="H12" i="4" s="1"/>
  <c r="G257" i="4" a="1"/>
  <c r="G257" i="4" s="1"/>
  <c r="G252" i="4" a="1"/>
  <c r="G252" i="4" s="1"/>
  <c r="G240" i="4" a="1"/>
  <c r="G240" i="4" s="1"/>
  <c r="G233" i="4" a="1"/>
  <c r="G233" i="4" s="1"/>
  <c r="G227" i="4" a="1"/>
  <c r="G227" i="4" s="1"/>
  <c r="G208" i="4" a="1"/>
  <c r="G208" i="4" s="1"/>
  <c r="G201" i="4" a="1"/>
  <c r="G201" i="4" s="1"/>
  <c r="G195" i="4" a="1"/>
  <c r="G195" i="4" s="1"/>
  <c r="G176" i="4" a="1"/>
  <c r="G176" i="4" s="1"/>
  <c r="G169" i="4" a="1"/>
  <c r="G169" i="4" s="1"/>
  <c r="G163" i="4" a="1"/>
  <c r="G163" i="4" s="1"/>
  <c r="G144" i="4" a="1"/>
  <c r="G144" i="4" s="1"/>
  <c r="G137" i="4" a="1"/>
  <c r="G137" i="4" s="1"/>
  <c r="G131" i="4" a="1"/>
  <c r="G131" i="4" s="1"/>
  <c r="G110" i="4" a="1"/>
  <c r="G110" i="4" s="1"/>
  <c r="H110" i="4" s="1"/>
  <c r="G104" i="4" a="1"/>
  <c r="G104" i="4" s="1"/>
  <c r="H104" i="4" s="1"/>
  <c r="G97" i="4" a="1"/>
  <c r="G97" i="4" s="1"/>
  <c r="H97" i="4" s="1"/>
  <c r="G78" i="4" a="1"/>
  <c r="G78" i="4" s="1"/>
  <c r="H78" i="4" s="1"/>
  <c r="G72" i="4" a="1"/>
  <c r="G72" i="4" s="1"/>
  <c r="H72" i="4" s="1"/>
  <c r="G65" i="4" a="1"/>
  <c r="G65" i="4" s="1"/>
  <c r="H65" i="4" s="1"/>
  <c r="G57" i="4" a="1"/>
  <c r="G57" i="4" s="1"/>
  <c r="H57" i="4" s="1"/>
  <c r="G32" i="4" a="1"/>
  <c r="G32" i="4" s="1"/>
  <c r="H32" i="4" s="1"/>
  <c r="G21" i="4" a="1"/>
  <c r="G21" i="4" s="1"/>
  <c r="H21" i="4" s="1"/>
  <c r="H40" i="4"/>
  <c r="H73" i="4"/>
  <c r="H33" i="4"/>
  <c r="G17" i="4" a="1"/>
  <c r="G17" i="4" s="1"/>
  <c r="H17" i="4" s="1"/>
  <c r="G9" i="4" a="1"/>
  <c r="G9" i="4" s="1"/>
  <c r="H9" i="4" s="1"/>
  <c r="H107" i="4"/>
  <c r="H99" i="4"/>
  <c r="H91" i="4"/>
  <c r="H75" i="4"/>
  <c r="H67" i="4"/>
  <c r="H59" i="4"/>
  <c r="H51" i="4"/>
  <c r="G43" i="4" a="1"/>
  <c r="G43" i="4" s="1"/>
  <c r="H43" i="4" s="1"/>
  <c r="H35" i="4"/>
  <c r="H27" i="4"/>
  <c r="G11" i="4" a="1"/>
  <c r="G11" i="4" s="1"/>
  <c r="H11" i="4" s="1"/>
  <c r="G251" i="4" a="1"/>
  <c r="G251" i="4" s="1"/>
  <c r="G245" i="4" a="1"/>
  <c r="G245" i="4" s="1"/>
  <c r="G239" i="4" a="1"/>
  <c r="G239" i="4" s="1"/>
  <c r="G226" i="4" a="1"/>
  <c r="G226" i="4" s="1"/>
  <c r="G220" i="4" a="1"/>
  <c r="G220" i="4" s="1"/>
  <c r="G213" i="4" a="1"/>
  <c r="G213" i="4" s="1"/>
  <c r="G207" i="4" a="1"/>
  <c r="G207" i="4" s="1"/>
  <c r="G194" i="4" a="1"/>
  <c r="G194" i="4" s="1"/>
  <c r="G188" i="4" a="1"/>
  <c r="G188" i="4" s="1"/>
  <c r="G181" i="4" a="1"/>
  <c r="G181" i="4" s="1"/>
  <c r="G175" i="4" a="1"/>
  <c r="G175" i="4" s="1"/>
  <c r="G162" i="4" a="1"/>
  <c r="G162" i="4" s="1"/>
  <c r="G156" i="4" a="1"/>
  <c r="G156" i="4" s="1"/>
  <c r="G149" i="4" a="1"/>
  <c r="G149" i="4" s="1"/>
  <c r="G143" i="4" a="1"/>
  <c r="G143" i="4" s="1"/>
  <c r="G130" i="4" a="1"/>
  <c r="G130" i="4" s="1"/>
  <c r="G124" i="4" a="1"/>
  <c r="G124" i="4" s="1"/>
  <c r="G117" i="4" a="1"/>
  <c r="G117" i="4" s="1"/>
  <c r="G103" i="4" a="1"/>
  <c r="G103" i="4" s="1"/>
  <c r="H103" i="4" s="1"/>
  <c r="G84" i="4" a="1"/>
  <c r="G84" i="4" s="1"/>
  <c r="H84" i="4" s="1"/>
  <c r="G71" i="4" a="1"/>
  <c r="G71" i="4" s="1"/>
  <c r="H71" i="4" s="1"/>
  <c r="G29" i="4" a="1"/>
  <c r="G29" i="4" s="1"/>
  <c r="H29" i="4" s="1"/>
  <c r="H81" i="4"/>
  <c r="H106" i="4"/>
  <c r="H98" i="4"/>
  <c r="H90" i="4"/>
  <c r="H82" i="4"/>
  <c r="H74" i="4"/>
  <c r="H66" i="4"/>
  <c r="G58" i="4" a="1"/>
  <c r="G58" i="4" s="1"/>
  <c r="H58" i="4" s="1"/>
  <c r="H50" i="4"/>
  <c r="H42" i="4"/>
  <c r="H34" i="4"/>
  <c r="G26" i="4" a="1"/>
  <c r="G26" i="4" s="1"/>
  <c r="H26" i="4" s="1"/>
  <c r="G18" i="4" a="1"/>
  <c r="G18" i="4" s="1"/>
  <c r="H18" i="4" s="1"/>
  <c r="H10" i="4"/>
  <c r="G256" i="4" a="1"/>
  <c r="G256" i="4" s="1"/>
  <c r="G250" i="4" a="1"/>
  <c r="G250" i="4" s="1"/>
  <c r="G232" i="4" a="1"/>
  <c r="G232" i="4" s="1"/>
  <c r="G225" i="4" a="1"/>
  <c r="G225" i="4" s="1"/>
  <c r="G219" i="4" a="1"/>
  <c r="G219" i="4" s="1"/>
  <c r="G200" i="4" a="1"/>
  <c r="G200" i="4" s="1"/>
  <c r="G193" i="4" a="1"/>
  <c r="G193" i="4" s="1"/>
  <c r="G187" i="4" a="1"/>
  <c r="G187" i="4" s="1"/>
  <c r="G168" i="4" a="1"/>
  <c r="G168" i="4" s="1"/>
  <c r="G161" i="4" a="1"/>
  <c r="G161" i="4" s="1"/>
  <c r="G155" i="4" a="1"/>
  <c r="G155" i="4" s="1"/>
  <c r="G136" i="4" a="1"/>
  <c r="G136" i="4" s="1"/>
  <c r="G129" i="4" a="1"/>
  <c r="G129" i="4" s="1"/>
  <c r="G123" i="4" a="1"/>
  <c r="G123" i="4" s="1"/>
  <c r="G102" i="4" a="1"/>
  <c r="G102" i="4" s="1"/>
  <c r="H102" i="4" s="1"/>
  <c r="G96" i="4" a="1"/>
  <c r="G96" i="4" s="1"/>
  <c r="H96" i="4" s="1"/>
  <c r="G89" i="4" a="1"/>
  <c r="G89" i="4" s="1"/>
  <c r="H89" i="4" s="1"/>
  <c r="G83" i="4" a="1"/>
  <c r="G83" i="4" s="1"/>
  <c r="H83" i="4" s="1"/>
  <c r="G70" i="4" a="1"/>
  <c r="G70" i="4" s="1"/>
  <c r="H70" i="4" s="1"/>
  <c r="G64" i="4" a="1"/>
  <c r="G64" i="4" s="1"/>
  <c r="H64" i="4" s="1"/>
  <c r="G55" i="4" a="1"/>
  <c r="G55" i="4" s="1"/>
  <c r="H55" i="4" s="1"/>
  <c r="G47" i="4" a="1"/>
  <c r="G47" i="4" s="1"/>
  <c r="H47" i="4" s="1"/>
  <c r="G38" i="4" a="1"/>
  <c r="G38" i="4" s="1"/>
  <c r="H38" i="4" s="1"/>
  <c r="G19" i="4" a="1"/>
  <c r="G19" i="4" s="1"/>
  <c r="H19" i="4" s="1"/>
  <c r="H112" i="4"/>
  <c r="B14" i="3"/>
  <c r="B10" i="3"/>
  <c r="B4" i="3"/>
  <c r="J180" i="8"/>
  <c r="N180" i="8" s="1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J136" i="8"/>
  <c r="N136" i="8" s="1"/>
  <c r="J137" i="8"/>
  <c r="N137" i="8" s="1"/>
  <c r="J138" i="8"/>
  <c r="N138" i="8" s="1"/>
  <c r="J139" i="8"/>
  <c r="N139" i="8" s="1"/>
  <c r="J140" i="8"/>
  <c r="N140" i="8" s="1"/>
  <c r="J141" i="8"/>
  <c r="N141" i="8" s="1"/>
  <c r="J142" i="8"/>
  <c r="N142" i="8" s="1"/>
  <c r="J143" i="8"/>
  <c r="N143" i="8" s="1"/>
  <c r="J144" i="8"/>
  <c r="N144" i="8" s="1"/>
  <c r="J145" i="8"/>
  <c r="N145" i="8" s="1"/>
  <c r="J146" i="8"/>
  <c r="N146" i="8" s="1"/>
  <c r="J147" i="8"/>
  <c r="N147" i="8" s="1"/>
  <c r="J148" i="8"/>
  <c r="N148" i="8" s="1"/>
  <c r="J149" i="8"/>
  <c r="N149" i="8" s="1"/>
  <c r="J150" i="8"/>
  <c r="N150" i="8" s="1"/>
  <c r="J151" i="8"/>
  <c r="N151" i="8" s="1"/>
  <c r="J152" i="8"/>
  <c r="N152" i="8" s="1"/>
  <c r="J153" i="8"/>
  <c r="N153" i="8" s="1"/>
  <c r="J154" i="8"/>
  <c r="N154" i="8" s="1"/>
  <c r="J155" i="8"/>
  <c r="N155" i="8" s="1"/>
  <c r="J156" i="8"/>
  <c r="N156" i="8" s="1"/>
  <c r="J157" i="8"/>
  <c r="N157" i="8" s="1"/>
  <c r="J158" i="8"/>
  <c r="N158" i="8" s="1"/>
  <c r="J159" i="8"/>
  <c r="N159" i="8" s="1"/>
  <c r="J160" i="8"/>
  <c r="N160" i="8" s="1"/>
  <c r="J161" i="8"/>
  <c r="N161" i="8" s="1"/>
  <c r="J162" i="8"/>
  <c r="N162" i="8" s="1"/>
  <c r="J163" i="8"/>
  <c r="N163" i="8" s="1"/>
  <c r="J164" i="8"/>
  <c r="N164" i="8" s="1"/>
  <c r="J165" i="8"/>
  <c r="N165" i="8" s="1"/>
  <c r="J166" i="8"/>
  <c r="N166" i="8" s="1"/>
  <c r="J167" i="8"/>
  <c r="N167" i="8" s="1"/>
  <c r="J168" i="8"/>
  <c r="N168" i="8" s="1"/>
  <c r="J169" i="8"/>
  <c r="N169" i="8" s="1"/>
  <c r="J170" i="8"/>
  <c r="N170" i="8" s="1"/>
  <c r="J171" i="8"/>
  <c r="N171" i="8" s="1"/>
  <c r="J172" i="8"/>
  <c r="N172" i="8" s="1"/>
  <c r="J173" i="8"/>
  <c r="N173" i="8" s="1"/>
  <c r="J174" i="8"/>
  <c r="N174" i="8" s="1"/>
  <c r="J175" i="8"/>
  <c r="N175" i="8" s="1"/>
  <c r="J176" i="8"/>
  <c r="N176" i="8" s="1"/>
  <c r="J177" i="8"/>
  <c r="N177" i="8" s="1"/>
  <c r="J178" i="8"/>
  <c r="N178" i="8" s="1"/>
  <c r="J179" i="8"/>
  <c r="N179" i="8" s="1"/>
  <c r="J181" i="8"/>
  <c r="N181" i="8" s="1"/>
  <c r="J182" i="8"/>
  <c r="N182" i="8" s="1"/>
  <c r="J183" i="8"/>
  <c r="N183" i="8" s="1"/>
  <c r="J184" i="8"/>
  <c r="N184" i="8" s="1"/>
  <c r="J185" i="8"/>
  <c r="N185" i="8" s="1"/>
  <c r="J186" i="8"/>
  <c r="N186" i="8" s="1"/>
  <c r="J187" i="8"/>
  <c r="N187" i="8" s="1"/>
  <c r="J188" i="8"/>
  <c r="N188" i="8" s="1"/>
  <c r="J189" i="8"/>
  <c r="N189" i="8" s="1"/>
  <c r="J190" i="8"/>
  <c r="N190" i="8" s="1"/>
  <c r="J191" i="8"/>
  <c r="N191" i="8" s="1"/>
  <c r="J192" i="8"/>
  <c r="N192" i="8" s="1"/>
  <c r="J193" i="8"/>
  <c r="N193" i="8" s="1"/>
  <c r="J194" i="8"/>
  <c r="N194" i="8" s="1"/>
  <c r="J195" i="8"/>
  <c r="N195" i="8" s="1"/>
  <c r="J196" i="8"/>
  <c r="N196" i="8" s="1"/>
  <c r="J197" i="8"/>
  <c r="N197" i="8" s="1"/>
  <c r="J198" i="8"/>
  <c r="N198" i="8" s="1"/>
  <c r="J199" i="8"/>
  <c r="N199" i="8" s="1"/>
  <c r="J200" i="8"/>
  <c r="N200" i="8" s="1"/>
  <c r="J201" i="8"/>
  <c r="N201" i="8" s="1"/>
  <c r="J202" i="8"/>
  <c r="N202" i="8" s="1"/>
  <c r="J203" i="8"/>
  <c r="N203" i="8" s="1"/>
  <c r="J204" i="8"/>
  <c r="N204" i="8" s="1"/>
  <c r="J205" i="8"/>
  <c r="N205" i="8" s="1"/>
  <c r="J206" i="8"/>
  <c r="N206" i="8" s="1"/>
  <c r="J207" i="8"/>
  <c r="N207" i="8" s="1"/>
  <c r="J208" i="8"/>
  <c r="N208" i="8" s="1"/>
  <c r="J209" i="8"/>
  <c r="N209" i="8" s="1"/>
  <c r="J210" i="8"/>
  <c r="N210" i="8" s="1"/>
  <c r="J211" i="8"/>
  <c r="N211" i="8" s="1"/>
  <c r="J212" i="8"/>
  <c r="N212" i="8" s="1"/>
  <c r="J213" i="8"/>
  <c r="N213" i="8" s="1"/>
  <c r="J214" i="8"/>
  <c r="N214" i="8" s="1"/>
  <c r="J215" i="8"/>
  <c r="N215" i="8" s="1"/>
  <c r="J216" i="8"/>
  <c r="N216" i="8" s="1"/>
  <c r="J217" i="8"/>
  <c r="N217" i="8" s="1"/>
  <c r="J218" i="8"/>
  <c r="N218" i="8" s="1"/>
  <c r="J219" i="8"/>
  <c r="N219" i="8" s="1"/>
  <c r="J220" i="8"/>
  <c r="N220" i="8" s="1"/>
  <c r="J221" i="8"/>
  <c r="N221" i="8" s="1"/>
  <c r="J222" i="8"/>
  <c r="N222" i="8" s="1"/>
  <c r="J223" i="8"/>
  <c r="N223" i="8" s="1"/>
  <c r="J224" i="8"/>
  <c r="N224" i="8" s="1"/>
  <c r="J225" i="8"/>
  <c r="N225" i="8" s="1"/>
  <c r="J226" i="8"/>
  <c r="N226" i="8" s="1"/>
  <c r="J227" i="8"/>
  <c r="N227" i="8" s="1"/>
  <c r="J228" i="8"/>
  <c r="N228" i="8" s="1"/>
  <c r="J229" i="8"/>
  <c r="N229" i="8" s="1"/>
  <c r="J230" i="8"/>
  <c r="N230" i="8" s="1"/>
  <c r="J231" i="8"/>
  <c r="N231" i="8" s="1"/>
  <c r="J232" i="8"/>
  <c r="N232" i="8" s="1"/>
  <c r="D15" i="7"/>
  <c r="C15" i="7" s="1"/>
  <c r="J24" i="2"/>
  <c r="J21" i="2"/>
  <c r="J16" i="2"/>
  <c r="M94" i="5" l="1"/>
  <c r="I20" i="5"/>
  <c r="K20" i="5" s="1"/>
  <c r="L20" i="5" s="1"/>
  <c r="M20" i="5" s="1"/>
  <c r="L22" i="8"/>
  <c r="M22" i="8" s="1"/>
  <c r="I27" i="5"/>
  <c r="K27" i="5" s="1"/>
  <c r="L27" i="5" s="1"/>
  <c r="M27" i="5" s="1"/>
  <c r="L29" i="8"/>
  <c r="M29" i="8" s="1"/>
  <c r="I10" i="5"/>
  <c r="K10" i="5" s="1"/>
  <c r="L10" i="5" s="1"/>
  <c r="M10" i="5" s="1"/>
  <c r="L12" i="8"/>
  <c r="M12" i="8" s="1"/>
  <c r="I61" i="5"/>
  <c r="K61" i="5" s="1"/>
  <c r="L61" i="5" s="1"/>
  <c r="M61" i="5" s="1"/>
  <c r="L63" i="8"/>
  <c r="M63" i="8" s="1"/>
  <c r="I71" i="5"/>
  <c r="K71" i="5" s="1"/>
  <c r="L71" i="5" s="1"/>
  <c r="N71" i="5" s="1"/>
  <c r="L73" i="8"/>
  <c r="M73" i="8" s="1"/>
  <c r="I107" i="5"/>
  <c r="K107" i="5" s="1"/>
  <c r="L107" i="5" s="1"/>
  <c r="N107" i="5" s="1"/>
  <c r="L109" i="8"/>
  <c r="M109" i="8" s="1"/>
  <c r="I76" i="5"/>
  <c r="K76" i="5" s="1"/>
  <c r="L76" i="5" s="1"/>
  <c r="N76" i="5" s="1"/>
  <c r="L78" i="8"/>
  <c r="M78" i="8" s="1"/>
  <c r="I74" i="5"/>
  <c r="K74" i="5" s="1"/>
  <c r="L74" i="5" s="1"/>
  <c r="N74" i="5" s="1"/>
  <c r="L76" i="8"/>
  <c r="M76" i="8" s="1"/>
  <c r="I14" i="5"/>
  <c r="K14" i="5" s="1"/>
  <c r="L14" i="5" s="1"/>
  <c r="L16" i="8"/>
  <c r="M16" i="8" s="1"/>
  <c r="I119" i="5"/>
  <c r="K119" i="5" s="1"/>
  <c r="L121" i="8"/>
  <c r="M121" i="8" s="1"/>
  <c r="I57" i="5"/>
  <c r="K57" i="5" s="1"/>
  <c r="L57" i="5" s="1"/>
  <c r="M57" i="5" s="1"/>
  <c r="L59" i="8"/>
  <c r="M59" i="8" s="1"/>
  <c r="I84" i="5"/>
  <c r="K84" i="5" s="1"/>
  <c r="L84" i="5" s="1"/>
  <c r="N84" i="5" s="1"/>
  <c r="L86" i="8"/>
  <c r="M86" i="8" s="1"/>
  <c r="I51" i="5"/>
  <c r="K51" i="5" s="1"/>
  <c r="L51" i="5" s="1"/>
  <c r="M51" i="5" s="1"/>
  <c r="L53" i="8"/>
  <c r="M53" i="8" s="1"/>
  <c r="I82" i="5"/>
  <c r="K82" i="5" s="1"/>
  <c r="L82" i="5" s="1"/>
  <c r="M82" i="5" s="1"/>
  <c r="L84" i="8"/>
  <c r="M84" i="8" s="1"/>
  <c r="I92" i="5"/>
  <c r="K92" i="5" s="1"/>
  <c r="L92" i="5" s="1"/>
  <c r="M92" i="5" s="1"/>
  <c r="L94" i="8"/>
  <c r="M94" i="8" s="1"/>
  <c r="I41" i="5"/>
  <c r="K41" i="5" s="1"/>
  <c r="L41" i="5" s="1"/>
  <c r="N41" i="5" s="1"/>
  <c r="L43" i="8"/>
  <c r="M43" i="8" s="1"/>
  <c r="I105" i="5"/>
  <c r="K105" i="5" s="1"/>
  <c r="L105" i="5" s="1"/>
  <c r="N105" i="5" s="1"/>
  <c r="L107" i="8"/>
  <c r="M107" i="8" s="1"/>
  <c r="I13" i="5"/>
  <c r="K13" i="5" s="1"/>
  <c r="L13" i="5" s="1"/>
  <c r="L15" i="8"/>
  <c r="M15" i="8" s="1"/>
  <c r="I93" i="5"/>
  <c r="K93" i="5" s="1"/>
  <c r="L93" i="5" s="1"/>
  <c r="M93" i="5" s="1"/>
  <c r="L95" i="8"/>
  <c r="M95" i="8" s="1"/>
  <c r="I49" i="5"/>
  <c r="K49" i="5" s="1"/>
  <c r="L49" i="5" s="1"/>
  <c r="N49" i="5" s="1"/>
  <c r="L51" i="8"/>
  <c r="M51" i="8" s="1"/>
  <c r="I47" i="5"/>
  <c r="K47" i="5" s="1"/>
  <c r="L47" i="5" s="1"/>
  <c r="L49" i="8"/>
  <c r="M49" i="8" s="1"/>
  <c r="I8" i="5"/>
  <c r="K8" i="5" s="1"/>
  <c r="L8" i="5" s="1"/>
  <c r="N8" i="5" s="1"/>
  <c r="L10" i="8"/>
  <c r="M10" i="8" s="1"/>
  <c r="I54" i="5"/>
  <c r="K54" i="5" s="1"/>
  <c r="L54" i="5" s="1"/>
  <c r="N54" i="5" s="1"/>
  <c r="L56" i="8"/>
  <c r="M56" i="8" s="1"/>
  <c r="I67" i="5"/>
  <c r="K67" i="5" s="1"/>
  <c r="L67" i="5" s="1"/>
  <c r="N67" i="5" s="1"/>
  <c r="L69" i="8"/>
  <c r="M69" i="8" s="1"/>
  <c r="I81" i="5"/>
  <c r="K81" i="5" s="1"/>
  <c r="L81" i="5" s="1"/>
  <c r="L83" i="8"/>
  <c r="M83" i="8" s="1"/>
  <c r="I43" i="5"/>
  <c r="K43" i="5" s="1"/>
  <c r="L43" i="5" s="1"/>
  <c r="N43" i="5" s="1"/>
  <c r="L45" i="8"/>
  <c r="M45" i="8" s="1"/>
  <c r="I12" i="5"/>
  <c r="K12" i="5" s="1"/>
  <c r="L12" i="5" s="1"/>
  <c r="N12" i="5" s="1"/>
  <c r="L14" i="8"/>
  <c r="M14" i="8" s="1"/>
  <c r="I98" i="5"/>
  <c r="K98" i="5" s="1"/>
  <c r="L98" i="5" s="1"/>
  <c r="N98" i="5" s="1"/>
  <c r="L100" i="8"/>
  <c r="M100" i="8" s="1"/>
  <c r="I77" i="5"/>
  <c r="K77" i="5" s="1"/>
  <c r="L77" i="5" s="1"/>
  <c r="M77" i="5" s="1"/>
  <c r="L79" i="8"/>
  <c r="M79" i="8" s="1"/>
  <c r="I31" i="5"/>
  <c r="K31" i="5" s="1"/>
  <c r="L31" i="5" s="1"/>
  <c r="N31" i="5" s="1"/>
  <c r="L33" i="8"/>
  <c r="M33" i="8" s="1"/>
  <c r="I16" i="5"/>
  <c r="K16" i="5" s="1"/>
  <c r="L16" i="5" s="1"/>
  <c r="N16" i="5" s="1"/>
  <c r="L18" i="8"/>
  <c r="M18" i="8" s="1"/>
  <c r="I113" i="5"/>
  <c r="K113" i="5" s="1"/>
  <c r="L115" i="8"/>
  <c r="M115" i="8" s="1"/>
  <c r="I90" i="5"/>
  <c r="K90" i="5" s="1"/>
  <c r="L90" i="5" s="1"/>
  <c r="N90" i="5" s="1"/>
  <c r="L92" i="8"/>
  <c r="M92" i="8" s="1"/>
  <c r="I59" i="5"/>
  <c r="K59" i="5" s="1"/>
  <c r="L59" i="5" s="1"/>
  <c r="N59" i="5" s="1"/>
  <c r="L61" i="8"/>
  <c r="M61" i="8" s="1"/>
  <c r="I30" i="5"/>
  <c r="K30" i="5" s="1"/>
  <c r="L30" i="5" s="1"/>
  <c r="M30" i="5" s="1"/>
  <c r="L32" i="8"/>
  <c r="M32" i="8" s="1"/>
  <c r="I28" i="5"/>
  <c r="K28" i="5" s="1"/>
  <c r="L28" i="5" s="1"/>
  <c r="M28" i="5" s="1"/>
  <c r="L30" i="8"/>
  <c r="M30" i="8" s="1"/>
  <c r="I100" i="5"/>
  <c r="K100" i="5" s="1"/>
  <c r="L100" i="5" s="1"/>
  <c r="N100" i="5" s="1"/>
  <c r="L102" i="8"/>
  <c r="M102" i="8" s="1"/>
  <c r="I22" i="5"/>
  <c r="K22" i="5" s="1"/>
  <c r="L22" i="5" s="1"/>
  <c r="N22" i="5" s="1"/>
  <c r="L24" i="8"/>
  <c r="M24" i="8" s="1"/>
  <c r="I111" i="5"/>
  <c r="K111" i="5" s="1"/>
  <c r="L111" i="5" s="1"/>
  <c r="N111" i="5" s="1"/>
  <c r="L113" i="8"/>
  <c r="M113" i="8" s="1"/>
  <c r="I21" i="5"/>
  <c r="K21" i="5" s="1"/>
  <c r="L21" i="5" s="1"/>
  <c r="M21" i="5" s="1"/>
  <c r="L23" i="8"/>
  <c r="M23" i="8" s="1"/>
  <c r="I101" i="5"/>
  <c r="K101" i="5" s="1"/>
  <c r="L101" i="5" s="1"/>
  <c r="M101" i="5" s="1"/>
  <c r="L103" i="8"/>
  <c r="M103" i="8" s="1"/>
  <c r="I24" i="5"/>
  <c r="K24" i="5" s="1"/>
  <c r="L24" i="5" s="1"/>
  <c r="N24" i="5" s="1"/>
  <c r="L26" i="8"/>
  <c r="M26" i="8" s="1"/>
  <c r="I55" i="5"/>
  <c r="K55" i="5" s="1"/>
  <c r="L55" i="5" s="1"/>
  <c r="N55" i="5" s="1"/>
  <c r="L57" i="8"/>
  <c r="M57" i="8" s="1"/>
  <c r="I32" i="5"/>
  <c r="K32" i="5" s="1"/>
  <c r="L32" i="5" s="1"/>
  <c r="N32" i="5" s="1"/>
  <c r="L34" i="8"/>
  <c r="M34" i="8" s="1"/>
  <c r="I89" i="5"/>
  <c r="K89" i="5" s="1"/>
  <c r="L89" i="5" s="1"/>
  <c r="M89" i="5" s="1"/>
  <c r="L91" i="8"/>
  <c r="M91" i="8" s="1"/>
  <c r="I25" i="5"/>
  <c r="K25" i="5" s="1"/>
  <c r="L25" i="5" s="1"/>
  <c r="L27" i="8"/>
  <c r="M27" i="8" s="1"/>
  <c r="I97" i="5"/>
  <c r="K97" i="5" s="1"/>
  <c r="L97" i="5" s="1"/>
  <c r="N97" i="5" s="1"/>
  <c r="L99" i="8"/>
  <c r="M99" i="8" s="1"/>
  <c r="I36" i="5"/>
  <c r="K36" i="5" s="1"/>
  <c r="L36" i="5" s="1"/>
  <c r="N36" i="5" s="1"/>
  <c r="L38" i="8"/>
  <c r="M38" i="8" s="1"/>
  <c r="I109" i="5"/>
  <c r="K109" i="5" s="1"/>
  <c r="L109" i="5" s="1"/>
  <c r="N109" i="5" s="1"/>
  <c r="L111" i="8"/>
  <c r="M111" i="8" s="1"/>
  <c r="I38" i="5"/>
  <c r="K38" i="5" s="1"/>
  <c r="L38" i="5" s="1"/>
  <c r="N38" i="5" s="1"/>
  <c r="L40" i="8"/>
  <c r="M40" i="8" s="1"/>
  <c r="I19" i="5"/>
  <c r="K19" i="5" s="1"/>
  <c r="L19" i="5" s="1"/>
  <c r="N19" i="5" s="1"/>
  <c r="L21" i="8"/>
  <c r="M21" i="8" s="1"/>
  <c r="I23" i="5"/>
  <c r="K23" i="5" s="1"/>
  <c r="L23" i="5" s="1"/>
  <c r="M23" i="5" s="1"/>
  <c r="L25" i="8"/>
  <c r="M25" i="8" s="1"/>
  <c r="I63" i="5"/>
  <c r="K63" i="5" s="1"/>
  <c r="L63" i="5" s="1"/>
  <c r="N63" i="5" s="1"/>
  <c r="L65" i="8"/>
  <c r="M65" i="8" s="1"/>
  <c r="I103" i="5"/>
  <c r="K103" i="5" s="1"/>
  <c r="L103" i="5" s="1"/>
  <c r="N103" i="5" s="1"/>
  <c r="L105" i="8"/>
  <c r="M105" i="8" s="1"/>
  <c r="I44" i="5"/>
  <c r="K44" i="5" s="1"/>
  <c r="L44" i="5" s="1"/>
  <c r="M44" i="5" s="1"/>
  <c r="L46" i="8"/>
  <c r="M46" i="8" s="1"/>
  <c r="I37" i="5"/>
  <c r="K37" i="5" s="1"/>
  <c r="L37" i="5" s="1"/>
  <c r="N37" i="5" s="1"/>
  <c r="L39" i="8"/>
  <c r="M39" i="8" s="1"/>
  <c r="I87" i="5"/>
  <c r="K87" i="5" s="1"/>
  <c r="L87" i="5" s="1"/>
  <c r="L89" i="8"/>
  <c r="M89" i="8" s="1"/>
  <c r="I102" i="5"/>
  <c r="K102" i="5" s="1"/>
  <c r="L102" i="5" s="1"/>
  <c r="M102" i="5" s="1"/>
  <c r="L104" i="8"/>
  <c r="M104" i="8" s="1"/>
  <c r="I48" i="5"/>
  <c r="K48" i="5" s="1"/>
  <c r="L48" i="5" s="1"/>
  <c r="N48" i="5" s="1"/>
  <c r="L50" i="8"/>
  <c r="M50" i="8" s="1"/>
  <c r="I83" i="5"/>
  <c r="K83" i="5" s="1"/>
  <c r="L83" i="5" s="1"/>
  <c r="N83" i="5" s="1"/>
  <c r="L85" i="8"/>
  <c r="M85" i="8" s="1"/>
  <c r="I104" i="5"/>
  <c r="K104" i="5" s="1"/>
  <c r="L104" i="5" s="1"/>
  <c r="M104" i="5" s="1"/>
  <c r="L106" i="8"/>
  <c r="M106" i="8" s="1"/>
  <c r="I52" i="5"/>
  <c r="K52" i="5" s="1"/>
  <c r="L52" i="5" s="1"/>
  <c r="N52" i="5" s="1"/>
  <c r="L54" i="8"/>
  <c r="M54" i="8" s="1"/>
  <c r="I66" i="5"/>
  <c r="K66" i="5" s="1"/>
  <c r="L66" i="5" s="1"/>
  <c r="N66" i="5" s="1"/>
  <c r="L68" i="8"/>
  <c r="M68" i="8" s="1"/>
  <c r="I45" i="5"/>
  <c r="K45" i="5" s="1"/>
  <c r="L45" i="5" s="1"/>
  <c r="N45" i="5" s="1"/>
  <c r="L47" i="8"/>
  <c r="M47" i="8" s="1"/>
  <c r="I78" i="5"/>
  <c r="K78" i="5" s="1"/>
  <c r="L78" i="5" s="1"/>
  <c r="N78" i="5" s="1"/>
  <c r="L80" i="8"/>
  <c r="M80" i="8" s="1"/>
  <c r="I80" i="5"/>
  <c r="K80" i="5" s="1"/>
  <c r="L80" i="5" s="1"/>
  <c r="N80" i="5" s="1"/>
  <c r="L82" i="8"/>
  <c r="M82" i="8" s="1"/>
  <c r="I106" i="5"/>
  <c r="K106" i="5" s="1"/>
  <c r="L106" i="5" s="1"/>
  <c r="N106" i="5" s="1"/>
  <c r="L108" i="8"/>
  <c r="M108" i="8" s="1"/>
  <c r="I50" i="5"/>
  <c r="K50" i="5" s="1"/>
  <c r="L50" i="5" s="1"/>
  <c r="N50" i="5" s="1"/>
  <c r="L52" i="8"/>
  <c r="M52" i="8" s="1"/>
  <c r="I26" i="5"/>
  <c r="K26" i="5" s="1"/>
  <c r="L26" i="5" s="1"/>
  <c r="M26" i="5" s="1"/>
  <c r="L28" i="8"/>
  <c r="M28" i="8" s="1"/>
  <c r="I96" i="5"/>
  <c r="K96" i="5" s="1"/>
  <c r="L96" i="5" s="1"/>
  <c r="N96" i="5" s="1"/>
  <c r="L98" i="8"/>
  <c r="M98" i="8" s="1"/>
  <c r="N62" i="5"/>
  <c r="I72" i="5"/>
  <c r="K72" i="5" s="1"/>
  <c r="L72" i="5" s="1"/>
  <c r="M72" i="5" s="1"/>
  <c r="L74" i="8"/>
  <c r="M74" i="8" s="1"/>
  <c r="I108" i="5"/>
  <c r="K108" i="5" s="1"/>
  <c r="L108" i="5" s="1"/>
  <c r="M108" i="5" s="1"/>
  <c r="L110" i="8"/>
  <c r="M110" i="8" s="1"/>
  <c r="I29" i="5"/>
  <c r="K29" i="5" s="1"/>
  <c r="L29" i="5" s="1"/>
  <c r="N29" i="5" s="1"/>
  <c r="L31" i="8"/>
  <c r="M31" i="8" s="1"/>
  <c r="I85" i="5"/>
  <c r="K85" i="5" s="1"/>
  <c r="L85" i="5" s="1"/>
  <c r="M85" i="5" s="1"/>
  <c r="L87" i="8"/>
  <c r="M87" i="8" s="1"/>
  <c r="I46" i="5"/>
  <c r="K46" i="5" s="1"/>
  <c r="L46" i="5" s="1"/>
  <c r="N46" i="5" s="1"/>
  <c r="L48" i="8"/>
  <c r="M48" i="8" s="1"/>
  <c r="I95" i="5"/>
  <c r="K95" i="5" s="1"/>
  <c r="L95" i="5" s="1"/>
  <c r="M95" i="5" s="1"/>
  <c r="L97" i="8"/>
  <c r="M97" i="8" s="1"/>
  <c r="I56" i="5"/>
  <c r="K56" i="5" s="1"/>
  <c r="L56" i="5" s="1"/>
  <c r="N56" i="5" s="1"/>
  <c r="L58" i="8"/>
  <c r="M58" i="8" s="1"/>
  <c r="I91" i="5"/>
  <c r="K91" i="5" s="1"/>
  <c r="L91" i="5" s="1"/>
  <c r="M91" i="5" s="1"/>
  <c r="L93" i="8"/>
  <c r="M93" i="8" s="1"/>
  <c r="I60" i="5"/>
  <c r="K60" i="5" s="1"/>
  <c r="L60" i="5" s="1"/>
  <c r="N60" i="5" s="1"/>
  <c r="L62" i="8"/>
  <c r="M62" i="8" s="1"/>
  <c r="I18" i="5"/>
  <c r="K18" i="5" s="1"/>
  <c r="L18" i="5" s="1"/>
  <c r="M18" i="5" s="1"/>
  <c r="L20" i="8"/>
  <c r="M20" i="8" s="1"/>
  <c r="I73" i="5"/>
  <c r="K73" i="5" s="1"/>
  <c r="L73" i="5" s="1"/>
  <c r="N73" i="5" s="1"/>
  <c r="L75" i="8"/>
  <c r="M75" i="8" s="1"/>
  <c r="I53" i="5"/>
  <c r="K53" i="5" s="1"/>
  <c r="L53" i="5" s="1"/>
  <c r="N53" i="5" s="1"/>
  <c r="L55" i="8"/>
  <c r="M55" i="8" s="1"/>
  <c r="I110" i="5"/>
  <c r="K110" i="5" s="1"/>
  <c r="L110" i="5" s="1"/>
  <c r="M110" i="5" s="1"/>
  <c r="L112" i="8"/>
  <c r="M112" i="8" s="1"/>
  <c r="I112" i="5"/>
  <c r="K112" i="5" s="1"/>
  <c r="L112" i="5" s="1"/>
  <c r="N112" i="5" s="1"/>
  <c r="L114" i="8"/>
  <c r="M114" i="8" s="1"/>
  <c r="I7" i="5"/>
  <c r="K7" i="5" s="1"/>
  <c r="L7" i="5" s="1"/>
  <c r="N7" i="5" s="1"/>
  <c r="L9" i="8"/>
  <c r="M9" i="8" s="1"/>
  <c r="I9" i="5"/>
  <c r="K9" i="5" s="1"/>
  <c r="L9" i="5" s="1"/>
  <c r="N9" i="5" s="1"/>
  <c r="L11" i="8"/>
  <c r="M11" i="8" s="1"/>
  <c r="I88" i="5"/>
  <c r="K88" i="5" s="1"/>
  <c r="L88" i="5" s="1"/>
  <c r="M88" i="5" s="1"/>
  <c r="L90" i="8"/>
  <c r="M90" i="8" s="1"/>
  <c r="I127" i="5"/>
  <c r="K127" i="5" s="1"/>
  <c r="L129" i="8"/>
  <c r="M129" i="8" s="1"/>
  <c r="I11" i="5"/>
  <c r="K11" i="5" s="1"/>
  <c r="L11" i="5" s="1"/>
  <c r="M11" i="5" s="1"/>
  <c r="L13" i="8"/>
  <c r="M13" i="8" s="1"/>
  <c r="I33" i="5"/>
  <c r="K33" i="5" s="1"/>
  <c r="L33" i="5" s="1"/>
  <c r="N33" i="5" s="1"/>
  <c r="L35" i="8"/>
  <c r="M35" i="8" s="1"/>
  <c r="I40" i="5"/>
  <c r="K40" i="5" s="1"/>
  <c r="L40" i="5" s="1"/>
  <c r="N40" i="5" s="1"/>
  <c r="L42" i="8"/>
  <c r="M42" i="8" s="1"/>
  <c r="I70" i="5"/>
  <c r="K70" i="5" s="1"/>
  <c r="L70" i="5" s="1"/>
  <c r="M70" i="5" s="1"/>
  <c r="L72" i="8"/>
  <c r="M72" i="8" s="1"/>
  <c r="I39" i="5"/>
  <c r="K39" i="5" s="1"/>
  <c r="L39" i="5" s="1"/>
  <c r="N39" i="5" s="1"/>
  <c r="L41" i="8"/>
  <c r="M41" i="8" s="1"/>
  <c r="I75" i="5"/>
  <c r="K75" i="5" s="1"/>
  <c r="L75" i="5" s="1"/>
  <c r="M75" i="5" s="1"/>
  <c r="L77" i="8"/>
  <c r="M77" i="8" s="1"/>
  <c r="I58" i="5"/>
  <c r="K58" i="5" s="1"/>
  <c r="L58" i="5" s="1"/>
  <c r="N58" i="5" s="1"/>
  <c r="L60" i="8"/>
  <c r="M60" i="8" s="1"/>
  <c r="I42" i="5"/>
  <c r="K42" i="5" s="1"/>
  <c r="L42" i="5" s="1"/>
  <c r="M42" i="5" s="1"/>
  <c r="L44" i="8"/>
  <c r="M44" i="8" s="1"/>
  <c r="I64" i="5"/>
  <c r="K64" i="5" s="1"/>
  <c r="L64" i="5" s="1"/>
  <c r="N64" i="5" s="1"/>
  <c r="L66" i="8"/>
  <c r="M66" i="8" s="1"/>
  <c r="I69" i="5"/>
  <c r="K69" i="5" s="1"/>
  <c r="L69" i="5" s="1"/>
  <c r="M69" i="5" s="1"/>
  <c r="L71" i="8"/>
  <c r="M71" i="8" s="1"/>
  <c r="I65" i="5"/>
  <c r="K65" i="5" s="1"/>
  <c r="L65" i="5" s="1"/>
  <c r="M65" i="5" s="1"/>
  <c r="L67" i="8"/>
  <c r="M67" i="8" s="1"/>
  <c r="I35" i="5"/>
  <c r="K35" i="5" s="1"/>
  <c r="L35" i="5" s="1"/>
  <c r="M35" i="5" s="1"/>
  <c r="L37" i="8"/>
  <c r="M37" i="8" s="1"/>
  <c r="I99" i="5"/>
  <c r="K99" i="5" s="1"/>
  <c r="L99" i="5" s="1"/>
  <c r="N99" i="5" s="1"/>
  <c r="L101" i="8"/>
  <c r="M101" i="8" s="1"/>
  <c r="I68" i="5"/>
  <c r="K68" i="5" s="1"/>
  <c r="L68" i="5" s="1"/>
  <c r="N68" i="5" s="1"/>
  <c r="L70" i="8"/>
  <c r="M70" i="8" s="1"/>
  <c r="I34" i="5"/>
  <c r="K34" i="5" s="1"/>
  <c r="L34" i="5" s="1"/>
  <c r="N34" i="5" s="1"/>
  <c r="L36" i="8"/>
  <c r="M36" i="8" s="1"/>
  <c r="I79" i="5"/>
  <c r="K79" i="5" s="1"/>
  <c r="L79" i="5" s="1"/>
  <c r="M79" i="5" s="1"/>
  <c r="L81" i="8"/>
  <c r="M81" i="8" s="1"/>
  <c r="I15" i="5"/>
  <c r="K15" i="5" s="1"/>
  <c r="L15" i="5" s="1"/>
  <c r="N15" i="5" s="1"/>
  <c r="L17" i="8"/>
  <c r="M17" i="8" s="1"/>
  <c r="I86" i="5"/>
  <c r="K86" i="5" s="1"/>
  <c r="L86" i="5" s="1"/>
  <c r="M86" i="5" s="1"/>
  <c r="L88" i="8"/>
  <c r="M88" i="8" s="1"/>
  <c r="I17" i="5"/>
  <c r="K17" i="5" s="1"/>
  <c r="L17" i="5" s="1"/>
  <c r="M17" i="5" s="1"/>
  <c r="L19" i="8"/>
  <c r="M19" i="8" s="1"/>
  <c r="M71" i="5"/>
  <c r="M14" i="5"/>
  <c r="N14" i="5"/>
  <c r="M54" i="5"/>
  <c r="N30" i="5"/>
  <c r="M24" i="5"/>
  <c r="N42" i="5"/>
  <c r="N81" i="5"/>
  <c r="M81" i="5"/>
  <c r="M31" i="5"/>
  <c r="M105" i="5"/>
  <c r="N87" i="5"/>
  <c r="M87" i="5"/>
  <c r="N47" i="5"/>
  <c r="M47" i="5"/>
  <c r="M8" i="5"/>
  <c r="N75" i="5"/>
  <c r="N92" i="5"/>
  <c r="M109" i="5"/>
  <c r="N27" i="5"/>
  <c r="M78" i="5"/>
  <c r="N20" i="5"/>
  <c r="M43" i="5"/>
  <c r="N69" i="5"/>
  <c r="M13" i="5"/>
  <c r="N13" i="5"/>
  <c r="N51" i="5"/>
  <c r="M107" i="5"/>
  <c r="N77" i="5"/>
  <c r="M9" i="5"/>
  <c r="N104" i="5"/>
  <c r="M100" i="5"/>
  <c r="N82" i="5"/>
  <c r="J26" i="2"/>
  <c r="E15" i="7"/>
  <c r="G6" i="5"/>
  <c r="F6" i="5"/>
  <c r="E6" i="5"/>
  <c r="E281" i="5" s="1"/>
  <c r="D6" i="5"/>
  <c r="H6" i="5" s="1"/>
  <c r="C6" i="5"/>
  <c r="B6" i="5"/>
  <c r="G233" i="8"/>
  <c r="F233" i="8"/>
  <c r="I8" i="8"/>
  <c r="B8" i="7"/>
  <c r="B7" i="7"/>
  <c r="J6" i="5"/>
  <c r="H232" i="8"/>
  <c r="K232" i="8" s="1"/>
  <c r="H231" i="8"/>
  <c r="K231" i="8" s="1"/>
  <c r="H230" i="8"/>
  <c r="K230" i="8" s="1"/>
  <c r="H229" i="8"/>
  <c r="K229" i="8" s="1"/>
  <c r="H228" i="8"/>
  <c r="K228" i="8" s="1"/>
  <c r="H227" i="8"/>
  <c r="K227" i="8" s="1"/>
  <c r="H226" i="8"/>
  <c r="K226" i="8" s="1"/>
  <c r="H225" i="8"/>
  <c r="K225" i="8" s="1"/>
  <c r="H224" i="8"/>
  <c r="K224" i="8" s="1"/>
  <c r="H223" i="8"/>
  <c r="K223" i="8" s="1"/>
  <c r="H222" i="8"/>
  <c r="K222" i="8" s="1"/>
  <c r="H221" i="8"/>
  <c r="K221" i="8" s="1"/>
  <c r="H220" i="8"/>
  <c r="K220" i="8" s="1"/>
  <c r="H219" i="8"/>
  <c r="K219" i="8" s="1"/>
  <c r="H218" i="8"/>
  <c r="K218" i="8" s="1"/>
  <c r="H217" i="8"/>
  <c r="K217" i="8" s="1"/>
  <c r="H216" i="8"/>
  <c r="K216" i="8" s="1"/>
  <c r="H215" i="8"/>
  <c r="K215" i="8" s="1"/>
  <c r="H214" i="8"/>
  <c r="K214" i="8" s="1"/>
  <c r="H213" i="8"/>
  <c r="K213" i="8" s="1"/>
  <c r="H212" i="8"/>
  <c r="K212" i="8" s="1"/>
  <c r="H211" i="8"/>
  <c r="K211" i="8" s="1"/>
  <c r="H210" i="8"/>
  <c r="K210" i="8" s="1"/>
  <c r="H209" i="8"/>
  <c r="K209" i="8" s="1"/>
  <c r="H208" i="8"/>
  <c r="K208" i="8" s="1"/>
  <c r="H207" i="8"/>
  <c r="K207" i="8" s="1"/>
  <c r="H206" i="8"/>
  <c r="K206" i="8" s="1"/>
  <c r="H205" i="8"/>
  <c r="K205" i="8" s="1"/>
  <c r="H204" i="8"/>
  <c r="K204" i="8" s="1"/>
  <c r="H203" i="8"/>
  <c r="K203" i="8" s="1"/>
  <c r="H202" i="8"/>
  <c r="K202" i="8" s="1"/>
  <c r="H201" i="8"/>
  <c r="K201" i="8" s="1"/>
  <c r="H200" i="8"/>
  <c r="K200" i="8" s="1"/>
  <c r="H199" i="8"/>
  <c r="K199" i="8" s="1"/>
  <c r="H198" i="8"/>
  <c r="K198" i="8" s="1"/>
  <c r="H197" i="8"/>
  <c r="K197" i="8" s="1"/>
  <c r="H196" i="8"/>
  <c r="K196" i="8" s="1"/>
  <c r="H195" i="8"/>
  <c r="K195" i="8" s="1"/>
  <c r="H194" i="8"/>
  <c r="K194" i="8" s="1"/>
  <c r="H193" i="8"/>
  <c r="K193" i="8" s="1"/>
  <c r="H192" i="8"/>
  <c r="K192" i="8" s="1"/>
  <c r="H191" i="8"/>
  <c r="K191" i="8" s="1"/>
  <c r="H190" i="8"/>
  <c r="K190" i="8" s="1"/>
  <c r="H189" i="8"/>
  <c r="K189" i="8" s="1"/>
  <c r="H188" i="8"/>
  <c r="K188" i="8" s="1"/>
  <c r="H187" i="8"/>
  <c r="K187" i="8" s="1"/>
  <c r="H186" i="8"/>
  <c r="K186" i="8" s="1"/>
  <c r="H185" i="8"/>
  <c r="K185" i="8" s="1"/>
  <c r="H184" i="8"/>
  <c r="K184" i="8" s="1"/>
  <c r="H183" i="8"/>
  <c r="K183" i="8" s="1"/>
  <c r="H182" i="8"/>
  <c r="K182" i="8" s="1"/>
  <c r="H181" i="8"/>
  <c r="K181" i="8" s="1"/>
  <c r="H180" i="8"/>
  <c r="K180" i="8" s="1"/>
  <c r="H179" i="8"/>
  <c r="K179" i="8" s="1"/>
  <c r="H178" i="8"/>
  <c r="K178" i="8" s="1"/>
  <c r="H177" i="8"/>
  <c r="K177" i="8" s="1"/>
  <c r="H176" i="8"/>
  <c r="K176" i="8" s="1"/>
  <c r="H175" i="8"/>
  <c r="K175" i="8" s="1"/>
  <c r="H174" i="8"/>
  <c r="K174" i="8" s="1"/>
  <c r="H173" i="8"/>
  <c r="K173" i="8" s="1"/>
  <c r="H172" i="8"/>
  <c r="K172" i="8" s="1"/>
  <c r="H171" i="8"/>
  <c r="K171" i="8" s="1"/>
  <c r="H170" i="8"/>
  <c r="K170" i="8" s="1"/>
  <c r="H169" i="8"/>
  <c r="K169" i="8" s="1"/>
  <c r="H168" i="8"/>
  <c r="K168" i="8" s="1"/>
  <c r="H167" i="8"/>
  <c r="K167" i="8" s="1"/>
  <c r="H166" i="8"/>
  <c r="K166" i="8" s="1"/>
  <c r="H165" i="8"/>
  <c r="K165" i="8" s="1"/>
  <c r="H164" i="8"/>
  <c r="K164" i="8" s="1"/>
  <c r="H163" i="8"/>
  <c r="K163" i="8" s="1"/>
  <c r="H162" i="8"/>
  <c r="K162" i="8" s="1"/>
  <c r="H161" i="8"/>
  <c r="K161" i="8" s="1"/>
  <c r="H160" i="8"/>
  <c r="K160" i="8" s="1"/>
  <c r="H159" i="8"/>
  <c r="K159" i="8" s="1"/>
  <c r="H158" i="8"/>
  <c r="K158" i="8" s="1"/>
  <c r="H157" i="8"/>
  <c r="K157" i="8" s="1"/>
  <c r="H156" i="8"/>
  <c r="K156" i="8" s="1"/>
  <c r="H155" i="8"/>
  <c r="K155" i="8" s="1"/>
  <c r="H154" i="8"/>
  <c r="K154" i="8" s="1"/>
  <c r="H153" i="8"/>
  <c r="K153" i="8" s="1"/>
  <c r="H152" i="8"/>
  <c r="K152" i="8" s="1"/>
  <c r="H151" i="8"/>
  <c r="K151" i="8" s="1"/>
  <c r="H150" i="8"/>
  <c r="K150" i="8" s="1"/>
  <c r="H149" i="8"/>
  <c r="K149" i="8" s="1"/>
  <c r="H148" i="8"/>
  <c r="K148" i="8" s="1"/>
  <c r="H147" i="8"/>
  <c r="K147" i="8" s="1"/>
  <c r="H146" i="8"/>
  <c r="K146" i="8" s="1"/>
  <c r="H145" i="8"/>
  <c r="K145" i="8" s="1"/>
  <c r="H144" i="8"/>
  <c r="K144" i="8" s="1"/>
  <c r="H143" i="8"/>
  <c r="K143" i="8" s="1"/>
  <c r="H142" i="8"/>
  <c r="K142" i="8" s="1"/>
  <c r="H141" i="8"/>
  <c r="K141" i="8" s="1"/>
  <c r="H140" i="8"/>
  <c r="K140" i="8" s="1"/>
  <c r="H139" i="8"/>
  <c r="K139" i="8" s="1"/>
  <c r="H138" i="8"/>
  <c r="K138" i="8" s="1"/>
  <c r="H137" i="8"/>
  <c r="K137" i="8" s="1"/>
  <c r="H136" i="8"/>
  <c r="K136" i="8" s="1"/>
  <c r="N5" i="4"/>
  <c r="M5" i="4"/>
  <c r="G5" i="4" a="1"/>
  <c r="G5" i="4" s="1"/>
  <c r="B24" i="3"/>
  <c r="B25" i="3" s="1"/>
  <c r="B20" i="3"/>
  <c r="O238" i="8" s="1"/>
  <c r="B9" i="3"/>
  <c r="B27" i="3" s="1"/>
  <c r="E61" i="2"/>
  <c r="F61" i="2" s="1"/>
  <c r="E60" i="2"/>
  <c r="F60" i="2" s="1"/>
  <c r="E57" i="2"/>
  <c r="F57" i="2" s="1"/>
  <c r="E55" i="2"/>
  <c r="F55" i="2" s="1"/>
  <c r="E53" i="2"/>
  <c r="F53" i="2" s="1"/>
  <c r="E51" i="2"/>
  <c r="F51" i="2" s="1"/>
  <c r="E47" i="2"/>
  <c r="F47" i="2" s="1"/>
  <c r="E44" i="2"/>
  <c r="E54" i="2" s="1"/>
  <c r="F54" i="2" s="1"/>
  <c r="E43" i="2"/>
  <c r="E45" i="2" s="1"/>
  <c r="N31" i="2"/>
  <c r="O31" i="2" s="1"/>
  <c r="O30" i="2"/>
  <c r="O29" i="2"/>
  <c r="O28" i="2"/>
  <c r="O27" i="2"/>
  <c r="O26" i="2"/>
  <c r="O25" i="2"/>
  <c r="O24" i="2"/>
  <c r="O23" i="2"/>
  <c r="N19" i="2"/>
  <c r="O19" i="2" s="1"/>
  <c r="B17" i="3" s="1"/>
  <c r="O18" i="2"/>
  <c r="O17" i="2"/>
  <c r="O16" i="2"/>
  <c r="N15" i="2"/>
  <c r="O15" i="2" s="1"/>
  <c r="O14" i="2"/>
  <c r="O13" i="2"/>
  <c r="O12" i="2"/>
  <c r="O11" i="2"/>
  <c r="O10" i="2"/>
  <c r="O9" i="2"/>
  <c r="O8" i="2"/>
  <c r="O7" i="2"/>
  <c r="J7" i="2"/>
  <c r="J9" i="2" s="1"/>
  <c r="O6" i="2"/>
  <c r="O5" i="2"/>
  <c r="O4" i="2"/>
  <c r="B16" i="3" s="1"/>
  <c r="O3" i="2"/>
  <c r="B15" i="3" s="1"/>
  <c r="C13" i="6"/>
  <c r="C8" i="6"/>
  <c r="M22" i="5" l="1"/>
  <c r="M103" i="5"/>
  <c r="M12" i="5"/>
  <c r="N10" i="5"/>
  <c r="N57" i="5"/>
  <c r="N91" i="5"/>
  <c r="M16" i="5"/>
  <c r="M55" i="5"/>
  <c r="M67" i="5"/>
  <c r="M37" i="5"/>
  <c r="M36" i="5"/>
  <c r="M45" i="5"/>
  <c r="N44" i="5"/>
  <c r="M84" i="5"/>
  <c r="M98" i="5"/>
  <c r="M41" i="5"/>
  <c r="M32" i="5"/>
  <c r="M50" i="5"/>
  <c r="M63" i="5"/>
  <c r="M90" i="5"/>
  <c r="N101" i="5"/>
  <c r="N89" i="5"/>
  <c r="N26" i="5"/>
  <c r="M96" i="5"/>
  <c r="N102" i="5"/>
  <c r="M33" i="5"/>
  <c r="N86" i="5"/>
  <c r="M53" i="5"/>
  <c r="N85" i="5"/>
  <c r="M66" i="5"/>
  <c r="M106" i="5"/>
  <c r="M68" i="5"/>
  <c r="N108" i="5"/>
  <c r="M48" i="5"/>
  <c r="M111" i="5"/>
  <c r="N17" i="5"/>
  <c r="N18" i="5"/>
  <c r="N11" i="5"/>
  <c r="M46" i="5"/>
  <c r="N88" i="5"/>
  <c r="M29" i="5"/>
  <c r="M60" i="5"/>
  <c r="M64" i="5"/>
  <c r="M15" i="5"/>
  <c r="N65" i="5"/>
  <c r="M99" i="5"/>
  <c r="M56" i="5"/>
  <c r="M39" i="5"/>
  <c r="M80" i="5"/>
  <c r="M7" i="5"/>
  <c r="M52" i="5"/>
  <c r="M59" i="5"/>
  <c r="M73" i="5"/>
  <c r="M38" i="5"/>
  <c r="N23" i="5"/>
  <c r="M49" i="5"/>
  <c r="N28" i="5"/>
  <c r="N35" i="5"/>
  <c r="N95" i="5"/>
  <c r="N72" i="5"/>
  <c r="N79" i="5"/>
  <c r="N21" i="5"/>
  <c r="N110" i="5"/>
  <c r="N93" i="5"/>
  <c r="N61" i="5"/>
  <c r="M83" i="5"/>
  <c r="M34" i="5"/>
  <c r="M74" i="5"/>
  <c r="M112" i="5"/>
  <c r="M76" i="5"/>
  <c r="M19" i="5"/>
  <c r="M97" i="5"/>
  <c r="M58" i="5"/>
  <c r="M40" i="5"/>
  <c r="N70" i="5"/>
  <c r="M25" i="5"/>
  <c r="N25" i="5"/>
  <c r="C7" i="6"/>
  <c r="B21" i="3"/>
  <c r="C15" i="6"/>
  <c r="L136" i="8"/>
  <c r="M136" i="8" s="1"/>
  <c r="O136" i="8" s="1"/>
  <c r="L144" i="8"/>
  <c r="M144" i="8" s="1"/>
  <c r="O144" i="8" s="1"/>
  <c r="L152" i="8"/>
  <c r="M152" i="8" s="1"/>
  <c r="O152" i="8" s="1"/>
  <c r="L160" i="8"/>
  <c r="M160" i="8" s="1"/>
  <c r="O160" i="8" s="1"/>
  <c r="L168" i="8"/>
  <c r="M168" i="8" s="1"/>
  <c r="O168" i="8" s="1"/>
  <c r="L176" i="8"/>
  <c r="M176" i="8" s="1"/>
  <c r="O176" i="8" s="1"/>
  <c r="L184" i="8"/>
  <c r="M184" i="8" s="1"/>
  <c r="O184" i="8" s="1"/>
  <c r="L192" i="8"/>
  <c r="M192" i="8" s="1"/>
  <c r="O192" i="8" s="1"/>
  <c r="L200" i="8"/>
  <c r="M200" i="8" s="1"/>
  <c r="O200" i="8" s="1"/>
  <c r="L208" i="8"/>
  <c r="M208" i="8" s="1"/>
  <c r="O208" i="8" s="1"/>
  <c r="L216" i="8"/>
  <c r="M216" i="8" s="1"/>
  <c r="O216" i="8" s="1"/>
  <c r="L224" i="8"/>
  <c r="M224" i="8" s="1"/>
  <c r="O224" i="8" s="1"/>
  <c r="L232" i="8"/>
  <c r="M232" i="8" s="1"/>
  <c r="O232" i="8" s="1"/>
  <c r="L157" i="8"/>
  <c r="M157" i="8" s="1"/>
  <c r="O157" i="8" s="1"/>
  <c r="L181" i="8"/>
  <c r="M181" i="8" s="1"/>
  <c r="O181" i="8" s="1"/>
  <c r="L229" i="8"/>
  <c r="M229" i="8" s="1"/>
  <c r="O229" i="8" s="1"/>
  <c r="L139" i="8"/>
  <c r="M139" i="8" s="1"/>
  <c r="O139" i="8" s="1"/>
  <c r="L147" i="8"/>
  <c r="M147" i="8" s="1"/>
  <c r="O147" i="8" s="1"/>
  <c r="L155" i="8"/>
  <c r="M155" i="8" s="1"/>
  <c r="O155" i="8" s="1"/>
  <c r="L163" i="8"/>
  <c r="M163" i="8" s="1"/>
  <c r="O163" i="8" s="1"/>
  <c r="L171" i="8"/>
  <c r="M171" i="8" s="1"/>
  <c r="O171" i="8" s="1"/>
  <c r="L179" i="8"/>
  <c r="M179" i="8" s="1"/>
  <c r="O179" i="8" s="1"/>
  <c r="L187" i="8"/>
  <c r="M187" i="8" s="1"/>
  <c r="O187" i="8" s="1"/>
  <c r="L195" i="8"/>
  <c r="M195" i="8" s="1"/>
  <c r="O195" i="8" s="1"/>
  <c r="L203" i="8"/>
  <c r="M203" i="8" s="1"/>
  <c r="O203" i="8" s="1"/>
  <c r="L211" i="8"/>
  <c r="M211" i="8" s="1"/>
  <c r="O211" i="8" s="1"/>
  <c r="L219" i="8"/>
  <c r="M219" i="8" s="1"/>
  <c r="O219" i="8" s="1"/>
  <c r="L227" i="8"/>
  <c r="M227" i="8" s="1"/>
  <c r="O227" i="8" s="1"/>
  <c r="L142" i="8"/>
  <c r="M142" i="8" s="1"/>
  <c r="O142" i="8" s="1"/>
  <c r="L150" i="8"/>
  <c r="M150" i="8" s="1"/>
  <c r="O150" i="8" s="1"/>
  <c r="L158" i="8"/>
  <c r="M158" i="8" s="1"/>
  <c r="O158" i="8" s="1"/>
  <c r="L166" i="8"/>
  <c r="M166" i="8" s="1"/>
  <c r="O166" i="8" s="1"/>
  <c r="L174" i="8"/>
  <c r="M174" i="8" s="1"/>
  <c r="O174" i="8" s="1"/>
  <c r="L182" i="8"/>
  <c r="M182" i="8" s="1"/>
  <c r="O182" i="8" s="1"/>
  <c r="L190" i="8"/>
  <c r="M190" i="8" s="1"/>
  <c r="O190" i="8" s="1"/>
  <c r="L198" i="8"/>
  <c r="M198" i="8" s="1"/>
  <c r="O198" i="8" s="1"/>
  <c r="L206" i="8"/>
  <c r="M206" i="8" s="1"/>
  <c r="O206" i="8" s="1"/>
  <c r="L214" i="8"/>
  <c r="M214" i="8" s="1"/>
  <c r="O214" i="8" s="1"/>
  <c r="L222" i="8"/>
  <c r="M222" i="8" s="1"/>
  <c r="O222" i="8" s="1"/>
  <c r="L230" i="8"/>
  <c r="M230" i="8" s="1"/>
  <c r="O230" i="8" s="1"/>
  <c r="L141" i="8"/>
  <c r="M141" i="8" s="1"/>
  <c r="O141" i="8" s="1"/>
  <c r="L165" i="8"/>
  <c r="M165" i="8" s="1"/>
  <c r="O165" i="8" s="1"/>
  <c r="L189" i="8"/>
  <c r="M189" i="8" s="1"/>
  <c r="O189" i="8" s="1"/>
  <c r="L205" i="8"/>
  <c r="M205" i="8" s="1"/>
  <c r="O205" i="8" s="1"/>
  <c r="L213" i="8"/>
  <c r="M213" i="8" s="1"/>
  <c r="O213" i="8" s="1"/>
  <c r="L221" i="8"/>
  <c r="M221" i="8" s="1"/>
  <c r="O221" i="8" s="1"/>
  <c r="L153" i="8"/>
  <c r="M153" i="8" s="1"/>
  <c r="O153" i="8" s="1"/>
  <c r="L169" i="8"/>
  <c r="M169" i="8" s="1"/>
  <c r="O169" i="8" s="1"/>
  <c r="L193" i="8"/>
  <c r="M193" i="8" s="1"/>
  <c r="O193" i="8" s="1"/>
  <c r="L185" i="8"/>
  <c r="M185" i="8" s="1"/>
  <c r="O185" i="8" s="1"/>
  <c r="L209" i="8"/>
  <c r="M209" i="8" s="1"/>
  <c r="O209" i="8" s="1"/>
  <c r="L217" i="8"/>
  <c r="M217" i="8" s="1"/>
  <c r="O217" i="8" s="1"/>
  <c r="L148" i="8"/>
  <c r="M148" i="8" s="1"/>
  <c r="O148" i="8" s="1"/>
  <c r="L164" i="8"/>
  <c r="M164" i="8" s="1"/>
  <c r="O164" i="8" s="1"/>
  <c r="L180" i="8"/>
  <c r="M180" i="8" s="1"/>
  <c r="O180" i="8" s="1"/>
  <c r="L188" i="8"/>
  <c r="M188" i="8" s="1"/>
  <c r="O188" i="8" s="1"/>
  <c r="L196" i="8"/>
  <c r="M196" i="8" s="1"/>
  <c r="O196" i="8" s="1"/>
  <c r="L204" i="8"/>
  <c r="M204" i="8" s="1"/>
  <c r="O204" i="8" s="1"/>
  <c r="L212" i="8"/>
  <c r="M212" i="8" s="1"/>
  <c r="O212" i="8" s="1"/>
  <c r="L220" i="8"/>
  <c r="M220" i="8" s="1"/>
  <c r="O220" i="8" s="1"/>
  <c r="L228" i="8"/>
  <c r="M228" i="8" s="1"/>
  <c r="O228" i="8" s="1"/>
  <c r="L149" i="8"/>
  <c r="M149" i="8" s="1"/>
  <c r="O149" i="8" s="1"/>
  <c r="L173" i="8"/>
  <c r="M173" i="8" s="1"/>
  <c r="O173" i="8" s="1"/>
  <c r="L197" i="8"/>
  <c r="M197" i="8" s="1"/>
  <c r="O197" i="8" s="1"/>
  <c r="L145" i="8"/>
  <c r="M145" i="8" s="1"/>
  <c r="O145" i="8" s="1"/>
  <c r="L161" i="8"/>
  <c r="M161" i="8" s="1"/>
  <c r="O161" i="8" s="1"/>
  <c r="L177" i="8"/>
  <c r="M177" i="8" s="1"/>
  <c r="O177" i="8" s="1"/>
  <c r="L201" i="8"/>
  <c r="M201" i="8" s="1"/>
  <c r="O201" i="8" s="1"/>
  <c r="L140" i="8"/>
  <c r="M140" i="8" s="1"/>
  <c r="O140" i="8" s="1"/>
  <c r="L172" i="8"/>
  <c r="M172" i="8" s="1"/>
  <c r="O172" i="8" s="1"/>
  <c r="L143" i="8"/>
  <c r="M143" i="8" s="1"/>
  <c r="O143" i="8" s="1"/>
  <c r="L151" i="8"/>
  <c r="M151" i="8" s="1"/>
  <c r="O151" i="8" s="1"/>
  <c r="L159" i="8"/>
  <c r="M159" i="8" s="1"/>
  <c r="O159" i="8" s="1"/>
  <c r="L167" i="8"/>
  <c r="M167" i="8" s="1"/>
  <c r="O167" i="8" s="1"/>
  <c r="L175" i="8"/>
  <c r="M175" i="8" s="1"/>
  <c r="O175" i="8" s="1"/>
  <c r="L183" i="8"/>
  <c r="M183" i="8" s="1"/>
  <c r="O183" i="8" s="1"/>
  <c r="L191" i="8"/>
  <c r="M191" i="8" s="1"/>
  <c r="O191" i="8" s="1"/>
  <c r="L199" i="8"/>
  <c r="M199" i="8" s="1"/>
  <c r="O199" i="8" s="1"/>
  <c r="L207" i="8"/>
  <c r="M207" i="8" s="1"/>
  <c r="O207" i="8" s="1"/>
  <c r="L215" i="8"/>
  <c r="M215" i="8" s="1"/>
  <c r="O215" i="8" s="1"/>
  <c r="L223" i="8"/>
  <c r="M223" i="8" s="1"/>
  <c r="O223" i="8" s="1"/>
  <c r="L231" i="8"/>
  <c r="M231" i="8" s="1"/>
  <c r="O231" i="8" s="1"/>
  <c r="L137" i="8"/>
  <c r="M137" i="8" s="1"/>
  <c r="O137" i="8" s="1"/>
  <c r="L225" i="8"/>
  <c r="M225" i="8" s="1"/>
  <c r="O225" i="8" s="1"/>
  <c r="L156" i="8"/>
  <c r="M156" i="8" s="1"/>
  <c r="O156" i="8" s="1"/>
  <c r="L138" i="8"/>
  <c r="M138" i="8" s="1"/>
  <c r="O138" i="8" s="1"/>
  <c r="L146" i="8"/>
  <c r="M146" i="8" s="1"/>
  <c r="O146" i="8" s="1"/>
  <c r="L154" i="8"/>
  <c r="M154" i="8" s="1"/>
  <c r="O154" i="8" s="1"/>
  <c r="L162" i="8"/>
  <c r="M162" i="8" s="1"/>
  <c r="O162" i="8" s="1"/>
  <c r="L170" i="8"/>
  <c r="M170" i="8" s="1"/>
  <c r="O170" i="8" s="1"/>
  <c r="L178" i="8"/>
  <c r="M178" i="8" s="1"/>
  <c r="O178" i="8" s="1"/>
  <c r="L186" i="8"/>
  <c r="M186" i="8" s="1"/>
  <c r="O186" i="8" s="1"/>
  <c r="L194" i="8"/>
  <c r="M194" i="8" s="1"/>
  <c r="O194" i="8" s="1"/>
  <c r="L202" i="8"/>
  <c r="M202" i="8" s="1"/>
  <c r="O202" i="8" s="1"/>
  <c r="L210" i="8"/>
  <c r="M210" i="8" s="1"/>
  <c r="O210" i="8" s="1"/>
  <c r="L218" i="8"/>
  <c r="M218" i="8" s="1"/>
  <c r="O218" i="8" s="1"/>
  <c r="L226" i="8"/>
  <c r="M226" i="8" s="1"/>
  <c r="O226" i="8" s="1"/>
  <c r="G281" i="5"/>
  <c r="E50" i="2"/>
  <c r="E52" i="2" s="1"/>
  <c r="E56" i="2" s="1"/>
  <c r="C5" i="6"/>
  <c r="F281" i="5"/>
  <c r="D281" i="5"/>
  <c r="B28" i="3"/>
  <c r="B26" i="3"/>
  <c r="N20" i="2"/>
  <c r="O20" i="2" s="1"/>
  <c r="H8" i="8"/>
  <c r="K8" i="8" s="1"/>
  <c r="B10" i="7"/>
  <c r="B17" i="7" s="1"/>
  <c r="J8" i="8"/>
  <c r="N8" i="8" s="1"/>
  <c r="B11" i="7"/>
  <c r="C6" i="6"/>
  <c r="I233" i="8"/>
  <c r="O236" i="8" l="1"/>
  <c r="F52" i="2"/>
  <c r="F50" i="2"/>
  <c r="O129" i="8"/>
  <c r="O127" i="8"/>
  <c r="H281" i="5"/>
  <c r="K233" i="8"/>
  <c r="H5" i="4"/>
  <c r="E58" i="2"/>
  <c r="F56" i="2"/>
  <c r="N233" i="8"/>
  <c r="O97" i="8" l="1"/>
  <c r="O90" i="8"/>
  <c r="O113" i="8"/>
  <c r="O60" i="8"/>
  <c r="O76" i="8"/>
  <c r="O92" i="8"/>
  <c r="O108" i="8"/>
  <c r="O124" i="8"/>
  <c r="O26" i="8"/>
  <c r="O130" i="8"/>
  <c r="O45" i="8"/>
  <c r="O101" i="8"/>
  <c r="O59" i="8"/>
  <c r="O105" i="8"/>
  <c r="O30" i="8"/>
  <c r="O46" i="8"/>
  <c r="O62" i="8"/>
  <c r="O78" i="8"/>
  <c r="O94" i="8"/>
  <c r="O110" i="8"/>
  <c r="O126" i="8"/>
  <c r="O128" i="8"/>
  <c r="O67" i="8"/>
  <c r="O58" i="8"/>
  <c r="O41" i="8"/>
  <c r="O28" i="8"/>
  <c r="O31" i="8"/>
  <c r="O13" i="8"/>
  <c r="O14" i="8"/>
  <c r="O117" i="8"/>
  <c r="O17" i="8"/>
  <c r="O95" i="8"/>
  <c r="O77" i="8"/>
  <c r="O75" i="8"/>
  <c r="O121" i="8"/>
  <c r="O32" i="8"/>
  <c r="O48" i="8"/>
  <c r="O64" i="8"/>
  <c r="O80" i="8"/>
  <c r="O96" i="8"/>
  <c r="O112" i="8"/>
  <c r="O12" i="8"/>
  <c r="O132" i="8"/>
  <c r="O87" i="8"/>
  <c r="O27" i="8"/>
  <c r="O74" i="8"/>
  <c r="O85" i="8"/>
  <c r="O44" i="8"/>
  <c r="O15" i="8"/>
  <c r="O91" i="8"/>
  <c r="O50" i="8"/>
  <c r="O114" i="8"/>
  <c r="O29" i="8"/>
  <c r="O106" i="8"/>
  <c r="O83" i="8"/>
  <c r="O61" i="8"/>
  <c r="O33" i="8"/>
  <c r="O18" i="8"/>
  <c r="O82" i="8"/>
  <c r="O39" i="8"/>
  <c r="O21" i="8"/>
  <c r="O19" i="8"/>
  <c r="O49" i="8"/>
  <c r="O51" i="8"/>
  <c r="O109" i="8"/>
  <c r="O11" i="8"/>
  <c r="O20" i="8"/>
  <c r="O36" i="8"/>
  <c r="O52" i="8"/>
  <c r="O68" i="8"/>
  <c r="O84" i="8"/>
  <c r="O100" i="8"/>
  <c r="O116" i="8"/>
  <c r="O69" i="8"/>
  <c r="O42" i="8"/>
  <c r="O103" i="8"/>
  <c r="O89" i="8"/>
  <c r="O115" i="8"/>
  <c r="O23" i="8"/>
  <c r="O111" i="8"/>
  <c r="O34" i="8"/>
  <c r="O98" i="8"/>
  <c r="O55" i="8"/>
  <c r="O35" i="8"/>
  <c r="O79" i="8"/>
  <c r="O125" i="8"/>
  <c r="O25" i="8"/>
  <c r="O22" i="8"/>
  <c r="O38" i="8"/>
  <c r="O54" i="8"/>
  <c r="O70" i="8"/>
  <c r="O86" i="8"/>
  <c r="O102" i="8"/>
  <c r="O118" i="8"/>
  <c r="O123" i="8"/>
  <c r="O73" i="8"/>
  <c r="O122" i="8"/>
  <c r="O43" i="8"/>
  <c r="O119" i="8"/>
  <c r="O10" i="8"/>
  <c r="O93" i="8"/>
  <c r="O66" i="8"/>
  <c r="O47" i="8"/>
  <c r="O63" i="8"/>
  <c r="O37" i="8"/>
  <c r="O65" i="8"/>
  <c r="O107" i="8"/>
  <c r="O71" i="8"/>
  <c r="O53" i="8"/>
  <c r="O99" i="8"/>
  <c r="O81" i="8"/>
  <c r="O9" i="8"/>
  <c r="O16" i="8"/>
  <c r="O57" i="8"/>
  <c r="O24" i="8"/>
  <c r="O40" i="8"/>
  <c r="O56" i="8"/>
  <c r="O72" i="8"/>
  <c r="O88" i="8"/>
  <c r="O104" i="8"/>
  <c r="O120" i="8"/>
  <c r="O131" i="8"/>
  <c r="L8" i="8"/>
  <c r="B9" i="7"/>
  <c r="B20" i="7" s="1"/>
  <c r="I6" i="5"/>
  <c r="E59" i="2"/>
  <c r="F58" i="2"/>
  <c r="F59" i="2" l="1"/>
  <c r="E62" i="2"/>
  <c r="F62" i="2" s="1"/>
  <c r="B26" i="7"/>
  <c r="B25" i="7"/>
  <c r="B21" i="7"/>
  <c r="B27" i="7" s="1"/>
  <c r="L233" i="8"/>
  <c r="M8" i="8"/>
  <c r="I281" i="5"/>
  <c r="K6" i="5"/>
  <c r="K281" i="5" l="1"/>
  <c r="L6" i="5"/>
  <c r="B23" i="7"/>
  <c r="B22" i="7"/>
  <c r="M233" i="8"/>
  <c r="O8" i="8"/>
  <c r="O233" i="8" s="1"/>
  <c r="L281" i="5" l="1"/>
  <c r="M6" i="5"/>
  <c r="N6" i="5"/>
  <c r="O237" i="8"/>
  <c r="O239" i="8" s="1"/>
  <c r="O240" i="8" s="1"/>
  <c r="O235" i="8"/>
  <c r="M281" i="5" l="1"/>
  <c r="C4" i="6"/>
  <c r="C12" i="6" l="1"/>
  <c r="C14" i="6" s="1"/>
  <c r="C16" i="6" s="1"/>
  <c r="C10" i="6"/>
</calcChain>
</file>

<file path=xl/sharedStrings.xml><?xml version="1.0" encoding="utf-8"?>
<sst xmlns="http://schemas.openxmlformats.org/spreadsheetml/2006/main" count="2975" uniqueCount="983">
  <si>
    <t>SKU CONTRIBUTION ENGINE v5 — Dual Purchase/Production Model</t>
  </si>
  <si>
    <t>What's new in v6</t>
  </si>
  <si>
    <t>Each SKU can now have TWO supply sources in the same year:</t>
  </si>
  <si>
    <t xml:space="preserve">   • PURCHASED portion  — fabric bought from outside and resold</t>
  </si>
  <si>
    <t xml:space="preserve">   • PRODUCED portion   — fabric made in-house (RM → Yarn → Fabric)</t>
  </si>
  <si>
    <t>The "Produced &amp; Sold" quantity = Sales Kgs − Purchased Kgs:</t>
  </si>
  <si>
    <t xml:space="preserve">   • POSITIVE → that many Kgs were sold from in-house production</t>
  </si>
  <si>
    <t xml:space="preserve">   • NEGATIVE → more was purchased than sold; the excess moved to INVENTORY</t>
  </si>
  <si>
    <t>Contribution for each SKU =</t>
  </si>
  <si>
    <t xml:space="preserve">   Sales Value − Purchased-portion cost − Produced-portion manufacturing cost</t>
  </si>
  <si>
    <t>The Purchased-portion cost comes from your actual purchase file (real ₹, not estimates).</t>
  </si>
  <si>
    <t>The Produced-portion cost is the engine's manufacturing build-up (RM + Yarn + Fabric Rate).</t>
  </si>
  <si>
    <t>This makes the contribution reconcile to the PAL profit of ₹96 Lakhs.</t>
  </si>
  <si>
    <t>Sheets in this workbook</t>
  </si>
  <si>
    <t>1. Rate Card          — input rates (RM, Yarn, Fabric, Fixed cost)</t>
  </si>
  <si>
    <t>2. SKU Master         — per-SKU data incl. purchase Kgs/value; add new SKUs in empty rows</t>
  </si>
  <si>
    <t>3. Live Contribution  — per-SKU contribution split into purchased &amp; produced portions</t>
  </si>
  <si>
    <t>4. PAL Reconciliation — proves the total ties to ₹96 L</t>
  </si>
  <si>
    <t>5. Quote Builder      — price a single deal in real time</t>
  </si>
  <si>
    <t>6. Monthly Forecast   — plan future monthly SKU sales and see projected profit</t>
  </si>
  <si>
    <t>Using it for FUTURE monthly SKU sales (your point 3)</t>
  </si>
  <si>
    <t>The Monthly Forecast sheet has, for every SKU, three yellow input columns:</t>
  </si>
  <si>
    <t xml:space="preserve">   • Planned Monthly Kgs — TOTAL you expect to sell</t>
  </si>
  <si>
    <t xml:space="preserve">   • of which Purchased  — how many of those Kgs you plan to buy in</t>
  </si>
  <si>
    <t xml:space="preserve">   • Purchase Rate ₹/Kg  — expected buy price</t>
  </si>
  <si>
    <t>The engine splits each SKU's planned volume into purchased + produced, costs each</t>
  </si>
  <si>
    <t>correctly, and rolls up to a projected monthly and annual profit.</t>
  </si>
  <si>
    <t>Change the Rate Card (e.g., new RM rate) and every SKU + the forecast update instantly.</t>
  </si>
  <si>
    <t>Sales Monofil From Production</t>
  </si>
  <si>
    <t>Op Stk</t>
  </si>
  <si>
    <t>VARIABLE &amp; DIRECT EXPNS</t>
  </si>
  <si>
    <t>Sales Monofil from Trading Yarn</t>
  </si>
  <si>
    <t>Purchase-RM</t>
  </si>
  <si>
    <t>Wages-Fabric</t>
  </si>
  <si>
    <t>Sales Monofil from Trading Fabric</t>
  </si>
  <si>
    <t>Purchase-Trading</t>
  </si>
  <si>
    <t>Wages-Inspection &amp; Dispatch</t>
  </si>
  <si>
    <t>Sales RM</t>
  </si>
  <si>
    <t>Purchase Yarn</t>
  </si>
  <si>
    <t>Fabrication charges</t>
  </si>
  <si>
    <t>Sales Trading Others</t>
  </si>
  <si>
    <t>Purchase-Fabric+ Cons</t>
  </si>
  <si>
    <t>Wages-Yarn</t>
  </si>
  <si>
    <t>TOTAL SALES-&gt;</t>
  </si>
  <si>
    <t>Yarn Processing charges</t>
  </si>
  <si>
    <t>Cl Stk</t>
  </si>
  <si>
    <t>Freight Inward</t>
  </si>
  <si>
    <t>Op stock RM</t>
  </si>
  <si>
    <t>Power Bill</t>
  </si>
  <si>
    <t>Purchase RM</t>
  </si>
  <si>
    <t>Sales</t>
  </si>
  <si>
    <t>R &amp; M-Machinery</t>
  </si>
  <si>
    <t>Cl Stock RM</t>
  </si>
  <si>
    <t>R &amp; M-Electricals</t>
  </si>
  <si>
    <t>Consumption</t>
  </si>
  <si>
    <t>Rent</t>
  </si>
  <si>
    <t>RM Consumption Cost</t>
  </si>
  <si>
    <t>Waste</t>
  </si>
  <si>
    <t>Packing charges</t>
  </si>
  <si>
    <t>Monofil Consumption</t>
  </si>
  <si>
    <t>GST Refund</t>
  </si>
  <si>
    <t>Misc</t>
  </si>
  <si>
    <t>Monofil Purchase Yarn</t>
  </si>
  <si>
    <t>Othr Inc</t>
  </si>
  <si>
    <t>Manufacturing Direct Expenses</t>
  </si>
  <si>
    <t>Monofil Purchase Fabric</t>
  </si>
  <si>
    <t>Working Capital-Bank Charges</t>
  </si>
  <si>
    <t>Trading Purchase</t>
  </si>
  <si>
    <t>Direct Expns</t>
  </si>
  <si>
    <t>Working Capital-LC</t>
  </si>
  <si>
    <t>PFCo  Consumption</t>
  </si>
  <si>
    <t>GST Reversed</t>
  </si>
  <si>
    <t>Working Capital-OCC</t>
  </si>
  <si>
    <t>Stock Difference Monofil</t>
  </si>
  <si>
    <t>In House Fabrn</t>
  </si>
  <si>
    <t>Workig Capital Expns</t>
  </si>
  <si>
    <t>Stock DifferenceTrading</t>
  </si>
  <si>
    <t>Fabrication</t>
  </si>
  <si>
    <t>Total Direct Expenses</t>
  </si>
  <si>
    <t>Total Stock Difference</t>
  </si>
  <si>
    <t>Direct Cost</t>
  </si>
  <si>
    <t>Total Consumption</t>
  </si>
  <si>
    <t>Deprecition</t>
  </si>
  <si>
    <t>FIXED EXPNS</t>
  </si>
  <si>
    <t>Indirect Expns</t>
  </si>
  <si>
    <t>Employees welfare exp</t>
  </si>
  <si>
    <t>Variable-Yarn Cost</t>
  </si>
  <si>
    <t>Total Expns</t>
  </si>
  <si>
    <t>Salaries Office</t>
  </si>
  <si>
    <t>Variable-Fabric Cost</t>
  </si>
  <si>
    <t>Directors Remuneration</t>
  </si>
  <si>
    <t>Variable-Trading</t>
  </si>
  <si>
    <t>Profit (A)</t>
  </si>
  <si>
    <t>Depreciation</t>
  </si>
  <si>
    <t>Variable-Finance</t>
  </si>
  <si>
    <t>Admn Expns</t>
  </si>
  <si>
    <t>Total Variable</t>
  </si>
  <si>
    <t>Selling Expns</t>
  </si>
  <si>
    <t>Fixed Cost</t>
  </si>
  <si>
    <t>Finance Cost-Int On Term Loan</t>
  </si>
  <si>
    <t>Deprn</t>
  </si>
  <si>
    <t>Finance Cost-Int On Deposits</t>
  </si>
  <si>
    <t>Total Expenses</t>
  </si>
  <si>
    <t>Fixed  Expns Break up</t>
  </si>
  <si>
    <t>Salaries</t>
  </si>
  <si>
    <t>Admn</t>
  </si>
  <si>
    <t>Selling</t>
  </si>
  <si>
    <t>Interest USL</t>
  </si>
  <si>
    <t>Waste Income</t>
  </si>
  <si>
    <t>Other Income</t>
  </si>
  <si>
    <t>COGS Monotil</t>
  </si>
  <si>
    <t>COGS Trading</t>
  </si>
  <si>
    <t>NET PROFIT</t>
  </si>
  <si>
    <t>Generation</t>
  </si>
  <si>
    <t>From Monofil Production</t>
  </si>
  <si>
    <t>From Monofil Trading Fabric</t>
  </si>
  <si>
    <t>MONOFIL TOTAL</t>
  </si>
  <si>
    <t>From RM  Sales</t>
  </si>
  <si>
    <t>From Misc Trading</t>
  </si>
  <si>
    <t>From Other Income</t>
  </si>
  <si>
    <t>Gross Profit</t>
  </si>
  <si>
    <t>Operating Expns  Sal/Adm/Sell</t>
  </si>
  <si>
    <t>Operating Profit/EBIT</t>
  </si>
  <si>
    <t>EBITDA</t>
  </si>
  <si>
    <t>Finance Cost</t>
  </si>
  <si>
    <t>Nett Profit</t>
  </si>
  <si>
    <t>RATE CARD — Change yellow cells to flex the entire model</t>
  </si>
  <si>
    <t>STAGE 1 — RM Rate</t>
  </si>
  <si>
    <t>RM rate (HDPE granules)</t>
  </si>
  <si>
    <t>₹/Kg of RM</t>
  </si>
  <si>
    <t>FY25-26 actual. Change for forecasts.</t>
  </si>
  <si>
    <t>Yield (Kg RM input per Kg fabric)</t>
  </si>
  <si>
    <t>Kg/Kg</t>
  </si>
  <si>
    <t>99.63% historical yield</t>
  </si>
  <si>
    <t>Wastage allowance</t>
  </si>
  <si>
    <t>%</t>
  </si>
  <si>
    <t>On RM cost. Hist=0 (actual consumption). Set 5% for forecasts.</t>
  </si>
  <si>
    <t>STAGE 2 — Yarn Processing Rate (blended)</t>
  </si>
  <si>
    <t>In-house yarn cost per Kg</t>
  </si>
  <si>
    <t>₹/Kg</t>
  </si>
  <si>
    <t>Wages-Yarn + Power + Freight + Rent + R&amp;M + Misc</t>
  </si>
  <si>
    <t>Outsourced yarn rate per Kg</t>
  </si>
  <si>
    <t>Paid to external yarn converter</t>
  </si>
  <si>
    <t>Outsourced % of total yarn</t>
  </si>
  <si>
    <t>FY25-26: 30.5%</t>
  </si>
  <si>
    <t>STAGE 3 — Fabric Rate Components</t>
  </si>
  <si>
    <t>Fab Rate increase per Kg</t>
  </si>
  <si>
    <t>Flat ₹/Kg increase. Hist=0. Set ₹2 for forecasts.</t>
  </si>
  <si>
    <t>Wages — Fabric</t>
  </si>
  <si>
    <t>Weaving labour</t>
  </si>
  <si>
    <t>Wages — Inspection &amp; Dispatch</t>
  </si>
  <si>
    <t>QC + shipment labour</t>
  </si>
  <si>
    <t>Working Capital (Bank+LC+OCC)</t>
  </si>
  <si>
    <t>Financing cost</t>
  </si>
  <si>
    <t>FIXED COST</t>
  </si>
  <si>
    <t>Monthly Fixed Expenses</t>
  </si>
  <si>
    <t>₹</t>
  </si>
  <si>
    <t>For this month</t>
  </si>
  <si>
    <t>Annual Fixed Expenses</t>
  </si>
  <si>
    <t>₹/year</t>
  </si>
  <si>
    <t>DERIVED RATES (auto-calculated)</t>
  </si>
  <si>
    <t>RM cost per Kg of fabric</t>
  </si>
  <si>
    <t>Wastage per Kg of fabric</t>
  </si>
  <si>
    <t>STAGE 1 TOTAL — RM Rate per Kg</t>
  </si>
  <si>
    <t>STAGE 2 TOTAL — Yarn Proc Rate per Kg (blended)</t>
  </si>
  <si>
    <t>Fabric Rate add-on (common, ex SKU-specific fab)</t>
  </si>
  <si>
    <t>SKU MASTER — Per-SKU data. Empty rows below for new SKUs.</t>
  </si>
  <si>
    <t>Yellow = your inputs.  Blue = semi-static / historical.  Grey = derived.</t>
  </si>
  <si>
    <t>Sl</t>
  </si>
  <si>
    <t>Code</t>
  </si>
  <si>
    <t>Product</t>
  </si>
  <si>
    <t>Colour</t>
  </si>
  <si>
    <t>Wt/Mt</t>
  </si>
  <si>
    <t>Rate/Mt (₹/Mtr)</t>
  </si>
  <si>
    <t>Fab Rate ₹/Kg (derived)</t>
  </si>
  <si>
    <t>Mfg Cost ₹/Kg (derived)</t>
  </si>
  <si>
    <t>Hist Sale Kgs</t>
  </si>
  <si>
    <t>Hist Sale Value</t>
  </si>
  <si>
    <t>Hist Purchase Kgs</t>
  </si>
  <si>
    <t>Hist Purchase Value</t>
  </si>
  <si>
    <t>Hist Purch Rate ₹/Kg</t>
  </si>
  <si>
    <t>Hist Avg SP ₹/Kg</t>
  </si>
  <si>
    <t>Blue</t>
  </si>
  <si>
    <t>Olive Green/Ivory</t>
  </si>
  <si>
    <t>Sky Blue/Ivory</t>
  </si>
  <si>
    <t>Sea Green</t>
  </si>
  <si>
    <t>Sea Green/Ivory</t>
  </si>
  <si>
    <t>White</t>
  </si>
  <si>
    <t>Green</t>
  </si>
  <si>
    <t>Lotus 54"</t>
  </si>
  <si>
    <t>Badam Pink</t>
  </si>
  <si>
    <t>Ivory</t>
  </si>
  <si>
    <t>Light Sea Green</t>
  </si>
  <si>
    <t>Rose Pink</t>
  </si>
  <si>
    <t>Sky Blue</t>
  </si>
  <si>
    <t>Violet</t>
  </si>
  <si>
    <t>Zebra</t>
  </si>
  <si>
    <t>Scorpio 60"</t>
  </si>
  <si>
    <t>Sunlite 54"</t>
  </si>
  <si>
    <t>SF Blue</t>
  </si>
  <si>
    <t>Black</t>
  </si>
  <si>
    <t>Premium White</t>
  </si>
  <si>
    <t>PF Blue</t>
  </si>
  <si>
    <t>Jamoon</t>
  </si>
  <si>
    <t>Orange</t>
  </si>
  <si>
    <t>White(Red Border)</t>
  </si>
  <si>
    <t>LIVE CONTRIBUTION — Purchased + Produced split per SKU</t>
  </si>
  <si>
    <t>Each SKU: Sales − Purchased-portion cost − Produced-portion mfg cost. Negative Produced Kgs = excess moved to inventory.</t>
  </si>
  <si>
    <t>Sale Kgs</t>
  </si>
  <si>
    <t>Sale Value</t>
  </si>
  <si>
    <t>Purch Kgs</t>
  </si>
  <si>
    <t>Purch Cost</t>
  </si>
  <si>
    <t>Prod Kgs (Sold)</t>
  </si>
  <si>
    <t>Prod Mfg Cost</t>
  </si>
  <si>
    <t>Inventory Flag</t>
  </si>
  <si>
    <t>Total Cost</t>
  </si>
  <si>
    <t>Contribution</t>
  </si>
  <si>
    <t>Contri/Kg</t>
  </si>
  <si>
    <t>Status</t>
  </si>
  <si>
    <t>TOTAL</t>
  </si>
  <si>
    <t>PAL RECONCILIATION — Engine contribution vs PAL Net Profit</t>
  </si>
  <si>
    <t>Step</t>
  </si>
  <si>
    <t>Item</t>
  </si>
  <si>
    <t>Amount (₹)</t>
  </si>
  <si>
    <t>Note</t>
  </si>
  <si>
    <t>1</t>
  </si>
  <si>
    <t>Total SKU Contribution (Live Contribution sheet)</t>
  </si>
  <si>
    <t>Sum of all SKU contributions</t>
  </si>
  <si>
    <t>2</t>
  </si>
  <si>
    <t>ADD: RM Sale margin</t>
  </si>
  <si>
    <t>RM trading not in SKU list Jan 26 E 53</t>
  </si>
  <si>
    <t>3</t>
  </si>
  <si>
    <t>ADD: Trading Others margin</t>
  </si>
  <si>
    <t>Other trading not in SKU list Jan 26 E54</t>
  </si>
  <si>
    <t>4</t>
  </si>
  <si>
    <t>ADD: Other Income</t>
  </si>
  <si>
    <t>Jan 26 E55</t>
  </si>
  <si>
    <t>5</t>
  </si>
  <si>
    <t>ADD: Stock Difference adjustments</t>
  </si>
  <si>
    <t>Total Stock Difference (Monofil + Trading), Jan26!E21</t>
  </si>
  <si>
    <t>6</t>
  </si>
  <si>
    <t>ADJ: Yarn Semi-Finished / residual true-up</t>
  </si>
  <si>
    <t>Residual true-up — set so engine matches PAL. Hardcode each month.</t>
  </si>
  <si>
    <t>Target: PAL Profit + Annual Fixed</t>
  </si>
  <si>
    <t>TOTAL ADJUSTED CONTRIBUTION</t>
  </si>
  <si>
    <t>LESS: Annual Fixed Expenses</t>
  </si>
  <si>
    <t>ENGINE NET PROFIT</t>
  </si>
  <si>
    <t>PAL Net Profit (target)</t>
  </si>
  <si>
    <t>Difference</t>
  </si>
  <si>
    <t>Note on Step 6 (balancing item):</t>
  </si>
  <si>
    <t>Step 6 absorbs: (a) yarn semi-finished margin differences, (b) any sales not tagged at SKU level,</t>
  </si>
  <si>
    <t>(c) timing/rounding between the SKU data and the PAL. At HISTORICAL Rate Card settings it makes the</t>
  </si>
  <si>
    <t>engine tie exactly to PAL ₹96 L. As you tag more data at SKU level, this item shrinks toward zero.</t>
  </si>
  <si>
    <t>When you change the Rate Card for forecasting, the SKU contributions move but Steps 2-6 stay fixed</t>
  </si>
  <si>
    <t>(they are not rate-sensitive) — so the forecast profit changes only via the SKU contribution.</t>
  </si>
  <si>
    <t>QUOTE BUILDER — Price a single deal</t>
  </si>
  <si>
    <t>CODE</t>
  </si>
  <si>
    <t>STEP 1 — SKU code</t>
  </si>
  <si>
    <t>AIR54"BLUE</t>
  </si>
  <si>
    <t>SKU Code</t>
  </si>
  <si>
    <t>AIR54"R.PINK</t>
  </si>
  <si>
    <t>AIR54"S.BLUE</t>
  </si>
  <si>
    <t>AUTO-FILLED</t>
  </si>
  <si>
    <t>AIR54"S.GREEN/Ivory</t>
  </si>
  <si>
    <t>AIR54"SB/IV</t>
  </si>
  <si>
    <t>AIR54"V/B.P</t>
  </si>
  <si>
    <t>Mfg Cost ₹/Kg</t>
  </si>
  <si>
    <t>AIR54"V/White</t>
  </si>
  <si>
    <t>AIR54"VIOLET</t>
  </si>
  <si>
    <t>AIR60"SHINING WHITE</t>
  </si>
  <si>
    <t>APSR60" R.Pink</t>
  </si>
  <si>
    <t>STEP 2 — Deal terms</t>
  </si>
  <si>
    <t>APSR60"B.PINK</t>
  </si>
  <si>
    <t>Sourcing</t>
  </si>
  <si>
    <t>Produce in-house</t>
  </si>
  <si>
    <t>APSR60"LSG</t>
  </si>
  <si>
    <t>Proposed Sale Price ₹/Kg</t>
  </si>
  <si>
    <t>APSR60"SKY BLUE</t>
  </si>
  <si>
    <t>Proposed Quantity (Kgs)</t>
  </si>
  <si>
    <t>APSR60"VIOLET</t>
  </si>
  <si>
    <t>If purchasing — Purchase Rate ₹/Kg</t>
  </si>
  <si>
    <t>CAMEL54"BLUE</t>
  </si>
  <si>
    <t>CAMEL54"PF BLUE</t>
  </si>
  <si>
    <t>RESULTS</t>
  </si>
  <si>
    <t>CAPSICUM 72" WHITE</t>
  </si>
  <si>
    <t>Variable Cost ₹/Kg</t>
  </si>
  <si>
    <t>CAPSICUM 84" S.GREEN</t>
  </si>
  <si>
    <t>Contribution ₹/Kg</t>
  </si>
  <si>
    <t>CAPSICUM120"WHITE</t>
  </si>
  <si>
    <t>P/V Ratio</t>
  </si>
  <si>
    <t>G.JACKPOT54"BLUE</t>
  </si>
  <si>
    <t>TOTAL CONTRIBUTION (this deal)</t>
  </si>
  <si>
    <t>GIRAFFE54"BLUE</t>
  </si>
  <si>
    <t>GIRAFFE54"ZEEBRA</t>
  </si>
  <si>
    <t>Floor SP (covers VC)</t>
  </si>
  <si>
    <t>Do not quote below this</t>
  </si>
  <si>
    <t>GOUTAM-GOLD120"BLUE</t>
  </si>
  <si>
    <t>SP for 15% margin</t>
  </si>
  <si>
    <t>GOUTAM-GOLD120"WHITE</t>
  </si>
  <si>
    <t>VERDICT</t>
  </si>
  <si>
    <t>GOUTAM-GOLD54" White</t>
  </si>
  <si>
    <t>GOUTAM-GOLD54"DARK BLUE</t>
  </si>
  <si>
    <t>Priya-Gold Super54"BLUE</t>
  </si>
  <si>
    <t>Priya-Gold Max54"Blue</t>
  </si>
  <si>
    <t>HF84"OLIVE GREEN</t>
  </si>
  <si>
    <t>HF104"OLIVE GREEN</t>
  </si>
  <si>
    <t>HF104"S.GREEN</t>
  </si>
  <si>
    <t>HF37"O.GREEN</t>
  </si>
  <si>
    <t>HF42"BLUE</t>
  </si>
  <si>
    <t>HF42"GREEN</t>
  </si>
  <si>
    <t>HF42"R.PINK</t>
  </si>
  <si>
    <t>HF42"S.BLUE</t>
  </si>
  <si>
    <t>HF42"S.GREEN</t>
  </si>
  <si>
    <t>HF42"VIOLET</t>
  </si>
  <si>
    <t>HF48"GREEN</t>
  </si>
  <si>
    <t>HF48"S.BLUE</t>
  </si>
  <si>
    <t>HF48"S.GREEN</t>
  </si>
  <si>
    <t>HF48"VIOLET</t>
  </si>
  <si>
    <t>HF54"BADAM PINK</t>
  </si>
  <si>
    <t>HF54"BL/W</t>
  </si>
  <si>
    <t>HF54"Black</t>
  </si>
  <si>
    <t>HF54"BLUE</t>
  </si>
  <si>
    <t>KKACHAPP54"BLUE1</t>
  </si>
  <si>
    <t>STARFISH54"BLUE</t>
  </si>
  <si>
    <t>KKACHAPP54"BLUE Light</t>
  </si>
  <si>
    <t>HF54"BP/OG</t>
  </si>
  <si>
    <t>HF54"BP/V</t>
  </si>
  <si>
    <t>HF54"G/IV</t>
  </si>
  <si>
    <t>HF54"GREEN</t>
  </si>
  <si>
    <t>HF54"IV/OG</t>
  </si>
  <si>
    <t>HF54"IVORY/RED</t>
  </si>
  <si>
    <t>HF54"IVORY/SEA GREEM</t>
  </si>
  <si>
    <t>HF54"O.GREEN</t>
  </si>
  <si>
    <t>HF54"OG/IV</t>
  </si>
  <si>
    <t>HF54"RP/IV</t>
  </si>
  <si>
    <t>HF54"S.BLUE</t>
  </si>
  <si>
    <t>HF54"SB/IV</t>
  </si>
  <si>
    <t>HF54"SEA GREEN</t>
  </si>
  <si>
    <t>Kkachap54"S.GREEN</t>
  </si>
  <si>
    <t>HF54"SG/IV</t>
  </si>
  <si>
    <t>HF54"V/IV</t>
  </si>
  <si>
    <t>HF54"VIOLET</t>
  </si>
  <si>
    <t>HF54"W/Blk</t>
  </si>
  <si>
    <t>HF54"WHITE</t>
  </si>
  <si>
    <t>STARFISH54"WHITE</t>
  </si>
  <si>
    <t>HP54"S.GREEN</t>
  </si>
  <si>
    <t>HPF120"BLUE</t>
  </si>
  <si>
    <t>HPF120"SEA GREEN</t>
  </si>
  <si>
    <t>HPF54"BLUE</t>
  </si>
  <si>
    <t>HPF54"GREEN</t>
  </si>
  <si>
    <t>HPF54"S.BLUE</t>
  </si>
  <si>
    <t>HPF60"Marina Blue</t>
  </si>
  <si>
    <t>HPF72"SEA GREEN</t>
  </si>
  <si>
    <t>HPF84"SEA GREEN</t>
  </si>
  <si>
    <t>Priya-Gold 57"White</t>
  </si>
  <si>
    <t>JASMIN 57" White</t>
  </si>
  <si>
    <t>SUN57"WHITE</t>
  </si>
  <si>
    <t>PL60"WHITE</t>
  </si>
  <si>
    <t>AIR60"WHITE</t>
  </si>
  <si>
    <t>SUN60"WHITE</t>
  </si>
  <si>
    <t>JASMIN 60" White</t>
  </si>
  <si>
    <t>JASMIN 84" White</t>
  </si>
  <si>
    <t>KANGAROO120"BLUE</t>
  </si>
  <si>
    <t>KANGAROO54"B.P</t>
  </si>
  <si>
    <t>KANGAROO54"BLUE</t>
  </si>
  <si>
    <t>KANGAROO54"BLUE(White Border)</t>
  </si>
  <si>
    <t>KANGAROO54"GREEN</t>
  </si>
  <si>
    <t>KANGAROO54"IV/OG</t>
  </si>
  <si>
    <t>KANGAROO54"IVORY</t>
  </si>
  <si>
    <t>KANGAROO54"L.S.G</t>
  </si>
  <si>
    <t>KANGAROO54"S.BLUE</t>
  </si>
  <si>
    <t>KANGAROO54"S.GREEN</t>
  </si>
  <si>
    <t>KANGAROO54"WHITE</t>
  </si>
  <si>
    <t>KANGAROO60"BLUE</t>
  </si>
  <si>
    <t>KANGAROO60"S.G</t>
  </si>
  <si>
    <t>KANGAROO60"WHITE</t>
  </si>
  <si>
    <t>KANGAROO81"WHITE</t>
  </si>
  <si>
    <t>KANGAROO84"BLACK</t>
  </si>
  <si>
    <t>KANGAROO84"BLUE</t>
  </si>
  <si>
    <t>KANGAROO84"IVORY</t>
  </si>
  <si>
    <t>KANGAROO84"WHITE</t>
  </si>
  <si>
    <t>Kkachap54"S.BLUE</t>
  </si>
  <si>
    <t>LOTUS 54"SEA GREEN</t>
  </si>
  <si>
    <t>LOTUS54"B.PINK</t>
  </si>
  <si>
    <t>LOTUS54"IVORY</t>
  </si>
  <si>
    <t>LOTUS54"L S GREEN</t>
  </si>
  <si>
    <t>LOTUS54"MARINA BLUE</t>
  </si>
  <si>
    <t>LOTUS54"R GREEN</t>
  </si>
  <si>
    <t>LOTUS54"R.PINK</t>
  </si>
  <si>
    <t>LOTUS54"SKY BLUE</t>
  </si>
  <si>
    <t>LOTUS54"VIOLET</t>
  </si>
  <si>
    <t>LOTUS54"WHITE</t>
  </si>
  <si>
    <t>LOTUS72"S.BLUE</t>
  </si>
  <si>
    <t>LOTUS84"VIOLET</t>
  </si>
  <si>
    <t>MCF FAN BRAND</t>
  </si>
  <si>
    <t>PF120"BLUE</t>
  </si>
  <si>
    <t>PF52"BLUE</t>
  </si>
  <si>
    <t>PF54"BLUE</t>
  </si>
  <si>
    <t>PF54"D Blue</t>
  </si>
  <si>
    <t>PF54"LSG</t>
  </si>
  <si>
    <t>PF54"S.GREEN</t>
  </si>
  <si>
    <t>SUNFLOWER54"S.GREEN</t>
  </si>
  <si>
    <t>PF54"WHITE</t>
  </si>
  <si>
    <t>PF54"ZEEBRA</t>
  </si>
  <si>
    <t>PF60"BLUE</t>
  </si>
  <si>
    <t>PF60"GREEN(SQ)</t>
  </si>
  <si>
    <t>PF60"LSG</t>
  </si>
  <si>
    <t>PF60"M BLUE</t>
  </si>
  <si>
    <t>HPF60"S.GREEN</t>
  </si>
  <si>
    <t>PF60"SG(SQ)</t>
  </si>
  <si>
    <t>SUNFLOWER60"SEA GREEN</t>
  </si>
  <si>
    <t>SCORPIO60"S.GREEN</t>
  </si>
  <si>
    <t>PF60"WHITE</t>
  </si>
  <si>
    <t>CAPSICUM60"WHITE</t>
  </si>
  <si>
    <t>PF72"SEA GREEN</t>
  </si>
  <si>
    <t>PF84"BLUE</t>
  </si>
  <si>
    <t>PF84"D Blue</t>
  </si>
  <si>
    <t>PL120"BLUE</t>
  </si>
  <si>
    <t>PL120"M.Blue</t>
  </si>
  <si>
    <t>PL120"S.GREEN</t>
  </si>
  <si>
    <t>PL54"B.PINK</t>
  </si>
  <si>
    <t>PL54"BLUE</t>
  </si>
  <si>
    <t>PL54"S.BLUE</t>
  </si>
  <si>
    <t>PL54"S.GREEN</t>
  </si>
  <si>
    <t>NEELAM'S54"S.GREEN</t>
  </si>
  <si>
    <t>PL60"BLUE</t>
  </si>
  <si>
    <t>PL60"MARINA BLUE</t>
  </si>
  <si>
    <t>PL60"S.GREEN</t>
  </si>
  <si>
    <t>PL84"BLUE</t>
  </si>
  <si>
    <t>PL84"P.WHITE</t>
  </si>
  <si>
    <t>PL84"SEA GREEN</t>
  </si>
  <si>
    <t>Priya-Gold 54"S.BLUE</t>
  </si>
  <si>
    <t>PRIYA-GOLD 60" White</t>
  </si>
  <si>
    <t>SCORPIO120"S.GREEN</t>
  </si>
  <si>
    <t>Scorpio PF120" Sea Green</t>
  </si>
  <si>
    <t>SCORPIO60"BLUE</t>
  </si>
  <si>
    <t>SCORPIO72"S.GREEN</t>
  </si>
  <si>
    <t>SF100"GREEN</t>
  </si>
  <si>
    <t>SF104"BLUE</t>
  </si>
  <si>
    <t>SF104"GREEN</t>
  </si>
  <si>
    <t>SF110"BLUE</t>
  </si>
  <si>
    <t>SF120"BLUE</t>
  </si>
  <si>
    <t>SF120"GREEN</t>
  </si>
  <si>
    <t>SF48"BLUE</t>
  </si>
  <si>
    <t>SF54"B.PINK</t>
  </si>
  <si>
    <t>SF54"BL/IV</t>
  </si>
  <si>
    <t>SF54"BL/W</t>
  </si>
  <si>
    <t>SHER54"S.BLUE</t>
  </si>
  <si>
    <t>SF54"SKY BLUE</t>
  </si>
  <si>
    <t>SF54"BLUE</t>
  </si>
  <si>
    <t>LOTUS54"BLUE</t>
  </si>
  <si>
    <t>SF54"BLUE(MATIC)</t>
  </si>
  <si>
    <t>SF54"BLUE(LOTUS)</t>
  </si>
  <si>
    <t>SF54"BP/G</t>
  </si>
  <si>
    <t>SF54"DIV/OG</t>
  </si>
  <si>
    <t>SF54"G/IV</t>
  </si>
  <si>
    <t>SF54"GREEN</t>
  </si>
  <si>
    <t>SF54"IV/OG</t>
  </si>
  <si>
    <t>SF54"IVORY</t>
  </si>
  <si>
    <t>SF54"O.GREEN</t>
  </si>
  <si>
    <t>SF54"OG/IV</t>
  </si>
  <si>
    <t>SF54"ORANGE</t>
  </si>
  <si>
    <t>SF54"R.PINK</t>
  </si>
  <si>
    <t>SF54"SB/IV</t>
  </si>
  <si>
    <t>SF54"WHITE</t>
  </si>
  <si>
    <t>SF60"BLUE</t>
  </si>
  <si>
    <t>SF60"GREEN</t>
  </si>
  <si>
    <t>SF84"Blue</t>
  </si>
  <si>
    <t>SF84"Green</t>
  </si>
  <si>
    <t>SF54"VIOLET</t>
  </si>
  <si>
    <t>STARFISH54"IV/R</t>
  </si>
  <si>
    <t>STARFISH54"IVORY</t>
  </si>
  <si>
    <t>STARFISH54"SB/IV</t>
  </si>
  <si>
    <t>STARFISH54"SG/IV</t>
  </si>
  <si>
    <t>SUN54"BL/W</t>
  </si>
  <si>
    <t>SUN54"BLUE</t>
  </si>
  <si>
    <t>SUN54"IV/R</t>
  </si>
  <si>
    <t>SUN54"IV/SG</t>
  </si>
  <si>
    <t>SUN54"S.GREEN</t>
  </si>
  <si>
    <t>SUN54"SG/IV</t>
  </si>
  <si>
    <t>SUNFLOWER60"GREEN</t>
  </si>
  <si>
    <t>SUNFLOWER72"GREEN</t>
  </si>
  <si>
    <t>SUNFLOWER72"S.GREEN</t>
  </si>
  <si>
    <t>SUNFLOWER72"WHITE</t>
  </si>
  <si>
    <t>SUNFLOWER54"GREEN</t>
  </si>
  <si>
    <t>LOTUS84"SKYBLUE</t>
  </si>
  <si>
    <t>12MESHHQ42"BLUE</t>
  </si>
  <si>
    <t>12MESHSHQ42"WHITE</t>
  </si>
  <si>
    <t>16MESHHQ42"BLACK</t>
  </si>
  <si>
    <t>16MESHHQ42"BLUE</t>
  </si>
  <si>
    <t>16MESHHQ42"WHITE</t>
  </si>
  <si>
    <t>16MESHHQ84"BLUE</t>
  </si>
  <si>
    <t>16MESHHQ84"WHITE</t>
  </si>
  <si>
    <t>16MESHLQ42"WHITE</t>
  </si>
  <si>
    <t>16MESHMQ42"BLACK</t>
  </si>
  <si>
    <t>16MESHMQ42"GREEN</t>
  </si>
  <si>
    <t>16MESHMQ42"RED</t>
  </si>
  <si>
    <t>16MESHMQ42"WHITE</t>
  </si>
  <si>
    <t>18MESHLQ42"GREEN</t>
  </si>
  <si>
    <t>18MESHLQ42"R.PINK</t>
  </si>
  <si>
    <t>18MESHSHQ48"WHITE</t>
  </si>
  <si>
    <t>20MESHHQ36"Black</t>
  </si>
  <si>
    <t>20MESHHQ42"Black</t>
  </si>
  <si>
    <t>20MESHHQ42"BLUE</t>
  </si>
  <si>
    <t>20MESHHQ42"WHITE</t>
  </si>
  <si>
    <t>20MESHHQ48"Black</t>
  </si>
  <si>
    <t>20MESHHQ48"Black(Juicer)</t>
  </si>
  <si>
    <t>20MESHHQ48"Green(Juicer)</t>
  </si>
  <si>
    <t>20MESHHQ48"IVORY(Juicer)</t>
  </si>
  <si>
    <t>20MESHHQ48"N.WHITE(Juicer)</t>
  </si>
  <si>
    <t>20MESHHQ48"PFBLUE</t>
  </si>
  <si>
    <t>20MESHHQ48"SF Blue(Juicer)</t>
  </si>
  <si>
    <t>20MESHHQ48"SFBLUE</t>
  </si>
  <si>
    <t>20MESHHQ48"WHITE(Juicer)</t>
  </si>
  <si>
    <t>20MESHHQ84"PFBLUE</t>
  </si>
  <si>
    <t>20MESHLQ42"BLACK</t>
  </si>
  <si>
    <t>20MESHLQ42"RED</t>
  </si>
  <si>
    <t>20MESHLQ48"BLUE</t>
  </si>
  <si>
    <t>20MESHLQ48"GRAY</t>
  </si>
  <si>
    <t>20MESHLQ48"RADIUM GREEN</t>
  </si>
  <si>
    <t>20MESHLQ48"SEA GREEN</t>
  </si>
  <si>
    <t>20MESHMQ120"DARK GREEN</t>
  </si>
  <si>
    <t>20MESHMQ120"PF BLUE</t>
  </si>
  <si>
    <t>20MESHMQ120"SF BLUE</t>
  </si>
  <si>
    <t>20MESHMQ120"WHITE</t>
  </si>
  <si>
    <t>20MESHMQ21"WHITE</t>
  </si>
  <si>
    <t>20MESHMQ24"WHITE</t>
  </si>
  <si>
    <t>20MESHMQ27"WHITE</t>
  </si>
  <si>
    <t>20MESHMQ32"WHITE</t>
  </si>
  <si>
    <t>20MESHMQ36"WHITE</t>
  </si>
  <si>
    <t>20MESHMQ42"BLACK</t>
  </si>
  <si>
    <t>20MESHMQ42"BLUE</t>
  </si>
  <si>
    <t>20MESHMQ42"GREEN</t>
  </si>
  <si>
    <t>20MESHMQ42"L.BLUE</t>
  </si>
  <si>
    <t>20MESHMQ42"ORANGE</t>
  </si>
  <si>
    <t>20MESHMQ42"RED</t>
  </si>
  <si>
    <t>20MESHMQ42"RP.BLUE</t>
  </si>
  <si>
    <t>20MESHMQ42"RP.GREEN</t>
  </si>
  <si>
    <t>20MESHMQ42"S.GREEN</t>
  </si>
  <si>
    <t>20MESHMQ42"WHITE</t>
  </si>
  <si>
    <t>20MESHMQ42"WHITE(Red Border)</t>
  </si>
  <si>
    <t>20MESHMQ48"BLK</t>
  </si>
  <si>
    <t>20MESHMQ48"BLUE</t>
  </si>
  <si>
    <t>20MESHMQ48"GRAY</t>
  </si>
  <si>
    <t>20MESHMQ48"GREEN</t>
  </si>
  <si>
    <t>20MESHMQ48"IVORY</t>
  </si>
  <si>
    <t>20MESHMQ48"L BLUE</t>
  </si>
  <si>
    <t>20MESHMQ48"N.WHITE</t>
  </si>
  <si>
    <t>20MESHMQ48"ORANGE</t>
  </si>
  <si>
    <t>20MESHMQ48"PINK</t>
  </si>
  <si>
    <t>20MESHMQ48"PURPLE</t>
  </si>
  <si>
    <t>20MESHMQ48"R.GREEN</t>
  </si>
  <si>
    <t>20MESHMQ48"S.GREEN</t>
  </si>
  <si>
    <t>20MESHMQ48"WHITE</t>
  </si>
  <si>
    <t>20MESHMQ60"BLACK</t>
  </si>
  <si>
    <t>20MESHMQ60"BLUE</t>
  </si>
  <si>
    <t>20MESHMQ60"GRAY</t>
  </si>
  <si>
    <t>20MESHMQ60"GREEN</t>
  </si>
  <si>
    <t>20MESHMQ60"IVORY</t>
  </si>
  <si>
    <t>20MESHMQ60"SFBLUE</t>
  </si>
  <si>
    <t>20MESHMQ60"WHITE</t>
  </si>
  <si>
    <t>20MESHMQ68"WHITE</t>
  </si>
  <si>
    <t>20MESHMQ72"WHITE</t>
  </si>
  <si>
    <t>20MESHMQ84"BLACK</t>
  </si>
  <si>
    <t>20MESHMQ84"BLUE</t>
  </si>
  <si>
    <t>20MESHMQ84"D BLUE</t>
  </si>
  <si>
    <t>20MESHMQ84"G GREEN(4.5)</t>
  </si>
  <si>
    <t>20MESHMQ84"GRAY</t>
  </si>
  <si>
    <t>20MESHMQ84"GRAY(4.5Kgs)</t>
  </si>
  <si>
    <t>20MESHMQ84"GREEN</t>
  </si>
  <si>
    <t>20MESHMQ84"IVORY</t>
  </si>
  <si>
    <t>20MESHMQ84"LIGHT ORANGE</t>
  </si>
  <si>
    <t>20MESHMQ84"M GREEN</t>
  </si>
  <si>
    <t>20MESHMQ84"ORANGE</t>
  </si>
  <si>
    <t>20MESHMQ84"P WHITE</t>
  </si>
  <si>
    <t>20MESHMQ84"PF BLUE</t>
  </si>
  <si>
    <t>20MESHMQ84"RADIUM GREEN</t>
  </si>
  <si>
    <t>20MESHMQ84"RED</t>
  </si>
  <si>
    <t>20MESHMQ84"RP.BLUE</t>
  </si>
  <si>
    <t>20MESHMQ84"RP.GREEN</t>
  </si>
  <si>
    <t>20MESHMQ84"SFBLUE</t>
  </si>
  <si>
    <t>20MESHMQ84"VIOLET</t>
  </si>
  <si>
    <t>20MESHMQ84"WHITE</t>
  </si>
  <si>
    <t>20MESHMQ96"WHITE</t>
  </si>
  <si>
    <t>20MESHSHQ39" WHITE</t>
  </si>
  <si>
    <t>20MESHSHQ41" WHITE</t>
  </si>
  <si>
    <t>20MESHSHQ42"WHITE</t>
  </si>
  <si>
    <t>20MESHSHQ44" WHITE</t>
  </si>
  <si>
    <t>20MESHSHQ46" WHITE</t>
  </si>
  <si>
    <t>20MESHSHQ48"BLUE</t>
  </si>
  <si>
    <t>20MESHSHQ48"GRAY</t>
  </si>
  <si>
    <t>20MESHSHQ48"GREEN</t>
  </si>
  <si>
    <t>20MESHSHQ48"IVORY</t>
  </si>
  <si>
    <t>20MESHSHQ48"WHITE</t>
  </si>
  <si>
    <t>20MESHSHQ48"WHITE(SUPER DIAMOND)</t>
  </si>
  <si>
    <t>20MESHSHQ48"WHITE(SUPER GOLD)</t>
  </si>
  <si>
    <t>20MESHSHQ48"WHITE(T)</t>
  </si>
  <si>
    <t>20MESHSHQMF42"WHITE</t>
  </si>
  <si>
    <t>22MESHSHQ42"WHITE</t>
  </si>
  <si>
    <t>24MESHHQ120"WHITE</t>
  </si>
  <si>
    <t>24MESHHQ42"WHITE</t>
  </si>
  <si>
    <t>24MESHHQ48"WHITE</t>
  </si>
  <si>
    <t>24MESHLQ 37"SKY BLUE</t>
  </si>
  <si>
    <t>24MESHLQ120"PF BLUE</t>
  </si>
  <si>
    <t>24MESHLQ19"LEVENDER</t>
  </si>
  <si>
    <t>24MESHLQ37"BLUE</t>
  </si>
  <si>
    <t>24MESHLQ37"LEVENDER</t>
  </si>
  <si>
    <t>24MESHLQ37"M.VIOLET</t>
  </si>
  <si>
    <t>24MESHLQ37"ROYAL BLUE</t>
  </si>
  <si>
    <t>24MESHLQ37"SKY BLUE</t>
  </si>
  <si>
    <t>24MESHLQ37"VIOLET</t>
  </si>
  <si>
    <t>24MESHLQ38"BLUE</t>
  </si>
  <si>
    <t>24MESHLQ38"DARK BLUE</t>
  </si>
  <si>
    <t>24MESHLQ38"JAMOON</t>
  </si>
  <si>
    <t>24MESHLQ38"LEVENDER(1.4Kgs)</t>
  </si>
  <si>
    <t>24MESHLQ38"LEVENDER(1.7Kgs)</t>
  </si>
  <si>
    <t>24MESHLQ38"LEVENDER(5.0Kgs)</t>
  </si>
  <si>
    <t>24MESHLQ38"PURPLE</t>
  </si>
  <si>
    <t>24MESHLQ38"VIOLET</t>
  </si>
  <si>
    <t>24MESHLQ40"BLUE</t>
  </si>
  <si>
    <t>24MESHLQ40"LEVENDER</t>
  </si>
  <si>
    <t>24MESHLQ40"LEVENDER(5.0Kgs)</t>
  </si>
  <si>
    <t>24MESHLQ40"LEVENDER(5.5Kgs)</t>
  </si>
  <si>
    <t>24MESHLQ42" S.BLUE</t>
  </si>
  <si>
    <t>24MESHLQ42"BLACK</t>
  </si>
  <si>
    <t>24MESHLQ42"BLUE</t>
  </si>
  <si>
    <t>24MESHLQ42"D.BLUE</t>
  </si>
  <si>
    <t>24MESHLQ42"GREEN</t>
  </si>
  <si>
    <t>24MESHLQ42"JAMOON</t>
  </si>
  <si>
    <t>24MESHLQ42"LEVENDER</t>
  </si>
  <si>
    <t>24MESHLQ42"LEVENDER(1.8kg)</t>
  </si>
  <si>
    <t>24MESHLQ42"LSG</t>
  </si>
  <si>
    <t>24MESHLQ42"M.VIOLET</t>
  </si>
  <si>
    <t>24MESHLQ42"O.GREEN</t>
  </si>
  <si>
    <t>24MESHLQ42"PURPLE</t>
  </si>
  <si>
    <t>24MESHLQ42"R.GREEN</t>
  </si>
  <si>
    <t>24MESHLQ42"R.PINK</t>
  </si>
  <si>
    <t>24MESHLQ42"ROYAL BLUE</t>
  </si>
  <si>
    <t>24MESHLQ42"S.GREEN</t>
  </si>
  <si>
    <t>24MESHLQ42"VIOLET</t>
  </si>
  <si>
    <t>24MESHLQ42"WHITE</t>
  </si>
  <si>
    <t>24MESHLQ45"BLUE</t>
  </si>
  <si>
    <t>24MESHLQ45"WHITE</t>
  </si>
  <si>
    <t>24MESHLQ48"BLACK</t>
  </si>
  <si>
    <t>24MESHLQ48"BLUE</t>
  </si>
  <si>
    <t>24MESHLQ48"LEVENDER</t>
  </si>
  <si>
    <t>24MESHLQ48"LSG</t>
  </si>
  <si>
    <t>24MESHLQ48"MNBLUE</t>
  </si>
  <si>
    <t>24MESHLQ48"S.BLUE</t>
  </si>
  <si>
    <t>24MESHLQ48"S.GREEN</t>
  </si>
  <si>
    <t>24MESHLQ49"P WHITE</t>
  </si>
  <si>
    <t>24MESHLQ50" G GREEN</t>
  </si>
  <si>
    <t>24MESHLQ50"BLUE</t>
  </si>
  <si>
    <t>24MESHLQ50"JAMOON</t>
  </si>
  <si>
    <t>24MESHLQ50"LEVENDER</t>
  </si>
  <si>
    <t>24MESHLQ50"P WHITE</t>
  </si>
  <si>
    <t>24MESHLQ50"PURPLE</t>
  </si>
  <si>
    <t>24MESHLQ50"R.PINK</t>
  </si>
  <si>
    <t>24MESHLQ50"VIOLET</t>
  </si>
  <si>
    <t>24MESHLQ60"BLK</t>
  </si>
  <si>
    <t>24MESHLQ60"BLUE</t>
  </si>
  <si>
    <t>24MESHLQ60"GREEN</t>
  </si>
  <si>
    <t>24MESHLQ84"BLACK</t>
  </si>
  <si>
    <t>24MESHLQ84"BLUE</t>
  </si>
  <si>
    <t>24MESHLQ84"D BLUE</t>
  </si>
  <si>
    <t>24MESHLQ84"GREEN</t>
  </si>
  <si>
    <t>24MESHLQ84"ORANGE</t>
  </si>
  <si>
    <t>24MESHLQ84"SEA GREEN</t>
  </si>
  <si>
    <t>24MESHLQ84"VIOLET</t>
  </si>
  <si>
    <t>24MESHLQ84"WHITE</t>
  </si>
  <si>
    <t>24MESHMQ42"BLUE</t>
  </si>
  <si>
    <t>24MESHMQ42"WHITE</t>
  </si>
  <si>
    <t>24MESHMQ84"GREEN</t>
  </si>
  <si>
    <t>24MESHMQ84"LEMMON YELLOW</t>
  </si>
  <si>
    <t>24MESHMQ84"LEVENDER</t>
  </si>
  <si>
    <t>24MESHMQ84"ORANGE</t>
  </si>
  <si>
    <t>24MESHMQ84"RADIUM GREEN</t>
  </si>
  <si>
    <t>24MESHMQ84"RED</t>
  </si>
  <si>
    <t>24MESHMQ84"ROSE PINK</t>
  </si>
  <si>
    <t>24MESHMQ84"SF BLUE</t>
  </si>
  <si>
    <t>24MESHSHQ42"WHITE</t>
  </si>
  <si>
    <t>30MESHHQ42"BLUE</t>
  </si>
  <si>
    <t>30MESHHQ48"WHITE</t>
  </si>
  <si>
    <t>30MESHLQ37"BLUE</t>
  </si>
  <si>
    <t>30MESHLQ42"Badam PINK</t>
  </si>
  <si>
    <t>30MESHLQ42"BLUE</t>
  </si>
  <si>
    <t>30MESHLQ42"BROWN</t>
  </si>
  <si>
    <t>30MESHLQ42"GREEN</t>
  </si>
  <si>
    <t>30MESHLQ42"L.YELLOW</t>
  </si>
  <si>
    <t>30MESHLQ42"LSG</t>
  </si>
  <si>
    <t>30MESHLQ42"ORANGE</t>
  </si>
  <si>
    <t>30MESHLQ42"R.PINK</t>
  </si>
  <si>
    <t>30MESHLQ42"S.GREEN</t>
  </si>
  <si>
    <t>30MESHLQ42"WHITE</t>
  </si>
  <si>
    <t>30MESHLQ48"BLUE</t>
  </si>
  <si>
    <t>30MESHLQ50"B.PINK</t>
  </si>
  <si>
    <t>30MESHLQ50"BLUE</t>
  </si>
  <si>
    <t>30MESHLQ50"WHITE</t>
  </si>
  <si>
    <t>30MESHLQ60"B.PINK</t>
  </si>
  <si>
    <t>30MESHLQ60"BLUE</t>
  </si>
  <si>
    <t>30MESHLQ60"ROSE PINK</t>
  </si>
  <si>
    <t>30MESHLQ60"WHITE</t>
  </si>
  <si>
    <t>30MESHLQ84"B.PINK</t>
  </si>
  <si>
    <t>30MESHLQ84"BLUE</t>
  </si>
  <si>
    <t>30MESHLQ84"WHITE</t>
  </si>
  <si>
    <t>30MESHMQ2.5Mtr N.WHITE</t>
  </si>
  <si>
    <t>30MESHMQ42"BLUE</t>
  </si>
  <si>
    <t>30MESHMQ42"SFBLUE</t>
  </si>
  <si>
    <t>30MESHMQ42"WHITE</t>
  </si>
  <si>
    <t>30MESHMQ48"WHITE</t>
  </si>
  <si>
    <t>30MESHMQ84"BLUE</t>
  </si>
  <si>
    <t>30MESHSHQ48"BLUE</t>
  </si>
  <si>
    <t>32MESH48"WHITE</t>
  </si>
  <si>
    <t>36MESH42"WHITE</t>
  </si>
  <si>
    <t>40MESHHQ110"WHITE</t>
  </si>
  <si>
    <t>40MESHHQ120"WHITE</t>
  </si>
  <si>
    <t>40MESHHQ144"WHITE</t>
  </si>
  <si>
    <t>40MESHHQ145.5"WHITE</t>
  </si>
  <si>
    <t>40MESHHQ165"MILKY WHITE</t>
  </si>
  <si>
    <t>40MESHHQ177"MILKY WHITE</t>
  </si>
  <si>
    <t>40MESHHQ205"NATURAL WHITE</t>
  </si>
  <si>
    <t>40MESHHQ40"BLUE</t>
  </si>
  <si>
    <t>40MESHHQ42"BLUE</t>
  </si>
  <si>
    <t>40MESHHQ42"S.WHITE</t>
  </si>
  <si>
    <t>40MESHHQ42"WHITE</t>
  </si>
  <si>
    <t>40MESHHQ48"S WHITE</t>
  </si>
  <si>
    <t>40MESHHQ48"WHITE</t>
  </si>
  <si>
    <t>40MESHHQ48"WHITE(4.0Kgs)</t>
  </si>
  <si>
    <t>40MESHHQ60"S WHITE</t>
  </si>
  <si>
    <t>40MESHHQ60"WHITE</t>
  </si>
  <si>
    <t>40MESHHQ72" WHITE</t>
  </si>
  <si>
    <t>40MESHHQ84"BLUE</t>
  </si>
  <si>
    <t>40MESHHQ84"WHITE</t>
  </si>
  <si>
    <t>40MESHLQ120"WHITE</t>
  </si>
  <si>
    <t>40MESHLQ42"BLUE</t>
  </si>
  <si>
    <t>40MESHLQ42"GREEN</t>
  </si>
  <si>
    <t>40MESHLQ42"WHITE</t>
  </si>
  <si>
    <t>40MESHLQ42"XXPREMIUM WHITE</t>
  </si>
  <si>
    <t>40MESHLQ42"XXWHITE</t>
  </si>
  <si>
    <t>40MESHLQ42"ZZAWHITE</t>
  </si>
  <si>
    <t>40MESHLQ42"ZZB.PINK</t>
  </si>
  <si>
    <t>40MESHLQ42"ZZBLUE</t>
  </si>
  <si>
    <t>40MESHLQ42"ZZGREEN</t>
  </si>
  <si>
    <t>40MESHLQ42"ZZLEMMON YELLOW</t>
  </si>
  <si>
    <t>40MESHLQ42"ZZR.GREEN</t>
  </si>
  <si>
    <t>40MESHLQ42"ZZR.PINK</t>
  </si>
  <si>
    <t>40MESHLQ42"ZZWHITE</t>
  </si>
  <si>
    <t>40MESHLQ42"ZZWHITE(Green Border)</t>
  </si>
  <si>
    <t>40MESHLQ45"WHITE</t>
  </si>
  <si>
    <t>40MESHLQ48"B.PINK</t>
  </si>
  <si>
    <t>40MESHLQ48"BLK</t>
  </si>
  <si>
    <t>40MESHLQ48"BLUE</t>
  </si>
  <si>
    <t>40MESHLQ48"GREEN</t>
  </si>
  <si>
    <t>40MESHLQ48"P WHITE</t>
  </si>
  <si>
    <t>40MESHLQ48"WHITE</t>
  </si>
  <si>
    <t>40MESHLQ48"XXBLUE</t>
  </si>
  <si>
    <t>40MESHLQ48"XXWHITE</t>
  </si>
  <si>
    <t>40MESHLQ48"ZZWHITE</t>
  </si>
  <si>
    <t>40MESHLQ50"XXWHITE</t>
  </si>
  <si>
    <t>40MESHLQ53"XXWHITE</t>
  </si>
  <si>
    <t>40MESHLQ60"SFBLUE</t>
  </si>
  <si>
    <t>40MESHLQ60"WHITE</t>
  </si>
  <si>
    <t>40MESHLQ84"WHITE</t>
  </si>
  <si>
    <t>40MESHMQ120"N.WHITE</t>
  </si>
  <si>
    <t>40MESHMQ120"WHITE</t>
  </si>
  <si>
    <t>40MESHMQ32"WHITE</t>
  </si>
  <si>
    <t>40MESHMQ42"BLACK</t>
  </si>
  <si>
    <t>40MESHMQ42"P.WHITE(RED BORDER)</t>
  </si>
  <si>
    <t>40MESHMQ42"WHITE</t>
  </si>
  <si>
    <t>40MESHMQ42"WHITE(RED BORDER)</t>
  </si>
  <si>
    <t>40MESHMQ48"P WHITE</t>
  </si>
  <si>
    <t>40MESHMQ48"WHITE</t>
  </si>
  <si>
    <t>40MESHMQ52"WHITE</t>
  </si>
  <si>
    <t>40MESHMQ60"S WHITE</t>
  </si>
  <si>
    <t>40MESHMQ60"WHITE</t>
  </si>
  <si>
    <t>40MESHMQ72"WHITE</t>
  </si>
  <si>
    <t>40MESHMQ84"WHITE</t>
  </si>
  <si>
    <t>40MESHMQ96"WHITE</t>
  </si>
  <si>
    <t>40MESHSHQ120" MILKY WHITE</t>
  </si>
  <si>
    <t>40MESHSHQ120"S.WHITE</t>
  </si>
  <si>
    <t>40MESHSHQ144" MILKY WHITE</t>
  </si>
  <si>
    <t>40MESHSHQ42"WHITE</t>
  </si>
  <si>
    <t>40MESHSHQ48"WHITE</t>
  </si>
  <si>
    <t>4MESH42"BLUE</t>
  </si>
  <si>
    <t>50MESHHQ110"White</t>
  </si>
  <si>
    <t>50MESHHQ120"WHITE</t>
  </si>
  <si>
    <t>50MESHHQ42"WHITE</t>
  </si>
  <si>
    <t>50MESHHQ60"WHITE</t>
  </si>
  <si>
    <t>50MESHHQ72"WHITE</t>
  </si>
  <si>
    <t>50MESHHQ84"WHITE</t>
  </si>
  <si>
    <t>50MESHMQ120"WHITE</t>
  </si>
  <si>
    <t>60MESHHQ42"WHITE</t>
  </si>
  <si>
    <t>60MESHHQ48"WHITE</t>
  </si>
  <si>
    <t>60MESHLQ42"WHITE</t>
  </si>
  <si>
    <t>60MESHLQ48"WHITE</t>
  </si>
  <si>
    <t>60MESHMQ42"P.WHITE</t>
  </si>
  <si>
    <t>60MESHMQ42"WHITE</t>
  </si>
  <si>
    <t>6MESHHQ42"BLUE</t>
  </si>
  <si>
    <t>8 MESHHQ48" BLUE</t>
  </si>
  <si>
    <t>80MESH48"WHITE</t>
  </si>
  <si>
    <t>8MESHHQ36" Yellow</t>
  </si>
  <si>
    <t>8MESHHQ36"BLUE</t>
  </si>
  <si>
    <t>8MESHHQ36"ORANGE</t>
  </si>
  <si>
    <t>8MESHHQ36"RED</t>
  </si>
  <si>
    <t>8MESHHQ36"S.GREEN</t>
  </si>
  <si>
    <t>8MESHHQ42"BLUE</t>
  </si>
  <si>
    <t>8MESHHQ42"S.GREEN</t>
  </si>
  <si>
    <t>8MESHHQ42"WHITE</t>
  </si>
  <si>
    <t>20MESHSHQ39"BLACK</t>
  </si>
  <si>
    <t>20MESHMQ84"LEMMON YELLOW</t>
  </si>
  <si>
    <t>20MESHHQ84"WHITE(JUICER)</t>
  </si>
  <si>
    <t>120MESHLQ48"WHITE</t>
  </si>
  <si>
    <t>MONTHLY FORECAST — Plan future SKU sales (split purchased vs produced)</t>
  </si>
  <si>
    <t>For each SKU enter: Planned Monthly Kgs (total), of which Purchased, and Purchase Rate.</t>
  </si>
  <si>
    <t>Engine splits the volume: Produced Kgs = Planned − Purchased; costs each correctly.</t>
  </si>
  <si>
    <t>Defaults below = FY25-26 monthly average. Override freely for your plan.</t>
  </si>
  <si>
    <t>of which Purchased Kgs</t>
  </si>
  <si>
    <t>Purchase Rate ₹/Kg</t>
  </si>
  <si>
    <t>Produced Kgs</t>
  </si>
  <si>
    <t>Sale Price ₹/Kg</t>
  </si>
  <si>
    <t>Purchased Cost</t>
  </si>
  <si>
    <t>Produced Cost</t>
  </si>
  <si>
    <t>Sales Value</t>
  </si>
  <si>
    <t>Total Monthly SKU Contribution</t>
  </si>
  <si>
    <t>ADD: Non-SKU monthly adjustments</t>
  </si>
  <si>
    <t>ADJUSTED MONTHLY CONTRIBUTION</t>
  </si>
  <si>
    <t>LESS: Monthly Fixed Expenses</t>
  </si>
  <si>
    <t>MONTHLY NET PROFIT / (LOSS)</t>
  </si>
  <si>
    <t>ANNUAL NET PROFIT / (LOSS)</t>
  </si>
  <si>
    <t>Item Code</t>
  </si>
  <si>
    <t>HF 54"</t>
  </si>
  <si>
    <t>Badam Pink/Olive Green</t>
  </si>
  <si>
    <t>Olive Green</t>
  </si>
  <si>
    <t>Violet/Ivory</t>
  </si>
  <si>
    <t>HP 120"</t>
  </si>
  <si>
    <t>HP 54"</t>
  </si>
  <si>
    <t>Kangaroo 120"</t>
  </si>
  <si>
    <t>Kangaroo 54"</t>
  </si>
  <si>
    <t>Kangaroo 60"</t>
  </si>
  <si>
    <t>Kangaroo 84"</t>
  </si>
  <si>
    <t>PF 120"</t>
  </si>
  <si>
    <t>PF 54"</t>
  </si>
  <si>
    <t>PF 60"</t>
  </si>
  <si>
    <t>PF 84"</t>
  </si>
  <si>
    <t>PL 120"</t>
  </si>
  <si>
    <t>PL 54"</t>
  </si>
  <si>
    <t>PL 60"</t>
  </si>
  <si>
    <t>PL 84"</t>
  </si>
  <si>
    <t>SF 110"</t>
  </si>
  <si>
    <t>SF 54"</t>
  </si>
  <si>
    <t>SF 60"</t>
  </si>
  <si>
    <t>Sunflower 54"</t>
  </si>
  <si>
    <t>12 Mesh HQ 42"</t>
  </si>
  <si>
    <t>16 Mesh HQ 42"</t>
  </si>
  <si>
    <t>16 Mesh HQ 84"</t>
  </si>
  <si>
    <t>20 Mesh HQ 42"</t>
  </si>
  <si>
    <t>20 Mesh HQ(Juicer) 48"</t>
  </si>
  <si>
    <t>N.White</t>
  </si>
  <si>
    <t>Grey</t>
  </si>
  <si>
    <t>Radium Green</t>
  </si>
  <si>
    <t>20 Mesh MQ 120"</t>
  </si>
  <si>
    <t>20 Mesh MQ 42"</t>
  </si>
  <si>
    <t xml:space="preserve">Red </t>
  </si>
  <si>
    <t>RP Blue</t>
  </si>
  <si>
    <t>20 Mesh MQ 48"</t>
  </si>
  <si>
    <t>20 Mesh MQ 60"</t>
  </si>
  <si>
    <t>20 Mesh MQ 84"</t>
  </si>
  <si>
    <t>G Green</t>
  </si>
  <si>
    <t>Military Green</t>
  </si>
  <si>
    <t>Light Blue</t>
  </si>
  <si>
    <t>20  Mesh SHQ 39"</t>
  </si>
  <si>
    <t>20 Mesh SHQ 48"</t>
  </si>
  <si>
    <t>(Super Gold)White</t>
  </si>
  <si>
    <t>24 Mesh LQ 120"</t>
  </si>
  <si>
    <t>Lavender</t>
  </si>
  <si>
    <t>Purple</t>
  </si>
  <si>
    <t>24 Mesh LQ 42"</t>
  </si>
  <si>
    <t>Dark Blue</t>
  </si>
  <si>
    <t>24 Mesh LQ 48"</t>
  </si>
  <si>
    <t>24 Mesh LQ 49"</t>
  </si>
  <si>
    <t>24 Mesh LQ 50"</t>
  </si>
  <si>
    <t>24 Mesh LQ 60"</t>
  </si>
  <si>
    <t>24 Mesh LQ 84"</t>
  </si>
  <si>
    <t>24 Mesh MQ 84"</t>
  </si>
  <si>
    <t>Lemon Yellow</t>
  </si>
  <si>
    <t>30 Mesh HQ 42"</t>
  </si>
  <si>
    <t>30 Mesh LQ 42"</t>
  </si>
  <si>
    <t>30 Mesh LQ 50"</t>
  </si>
  <si>
    <t>30 Mesh LQ 84"</t>
  </si>
  <si>
    <t>30 Mesh MQ  42"</t>
  </si>
  <si>
    <t>30 Mesh SHQ 48"</t>
  </si>
  <si>
    <t>40 Mesh HQ 146"</t>
  </si>
  <si>
    <t>40 Mesh HQ 165"</t>
  </si>
  <si>
    <t>Natural White</t>
  </si>
  <si>
    <t>40 Mesh HQ 42"</t>
  </si>
  <si>
    <t>S.White</t>
  </si>
  <si>
    <t>40 Mesh HQ 48"</t>
  </si>
  <si>
    <t>40 Mesh HQ 60"</t>
  </si>
  <si>
    <t>40 Mesh HQ 84"</t>
  </si>
  <si>
    <t>40 Mesh LQ 42"</t>
  </si>
  <si>
    <t>XXPremium White</t>
  </si>
  <si>
    <t>XXWhite</t>
  </si>
  <si>
    <t>40 Mesh LQ ZZ 42"</t>
  </si>
  <si>
    <t>40 Mesh LQ 48"</t>
  </si>
  <si>
    <t>40 Mesh MQ 120"</t>
  </si>
  <si>
    <t>40 Mesh MQ 42"</t>
  </si>
  <si>
    <t>Premium White(Red Border)</t>
  </si>
  <si>
    <t>40 Mesh MQ 60"</t>
  </si>
  <si>
    <t>40 Mesh MQ 84"</t>
  </si>
  <si>
    <t>40 Mesh MQ 96"</t>
  </si>
  <si>
    <t>Shining White</t>
  </si>
  <si>
    <t>60 Mesh HQ 48"</t>
  </si>
  <si>
    <t>60 Mesh LQ 42"</t>
  </si>
  <si>
    <t>60 Mesh LQ 48"</t>
  </si>
  <si>
    <t>8 Mesh HQ 42"</t>
  </si>
  <si>
    <t>120 Mesh LQ 48"</t>
  </si>
  <si>
    <t>40 Mesh HQ 138"</t>
  </si>
  <si>
    <t>Knitted 52"</t>
  </si>
  <si>
    <t>Knitted 60"</t>
  </si>
  <si>
    <t>Priya-Gold Max 54"</t>
  </si>
  <si>
    <t>Rate Per Mt</t>
  </si>
  <si>
    <t>RM Rate</t>
  </si>
  <si>
    <t>Increase in Yarn Processing</t>
  </si>
  <si>
    <t>Increase in Fabrication rate in Kgs</t>
  </si>
  <si>
    <t>Wt/Roll</t>
  </si>
  <si>
    <t>For</t>
  </si>
  <si>
    <t>May</t>
  </si>
  <si>
    <t>Priya-Gold Super 54"</t>
  </si>
  <si>
    <t>Star fish 54"</t>
  </si>
  <si>
    <t>Jasmin 57"</t>
  </si>
  <si>
    <t>Sunlite 60"</t>
  </si>
  <si>
    <t xml:space="preserve">HP 60" / Scorpio 60" </t>
  </si>
  <si>
    <t>D. Blue</t>
  </si>
  <si>
    <t>ZZ Lemen Yellow</t>
  </si>
  <si>
    <t>60 Mesh HQ 42"</t>
  </si>
  <si>
    <t xml:space="preserve">120 LQ 48"  </t>
  </si>
  <si>
    <t>Mts</t>
  </si>
  <si>
    <t>Fab Rate/Mt (₹/Mtr)</t>
  </si>
  <si>
    <t>HP 60"</t>
  </si>
  <si>
    <t>White(G.B)</t>
  </si>
  <si>
    <t>Milky White</t>
  </si>
  <si>
    <t>Fixed (Wt/Mt)</t>
  </si>
  <si>
    <t/>
  </si>
  <si>
    <t>24MESHMQ84"BLACK</t>
  </si>
  <si>
    <t>40MESHHQ138"WHITE</t>
  </si>
  <si>
    <t>20MESHHQ84"WHITE(Juicer)</t>
  </si>
  <si>
    <t>M Green</t>
  </si>
  <si>
    <t>Yellow</t>
  </si>
  <si>
    <t>60MESHHMQ42"WHITE</t>
  </si>
  <si>
    <t>XXBlue</t>
  </si>
  <si>
    <t>Brown</t>
  </si>
  <si>
    <t>Marina Blue</t>
  </si>
  <si>
    <t>Royal Blue</t>
  </si>
  <si>
    <t>M Violet</t>
  </si>
  <si>
    <t>(Titanic)White</t>
  </si>
  <si>
    <t>RP Green</t>
  </si>
  <si>
    <t>Light Orange</t>
  </si>
  <si>
    <t>RP Black</t>
  </si>
  <si>
    <t>20MESHMQ84"RPBLACK</t>
  </si>
  <si>
    <t>Pink</t>
  </si>
  <si>
    <t>Dark Green</t>
  </si>
  <si>
    <t>PF84"WHITE</t>
  </si>
  <si>
    <t>KANGAROO60"GREEN</t>
  </si>
  <si>
    <t>LOTUS60"SKY BLUE</t>
  </si>
  <si>
    <t>LOTUS84"SKY BLUE</t>
  </si>
  <si>
    <t>Ivory/Sea Green</t>
  </si>
  <si>
    <t>Ivory/Red</t>
  </si>
  <si>
    <t>Blue/White</t>
  </si>
  <si>
    <t>Ivory/Olive Green</t>
  </si>
  <si>
    <t>Green/Ivory</t>
  </si>
  <si>
    <t>Badam Pink/Green</t>
  </si>
  <si>
    <t>Blue/Ivory</t>
  </si>
  <si>
    <t>KANGAROO56"WHITE</t>
  </si>
  <si>
    <t>Ivory/Yellow</t>
  </si>
  <si>
    <t>White/Black</t>
  </si>
  <si>
    <t>Rose Pink/Ivory</t>
  </si>
  <si>
    <t>Ivory/OG</t>
  </si>
  <si>
    <t>Badam Pink/Voilet</t>
  </si>
  <si>
    <t>PRIYA-GOLD-MAX54"BLUE</t>
  </si>
  <si>
    <t>Violet/B.Pink</t>
  </si>
  <si>
    <t>Fixed (Fab Rate/Mtr)</t>
  </si>
  <si>
    <t>Planned Monthly Kgs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</si>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</sst>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 &quot;₹&quot;\ * #,##0.00_ ;_ &quot;₹&quot;\ * \-#,##0.00_ ;_ &quot;₹&quot;\ * &quot;-&quot;??_ ;_ @_ "/>
    <numFmt numFmtId="164" formatCode="_ * #,##0.00_ ;_ * \-#,##0.00_ ;_ * \-??_ ;_ @_ "/>
    <numFmt numFmtId="165" formatCode="_ [$₹-4009]\ * #,##0.00_ ;_ [$₹-4009]\ * \-#,##0.00_ ;_ [$₹-4009]\ * \-??_ ;_ @_ "/>
    <numFmt numFmtId="166" formatCode="_ * #,##0.0_ ;_ * \-#,##0.0_ ;_ * \-??_ ;_ @_ "/>
    <numFmt numFmtId="167" formatCode="\₹#,##0.00;[Red]&quot;(₹&quot;#,##0.00\)"/>
    <numFmt numFmtId="168" formatCode="#,##0.0;[Red]\(#,##0.0\)"/>
    <numFmt numFmtId="169" formatCode="0.0%"/>
    <numFmt numFmtId="170" formatCode="0.0000"/>
    <numFmt numFmtId="171" formatCode="&quot;₹ &quot;#,##0.00"/>
    <numFmt numFmtId="172" formatCode="#,##0;\(#,##0\)"/>
    <numFmt numFmtId="173" formatCode="#,##0.00;\(#,##0.00\)"/>
    <numFmt numFmtId="174" formatCode="0.000"/>
    <numFmt numFmtId="175" formatCode="0.0"/>
    <numFmt numFmtId="176" formatCode="#,##0.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1F4E78"/>
      <name val="Arial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0"/>
      <name val="Arial"/>
      <family val="2"/>
      <charset val="1"/>
    </font>
    <font>
      <sz val="11"/>
      <color rgb="FF000000"/>
      <name val="Comic Sans MS"/>
      <family val="4"/>
      <charset val="1"/>
    </font>
    <font>
      <sz val="10"/>
      <color rgb="FF000000"/>
      <name val="Comic Sans MS"/>
      <family val="4"/>
      <charset val="1"/>
    </font>
    <font>
      <b/>
      <sz val="10"/>
      <color rgb="FF0000FF"/>
      <name val="Arial"/>
      <family val="2"/>
      <charset val="1"/>
    </font>
    <font>
      <i/>
      <sz val="9"/>
      <color rgb="FF666666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theme="0"/>
      <name val="Arial"/>
      <family val="2"/>
      <charset val="1"/>
    </font>
    <font>
      <sz val="10"/>
      <color rgb="FF0000FF"/>
      <name val="Arial"/>
      <family val="2"/>
      <charset val="1"/>
    </font>
    <font>
      <b/>
      <i/>
      <sz val="9"/>
      <color rgb="FFC00000"/>
      <name val="Arial"/>
      <family val="2"/>
      <charset val="1"/>
    </font>
    <font>
      <b/>
      <sz val="10"/>
      <color rgb="FF0000FF"/>
      <name val="Arial"/>
      <family val="2"/>
    </font>
    <font>
      <b/>
      <sz val="12"/>
      <name val="Arial"/>
      <family val="2"/>
      <charset val="1"/>
    </font>
    <font>
      <b/>
      <u/>
      <sz val="11"/>
      <color theme="1"/>
      <name val="Calibri"/>
      <family val="2"/>
      <charset val="1"/>
    </font>
    <font>
      <b/>
      <sz val="11"/>
      <name val="Arial"/>
      <family val="2"/>
      <charset val="1"/>
    </font>
    <font>
      <b/>
      <sz val="11"/>
      <color theme="1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0"/>
      <color theme="2"/>
      <name val="Arial"/>
      <family val="2"/>
    </font>
    <font>
      <sz val="11"/>
      <color theme="2"/>
      <name val="Calibri"/>
      <family val="2"/>
    </font>
    <font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9E1F2"/>
      </patternFill>
    </fill>
    <fill>
      <patternFill patternType="solid">
        <fgColor rgb="FFE7E6E6"/>
        <bgColor rgb="FFDDEBF7"/>
      </patternFill>
    </fill>
    <fill>
      <patternFill patternType="solid">
        <fgColor rgb="FFFFFDF5"/>
        <bgColor rgb="FFFFFFFF"/>
      </patternFill>
    </fill>
    <fill>
      <patternFill patternType="solid">
        <fgColor rgb="FFF5FAFD"/>
        <bgColor rgb="FFFFFDF5"/>
      </patternFill>
    </fill>
    <fill>
      <patternFill patternType="solid">
        <fgColor rgb="FFC6EFCE"/>
        <bgColor rgb="FFDDEBF7"/>
      </patternFill>
    </fill>
    <fill>
      <patternFill patternType="solid">
        <fgColor rgb="FFFFFF00"/>
        <bgColor rgb="FFFFF2CC"/>
      </patternFill>
    </fill>
    <fill>
      <patternFill patternType="solid">
        <fgColor theme="9" tint="0.79998168889431442"/>
        <bgColor rgb="FFFFFF00"/>
      </patternFill>
    </fill>
    <fill>
      <patternFill patternType="solid">
        <fgColor rgb="FFFFFF00"/>
        <bgColor rgb="FFFDEAD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rgb="FFFFF2CC"/>
      </patternFill>
    </fill>
    <fill>
      <patternFill patternType="solid">
        <fgColor rgb="FF0070C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9" fillId="0" borderId="0"/>
    <xf numFmtId="0" fontId="20" fillId="0" borderId="0"/>
  </cellStyleXfs>
  <cellXfs count="156">
    <xf numFmtId="0" fontId="0" fillId="0" borderId="0" xfId="0"/>
    <xf numFmtId="0" fontId="9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164" fontId="0" fillId="0" borderId="2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0" fontId="0" fillId="0" borderId="4" xfId="0" applyBorder="1"/>
    <xf numFmtId="165" fontId="0" fillId="0" borderId="5" xfId="0" applyNumberFormat="1" applyBorder="1"/>
    <xf numFmtId="0" fontId="5" fillId="0" borderId="6" xfId="0" applyFont="1" applyBorder="1"/>
    <xf numFmtId="17" fontId="0" fillId="0" borderId="7" xfId="0" applyNumberFormat="1" applyBorder="1" applyAlignment="1">
      <alignment horizontal="center"/>
    </xf>
    <xf numFmtId="0" fontId="0" fillId="0" borderId="8" xfId="0" applyBorder="1"/>
    <xf numFmtId="164" fontId="0" fillId="0" borderId="0" xfId="0" applyNumberFormat="1"/>
    <xf numFmtId="165" fontId="0" fillId="0" borderId="0" xfId="0" applyNumberFormat="1"/>
    <xf numFmtId="165" fontId="0" fillId="0" borderId="9" xfId="0" applyNumberFormat="1" applyBorder="1"/>
    <xf numFmtId="0" fontId="0" fillId="0" borderId="10" xfId="0" applyBorder="1"/>
    <xf numFmtId="165" fontId="0" fillId="0" borderId="11" xfId="0" applyNumberFormat="1" applyBorder="1"/>
    <xf numFmtId="0" fontId="6" fillId="0" borderId="12" xfId="0" applyFont="1" applyBorder="1" applyAlignment="1">
      <alignment horizontal="left" vertical="center"/>
    </xf>
    <xf numFmtId="165" fontId="0" fillId="0" borderId="13" xfId="0" applyNumberFormat="1" applyBorder="1"/>
    <xf numFmtId="0" fontId="6" fillId="0" borderId="10" xfId="0" applyFont="1" applyBorder="1" applyAlignment="1">
      <alignment horizontal="left" vertical="center"/>
    </xf>
    <xf numFmtId="0" fontId="4" fillId="0" borderId="14" xfId="0" applyFont="1" applyBorder="1"/>
    <xf numFmtId="164" fontId="5" fillId="0" borderId="15" xfId="0" applyNumberFormat="1" applyFont="1" applyBorder="1"/>
    <xf numFmtId="165" fontId="4" fillId="0" borderId="15" xfId="0" applyNumberFormat="1" applyFont="1" applyBorder="1"/>
    <xf numFmtId="165" fontId="4" fillId="0" borderId="16" xfId="0" applyNumberFormat="1" applyFont="1" applyBorder="1"/>
    <xf numFmtId="0" fontId="0" fillId="0" borderId="17" xfId="0" applyBorder="1"/>
    <xf numFmtId="165" fontId="0" fillId="0" borderId="18" xfId="0" applyNumberFormat="1" applyBorder="1"/>
    <xf numFmtId="166" fontId="0" fillId="0" borderId="2" xfId="0" applyNumberFormat="1" applyBorder="1"/>
    <xf numFmtId="0" fontId="0" fillId="0" borderId="12" xfId="0" applyBorder="1"/>
    <xf numFmtId="166" fontId="0" fillId="0" borderId="0" xfId="0" applyNumberFormat="1"/>
    <xf numFmtId="0" fontId="6" fillId="0" borderId="10" xfId="0" applyFont="1" applyBorder="1" applyAlignment="1">
      <alignment horizontal="left" vertical="center" wrapText="1"/>
    </xf>
    <xf numFmtId="0" fontId="4" fillId="0" borderId="8" xfId="0" applyFont="1" applyBorder="1"/>
    <xf numFmtId="166" fontId="5" fillId="0" borderId="0" xfId="0" applyNumberFormat="1" applyFont="1"/>
    <xf numFmtId="165" fontId="4" fillId="0" borderId="0" xfId="0" applyNumberFormat="1" applyFont="1"/>
    <xf numFmtId="165" fontId="4" fillId="0" borderId="9" xfId="0" applyNumberFormat="1" applyFont="1" applyBorder="1"/>
    <xf numFmtId="166" fontId="5" fillId="0" borderId="15" xfId="0" applyNumberFormat="1" applyFont="1" applyBorder="1"/>
    <xf numFmtId="0" fontId="6" fillId="0" borderId="19" xfId="0" applyFont="1" applyBorder="1" applyAlignment="1">
      <alignment horizontal="left" vertical="center"/>
    </xf>
    <xf numFmtId="165" fontId="0" fillId="0" borderId="20" xfId="0" applyNumberFormat="1" applyBorder="1"/>
    <xf numFmtId="0" fontId="0" fillId="0" borderId="19" xfId="0" applyBorder="1"/>
    <xf numFmtId="0" fontId="4" fillId="0" borderId="6" xfId="0" applyFont="1" applyBorder="1"/>
    <xf numFmtId="165" fontId="4" fillId="0" borderId="7" xfId="0" applyNumberFormat="1" applyFont="1" applyBorder="1"/>
    <xf numFmtId="165" fontId="4" fillId="0" borderId="21" xfId="0" applyNumberFormat="1" applyFont="1" applyBorder="1"/>
    <xf numFmtId="167" fontId="0" fillId="0" borderId="0" xfId="0" applyNumberFormat="1"/>
    <xf numFmtId="167" fontId="0" fillId="0" borderId="9" xfId="0" applyNumberFormat="1" applyBorder="1"/>
    <xf numFmtId="168" fontId="0" fillId="0" borderId="0" xfId="0" applyNumberFormat="1"/>
    <xf numFmtId="165" fontId="0" fillId="0" borderId="21" xfId="0" applyNumberFormat="1" applyBorder="1"/>
    <xf numFmtId="167" fontId="4" fillId="0" borderId="0" xfId="0" applyNumberFormat="1" applyFont="1"/>
    <xf numFmtId="0" fontId="0" fillId="0" borderId="22" xfId="0" applyBorder="1"/>
    <xf numFmtId="165" fontId="0" fillId="0" borderId="22" xfId="0" applyNumberFormat="1" applyBorder="1"/>
    <xf numFmtId="0" fontId="5" fillId="0" borderId="4" xfId="0" applyFont="1" applyBorder="1"/>
    <xf numFmtId="165" fontId="4" fillId="0" borderId="5" xfId="0" applyNumberFormat="1" applyFont="1" applyBorder="1"/>
    <xf numFmtId="2" fontId="7" fillId="0" borderId="10" xfId="0" applyNumberFormat="1" applyFont="1" applyBorder="1"/>
    <xf numFmtId="165" fontId="4" fillId="0" borderId="11" xfId="0" applyNumberFormat="1" applyFont="1" applyBorder="1"/>
    <xf numFmtId="0" fontId="0" fillId="0" borderId="2" xfId="0" applyBorder="1"/>
    <xf numFmtId="0" fontId="3" fillId="0" borderId="10" xfId="0" applyFont="1" applyBorder="1"/>
    <xf numFmtId="0" fontId="4" fillId="0" borderId="15" xfId="0" applyFont="1" applyBorder="1"/>
    <xf numFmtId="2" fontId="7" fillId="0" borderId="19" xfId="0" applyNumberFormat="1" applyFont="1" applyBorder="1"/>
    <xf numFmtId="165" fontId="4" fillId="0" borderId="20" xfId="0" applyNumberFormat="1" applyFont="1" applyBorder="1"/>
    <xf numFmtId="0" fontId="0" fillId="0" borderId="23" xfId="0" applyBorder="1"/>
    <xf numFmtId="0" fontId="0" fillId="0" borderId="24" xfId="0" applyBorder="1"/>
    <xf numFmtId="165" fontId="0" fillId="0" borderId="25" xfId="0" applyNumberFormat="1" applyBorder="1"/>
    <xf numFmtId="0" fontId="0" fillId="0" borderId="26" xfId="0" applyBorder="1"/>
    <xf numFmtId="0" fontId="0" fillId="0" borderId="27" xfId="0" applyBorder="1"/>
    <xf numFmtId="165" fontId="0" fillId="0" borderId="28" xfId="0" applyNumberFormat="1" applyBorder="1"/>
    <xf numFmtId="165" fontId="4" fillId="0" borderId="25" xfId="0" applyNumberFormat="1" applyFont="1" applyBorder="1"/>
    <xf numFmtId="165" fontId="4" fillId="0" borderId="28" xfId="0" applyNumberFormat="1" applyFont="1" applyBorder="1"/>
    <xf numFmtId="169" fontId="5" fillId="0" borderId="0" xfId="0" applyNumberFormat="1" applyFont="1"/>
    <xf numFmtId="0" fontId="4" fillId="0" borderId="0" xfId="0" applyFont="1"/>
    <xf numFmtId="169" fontId="0" fillId="0" borderId="0" xfId="0" applyNumberFormat="1"/>
    <xf numFmtId="0" fontId="5" fillId="0" borderId="29" xfId="0" applyFont="1" applyBorder="1"/>
    <xf numFmtId="4" fontId="8" fillId="3" borderId="29" xfId="0" applyNumberFormat="1" applyFont="1" applyFill="1" applyBorder="1"/>
    <xf numFmtId="170" fontId="8" fillId="4" borderId="29" xfId="0" applyNumberFormat="1" applyFont="1" applyFill="1" applyBorder="1"/>
    <xf numFmtId="169" fontId="8" fillId="4" borderId="29" xfId="0" applyNumberFormat="1" applyFont="1" applyFill="1" applyBorder="1"/>
    <xf numFmtId="3" fontId="8" fillId="3" borderId="29" xfId="0" applyNumberFormat="1" applyFont="1" applyFill="1" applyBorder="1"/>
    <xf numFmtId="3" fontId="3" fillId="0" borderId="29" xfId="0" applyNumberFormat="1" applyFont="1" applyBorder="1"/>
    <xf numFmtId="0" fontId="3" fillId="0" borderId="29" xfId="0" applyFont="1" applyBorder="1"/>
    <xf numFmtId="4" fontId="3" fillId="0" borderId="29" xfId="0" applyNumberFormat="1" applyFont="1" applyBorder="1"/>
    <xf numFmtId="0" fontId="0" fillId="0" borderId="29" xfId="0" applyBorder="1"/>
    <xf numFmtId="0" fontId="5" fillId="5" borderId="29" xfId="0" applyFont="1" applyFill="1" applyBorder="1"/>
    <xf numFmtId="4" fontId="5" fillId="5" borderId="29" xfId="0" applyNumberFormat="1" applyFont="1" applyFill="1" applyBorder="1"/>
    <xf numFmtId="0" fontId="0" fillId="5" borderId="29" xfId="0" applyFill="1" applyBorder="1"/>
    <xf numFmtId="170" fontId="0" fillId="0" borderId="0" xfId="0" applyNumberFormat="1"/>
    <xf numFmtId="171" fontId="0" fillId="0" borderId="0" xfId="0" applyNumberFormat="1"/>
    <xf numFmtId="0" fontId="10" fillId="6" borderId="29" xfId="0" applyFont="1" applyFill="1" applyBorder="1" applyAlignment="1">
      <alignment horizontal="center" vertical="center" wrapText="1"/>
    </xf>
    <xf numFmtId="170" fontId="11" fillId="6" borderId="29" xfId="0" applyNumberFormat="1" applyFont="1" applyFill="1" applyBorder="1" applyAlignment="1">
      <alignment horizontal="center" vertical="center" wrapText="1"/>
    </xf>
    <xf numFmtId="171" fontId="10" fillId="6" borderId="29" xfId="0" applyNumberFormat="1" applyFont="1" applyFill="1" applyBorder="1" applyAlignment="1">
      <alignment horizontal="center" vertical="center" wrapText="1"/>
    </xf>
    <xf numFmtId="170" fontId="12" fillId="7" borderId="29" xfId="0" applyNumberFormat="1" applyFont="1" applyFill="1" applyBorder="1"/>
    <xf numFmtId="4" fontId="12" fillId="7" borderId="29" xfId="0" applyNumberFormat="1" applyFont="1" applyFill="1" applyBorder="1"/>
    <xf numFmtId="4" fontId="3" fillId="8" borderId="29" xfId="0" applyNumberFormat="1" applyFont="1" applyFill="1" applyBorder="1"/>
    <xf numFmtId="171" fontId="12" fillId="7" borderId="29" xfId="0" applyNumberFormat="1" applyFont="1" applyFill="1" applyBorder="1"/>
    <xf numFmtId="0" fontId="13" fillId="9" borderId="29" xfId="0" applyFont="1" applyFill="1" applyBorder="1"/>
    <xf numFmtId="0" fontId="8" fillId="9" borderId="29" xfId="0" applyFont="1" applyFill="1" applyBorder="1"/>
    <xf numFmtId="4" fontId="12" fillId="10" borderId="29" xfId="0" applyNumberFormat="1" applyFont="1" applyFill="1" applyBorder="1"/>
    <xf numFmtId="171" fontId="12" fillId="10" borderId="29" xfId="0" applyNumberFormat="1" applyFont="1" applyFill="1" applyBorder="1"/>
    <xf numFmtId="172" fontId="3" fillId="0" borderId="29" xfId="0" applyNumberFormat="1" applyFont="1" applyBorder="1"/>
    <xf numFmtId="173" fontId="3" fillId="0" borderId="29" xfId="0" applyNumberFormat="1" applyFont="1" applyBorder="1"/>
    <xf numFmtId="172" fontId="5" fillId="5" borderId="29" xfId="0" applyNumberFormat="1" applyFont="1" applyFill="1" applyBorder="1"/>
    <xf numFmtId="2" fontId="4" fillId="5" borderId="29" xfId="0" applyNumberFormat="1" applyFont="1" applyFill="1" applyBorder="1"/>
    <xf numFmtId="0" fontId="10" fillId="6" borderId="29" xfId="0" applyFont="1" applyFill="1" applyBorder="1" applyAlignment="1">
      <alignment horizontal="center"/>
    </xf>
    <xf numFmtId="0" fontId="9" fillId="0" borderId="29" xfId="0" applyFont="1" applyBorder="1"/>
    <xf numFmtId="3" fontId="9" fillId="0" borderId="29" xfId="0" applyNumberFormat="1" applyFont="1" applyBorder="1"/>
    <xf numFmtId="3" fontId="5" fillId="5" borderId="29" xfId="0" applyNumberFormat="1" applyFont="1" applyFill="1" applyBorder="1"/>
    <xf numFmtId="0" fontId="0" fillId="11" borderId="29" xfId="0" applyFill="1" applyBorder="1"/>
    <xf numFmtId="0" fontId="2" fillId="11" borderId="29" xfId="0" applyFont="1" applyFill="1" applyBorder="1"/>
    <xf numFmtId="172" fontId="15" fillId="11" borderId="29" xfId="0" applyNumberFormat="1" applyFont="1" applyFill="1" applyBorder="1"/>
    <xf numFmtId="3" fontId="8" fillId="0" borderId="29" xfId="0" applyNumberFormat="1" applyFont="1" applyBorder="1"/>
    <xf numFmtId="172" fontId="5" fillId="0" borderId="29" xfId="0" applyNumberFormat="1" applyFont="1" applyBorder="1"/>
    <xf numFmtId="0" fontId="5" fillId="0" borderId="0" xfId="0" applyFont="1"/>
    <xf numFmtId="0" fontId="16" fillId="0" borderId="0" xfId="0" applyFont="1"/>
    <xf numFmtId="0" fontId="8" fillId="3" borderId="29" xfId="0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8" fillId="3" borderId="29" xfId="0" applyFont="1" applyFill="1" applyBorder="1"/>
    <xf numFmtId="173" fontId="17" fillId="5" borderId="29" xfId="0" applyNumberFormat="1" applyFont="1" applyFill="1" applyBorder="1"/>
    <xf numFmtId="10" fontId="3" fillId="0" borderId="29" xfId="0" applyNumberFormat="1" applyFont="1" applyBorder="1"/>
    <xf numFmtId="173" fontId="15" fillId="5" borderId="29" xfId="0" applyNumberFormat="1" applyFont="1" applyFill="1" applyBorder="1"/>
    <xf numFmtId="0" fontId="2" fillId="0" borderId="29" xfId="0" applyFont="1" applyBorder="1"/>
    <xf numFmtId="0" fontId="2" fillId="5" borderId="29" xfId="0" applyFont="1" applyFill="1" applyBorder="1"/>
    <xf numFmtId="172" fontId="15" fillId="5" borderId="29" xfId="0" applyNumberFormat="1" applyFont="1" applyFill="1" applyBorder="1"/>
    <xf numFmtId="172" fontId="17" fillId="0" borderId="29" xfId="0" applyNumberFormat="1" applyFont="1" applyBorder="1"/>
    <xf numFmtId="2" fontId="0" fillId="0" borderId="0" xfId="0" applyNumberFormat="1"/>
    <xf numFmtId="2" fontId="10" fillId="6" borderId="29" xfId="0" applyNumberFormat="1" applyFont="1" applyFill="1" applyBorder="1" applyAlignment="1">
      <alignment horizontal="center" vertical="center" wrapText="1"/>
    </xf>
    <xf numFmtId="4" fontId="8" fillId="13" borderId="29" xfId="0" applyNumberFormat="1" applyFont="1" applyFill="1" applyBorder="1"/>
    <xf numFmtId="10" fontId="8" fillId="12" borderId="29" xfId="0" applyNumberFormat="1" applyFont="1" applyFill="1" applyBorder="1"/>
    <xf numFmtId="44" fontId="10" fillId="6" borderId="29" xfId="0" applyNumberFormat="1" applyFont="1" applyFill="1" applyBorder="1" applyAlignment="1">
      <alignment horizontal="center" vertical="center" wrapText="1"/>
    </xf>
    <xf numFmtId="44" fontId="12" fillId="7" borderId="29" xfId="0" applyNumberFormat="1" applyFont="1" applyFill="1" applyBorder="1"/>
    <xf numFmtId="44" fontId="12" fillId="10" borderId="29" xfId="0" applyNumberFormat="1" applyFont="1" applyFill="1" applyBorder="1"/>
    <xf numFmtId="44" fontId="0" fillId="0" borderId="0" xfId="0" applyNumberFormat="1"/>
    <xf numFmtId="2" fontId="12" fillId="7" borderId="29" xfId="0" applyNumberFormat="1" applyFont="1" applyFill="1" applyBorder="1"/>
    <xf numFmtId="2" fontId="12" fillId="10" borderId="29" xfId="0" applyNumberFormat="1" applyFont="1" applyFill="1" applyBorder="1"/>
    <xf numFmtId="172" fontId="8" fillId="13" borderId="29" xfId="0" applyNumberFormat="1" applyFont="1" applyFill="1" applyBorder="1"/>
    <xf numFmtId="172" fontId="14" fillId="14" borderId="29" xfId="0" applyNumberFormat="1" applyFont="1" applyFill="1" applyBorder="1"/>
    <xf numFmtId="0" fontId="18" fillId="0" borderId="0" xfId="0" applyFont="1" applyAlignment="1">
      <alignment horizontal="center"/>
    </xf>
    <xf numFmtId="2" fontId="18" fillId="15" borderId="30" xfId="0" applyNumberFormat="1" applyFont="1" applyFill="1" applyBorder="1" applyAlignment="1">
      <alignment horizontal="center"/>
    </xf>
    <xf numFmtId="0" fontId="18" fillId="16" borderId="0" xfId="0" applyFont="1" applyFill="1" applyAlignment="1">
      <alignment horizontal="right"/>
    </xf>
    <xf numFmtId="2" fontId="18" fillId="17" borderId="31" xfId="0" applyNumberFormat="1" applyFont="1" applyFill="1" applyBorder="1"/>
    <xf numFmtId="0" fontId="0" fillId="0" borderId="0" xfId="0" applyAlignment="1">
      <alignment horizontal="center"/>
    </xf>
    <xf numFmtId="17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4" fontId="8" fillId="18" borderId="29" xfId="0" applyNumberFormat="1" applyFont="1" applyFill="1" applyBorder="1"/>
    <xf numFmtId="0" fontId="20" fillId="0" borderId="0" xfId="2"/>
    <xf numFmtId="170" fontId="20" fillId="0" borderId="0" xfId="2" applyNumberFormat="1"/>
    <xf numFmtId="0" fontId="22" fillId="0" borderId="0" xfId="2" applyFont="1"/>
    <xf numFmtId="170" fontId="22" fillId="0" borderId="0" xfId="2" applyNumberFormat="1" applyFont="1"/>
    <xf numFmtId="0" fontId="23" fillId="0" borderId="0" xfId="2" applyFont="1"/>
    <xf numFmtId="174" fontId="21" fillId="19" borderId="0" xfId="0" applyNumberFormat="1" applyFont="1" applyFill="1" applyAlignment="1">
      <alignment horizontal="center" vertical="center"/>
    </xf>
    <xf numFmtId="174" fontId="0" fillId="0" borderId="29" xfId="0" applyNumberFormat="1" applyBorder="1"/>
    <xf numFmtId="174" fontId="0" fillId="5" borderId="29" xfId="0" applyNumberFormat="1" applyFill="1" applyBorder="1"/>
    <xf numFmtId="174" fontId="0" fillId="0" borderId="0" xfId="0" applyNumberFormat="1"/>
    <xf numFmtId="175" fontId="8" fillId="3" borderId="29" xfId="0" applyNumberFormat="1" applyFont="1" applyFill="1" applyBorder="1"/>
    <xf numFmtId="175" fontId="5" fillId="5" borderId="29" xfId="0" applyNumberFormat="1" applyFont="1" applyFill="1" applyBorder="1"/>
    <xf numFmtId="176" fontId="3" fillId="0" borderId="29" xfId="0" applyNumberFormat="1" applyFont="1" applyBorder="1"/>
    <xf numFmtId="0" fontId="1" fillId="2" borderId="0" xfId="0" applyFont="1" applyFill="1" applyAlignment="1">
      <alignment horizontal="center" vertical="center"/>
    </xf>
    <xf numFmtId="0" fontId="9" fillId="0" borderId="0" xfId="0" applyFont="1"/>
    <xf numFmtId="17" fontId="4" fillId="0" borderId="0" xfId="0" applyNumberFormat="1" applyFont="1" applyAlignment="1">
      <alignment horizontal="center"/>
    </xf>
    <xf numFmtId="0" fontId="4" fillId="0" borderId="21" xfId="0" applyFont="1" applyBorder="1" applyAlignment="1">
      <alignment horizontal="center"/>
    </xf>
    <xf numFmtId="0" fontId="15" fillId="0" borderId="29" xfId="0" applyFont="1" applyBorder="1"/>
  </cellXfs>
  <cellStyles count="3">
    <cellStyle name="Normal" xfId="0" builtinId="0"/>
    <cellStyle name="Normal 2" xfId="1" xr:uid="{52973796-7969-4EFA-A18A-09075AA7804B}"/>
    <cellStyle name="Normal 3" xfId="2" xr:uid="{90DD38AA-DFEE-4096-AD7B-C0DDA421512F}"/>
  </cellStyles>
  <dxfs count="19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D9E1F2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numFmt numFmtId="170" formatCode="0.0000"/>
    </dxf>
    <dxf>
      <font>
        <strike val="0"/>
        <outline val="0"/>
        <shadow val="0"/>
        <u val="none"/>
        <vertAlign val="baseline"/>
        <sz val="11"/>
        <color theme="2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7E6E6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AFD"/>
      <rgbColor rgb="FFC6EFCE"/>
      <rgbColor rgb="FFFFEB9C"/>
      <rgbColor rgb="FFFDEADA"/>
      <rgbColor rgb="FFFFFDF5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A62B48-8BA7-4D90-A192-51A8540D3FCD}" name="Table2" displayName="Table2" ref="I2:J538" totalsRowShown="0" headerRowDxfId="18">
  <autoFilter ref="I2:J538" xr:uid="{A5A62B48-8BA7-4D90-A192-51A8540D3FCD}"/>
  <tableColumns count="2">
    <tableColumn id="1" xr3:uid="{1634FD01-AEAC-4B94-B971-C1F6DFC55385}" name="CODE"/>
    <tableColumn id="2" xr3:uid="{86188C16-C253-4166-9A47-F39CDDBA95B1}" name="I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B537DF-EC68-48A2-BE30-FCDA7170C49A}" name="Table3" displayName="Table3" ref="A1:G544" totalsRowShown="0" headerRowDxfId="17">
  <autoFilter ref="A1:G544" xr:uid="{25304D9D-E0FC-44B1-8D12-40FFED568FFB}"/>
  <tableColumns count="7">
    <tableColumn id="1" xr3:uid="{F23401CA-2CD7-4239-8D72-7248C5254BF4}" name="Item Code"/>
    <tableColumn id="2" xr3:uid="{53192E3E-CDAA-4736-A718-88F4A8705407}" name="Product"/>
    <tableColumn id="3" xr3:uid="{7F6C3DAF-83A4-47FF-9F99-71F469023E65}" name="Colour"/>
    <tableColumn id="4" xr3:uid="{47CDEDE5-7DDE-4144-93AA-AA9FEDD234BE}" name="Fixed (Fab Rate/Mtr)"/>
    <tableColumn id="5" xr3:uid="{28B860DF-3658-465D-B368-6787EC5CECDC}" name="Fixed (Wt/Mt)"/>
    <tableColumn id="6" xr3:uid="{DA799ABD-7632-4F53-B3E8-DFA62EC77B7C}" name="Fab Rate/Mt (₹/Mtr)"/>
    <tableColumn id="7" xr3:uid="{D6C18984-1414-418E-AD34-0FF8702D5C71}" name="Wt/Mt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zoomScaleNormal="100" workbookViewId="0">
      <selection activeCell="I7" sqref="I7"/>
    </sheetView>
  </sheetViews>
  <sheetFormatPr defaultColWidth="8.7109375" defaultRowHeight="15" x14ac:dyDescent="0.25"/>
  <cols>
    <col min="1" max="1" width="105" customWidth="1"/>
  </cols>
  <sheetData>
    <row r="1" spans="1:2" ht="25.5" customHeight="1" x14ac:dyDescent="0.25">
      <c r="A1" s="151" t="s">
        <v>0</v>
      </c>
      <c r="B1" s="151"/>
    </row>
    <row r="3" spans="1:2" ht="15" customHeight="1" x14ac:dyDescent="0.25">
      <c r="A3" s="2" t="s">
        <v>1</v>
      </c>
    </row>
    <row r="4" spans="1:2" ht="15" customHeight="1" x14ac:dyDescent="0.25">
      <c r="A4" s="3" t="s">
        <v>2</v>
      </c>
    </row>
    <row r="5" spans="1:2" ht="15" customHeight="1" x14ac:dyDescent="0.25">
      <c r="A5" s="3" t="s">
        <v>3</v>
      </c>
    </row>
    <row r="6" spans="1:2" ht="15" customHeight="1" x14ac:dyDescent="0.25">
      <c r="A6" s="3" t="s">
        <v>4</v>
      </c>
    </row>
    <row r="7" spans="1:2" ht="15" customHeight="1" x14ac:dyDescent="0.25">
      <c r="A7" s="3"/>
    </row>
    <row r="8" spans="1:2" ht="15" customHeight="1" x14ac:dyDescent="0.25">
      <c r="A8" s="3" t="s">
        <v>5</v>
      </c>
    </row>
    <row r="9" spans="1:2" ht="15" customHeight="1" x14ac:dyDescent="0.25">
      <c r="A9" s="3" t="s">
        <v>6</v>
      </c>
    </row>
    <row r="10" spans="1:2" ht="15" customHeight="1" x14ac:dyDescent="0.25">
      <c r="A10" s="3" t="s">
        <v>7</v>
      </c>
    </row>
    <row r="11" spans="1:2" ht="15" customHeight="1" x14ac:dyDescent="0.25">
      <c r="A11" s="3"/>
    </row>
    <row r="12" spans="1:2" ht="15" customHeight="1" x14ac:dyDescent="0.25">
      <c r="A12" s="3" t="s">
        <v>8</v>
      </c>
    </row>
    <row r="13" spans="1:2" ht="15" customHeight="1" x14ac:dyDescent="0.25">
      <c r="A13" s="3" t="s">
        <v>9</v>
      </c>
    </row>
    <row r="14" spans="1:2" ht="15" customHeight="1" x14ac:dyDescent="0.25">
      <c r="A14" s="3"/>
    </row>
    <row r="15" spans="1:2" ht="15" customHeight="1" x14ac:dyDescent="0.25">
      <c r="A15" s="3" t="s">
        <v>10</v>
      </c>
    </row>
    <row r="16" spans="1:2" ht="15" customHeight="1" x14ac:dyDescent="0.25">
      <c r="A16" s="3" t="s">
        <v>11</v>
      </c>
    </row>
    <row r="17" spans="1:1" ht="15" customHeight="1" x14ac:dyDescent="0.25">
      <c r="A17" s="3"/>
    </row>
    <row r="18" spans="1:1" ht="15" customHeight="1" x14ac:dyDescent="0.25">
      <c r="A18" s="3" t="s">
        <v>12</v>
      </c>
    </row>
    <row r="20" spans="1:1" ht="15" customHeight="1" x14ac:dyDescent="0.25">
      <c r="A20" s="2" t="s">
        <v>13</v>
      </c>
    </row>
    <row r="21" spans="1:1" ht="15" customHeight="1" x14ac:dyDescent="0.25">
      <c r="A21" s="3" t="s">
        <v>14</v>
      </c>
    </row>
    <row r="22" spans="1:1" ht="15" customHeight="1" x14ac:dyDescent="0.25">
      <c r="A22" s="3" t="s">
        <v>15</v>
      </c>
    </row>
    <row r="23" spans="1:1" ht="15" customHeight="1" x14ac:dyDescent="0.25">
      <c r="A23" s="3" t="s">
        <v>16</v>
      </c>
    </row>
    <row r="24" spans="1:1" ht="15" customHeight="1" x14ac:dyDescent="0.25">
      <c r="A24" s="3" t="s">
        <v>17</v>
      </c>
    </row>
    <row r="25" spans="1:1" ht="15" customHeight="1" x14ac:dyDescent="0.25">
      <c r="A25" s="3" t="s">
        <v>18</v>
      </c>
    </row>
    <row r="26" spans="1:1" ht="15" customHeight="1" x14ac:dyDescent="0.25">
      <c r="A26" s="3" t="s">
        <v>19</v>
      </c>
    </row>
    <row r="28" spans="1:1" ht="15" customHeight="1" x14ac:dyDescent="0.25">
      <c r="A28" s="2" t="s">
        <v>20</v>
      </c>
    </row>
    <row r="29" spans="1:1" ht="15" customHeight="1" x14ac:dyDescent="0.25">
      <c r="A29" s="3" t="s">
        <v>21</v>
      </c>
    </row>
    <row r="30" spans="1:1" ht="15" customHeight="1" x14ac:dyDescent="0.25">
      <c r="A30" s="3" t="s">
        <v>22</v>
      </c>
    </row>
    <row r="31" spans="1:1" ht="15" customHeight="1" x14ac:dyDescent="0.25">
      <c r="A31" s="3" t="s">
        <v>23</v>
      </c>
    </row>
    <row r="32" spans="1:1" ht="15" customHeight="1" x14ac:dyDescent="0.25">
      <c r="A32" s="3" t="s">
        <v>24</v>
      </c>
    </row>
    <row r="33" spans="1:1" ht="15" customHeight="1" x14ac:dyDescent="0.25">
      <c r="A33" s="3" t="s">
        <v>25</v>
      </c>
    </row>
    <row r="34" spans="1:1" ht="15" customHeight="1" x14ac:dyDescent="0.25">
      <c r="A34" s="3" t="s">
        <v>26</v>
      </c>
    </row>
    <row r="35" spans="1:1" ht="15" customHeight="1" x14ac:dyDescent="0.25">
      <c r="A35" s="3"/>
    </row>
    <row r="36" spans="1:1" ht="15" customHeight="1" x14ac:dyDescent="0.25">
      <c r="A36" s="3" t="s">
        <v>27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O62"/>
  <sheetViews>
    <sheetView zoomScale="80" zoomScaleNormal="80" workbookViewId="0">
      <selection activeCell="E19" sqref="E19"/>
    </sheetView>
  </sheetViews>
  <sheetFormatPr defaultColWidth="8.7109375" defaultRowHeight="15" x14ac:dyDescent="0.25"/>
  <cols>
    <col min="3" max="3" width="31.140625" customWidth="1"/>
    <col min="4" max="4" width="12.85546875" customWidth="1"/>
    <col min="5" max="5" width="17.7109375" customWidth="1"/>
    <col min="6" max="6" width="12" customWidth="1"/>
    <col min="8" max="8" width="16.85546875" customWidth="1"/>
    <col min="9" max="9" width="21" customWidth="1"/>
    <col min="10" max="10" width="18" customWidth="1"/>
    <col min="11" max="11" width="16.28515625" customWidth="1"/>
    <col min="13" max="13" width="31.140625" bestFit="1" customWidth="1"/>
    <col min="14" max="14" width="17" customWidth="1"/>
    <col min="15" max="15" width="9.85546875" customWidth="1"/>
  </cols>
  <sheetData>
    <row r="1" spans="3:15" ht="15.75" customHeight="1" x14ac:dyDescent="0.25">
      <c r="I1" s="153">
        <v>46113</v>
      </c>
      <c r="J1" s="153"/>
    </row>
    <row r="2" spans="3:15" ht="15.75" customHeight="1" x14ac:dyDescent="0.25">
      <c r="C2" s="4" t="s">
        <v>28</v>
      </c>
      <c r="D2" s="5">
        <v>67411</v>
      </c>
      <c r="E2" s="6">
        <v>19687267</v>
      </c>
      <c r="F2" s="7">
        <v>292.04828588805981</v>
      </c>
      <c r="I2" s="8" t="s">
        <v>29</v>
      </c>
      <c r="J2" s="9">
        <v>82860386</v>
      </c>
      <c r="M2" s="10" t="s">
        <v>30</v>
      </c>
      <c r="N2" s="11">
        <v>46113</v>
      </c>
    </row>
    <row r="3" spans="3:15" ht="16.5" customHeight="1" x14ac:dyDescent="0.25">
      <c r="C3" s="12" t="s">
        <v>31</v>
      </c>
      <c r="D3" s="13">
        <v>6050</v>
      </c>
      <c r="E3" s="14">
        <v>1083000</v>
      </c>
      <c r="F3" s="15">
        <v>179.0082644628099</v>
      </c>
      <c r="I3" s="16" t="s">
        <v>32</v>
      </c>
      <c r="J3" s="17">
        <v>226044</v>
      </c>
      <c r="M3" s="18" t="s">
        <v>33</v>
      </c>
      <c r="N3" s="19">
        <v>260305</v>
      </c>
      <c r="O3" s="14">
        <f t="shared" ref="O3:O20" si="0">N3/$D$2</f>
        <v>3.8614617792348431</v>
      </c>
    </row>
    <row r="4" spans="3:15" ht="16.5" customHeight="1" x14ac:dyDescent="0.25">
      <c r="C4" s="12" t="s">
        <v>34</v>
      </c>
      <c r="D4" s="13">
        <v>22533</v>
      </c>
      <c r="E4" s="14">
        <v>6580724</v>
      </c>
      <c r="F4" s="15">
        <v>292.04828473793992</v>
      </c>
      <c r="I4" s="16" t="s">
        <v>35</v>
      </c>
      <c r="J4" s="17">
        <v>2224579</v>
      </c>
      <c r="M4" s="20" t="s">
        <v>36</v>
      </c>
      <c r="N4" s="17">
        <v>641461</v>
      </c>
      <c r="O4" s="14">
        <f t="shared" si="0"/>
        <v>9.515672516354897</v>
      </c>
    </row>
    <row r="5" spans="3:15" ht="16.5" customHeight="1" x14ac:dyDescent="0.25">
      <c r="C5" s="12" t="s">
        <v>37</v>
      </c>
      <c r="D5" s="13">
        <v>0</v>
      </c>
      <c r="E5" s="14">
        <v>0</v>
      </c>
      <c r="F5" s="15">
        <v>0</v>
      </c>
      <c r="I5" s="16" t="s">
        <v>38</v>
      </c>
      <c r="J5" s="17">
        <v>668801</v>
      </c>
      <c r="M5" s="20" t="s">
        <v>39</v>
      </c>
      <c r="N5" s="17">
        <v>6451860</v>
      </c>
      <c r="O5" s="14">
        <f t="shared" si="0"/>
        <v>95.709305602943147</v>
      </c>
    </row>
    <row r="6" spans="3:15" ht="17.25" customHeight="1" x14ac:dyDescent="0.25">
      <c r="C6" s="12" t="s">
        <v>40</v>
      </c>
      <c r="D6" s="13">
        <v>9589</v>
      </c>
      <c r="E6" s="14">
        <v>2502572</v>
      </c>
      <c r="F6" s="15">
        <v>260.98362707268745</v>
      </c>
      <c r="I6" s="16" t="s">
        <v>41</v>
      </c>
      <c r="J6" s="17">
        <v>6270684</v>
      </c>
      <c r="M6" s="20" t="s">
        <v>42</v>
      </c>
      <c r="N6" s="17">
        <v>422294</v>
      </c>
      <c r="O6" s="14">
        <f t="shared" si="0"/>
        <v>6.264467223450179</v>
      </c>
    </row>
    <row r="7" spans="3:15" ht="17.25" customHeight="1" x14ac:dyDescent="0.25">
      <c r="C7" s="21" t="s">
        <v>43</v>
      </c>
      <c r="D7" s="22">
        <v>105583</v>
      </c>
      <c r="E7" s="23">
        <v>29853563</v>
      </c>
      <c r="F7" s="24">
        <v>282.7497134955438</v>
      </c>
      <c r="I7" s="16"/>
      <c r="J7" s="17">
        <f>SUM(J2:J6)</f>
        <v>92250494</v>
      </c>
      <c r="K7" s="14"/>
      <c r="M7" s="20" t="s">
        <v>44</v>
      </c>
      <c r="N7" s="17">
        <v>425385</v>
      </c>
      <c r="O7" s="14">
        <f t="shared" si="0"/>
        <v>6.3103202741392357</v>
      </c>
    </row>
    <row r="8" spans="3:15" ht="17.25" customHeight="1" x14ac:dyDescent="0.25">
      <c r="I8" s="25" t="s">
        <v>45</v>
      </c>
      <c r="J8" s="26">
        <v>79351875</v>
      </c>
      <c r="M8" s="20" t="s">
        <v>46</v>
      </c>
      <c r="N8" s="17">
        <v>55683</v>
      </c>
      <c r="O8" s="14">
        <f t="shared" si="0"/>
        <v>0.82602245924255691</v>
      </c>
    </row>
    <row r="9" spans="3:15" ht="16.5" customHeight="1" x14ac:dyDescent="0.25">
      <c r="C9" s="4" t="s">
        <v>47</v>
      </c>
      <c r="D9" s="27">
        <v>143489</v>
      </c>
      <c r="E9" s="6">
        <v>17774647</v>
      </c>
      <c r="F9" s="7">
        <v>123.87463150485404</v>
      </c>
      <c r="I9" s="28"/>
      <c r="J9" s="19">
        <f>J7-J8</f>
        <v>12898619</v>
      </c>
      <c r="K9" s="14"/>
      <c r="M9" s="20" t="s">
        <v>48</v>
      </c>
      <c r="N9" s="17">
        <v>492773</v>
      </c>
      <c r="O9" s="14">
        <f t="shared" si="0"/>
        <v>7.3099790835323608</v>
      </c>
    </row>
    <row r="10" spans="3:15" ht="17.25" customHeight="1" x14ac:dyDescent="0.25">
      <c r="C10" s="12" t="s">
        <v>49</v>
      </c>
      <c r="D10" s="29">
        <v>827</v>
      </c>
      <c r="E10" s="14">
        <v>226044</v>
      </c>
      <c r="F10" s="15">
        <v>273.33010882708584</v>
      </c>
      <c r="I10" s="25" t="s">
        <v>50</v>
      </c>
      <c r="J10" s="26">
        <v>29853563</v>
      </c>
      <c r="M10" s="30" t="s">
        <v>51</v>
      </c>
      <c r="N10" s="17">
        <v>47508</v>
      </c>
      <c r="O10" s="14">
        <f t="shared" si="0"/>
        <v>0.70475145006007922</v>
      </c>
    </row>
    <row r="11" spans="3:15" ht="16.5" customHeight="1" x14ac:dyDescent="0.25">
      <c r="C11" s="12" t="s">
        <v>52</v>
      </c>
      <c r="D11" s="29">
        <v>78108</v>
      </c>
      <c r="E11" s="14">
        <v>10892019</v>
      </c>
      <c r="F11" s="15">
        <v>139.4481871255185</v>
      </c>
      <c r="I11" s="28"/>
      <c r="J11" s="19">
        <f>J10-J9</f>
        <v>16954944</v>
      </c>
      <c r="M11" s="30" t="s">
        <v>53</v>
      </c>
      <c r="N11" s="17">
        <v>9746</v>
      </c>
      <c r="O11" s="14">
        <f t="shared" si="0"/>
        <v>0.14457581106941003</v>
      </c>
    </row>
    <row r="12" spans="3:15" ht="16.5" customHeight="1" x14ac:dyDescent="0.25">
      <c r="C12" s="31" t="s">
        <v>54</v>
      </c>
      <c r="D12" s="32">
        <v>66208</v>
      </c>
      <c r="E12" s="33">
        <v>7108672</v>
      </c>
      <c r="F12" s="34">
        <v>107.36877718704689</v>
      </c>
      <c r="I12" s="16"/>
      <c r="J12" s="17"/>
      <c r="M12" s="20" t="s">
        <v>55</v>
      </c>
      <c r="N12" s="17">
        <v>530150</v>
      </c>
      <c r="O12" s="14">
        <f t="shared" si="0"/>
        <v>7.8644434884514398</v>
      </c>
    </row>
    <row r="13" spans="3:15" ht="17.25" customHeight="1" x14ac:dyDescent="0.25">
      <c r="C13" s="12" t="s">
        <v>56</v>
      </c>
      <c r="D13" s="29">
        <v>0</v>
      </c>
      <c r="E13" s="14">
        <v>0</v>
      </c>
      <c r="F13" s="15">
        <v>0</v>
      </c>
      <c r="I13" s="16" t="s">
        <v>57</v>
      </c>
      <c r="J13" s="17">
        <v>21740</v>
      </c>
      <c r="M13" s="20" t="s">
        <v>58</v>
      </c>
      <c r="N13" s="17"/>
      <c r="O13" s="14">
        <f t="shared" si="0"/>
        <v>0</v>
      </c>
    </row>
    <row r="14" spans="3:15" ht="17.25" customHeight="1" x14ac:dyDescent="0.25">
      <c r="C14" s="21" t="s">
        <v>59</v>
      </c>
      <c r="D14" s="35">
        <v>66208</v>
      </c>
      <c r="E14" s="23">
        <v>7108672</v>
      </c>
      <c r="F14" s="24">
        <v>107.36877718704689</v>
      </c>
      <c r="I14" s="16" t="s">
        <v>60</v>
      </c>
      <c r="J14" s="17"/>
      <c r="M14" s="36" t="s">
        <v>61</v>
      </c>
      <c r="N14" s="37">
        <v>33730</v>
      </c>
      <c r="O14" s="14">
        <f t="shared" si="0"/>
        <v>0.50036344216819217</v>
      </c>
    </row>
    <row r="15" spans="3:15" ht="15.75" customHeight="1" x14ac:dyDescent="0.25">
      <c r="C15" s="12" t="s">
        <v>62</v>
      </c>
      <c r="D15" s="29">
        <v>3668</v>
      </c>
      <c r="E15" s="14">
        <v>668801</v>
      </c>
      <c r="F15" s="15">
        <v>182.33396946564886</v>
      </c>
      <c r="I15" s="38" t="s">
        <v>63</v>
      </c>
      <c r="J15" s="37">
        <v>65</v>
      </c>
      <c r="M15" s="39" t="s">
        <v>64</v>
      </c>
      <c r="N15" s="40">
        <f>SUM(N3:N14)</f>
        <v>9370895</v>
      </c>
      <c r="O15" s="41">
        <f t="shared" si="0"/>
        <v>139.01136313064634</v>
      </c>
    </row>
    <row r="16" spans="3:15" ht="17.25" customHeight="1" x14ac:dyDescent="0.25">
      <c r="C16" s="12" t="s">
        <v>65</v>
      </c>
      <c r="D16" s="29">
        <v>22533</v>
      </c>
      <c r="E16" s="14">
        <v>6270684</v>
      </c>
      <c r="F16" s="15">
        <v>278.28890959925445</v>
      </c>
      <c r="I16" s="39"/>
      <c r="J16" s="40">
        <f>SUM(J11:J15)</f>
        <v>16976749</v>
      </c>
      <c r="K16" s="14"/>
      <c r="M16" s="18" t="s">
        <v>66</v>
      </c>
      <c r="N16" s="19"/>
      <c r="O16" s="14">
        <f t="shared" si="0"/>
        <v>0</v>
      </c>
    </row>
    <row r="17" spans="3:15" ht="16.5" customHeight="1" x14ac:dyDescent="0.25">
      <c r="C17" s="12" t="s">
        <v>67</v>
      </c>
      <c r="D17" s="29">
        <v>9489</v>
      </c>
      <c r="E17" s="14">
        <v>2224579</v>
      </c>
      <c r="F17" s="15">
        <v>234.4376646643482</v>
      </c>
      <c r="I17" s="28" t="s">
        <v>68</v>
      </c>
      <c r="J17" s="19">
        <v>4204754</v>
      </c>
      <c r="M17" s="20" t="s">
        <v>69</v>
      </c>
      <c r="N17" s="17">
        <v>25280</v>
      </c>
      <c r="O17" s="14">
        <f t="shared" si="0"/>
        <v>0.37501298007743544</v>
      </c>
    </row>
    <row r="18" spans="3:15" ht="17.25" customHeight="1" x14ac:dyDescent="0.25">
      <c r="C18" s="31" t="s">
        <v>70</v>
      </c>
      <c r="D18" s="32">
        <v>101898</v>
      </c>
      <c r="E18" s="33">
        <v>16272736</v>
      </c>
      <c r="F18" s="34">
        <v>159.69632377475514</v>
      </c>
      <c r="I18" s="16" t="s">
        <v>71</v>
      </c>
      <c r="J18" s="17"/>
      <c r="M18" s="36" t="s">
        <v>72</v>
      </c>
      <c r="N18" s="37">
        <v>323410</v>
      </c>
      <c r="O18" s="14">
        <f t="shared" si="0"/>
        <v>4.7975849638782986</v>
      </c>
    </row>
    <row r="19" spans="3:15" ht="15.75" customHeight="1" x14ac:dyDescent="0.25">
      <c r="C19" s="12" t="s">
        <v>73</v>
      </c>
      <c r="D19" s="29">
        <v>9093</v>
      </c>
      <c r="E19" s="42">
        <v>-3380536</v>
      </c>
      <c r="F19" s="43"/>
      <c r="I19" s="16" t="s">
        <v>74</v>
      </c>
      <c r="J19" s="17">
        <v>616201</v>
      </c>
      <c r="M19" s="39" t="s">
        <v>75</v>
      </c>
      <c r="N19" s="40">
        <f>SUM(N16:N18)</f>
        <v>348690</v>
      </c>
      <c r="O19" s="41">
        <f t="shared" si="0"/>
        <v>5.1725979439557346</v>
      </c>
    </row>
    <row r="20" spans="3:15" ht="15.75" customHeight="1" x14ac:dyDescent="0.25">
      <c r="C20" s="12" t="s">
        <v>76</v>
      </c>
      <c r="D20" s="44">
        <v>100</v>
      </c>
      <c r="E20" s="42">
        <v>6419</v>
      </c>
      <c r="F20" s="15"/>
      <c r="I20" s="38" t="s">
        <v>77</v>
      </c>
      <c r="J20" s="37">
        <v>6451860</v>
      </c>
      <c r="M20" s="39" t="s">
        <v>78</v>
      </c>
      <c r="N20" s="40">
        <f>N15+N19</f>
        <v>9719585</v>
      </c>
      <c r="O20" s="45">
        <f t="shared" si="0"/>
        <v>144.18396107460208</v>
      </c>
    </row>
    <row r="21" spans="3:15" ht="15.75" customHeight="1" x14ac:dyDescent="0.25">
      <c r="C21" s="31" t="s">
        <v>79</v>
      </c>
      <c r="D21" s="32">
        <v>9193</v>
      </c>
      <c r="E21" s="46">
        <v>-3374117</v>
      </c>
      <c r="F21" s="34"/>
      <c r="I21" s="39" t="s">
        <v>80</v>
      </c>
      <c r="J21" s="40">
        <f>SUM(J17:J20)</f>
        <v>11272815</v>
      </c>
      <c r="M21" s="47"/>
      <c r="N21" s="48"/>
    </row>
    <row r="22" spans="3:15" ht="15.75" customHeight="1" x14ac:dyDescent="0.25">
      <c r="C22" s="21" t="s">
        <v>81</v>
      </c>
      <c r="D22" s="35">
        <v>111091</v>
      </c>
      <c r="E22" s="23">
        <v>12898619</v>
      </c>
      <c r="F22" s="24">
        <v>116.10858665418441</v>
      </c>
      <c r="I22" s="28" t="s">
        <v>82</v>
      </c>
      <c r="J22" s="19">
        <v>125000</v>
      </c>
      <c r="M22" s="49" t="s">
        <v>83</v>
      </c>
      <c r="N22" s="50"/>
    </row>
    <row r="23" spans="3:15" ht="16.5" customHeight="1" x14ac:dyDescent="0.3">
      <c r="I23" s="38" t="s">
        <v>84</v>
      </c>
      <c r="J23" s="37">
        <v>961721</v>
      </c>
      <c r="M23" s="51" t="s">
        <v>85</v>
      </c>
      <c r="N23" s="52">
        <v>1005846</v>
      </c>
      <c r="O23" s="14">
        <f t="shared" ref="O23:O31" si="1">N23/$D$2</f>
        <v>14.921095963566778</v>
      </c>
    </row>
    <row r="24" spans="3:15" ht="16.5" customHeight="1" x14ac:dyDescent="0.3">
      <c r="C24" s="4" t="s">
        <v>86</v>
      </c>
      <c r="D24" s="53"/>
      <c r="E24" s="6">
        <v>1943381</v>
      </c>
      <c r="F24" s="7">
        <v>29.352661309811502</v>
      </c>
      <c r="I24" s="39" t="s">
        <v>87</v>
      </c>
      <c r="J24" s="40">
        <f>SUM(J21:J23)</f>
        <v>12359536</v>
      </c>
      <c r="M24" s="51" t="s">
        <v>88</v>
      </c>
      <c r="N24" s="52">
        <v>371074</v>
      </c>
      <c r="O24" s="14">
        <f t="shared" si="1"/>
        <v>5.5046505763154379</v>
      </c>
    </row>
    <row r="25" spans="3:15" ht="16.5" customHeight="1" x14ac:dyDescent="0.3">
      <c r="C25" s="12" t="s">
        <v>89</v>
      </c>
      <c r="E25" s="14">
        <v>7353626</v>
      </c>
      <c r="F25" s="15">
        <v>111.0685415659739</v>
      </c>
      <c r="J25" s="14"/>
      <c r="M25" s="51" t="s">
        <v>90</v>
      </c>
      <c r="N25" s="52">
        <v>525000</v>
      </c>
      <c r="O25" s="14">
        <f t="shared" si="1"/>
        <v>7.7880464612600315</v>
      </c>
    </row>
    <row r="26" spans="3:15" ht="16.5" customHeight="1" x14ac:dyDescent="0.3">
      <c r="C26" s="12" t="s">
        <v>91</v>
      </c>
      <c r="E26" s="14">
        <v>99168</v>
      </c>
      <c r="F26" s="15">
        <v>4.4010118492877117</v>
      </c>
      <c r="I26" s="39" t="s">
        <v>92</v>
      </c>
      <c r="J26" s="40">
        <f>J16-J24</f>
        <v>4617213</v>
      </c>
      <c r="M26" s="51" t="s">
        <v>93</v>
      </c>
      <c r="N26" s="52">
        <v>125000</v>
      </c>
      <c r="O26" s="14">
        <f t="shared" si="1"/>
        <v>1.8542967764904839</v>
      </c>
    </row>
    <row r="27" spans="3:15" ht="15.75" customHeight="1" x14ac:dyDescent="0.25">
      <c r="C27" s="12" t="s">
        <v>94</v>
      </c>
      <c r="E27" s="14">
        <v>348690</v>
      </c>
      <c r="F27" s="15">
        <v>3.4219513631278335</v>
      </c>
      <c r="M27" s="54" t="s">
        <v>95</v>
      </c>
      <c r="N27" s="52">
        <v>435924</v>
      </c>
      <c r="O27" s="14">
        <f t="shared" si="1"/>
        <v>6.4666597439587008</v>
      </c>
    </row>
    <row r="28" spans="3:15" ht="16.5" customHeight="1" x14ac:dyDescent="0.3">
      <c r="C28" s="21" t="s">
        <v>96</v>
      </c>
      <c r="D28" s="55"/>
      <c r="E28" s="23">
        <v>9744865</v>
      </c>
      <c r="F28" s="24">
        <v>95.633525682545297</v>
      </c>
      <c r="M28" s="51" t="s">
        <v>97</v>
      </c>
      <c r="N28" s="52">
        <v>67213</v>
      </c>
      <c r="O28" s="14">
        <f t="shared" si="1"/>
        <v>0.99706279390603902</v>
      </c>
    </row>
    <row r="29" spans="3:15" ht="15.75" customHeight="1" x14ac:dyDescent="0.3">
      <c r="C29" s="12" t="s">
        <v>98</v>
      </c>
      <c r="E29" s="14">
        <v>2489671</v>
      </c>
      <c r="F29" s="15">
        <v>24.432972187874149</v>
      </c>
      <c r="M29" s="51" t="s">
        <v>99</v>
      </c>
      <c r="N29" s="52">
        <v>11281</v>
      </c>
      <c r="O29" s="14">
        <f t="shared" si="1"/>
        <v>0.16734657548471318</v>
      </c>
    </row>
    <row r="30" spans="3:15" ht="16.5" customHeight="1" x14ac:dyDescent="0.3">
      <c r="C30" s="12" t="s">
        <v>100</v>
      </c>
      <c r="E30" s="14">
        <v>125000</v>
      </c>
      <c r="F30" s="15">
        <v>1.2267169129914228</v>
      </c>
      <c r="M30" s="56" t="s">
        <v>101</v>
      </c>
      <c r="N30" s="57">
        <v>73333</v>
      </c>
      <c r="O30" s="14">
        <f t="shared" si="1"/>
        <v>1.0878491640830132</v>
      </c>
    </row>
    <row r="31" spans="3:15" ht="15.75" customHeight="1" x14ac:dyDescent="0.25">
      <c r="C31" s="21" t="s">
        <v>102</v>
      </c>
      <c r="D31" s="55"/>
      <c r="E31" s="23">
        <v>12359536</v>
      </c>
      <c r="F31" s="24"/>
      <c r="M31" s="39"/>
      <c r="N31" s="40">
        <f>SUM(N23:N30)</f>
        <v>2614671</v>
      </c>
      <c r="O31" s="41">
        <f t="shared" si="1"/>
        <v>38.787008055065201</v>
      </c>
    </row>
    <row r="32" spans="3:15" ht="15" customHeight="1" x14ac:dyDescent="0.25">
      <c r="C32" t="s">
        <v>103</v>
      </c>
      <c r="E32" s="14"/>
      <c r="F32" s="14"/>
    </row>
    <row r="33" spans="3:6" ht="15" customHeight="1" x14ac:dyDescent="0.25">
      <c r="C33" t="s">
        <v>104</v>
      </c>
      <c r="E33" s="14">
        <v>1901920</v>
      </c>
      <c r="F33" s="14">
        <v>17.120378788560728</v>
      </c>
    </row>
    <row r="34" spans="3:6" ht="15" customHeight="1" x14ac:dyDescent="0.25">
      <c r="C34" t="s">
        <v>105</v>
      </c>
      <c r="E34" s="14">
        <v>435924</v>
      </c>
      <c r="F34" s="14">
        <v>3.9240262487510238</v>
      </c>
    </row>
    <row r="35" spans="3:6" ht="15" customHeight="1" x14ac:dyDescent="0.25">
      <c r="C35" t="s">
        <v>106</v>
      </c>
      <c r="E35" s="14">
        <v>67213</v>
      </c>
      <c r="F35" s="14">
        <v>0.60502650979827344</v>
      </c>
    </row>
    <row r="36" spans="3:6" ht="15" customHeight="1" x14ac:dyDescent="0.25">
      <c r="C36" t="s">
        <v>100</v>
      </c>
      <c r="E36" s="14">
        <v>125000</v>
      </c>
      <c r="F36" s="14">
        <v>1.1252036618627972</v>
      </c>
    </row>
    <row r="37" spans="3:6" ht="15" customHeight="1" x14ac:dyDescent="0.25">
      <c r="C37" t="s">
        <v>107</v>
      </c>
      <c r="E37" s="14">
        <v>433304</v>
      </c>
      <c r="F37" s="14">
        <v>3.9004419799983796</v>
      </c>
    </row>
    <row r="38" spans="3:6" ht="15" customHeight="1" x14ac:dyDescent="0.25">
      <c r="E38" s="33">
        <v>2963361</v>
      </c>
      <c r="F38" s="14">
        <v>26.675077188971205</v>
      </c>
    </row>
    <row r="39" spans="3:6" ht="15.75" customHeight="1" x14ac:dyDescent="0.25">
      <c r="E39" s="14"/>
      <c r="F39" s="14"/>
    </row>
    <row r="40" spans="3:6" ht="15" customHeight="1" x14ac:dyDescent="0.25">
      <c r="C40" s="58" t="s">
        <v>108</v>
      </c>
      <c r="D40" s="59"/>
      <c r="E40" s="60">
        <v>21740</v>
      </c>
      <c r="F40" s="14"/>
    </row>
    <row r="41" spans="3:6" ht="15.75" customHeight="1" x14ac:dyDescent="0.25">
      <c r="C41" s="61" t="s">
        <v>109</v>
      </c>
      <c r="D41" s="62"/>
      <c r="E41" s="63">
        <v>65</v>
      </c>
      <c r="F41" s="14"/>
    </row>
    <row r="42" spans="3:6" ht="15.75" customHeight="1" x14ac:dyDescent="0.25">
      <c r="E42" s="14"/>
      <c r="F42" s="14"/>
    </row>
    <row r="43" spans="3:6" ht="15" customHeight="1" x14ac:dyDescent="0.25">
      <c r="C43" s="58" t="s">
        <v>110</v>
      </c>
      <c r="D43" s="59"/>
      <c r="E43" s="64">
        <f>E14+E15+E19+E24+E25+E30</f>
        <v>13818944</v>
      </c>
      <c r="F43" s="14"/>
    </row>
    <row r="44" spans="3:6" ht="15.75" customHeight="1" x14ac:dyDescent="0.25">
      <c r="C44" s="61" t="s">
        <v>111</v>
      </c>
      <c r="D44" s="62"/>
      <c r="E44" s="65">
        <f>E17+E20+E26</f>
        <v>2330166</v>
      </c>
      <c r="F44" s="14"/>
    </row>
    <row r="45" spans="3:6" ht="15" customHeight="1" x14ac:dyDescent="0.25">
      <c r="E45" s="33">
        <f>SUM(E43:E44)</f>
        <v>16149110</v>
      </c>
      <c r="F45" s="14"/>
    </row>
    <row r="46" spans="3:6" ht="15.75" customHeight="1" x14ac:dyDescent="0.25">
      <c r="F46" s="14"/>
    </row>
    <row r="47" spans="3:6" ht="15.75" customHeight="1" x14ac:dyDescent="0.25">
      <c r="C47" s="21" t="s">
        <v>112</v>
      </c>
      <c r="D47" s="55"/>
      <c r="E47" s="24">
        <f>(E7+E40+E41)-(E22+E31)</f>
        <v>4617213</v>
      </c>
      <c r="F47" s="66">
        <f>E47/E7</f>
        <v>0.15466204151243187</v>
      </c>
    </row>
    <row r="48" spans="3:6" ht="15.75" customHeight="1" x14ac:dyDescent="0.25">
      <c r="C48" s="67"/>
      <c r="D48" s="67"/>
      <c r="E48" s="14"/>
      <c r="F48" s="68"/>
    </row>
    <row r="49" spans="3:6" ht="15.75" customHeight="1" x14ac:dyDescent="0.25">
      <c r="C49" s="154" t="s">
        <v>113</v>
      </c>
      <c r="D49" s="154"/>
      <c r="E49" s="154"/>
      <c r="F49" s="68"/>
    </row>
    <row r="50" spans="3:6" ht="15" customHeight="1" x14ac:dyDescent="0.25">
      <c r="C50" s="12" t="s">
        <v>114</v>
      </c>
      <c r="E50" s="15">
        <f>(E2+E3)-E43</f>
        <v>6951323</v>
      </c>
      <c r="F50" s="66">
        <f t="shared" ref="F50:F62" si="2">E50/$E$7</f>
        <v>0.2328473489077334</v>
      </c>
    </row>
    <row r="51" spans="3:6" ht="15.75" customHeight="1" x14ac:dyDescent="0.25">
      <c r="C51" s="12" t="s">
        <v>115</v>
      </c>
      <c r="E51" s="15">
        <f>E4-E16</f>
        <v>310040</v>
      </c>
      <c r="F51" s="66">
        <f t="shared" si="2"/>
        <v>1.0385360032234678E-2</v>
      </c>
    </row>
    <row r="52" spans="3:6" ht="15.75" customHeight="1" x14ac:dyDescent="0.25">
      <c r="C52" s="21" t="s">
        <v>116</v>
      </c>
      <c r="D52" s="55"/>
      <c r="E52" s="24">
        <f>SUM(E50:E51)</f>
        <v>7261363</v>
      </c>
      <c r="F52" s="66">
        <f t="shared" si="2"/>
        <v>0.24323270893996807</v>
      </c>
    </row>
    <row r="53" spans="3:6" ht="15" customHeight="1" x14ac:dyDescent="0.25">
      <c r="C53" s="12" t="s">
        <v>117</v>
      </c>
      <c r="E53" s="15">
        <f>E5-E13</f>
        <v>0</v>
      </c>
      <c r="F53" s="66">
        <f t="shared" si="2"/>
        <v>0</v>
      </c>
    </row>
    <row r="54" spans="3:6" ht="15" customHeight="1" x14ac:dyDescent="0.25">
      <c r="C54" s="12" t="s">
        <v>118</v>
      </c>
      <c r="E54" s="15">
        <f>E6-E44</f>
        <v>172406</v>
      </c>
      <c r="F54" s="66">
        <f t="shared" si="2"/>
        <v>5.7750560628223842E-3</v>
      </c>
    </row>
    <row r="55" spans="3:6" ht="15.75" customHeight="1" x14ac:dyDescent="0.25">
      <c r="C55" s="12" t="s">
        <v>119</v>
      </c>
      <c r="E55" s="15">
        <f>E40+E41</f>
        <v>21805</v>
      </c>
      <c r="F55" s="66">
        <f t="shared" si="2"/>
        <v>7.3039857922486506E-4</v>
      </c>
    </row>
    <row r="56" spans="3:6" ht="15.75" customHeight="1" x14ac:dyDescent="0.25">
      <c r="C56" s="21" t="s">
        <v>120</v>
      </c>
      <c r="D56" s="55"/>
      <c r="E56" s="24">
        <f>SUM(E52:E55)</f>
        <v>7455574</v>
      </c>
      <c r="F56" s="66">
        <f t="shared" si="2"/>
        <v>0.24973816358201531</v>
      </c>
    </row>
    <row r="57" spans="3:6" ht="15" customHeight="1" x14ac:dyDescent="0.25">
      <c r="C57" s="12" t="s">
        <v>121</v>
      </c>
      <c r="E57" s="15">
        <f>SUM(E33:E35)</f>
        <v>2405057</v>
      </c>
      <c r="F57" s="66">
        <f t="shared" si="2"/>
        <v>8.0561807647549472E-2</v>
      </c>
    </row>
    <row r="58" spans="3:6" ht="15.75" customHeight="1" x14ac:dyDescent="0.25">
      <c r="C58" s="12" t="s">
        <v>122</v>
      </c>
      <c r="E58" s="15">
        <f>E56-E57</f>
        <v>5050517</v>
      </c>
      <c r="F58" s="66">
        <f t="shared" si="2"/>
        <v>0.16917635593446584</v>
      </c>
    </row>
    <row r="59" spans="3:6" ht="15.75" customHeight="1" x14ac:dyDescent="0.25">
      <c r="C59" s="21" t="s">
        <v>123</v>
      </c>
      <c r="D59" s="55"/>
      <c r="E59" s="24">
        <f>E58+E36</f>
        <v>5175517</v>
      </c>
      <c r="F59" s="66">
        <f t="shared" si="2"/>
        <v>0.17336346083715368</v>
      </c>
    </row>
    <row r="60" spans="3:6" ht="15" customHeight="1" x14ac:dyDescent="0.25">
      <c r="C60" s="12" t="s">
        <v>124</v>
      </c>
      <c r="E60" s="15">
        <f>E27+E37</f>
        <v>781994</v>
      </c>
      <c r="F60" s="66">
        <f t="shared" si="2"/>
        <v>2.6194327290179734E-2</v>
      </c>
    </row>
    <row r="61" spans="3:6" ht="15.75" customHeight="1" x14ac:dyDescent="0.25">
      <c r="C61" s="12" t="s">
        <v>100</v>
      </c>
      <c r="E61" s="15">
        <f>E36</f>
        <v>125000</v>
      </c>
      <c r="F61" s="66">
        <f t="shared" si="2"/>
        <v>4.1871049026878295E-3</v>
      </c>
    </row>
    <row r="62" spans="3:6" ht="15.75" customHeight="1" x14ac:dyDescent="0.25">
      <c r="C62" s="21" t="s">
        <v>125</v>
      </c>
      <c r="D62" s="55"/>
      <c r="E62" s="24">
        <f>E59-(E60+E61)</f>
        <v>4268523</v>
      </c>
      <c r="F62" s="66">
        <f t="shared" si="2"/>
        <v>0.14298202864428611</v>
      </c>
    </row>
  </sheetData>
  <mergeCells count="2">
    <mergeCell ref="I1:J1"/>
    <mergeCell ref="C49:E49"/>
  </mergeCells>
  <pageMargins left="0.7" right="0.7" top="0.75" bottom="0.75" header="0.511811023622047" footer="0.511811023622047"/>
  <pageSetup paperSize="9" orientation="portrait" horizontalDpi="300" verticalDpi="300"/>
  <ignoredErrors>
    <ignoredError sqref="J1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zoomScale="87" zoomScaleNormal="87" workbookViewId="0">
      <selection activeCell="B17" sqref="B17"/>
    </sheetView>
  </sheetViews>
  <sheetFormatPr defaultColWidth="8.7109375" defaultRowHeight="15" x14ac:dyDescent="0.25"/>
  <cols>
    <col min="1" max="1" width="49.42578125" customWidth="1"/>
    <col min="2" max="3" width="14" customWidth="1"/>
    <col min="4" max="4" width="56" customWidth="1"/>
  </cols>
  <sheetData>
    <row r="1" spans="1:4" ht="25.5" customHeight="1" x14ac:dyDescent="0.25">
      <c r="A1" s="151" t="s">
        <v>126</v>
      </c>
      <c r="B1" s="151"/>
      <c r="C1" s="151"/>
      <c r="D1" s="151"/>
    </row>
    <row r="3" spans="1:4" ht="15" customHeight="1" x14ac:dyDescent="0.25">
      <c r="A3" s="2" t="s">
        <v>127</v>
      </c>
    </row>
    <row r="4" spans="1:4" ht="15" customHeight="1" x14ac:dyDescent="0.25">
      <c r="A4" s="69" t="s">
        <v>128</v>
      </c>
      <c r="B4" s="70">
        <f>IF('Quote Builder'!D4=0,'Apr26'!F14,'Quote Builder'!D4)</f>
        <v>107.37</v>
      </c>
      <c r="C4" s="3" t="s">
        <v>129</v>
      </c>
      <c r="D4" s="1" t="s">
        <v>130</v>
      </c>
    </row>
    <row r="5" spans="1:4" ht="15" customHeight="1" x14ac:dyDescent="0.25">
      <c r="A5" s="69" t="s">
        <v>131</v>
      </c>
      <c r="B5" s="71">
        <v>1.0037</v>
      </c>
      <c r="C5" s="3" t="s">
        <v>132</v>
      </c>
      <c r="D5" s="1" t="s">
        <v>133</v>
      </c>
    </row>
    <row r="6" spans="1:4" ht="15" customHeight="1" x14ac:dyDescent="0.25">
      <c r="A6" s="69" t="s">
        <v>134</v>
      </c>
      <c r="B6" s="122">
        <v>0.02</v>
      </c>
      <c r="C6" s="3" t="s">
        <v>135</v>
      </c>
      <c r="D6" s="1" t="s">
        <v>136</v>
      </c>
    </row>
    <row r="8" spans="1:4" ht="15" customHeight="1" x14ac:dyDescent="0.25">
      <c r="A8" s="2" t="s">
        <v>137</v>
      </c>
    </row>
    <row r="9" spans="1:4" ht="15" customHeight="1" x14ac:dyDescent="0.25">
      <c r="A9" s="69" t="s">
        <v>138</v>
      </c>
      <c r="B9" s="121">
        <f>'Apr26'!F24</f>
        <v>29.352661309811502</v>
      </c>
      <c r="C9" s="3" t="s">
        <v>139</v>
      </c>
      <c r="D9" s="1" t="s">
        <v>140</v>
      </c>
    </row>
    <row r="10" spans="1:4" ht="15" customHeight="1" x14ac:dyDescent="0.25">
      <c r="A10" s="69" t="s">
        <v>141</v>
      </c>
      <c r="B10" s="121">
        <f>IF('Quote Builder'!D5=0,28,28+'Quote Builder'!D5)</f>
        <v>30</v>
      </c>
      <c r="C10" s="3" t="s">
        <v>139</v>
      </c>
      <c r="D10" s="1" t="s">
        <v>142</v>
      </c>
    </row>
    <row r="11" spans="1:4" ht="15" customHeight="1" x14ac:dyDescent="0.25">
      <c r="A11" s="69" t="s">
        <v>143</v>
      </c>
      <c r="B11" s="72">
        <v>0.30499999999999999</v>
      </c>
      <c r="C11" s="3" t="s">
        <v>135</v>
      </c>
      <c r="D11" s="1" t="s">
        <v>144</v>
      </c>
    </row>
    <row r="13" spans="1:4" ht="15" customHeight="1" x14ac:dyDescent="0.25">
      <c r="A13" s="2" t="s">
        <v>145</v>
      </c>
    </row>
    <row r="14" spans="1:4" ht="15" customHeight="1" x14ac:dyDescent="0.25">
      <c r="A14" s="69" t="s">
        <v>146</v>
      </c>
      <c r="B14" s="138">
        <f>IF('Quote Builder'!D6=0,0,'Quote Builder'!D6)</f>
        <v>0</v>
      </c>
      <c r="C14" s="3" t="s">
        <v>139</v>
      </c>
      <c r="D14" s="1" t="s">
        <v>147</v>
      </c>
    </row>
    <row r="15" spans="1:4" ht="15" customHeight="1" x14ac:dyDescent="0.25">
      <c r="A15" s="69" t="s">
        <v>148</v>
      </c>
      <c r="B15" s="121">
        <f>'Apr26'!O3</f>
        <v>3.8614617792348431</v>
      </c>
      <c r="C15" s="3" t="s">
        <v>139</v>
      </c>
      <c r="D15" s="1" t="s">
        <v>149</v>
      </c>
    </row>
    <row r="16" spans="1:4" ht="15" customHeight="1" x14ac:dyDescent="0.25">
      <c r="A16" s="69" t="s">
        <v>150</v>
      </c>
      <c r="B16" s="121">
        <f>'Apr26'!O4</f>
        <v>9.515672516354897</v>
      </c>
      <c r="C16" s="3" t="s">
        <v>139</v>
      </c>
      <c r="D16" s="1" t="s">
        <v>151</v>
      </c>
    </row>
    <row r="17" spans="1:4" ht="15" customHeight="1" x14ac:dyDescent="0.25">
      <c r="A17" s="69" t="s">
        <v>152</v>
      </c>
      <c r="B17" s="121">
        <f>'Apr26'!O19</f>
        <v>5.1725979439557346</v>
      </c>
      <c r="C17" s="3" t="s">
        <v>139</v>
      </c>
      <c r="D17" s="1" t="s">
        <v>153</v>
      </c>
    </row>
    <row r="19" spans="1:4" ht="15" customHeight="1" x14ac:dyDescent="0.25">
      <c r="A19" s="2" t="s">
        <v>154</v>
      </c>
    </row>
    <row r="20" spans="1:4" ht="15" customHeight="1" x14ac:dyDescent="0.25">
      <c r="A20" s="69" t="s">
        <v>155</v>
      </c>
      <c r="B20" s="73">
        <f>'Apr26'!E38</f>
        <v>2963361</v>
      </c>
      <c r="C20" s="3" t="s">
        <v>156</v>
      </c>
      <c r="D20" s="1" t="s">
        <v>157</v>
      </c>
    </row>
    <row r="21" spans="1:4" ht="15" customHeight="1" x14ac:dyDescent="0.25">
      <c r="A21" s="69" t="s">
        <v>158</v>
      </c>
      <c r="B21" s="74">
        <f>B20*12</f>
        <v>35560332</v>
      </c>
      <c r="C21" s="3" t="s">
        <v>159</v>
      </c>
    </row>
    <row r="23" spans="1:4" ht="15" customHeight="1" x14ac:dyDescent="0.25">
      <c r="A23" s="2" t="s">
        <v>160</v>
      </c>
    </row>
    <row r="24" spans="1:4" ht="15" customHeight="1" x14ac:dyDescent="0.25">
      <c r="A24" s="75" t="s">
        <v>161</v>
      </c>
      <c r="B24" s="76">
        <f>B4*B5</f>
        <v>107.76726900000001</v>
      </c>
      <c r="C24" s="77"/>
      <c r="D24" s="77"/>
    </row>
    <row r="25" spans="1:4" ht="15" customHeight="1" x14ac:dyDescent="0.25">
      <c r="A25" s="75" t="s">
        <v>162</v>
      </c>
      <c r="B25" s="76">
        <f>B24*B6</f>
        <v>2.1553453800000004</v>
      </c>
      <c r="C25" s="77"/>
      <c r="D25" s="77"/>
    </row>
    <row r="26" spans="1:4" ht="15" customHeight="1" x14ac:dyDescent="0.25">
      <c r="A26" s="78" t="s">
        <v>163</v>
      </c>
      <c r="B26" s="79">
        <f>B24+B25</f>
        <v>109.92261438000001</v>
      </c>
      <c r="C26" s="80"/>
      <c r="D26" s="80"/>
    </row>
    <row r="27" spans="1:4" ht="15" customHeight="1" x14ac:dyDescent="0.25">
      <c r="A27" s="78" t="s">
        <v>164</v>
      </c>
      <c r="B27" s="79">
        <f>B9*(1-B11)+B10*B11</f>
        <v>29.550099610318995</v>
      </c>
      <c r="C27" s="80"/>
      <c r="D27" s="80"/>
    </row>
    <row r="28" spans="1:4" ht="15" customHeight="1" x14ac:dyDescent="0.25">
      <c r="A28" s="78" t="s">
        <v>165</v>
      </c>
      <c r="B28" s="79">
        <f>B15+B16+B17</f>
        <v>18.549732239545477</v>
      </c>
      <c r="C28" s="80"/>
      <c r="D28" s="80"/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9"/>
  <sheetViews>
    <sheetView zoomScaleNormal="100" workbookViewId="0">
      <pane xSplit="2" ySplit="4" topLeftCell="C42" activePane="bottomRight" state="frozen"/>
      <selection pane="topRight" activeCell="C1" sqref="C1"/>
      <selection pane="bottomLeft" activeCell="A47" sqref="A47"/>
      <selection pane="bottomRight" activeCell="L41" sqref="L41"/>
    </sheetView>
  </sheetViews>
  <sheetFormatPr defaultColWidth="8.7109375" defaultRowHeight="15" x14ac:dyDescent="0.25"/>
  <cols>
    <col min="1" max="1" width="5" customWidth="1"/>
    <col min="2" max="2" width="8" customWidth="1"/>
    <col min="3" max="3" width="26" customWidth="1"/>
    <col min="4" max="4" width="16.7109375" customWidth="1"/>
    <col min="5" max="5" width="13" style="81" customWidth="1"/>
    <col min="6" max="6" width="13" customWidth="1"/>
    <col min="7" max="8" width="14" customWidth="1"/>
    <col min="9" max="9" width="8.7109375" style="119" bestFit="1" customWidth="1"/>
    <col min="10" max="10" width="14.42578125" style="126" bestFit="1" customWidth="1"/>
    <col min="11" max="11" width="13" customWidth="1"/>
    <col min="12" max="12" width="14" style="82" customWidth="1"/>
    <col min="13" max="14" width="13" customWidth="1"/>
  </cols>
  <sheetData>
    <row r="1" spans="1:14" ht="25.5" customHeight="1" x14ac:dyDescent="0.25">
      <c r="A1" s="151" t="s">
        <v>166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</row>
    <row r="2" spans="1:14" ht="15" customHeight="1" x14ac:dyDescent="0.25">
      <c r="A2" s="152" t="s">
        <v>167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</row>
    <row r="4" spans="1:14" ht="42" customHeight="1" x14ac:dyDescent="0.25">
      <c r="A4" s="83" t="s">
        <v>168</v>
      </c>
      <c r="B4" s="83" t="s">
        <v>169</v>
      </c>
      <c r="C4" s="83" t="s">
        <v>170</v>
      </c>
      <c r="D4" s="83" t="s">
        <v>171</v>
      </c>
      <c r="E4" s="84" t="s">
        <v>172</v>
      </c>
      <c r="F4" s="83" t="s">
        <v>173</v>
      </c>
      <c r="G4" s="83" t="s">
        <v>174</v>
      </c>
      <c r="H4" s="83" t="s">
        <v>175</v>
      </c>
      <c r="I4" s="120" t="s">
        <v>176</v>
      </c>
      <c r="J4" s="123" t="s">
        <v>177</v>
      </c>
      <c r="K4" s="83" t="s">
        <v>178</v>
      </c>
      <c r="L4" s="85" t="s">
        <v>179</v>
      </c>
      <c r="M4" s="83" t="s">
        <v>180</v>
      </c>
      <c r="N4" s="83" t="s">
        <v>181</v>
      </c>
    </row>
    <row r="5" spans="1:14" ht="15" customHeight="1" x14ac:dyDescent="0.25">
      <c r="A5" s="75">
        <v>1</v>
      </c>
      <c r="B5" s="75">
        <v>126</v>
      </c>
      <c r="C5" s="75" t="s">
        <v>919</v>
      </c>
      <c r="D5" s="75" t="s">
        <v>182</v>
      </c>
      <c r="E5" s="86">
        <f>_xlfn.XLOOKUP(B5,'Ratio Master'!$A:$A,'Ratio Master'!$G:$G,"")</f>
        <v>9.4364576108921003E-2</v>
      </c>
      <c r="F5" s="87">
        <f>_xlfn.XLOOKUP(B5,'Ratio Master'!$A:$A,'Ratio Master'!$F:$F,"")</f>
        <v>5.7</v>
      </c>
      <c r="G5" s="88">
        <f t="array" ref="G5">IF(AND(E5&gt;0,F5&gt;0),(F5/E5)+FabRateIncKg,0)</f>
        <v>60.404022727985698</v>
      </c>
      <c r="H5" s="88">
        <f t="shared" ref="H5:H68" si="0">IF(OR(E5="",E5=0),0,Stage1_RM+Stage2_Yarn+G5+FabricAddon)</f>
        <v>218.42646895785018</v>
      </c>
      <c r="I5" s="127">
        <v>181.8</v>
      </c>
      <c r="J5" s="124">
        <v>54000</v>
      </c>
      <c r="K5" s="87"/>
      <c r="L5" s="89"/>
      <c r="M5" s="88">
        <f t="shared" ref="M5:M68" si="1">IFERROR(L5/K5,0)</f>
        <v>0</v>
      </c>
      <c r="N5" s="76">
        <f t="shared" ref="N5:N68" si="2">IFERROR(J5/I5,"")</f>
        <v>297.02970297029702</v>
      </c>
    </row>
    <row r="6" spans="1:14" ht="15" customHeight="1" x14ac:dyDescent="0.25">
      <c r="A6" s="75">
        <v>2</v>
      </c>
      <c r="B6" s="75">
        <v>144</v>
      </c>
      <c r="C6" s="75" t="s">
        <v>830</v>
      </c>
      <c r="D6" s="75" t="s">
        <v>182</v>
      </c>
      <c r="E6" s="86">
        <f>_xlfn.XLOOKUP(B6,'Ratio Master'!$A:$A,'Ratio Master'!$G:$G,"")</f>
        <v>3.9991399158554E-2</v>
      </c>
      <c r="F6" s="87">
        <f>_xlfn.XLOOKUP(B6,'Ratio Master'!$A:$A,'Ratio Master'!$F:$F,"")</f>
        <v>4.7</v>
      </c>
      <c r="G6" s="88">
        <f t="array" ref="G6">IF(AND(E6&gt;0,F6&gt;0),(F6/E6)+FabRateIncKg,0)</f>
        <v>117.52527040541638</v>
      </c>
      <c r="H6" s="88">
        <f t="shared" si="0"/>
        <v>275.54771663528084</v>
      </c>
      <c r="I6" s="127">
        <v>2124.41</v>
      </c>
      <c r="J6" s="124">
        <v>730296</v>
      </c>
      <c r="K6" s="87"/>
      <c r="L6" s="89"/>
      <c r="M6" s="88">
        <f t="shared" si="1"/>
        <v>0</v>
      </c>
      <c r="N6" s="76">
        <f t="shared" si="2"/>
        <v>343.7641509878037</v>
      </c>
    </row>
    <row r="7" spans="1:14" ht="15" customHeight="1" x14ac:dyDescent="0.25">
      <c r="A7" s="75">
        <v>3</v>
      </c>
      <c r="B7" s="75">
        <v>164</v>
      </c>
      <c r="C7" s="75" t="s">
        <v>830</v>
      </c>
      <c r="D7" s="75" t="s">
        <v>187</v>
      </c>
      <c r="E7" s="86">
        <f>_xlfn.XLOOKUP(B7,'Ratio Master'!$A:$A,'Ratio Master'!$G:$G,"")</f>
        <v>3.8631111111111102E-2</v>
      </c>
      <c r="F7" s="87">
        <f>_xlfn.XLOOKUP(B7,'Ratio Master'!$A:$A,'Ratio Master'!$F:$F,"")</f>
        <v>4.7</v>
      </c>
      <c r="G7" s="88">
        <f t="array" ref="G7">IF(AND(E7&gt;0,F7&gt;0),(F7/E7)+FabRateIncKg,0)</f>
        <v>121.66359871145885</v>
      </c>
      <c r="H7" s="88">
        <f t="shared" si="0"/>
        <v>279.6860449413233</v>
      </c>
      <c r="I7" s="127">
        <v>92.2</v>
      </c>
      <c r="J7" s="124">
        <v>38400</v>
      </c>
      <c r="K7" s="87"/>
      <c r="L7" s="89"/>
      <c r="M7" s="88">
        <f t="shared" si="1"/>
        <v>0</v>
      </c>
      <c r="N7" s="76">
        <f t="shared" si="2"/>
        <v>416.48590021691973</v>
      </c>
    </row>
    <row r="8" spans="1:14" ht="15" customHeight="1" x14ac:dyDescent="0.25">
      <c r="A8" s="75">
        <v>4</v>
      </c>
      <c r="B8" s="75">
        <v>167</v>
      </c>
      <c r="C8" s="75" t="s">
        <v>834</v>
      </c>
      <c r="D8" s="75" t="s">
        <v>185</v>
      </c>
      <c r="E8" s="86">
        <f>_xlfn.XLOOKUP(B8,'Ratio Master'!$A:$A,'Ratio Master'!$G:$G,"")</f>
        <v>0.160160256410256</v>
      </c>
      <c r="F8" s="87">
        <f>_xlfn.XLOOKUP(B8,'Ratio Master'!$A:$A,'Ratio Master'!$F:$F,"")</f>
        <v>12</v>
      </c>
      <c r="G8" s="88">
        <f t="array" ref="G8">IF(AND(E8&gt;0,F8&gt;0),(F8/E8)+FabRateIncKg,0)</f>
        <v>74.924954972983983</v>
      </c>
      <c r="H8" s="88">
        <f t="shared" si="0"/>
        <v>232.94740120284845</v>
      </c>
      <c r="I8" s="127">
        <v>65.44</v>
      </c>
      <c r="J8" s="124">
        <v>22400</v>
      </c>
      <c r="K8" s="87"/>
      <c r="L8" s="89"/>
      <c r="M8" s="88">
        <f t="shared" si="1"/>
        <v>0</v>
      </c>
      <c r="N8" s="76">
        <f t="shared" si="2"/>
        <v>342.29828850855745</v>
      </c>
    </row>
    <row r="9" spans="1:14" ht="15" customHeight="1" x14ac:dyDescent="0.25">
      <c r="A9" s="75">
        <v>5</v>
      </c>
      <c r="B9" s="75">
        <v>177</v>
      </c>
      <c r="C9" s="75" t="s">
        <v>836</v>
      </c>
      <c r="D9" s="75" t="s">
        <v>182</v>
      </c>
      <c r="E9" s="86">
        <f>_xlfn.XLOOKUP(B9,'Ratio Master'!$A:$A,'Ratio Master'!$G:$G,"")</f>
        <v>0.17398271604938301</v>
      </c>
      <c r="F9" s="87">
        <f>_xlfn.XLOOKUP(B9,'Ratio Master'!$A:$A,'Ratio Master'!$F:$F,"")</f>
        <v>12</v>
      </c>
      <c r="G9" s="88">
        <f t="array" ref="G9">IF(AND(E9&gt;0,F9&gt;0),(F9/E9)+FabRateIncKg,0)</f>
        <v>68.972368477072962</v>
      </c>
      <c r="H9" s="88">
        <f t="shared" si="0"/>
        <v>226.99481470693743</v>
      </c>
      <c r="I9" s="127">
        <v>318.74</v>
      </c>
      <c r="J9" s="124">
        <v>106200</v>
      </c>
      <c r="K9" s="87"/>
      <c r="L9" s="89"/>
      <c r="M9" s="88">
        <f t="shared" si="1"/>
        <v>0</v>
      </c>
      <c r="N9" s="76">
        <f t="shared" si="2"/>
        <v>333.18692351132586</v>
      </c>
    </row>
    <row r="10" spans="1:14" ht="15" customHeight="1" x14ac:dyDescent="0.25">
      <c r="A10" s="75">
        <v>6</v>
      </c>
      <c r="B10" s="75">
        <v>179</v>
      </c>
      <c r="C10" s="75" t="s">
        <v>837</v>
      </c>
      <c r="D10" s="75" t="s">
        <v>182</v>
      </c>
      <c r="E10" s="86">
        <f>_xlfn.XLOOKUP(B10,'Ratio Master'!$A:$A,'Ratio Master'!$G:$G,"")</f>
        <v>7.9027579462102704E-2</v>
      </c>
      <c r="F10" s="87">
        <f>_xlfn.XLOOKUP(B10,'Ratio Master'!$A:$A,'Ratio Master'!$F:$F,"")</f>
        <v>5.7</v>
      </c>
      <c r="G10" s="88">
        <f t="array" ref="G10">IF(AND(E10&gt;0,F10&gt;0),(F10/E10)+FabRateIncKg,0)</f>
        <v>72.126718783452148</v>
      </c>
      <c r="H10" s="88">
        <f t="shared" si="0"/>
        <v>230.1491650133166</v>
      </c>
      <c r="I10" s="127">
        <v>5943.01</v>
      </c>
      <c r="J10" s="124">
        <v>1799625</v>
      </c>
      <c r="K10" s="87"/>
      <c r="L10" s="89"/>
      <c r="M10" s="88">
        <f t="shared" si="1"/>
        <v>0</v>
      </c>
      <c r="N10" s="76">
        <f t="shared" si="2"/>
        <v>302.81372570465135</v>
      </c>
    </row>
    <row r="11" spans="1:14" ht="15" customHeight="1" x14ac:dyDescent="0.25">
      <c r="A11" s="75">
        <v>7</v>
      </c>
      <c r="B11" s="75">
        <v>188</v>
      </c>
      <c r="C11" s="75" t="s">
        <v>838</v>
      </c>
      <c r="D11" s="75" t="s">
        <v>182</v>
      </c>
      <c r="E11" s="86">
        <f>_xlfn.XLOOKUP(B11,'Ratio Master'!$A:$A,'Ratio Master'!$G:$G,"")</f>
        <v>8.8402083333333298E-2</v>
      </c>
      <c r="F11" s="87">
        <f>_xlfn.XLOOKUP(B11,'Ratio Master'!$A:$A,'Ratio Master'!$F:$F,"")</f>
        <v>5.7</v>
      </c>
      <c r="G11" s="88">
        <f t="array" ref="G11">IF(AND(E11&gt;0,F11&gt;0),(F11/E11)+FabRateIncKg,0)</f>
        <v>64.478118445549484</v>
      </c>
      <c r="H11" s="88">
        <f t="shared" si="0"/>
        <v>222.50056467541395</v>
      </c>
      <c r="I11" s="127">
        <v>459.72</v>
      </c>
      <c r="J11" s="124">
        <v>151500</v>
      </c>
      <c r="K11" s="87"/>
      <c r="L11" s="89"/>
      <c r="M11" s="88">
        <f t="shared" si="1"/>
        <v>0</v>
      </c>
      <c r="N11" s="76">
        <f t="shared" si="2"/>
        <v>329.54842077786475</v>
      </c>
    </row>
    <row r="12" spans="1:14" ht="15" customHeight="1" x14ac:dyDescent="0.25">
      <c r="A12" s="75">
        <v>8</v>
      </c>
      <c r="B12" s="75">
        <v>193</v>
      </c>
      <c r="C12" s="75" t="s">
        <v>839</v>
      </c>
      <c r="D12" s="75" t="s">
        <v>182</v>
      </c>
      <c r="E12" s="86">
        <f>_xlfn.XLOOKUP(B12,'Ratio Master'!$A:$A,'Ratio Master'!$G:$G,"")</f>
        <v>0.12145150684931499</v>
      </c>
      <c r="F12" s="87">
        <f>_xlfn.XLOOKUP(B12,'Ratio Master'!$A:$A,'Ratio Master'!$F:$F,"")</f>
        <v>8.5</v>
      </c>
      <c r="G12" s="88">
        <f t="array" ref="G12">IF(AND(E12&gt;0,F12&gt;0),(F12/E12)+FabRateIncKg,0)</f>
        <v>69.986780901335038</v>
      </c>
      <c r="H12" s="88">
        <f t="shared" si="0"/>
        <v>228.00922713119951</v>
      </c>
      <c r="I12" s="127">
        <v>429.36</v>
      </c>
      <c r="J12" s="124">
        <v>137500</v>
      </c>
      <c r="K12" s="87"/>
      <c r="L12" s="89"/>
      <c r="M12" s="88">
        <f t="shared" si="1"/>
        <v>0</v>
      </c>
      <c r="N12" s="76">
        <f t="shared" si="2"/>
        <v>320.24408421837154</v>
      </c>
    </row>
    <row r="13" spans="1:14" ht="15" customHeight="1" x14ac:dyDescent="0.25">
      <c r="A13" s="75">
        <v>9</v>
      </c>
      <c r="B13" s="75">
        <v>199</v>
      </c>
      <c r="C13" s="75" t="s">
        <v>189</v>
      </c>
      <c r="D13" s="75" t="s">
        <v>190</v>
      </c>
      <c r="E13" s="86">
        <f>_xlfn.XLOOKUP(B13,'Ratio Master'!$A:$A,'Ratio Master'!$G:$G,"")</f>
        <v>4.9681788079470199E-2</v>
      </c>
      <c r="F13" s="87">
        <f>_xlfn.XLOOKUP(B13,'Ratio Master'!$A:$A,'Ratio Master'!$F:$F,"")</f>
        <v>5</v>
      </c>
      <c r="G13" s="88">
        <f t="array" ref="G13">IF(AND(E13&gt;0,F13&gt;0),(F13/E13)+FabRateIncKg,0)</f>
        <v>100.64050013663115</v>
      </c>
      <c r="H13" s="88">
        <f t="shared" si="0"/>
        <v>258.66294636649559</v>
      </c>
      <c r="I13" s="127">
        <v>135.38999999999999</v>
      </c>
      <c r="J13" s="124">
        <v>43725</v>
      </c>
      <c r="K13" s="87"/>
      <c r="L13" s="89"/>
      <c r="M13" s="88">
        <f t="shared" si="1"/>
        <v>0</v>
      </c>
      <c r="N13" s="76">
        <f t="shared" si="2"/>
        <v>322.95590516286285</v>
      </c>
    </row>
    <row r="14" spans="1:14" ht="15" customHeight="1" x14ac:dyDescent="0.25">
      <c r="A14" s="75">
        <v>10</v>
      </c>
      <c r="B14" s="75">
        <v>200</v>
      </c>
      <c r="C14" s="75" t="s">
        <v>189</v>
      </c>
      <c r="D14" s="75" t="s">
        <v>191</v>
      </c>
      <c r="E14" s="86">
        <f>_xlfn.XLOOKUP(B14,'Ratio Master'!$A:$A,'Ratio Master'!$G:$G,"")</f>
        <v>4.9319799498746902E-2</v>
      </c>
      <c r="F14" s="87">
        <f>_xlfn.XLOOKUP(B14,'Ratio Master'!$A:$A,'Ratio Master'!$F:$F,"")</f>
        <v>5</v>
      </c>
      <c r="G14" s="88">
        <f t="array" ref="G14">IF(AND(E14&gt;0,F14&gt;0),(F14/E14)+FabRateIncKg,0)</f>
        <v>101.37916315185016</v>
      </c>
      <c r="H14" s="88">
        <f t="shared" si="0"/>
        <v>259.40160938171459</v>
      </c>
      <c r="I14" s="127">
        <v>100.9</v>
      </c>
      <c r="J14" s="124">
        <v>33275</v>
      </c>
      <c r="K14" s="87"/>
      <c r="L14" s="89"/>
      <c r="M14" s="88">
        <f t="shared" si="1"/>
        <v>0</v>
      </c>
      <c r="N14" s="76">
        <f t="shared" si="2"/>
        <v>329.78196233894943</v>
      </c>
    </row>
    <row r="15" spans="1:14" ht="15" customHeight="1" x14ac:dyDescent="0.25">
      <c r="A15" s="75">
        <v>11</v>
      </c>
      <c r="B15" s="75">
        <v>201</v>
      </c>
      <c r="C15" s="75" t="s">
        <v>189</v>
      </c>
      <c r="D15" s="75" t="s">
        <v>192</v>
      </c>
      <c r="E15" s="86">
        <f>_xlfn.XLOOKUP(B15,'Ratio Master'!$A:$A,'Ratio Master'!$G:$G,"")</f>
        <v>5.0999277978339398E-2</v>
      </c>
      <c r="F15" s="87">
        <f>_xlfn.XLOOKUP(B15,'Ratio Master'!$A:$A,'Ratio Master'!$F:$F,"")</f>
        <v>5</v>
      </c>
      <c r="G15" s="88">
        <f t="array" ref="G15">IF(AND(E15&gt;0,F15&gt;0),(F15/E15)+FabRateIncKg,0)</f>
        <v>98.040603675283762</v>
      </c>
      <c r="H15" s="88">
        <f t="shared" si="0"/>
        <v>256.0630499051482</v>
      </c>
      <c r="I15" s="127">
        <v>225.31</v>
      </c>
      <c r="J15" s="124">
        <v>68750</v>
      </c>
      <c r="K15" s="87"/>
      <c r="L15" s="89"/>
      <c r="M15" s="88">
        <f t="shared" si="1"/>
        <v>0</v>
      </c>
      <c r="N15" s="76">
        <f t="shared" si="2"/>
        <v>305.13514713062006</v>
      </c>
    </row>
    <row r="16" spans="1:14" ht="15" customHeight="1" x14ac:dyDescent="0.25">
      <c r="A16" s="75">
        <v>12</v>
      </c>
      <c r="B16" s="75">
        <v>204</v>
      </c>
      <c r="C16" s="75" t="s">
        <v>189</v>
      </c>
      <c r="D16" s="75" t="s">
        <v>193</v>
      </c>
      <c r="E16" s="86">
        <f>_xlfn.XLOOKUP(B16,'Ratio Master'!$A:$A,'Ratio Master'!$G:$G,"")</f>
        <v>4.9247463175122803E-2</v>
      </c>
      <c r="F16" s="87">
        <f>_xlfn.XLOOKUP(B16,'Ratio Master'!$A:$A,'Ratio Master'!$F:$F,"")</f>
        <v>5</v>
      </c>
      <c r="G16" s="88">
        <f t="array" ref="G16">IF(AND(E16&gt;0,F16&gt;0),(F16/E16)+FabRateIncKg,0)</f>
        <v>101.52807226272995</v>
      </c>
      <c r="H16" s="88">
        <f t="shared" si="0"/>
        <v>259.55051849259439</v>
      </c>
      <c r="I16" s="127">
        <v>136.12</v>
      </c>
      <c r="J16" s="124">
        <v>43725</v>
      </c>
      <c r="K16" s="87"/>
      <c r="L16" s="89"/>
      <c r="M16" s="88">
        <f t="shared" si="1"/>
        <v>0</v>
      </c>
      <c r="N16" s="76">
        <f t="shared" si="2"/>
        <v>321.22392007052599</v>
      </c>
    </row>
    <row r="17" spans="1:14" ht="15" customHeight="1" x14ac:dyDescent="0.25">
      <c r="A17" s="75">
        <v>13</v>
      </c>
      <c r="B17" s="75">
        <v>205</v>
      </c>
      <c r="C17" s="75" t="s">
        <v>189</v>
      </c>
      <c r="D17" s="75" t="s">
        <v>194</v>
      </c>
      <c r="E17" s="86">
        <f>_xlfn.XLOOKUP(B17,'Ratio Master'!$A:$A,'Ratio Master'!$G:$G,"")</f>
        <v>4.9893688888888899E-2</v>
      </c>
      <c r="F17" s="87">
        <f>_xlfn.XLOOKUP(B17,'Ratio Master'!$A:$A,'Ratio Master'!$F:$F,"")</f>
        <v>5</v>
      </c>
      <c r="G17" s="88">
        <f t="array" ref="G17">IF(AND(E17&gt;0,F17&gt;0),(F17/E17)+FabRateIncKg,0)</f>
        <v>100.21307526759117</v>
      </c>
      <c r="H17" s="88">
        <f t="shared" si="0"/>
        <v>258.23552149745564</v>
      </c>
      <c r="I17" s="127">
        <v>318.39999999999998</v>
      </c>
      <c r="J17" s="124">
        <v>99750</v>
      </c>
      <c r="K17" s="87"/>
      <c r="L17" s="89"/>
      <c r="M17" s="88">
        <f t="shared" si="1"/>
        <v>0</v>
      </c>
      <c r="N17" s="76">
        <f t="shared" si="2"/>
        <v>313.285175879397</v>
      </c>
    </row>
    <row r="18" spans="1:14" ht="15" customHeight="1" x14ac:dyDescent="0.25">
      <c r="A18" s="75">
        <v>14</v>
      </c>
      <c r="B18" s="75">
        <v>206</v>
      </c>
      <c r="C18" s="75" t="s">
        <v>189</v>
      </c>
      <c r="D18" s="75" t="s">
        <v>195</v>
      </c>
      <c r="E18" s="86">
        <f>_xlfn.XLOOKUP(B18,'Ratio Master'!$A:$A,'Ratio Master'!$G:$G,"")</f>
        <v>4.8514606741572999E-2</v>
      </c>
      <c r="F18" s="87">
        <f>_xlfn.XLOOKUP(B18,'Ratio Master'!$A:$A,'Ratio Master'!$F:$F,"")</f>
        <v>5</v>
      </c>
      <c r="G18" s="88">
        <f t="array" ref="G18">IF(AND(E18&gt;0,F18&gt;0),(F18/E18)+FabRateIncKg,0)</f>
        <v>103.06174440687394</v>
      </c>
      <c r="H18" s="88">
        <f t="shared" si="0"/>
        <v>261.08419063673841</v>
      </c>
      <c r="I18" s="127">
        <v>97.3</v>
      </c>
      <c r="J18" s="124">
        <v>33275</v>
      </c>
      <c r="K18" s="87"/>
      <c r="L18" s="89"/>
      <c r="M18" s="88">
        <f t="shared" si="1"/>
        <v>0</v>
      </c>
      <c r="N18" s="76">
        <f t="shared" si="2"/>
        <v>341.983556012333</v>
      </c>
    </row>
    <row r="19" spans="1:14" ht="15" customHeight="1" x14ac:dyDescent="0.25">
      <c r="A19" s="75">
        <v>15</v>
      </c>
      <c r="B19" s="75">
        <v>211</v>
      </c>
      <c r="C19" s="75" t="s">
        <v>840</v>
      </c>
      <c r="D19" s="75" t="s">
        <v>182</v>
      </c>
      <c r="E19" s="86">
        <f>_xlfn.XLOOKUP(B19,'Ratio Master'!$A:$A,'Ratio Master'!$G:$G,"")</f>
        <v>0.15712400000000001</v>
      </c>
      <c r="F19" s="87">
        <f>_xlfn.XLOOKUP(B19,'Ratio Master'!$A:$A,'Ratio Master'!$F:$F,"")</f>
        <v>12</v>
      </c>
      <c r="G19" s="88">
        <f t="array" ref="G19">IF(AND(E19&gt;0,F19&gt;0),(F19/E19)+FabRateIncKg,0)</f>
        <v>76.372801099768324</v>
      </c>
      <c r="H19" s="88">
        <f t="shared" si="0"/>
        <v>234.39524732963278</v>
      </c>
      <c r="I19" s="127">
        <v>191.5</v>
      </c>
      <c r="J19" s="124">
        <v>60840</v>
      </c>
      <c r="K19" s="87"/>
      <c r="L19" s="89"/>
      <c r="M19" s="88">
        <f t="shared" si="1"/>
        <v>0</v>
      </c>
      <c r="N19" s="76">
        <f t="shared" si="2"/>
        <v>317.70234986945172</v>
      </c>
    </row>
    <row r="20" spans="1:14" ht="15" customHeight="1" x14ac:dyDescent="0.25">
      <c r="A20" s="75">
        <v>16</v>
      </c>
      <c r="B20" s="75">
        <v>213</v>
      </c>
      <c r="C20" s="75" t="s">
        <v>841</v>
      </c>
      <c r="D20" s="75" t="s">
        <v>182</v>
      </c>
      <c r="E20" s="86">
        <f>_xlfn.XLOOKUP(B20,'Ratio Master'!$A:$A,'Ratio Master'!$G:$G,"")</f>
        <v>6.9811592746201703E-2</v>
      </c>
      <c r="F20" s="87">
        <f>_xlfn.XLOOKUP(B20,'Ratio Master'!$A:$A,'Ratio Master'!$F:$F,"")</f>
        <v>5.7</v>
      </c>
      <c r="G20" s="88">
        <f t="array" ref="G20">IF(AND(E20&gt;0,F20&gt;0),(F20/E20)+FabRateIncKg,0)</f>
        <v>81.648330539058279</v>
      </c>
      <c r="H20" s="88">
        <f t="shared" si="0"/>
        <v>239.67077676892276</v>
      </c>
      <c r="I20" s="127">
        <v>4935.8</v>
      </c>
      <c r="J20" s="124">
        <v>1547550</v>
      </c>
      <c r="K20" s="87"/>
      <c r="L20" s="89"/>
      <c r="M20" s="88">
        <f t="shared" si="1"/>
        <v>0</v>
      </c>
      <c r="N20" s="76">
        <f t="shared" si="2"/>
        <v>313.53579966773367</v>
      </c>
    </row>
    <row r="21" spans="1:14" ht="15" customHeight="1" x14ac:dyDescent="0.25">
      <c r="A21" s="75">
        <v>17</v>
      </c>
      <c r="B21" s="75">
        <v>218</v>
      </c>
      <c r="C21" s="75" t="s">
        <v>841</v>
      </c>
      <c r="D21" s="75" t="s">
        <v>196</v>
      </c>
      <c r="E21" s="86">
        <f>_xlfn.XLOOKUP(B21,'Ratio Master'!$A:$A,'Ratio Master'!$G:$G,"")</f>
        <v>7.0235831663326698E-2</v>
      </c>
      <c r="F21" s="87">
        <f>_xlfn.XLOOKUP(B21,'Ratio Master'!$A:$A,'Ratio Master'!$F:$F,"")</f>
        <v>5.7</v>
      </c>
      <c r="G21" s="88">
        <f t="array" ref="G21">IF(AND(E21&gt;0,F21&gt;0),(F21/E21)+FabRateIncKg,0)</f>
        <v>81.155157773638606</v>
      </c>
      <c r="H21" s="88">
        <f t="shared" si="0"/>
        <v>239.17760400350309</v>
      </c>
      <c r="I21" s="127">
        <v>370.38</v>
      </c>
      <c r="J21" s="124">
        <v>115875</v>
      </c>
      <c r="K21" s="87"/>
      <c r="L21" s="89"/>
      <c r="M21" s="88">
        <f t="shared" si="1"/>
        <v>0</v>
      </c>
      <c r="N21" s="76">
        <f t="shared" si="2"/>
        <v>312.85436578648955</v>
      </c>
    </row>
    <row r="22" spans="1:14" ht="15" customHeight="1" x14ac:dyDescent="0.25">
      <c r="A22" s="75">
        <v>18</v>
      </c>
      <c r="B22" s="75">
        <v>219</v>
      </c>
      <c r="C22" s="75" t="s">
        <v>842</v>
      </c>
      <c r="D22" s="75" t="s">
        <v>182</v>
      </c>
      <c r="E22" s="86">
        <f>_xlfn.XLOOKUP(B22,'Ratio Master'!$A:$A,'Ratio Master'!$G:$G,"")</f>
        <v>8.1071071343517195E-2</v>
      </c>
      <c r="F22" s="87">
        <f>_xlfn.XLOOKUP(B22,'Ratio Master'!$A:$A,'Ratio Master'!$F:$F,"")</f>
        <v>5.7</v>
      </c>
      <c r="G22" s="88">
        <f t="array" ref="G22">IF(AND(E22&gt;0,F22&gt;0),(F22/E22)+FabRateIncKg,0)</f>
        <v>70.308679847682782</v>
      </c>
      <c r="H22" s="88">
        <f t="shared" si="0"/>
        <v>228.33112607754725</v>
      </c>
      <c r="I22" s="127">
        <v>126.48</v>
      </c>
      <c r="J22" s="124">
        <v>39000</v>
      </c>
      <c r="K22" s="87"/>
      <c r="L22" s="89"/>
      <c r="M22" s="88">
        <f t="shared" si="1"/>
        <v>0</v>
      </c>
      <c r="N22" s="76">
        <f t="shared" si="2"/>
        <v>308.34914611005689</v>
      </c>
    </row>
    <row r="23" spans="1:14" ht="15" customHeight="1" x14ac:dyDescent="0.25">
      <c r="A23" s="75">
        <v>19</v>
      </c>
      <c r="B23" s="75">
        <v>223</v>
      </c>
      <c r="C23" s="75" t="s">
        <v>938</v>
      </c>
      <c r="D23" s="75" t="s">
        <v>185</v>
      </c>
      <c r="E23" s="86">
        <f>_xlfn.XLOOKUP(B23,'Ratio Master'!$A:$A,'Ratio Master'!$G:$G,"")</f>
        <v>8.0147944643625096E-2</v>
      </c>
      <c r="F23" s="87">
        <f>_xlfn.XLOOKUP(B23,'Ratio Master'!$A:$A,'Ratio Master'!$F:$F,"")</f>
        <v>5.7</v>
      </c>
      <c r="G23" s="88">
        <f t="array" ref="G23">IF(AND(E23&gt;0,F23&gt;0),(F23/E23)+FabRateIncKg,0)</f>
        <v>71.118480022723503</v>
      </c>
      <c r="H23" s="88">
        <f t="shared" si="0"/>
        <v>229.14092625258797</v>
      </c>
      <c r="I23" s="127">
        <v>214.26</v>
      </c>
      <c r="J23" s="124">
        <v>75600</v>
      </c>
      <c r="K23" s="87"/>
      <c r="L23" s="89"/>
      <c r="M23" s="88">
        <f t="shared" si="1"/>
        <v>0</v>
      </c>
      <c r="N23" s="76">
        <f t="shared" si="2"/>
        <v>352.84234108092971</v>
      </c>
    </row>
    <row r="24" spans="1:14" ht="15" customHeight="1" x14ac:dyDescent="0.25">
      <c r="A24" s="75">
        <v>20</v>
      </c>
      <c r="B24" s="75">
        <v>223</v>
      </c>
      <c r="C24" s="75" t="s">
        <v>197</v>
      </c>
      <c r="D24" s="75" t="s">
        <v>185</v>
      </c>
      <c r="E24" s="86">
        <f>_xlfn.XLOOKUP(B24,'Ratio Master'!$A:$A,'Ratio Master'!$G:$G,"")</f>
        <v>8.0147944643625096E-2</v>
      </c>
      <c r="F24" s="87">
        <f>_xlfn.XLOOKUP(B24,'Ratio Master'!$A:$A,'Ratio Master'!$F:$F,"")</f>
        <v>5.7</v>
      </c>
      <c r="G24" s="88">
        <f t="array" ref="G24">IF(AND(E24&gt;0,F24&gt;0),(F24/E24)+FabRateIncKg,0)</f>
        <v>71.118480022723503</v>
      </c>
      <c r="H24" s="88">
        <f t="shared" si="0"/>
        <v>229.14092625258797</v>
      </c>
      <c r="I24" s="127">
        <v>429.7</v>
      </c>
      <c r="J24" s="124">
        <v>155400</v>
      </c>
      <c r="K24" s="87"/>
      <c r="L24" s="89"/>
      <c r="M24" s="88">
        <f t="shared" si="1"/>
        <v>0</v>
      </c>
      <c r="N24" s="76">
        <f t="shared" si="2"/>
        <v>361.6476611589481</v>
      </c>
    </row>
    <row r="25" spans="1:14" ht="15" customHeight="1" x14ac:dyDescent="0.25">
      <c r="A25" s="75">
        <v>21</v>
      </c>
      <c r="B25" s="75">
        <v>226</v>
      </c>
      <c r="C25" s="75" t="s">
        <v>843</v>
      </c>
      <c r="D25" s="75" t="s">
        <v>182</v>
      </c>
      <c r="E25" s="86">
        <f>_xlfn.XLOOKUP(B25,'Ratio Master'!$A:$A,'Ratio Master'!$G:$G,"")</f>
        <v>0.113242516169653</v>
      </c>
      <c r="F25" s="87">
        <f>_xlfn.XLOOKUP(B25,'Ratio Master'!$A:$A,'Ratio Master'!$F:$F,"")</f>
        <v>8.5</v>
      </c>
      <c r="G25" s="88">
        <f t="array" ref="G25">IF(AND(E25&gt;0,F25&gt;0),(F25/E25)+FabRateIncKg,0)</f>
        <v>75.060147791716503</v>
      </c>
      <c r="H25" s="88">
        <f t="shared" si="0"/>
        <v>233.08259402158097</v>
      </c>
      <c r="I25" s="127">
        <v>487.87</v>
      </c>
      <c r="J25" s="124">
        <v>153000</v>
      </c>
      <c r="K25" s="87"/>
      <c r="L25" s="89"/>
      <c r="M25" s="88">
        <f t="shared" si="1"/>
        <v>0</v>
      </c>
      <c r="N25" s="76">
        <f t="shared" si="2"/>
        <v>313.60813331420258</v>
      </c>
    </row>
    <row r="26" spans="1:14" ht="15" customHeight="1" x14ac:dyDescent="0.25">
      <c r="A26" s="75">
        <v>22</v>
      </c>
      <c r="B26" s="75">
        <v>228</v>
      </c>
      <c r="C26" s="75" t="s">
        <v>844</v>
      </c>
      <c r="D26" s="75" t="s">
        <v>182</v>
      </c>
      <c r="E26" s="86">
        <f>_xlfn.XLOOKUP(B26,'Ratio Master'!$A:$A,'Ratio Master'!$G:$G,"")</f>
        <v>0.138610714285714</v>
      </c>
      <c r="F26" s="87">
        <f>_xlfn.XLOOKUP(B26,'Ratio Master'!$A:$A,'Ratio Master'!$F:$F,"")</f>
        <v>12</v>
      </c>
      <c r="G26" s="88">
        <f t="array" ref="G26">IF(AND(E26&gt;0,F26&gt;0),(F26/E26)+FabRateIncKg,0)</f>
        <v>86.573394140836541</v>
      </c>
      <c r="H26" s="88">
        <f t="shared" si="0"/>
        <v>244.59584037070101</v>
      </c>
      <c r="I26" s="127">
        <v>161.4</v>
      </c>
      <c r="J26" s="124">
        <v>55200</v>
      </c>
      <c r="K26" s="87"/>
      <c r="L26" s="89"/>
      <c r="M26" s="88">
        <f t="shared" si="1"/>
        <v>0</v>
      </c>
      <c r="N26" s="76">
        <f t="shared" si="2"/>
        <v>342.0074349442379</v>
      </c>
    </row>
    <row r="27" spans="1:14" ht="15" customHeight="1" x14ac:dyDescent="0.25">
      <c r="A27" s="75">
        <v>23</v>
      </c>
      <c r="B27" s="75">
        <v>232</v>
      </c>
      <c r="C27" s="75" t="s">
        <v>845</v>
      </c>
      <c r="D27" s="75" t="s">
        <v>182</v>
      </c>
      <c r="E27" s="86">
        <f>_xlfn.XLOOKUP(B27,'Ratio Master'!$A:$A,'Ratio Master'!$G:$G,"")</f>
        <v>6.1115216370511302E-2</v>
      </c>
      <c r="F27" s="87">
        <f>_xlfn.XLOOKUP(B27,'Ratio Master'!$A:$A,'Ratio Master'!$F:$F,"")</f>
        <v>5.7</v>
      </c>
      <c r="G27" s="88">
        <f t="array" ref="G27">IF(AND(E27&gt;0,F27&gt;0),(F27/E27)+FabRateIncKg,0)</f>
        <v>93.26646191422644</v>
      </c>
      <c r="H27" s="88">
        <f t="shared" si="0"/>
        <v>251.28890814409093</v>
      </c>
      <c r="I27" s="127">
        <v>2568.39</v>
      </c>
      <c r="J27" s="124">
        <v>722500</v>
      </c>
      <c r="K27" s="87"/>
      <c r="L27" s="89"/>
      <c r="M27" s="88">
        <f t="shared" si="1"/>
        <v>0</v>
      </c>
      <c r="N27" s="76">
        <f t="shared" si="2"/>
        <v>281.30463052729533</v>
      </c>
    </row>
    <row r="28" spans="1:14" ht="15" customHeight="1" x14ac:dyDescent="0.25">
      <c r="A28" s="75">
        <v>24</v>
      </c>
      <c r="B28" s="75">
        <v>234</v>
      </c>
      <c r="C28" s="75" t="s">
        <v>845</v>
      </c>
      <c r="D28" s="75" t="s">
        <v>185</v>
      </c>
      <c r="E28" s="86">
        <f>_xlfn.XLOOKUP(B28,'Ratio Master'!$A:$A,'Ratio Master'!$G:$G,"")</f>
        <v>5.9870659722222198E-2</v>
      </c>
      <c r="F28" s="87">
        <f>_xlfn.XLOOKUP(B28,'Ratio Master'!$A:$A,'Ratio Master'!$F:$F,"")</f>
        <v>5.7</v>
      </c>
      <c r="G28" s="88">
        <f t="array" ref="G28">IF(AND(E28&gt;0,F28&gt;0),(F28/E28)+FabRateIncKg,0)</f>
        <v>95.205231184120905</v>
      </c>
      <c r="H28" s="88">
        <f t="shared" si="0"/>
        <v>253.22767741398539</v>
      </c>
      <c r="I28" s="127">
        <v>1387</v>
      </c>
      <c r="J28" s="124">
        <v>399000</v>
      </c>
      <c r="K28" s="87"/>
      <c r="L28" s="89"/>
      <c r="M28" s="88">
        <f t="shared" si="1"/>
        <v>0</v>
      </c>
      <c r="N28" s="76">
        <f t="shared" si="2"/>
        <v>287.67123287671234</v>
      </c>
    </row>
    <row r="29" spans="1:14" ht="15" customHeight="1" x14ac:dyDescent="0.25">
      <c r="A29" s="75">
        <v>25</v>
      </c>
      <c r="B29" s="75">
        <v>235</v>
      </c>
      <c r="C29" s="75" t="s">
        <v>846</v>
      </c>
      <c r="D29" s="75" t="s">
        <v>182</v>
      </c>
      <c r="E29" s="86">
        <f>_xlfn.XLOOKUP(B29,'Ratio Master'!$A:$A,'Ratio Master'!$G:$G,"")</f>
        <v>6.9799432624113505E-2</v>
      </c>
      <c r="F29" s="87">
        <f>_xlfn.XLOOKUP(B29,'Ratio Master'!$A:$A,'Ratio Master'!$F:$F,"")</f>
        <v>5.7</v>
      </c>
      <c r="G29" s="88">
        <f t="array" ref="G29">IF(AND(E29&gt;0,F29&gt;0),(F29/E29)+FabRateIncKg,0)</f>
        <v>81.66255491926205</v>
      </c>
      <c r="H29" s="88">
        <f t="shared" si="0"/>
        <v>239.68500114912652</v>
      </c>
      <c r="I29" s="127">
        <v>151.18</v>
      </c>
      <c r="J29" s="124">
        <v>49500</v>
      </c>
      <c r="K29" s="87"/>
      <c r="L29" s="89"/>
      <c r="M29" s="88">
        <f t="shared" si="1"/>
        <v>0</v>
      </c>
      <c r="N29" s="76">
        <f t="shared" si="2"/>
        <v>327.42426246858048</v>
      </c>
    </row>
    <row r="30" spans="1:14" ht="15" customHeight="1" x14ac:dyDescent="0.25">
      <c r="A30" s="75">
        <v>26</v>
      </c>
      <c r="B30" s="75">
        <v>238</v>
      </c>
      <c r="C30" s="75" t="s">
        <v>847</v>
      </c>
      <c r="D30" s="75" t="s">
        <v>182</v>
      </c>
      <c r="E30" s="86">
        <f>_xlfn.XLOOKUP(B30,'Ratio Master'!$A:$A,'Ratio Master'!$G:$G,"")</f>
        <v>9.32220319634703E-2</v>
      </c>
      <c r="F30" s="87">
        <f>_xlfn.XLOOKUP(B30,'Ratio Master'!$A:$A,'Ratio Master'!$F:$F,"")</f>
        <v>8.5</v>
      </c>
      <c r="G30" s="88">
        <f t="array" ref="G30">IF(AND(E30&gt;0,F30&gt;0),(F30/E30)+FabRateIncKg,0)</f>
        <v>91.180162253176206</v>
      </c>
      <c r="H30" s="88">
        <f t="shared" si="0"/>
        <v>249.20260848304068</v>
      </c>
      <c r="I30" s="127">
        <v>625.78</v>
      </c>
      <c r="J30" s="124">
        <v>189600</v>
      </c>
      <c r="K30" s="87"/>
      <c r="L30" s="89"/>
      <c r="M30" s="88">
        <f t="shared" si="1"/>
        <v>0</v>
      </c>
      <c r="N30" s="76">
        <f t="shared" si="2"/>
        <v>302.98187861548786</v>
      </c>
    </row>
    <row r="31" spans="1:14" ht="15" customHeight="1" x14ac:dyDescent="0.25">
      <c r="A31" s="75">
        <v>27</v>
      </c>
      <c r="B31" s="75">
        <v>250</v>
      </c>
      <c r="C31" s="75" t="s">
        <v>848</v>
      </c>
      <c r="D31" s="75" t="s">
        <v>182</v>
      </c>
      <c r="E31" s="86">
        <f>_xlfn.XLOOKUP(B31,'Ratio Master'!$A:$A,'Ratio Master'!$G:$G,"")</f>
        <v>0.106005850285866</v>
      </c>
      <c r="F31" s="87">
        <f>_xlfn.XLOOKUP(B31,'Ratio Master'!$A:$A,'Ratio Master'!$F:$F,"")</f>
        <v>10</v>
      </c>
      <c r="G31" s="88">
        <f t="array" ref="G31">IF(AND(E31&gt;0,F31&gt;0),(F31/E31)+FabRateIncKg,0)</f>
        <v>94.33441619526657</v>
      </c>
      <c r="H31" s="88">
        <f t="shared" si="0"/>
        <v>252.35686242513103</v>
      </c>
      <c r="I31" s="127">
        <v>104.5</v>
      </c>
      <c r="J31" s="124">
        <v>31000</v>
      </c>
      <c r="K31" s="87"/>
      <c r="L31" s="89"/>
      <c r="M31" s="88">
        <f t="shared" si="1"/>
        <v>0</v>
      </c>
      <c r="N31" s="76">
        <f t="shared" si="2"/>
        <v>296.6507177033493</v>
      </c>
    </row>
    <row r="32" spans="1:14" ht="15" customHeight="1" x14ac:dyDescent="0.25">
      <c r="A32" s="75">
        <v>28</v>
      </c>
      <c r="B32" s="75">
        <v>258</v>
      </c>
      <c r="C32" s="75" t="s">
        <v>849</v>
      </c>
      <c r="D32" s="75" t="s">
        <v>182</v>
      </c>
      <c r="E32" s="86">
        <f>_xlfn.XLOOKUP(B32,'Ratio Master'!$A:$A,'Ratio Master'!$G:$G,"")</f>
        <v>5.0812124901806803E-2</v>
      </c>
      <c r="F32" s="87">
        <f>_xlfn.XLOOKUP(B32,'Ratio Master'!$A:$A,'Ratio Master'!$F:$F,"")</f>
        <v>5.7</v>
      </c>
      <c r="G32" s="88">
        <f t="array" ref="G32">IF(AND(E32&gt;0,F32&gt;0),(F32/E32)+FabRateIncKg,0)</f>
        <v>112.17794986954613</v>
      </c>
      <c r="H32" s="88">
        <f t="shared" si="0"/>
        <v>270.20039609941057</v>
      </c>
      <c r="I32" s="127">
        <v>7197.34</v>
      </c>
      <c r="J32" s="124">
        <v>2104750</v>
      </c>
      <c r="K32" s="87"/>
      <c r="L32" s="89"/>
      <c r="M32" s="88">
        <f t="shared" si="1"/>
        <v>0</v>
      </c>
      <c r="N32" s="76">
        <f t="shared" si="2"/>
        <v>292.4344271633687</v>
      </c>
    </row>
    <row r="33" spans="1:14" ht="15" customHeight="1" x14ac:dyDescent="0.25">
      <c r="A33" s="75">
        <v>29</v>
      </c>
      <c r="B33" s="75">
        <v>271</v>
      </c>
      <c r="C33" s="75" t="s">
        <v>850</v>
      </c>
      <c r="D33" s="75" t="s">
        <v>182</v>
      </c>
      <c r="E33" s="86">
        <f>_xlfn.XLOOKUP(B33,'Ratio Master'!$A:$A,'Ratio Master'!$G:$G,"")</f>
        <v>5.9506799336650103E-2</v>
      </c>
      <c r="F33" s="87">
        <f>_xlfn.XLOOKUP(B33,'Ratio Master'!$A:$A,'Ratio Master'!$F:$F,"")</f>
        <v>5.7</v>
      </c>
      <c r="G33" s="88">
        <f t="array" ref="G33">IF(AND(E33&gt;0,F33&gt;0),(F33/E33)+FabRateIncKg,0)</f>
        <v>95.787373267266005</v>
      </c>
      <c r="H33" s="88">
        <f t="shared" si="0"/>
        <v>253.80981949713046</v>
      </c>
      <c r="I33" s="127">
        <v>156.46</v>
      </c>
      <c r="J33" s="124">
        <v>49950</v>
      </c>
      <c r="K33" s="87"/>
      <c r="L33" s="89"/>
      <c r="M33" s="88">
        <f t="shared" si="1"/>
        <v>0</v>
      </c>
      <c r="N33" s="76">
        <f t="shared" si="2"/>
        <v>319.25092675444199</v>
      </c>
    </row>
    <row r="34" spans="1:14" ht="15" customHeight="1" x14ac:dyDescent="0.25">
      <c r="A34" s="75">
        <v>30</v>
      </c>
      <c r="B34" s="75">
        <v>401</v>
      </c>
      <c r="C34" s="75" t="s">
        <v>852</v>
      </c>
      <c r="D34" s="75" t="s">
        <v>182</v>
      </c>
      <c r="E34" s="86">
        <f>_xlfn.XLOOKUP(B34,'Ratio Master'!$A:$A,'Ratio Master'!$G:$G,"")</f>
        <v>0.14875675675675701</v>
      </c>
      <c r="F34" s="87">
        <f>_xlfn.XLOOKUP(B34,'Ratio Master'!$A:$A,'Ratio Master'!$F:$F,"")</f>
        <v>5.75</v>
      </c>
      <c r="G34" s="88">
        <f t="array" ref="G34">IF(AND(E34&gt;0,F34&gt;0),(F34/E34)+FabRateIncKg,0)</f>
        <v>38.65370639534877</v>
      </c>
      <c r="H34" s="88">
        <f t="shared" si="0"/>
        <v>196.67615262521323</v>
      </c>
      <c r="I34" s="127">
        <v>52.8</v>
      </c>
      <c r="J34" s="124">
        <v>13320</v>
      </c>
      <c r="K34" s="87"/>
      <c r="L34" s="89"/>
      <c r="M34" s="88">
        <f t="shared" si="1"/>
        <v>0</v>
      </c>
      <c r="N34" s="76">
        <f t="shared" si="2"/>
        <v>252.27272727272728</v>
      </c>
    </row>
    <row r="35" spans="1:14" ht="15" customHeight="1" x14ac:dyDescent="0.25">
      <c r="A35" s="75">
        <v>31</v>
      </c>
      <c r="B35" s="75">
        <v>404</v>
      </c>
      <c r="C35" s="75" t="s">
        <v>853</v>
      </c>
      <c r="D35" s="75" t="s">
        <v>182</v>
      </c>
      <c r="E35" s="86">
        <f>_xlfn.XLOOKUP(B35,'Ratio Master'!$A:$A,'Ratio Master'!$G:$G,"")</f>
        <v>0.114356093344857</v>
      </c>
      <c r="F35" s="87">
        <f>_xlfn.XLOOKUP(B35,'Ratio Master'!$A:$A,'Ratio Master'!$F:$F,"")</f>
        <v>5.75</v>
      </c>
      <c r="G35" s="88">
        <f t="array" ref="G35">IF(AND(E35&gt;0,F35&gt;0),(F35/E35)+FabRateIncKg,0)</f>
        <v>50.281535787166675</v>
      </c>
      <c r="H35" s="88">
        <f t="shared" si="0"/>
        <v>208.30398201703113</v>
      </c>
      <c r="I35" s="127">
        <v>307.89999999999998</v>
      </c>
      <c r="J35" s="124">
        <v>99000</v>
      </c>
      <c r="K35" s="87"/>
      <c r="L35" s="89"/>
      <c r="M35" s="88">
        <f t="shared" si="1"/>
        <v>0</v>
      </c>
      <c r="N35" s="76">
        <f t="shared" si="2"/>
        <v>321.53296524845729</v>
      </c>
    </row>
    <row r="36" spans="1:14" ht="15" customHeight="1" x14ac:dyDescent="0.25">
      <c r="A36" s="75">
        <v>32</v>
      </c>
      <c r="B36" s="75">
        <v>406</v>
      </c>
      <c r="C36" s="75" t="s">
        <v>854</v>
      </c>
      <c r="D36" s="75" t="s">
        <v>182</v>
      </c>
      <c r="E36" s="86">
        <f>_xlfn.XLOOKUP(B36,'Ratio Master'!$A:$A,'Ratio Master'!$G:$G,"")</f>
        <v>0.232685185185185</v>
      </c>
      <c r="F36" s="87">
        <f>_xlfn.XLOOKUP(B36,'Ratio Master'!$A:$A,'Ratio Master'!$F:$F,"")</f>
        <v>11.5</v>
      </c>
      <c r="G36" s="88">
        <f t="array" ref="G36">IF(AND(E36&gt;0,F36&gt;0),(F36/E36)+FabRateIncKg,0)</f>
        <v>49.423000397930799</v>
      </c>
      <c r="H36" s="88">
        <f t="shared" si="0"/>
        <v>207.44544662779526</v>
      </c>
      <c r="I36" s="127">
        <v>116.18</v>
      </c>
      <c r="J36" s="124">
        <v>35040</v>
      </c>
      <c r="K36" s="87"/>
      <c r="L36" s="89"/>
      <c r="M36" s="88">
        <f t="shared" si="1"/>
        <v>0</v>
      </c>
      <c r="N36" s="76">
        <f t="shared" si="2"/>
        <v>301.60096402134616</v>
      </c>
    </row>
    <row r="37" spans="1:14" ht="15" customHeight="1" x14ac:dyDescent="0.25">
      <c r="A37" s="75">
        <v>33</v>
      </c>
      <c r="B37" s="75">
        <v>419</v>
      </c>
      <c r="C37" s="75" t="s">
        <v>855</v>
      </c>
      <c r="D37" s="75" t="s">
        <v>187</v>
      </c>
      <c r="E37" s="86">
        <f>_xlfn.XLOOKUP(B37,'Ratio Master'!$A:$A,'Ratio Master'!$G:$G,"")</f>
        <v>0.116054750402577</v>
      </c>
      <c r="F37" s="87">
        <f>_xlfn.XLOOKUP(B37,'Ratio Master'!$A:$A,'Ratio Master'!$F:$F,"")</f>
        <v>6.5</v>
      </c>
      <c r="G37" s="88">
        <f t="array" ref="G37">IF(AND(E37&gt;0,F37&gt;0),(F37/E37)+FabRateIncKg,0)</f>
        <v>56.008047731372031</v>
      </c>
      <c r="H37" s="88">
        <f t="shared" si="0"/>
        <v>214.03049396123649</v>
      </c>
      <c r="I37" s="127">
        <v>95.6</v>
      </c>
      <c r="J37" s="124">
        <v>32400</v>
      </c>
      <c r="K37" s="87"/>
      <c r="L37" s="89"/>
      <c r="M37" s="88">
        <f t="shared" si="1"/>
        <v>0</v>
      </c>
      <c r="N37" s="76">
        <f t="shared" si="2"/>
        <v>338.91213389121339</v>
      </c>
    </row>
    <row r="38" spans="1:14" ht="15" customHeight="1" x14ac:dyDescent="0.25">
      <c r="A38" s="75">
        <v>34</v>
      </c>
      <c r="B38" s="75">
        <v>423</v>
      </c>
      <c r="C38" s="75" t="s">
        <v>856</v>
      </c>
      <c r="D38" s="75" t="s">
        <v>191</v>
      </c>
      <c r="E38" s="86">
        <f>_xlfn.XLOOKUP(B38,'Ratio Master'!$A:$A,'Ratio Master'!$G:$G,"")</f>
        <v>0.13369343065693401</v>
      </c>
      <c r="F38" s="87">
        <f>_xlfn.XLOOKUP(B38,'Ratio Master'!$A:$A,'Ratio Master'!$F:$F,"")</f>
        <v>7.5</v>
      </c>
      <c r="G38" s="88">
        <f t="array" ref="G38">IF(AND(E38&gt;0,F38&gt;0),(F38/E38)+FabRateIncKg,0)</f>
        <v>56.09849312076885</v>
      </c>
      <c r="H38" s="88">
        <f t="shared" si="0"/>
        <v>214.12093935063334</v>
      </c>
      <c r="I38" s="127">
        <v>175.2</v>
      </c>
      <c r="J38" s="124">
        <v>54000</v>
      </c>
      <c r="K38" s="87"/>
      <c r="L38" s="89"/>
      <c r="M38" s="88">
        <f t="shared" si="1"/>
        <v>0</v>
      </c>
      <c r="N38" s="76">
        <f t="shared" si="2"/>
        <v>308.21917808219177</v>
      </c>
    </row>
    <row r="39" spans="1:14" ht="15" customHeight="1" x14ac:dyDescent="0.25">
      <c r="A39" s="75">
        <v>35</v>
      </c>
      <c r="B39" s="75">
        <v>428</v>
      </c>
      <c r="C39" s="75" t="s">
        <v>856</v>
      </c>
      <c r="D39" s="75" t="s">
        <v>187</v>
      </c>
      <c r="E39" s="86">
        <f>_xlfn.XLOOKUP(B39,'Ratio Master'!$A:$A,'Ratio Master'!$G:$G,"")</f>
        <v>0.13800000000000001</v>
      </c>
      <c r="F39" s="87">
        <f>_xlfn.XLOOKUP(B39,'Ratio Master'!$A:$A,'Ratio Master'!$F:$F,"")</f>
        <v>7.5</v>
      </c>
      <c r="G39" s="88">
        <f t="array" ref="G39">IF(AND(E39&gt;0,F39&gt;0),(F39/E39)+FabRateIncKg,0)</f>
        <v>54.347826086956516</v>
      </c>
      <c r="H39" s="88">
        <f t="shared" si="0"/>
        <v>212.37027231682097</v>
      </c>
      <c r="I39" s="127">
        <v>131</v>
      </c>
      <c r="J39" s="124">
        <v>36900</v>
      </c>
      <c r="K39" s="87"/>
      <c r="L39" s="89"/>
      <c r="M39" s="88">
        <f t="shared" si="1"/>
        <v>0</v>
      </c>
      <c r="N39" s="76">
        <f t="shared" si="2"/>
        <v>281.67938931297709</v>
      </c>
    </row>
    <row r="40" spans="1:14" ht="15" customHeight="1" x14ac:dyDescent="0.25">
      <c r="A40" s="75">
        <v>36</v>
      </c>
      <c r="B40" s="75">
        <v>438</v>
      </c>
      <c r="C40" s="75" t="s">
        <v>860</v>
      </c>
      <c r="D40" s="75" t="s">
        <v>199</v>
      </c>
      <c r="E40" s="86">
        <f>_xlfn.XLOOKUP(B40,'Ratio Master'!$A:$A,'Ratio Master'!$G:$G,"")</f>
        <v>0.23072149122807001</v>
      </c>
      <c r="F40" s="87">
        <f>_xlfn.XLOOKUP(B40,'Ratio Master'!$A:$A,'Ratio Master'!$F:$F,"")</f>
        <v>13</v>
      </c>
      <c r="G40" s="88">
        <f t="array" ref="G40">IF(AND(E40&gt;0,F40&gt;0),(F40/E40)+FabRateIncKg,0)</f>
        <v>56.3449894970963</v>
      </c>
      <c r="H40" s="88">
        <f t="shared" si="0"/>
        <v>214.36743572696076</v>
      </c>
      <c r="I40" s="127">
        <v>275.60000000000002</v>
      </c>
      <c r="J40" s="124">
        <v>73200</v>
      </c>
      <c r="K40" s="87"/>
      <c r="L40" s="89"/>
      <c r="M40" s="88">
        <f t="shared" si="1"/>
        <v>0</v>
      </c>
      <c r="N40" s="76">
        <f t="shared" si="2"/>
        <v>265.60232220609578</v>
      </c>
    </row>
    <row r="41" spans="1:14" ht="15" customHeight="1" x14ac:dyDescent="0.25">
      <c r="A41" s="75">
        <v>37</v>
      </c>
      <c r="B41" s="75">
        <v>439</v>
      </c>
      <c r="C41" s="75" t="s">
        <v>860</v>
      </c>
      <c r="D41" s="75" t="s">
        <v>187</v>
      </c>
      <c r="E41" s="86">
        <f>_xlfn.XLOOKUP(B41,'Ratio Master'!$A:$A,'Ratio Master'!$G:$G,"")</f>
        <v>0.241213689962611</v>
      </c>
      <c r="F41" s="87">
        <f>_xlfn.XLOOKUP(B41,'Ratio Master'!$A:$A,'Ratio Master'!$F:$F,"")</f>
        <v>13</v>
      </c>
      <c r="G41" s="88">
        <f t="array" ref="G41">IF(AND(E41&gt;0,F41&gt;0),(F41/E41)+FabRateIncKg,0)</f>
        <v>53.894121855252273</v>
      </c>
      <c r="H41" s="88">
        <f t="shared" si="0"/>
        <v>211.91656808511675</v>
      </c>
      <c r="I41" s="127">
        <v>702</v>
      </c>
      <c r="J41" s="124">
        <v>225000</v>
      </c>
      <c r="K41" s="87">
        <v>2933.5</v>
      </c>
      <c r="L41" s="89">
        <v>856936</v>
      </c>
      <c r="M41" s="88">
        <f t="shared" si="1"/>
        <v>292.12067496164991</v>
      </c>
      <c r="N41" s="76">
        <f t="shared" si="2"/>
        <v>320.5128205128205</v>
      </c>
    </row>
    <row r="42" spans="1:14" ht="15" customHeight="1" x14ac:dyDescent="0.25">
      <c r="A42" s="75">
        <v>38</v>
      </c>
      <c r="B42" s="75">
        <v>445</v>
      </c>
      <c r="C42" s="75" t="s">
        <v>861</v>
      </c>
      <c r="D42" s="75" t="s">
        <v>200</v>
      </c>
      <c r="E42" s="86">
        <f>_xlfn.XLOOKUP(B42,'Ratio Master'!$A:$A,'Ratio Master'!$G:$G,"")</f>
        <v>8.2414277180406198E-2</v>
      </c>
      <c r="F42" s="87">
        <f>_xlfn.XLOOKUP(B42,'Ratio Master'!$A:$A,'Ratio Master'!$F:$F,"")</f>
        <v>6</v>
      </c>
      <c r="G42" s="88">
        <f t="array" ref="G42">IF(AND(E42&gt;0,F42&gt;0),(F42/E42)+FabRateIncKg,0)</f>
        <v>72.802919655121187</v>
      </c>
      <c r="H42" s="88">
        <f t="shared" si="0"/>
        <v>230.82536588498564</v>
      </c>
      <c r="I42" s="127">
        <v>432.8</v>
      </c>
      <c r="J42" s="124">
        <v>91800</v>
      </c>
      <c r="K42" s="87"/>
      <c r="L42" s="89"/>
      <c r="M42" s="88">
        <f t="shared" si="1"/>
        <v>0</v>
      </c>
      <c r="N42" s="76">
        <f t="shared" si="2"/>
        <v>212.10720887245841</v>
      </c>
    </row>
    <row r="43" spans="1:14" ht="15" customHeight="1" x14ac:dyDescent="0.25">
      <c r="A43" s="75">
        <v>39</v>
      </c>
      <c r="B43" s="75">
        <v>451</v>
      </c>
      <c r="C43" s="75" t="s">
        <v>861</v>
      </c>
      <c r="D43" s="75" t="s">
        <v>863</v>
      </c>
      <c r="E43" s="86">
        <f>_xlfn.XLOOKUP(B43,'Ratio Master'!$A:$A,'Ratio Master'!$G:$G,"")</f>
        <v>7.9495301153353307E-2</v>
      </c>
      <c r="F43" s="87">
        <f>_xlfn.XLOOKUP(B43,'Ratio Master'!$A:$A,'Ratio Master'!$F:$F,"")</f>
        <v>6</v>
      </c>
      <c r="G43" s="88">
        <f t="array" ref="G43">IF(AND(E43&gt;0,F43&gt;0),(F43/E43)+FabRateIncKg,0)</f>
        <v>75.476159130782861</v>
      </c>
      <c r="H43" s="88">
        <f t="shared" si="0"/>
        <v>233.49860536064733</v>
      </c>
      <c r="I43" s="127">
        <v>1192.0999999999999</v>
      </c>
      <c r="J43" s="124">
        <v>261360</v>
      </c>
      <c r="K43" s="87">
        <v>590.4</v>
      </c>
      <c r="L43" s="89">
        <v>127500</v>
      </c>
      <c r="M43" s="88">
        <f t="shared" si="1"/>
        <v>215.95528455284554</v>
      </c>
      <c r="N43" s="76">
        <f t="shared" si="2"/>
        <v>219.24335206777957</v>
      </c>
    </row>
    <row r="44" spans="1:14" ht="15" customHeight="1" x14ac:dyDescent="0.25">
      <c r="A44" s="75">
        <v>40</v>
      </c>
      <c r="B44" s="75">
        <v>453</v>
      </c>
      <c r="C44" s="75" t="s">
        <v>861</v>
      </c>
      <c r="D44" s="75" t="s">
        <v>185</v>
      </c>
      <c r="E44" s="86">
        <f>_xlfn.XLOOKUP(B44,'Ratio Master'!$A:$A,'Ratio Master'!$G:$G,"")</f>
        <v>8.81333333333333E-2</v>
      </c>
      <c r="F44" s="87">
        <f>_xlfn.XLOOKUP(B44,'Ratio Master'!$A:$A,'Ratio Master'!$F:$F,"")</f>
        <v>6</v>
      </c>
      <c r="G44" s="88">
        <f t="array" ref="G44">IF(AND(E44&gt;0,F44&gt;0),(F44/E44)+FabRateIncKg,0)</f>
        <v>68.078668683812438</v>
      </c>
      <c r="H44" s="88">
        <f t="shared" si="0"/>
        <v>226.10111491367692</v>
      </c>
      <c r="I44" s="127">
        <v>161.6</v>
      </c>
      <c r="J44" s="124">
        <v>45000</v>
      </c>
      <c r="K44" s="87"/>
      <c r="L44" s="89"/>
      <c r="M44" s="88">
        <f t="shared" si="1"/>
        <v>0</v>
      </c>
      <c r="N44" s="76">
        <f t="shared" si="2"/>
        <v>278.46534653465346</v>
      </c>
    </row>
    <row r="45" spans="1:14" ht="15" customHeight="1" x14ac:dyDescent="0.25">
      <c r="A45" s="75">
        <v>41</v>
      </c>
      <c r="B45" s="75">
        <v>454</v>
      </c>
      <c r="C45" s="75" t="s">
        <v>861</v>
      </c>
      <c r="D45" s="75" t="s">
        <v>187</v>
      </c>
      <c r="E45" s="86">
        <f>_xlfn.XLOOKUP(B45,'Ratio Master'!$A:$A,'Ratio Master'!$G:$G,"")</f>
        <v>8.8795750758793104E-2</v>
      </c>
      <c r="F45" s="87">
        <f>_xlfn.XLOOKUP(B45,'Ratio Master'!$A:$A,'Ratio Master'!$F:$F,"")</f>
        <v>6</v>
      </c>
      <c r="G45" s="88">
        <f t="array" ref="G45">IF(AND(E45&gt;0,F45&gt;0),(F45/E45)+FabRateIncKg,0)</f>
        <v>67.570800953060726</v>
      </c>
      <c r="H45" s="88">
        <f t="shared" si="0"/>
        <v>225.59324718292518</v>
      </c>
      <c r="I45" s="127">
        <v>427.7</v>
      </c>
      <c r="J45" s="124">
        <v>124200</v>
      </c>
      <c r="K45" s="87">
        <v>1352</v>
      </c>
      <c r="L45" s="89">
        <v>380496</v>
      </c>
      <c r="M45" s="88">
        <f t="shared" si="1"/>
        <v>281.43195266272187</v>
      </c>
      <c r="N45" s="76">
        <f t="shared" si="2"/>
        <v>290.39046060322659</v>
      </c>
    </row>
    <row r="46" spans="1:14" ht="15" customHeight="1" x14ac:dyDescent="0.25">
      <c r="A46" s="75">
        <v>42</v>
      </c>
      <c r="B46" s="75">
        <v>456</v>
      </c>
      <c r="C46" s="75" t="s">
        <v>864</v>
      </c>
      <c r="D46" s="75" t="s">
        <v>200</v>
      </c>
      <c r="E46" s="86">
        <f>_xlfn.XLOOKUP(B46,'Ratio Master'!$A:$A,'Ratio Master'!$G:$G,"")</f>
        <v>0.102662337662338</v>
      </c>
      <c r="F46" s="87">
        <f>_xlfn.XLOOKUP(B46,'Ratio Master'!$A:$A,'Ratio Master'!$F:$F,"")</f>
        <v>5.75</v>
      </c>
      <c r="G46" s="88">
        <f t="array" ref="G46">IF(AND(E46&gt;0,F46&gt;0),(F46/E46)+FabRateIncKg,0)</f>
        <v>56.008855154965026</v>
      </c>
      <c r="H46" s="88">
        <f t="shared" si="0"/>
        <v>214.0313013848295</v>
      </c>
      <c r="I46" s="127">
        <v>734.3</v>
      </c>
      <c r="J46" s="124">
        <v>187200</v>
      </c>
      <c r="K46" s="87"/>
      <c r="L46" s="89"/>
      <c r="M46" s="88">
        <f t="shared" si="1"/>
        <v>0</v>
      </c>
      <c r="N46" s="76">
        <f t="shared" si="2"/>
        <v>254.93667438376687</v>
      </c>
    </row>
    <row r="47" spans="1:14" ht="15" customHeight="1" x14ac:dyDescent="0.25">
      <c r="A47" s="75">
        <v>43</v>
      </c>
      <c r="B47" s="75">
        <v>457</v>
      </c>
      <c r="C47" s="75" t="s">
        <v>864</v>
      </c>
      <c r="D47" s="75" t="s">
        <v>182</v>
      </c>
      <c r="E47" s="86">
        <f>_xlfn.XLOOKUP(B47,'Ratio Master'!$A:$A,'Ratio Master'!$G:$G,"")</f>
        <v>0.100302904564315</v>
      </c>
      <c r="F47" s="87">
        <f>_xlfn.XLOOKUP(B47,'Ratio Master'!$A:$A,'Ratio Master'!$F:$F,"")</f>
        <v>5.75</v>
      </c>
      <c r="G47" s="88">
        <f t="array" ref="G47">IF(AND(E47&gt;0,F47&gt;0),(F47/E47)+FabRateIncKg,0)</f>
        <v>57.326355851570135</v>
      </c>
      <c r="H47" s="88">
        <f t="shared" si="0"/>
        <v>215.3488020814346</v>
      </c>
      <c r="I47" s="127">
        <v>2095.1</v>
      </c>
      <c r="J47" s="124">
        <v>546000</v>
      </c>
      <c r="K47" s="87">
        <v>113.5</v>
      </c>
      <c r="L47" s="89">
        <v>24420</v>
      </c>
      <c r="M47" s="88">
        <f t="shared" si="1"/>
        <v>215.15418502202644</v>
      </c>
      <c r="N47" s="76">
        <f t="shared" si="2"/>
        <v>260.60808553291014</v>
      </c>
    </row>
    <row r="48" spans="1:14" ht="15" customHeight="1" x14ac:dyDescent="0.25">
      <c r="A48" s="75">
        <v>44</v>
      </c>
      <c r="B48" s="75">
        <v>458</v>
      </c>
      <c r="C48" s="75" t="s">
        <v>864</v>
      </c>
      <c r="D48" s="75" t="s">
        <v>858</v>
      </c>
      <c r="E48" s="86">
        <f>_xlfn.XLOOKUP(B48,'Ratio Master'!$A:$A,'Ratio Master'!$G:$G,"")</f>
        <v>9.8459218463152406E-2</v>
      </c>
      <c r="F48" s="87">
        <f>_xlfn.XLOOKUP(B48,'Ratio Master'!$A:$A,'Ratio Master'!$F:$F,"")</f>
        <v>5.75</v>
      </c>
      <c r="G48" s="88">
        <f t="array" ref="G48">IF(AND(E48&gt;0,F48&gt;0),(F48/E48)+FabRateIncKg,0)</f>
        <v>58.399813544649376</v>
      </c>
      <c r="H48" s="88">
        <f t="shared" si="0"/>
        <v>216.42225977451383</v>
      </c>
      <c r="I48" s="127">
        <v>1807.2</v>
      </c>
      <c r="J48" s="124">
        <v>468990</v>
      </c>
      <c r="K48" s="87"/>
      <c r="L48" s="89"/>
      <c r="M48" s="88">
        <f t="shared" si="1"/>
        <v>0</v>
      </c>
      <c r="N48" s="76">
        <f t="shared" si="2"/>
        <v>259.51195219123503</v>
      </c>
    </row>
    <row r="49" spans="1:14" ht="15" customHeight="1" x14ac:dyDescent="0.25">
      <c r="A49" s="75">
        <v>45</v>
      </c>
      <c r="B49" s="75">
        <v>459</v>
      </c>
      <c r="C49" s="75" t="s">
        <v>864</v>
      </c>
      <c r="D49" s="75" t="s">
        <v>188</v>
      </c>
      <c r="E49" s="86">
        <f>_xlfn.XLOOKUP(B49,'Ratio Master'!$A:$A,'Ratio Master'!$G:$G,"")</f>
        <v>9.9565340909090902E-2</v>
      </c>
      <c r="F49" s="87">
        <f>_xlfn.XLOOKUP(B49,'Ratio Master'!$A:$A,'Ratio Master'!$F:$F,"")</f>
        <v>5.75</v>
      </c>
      <c r="G49" s="88">
        <f t="array" ref="G49">IF(AND(E49&gt;0,F49&gt;0),(F49/E49)+FabRateIncKg,0)</f>
        <v>57.751020058778217</v>
      </c>
      <c r="H49" s="88">
        <f t="shared" si="0"/>
        <v>215.77346628864268</v>
      </c>
      <c r="I49" s="127">
        <v>1501.8</v>
      </c>
      <c r="J49" s="124">
        <v>390000</v>
      </c>
      <c r="K49" s="87">
        <v>455.5</v>
      </c>
      <c r="L49" s="89">
        <v>103840</v>
      </c>
      <c r="M49" s="88">
        <f t="shared" si="1"/>
        <v>227.96926454445665</v>
      </c>
      <c r="N49" s="76">
        <f t="shared" si="2"/>
        <v>259.68837395125848</v>
      </c>
    </row>
    <row r="50" spans="1:14" ht="15" customHeight="1" x14ac:dyDescent="0.25">
      <c r="A50" s="75">
        <v>46</v>
      </c>
      <c r="B50" s="75">
        <v>460</v>
      </c>
      <c r="C50" s="75" t="s">
        <v>864</v>
      </c>
      <c r="D50" s="75" t="s">
        <v>191</v>
      </c>
      <c r="E50" s="86">
        <f>_xlfn.XLOOKUP(B50,'Ratio Master'!$A:$A,'Ratio Master'!$G:$G,"")</f>
        <v>0.101742785730516</v>
      </c>
      <c r="F50" s="87">
        <f>_xlfn.XLOOKUP(B50,'Ratio Master'!$A:$A,'Ratio Master'!$F:$F,"")</f>
        <v>5.75</v>
      </c>
      <c r="G50" s="88">
        <f t="array" ref="G50">IF(AND(E50&gt;0,F50&gt;0),(F50/E50)+FabRateIncKg,0)</f>
        <v>56.515063537083655</v>
      </c>
      <c r="H50" s="88">
        <f t="shared" si="0"/>
        <v>214.53750976694812</v>
      </c>
      <c r="I50" s="127">
        <v>205.1</v>
      </c>
      <c r="J50" s="124">
        <v>63000</v>
      </c>
      <c r="K50" s="87"/>
      <c r="L50" s="89"/>
      <c r="M50" s="88">
        <f t="shared" si="1"/>
        <v>0</v>
      </c>
      <c r="N50" s="76">
        <f t="shared" si="2"/>
        <v>307.16723549488057</v>
      </c>
    </row>
    <row r="51" spans="1:14" ht="15" customHeight="1" x14ac:dyDescent="0.25">
      <c r="A51" s="75">
        <v>47</v>
      </c>
      <c r="B51" s="75">
        <v>468</v>
      </c>
      <c r="C51" s="75" t="s">
        <v>864</v>
      </c>
      <c r="D51" s="75" t="s">
        <v>187</v>
      </c>
      <c r="E51" s="86">
        <f>_xlfn.XLOOKUP(B51,'Ratio Master'!$A:$A,'Ratio Master'!$G:$G,"")</f>
        <v>0.10056971014492801</v>
      </c>
      <c r="F51" s="87">
        <f>_xlfn.XLOOKUP(B51,'Ratio Master'!$A:$A,'Ratio Master'!$F:$F,"")</f>
        <v>5.75</v>
      </c>
      <c r="G51" s="88">
        <f t="array" ref="G51">IF(AND(E51&gt;0,F51&gt;0),(F51/E51)+FabRateIncKg,0)</f>
        <v>57.174272370019231</v>
      </c>
      <c r="H51" s="88">
        <f t="shared" si="0"/>
        <v>215.1967185998837</v>
      </c>
      <c r="I51" s="127">
        <v>299.60000000000002</v>
      </c>
      <c r="J51" s="124">
        <v>90000</v>
      </c>
      <c r="K51" s="87"/>
      <c r="L51" s="89"/>
      <c r="M51" s="88">
        <f t="shared" si="1"/>
        <v>0</v>
      </c>
      <c r="N51" s="76">
        <f t="shared" si="2"/>
        <v>300.40053404539384</v>
      </c>
    </row>
    <row r="52" spans="1:14" ht="15" customHeight="1" x14ac:dyDescent="0.25">
      <c r="A52" s="75">
        <v>48</v>
      </c>
      <c r="B52" s="75">
        <v>469</v>
      </c>
      <c r="C52" s="75" t="s">
        <v>865</v>
      </c>
      <c r="D52" s="75" t="s">
        <v>200</v>
      </c>
      <c r="E52" s="86">
        <f>_xlfn.XLOOKUP(B52,'Ratio Master'!$A:$A,'Ratio Master'!$G:$G,"")</f>
        <v>0.122735042735043</v>
      </c>
      <c r="F52" s="87">
        <f>_xlfn.XLOOKUP(B52,'Ratio Master'!$A:$A,'Ratio Master'!$F:$F,"")</f>
        <v>6.75</v>
      </c>
      <c r="G52" s="88">
        <f t="array" ref="G52">IF(AND(E52&gt;0,F52&gt;0),(F52/E52)+FabRateIncKg,0)</f>
        <v>54.996518105849461</v>
      </c>
      <c r="H52" s="88">
        <f t="shared" si="0"/>
        <v>213.01896433571395</v>
      </c>
      <c r="I52" s="127">
        <v>850</v>
      </c>
      <c r="J52" s="124">
        <v>219375</v>
      </c>
      <c r="K52" s="87"/>
      <c r="L52" s="89"/>
      <c r="M52" s="88">
        <f t="shared" si="1"/>
        <v>0</v>
      </c>
      <c r="N52" s="76">
        <f t="shared" si="2"/>
        <v>258.08823529411762</v>
      </c>
    </row>
    <row r="53" spans="1:14" ht="15" customHeight="1" x14ac:dyDescent="0.25">
      <c r="A53" s="75">
        <v>49</v>
      </c>
      <c r="B53" s="75">
        <v>470</v>
      </c>
      <c r="C53" s="75" t="s">
        <v>865</v>
      </c>
      <c r="D53" s="75" t="s">
        <v>182</v>
      </c>
      <c r="E53" s="86">
        <f>_xlfn.XLOOKUP(B53,'Ratio Master'!$A:$A,'Ratio Master'!$G:$G,"")</f>
        <v>0.125510569523237</v>
      </c>
      <c r="F53" s="87">
        <f>_xlfn.XLOOKUP(B53,'Ratio Master'!$A:$A,'Ratio Master'!$F:$F,"")</f>
        <v>6.75</v>
      </c>
      <c r="G53" s="88">
        <f t="array" ref="G53">IF(AND(E53&gt;0,F53&gt;0),(F53/E53)+FabRateIncKg,0)</f>
        <v>53.780331215454382</v>
      </c>
      <c r="H53" s="88">
        <f t="shared" si="0"/>
        <v>211.80277744531887</v>
      </c>
      <c r="I53" s="127">
        <v>2851.9</v>
      </c>
      <c r="J53" s="124">
        <v>731250</v>
      </c>
      <c r="K53" s="87"/>
      <c r="L53" s="89"/>
      <c r="M53" s="88">
        <f t="shared" si="1"/>
        <v>0</v>
      </c>
      <c r="N53" s="76">
        <f t="shared" si="2"/>
        <v>256.40800869595705</v>
      </c>
    </row>
    <row r="54" spans="1:14" ht="15" customHeight="1" x14ac:dyDescent="0.25">
      <c r="A54" s="75">
        <v>50</v>
      </c>
      <c r="B54" s="75">
        <v>471</v>
      </c>
      <c r="C54" s="75" t="s">
        <v>865</v>
      </c>
      <c r="D54" s="75" t="s">
        <v>858</v>
      </c>
      <c r="E54" s="86">
        <f>_xlfn.XLOOKUP(B54,'Ratio Master'!$A:$A,'Ratio Master'!$G:$G,"")</f>
        <v>0.12442672741078201</v>
      </c>
      <c r="F54" s="87">
        <f>_xlfn.XLOOKUP(B54,'Ratio Master'!$A:$A,'Ratio Master'!$F:$F,"")</f>
        <v>6.75</v>
      </c>
      <c r="G54" s="88">
        <f t="array" ref="G54">IF(AND(E54&gt;0,F54&gt;0),(F54/E54)+FabRateIncKg,0)</f>
        <v>54.24879477634714</v>
      </c>
      <c r="H54" s="88">
        <f t="shared" si="0"/>
        <v>212.27124100621162</v>
      </c>
      <c r="I54" s="127">
        <v>1935.4</v>
      </c>
      <c r="J54" s="124">
        <v>511875</v>
      </c>
      <c r="K54" s="87"/>
      <c r="L54" s="89"/>
      <c r="M54" s="88">
        <f t="shared" si="1"/>
        <v>0</v>
      </c>
      <c r="N54" s="76">
        <f t="shared" si="2"/>
        <v>264.48021080913503</v>
      </c>
    </row>
    <row r="55" spans="1:14" ht="15" customHeight="1" x14ac:dyDescent="0.25">
      <c r="A55" s="75">
        <v>51</v>
      </c>
      <c r="B55" s="75">
        <v>472</v>
      </c>
      <c r="C55" s="75" t="s">
        <v>865</v>
      </c>
      <c r="D55" s="75" t="s">
        <v>188</v>
      </c>
      <c r="E55" s="86">
        <f>_xlfn.XLOOKUP(B55,'Ratio Master'!$A:$A,'Ratio Master'!$G:$G,"")</f>
        <v>0.12576346970713201</v>
      </c>
      <c r="F55" s="87">
        <f>_xlfn.XLOOKUP(B55,'Ratio Master'!$A:$A,'Ratio Master'!$F:$F,"")</f>
        <v>6.75</v>
      </c>
      <c r="G55" s="88">
        <f t="array" ref="G55">IF(AND(E55&gt;0,F55&gt;0),(F55/E55)+FabRateIncKg,0)</f>
        <v>53.672183311408823</v>
      </c>
      <c r="H55" s="88">
        <f t="shared" si="0"/>
        <v>211.69462954127329</v>
      </c>
      <c r="I55" s="127">
        <v>1898.7</v>
      </c>
      <c r="J55" s="124">
        <v>511875</v>
      </c>
      <c r="K55" s="87"/>
      <c r="L55" s="89"/>
      <c r="M55" s="88">
        <f t="shared" si="1"/>
        <v>0</v>
      </c>
      <c r="N55" s="76">
        <f t="shared" si="2"/>
        <v>269.59235266234793</v>
      </c>
    </row>
    <row r="56" spans="1:14" ht="15" customHeight="1" x14ac:dyDescent="0.25">
      <c r="A56" s="75">
        <v>52</v>
      </c>
      <c r="B56" s="75">
        <v>478</v>
      </c>
      <c r="C56" s="75" t="s">
        <v>866</v>
      </c>
      <c r="D56" s="75" t="s">
        <v>200</v>
      </c>
      <c r="E56" s="86">
        <f>_xlfn.XLOOKUP(B56,'Ratio Master'!$A:$A,'Ratio Master'!$G:$G,"")</f>
        <v>0.16849673202614401</v>
      </c>
      <c r="F56" s="87">
        <f>_xlfn.XLOOKUP(B56,'Ratio Master'!$A:$A,'Ratio Master'!$F:$F,"")</f>
        <v>9.5</v>
      </c>
      <c r="G56" s="88">
        <f t="array" ref="G56">IF(AND(E56&gt;0,F56&gt;0),(F56/E56)+FabRateIncKg,0)</f>
        <v>56.380915438324209</v>
      </c>
      <c r="H56" s="88">
        <f t="shared" si="0"/>
        <v>214.40336166818869</v>
      </c>
      <c r="I56" s="127">
        <v>298.8</v>
      </c>
      <c r="J56" s="124">
        <v>59400</v>
      </c>
      <c r="K56" s="87"/>
      <c r="L56" s="89"/>
      <c r="M56" s="88">
        <f t="shared" si="1"/>
        <v>0</v>
      </c>
      <c r="N56" s="76">
        <f t="shared" si="2"/>
        <v>198.79518072289156</v>
      </c>
    </row>
    <row r="57" spans="1:14" ht="15" customHeight="1" x14ac:dyDescent="0.25">
      <c r="A57" s="75">
        <v>53</v>
      </c>
      <c r="B57" s="75">
        <v>484</v>
      </c>
      <c r="C57" s="75" t="s">
        <v>866</v>
      </c>
      <c r="D57" s="75" t="s">
        <v>188</v>
      </c>
      <c r="E57" s="86">
        <f>_xlfn.XLOOKUP(B57,'Ratio Master'!$A:$A,'Ratio Master'!$G:$G,"")</f>
        <v>0.17190909090909101</v>
      </c>
      <c r="F57" s="87">
        <f>_xlfn.XLOOKUP(B57,'Ratio Master'!$A:$A,'Ratio Master'!$F:$F,"")</f>
        <v>9.5</v>
      </c>
      <c r="G57" s="88">
        <f t="array" ref="G57">IF(AND(E57&gt;0,F57&gt;0),(F57/E57)+FabRateIncKg,0)</f>
        <v>55.261766261237405</v>
      </c>
      <c r="H57" s="88">
        <f t="shared" si="0"/>
        <v>213.28421249110187</v>
      </c>
      <c r="I57" s="127">
        <v>101.5</v>
      </c>
      <c r="J57" s="124">
        <v>30000</v>
      </c>
      <c r="K57" s="87"/>
      <c r="L57" s="89"/>
      <c r="M57" s="88">
        <f t="shared" si="1"/>
        <v>0</v>
      </c>
      <c r="N57" s="76">
        <f t="shared" si="2"/>
        <v>295.56650246305418</v>
      </c>
    </row>
    <row r="58" spans="1:14" ht="15" customHeight="1" x14ac:dyDescent="0.25">
      <c r="A58" s="75">
        <v>54</v>
      </c>
      <c r="B58" s="75">
        <v>487</v>
      </c>
      <c r="C58" s="75" t="s">
        <v>866</v>
      </c>
      <c r="D58" s="75" t="s">
        <v>868</v>
      </c>
      <c r="E58" s="86">
        <f>_xlfn.XLOOKUP(B58,'Ratio Master'!$A:$A,'Ratio Master'!$G:$G,"")</f>
        <v>0.15777777777777799</v>
      </c>
      <c r="F58" s="87">
        <f>_xlfn.XLOOKUP(B58,'Ratio Master'!$A:$A,'Ratio Master'!$F:$F,"")</f>
        <v>9.5</v>
      </c>
      <c r="G58" s="88">
        <f t="array" ref="G58">IF(AND(E58&gt;0,F58&gt;0),(F58/E58)+FabRateIncKg,0)</f>
        <v>60.211267605633722</v>
      </c>
      <c r="H58" s="88">
        <f t="shared" si="0"/>
        <v>218.23371383549821</v>
      </c>
      <c r="I58" s="127">
        <v>782.5</v>
      </c>
      <c r="J58" s="124">
        <v>156240</v>
      </c>
      <c r="K58" s="87"/>
      <c r="L58" s="89"/>
      <c r="M58" s="88">
        <f t="shared" si="1"/>
        <v>0</v>
      </c>
      <c r="N58" s="76">
        <f t="shared" si="2"/>
        <v>199.66773162939296</v>
      </c>
    </row>
    <row r="59" spans="1:14" ht="15" customHeight="1" x14ac:dyDescent="0.25">
      <c r="A59" s="75">
        <v>55</v>
      </c>
      <c r="B59" s="75">
        <v>489</v>
      </c>
      <c r="C59" s="75" t="s">
        <v>866</v>
      </c>
      <c r="D59" s="75" t="s">
        <v>201</v>
      </c>
      <c r="E59" s="86">
        <f>_xlfn.XLOOKUP(B59,'Ratio Master'!$A:$A,'Ratio Master'!$G:$G,"")</f>
        <v>0.15035317460317499</v>
      </c>
      <c r="F59" s="87">
        <f>_xlfn.XLOOKUP(B59,'Ratio Master'!$A:$A,'Ratio Master'!$F:$F,"")</f>
        <v>9.5</v>
      </c>
      <c r="G59" s="88">
        <f t="array" ref="G59">IF(AND(E59&gt;0,F59&gt;0),(F59/E59)+FabRateIncKg,0)</f>
        <v>63.184565441156906</v>
      </c>
      <c r="H59" s="88">
        <f t="shared" si="0"/>
        <v>221.20701167102138</v>
      </c>
      <c r="I59" s="127">
        <v>596.9</v>
      </c>
      <c r="J59" s="124">
        <v>154440</v>
      </c>
      <c r="K59" s="87"/>
      <c r="L59" s="89"/>
      <c r="M59" s="88">
        <f t="shared" si="1"/>
        <v>0</v>
      </c>
      <c r="N59" s="76">
        <f t="shared" si="2"/>
        <v>258.7368068353158</v>
      </c>
    </row>
    <row r="60" spans="1:14" ht="15" customHeight="1" x14ac:dyDescent="0.25">
      <c r="A60" s="75">
        <v>56</v>
      </c>
      <c r="B60" s="75">
        <v>490</v>
      </c>
      <c r="C60" s="75" t="s">
        <v>866</v>
      </c>
      <c r="D60" s="75" t="s">
        <v>202</v>
      </c>
      <c r="E60" s="86">
        <f>_xlfn.XLOOKUP(B60,'Ratio Master'!$A:$A,'Ratio Master'!$G:$G,"")</f>
        <v>0.16940639269406399</v>
      </c>
      <c r="F60" s="87">
        <f>_xlfn.XLOOKUP(B60,'Ratio Master'!$A:$A,'Ratio Master'!$F:$F,"")</f>
        <v>9.5</v>
      </c>
      <c r="G60" s="88">
        <f t="array" ref="G60">IF(AND(E60&gt;0,F60&gt;0),(F60/E60)+FabRateIncKg,0)</f>
        <v>56.078167115902943</v>
      </c>
      <c r="H60" s="88">
        <f t="shared" si="0"/>
        <v>214.10061334576741</v>
      </c>
      <c r="I60" s="127">
        <v>156.19999999999999</v>
      </c>
      <c r="J60" s="124">
        <v>38700</v>
      </c>
      <c r="K60" s="87"/>
      <c r="L60" s="89"/>
      <c r="M60" s="88">
        <f t="shared" si="1"/>
        <v>0</v>
      </c>
      <c r="N60" s="76">
        <f t="shared" si="2"/>
        <v>247.7592829705506</v>
      </c>
    </row>
    <row r="61" spans="1:14" ht="15" customHeight="1" x14ac:dyDescent="0.25">
      <c r="A61" s="75">
        <v>57</v>
      </c>
      <c r="B61" s="75">
        <v>493</v>
      </c>
      <c r="C61" s="75" t="s">
        <v>866</v>
      </c>
      <c r="D61" s="75" t="s">
        <v>869</v>
      </c>
      <c r="E61" s="86">
        <f>_xlfn.XLOOKUP(B61,'Ratio Master'!$A:$A,'Ratio Master'!$G:$G,"")</f>
        <v>0.15827532679738601</v>
      </c>
      <c r="F61" s="87">
        <f>_xlfn.XLOOKUP(B61,'Ratio Master'!$A:$A,'Ratio Master'!$F:$F,"")</f>
        <v>9.5</v>
      </c>
      <c r="G61" s="88">
        <f t="array" ref="G61">IF(AND(E61&gt;0,F61&gt;0),(F61/E61)+FabRateIncKg,0)</f>
        <v>60.021989480149955</v>
      </c>
      <c r="H61" s="88">
        <f t="shared" si="0"/>
        <v>218.04443571001443</v>
      </c>
      <c r="I61" s="127">
        <v>993.8</v>
      </c>
      <c r="J61" s="124">
        <v>211680</v>
      </c>
      <c r="K61" s="87"/>
      <c r="L61" s="89"/>
      <c r="M61" s="88">
        <f t="shared" si="1"/>
        <v>0</v>
      </c>
      <c r="N61" s="76">
        <f t="shared" si="2"/>
        <v>213.0006037432079</v>
      </c>
    </row>
    <row r="62" spans="1:14" ht="15" customHeight="1" x14ac:dyDescent="0.25">
      <c r="A62" s="75">
        <v>58</v>
      </c>
      <c r="B62" s="75">
        <v>495</v>
      </c>
      <c r="C62" s="75" t="s">
        <v>866</v>
      </c>
      <c r="D62" s="75" t="s">
        <v>199</v>
      </c>
      <c r="E62" s="86">
        <f>_xlfn.XLOOKUP(B62,'Ratio Master'!$A:$A,'Ratio Master'!$G:$G,"")</f>
        <v>0.150968206157965</v>
      </c>
      <c r="F62" s="87">
        <f>_xlfn.XLOOKUP(B62,'Ratio Master'!$A:$A,'Ratio Master'!$F:$F,"")</f>
        <v>9.5</v>
      </c>
      <c r="G62" s="88">
        <f t="array" ref="G62">IF(AND(E62&gt;0,F62&gt;0),(F62/E62)+FabRateIncKg,0)</f>
        <v>62.927156927728952</v>
      </c>
      <c r="H62" s="88">
        <f t="shared" si="0"/>
        <v>220.94960315759343</v>
      </c>
      <c r="I62" s="127">
        <v>5843.4</v>
      </c>
      <c r="J62" s="124">
        <v>1446120</v>
      </c>
      <c r="K62" s="87"/>
      <c r="L62" s="89"/>
      <c r="M62" s="88">
        <f t="shared" si="1"/>
        <v>0</v>
      </c>
      <c r="N62" s="76">
        <f t="shared" si="2"/>
        <v>247.4792073108122</v>
      </c>
    </row>
    <row r="63" spans="1:14" ht="15" customHeight="1" x14ac:dyDescent="0.25">
      <c r="A63" s="75">
        <v>59</v>
      </c>
      <c r="B63" s="75">
        <v>497</v>
      </c>
      <c r="C63" s="75" t="s">
        <v>866</v>
      </c>
      <c r="D63" s="75" t="s">
        <v>187</v>
      </c>
      <c r="E63" s="86">
        <f>_xlfn.XLOOKUP(B63,'Ratio Master'!$A:$A,'Ratio Master'!$G:$G,"")</f>
        <v>0.16925252525252499</v>
      </c>
      <c r="F63" s="87">
        <f>_xlfn.XLOOKUP(B63,'Ratio Master'!$A:$A,'Ratio Master'!$F:$F,"")</f>
        <v>9.5</v>
      </c>
      <c r="G63" s="88">
        <f t="array" ref="G63">IF(AND(E63&gt;0,F63&gt;0),(F63/E63)+FabRateIncKg,0)</f>
        <v>56.129147767963801</v>
      </c>
      <c r="H63" s="88">
        <f t="shared" si="0"/>
        <v>214.15159399782826</v>
      </c>
      <c r="I63" s="127">
        <v>51</v>
      </c>
      <c r="J63" s="124">
        <v>15000</v>
      </c>
      <c r="K63" s="87"/>
      <c r="L63" s="89"/>
      <c r="M63" s="88">
        <f t="shared" si="1"/>
        <v>0</v>
      </c>
      <c r="N63" s="76">
        <f t="shared" si="2"/>
        <v>294.11764705882354</v>
      </c>
    </row>
    <row r="64" spans="1:14" ht="15" customHeight="1" x14ac:dyDescent="0.25">
      <c r="A64" s="75">
        <v>60</v>
      </c>
      <c r="B64" s="75">
        <v>499</v>
      </c>
      <c r="C64" s="75" t="s">
        <v>870</v>
      </c>
      <c r="D64" s="75" t="s">
        <v>187</v>
      </c>
      <c r="E64" s="86">
        <f>_xlfn.XLOOKUP(B64,'Ratio Master'!$A:$A,'Ratio Master'!$G:$G,"")</f>
        <v>0.15634011090573</v>
      </c>
      <c r="F64" s="87">
        <f>_xlfn.XLOOKUP(B64,'Ratio Master'!$A:$A,'Ratio Master'!$F:$F,"")</f>
        <v>10.25</v>
      </c>
      <c r="G64" s="88">
        <f t="array" ref="G64">IF(AND(E64&gt;0,F64&gt;0),(F64/E64)+FabRateIncKg,0)</f>
        <v>65.562189642941647</v>
      </c>
      <c r="H64" s="88">
        <f t="shared" si="0"/>
        <v>223.5846358728061</v>
      </c>
      <c r="I64" s="127">
        <v>14.5</v>
      </c>
      <c r="J64" s="124">
        <v>5850</v>
      </c>
      <c r="K64" s="87"/>
      <c r="L64" s="89"/>
      <c r="M64" s="88">
        <f t="shared" si="1"/>
        <v>0</v>
      </c>
      <c r="N64" s="76">
        <f t="shared" si="2"/>
        <v>403.44827586206895</v>
      </c>
    </row>
    <row r="65" spans="1:14" ht="15" customHeight="1" x14ac:dyDescent="0.25">
      <c r="A65" s="75">
        <v>61</v>
      </c>
      <c r="B65" s="75">
        <v>504</v>
      </c>
      <c r="C65" s="75" t="s">
        <v>871</v>
      </c>
      <c r="D65" s="75" t="s">
        <v>182</v>
      </c>
      <c r="E65" s="86">
        <f>_xlfn.XLOOKUP(B65,'Ratio Master'!$A:$A,'Ratio Master'!$G:$G,"")</f>
        <v>0.18738461538461501</v>
      </c>
      <c r="F65" s="87">
        <f>_xlfn.XLOOKUP(B65,'Ratio Master'!$A:$A,'Ratio Master'!$F:$F,"")</f>
        <v>10.25</v>
      </c>
      <c r="G65" s="88">
        <f t="array" ref="G65">IF(AND(E65&gt;0,F65&gt;0),(F65/E65)+FabRateIncKg,0)</f>
        <v>54.700328407225065</v>
      </c>
      <c r="H65" s="88">
        <f t="shared" si="0"/>
        <v>212.72277463708954</v>
      </c>
      <c r="I65" s="127">
        <v>23.11</v>
      </c>
      <c r="J65" s="124">
        <v>10470</v>
      </c>
      <c r="K65" s="87"/>
      <c r="L65" s="89"/>
      <c r="M65" s="88">
        <f t="shared" si="1"/>
        <v>0</v>
      </c>
      <c r="N65" s="76">
        <f t="shared" si="2"/>
        <v>453.05062743401129</v>
      </c>
    </row>
    <row r="66" spans="1:14" ht="15" customHeight="1" x14ac:dyDescent="0.25">
      <c r="A66" s="75">
        <v>62</v>
      </c>
      <c r="B66" s="75">
        <v>508</v>
      </c>
      <c r="C66" s="75" t="s">
        <v>871</v>
      </c>
      <c r="D66" s="75" t="s">
        <v>187</v>
      </c>
      <c r="E66" s="86">
        <f>_xlfn.XLOOKUP(B66,'Ratio Master'!$A:$A,'Ratio Master'!$G:$G,"")</f>
        <v>0.16931386430678499</v>
      </c>
      <c r="F66" s="87">
        <f>_xlfn.XLOOKUP(B66,'Ratio Master'!$A:$A,'Ratio Master'!$F:$F,"")</f>
        <v>10.25</v>
      </c>
      <c r="G66" s="88">
        <f t="array" ref="G66">IF(AND(E66&gt;0,F66&gt;0),(F66/E66)+FabRateIncKg,0)</f>
        <v>60.538456445762229</v>
      </c>
      <c r="H66" s="88">
        <f t="shared" si="0"/>
        <v>218.56090267562669</v>
      </c>
      <c r="I66" s="127">
        <v>78.7</v>
      </c>
      <c r="J66" s="124">
        <v>39600</v>
      </c>
      <c r="K66" s="87"/>
      <c r="L66" s="89"/>
      <c r="M66" s="88">
        <f t="shared" si="1"/>
        <v>0</v>
      </c>
      <c r="N66" s="76">
        <f t="shared" si="2"/>
        <v>503.17662007623886</v>
      </c>
    </row>
    <row r="67" spans="1:14" ht="15" customHeight="1" x14ac:dyDescent="0.25">
      <c r="A67" s="75">
        <v>63</v>
      </c>
      <c r="B67" s="75">
        <v>539</v>
      </c>
      <c r="C67" s="75" t="s">
        <v>876</v>
      </c>
      <c r="D67" s="75" t="s">
        <v>200</v>
      </c>
      <c r="E67" s="86">
        <f>_xlfn.XLOOKUP(B67,'Ratio Master'!$A:$A,'Ratio Master'!$G:$G,"")</f>
        <v>5.2351731022925799E-2</v>
      </c>
      <c r="F67" s="87">
        <f>_xlfn.XLOOKUP(B67,'Ratio Master'!$A:$A,'Ratio Master'!$F:$F,"")</f>
        <v>4.5999999999999996</v>
      </c>
      <c r="G67" s="88">
        <f t="array" ref="G67">IF(AND(E67&gt;0,F67&gt;0),(F67/E67)+FabRateIncKg,0)</f>
        <v>87.867199615339828</v>
      </c>
      <c r="H67" s="88">
        <f t="shared" si="0"/>
        <v>245.88964584520429</v>
      </c>
      <c r="I67" s="127">
        <v>969.82</v>
      </c>
      <c r="J67" s="124">
        <v>338625</v>
      </c>
      <c r="K67" s="87"/>
      <c r="L67" s="89"/>
      <c r="M67" s="88">
        <f t="shared" si="1"/>
        <v>0</v>
      </c>
      <c r="N67" s="76">
        <f t="shared" si="2"/>
        <v>349.16273122847537</v>
      </c>
    </row>
    <row r="68" spans="1:14" ht="15" customHeight="1" x14ac:dyDescent="0.25">
      <c r="A68" s="75">
        <v>64</v>
      </c>
      <c r="B68" s="75">
        <v>540</v>
      </c>
      <c r="C68" s="75" t="s">
        <v>876</v>
      </c>
      <c r="D68" s="75" t="s">
        <v>182</v>
      </c>
      <c r="E68" s="86">
        <f>_xlfn.XLOOKUP(B68,'Ratio Master'!$A:$A,'Ratio Master'!$G:$G,"")</f>
        <v>5.0276538514640999E-2</v>
      </c>
      <c r="F68" s="87">
        <f>_xlfn.XLOOKUP(B68,'Ratio Master'!$A:$A,'Ratio Master'!$F:$F,"")</f>
        <v>4.5999999999999996</v>
      </c>
      <c r="G68" s="88">
        <f t="array" ref="G68">IF(AND(E68&gt;0,F68&gt;0),(F68/E68)+FabRateIncKg,0)</f>
        <v>91.493967880474443</v>
      </c>
      <c r="H68" s="88">
        <f t="shared" si="0"/>
        <v>249.5164141103389</v>
      </c>
      <c r="I68" s="127">
        <v>7876.6</v>
      </c>
      <c r="J68" s="124">
        <v>2302650</v>
      </c>
      <c r="K68" s="87">
        <v>4336.8</v>
      </c>
      <c r="L68" s="89">
        <v>1082655</v>
      </c>
      <c r="M68" s="88">
        <f t="shared" si="1"/>
        <v>249.64374654122855</v>
      </c>
      <c r="N68" s="76">
        <f t="shared" si="2"/>
        <v>292.3406038138283</v>
      </c>
    </row>
    <row r="69" spans="1:14" ht="15" customHeight="1" x14ac:dyDescent="0.25">
      <c r="A69" s="75">
        <v>65</v>
      </c>
      <c r="B69" s="75">
        <v>551</v>
      </c>
      <c r="C69" s="75" t="s">
        <v>876</v>
      </c>
      <c r="D69" s="75" t="s">
        <v>193</v>
      </c>
      <c r="E69" s="86">
        <f>_xlfn.XLOOKUP(B69,'Ratio Master'!$A:$A,'Ratio Master'!$G:$G,"")</f>
        <v>4.5963718820861699E-2</v>
      </c>
      <c r="F69" s="87">
        <f>_xlfn.XLOOKUP(B69,'Ratio Master'!$A:$A,'Ratio Master'!$F:$F,"")</f>
        <v>4.5999999999999996</v>
      </c>
      <c r="G69" s="88">
        <f t="array" ref="G69">IF(AND(E69&gt;0,F69&gt;0),(F69/E69)+FabRateIncKg,0)</f>
        <v>100.07893438579175</v>
      </c>
      <c r="H69" s="88">
        <f t="shared" ref="H69:H132" si="3">IF(OR(E69="",E69=0),0,Stage1_RM+Stage2_Yarn+G69+FabricAddon)</f>
        <v>258.10138061565624</v>
      </c>
      <c r="I69" s="127">
        <v>458.3</v>
      </c>
      <c r="J69" s="124">
        <v>146160</v>
      </c>
      <c r="K69" s="87"/>
      <c r="L69" s="89"/>
      <c r="M69" s="88">
        <f t="shared" ref="M69:M132" si="4">IFERROR(L69/K69,0)</f>
        <v>0</v>
      </c>
      <c r="N69" s="76">
        <f t="shared" ref="N69:N132" si="5">IFERROR(J69/I69,"")</f>
        <v>318.91773947196157</v>
      </c>
    </row>
    <row r="70" spans="1:14" ht="15" customHeight="1" x14ac:dyDescent="0.25">
      <c r="A70" s="75">
        <v>66</v>
      </c>
      <c r="B70" s="75">
        <v>553</v>
      </c>
      <c r="C70" s="75" t="s">
        <v>876</v>
      </c>
      <c r="D70" s="75" t="s">
        <v>185</v>
      </c>
      <c r="E70" s="86">
        <f>_xlfn.XLOOKUP(B70,'Ratio Master'!$A:$A,'Ratio Master'!$G:$G,"")</f>
        <v>5.0198846387371002E-2</v>
      </c>
      <c r="F70" s="87">
        <f>_xlfn.XLOOKUP(B70,'Ratio Master'!$A:$A,'Ratio Master'!$F:$F,"")</f>
        <v>4.5999999999999996</v>
      </c>
      <c r="G70" s="88">
        <f t="array" ref="G70">IF(AND(E70&gt;0,F70&gt;0),(F70/E70)+FabRateIncKg,0)</f>
        <v>91.635571951256338</v>
      </c>
      <c r="H70" s="88">
        <f t="shared" si="3"/>
        <v>249.65801818112081</v>
      </c>
      <c r="I70" s="127">
        <v>215.9</v>
      </c>
      <c r="J70" s="124">
        <v>64800</v>
      </c>
      <c r="K70" s="87"/>
      <c r="L70" s="89"/>
      <c r="M70" s="88">
        <f t="shared" si="4"/>
        <v>0</v>
      </c>
      <c r="N70" s="76">
        <f t="shared" si="5"/>
        <v>300.13895321908291</v>
      </c>
    </row>
    <row r="71" spans="1:14" ht="15" customHeight="1" x14ac:dyDescent="0.25">
      <c r="A71" s="75">
        <v>67</v>
      </c>
      <c r="B71" s="75">
        <v>555</v>
      </c>
      <c r="C71" s="75" t="s">
        <v>876</v>
      </c>
      <c r="D71" s="75" t="s">
        <v>187</v>
      </c>
      <c r="E71" s="86">
        <f>_xlfn.XLOOKUP(B71,'Ratio Master'!$A:$A,'Ratio Master'!$G:$G,"")</f>
        <v>5.11642135642136E-2</v>
      </c>
      <c r="F71" s="87">
        <f>_xlfn.XLOOKUP(B71,'Ratio Master'!$A:$A,'Ratio Master'!$F:$F,"")</f>
        <v>4.5999999999999996</v>
      </c>
      <c r="G71" s="88">
        <f t="array" ref="G71">IF(AND(E71&gt;0,F71&gt;0),(F71/E71)+FabRateIncKg,0)</f>
        <v>89.906590555267186</v>
      </c>
      <c r="H71" s="88">
        <f t="shared" si="3"/>
        <v>247.92903678513167</v>
      </c>
      <c r="I71" s="127">
        <v>180.6</v>
      </c>
      <c r="J71" s="124">
        <v>55800</v>
      </c>
      <c r="K71" s="87"/>
      <c r="L71" s="89"/>
      <c r="M71" s="88">
        <f t="shared" si="4"/>
        <v>0</v>
      </c>
      <c r="N71" s="76">
        <f t="shared" si="5"/>
        <v>308.97009966777409</v>
      </c>
    </row>
    <row r="72" spans="1:14" ht="15" customHeight="1" x14ac:dyDescent="0.25">
      <c r="A72" s="75">
        <v>68</v>
      </c>
      <c r="B72" s="75">
        <v>559</v>
      </c>
      <c r="C72" s="75" t="s">
        <v>878</v>
      </c>
      <c r="D72" s="75" t="s">
        <v>182</v>
      </c>
      <c r="E72" s="86">
        <f>_xlfn.XLOOKUP(B72,'Ratio Master'!$A:$A,'Ratio Master'!$G:$G,"")</f>
        <v>5.7394152046783602E-2</v>
      </c>
      <c r="F72" s="87">
        <f>_xlfn.XLOOKUP(B72,'Ratio Master'!$A:$A,'Ratio Master'!$F:$F,"")</f>
        <v>4.9000000000000004</v>
      </c>
      <c r="G72" s="88">
        <f t="array" ref="G72">IF(AND(E72&gt;0,F72&gt;0),(F72/E72)+FabRateIncKg,0)</f>
        <v>85.37455167916535</v>
      </c>
      <c r="H72" s="88">
        <f t="shared" si="3"/>
        <v>243.39699790902981</v>
      </c>
      <c r="I72" s="127">
        <v>368.8</v>
      </c>
      <c r="J72" s="124">
        <v>110160</v>
      </c>
      <c r="K72" s="87"/>
      <c r="L72" s="89"/>
      <c r="M72" s="88">
        <f t="shared" si="4"/>
        <v>0</v>
      </c>
      <c r="N72" s="76">
        <f t="shared" si="5"/>
        <v>298.69848156182212</v>
      </c>
    </row>
    <row r="73" spans="1:14" ht="15" customHeight="1" x14ac:dyDescent="0.25">
      <c r="A73" s="75">
        <v>69</v>
      </c>
      <c r="B73" s="75">
        <v>565</v>
      </c>
      <c r="C73" s="75" t="s">
        <v>879</v>
      </c>
      <c r="D73" s="75" t="s">
        <v>201</v>
      </c>
      <c r="E73" s="86">
        <f>_xlfn.XLOOKUP(B73,'Ratio Master'!$A:$A,'Ratio Master'!$G:$G,"")</f>
        <v>7.1994805194805195E-2</v>
      </c>
      <c r="F73" s="87">
        <f>_xlfn.XLOOKUP(B73,'Ratio Master'!$A:$A,'Ratio Master'!$F:$F,"")</f>
        <v>4.9000000000000004</v>
      </c>
      <c r="G73" s="88">
        <f t="array" ref="G73">IF(AND(E73&gt;0,F73&gt;0),(F73/E73)+FabRateIncKg,0)</f>
        <v>68.060466123096916</v>
      </c>
      <c r="H73" s="88">
        <f t="shared" si="3"/>
        <v>226.08291235296139</v>
      </c>
      <c r="I73" s="127">
        <v>313.5</v>
      </c>
      <c r="J73" s="124">
        <v>103500</v>
      </c>
      <c r="K73" s="87"/>
      <c r="L73" s="89"/>
      <c r="M73" s="88">
        <f t="shared" si="4"/>
        <v>0</v>
      </c>
      <c r="N73" s="76">
        <f t="shared" si="5"/>
        <v>330.14354066985646</v>
      </c>
    </row>
    <row r="74" spans="1:14" ht="15" customHeight="1" x14ac:dyDescent="0.25">
      <c r="A74" s="75">
        <v>70</v>
      </c>
      <c r="B74" s="75">
        <v>568</v>
      </c>
      <c r="C74" s="75" t="s">
        <v>880</v>
      </c>
      <c r="D74" s="75" t="s">
        <v>203</v>
      </c>
      <c r="E74" s="86">
        <f>_xlfn.XLOOKUP(B74,'Ratio Master'!$A:$A,'Ratio Master'!$G:$G,"")</f>
        <v>4.5109598143971003E-2</v>
      </c>
      <c r="F74" s="87">
        <f>_xlfn.XLOOKUP(B74,'Ratio Master'!$A:$A,'Ratio Master'!$F:$F,"")</f>
        <v>5.0999999999999996</v>
      </c>
      <c r="G74" s="88">
        <f t="array" ref="G74">IF(AND(E74&gt;0,F74&gt;0),(F74/E74)+FabRateIncKg,0)</f>
        <v>113.057979007548</v>
      </c>
      <c r="H74" s="88">
        <f t="shared" si="3"/>
        <v>271.08042523741244</v>
      </c>
      <c r="I74" s="127">
        <v>719.7</v>
      </c>
      <c r="J74" s="124">
        <v>234900</v>
      </c>
      <c r="K74" s="87">
        <v>1613.1</v>
      </c>
      <c r="L74" s="89">
        <v>473850</v>
      </c>
      <c r="M74" s="88">
        <f t="shared" si="4"/>
        <v>293.75116235819229</v>
      </c>
      <c r="N74" s="76">
        <f t="shared" si="5"/>
        <v>326.38599416423506</v>
      </c>
    </row>
    <row r="75" spans="1:14" ht="15" customHeight="1" x14ac:dyDescent="0.25">
      <c r="A75" s="75">
        <v>71</v>
      </c>
      <c r="B75" s="75">
        <v>574</v>
      </c>
      <c r="C75" s="75" t="s">
        <v>881</v>
      </c>
      <c r="D75" s="75" t="s">
        <v>200</v>
      </c>
      <c r="E75" s="86">
        <f>_xlfn.XLOOKUP(B75,'Ratio Master'!$A:$A,'Ratio Master'!$G:$G,"")</f>
        <v>7.9237543859649096E-2</v>
      </c>
      <c r="F75" s="87">
        <f>_xlfn.XLOOKUP(B75,'Ratio Master'!$A:$A,'Ratio Master'!$F:$F,"")</f>
        <v>6</v>
      </c>
      <c r="G75" s="88">
        <f t="array" ref="G75">IF(AND(E75&gt;0,F75&gt;0),(F75/E75)+FabRateIncKg,0)</f>
        <v>75.7216807556227</v>
      </c>
      <c r="H75" s="88">
        <f t="shared" si="3"/>
        <v>233.74412698548716</v>
      </c>
      <c r="I75" s="127">
        <v>139.19999999999999</v>
      </c>
      <c r="J75" s="124">
        <v>48600</v>
      </c>
      <c r="K75" s="87">
        <v>167.5</v>
      </c>
      <c r="L75" s="89">
        <v>40090</v>
      </c>
      <c r="M75" s="88">
        <f t="shared" si="4"/>
        <v>239.34328358208955</v>
      </c>
      <c r="N75" s="76">
        <f t="shared" si="5"/>
        <v>349.13793103448279</v>
      </c>
    </row>
    <row r="76" spans="1:14" ht="15" customHeight="1" x14ac:dyDescent="0.25">
      <c r="A76" s="75">
        <v>72</v>
      </c>
      <c r="B76" s="75">
        <v>577</v>
      </c>
      <c r="C76" s="75" t="s">
        <v>882</v>
      </c>
      <c r="D76" s="75" t="s">
        <v>200</v>
      </c>
      <c r="E76" s="86">
        <f>_xlfn.XLOOKUP(B76,'Ratio Master'!$A:$A,'Ratio Master'!$G:$G,"")</f>
        <v>0.108336888888889</v>
      </c>
      <c r="F76" s="87">
        <f>_xlfn.XLOOKUP(B76,'Ratio Master'!$A:$A,'Ratio Master'!$F:$F,"")</f>
        <v>9.1999999999999993</v>
      </c>
      <c r="G76" s="88">
        <f t="array" ref="G76">IF(AND(E76&gt;0,F76&gt;0),(F76/E76)+FabRateIncKg,0)</f>
        <v>84.920289795616867</v>
      </c>
      <c r="H76" s="88">
        <f t="shared" si="3"/>
        <v>242.94273602548134</v>
      </c>
      <c r="I76" s="127">
        <v>350.4</v>
      </c>
      <c r="J76" s="124">
        <v>112500</v>
      </c>
      <c r="K76" s="87"/>
      <c r="L76" s="89"/>
      <c r="M76" s="88">
        <f t="shared" si="4"/>
        <v>0</v>
      </c>
      <c r="N76" s="76">
        <f t="shared" si="5"/>
        <v>321.06164383561645</v>
      </c>
    </row>
    <row r="77" spans="1:14" ht="15" customHeight="1" x14ac:dyDescent="0.25">
      <c r="A77" s="75">
        <v>73</v>
      </c>
      <c r="B77" s="75">
        <v>578</v>
      </c>
      <c r="C77" s="75" t="s">
        <v>882</v>
      </c>
      <c r="D77" s="75" t="s">
        <v>182</v>
      </c>
      <c r="E77" s="86">
        <f>_xlfn.XLOOKUP(B77,'Ratio Master'!$A:$A,'Ratio Master'!$G:$G,"")</f>
        <v>9.9118892160628205E-2</v>
      </c>
      <c r="F77" s="87">
        <f>_xlfn.XLOOKUP(B77,'Ratio Master'!$A:$A,'Ratio Master'!$F:$F,"")</f>
        <v>9.1999999999999993</v>
      </c>
      <c r="G77" s="88">
        <f t="array" ref="G77">IF(AND(E77&gt;0,F77&gt;0),(F77/E77)+FabRateIncKg,0)</f>
        <v>92.817825133586425</v>
      </c>
      <c r="H77" s="88">
        <f t="shared" si="3"/>
        <v>250.84027136345091</v>
      </c>
      <c r="I77" s="127">
        <v>225</v>
      </c>
      <c r="J77" s="124">
        <v>74250</v>
      </c>
      <c r="K77" s="87">
        <v>1064</v>
      </c>
      <c r="L77" s="89">
        <v>282600</v>
      </c>
      <c r="M77" s="88">
        <f t="shared" si="4"/>
        <v>265.6015037593985</v>
      </c>
      <c r="N77" s="76">
        <f t="shared" si="5"/>
        <v>330</v>
      </c>
    </row>
    <row r="78" spans="1:14" ht="15" customHeight="1" x14ac:dyDescent="0.25">
      <c r="A78" s="75">
        <v>74</v>
      </c>
      <c r="B78" s="75">
        <v>587</v>
      </c>
      <c r="C78" s="75" t="s">
        <v>883</v>
      </c>
      <c r="D78" s="75" t="s">
        <v>188</v>
      </c>
      <c r="E78" s="86">
        <f>_xlfn.XLOOKUP(B78,'Ratio Master'!$A:$A,'Ratio Master'!$G:$G,"")</f>
        <v>0.132422815279958</v>
      </c>
      <c r="F78" s="87">
        <f>_xlfn.XLOOKUP(B78,'Ratio Master'!$A:$A,'Ratio Master'!$F:$F,"")</f>
        <v>9</v>
      </c>
      <c r="G78" s="88">
        <f t="array" ref="G78">IF(AND(E78&gt;0,F78&gt;0),(F78/E78)+FabRateIncKg,0)</f>
        <v>67.964119181221918</v>
      </c>
      <c r="H78" s="88">
        <f t="shared" si="3"/>
        <v>225.98656541108639</v>
      </c>
      <c r="I78" s="127">
        <v>590.15</v>
      </c>
      <c r="J78" s="124">
        <v>148500</v>
      </c>
      <c r="K78" s="87"/>
      <c r="L78" s="89"/>
      <c r="M78" s="88">
        <f t="shared" si="4"/>
        <v>0</v>
      </c>
      <c r="N78" s="76">
        <f t="shared" si="5"/>
        <v>251.63094128611371</v>
      </c>
    </row>
    <row r="79" spans="1:14" ht="15" customHeight="1" x14ac:dyDescent="0.25">
      <c r="A79" s="75">
        <v>75</v>
      </c>
      <c r="B79" s="75">
        <v>588</v>
      </c>
      <c r="C79" s="75" t="s">
        <v>883</v>
      </c>
      <c r="D79" s="75" t="s">
        <v>884</v>
      </c>
      <c r="E79" s="86">
        <f>_xlfn.XLOOKUP(B79,'Ratio Master'!$A:$A,'Ratio Master'!$G:$G,"")</f>
        <v>0.13405026300409101</v>
      </c>
      <c r="F79" s="87">
        <f>_xlfn.XLOOKUP(B79,'Ratio Master'!$A:$A,'Ratio Master'!$F:$F,"")</f>
        <v>9</v>
      </c>
      <c r="G79" s="88">
        <f t="array" ref="G79">IF(AND(E79&gt;0,F79&gt;0),(F79/E79)+FabRateIncKg,0)</f>
        <v>67.138995465643617</v>
      </c>
      <c r="H79" s="88">
        <f t="shared" si="3"/>
        <v>225.1614416955081</v>
      </c>
      <c r="I79" s="127">
        <v>606.02</v>
      </c>
      <c r="J79" s="124">
        <v>149490</v>
      </c>
      <c r="K79" s="87"/>
      <c r="L79" s="89"/>
      <c r="M79" s="88">
        <f t="shared" si="4"/>
        <v>0</v>
      </c>
      <c r="N79" s="76">
        <f t="shared" si="5"/>
        <v>246.6750272268242</v>
      </c>
    </row>
    <row r="80" spans="1:14" ht="15" customHeight="1" x14ac:dyDescent="0.25">
      <c r="A80" s="75">
        <v>76</v>
      </c>
      <c r="B80" s="75">
        <v>590</v>
      </c>
      <c r="C80" s="75" t="s">
        <v>883</v>
      </c>
      <c r="D80" s="75" t="s">
        <v>204</v>
      </c>
      <c r="E80" s="86">
        <f>_xlfn.XLOOKUP(B80,'Ratio Master'!$A:$A,'Ratio Master'!$G:$G,"")</f>
        <v>0.130230031948882</v>
      </c>
      <c r="F80" s="87">
        <f>_xlfn.XLOOKUP(B80,'Ratio Master'!$A:$A,'Ratio Master'!$F:$F,"")</f>
        <v>9</v>
      </c>
      <c r="G80" s="88">
        <f t="array" ref="G80">IF(AND(E80&gt;0,F80&gt;0),(F80/E80)+FabRateIncKg,0)</f>
        <v>69.108483391393833</v>
      </c>
      <c r="H80" s="88">
        <f t="shared" si="3"/>
        <v>227.1309296212583</v>
      </c>
      <c r="I80" s="127">
        <v>323.10000000000002</v>
      </c>
      <c r="J80" s="124">
        <v>88110</v>
      </c>
      <c r="K80" s="87"/>
      <c r="L80" s="89"/>
      <c r="M80" s="88">
        <f t="shared" si="4"/>
        <v>0</v>
      </c>
      <c r="N80" s="76">
        <f t="shared" si="5"/>
        <v>272.7019498607242</v>
      </c>
    </row>
    <row r="81" spans="1:14" ht="15" customHeight="1" x14ac:dyDescent="0.25">
      <c r="A81" s="75">
        <v>77</v>
      </c>
      <c r="B81" s="75">
        <v>594</v>
      </c>
      <c r="C81" s="75" t="s">
        <v>883</v>
      </c>
      <c r="D81" s="75" t="s">
        <v>199</v>
      </c>
      <c r="E81" s="86">
        <f>_xlfn.XLOOKUP(B81,'Ratio Master'!$A:$A,'Ratio Master'!$G:$G,"")</f>
        <v>0.131766131089008</v>
      </c>
      <c r="F81" s="87">
        <f>_xlfn.XLOOKUP(B81,'Ratio Master'!$A:$A,'Ratio Master'!$F:$F,"")</f>
        <v>9</v>
      </c>
      <c r="G81" s="88">
        <f t="array" ref="G81">IF(AND(E81&gt;0,F81&gt;0),(F81/E81)+FabRateIncKg,0)</f>
        <v>68.30283264460806</v>
      </c>
      <c r="H81" s="88">
        <f t="shared" si="3"/>
        <v>226.32527887447253</v>
      </c>
      <c r="I81" s="127">
        <v>472.6</v>
      </c>
      <c r="J81" s="124">
        <v>126000</v>
      </c>
      <c r="K81" s="87"/>
      <c r="L81" s="89"/>
      <c r="M81" s="88">
        <f t="shared" si="4"/>
        <v>0</v>
      </c>
      <c r="N81" s="76">
        <f t="shared" si="5"/>
        <v>266.61024121878967</v>
      </c>
    </row>
    <row r="82" spans="1:14" ht="15" customHeight="1" x14ac:dyDescent="0.25">
      <c r="A82" s="75">
        <v>78</v>
      </c>
      <c r="B82" s="75">
        <v>600</v>
      </c>
      <c r="C82" s="75" t="s">
        <v>886</v>
      </c>
      <c r="D82" s="75" t="s">
        <v>182</v>
      </c>
      <c r="E82" s="86">
        <f>_xlfn.XLOOKUP(B82,'Ratio Master'!$A:$A,'Ratio Master'!$G:$G,"")</f>
        <v>4.9783658536585403E-2</v>
      </c>
      <c r="F82" s="87">
        <f>_xlfn.XLOOKUP(B82,'Ratio Master'!$A:$A,'Ratio Master'!$F:$F,"")</f>
        <v>5.7</v>
      </c>
      <c r="G82" s="88">
        <f t="array" ref="G82">IF(AND(E82&gt;0,F82&gt;0),(F82/E82)+FabRateIncKg,0)</f>
        <v>114.49540205670381</v>
      </c>
      <c r="H82" s="88">
        <f t="shared" si="3"/>
        <v>272.51784828656832</v>
      </c>
      <c r="I82" s="127">
        <v>341.7</v>
      </c>
      <c r="J82" s="124">
        <v>109800</v>
      </c>
      <c r="K82" s="87"/>
      <c r="L82" s="89"/>
      <c r="M82" s="88">
        <f t="shared" si="4"/>
        <v>0</v>
      </c>
      <c r="N82" s="76">
        <f t="shared" si="5"/>
        <v>321.33450395083406</v>
      </c>
    </row>
    <row r="83" spans="1:14" ht="15" customHeight="1" x14ac:dyDescent="0.25">
      <c r="A83" s="75">
        <v>79</v>
      </c>
      <c r="B83" s="75">
        <v>602</v>
      </c>
      <c r="C83" s="75" t="s">
        <v>886</v>
      </c>
      <c r="D83" s="75" t="s">
        <v>188</v>
      </c>
      <c r="E83" s="86">
        <f>_xlfn.XLOOKUP(B83,'Ratio Master'!$A:$A,'Ratio Master'!$G:$G,"")</f>
        <v>5.0119170984456E-2</v>
      </c>
      <c r="F83" s="87">
        <f>_xlfn.XLOOKUP(B83,'Ratio Master'!$A:$A,'Ratio Master'!$F:$F,"")</f>
        <v>5.7</v>
      </c>
      <c r="G83" s="88">
        <f t="array" ref="G83">IF(AND(E83&gt;0,F83&gt;0),(F83/E83)+FabRateIncKg,0)</f>
        <v>113.7289362142044</v>
      </c>
      <c r="H83" s="88">
        <f t="shared" si="3"/>
        <v>271.75138244406889</v>
      </c>
      <c r="I83" s="127">
        <v>88.4</v>
      </c>
      <c r="J83" s="124">
        <v>28800</v>
      </c>
      <c r="K83" s="87"/>
      <c r="L83" s="89"/>
      <c r="M83" s="88">
        <f t="shared" si="4"/>
        <v>0</v>
      </c>
      <c r="N83" s="76">
        <f t="shared" si="5"/>
        <v>325.79185520361989</v>
      </c>
    </row>
    <row r="84" spans="1:14" ht="15" customHeight="1" x14ac:dyDescent="0.25">
      <c r="A84" s="75">
        <v>80</v>
      </c>
      <c r="B84" s="75">
        <v>608</v>
      </c>
      <c r="C84" s="75" t="s">
        <v>886</v>
      </c>
      <c r="D84" s="75" t="s">
        <v>187</v>
      </c>
      <c r="E84" s="86">
        <f>_xlfn.XLOOKUP(B84,'Ratio Master'!$A:$A,'Ratio Master'!$G:$G,"")</f>
        <v>4.9575265614139601E-2</v>
      </c>
      <c r="F84" s="87">
        <f>_xlfn.XLOOKUP(B84,'Ratio Master'!$A:$A,'Ratio Master'!$F:$F,"")</f>
        <v>5.7</v>
      </c>
      <c r="G84" s="88">
        <f t="array" ref="G84">IF(AND(E84&gt;0,F84&gt;0),(F84/E84)+FabRateIncKg,0)</f>
        <v>114.97669108552947</v>
      </c>
      <c r="H84" s="88">
        <f t="shared" si="3"/>
        <v>272.99913731539391</v>
      </c>
      <c r="I84" s="127">
        <v>840.6</v>
      </c>
      <c r="J84" s="124">
        <v>262140</v>
      </c>
      <c r="K84" s="87">
        <v>241.6</v>
      </c>
      <c r="L84" s="89">
        <v>58125</v>
      </c>
      <c r="M84" s="88">
        <f t="shared" si="4"/>
        <v>240.58360927152319</v>
      </c>
      <c r="N84" s="76">
        <f t="shared" si="5"/>
        <v>311.84867951463241</v>
      </c>
    </row>
    <row r="85" spans="1:14" ht="15" customHeight="1" x14ac:dyDescent="0.25">
      <c r="A85" s="75">
        <v>81</v>
      </c>
      <c r="B85" s="75">
        <v>612</v>
      </c>
      <c r="C85" s="75" t="s">
        <v>887</v>
      </c>
      <c r="D85" s="75" t="s">
        <v>187</v>
      </c>
      <c r="E85" s="86">
        <f>_xlfn.XLOOKUP(B85,'Ratio Master'!$A:$A,'Ratio Master'!$G:$G,"")</f>
        <v>5.71010860484545E-2</v>
      </c>
      <c r="F85" s="87">
        <f>_xlfn.XLOOKUP(B85,'Ratio Master'!$A:$A,'Ratio Master'!$F:$F,"")</f>
        <v>7</v>
      </c>
      <c r="G85" s="88">
        <f t="array" ref="G85">IF(AND(E85&gt;0,F85&gt;0),(F85/E85)+FabRateIncKg,0)</f>
        <v>122.58961228968538</v>
      </c>
      <c r="H85" s="88">
        <f t="shared" si="3"/>
        <v>280.61205851954981</v>
      </c>
      <c r="I85" s="127">
        <v>809.3</v>
      </c>
      <c r="J85" s="124">
        <v>298320</v>
      </c>
      <c r="K85" s="87"/>
      <c r="L85" s="89"/>
      <c r="M85" s="88">
        <f t="shared" si="4"/>
        <v>0</v>
      </c>
      <c r="N85" s="76">
        <f t="shared" si="5"/>
        <v>368.61485234152974</v>
      </c>
    </row>
    <row r="86" spans="1:14" ht="15" customHeight="1" x14ac:dyDescent="0.25">
      <c r="A86" s="75">
        <v>82</v>
      </c>
      <c r="B86" s="75">
        <v>626</v>
      </c>
      <c r="C86" s="75" t="s">
        <v>890</v>
      </c>
      <c r="D86" s="75" t="s">
        <v>182</v>
      </c>
      <c r="E86" s="86">
        <f>_xlfn.XLOOKUP(B86,'Ratio Master'!$A:$A,'Ratio Master'!$G:$G,"")</f>
        <v>0.16676870748299299</v>
      </c>
      <c r="F86" s="87">
        <f>_xlfn.XLOOKUP(B86,'Ratio Master'!$A:$A,'Ratio Master'!$F:$F,"")</f>
        <v>0</v>
      </c>
      <c r="G86" s="88">
        <f t="array" ref="G86">IF(AND(E86&gt;0,F86&gt;0),(F86/E86)+FabRateIncKg,0)</f>
        <v>0</v>
      </c>
      <c r="H86" s="88">
        <f t="shared" si="3"/>
        <v>158.02244622986447</v>
      </c>
      <c r="I86" s="127">
        <v>96.8</v>
      </c>
      <c r="J86" s="124">
        <v>39000</v>
      </c>
      <c r="K86" s="87"/>
      <c r="L86" s="89"/>
      <c r="M86" s="88">
        <f t="shared" si="4"/>
        <v>0</v>
      </c>
      <c r="N86" s="76">
        <f t="shared" si="5"/>
        <v>402.89256198347107</v>
      </c>
    </row>
    <row r="87" spans="1:14" ht="15" customHeight="1" x14ac:dyDescent="0.25">
      <c r="A87" s="75">
        <v>83</v>
      </c>
      <c r="B87" s="75">
        <v>632</v>
      </c>
      <c r="C87" s="75" t="s">
        <v>891</v>
      </c>
      <c r="D87" s="75" t="s">
        <v>187</v>
      </c>
      <c r="E87" s="86">
        <f>_xlfn.XLOOKUP(B87,'Ratio Master'!$A:$A,'Ratio Master'!$G:$G,"")</f>
        <v>0.101192679021696</v>
      </c>
      <c r="F87" s="87">
        <f>_xlfn.XLOOKUP(B87,'Ratio Master'!$A:$A,'Ratio Master'!$F:$F,"")</f>
        <v>0</v>
      </c>
      <c r="G87" s="88">
        <f t="array" ref="G87">IF(AND(E87&gt;0,F87&gt;0),(F87/E87)+FabRateIncKg,0)</f>
        <v>0</v>
      </c>
      <c r="H87" s="88">
        <f t="shared" si="3"/>
        <v>158.02244622986447</v>
      </c>
      <c r="I87" s="127">
        <v>1500</v>
      </c>
      <c r="J87" s="124">
        <v>398855.9</v>
      </c>
      <c r="K87" s="87">
        <v>1500</v>
      </c>
      <c r="L87" s="89">
        <v>390254</v>
      </c>
      <c r="M87" s="88">
        <f t="shared" si="4"/>
        <v>260.16933333333333</v>
      </c>
      <c r="N87" s="76">
        <f t="shared" si="5"/>
        <v>265.90393333333333</v>
      </c>
    </row>
    <row r="88" spans="1:14" ht="15" customHeight="1" x14ac:dyDescent="0.25">
      <c r="A88" s="75">
        <v>84</v>
      </c>
      <c r="B88" s="75">
        <v>639</v>
      </c>
      <c r="C88" s="75" t="s">
        <v>894</v>
      </c>
      <c r="D88" s="75" t="s">
        <v>187</v>
      </c>
      <c r="E88" s="86">
        <f>_xlfn.XLOOKUP(B88,'Ratio Master'!$A:$A,'Ratio Master'!$G:$G,"")</f>
        <v>0.101638110347259</v>
      </c>
      <c r="F88" s="87">
        <f>_xlfn.XLOOKUP(B88,'Ratio Master'!$A:$A,'Ratio Master'!$F:$F,"")</f>
        <v>7</v>
      </c>
      <c r="G88" s="88">
        <f t="array" ref="G88">IF(AND(E88&gt;0,F88&gt;0),(F88/E88)+FabRateIncKg,0)</f>
        <v>68.871803854712041</v>
      </c>
      <c r="H88" s="88">
        <f t="shared" si="3"/>
        <v>226.8942500845765</v>
      </c>
      <c r="I88" s="127">
        <v>1121.9000000000001</v>
      </c>
      <c r="J88" s="124">
        <v>413850</v>
      </c>
      <c r="K88" s="87"/>
      <c r="L88" s="89"/>
      <c r="M88" s="88">
        <f t="shared" si="4"/>
        <v>0</v>
      </c>
      <c r="N88" s="76">
        <f t="shared" si="5"/>
        <v>368.88314466529988</v>
      </c>
    </row>
    <row r="89" spans="1:14" ht="15" customHeight="1" x14ac:dyDescent="0.25">
      <c r="A89" s="75">
        <v>85</v>
      </c>
      <c r="B89" s="75">
        <v>641</v>
      </c>
      <c r="C89" s="75" t="s">
        <v>896</v>
      </c>
      <c r="D89" s="75" t="s">
        <v>187</v>
      </c>
      <c r="E89" s="86">
        <f>_xlfn.XLOOKUP(B89,'Ratio Master'!$A:$A,'Ratio Master'!$G:$G,"")</f>
        <v>0.117746031746032</v>
      </c>
      <c r="F89" s="87">
        <f>_xlfn.XLOOKUP(B89,'Ratio Master'!$A:$A,'Ratio Master'!$F:$F,"")</f>
        <v>8</v>
      </c>
      <c r="G89" s="88">
        <f t="array" ref="G89">IF(AND(E89&gt;0,F89&gt;0),(F89/E89)+FabRateIncKg,0)</f>
        <v>67.942841736316922</v>
      </c>
      <c r="H89" s="88">
        <f t="shared" si="3"/>
        <v>225.96528796618139</v>
      </c>
      <c r="I89" s="127">
        <v>3.6</v>
      </c>
      <c r="J89" s="124">
        <v>1350</v>
      </c>
      <c r="K89" s="87"/>
      <c r="L89" s="89"/>
      <c r="M89" s="88">
        <f t="shared" si="4"/>
        <v>0</v>
      </c>
      <c r="N89" s="76">
        <f t="shared" si="5"/>
        <v>375</v>
      </c>
    </row>
    <row r="90" spans="1:14" ht="15" customHeight="1" x14ac:dyDescent="0.25">
      <c r="A90" s="75">
        <v>86</v>
      </c>
      <c r="B90" s="75">
        <v>643</v>
      </c>
      <c r="C90" s="75" t="s">
        <v>897</v>
      </c>
      <c r="D90" s="75" t="s">
        <v>895</v>
      </c>
      <c r="E90" s="86">
        <f>_xlfn.XLOOKUP(B90,'Ratio Master'!$A:$A,'Ratio Master'!$G:$G,"")</f>
        <v>0.140809523809524</v>
      </c>
      <c r="F90" s="87">
        <f>_xlfn.XLOOKUP(B90,'Ratio Master'!$A:$A,'Ratio Master'!$F:$F,"")</f>
        <v>10</v>
      </c>
      <c r="G90" s="88">
        <f t="array" ref="G90">IF(AND(E90&gt;0,F90&gt;0),(F90/E90)+FabRateIncKg,0)</f>
        <v>71.017923571186927</v>
      </c>
      <c r="H90" s="88">
        <f t="shared" si="3"/>
        <v>229.04036980105141</v>
      </c>
      <c r="I90" s="127">
        <v>1</v>
      </c>
      <c r="J90" s="124">
        <v>702</v>
      </c>
      <c r="K90" s="87"/>
      <c r="L90" s="89"/>
      <c r="M90" s="88">
        <f t="shared" si="4"/>
        <v>0</v>
      </c>
      <c r="N90" s="76">
        <f t="shared" si="5"/>
        <v>702</v>
      </c>
    </row>
    <row r="91" spans="1:14" ht="15" customHeight="1" x14ac:dyDescent="0.25">
      <c r="A91" s="75">
        <v>87</v>
      </c>
      <c r="B91" s="75">
        <v>647</v>
      </c>
      <c r="C91" s="75" t="s">
        <v>898</v>
      </c>
      <c r="D91" s="75" t="s">
        <v>187</v>
      </c>
      <c r="E91" s="86">
        <f>_xlfn.XLOOKUP(B91,'Ratio Master'!$A:$A,'Ratio Master'!$G:$G,"")</f>
        <v>0.207771442736738</v>
      </c>
      <c r="F91" s="87">
        <f>_xlfn.XLOOKUP(B91,'Ratio Master'!$A:$A,'Ratio Master'!$F:$F,"")</f>
        <v>18</v>
      </c>
      <c r="G91" s="88">
        <f t="array" ref="G91">IF(AND(E91&gt;0,F91&gt;0),(F91/E91)+FabRateIncKg,0)</f>
        <v>86.633657459881775</v>
      </c>
      <c r="H91" s="88">
        <f t="shared" si="3"/>
        <v>244.65610368974623</v>
      </c>
      <c r="I91" s="127">
        <v>3876.3</v>
      </c>
      <c r="J91" s="124">
        <v>1039050</v>
      </c>
      <c r="K91" s="87">
        <v>3823.6</v>
      </c>
      <c r="L91" s="89">
        <v>1018818</v>
      </c>
      <c r="M91" s="88">
        <f t="shared" si="4"/>
        <v>266.45517313526523</v>
      </c>
      <c r="N91" s="76">
        <f t="shared" si="5"/>
        <v>268.05200835848615</v>
      </c>
    </row>
    <row r="92" spans="1:14" ht="15" customHeight="1" x14ac:dyDescent="0.25">
      <c r="A92" s="75">
        <v>88</v>
      </c>
      <c r="B92" s="75">
        <v>651</v>
      </c>
      <c r="C92" s="75" t="s">
        <v>899</v>
      </c>
      <c r="D92" s="75" t="s">
        <v>187</v>
      </c>
      <c r="E92" s="86">
        <f>_xlfn.XLOOKUP(B92,'Ratio Master'!$A:$A,'Ratio Master'!$G:$G,"")</f>
        <v>6.7175311004784702E-2</v>
      </c>
      <c r="F92" s="87">
        <f>_xlfn.XLOOKUP(B92,'Ratio Master'!$A:$A,'Ratio Master'!$F:$F,"")</f>
        <v>7</v>
      </c>
      <c r="G92" s="88">
        <f t="array" ref="G92">IF(AND(E92&gt;0,F92&gt;0),(F92/E92)+FabRateIncKg,0)</f>
        <v>104.20495112410288</v>
      </c>
      <c r="H92" s="88">
        <f t="shared" si="3"/>
        <v>262.22739735396738</v>
      </c>
      <c r="I92" s="127">
        <v>870.65</v>
      </c>
      <c r="J92" s="124">
        <v>299400</v>
      </c>
      <c r="K92" s="87"/>
      <c r="L92" s="89"/>
      <c r="M92" s="88">
        <f t="shared" si="4"/>
        <v>0</v>
      </c>
      <c r="N92" s="76">
        <f t="shared" si="5"/>
        <v>343.88100844196867</v>
      </c>
    </row>
    <row r="93" spans="1:14" ht="15" customHeight="1" x14ac:dyDescent="0.25">
      <c r="A93" s="75">
        <v>89</v>
      </c>
      <c r="B93" s="75">
        <v>658</v>
      </c>
      <c r="C93" s="75" t="s">
        <v>902</v>
      </c>
      <c r="D93" s="75" t="s">
        <v>884</v>
      </c>
      <c r="E93" s="86">
        <f>_xlfn.XLOOKUP(B93,'Ratio Master'!$A:$A,'Ratio Master'!$G:$G,"")</f>
        <v>3.8382436260623203E-2</v>
      </c>
      <c r="F93" s="87">
        <f>_xlfn.XLOOKUP(B93,'Ratio Master'!$A:$A,'Ratio Master'!$F:$F,"")</f>
        <v>4.5</v>
      </c>
      <c r="G93" s="88">
        <f t="array" ref="G93">IF(AND(E93&gt;0,F93&gt;0),(F93/E93)+FabRateIncKg,0)</f>
        <v>117.24112480625885</v>
      </c>
      <c r="H93" s="88">
        <f t="shared" si="3"/>
        <v>275.26357103612338</v>
      </c>
      <c r="I93" s="127">
        <v>505.42</v>
      </c>
      <c r="J93" s="124">
        <v>162000</v>
      </c>
      <c r="K93" s="87">
        <v>634.29999999999995</v>
      </c>
      <c r="L93" s="89">
        <v>177606</v>
      </c>
      <c r="M93" s="88">
        <f t="shared" si="4"/>
        <v>280.00315308213783</v>
      </c>
      <c r="N93" s="76">
        <f t="shared" si="5"/>
        <v>320.52550354160894</v>
      </c>
    </row>
    <row r="94" spans="1:14" ht="15" customHeight="1" x14ac:dyDescent="0.25">
      <c r="A94" s="75">
        <v>90</v>
      </c>
      <c r="B94" s="75">
        <v>661</v>
      </c>
      <c r="C94" s="75" t="s">
        <v>902</v>
      </c>
      <c r="D94" s="75" t="s">
        <v>187</v>
      </c>
      <c r="E94" s="86">
        <f>_xlfn.XLOOKUP(B94,'Ratio Master'!$A:$A,'Ratio Master'!$G:$G,"")</f>
        <v>3.6201919115348098E-2</v>
      </c>
      <c r="F94" s="87">
        <f>_xlfn.XLOOKUP(B94,'Ratio Master'!$A:$A,'Ratio Master'!$F:$F,"")</f>
        <v>4.5</v>
      </c>
      <c r="G94" s="88">
        <f t="array" ref="G94">IF(AND(E94&gt;0,F94&gt;0),(F94/E94)+FabRateIncKg,0)</f>
        <v>124.30280244707215</v>
      </c>
      <c r="H94" s="88">
        <f t="shared" si="3"/>
        <v>282.32524867693667</v>
      </c>
      <c r="I94" s="127">
        <v>569.29999999999995</v>
      </c>
      <c r="J94" s="124">
        <v>180150</v>
      </c>
      <c r="K94" s="87">
        <v>922.5</v>
      </c>
      <c r="L94" s="89">
        <v>268620</v>
      </c>
      <c r="M94" s="88">
        <f t="shared" si="4"/>
        <v>291.1869918699187</v>
      </c>
      <c r="N94" s="76">
        <f t="shared" si="5"/>
        <v>316.44124363253121</v>
      </c>
    </row>
    <row r="95" spans="1:14" ht="15" customHeight="1" x14ac:dyDescent="0.25">
      <c r="A95" s="75">
        <v>91</v>
      </c>
      <c r="B95" s="75">
        <v>661</v>
      </c>
      <c r="C95" s="75" t="s">
        <v>902</v>
      </c>
      <c r="D95" s="75" t="s">
        <v>939</v>
      </c>
      <c r="E95" s="86">
        <f>_xlfn.XLOOKUP(B95,'Ratio Master'!$A:$A,'Ratio Master'!$G:$G,"")</f>
        <v>3.6201919115348098E-2</v>
      </c>
      <c r="F95" s="87">
        <f>_xlfn.XLOOKUP(B95,'Ratio Master'!$A:$A,'Ratio Master'!$F:$F,"")</f>
        <v>4.5</v>
      </c>
      <c r="G95" s="88">
        <f t="array" ref="G95">IF(AND(E95&gt;0,F95&gt;0),(F95/E95)+FabRateIncKg,0)</f>
        <v>124.30280244707215</v>
      </c>
      <c r="H95" s="88">
        <f t="shared" si="3"/>
        <v>282.32524867693667</v>
      </c>
      <c r="I95" s="127">
        <v>558.71</v>
      </c>
      <c r="J95" s="124">
        <v>198000</v>
      </c>
      <c r="K95" s="87"/>
      <c r="L95" s="89"/>
      <c r="M95" s="88">
        <f t="shared" si="4"/>
        <v>0</v>
      </c>
      <c r="N95" s="76">
        <f t="shared" si="5"/>
        <v>354.38778615023892</v>
      </c>
    </row>
    <row r="96" spans="1:14" ht="15" customHeight="1" x14ac:dyDescent="0.25">
      <c r="A96" s="75">
        <v>92</v>
      </c>
      <c r="B96" s="75">
        <v>665</v>
      </c>
      <c r="C96" s="75" t="s">
        <v>903</v>
      </c>
      <c r="D96" s="75" t="s">
        <v>200</v>
      </c>
      <c r="E96" s="86">
        <f>_xlfn.XLOOKUP(B96,'Ratio Master'!$A:$A,'Ratio Master'!$G:$G,"")</f>
        <v>6.6944970206799903E-2</v>
      </c>
      <c r="F96" s="87">
        <f>_xlfn.XLOOKUP(B96,'Ratio Master'!$A:$A,'Ratio Master'!$F:$F,"")</f>
        <v>7</v>
      </c>
      <c r="G96" s="88">
        <f t="array" ref="G96">IF(AND(E96&gt;0,F96&gt;0),(F96/E96)+FabRateIncKg,0)</f>
        <v>104.56349414117715</v>
      </c>
      <c r="H96" s="88">
        <f t="shared" si="3"/>
        <v>262.5859403710416</v>
      </c>
      <c r="I96" s="127">
        <v>208.6</v>
      </c>
      <c r="J96" s="124">
        <v>71940</v>
      </c>
      <c r="K96" s="87"/>
      <c r="L96" s="89"/>
      <c r="M96" s="88">
        <f t="shared" si="4"/>
        <v>0</v>
      </c>
      <c r="N96" s="76">
        <f t="shared" si="5"/>
        <v>344.87056567593481</v>
      </c>
    </row>
    <row r="97" spans="1:14" ht="15" customHeight="1" x14ac:dyDescent="0.25">
      <c r="A97" s="75">
        <v>93</v>
      </c>
      <c r="B97" s="75">
        <v>666</v>
      </c>
      <c r="C97" s="75" t="s">
        <v>903</v>
      </c>
      <c r="D97" s="75" t="s">
        <v>182</v>
      </c>
      <c r="E97" s="86">
        <f>_xlfn.XLOOKUP(B97,'Ratio Master'!$A:$A,'Ratio Master'!$G:$G,"")</f>
        <v>7.4492831541218593E-2</v>
      </c>
      <c r="F97" s="87">
        <f>_xlfn.XLOOKUP(B97,'Ratio Master'!$A:$A,'Ratio Master'!$F:$F,"")</f>
        <v>7</v>
      </c>
      <c r="G97" s="88">
        <f t="array" ref="G97">IF(AND(E97&gt;0,F97&gt;0),(F97/E97)+FabRateIncKg,0)</f>
        <v>93.968773305747405</v>
      </c>
      <c r="H97" s="88">
        <f t="shared" si="3"/>
        <v>251.99121953561186</v>
      </c>
      <c r="I97" s="127">
        <v>58.53</v>
      </c>
      <c r="J97" s="124">
        <v>18375</v>
      </c>
      <c r="K97" s="87"/>
      <c r="L97" s="89"/>
      <c r="M97" s="88">
        <f t="shared" si="4"/>
        <v>0</v>
      </c>
      <c r="N97" s="76">
        <f t="shared" si="5"/>
        <v>313.94156842644799</v>
      </c>
    </row>
    <row r="98" spans="1:14" ht="15" customHeight="1" x14ac:dyDescent="0.25">
      <c r="A98" s="75">
        <v>94</v>
      </c>
      <c r="B98" s="75">
        <v>669</v>
      </c>
      <c r="C98" s="75" t="s">
        <v>903</v>
      </c>
      <c r="D98" s="75" t="s">
        <v>187</v>
      </c>
      <c r="E98" s="86">
        <f>_xlfn.XLOOKUP(B98,'Ratio Master'!$A:$A,'Ratio Master'!$G:$G,"")</f>
        <v>7.2204806687565307E-2</v>
      </c>
      <c r="F98" s="87">
        <f>_xlfn.XLOOKUP(B98,'Ratio Master'!$A:$A,'Ratio Master'!$F:$F,"")</f>
        <v>7</v>
      </c>
      <c r="G98" s="88">
        <f t="array" ref="G98">IF(AND(E98&gt;0,F98&gt;0),(F98/E98)+FabRateIncKg,0)</f>
        <v>96.946454413892909</v>
      </c>
      <c r="H98" s="88">
        <f t="shared" si="3"/>
        <v>254.96890064375739</v>
      </c>
      <c r="I98" s="127">
        <v>478.75</v>
      </c>
      <c r="J98" s="124">
        <v>168720</v>
      </c>
      <c r="K98" s="87"/>
      <c r="L98" s="89"/>
      <c r="M98" s="88">
        <f t="shared" si="4"/>
        <v>0</v>
      </c>
      <c r="N98" s="76">
        <f t="shared" si="5"/>
        <v>352.41775456919061</v>
      </c>
    </row>
    <row r="99" spans="1:14" ht="15" customHeight="1" x14ac:dyDescent="0.25">
      <c r="A99" s="75">
        <v>95</v>
      </c>
      <c r="B99" s="75">
        <v>671</v>
      </c>
      <c r="C99" s="75" t="s">
        <v>903</v>
      </c>
      <c r="D99" s="75" t="s">
        <v>901</v>
      </c>
      <c r="E99" s="86">
        <f>_xlfn.XLOOKUP(B99,'Ratio Master'!$A:$A,'Ratio Master'!$G:$G,"")</f>
        <v>5.9013392857142903E-2</v>
      </c>
      <c r="F99" s="87">
        <f>_xlfn.XLOOKUP(B99,'Ratio Master'!$A:$A,'Ratio Master'!$F:$F,"")</f>
        <v>7</v>
      </c>
      <c r="G99" s="88">
        <f t="array" ref="G99">IF(AND(E99&gt;0,F99&gt;0),(F99/E99)+FabRateIncKg,0)</f>
        <v>118.61714199258634</v>
      </c>
      <c r="H99" s="88">
        <f t="shared" si="3"/>
        <v>276.63958822245081</v>
      </c>
      <c r="I99" s="127">
        <v>2469.1999999999998</v>
      </c>
      <c r="J99" s="124">
        <v>745200</v>
      </c>
      <c r="K99" s="87"/>
      <c r="L99" s="89"/>
      <c r="M99" s="88">
        <f t="shared" si="4"/>
        <v>0</v>
      </c>
      <c r="N99" s="76">
        <f t="shared" si="5"/>
        <v>301.79815324801558</v>
      </c>
    </row>
    <row r="100" spans="1:14" ht="15" customHeight="1" x14ac:dyDescent="0.25">
      <c r="A100" s="75">
        <v>96</v>
      </c>
      <c r="B100" s="75">
        <v>679</v>
      </c>
      <c r="C100" s="75" t="s">
        <v>904</v>
      </c>
      <c r="D100" s="75" t="s">
        <v>187</v>
      </c>
      <c r="E100" s="86">
        <f>_xlfn.XLOOKUP(B100,'Ratio Master'!$A:$A,'Ratio Master'!$G:$G,"")</f>
        <v>0.25560448358686999</v>
      </c>
      <c r="F100" s="87">
        <f>_xlfn.XLOOKUP(B100,'Ratio Master'!$A:$A,'Ratio Master'!$F:$F,"")</f>
        <v>28</v>
      </c>
      <c r="G100" s="88">
        <f t="array" ref="G100">IF(AND(E100&gt;0,F100&gt;0),(F100/E100)+FabRateIncKg,0)</f>
        <v>109.54424432263096</v>
      </c>
      <c r="H100" s="88">
        <f t="shared" si="3"/>
        <v>267.5666905524954</v>
      </c>
      <c r="I100" s="127">
        <v>246</v>
      </c>
      <c r="J100" s="124">
        <v>90000</v>
      </c>
      <c r="K100" s="87"/>
      <c r="L100" s="89"/>
      <c r="M100" s="88">
        <f t="shared" si="4"/>
        <v>0</v>
      </c>
      <c r="N100" s="76">
        <f t="shared" si="5"/>
        <v>365.85365853658539</v>
      </c>
    </row>
    <row r="101" spans="1:14" ht="15" customHeight="1" x14ac:dyDescent="0.25">
      <c r="A101" s="75">
        <v>97</v>
      </c>
      <c r="B101" s="75">
        <v>683</v>
      </c>
      <c r="C101" s="75" t="s">
        <v>905</v>
      </c>
      <c r="D101" s="75" t="s">
        <v>187</v>
      </c>
      <c r="E101" s="86">
        <f>_xlfn.XLOOKUP(B101,'Ratio Master'!$A:$A,'Ratio Master'!$G:$G,"")</f>
        <v>8.53521292018352E-2</v>
      </c>
      <c r="F101" s="87">
        <f>_xlfn.XLOOKUP(B101,'Ratio Master'!$A:$A,'Ratio Master'!$F:$F,"")</f>
        <v>8.5</v>
      </c>
      <c r="G101" s="88">
        <f t="array" ref="G101">IF(AND(E101&gt;0,F101&gt;0),(F101/E101)+FabRateIncKg,0)</f>
        <v>99.587439463867966</v>
      </c>
      <c r="H101" s="88">
        <f t="shared" si="3"/>
        <v>257.60988569373239</v>
      </c>
      <c r="I101" s="127">
        <v>100.2</v>
      </c>
      <c r="J101" s="124">
        <v>34800</v>
      </c>
      <c r="K101" s="87"/>
      <c r="L101" s="89"/>
      <c r="M101" s="88">
        <f t="shared" si="4"/>
        <v>0</v>
      </c>
      <c r="N101" s="76">
        <f t="shared" si="5"/>
        <v>347.30538922155688</v>
      </c>
    </row>
    <row r="102" spans="1:14" ht="15" customHeight="1" x14ac:dyDescent="0.25">
      <c r="A102" s="75">
        <v>98</v>
      </c>
      <c r="B102" s="75">
        <v>683</v>
      </c>
      <c r="C102" s="75" t="s">
        <v>905</v>
      </c>
      <c r="D102" s="75" t="s">
        <v>205</v>
      </c>
      <c r="E102" s="86">
        <f>_xlfn.XLOOKUP(B102,'Ratio Master'!$A:$A,'Ratio Master'!$G:$G,"")</f>
        <v>8.53521292018352E-2</v>
      </c>
      <c r="F102" s="87">
        <f>_xlfn.XLOOKUP(B102,'Ratio Master'!$A:$A,'Ratio Master'!$F:$F,"")</f>
        <v>8.5</v>
      </c>
      <c r="G102" s="88">
        <f t="array" ref="G102">IF(AND(E102&gt;0,F102&gt;0),(F102/E102)+FabRateIncKg,0)</f>
        <v>99.587439463867966</v>
      </c>
      <c r="H102" s="88">
        <f t="shared" si="3"/>
        <v>257.60988569373239</v>
      </c>
      <c r="I102" s="127">
        <v>322.60000000000002</v>
      </c>
      <c r="J102" s="124">
        <v>97200</v>
      </c>
      <c r="K102" s="87"/>
      <c r="L102" s="89"/>
      <c r="M102" s="88">
        <f t="shared" si="4"/>
        <v>0</v>
      </c>
      <c r="N102" s="76">
        <f t="shared" si="5"/>
        <v>301.30192188468692</v>
      </c>
    </row>
    <row r="103" spans="1:14" ht="15" customHeight="1" x14ac:dyDescent="0.25">
      <c r="A103" s="75">
        <v>99</v>
      </c>
      <c r="B103" s="75">
        <v>689</v>
      </c>
      <c r="C103" s="75" t="s">
        <v>907</v>
      </c>
      <c r="D103" s="75" t="s">
        <v>187</v>
      </c>
      <c r="E103" s="86">
        <f>_xlfn.XLOOKUP(B103,'Ratio Master'!$A:$A,'Ratio Master'!$G:$G,"")</f>
        <v>0.1265</v>
      </c>
      <c r="F103" s="87">
        <f>_xlfn.XLOOKUP(B103,'Ratio Master'!$A:$A,'Ratio Master'!$F:$F,"")</f>
        <v>14</v>
      </c>
      <c r="G103" s="88">
        <f t="array" ref="G103">IF(AND(E103&gt;0,F103&gt;0),(F103/E103)+FabRateIncKg,0)</f>
        <v>110.67193675889328</v>
      </c>
      <c r="H103" s="88">
        <f t="shared" si="3"/>
        <v>268.69438298875775</v>
      </c>
      <c r="I103" s="127">
        <v>75.75</v>
      </c>
      <c r="J103" s="124">
        <v>28800</v>
      </c>
      <c r="K103" s="87"/>
      <c r="L103" s="89"/>
      <c r="M103" s="88">
        <f t="shared" si="4"/>
        <v>0</v>
      </c>
      <c r="N103" s="76">
        <f t="shared" si="5"/>
        <v>380.19801980198019</v>
      </c>
    </row>
    <row r="104" spans="1:14" ht="15" customHeight="1" x14ac:dyDescent="0.25">
      <c r="A104" s="75">
        <v>100</v>
      </c>
      <c r="B104" s="75">
        <v>706</v>
      </c>
      <c r="C104" s="75" t="s">
        <v>934</v>
      </c>
      <c r="D104" s="75" t="s">
        <v>187</v>
      </c>
      <c r="E104" s="86">
        <f>_xlfn.XLOOKUP(B104,'Ratio Master'!$A:$A,'Ratio Master'!$G:$G,"")</f>
        <v>0.101519535013586</v>
      </c>
      <c r="F104" s="87">
        <f>_xlfn.XLOOKUP(B104,'Ratio Master'!$A:$A,'Ratio Master'!$F:$F,"")</f>
        <v>0</v>
      </c>
      <c r="G104" s="88">
        <f t="array" ref="G104">IF(AND(E104&gt;0,F104&gt;0),(F104/E104)+FabRateIncKg,0)</f>
        <v>0</v>
      </c>
      <c r="H104" s="88">
        <f t="shared" si="3"/>
        <v>158.02244622986447</v>
      </c>
      <c r="I104" s="127">
        <v>816.7</v>
      </c>
      <c r="J104" s="124">
        <v>399600</v>
      </c>
      <c r="K104" s="87"/>
      <c r="L104" s="89"/>
      <c r="M104" s="88">
        <f t="shared" si="4"/>
        <v>0</v>
      </c>
      <c r="N104" s="76">
        <f t="shared" si="5"/>
        <v>489.28615158564952</v>
      </c>
    </row>
    <row r="105" spans="1:14" ht="15" customHeight="1" x14ac:dyDescent="0.25">
      <c r="A105" s="75">
        <v>101</v>
      </c>
      <c r="B105" s="75">
        <v>707</v>
      </c>
      <c r="C105" s="75" t="s">
        <v>911</v>
      </c>
      <c r="D105" s="75" t="s">
        <v>187</v>
      </c>
      <c r="E105" s="86">
        <f>_xlfn.XLOOKUP(B105,'Ratio Master'!$A:$A,'Ratio Master'!$G:$G,"")</f>
        <v>0.117169811320755</v>
      </c>
      <c r="F105" s="87">
        <f>_xlfn.XLOOKUP(B105,'Ratio Master'!$A:$A,'Ratio Master'!$F:$F,"")</f>
        <v>13</v>
      </c>
      <c r="G105" s="88">
        <f t="array" ref="G105">IF(AND(E105&gt;0,F105&gt;0),(F105/E105)+FabRateIncKg,0)</f>
        <v>110.95008051529763</v>
      </c>
      <c r="H105" s="88">
        <f t="shared" si="3"/>
        <v>268.9725267451621</v>
      </c>
      <c r="I105" s="127">
        <v>51.1</v>
      </c>
      <c r="J105" s="124">
        <v>25200</v>
      </c>
      <c r="K105" s="87"/>
      <c r="L105" s="89"/>
      <c r="M105" s="88">
        <f t="shared" si="4"/>
        <v>0</v>
      </c>
      <c r="N105" s="76">
        <f t="shared" si="5"/>
        <v>493.15068493150682</v>
      </c>
    </row>
    <row r="106" spans="1:14" ht="15" customHeight="1" x14ac:dyDescent="0.25">
      <c r="A106" s="75">
        <v>102</v>
      </c>
      <c r="B106" s="75">
        <v>708</v>
      </c>
      <c r="C106" s="75" t="s">
        <v>912</v>
      </c>
      <c r="D106" s="75" t="s">
        <v>187</v>
      </c>
      <c r="E106" s="86">
        <f>_xlfn.XLOOKUP(B106,'Ratio Master'!$A:$A,'Ratio Master'!$G:$G,"")</f>
        <v>6.8313208109719706E-2</v>
      </c>
      <c r="F106" s="87">
        <f>_xlfn.XLOOKUP(B106,'Ratio Master'!$A:$A,'Ratio Master'!$F:$F,"")</f>
        <v>9</v>
      </c>
      <c r="G106" s="88">
        <f t="array" ref="G106">IF(AND(E106&gt;0,F106&gt;0),(F106/E106)+FabRateIncKg,0)</f>
        <v>131.74611834280796</v>
      </c>
      <c r="H106" s="88">
        <f t="shared" si="3"/>
        <v>289.7685645726724</v>
      </c>
      <c r="I106" s="127">
        <v>220</v>
      </c>
      <c r="J106" s="124">
        <v>98100</v>
      </c>
      <c r="K106" s="87"/>
      <c r="L106" s="89"/>
      <c r="M106" s="88">
        <f t="shared" si="4"/>
        <v>0</v>
      </c>
      <c r="N106" s="76">
        <f t="shared" si="5"/>
        <v>445.90909090909093</v>
      </c>
    </row>
    <row r="107" spans="1:14" ht="15" customHeight="1" x14ac:dyDescent="0.25">
      <c r="A107" s="75">
        <v>103</v>
      </c>
      <c r="B107" s="75">
        <v>709</v>
      </c>
      <c r="C107" s="75" t="s">
        <v>913</v>
      </c>
      <c r="D107" s="75" t="s">
        <v>187</v>
      </c>
      <c r="E107" s="86">
        <f>_xlfn.XLOOKUP(B107,'Ratio Master'!$A:$A,'Ratio Master'!$G:$G,"")</f>
        <v>7.7371258712587099E-2</v>
      </c>
      <c r="F107" s="87">
        <f>_xlfn.XLOOKUP(B107,'Ratio Master'!$A:$A,'Ratio Master'!$F:$F,"")</f>
        <v>10</v>
      </c>
      <c r="G107" s="88">
        <f t="array" ref="G107">IF(AND(E107&gt;0,F107&gt;0),(F107/E107)+FabRateIncKg,0)</f>
        <v>129.24696025881192</v>
      </c>
      <c r="H107" s="88">
        <f t="shared" si="3"/>
        <v>287.2694064886764</v>
      </c>
      <c r="I107" s="127">
        <v>375.8</v>
      </c>
      <c r="J107" s="124">
        <v>152250</v>
      </c>
      <c r="K107" s="87"/>
      <c r="L107" s="89"/>
      <c r="M107" s="88">
        <f t="shared" si="4"/>
        <v>0</v>
      </c>
      <c r="N107" s="76">
        <f t="shared" si="5"/>
        <v>405.13571048430015</v>
      </c>
    </row>
    <row r="108" spans="1:14" ht="15" customHeight="1" x14ac:dyDescent="0.25">
      <c r="A108" s="75">
        <v>104</v>
      </c>
      <c r="B108" s="75">
        <v>720</v>
      </c>
      <c r="C108" s="75" t="s">
        <v>914</v>
      </c>
      <c r="D108" s="75" t="s">
        <v>182</v>
      </c>
      <c r="E108" s="86">
        <f>_xlfn.XLOOKUP(B108,'Ratio Master'!$A:$A,'Ratio Master'!$G:$G,"")</f>
        <v>0.136357723577236</v>
      </c>
      <c r="F108" s="87">
        <f>_xlfn.XLOOKUP(B108,'Ratio Master'!$A:$A,'Ratio Master'!$F:$F,"")</f>
        <v>0</v>
      </c>
      <c r="G108" s="88">
        <f t="array" ref="G108">IF(AND(E108&gt;0,F108&gt;0),(F108/E108)+FabRateIncKg,0)</f>
        <v>0</v>
      </c>
      <c r="H108" s="88">
        <f t="shared" si="3"/>
        <v>158.02244622986447</v>
      </c>
      <c r="I108" s="127">
        <v>356.4</v>
      </c>
      <c r="J108" s="124">
        <v>99540</v>
      </c>
      <c r="K108" s="87">
        <v>345.7</v>
      </c>
      <c r="L108" s="89">
        <v>86700</v>
      </c>
      <c r="M108" s="88">
        <f t="shared" si="4"/>
        <v>250.79548741683541</v>
      </c>
      <c r="N108" s="76">
        <f t="shared" si="5"/>
        <v>279.29292929292933</v>
      </c>
    </row>
    <row r="109" spans="1:14" ht="15" customHeight="1" x14ac:dyDescent="0.25">
      <c r="A109" s="75">
        <v>105</v>
      </c>
      <c r="B109" s="75">
        <v>723</v>
      </c>
      <c r="C109" s="75" t="s">
        <v>870</v>
      </c>
      <c r="D109" s="75" t="s">
        <v>200</v>
      </c>
      <c r="E109" s="86">
        <f>_xlfn.XLOOKUP(B109,'Ratio Master'!$A:$A,'Ratio Master'!$G:$G,"")</f>
        <v>0.176666666666667</v>
      </c>
      <c r="F109" s="87">
        <f>_xlfn.XLOOKUP(B109,'Ratio Master'!$A:$A,'Ratio Master'!$F:$F,"")</f>
        <v>10.25</v>
      </c>
      <c r="G109" s="88">
        <f t="array" ref="G109">IF(AND(E109&gt;0,F109&gt;0),(F109/E109)+FabRateIncKg,0)</f>
        <v>58.018867924528195</v>
      </c>
      <c r="H109" s="88">
        <f t="shared" si="3"/>
        <v>216.04131415439267</v>
      </c>
      <c r="I109" s="127">
        <v>5.45</v>
      </c>
      <c r="J109" s="124">
        <v>1950</v>
      </c>
      <c r="K109" s="87"/>
      <c r="L109" s="89"/>
      <c r="M109" s="88">
        <f t="shared" si="4"/>
        <v>0</v>
      </c>
      <c r="N109" s="76">
        <f t="shared" si="5"/>
        <v>357.79816513761466</v>
      </c>
    </row>
    <row r="110" spans="1:14" ht="15" customHeight="1" x14ac:dyDescent="0.25">
      <c r="A110" s="75">
        <v>106</v>
      </c>
      <c r="B110" s="75">
        <v>726</v>
      </c>
      <c r="C110" s="75" t="s">
        <v>915</v>
      </c>
      <c r="D110" s="75" t="s">
        <v>187</v>
      </c>
      <c r="E110" s="86">
        <f>_xlfn.XLOOKUP(B110,'Ratio Master'!$A:$A,'Ratio Master'!$G:$G,"")</f>
        <v>0.13580843585237301</v>
      </c>
      <c r="F110" s="87">
        <f>_xlfn.XLOOKUP(B110,'Ratio Master'!$A:$A,'Ratio Master'!$F:$F,"")</f>
        <v>0</v>
      </c>
      <c r="G110" s="88">
        <f t="array" ref="G110">IF(AND(E110&gt;0,F110&gt;0),(F110/E110)+FabRateIncKg,0)</f>
        <v>0</v>
      </c>
      <c r="H110" s="88">
        <f t="shared" si="3"/>
        <v>158.02244622986447</v>
      </c>
      <c r="I110" s="127">
        <v>134.9</v>
      </c>
      <c r="J110" s="124">
        <v>50082</v>
      </c>
      <c r="K110" s="87">
        <v>134.9</v>
      </c>
      <c r="L110" s="89">
        <v>40262</v>
      </c>
      <c r="M110" s="88">
        <f t="shared" si="4"/>
        <v>298.45811712379538</v>
      </c>
      <c r="N110" s="76">
        <f t="shared" si="5"/>
        <v>371.2527798369162</v>
      </c>
    </row>
    <row r="111" spans="1:14" ht="15" customHeight="1" x14ac:dyDescent="0.25">
      <c r="A111" s="75">
        <v>107</v>
      </c>
      <c r="B111" s="75">
        <v>727</v>
      </c>
      <c r="C111" s="75" t="s">
        <v>916</v>
      </c>
      <c r="D111" s="75" t="s">
        <v>187</v>
      </c>
      <c r="E111" s="86">
        <f>_xlfn.XLOOKUP(B111,'Ratio Master'!$A:$A,'Ratio Master'!$G:$G,"")</f>
        <v>9.89734693877551E-2</v>
      </c>
      <c r="F111" s="87">
        <f>_xlfn.XLOOKUP(B111,'Ratio Master'!$A:$A,'Ratio Master'!$F:$F,"")</f>
        <v>0</v>
      </c>
      <c r="G111" s="88">
        <f t="array" ref="G111">IF(AND(E111&gt;0,F111&gt;0),(F111/E111)+FabRateIncKg,0)</f>
        <v>0</v>
      </c>
      <c r="H111" s="88">
        <f t="shared" si="3"/>
        <v>158.02244622986447</v>
      </c>
      <c r="I111" s="127">
        <v>2100</v>
      </c>
      <c r="J111" s="124">
        <v>556500</v>
      </c>
      <c r="K111" s="87">
        <v>2100</v>
      </c>
      <c r="L111" s="89">
        <v>525000</v>
      </c>
      <c r="M111" s="88">
        <f t="shared" si="4"/>
        <v>250</v>
      </c>
      <c r="N111" s="76">
        <f t="shared" si="5"/>
        <v>265</v>
      </c>
    </row>
    <row r="112" spans="1:14" ht="15" customHeight="1" x14ac:dyDescent="0.25">
      <c r="A112" s="75">
        <v>108</v>
      </c>
      <c r="B112" s="75">
        <v>633</v>
      </c>
      <c r="C112" s="75" t="s">
        <v>892</v>
      </c>
      <c r="D112" s="75" t="s">
        <v>940</v>
      </c>
      <c r="E112" s="86">
        <f>_xlfn.XLOOKUP(B112,'Ratio Master'!$A:$A,'Ratio Master'!$G:$G,"")</f>
        <v>0.10527210884353699</v>
      </c>
      <c r="F112" s="87">
        <f>_xlfn.XLOOKUP(B112,'Ratio Master'!$A:$A,'Ratio Master'!$F:$F,"")</f>
        <v>0</v>
      </c>
      <c r="G112" s="88">
        <f t="array" ref="G112">IF(AND(E112&gt;0,F112&gt;0),(F112/E112)+FabRateIncKg,0)</f>
        <v>0</v>
      </c>
      <c r="H112" s="88">
        <f t="shared" si="3"/>
        <v>158.02244622986447</v>
      </c>
      <c r="I112" s="127"/>
      <c r="J112" s="124"/>
      <c r="K112" s="87">
        <v>203</v>
      </c>
      <c r="L112" s="89">
        <v>52920</v>
      </c>
      <c r="M112" s="88">
        <f t="shared" si="4"/>
        <v>260.68965517241378</v>
      </c>
      <c r="N112" s="76" t="str">
        <f t="shared" si="5"/>
        <v/>
      </c>
    </row>
    <row r="113" spans="1:14" ht="15" customHeight="1" x14ac:dyDescent="0.25">
      <c r="A113" s="75">
        <v>109</v>
      </c>
      <c r="B113" s="75"/>
      <c r="C113" s="75"/>
      <c r="D113" s="75"/>
      <c r="E113" s="86" t="str">
        <f>_xlfn.XLOOKUP(B113,'Ratio Master'!$A:$A,'Ratio Master'!$G:$G,"")</f>
        <v/>
      </c>
      <c r="F113" s="87">
        <f>_xlfn.XLOOKUP(B113,'Ratio Master'!$A:$A,'Ratio Master'!$F:$F,"")</f>
        <v>0</v>
      </c>
      <c r="G113" s="88">
        <f t="array" ref="G113">IF(AND(E113&gt;0,F113&gt;0),(F113/E113)+FabRateIncKg,0)</f>
        <v>0</v>
      </c>
      <c r="H113" s="88">
        <f t="shared" si="3"/>
        <v>0</v>
      </c>
      <c r="I113" s="127"/>
      <c r="J113" s="124"/>
      <c r="K113" s="87"/>
      <c r="L113" s="89"/>
      <c r="M113" s="88">
        <f t="shared" si="4"/>
        <v>0</v>
      </c>
      <c r="N113" s="76" t="str">
        <f t="shared" si="5"/>
        <v/>
      </c>
    </row>
    <row r="114" spans="1:14" ht="15" customHeight="1" x14ac:dyDescent="0.25">
      <c r="A114" s="75">
        <v>110</v>
      </c>
      <c r="B114" s="75"/>
      <c r="C114" s="75"/>
      <c r="D114" s="75"/>
      <c r="E114" s="86" t="str">
        <f>_xlfn.XLOOKUP(B114,'Ratio Master'!$A:$A,'Ratio Master'!$G:$G,"")</f>
        <v/>
      </c>
      <c r="F114" s="87">
        <f>_xlfn.XLOOKUP(B114,'Ratio Master'!$A:$A,'Ratio Master'!$F:$F,"")</f>
        <v>0</v>
      </c>
      <c r="G114" s="88">
        <f t="array" ref="G114">IF(AND(E114&gt;0,F114&gt;0),(F114/E114)+FabRateIncKg,0)</f>
        <v>0</v>
      </c>
      <c r="H114" s="88">
        <f t="shared" si="3"/>
        <v>0</v>
      </c>
      <c r="I114" s="127"/>
      <c r="J114" s="124"/>
      <c r="K114" s="87"/>
      <c r="L114" s="89"/>
      <c r="M114" s="88">
        <f t="shared" si="4"/>
        <v>0</v>
      </c>
      <c r="N114" s="76" t="str">
        <f t="shared" si="5"/>
        <v/>
      </c>
    </row>
    <row r="115" spans="1:14" ht="15" customHeight="1" x14ac:dyDescent="0.25">
      <c r="A115" s="75">
        <v>111</v>
      </c>
      <c r="B115" s="75"/>
      <c r="C115" s="75"/>
      <c r="D115" s="75"/>
      <c r="E115" s="86" t="str">
        <f>_xlfn.XLOOKUP(B115,'Ratio Master'!$A:$A,'Ratio Master'!$G:$G,"")</f>
        <v/>
      </c>
      <c r="F115" s="87">
        <f>_xlfn.XLOOKUP(B115,'Ratio Master'!$A:$A,'Ratio Master'!$F:$F,"")</f>
        <v>0</v>
      </c>
      <c r="G115" s="88">
        <f t="array" ref="G115">IF(AND(E115&gt;0,F115&gt;0),(F115/E115)+FabRateIncKg,0)</f>
        <v>0</v>
      </c>
      <c r="H115" s="88">
        <f t="shared" si="3"/>
        <v>0</v>
      </c>
      <c r="I115" s="127"/>
      <c r="J115" s="124"/>
      <c r="K115" s="87"/>
      <c r="L115" s="89"/>
      <c r="M115" s="88">
        <f t="shared" si="4"/>
        <v>0</v>
      </c>
      <c r="N115" s="76" t="str">
        <f t="shared" si="5"/>
        <v/>
      </c>
    </row>
    <row r="116" spans="1:14" ht="15" customHeight="1" x14ac:dyDescent="0.25">
      <c r="A116" s="75">
        <v>112</v>
      </c>
      <c r="B116" s="75"/>
      <c r="C116" s="75"/>
      <c r="D116" s="75"/>
      <c r="E116" s="86" t="str">
        <f>_xlfn.XLOOKUP(B116,'Ratio Master'!$A:$A,'Ratio Master'!$G:$G,"")</f>
        <v/>
      </c>
      <c r="F116" s="87">
        <f>_xlfn.XLOOKUP(B116,'Ratio Master'!$A:$A,'Ratio Master'!$F:$F,"")</f>
        <v>0</v>
      </c>
      <c r="G116" s="88">
        <f t="array" ref="G116">IF(AND(E116&gt;0,F116&gt;0),(F116/E116)+FabRateIncKg,0)</f>
        <v>0</v>
      </c>
      <c r="H116" s="88">
        <f t="shared" si="3"/>
        <v>0</v>
      </c>
      <c r="I116" s="127"/>
      <c r="J116" s="124"/>
      <c r="K116" s="87"/>
      <c r="L116" s="89"/>
      <c r="M116" s="88">
        <f t="shared" si="4"/>
        <v>0</v>
      </c>
      <c r="N116" s="76" t="str">
        <f t="shared" si="5"/>
        <v/>
      </c>
    </row>
    <row r="117" spans="1:14" ht="15" customHeight="1" x14ac:dyDescent="0.25">
      <c r="A117" s="75">
        <v>113</v>
      </c>
      <c r="B117" s="75"/>
      <c r="C117" s="75"/>
      <c r="D117" s="75"/>
      <c r="E117" s="86" t="str">
        <f>_xlfn.XLOOKUP(B117,'Ratio Master'!$A:$A,'Ratio Master'!$G:$G,"")</f>
        <v/>
      </c>
      <c r="F117" s="87">
        <f>_xlfn.XLOOKUP(B117,'Ratio Master'!$A:$A,'Ratio Master'!$F:$F,"")</f>
        <v>0</v>
      </c>
      <c r="G117" s="88">
        <f t="array" ref="G117">IF(AND(E117&gt;0,F117&gt;0),(F117/E117)+FabRateIncKg,0)</f>
        <v>0</v>
      </c>
      <c r="H117" s="88">
        <f t="shared" si="3"/>
        <v>0</v>
      </c>
      <c r="I117" s="127"/>
      <c r="J117" s="124"/>
      <c r="K117" s="87"/>
      <c r="L117" s="89"/>
      <c r="M117" s="88">
        <f t="shared" si="4"/>
        <v>0</v>
      </c>
      <c r="N117" s="76" t="str">
        <f t="shared" si="5"/>
        <v/>
      </c>
    </row>
    <row r="118" spans="1:14" ht="15" customHeight="1" x14ac:dyDescent="0.25">
      <c r="A118" s="75">
        <v>114</v>
      </c>
      <c r="B118" s="75"/>
      <c r="C118" s="75"/>
      <c r="D118" s="75"/>
      <c r="E118" s="86" t="str">
        <f>_xlfn.XLOOKUP(B118,'Ratio Master'!$A:$A,'Ratio Master'!$G:$G,"")</f>
        <v/>
      </c>
      <c r="F118" s="87">
        <f>_xlfn.XLOOKUP(B118,'Ratio Master'!$A:$A,'Ratio Master'!$F:$F,"")</f>
        <v>0</v>
      </c>
      <c r="G118" s="88">
        <f t="array" ref="G118">IF(AND(E118&gt;0,F118&gt;0),(F118/E118)+FabRateIncKg,0)</f>
        <v>0</v>
      </c>
      <c r="H118" s="88">
        <f t="shared" si="3"/>
        <v>0</v>
      </c>
      <c r="I118" s="127"/>
      <c r="J118" s="124"/>
      <c r="K118" s="87"/>
      <c r="L118" s="89"/>
      <c r="M118" s="88">
        <f t="shared" si="4"/>
        <v>0</v>
      </c>
      <c r="N118" s="76" t="str">
        <f t="shared" si="5"/>
        <v/>
      </c>
    </row>
    <row r="119" spans="1:14" ht="15" customHeight="1" x14ac:dyDescent="0.25">
      <c r="A119" s="75">
        <v>115</v>
      </c>
      <c r="B119" s="75"/>
      <c r="C119" s="75"/>
      <c r="D119" s="75"/>
      <c r="E119" s="86" t="str">
        <f>_xlfn.XLOOKUP(B119,'Ratio Master'!$A:$A,'Ratio Master'!$G:$G,"")</f>
        <v/>
      </c>
      <c r="F119" s="87">
        <f>_xlfn.XLOOKUP(B119,'Ratio Master'!$A:$A,'Ratio Master'!$F:$F,"")</f>
        <v>0</v>
      </c>
      <c r="G119" s="88">
        <f t="array" ref="G119">IF(AND(E119&gt;0,F119&gt;0),(F119/E119)+FabRateIncKg,0)</f>
        <v>0</v>
      </c>
      <c r="H119" s="88">
        <f t="shared" si="3"/>
        <v>0</v>
      </c>
      <c r="I119" s="127"/>
      <c r="J119" s="124"/>
      <c r="K119" s="87"/>
      <c r="L119" s="89"/>
      <c r="M119" s="88">
        <f t="shared" si="4"/>
        <v>0</v>
      </c>
      <c r="N119" s="76" t="str">
        <f t="shared" si="5"/>
        <v/>
      </c>
    </row>
    <row r="120" spans="1:14" ht="15" customHeight="1" x14ac:dyDescent="0.25">
      <c r="A120" s="75">
        <v>116</v>
      </c>
      <c r="B120" s="75"/>
      <c r="C120" s="75"/>
      <c r="D120" s="75"/>
      <c r="E120" s="86" t="str">
        <f>_xlfn.XLOOKUP(B120,'Ratio Master'!$A:$A,'Ratio Master'!$G:$G,"")</f>
        <v/>
      </c>
      <c r="F120" s="87">
        <f>_xlfn.XLOOKUP(B120,'Ratio Master'!$A:$A,'Ratio Master'!$F:$F,"")</f>
        <v>0</v>
      </c>
      <c r="G120" s="88">
        <f t="array" ref="G120">IF(AND(E120&gt;0,F120&gt;0),(F120/E120)+FabRateIncKg,0)</f>
        <v>0</v>
      </c>
      <c r="H120" s="88">
        <f t="shared" si="3"/>
        <v>0</v>
      </c>
      <c r="I120" s="127"/>
      <c r="J120" s="124"/>
      <c r="K120" s="87"/>
      <c r="L120" s="89"/>
      <c r="M120" s="88">
        <f t="shared" si="4"/>
        <v>0</v>
      </c>
      <c r="N120" s="76" t="str">
        <f t="shared" si="5"/>
        <v/>
      </c>
    </row>
    <row r="121" spans="1:14" ht="15" customHeight="1" x14ac:dyDescent="0.25">
      <c r="A121" s="75">
        <v>117</v>
      </c>
      <c r="B121" s="75"/>
      <c r="C121" s="75"/>
      <c r="D121" s="75"/>
      <c r="E121" s="86" t="str">
        <f>_xlfn.XLOOKUP(B121,'Ratio Master'!$A:$A,'Ratio Master'!$G:$G,"")</f>
        <v/>
      </c>
      <c r="F121" s="87">
        <f>_xlfn.XLOOKUP(B121,'Ratio Master'!$A:$A,'Ratio Master'!$F:$F,"")</f>
        <v>0</v>
      </c>
      <c r="G121" s="88">
        <f t="array" ref="G121">IF(AND(E121&gt;0,F121&gt;0),(F121/E121)+FabRateIncKg,0)</f>
        <v>0</v>
      </c>
      <c r="H121" s="88">
        <f t="shared" si="3"/>
        <v>0</v>
      </c>
      <c r="I121" s="127"/>
      <c r="J121" s="124"/>
      <c r="K121" s="87"/>
      <c r="L121" s="89"/>
      <c r="M121" s="88">
        <f t="shared" si="4"/>
        <v>0</v>
      </c>
      <c r="N121" s="76" t="str">
        <f t="shared" si="5"/>
        <v/>
      </c>
    </row>
    <row r="122" spans="1:14" ht="15" customHeight="1" x14ac:dyDescent="0.25">
      <c r="A122" s="75">
        <v>118</v>
      </c>
      <c r="B122" s="75"/>
      <c r="C122" s="75"/>
      <c r="D122" s="75"/>
      <c r="E122" s="86" t="str">
        <f>_xlfn.XLOOKUP(B122,'Ratio Master'!$A:$A,'Ratio Master'!$G:$G,"")</f>
        <v/>
      </c>
      <c r="F122" s="87">
        <f>_xlfn.XLOOKUP(B122,'Ratio Master'!$A:$A,'Ratio Master'!$F:$F,"")</f>
        <v>0</v>
      </c>
      <c r="G122" s="88">
        <f t="array" ref="G122">IF(AND(E122&gt;0,F122&gt;0),(F122/E122)+FabRateIncKg,0)</f>
        <v>0</v>
      </c>
      <c r="H122" s="88">
        <f t="shared" si="3"/>
        <v>0</v>
      </c>
      <c r="I122" s="127"/>
      <c r="J122" s="124"/>
      <c r="K122" s="87"/>
      <c r="L122" s="89"/>
      <c r="M122" s="88">
        <f t="shared" si="4"/>
        <v>0</v>
      </c>
      <c r="N122" s="76" t="str">
        <f t="shared" si="5"/>
        <v/>
      </c>
    </row>
    <row r="123" spans="1:14" ht="15" customHeight="1" x14ac:dyDescent="0.25">
      <c r="A123" s="75">
        <v>119</v>
      </c>
      <c r="B123" s="75"/>
      <c r="C123" s="75"/>
      <c r="D123" s="75"/>
      <c r="E123" s="86" t="str">
        <f>_xlfn.XLOOKUP(B123,'Ratio Master'!$A:$A,'Ratio Master'!$G:$G,"")</f>
        <v/>
      </c>
      <c r="F123" s="87">
        <f>_xlfn.XLOOKUP(B123,'Ratio Master'!$A:$A,'Ratio Master'!$F:$F,"")</f>
        <v>0</v>
      </c>
      <c r="G123" s="88">
        <f t="array" ref="G123">IF(AND(E123&gt;0,F123&gt;0),(F123/E123)+FabRateIncKg,0)</f>
        <v>0</v>
      </c>
      <c r="H123" s="88">
        <f t="shared" si="3"/>
        <v>0</v>
      </c>
      <c r="I123" s="127"/>
      <c r="J123" s="124"/>
      <c r="K123" s="87"/>
      <c r="L123" s="89"/>
      <c r="M123" s="88">
        <f t="shared" si="4"/>
        <v>0</v>
      </c>
      <c r="N123" s="76" t="str">
        <f t="shared" si="5"/>
        <v/>
      </c>
    </row>
    <row r="124" spans="1:14" ht="15" customHeight="1" x14ac:dyDescent="0.25">
      <c r="A124" s="75">
        <v>120</v>
      </c>
      <c r="B124" s="75"/>
      <c r="C124" s="75"/>
      <c r="D124" s="75"/>
      <c r="E124" s="86" t="str">
        <f>_xlfn.XLOOKUP(B124,'Ratio Master'!$A:$A,'Ratio Master'!$G:$G,"")</f>
        <v/>
      </c>
      <c r="F124" s="87">
        <f>_xlfn.XLOOKUP(B124,'Ratio Master'!$A:$A,'Ratio Master'!$F:$F,"")</f>
        <v>0</v>
      </c>
      <c r="G124" s="88">
        <f t="array" ref="G124">IF(AND(E124&gt;0,F124&gt;0),(F124/E124)+FabRateIncKg,0)</f>
        <v>0</v>
      </c>
      <c r="H124" s="88">
        <f t="shared" si="3"/>
        <v>0</v>
      </c>
      <c r="I124" s="127"/>
      <c r="J124" s="124"/>
      <c r="K124" s="87"/>
      <c r="L124" s="89"/>
      <c r="M124" s="88">
        <f t="shared" si="4"/>
        <v>0</v>
      </c>
      <c r="N124" s="76" t="str">
        <f t="shared" si="5"/>
        <v/>
      </c>
    </row>
    <row r="125" spans="1:14" ht="15" customHeight="1" x14ac:dyDescent="0.25">
      <c r="A125" s="75">
        <v>121</v>
      </c>
      <c r="B125" s="75"/>
      <c r="C125" s="75"/>
      <c r="D125" s="75"/>
      <c r="E125" s="86" t="str">
        <f>_xlfn.XLOOKUP(B125,'Ratio Master'!$A:$A,'Ratio Master'!$G:$G,"")</f>
        <v/>
      </c>
      <c r="F125" s="87">
        <f>_xlfn.XLOOKUP(B125,'Ratio Master'!$A:$A,'Ratio Master'!$F:$F,"")</f>
        <v>0</v>
      </c>
      <c r="G125" s="88">
        <f t="array" ref="G125">IF(AND(E125&gt;0,F125&gt;0),(F125/E125)+FabRateIncKg,0)</f>
        <v>0</v>
      </c>
      <c r="H125" s="88">
        <f t="shared" si="3"/>
        <v>0</v>
      </c>
      <c r="I125" s="127"/>
      <c r="J125" s="124"/>
      <c r="K125" s="87"/>
      <c r="L125" s="89"/>
      <c r="M125" s="88">
        <f t="shared" si="4"/>
        <v>0</v>
      </c>
      <c r="N125" s="76" t="str">
        <f t="shared" si="5"/>
        <v/>
      </c>
    </row>
    <row r="126" spans="1:14" ht="15" customHeight="1" x14ac:dyDescent="0.25">
      <c r="A126" s="75">
        <v>122</v>
      </c>
      <c r="B126" s="75"/>
      <c r="C126" s="75"/>
      <c r="D126" s="75"/>
      <c r="E126" s="86" t="str">
        <f>_xlfn.XLOOKUP(B126,'Ratio Master'!$A:$A,'Ratio Master'!$G:$G,"")</f>
        <v/>
      </c>
      <c r="F126" s="87">
        <f>_xlfn.XLOOKUP(B126,'Ratio Master'!$A:$A,'Ratio Master'!$F:$F,"")</f>
        <v>0</v>
      </c>
      <c r="G126" s="88">
        <f t="array" ref="G126">IF(AND(E126&gt;0,F126&gt;0),(F126/E126)+FabRateIncKg,0)</f>
        <v>0</v>
      </c>
      <c r="H126" s="88">
        <f t="shared" si="3"/>
        <v>0</v>
      </c>
      <c r="I126" s="127"/>
      <c r="J126" s="124"/>
      <c r="K126" s="87"/>
      <c r="L126" s="89"/>
      <c r="M126" s="88">
        <f t="shared" si="4"/>
        <v>0</v>
      </c>
      <c r="N126" s="76" t="str">
        <f t="shared" si="5"/>
        <v/>
      </c>
    </row>
    <row r="127" spans="1:14" ht="15" customHeight="1" x14ac:dyDescent="0.25">
      <c r="A127" s="75">
        <v>123</v>
      </c>
      <c r="B127" s="75"/>
      <c r="C127" s="75"/>
      <c r="D127" s="75"/>
      <c r="E127" s="86" t="str">
        <f>_xlfn.XLOOKUP(B127,'Ratio Master'!$A:$A,'Ratio Master'!$G:$G,"")</f>
        <v/>
      </c>
      <c r="F127" s="87">
        <f>_xlfn.XLOOKUP(B127,'Ratio Master'!$A:$A,'Ratio Master'!$F:$F,"")</f>
        <v>0</v>
      </c>
      <c r="G127" s="88">
        <f t="array" ref="G127">IF(AND(E127&gt;0,F127&gt;0),(F127/E127)+FabRateIncKg,0)</f>
        <v>0</v>
      </c>
      <c r="H127" s="88">
        <f t="shared" si="3"/>
        <v>0</v>
      </c>
      <c r="I127" s="127"/>
      <c r="J127" s="124"/>
      <c r="K127" s="87"/>
      <c r="L127" s="89"/>
      <c r="M127" s="88">
        <f t="shared" si="4"/>
        <v>0</v>
      </c>
      <c r="N127" s="76" t="str">
        <f t="shared" si="5"/>
        <v/>
      </c>
    </row>
    <row r="128" spans="1:14" ht="15" customHeight="1" x14ac:dyDescent="0.25">
      <c r="A128" s="75">
        <v>124</v>
      </c>
      <c r="B128" s="75"/>
      <c r="C128" s="75"/>
      <c r="D128" s="75"/>
      <c r="E128" s="86" t="str">
        <f>_xlfn.XLOOKUP(B128,'Ratio Master'!$A:$A,'Ratio Master'!$G:$G,"")</f>
        <v/>
      </c>
      <c r="F128" s="87">
        <f>_xlfn.XLOOKUP(B128,'Ratio Master'!$A:$A,'Ratio Master'!$F:$F,"")</f>
        <v>0</v>
      </c>
      <c r="G128" s="88">
        <f t="array" ref="G128">IF(AND(E128&gt;0,F128&gt;0),(F128/E128)+FabRateIncKg,0)</f>
        <v>0</v>
      </c>
      <c r="H128" s="88">
        <f t="shared" si="3"/>
        <v>0</v>
      </c>
      <c r="I128" s="127"/>
      <c r="J128" s="124"/>
      <c r="K128" s="87"/>
      <c r="L128" s="89"/>
      <c r="M128" s="88">
        <f t="shared" si="4"/>
        <v>0</v>
      </c>
      <c r="N128" s="76" t="str">
        <f t="shared" si="5"/>
        <v/>
      </c>
    </row>
    <row r="129" spans="1:14" ht="15" customHeight="1" x14ac:dyDescent="0.25">
      <c r="A129" s="75">
        <v>125</v>
      </c>
      <c r="B129" s="75"/>
      <c r="C129" s="75"/>
      <c r="D129" s="75"/>
      <c r="E129" s="86" t="str">
        <f>_xlfn.XLOOKUP(B129,'Ratio Master'!$A:$A,'Ratio Master'!$G:$G,"")</f>
        <v/>
      </c>
      <c r="F129" s="87">
        <f>_xlfn.XLOOKUP(B129,'Ratio Master'!$A:$A,'Ratio Master'!$F:$F,"")</f>
        <v>0</v>
      </c>
      <c r="G129" s="88">
        <f t="array" ref="G129">IF(AND(E129&gt;0,F129&gt;0),(F129/E129)+FabRateIncKg,0)</f>
        <v>0</v>
      </c>
      <c r="H129" s="88">
        <f t="shared" si="3"/>
        <v>0</v>
      </c>
      <c r="I129" s="127"/>
      <c r="J129" s="124"/>
      <c r="K129" s="87"/>
      <c r="L129" s="89"/>
      <c r="M129" s="88">
        <f t="shared" si="4"/>
        <v>0</v>
      </c>
      <c r="N129" s="76" t="str">
        <f t="shared" si="5"/>
        <v/>
      </c>
    </row>
    <row r="130" spans="1:14" ht="15" customHeight="1" x14ac:dyDescent="0.25">
      <c r="A130" s="75">
        <v>126</v>
      </c>
      <c r="B130" s="75"/>
      <c r="C130" s="75"/>
      <c r="D130" s="75"/>
      <c r="E130" s="86" t="str">
        <f>_xlfn.XLOOKUP(B130,'Ratio Master'!$A:$A,'Ratio Master'!$G:$G,"")</f>
        <v/>
      </c>
      <c r="F130" s="87">
        <f>_xlfn.XLOOKUP(B130,'Ratio Master'!$A:$A,'Ratio Master'!$F:$F,"")</f>
        <v>0</v>
      </c>
      <c r="G130" s="88">
        <f t="array" ref="G130">IF(AND(E130&gt;0,F130&gt;0),(F130/E130)+FabRateIncKg,0)</f>
        <v>0</v>
      </c>
      <c r="H130" s="88">
        <f t="shared" si="3"/>
        <v>0</v>
      </c>
      <c r="I130" s="127"/>
      <c r="J130" s="124"/>
      <c r="K130" s="87"/>
      <c r="L130" s="89"/>
      <c r="M130" s="88">
        <f t="shared" si="4"/>
        <v>0</v>
      </c>
      <c r="N130" s="76" t="str">
        <f t="shared" si="5"/>
        <v/>
      </c>
    </row>
    <row r="131" spans="1:14" ht="15" customHeight="1" x14ac:dyDescent="0.25">
      <c r="A131" s="75">
        <v>127</v>
      </c>
      <c r="B131" s="75"/>
      <c r="C131" s="75"/>
      <c r="D131" s="75"/>
      <c r="E131" s="86" t="str">
        <f>_xlfn.XLOOKUP(B131,'Ratio Master'!$A:$A,'Ratio Master'!$G:$G,"")</f>
        <v/>
      </c>
      <c r="F131" s="87">
        <f>_xlfn.XLOOKUP(B131,'Ratio Master'!$A:$A,'Ratio Master'!$F:$F,"")</f>
        <v>0</v>
      </c>
      <c r="G131" s="88">
        <f t="array" ref="G131">IF(AND(E131&gt;0,F131&gt;0),(F131/E131)+FabRateIncKg,0)</f>
        <v>0</v>
      </c>
      <c r="H131" s="88">
        <f t="shared" si="3"/>
        <v>0</v>
      </c>
      <c r="I131" s="127"/>
      <c r="J131" s="124"/>
      <c r="K131" s="87"/>
      <c r="L131" s="89"/>
      <c r="M131" s="88">
        <f t="shared" si="4"/>
        <v>0</v>
      </c>
      <c r="N131" s="76" t="str">
        <f t="shared" si="5"/>
        <v/>
      </c>
    </row>
    <row r="132" spans="1:14" ht="15" customHeight="1" x14ac:dyDescent="0.25">
      <c r="A132" s="75">
        <v>128</v>
      </c>
      <c r="B132" s="75"/>
      <c r="C132" s="75"/>
      <c r="D132" s="75"/>
      <c r="E132" s="86" t="str">
        <f>_xlfn.XLOOKUP(B132,'Ratio Master'!$A:$A,'Ratio Master'!$G:$G,"")</f>
        <v/>
      </c>
      <c r="F132" s="87">
        <f>_xlfn.XLOOKUP(B132,'Ratio Master'!$A:$A,'Ratio Master'!$F:$F,"")</f>
        <v>0</v>
      </c>
      <c r="G132" s="88">
        <f t="array" ref="G132">IF(AND(E132&gt;0,F132&gt;0),(F132/E132)+FabRateIncKg,0)</f>
        <v>0</v>
      </c>
      <c r="H132" s="88">
        <f t="shared" si="3"/>
        <v>0</v>
      </c>
      <c r="I132" s="127"/>
      <c r="J132" s="124"/>
      <c r="K132" s="87"/>
      <c r="L132" s="89"/>
      <c r="M132" s="88">
        <f t="shared" si="4"/>
        <v>0</v>
      </c>
      <c r="N132" s="76" t="str">
        <f t="shared" si="5"/>
        <v/>
      </c>
    </row>
    <row r="133" spans="1:14" ht="15" customHeight="1" x14ac:dyDescent="0.25">
      <c r="A133" s="75">
        <v>129</v>
      </c>
      <c r="B133" s="75"/>
      <c r="C133" s="75"/>
      <c r="D133" s="75"/>
      <c r="E133" s="86" t="str">
        <f>_xlfn.XLOOKUP(B133,'Ratio Master'!$A:$A,'Ratio Master'!$G:$G,"")</f>
        <v/>
      </c>
      <c r="F133" s="87">
        <f>_xlfn.XLOOKUP(B133,'Ratio Master'!$A:$A,'Ratio Master'!$F:$F,"")</f>
        <v>0</v>
      </c>
      <c r="G133" s="88">
        <f t="array" ref="G133">IF(AND(E133&gt;0,F133&gt;0),(F133/E133)+FabRateIncKg,0)</f>
        <v>0</v>
      </c>
      <c r="H133" s="88">
        <f t="shared" ref="H133:H196" si="6">IF(OR(E133="",E133=0),0,Stage1_RM+Stage2_Yarn+G133+FabricAddon)</f>
        <v>0</v>
      </c>
      <c r="I133" s="127"/>
      <c r="J133" s="124"/>
      <c r="K133" s="87"/>
      <c r="L133" s="89"/>
      <c r="M133" s="88">
        <f t="shared" ref="M133:M196" si="7">IFERROR(L133/K133,0)</f>
        <v>0</v>
      </c>
      <c r="N133" s="76" t="str">
        <f t="shared" ref="N133:N196" si="8">IFERROR(J133/I133,"")</f>
        <v/>
      </c>
    </row>
    <row r="134" spans="1:14" ht="15" customHeight="1" x14ac:dyDescent="0.25">
      <c r="A134" s="75">
        <v>130</v>
      </c>
      <c r="B134" s="75"/>
      <c r="C134" s="75"/>
      <c r="D134" s="75"/>
      <c r="E134" s="86" t="str">
        <f>_xlfn.XLOOKUP(B134,'Ratio Master'!$A:$A,'Ratio Master'!$G:$G,"")</f>
        <v/>
      </c>
      <c r="F134" s="87">
        <f>_xlfn.XLOOKUP(B134,'Ratio Master'!$A:$A,'Ratio Master'!$F:$F,"")</f>
        <v>0</v>
      </c>
      <c r="G134" s="88">
        <f t="array" ref="G134">IF(AND(E134&gt;0,F134&gt;0),(F134/E134)+FabRateIncKg,0)</f>
        <v>0</v>
      </c>
      <c r="H134" s="88">
        <f t="shared" si="6"/>
        <v>0</v>
      </c>
      <c r="I134" s="127"/>
      <c r="J134" s="124"/>
      <c r="K134" s="87"/>
      <c r="L134" s="89"/>
      <c r="M134" s="88">
        <f t="shared" si="7"/>
        <v>0</v>
      </c>
      <c r="N134" s="76" t="str">
        <f t="shared" si="8"/>
        <v/>
      </c>
    </row>
    <row r="135" spans="1:14" ht="15" customHeight="1" x14ac:dyDescent="0.25">
      <c r="A135" s="75">
        <v>131</v>
      </c>
      <c r="B135" s="75"/>
      <c r="C135" s="75"/>
      <c r="D135" s="75"/>
      <c r="E135" s="86" t="str">
        <f>_xlfn.XLOOKUP(B135,'Ratio Master'!$A:$A,'Ratio Master'!$G:$G,"")</f>
        <v/>
      </c>
      <c r="F135" s="87">
        <f>_xlfn.XLOOKUP(B135,'Ratio Master'!$A:$A,'Ratio Master'!$F:$F,"")</f>
        <v>0</v>
      </c>
      <c r="G135" s="88">
        <f t="array" ref="G135">IF(AND(E135&gt;0,F135&gt;0),(F135/E135)+FabRateIncKg,0)</f>
        <v>0</v>
      </c>
      <c r="H135" s="88">
        <f t="shared" si="6"/>
        <v>0</v>
      </c>
      <c r="I135" s="127"/>
      <c r="J135" s="124"/>
      <c r="K135" s="87"/>
      <c r="L135" s="89"/>
      <c r="M135" s="88">
        <f t="shared" si="7"/>
        <v>0</v>
      </c>
      <c r="N135" s="76" t="str">
        <f t="shared" si="8"/>
        <v/>
      </c>
    </row>
    <row r="136" spans="1:14" ht="15" customHeight="1" x14ac:dyDescent="0.25">
      <c r="A136" s="75">
        <v>132</v>
      </c>
      <c r="B136" s="75"/>
      <c r="C136" s="75"/>
      <c r="D136" s="75"/>
      <c r="E136" s="86" t="str">
        <f>_xlfn.XLOOKUP(B136,'Ratio Master'!$A:$A,'Ratio Master'!$G:$G,"")</f>
        <v/>
      </c>
      <c r="F136" s="87">
        <f>_xlfn.XLOOKUP(B136,'Ratio Master'!$A:$A,'Ratio Master'!$F:$F,"")</f>
        <v>0</v>
      </c>
      <c r="G136" s="88">
        <f t="array" ref="G136">IF(AND(E136&gt;0,F136&gt;0),(F136/E136)+FabRateIncKg,0)</f>
        <v>0</v>
      </c>
      <c r="H136" s="88">
        <f t="shared" si="6"/>
        <v>0</v>
      </c>
      <c r="I136" s="127"/>
      <c r="J136" s="124"/>
      <c r="K136" s="87"/>
      <c r="L136" s="89"/>
      <c r="M136" s="88">
        <f t="shared" si="7"/>
        <v>0</v>
      </c>
      <c r="N136" s="76" t="str">
        <f t="shared" si="8"/>
        <v/>
      </c>
    </row>
    <row r="137" spans="1:14" ht="15" customHeight="1" x14ac:dyDescent="0.25">
      <c r="A137" s="75">
        <v>133</v>
      </c>
      <c r="B137" s="75"/>
      <c r="C137" s="75"/>
      <c r="D137" s="75"/>
      <c r="E137" s="86" t="str">
        <f>_xlfn.XLOOKUP(B137,'Ratio Master'!$A:$A,'Ratio Master'!$G:$G,"")</f>
        <v/>
      </c>
      <c r="F137" s="87">
        <f>_xlfn.XLOOKUP(B137,'Ratio Master'!$A:$A,'Ratio Master'!$F:$F,"")</f>
        <v>0</v>
      </c>
      <c r="G137" s="88">
        <f t="array" ref="G137">IF(AND(E137&gt;0,F137&gt;0),(F137/E137)+FabRateIncKg,0)</f>
        <v>0</v>
      </c>
      <c r="H137" s="88">
        <f t="shared" si="6"/>
        <v>0</v>
      </c>
      <c r="I137" s="127"/>
      <c r="J137" s="124"/>
      <c r="K137" s="87"/>
      <c r="L137" s="89"/>
      <c r="M137" s="88">
        <f t="shared" si="7"/>
        <v>0</v>
      </c>
      <c r="N137" s="76" t="str">
        <f t="shared" si="8"/>
        <v/>
      </c>
    </row>
    <row r="138" spans="1:14" ht="15" customHeight="1" x14ac:dyDescent="0.25">
      <c r="A138" s="75">
        <v>134</v>
      </c>
      <c r="B138" s="75"/>
      <c r="C138" s="75"/>
      <c r="D138" s="75"/>
      <c r="E138" s="86" t="str">
        <f>_xlfn.XLOOKUP(B138,'Ratio Master'!$A:$A,'Ratio Master'!$G:$G,"")</f>
        <v/>
      </c>
      <c r="F138" s="87">
        <f>_xlfn.XLOOKUP(B138,'Ratio Master'!$A:$A,'Ratio Master'!$F:$F,"")</f>
        <v>0</v>
      </c>
      <c r="G138" s="88">
        <f t="array" ref="G138">IF(AND(E138&gt;0,F138&gt;0),(F138/E138)+FabRateIncKg,0)</f>
        <v>0</v>
      </c>
      <c r="H138" s="88">
        <f t="shared" si="6"/>
        <v>0</v>
      </c>
      <c r="I138" s="127"/>
      <c r="J138" s="124"/>
      <c r="K138" s="87"/>
      <c r="L138" s="89"/>
      <c r="M138" s="88">
        <f t="shared" si="7"/>
        <v>0</v>
      </c>
      <c r="N138" s="76" t="str">
        <f t="shared" si="8"/>
        <v/>
      </c>
    </row>
    <row r="139" spans="1:14" ht="15" customHeight="1" x14ac:dyDescent="0.25">
      <c r="A139" s="75">
        <v>135</v>
      </c>
      <c r="B139" s="75"/>
      <c r="C139" s="75"/>
      <c r="D139" s="75"/>
      <c r="E139" s="86" t="str">
        <f>_xlfn.XLOOKUP(B139,'Ratio Master'!$A:$A,'Ratio Master'!$G:$G,"")</f>
        <v/>
      </c>
      <c r="F139" s="87">
        <f>_xlfn.XLOOKUP(B139,'Ratio Master'!$A:$A,'Ratio Master'!$F:$F,"")</f>
        <v>0</v>
      </c>
      <c r="G139" s="88">
        <f t="array" ref="G139">IF(AND(E139&gt;0,F139&gt;0),(F139/E139)+FabRateIncKg,0)</f>
        <v>0</v>
      </c>
      <c r="H139" s="88">
        <f t="shared" si="6"/>
        <v>0</v>
      </c>
      <c r="I139" s="127"/>
      <c r="J139" s="124"/>
      <c r="K139" s="87"/>
      <c r="L139" s="89"/>
      <c r="M139" s="88">
        <f t="shared" si="7"/>
        <v>0</v>
      </c>
      <c r="N139" s="76" t="str">
        <f t="shared" si="8"/>
        <v/>
      </c>
    </row>
    <row r="140" spans="1:14" ht="15" customHeight="1" x14ac:dyDescent="0.25">
      <c r="A140" s="75">
        <v>136</v>
      </c>
      <c r="B140" s="75"/>
      <c r="C140" s="75"/>
      <c r="D140" s="75"/>
      <c r="E140" s="86" t="str">
        <f>_xlfn.XLOOKUP(B140,'Ratio Master'!$A:$A,'Ratio Master'!$G:$G,"")</f>
        <v/>
      </c>
      <c r="F140" s="87">
        <f>_xlfn.XLOOKUP(B140,'Ratio Master'!$A:$A,'Ratio Master'!$F:$F,"")</f>
        <v>0</v>
      </c>
      <c r="G140" s="88">
        <f t="array" ref="G140">IF(AND(E140&gt;0,F140&gt;0),(F140/E140)+FabRateIncKg,0)</f>
        <v>0</v>
      </c>
      <c r="H140" s="88">
        <f t="shared" si="6"/>
        <v>0</v>
      </c>
      <c r="I140" s="127"/>
      <c r="J140" s="124"/>
      <c r="K140" s="87"/>
      <c r="L140" s="89"/>
      <c r="M140" s="88">
        <f t="shared" si="7"/>
        <v>0</v>
      </c>
      <c r="N140" s="76" t="str">
        <f t="shared" si="8"/>
        <v/>
      </c>
    </row>
    <row r="141" spans="1:14" ht="15" customHeight="1" x14ac:dyDescent="0.25">
      <c r="A141" s="75">
        <v>137</v>
      </c>
      <c r="B141" s="75"/>
      <c r="C141" s="75"/>
      <c r="D141" s="75"/>
      <c r="E141" s="86" t="str">
        <f>_xlfn.XLOOKUP(B141,'Ratio Master'!$A:$A,'Ratio Master'!$G:$G,"")</f>
        <v/>
      </c>
      <c r="F141" s="87">
        <f>_xlfn.XLOOKUP(B141,'Ratio Master'!$A:$A,'Ratio Master'!$F:$F,"")</f>
        <v>0</v>
      </c>
      <c r="G141" s="88">
        <f t="array" ref="G141">IF(AND(E141&gt;0,F141&gt;0),(F141/E141)+FabRateIncKg,0)</f>
        <v>0</v>
      </c>
      <c r="H141" s="88">
        <f t="shared" si="6"/>
        <v>0</v>
      </c>
      <c r="I141" s="127"/>
      <c r="J141" s="124"/>
      <c r="K141" s="87"/>
      <c r="L141" s="89"/>
      <c r="M141" s="88">
        <f t="shared" si="7"/>
        <v>0</v>
      </c>
      <c r="N141" s="76" t="str">
        <f t="shared" si="8"/>
        <v/>
      </c>
    </row>
    <row r="142" spans="1:14" ht="15" customHeight="1" x14ac:dyDescent="0.25">
      <c r="A142" s="75">
        <v>138</v>
      </c>
      <c r="B142" s="75"/>
      <c r="C142" s="75"/>
      <c r="D142" s="75"/>
      <c r="E142" s="86" t="str">
        <f>_xlfn.XLOOKUP(B142,'Ratio Master'!$A:$A,'Ratio Master'!$G:$G,"")</f>
        <v/>
      </c>
      <c r="F142" s="87">
        <f>_xlfn.XLOOKUP(B142,'Ratio Master'!$A:$A,'Ratio Master'!$F:$F,"")</f>
        <v>0</v>
      </c>
      <c r="G142" s="88">
        <f t="array" ref="G142">IF(AND(E142&gt;0,F142&gt;0),(F142/E142)+FabRateIncKg,0)</f>
        <v>0</v>
      </c>
      <c r="H142" s="88">
        <f t="shared" si="6"/>
        <v>0</v>
      </c>
      <c r="I142" s="127"/>
      <c r="J142" s="124"/>
      <c r="K142" s="87"/>
      <c r="L142" s="89"/>
      <c r="M142" s="88">
        <f t="shared" si="7"/>
        <v>0</v>
      </c>
      <c r="N142" s="76" t="str">
        <f t="shared" si="8"/>
        <v/>
      </c>
    </row>
    <row r="143" spans="1:14" ht="15" customHeight="1" x14ac:dyDescent="0.25">
      <c r="A143" s="75">
        <v>139</v>
      </c>
      <c r="B143" s="75"/>
      <c r="C143" s="75"/>
      <c r="D143" s="75"/>
      <c r="E143" s="86" t="str">
        <f>_xlfn.XLOOKUP(B143,'Ratio Master'!$A:$A,'Ratio Master'!$G:$G,"")</f>
        <v/>
      </c>
      <c r="F143" s="87">
        <f>_xlfn.XLOOKUP(B143,'Ratio Master'!$A:$A,'Ratio Master'!$F:$F,"")</f>
        <v>0</v>
      </c>
      <c r="G143" s="88">
        <f t="array" ref="G143">IF(AND(E143&gt;0,F143&gt;0),(F143/E143)+FabRateIncKg,0)</f>
        <v>0</v>
      </c>
      <c r="H143" s="88">
        <f t="shared" si="6"/>
        <v>0</v>
      </c>
      <c r="I143" s="127"/>
      <c r="J143" s="124"/>
      <c r="K143" s="87"/>
      <c r="L143" s="89"/>
      <c r="M143" s="88">
        <f t="shared" si="7"/>
        <v>0</v>
      </c>
      <c r="N143" s="76" t="str">
        <f t="shared" si="8"/>
        <v/>
      </c>
    </row>
    <row r="144" spans="1:14" ht="15" customHeight="1" x14ac:dyDescent="0.25">
      <c r="A144" s="75">
        <v>140</v>
      </c>
      <c r="B144" s="75"/>
      <c r="C144" s="75"/>
      <c r="D144" s="75"/>
      <c r="E144" s="86" t="str">
        <f>_xlfn.XLOOKUP(B144,'Ratio Master'!$A:$A,'Ratio Master'!$G:$G,"")</f>
        <v/>
      </c>
      <c r="F144" s="87">
        <f>_xlfn.XLOOKUP(B144,'Ratio Master'!$A:$A,'Ratio Master'!$F:$F,"")</f>
        <v>0</v>
      </c>
      <c r="G144" s="88">
        <f t="array" ref="G144">IF(AND(E144&gt;0,F144&gt;0),(F144/E144)+FabRateIncKg,0)</f>
        <v>0</v>
      </c>
      <c r="H144" s="88">
        <f t="shared" si="6"/>
        <v>0</v>
      </c>
      <c r="I144" s="127"/>
      <c r="J144" s="124"/>
      <c r="K144" s="87"/>
      <c r="L144" s="89"/>
      <c r="M144" s="88">
        <f t="shared" si="7"/>
        <v>0</v>
      </c>
      <c r="N144" s="76" t="str">
        <f t="shared" si="8"/>
        <v/>
      </c>
    </row>
    <row r="145" spans="1:14" ht="15" customHeight="1" x14ac:dyDescent="0.25">
      <c r="A145" s="75">
        <v>141</v>
      </c>
      <c r="B145" s="75"/>
      <c r="C145" s="75"/>
      <c r="D145" s="75"/>
      <c r="E145" s="86" t="str">
        <f>_xlfn.XLOOKUP(B145,'Ratio Master'!$A:$A,'Ratio Master'!$G:$G,"")</f>
        <v/>
      </c>
      <c r="F145" s="87">
        <f>_xlfn.XLOOKUP(B145,'Ratio Master'!$A:$A,'Ratio Master'!$F:$F,"")</f>
        <v>0</v>
      </c>
      <c r="G145" s="88">
        <f t="array" ref="G145">IF(AND(E145&gt;0,F145&gt;0),(F145/E145)+FabRateIncKg,0)</f>
        <v>0</v>
      </c>
      <c r="H145" s="88">
        <f t="shared" si="6"/>
        <v>0</v>
      </c>
      <c r="I145" s="127"/>
      <c r="J145" s="124"/>
      <c r="K145" s="87"/>
      <c r="L145" s="89"/>
      <c r="M145" s="88">
        <f t="shared" si="7"/>
        <v>0</v>
      </c>
      <c r="N145" s="76" t="str">
        <f t="shared" si="8"/>
        <v/>
      </c>
    </row>
    <row r="146" spans="1:14" ht="15" customHeight="1" x14ac:dyDescent="0.25">
      <c r="A146" s="75">
        <v>142</v>
      </c>
      <c r="B146" s="75"/>
      <c r="C146" s="75"/>
      <c r="D146" s="75"/>
      <c r="E146" s="86" t="str">
        <f>_xlfn.XLOOKUP(B146,'Ratio Master'!$A:$A,'Ratio Master'!$G:$G,"")</f>
        <v/>
      </c>
      <c r="F146" s="87">
        <f>_xlfn.XLOOKUP(B146,'Ratio Master'!$A:$A,'Ratio Master'!$F:$F,"")</f>
        <v>0</v>
      </c>
      <c r="G146" s="88">
        <f t="array" ref="G146">IF(AND(E146&gt;0,F146&gt;0),(F146/E146)+FabRateIncKg,0)</f>
        <v>0</v>
      </c>
      <c r="H146" s="88">
        <f t="shared" si="6"/>
        <v>0</v>
      </c>
      <c r="I146" s="127"/>
      <c r="J146" s="124"/>
      <c r="K146" s="87"/>
      <c r="L146" s="89"/>
      <c r="M146" s="88">
        <f t="shared" si="7"/>
        <v>0</v>
      </c>
      <c r="N146" s="76" t="str">
        <f t="shared" si="8"/>
        <v/>
      </c>
    </row>
    <row r="147" spans="1:14" ht="15" customHeight="1" x14ac:dyDescent="0.25">
      <c r="A147" s="75">
        <v>143</v>
      </c>
      <c r="B147" s="75"/>
      <c r="C147" s="75"/>
      <c r="D147" s="75"/>
      <c r="E147" s="86" t="str">
        <f>_xlfn.XLOOKUP(B147,'Ratio Master'!$A:$A,'Ratio Master'!$G:$G,"")</f>
        <v/>
      </c>
      <c r="F147" s="87">
        <f>_xlfn.XLOOKUP(B147,'Ratio Master'!$A:$A,'Ratio Master'!$F:$F,"")</f>
        <v>0</v>
      </c>
      <c r="G147" s="88">
        <f t="array" ref="G147">IF(AND(E147&gt;0,F147&gt;0),(F147/E147)+FabRateIncKg,0)</f>
        <v>0</v>
      </c>
      <c r="H147" s="88">
        <f t="shared" si="6"/>
        <v>0</v>
      </c>
      <c r="I147" s="127"/>
      <c r="J147" s="124"/>
      <c r="K147" s="87"/>
      <c r="L147" s="89"/>
      <c r="M147" s="88">
        <f t="shared" si="7"/>
        <v>0</v>
      </c>
      <c r="N147" s="76" t="str">
        <f t="shared" si="8"/>
        <v/>
      </c>
    </row>
    <row r="148" spans="1:14" ht="15" customHeight="1" x14ac:dyDescent="0.25">
      <c r="A148" s="75">
        <v>144</v>
      </c>
      <c r="B148" s="75"/>
      <c r="C148" s="75"/>
      <c r="D148" s="75"/>
      <c r="E148" s="86" t="str">
        <f>_xlfn.XLOOKUP(B148,'Ratio Master'!$A:$A,'Ratio Master'!$G:$G,"")</f>
        <v/>
      </c>
      <c r="F148" s="87">
        <f>_xlfn.XLOOKUP(B148,'Ratio Master'!$A:$A,'Ratio Master'!$F:$F,"")</f>
        <v>0</v>
      </c>
      <c r="G148" s="88">
        <f t="array" ref="G148">IF(AND(E148&gt;0,F148&gt;0),(F148/E148)+FabRateIncKg,0)</f>
        <v>0</v>
      </c>
      <c r="H148" s="88">
        <f t="shared" si="6"/>
        <v>0</v>
      </c>
      <c r="I148" s="127"/>
      <c r="J148" s="124"/>
      <c r="K148" s="87"/>
      <c r="L148" s="89"/>
      <c r="M148" s="88">
        <f t="shared" si="7"/>
        <v>0</v>
      </c>
      <c r="N148" s="76" t="str">
        <f t="shared" si="8"/>
        <v/>
      </c>
    </row>
    <row r="149" spans="1:14" ht="15" customHeight="1" x14ac:dyDescent="0.25">
      <c r="A149" s="75">
        <v>145</v>
      </c>
      <c r="B149" s="75"/>
      <c r="C149" s="75"/>
      <c r="D149" s="75"/>
      <c r="E149" s="86" t="str">
        <f>_xlfn.XLOOKUP(B149,'Ratio Master'!$A:$A,'Ratio Master'!$G:$G,"")</f>
        <v/>
      </c>
      <c r="F149" s="87">
        <f>_xlfn.XLOOKUP(B149,'Ratio Master'!$A:$A,'Ratio Master'!$F:$F,"")</f>
        <v>0</v>
      </c>
      <c r="G149" s="88">
        <f t="array" ref="G149">IF(AND(E149&gt;0,F149&gt;0),(F149/E149)+FabRateIncKg,0)</f>
        <v>0</v>
      </c>
      <c r="H149" s="88">
        <f t="shared" si="6"/>
        <v>0</v>
      </c>
      <c r="I149" s="127"/>
      <c r="J149" s="124"/>
      <c r="K149" s="87"/>
      <c r="L149" s="89"/>
      <c r="M149" s="88">
        <f t="shared" si="7"/>
        <v>0</v>
      </c>
      <c r="N149" s="76" t="str">
        <f t="shared" si="8"/>
        <v/>
      </c>
    </row>
    <row r="150" spans="1:14" ht="15" customHeight="1" x14ac:dyDescent="0.25">
      <c r="A150" s="75">
        <v>146</v>
      </c>
      <c r="B150" s="75"/>
      <c r="C150" s="75"/>
      <c r="D150" s="75"/>
      <c r="E150" s="86" t="str">
        <f>_xlfn.XLOOKUP(B150,'Ratio Master'!$A:$A,'Ratio Master'!$G:$G,"")</f>
        <v/>
      </c>
      <c r="F150" s="87">
        <f>_xlfn.XLOOKUP(B150,'Ratio Master'!$A:$A,'Ratio Master'!$F:$F,"")</f>
        <v>0</v>
      </c>
      <c r="G150" s="88">
        <f t="array" ref="G150">IF(AND(E150&gt;0,F150&gt;0),(F150/E150)+FabRateIncKg,0)</f>
        <v>0</v>
      </c>
      <c r="H150" s="88">
        <f t="shared" si="6"/>
        <v>0</v>
      </c>
      <c r="I150" s="127"/>
      <c r="J150" s="124"/>
      <c r="K150" s="87"/>
      <c r="L150" s="89"/>
      <c r="M150" s="88">
        <f t="shared" si="7"/>
        <v>0</v>
      </c>
      <c r="N150" s="76" t="str">
        <f t="shared" si="8"/>
        <v/>
      </c>
    </row>
    <row r="151" spans="1:14" ht="15" customHeight="1" x14ac:dyDescent="0.25">
      <c r="A151" s="75">
        <v>147</v>
      </c>
      <c r="B151" s="75"/>
      <c r="C151" s="75"/>
      <c r="D151" s="75"/>
      <c r="E151" s="86" t="str">
        <f>_xlfn.XLOOKUP(B151,'Ratio Master'!$A:$A,'Ratio Master'!$G:$G,"")</f>
        <v/>
      </c>
      <c r="F151" s="87">
        <f>_xlfn.XLOOKUP(B151,'Ratio Master'!$A:$A,'Ratio Master'!$F:$F,"")</f>
        <v>0</v>
      </c>
      <c r="G151" s="88">
        <f t="array" ref="G151">IF(AND(E151&gt;0,F151&gt;0),(F151/E151)+FabRateIncKg,0)</f>
        <v>0</v>
      </c>
      <c r="H151" s="88">
        <f t="shared" si="6"/>
        <v>0</v>
      </c>
      <c r="I151" s="127"/>
      <c r="J151" s="124"/>
      <c r="K151" s="87"/>
      <c r="L151" s="89"/>
      <c r="M151" s="88">
        <f t="shared" si="7"/>
        <v>0</v>
      </c>
      <c r="N151" s="76" t="str">
        <f t="shared" si="8"/>
        <v/>
      </c>
    </row>
    <row r="152" spans="1:14" ht="15" customHeight="1" x14ac:dyDescent="0.25">
      <c r="A152" s="75">
        <v>148</v>
      </c>
      <c r="B152" s="75"/>
      <c r="C152" s="75"/>
      <c r="D152" s="75"/>
      <c r="E152" s="86" t="str">
        <f>_xlfn.XLOOKUP(B152,'Ratio Master'!$A:$A,'Ratio Master'!$G:$G,"")</f>
        <v/>
      </c>
      <c r="F152" s="87">
        <f>_xlfn.XLOOKUP(B152,'Ratio Master'!$A:$A,'Ratio Master'!$F:$F,"")</f>
        <v>0</v>
      </c>
      <c r="G152" s="88">
        <f t="array" ref="G152">IF(AND(E152&gt;0,F152&gt;0),(F152/E152)+FabRateIncKg,0)</f>
        <v>0</v>
      </c>
      <c r="H152" s="88">
        <f t="shared" si="6"/>
        <v>0</v>
      </c>
      <c r="I152" s="127"/>
      <c r="J152" s="124"/>
      <c r="K152" s="87"/>
      <c r="L152" s="89"/>
      <c r="M152" s="88">
        <f t="shared" si="7"/>
        <v>0</v>
      </c>
      <c r="N152" s="76" t="str">
        <f t="shared" si="8"/>
        <v/>
      </c>
    </row>
    <row r="153" spans="1:14" ht="15" customHeight="1" x14ac:dyDescent="0.25">
      <c r="A153" s="75">
        <v>149</v>
      </c>
      <c r="B153" s="75"/>
      <c r="C153" s="75"/>
      <c r="D153" s="75"/>
      <c r="E153" s="86" t="str">
        <f>_xlfn.XLOOKUP(B153,'Ratio Master'!$A:$A,'Ratio Master'!$G:$G,"")</f>
        <v/>
      </c>
      <c r="F153" s="87">
        <f>_xlfn.XLOOKUP(B153,'Ratio Master'!$A:$A,'Ratio Master'!$F:$F,"")</f>
        <v>0</v>
      </c>
      <c r="G153" s="88">
        <f t="array" ref="G153">IF(AND(E153&gt;0,F153&gt;0),(F153/E153)+FabRateIncKg,0)</f>
        <v>0</v>
      </c>
      <c r="H153" s="88">
        <f t="shared" si="6"/>
        <v>0</v>
      </c>
      <c r="I153" s="127"/>
      <c r="J153" s="124"/>
      <c r="K153" s="87"/>
      <c r="L153" s="89"/>
      <c r="M153" s="88">
        <f t="shared" si="7"/>
        <v>0</v>
      </c>
      <c r="N153" s="76" t="str">
        <f t="shared" si="8"/>
        <v/>
      </c>
    </row>
    <row r="154" spans="1:14" ht="15" customHeight="1" x14ac:dyDescent="0.25">
      <c r="A154" s="75">
        <v>150</v>
      </c>
      <c r="B154" s="75"/>
      <c r="C154" s="75"/>
      <c r="D154" s="75"/>
      <c r="E154" s="86" t="str">
        <f>_xlfn.XLOOKUP(B154,'Ratio Master'!$A:$A,'Ratio Master'!$G:$G,"")</f>
        <v/>
      </c>
      <c r="F154" s="87">
        <f>_xlfn.XLOOKUP(B154,'Ratio Master'!$A:$A,'Ratio Master'!$F:$F,"")</f>
        <v>0</v>
      </c>
      <c r="G154" s="88">
        <f t="array" ref="G154">IF(AND(E154&gt;0,F154&gt;0),(F154/E154)+FabRateIncKg,0)</f>
        <v>0</v>
      </c>
      <c r="H154" s="88">
        <f t="shared" si="6"/>
        <v>0</v>
      </c>
      <c r="I154" s="127"/>
      <c r="J154" s="124"/>
      <c r="K154" s="87"/>
      <c r="L154" s="89"/>
      <c r="M154" s="88">
        <f t="shared" si="7"/>
        <v>0</v>
      </c>
      <c r="N154" s="76" t="str">
        <f t="shared" si="8"/>
        <v/>
      </c>
    </row>
    <row r="155" spans="1:14" ht="15" customHeight="1" x14ac:dyDescent="0.25">
      <c r="A155" s="75">
        <v>151</v>
      </c>
      <c r="B155" s="75"/>
      <c r="C155" s="75"/>
      <c r="D155" s="75"/>
      <c r="E155" s="86" t="str">
        <f>_xlfn.XLOOKUP(B155,'Ratio Master'!$A:$A,'Ratio Master'!$G:$G,"")</f>
        <v/>
      </c>
      <c r="F155" s="87">
        <f>_xlfn.XLOOKUP(B155,'Ratio Master'!$A:$A,'Ratio Master'!$F:$F,"")</f>
        <v>0</v>
      </c>
      <c r="G155" s="88">
        <f t="array" ref="G155">IF(AND(E155&gt;0,F155&gt;0),(F155/E155)+FabRateIncKg,0)</f>
        <v>0</v>
      </c>
      <c r="H155" s="88">
        <f t="shared" si="6"/>
        <v>0</v>
      </c>
      <c r="I155" s="127"/>
      <c r="J155" s="124"/>
      <c r="K155" s="87"/>
      <c r="L155" s="89"/>
      <c r="M155" s="88">
        <f t="shared" si="7"/>
        <v>0</v>
      </c>
      <c r="N155" s="76" t="str">
        <f t="shared" si="8"/>
        <v/>
      </c>
    </row>
    <row r="156" spans="1:14" ht="15" customHeight="1" x14ac:dyDescent="0.25">
      <c r="A156" s="75">
        <v>152</v>
      </c>
      <c r="B156" s="75"/>
      <c r="C156" s="75"/>
      <c r="D156" s="75"/>
      <c r="E156" s="86" t="str">
        <f>_xlfn.XLOOKUP(B156,'Ratio Master'!$A:$A,'Ratio Master'!$G:$G,"")</f>
        <v/>
      </c>
      <c r="F156" s="87">
        <f>_xlfn.XLOOKUP(B156,'Ratio Master'!$A:$A,'Ratio Master'!$F:$F,"")</f>
        <v>0</v>
      </c>
      <c r="G156" s="88">
        <f t="array" ref="G156">IF(AND(E156&gt;0,F156&gt;0),(F156/E156)+FabRateIncKg,0)</f>
        <v>0</v>
      </c>
      <c r="H156" s="88">
        <f t="shared" si="6"/>
        <v>0</v>
      </c>
      <c r="I156" s="127"/>
      <c r="J156" s="124"/>
      <c r="K156" s="87"/>
      <c r="L156" s="89"/>
      <c r="M156" s="88">
        <f t="shared" si="7"/>
        <v>0</v>
      </c>
      <c r="N156" s="76" t="str">
        <f t="shared" si="8"/>
        <v/>
      </c>
    </row>
    <row r="157" spans="1:14" ht="15" customHeight="1" x14ac:dyDescent="0.25">
      <c r="A157" s="75">
        <v>153</v>
      </c>
      <c r="B157" s="75"/>
      <c r="C157" s="75"/>
      <c r="D157" s="75"/>
      <c r="E157" s="86" t="str">
        <f>_xlfn.XLOOKUP(B157,'Ratio Master'!$A:$A,'Ratio Master'!$G:$G,"")</f>
        <v/>
      </c>
      <c r="F157" s="87">
        <f>_xlfn.XLOOKUP(B157,'Ratio Master'!$A:$A,'Ratio Master'!$F:$F,"")</f>
        <v>0</v>
      </c>
      <c r="G157" s="88">
        <f t="array" ref="G157">IF(AND(E157&gt;0,F157&gt;0),(F157/E157)+FabRateIncKg,0)</f>
        <v>0</v>
      </c>
      <c r="H157" s="88">
        <f t="shared" si="6"/>
        <v>0</v>
      </c>
      <c r="I157" s="127"/>
      <c r="J157" s="124"/>
      <c r="K157" s="87"/>
      <c r="L157" s="89"/>
      <c r="M157" s="88">
        <f t="shared" si="7"/>
        <v>0</v>
      </c>
      <c r="N157" s="76" t="str">
        <f t="shared" si="8"/>
        <v/>
      </c>
    </row>
    <row r="158" spans="1:14" ht="15" customHeight="1" x14ac:dyDescent="0.25">
      <c r="A158" s="75">
        <v>154</v>
      </c>
      <c r="B158" s="75"/>
      <c r="C158" s="75"/>
      <c r="D158" s="75"/>
      <c r="E158" s="86" t="str">
        <f>_xlfn.XLOOKUP(B158,'Ratio Master'!$A:$A,'Ratio Master'!$G:$G,"")</f>
        <v/>
      </c>
      <c r="F158" s="87">
        <f>_xlfn.XLOOKUP(B158,'Ratio Master'!$A:$A,'Ratio Master'!$F:$F,"")</f>
        <v>0</v>
      </c>
      <c r="G158" s="88">
        <f t="array" ref="G158">IF(AND(E158&gt;0,F158&gt;0),(F158/E158)+FabRateIncKg,0)</f>
        <v>0</v>
      </c>
      <c r="H158" s="88">
        <f t="shared" si="6"/>
        <v>0</v>
      </c>
      <c r="I158" s="127"/>
      <c r="J158" s="124"/>
      <c r="K158" s="87"/>
      <c r="L158" s="89"/>
      <c r="M158" s="88">
        <f t="shared" si="7"/>
        <v>0</v>
      </c>
      <c r="N158" s="76" t="str">
        <f t="shared" si="8"/>
        <v/>
      </c>
    </row>
    <row r="159" spans="1:14" ht="15" customHeight="1" x14ac:dyDescent="0.25">
      <c r="A159" s="75">
        <v>155</v>
      </c>
      <c r="B159" s="75"/>
      <c r="C159" s="75"/>
      <c r="D159" s="75"/>
      <c r="E159" s="86" t="str">
        <f>_xlfn.XLOOKUP(B159,'Ratio Master'!$A:$A,'Ratio Master'!$G:$G,"")</f>
        <v/>
      </c>
      <c r="F159" s="87">
        <f>_xlfn.XLOOKUP(B159,'Ratio Master'!$A:$A,'Ratio Master'!$F:$F,"")</f>
        <v>0</v>
      </c>
      <c r="G159" s="88">
        <f t="array" ref="G159">IF(AND(E159&gt;0,F159&gt;0),(F159/E159)+FabRateIncKg,0)</f>
        <v>0</v>
      </c>
      <c r="H159" s="88">
        <f t="shared" si="6"/>
        <v>0</v>
      </c>
      <c r="I159" s="127"/>
      <c r="J159" s="124"/>
      <c r="K159" s="87"/>
      <c r="L159" s="89"/>
      <c r="M159" s="88">
        <f t="shared" si="7"/>
        <v>0</v>
      </c>
      <c r="N159" s="76" t="str">
        <f t="shared" si="8"/>
        <v/>
      </c>
    </row>
    <row r="160" spans="1:14" ht="15" customHeight="1" x14ac:dyDescent="0.25">
      <c r="A160" s="75">
        <v>156</v>
      </c>
      <c r="B160" s="75"/>
      <c r="C160" s="75"/>
      <c r="D160" s="75"/>
      <c r="E160" s="86" t="str">
        <f>_xlfn.XLOOKUP(B160,'Ratio Master'!$A:$A,'Ratio Master'!$G:$G,"")</f>
        <v/>
      </c>
      <c r="F160" s="87">
        <f>_xlfn.XLOOKUP(B160,'Ratio Master'!$A:$A,'Ratio Master'!$F:$F,"")</f>
        <v>0</v>
      </c>
      <c r="G160" s="88">
        <f t="array" ref="G160">IF(AND(E160&gt;0,F160&gt;0),(F160/E160)+FabRateIncKg,0)</f>
        <v>0</v>
      </c>
      <c r="H160" s="88">
        <f t="shared" si="6"/>
        <v>0</v>
      </c>
      <c r="I160" s="127"/>
      <c r="J160" s="124"/>
      <c r="K160" s="87"/>
      <c r="L160" s="89"/>
      <c r="M160" s="88">
        <f t="shared" si="7"/>
        <v>0</v>
      </c>
      <c r="N160" s="76" t="str">
        <f t="shared" si="8"/>
        <v/>
      </c>
    </row>
    <row r="161" spans="1:14" ht="15" customHeight="1" x14ac:dyDescent="0.25">
      <c r="A161" s="75">
        <v>157</v>
      </c>
      <c r="B161" s="75"/>
      <c r="C161" s="75"/>
      <c r="D161" s="75"/>
      <c r="E161" s="86" t="str">
        <f>_xlfn.XLOOKUP(B161,'Ratio Master'!$A:$A,'Ratio Master'!$G:$G,"")</f>
        <v/>
      </c>
      <c r="F161" s="87">
        <f>_xlfn.XLOOKUP(B161,'Ratio Master'!$A:$A,'Ratio Master'!$F:$F,"")</f>
        <v>0</v>
      </c>
      <c r="G161" s="88">
        <f t="array" ref="G161">IF(AND(E161&gt;0,F161&gt;0),(F161/E161)+FabRateIncKg,0)</f>
        <v>0</v>
      </c>
      <c r="H161" s="88">
        <f t="shared" si="6"/>
        <v>0</v>
      </c>
      <c r="I161" s="127"/>
      <c r="J161" s="124"/>
      <c r="K161" s="87"/>
      <c r="L161" s="89"/>
      <c r="M161" s="88">
        <f t="shared" si="7"/>
        <v>0</v>
      </c>
      <c r="N161" s="76" t="str">
        <f t="shared" si="8"/>
        <v/>
      </c>
    </row>
    <row r="162" spans="1:14" ht="15" customHeight="1" x14ac:dyDescent="0.25">
      <c r="A162" s="75">
        <v>158</v>
      </c>
      <c r="B162" s="75"/>
      <c r="C162" s="75"/>
      <c r="D162" s="75"/>
      <c r="E162" s="86" t="str">
        <f>_xlfn.XLOOKUP(B162,'Ratio Master'!$A:$A,'Ratio Master'!$G:$G,"")</f>
        <v/>
      </c>
      <c r="F162" s="87">
        <f>_xlfn.XLOOKUP(B162,'Ratio Master'!$A:$A,'Ratio Master'!$F:$F,"")</f>
        <v>0</v>
      </c>
      <c r="G162" s="88">
        <f t="array" ref="G162">IF(AND(E162&gt;0,F162&gt;0),(F162/E162)+FabRateIncKg,0)</f>
        <v>0</v>
      </c>
      <c r="H162" s="88">
        <f t="shared" si="6"/>
        <v>0</v>
      </c>
      <c r="I162" s="127"/>
      <c r="J162" s="124"/>
      <c r="K162" s="87"/>
      <c r="L162" s="89"/>
      <c r="M162" s="88">
        <f t="shared" si="7"/>
        <v>0</v>
      </c>
      <c r="N162" s="76" t="str">
        <f t="shared" si="8"/>
        <v/>
      </c>
    </row>
    <row r="163" spans="1:14" ht="15" customHeight="1" x14ac:dyDescent="0.25">
      <c r="A163" s="75">
        <v>159</v>
      </c>
      <c r="B163" s="75"/>
      <c r="C163" s="75"/>
      <c r="D163" s="75"/>
      <c r="E163" s="86" t="str">
        <f>_xlfn.XLOOKUP(B163,'Ratio Master'!$A:$A,'Ratio Master'!$G:$G,"")</f>
        <v/>
      </c>
      <c r="F163" s="87">
        <f>_xlfn.XLOOKUP(B163,'Ratio Master'!$A:$A,'Ratio Master'!$F:$F,"")</f>
        <v>0</v>
      </c>
      <c r="G163" s="88">
        <f t="array" ref="G163">IF(AND(E163&gt;0,F163&gt;0),(F163/E163)+FabRateIncKg,0)</f>
        <v>0</v>
      </c>
      <c r="H163" s="88">
        <f t="shared" si="6"/>
        <v>0</v>
      </c>
      <c r="I163" s="127"/>
      <c r="J163" s="124"/>
      <c r="K163" s="87"/>
      <c r="L163" s="89"/>
      <c r="M163" s="88">
        <f t="shared" si="7"/>
        <v>0</v>
      </c>
      <c r="N163" s="76" t="str">
        <f t="shared" si="8"/>
        <v/>
      </c>
    </row>
    <row r="164" spans="1:14" ht="15" customHeight="1" x14ac:dyDescent="0.25">
      <c r="A164" s="75">
        <v>160</v>
      </c>
      <c r="B164" s="75"/>
      <c r="C164" s="75"/>
      <c r="D164" s="75"/>
      <c r="E164" s="86" t="str">
        <f>_xlfn.XLOOKUP(B164,'Ratio Master'!$A:$A,'Ratio Master'!$G:$G,"")</f>
        <v/>
      </c>
      <c r="F164" s="87">
        <f>_xlfn.XLOOKUP(B164,'Ratio Master'!$A:$A,'Ratio Master'!$F:$F,"")</f>
        <v>0</v>
      </c>
      <c r="G164" s="88">
        <f t="array" ref="G164">IF(AND(E164&gt;0,F164&gt;0),(F164/E164)+FabRateIncKg,0)</f>
        <v>0</v>
      </c>
      <c r="H164" s="88">
        <f t="shared" si="6"/>
        <v>0</v>
      </c>
      <c r="I164" s="127"/>
      <c r="J164" s="124"/>
      <c r="K164" s="87"/>
      <c r="L164" s="89"/>
      <c r="M164" s="88">
        <f t="shared" si="7"/>
        <v>0</v>
      </c>
      <c r="N164" s="76" t="str">
        <f t="shared" si="8"/>
        <v/>
      </c>
    </row>
    <row r="165" spans="1:14" ht="15" customHeight="1" x14ac:dyDescent="0.25">
      <c r="A165" s="75">
        <v>161</v>
      </c>
      <c r="B165" s="75"/>
      <c r="C165" s="75"/>
      <c r="D165" s="75"/>
      <c r="E165" s="86" t="str">
        <f>_xlfn.XLOOKUP(B165,'Ratio Master'!$A:$A,'Ratio Master'!$G:$G,"")</f>
        <v/>
      </c>
      <c r="F165" s="87">
        <f>_xlfn.XLOOKUP(B165,'Ratio Master'!$A:$A,'Ratio Master'!$F:$F,"")</f>
        <v>0</v>
      </c>
      <c r="G165" s="88">
        <f t="array" ref="G165">IF(AND(E165&gt;0,F165&gt;0),(F165/E165)+FabRateIncKg,0)</f>
        <v>0</v>
      </c>
      <c r="H165" s="88">
        <f t="shared" si="6"/>
        <v>0</v>
      </c>
      <c r="I165" s="127"/>
      <c r="J165" s="124"/>
      <c r="K165" s="87"/>
      <c r="L165" s="89"/>
      <c r="M165" s="88">
        <f t="shared" si="7"/>
        <v>0</v>
      </c>
      <c r="N165" s="76" t="str">
        <f t="shared" si="8"/>
        <v/>
      </c>
    </row>
    <row r="166" spans="1:14" ht="15" customHeight="1" x14ac:dyDescent="0.25">
      <c r="A166" s="75">
        <v>162</v>
      </c>
      <c r="B166" s="75"/>
      <c r="C166" s="75"/>
      <c r="D166" s="75"/>
      <c r="E166" s="86" t="str">
        <f>_xlfn.XLOOKUP(B166,'Ratio Master'!$A:$A,'Ratio Master'!$G:$G,"")</f>
        <v/>
      </c>
      <c r="F166" s="87">
        <f>_xlfn.XLOOKUP(B166,'Ratio Master'!$A:$A,'Ratio Master'!$F:$F,"")</f>
        <v>0</v>
      </c>
      <c r="G166" s="88">
        <f t="array" ref="G166">IF(AND(E166&gt;0,F166&gt;0),(F166/E166)+FabRateIncKg,0)</f>
        <v>0</v>
      </c>
      <c r="H166" s="88">
        <f t="shared" si="6"/>
        <v>0</v>
      </c>
      <c r="I166" s="127"/>
      <c r="J166" s="124"/>
      <c r="K166" s="87"/>
      <c r="L166" s="89"/>
      <c r="M166" s="88">
        <f t="shared" si="7"/>
        <v>0</v>
      </c>
      <c r="N166" s="76" t="str">
        <f t="shared" si="8"/>
        <v/>
      </c>
    </row>
    <row r="167" spans="1:14" ht="15" customHeight="1" x14ac:dyDescent="0.25">
      <c r="A167" s="75">
        <v>163</v>
      </c>
      <c r="B167" s="75"/>
      <c r="C167" s="75"/>
      <c r="D167" s="75"/>
      <c r="E167" s="86" t="str">
        <f>_xlfn.XLOOKUP(B167,'Ratio Master'!$A:$A,'Ratio Master'!$G:$G,"")</f>
        <v/>
      </c>
      <c r="F167" s="87">
        <f>_xlfn.XLOOKUP(B167,'Ratio Master'!$A:$A,'Ratio Master'!$F:$F,"")</f>
        <v>0</v>
      </c>
      <c r="G167" s="88">
        <f t="array" ref="G167">IF(AND(E167&gt;0,F167&gt;0),(F167/E167)+FabRateIncKg,0)</f>
        <v>0</v>
      </c>
      <c r="H167" s="88">
        <f t="shared" si="6"/>
        <v>0</v>
      </c>
      <c r="I167" s="127"/>
      <c r="J167" s="124"/>
      <c r="K167" s="87"/>
      <c r="L167" s="89"/>
      <c r="M167" s="88">
        <f t="shared" si="7"/>
        <v>0</v>
      </c>
      <c r="N167" s="76" t="str">
        <f t="shared" si="8"/>
        <v/>
      </c>
    </row>
    <row r="168" spans="1:14" ht="15" customHeight="1" x14ac:dyDescent="0.25">
      <c r="A168" s="75">
        <v>164</v>
      </c>
      <c r="B168" s="75"/>
      <c r="C168" s="75"/>
      <c r="D168" s="75"/>
      <c r="E168" s="86" t="str">
        <f>_xlfn.XLOOKUP(B168,'Ratio Master'!$A:$A,'Ratio Master'!$G:$G,"")</f>
        <v/>
      </c>
      <c r="F168" s="87">
        <f>_xlfn.XLOOKUP(B168,'Ratio Master'!$A:$A,'Ratio Master'!$F:$F,"")</f>
        <v>0</v>
      </c>
      <c r="G168" s="88">
        <f t="array" ref="G168">IF(AND(E168&gt;0,F168&gt;0),(F168/E168)+FabRateIncKg,0)</f>
        <v>0</v>
      </c>
      <c r="H168" s="88">
        <f t="shared" si="6"/>
        <v>0</v>
      </c>
      <c r="I168" s="127"/>
      <c r="J168" s="124"/>
      <c r="K168" s="87"/>
      <c r="L168" s="89"/>
      <c r="M168" s="88">
        <f t="shared" si="7"/>
        <v>0</v>
      </c>
      <c r="N168" s="76" t="str">
        <f t="shared" si="8"/>
        <v/>
      </c>
    </row>
    <row r="169" spans="1:14" ht="15" customHeight="1" x14ac:dyDescent="0.25">
      <c r="A169" s="75">
        <v>165</v>
      </c>
      <c r="B169" s="75"/>
      <c r="C169" s="75"/>
      <c r="D169" s="75"/>
      <c r="E169" s="86" t="str">
        <f>_xlfn.XLOOKUP(B169,'Ratio Master'!$A:$A,'Ratio Master'!$G:$G,"")</f>
        <v/>
      </c>
      <c r="F169" s="87">
        <f>_xlfn.XLOOKUP(B169,'Ratio Master'!$A:$A,'Ratio Master'!$F:$F,"")</f>
        <v>0</v>
      </c>
      <c r="G169" s="88">
        <f t="array" ref="G169">IF(AND(E169&gt;0,F169&gt;0),(F169/E169)+FabRateIncKg,0)</f>
        <v>0</v>
      </c>
      <c r="H169" s="88">
        <f t="shared" si="6"/>
        <v>0</v>
      </c>
      <c r="I169" s="127"/>
      <c r="J169" s="124"/>
      <c r="K169" s="87"/>
      <c r="L169" s="89"/>
      <c r="M169" s="88">
        <f t="shared" si="7"/>
        <v>0</v>
      </c>
      <c r="N169" s="76" t="str">
        <f t="shared" si="8"/>
        <v/>
      </c>
    </row>
    <row r="170" spans="1:14" ht="15" customHeight="1" x14ac:dyDescent="0.25">
      <c r="A170" s="75">
        <v>166</v>
      </c>
      <c r="B170" s="75"/>
      <c r="C170" s="75"/>
      <c r="D170" s="75"/>
      <c r="E170" s="86" t="str">
        <f>_xlfn.XLOOKUP(B170,'Ratio Master'!$A:$A,'Ratio Master'!$G:$G,"")</f>
        <v/>
      </c>
      <c r="F170" s="87">
        <f>_xlfn.XLOOKUP(B170,'Ratio Master'!$A:$A,'Ratio Master'!$F:$F,"")</f>
        <v>0</v>
      </c>
      <c r="G170" s="88">
        <f t="array" ref="G170">IF(AND(E170&gt;0,F170&gt;0),(F170/E170)+FabRateIncKg,0)</f>
        <v>0</v>
      </c>
      <c r="H170" s="88">
        <f t="shared" si="6"/>
        <v>0</v>
      </c>
      <c r="I170" s="127"/>
      <c r="J170" s="124"/>
      <c r="K170" s="87"/>
      <c r="L170" s="89"/>
      <c r="M170" s="88">
        <f t="shared" si="7"/>
        <v>0</v>
      </c>
      <c r="N170" s="76" t="str">
        <f t="shared" si="8"/>
        <v/>
      </c>
    </row>
    <row r="171" spans="1:14" ht="15" customHeight="1" x14ac:dyDescent="0.25">
      <c r="A171" s="75">
        <v>167</v>
      </c>
      <c r="B171" s="75"/>
      <c r="C171" s="75"/>
      <c r="D171" s="75"/>
      <c r="E171" s="86" t="str">
        <f>_xlfn.XLOOKUP(B171,'Ratio Master'!$A:$A,'Ratio Master'!$G:$G,"")</f>
        <v/>
      </c>
      <c r="F171" s="87">
        <f>_xlfn.XLOOKUP(B171,'Ratio Master'!$A:$A,'Ratio Master'!$F:$F,"")</f>
        <v>0</v>
      </c>
      <c r="G171" s="88">
        <f t="array" ref="G171">IF(AND(E171&gt;0,F171&gt;0),(F171/E171)+FabRateIncKg,0)</f>
        <v>0</v>
      </c>
      <c r="H171" s="88">
        <f t="shared" si="6"/>
        <v>0</v>
      </c>
      <c r="I171" s="127"/>
      <c r="J171" s="124"/>
      <c r="K171" s="87"/>
      <c r="L171" s="89"/>
      <c r="M171" s="88">
        <f t="shared" si="7"/>
        <v>0</v>
      </c>
      <c r="N171" s="76" t="str">
        <f t="shared" si="8"/>
        <v/>
      </c>
    </row>
    <row r="172" spans="1:14" ht="15" customHeight="1" x14ac:dyDescent="0.25">
      <c r="A172" s="75">
        <v>168</v>
      </c>
      <c r="B172" s="75"/>
      <c r="C172" s="75"/>
      <c r="D172" s="75"/>
      <c r="E172" s="86" t="str">
        <f>_xlfn.XLOOKUP(B172,'Ratio Master'!$A:$A,'Ratio Master'!$G:$G,"")</f>
        <v/>
      </c>
      <c r="F172" s="87">
        <f>_xlfn.XLOOKUP(B172,'Ratio Master'!$A:$A,'Ratio Master'!$F:$F,"")</f>
        <v>0</v>
      </c>
      <c r="G172" s="88">
        <f t="array" ref="G172">IF(AND(E172&gt;0,F172&gt;0),(F172/E172)+FabRateIncKg,0)</f>
        <v>0</v>
      </c>
      <c r="H172" s="88">
        <f t="shared" si="6"/>
        <v>0</v>
      </c>
      <c r="I172" s="127"/>
      <c r="J172" s="124"/>
      <c r="K172" s="87"/>
      <c r="L172" s="89"/>
      <c r="M172" s="88">
        <f t="shared" si="7"/>
        <v>0</v>
      </c>
      <c r="N172" s="76" t="str">
        <f t="shared" si="8"/>
        <v/>
      </c>
    </row>
    <row r="173" spans="1:14" ht="15" customHeight="1" x14ac:dyDescent="0.25">
      <c r="A173" s="75">
        <v>169</v>
      </c>
      <c r="B173" s="75"/>
      <c r="C173" s="75"/>
      <c r="D173" s="75"/>
      <c r="E173" s="86" t="str">
        <f>_xlfn.XLOOKUP(B173,'Ratio Master'!$A:$A,'Ratio Master'!$G:$G,"")</f>
        <v/>
      </c>
      <c r="F173" s="87">
        <f>_xlfn.XLOOKUP(B173,'Ratio Master'!$A:$A,'Ratio Master'!$F:$F,"")</f>
        <v>0</v>
      </c>
      <c r="G173" s="88">
        <f t="array" ref="G173">IF(AND(E173&gt;0,F173&gt;0),(F173/E173)+FabRateIncKg,0)</f>
        <v>0</v>
      </c>
      <c r="H173" s="88">
        <f t="shared" si="6"/>
        <v>0</v>
      </c>
      <c r="I173" s="127"/>
      <c r="J173" s="124"/>
      <c r="K173" s="87"/>
      <c r="L173" s="89"/>
      <c r="M173" s="88">
        <f t="shared" si="7"/>
        <v>0</v>
      </c>
      <c r="N173" s="76" t="str">
        <f t="shared" si="8"/>
        <v/>
      </c>
    </row>
    <row r="174" spans="1:14" ht="15" customHeight="1" x14ac:dyDescent="0.25">
      <c r="A174" s="75">
        <v>170</v>
      </c>
      <c r="B174" s="75"/>
      <c r="C174" s="75"/>
      <c r="D174" s="75"/>
      <c r="E174" s="86" t="str">
        <f>_xlfn.XLOOKUP(B174,'Ratio Master'!$A:$A,'Ratio Master'!$G:$G,"")</f>
        <v/>
      </c>
      <c r="F174" s="87">
        <f>_xlfn.XLOOKUP(B174,'Ratio Master'!$A:$A,'Ratio Master'!$F:$F,"")</f>
        <v>0</v>
      </c>
      <c r="G174" s="88">
        <f t="array" ref="G174">IF(AND(E174&gt;0,F174&gt;0),(F174/E174)+FabRateIncKg,0)</f>
        <v>0</v>
      </c>
      <c r="H174" s="88">
        <f t="shared" si="6"/>
        <v>0</v>
      </c>
      <c r="I174" s="127"/>
      <c r="J174" s="124"/>
      <c r="K174" s="87"/>
      <c r="L174" s="89"/>
      <c r="M174" s="88">
        <f t="shared" si="7"/>
        <v>0</v>
      </c>
      <c r="N174" s="76" t="str">
        <f t="shared" si="8"/>
        <v/>
      </c>
    </row>
    <row r="175" spans="1:14" ht="15" customHeight="1" x14ac:dyDescent="0.25">
      <c r="A175" s="75">
        <v>171</v>
      </c>
      <c r="B175" s="75"/>
      <c r="C175" s="75"/>
      <c r="D175" s="75"/>
      <c r="E175" s="86" t="str">
        <f>_xlfn.XLOOKUP(B175,'Ratio Master'!$A:$A,'Ratio Master'!$G:$G,"")</f>
        <v/>
      </c>
      <c r="F175" s="87">
        <f>_xlfn.XLOOKUP(B175,'Ratio Master'!$A:$A,'Ratio Master'!$F:$F,"")</f>
        <v>0</v>
      </c>
      <c r="G175" s="88">
        <f t="array" ref="G175">IF(AND(E175&gt;0,F175&gt;0),(F175/E175)+FabRateIncKg,0)</f>
        <v>0</v>
      </c>
      <c r="H175" s="88">
        <f t="shared" si="6"/>
        <v>0</v>
      </c>
      <c r="I175" s="127"/>
      <c r="J175" s="124"/>
      <c r="K175" s="87"/>
      <c r="L175" s="89"/>
      <c r="M175" s="88">
        <f t="shared" si="7"/>
        <v>0</v>
      </c>
      <c r="N175" s="76" t="str">
        <f t="shared" si="8"/>
        <v/>
      </c>
    </row>
    <row r="176" spans="1:14" ht="15" customHeight="1" x14ac:dyDescent="0.25">
      <c r="A176" s="75">
        <v>172</v>
      </c>
      <c r="B176" s="75"/>
      <c r="C176" s="75"/>
      <c r="D176" s="75"/>
      <c r="E176" s="86" t="str">
        <f>_xlfn.XLOOKUP(B176,'Ratio Master'!$A:$A,'Ratio Master'!$G:$G,"")</f>
        <v/>
      </c>
      <c r="F176" s="87">
        <f>_xlfn.XLOOKUP(B176,'Ratio Master'!$A:$A,'Ratio Master'!$F:$F,"")</f>
        <v>0</v>
      </c>
      <c r="G176" s="88">
        <f t="array" ref="G176">IF(AND(E176&gt;0,F176&gt;0),(F176/E176)+FabRateIncKg,0)</f>
        <v>0</v>
      </c>
      <c r="H176" s="88">
        <f t="shared" si="6"/>
        <v>0</v>
      </c>
      <c r="I176" s="127"/>
      <c r="J176" s="124"/>
      <c r="K176" s="87"/>
      <c r="L176" s="89"/>
      <c r="M176" s="88">
        <f t="shared" si="7"/>
        <v>0</v>
      </c>
      <c r="N176" s="76" t="str">
        <f t="shared" si="8"/>
        <v/>
      </c>
    </row>
    <row r="177" spans="1:14" ht="15" customHeight="1" x14ac:dyDescent="0.25">
      <c r="A177" s="75">
        <v>173</v>
      </c>
      <c r="B177" s="75"/>
      <c r="C177" s="75"/>
      <c r="D177" s="75"/>
      <c r="E177" s="86" t="str">
        <f>_xlfn.XLOOKUP(B177,'Ratio Master'!$A:$A,'Ratio Master'!$G:$G,"")</f>
        <v/>
      </c>
      <c r="F177" s="87">
        <f>_xlfn.XLOOKUP(B177,'Ratio Master'!$A:$A,'Ratio Master'!$F:$F,"")</f>
        <v>0</v>
      </c>
      <c r="G177" s="88">
        <f t="array" ref="G177">IF(AND(E177&gt;0,F177&gt;0),(F177/E177)+FabRateIncKg,0)</f>
        <v>0</v>
      </c>
      <c r="H177" s="88">
        <f t="shared" si="6"/>
        <v>0</v>
      </c>
      <c r="I177" s="127"/>
      <c r="J177" s="124"/>
      <c r="K177" s="87"/>
      <c r="L177" s="89"/>
      <c r="M177" s="88">
        <f t="shared" si="7"/>
        <v>0</v>
      </c>
      <c r="N177" s="76" t="str">
        <f t="shared" si="8"/>
        <v/>
      </c>
    </row>
    <row r="178" spans="1:14" ht="15" customHeight="1" x14ac:dyDescent="0.25">
      <c r="A178" s="75">
        <v>174</v>
      </c>
      <c r="B178" s="75"/>
      <c r="C178" s="75"/>
      <c r="D178" s="75"/>
      <c r="E178" s="86" t="str">
        <f>_xlfn.XLOOKUP(B178,'Ratio Master'!$A:$A,'Ratio Master'!$G:$G,"")</f>
        <v/>
      </c>
      <c r="F178" s="87">
        <f>_xlfn.XLOOKUP(B178,'Ratio Master'!$A:$A,'Ratio Master'!$F:$F,"")</f>
        <v>0</v>
      </c>
      <c r="G178" s="88">
        <f t="array" ref="G178">IF(AND(E178&gt;0,F178&gt;0),(F178/E178)+FabRateIncKg,0)</f>
        <v>0</v>
      </c>
      <c r="H178" s="88">
        <f t="shared" si="6"/>
        <v>0</v>
      </c>
      <c r="I178" s="127"/>
      <c r="J178" s="124"/>
      <c r="K178" s="87"/>
      <c r="L178" s="89"/>
      <c r="M178" s="88">
        <f t="shared" si="7"/>
        <v>0</v>
      </c>
      <c r="N178" s="76" t="str">
        <f t="shared" si="8"/>
        <v/>
      </c>
    </row>
    <row r="179" spans="1:14" ht="15" customHeight="1" x14ac:dyDescent="0.25">
      <c r="A179" s="75">
        <v>175</v>
      </c>
      <c r="B179" s="75"/>
      <c r="C179" s="75"/>
      <c r="D179" s="75"/>
      <c r="E179" s="86" t="str">
        <f>_xlfn.XLOOKUP(B179,'Ratio Master'!$A:$A,'Ratio Master'!$G:$G,"")</f>
        <v/>
      </c>
      <c r="F179" s="87">
        <f>_xlfn.XLOOKUP(B179,'Ratio Master'!$A:$A,'Ratio Master'!$F:$F,"")</f>
        <v>0</v>
      </c>
      <c r="G179" s="88">
        <f t="array" ref="G179">IF(AND(E179&gt;0,F179&gt;0),(F179/E179)+FabRateIncKg,0)</f>
        <v>0</v>
      </c>
      <c r="H179" s="88">
        <f t="shared" si="6"/>
        <v>0</v>
      </c>
      <c r="I179" s="127"/>
      <c r="J179" s="124"/>
      <c r="K179" s="87"/>
      <c r="L179" s="89"/>
      <c r="M179" s="88">
        <f t="shared" si="7"/>
        <v>0</v>
      </c>
      <c r="N179" s="76" t="str">
        <f t="shared" si="8"/>
        <v/>
      </c>
    </row>
    <row r="180" spans="1:14" ht="15" customHeight="1" x14ac:dyDescent="0.25">
      <c r="A180" s="75">
        <v>176</v>
      </c>
      <c r="B180" s="75"/>
      <c r="C180" s="75"/>
      <c r="D180" s="75"/>
      <c r="E180" s="86" t="str">
        <f>_xlfn.XLOOKUP(B180,'Ratio Master'!$A:$A,'Ratio Master'!$G:$G,"")</f>
        <v/>
      </c>
      <c r="F180" s="87">
        <f>_xlfn.XLOOKUP(B180,'Ratio Master'!$A:$A,'Ratio Master'!$F:$F,"")</f>
        <v>0</v>
      </c>
      <c r="G180" s="88">
        <f t="array" ref="G180">IF(AND(E180&gt;0,F180&gt;0),(F180/E180)+FabRateIncKg,0)</f>
        <v>0</v>
      </c>
      <c r="H180" s="88">
        <f t="shared" si="6"/>
        <v>0</v>
      </c>
      <c r="I180" s="127"/>
      <c r="J180" s="124"/>
      <c r="K180" s="87"/>
      <c r="L180" s="89"/>
      <c r="M180" s="88">
        <f t="shared" si="7"/>
        <v>0</v>
      </c>
      <c r="N180" s="76" t="str">
        <f t="shared" si="8"/>
        <v/>
      </c>
    </row>
    <row r="181" spans="1:14" ht="15" customHeight="1" x14ac:dyDescent="0.25">
      <c r="A181" s="75">
        <v>177</v>
      </c>
      <c r="B181" s="75"/>
      <c r="C181" s="75"/>
      <c r="D181" s="75"/>
      <c r="E181" s="86" t="str">
        <f>_xlfn.XLOOKUP(B181,'Ratio Master'!$A:$A,'Ratio Master'!$G:$G,"")</f>
        <v/>
      </c>
      <c r="F181" s="87">
        <f>_xlfn.XLOOKUP(B181,'Ratio Master'!$A:$A,'Ratio Master'!$F:$F,"")</f>
        <v>0</v>
      </c>
      <c r="G181" s="88">
        <f t="array" ref="G181">IF(AND(E181&gt;0,F181&gt;0),(F181/E181)+FabRateIncKg,0)</f>
        <v>0</v>
      </c>
      <c r="H181" s="88">
        <f t="shared" si="6"/>
        <v>0</v>
      </c>
      <c r="I181" s="127"/>
      <c r="J181" s="124"/>
      <c r="K181" s="87"/>
      <c r="L181" s="89"/>
      <c r="M181" s="88">
        <f t="shared" si="7"/>
        <v>0</v>
      </c>
      <c r="N181" s="76" t="str">
        <f t="shared" si="8"/>
        <v/>
      </c>
    </row>
    <row r="182" spans="1:14" ht="15" customHeight="1" x14ac:dyDescent="0.25">
      <c r="A182" s="75">
        <v>178</v>
      </c>
      <c r="B182" s="75"/>
      <c r="C182" s="75"/>
      <c r="D182" s="75"/>
      <c r="E182" s="86" t="str">
        <f>_xlfn.XLOOKUP(B182,'Ratio Master'!$A:$A,'Ratio Master'!$G:$G,"")</f>
        <v/>
      </c>
      <c r="F182" s="87">
        <f>_xlfn.XLOOKUP(B182,'Ratio Master'!$A:$A,'Ratio Master'!$F:$F,"")</f>
        <v>0</v>
      </c>
      <c r="G182" s="88">
        <f t="array" ref="G182">IF(AND(E182&gt;0,F182&gt;0),(F182/E182)+FabRateIncKg,0)</f>
        <v>0</v>
      </c>
      <c r="H182" s="88">
        <f t="shared" si="6"/>
        <v>0</v>
      </c>
      <c r="I182" s="127"/>
      <c r="J182" s="124"/>
      <c r="K182" s="87"/>
      <c r="L182" s="89"/>
      <c r="M182" s="88">
        <f t="shared" si="7"/>
        <v>0</v>
      </c>
      <c r="N182" s="76" t="str">
        <f t="shared" si="8"/>
        <v/>
      </c>
    </row>
    <row r="183" spans="1:14" ht="15" customHeight="1" x14ac:dyDescent="0.25">
      <c r="A183" s="75">
        <v>179</v>
      </c>
      <c r="B183" s="75"/>
      <c r="C183" s="75"/>
      <c r="D183" s="75"/>
      <c r="E183" s="86" t="str">
        <f>_xlfn.XLOOKUP(B183,'Ratio Master'!$A:$A,'Ratio Master'!$G:$G,"")</f>
        <v/>
      </c>
      <c r="F183" s="87">
        <f>_xlfn.XLOOKUP(B183,'Ratio Master'!$A:$A,'Ratio Master'!$F:$F,"")</f>
        <v>0</v>
      </c>
      <c r="G183" s="88">
        <f t="array" ref="G183">IF(AND(E183&gt;0,F183&gt;0),(F183/E183)+FabRateIncKg,0)</f>
        <v>0</v>
      </c>
      <c r="H183" s="88">
        <f t="shared" si="6"/>
        <v>0</v>
      </c>
      <c r="I183" s="127"/>
      <c r="J183" s="124"/>
      <c r="K183" s="87"/>
      <c r="L183" s="89"/>
      <c r="M183" s="88">
        <f t="shared" si="7"/>
        <v>0</v>
      </c>
      <c r="N183" s="76" t="str">
        <f t="shared" si="8"/>
        <v/>
      </c>
    </row>
    <row r="184" spans="1:14" ht="15" customHeight="1" x14ac:dyDescent="0.25">
      <c r="A184" s="75">
        <v>180</v>
      </c>
      <c r="B184" s="75"/>
      <c r="C184" s="75"/>
      <c r="D184" s="75"/>
      <c r="E184" s="86" t="str">
        <f>_xlfn.XLOOKUP(B184,'Ratio Master'!$A:$A,'Ratio Master'!$G:$G,"")</f>
        <v/>
      </c>
      <c r="F184" s="87">
        <f>_xlfn.XLOOKUP(B184,'Ratio Master'!$A:$A,'Ratio Master'!$F:$F,"")</f>
        <v>0</v>
      </c>
      <c r="G184" s="88">
        <f t="array" ref="G184">IF(AND(E184&gt;0,F184&gt;0),(F184/E184)+FabRateIncKg,0)</f>
        <v>0</v>
      </c>
      <c r="H184" s="88">
        <f t="shared" si="6"/>
        <v>0</v>
      </c>
      <c r="I184" s="127"/>
      <c r="J184" s="124"/>
      <c r="K184" s="87"/>
      <c r="L184" s="89"/>
      <c r="M184" s="88">
        <f t="shared" si="7"/>
        <v>0</v>
      </c>
      <c r="N184" s="76" t="str">
        <f t="shared" si="8"/>
        <v/>
      </c>
    </row>
    <row r="185" spans="1:14" ht="15" customHeight="1" x14ac:dyDescent="0.25">
      <c r="A185" s="75">
        <v>181</v>
      </c>
      <c r="B185" s="75"/>
      <c r="C185" s="75"/>
      <c r="D185" s="75"/>
      <c r="E185" s="86" t="str">
        <f>_xlfn.XLOOKUP(B185,'Ratio Master'!$A:$A,'Ratio Master'!$G:$G,"")</f>
        <v/>
      </c>
      <c r="F185" s="87">
        <f>_xlfn.XLOOKUP(B185,'Ratio Master'!$A:$A,'Ratio Master'!$F:$F,"")</f>
        <v>0</v>
      </c>
      <c r="G185" s="88">
        <f t="array" ref="G185">IF(AND(E185&gt;0,F185&gt;0),(F185/E185)+FabRateIncKg,0)</f>
        <v>0</v>
      </c>
      <c r="H185" s="88">
        <f t="shared" si="6"/>
        <v>0</v>
      </c>
      <c r="I185" s="127"/>
      <c r="J185" s="124"/>
      <c r="K185" s="87"/>
      <c r="L185" s="89"/>
      <c r="M185" s="88">
        <f t="shared" si="7"/>
        <v>0</v>
      </c>
      <c r="N185" s="76" t="str">
        <f t="shared" si="8"/>
        <v/>
      </c>
    </row>
    <row r="186" spans="1:14" ht="15" customHeight="1" x14ac:dyDescent="0.25">
      <c r="A186" s="75">
        <v>182</v>
      </c>
      <c r="B186" s="75"/>
      <c r="C186" s="75"/>
      <c r="D186" s="75"/>
      <c r="E186" s="86" t="str">
        <f>_xlfn.XLOOKUP(B186,'Ratio Master'!$A:$A,'Ratio Master'!$G:$G,"")</f>
        <v/>
      </c>
      <c r="F186" s="87">
        <f>_xlfn.XLOOKUP(B186,'Ratio Master'!$A:$A,'Ratio Master'!$F:$F,"")</f>
        <v>0</v>
      </c>
      <c r="G186" s="88">
        <f t="array" ref="G186">IF(AND(E186&gt;0,F186&gt;0),(F186/E186)+FabRateIncKg,0)</f>
        <v>0</v>
      </c>
      <c r="H186" s="88">
        <f t="shared" si="6"/>
        <v>0</v>
      </c>
      <c r="I186" s="127"/>
      <c r="J186" s="124"/>
      <c r="K186" s="87"/>
      <c r="L186" s="89"/>
      <c r="M186" s="88">
        <f t="shared" si="7"/>
        <v>0</v>
      </c>
      <c r="N186" s="76" t="str">
        <f t="shared" si="8"/>
        <v/>
      </c>
    </row>
    <row r="187" spans="1:14" ht="15" customHeight="1" x14ac:dyDescent="0.25">
      <c r="A187" s="75">
        <v>183</v>
      </c>
      <c r="B187" s="75"/>
      <c r="C187" s="75"/>
      <c r="D187" s="75"/>
      <c r="E187" s="86" t="str">
        <f>_xlfn.XLOOKUP(B187,'Ratio Master'!$A:$A,'Ratio Master'!$G:$G,"")</f>
        <v/>
      </c>
      <c r="F187" s="87">
        <f>_xlfn.XLOOKUP(B187,'Ratio Master'!$A:$A,'Ratio Master'!$F:$F,"")</f>
        <v>0</v>
      </c>
      <c r="G187" s="88">
        <f t="array" ref="G187">IF(AND(E187&gt;0,F187&gt;0),(F187/E187)+FabRateIncKg,0)</f>
        <v>0</v>
      </c>
      <c r="H187" s="88">
        <f t="shared" si="6"/>
        <v>0</v>
      </c>
      <c r="I187" s="127"/>
      <c r="J187" s="124"/>
      <c r="K187" s="87"/>
      <c r="L187" s="89"/>
      <c r="M187" s="88">
        <f t="shared" si="7"/>
        <v>0</v>
      </c>
      <c r="N187" s="76" t="str">
        <f t="shared" si="8"/>
        <v/>
      </c>
    </row>
    <row r="188" spans="1:14" ht="15" customHeight="1" x14ac:dyDescent="0.25">
      <c r="A188" s="75">
        <v>184</v>
      </c>
      <c r="B188" s="75"/>
      <c r="C188" s="75"/>
      <c r="D188" s="75"/>
      <c r="E188" s="86" t="str">
        <f>_xlfn.XLOOKUP(B188,'Ratio Master'!$A:$A,'Ratio Master'!$G:$G,"")</f>
        <v/>
      </c>
      <c r="F188" s="87">
        <f>_xlfn.XLOOKUP(B188,'Ratio Master'!$A:$A,'Ratio Master'!$F:$F,"")</f>
        <v>0</v>
      </c>
      <c r="G188" s="88">
        <f t="array" ref="G188">IF(AND(E188&gt;0,F188&gt;0),(F188/E188)+FabRateIncKg,0)</f>
        <v>0</v>
      </c>
      <c r="H188" s="88">
        <f t="shared" si="6"/>
        <v>0</v>
      </c>
      <c r="I188" s="127"/>
      <c r="J188" s="124"/>
      <c r="K188" s="87"/>
      <c r="L188" s="89"/>
      <c r="M188" s="88">
        <f t="shared" si="7"/>
        <v>0</v>
      </c>
      <c r="N188" s="76" t="str">
        <f t="shared" si="8"/>
        <v/>
      </c>
    </row>
    <row r="189" spans="1:14" ht="15" customHeight="1" x14ac:dyDescent="0.25">
      <c r="A189" s="75">
        <v>185</v>
      </c>
      <c r="B189" s="75"/>
      <c r="C189" s="75"/>
      <c r="D189" s="75"/>
      <c r="E189" s="86" t="str">
        <f>_xlfn.XLOOKUP(B189,'Ratio Master'!$A:$A,'Ratio Master'!$G:$G,"")</f>
        <v/>
      </c>
      <c r="F189" s="87">
        <f>_xlfn.XLOOKUP(B189,'Ratio Master'!$A:$A,'Ratio Master'!$F:$F,"")</f>
        <v>0</v>
      </c>
      <c r="G189" s="88">
        <f t="array" ref="G189">IF(AND(E189&gt;0,F189&gt;0),(F189/E189)+FabRateIncKg,0)</f>
        <v>0</v>
      </c>
      <c r="H189" s="88">
        <f t="shared" si="6"/>
        <v>0</v>
      </c>
      <c r="I189" s="127"/>
      <c r="J189" s="124"/>
      <c r="K189" s="87"/>
      <c r="L189" s="89"/>
      <c r="M189" s="88">
        <f t="shared" si="7"/>
        <v>0</v>
      </c>
      <c r="N189" s="76" t="str">
        <f t="shared" si="8"/>
        <v/>
      </c>
    </row>
    <row r="190" spans="1:14" ht="15" customHeight="1" x14ac:dyDescent="0.25">
      <c r="A190" s="75">
        <v>186</v>
      </c>
      <c r="B190" s="75"/>
      <c r="C190" s="75"/>
      <c r="D190" s="75"/>
      <c r="E190" s="86" t="str">
        <f>_xlfn.XLOOKUP(B190,'Ratio Master'!$A:$A,'Ratio Master'!$G:$G,"")</f>
        <v/>
      </c>
      <c r="F190" s="87">
        <f>_xlfn.XLOOKUP(B190,'Ratio Master'!$A:$A,'Ratio Master'!$F:$F,"")</f>
        <v>0</v>
      </c>
      <c r="G190" s="88">
        <f t="array" ref="G190">IF(AND(E190&gt;0,F190&gt;0),(F190/E190)+FabRateIncKg,0)</f>
        <v>0</v>
      </c>
      <c r="H190" s="88">
        <f t="shared" si="6"/>
        <v>0</v>
      </c>
      <c r="I190" s="127"/>
      <c r="J190" s="124"/>
      <c r="K190" s="87"/>
      <c r="L190" s="89"/>
      <c r="M190" s="88">
        <f t="shared" si="7"/>
        <v>0</v>
      </c>
      <c r="N190" s="76" t="str">
        <f t="shared" si="8"/>
        <v/>
      </c>
    </row>
    <row r="191" spans="1:14" ht="15" customHeight="1" x14ac:dyDescent="0.25">
      <c r="A191" s="75">
        <v>187</v>
      </c>
      <c r="B191" s="75"/>
      <c r="C191" s="75"/>
      <c r="D191" s="75"/>
      <c r="E191" s="86" t="str">
        <f>_xlfn.XLOOKUP(B191,'Ratio Master'!$A:$A,'Ratio Master'!$G:$G,"")</f>
        <v/>
      </c>
      <c r="F191" s="87">
        <f>_xlfn.XLOOKUP(B191,'Ratio Master'!$A:$A,'Ratio Master'!$F:$F,"")</f>
        <v>0</v>
      </c>
      <c r="G191" s="88">
        <f t="array" ref="G191">IF(AND(E191&gt;0,F191&gt;0),(F191/E191)+FabRateIncKg,0)</f>
        <v>0</v>
      </c>
      <c r="H191" s="88">
        <f t="shared" si="6"/>
        <v>0</v>
      </c>
      <c r="I191" s="127"/>
      <c r="J191" s="124"/>
      <c r="K191" s="87"/>
      <c r="L191" s="89"/>
      <c r="M191" s="88">
        <f t="shared" si="7"/>
        <v>0</v>
      </c>
      <c r="N191" s="76" t="str">
        <f t="shared" si="8"/>
        <v/>
      </c>
    </row>
    <row r="192" spans="1:14" ht="15" customHeight="1" x14ac:dyDescent="0.25">
      <c r="A192" s="75">
        <v>188</v>
      </c>
      <c r="B192" s="75"/>
      <c r="C192" s="75"/>
      <c r="D192" s="75"/>
      <c r="E192" s="86" t="str">
        <f>_xlfn.XLOOKUP(B192,'Ratio Master'!$A:$A,'Ratio Master'!$G:$G,"")</f>
        <v/>
      </c>
      <c r="F192" s="87">
        <f>_xlfn.XLOOKUP(B192,'Ratio Master'!$A:$A,'Ratio Master'!$F:$F,"")</f>
        <v>0</v>
      </c>
      <c r="G192" s="88">
        <f t="array" ref="G192">IF(AND(E192&gt;0,F192&gt;0),(F192/E192)+FabRateIncKg,0)</f>
        <v>0</v>
      </c>
      <c r="H192" s="88">
        <f t="shared" si="6"/>
        <v>0</v>
      </c>
      <c r="I192" s="127"/>
      <c r="J192" s="124"/>
      <c r="K192" s="87"/>
      <c r="L192" s="89"/>
      <c r="M192" s="88">
        <f t="shared" si="7"/>
        <v>0</v>
      </c>
      <c r="N192" s="76" t="str">
        <f t="shared" si="8"/>
        <v/>
      </c>
    </row>
    <row r="193" spans="1:14" ht="15" customHeight="1" x14ac:dyDescent="0.25">
      <c r="A193" s="75">
        <v>189</v>
      </c>
      <c r="B193" s="75"/>
      <c r="C193" s="75"/>
      <c r="D193" s="75"/>
      <c r="E193" s="86" t="str">
        <f>_xlfn.XLOOKUP(B193,'Ratio Master'!$A:$A,'Ratio Master'!$G:$G,"")</f>
        <v/>
      </c>
      <c r="F193" s="87">
        <f>_xlfn.XLOOKUP(B193,'Ratio Master'!$A:$A,'Ratio Master'!$F:$F,"")</f>
        <v>0</v>
      </c>
      <c r="G193" s="88">
        <f t="array" ref="G193">IF(AND(E193&gt;0,F193&gt;0),(F193/E193)+FabRateIncKg,0)</f>
        <v>0</v>
      </c>
      <c r="H193" s="88">
        <f t="shared" si="6"/>
        <v>0</v>
      </c>
      <c r="I193" s="127"/>
      <c r="J193" s="124"/>
      <c r="K193" s="87"/>
      <c r="L193" s="89"/>
      <c r="M193" s="88">
        <f t="shared" si="7"/>
        <v>0</v>
      </c>
      <c r="N193" s="76" t="str">
        <f t="shared" si="8"/>
        <v/>
      </c>
    </row>
    <row r="194" spans="1:14" ht="15" customHeight="1" x14ac:dyDescent="0.25">
      <c r="A194" s="75">
        <v>190</v>
      </c>
      <c r="B194" s="75"/>
      <c r="C194" s="75"/>
      <c r="D194" s="75"/>
      <c r="E194" s="86" t="str">
        <f>_xlfn.XLOOKUP(B194,'Ratio Master'!$A:$A,'Ratio Master'!$G:$G,"")</f>
        <v/>
      </c>
      <c r="F194" s="87">
        <f>_xlfn.XLOOKUP(B194,'Ratio Master'!$A:$A,'Ratio Master'!$F:$F,"")</f>
        <v>0</v>
      </c>
      <c r="G194" s="88">
        <f t="array" ref="G194">IF(AND(E194&gt;0,F194&gt;0),(F194/E194)+FabRateIncKg,0)</f>
        <v>0</v>
      </c>
      <c r="H194" s="88">
        <f t="shared" si="6"/>
        <v>0</v>
      </c>
      <c r="I194" s="127"/>
      <c r="J194" s="124"/>
      <c r="K194" s="87"/>
      <c r="L194" s="89"/>
      <c r="M194" s="88">
        <f t="shared" si="7"/>
        <v>0</v>
      </c>
      <c r="N194" s="76" t="str">
        <f t="shared" si="8"/>
        <v/>
      </c>
    </row>
    <row r="195" spans="1:14" ht="15" customHeight="1" x14ac:dyDescent="0.25">
      <c r="A195" s="75">
        <v>191</v>
      </c>
      <c r="B195" s="75"/>
      <c r="C195" s="75"/>
      <c r="D195" s="75"/>
      <c r="E195" s="86" t="str">
        <f>_xlfn.XLOOKUP(B195,'Ratio Master'!$A:$A,'Ratio Master'!$G:$G,"")</f>
        <v/>
      </c>
      <c r="F195" s="87">
        <f>_xlfn.XLOOKUP(B195,'Ratio Master'!$A:$A,'Ratio Master'!$F:$F,"")</f>
        <v>0</v>
      </c>
      <c r="G195" s="88">
        <f t="array" ref="G195">IF(AND(E195&gt;0,F195&gt;0),(F195/E195)+FabRateIncKg,0)</f>
        <v>0</v>
      </c>
      <c r="H195" s="88">
        <f t="shared" si="6"/>
        <v>0</v>
      </c>
      <c r="I195" s="127"/>
      <c r="J195" s="124"/>
      <c r="K195" s="87"/>
      <c r="L195" s="89"/>
      <c r="M195" s="88">
        <f t="shared" si="7"/>
        <v>0</v>
      </c>
      <c r="N195" s="76" t="str">
        <f t="shared" si="8"/>
        <v/>
      </c>
    </row>
    <row r="196" spans="1:14" ht="15" customHeight="1" x14ac:dyDescent="0.25">
      <c r="A196" s="75">
        <v>192</v>
      </c>
      <c r="B196" s="75"/>
      <c r="C196" s="75"/>
      <c r="D196" s="75"/>
      <c r="E196" s="86" t="str">
        <f>_xlfn.XLOOKUP(B196,'Ratio Master'!$A:$A,'Ratio Master'!$G:$G,"")</f>
        <v/>
      </c>
      <c r="F196" s="87">
        <f>_xlfn.XLOOKUP(B196,'Ratio Master'!$A:$A,'Ratio Master'!$F:$F,"")</f>
        <v>0</v>
      </c>
      <c r="G196" s="88">
        <f t="array" ref="G196">IF(AND(E196&gt;0,F196&gt;0),(F196/E196)+FabRateIncKg,0)</f>
        <v>0</v>
      </c>
      <c r="H196" s="88">
        <f t="shared" si="6"/>
        <v>0</v>
      </c>
      <c r="I196" s="127"/>
      <c r="J196" s="124"/>
      <c r="K196" s="87"/>
      <c r="L196" s="89"/>
      <c r="M196" s="88">
        <f t="shared" si="7"/>
        <v>0</v>
      </c>
      <c r="N196" s="76" t="str">
        <f t="shared" si="8"/>
        <v/>
      </c>
    </row>
    <row r="197" spans="1:14" ht="15" customHeight="1" x14ac:dyDescent="0.25">
      <c r="A197" s="75">
        <v>193</v>
      </c>
      <c r="B197" s="75"/>
      <c r="C197" s="75"/>
      <c r="D197" s="75"/>
      <c r="E197" s="86" t="str">
        <f>_xlfn.XLOOKUP(B197,'Ratio Master'!$A:$A,'Ratio Master'!$G:$G,"")</f>
        <v/>
      </c>
      <c r="F197" s="87">
        <f>_xlfn.XLOOKUP(B197,'Ratio Master'!$A:$A,'Ratio Master'!$F:$F,"")</f>
        <v>0</v>
      </c>
      <c r="G197" s="88">
        <f t="array" ref="G197">IF(AND(E197&gt;0,F197&gt;0),(F197/E197)+FabRateIncKg,0)</f>
        <v>0</v>
      </c>
      <c r="H197" s="88">
        <f t="shared" ref="H197:H259" si="9">IF(OR(E197="",E197=0),0,Stage1_RM+Stage2_Yarn+G197+FabricAddon)</f>
        <v>0</v>
      </c>
      <c r="I197" s="127"/>
      <c r="J197" s="124"/>
      <c r="K197" s="87"/>
      <c r="L197" s="89"/>
      <c r="M197" s="88">
        <f t="shared" ref="M197:M259" si="10">IFERROR(L197/K197,0)</f>
        <v>0</v>
      </c>
      <c r="N197" s="76" t="str">
        <f t="shared" ref="N197:N259" si="11">IFERROR(J197/I197,"")</f>
        <v/>
      </c>
    </row>
    <row r="198" spans="1:14" ht="15" customHeight="1" x14ac:dyDescent="0.25">
      <c r="A198" s="75">
        <v>194</v>
      </c>
      <c r="B198" s="75"/>
      <c r="C198" s="75"/>
      <c r="D198" s="75"/>
      <c r="E198" s="86" t="str">
        <f>_xlfn.XLOOKUP(B198,'Ratio Master'!$A:$A,'Ratio Master'!$G:$G,"")</f>
        <v/>
      </c>
      <c r="F198" s="87">
        <f>_xlfn.XLOOKUP(B198,'Ratio Master'!$A:$A,'Ratio Master'!$F:$F,"")</f>
        <v>0</v>
      </c>
      <c r="G198" s="88">
        <f t="array" ref="G198">IF(AND(E198&gt;0,F198&gt;0),(F198/E198)+FabRateIncKg,0)</f>
        <v>0</v>
      </c>
      <c r="H198" s="88">
        <f t="shared" si="9"/>
        <v>0</v>
      </c>
      <c r="I198" s="127"/>
      <c r="J198" s="124"/>
      <c r="K198" s="87"/>
      <c r="L198" s="89"/>
      <c r="M198" s="88">
        <f t="shared" si="10"/>
        <v>0</v>
      </c>
      <c r="N198" s="76" t="str">
        <f t="shared" si="11"/>
        <v/>
      </c>
    </row>
    <row r="199" spans="1:14" ht="15" customHeight="1" x14ac:dyDescent="0.25">
      <c r="A199" s="75">
        <v>195</v>
      </c>
      <c r="B199" s="75"/>
      <c r="C199" s="75"/>
      <c r="D199" s="75"/>
      <c r="E199" s="86" t="str">
        <f>_xlfn.XLOOKUP(B199,'Ratio Master'!$A:$A,'Ratio Master'!$G:$G,"")</f>
        <v/>
      </c>
      <c r="F199" s="87">
        <f>_xlfn.XLOOKUP(B199,'Ratio Master'!$A:$A,'Ratio Master'!$F:$F,"")</f>
        <v>0</v>
      </c>
      <c r="G199" s="88">
        <f t="array" ref="G199">IF(AND(E199&gt;0,F199&gt;0),(F199/E199)+FabRateIncKg,0)</f>
        <v>0</v>
      </c>
      <c r="H199" s="88">
        <f t="shared" si="9"/>
        <v>0</v>
      </c>
      <c r="I199" s="127"/>
      <c r="J199" s="124"/>
      <c r="K199" s="87"/>
      <c r="L199" s="89"/>
      <c r="M199" s="88">
        <f t="shared" si="10"/>
        <v>0</v>
      </c>
      <c r="N199" s="76" t="str">
        <f t="shared" si="11"/>
        <v/>
      </c>
    </row>
    <row r="200" spans="1:14" ht="15" customHeight="1" x14ac:dyDescent="0.25">
      <c r="A200" s="75">
        <v>196</v>
      </c>
      <c r="B200" s="75"/>
      <c r="C200" s="75"/>
      <c r="D200" s="75"/>
      <c r="E200" s="86" t="str">
        <f>_xlfn.XLOOKUP(B200,'Ratio Master'!$A:$A,'Ratio Master'!$G:$G,"")</f>
        <v/>
      </c>
      <c r="F200" s="87">
        <f>_xlfn.XLOOKUP(B200,'Ratio Master'!$A:$A,'Ratio Master'!$F:$F,"")</f>
        <v>0</v>
      </c>
      <c r="G200" s="88">
        <f t="array" ref="G200">IF(AND(E200&gt;0,F200&gt;0),(F200/E200)+FabRateIncKg,0)</f>
        <v>0</v>
      </c>
      <c r="H200" s="88">
        <f t="shared" si="9"/>
        <v>0</v>
      </c>
      <c r="I200" s="127"/>
      <c r="J200" s="124"/>
      <c r="K200" s="87"/>
      <c r="L200" s="89"/>
      <c r="M200" s="88">
        <f t="shared" si="10"/>
        <v>0</v>
      </c>
      <c r="N200" s="76" t="str">
        <f t="shared" si="11"/>
        <v/>
      </c>
    </row>
    <row r="201" spans="1:14" ht="15" customHeight="1" x14ac:dyDescent="0.25">
      <c r="A201" s="75">
        <v>197</v>
      </c>
      <c r="B201" s="75"/>
      <c r="C201" s="75"/>
      <c r="D201" s="75"/>
      <c r="E201" s="86" t="str">
        <f>_xlfn.XLOOKUP(B201,'Ratio Master'!$A:$A,'Ratio Master'!$G:$G,"")</f>
        <v/>
      </c>
      <c r="F201" s="87">
        <f>_xlfn.XLOOKUP(B201,'Ratio Master'!$A:$A,'Ratio Master'!$F:$F,"")</f>
        <v>0</v>
      </c>
      <c r="G201" s="88">
        <f t="array" ref="G201">IF(AND(E201&gt;0,F201&gt;0),(F201/E201)+FabRateIncKg,0)</f>
        <v>0</v>
      </c>
      <c r="H201" s="88">
        <f t="shared" si="9"/>
        <v>0</v>
      </c>
      <c r="I201" s="127"/>
      <c r="J201" s="124"/>
      <c r="K201" s="87"/>
      <c r="L201" s="89"/>
      <c r="M201" s="88">
        <f t="shared" si="10"/>
        <v>0</v>
      </c>
      <c r="N201" s="76" t="str">
        <f t="shared" si="11"/>
        <v/>
      </c>
    </row>
    <row r="202" spans="1:14" ht="15" customHeight="1" x14ac:dyDescent="0.25">
      <c r="A202" s="75">
        <v>198</v>
      </c>
      <c r="B202" s="75"/>
      <c r="C202" s="75"/>
      <c r="D202" s="75"/>
      <c r="E202" s="86" t="str">
        <f>_xlfn.XLOOKUP(B202,'Ratio Master'!$A:$A,'Ratio Master'!$G:$G,"")</f>
        <v/>
      </c>
      <c r="F202" s="87">
        <f>_xlfn.XLOOKUP(B202,'Ratio Master'!$A:$A,'Ratio Master'!$F:$F,"")</f>
        <v>0</v>
      </c>
      <c r="G202" s="88">
        <f t="array" ref="G202">IF(AND(E202&gt;0,F202&gt;0),(F202/E202)+FabRateIncKg,0)</f>
        <v>0</v>
      </c>
      <c r="H202" s="88">
        <f t="shared" si="9"/>
        <v>0</v>
      </c>
      <c r="I202" s="127"/>
      <c r="J202" s="124"/>
      <c r="K202" s="87"/>
      <c r="L202" s="89"/>
      <c r="M202" s="88">
        <f t="shared" si="10"/>
        <v>0</v>
      </c>
      <c r="N202" s="76" t="str">
        <f t="shared" si="11"/>
        <v/>
      </c>
    </row>
    <row r="203" spans="1:14" ht="15" customHeight="1" x14ac:dyDescent="0.25">
      <c r="A203" s="75">
        <v>199</v>
      </c>
      <c r="B203" s="75"/>
      <c r="C203" s="75"/>
      <c r="D203" s="75"/>
      <c r="E203" s="86" t="str">
        <f>_xlfn.XLOOKUP(B203,'Ratio Master'!$A:$A,'Ratio Master'!$G:$G,"")</f>
        <v/>
      </c>
      <c r="F203" s="87">
        <f>_xlfn.XLOOKUP(B203,'Ratio Master'!$A:$A,'Ratio Master'!$F:$F,"")</f>
        <v>0</v>
      </c>
      <c r="G203" s="88">
        <f t="array" ref="G203">IF(AND(E203&gt;0,F203&gt;0),(F203/E203)+FabRateIncKg,0)</f>
        <v>0</v>
      </c>
      <c r="H203" s="88">
        <f t="shared" si="9"/>
        <v>0</v>
      </c>
      <c r="I203" s="127"/>
      <c r="J203" s="124"/>
      <c r="K203" s="87"/>
      <c r="L203" s="89"/>
      <c r="M203" s="88">
        <f t="shared" si="10"/>
        <v>0</v>
      </c>
      <c r="N203" s="76" t="str">
        <f t="shared" si="11"/>
        <v/>
      </c>
    </row>
    <row r="204" spans="1:14" ht="15" customHeight="1" x14ac:dyDescent="0.25">
      <c r="A204" s="75">
        <v>200</v>
      </c>
      <c r="B204" s="75"/>
      <c r="C204" s="75"/>
      <c r="D204" s="75"/>
      <c r="E204" s="86" t="str">
        <f>_xlfn.XLOOKUP(B204,'Ratio Master'!$A:$A,'Ratio Master'!$G:$G,"")</f>
        <v/>
      </c>
      <c r="F204" s="87">
        <f>_xlfn.XLOOKUP(B204,'Ratio Master'!$A:$A,'Ratio Master'!$F:$F,"")</f>
        <v>0</v>
      </c>
      <c r="G204" s="88">
        <f t="array" ref="G204">IF(AND(E204&gt;0,F204&gt;0),(F204/E204)+FabRateIncKg,0)</f>
        <v>0</v>
      </c>
      <c r="H204" s="88">
        <f t="shared" si="9"/>
        <v>0</v>
      </c>
      <c r="I204" s="127"/>
      <c r="J204" s="124"/>
      <c r="K204" s="87"/>
      <c r="L204" s="89"/>
      <c r="M204" s="88">
        <f t="shared" si="10"/>
        <v>0</v>
      </c>
      <c r="N204" s="76" t="str">
        <f t="shared" si="11"/>
        <v/>
      </c>
    </row>
    <row r="205" spans="1:14" ht="15" customHeight="1" x14ac:dyDescent="0.25">
      <c r="A205" s="75">
        <v>201</v>
      </c>
      <c r="B205" s="75"/>
      <c r="C205" s="75"/>
      <c r="D205" s="75"/>
      <c r="E205" s="86" t="str">
        <f>_xlfn.XLOOKUP(B205,'Ratio Master'!$A:$A,'Ratio Master'!$G:$G,"")</f>
        <v/>
      </c>
      <c r="F205" s="87">
        <f>_xlfn.XLOOKUP(B205,'Ratio Master'!$A:$A,'Ratio Master'!$F:$F,"")</f>
        <v>0</v>
      </c>
      <c r="G205" s="88">
        <f t="array" ref="G205">IF(AND(E205&gt;0,F205&gt;0),(F205/E205)+FabRateIncKg,0)</f>
        <v>0</v>
      </c>
      <c r="H205" s="88">
        <f t="shared" si="9"/>
        <v>0</v>
      </c>
      <c r="I205" s="127"/>
      <c r="J205" s="124"/>
      <c r="K205" s="87"/>
      <c r="L205" s="89"/>
      <c r="M205" s="88">
        <f t="shared" si="10"/>
        <v>0</v>
      </c>
      <c r="N205" s="76" t="str">
        <f t="shared" si="11"/>
        <v/>
      </c>
    </row>
    <row r="206" spans="1:14" ht="15" customHeight="1" x14ac:dyDescent="0.25">
      <c r="A206" s="75">
        <v>202</v>
      </c>
      <c r="B206" s="75"/>
      <c r="C206" s="75"/>
      <c r="D206" s="75"/>
      <c r="E206" s="86" t="str">
        <f>_xlfn.XLOOKUP(B206,'Ratio Master'!$A:$A,'Ratio Master'!$G:$G,"")</f>
        <v/>
      </c>
      <c r="F206" s="87">
        <f>_xlfn.XLOOKUP(B206,'Ratio Master'!$A:$A,'Ratio Master'!$F:$F,"")</f>
        <v>0</v>
      </c>
      <c r="G206" s="88">
        <f t="array" ref="G206">IF(AND(E206&gt;0,F206&gt;0),(F206/E206)+FabRateIncKg,0)</f>
        <v>0</v>
      </c>
      <c r="H206" s="88">
        <f t="shared" si="9"/>
        <v>0</v>
      </c>
      <c r="I206" s="127"/>
      <c r="J206" s="124"/>
      <c r="K206" s="87"/>
      <c r="L206" s="89"/>
      <c r="M206" s="88">
        <f t="shared" si="10"/>
        <v>0</v>
      </c>
      <c r="N206" s="76" t="str">
        <f t="shared" si="11"/>
        <v/>
      </c>
    </row>
    <row r="207" spans="1:14" ht="15" customHeight="1" x14ac:dyDescent="0.25">
      <c r="A207" s="75">
        <v>203</v>
      </c>
      <c r="B207" s="75"/>
      <c r="C207" s="75"/>
      <c r="D207" s="75"/>
      <c r="E207" s="86" t="str">
        <f>_xlfn.XLOOKUP(B207,'Ratio Master'!$A:$A,'Ratio Master'!$G:$G,"")</f>
        <v/>
      </c>
      <c r="F207" s="87">
        <f>_xlfn.XLOOKUP(B207,'Ratio Master'!$A:$A,'Ratio Master'!$F:$F,"")</f>
        <v>0</v>
      </c>
      <c r="G207" s="88">
        <f t="array" ref="G207">IF(AND(E207&gt;0,F207&gt;0),(F207/E207)+FabRateIncKg,0)</f>
        <v>0</v>
      </c>
      <c r="H207" s="88">
        <f t="shared" si="9"/>
        <v>0</v>
      </c>
      <c r="I207" s="127"/>
      <c r="J207" s="124"/>
      <c r="K207" s="87"/>
      <c r="L207" s="89"/>
      <c r="M207" s="88">
        <f t="shared" si="10"/>
        <v>0</v>
      </c>
      <c r="N207" s="76" t="str">
        <f t="shared" si="11"/>
        <v/>
      </c>
    </row>
    <row r="208" spans="1:14" ht="15" customHeight="1" x14ac:dyDescent="0.25">
      <c r="A208" s="75">
        <v>204</v>
      </c>
      <c r="B208" s="75"/>
      <c r="C208" s="75"/>
      <c r="D208" s="75"/>
      <c r="E208" s="86" t="str">
        <f>_xlfn.XLOOKUP(B208,'Ratio Master'!$A:$A,'Ratio Master'!$G:$G,"")</f>
        <v/>
      </c>
      <c r="F208" s="87">
        <f>_xlfn.XLOOKUP(B208,'Ratio Master'!$A:$A,'Ratio Master'!$F:$F,"")</f>
        <v>0</v>
      </c>
      <c r="G208" s="88">
        <f t="array" ref="G208">IF(AND(E208&gt;0,F208&gt;0),(F208/E208)+FabRateIncKg,0)</f>
        <v>0</v>
      </c>
      <c r="H208" s="88">
        <f t="shared" si="9"/>
        <v>0</v>
      </c>
      <c r="I208" s="127"/>
      <c r="J208" s="124"/>
      <c r="K208" s="87"/>
      <c r="L208" s="89"/>
      <c r="M208" s="88">
        <f t="shared" si="10"/>
        <v>0</v>
      </c>
      <c r="N208" s="76" t="str">
        <f t="shared" si="11"/>
        <v/>
      </c>
    </row>
    <row r="209" spans="1:14" ht="15" customHeight="1" x14ac:dyDescent="0.25">
      <c r="A209" s="75">
        <v>205</v>
      </c>
      <c r="B209" s="75"/>
      <c r="C209" s="75"/>
      <c r="D209" s="75"/>
      <c r="E209" s="86" t="str">
        <f>_xlfn.XLOOKUP(B209,'Ratio Master'!$A:$A,'Ratio Master'!$G:$G,"")</f>
        <v/>
      </c>
      <c r="F209" s="87">
        <f>_xlfn.XLOOKUP(B209,'Ratio Master'!$A:$A,'Ratio Master'!$F:$F,"")</f>
        <v>0</v>
      </c>
      <c r="G209" s="88">
        <f t="array" ref="G209">IF(AND(E209&gt;0,F209&gt;0),(F209/E209)+FabRateIncKg,0)</f>
        <v>0</v>
      </c>
      <c r="H209" s="88">
        <f t="shared" si="9"/>
        <v>0</v>
      </c>
      <c r="I209" s="127"/>
      <c r="J209" s="124"/>
      <c r="K209" s="87"/>
      <c r="L209" s="89"/>
      <c r="M209" s="88">
        <f t="shared" si="10"/>
        <v>0</v>
      </c>
      <c r="N209" s="76" t="str">
        <f t="shared" si="11"/>
        <v/>
      </c>
    </row>
    <row r="210" spans="1:14" ht="15" customHeight="1" x14ac:dyDescent="0.25">
      <c r="A210" s="75">
        <v>206</v>
      </c>
      <c r="B210" s="90"/>
      <c r="C210" s="91"/>
      <c r="D210" s="91"/>
      <c r="E210" s="86" t="str">
        <f>_xlfn.XLOOKUP(B210,'Ratio Master'!$A:$A,'Ratio Master'!$G:$G,"")</f>
        <v/>
      </c>
      <c r="F210" s="87">
        <f>_xlfn.XLOOKUP(B210,'Ratio Master'!$A:$A,'Ratio Master'!$F:$F,"")</f>
        <v>0</v>
      </c>
      <c r="G210" s="88">
        <f t="array" ref="G210">IF(AND(E210&gt;0,F210&gt;0),(F210/E210)+FabRateIncKg,0)</f>
        <v>0</v>
      </c>
      <c r="H210" s="88">
        <f t="shared" si="9"/>
        <v>0</v>
      </c>
      <c r="I210" s="128"/>
      <c r="J210" s="125"/>
      <c r="K210" s="92"/>
      <c r="L210" s="93"/>
      <c r="M210" s="88">
        <f t="shared" si="10"/>
        <v>0</v>
      </c>
      <c r="N210" s="76" t="str">
        <f t="shared" si="11"/>
        <v/>
      </c>
    </row>
    <row r="211" spans="1:14" ht="15" customHeight="1" x14ac:dyDescent="0.25">
      <c r="A211" s="75">
        <v>207</v>
      </c>
      <c r="B211" s="91"/>
      <c r="C211" s="91"/>
      <c r="D211" s="91"/>
      <c r="E211" s="86" t="str">
        <f>_xlfn.XLOOKUP(B211,'Ratio Master'!$A:$A,'Ratio Master'!$G:$G,"")</f>
        <v/>
      </c>
      <c r="F211" s="87">
        <f>_xlfn.XLOOKUP(B211,'Ratio Master'!$A:$A,'Ratio Master'!$F:$F,"")</f>
        <v>0</v>
      </c>
      <c r="G211" s="88">
        <f t="array" ref="G211">IF(AND(E211&gt;0,F211&gt;0),(F211/E211)+FabRateIncKg,0)</f>
        <v>0</v>
      </c>
      <c r="H211" s="88">
        <f t="shared" si="9"/>
        <v>0</v>
      </c>
      <c r="I211" s="128"/>
      <c r="J211" s="125"/>
      <c r="K211" s="92"/>
      <c r="L211" s="93"/>
      <c r="M211" s="88">
        <f t="shared" si="10"/>
        <v>0</v>
      </c>
      <c r="N211" s="76" t="str">
        <f t="shared" si="11"/>
        <v/>
      </c>
    </row>
    <row r="212" spans="1:14" ht="15" customHeight="1" x14ac:dyDescent="0.25">
      <c r="A212" s="75">
        <v>208</v>
      </c>
      <c r="B212" s="91"/>
      <c r="C212" s="91"/>
      <c r="D212" s="91"/>
      <c r="E212" s="86" t="str">
        <f>_xlfn.XLOOKUP(B212,'Ratio Master'!$A:$A,'Ratio Master'!$G:$G,"")</f>
        <v/>
      </c>
      <c r="F212" s="87">
        <f>_xlfn.XLOOKUP(B212,'Ratio Master'!$A:$A,'Ratio Master'!$F:$F,"")</f>
        <v>0</v>
      </c>
      <c r="G212" s="88">
        <f t="array" ref="G212">IF(AND(E212&gt;0,F212&gt;0),(F212/E212)+FabRateIncKg,0)</f>
        <v>0</v>
      </c>
      <c r="H212" s="88">
        <f t="shared" si="9"/>
        <v>0</v>
      </c>
      <c r="I212" s="128"/>
      <c r="J212" s="125"/>
      <c r="K212" s="92"/>
      <c r="L212" s="93"/>
      <c r="M212" s="88">
        <f t="shared" si="10"/>
        <v>0</v>
      </c>
      <c r="N212" s="76" t="str">
        <f t="shared" si="11"/>
        <v/>
      </c>
    </row>
    <row r="213" spans="1:14" ht="15" customHeight="1" x14ac:dyDescent="0.25">
      <c r="A213" s="75">
        <v>209</v>
      </c>
      <c r="B213" s="91"/>
      <c r="C213" s="91"/>
      <c r="D213" s="91"/>
      <c r="E213" s="86" t="str">
        <f>_xlfn.XLOOKUP(B213,'Ratio Master'!$A:$A,'Ratio Master'!$G:$G,"")</f>
        <v/>
      </c>
      <c r="F213" s="87">
        <f>_xlfn.XLOOKUP(B213,'Ratio Master'!$A:$A,'Ratio Master'!$F:$F,"")</f>
        <v>0</v>
      </c>
      <c r="G213" s="88">
        <f t="array" ref="G213">IF(AND(E213&gt;0,F213&gt;0),(F213/E213)+FabRateIncKg,0)</f>
        <v>0</v>
      </c>
      <c r="H213" s="88">
        <f t="shared" si="9"/>
        <v>0</v>
      </c>
      <c r="I213" s="128"/>
      <c r="J213" s="125"/>
      <c r="K213" s="92"/>
      <c r="L213" s="93"/>
      <c r="M213" s="88">
        <f t="shared" si="10"/>
        <v>0</v>
      </c>
      <c r="N213" s="76" t="str">
        <f t="shared" si="11"/>
        <v/>
      </c>
    </row>
    <row r="214" spans="1:14" ht="15" customHeight="1" x14ac:dyDescent="0.25">
      <c r="A214" s="75">
        <v>210</v>
      </c>
      <c r="B214" s="91"/>
      <c r="C214" s="91"/>
      <c r="D214" s="91"/>
      <c r="E214" s="86" t="str">
        <f>_xlfn.XLOOKUP(B214,'Ratio Master'!$A:$A,'Ratio Master'!$G:$G,"")</f>
        <v/>
      </c>
      <c r="F214" s="87">
        <f>_xlfn.XLOOKUP(B214,'Ratio Master'!$A:$A,'Ratio Master'!$F:$F,"")</f>
        <v>0</v>
      </c>
      <c r="G214" s="88">
        <f t="array" ref="G214">IF(AND(E214&gt;0,F214&gt;0),(F214/E214)+FabRateIncKg,0)</f>
        <v>0</v>
      </c>
      <c r="H214" s="88">
        <f t="shared" si="9"/>
        <v>0</v>
      </c>
      <c r="I214" s="128"/>
      <c r="J214" s="125"/>
      <c r="K214" s="92"/>
      <c r="L214" s="93"/>
      <c r="M214" s="88">
        <f t="shared" si="10"/>
        <v>0</v>
      </c>
      <c r="N214" s="76" t="str">
        <f t="shared" si="11"/>
        <v/>
      </c>
    </row>
    <row r="215" spans="1:14" ht="15" customHeight="1" x14ac:dyDescent="0.25">
      <c r="A215" s="75">
        <v>211</v>
      </c>
      <c r="B215" s="91"/>
      <c r="C215" s="91"/>
      <c r="D215" s="91"/>
      <c r="E215" s="86" t="str">
        <f>_xlfn.XLOOKUP(B215,'Ratio Master'!$A:$A,'Ratio Master'!$G:$G,"")</f>
        <v/>
      </c>
      <c r="F215" s="87">
        <f>_xlfn.XLOOKUP(B215,'Ratio Master'!$A:$A,'Ratio Master'!$F:$F,"")</f>
        <v>0</v>
      </c>
      <c r="G215" s="88">
        <f t="array" ref="G215">IF(AND(E215&gt;0,F215&gt;0),(F215/E215)+FabRateIncKg,0)</f>
        <v>0</v>
      </c>
      <c r="H215" s="88">
        <f t="shared" si="9"/>
        <v>0</v>
      </c>
      <c r="I215" s="128"/>
      <c r="J215" s="125"/>
      <c r="K215" s="92"/>
      <c r="L215" s="93"/>
      <c r="M215" s="88">
        <f t="shared" si="10"/>
        <v>0</v>
      </c>
      <c r="N215" s="76" t="str">
        <f t="shared" si="11"/>
        <v/>
      </c>
    </row>
    <row r="216" spans="1:14" ht="15" customHeight="1" x14ac:dyDescent="0.25">
      <c r="A216" s="75">
        <v>212</v>
      </c>
      <c r="B216" s="91"/>
      <c r="C216" s="91"/>
      <c r="D216" s="91"/>
      <c r="E216" s="86" t="str">
        <f>_xlfn.XLOOKUP(B216,'Ratio Master'!$A:$A,'Ratio Master'!$G:$G,"")</f>
        <v/>
      </c>
      <c r="F216" s="87">
        <f>_xlfn.XLOOKUP(B216,'Ratio Master'!$A:$A,'Ratio Master'!$F:$F,"")</f>
        <v>0</v>
      </c>
      <c r="G216" s="88">
        <f t="array" ref="G216">IF(AND(E216&gt;0,F216&gt;0),(F216/E216)+FabRateIncKg,0)</f>
        <v>0</v>
      </c>
      <c r="H216" s="88">
        <f t="shared" si="9"/>
        <v>0</v>
      </c>
      <c r="I216" s="128"/>
      <c r="J216" s="125"/>
      <c r="K216" s="92"/>
      <c r="L216" s="93"/>
      <c r="M216" s="88">
        <f t="shared" si="10"/>
        <v>0</v>
      </c>
      <c r="N216" s="76" t="str">
        <f t="shared" si="11"/>
        <v/>
      </c>
    </row>
    <row r="217" spans="1:14" ht="15" customHeight="1" x14ac:dyDescent="0.25">
      <c r="A217" s="75">
        <v>213</v>
      </c>
      <c r="B217" s="91"/>
      <c r="C217" s="91"/>
      <c r="D217" s="91"/>
      <c r="E217" s="86" t="str">
        <f>_xlfn.XLOOKUP(B217,'Ratio Master'!$A:$A,'Ratio Master'!$G:$G,"")</f>
        <v/>
      </c>
      <c r="F217" s="87">
        <f>_xlfn.XLOOKUP(B217,'Ratio Master'!$A:$A,'Ratio Master'!$F:$F,"")</f>
        <v>0</v>
      </c>
      <c r="G217" s="88">
        <f t="array" ref="G217">IF(AND(E217&gt;0,F217&gt;0),(F217/E217)+FabRateIncKg,0)</f>
        <v>0</v>
      </c>
      <c r="H217" s="88">
        <f t="shared" si="9"/>
        <v>0</v>
      </c>
      <c r="I217" s="128"/>
      <c r="J217" s="125"/>
      <c r="K217" s="92"/>
      <c r="L217" s="93"/>
      <c r="M217" s="88">
        <f t="shared" si="10"/>
        <v>0</v>
      </c>
      <c r="N217" s="76" t="str">
        <f t="shared" si="11"/>
        <v/>
      </c>
    </row>
    <row r="218" spans="1:14" ht="15" customHeight="1" x14ac:dyDescent="0.25">
      <c r="A218" s="75">
        <v>214</v>
      </c>
      <c r="B218" s="91"/>
      <c r="C218" s="91"/>
      <c r="D218" s="91"/>
      <c r="E218" s="86" t="str">
        <f>_xlfn.XLOOKUP(B218,'Ratio Master'!$A:$A,'Ratio Master'!$G:$G,"")</f>
        <v/>
      </c>
      <c r="F218" s="87">
        <f>_xlfn.XLOOKUP(B218,'Ratio Master'!$A:$A,'Ratio Master'!$F:$F,"")</f>
        <v>0</v>
      </c>
      <c r="G218" s="88">
        <f t="array" ref="G218">IF(AND(E218&gt;0,F218&gt;0),(F218/E218)+FabRateIncKg,0)</f>
        <v>0</v>
      </c>
      <c r="H218" s="88">
        <f t="shared" si="9"/>
        <v>0</v>
      </c>
      <c r="I218" s="128"/>
      <c r="J218" s="125"/>
      <c r="K218" s="92"/>
      <c r="L218" s="93"/>
      <c r="M218" s="88">
        <f t="shared" si="10"/>
        <v>0</v>
      </c>
      <c r="N218" s="76" t="str">
        <f t="shared" si="11"/>
        <v/>
      </c>
    </row>
    <row r="219" spans="1:14" ht="15" customHeight="1" x14ac:dyDescent="0.25">
      <c r="A219" s="75">
        <v>215</v>
      </c>
      <c r="B219" s="91"/>
      <c r="C219" s="91"/>
      <c r="D219" s="91"/>
      <c r="E219" s="86" t="str">
        <f>_xlfn.XLOOKUP(B219,'Ratio Master'!$A:$A,'Ratio Master'!$G:$G,"")</f>
        <v/>
      </c>
      <c r="F219" s="87">
        <f>_xlfn.XLOOKUP(B219,'Ratio Master'!$A:$A,'Ratio Master'!$F:$F,"")</f>
        <v>0</v>
      </c>
      <c r="G219" s="88">
        <f t="array" ref="G219">IF(AND(E219&gt;0,F219&gt;0),(F219/E219)+FabRateIncKg,0)</f>
        <v>0</v>
      </c>
      <c r="H219" s="88">
        <f t="shared" si="9"/>
        <v>0</v>
      </c>
      <c r="I219" s="128"/>
      <c r="J219" s="125"/>
      <c r="K219" s="92"/>
      <c r="L219" s="93"/>
      <c r="M219" s="88">
        <f t="shared" si="10"/>
        <v>0</v>
      </c>
      <c r="N219" s="76" t="str">
        <f t="shared" si="11"/>
        <v/>
      </c>
    </row>
    <row r="220" spans="1:14" ht="15" customHeight="1" x14ac:dyDescent="0.25">
      <c r="A220" s="75">
        <v>216</v>
      </c>
      <c r="B220" s="91"/>
      <c r="C220" s="91"/>
      <c r="D220" s="91"/>
      <c r="E220" s="86" t="str">
        <f>_xlfn.XLOOKUP(B220,'Ratio Master'!$A:$A,'Ratio Master'!$G:$G,"")</f>
        <v/>
      </c>
      <c r="F220" s="87">
        <f>_xlfn.XLOOKUP(B220,'Ratio Master'!$A:$A,'Ratio Master'!$F:$F,"")</f>
        <v>0</v>
      </c>
      <c r="G220" s="88">
        <f t="array" ref="G220">IF(AND(E220&gt;0,F220&gt;0),(F220/E220)+FabRateIncKg,0)</f>
        <v>0</v>
      </c>
      <c r="H220" s="88">
        <f t="shared" si="9"/>
        <v>0</v>
      </c>
      <c r="I220" s="128"/>
      <c r="J220" s="125"/>
      <c r="K220" s="92"/>
      <c r="L220" s="93"/>
      <c r="M220" s="88">
        <f t="shared" si="10"/>
        <v>0</v>
      </c>
      <c r="N220" s="76" t="str">
        <f t="shared" si="11"/>
        <v/>
      </c>
    </row>
    <row r="221" spans="1:14" ht="15" customHeight="1" x14ac:dyDescent="0.25">
      <c r="A221" s="75">
        <v>217</v>
      </c>
      <c r="B221" s="91"/>
      <c r="C221" s="91"/>
      <c r="D221" s="91"/>
      <c r="E221" s="86" t="str">
        <f>_xlfn.XLOOKUP(B221,'Ratio Master'!$A:$A,'Ratio Master'!$G:$G,"")</f>
        <v/>
      </c>
      <c r="F221" s="87">
        <f>_xlfn.XLOOKUP(B221,'Ratio Master'!$A:$A,'Ratio Master'!$F:$F,"")</f>
        <v>0</v>
      </c>
      <c r="G221" s="88">
        <f t="array" ref="G221">IF(AND(E221&gt;0,F221&gt;0),(F221/E221)+FabRateIncKg,0)</f>
        <v>0</v>
      </c>
      <c r="H221" s="88">
        <f t="shared" si="9"/>
        <v>0</v>
      </c>
      <c r="I221" s="128"/>
      <c r="J221" s="125"/>
      <c r="K221" s="92"/>
      <c r="L221" s="93"/>
      <c r="M221" s="88">
        <f t="shared" si="10"/>
        <v>0</v>
      </c>
      <c r="N221" s="76" t="str">
        <f t="shared" si="11"/>
        <v/>
      </c>
    </row>
    <row r="222" spans="1:14" ht="15" customHeight="1" x14ac:dyDescent="0.25">
      <c r="A222" s="75">
        <v>218</v>
      </c>
      <c r="B222" s="91"/>
      <c r="C222" s="91"/>
      <c r="D222" s="91"/>
      <c r="E222" s="86" t="str">
        <f>_xlfn.XLOOKUP(B222,'Ratio Master'!$A:$A,'Ratio Master'!$G:$G,"")</f>
        <v/>
      </c>
      <c r="F222" s="87">
        <f>_xlfn.XLOOKUP(B222,'Ratio Master'!$A:$A,'Ratio Master'!$F:$F,"")</f>
        <v>0</v>
      </c>
      <c r="G222" s="88">
        <f t="array" ref="G222">IF(AND(E222&gt;0,F222&gt;0),(F222/E222)+FabRateIncKg,0)</f>
        <v>0</v>
      </c>
      <c r="H222" s="88">
        <f t="shared" si="9"/>
        <v>0</v>
      </c>
      <c r="I222" s="128"/>
      <c r="J222" s="125"/>
      <c r="K222" s="92"/>
      <c r="L222" s="93"/>
      <c r="M222" s="88">
        <f t="shared" si="10"/>
        <v>0</v>
      </c>
      <c r="N222" s="76" t="str">
        <f t="shared" si="11"/>
        <v/>
      </c>
    </row>
    <row r="223" spans="1:14" ht="15" customHeight="1" x14ac:dyDescent="0.25">
      <c r="A223" s="75">
        <v>219</v>
      </c>
      <c r="B223" s="91"/>
      <c r="C223" s="91"/>
      <c r="D223" s="91"/>
      <c r="E223" s="86" t="str">
        <f>_xlfn.XLOOKUP(B223,'Ratio Master'!$A:$A,'Ratio Master'!$G:$G,"")</f>
        <v/>
      </c>
      <c r="F223" s="87">
        <f>_xlfn.XLOOKUP(B223,'Ratio Master'!$A:$A,'Ratio Master'!$F:$F,"")</f>
        <v>0</v>
      </c>
      <c r="G223" s="88">
        <f t="array" ref="G223">IF(AND(E223&gt;0,F223&gt;0),(F223/E223)+FabRateIncKg,0)</f>
        <v>0</v>
      </c>
      <c r="H223" s="88">
        <f t="shared" si="9"/>
        <v>0</v>
      </c>
      <c r="I223" s="128"/>
      <c r="J223" s="125"/>
      <c r="K223" s="92"/>
      <c r="L223" s="93"/>
      <c r="M223" s="88">
        <f t="shared" si="10"/>
        <v>0</v>
      </c>
      <c r="N223" s="76" t="str">
        <f t="shared" si="11"/>
        <v/>
      </c>
    </row>
    <row r="224" spans="1:14" ht="15" customHeight="1" x14ac:dyDescent="0.25">
      <c r="A224" s="75">
        <v>220</v>
      </c>
      <c r="B224" s="91"/>
      <c r="C224" s="91"/>
      <c r="D224" s="91"/>
      <c r="E224" s="86" t="str">
        <f>_xlfn.XLOOKUP(B224,'Ratio Master'!$A:$A,'Ratio Master'!$G:$G,"")</f>
        <v/>
      </c>
      <c r="F224" s="87">
        <f>_xlfn.XLOOKUP(B224,'Ratio Master'!$A:$A,'Ratio Master'!$F:$F,"")</f>
        <v>0</v>
      </c>
      <c r="G224" s="88">
        <f t="array" ref="G224">IF(AND(E224&gt;0,F224&gt;0),(F224/E224)+FabRateIncKg,0)</f>
        <v>0</v>
      </c>
      <c r="H224" s="88">
        <f t="shared" si="9"/>
        <v>0</v>
      </c>
      <c r="I224" s="128"/>
      <c r="J224" s="125"/>
      <c r="K224" s="92"/>
      <c r="L224" s="93"/>
      <c r="M224" s="88">
        <f t="shared" si="10"/>
        <v>0</v>
      </c>
      <c r="N224" s="76" t="str">
        <f t="shared" si="11"/>
        <v/>
      </c>
    </row>
    <row r="225" spans="1:14" ht="15" customHeight="1" x14ac:dyDescent="0.25">
      <c r="A225" s="75">
        <v>221</v>
      </c>
      <c r="B225" s="91"/>
      <c r="C225" s="91"/>
      <c r="D225" s="91"/>
      <c r="E225" s="86" t="str">
        <f>_xlfn.XLOOKUP(B225,'Ratio Master'!$A:$A,'Ratio Master'!$G:$G,"")</f>
        <v/>
      </c>
      <c r="F225" s="87">
        <f>_xlfn.XLOOKUP(B225,'Ratio Master'!$A:$A,'Ratio Master'!$F:$F,"")</f>
        <v>0</v>
      </c>
      <c r="G225" s="88">
        <f t="array" ref="G225">IF(AND(E225&gt;0,F225&gt;0),(F225/E225)+FabRateIncKg,0)</f>
        <v>0</v>
      </c>
      <c r="H225" s="88">
        <f t="shared" si="9"/>
        <v>0</v>
      </c>
      <c r="I225" s="128"/>
      <c r="J225" s="125"/>
      <c r="K225" s="92"/>
      <c r="L225" s="93"/>
      <c r="M225" s="88">
        <f t="shared" si="10"/>
        <v>0</v>
      </c>
      <c r="N225" s="76" t="str">
        <f t="shared" si="11"/>
        <v/>
      </c>
    </row>
    <row r="226" spans="1:14" ht="15" customHeight="1" x14ac:dyDescent="0.25">
      <c r="A226" s="75">
        <v>222</v>
      </c>
      <c r="B226" s="91"/>
      <c r="C226" s="91"/>
      <c r="D226" s="91"/>
      <c r="E226" s="86" t="str">
        <f>_xlfn.XLOOKUP(B226,'Ratio Master'!$A:$A,'Ratio Master'!$G:$G,"")</f>
        <v/>
      </c>
      <c r="F226" s="87">
        <f>_xlfn.XLOOKUP(B226,'Ratio Master'!$A:$A,'Ratio Master'!$F:$F,"")</f>
        <v>0</v>
      </c>
      <c r="G226" s="88">
        <f t="array" ref="G226">IF(AND(E226&gt;0,F226&gt;0),(F226/E226)+FabRateIncKg,0)</f>
        <v>0</v>
      </c>
      <c r="H226" s="88">
        <f t="shared" si="9"/>
        <v>0</v>
      </c>
      <c r="I226" s="128"/>
      <c r="J226" s="125"/>
      <c r="K226" s="92"/>
      <c r="L226" s="93"/>
      <c r="M226" s="88">
        <f t="shared" si="10"/>
        <v>0</v>
      </c>
      <c r="N226" s="76" t="str">
        <f t="shared" si="11"/>
        <v/>
      </c>
    </row>
    <row r="227" spans="1:14" ht="15" customHeight="1" x14ac:dyDescent="0.25">
      <c r="A227" s="75">
        <v>223</v>
      </c>
      <c r="B227" s="91"/>
      <c r="C227" s="91"/>
      <c r="D227" s="91"/>
      <c r="E227" s="86" t="str">
        <f>_xlfn.XLOOKUP(B227,'Ratio Master'!$A:$A,'Ratio Master'!$G:$G,"")</f>
        <v/>
      </c>
      <c r="F227" s="87">
        <f>_xlfn.XLOOKUP(B227,'Ratio Master'!$A:$A,'Ratio Master'!$F:$F,"")</f>
        <v>0</v>
      </c>
      <c r="G227" s="88">
        <f t="array" ref="G227">IF(AND(E227&gt;0,F227&gt;0),(F227/E227)+FabRateIncKg,0)</f>
        <v>0</v>
      </c>
      <c r="H227" s="88">
        <f t="shared" si="9"/>
        <v>0</v>
      </c>
      <c r="I227" s="128"/>
      <c r="J227" s="125"/>
      <c r="K227" s="92"/>
      <c r="L227" s="93"/>
      <c r="M227" s="88">
        <f t="shared" si="10"/>
        <v>0</v>
      </c>
      <c r="N227" s="76" t="str">
        <f t="shared" si="11"/>
        <v/>
      </c>
    </row>
    <row r="228" spans="1:14" ht="15" customHeight="1" x14ac:dyDescent="0.25">
      <c r="A228" s="75">
        <v>224</v>
      </c>
      <c r="B228" s="91"/>
      <c r="C228" s="91"/>
      <c r="D228" s="91"/>
      <c r="E228" s="86" t="str">
        <f>_xlfn.XLOOKUP(B228,'Ratio Master'!$A:$A,'Ratio Master'!$G:$G,"")</f>
        <v/>
      </c>
      <c r="F228" s="87">
        <f>_xlfn.XLOOKUP(B228,'Ratio Master'!$A:$A,'Ratio Master'!$F:$F,"")</f>
        <v>0</v>
      </c>
      <c r="G228" s="88">
        <f t="array" ref="G228">IF(AND(E228&gt;0,F228&gt;0),(F228/E228)+FabRateIncKg,0)</f>
        <v>0</v>
      </c>
      <c r="H228" s="88">
        <f t="shared" si="9"/>
        <v>0</v>
      </c>
      <c r="I228" s="128"/>
      <c r="J228" s="125"/>
      <c r="K228" s="92"/>
      <c r="L228" s="93"/>
      <c r="M228" s="88">
        <f t="shared" si="10"/>
        <v>0</v>
      </c>
      <c r="N228" s="76" t="str">
        <f t="shared" si="11"/>
        <v/>
      </c>
    </row>
    <row r="229" spans="1:14" ht="15" customHeight="1" x14ac:dyDescent="0.25">
      <c r="A229" s="75">
        <v>225</v>
      </c>
      <c r="B229" s="91"/>
      <c r="C229" s="91"/>
      <c r="D229" s="91"/>
      <c r="E229" s="86" t="str">
        <f>_xlfn.XLOOKUP(B229,'Ratio Master'!$A:$A,'Ratio Master'!$G:$G,"")</f>
        <v/>
      </c>
      <c r="F229" s="87">
        <f>_xlfn.XLOOKUP(B229,'Ratio Master'!$A:$A,'Ratio Master'!$F:$F,"")</f>
        <v>0</v>
      </c>
      <c r="G229" s="88">
        <f t="array" ref="G229">IF(AND(E229&gt;0,F229&gt;0),(F229/E229)+FabRateIncKg,0)</f>
        <v>0</v>
      </c>
      <c r="H229" s="88">
        <f t="shared" si="9"/>
        <v>0</v>
      </c>
      <c r="I229" s="128"/>
      <c r="J229" s="125"/>
      <c r="K229" s="92"/>
      <c r="L229" s="93"/>
      <c r="M229" s="88">
        <f t="shared" si="10"/>
        <v>0</v>
      </c>
      <c r="N229" s="76" t="str">
        <f t="shared" si="11"/>
        <v/>
      </c>
    </row>
    <row r="230" spans="1:14" ht="15" customHeight="1" x14ac:dyDescent="0.25">
      <c r="A230" s="75">
        <v>226</v>
      </c>
      <c r="B230" s="91"/>
      <c r="C230" s="91"/>
      <c r="D230" s="91"/>
      <c r="E230" s="86" t="str">
        <f>_xlfn.XLOOKUP(B230,'Ratio Master'!$A:$A,'Ratio Master'!$G:$G,"")</f>
        <v/>
      </c>
      <c r="F230" s="87">
        <f>_xlfn.XLOOKUP(B230,'Ratio Master'!$A:$A,'Ratio Master'!$F:$F,"")</f>
        <v>0</v>
      </c>
      <c r="G230" s="88">
        <f t="array" ref="G230">IF(AND(E230&gt;0,F230&gt;0),(F230/E230)+FabRateIncKg,0)</f>
        <v>0</v>
      </c>
      <c r="H230" s="88">
        <f t="shared" si="9"/>
        <v>0</v>
      </c>
      <c r="I230" s="128"/>
      <c r="J230" s="125"/>
      <c r="K230" s="92"/>
      <c r="L230" s="93"/>
      <c r="M230" s="88">
        <f t="shared" si="10"/>
        <v>0</v>
      </c>
      <c r="N230" s="76" t="str">
        <f t="shared" si="11"/>
        <v/>
      </c>
    </row>
    <row r="231" spans="1:14" ht="15" customHeight="1" x14ac:dyDescent="0.25">
      <c r="A231" s="75">
        <v>227</v>
      </c>
      <c r="B231" s="91"/>
      <c r="C231" s="91"/>
      <c r="D231" s="91"/>
      <c r="E231" s="86" t="str">
        <f>_xlfn.XLOOKUP(B231,'Ratio Master'!$A:$A,'Ratio Master'!$G:$G,"")</f>
        <v/>
      </c>
      <c r="F231" s="87">
        <f>_xlfn.XLOOKUP(B231,'Ratio Master'!$A:$A,'Ratio Master'!$F:$F,"")</f>
        <v>0</v>
      </c>
      <c r="G231" s="88">
        <f t="array" ref="G231">IF(AND(E231&gt;0,F231&gt;0),(F231/E231)+FabRateIncKg,0)</f>
        <v>0</v>
      </c>
      <c r="H231" s="88">
        <f t="shared" si="9"/>
        <v>0</v>
      </c>
      <c r="I231" s="128"/>
      <c r="J231" s="125"/>
      <c r="K231" s="92"/>
      <c r="L231" s="93"/>
      <c r="M231" s="88">
        <f t="shared" si="10"/>
        <v>0</v>
      </c>
      <c r="N231" s="76" t="str">
        <f t="shared" si="11"/>
        <v/>
      </c>
    </row>
    <row r="232" spans="1:14" ht="15" customHeight="1" x14ac:dyDescent="0.25">
      <c r="A232" s="75">
        <v>228</v>
      </c>
      <c r="B232" s="91"/>
      <c r="C232" s="91"/>
      <c r="D232" s="91"/>
      <c r="E232" s="86" t="str">
        <f>_xlfn.XLOOKUP(B232,'Ratio Master'!$A:$A,'Ratio Master'!$G:$G,"")</f>
        <v/>
      </c>
      <c r="F232" s="87">
        <f>_xlfn.XLOOKUP(B232,'Ratio Master'!$A:$A,'Ratio Master'!$F:$F,"")</f>
        <v>0</v>
      </c>
      <c r="G232" s="88">
        <f t="array" ref="G232">IF(AND(E232&gt;0,F232&gt;0),(F232/E232)+FabRateIncKg,0)</f>
        <v>0</v>
      </c>
      <c r="H232" s="88">
        <f t="shared" si="9"/>
        <v>0</v>
      </c>
      <c r="I232" s="128"/>
      <c r="J232" s="125"/>
      <c r="K232" s="92"/>
      <c r="L232" s="93"/>
      <c r="M232" s="88">
        <f t="shared" si="10"/>
        <v>0</v>
      </c>
      <c r="N232" s="76" t="str">
        <f t="shared" si="11"/>
        <v/>
      </c>
    </row>
    <row r="233" spans="1:14" ht="15" customHeight="1" x14ac:dyDescent="0.25">
      <c r="A233" s="75">
        <v>229</v>
      </c>
      <c r="B233" s="91"/>
      <c r="C233" s="91"/>
      <c r="D233" s="91"/>
      <c r="E233" s="86" t="str">
        <f>_xlfn.XLOOKUP(B233,'Ratio Master'!$A:$A,'Ratio Master'!$G:$G,"")</f>
        <v/>
      </c>
      <c r="F233" s="87">
        <f>_xlfn.XLOOKUP(B233,'Ratio Master'!$A:$A,'Ratio Master'!$F:$F,"")</f>
        <v>0</v>
      </c>
      <c r="G233" s="88">
        <f t="array" ref="G233">IF(AND(E233&gt;0,F233&gt;0),(F233/E233)+FabRateIncKg,0)</f>
        <v>0</v>
      </c>
      <c r="H233" s="88">
        <f t="shared" si="9"/>
        <v>0</v>
      </c>
      <c r="I233" s="128"/>
      <c r="J233" s="125"/>
      <c r="K233" s="92"/>
      <c r="L233" s="93"/>
      <c r="M233" s="88">
        <f t="shared" si="10"/>
        <v>0</v>
      </c>
      <c r="N233" s="76" t="str">
        <f t="shared" si="11"/>
        <v/>
      </c>
    </row>
    <row r="234" spans="1:14" ht="15" customHeight="1" x14ac:dyDescent="0.25">
      <c r="A234" s="75">
        <v>230</v>
      </c>
      <c r="B234" s="91"/>
      <c r="C234" s="91"/>
      <c r="D234" s="91"/>
      <c r="E234" s="86" t="str">
        <f>_xlfn.XLOOKUP(B234,'Ratio Master'!$A:$A,'Ratio Master'!$G:$G,"")</f>
        <v/>
      </c>
      <c r="F234" s="87">
        <f>_xlfn.XLOOKUP(B234,'Ratio Master'!$A:$A,'Ratio Master'!$F:$F,"")</f>
        <v>0</v>
      </c>
      <c r="G234" s="88">
        <f t="array" ref="G234">IF(AND(E234&gt;0,F234&gt;0),(F234/E234)+FabRateIncKg,0)</f>
        <v>0</v>
      </c>
      <c r="H234" s="88">
        <f t="shared" si="9"/>
        <v>0</v>
      </c>
      <c r="I234" s="128"/>
      <c r="J234" s="125"/>
      <c r="K234" s="92"/>
      <c r="L234" s="93"/>
      <c r="M234" s="88">
        <f t="shared" si="10"/>
        <v>0</v>
      </c>
      <c r="N234" s="76" t="str">
        <f t="shared" si="11"/>
        <v/>
      </c>
    </row>
    <row r="235" spans="1:14" ht="15" customHeight="1" x14ac:dyDescent="0.25">
      <c r="A235" s="75">
        <v>231</v>
      </c>
      <c r="B235" s="91"/>
      <c r="C235" s="91"/>
      <c r="D235" s="91"/>
      <c r="E235" s="86" t="str">
        <f>_xlfn.XLOOKUP(B235,'Ratio Master'!$A:$A,'Ratio Master'!$G:$G,"")</f>
        <v/>
      </c>
      <c r="F235" s="87">
        <f>_xlfn.XLOOKUP(B235,'Ratio Master'!$A:$A,'Ratio Master'!$F:$F,"")</f>
        <v>0</v>
      </c>
      <c r="G235" s="88">
        <f t="array" ref="G235">IF(AND(E235&gt;0,F235&gt;0),(F235/E235)+FabRateIncKg,0)</f>
        <v>0</v>
      </c>
      <c r="H235" s="88">
        <f t="shared" si="9"/>
        <v>0</v>
      </c>
      <c r="I235" s="128"/>
      <c r="J235" s="125"/>
      <c r="K235" s="92"/>
      <c r="L235" s="93"/>
      <c r="M235" s="88">
        <f t="shared" si="10"/>
        <v>0</v>
      </c>
      <c r="N235" s="76" t="str">
        <f t="shared" si="11"/>
        <v/>
      </c>
    </row>
    <row r="236" spans="1:14" ht="15" customHeight="1" x14ac:dyDescent="0.25">
      <c r="A236" s="75">
        <v>232</v>
      </c>
      <c r="B236" s="91"/>
      <c r="C236" s="91"/>
      <c r="D236" s="91"/>
      <c r="E236" s="86" t="str">
        <f>_xlfn.XLOOKUP(B236,'Ratio Master'!$A:$A,'Ratio Master'!$G:$G,"")</f>
        <v/>
      </c>
      <c r="F236" s="87">
        <f>_xlfn.XLOOKUP(B236,'Ratio Master'!$A:$A,'Ratio Master'!$F:$F,"")</f>
        <v>0</v>
      </c>
      <c r="G236" s="88">
        <f t="array" ref="G236">IF(AND(E236&gt;0,F236&gt;0),(F236/E236)+FabRateIncKg,0)</f>
        <v>0</v>
      </c>
      <c r="H236" s="88">
        <f t="shared" si="9"/>
        <v>0</v>
      </c>
      <c r="I236" s="128"/>
      <c r="J236" s="125"/>
      <c r="K236" s="92"/>
      <c r="L236" s="93"/>
      <c r="M236" s="88">
        <f t="shared" si="10"/>
        <v>0</v>
      </c>
      <c r="N236" s="76" t="str">
        <f t="shared" si="11"/>
        <v/>
      </c>
    </row>
    <row r="237" spans="1:14" ht="15" customHeight="1" x14ac:dyDescent="0.25">
      <c r="A237" s="75">
        <v>233</v>
      </c>
      <c r="B237" s="91"/>
      <c r="C237" s="91"/>
      <c r="D237" s="91"/>
      <c r="E237" s="86" t="str">
        <f>_xlfn.XLOOKUP(B237,'Ratio Master'!$A:$A,'Ratio Master'!$G:$G,"")</f>
        <v/>
      </c>
      <c r="F237" s="87">
        <f>_xlfn.XLOOKUP(B237,'Ratio Master'!$A:$A,'Ratio Master'!$F:$F,"")</f>
        <v>0</v>
      </c>
      <c r="G237" s="88">
        <f t="array" ref="G237">IF(AND(E237&gt;0,F237&gt;0),(F237/E237)+FabRateIncKg,0)</f>
        <v>0</v>
      </c>
      <c r="H237" s="88">
        <f t="shared" si="9"/>
        <v>0</v>
      </c>
      <c r="I237" s="128"/>
      <c r="J237" s="125"/>
      <c r="K237" s="92"/>
      <c r="L237" s="93"/>
      <c r="M237" s="88">
        <f t="shared" si="10"/>
        <v>0</v>
      </c>
      <c r="N237" s="76" t="str">
        <f t="shared" si="11"/>
        <v/>
      </c>
    </row>
    <row r="238" spans="1:14" ht="15" customHeight="1" x14ac:dyDescent="0.25">
      <c r="A238" s="75">
        <v>234</v>
      </c>
      <c r="B238" s="91"/>
      <c r="C238" s="91"/>
      <c r="D238" s="91"/>
      <c r="E238" s="86" t="str">
        <f>_xlfn.XLOOKUP(B238,'Ratio Master'!$A:$A,'Ratio Master'!$G:$G,"")</f>
        <v/>
      </c>
      <c r="F238" s="87">
        <f>_xlfn.XLOOKUP(B238,'Ratio Master'!$A:$A,'Ratio Master'!$F:$F,"")</f>
        <v>0</v>
      </c>
      <c r="G238" s="88">
        <f t="array" ref="G238">IF(AND(E238&gt;0,F238&gt;0),(F238/E238)+FabRateIncKg,0)</f>
        <v>0</v>
      </c>
      <c r="H238" s="88">
        <f t="shared" si="9"/>
        <v>0</v>
      </c>
      <c r="I238" s="128"/>
      <c r="J238" s="125"/>
      <c r="K238" s="92"/>
      <c r="L238" s="93"/>
      <c r="M238" s="88">
        <f t="shared" si="10"/>
        <v>0</v>
      </c>
      <c r="N238" s="76" t="str">
        <f t="shared" si="11"/>
        <v/>
      </c>
    </row>
    <row r="239" spans="1:14" ht="15" customHeight="1" x14ac:dyDescent="0.25">
      <c r="A239" s="75">
        <v>235</v>
      </c>
      <c r="B239" s="91"/>
      <c r="C239" s="91"/>
      <c r="D239" s="91"/>
      <c r="E239" s="86" t="str">
        <f>_xlfn.XLOOKUP(B239,'Ratio Master'!$A:$A,'Ratio Master'!$G:$G,"")</f>
        <v/>
      </c>
      <c r="F239" s="87">
        <f>_xlfn.XLOOKUP(B239,'Ratio Master'!$A:$A,'Ratio Master'!$F:$F,"")</f>
        <v>0</v>
      </c>
      <c r="G239" s="88">
        <f t="array" ref="G239">IF(AND(E239&gt;0,F239&gt;0),(F239/E239)+FabRateIncKg,0)</f>
        <v>0</v>
      </c>
      <c r="H239" s="88">
        <f t="shared" si="9"/>
        <v>0</v>
      </c>
      <c r="I239" s="128"/>
      <c r="J239" s="125"/>
      <c r="K239" s="92"/>
      <c r="L239" s="93"/>
      <c r="M239" s="88">
        <f t="shared" si="10"/>
        <v>0</v>
      </c>
      <c r="N239" s="76" t="str">
        <f t="shared" si="11"/>
        <v/>
      </c>
    </row>
    <row r="240" spans="1:14" ht="15" customHeight="1" x14ac:dyDescent="0.25">
      <c r="A240" s="75">
        <v>236</v>
      </c>
      <c r="B240" s="91"/>
      <c r="C240" s="91"/>
      <c r="D240" s="91"/>
      <c r="E240" s="86" t="str">
        <f>_xlfn.XLOOKUP(B240,'Ratio Master'!$A:$A,'Ratio Master'!$G:$G,"")</f>
        <v/>
      </c>
      <c r="F240" s="87">
        <f>_xlfn.XLOOKUP(B240,'Ratio Master'!$A:$A,'Ratio Master'!$F:$F,"")</f>
        <v>0</v>
      </c>
      <c r="G240" s="88">
        <f t="array" ref="G240">IF(AND(E240&gt;0,F240&gt;0),(F240/E240)+FabRateIncKg,0)</f>
        <v>0</v>
      </c>
      <c r="H240" s="88">
        <f t="shared" si="9"/>
        <v>0</v>
      </c>
      <c r="I240" s="128"/>
      <c r="J240" s="125"/>
      <c r="K240" s="92"/>
      <c r="L240" s="93"/>
      <c r="M240" s="88">
        <f t="shared" si="10"/>
        <v>0</v>
      </c>
      <c r="N240" s="76" t="str">
        <f t="shared" si="11"/>
        <v/>
      </c>
    </row>
    <row r="241" spans="1:14" ht="15" customHeight="1" x14ac:dyDescent="0.25">
      <c r="A241" s="75">
        <v>237</v>
      </c>
      <c r="B241" s="91"/>
      <c r="C241" s="91"/>
      <c r="D241" s="91"/>
      <c r="E241" s="86" t="str">
        <f>_xlfn.XLOOKUP(B241,'Ratio Master'!$A:$A,'Ratio Master'!$G:$G,"")</f>
        <v/>
      </c>
      <c r="F241" s="87">
        <f>_xlfn.XLOOKUP(B241,'Ratio Master'!$A:$A,'Ratio Master'!$F:$F,"")</f>
        <v>0</v>
      </c>
      <c r="G241" s="88">
        <f t="array" ref="G241">IF(AND(E241&gt;0,F241&gt;0),(F241/E241)+FabRateIncKg,0)</f>
        <v>0</v>
      </c>
      <c r="H241" s="88">
        <f t="shared" si="9"/>
        <v>0</v>
      </c>
      <c r="I241" s="128"/>
      <c r="J241" s="125"/>
      <c r="K241" s="92"/>
      <c r="L241" s="93"/>
      <c r="M241" s="88">
        <f t="shared" si="10"/>
        <v>0</v>
      </c>
      <c r="N241" s="76" t="str">
        <f t="shared" si="11"/>
        <v/>
      </c>
    </row>
    <row r="242" spans="1:14" ht="15" customHeight="1" x14ac:dyDescent="0.25">
      <c r="A242" s="75">
        <v>238</v>
      </c>
      <c r="B242" s="91"/>
      <c r="C242" s="91"/>
      <c r="D242" s="91"/>
      <c r="E242" s="86" t="str">
        <f>_xlfn.XLOOKUP(B242,'Ratio Master'!$A:$A,'Ratio Master'!$G:$G,"")</f>
        <v/>
      </c>
      <c r="F242" s="87">
        <f>_xlfn.XLOOKUP(B242,'Ratio Master'!$A:$A,'Ratio Master'!$F:$F,"")</f>
        <v>0</v>
      </c>
      <c r="G242" s="88">
        <f t="array" ref="G242">IF(AND(E242&gt;0,F242&gt;0),(F242/E242)+FabRateIncKg,0)</f>
        <v>0</v>
      </c>
      <c r="H242" s="88">
        <f t="shared" si="9"/>
        <v>0</v>
      </c>
      <c r="I242" s="128"/>
      <c r="J242" s="125"/>
      <c r="K242" s="92"/>
      <c r="L242" s="93"/>
      <c r="M242" s="88">
        <f t="shared" si="10"/>
        <v>0</v>
      </c>
      <c r="N242" s="76" t="str">
        <f t="shared" si="11"/>
        <v/>
      </c>
    </row>
    <row r="243" spans="1:14" ht="15" customHeight="1" x14ac:dyDescent="0.25">
      <c r="A243" s="75">
        <v>239</v>
      </c>
      <c r="B243" s="91"/>
      <c r="C243" s="91"/>
      <c r="D243" s="91"/>
      <c r="E243" s="86" t="str">
        <f>_xlfn.XLOOKUP(B243,'Ratio Master'!$A:$A,'Ratio Master'!$G:$G,"")</f>
        <v/>
      </c>
      <c r="F243" s="87">
        <f>_xlfn.XLOOKUP(B243,'Ratio Master'!$A:$A,'Ratio Master'!$F:$F,"")</f>
        <v>0</v>
      </c>
      <c r="G243" s="88">
        <f t="array" ref="G243">IF(AND(E243&gt;0,F243&gt;0),(F243/E243)+FabRateIncKg,0)</f>
        <v>0</v>
      </c>
      <c r="H243" s="88">
        <f t="shared" si="9"/>
        <v>0</v>
      </c>
      <c r="I243" s="128"/>
      <c r="J243" s="125"/>
      <c r="K243" s="92"/>
      <c r="L243" s="93"/>
      <c r="M243" s="88">
        <f t="shared" si="10"/>
        <v>0</v>
      </c>
      <c r="N243" s="76" t="str">
        <f t="shared" si="11"/>
        <v/>
      </c>
    </row>
    <row r="244" spans="1:14" ht="15" customHeight="1" x14ac:dyDescent="0.25">
      <c r="A244" s="75">
        <v>240</v>
      </c>
      <c r="B244" s="91"/>
      <c r="C244" s="91"/>
      <c r="D244" s="91"/>
      <c r="E244" s="86" t="str">
        <f>_xlfn.XLOOKUP(B244,'Ratio Master'!$A:$A,'Ratio Master'!$G:$G,"")</f>
        <v/>
      </c>
      <c r="F244" s="87">
        <f>_xlfn.XLOOKUP(B244,'Ratio Master'!$A:$A,'Ratio Master'!$F:$F,"")</f>
        <v>0</v>
      </c>
      <c r="G244" s="88">
        <f t="array" ref="G244">IF(AND(E244&gt;0,F244&gt;0),(F244/E244)+FabRateIncKg,0)</f>
        <v>0</v>
      </c>
      <c r="H244" s="88">
        <f t="shared" si="9"/>
        <v>0</v>
      </c>
      <c r="I244" s="128"/>
      <c r="J244" s="125"/>
      <c r="K244" s="92"/>
      <c r="L244" s="93"/>
      <c r="M244" s="88">
        <f t="shared" si="10"/>
        <v>0</v>
      </c>
      <c r="N244" s="76" t="str">
        <f t="shared" si="11"/>
        <v/>
      </c>
    </row>
    <row r="245" spans="1:14" ht="15" customHeight="1" x14ac:dyDescent="0.25">
      <c r="A245" s="75">
        <v>241</v>
      </c>
      <c r="B245" s="91"/>
      <c r="C245" s="91"/>
      <c r="D245" s="91"/>
      <c r="E245" s="86" t="str">
        <f>_xlfn.XLOOKUP(B245,'Ratio Master'!$A:$A,'Ratio Master'!$G:$G,"")</f>
        <v/>
      </c>
      <c r="F245" s="87">
        <f>_xlfn.XLOOKUP(B245,'Ratio Master'!$A:$A,'Ratio Master'!$F:$F,"")</f>
        <v>0</v>
      </c>
      <c r="G245" s="88">
        <f t="array" ref="G245">IF(AND(E245&gt;0,F245&gt;0),(F245/E245)+FabRateIncKg,0)</f>
        <v>0</v>
      </c>
      <c r="H245" s="88">
        <f t="shared" si="9"/>
        <v>0</v>
      </c>
      <c r="I245" s="128"/>
      <c r="J245" s="125"/>
      <c r="K245" s="92"/>
      <c r="L245" s="93"/>
      <c r="M245" s="88">
        <f t="shared" si="10"/>
        <v>0</v>
      </c>
      <c r="N245" s="76" t="str">
        <f t="shared" si="11"/>
        <v/>
      </c>
    </row>
    <row r="246" spans="1:14" ht="15" customHeight="1" x14ac:dyDescent="0.25">
      <c r="A246" s="75">
        <v>242</v>
      </c>
      <c r="B246" s="91"/>
      <c r="C246" s="91"/>
      <c r="D246" s="91"/>
      <c r="E246" s="86" t="str">
        <f>_xlfn.XLOOKUP(B246,'Ratio Master'!$A:$A,'Ratio Master'!$G:$G,"")</f>
        <v/>
      </c>
      <c r="F246" s="87">
        <f>_xlfn.XLOOKUP(B246,'Ratio Master'!$A:$A,'Ratio Master'!$F:$F,"")</f>
        <v>0</v>
      </c>
      <c r="G246" s="88">
        <f t="array" ref="G246">IF(AND(E246&gt;0,F246&gt;0),(F246/E246)+FabRateIncKg,0)</f>
        <v>0</v>
      </c>
      <c r="H246" s="88">
        <f t="shared" si="9"/>
        <v>0</v>
      </c>
      <c r="I246" s="128"/>
      <c r="J246" s="125"/>
      <c r="K246" s="92"/>
      <c r="L246" s="93"/>
      <c r="M246" s="88">
        <f t="shared" si="10"/>
        <v>0</v>
      </c>
      <c r="N246" s="76" t="str">
        <f t="shared" si="11"/>
        <v/>
      </c>
    </row>
    <row r="247" spans="1:14" ht="15" customHeight="1" x14ac:dyDescent="0.25">
      <c r="A247" s="75">
        <v>243</v>
      </c>
      <c r="B247" s="91"/>
      <c r="C247" s="91"/>
      <c r="D247" s="91"/>
      <c r="E247" s="86" t="str">
        <f>_xlfn.XLOOKUP(B247,'Ratio Master'!$A:$A,'Ratio Master'!$G:$G,"")</f>
        <v/>
      </c>
      <c r="F247" s="87">
        <f>_xlfn.XLOOKUP(B247,'Ratio Master'!$A:$A,'Ratio Master'!$F:$F,"")</f>
        <v>0</v>
      </c>
      <c r="G247" s="88">
        <f t="array" ref="G247">IF(AND(E247&gt;0,F247&gt;0),(F247/E247)+FabRateIncKg,0)</f>
        <v>0</v>
      </c>
      <c r="H247" s="88">
        <f t="shared" si="9"/>
        <v>0</v>
      </c>
      <c r="I247" s="128"/>
      <c r="J247" s="125"/>
      <c r="K247" s="92"/>
      <c r="L247" s="93"/>
      <c r="M247" s="88">
        <f t="shared" si="10"/>
        <v>0</v>
      </c>
      <c r="N247" s="76" t="str">
        <f t="shared" si="11"/>
        <v/>
      </c>
    </row>
    <row r="248" spans="1:14" ht="15" customHeight="1" x14ac:dyDescent="0.25">
      <c r="A248" s="75">
        <v>244</v>
      </c>
      <c r="B248" s="91"/>
      <c r="C248" s="91"/>
      <c r="D248" s="91"/>
      <c r="E248" s="86" t="str">
        <f>_xlfn.XLOOKUP(B248,'Ratio Master'!$A:$A,'Ratio Master'!$G:$G,"")</f>
        <v/>
      </c>
      <c r="F248" s="87">
        <f>_xlfn.XLOOKUP(B248,'Ratio Master'!$A:$A,'Ratio Master'!$F:$F,"")</f>
        <v>0</v>
      </c>
      <c r="G248" s="88">
        <f t="array" ref="G248">IF(AND(E248&gt;0,F248&gt;0),(F248/E248)+FabRateIncKg,0)</f>
        <v>0</v>
      </c>
      <c r="H248" s="88">
        <f t="shared" si="9"/>
        <v>0</v>
      </c>
      <c r="I248" s="128"/>
      <c r="J248" s="125"/>
      <c r="K248" s="92"/>
      <c r="L248" s="93"/>
      <c r="M248" s="88">
        <f t="shared" si="10"/>
        <v>0</v>
      </c>
      <c r="N248" s="76" t="str">
        <f t="shared" si="11"/>
        <v/>
      </c>
    </row>
    <row r="249" spans="1:14" ht="15" customHeight="1" x14ac:dyDescent="0.25">
      <c r="A249" s="75">
        <v>245</v>
      </c>
      <c r="B249" s="91"/>
      <c r="C249" s="91"/>
      <c r="D249" s="91"/>
      <c r="E249" s="86" t="str">
        <f>_xlfn.XLOOKUP(B249,'Ratio Master'!$A:$A,'Ratio Master'!$G:$G,"")</f>
        <v/>
      </c>
      <c r="F249" s="87">
        <f>_xlfn.XLOOKUP(B249,'Ratio Master'!$A:$A,'Ratio Master'!$F:$F,"")</f>
        <v>0</v>
      </c>
      <c r="G249" s="88">
        <f t="array" ref="G249">IF(AND(E249&gt;0,F249&gt;0),(F249/E249)+FabRateIncKg,0)</f>
        <v>0</v>
      </c>
      <c r="H249" s="88">
        <f t="shared" si="9"/>
        <v>0</v>
      </c>
      <c r="I249" s="128"/>
      <c r="J249" s="125"/>
      <c r="K249" s="92"/>
      <c r="L249" s="93"/>
      <c r="M249" s="88">
        <f t="shared" si="10"/>
        <v>0</v>
      </c>
      <c r="N249" s="76" t="str">
        <f t="shared" si="11"/>
        <v/>
      </c>
    </row>
    <row r="250" spans="1:14" ht="15" customHeight="1" x14ac:dyDescent="0.25">
      <c r="A250" s="75">
        <v>246</v>
      </c>
      <c r="B250" s="91"/>
      <c r="C250" s="91"/>
      <c r="D250" s="91"/>
      <c r="E250" s="86" t="str">
        <f>_xlfn.XLOOKUP(B250,'Ratio Master'!$A:$A,'Ratio Master'!$G:$G,"")</f>
        <v/>
      </c>
      <c r="F250" s="87">
        <f>_xlfn.XLOOKUP(B250,'Ratio Master'!$A:$A,'Ratio Master'!$F:$F,"")</f>
        <v>0</v>
      </c>
      <c r="G250" s="88">
        <f t="array" ref="G250">IF(AND(E250&gt;0,F250&gt;0),(F250/E250)+FabRateIncKg,0)</f>
        <v>0</v>
      </c>
      <c r="H250" s="88">
        <f t="shared" si="9"/>
        <v>0</v>
      </c>
      <c r="I250" s="128"/>
      <c r="J250" s="125"/>
      <c r="K250" s="92"/>
      <c r="L250" s="93"/>
      <c r="M250" s="88">
        <f t="shared" si="10"/>
        <v>0</v>
      </c>
      <c r="N250" s="76" t="str">
        <f t="shared" si="11"/>
        <v/>
      </c>
    </row>
    <row r="251" spans="1:14" ht="15" customHeight="1" x14ac:dyDescent="0.25">
      <c r="A251" s="75">
        <v>247</v>
      </c>
      <c r="B251" s="91"/>
      <c r="C251" s="91"/>
      <c r="D251" s="91"/>
      <c r="E251" s="86" t="str">
        <f>_xlfn.XLOOKUP(B251,'Ratio Master'!$A:$A,'Ratio Master'!$G:$G,"")</f>
        <v/>
      </c>
      <c r="F251" s="87">
        <f>_xlfn.XLOOKUP(B251,'Ratio Master'!$A:$A,'Ratio Master'!$F:$F,"")</f>
        <v>0</v>
      </c>
      <c r="G251" s="88">
        <f t="array" ref="G251">IF(AND(E251&gt;0,F251&gt;0),(F251/E251)+FabRateIncKg,0)</f>
        <v>0</v>
      </c>
      <c r="H251" s="88">
        <f t="shared" si="9"/>
        <v>0</v>
      </c>
      <c r="I251" s="128"/>
      <c r="J251" s="125"/>
      <c r="K251" s="92"/>
      <c r="L251" s="93"/>
      <c r="M251" s="88">
        <f t="shared" si="10"/>
        <v>0</v>
      </c>
      <c r="N251" s="76" t="str">
        <f t="shared" si="11"/>
        <v/>
      </c>
    </row>
    <row r="252" spans="1:14" ht="15" customHeight="1" x14ac:dyDescent="0.25">
      <c r="A252" s="75">
        <v>248</v>
      </c>
      <c r="B252" s="91"/>
      <c r="C252" s="91"/>
      <c r="D252" s="91"/>
      <c r="E252" s="86" t="str">
        <f>_xlfn.XLOOKUP(B252,'Ratio Master'!$A:$A,'Ratio Master'!$G:$G,"")</f>
        <v/>
      </c>
      <c r="F252" s="87">
        <f>_xlfn.XLOOKUP(B252,'Ratio Master'!$A:$A,'Ratio Master'!$F:$F,"")</f>
        <v>0</v>
      </c>
      <c r="G252" s="88">
        <f t="array" ref="G252">IF(AND(E252&gt;0,F252&gt;0),(F252/E252)+FabRateIncKg,0)</f>
        <v>0</v>
      </c>
      <c r="H252" s="88">
        <f t="shared" si="9"/>
        <v>0</v>
      </c>
      <c r="I252" s="128"/>
      <c r="J252" s="125"/>
      <c r="K252" s="92"/>
      <c r="L252" s="93"/>
      <c r="M252" s="88">
        <f t="shared" si="10"/>
        <v>0</v>
      </c>
      <c r="N252" s="76" t="str">
        <f t="shared" si="11"/>
        <v/>
      </c>
    </row>
    <row r="253" spans="1:14" ht="15" customHeight="1" x14ac:dyDescent="0.25">
      <c r="A253" s="75">
        <v>249</v>
      </c>
      <c r="B253" s="91"/>
      <c r="C253" s="91"/>
      <c r="D253" s="91"/>
      <c r="E253" s="86" t="str">
        <f>_xlfn.XLOOKUP(B253,'Ratio Master'!$A:$A,'Ratio Master'!$G:$G,"")</f>
        <v/>
      </c>
      <c r="F253" s="87">
        <f>_xlfn.XLOOKUP(B253,'Ratio Master'!$A:$A,'Ratio Master'!$F:$F,"")</f>
        <v>0</v>
      </c>
      <c r="G253" s="88">
        <f t="array" ref="G253">IF(AND(E253&gt;0,F253&gt;0),(F253/E253)+FabRateIncKg,0)</f>
        <v>0</v>
      </c>
      <c r="H253" s="88">
        <f t="shared" si="9"/>
        <v>0</v>
      </c>
      <c r="I253" s="128"/>
      <c r="J253" s="125"/>
      <c r="K253" s="92"/>
      <c r="L253" s="93"/>
      <c r="M253" s="88">
        <f t="shared" si="10"/>
        <v>0</v>
      </c>
      <c r="N253" s="76" t="str">
        <f t="shared" si="11"/>
        <v/>
      </c>
    </row>
    <row r="254" spans="1:14" ht="15" customHeight="1" x14ac:dyDescent="0.25">
      <c r="A254" s="75">
        <v>250</v>
      </c>
      <c r="B254" s="91"/>
      <c r="C254" s="91"/>
      <c r="D254" s="91"/>
      <c r="E254" s="86" t="str">
        <f>_xlfn.XLOOKUP(B254,'Ratio Master'!$A:$A,'Ratio Master'!$G:$G,"")</f>
        <v/>
      </c>
      <c r="F254" s="87">
        <f>_xlfn.XLOOKUP(B254,'Ratio Master'!$A:$A,'Ratio Master'!$F:$F,"")</f>
        <v>0</v>
      </c>
      <c r="G254" s="88">
        <f t="array" ref="G254">IF(AND(E254&gt;0,F254&gt;0),(F254/E254)+FabRateIncKg,0)</f>
        <v>0</v>
      </c>
      <c r="H254" s="88">
        <f t="shared" si="9"/>
        <v>0</v>
      </c>
      <c r="I254" s="128"/>
      <c r="J254" s="125"/>
      <c r="K254" s="92"/>
      <c r="L254" s="93"/>
      <c r="M254" s="88">
        <f t="shared" si="10"/>
        <v>0</v>
      </c>
      <c r="N254" s="76" t="str">
        <f t="shared" si="11"/>
        <v/>
      </c>
    </row>
    <row r="255" spans="1:14" ht="15" customHeight="1" x14ac:dyDescent="0.25">
      <c r="A255" s="75">
        <v>251</v>
      </c>
      <c r="B255" s="91"/>
      <c r="C255" s="91"/>
      <c r="D255" s="91"/>
      <c r="E255" s="86" t="str">
        <f>_xlfn.XLOOKUP(B255,'Ratio Master'!$A:$A,'Ratio Master'!$G:$G,"")</f>
        <v/>
      </c>
      <c r="F255" s="87">
        <f>_xlfn.XLOOKUP(B255,'Ratio Master'!$A:$A,'Ratio Master'!$F:$F,"")</f>
        <v>0</v>
      </c>
      <c r="G255" s="88">
        <f t="array" ref="G255">IF(AND(E255&gt;0,F255&gt;0),(F255/E255)+FabRateIncKg,0)</f>
        <v>0</v>
      </c>
      <c r="H255" s="88">
        <f t="shared" si="9"/>
        <v>0</v>
      </c>
      <c r="I255" s="128"/>
      <c r="J255" s="125"/>
      <c r="K255" s="92"/>
      <c r="L255" s="93"/>
      <c r="M255" s="88">
        <f t="shared" si="10"/>
        <v>0</v>
      </c>
      <c r="N255" s="76" t="str">
        <f t="shared" si="11"/>
        <v/>
      </c>
    </row>
    <row r="256" spans="1:14" ht="15" customHeight="1" x14ac:dyDescent="0.25">
      <c r="A256" s="75">
        <v>252</v>
      </c>
      <c r="B256" s="91"/>
      <c r="C256" s="91"/>
      <c r="D256" s="91"/>
      <c r="E256" s="86" t="str">
        <f>_xlfn.XLOOKUP(B256,'Ratio Master'!$A:$A,'Ratio Master'!$G:$G,"")</f>
        <v/>
      </c>
      <c r="F256" s="87">
        <f>_xlfn.XLOOKUP(B256,'Ratio Master'!$A:$A,'Ratio Master'!$F:$F,"")</f>
        <v>0</v>
      </c>
      <c r="G256" s="88">
        <f t="array" ref="G256">IF(AND(E256&gt;0,F256&gt;0),(F256/E256)+FabRateIncKg,0)</f>
        <v>0</v>
      </c>
      <c r="H256" s="88">
        <f t="shared" si="9"/>
        <v>0</v>
      </c>
      <c r="I256" s="128"/>
      <c r="J256" s="125"/>
      <c r="K256" s="92"/>
      <c r="L256" s="93"/>
      <c r="M256" s="88">
        <f t="shared" si="10"/>
        <v>0</v>
      </c>
      <c r="N256" s="76" t="str">
        <f t="shared" si="11"/>
        <v/>
      </c>
    </row>
    <row r="257" spans="1:14" ht="15" customHeight="1" x14ac:dyDescent="0.25">
      <c r="A257" s="75">
        <v>253</v>
      </c>
      <c r="B257" s="91"/>
      <c r="C257" s="91"/>
      <c r="D257" s="91"/>
      <c r="E257" s="86" t="str">
        <f>_xlfn.XLOOKUP(B257,'Ratio Master'!$A:$A,'Ratio Master'!$G:$G,"")</f>
        <v/>
      </c>
      <c r="F257" s="87">
        <f>_xlfn.XLOOKUP(B257,'Ratio Master'!$A:$A,'Ratio Master'!$F:$F,"")</f>
        <v>0</v>
      </c>
      <c r="G257" s="88">
        <f t="array" ref="G257">IF(AND(E257&gt;0,F257&gt;0),(F257/E257)+FabRateIncKg,0)</f>
        <v>0</v>
      </c>
      <c r="H257" s="88">
        <f t="shared" si="9"/>
        <v>0</v>
      </c>
      <c r="I257" s="128"/>
      <c r="J257" s="125"/>
      <c r="K257" s="92"/>
      <c r="L257" s="93"/>
      <c r="M257" s="88">
        <f t="shared" si="10"/>
        <v>0</v>
      </c>
      <c r="N257" s="76" t="str">
        <f t="shared" si="11"/>
        <v/>
      </c>
    </row>
    <row r="258" spans="1:14" ht="15" customHeight="1" x14ac:dyDescent="0.25">
      <c r="A258" s="75">
        <v>254</v>
      </c>
      <c r="B258" s="91"/>
      <c r="C258" s="91"/>
      <c r="D258" s="91"/>
      <c r="E258" s="86" t="str">
        <f>_xlfn.XLOOKUP(B258,'Ratio Master'!$A:$A,'Ratio Master'!$G:$G,"")</f>
        <v/>
      </c>
      <c r="F258" s="87">
        <f>_xlfn.XLOOKUP(B258,'Ratio Master'!$A:$A,'Ratio Master'!$F:$F,"")</f>
        <v>0</v>
      </c>
      <c r="G258" s="88">
        <f t="array" ref="G258">IF(AND(E258&gt;0,F258&gt;0),(F258/E258)+FabRateIncKg,0)</f>
        <v>0</v>
      </c>
      <c r="H258" s="88">
        <f t="shared" si="9"/>
        <v>0</v>
      </c>
      <c r="I258" s="128"/>
      <c r="J258" s="125"/>
      <c r="K258" s="92"/>
      <c r="L258" s="93"/>
      <c r="M258" s="88">
        <f t="shared" si="10"/>
        <v>0</v>
      </c>
      <c r="N258" s="76" t="str">
        <f t="shared" si="11"/>
        <v/>
      </c>
    </row>
    <row r="259" spans="1:14" ht="15" customHeight="1" x14ac:dyDescent="0.25">
      <c r="A259" s="75">
        <v>255</v>
      </c>
      <c r="B259" s="91"/>
      <c r="C259" s="91"/>
      <c r="D259" s="91"/>
      <c r="E259" s="86" t="str">
        <f>_xlfn.XLOOKUP(B259,'Ratio Master'!$A:$A,'Ratio Master'!$G:$G,"")</f>
        <v/>
      </c>
      <c r="F259" s="87">
        <f>_xlfn.XLOOKUP(B259,'Ratio Master'!$A:$A,'Ratio Master'!$F:$F,"")</f>
        <v>0</v>
      </c>
      <c r="G259" s="88">
        <f t="array" ref="G259">IF(AND(E259&gt;0,F259&gt;0),(F259/E259)+FabRateIncKg,0)</f>
        <v>0</v>
      </c>
      <c r="H259" s="88">
        <f t="shared" si="9"/>
        <v>0</v>
      </c>
      <c r="I259" s="128"/>
      <c r="J259" s="125"/>
      <c r="K259" s="92"/>
      <c r="L259" s="93"/>
      <c r="M259" s="88">
        <f t="shared" si="10"/>
        <v>0</v>
      </c>
      <c r="N259" s="76" t="str">
        <f t="shared" si="11"/>
        <v/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81"/>
  <sheetViews>
    <sheetView zoomScaleNormal="100" workbookViewId="0">
      <pane ySplit="5" topLeftCell="A27" activePane="bottomLeft" state="frozen"/>
      <selection pane="bottomLeft" activeCell="K42" sqref="K42"/>
    </sheetView>
  </sheetViews>
  <sheetFormatPr defaultColWidth="8.7109375" defaultRowHeight="15" x14ac:dyDescent="0.25"/>
  <cols>
    <col min="1" max="1" width="5" customWidth="1"/>
    <col min="2" max="2" width="8" customWidth="1"/>
    <col min="3" max="3" width="24" customWidth="1"/>
    <col min="4" max="4" width="10" customWidth="1"/>
    <col min="5" max="5" width="12" customWidth="1"/>
    <col min="6" max="6" width="10" customWidth="1"/>
    <col min="7" max="9" width="12" customWidth="1"/>
    <col min="10" max="10" width="13" customWidth="1"/>
    <col min="11" max="12" width="12" customWidth="1"/>
    <col min="13" max="14" width="10" customWidth="1"/>
  </cols>
  <sheetData>
    <row r="1" spans="1:14" ht="25.5" customHeight="1" x14ac:dyDescent="0.25">
      <c r="A1" s="151" t="s">
        <v>206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</row>
    <row r="3" spans="1:14" ht="15" customHeight="1" x14ac:dyDescent="0.25">
      <c r="A3" s="152" t="s">
        <v>207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5" spans="1:14" ht="42" customHeight="1" x14ac:dyDescent="0.25">
      <c r="A5" s="83" t="s">
        <v>168</v>
      </c>
      <c r="B5" s="83" t="s">
        <v>169</v>
      </c>
      <c r="C5" s="83" t="s">
        <v>170</v>
      </c>
      <c r="D5" s="83" t="s">
        <v>208</v>
      </c>
      <c r="E5" s="83" t="s">
        <v>209</v>
      </c>
      <c r="F5" s="83" t="s">
        <v>210</v>
      </c>
      <c r="G5" s="83" t="s">
        <v>211</v>
      </c>
      <c r="H5" s="83" t="s">
        <v>212</v>
      </c>
      <c r="I5" s="83" t="s">
        <v>213</v>
      </c>
      <c r="J5" s="83" t="s">
        <v>214</v>
      </c>
      <c r="K5" s="83" t="s">
        <v>215</v>
      </c>
      <c r="L5" s="83" t="s">
        <v>216</v>
      </c>
      <c r="M5" s="83" t="s">
        <v>217</v>
      </c>
      <c r="N5" s="83" t="s">
        <v>218</v>
      </c>
    </row>
    <row r="6" spans="1:14" ht="15" customHeight="1" x14ac:dyDescent="0.25">
      <c r="A6" s="75">
        <v>1</v>
      </c>
      <c r="B6" s="75">
        <f>IF('SKU Master'!B5="","",'SKU Master'!B5)</f>
        <v>126</v>
      </c>
      <c r="C6" s="75" t="str">
        <f>'SKU Master'!C5</f>
        <v>Priya-Gold Max 54"</v>
      </c>
      <c r="D6" s="94">
        <f>'SKU Master'!I5</f>
        <v>181.8</v>
      </c>
      <c r="E6" s="94">
        <f>'SKU Master'!J5</f>
        <v>54000</v>
      </c>
      <c r="F6" s="94">
        <f>'SKU Master'!K5</f>
        <v>0</v>
      </c>
      <c r="G6" s="94">
        <f>'SKU Master'!L5</f>
        <v>0</v>
      </c>
      <c r="H6" s="94">
        <f t="shared" ref="H6:H69" si="0">MAX(D6-F6,0)</f>
        <v>181.8</v>
      </c>
      <c r="I6" s="94">
        <f>H6*'SKU Master'!H5</f>
        <v>39709.932056537167</v>
      </c>
      <c r="J6" s="75" t="str">
        <f t="shared" ref="J6:J69" si="1">IF(D6-F6&lt;-0.5,"EXCESS→INV",IF(D6-F6&gt;0.5,"Produced","Matched"))</f>
        <v>Produced</v>
      </c>
      <c r="K6" s="94">
        <f>IF(F6&gt;D6,D6*'SKU Master'!M5,G6)+I6</f>
        <v>39709.932056537167</v>
      </c>
      <c r="L6" s="94">
        <f t="shared" ref="L6:L69" si="2">IF(E6=0,0,E6-K6)</f>
        <v>14290.067943462833</v>
      </c>
      <c r="M6" s="95">
        <f t="shared" ref="M6:M69" si="3">IFERROR(L6/D6,0)</f>
        <v>78.603234012446819</v>
      </c>
      <c r="N6" s="75" t="str">
        <f t="shared" ref="N6:N69" si="4">IF(E6=0,"NO SALES",IF(L6&lt;0,"LOSS",IF(IFERROR(L6/E6,0)&lt;0.1,"THIN","PROFIT")))</f>
        <v>PROFIT</v>
      </c>
    </row>
    <row r="7" spans="1:14" ht="15" customHeight="1" x14ac:dyDescent="0.25">
      <c r="A7" s="75">
        <v>2</v>
      </c>
      <c r="B7" s="75">
        <f>IF('SKU Master'!B6="","",'SKU Master'!B6)</f>
        <v>144</v>
      </c>
      <c r="C7" s="75" t="str">
        <f>'SKU Master'!C6</f>
        <v>HF 54"</v>
      </c>
      <c r="D7" s="94">
        <f>'SKU Master'!I6</f>
        <v>2124.41</v>
      </c>
      <c r="E7" s="94">
        <f>'SKU Master'!J6</f>
        <v>730296</v>
      </c>
      <c r="F7" s="94">
        <f>'SKU Master'!K6</f>
        <v>0</v>
      </c>
      <c r="G7" s="94">
        <f>'SKU Master'!L6</f>
        <v>0</v>
      </c>
      <c r="H7" s="94">
        <f t="shared" si="0"/>
        <v>2124.41</v>
      </c>
      <c r="I7" s="94">
        <f>H7*'SKU Master'!H6</f>
        <v>585376.3246971569</v>
      </c>
      <c r="J7" s="75" t="str">
        <f t="shared" si="1"/>
        <v>Produced</v>
      </c>
      <c r="K7" s="94">
        <f>IF(F7&gt;D7,D7*'SKU Master'!M6,G7)+I7</f>
        <v>585376.3246971569</v>
      </c>
      <c r="L7" s="94">
        <f t="shared" si="2"/>
        <v>144919.6753028431</v>
      </c>
      <c r="M7" s="95">
        <f t="shared" si="3"/>
        <v>68.216434352522867</v>
      </c>
      <c r="N7" s="75" t="str">
        <f t="shared" si="4"/>
        <v>PROFIT</v>
      </c>
    </row>
    <row r="8" spans="1:14" ht="15" customHeight="1" x14ac:dyDescent="0.25">
      <c r="A8" s="75">
        <v>3</v>
      </c>
      <c r="B8" s="75">
        <f>IF('SKU Master'!B7="","",'SKU Master'!B7)</f>
        <v>164</v>
      </c>
      <c r="C8" s="75" t="str">
        <f>'SKU Master'!C7</f>
        <v>HF 54"</v>
      </c>
      <c r="D8" s="94">
        <f>'SKU Master'!I7</f>
        <v>92.2</v>
      </c>
      <c r="E8" s="94">
        <f>'SKU Master'!J7</f>
        <v>38400</v>
      </c>
      <c r="F8" s="94">
        <f>'SKU Master'!K7</f>
        <v>0</v>
      </c>
      <c r="G8" s="94">
        <f>'SKU Master'!L7</f>
        <v>0</v>
      </c>
      <c r="H8" s="94">
        <f t="shared" si="0"/>
        <v>92.2</v>
      </c>
      <c r="I8" s="94">
        <f>H8*'SKU Master'!H7</f>
        <v>25787.053343590011</v>
      </c>
      <c r="J8" s="75" t="str">
        <f t="shared" si="1"/>
        <v>Produced</v>
      </c>
      <c r="K8" s="94">
        <f>IF(F8&gt;D8,D8*'SKU Master'!M7,G8)+I8</f>
        <v>25787.053343590011</v>
      </c>
      <c r="L8" s="94">
        <f t="shared" si="2"/>
        <v>12612.946656409989</v>
      </c>
      <c r="M8" s="95">
        <f t="shared" si="3"/>
        <v>136.7998552755964</v>
      </c>
      <c r="N8" s="75" t="str">
        <f t="shared" si="4"/>
        <v>PROFIT</v>
      </c>
    </row>
    <row r="9" spans="1:14" ht="15" customHeight="1" x14ac:dyDescent="0.25">
      <c r="A9" s="75">
        <v>4</v>
      </c>
      <c r="B9" s="75">
        <f>IF('SKU Master'!B8="","",'SKU Master'!B8)</f>
        <v>167</v>
      </c>
      <c r="C9" s="75" t="str">
        <f>'SKU Master'!C8</f>
        <v>HP 120"</v>
      </c>
      <c r="D9" s="94">
        <f>'SKU Master'!I8</f>
        <v>65.44</v>
      </c>
      <c r="E9" s="94">
        <f>'SKU Master'!J8</f>
        <v>22400</v>
      </c>
      <c r="F9" s="94">
        <f>'SKU Master'!K8</f>
        <v>0</v>
      </c>
      <c r="G9" s="94">
        <f>'SKU Master'!L8</f>
        <v>0</v>
      </c>
      <c r="H9" s="94">
        <f t="shared" si="0"/>
        <v>65.44</v>
      </c>
      <c r="I9" s="94">
        <f>H9*'SKU Master'!H8</f>
        <v>15244.077934714402</v>
      </c>
      <c r="J9" s="75" t="str">
        <f t="shared" si="1"/>
        <v>Produced</v>
      </c>
      <c r="K9" s="94">
        <f>IF(F9&gt;D9,D9*'SKU Master'!M8,G9)+I9</f>
        <v>15244.077934714402</v>
      </c>
      <c r="L9" s="94">
        <f t="shared" si="2"/>
        <v>7155.9220652855984</v>
      </c>
      <c r="M9" s="95">
        <f t="shared" si="3"/>
        <v>109.35088730570902</v>
      </c>
      <c r="N9" s="75" t="str">
        <f t="shared" si="4"/>
        <v>PROFIT</v>
      </c>
    </row>
    <row r="10" spans="1:14" ht="15" customHeight="1" x14ac:dyDescent="0.25">
      <c r="A10" s="75">
        <v>5</v>
      </c>
      <c r="B10" s="75">
        <f>IF('SKU Master'!B9="","",'SKU Master'!B9)</f>
        <v>177</v>
      </c>
      <c r="C10" s="75" t="str">
        <f>'SKU Master'!C9</f>
        <v>Kangaroo 120"</v>
      </c>
      <c r="D10" s="94">
        <f>'SKU Master'!I9</f>
        <v>318.74</v>
      </c>
      <c r="E10" s="94">
        <f>'SKU Master'!J9</f>
        <v>106200</v>
      </c>
      <c r="F10" s="94">
        <f>'SKU Master'!K9</f>
        <v>0</v>
      </c>
      <c r="G10" s="94">
        <f>'SKU Master'!L9</f>
        <v>0</v>
      </c>
      <c r="H10" s="94">
        <f t="shared" si="0"/>
        <v>318.74</v>
      </c>
      <c r="I10" s="94">
        <f>H10*'SKU Master'!H9</f>
        <v>72352.327239689243</v>
      </c>
      <c r="J10" s="75" t="str">
        <f t="shared" si="1"/>
        <v>Produced</v>
      </c>
      <c r="K10" s="94">
        <f>IF(F10&gt;D10,D10*'SKU Master'!M9,G10)+I10</f>
        <v>72352.327239689243</v>
      </c>
      <c r="L10" s="94">
        <f t="shared" si="2"/>
        <v>33847.672760310757</v>
      </c>
      <c r="M10" s="95">
        <f t="shared" si="3"/>
        <v>106.1921088043884</v>
      </c>
      <c r="N10" s="75" t="str">
        <f t="shared" si="4"/>
        <v>PROFIT</v>
      </c>
    </row>
    <row r="11" spans="1:14" ht="15" customHeight="1" x14ac:dyDescent="0.25">
      <c r="A11" s="75">
        <v>6</v>
      </c>
      <c r="B11" s="75">
        <f>IF('SKU Master'!B10="","",'SKU Master'!B10)</f>
        <v>179</v>
      </c>
      <c r="C11" s="75" t="str">
        <f>'SKU Master'!C10</f>
        <v>Kangaroo 54"</v>
      </c>
      <c r="D11" s="94">
        <f>'SKU Master'!I10</f>
        <v>5943.01</v>
      </c>
      <c r="E11" s="94">
        <f>'SKU Master'!J10</f>
        <v>1799625</v>
      </c>
      <c r="F11" s="94">
        <f>'SKU Master'!K10</f>
        <v>0</v>
      </c>
      <c r="G11" s="94">
        <f>'SKU Master'!L10</f>
        <v>0</v>
      </c>
      <c r="H11" s="94">
        <f t="shared" si="0"/>
        <v>5943.01</v>
      </c>
      <c r="I11" s="94">
        <f>H11*'SKU Master'!H10</f>
        <v>1367778.7891657907</v>
      </c>
      <c r="J11" s="75" t="str">
        <f t="shared" si="1"/>
        <v>Produced</v>
      </c>
      <c r="K11" s="94">
        <f>IF(F11&gt;D11,D11*'SKU Master'!M10,G11)+I11</f>
        <v>1367778.7891657907</v>
      </c>
      <c r="L11" s="94">
        <f t="shared" si="2"/>
        <v>431846.21083420934</v>
      </c>
      <c r="M11" s="95">
        <f t="shared" si="3"/>
        <v>72.664560691334742</v>
      </c>
      <c r="N11" s="75" t="str">
        <f t="shared" si="4"/>
        <v>PROFIT</v>
      </c>
    </row>
    <row r="12" spans="1:14" ht="15" customHeight="1" x14ac:dyDescent="0.25">
      <c r="A12" s="75">
        <v>7</v>
      </c>
      <c r="B12" s="75">
        <f>IF('SKU Master'!B11="","",'SKU Master'!B11)</f>
        <v>188</v>
      </c>
      <c r="C12" s="75" t="str">
        <f>'SKU Master'!C11</f>
        <v>Kangaroo 60"</v>
      </c>
      <c r="D12" s="94">
        <f>'SKU Master'!I11</f>
        <v>459.72</v>
      </c>
      <c r="E12" s="94">
        <f>'SKU Master'!J11</f>
        <v>151500</v>
      </c>
      <c r="F12" s="94">
        <f>'SKU Master'!K11</f>
        <v>0</v>
      </c>
      <c r="G12" s="94">
        <f>'SKU Master'!L11</f>
        <v>0</v>
      </c>
      <c r="H12" s="94">
        <f t="shared" si="0"/>
        <v>459.72</v>
      </c>
      <c r="I12" s="94">
        <f>H12*'SKU Master'!H11</f>
        <v>102287.9595925813</v>
      </c>
      <c r="J12" s="75" t="str">
        <f t="shared" si="1"/>
        <v>Produced</v>
      </c>
      <c r="K12" s="94">
        <f>IF(F12&gt;D12,D12*'SKU Master'!M11,G12)+I12</f>
        <v>102287.9595925813</v>
      </c>
      <c r="L12" s="94">
        <f t="shared" si="2"/>
        <v>49212.040407418695</v>
      </c>
      <c r="M12" s="95">
        <f t="shared" si="3"/>
        <v>107.04785610245082</v>
      </c>
      <c r="N12" s="75" t="str">
        <f t="shared" si="4"/>
        <v>PROFIT</v>
      </c>
    </row>
    <row r="13" spans="1:14" ht="15" customHeight="1" x14ac:dyDescent="0.25">
      <c r="A13" s="75">
        <v>8</v>
      </c>
      <c r="B13" s="75">
        <f>IF('SKU Master'!B12="","",'SKU Master'!B12)</f>
        <v>193</v>
      </c>
      <c r="C13" s="75" t="str">
        <f>'SKU Master'!C12</f>
        <v>Kangaroo 84"</v>
      </c>
      <c r="D13" s="94">
        <f>'SKU Master'!I12</f>
        <v>429.36</v>
      </c>
      <c r="E13" s="94">
        <f>'SKU Master'!J12</f>
        <v>137500</v>
      </c>
      <c r="F13" s="94">
        <f>'SKU Master'!K12</f>
        <v>0</v>
      </c>
      <c r="G13" s="94">
        <f>'SKU Master'!L12</f>
        <v>0</v>
      </c>
      <c r="H13" s="94">
        <f t="shared" si="0"/>
        <v>429.36</v>
      </c>
      <c r="I13" s="94">
        <f>H13*'SKU Master'!H12</f>
        <v>97898.04176105182</v>
      </c>
      <c r="J13" s="75" t="str">
        <f t="shared" si="1"/>
        <v>Produced</v>
      </c>
      <c r="K13" s="94">
        <f>IF(F13&gt;D13,D13*'SKU Master'!M12,G13)+I13</f>
        <v>97898.04176105182</v>
      </c>
      <c r="L13" s="94">
        <f t="shared" si="2"/>
        <v>39601.95823894818</v>
      </c>
      <c r="M13" s="95">
        <f t="shared" si="3"/>
        <v>92.234857087172017</v>
      </c>
      <c r="N13" s="75" t="str">
        <f t="shared" si="4"/>
        <v>PROFIT</v>
      </c>
    </row>
    <row r="14" spans="1:14" ht="15" customHeight="1" x14ac:dyDescent="0.25">
      <c r="A14" s="75">
        <v>9</v>
      </c>
      <c r="B14" s="75">
        <f>IF('SKU Master'!B13="","",'SKU Master'!B13)</f>
        <v>199</v>
      </c>
      <c r="C14" s="75" t="str">
        <f>'SKU Master'!C13</f>
        <v>Lotus 54"</v>
      </c>
      <c r="D14" s="94">
        <f>'SKU Master'!I13</f>
        <v>135.38999999999999</v>
      </c>
      <c r="E14" s="94">
        <f>'SKU Master'!J13</f>
        <v>43725</v>
      </c>
      <c r="F14" s="94">
        <f>'SKU Master'!K13</f>
        <v>0</v>
      </c>
      <c r="G14" s="94">
        <f>'SKU Master'!L13</f>
        <v>0</v>
      </c>
      <c r="H14" s="94">
        <f t="shared" si="0"/>
        <v>135.38999999999999</v>
      </c>
      <c r="I14" s="94">
        <f>H14*'SKU Master'!H13</f>
        <v>35020.376308559833</v>
      </c>
      <c r="J14" s="75" t="str">
        <f t="shared" si="1"/>
        <v>Produced</v>
      </c>
      <c r="K14" s="94">
        <f>IF(F14&gt;D14,D14*'SKU Master'!M13,G14)+I14</f>
        <v>35020.376308559833</v>
      </c>
      <c r="L14" s="94">
        <f t="shared" si="2"/>
        <v>8704.623691440167</v>
      </c>
      <c r="M14" s="95">
        <f t="shared" si="3"/>
        <v>64.292958796367287</v>
      </c>
      <c r="N14" s="75" t="str">
        <f t="shared" si="4"/>
        <v>PROFIT</v>
      </c>
    </row>
    <row r="15" spans="1:14" ht="15" customHeight="1" x14ac:dyDescent="0.25">
      <c r="A15" s="75">
        <v>10</v>
      </c>
      <c r="B15" s="75">
        <f>IF('SKU Master'!B14="","",'SKU Master'!B14)</f>
        <v>200</v>
      </c>
      <c r="C15" s="75" t="str">
        <f>'SKU Master'!C14</f>
        <v>Lotus 54"</v>
      </c>
      <c r="D15" s="94">
        <f>'SKU Master'!I14</f>
        <v>100.9</v>
      </c>
      <c r="E15" s="94">
        <f>'SKU Master'!J14</f>
        <v>33275</v>
      </c>
      <c r="F15" s="94">
        <f>'SKU Master'!K14</f>
        <v>0</v>
      </c>
      <c r="G15" s="94">
        <f>'SKU Master'!L14</f>
        <v>0</v>
      </c>
      <c r="H15" s="94">
        <f t="shared" si="0"/>
        <v>100.9</v>
      </c>
      <c r="I15" s="94">
        <f>H15*'SKU Master'!H14</f>
        <v>26173.622386615003</v>
      </c>
      <c r="J15" s="75" t="str">
        <f t="shared" si="1"/>
        <v>Produced</v>
      </c>
      <c r="K15" s="94">
        <f>IF(F15&gt;D15,D15*'SKU Master'!M14,G15)+I15</f>
        <v>26173.622386615003</v>
      </c>
      <c r="L15" s="94">
        <f t="shared" si="2"/>
        <v>7101.3776133849969</v>
      </c>
      <c r="M15" s="95">
        <f t="shared" si="3"/>
        <v>70.380352957234848</v>
      </c>
      <c r="N15" s="75" t="str">
        <f t="shared" si="4"/>
        <v>PROFIT</v>
      </c>
    </row>
    <row r="16" spans="1:14" ht="15" customHeight="1" x14ac:dyDescent="0.25">
      <c r="A16" s="75">
        <v>11</v>
      </c>
      <c r="B16" s="75">
        <f>IF('SKU Master'!B15="","",'SKU Master'!B15)</f>
        <v>201</v>
      </c>
      <c r="C16" s="75" t="str">
        <f>'SKU Master'!C15</f>
        <v>Lotus 54"</v>
      </c>
      <c r="D16" s="94">
        <f>'SKU Master'!I15</f>
        <v>225.31</v>
      </c>
      <c r="E16" s="94">
        <f>'SKU Master'!J15</f>
        <v>68750</v>
      </c>
      <c r="F16" s="94">
        <f>'SKU Master'!K15</f>
        <v>0</v>
      </c>
      <c r="G16" s="94">
        <f>'SKU Master'!L15</f>
        <v>0</v>
      </c>
      <c r="H16" s="94">
        <f t="shared" si="0"/>
        <v>225.31</v>
      </c>
      <c r="I16" s="94">
        <f>H16*'SKU Master'!H15</f>
        <v>57693.56577412894</v>
      </c>
      <c r="J16" s="75" t="str">
        <f t="shared" si="1"/>
        <v>Produced</v>
      </c>
      <c r="K16" s="94">
        <f>IF(F16&gt;D16,D16*'SKU Master'!M15,G16)+I16</f>
        <v>57693.56577412894</v>
      </c>
      <c r="L16" s="94">
        <f t="shared" si="2"/>
        <v>11056.43422587106</v>
      </c>
      <c r="M16" s="95">
        <f t="shared" si="3"/>
        <v>49.072097225471843</v>
      </c>
      <c r="N16" s="75" t="str">
        <f t="shared" si="4"/>
        <v>PROFIT</v>
      </c>
    </row>
    <row r="17" spans="1:14" ht="15" customHeight="1" x14ac:dyDescent="0.25">
      <c r="A17" s="75">
        <v>12</v>
      </c>
      <c r="B17" s="75">
        <f>IF('SKU Master'!B16="","",'SKU Master'!B16)</f>
        <v>204</v>
      </c>
      <c r="C17" s="75" t="str">
        <f>'SKU Master'!C16</f>
        <v>Lotus 54"</v>
      </c>
      <c r="D17" s="94">
        <f>'SKU Master'!I16</f>
        <v>136.12</v>
      </c>
      <c r="E17" s="94">
        <f>'SKU Master'!J16</f>
        <v>43725</v>
      </c>
      <c r="F17" s="94">
        <f>'SKU Master'!K16</f>
        <v>0</v>
      </c>
      <c r="G17" s="94">
        <f>'SKU Master'!L16</f>
        <v>0</v>
      </c>
      <c r="H17" s="94">
        <f t="shared" si="0"/>
        <v>136.12</v>
      </c>
      <c r="I17" s="94">
        <f>H17*'SKU Master'!H16</f>
        <v>35330.016577211951</v>
      </c>
      <c r="J17" s="75" t="str">
        <f t="shared" si="1"/>
        <v>Produced</v>
      </c>
      <c r="K17" s="94">
        <f>IF(F17&gt;D17,D17*'SKU Master'!M16,G17)+I17</f>
        <v>35330.016577211951</v>
      </c>
      <c r="L17" s="94">
        <f t="shared" si="2"/>
        <v>8394.9834227880492</v>
      </c>
      <c r="M17" s="95">
        <f t="shared" si="3"/>
        <v>61.6734015779316</v>
      </c>
      <c r="N17" s="75" t="str">
        <f t="shared" si="4"/>
        <v>PROFIT</v>
      </c>
    </row>
    <row r="18" spans="1:14" ht="15" customHeight="1" x14ac:dyDescent="0.25">
      <c r="A18" s="75">
        <v>13</v>
      </c>
      <c r="B18" s="75">
        <f>IF('SKU Master'!B17="","",'SKU Master'!B17)</f>
        <v>205</v>
      </c>
      <c r="C18" s="75" t="str">
        <f>'SKU Master'!C17</f>
        <v>Lotus 54"</v>
      </c>
      <c r="D18" s="94">
        <f>'SKU Master'!I17</f>
        <v>318.39999999999998</v>
      </c>
      <c r="E18" s="94">
        <f>'SKU Master'!J17</f>
        <v>99750</v>
      </c>
      <c r="F18" s="94">
        <f>'SKU Master'!K17</f>
        <v>0</v>
      </c>
      <c r="G18" s="94">
        <f>'SKU Master'!L17</f>
        <v>0</v>
      </c>
      <c r="H18" s="94">
        <f t="shared" si="0"/>
        <v>318.39999999999998</v>
      </c>
      <c r="I18" s="94">
        <f>H18*'SKU Master'!H17</f>
        <v>82222.190044789866</v>
      </c>
      <c r="J18" s="75" t="str">
        <f t="shared" si="1"/>
        <v>Produced</v>
      </c>
      <c r="K18" s="94">
        <f>IF(F18&gt;D18,D18*'SKU Master'!M17,G18)+I18</f>
        <v>82222.190044789866</v>
      </c>
      <c r="L18" s="94">
        <f t="shared" si="2"/>
        <v>17527.809955210134</v>
      </c>
      <c r="M18" s="95">
        <f t="shared" si="3"/>
        <v>55.04965438194138</v>
      </c>
      <c r="N18" s="75" t="str">
        <f t="shared" si="4"/>
        <v>PROFIT</v>
      </c>
    </row>
    <row r="19" spans="1:14" ht="15" customHeight="1" x14ac:dyDescent="0.25">
      <c r="A19" s="75">
        <v>14</v>
      </c>
      <c r="B19" s="75">
        <f>IF('SKU Master'!B18="","",'SKU Master'!B18)</f>
        <v>206</v>
      </c>
      <c r="C19" s="75" t="str">
        <f>'SKU Master'!C18</f>
        <v>Lotus 54"</v>
      </c>
      <c r="D19" s="94">
        <f>'SKU Master'!I18</f>
        <v>97.3</v>
      </c>
      <c r="E19" s="94">
        <f>'SKU Master'!J18</f>
        <v>33275</v>
      </c>
      <c r="F19" s="94">
        <f>'SKU Master'!K18</f>
        <v>0</v>
      </c>
      <c r="G19" s="94">
        <f>'SKU Master'!L18</f>
        <v>0</v>
      </c>
      <c r="H19" s="94">
        <f t="shared" si="0"/>
        <v>97.3</v>
      </c>
      <c r="I19" s="94">
        <f>H19*'SKU Master'!H18</f>
        <v>25403.491748954646</v>
      </c>
      <c r="J19" s="75" t="str">
        <f t="shared" si="1"/>
        <v>Produced</v>
      </c>
      <c r="K19" s="94">
        <f>IF(F19&gt;D19,D19*'SKU Master'!M18,G19)+I19</f>
        <v>25403.491748954646</v>
      </c>
      <c r="L19" s="94">
        <f t="shared" si="2"/>
        <v>7871.508251045354</v>
      </c>
      <c r="M19" s="95">
        <f t="shared" si="3"/>
        <v>80.899365375594599</v>
      </c>
      <c r="N19" s="75" t="str">
        <f t="shared" si="4"/>
        <v>PROFIT</v>
      </c>
    </row>
    <row r="20" spans="1:14" ht="15" customHeight="1" x14ac:dyDescent="0.25">
      <c r="A20" s="75">
        <v>15</v>
      </c>
      <c r="B20" s="75">
        <f>IF('SKU Master'!B19="","",'SKU Master'!B19)</f>
        <v>211</v>
      </c>
      <c r="C20" s="75" t="str">
        <f>'SKU Master'!C19</f>
        <v>PF 120"</v>
      </c>
      <c r="D20" s="94">
        <f>'SKU Master'!I19</f>
        <v>191.5</v>
      </c>
      <c r="E20" s="94">
        <f>'SKU Master'!J19</f>
        <v>60840</v>
      </c>
      <c r="F20" s="94">
        <f>'SKU Master'!K19</f>
        <v>0</v>
      </c>
      <c r="G20" s="94">
        <f>'SKU Master'!L19</f>
        <v>0</v>
      </c>
      <c r="H20" s="94">
        <f t="shared" si="0"/>
        <v>191.5</v>
      </c>
      <c r="I20" s="94">
        <f>H20*'SKU Master'!H19</f>
        <v>44886.689863624677</v>
      </c>
      <c r="J20" s="75" t="str">
        <f t="shared" si="1"/>
        <v>Produced</v>
      </c>
      <c r="K20" s="94">
        <f>IF(F20&gt;D20,D20*'SKU Master'!M19,G20)+I20</f>
        <v>44886.689863624677</v>
      </c>
      <c r="L20" s="94">
        <f t="shared" si="2"/>
        <v>15953.310136375323</v>
      </c>
      <c r="M20" s="95">
        <f t="shared" si="3"/>
        <v>83.307102539818914</v>
      </c>
      <c r="N20" s="75" t="str">
        <f t="shared" si="4"/>
        <v>PROFIT</v>
      </c>
    </row>
    <row r="21" spans="1:14" ht="15" customHeight="1" x14ac:dyDescent="0.25">
      <c r="A21" s="75">
        <v>16</v>
      </c>
      <c r="B21" s="75">
        <f>IF('SKU Master'!B20="","",'SKU Master'!B20)</f>
        <v>213</v>
      </c>
      <c r="C21" s="75" t="str">
        <f>'SKU Master'!C20</f>
        <v>PF 54"</v>
      </c>
      <c r="D21" s="94">
        <f>'SKU Master'!I20</f>
        <v>4935.8</v>
      </c>
      <c r="E21" s="94">
        <f>'SKU Master'!J20</f>
        <v>1547550</v>
      </c>
      <c r="F21" s="94">
        <f>'SKU Master'!K20</f>
        <v>0</v>
      </c>
      <c r="G21" s="94">
        <f>'SKU Master'!L20</f>
        <v>0</v>
      </c>
      <c r="H21" s="94">
        <f t="shared" si="0"/>
        <v>4935.8</v>
      </c>
      <c r="I21" s="94">
        <f>H21*'SKU Master'!H20</f>
        <v>1182967.019976049</v>
      </c>
      <c r="J21" s="75" t="str">
        <f t="shared" si="1"/>
        <v>Produced</v>
      </c>
      <c r="K21" s="94">
        <f>IF(F21&gt;D21,D21*'SKU Master'!M20,G21)+I21</f>
        <v>1182967.019976049</v>
      </c>
      <c r="L21" s="94">
        <f t="shared" si="2"/>
        <v>364582.98002395104</v>
      </c>
      <c r="M21" s="95">
        <f t="shared" si="3"/>
        <v>73.865022898810935</v>
      </c>
      <c r="N21" s="75" t="str">
        <f t="shared" si="4"/>
        <v>PROFIT</v>
      </c>
    </row>
    <row r="22" spans="1:14" ht="15" customHeight="1" x14ac:dyDescent="0.25">
      <c r="A22" s="75">
        <v>17</v>
      </c>
      <c r="B22" s="75">
        <f>IF('SKU Master'!B21="","",'SKU Master'!B21)</f>
        <v>218</v>
      </c>
      <c r="C22" s="75" t="str">
        <f>'SKU Master'!C21</f>
        <v>PF 54"</v>
      </c>
      <c r="D22" s="94">
        <f>'SKU Master'!I21</f>
        <v>370.38</v>
      </c>
      <c r="E22" s="94">
        <f>'SKU Master'!J21</f>
        <v>115875</v>
      </c>
      <c r="F22" s="94">
        <f>'SKU Master'!K21</f>
        <v>0</v>
      </c>
      <c r="G22" s="94">
        <f>'SKU Master'!L21</f>
        <v>0</v>
      </c>
      <c r="H22" s="94">
        <f t="shared" si="0"/>
        <v>370.38</v>
      </c>
      <c r="I22" s="94">
        <f>H22*'SKU Master'!H21</f>
        <v>88586.600970817468</v>
      </c>
      <c r="J22" s="75" t="str">
        <f t="shared" si="1"/>
        <v>Produced</v>
      </c>
      <c r="K22" s="94">
        <f>IF(F22&gt;D22,D22*'SKU Master'!M21,G22)+I22</f>
        <v>88586.600970817468</v>
      </c>
      <c r="L22" s="94">
        <f t="shared" si="2"/>
        <v>27288.399029182532</v>
      </c>
      <c r="M22" s="95">
        <f t="shared" si="3"/>
        <v>73.676761782986475</v>
      </c>
      <c r="N22" s="75" t="str">
        <f t="shared" si="4"/>
        <v>PROFIT</v>
      </c>
    </row>
    <row r="23" spans="1:14" ht="15" customHeight="1" x14ac:dyDescent="0.25">
      <c r="A23" s="75">
        <v>18</v>
      </c>
      <c r="B23" s="75">
        <f>IF('SKU Master'!B22="","",'SKU Master'!B22)</f>
        <v>219</v>
      </c>
      <c r="C23" s="75" t="str">
        <f>'SKU Master'!C22</f>
        <v>PF 60"</v>
      </c>
      <c r="D23" s="94">
        <f>'SKU Master'!I22</f>
        <v>126.48</v>
      </c>
      <c r="E23" s="94">
        <f>'SKU Master'!J22</f>
        <v>39000</v>
      </c>
      <c r="F23" s="94">
        <f>'SKU Master'!K22</f>
        <v>0</v>
      </c>
      <c r="G23" s="94">
        <f>'SKU Master'!L22</f>
        <v>0</v>
      </c>
      <c r="H23" s="94">
        <f t="shared" si="0"/>
        <v>126.48</v>
      </c>
      <c r="I23" s="94">
        <f>H23*'SKU Master'!H22</f>
        <v>28879.320826288178</v>
      </c>
      <c r="J23" s="75" t="str">
        <f t="shared" si="1"/>
        <v>Produced</v>
      </c>
      <c r="K23" s="94">
        <f>IF(F23&gt;D23,D23*'SKU Master'!M22,G23)+I23</f>
        <v>28879.320826288178</v>
      </c>
      <c r="L23" s="94">
        <f t="shared" si="2"/>
        <v>10120.679173711822</v>
      </c>
      <c r="M23" s="95">
        <f t="shared" si="3"/>
        <v>80.018020032509654</v>
      </c>
      <c r="N23" s="75" t="str">
        <f t="shared" si="4"/>
        <v>PROFIT</v>
      </c>
    </row>
    <row r="24" spans="1:14" ht="15" customHeight="1" x14ac:dyDescent="0.25">
      <c r="A24" s="75">
        <v>19</v>
      </c>
      <c r="B24" s="75">
        <f>IF('SKU Master'!B23="","",'SKU Master'!B23)</f>
        <v>223</v>
      </c>
      <c r="C24" s="75" t="str">
        <f>'SKU Master'!C23</f>
        <v>HP 60"</v>
      </c>
      <c r="D24" s="94">
        <f>'SKU Master'!I23</f>
        <v>214.26</v>
      </c>
      <c r="E24" s="94">
        <f>'SKU Master'!J23</f>
        <v>75600</v>
      </c>
      <c r="F24" s="94">
        <f>'SKU Master'!K23</f>
        <v>0</v>
      </c>
      <c r="G24" s="94">
        <f>'SKU Master'!L23</f>
        <v>0</v>
      </c>
      <c r="H24" s="94">
        <f t="shared" si="0"/>
        <v>214.26</v>
      </c>
      <c r="I24" s="94">
        <f>H24*'SKU Master'!H23</f>
        <v>49095.734858879499</v>
      </c>
      <c r="J24" s="75" t="str">
        <f t="shared" si="1"/>
        <v>Produced</v>
      </c>
      <c r="K24" s="94">
        <f>IF(F24&gt;D24,D24*'SKU Master'!M23,G24)+I24</f>
        <v>49095.734858879499</v>
      </c>
      <c r="L24" s="94">
        <f t="shared" si="2"/>
        <v>26504.265141120501</v>
      </c>
      <c r="M24" s="95">
        <f t="shared" si="3"/>
        <v>123.70141482834174</v>
      </c>
      <c r="N24" s="75" t="str">
        <f t="shared" si="4"/>
        <v>PROFIT</v>
      </c>
    </row>
    <row r="25" spans="1:14" ht="15" customHeight="1" x14ac:dyDescent="0.25">
      <c r="A25" s="75">
        <v>20</v>
      </c>
      <c r="B25" s="75">
        <f>IF('SKU Master'!B24="","",'SKU Master'!B24)</f>
        <v>223</v>
      </c>
      <c r="C25" s="75" t="str">
        <f>'SKU Master'!C24</f>
        <v>Scorpio 60"</v>
      </c>
      <c r="D25" s="94">
        <f>'SKU Master'!I24</f>
        <v>429.7</v>
      </c>
      <c r="E25" s="94">
        <f>'SKU Master'!J24</f>
        <v>155400</v>
      </c>
      <c r="F25" s="94">
        <f>'SKU Master'!K24</f>
        <v>0</v>
      </c>
      <c r="G25" s="94">
        <f>'SKU Master'!L24</f>
        <v>0</v>
      </c>
      <c r="H25" s="94">
        <f t="shared" si="0"/>
        <v>429.7</v>
      </c>
      <c r="I25" s="94">
        <f>H25*'SKU Master'!H24</f>
        <v>98461.856010737043</v>
      </c>
      <c r="J25" s="75" t="str">
        <f t="shared" si="1"/>
        <v>Produced</v>
      </c>
      <c r="K25" s="94">
        <f>IF(F25&gt;D25,D25*'SKU Master'!M24,G25)+I25</f>
        <v>98461.856010737043</v>
      </c>
      <c r="L25" s="94">
        <f t="shared" si="2"/>
        <v>56938.143989262957</v>
      </c>
      <c r="M25" s="95">
        <f t="shared" si="3"/>
        <v>132.50673490636015</v>
      </c>
      <c r="N25" s="75" t="str">
        <f t="shared" si="4"/>
        <v>PROFIT</v>
      </c>
    </row>
    <row r="26" spans="1:14" ht="15" customHeight="1" x14ac:dyDescent="0.25">
      <c r="A26" s="75">
        <v>21</v>
      </c>
      <c r="B26" s="75">
        <f>IF('SKU Master'!B25="","",'SKU Master'!B25)</f>
        <v>226</v>
      </c>
      <c r="C26" s="75" t="str">
        <f>'SKU Master'!C25</f>
        <v>PF 84"</v>
      </c>
      <c r="D26" s="94">
        <f>'SKU Master'!I25</f>
        <v>487.87</v>
      </c>
      <c r="E26" s="94">
        <f>'SKU Master'!J25</f>
        <v>153000</v>
      </c>
      <c r="F26" s="94">
        <f>'SKU Master'!K25</f>
        <v>0</v>
      </c>
      <c r="G26" s="94">
        <f>'SKU Master'!L25</f>
        <v>0</v>
      </c>
      <c r="H26" s="94">
        <f t="shared" si="0"/>
        <v>487.87</v>
      </c>
      <c r="I26" s="94">
        <f>H26*'SKU Master'!H25</f>
        <v>113714.00514530871</v>
      </c>
      <c r="J26" s="75" t="str">
        <f t="shared" si="1"/>
        <v>Produced</v>
      </c>
      <c r="K26" s="94">
        <f>IF(F26&gt;D26,D26*'SKU Master'!M25,G26)+I26</f>
        <v>113714.00514530871</v>
      </c>
      <c r="L26" s="94">
        <f t="shared" si="2"/>
        <v>39285.994854691293</v>
      </c>
      <c r="M26" s="95">
        <f t="shared" si="3"/>
        <v>80.525539292621588</v>
      </c>
      <c r="N26" s="75" t="str">
        <f t="shared" si="4"/>
        <v>PROFIT</v>
      </c>
    </row>
    <row r="27" spans="1:14" ht="15" customHeight="1" x14ac:dyDescent="0.25">
      <c r="A27" s="75">
        <v>22</v>
      </c>
      <c r="B27" s="75">
        <f>IF('SKU Master'!B26="","",'SKU Master'!B26)</f>
        <v>228</v>
      </c>
      <c r="C27" s="75" t="str">
        <f>'SKU Master'!C26</f>
        <v>PL 120"</v>
      </c>
      <c r="D27" s="94">
        <f>'SKU Master'!I26</f>
        <v>161.4</v>
      </c>
      <c r="E27" s="94">
        <f>'SKU Master'!J26</f>
        <v>55200</v>
      </c>
      <c r="F27" s="94">
        <f>'SKU Master'!K26</f>
        <v>0</v>
      </c>
      <c r="G27" s="94">
        <f>'SKU Master'!L26</f>
        <v>0</v>
      </c>
      <c r="H27" s="94">
        <f t="shared" si="0"/>
        <v>161.4</v>
      </c>
      <c r="I27" s="94">
        <f>H27*'SKU Master'!H26</f>
        <v>39477.768635831148</v>
      </c>
      <c r="J27" s="75" t="str">
        <f t="shared" si="1"/>
        <v>Produced</v>
      </c>
      <c r="K27" s="94">
        <f>IF(F27&gt;D27,D27*'SKU Master'!M26,G27)+I27</f>
        <v>39477.768635831148</v>
      </c>
      <c r="L27" s="94">
        <f t="shared" si="2"/>
        <v>15722.231364168852</v>
      </c>
      <c r="M27" s="95">
        <f t="shared" si="3"/>
        <v>97.411594573536874</v>
      </c>
      <c r="N27" s="75" t="str">
        <f t="shared" si="4"/>
        <v>PROFIT</v>
      </c>
    </row>
    <row r="28" spans="1:14" ht="15" customHeight="1" x14ac:dyDescent="0.25">
      <c r="A28" s="75">
        <v>23</v>
      </c>
      <c r="B28" s="75">
        <f>IF('SKU Master'!B27="","",'SKU Master'!B27)</f>
        <v>232</v>
      </c>
      <c r="C28" s="75" t="str">
        <f>'SKU Master'!C27</f>
        <v>PL 54"</v>
      </c>
      <c r="D28" s="94">
        <f>'SKU Master'!I27</f>
        <v>2568.39</v>
      </c>
      <c r="E28" s="94">
        <f>'SKU Master'!J27</f>
        <v>722500</v>
      </c>
      <c r="F28" s="94">
        <f>'SKU Master'!K27</f>
        <v>0</v>
      </c>
      <c r="G28" s="94">
        <f>'SKU Master'!L27</f>
        <v>0</v>
      </c>
      <c r="H28" s="94">
        <f t="shared" si="0"/>
        <v>2568.39</v>
      </c>
      <c r="I28" s="94">
        <f>H28*'SKU Master'!H27</f>
        <v>645407.91878820164</v>
      </c>
      <c r="J28" s="75" t="str">
        <f t="shared" si="1"/>
        <v>Produced</v>
      </c>
      <c r="K28" s="94">
        <f>IF(F28&gt;D28,D28*'SKU Master'!M27,G28)+I28</f>
        <v>645407.91878820164</v>
      </c>
      <c r="L28" s="94">
        <f t="shared" si="2"/>
        <v>77092.081211798359</v>
      </c>
      <c r="M28" s="95">
        <f t="shared" si="3"/>
        <v>30.015722383204405</v>
      </c>
      <c r="N28" s="75" t="str">
        <f t="shared" si="4"/>
        <v>PROFIT</v>
      </c>
    </row>
    <row r="29" spans="1:14" ht="15" customHeight="1" x14ac:dyDescent="0.25">
      <c r="A29" s="75">
        <v>24</v>
      </c>
      <c r="B29" s="75">
        <f>IF('SKU Master'!B28="","",'SKU Master'!B28)</f>
        <v>234</v>
      </c>
      <c r="C29" s="75" t="str">
        <f>'SKU Master'!C28</f>
        <v>PL 54"</v>
      </c>
      <c r="D29" s="94">
        <f>'SKU Master'!I28</f>
        <v>1387</v>
      </c>
      <c r="E29" s="94">
        <f>'SKU Master'!J28</f>
        <v>399000</v>
      </c>
      <c r="F29" s="94">
        <f>'SKU Master'!K28</f>
        <v>0</v>
      </c>
      <c r="G29" s="94">
        <f>'SKU Master'!L28</f>
        <v>0</v>
      </c>
      <c r="H29" s="94">
        <f t="shared" si="0"/>
        <v>1387</v>
      </c>
      <c r="I29" s="94">
        <f>H29*'SKU Master'!H28</f>
        <v>351226.78857319773</v>
      </c>
      <c r="J29" s="75" t="str">
        <f t="shared" si="1"/>
        <v>Produced</v>
      </c>
      <c r="K29" s="94">
        <f>IF(F29&gt;D29,D29*'SKU Master'!M28,G29)+I29</f>
        <v>351226.78857319773</v>
      </c>
      <c r="L29" s="94">
        <f t="shared" si="2"/>
        <v>47773.211426802271</v>
      </c>
      <c r="M29" s="95">
        <f t="shared" si="3"/>
        <v>34.443555462726941</v>
      </c>
      <c r="N29" s="75" t="str">
        <f t="shared" si="4"/>
        <v>PROFIT</v>
      </c>
    </row>
    <row r="30" spans="1:14" ht="15" customHeight="1" x14ac:dyDescent="0.25">
      <c r="A30" s="75">
        <v>25</v>
      </c>
      <c r="B30" s="75">
        <f>IF('SKU Master'!B29="","",'SKU Master'!B29)</f>
        <v>235</v>
      </c>
      <c r="C30" s="75" t="str">
        <f>'SKU Master'!C29</f>
        <v>PL 60"</v>
      </c>
      <c r="D30" s="94">
        <f>'SKU Master'!I29</f>
        <v>151.18</v>
      </c>
      <c r="E30" s="94">
        <f>'SKU Master'!J29</f>
        <v>49500</v>
      </c>
      <c r="F30" s="94">
        <f>'SKU Master'!K29</f>
        <v>0</v>
      </c>
      <c r="G30" s="94">
        <f>'SKU Master'!L29</f>
        <v>0</v>
      </c>
      <c r="H30" s="94">
        <f t="shared" si="0"/>
        <v>151.18</v>
      </c>
      <c r="I30" s="94">
        <f>H30*'SKU Master'!H29</f>
        <v>36235.578473724949</v>
      </c>
      <c r="J30" s="75" t="str">
        <f t="shared" si="1"/>
        <v>Produced</v>
      </c>
      <c r="K30" s="94">
        <f>IF(F30&gt;D30,D30*'SKU Master'!M29,G30)+I30</f>
        <v>36235.578473724949</v>
      </c>
      <c r="L30" s="94">
        <f t="shared" si="2"/>
        <v>13264.421526275051</v>
      </c>
      <c r="M30" s="95">
        <f t="shared" si="3"/>
        <v>87.739261319453973</v>
      </c>
      <c r="N30" s="75" t="str">
        <f t="shared" si="4"/>
        <v>PROFIT</v>
      </c>
    </row>
    <row r="31" spans="1:14" ht="15" customHeight="1" x14ac:dyDescent="0.25">
      <c r="A31" s="75">
        <v>26</v>
      </c>
      <c r="B31" s="75">
        <f>IF('SKU Master'!B30="","",'SKU Master'!B30)</f>
        <v>238</v>
      </c>
      <c r="C31" s="75" t="str">
        <f>'SKU Master'!C30</f>
        <v>PL 84"</v>
      </c>
      <c r="D31" s="94">
        <f>'SKU Master'!I30</f>
        <v>625.78</v>
      </c>
      <c r="E31" s="94">
        <f>'SKU Master'!J30</f>
        <v>189600</v>
      </c>
      <c r="F31" s="94">
        <f>'SKU Master'!K30</f>
        <v>0</v>
      </c>
      <c r="G31" s="94">
        <f>'SKU Master'!L30</f>
        <v>0</v>
      </c>
      <c r="H31" s="94">
        <f t="shared" si="0"/>
        <v>625.78</v>
      </c>
      <c r="I31" s="94">
        <f>H31*'SKU Master'!H30</f>
        <v>155946.00833651717</v>
      </c>
      <c r="J31" s="75" t="str">
        <f t="shared" si="1"/>
        <v>Produced</v>
      </c>
      <c r="K31" s="94">
        <f>IF(F31&gt;D31,D31*'SKU Master'!M30,G31)+I31</f>
        <v>155946.00833651717</v>
      </c>
      <c r="L31" s="94">
        <f t="shared" si="2"/>
        <v>33653.991663482826</v>
      </c>
      <c r="M31" s="95">
        <f t="shared" si="3"/>
        <v>53.77927013244723</v>
      </c>
      <c r="N31" s="75" t="str">
        <f t="shared" si="4"/>
        <v>PROFIT</v>
      </c>
    </row>
    <row r="32" spans="1:14" ht="15" customHeight="1" x14ac:dyDescent="0.25">
      <c r="A32" s="75">
        <v>27</v>
      </c>
      <c r="B32" s="75">
        <f>IF('SKU Master'!B31="","",'SKU Master'!B31)</f>
        <v>250</v>
      </c>
      <c r="C32" s="75" t="str">
        <f>'SKU Master'!C31</f>
        <v>SF 110"</v>
      </c>
      <c r="D32" s="94">
        <f>'SKU Master'!I31</f>
        <v>104.5</v>
      </c>
      <c r="E32" s="94">
        <f>'SKU Master'!J31</f>
        <v>31000</v>
      </c>
      <c r="F32" s="94">
        <f>'SKU Master'!K31</f>
        <v>0</v>
      </c>
      <c r="G32" s="94">
        <f>'SKU Master'!L31</f>
        <v>0</v>
      </c>
      <c r="H32" s="94">
        <f t="shared" si="0"/>
        <v>104.5</v>
      </c>
      <c r="I32" s="94">
        <f>H32*'SKU Master'!H31</f>
        <v>26371.292123426192</v>
      </c>
      <c r="J32" s="75" t="str">
        <f t="shared" si="1"/>
        <v>Produced</v>
      </c>
      <c r="K32" s="94">
        <f>IF(F32&gt;D32,D32*'SKU Master'!M31,G32)+I32</f>
        <v>26371.292123426192</v>
      </c>
      <c r="L32" s="94">
        <f t="shared" si="2"/>
        <v>4628.7078765738079</v>
      </c>
      <c r="M32" s="95">
        <f t="shared" si="3"/>
        <v>44.29385527821826</v>
      </c>
      <c r="N32" s="75" t="str">
        <f t="shared" si="4"/>
        <v>PROFIT</v>
      </c>
    </row>
    <row r="33" spans="1:14" ht="15" customHeight="1" x14ac:dyDescent="0.25">
      <c r="A33" s="75">
        <v>28</v>
      </c>
      <c r="B33" s="75">
        <f>IF('SKU Master'!B32="","",'SKU Master'!B32)</f>
        <v>258</v>
      </c>
      <c r="C33" s="75" t="str">
        <f>'SKU Master'!C32</f>
        <v>SF 54"</v>
      </c>
      <c r="D33" s="94">
        <f>'SKU Master'!I32</f>
        <v>7197.34</v>
      </c>
      <c r="E33" s="94">
        <f>'SKU Master'!J32</f>
        <v>2104750</v>
      </c>
      <c r="F33" s="94">
        <f>'SKU Master'!K32</f>
        <v>0</v>
      </c>
      <c r="G33" s="94">
        <f>'SKU Master'!L32</f>
        <v>0</v>
      </c>
      <c r="H33" s="94">
        <f t="shared" si="0"/>
        <v>7197.34</v>
      </c>
      <c r="I33" s="94">
        <f>H33*'SKU Master'!H32</f>
        <v>1944724.1188621316</v>
      </c>
      <c r="J33" s="75" t="str">
        <f t="shared" si="1"/>
        <v>Produced</v>
      </c>
      <c r="K33" s="94">
        <f>IF(F33&gt;D33,D33*'SKU Master'!M32,G33)+I33</f>
        <v>1944724.1188621316</v>
      </c>
      <c r="L33" s="94">
        <f t="shared" si="2"/>
        <v>160025.88113786839</v>
      </c>
      <c r="M33" s="95">
        <f t="shared" si="3"/>
        <v>22.234031063958128</v>
      </c>
      <c r="N33" s="75" t="str">
        <f t="shared" si="4"/>
        <v>THIN</v>
      </c>
    </row>
    <row r="34" spans="1:14" ht="15" customHeight="1" x14ac:dyDescent="0.25">
      <c r="A34" s="75">
        <v>29</v>
      </c>
      <c r="B34" s="75">
        <f>IF('SKU Master'!B33="","",'SKU Master'!B33)</f>
        <v>271</v>
      </c>
      <c r="C34" s="75" t="str">
        <f>'SKU Master'!C33</f>
        <v>SF 60"</v>
      </c>
      <c r="D34" s="94">
        <f>'SKU Master'!I33</f>
        <v>156.46</v>
      </c>
      <c r="E34" s="94">
        <f>'SKU Master'!J33</f>
        <v>49950</v>
      </c>
      <c r="F34" s="94">
        <f>'SKU Master'!K33</f>
        <v>0</v>
      </c>
      <c r="G34" s="94">
        <f>'SKU Master'!L33</f>
        <v>0</v>
      </c>
      <c r="H34" s="94">
        <f t="shared" si="0"/>
        <v>156.46</v>
      </c>
      <c r="I34" s="94">
        <f>H34*'SKU Master'!H33</f>
        <v>39711.084358521031</v>
      </c>
      <c r="J34" s="75" t="str">
        <f t="shared" si="1"/>
        <v>Produced</v>
      </c>
      <c r="K34" s="94">
        <f>IF(F34&gt;D34,D34*'SKU Master'!M33,G34)+I34</f>
        <v>39711.084358521031</v>
      </c>
      <c r="L34" s="94">
        <f t="shared" si="2"/>
        <v>10238.915641478969</v>
      </c>
      <c r="M34" s="95">
        <f t="shared" si="3"/>
        <v>65.441107257311572</v>
      </c>
      <c r="N34" s="75" t="str">
        <f t="shared" si="4"/>
        <v>PROFIT</v>
      </c>
    </row>
    <row r="35" spans="1:14" ht="15" customHeight="1" x14ac:dyDescent="0.25">
      <c r="A35" s="75">
        <v>30</v>
      </c>
      <c r="B35" s="75">
        <f>IF('SKU Master'!B34="","",'SKU Master'!B34)</f>
        <v>401</v>
      </c>
      <c r="C35" s="75" t="str">
        <f>'SKU Master'!C34</f>
        <v>12 Mesh HQ 42"</v>
      </c>
      <c r="D35" s="94">
        <f>'SKU Master'!I34</f>
        <v>52.8</v>
      </c>
      <c r="E35" s="94">
        <f>'SKU Master'!J34</f>
        <v>13320</v>
      </c>
      <c r="F35" s="94">
        <f>'SKU Master'!K34</f>
        <v>0</v>
      </c>
      <c r="G35" s="94">
        <f>'SKU Master'!L34</f>
        <v>0</v>
      </c>
      <c r="H35" s="94">
        <f t="shared" si="0"/>
        <v>52.8</v>
      </c>
      <c r="I35" s="94">
        <f>H35*'SKU Master'!H34</f>
        <v>10384.500858611258</v>
      </c>
      <c r="J35" s="75" t="str">
        <f t="shared" si="1"/>
        <v>Produced</v>
      </c>
      <c r="K35" s="94">
        <f>IF(F35&gt;D35,D35*'SKU Master'!M34,G35)+I35</f>
        <v>10384.500858611258</v>
      </c>
      <c r="L35" s="94">
        <f t="shared" si="2"/>
        <v>2935.4991413887419</v>
      </c>
      <c r="M35" s="95">
        <f t="shared" si="3"/>
        <v>55.596574647514053</v>
      </c>
      <c r="N35" s="75" t="str">
        <f t="shared" si="4"/>
        <v>PROFIT</v>
      </c>
    </row>
    <row r="36" spans="1:14" ht="15" customHeight="1" x14ac:dyDescent="0.25">
      <c r="A36" s="75">
        <v>31</v>
      </c>
      <c r="B36" s="75">
        <f>IF('SKU Master'!B35="","",'SKU Master'!B35)</f>
        <v>404</v>
      </c>
      <c r="C36" s="75" t="str">
        <f>'SKU Master'!C35</f>
        <v>16 Mesh HQ 42"</v>
      </c>
      <c r="D36" s="94">
        <f>'SKU Master'!I35</f>
        <v>307.89999999999998</v>
      </c>
      <c r="E36" s="94">
        <f>'SKU Master'!J35</f>
        <v>99000</v>
      </c>
      <c r="F36" s="94">
        <f>'SKU Master'!K35</f>
        <v>0</v>
      </c>
      <c r="G36" s="94">
        <f>'SKU Master'!L35</f>
        <v>0</v>
      </c>
      <c r="H36" s="94">
        <f t="shared" si="0"/>
        <v>307.89999999999998</v>
      </c>
      <c r="I36" s="94">
        <f>H36*'SKU Master'!H35</f>
        <v>64136.796063043883</v>
      </c>
      <c r="J36" s="75" t="str">
        <f t="shared" si="1"/>
        <v>Produced</v>
      </c>
      <c r="K36" s="94">
        <f>IF(F36&gt;D36,D36*'SKU Master'!M35,G36)+I36</f>
        <v>64136.796063043883</v>
      </c>
      <c r="L36" s="94">
        <f t="shared" si="2"/>
        <v>34863.203936956117</v>
      </c>
      <c r="M36" s="95">
        <f t="shared" si="3"/>
        <v>113.22898323142617</v>
      </c>
      <c r="N36" s="75" t="str">
        <f t="shared" si="4"/>
        <v>PROFIT</v>
      </c>
    </row>
    <row r="37" spans="1:14" ht="15" customHeight="1" x14ac:dyDescent="0.25">
      <c r="A37" s="75">
        <v>32</v>
      </c>
      <c r="B37" s="75">
        <f>IF('SKU Master'!B36="","",'SKU Master'!B36)</f>
        <v>406</v>
      </c>
      <c r="C37" s="75" t="str">
        <f>'SKU Master'!C36</f>
        <v>16 Mesh HQ 84"</v>
      </c>
      <c r="D37" s="94">
        <f>'SKU Master'!I36</f>
        <v>116.18</v>
      </c>
      <c r="E37" s="94">
        <f>'SKU Master'!J36</f>
        <v>35040</v>
      </c>
      <c r="F37" s="94">
        <f>'SKU Master'!K36</f>
        <v>0</v>
      </c>
      <c r="G37" s="94">
        <f>'SKU Master'!L36</f>
        <v>0</v>
      </c>
      <c r="H37" s="94">
        <f t="shared" si="0"/>
        <v>116.18</v>
      </c>
      <c r="I37" s="94">
        <f>H37*'SKU Master'!H36</f>
        <v>24101.011989217255</v>
      </c>
      <c r="J37" s="75" t="str">
        <f t="shared" si="1"/>
        <v>Produced</v>
      </c>
      <c r="K37" s="94">
        <f>IF(F37&gt;D37,D37*'SKU Master'!M36,G37)+I37</f>
        <v>24101.011989217255</v>
      </c>
      <c r="L37" s="94">
        <f t="shared" si="2"/>
        <v>10938.988010782745</v>
      </c>
      <c r="M37" s="95">
        <f t="shared" si="3"/>
        <v>94.155517393550909</v>
      </c>
      <c r="N37" s="75" t="str">
        <f t="shared" si="4"/>
        <v>PROFIT</v>
      </c>
    </row>
    <row r="38" spans="1:14" ht="15" customHeight="1" x14ac:dyDescent="0.25">
      <c r="A38" s="75">
        <v>33</v>
      </c>
      <c r="B38" s="75">
        <f>IF('SKU Master'!B37="","",'SKU Master'!B37)</f>
        <v>419</v>
      </c>
      <c r="C38" s="75" t="str">
        <f>'SKU Master'!C37</f>
        <v>20 Mesh HQ 42"</v>
      </c>
      <c r="D38" s="94">
        <f>'SKU Master'!I37</f>
        <v>95.6</v>
      </c>
      <c r="E38" s="94">
        <f>'SKU Master'!J37</f>
        <v>32400</v>
      </c>
      <c r="F38" s="94">
        <f>'SKU Master'!K37</f>
        <v>0</v>
      </c>
      <c r="G38" s="94">
        <f>'SKU Master'!L37</f>
        <v>0</v>
      </c>
      <c r="H38" s="94">
        <f t="shared" si="0"/>
        <v>95.6</v>
      </c>
      <c r="I38" s="94">
        <f>H38*'SKU Master'!H37</f>
        <v>20461.315222694207</v>
      </c>
      <c r="J38" s="75" t="str">
        <f t="shared" si="1"/>
        <v>Produced</v>
      </c>
      <c r="K38" s="94">
        <f>IF(F38&gt;D38,D38*'SKU Master'!M37,G38)+I38</f>
        <v>20461.315222694207</v>
      </c>
      <c r="L38" s="94">
        <f t="shared" si="2"/>
        <v>11938.684777305793</v>
      </c>
      <c r="M38" s="95">
        <f t="shared" si="3"/>
        <v>124.88163992997691</v>
      </c>
      <c r="N38" s="75" t="str">
        <f t="shared" si="4"/>
        <v>PROFIT</v>
      </c>
    </row>
    <row r="39" spans="1:14" ht="15" customHeight="1" x14ac:dyDescent="0.25">
      <c r="A39" s="75">
        <v>34</v>
      </c>
      <c r="B39" s="75">
        <f>IF('SKU Master'!B38="","",'SKU Master'!B38)</f>
        <v>423</v>
      </c>
      <c r="C39" s="75" t="str">
        <f>'SKU Master'!C38</f>
        <v>20 Mesh HQ(Juicer) 48"</v>
      </c>
      <c r="D39" s="94">
        <f>'SKU Master'!I38</f>
        <v>175.2</v>
      </c>
      <c r="E39" s="94">
        <f>'SKU Master'!J38</f>
        <v>54000</v>
      </c>
      <c r="F39" s="94">
        <f>'SKU Master'!K38</f>
        <v>0</v>
      </c>
      <c r="G39" s="94">
        <f>'SKU Master'!L38</f>
        <v>0</v>
      </c>
      <c r="H39" s="94">
        <f t="shared" si="0"/>
        <v>175.2</v>
      </c>
      <c r="I39" s="94">
        <f>H39*'SKU Master'!H38</f>
        <v>37513.988574230956</v>
      </c>
      <c r="J39" s="75" t="str">
        <f t="shared" si="1"/>
        <v>Produced</v>
      </c>
      <c r="K39" s="94">
        <f>IF(F39&gt;D39,D39*'SKU Master'!M38,G39)+I39</f>
        <v>37513.988574230956</v>
      </c>
      <c r="L39" s="94">
        <f t="shared" si="2"/>
        <v>16486.011425769044</v>
      </c>
      <c r="M39" s="95">
        <f t="shared" si="3"/>
        <v>94.098238731558482</v>
      </c>
      <c r="N39" s="75" t="str">
        <f t="shared" si="4"/>
        <v>PROFIT</v>
      </c>
    </row>
    <row r="40" spans="1:14" ht="15" customHeight="1" x14ac:dyDescent="0.25">
      <c r="A40" s="75">
        <v>35</v>
      </c>
      <c r="B40" s="75">
        <f>IF('SKU Master'!B39="","",'SKU Master'!B39)</f>
        <v>428</v>
      </c>
      <c r="C40" s="75" t="str">
        <f>'SKU Master'!C39</f>
        <v>20 Mesh HQ(Juicer) 48"</v>
      </c>
      <c r="D40" s="94">
        <f>'SKU Master'!I39</f>
        <v>131</v>
      </c>
      <c r="E40" s="94">
        <f>'SKU Master'!J39</f>
        <v>36900</v>
      </c>
      <c r="F40" s="94">
        <f>'SKU Master'!K39</f>
        <v>0</v>
      </c>
      <c r="G40" s="94">
        <f>'SKU Master'!L39</f>
        <v>0</v>
      </c>
      <c r="H40" s="94">
        <f t="shared" si="0"/>
        <v>131</v>
      </c>
      <c r="I40" s="94">
        <f>H40*'SKU Master'!H39</f>
        <v>27820.505673503547</v>
      </c>
      <c r="J40" s="75" t="str">
        <f t="shared" si="1"/>
        <v>Produced</v>
      </c>
      <c r="K40" s="94">
        <f>IF(F40&gt;D40,D40*'SKU Master'!M39,G40)+I40</f>
        <v>27820.505673503547</v>
      </c>
      <c r="L40" s="94">
        <f t="shared" si="2"/>
        <v>9079.4943264964531</v>
      </c>
      <c r="M40" s="95">
        <f t="shared" si="3"/>
        <v>69.309116996156135</v>
      </c>
      <c r="N40" s="75" t="str">
        <f t="shared" si="4"/>
        <v>PROFIT</v>
      </c>
    </row>
    <row r="41" spans="1:14" ht="15" customHeight="1" x14ac:dyDescent="0.25">
      <c r="A41" s="75">
        <v>36</v>
      </c>
      <c r="B41" s="75">
        <f>IF('SKU Master'!B40="","",'SKU Master'!B40)</f>
        <v>438</v>
      </c>
      <c r="C41" s="75" t="str">
        <f>'SKU Master'!C40</f>
        <v>20 Mesh MQ 120"</v>
      </c>
      <c r="D41" s="94">
        <f>'SKU Master'!I40</f>
        <v>275.60000000000002</v>
      </c>
      <c r="E41" s="94">
        <f>'SKU Master'!J40</f>
        <v>73200</v>
      </c>
      <c r="F41" s="94">
        <f>'SKU Master'!K40</f>
        <v>0</v>
      </c>
      <c r="G41" s="94">
        <f>'SKU Master'!L40</f>
        <v>0</v>
      </c>
      <c r="H41" s="94">
        <f t="shared" si="0"/>
        <v>275.60000000000002</v>
      </c>
      <c r="I41" s="94">
        <f>H41*'SKU Master'!H40</f>
        <v>59079.665286350391</v>
      </c>
      <c r="J41" s="75" t="str">
        <f t="shared" si="1"/>
        <v>Produced</v>
      </c>
      <c r="K41" s="94">
        <f>IF(F41&gt;D41,D41*'SKU Master'!M40,G41)+I41</f>
        <v>59079.665286350391</v>
      </c>
      <c r="L41" s="94">
        <f t="shared" si="2"/>
        <v>14120.334713649609</v>
      </c>
      <c r="M41" s="95">
        <f t="shared" si="3"/>
        <v>51.234886479135007</v>
      </c>
      <c r="N41" s="75" t="str">
        <f t="shared" si="4"/>
        <v>PROFIT</v>
      </c>
    </row>
    <row r="42" spans="1:14" ht="15" customHeight="1" x14ac:dyDescent="0.25">
      <c r="A42" s="75">
        <v>37</v>
      </c>
      <c r="B42" s="75">
        <f>IF('SKU Master'!B41="","",'SKU Master'!B41)</f>
        <v>439</v>
      </c>
      <c r="C42" s="75" t="str">
        <f>'SKU Master'!C41</f>
        <v>20 Mesh MQ 120"</v>
      </c>
      <c r="D42" s="94">
        <f>'SKU Master'!I41</f>
        <v>702</v>
      </c>
      <c r="E42" s="94">
        <f>'SKU Master'!J41</f>
        <v>225000</v>
      </c>
      <c r="F42" s="94">
        <f>'SKU Master'!K41</f>
        <v>2933.5</v>
      </c>
      <c r="G42" s="94">
        <f>'SKU Master'!L41</f>
        <v>856936</v>
      </c>
      <c r="H42" s="94">
        <f t="shared" si="0"/>
        <v>0</v>
      </c>
      <c r="I42" s="94">
        <f>H42*'SKU Master'!H41</f>
        <v>0</v>
      </c>
      <c r="J42" s="75" t="str">
        <f t="shared" si="1"/>
        <v>EXCESS→INV</v>
      </c>
      <c r="K42" s="94">
        <f>IF(F42&gt;D42,D42*'SKU Master'!M41,G42)+I42</f>
        <v>205068.71382307823</v>
      </c>
      <c r="L42" s="94">
        <f t="shared" si="2"/>
        <v>19931.286176921771</v>
      </c>
      <c r="M42" s="95">
        <f t="shared" si="3"/>
        <v>28.392145551170614</v>
      </c>
      <c r="N42" s="75" t="str">
        <f t="shared" si="4"/>
        <v>THIN</v>
      </c>
    </row>
    <row r="43" spans="1:14" ht="15" customHeight="1" x14ac:dyDescent="0.25">
      <c r="A43" s="75">
        <v>38</v>
      </c>
      <c r="B43" s="75">
        <f>IF('SKU Master'!B42="","",'SKU Master'!B42)</f>
        <v>445</v>
      </c>
      <c r="C43" s="75" t="str">
        <f>'SKU Master'!C42</f>
        <v>20 Mesh MQ 42"</v>
      </c>
      <c r="D43" s="94">
        <f>'SKU Master'!I42</f>
        <v>432.8</v>
      </c>
      <c r="E43" s="94">
        <f>'SKU Master'!J42</f>
        <v>91800</v>
      </c>
      <c r="F43" s="94">
        <f>'SKU Master'!K42</f>
        <v>0</v>
      </c>
      <c r="G43" s="94">
        <f>'SKU Master'!L42</f>
        <v>0</v>
      </c>
      <c r="H43" s="94">
        <f t="shared" si="0"/>
        <v>432.8</v>
      </c>
      <c r="I43" s="94">
        <f>H43*'SKU Master'!H42</f>
        <v>99901.218355021789</v>
      </c>
      <c r="J43" s="75" t="str">
        <f t="shared" si="1"/>
        <v>Produced</v>
      </c>
      <c r="K43" s="94">
        <f>IF(F43&gt;D43,D43*'SKU Master'!M42,G43)+I43</f>
        <v>99901.218355021789</v>
      </c>
      <c r="L43" s="94">
        <f t="shared" si="2"/>
        <v>-8101.2183550217887</v>
      </c>
      <c r="M43" s="95">
        <f t="shared" si="3"/>
        <v>-18.718157012527239</v>
      </c>
      <c r="N43" s="75" t="str">
        <f t="shared" si="4"/>
        <v>LOSS</v>
      </c>
    </row>
    <row r="44" spans="1:14" ht="15" customHeight="1" x14ac:dyDescent="0.25">
      <c r="A44" s="75">
        <v>39</v>
      </c>
      <c r="B44" s="75">
        <f>IF('SKU Master'!B43="","",'SKU Master'!B43)</f>
        <v>451</v>
      </c>
      <c r="C44" s="75" t="str">
        <f>'SKU Master'!C43</f>
        <v>20 Mesh MQ 42"</v>
      </c>
      <c r="D44" s="94">
        <f>'SKU Master'!I43</f>
        <v>1192.0999999999999</v>
      </c>
      <c r="E44" s="94">
        <f>'SKU Master'!J43</f>
        <v>261360</v>
      </c>
      <c r="F44" s="94">
        <f>'SKU Master'!K43</f>
        <v>590.4</v>
      </c>
      <c r="G44" s="94">
        <f>'SKU Master'!L43</f>
        <v>127500</v>
      </c>
      <c r="H44" s="94">
        <f t="shared" si="0"/>
        <v>601.69999999999993</v>
      </c>
      <c r="I44" s="94">
        <f>H44*'SKU Master'!H43</f>
        <v>140496.11084550148</v>
      </c>
      <c r="J44" s="75" t="str">
        <f t="shared" si="1"/>
        <v>Produced</v>
      </c>
      <c r="K44" s="94">
        <f>IF(F44&gt;D44,D44*'SKU Master'!M43,G44)+I44</f>
        <v>267996.11084550148</v>
      </c>
      <c r="L44" s="94">
        <f t="shared" si="2"/>
        <v>-6636.1108455014764</v>
      </c>
      <c r="M44" s="95">
        <f t="shared" si="3"/>
        <v>-5.5667400767565445</v>
      </c>
      <c r="N44" s="75" t="str">
        <f t="shared" si="4"/>
        <v>LOSS</v>
      </c>
    </row>
    <row r="45" spans="1:14" ht="15" customHeight="1" x14ac:dyDescent="0.25">
      <c r="A45" s="75">
        <v>40</v>
      </c>
      <c r="B45" s="75">
        <f>IF('SKU Master'!B44="","",'SKU Master'!B44)</f>
        <v>453</v>
      </c>
      <c r="C45" s="75" t="str">
        <f>'SKU Master'!C44</f>
        <v>20 Mesh MQ 42"</v>
      </c>
      <c r="D45" s="94">
        <f>'SKU Master'!I44</f>
        <v>161.6</v>
      </c>
      <c r="E45" s="94">
        <f>'SKU Master'!J44</f>
        <v>45000</v>
      </c>
      <c r="F45" s="94">
        <f>'SKU Master'!K44</f>
        <v>0</v>
      </c>
      <c r="G45" s="94">
        <f>'SKU Master'!L44</f>
        <v>0</v>
      </c>
      <c r="H45" s="94">
        <f t="shared" si="0"/>
        <v>161.6</v>
      </c>
      <c r="I45" s="94">
        <f>H45*'SKU Master'!H44</f>
        <v>36537.940170050191</v>
      </c>
      <c r="J45" s="75" t="str">
        <f t="shared" si="1"/>
        <v>Produced</v>
      </c>
      <c r="K45" s="94">
        <f>IF(F45&gt;D45,D45*'SKU Master'!M44,G45)+I45</f>
        <v>36537.940170050191</v>
      </c>
      <c r="L45" s="94">
        <f t="shared" si="2"/>
        <v>8462.0598299498088</v>
      </c>
      <c r="M45" s="95">
        <f t="shared" si="3"/>
        <v>52.36423162097654</v>
      </c>
      <c r="N45" s="75" t="str">
        <f t="shared" si="4"/>
        <v>PROFIT</v>
      </c>
    </row>
    <row r="46" spans="1:14" ht="15" customHeight="1" x14ac:dyDescent="0.25">
      <c r="A46" s="75">
        <v>41</v>
      </c>
      <c r="B46" s="75">
        <f>IF('SKU Master'!B45="","",'SKU Master'!B45)</f>
        <v>454</v>
      </c>
      <c r="C46" s="75" t="str">
        <f>'SKU Master'!C45</f>
        <v>20 Mesh MQ 42"</v>
      </c>
      <c r="D46" s="94">
        <f>'SKU Master'!I45</f>
        <v>427.7</v>
      </c>
      <c r="E46" s="94">
        <f>'SKU Master'!J45</f>
        <v>124200</v>
      </c>
      <c r="F46" s="94">
        <f>'SKU Master'!K45</f>
        <v>1352</v>
      </c>
      <c r="G46" s="94">
        <f>'SKU Master'!L45</f>
        <v>380496</v>
      </c>
      <c r="H46" s="94">
        <f t="shared" si="0"/>
        <v>0</v>
      </c>
      <c r="I46" s="94">
        <f>H46*'SKU Master'!H45</f>
        <v>0</v>
      </c>
      <c r="J46" s="75" t="str">
        <f t="shared" si="1"/>
        <v>EXCESS→INV</v>
      </c>
      <c r="K46" s="94">
        <f>IF(F46&gt;D46,D46*'SKU Master'!M45,G46)+I46</f>
        <v>120368.44615384615</v>
      </c>
      <c r="L46" s="94">
        <f t="shared" si="2"/>
        <v>3831.5538461538526</v>
      </c>
      <c r="M46" s="95">
        <f t="shared" si="3"/>
        <v>8.958507940504683</v>
      </c>
      <c r="N46" s="75" t="str">
        <f t="shared" si="4"/>
        <v>THIN</v>
      </c>
    </row>
    <row r="47" spans="1:14" ht="15" customHeight="1" x14ac:dyDescent="0.25">
      <c r="A47" s="75">
        <v>42</v>
      </c>
      <c r="B47" s="75">
        <f>IF('SKU Master'!B46="","",'SKU Master'!B46)</f>
        <v>456</v>
      </c>
      <c r="C47" s="75" t="str">
        <f>'SKU Master'!C46</f>
        <v>20 Mesh MQ 48"</v>
      </c>
      <c r="D47" s="94">
        <f>'SKU Master'!I46</f>
        <v>734.3</v>
      </c>
      <c r="E47" s="94">
        <f>'SKU Master'!J46</f>
        <v>187200</v>
      </c>
      <c r="F47" s="94">
        <f>'SKU Master'!K46</f>
        <v>0</v>
      </c>
      <c r="G47" s="94">
        <f>'SKU Master'!L46</f>
        <v>0</v>
      </c>
      <c r="H47" s="94">
        <f t="shared" si="0"/>
        <v>734.3</v>
      </c>
      <c r="I47" s="94">
        <f>H47*'SKU Master'!H46</f>
        <v>157163.1846068803</v>
      </c>
      <c r="J47" s="75" t="str">
        <f t="shared" si="1"/>
        <v>Produced</v>
      </c>
      <c r="K47" s="94">
        <f>IF(F47&gt;D47,D47*'SKU Master'!M46,G47)+I47</f>
        <v>157163.1846068803</v>
      </c>
      <c r="L47" s="94">
        <f t="shared" si="2"/>
        <v>30036.815393119701</v>
      </c>
      <c r="M47" s="95">
        <f t="shared" si="3"/>
        <v>40.905372998937359</v>
      </c>
      <c r="N47" s="75" t="str">
        <f t="shared" si="4"/>
        <v>PROFIT</v>
      </c>
    </row>
    <row r="48" spans="1:14" ht="15" customHeight="1" x14ac:dyDescent="0.25">
      <c r="A48" s="75">
        <v>43</v>
      </c>
      <c r="B48" s="75">
        <f>IF('SKU Master'!B47="","",'SKU Master'!B47)</f>
        <v>457</v>
      </c>
      <c r="C48" s="75" t="str">
        <f>'SKU Master'!C47</f>
        <v>20 Mesh MQ 48"</v>
      </c>
      <c r="D48" s="94">
        <f>'SKU Master'!I47</f>
        <v>2095.1</v>
      </c>
      <c r="E48" s="94">
        <f>'SKU Master'!J47</f>
        <v>546000</v>
      </c>
      <c r="F48" s="94">
        <f>'SKU Master'!K47</f>
        <v>113.5</v>
      </c>
      <c r="G48" s="94">
        <f>'SKU Master'!L47</f>
        <v>24420</v>
      </c>
      <c r="H48" s="94">
        <f t="shared" si="0"/>
        <v>1981.6</v>
      </c>
      <c r="I48" s="94">
        <f>H48*'SKU Master'!H47</f>
        <v>426735.18620457075</v>
      </c>
      <c r="J48" s="75" t="str">
        <f t="shared" si="1"/>
        <v>Produced</v>
      </c>
      <c r="K48" s="94">
        <f>IF(F48&gt;D48,D48*'SKU Master'!M47,G48)+I48</f>
        <v>451155.18620457075</v>
      </c>
      <c r="L48" s="94">
        <f t="shared" si="2"/>
        <v>94844.813795429247</v>
      </c>
      <c r="M48" s="95">
        <f t="shared" si="3"/>
        <v>45.269826640938021</v>
      </c>
      <c r="N48" s="75" t="str">
        <f t="shared" si="4"/>
        <v>PROFIT</v>
      </c>
    </row>
    <row r="49" spans="1:14" ht="15" customHeight="1" x14ac:dyDescent="0.25">
      <c r="A49" s="75">
        <v>44</v>
      </c>
      <c r="B49" s="75">
        <f>IF('SKU Master'!B48="","",'SKU Master'!B48)</f>
        <v>458</v>
      </c>
      <c r="C49" s="75" t="str">
        <f>'SKU Master'!C48</f>
        <v>20 Mesh MQ 48"</v>
      </c>
      <c r="D49" s="94">
        <f>'SKU Master'!I48</f>
        <v>1807.2</v>
      </c>
      <c r="E49" s="94">
        <f>'SKU Master'!J48</f>
        <v>468990</v>
      </c>
      <c r="F49" s="94">
        <f>'SKU Master'!K48</f>
        <v>0</v>
      </c>
      <c r="G49" s="94">
        <f>'SKU Master'!L48</f>
        <v>0</v>
      </c>
      <c r="H49" s="94">
        <f t="shared" si="0"/>
        <v>1807.2</v>
      </c>
      <c r="I49" s="94">
        <f>H49*'SKU Master'!H48</f>
        <v>391118.30786450143</v>
      </c>
      <c r="J49" s="75" t="str">
        <f t="shared" si="1"/>
        <v>Produced</v>
      </c>
      <c r="K49" s="94">
        <f>IF(F49&gt;D49,D49*'SKU Master'!M48,G49)+I49</f>
        <v>391118.30786450143</v>
      </c>
      <c r="L49" s="94">
        <f t="shared" si="2"/>
        <v>77871.692135498568</v>
      </c>
      <c r="M49" s="95">
        <f t="shared" si="3"/>
        <v>43.089692416721206</v>
      </c>
      <c r="N49" s="75" t="str">
        <f t="shared" si="4"/>
        <v>PROFIT</v>
      </c>
    </row>
    <row r="50" spans="1:14" ht="15" customHeight="1" x14ac:dyDescent="0.25">
      <c r="A50" s="75">
        <v>45</v>
      </c>
      <c r="B50" s="75">
        <f>IF('SKU Master'!B49="","",'SKU Master'!B49)</f>
        <v>459</v>
      </c>
      <c r="C50" s="75" t="str">
        <f>'SKU Master'!C49</f>
        <v>20 Mesh MQ 48"</v>
      </c>
      <c r="D50" s="94">
        <f>'SKU Master'!I49</f>
        <v>1501.8</v>
      </c>
      <c r="E50" s="94">
        <f>'SKU Master'!J49</f>
        <v>390000</v>
      </c>
      <c r="F50" s="94">
        <f>'SKU Master'!K49</f>
        <v>455.5</v>
      </c>
      <c r="G50" s="94">
        <f>'SKU Master'!L49</f>
        <v>103840</v>
      </c>
      <c r="H50" s="94">
        <f t="shared" si="0"/>
        <v>1046.3</v>
      </c>
      <c r="I50" s="94">
        <f>H50*'SKU Master'!H49</f>
        <v>225763.77777780683</v>
      </c>
      <c r="J50" s="75" t="str">
        <f t="shared" si="1"/>
        <v>Produced</v>
      </c>
      <c r="K50" s="94">
        <f>IF(F50&gt;D50,D50*'SKU Master'!M49,G50)+I50</f>
        <v>329603.77777780686</v>
      </c>
      <c r="L50" s="94">
        <f t="shared" si="2"/>
        <v>60396.222222193144</v>
      </c>
      <c r="M50" s="95">
        <f t="shared" si="3"/>
        <v>40.215889081231289</v>
      </c>
      <c r="N50" s="75" t="str">
        <f t="shared" si="4"/>
        <v>PROFIT</v>
      </c>
    </row>
    <row r="51" spans="1:14" ht="15" customHeight="1" x14ac:dyDescent="0.25">
      <c r="A51" s="75">
        <v>46</v>
      </c>
      <c r="B51" s="75">
        <f>IF('SKU Master'!B50="","",'SKU Master'!B50)</f>
        <v>460</v>
      </c>
      <c r="C51" s="75" t="str">
        <f>'SKU Master'!C50</f>
        <v>20 Mesh MQ 48"</v>
      </c>
      <c r="D51" s="94">
        <f>'SKU Master'!I50</f>
        <v>205.1</v>
      </c>
      <c r="E51" s="94">
        <f>'SKU Master'!J50</f>
        <v>63000</v>
      </c>
      <c r="F51" s="94">
        <f>'SKU Master'!K50</f>
        <v>0</v>
      </c>
      <c r="G51" s="94">
        <f>'SKU Master'!L50</f>
        <v>0</v>
      </c>
      <c r="H51" s="94">
        <f t="shared" si="0"/>
        <v>205.1</v>
      </c>
      <c r="I51" s="94">
        <f>H51*'SKU Master'!H50</f>
        <v>44001.643253201059</v>
      </c>
      <c r="J51" s="75" t="str">
        <f t="shared" si="1"/>
        <v>Produced</v>
      </c>
      <c r="K51" s="94">
        <f>IF(F51&gt;D51,D51*'SKU Master'!M50,G51)+I51</f>
        <v>44001.643253201059</v>
      </c>
      <c r="L51" s="94">
        <f t="shared" si="2"/>
        <v>18998.356746798941</v>
      </c>
      <c r="M51" s="95">
        <f t="shared" si="3"/>
        <v>92.629725727932438</v>
      </c>
      <c r="N51" s="75" t="str">
        <f t="shared" si="4"/>
        <v>PROFIT</v>
      </c>
    </row>
    <row r="52" spans="1:14" ht="15" customHeight="1" x14ac:dyDescent="0.25">
      <c r="A52" s="75">
        <v>47</v>
      </c>
      <c r="B52" s="75">
        <f>IF('SKU Master'!B51="","",'SKU Master'!B51)</f>
        <v>468</v>
      </c>
      <c r="C52" s="75" t="str">
        <f>'SKU Master'!C51</f>
        <v>20 Mesh MQ 48"</v>
      </c>
      <c r="D52" s="94">
        <f>'SKU Master'!I51</f>
        <v>299.60000000000002</v>
      </c>
      <c r="E52" s="94">
        <f>'SKU Master'!J51</f>
        <v>90000</v>
      </c>
      <c r="F52" s="94">
        <f>'SKU Master'!K51</f>
        <v>0</v>
      </c>
      <c r="G52" s="94">
        <f>'SKU Master'!L51</f>
        <v>0</v>
      </c>
      <c r="H52" s="94">
        <f t="shared" si="0"/>
        <v>299.60000000000002</v>
      </c>
      <c r="I52" s="94">
        <f>H52*'SKU Master'!H51</f>
        <v>64472.936892525162</v>
      </c>
      <c r="J52" s="75" t="str">
        <f t="shared" si="1"/>
        <v>Produced</v>
      </c>
      <c r="K52" s="94">
        <f>IF(F52&gt;D52,D52*'SKU Master'!M51,G52)+I52</f>
        <v>64472.936892525162</v>
      </c>
      <c r="L52" s="94">
        <f t="shared" si="2"/>
        <v>25527.063107474838</v>
      </c>
      <c r="M52" s="95">
        <f t="shared" si="3"/>
        <v>85.203815445510131</v>
      </c>
      <c r="N52" s="75" t="str">
        <f t="shared" si="4"/>
        <v>PROFIT</v>
      </c>
    </row>
    <row r="53" spans="1:14" ht="15" customHeight="1" x14ac:dyDescent="0.25">
      <c r="A53" s="75">
        <v>48</v>
      </c>
      <c r="B53" s="75">
        <f>IF('SKU Master'!B52="","",'SKU Master'!B52)</f>
        <v>469</v>
      </c>
      <c r="C53" s="75" t="str">
        <f>'SKU Master'!C52</f>
        <v>20 Mesh MQ 60"</v>
      </c>
      <c r="D53" s="94">
        <f>'SKU Master'!I52</f>
        <v>850</v>
      </c>
      <c r="E53" s="94">
        <f>'SKU Master'!J52</f>
        <v>219375</v>
      </c>
      <c r="F53" s="94">
        <f>'SKU Master'!K52</f>
        <v>0</v>
      </c>
      <c r="G53" s="94">
        <f>'SKU Master'!L52</f>
        <v>0</v>
      </c>
      <c r="H53" s="94">
        <f t="shared" si="0"/>
        <v>850</v>
      </c>
      <c r="I53" s="94">
        <f>H53*'SKU Master'!H52</f>
        <v>181066.11968535685</v>
      </c>
      <c r="J53" s="75" t="str">
        <f t="shared" si="1"/>
        <v>Produced</v>
      </c>
      <c r="K53" s="94">
        <f>IF(F53&gt;D53,D53*'SKU Master'!M52,G53)+I53</f>
        <v>181066.11968535685</v>
      </c>
      <c r="L53" s="94">
        <f t="shared" si="2"/>
        <v>38308.880314643146</v>
      </c>
      <c r="M53" s="95">
        <f t="shared" si="3"/>
        <v>45.069270958403699</v>
      </c>
      <c r="N53" s="75" t="str">
        <f t="shared" si="4"/>
        <v>PROFIT</v>
      </c>
    </row>
    <row r="54" spans="1:14" ht="15" customHeight="1" x14ac:dyDescent="0.25">
      <c r="A54" s="75">
        <v>49</v>
      </c>
      <c r="B54" s="75">
        <f>IF('SKU Master'!B53="","",'SKU Master'!B53)</f>
        <v>470</v>
      </c>
      <c r="C54" s="75" t="str">
        <f>'SKU Master'!C53</f>
        <v>20 Mesh MQ 60"</v>
      </c>
      <c r="D54" s="94">
        <f>'SKU Master'!I53</f>
        <v>2851.9</v>
      </c>
      <c r="E54" s="94">
        <f>'SKU Master'!J53</f>
        <v>731250</v>
      </c>
      <c r="F54" s="94">
        <f>'SKU Master'!K53</f>
        <v>0</v>
      </c>
      <c r="G54" s="94">
        <f>'SKU Master'!L53</f>
        <v>0</v>
      </c>
      <c r="H54" s="94">
        <f t="shared" si="0"/>
        <v>2851.9</v>
      </c>
      <c r="I54" s="94">
        <f>H54*'SKU Master'!H53</f>
        <v>604040.34099630488</v>
      </c>
      <c r="J54" s="75" t="str">
        <f t="shared" si="1"/>
        <v>Produced</v>
      </c>
      <c r="K54" s="94">
        <f>IF(F54&gt;D54,D54*'SKU Master'!M53,G54)+I54</f>
        <v>604040.34099630488</v>
      </c>
      <c r="L54" s="94">
        <f t="shared" si="2"/>
        <v>127209.65900369512</v>
      </c>
      <c r="M54" s="95">
        <f t="shared" si="3"/>
        <v>44.605231250638212</v>
      </c>
      <c r="N54" s="75" t="str">
        <f t="shared" si="4"/>
        <v>PROFIT</v>
      </c>
    </row>
    <row r="55" spans="1:14" ht="15" customHeight="1" x14ac:dyDescent="0.25">
      <c r="A55" s="75">
        <v>50</v>
      </c>
      <c r="B55" s="75">
        <f>IF('SKU Master'!B54="","",'SKU Master'!B54)</f>
        <v>471</v>
      </c>
      <c r="C55" s="75" t="str">
        <f>'SKU Master'!C54</f>
        <v>20 Mesh MQ 60"</v>
      </c>
      <c r="D55" s="94">
        <f>'SKU Master'!I54</f>
        <v>1935.4</v>
      </c>
      <c r="E55" s="94">
        <f>'SKU Master'!J54</f>
        <v>511875</v>
      </c>
      <c r="F55" s="94">
        <f>'SKU Master'!K54</f>
        <v>0</v>
      </c>
      <c r="G55" s="94">
        <f>'SKU Master'!L54</f>
        <v>0</v>
      </c>
      <c r="H55" s="94">
        <f t="shared" si="0"/>
        <v>1935.4</v>
      </c>
      <c r="I55" s="94">
        <f>H55*'SKU Master'!H54</f>
        <v>410829.75984342198</v>
      </c>
      <c r="J55" s="75" t="str">
        <f t="shared" si="1"/>
        <v>Produced</v>
      </c>
      <c r="K55" s="94">
        <f>IF(F55&gt;D55,D55*'SKU Master'!M54,G55)+I55</f>
        <v>410829.75984342198</v>
      </c>
      <c r="L55" s="94">
        <f t="shared" si="2"/>
        <v>101045.24015657802</v>
      </c>
      <c r="M55" s="95">
        <f t="shared" si="3"/>
        <v>52.208969802923434</v>
      </c>
      <c r="N55" s="75" t="str">
        <f t="shared" si="4"/>
        <v>PROFIT</v>
      </c>
    </row>
    <row r="56" spans="1:14" ht="15" customHeight="1" x14ac:dyDescent="0.25">
      <c r="A56" s="75">
        <v>51</v>
      </c>
      <c r="B56" s="75">
        <f>IF('SKU Master'!B55="","",'SKU Master'!B55)</f>
        <v>472</v>
      </c>
      <c r="C56" s="75" t="str">
        <f>'SKU Master'!C55</f>
        <v>20 Mesh MQ 60"</v>
      </c>
      <c r="D56" s="94">
        <f>'SKU Master'!I55</f>
        <v>1898.7</v>
      </c>
      <c r="E56" s="94">
        <f>'SKU Master'!J55</f>
        <v>511875</v>
      </c>
      <c r="F56" s="94">
        <f>'SKU Master'!K55</f>
        <v>0</v>
      </c>
      <c r="G56" s="94">
        <f>'SKU Master'!L55</f>
        <v>0</v>
      </c>
      <c r="H56" s="94">
        <f t="shared" si="0"/>
        <v>1898.7</v>
      </c>
      <c r="I56" s="94">
        <f>H56*'SKU Master'!H55</f>
        <v>401944.59311001562</v>
      </c>
      <c r="J56" s="75" t="str">
        <f t="shared" si="1"/>
        <v>Produced</v>
      </c>
      <c r="K56" s="94">
        <f>IF(F56&gt;D56,D56*'SKU Master'!M55,G56)+I56</f>
        <v>401944.59311001562</v>
      </c>
      <c r="L56" s="94">
        <f t="shared" si="2"/>
        <v>109930.40688998438</v>
      </c>
      <c r="M56" s="95">
        <f t="shared" si="3"/>
        <v>57.89772312107462</v>
      </c>
      <c r="N56" s="75" t="str">
        <f t="shared" si="4"/>
        <v>PROFIT</v>
      </c>
    </row>
    <row r="57" spans="1:14" ht="15" customHeight="1" x14ac:dyDescent="0.25">
      <c r="A57" s="75">
        <v>52</v>
      </c>
      <c r="B57" s="75">
        <f>IF('SKU Master'!B56="","",'SKU Master'!B56)</f>
        <v>478</v>
      </c>
      <c r="C57" s="75" t="str">
        <f>'SKU Master'!C56</f>
        <v>20 Mesh MQ 84"</v>
      </c>
      <c r="D57" s="94">
        <f>'SKU Master'!I56</f>
        <v>298.8</v>
      </c>
      <c r="E57" s="94">
        <f>'SKU Master'!J56</f>
        <v>59400</v>
      </c>
      <c r="F57" s="94">
        <f>'SKU Master'!K56</f>
        <v>0</v>
      </c>
      <c r="G57" s="94">
        <f>'SKU Master'!L56</f>
        <v>0</v>
      </c>
      <c r="H57" s="94">
        <f t="shared" si="0"/>
        <v>298.8</v>
      </c>
      <c r="I57" s="94">
        <f>H57*'SKU Master'!H56</f>
        <v>64063.724466454783</v>
      </c>
      <c r="J57" s="75" t="str">
        <f t="shared" si="1"/>
        <v>Produced</v>
      </c>
      <c r="K57" s="94">
        <f>IF(F57&gt;D57,D57*'SKU Master'!M56,G57)+I57</f>
        <v>64063.724466454783</v>
      </c>
      <c r="L57" s="94">
        <f t="shared" si="2"/>
        <v>-4663.7244664547834</v>
      </c>
      <c r="M57" s="95">
        <f t="shared" si="3"/>
        <v>-15.608180945297132</v>
      </c>
      <c r="N57" s="75" t="str">
        <f t="shared" si="4"/>
        <v>LOSS</v>
      </c>
    </row>
    <row r="58" spans="1:14" ht="15" customHeight="1" x14ac:dyDescent="0.25">
      <c r="A58" s="75">
        <v>53</v>
      </c>
      <c r="B58" s="75">
        <f>IF('SKU Master'!B57="","",'SKU Master'!B57)</f>
        <v>484</v>
      </c>
      <c r="C58" s="75" t="str">
        <f>'SKU Master'!C57</f>
        <v>20 Mesh MQ 84"</v>
      </c>
      <c r="D58" s="94">
        <f>'SKU Master'!I57</f>
        <v>101.5</v>
      </c>
      <c r="E58" s="94">
        <f>'SKU Master'!J57</f>
        <v>30000</v>
      </c>
      <c r="F58" s="94">
        <f>'SKU Master'!K57</f>
        <v>0</v>
      </c>
      <c r="G58" s="94">
        <f>'SKU Master'!L57</f>
        <v>0</v>
      </c>
      <c r="H58" s="94">
        <f t="shared" si="0"/>
        <v>101.5</v>
      </c>
      <c r="I58" s="94">
        <f>H58*'SKU Master'!H57</f>
        <v>21648.347567846839</v>
      </c>
      <c r="J58" s="75" t="str">
        <f t="shared" si="1"/>
        <v>Produced</v>
      </c>
      <c r="K58" s="94">
        <f>IF(F58&gt;D58,D58*'SKU Master'!M57,G58)+I58</f>
        <v>21648.347567846839</v>
      </c>
      <c r="L58" s="94">
        <f t="shared" si="2"/>
        <v>8351.6524321531615</v>
      </c>
      <c r="M58" s="95">
        <f t="shared" si="3"/>
        <v>82.282289971952324</v>
      </c>
      <c r="N58" s="75" t="str">
        <f t="shared" si="4"/>
        <v>PROFIT</v>
      </c>
    </row>
    <row r="59" spans="1:14" ht="15" customHeight="1" x14ac:dyDescent="0.25">
      <c r="A59" s="75">
        <v>54</v>
      </c>
      <c r="B59" s="75">
        <f>IF('SKU Master'!B58="","",'SKU Master'!B58)</f>
        <v>487</v>
      </c>
      <c r="C59" s="75" t="str">
        <f>'SKU Master'!C58</f>
        <v>20 Mesh MQ 84"</v>
      </c>
      <c r="D59" s="94">
        <f>'SKU Master'!I58</f>
        <v>782.5</v>
      </c>
      <c r="E59" s="94">
        <f>'SKU Master'!J58</f>
        <v>156240</v>
      </c>
      <c r="F59" s="94">
        <f>'SKU Master'!K58</f>
        <v>0</v>
      </c>
      <c r="G59" s="94">
        <f>'SKU Master'!L58</f>
        <v>0</v>
      </c>
      <c r="H59" s="94">
        <f t="shared" si="0"/>
        <v>782.5</v>
      </c>
      <c r="I59" s="94">
        <f>H59*'SKU Master'!H58</f>
        <v>170767.88107627735</v>
      </c>
      <c r="J59" s="75" t="str">
        <f t="shared" si="1"/>
        <v>Produced</v>
      </c>
      <c r="K59" s="94">
        <f>IF(F59&gt;D59,D59*'SKU Master'!M58,G59)+I59</f>
        <v>170767.88107627735</v>
      </c>
      <c r="L59" s="94">
        <f t="shared" si="2"/>
        <v>-14527.88107627735</v>
      </c>
      <c r="M59" s="95">
        <f t="shared" si="3"/>
        <v>-18.56598220610524</v>
      </c>
      <c r="N59" s="75" t="str">
        <f t="shared" si="4"/>
        <v>LOSS</v>
      </c>
    </row>
    <row r="60" spans="1:14" ht="15" customHeight="1" x14ac:dyDescent="0.25">
      <c r="A60" s="75">
        <v>55</v>
      </c>
      <c r="B60" s="75">
        <f>IF('SKU Master'!B59="","",'SKU Master'!B59)</f>
        <v>489</v>
      </c>
      <c r="C60" s="75" t="str">
        <f>'SKU Master'!C59</f>
        <v>20 Mesh MQ 84"</v>
      </c>
      <c r="D60" s="94">
        <f>'SKU Master'!I59</f>
        <v>596.9</v>
      </c>
      <c r="E60" s="94">
        <f>'SKU Master'!J59</f>
        <v>154440</v>
      </c>
      <c r="F60" s="94">
        <f>'SKU Master'!K59</f>
        <v>0</v>
      </c>
      <c r="G60" s="94">
        <f>'SKU Master'!L59</f>
        <v>0</v>
      </c>
      <c r="H60" s="94">
        <f t="shared" si="0"/>
        <v>596.9</v>
      </c>
      <c r="I60" s="94">
        <f>H60*'SKU Master'!H59</f>
        <v>132038.46526643264</v>
      </c>
      <c r="J60" s="75" t="str">
        <f t="shared" si="1"/>
        <v>Produced</v>
      </c>
      <c r="K60" s="94">
        <f>IF(F60&gt;D60,D60*'SKU Master'!M59,G60)+I60</f>
        <v>132038.46526643264</v>
      </c>
      <c r="L60" s="94">
        <f t="shared" si="2"/>
        <v>22401.534733567358</v>
      </c>
      <c r="M60" s="95">
        <f t="shared" si="3"/>
        <v>37.529795164294455</v>
      </c>
      <c r="N60" s="75" t="str">
        <f t="shared" si="4"/>
        <v>PROFIT</v>
      </c>
    </row>
    <row r="61" spans="1:14" ht="15" customHeight="1" x14ac:dyDescent="0.25">
      <c r="A61" s="75">
        <v>56</v>
      </c>
      <c r="B61" s="75">
        <f>IF('SKU Master'!B60="","",'SKU Master'!B60)</f>
        <v>490</v>
      </c>
      <c r="C61" s="75" t="str">
        <f>'SKU Master'!C60</f>
        <v>20 Mesh MQ 84"</v>
      </c>
      <c r="D61" s="94">
        <f>'SKU Master'!I60</f>
        <v>156.19999999999999</v>
      </c>
      <c r="E61" s="94">
        <f>'SKU Master'!J60</f>
        <v>38700</v>
      </c>
      <c r="F61" s="94">
        <f>'SKU Master'!K60</f>
        <v>0</v>
      </c>
      <c r="G61" s="94">
        <f>'SKU Master'!L60</f>
        <v>0</v>
      </c>
      <c r="H61" s="94">
        <f t="shared" si="0"/>
        <v>156.19999999999999</v>
      </c>
      <c r="I61" s="94">
        <f>H61*'SKU Master'!H60</f>
        <v>33442.515804608869</v>
      </c>
      <c r="J61" s="75" t="str">
        <f t="shared" si="1"/>
        <v>Produced</v>
      </c>
      <c r="K61" s="94">
        <f>IF(F61&gt;D61,D61*'SKU Master'!M60,G61)+I61</f>
        <v>33442.515804608869</v>
      </c>
      <c r="L61" s="94">
        <f t="shared" si="2"/>
        <v>5257.4841953911309</v>
      </c>
      <c r="M61" s="95">
        <f t="shared" si="3"/>
        <v>33.658669624783172</v>
      </c>
      <c r="N61" s="75" t="str">
        <f t="shared" si="4"/>
        <v>PROFIT</v>
      </c>
    </row>
    <row r="62" spans="1:14" ht="15" customHeight="1" x14ac:dyDescent="0.25">
      <c r="A62" s="75">
        <v>57</v>
      </c>
      <c r="B62" s="75">
        <f>IF('SKU Master'!B61="","",'SKU Master'!B61)</f>
        <v>493</v>
      </c>
      <c r="C62" s="75" t="str">
        <f>'SKU Master'!C61</f>
        <v>20 Mesh MQ 84"</v>
      </c>
      <c r="D62" s="94">
        <f>'SKU Master'!I61</f>
        <v>993.8</v>
      </c>
      <c r="E62" s="94">
        <f>'SKU Master'!J61</f>
        <v>211680</v>
      </c>
      <c r="F62" s="94">
        <f>'SKU Master'!K61</f>
        <v>0</v>
      </c>
      <c r="G62" s="94">
        <f>'SKU Master'!L61</f>
        <v>0</v>
      </c>
      <c r="H62" s="94">
        <f t="shared" si="0"/>
        <v>993.8</v>
      </c>
      <c r="I62" s="94">
        <f>H62*'SKU Master'!H61</f>
        <v>216692.56020861233</v>
      </c>
      <c r="J62" s="75" t="str">
        <f t="shared" si="1"/>
        <v>Produced</v>
      </c>
      <c r="K62" s="94">
        <f>IF(F62&gt;D62,D62*'SKU Master'!M61,G62)+I62</f>
        <v>216692.56020861233</v>
      </c>
      <c r="L62" s="94">
        <f t="shared" si="2"/>
        <v>-5012.5602086123254</v>
      </c>
      <c r="M62" s="95">
        <f t="shared" si="3"/>
        <v>-5.0438319668065263</v>
      </c>
      <c r="N62" s="75" t="str">
        <f t="shared" si="4"/>
        <v>LOSS</v>
      </c>
    </row>
    <row r="63" spans="1:14" ht="15" customHeight="1" x14ac:dyDescent="0.25">
      <c r="A63" s="75">
        <v>58</v>
      </c>
      <c r="B63" s="75">
        <f>IF('SKU Master'!B62="","",'SKU Master'!B62)</f>
        <v>495</v>
      </c>
      <c r="C63" s="75" t="str">
        <f>'SKU Master'!C62</f>
        <v>20 Mesh MQ 84"</v>
      </c>
      <c r="D63" s="94">
        <f>'SKU Master'!I62</f>
        <v>5843.4</v>
      </c>
      <c r="E63" s="94">
        <f>'SKU Master'!J62</f>
        <v>1446120</v>
      </c>
      <c r="F63" s="94">
        <f>'SKU Master'!K62</f>
        <v>0</v>
      </c>
      <c r="G63" s="94">
        <f>'SKU Master'!L62</f>
        <v>0</v>
      </c>
      <c r="H63" s="94">
        <f t="shared" si="0"/>
        <v>5843.4</v>
      </c>
      <c r="I63" s="94">
        <f>H63*'SKU Master'!H62</f>
        <v>1291096.9110910813</v>
      </c>
      <c r="J63" s="75" t="str">
        <f t="shared" si="1"/>
        <v>Produced</v>
      </c>
      <c r="K63" s="94">
        <f>IF(F63&gt;D63,D63*'SKU Master'!M62,G63)+I63</f>
        <v>1291096.9110910813</v>
      </c>
      <c r="L63" s="94">
        <f t="shared" si="2"/>
        <v>155023.08890891867</v>
      </c>
      <c r="M63" s="95">
        <f t="shared" si="3"/>
        <v>26.529604153218791</v>
      </c>
      <c r="N63" s="75" t="str">
        <f t="shared" si="4"/>
        <v>PROFIT</v>
      </c>
    </row>
    <row r="64" spans="1:14" ht="15" customHeight="1" x14ac:dyDescent="0.25">
      <c r="A64" s="75">
        <v>59</v>
      </c>
      <c r="B64" s="75">
        <f>IF('SKU Master'!B63="","",'SKU Master'!B63)</f>
        <v>497</v>
      </c>
      <c r="C64" s="75" t="str">
        <f>'SKU Master'!C63</f>
        <v>20 Mesh MQ 84"</v>
      </c>
      <c r="D64" s="94">
        <f>'SKU Master'!I63</f>
        <v>51</v>
      </c>
      <c r="E64" s="94">
        <f>'SKU Master'!J63</f>
        <v>15000</v>
      </c>
      <c r="F64" s="94">
        <f>'SKU Master'!K63</f>
        <v>0</v>
      </c>
      <c r="G64" s="94">
        <f>'SKU Master'!L63</f>
        <v>0</v>
      </c>
      <c r="H64" s="94">
        <f t="shared" si="0"/>
        <v>51</v>
      </c>
      <c r="I64" s="94">
        <f>H64*'SKU Master'!H63</f>
        <v>10921.731293889241</v>
      </c>
      <c r="J64" s="75" t="str">
        <f t="shared" si="1"/>
        <v>Produced</v>
      </c>
      <c r="K64" s="94">
        <f>IF(F64&gt;D64,D64*'SKU Master'!M63,G64)+I64</f>
        <v>10921.731293889241</v>
      </c>
      <c r="L64" s="94">
        <f t="shared" si="2"/>
        <v>4078.268706110759</v>
      </c>
      <c r="M64" s="95">
        <f t="shared" si="3"/>
        <v>79.966053060995279</v>
      </c>
      <c r="N64" s="75" t="str">
        <f t="shared" si="4"/>
        <v>PROFIT</v>
      </c>
    </row>
    <row r="65" spans="1:14" ht="15" customHeight="1" x14ac:dyDescent="0.25">
      <c r="A65" s="75">
        <v>60</v>
      </c>
      <c r="B65" s="75">
        <f>IF('SKU Master'!B64="","",'SKU Master'!B64)</f>
        <v>499</v>
      </c>
      <c r="C65" s="75" t="str">
        <f>'SKU Master'!C64</f>
        <v>20  Mesh SHQ 39"</v>
      </c>
      <c r="D65" s="94">
        <f>'SKU Master'!I64</f>
        <v>14.5</v>
      </c>
      <c r="E65" s="94">
        <f>'SKU Master'!J64</f>
        <v>5850</v>
      </c>
      <c r="F65" s="94">
        <f>'SKU Master'!K64</f>
        <v>0</v>
      </c>
      <c r="G65" s="94">
        <f>'SKU Master'!L64</f>
        <v>0</v>
      </c>
      <c r="H65" s="94">
        <f t="shared" si="0"/>
        <v>14.5</v>
      </c>
      <c r="I65" s="94">
        <f>H65*'SKU Master'!H64</f>
        <v>3241.9772201556884</v>
      </c>
      <c r="J65" s="75" t="str">
        <f t="shared" si="1"/>
        <v>Produced</v>
      </c>
      <c r="K65" s="94">
        <f>IF(F65&gt;D65,D65*'SKU Master'!M64,G65)+I65</f>
        <v>3241.9772201556884</v>
      </c>
      <c r="L65" s="94">
        <f t="shared" si="2"/>
        <v>2608.0227798443116</v>
      </c>
      <c r="M65" s="95">
        <f t="shared" si="3"/>
        <v>179.86363998926288</v>
      </c>
      <c r="N65" s="75" t="str">
        <f t="shared" si="4"/>
        <v>PROFIT</v>
      </c>
    </row>
    <row r="66" spans="1:14" ht="15" customHeight="1" x14ac:dyDescent="0.25">
      <c r="A66" s="75">
        <v>61</v>
      </c>
      <c r="B66" s="75">
        <f>IF('SKU Master'!B65="","",'SKU Master'!B65)</f>
        <v>504</v>
      </c>
      <c r="C66" s="75" t="str">
        <f>'SKU Master'!C65</f>
        <v>20 Mesh SHQ 48"</v>
      </c>
      <c r="D66" s="94">
        <f>'SKU Master'!I65</f>
        <v>23.11</v>
      </c>
      <c r="E66" s="94">
        <f>'SKU Master'!J65</f>
        <v>10470</v>
      </c>
      <c r="F66" s="94">
        <f>'SKU Master'!K65</f>
        <v>0</v>
      </c>
      <c r="G66" s="94">
        <f>'SKU Master'!L65</f>
        <v>0</v>
      </c>
      <c r="H66" s="94">
        <f t="shared" si="0"/>
        <v>23.11</v>
      </c>
      <c r="I66" s="94">
        <f>H66*'SKU Master'!H65</f>
        <v>4916.0233218631392</v>
      </c>
      <c r="J66" s="75" t="str">
        <f t="shared" si="1"/>
        <v>Produced</v>
      </c>
      <c r="K66" s="94">
        <f>IF(F66&gt;D66,D66*'SKU Master'!M65,G66)+I66</f>
        <v>4916.0233218631392</v>
      </c>
      <c r="L66" s="94">
        <f t="shared" si="2"/>
        <v>5553.9766781368608</v>
      </c>
      <c r="M66" s="95">
        <f t="shared" si="3"/>
        <v>240.32785279692172</v>
      </c>
      <c r="N66" s="75" t="str">
        <f t="shared" si="4"/>
        <v>PROFIT</v>
      </c>
    </row>
    <row r="67" spans="1:14" ht="15" customHeight="1" x14ac:dyDescent="0.25">
      <c r="A67" s="75">
        <v>62</v>
      </c>
      <c r="B67" s="75">
        <f>IF('SKU Master'!B66="","",'SKU Master'!B66)</f>
        <v>508</v>
      </c>
      <c r="C67" s="75" t="str">
        <f>'SKU Master'!C66</f>
        <v>20 Mesh SHQ 48"</v>
      </c>
      <c r="D67" s="94">
        <f>'SKU Master'!I66</f>
        <v>78.7</v>
      </c>
      <c r="E67" s="94">
        <f>'SKU Master'!J66</f>
        <v>39600</v>
      </c>
      <c r="F67" s="94">
        <f>'SKU Master'!K66</f>
        <v>0</v>
      </c>
      <c r="G67" s="94">
        <f>'SKU Master'!L66</f>
        <v>0</v>
      </c>
      <c r="H67" s="94">
        <f t="shared" si="0"/>
        <v>78.7</v>
      </c>
      <c r="I67" s="94">
        <f>H67*'SKU Master'!H66</f>
        <v>17200.743040571822</v>
      </c>
      <c r="J67" s="75" t="str">
        <f t="shared" si="1"/>
        <v>Produced</v>
      </c>
      <c r="K67" s="94">
        <f>IF(F67&gt;D67,D67*'SKU Master'!M66,G67)+I67</f>
        <v>17200.743040571822</v>
      </c>
      <c r="L67" s="94">
        <f t="shared" si="2"/>
        <v>22399.256959428178</v>
      </c>
      <c r="M67" s="95">
        <f t="shared" si="3"/>
        <v>284.61571740061214</v>
      </c>
      <c r="N67" s="75" t="str">
        <f t="shared" si="4"/>
        <v>PROFIT</v>
      </c>
    </row>
    <row r="68" spans="1:14" ht="15" customHeight="1" x14ac:dyDescent="0.25">
      <c r="A68" s="75">
        <v>63</v>
      </c>
      <c r="B68" s="75">
        <f>IF('SKU Master'!B67="","",'SKU Master'!B67)</f>
        <v>539</v>
      </c>
      <c r="C68" s="75" t="str">
        <f>'SKU Master'!C67</f>
        <v>24 Mesh LQ 42"</v>
      </c>
      <c r="D68" s="94">
        <f>'SKU Master'!I67</f>
        <v>969.82</v>
      </c>
      <c r="E68" s="94">
        <f>'SKU Master'!J67</f>
        <v>338625</v>
      </c>
      <c r="F68" s="94">
        <f>'SKU Master'!K67</f>
        <v>0</v>
      </c>
      <c r="G68" s="94">
        <f>'SKU Master'!L67</f>
        <v>0</v>
      </c>
      <c r="H68" s="94">
        <f t="shared" si="0"/>
        <v>969.82</v>
      </c>
      <c r="I68" s="94">
        <f>H68*'SKU Master'!H67</f>
        <v>238468.69633359605</v>
      </c>
      <c r="J68" s="75" t="str">
        <f t="shared" si="1"/>
        <v>Produced</v>
      </c>
      <c r="K68" s="94">
        <f>IF(F68&gt;D68,D68*'SKU Master'!M67,G68)+I68</f>
        <v>238468.69633359605</v>
      </c>
      <c r="L68" s="94">
        <f t="shared" si="2"/>
        <v>100156.30366640395</v>
      </c>
      <c r="M68" s="95">
        <f t="shared" si="3"/>
        <v>103.27308538327107</v>
      </c>
      <c r="N68" s="75" t="str">
        <f t="shared" si="4"/>
        <v>PROFIT</v>
      </c>
    </row>
    <row r="69" spans="1:14" ht="15" customHeight="1" x14ac:dyDescent="0.25">
      <c r="A69" s="75">
        <v>64</v>
      </c>
      <c r="B69" s="75">
        <f>IF('SKU Master'!B68="","",'SKU Master'!B68)</f>
        <v>540</v>
      </c>
      <c r="C69" s="75" t="str">
        <f>'SKU Master'!C68</f>
        <v>24 Mesh LQ 42"</v>
      </c>
      <c r="D69" s="94">
        <f>'SKU Master'!I68</f>
        <v>7876.6</v>
      </c>
      <c r="E69" s="94">
        <f>'SKU Master'!J68</f>
        <v>2302650</v>
      </c>
      <c r="F69" s="94">
        <f>'SKU Master'!K68</f>
        <v>4336.8</v>
      </c>
      <c r="G69" s="94">
        <f>'SKU Master'!L68</f>
        <v>1082655</v>
      </c>
      <c r="H69" s="94">
        <f t="shared" si="0"/>
        <v>3539.8</v>
      </c>
      <c r="I69" s="94">
        <f>H69*'SKU Master'!H68</f>
        <v>883238.20266777766</v>
      </c>
      <c r="J69" s="75" t="str">
        <f t="shared" si="1"/>
        <v>Produced</v>
      </c>
      <c r="K69" s="94">
        <f>IF(F69&gt;D69,D69*'SKU Master'!M68,G69)+I69</f>
        <v>1965893.2026677777</v>
      </c>
      <c r="L69" s="94">
        <f t="shared" si="2"/>
        <v>336756.79733222234</v>
      </c>
      <c r="M69" s="95">
        <f t="shared" si="3"/>
        <v>42.754081371686048</v>
      </c>
      <c r="N69" s="75" t="str">
        <f t="shared" si="4"/>
        <v>PROFIT</v>
      </c>
    </row>
    <row r="70" spans="1:14" ht="15" customHeight="1" x14ac:dyDescent="0.25">
      <c r="A70" s="75">
        <v>65</v>
      </c>
      <c r="B70" s="75">
        <f>IF('SKU Master'!B69="","",'SKU Master'!B69)</f>
        <v>551</v>
      </c>
      <c r="C70" s="75" t="str">
        <f>'SKU Master'!C69</f>
        <v>24 Mesh LQ 42"</v>
      </c>
      <c r="D70" s="94">
        <f>'SKU Master'!I69</f>
        <v>458.3</v>
      </c>
      <c r="E70" s="94">
        <f>'SKU Master'!J69</f>
        <v>146160</v>
      </c>
      <c r="F70" s="94">
        <f>'SKU Master'!K69</f>
        <v>0</v>
      </c>
      <c r="G70" s="94">
        <f>'SKU Master'!L69</f>
        <v>0</v>
      </c>
      <c r="H70" s="94">
        <f t="shared" ref="H70:H133" si="5">MAX(D70-F70,0)</f>
        <v>458.3</v>
      </c>
      <c r="I70" s="94">
        <f>H70*'SKU Master'!H69</f>
        <v>118287.86273615526</v>
      </c>
      <c r="J70" s="75" t="str">
        <f t="shared" ref="J70:J133" si="6">IF(D70-F70&lt;-0.5,"EXCESS→INV",IF(D70-F70&gt;0.5,"Produced","Matched"))</f>
        <v>Produced</v>
      </c>
      <c r="K70" s="94">
        <f>IF(F70&gt;D70,D70*'SKU Master'!M69,G70)+I70</f>
        <v>118287.86273615526</v>
      </c>
      <c r="L70" s="94">
        <f t="shared" ref="L70:L133" si="7">IF(E70=0,0,E70-K70)</f>
        <v>27872.137263844736</v>
      </c>
      <c r="M70" s="95">
        <f t="shared" ref="M70:M133" si="8">IFERROR(L70/D70,0)</f>
        <v>60.816358856305335</v>
      </c>
      <c r="N70" s="75" t="str">
        <f t="shared" ref="N70:N133" si="9">IF(E70=0,"NO SALES",IF(L70&lt;0,"LOSS",IF(IFERROR(L70/E70,0)&lt;0.1,"THIN","PROFIT")))</f>
        <v>PROFIT</v>
      </c>
    </row>
    <row r="71" spans="1:14" ht="15" customHeight="1" x14ac:dyDescent="0.25">
      <c r="A71" s="75">
        <v>66</v>
      </c>
      <c r="B71" s="75">
        <f>IF('SKU Master'!B70="","",'SKU Master'!B70)</f>
        <v>553</v>
      </c>
      <c r="C71" s="75" t="str">
        <f>'SKU Master'!C70</f>
        <v>24 Mesh LQ 42"</v>
      </c>
      <c r="D71" s="94">
        <f>'SKU Master'!I70</f>
        <v>215.9</v>
      </c>
      <c r="E71" s="94">
        <f>'SKU Master'!J70</f>
        <v>64800</v>
      </c>
      <c r="F71" s="94">
        <f>'SKU Master'!K70</f>
        <v>0</v>
      </c>
      <c r="G71" s="94">
        <f>'SKU Master'!L70</f>
        <v>0</v>
      </c>
      <c r="H71" s="94">
        <f t="shared" si="5"/>
        <v>215.9</v>
      </c>
      <c r="I71" s="94">
        <f>H71*'SKU Master'!H70</f>
        <v>53901.166125303986</v>
      </c>
      <c r="J71" s="75" t="str">
        <f t="shared" si="6"/>
        <v>Produced</v>
      </c>
      <c r="K71" s="94">
        <f>IF(F71&gt;D71,D71*'SKU Master'!M70,G71)+I71</f>
        <v>53901.166125303986</v>
      </c>
      <c r="L71" s="94">
        <f t="shared" si="7"/>
        <v>10898.833874696014</v>
      </c>
      <c r="M71" s="95">
        <f t="shared" si="8"/>
        <v>50.480935037962084</v>
      </c>
      <c r="N71" s="75" t="str">
        <f t="shared" si="9"/>
        <v>PROFIT</v>
      </c>
    </row>
    <row r="72" spans="1:14" ht="15" customHeight="1" x14ac:dyDescent="0.25">
      <c r="A72" s="75">
        <v>67</v>
      </c>
      <c r="B72" s="75">
        <f>IF('SKU Master'!B71="","",'SKU Master'!B71)</f>
        <v>555</v>
      </c>
      <c r="C72" s="75" t="str">
        <f>'SKU Master'!C71</f>
        <v>24 Mesh LQ 42"</v>
      </c>
      <c r="D72" s="94">
        <f>'SKU Master'!I71</f>
        <v>180.6</v>
      </c>
      <c r="E72" s="94">
        <f>'SKU Master'!J71</f>
        <v>55800</v>
      </c>
      <c r="F72" s="94">
        <f>'SKU Master'!K71</f>
        <v>0</v>
      </c>
      <c r="G72" s="94">
        <f>'SKU Master'!L71</f>
        <v>0</v>
      </c>
      <c r="H72" s="94">
        <f t="shared" si="5"/>
        <v>180.6</v>
      </c>
      <c r="I72" s="94">
        <f>H72*'SKU Master'!H71</f>
        <v>44775.984043394776</v>
      </c>
      <c r="J72" s="75" t="str">
        <f t="shared" si="6"/>
        <v>Produced</v>
      </c>
      <c r="K72" s="94">
        <f>IF(F72&gt;D72,D72*'SKU Master'!M71,G72)+I72</f>
        <v>44775.984043394776</v>
      </c>
      <c r="L72" s="94">
        <f t="shared" si="7"/>
        <v>11024.015956605224</v>
      </c>
      <c r="M72" s="95">
        <f t="shared" si="8"/>
        <v>61.041062882642443</v>
      </c>
      <c r="N72" s="75" t="str">
        <f t="shared" si="9"/>
        <v>PROFIT</v>
      </c>
    </row>
    <row r="73" spans="1:14" ht="15" customHeight="1" x14ac:dyDescent="0.25">
      <c r="A73" s="75">
        <v>68</v>
      </c>
      <c r="B73" s="75">
        <f>IF('SKU Master'!B72="","",'SKU Master'!B72)</f>
        <v>559</v>
      </c>
      <c r="C73" s="75" t="str">
        <f>'SKU Master'!C72</f>
        <v>24 Mesh LQ 48"</v>
      </c>
      <c r="D73" s="94">
        <f>'SKU Master'!I72</f>
        <v>368.8</v>
      </c>
      <c r="E73" s="94">
        <f>'SKU Master'!J72</f>
        <v>110160</v>
      </c>
      <c r="F73" s="94">
        <f>'SKU Master'!K72</f>
        <v>0</v>
      </c>
      <c r="G73" s="94">
        <f>'SKU Master'!L72</f>
        <v>0</v>
      </c>
      <c r="H73" s="94">
        <f t="shared" si="5"/>
        <v>368.8</v>
      </c>
      <c r="I73" s="94">
        <f>H73*'SKU Master'!H72</f>
        <v>89764.81282885019</v>
      </c>
      <c r="J73" s="75" t="str">
        <f t="shared" si="6"/>
        <v>Produced</v>
      </c>
      <c r="K73" s="94">
        <f>IF(F73&gt;D73,D73*'SKU Master'!M72,G73)+I73</f>
        <v>89764.81282885019</v>
      </c>
      <c r="L73" s="94">
        <f t="shared" si="7"/>
        <v>20395.18717114981</v>
      </c>
      <c r="M73" s="95">
        <f t="shared" si="8"/>
        <v>55.301483652792321</v>
      </c>
      <c r="N73" s="75" t="str">
        <f t="shared" si="9"/>
        <v>PROFIT</v>
      </c>
    </row>
    <row r="74" spans="1:14" ht="15" customHeight="1" x14ac:dyDescent="0.25">
      <c r="A74" s="75">
        <v>69</v>
      </c>
      <c r="B74" s="75">
        <f>IF('SKU Master'!B73="","",'SKU Master'!B73)</f>
        <v>565</v>
      </c>
      <c r="C74" s="75" t="str">
        <f>'SKU Master'!C73</f>
        <v>24 Mesh LQ 49"</v>
      </c>
      <c r="D74" s="94">
        <f>'SKU Master'!I73</f>
        <v>313.5</v>
      </c>
      <c r="E74" s="94">
        <f>'SKU Master'!J73</f>
        <v>103500</v>
      </c>
      <c r="F74" s="94">
        <f>'SKU Master'!K73</f>
        <v>0</v>
      </c>
      <c r="G74" s="94">
        <f>'SKU Master'!L73</f>
        <v>0</v>
      </c>
      <c r="H74" s="94">
        <f t="shared" si="5"/>
        <v>313.5</v>
      </c>
      <c r="I74" s="94">
        <f>H74*'SKU Master'!H73</f>
        <v>70876.993022653391</v>
      </c>
      <c r="J74" s="75" t="str">
        <f t="shared" si="6"/>
        <v>Produced</v>
      </c>
      <c r="K74" s="94">
        <f>IF(F74&gt;D74,D74*'SKU Master'!M73,G74)+I74</f>
        <v>70876.993022653391</v>
      </c>
      <c r="L74" s="94">
        <f t="shared" si="7"/>
        <v>32623.006977346609</v>
      </c>
      <c r="M74" s="95">
        <f t="shared" si="8"/>
        <v>104.06062831689509</v>
      </c>
      <c r="N74" s="75" t="str">
        <f t="shared" si="9"/>
        <v>PROFIT</v>
      </c>
    </row>
    <row r="75" spans="1:14" ht="15" customHeight="1" x14ac:dyDescent="0.25">
      <c r="A75" s="75">
        <v>70</v>
      </c>
      <c r="B75" s="75">
        <f>IF('SKU Master'!B74="","",'SKU Master'!B74)</f>
        <v>568</v>
      </c>
      <c r="C75" s="75" t="str">
        <f>'SKU Master'!C74</f>
        <v>24 Mesh LQ 50"</v>
      </c>
      <c r="D75" s="94">
        <f>'SKU Master'!I74</f>
        <v>719.7</v>
      </c>
      <c r="E75" s="94">
        <f>'SKU Master'!J74</f>
        <v>234900</v>
      </c>
      <c r="F75" s="94">
        <f>'SKU Master'!K74</f>
        <v>1613.1</v>
      </c>
      <c r="G75" s="94">
        <f>'SKU Master'!L74</f>
        <v>473850</v>
      </c>
      <c r="H75" s="94">
        <f t="shared" si="5"/>
        <v>0</v>
      </c>
      <c r="I75" s="94">
        <f>H75*'SKU Master'!H74</f>
        <v>0</v>
      </c>
      <c r="J75" s="75" t="str">
        <f t="shared" si="6"/>
        <v>EXCESS→INV</v>
      </c>
      <c r="K75" s="94">
        <f>IF(F75&gt;D75,D75*'SKU Master'!M74,G75)+I75</f>
        <v>211412.71154919101</v>
      </c>
      <c r="L75" s="94">
        <f t="shared" si="7"/>
        <v>23487.288450808992</v>
      </c>
      <c r="M75" s="95">
        <f t="shared" si="8"/>
        <v>32.634831806042783</v>
      </c>
      <c r="N75" s="75" t="str">
        <f t="shared" si="9"/>
        <v>THIN</v>
      </c>
    </row>
    <row r="76" spans="1:14" ht="15" customHeight="1" x14ac:dyDescent="0.25">
      <c r="A76" s="75">
        <v>71</v>
      </c>
      <c r="B76" s="75">
        <f>IF('SKU Master'!B75="","",'SKU Master'!B75)</f>
        <v>574</v>
      </c>
      <c r="C76" s="75" t="str">
        <f>'SKU Master'!C75</f>
        <v>24 Mesh LQ 60"</v>
      </c>
      <c r="D76" s="94">
        <f>'SKU Master'!I75</f>
        <v>139.19999999999999</v>
      </c>
      <c r="E76" s="94">
        <f>'SKU Master'!J75</f>
        <v>48600</v>
      </c>
      <c r="F76" s="94">
        <f>'SKU Master'!K75</f>
        <v>167.5</v>
      </c>
      <c r="G76" s="94">
        <f>'SKU Master'!L75</f>
        <v>40090</v>
      </c>
      <c r="H76" s="94">
        <f t="shared" si="5"/>
        <v>0</v>
      </c>
      <c r="I76" s="94">
        <f>H76*'SKU Master'!H75</f>
        <v>0</v>
      </c>
      <c r="J76" s="75" t="str">
        <f t="shared" si="6"/>
        <v>EXCESS→INV</v>
      </c>
      <c r="K76" s="94">
        <f>IF(F76&gt;D76,D76*'SKU Master'!M75,G76)+I76</f>
        <v>33316.585074626862</v>
      </c>
      <c r="L76" s="94">
        <f t="shared" si="7"/>
        <v>15283.414925373138</v>
      </c>
      <c r="M76" s="95">
        <f t="shared" si="8"/>
        <v>109.79464745239324</v>
      </c>
      <c r="N76" s="75" t="str">
        <f t="shared" si="9"/>
        <v>PROFIT</v>
      </c>
    </row>
    <row r="77" spans="1:14" ht="15" customHeight="1" x14ac:dyDescent="0.25">
      <c r="A77" s="75">
        <v>72</v>
      </c>
      <c r="B77" s="75">
        <f>IF('SKU Master'!B76="","",'SKU Master'!B76)</f>
        <v>577</v>
      </c>
      <c r="C77" s="75" t="str">
        <f>'SKU Master'!C76</f>
        <v>24 Mesh LQ 84"</v>
      </c>
      <c r="D77" s="94">
        <f>'SKU Master'!I76</f>
        <v>350.4</v>
      </c>
      <c r="E77" s="94">
        <f>'SKU Master'!J76</f>
        <v>112500</v>
      </c>
      <c r="F77" s="94">
        <f>'SKU Master'!K76</f>
        <v>0</v>
      </c>
      <c r="G77" s="94">
        <f>'SKU Master'!L76</f>
        <v>0</v>
      </c>
      <c r="H77" s="94">
        <f t="shared" si="5"/>
        <v>350.4</v>
      </c>
      <c r="I77" s="94">
        <f>H77*'SKU Master'!H76</f>
        <v>85127.134703328658</v>
      </c>
      <c r="J77" s="75" t="str">
        <f t="shared" si="6"/>
        <v>Produced</v>
      </c>
      <c r="K77" s="94">
        <f>IF(F77&gt;D77,D77*'SKU Master'!M76,G77)+I77</f>
        <v>85127.134703328658</v>
      </c>
      <c r="L77" s="94">
        <f t="shared" si="7"/>
        <v>27372.865296671342</v>
      </c>
      <c r="M77" s="95">
        <f t="shared" si="8"/>
        <v>78.118907810135113</v>
      </c>
      <c r="N77" s="75" t="str">
        <f t="shared" si="9"/>
        <v>PROFIT</v>
      </c>
    </row>
    <row r="78" spans="1:14" ht="15" customHeight="1" x14ac:dyDescent="0.25">
      <c r="A78" s="75">
        <v>73</v>
      </c>
      <c r="B78" s="75">
        <f>IF('SKU Master'!B77="","",'SKU Master'!B77)</f>
        <v>578</v>
      </c>
      <c r="C78" s="75" t="str">
        <f>'SKU Master'!C77</f>
        <v>24 Mesh LQ 84"</v>
      </c>
      <c r="D78" s="94">
        <f>'SKU Master'!I77</f>
        <v>225</v>
      </c>
      <c r="E78" s="94">
        <f>'SKU Master'!J77</f>
        <v>74250</v>
      </c>
      <c r="F78" s="94">
        <f>'SKU Master'!K77</f>
        <v>1064</v>
      </c>
      <c r="G78" s="94">
        <f>'SKU Master'!L77</f>
        <v>282600</v>
      </c>
      <c r="H78" s="94">
        <f t="shared" si="5"/>
        <v>0</v>
      </c>
      <c r="I78" s="94">
        <f>H78*'SKU Master'!H77</f>
        <v>0</v>
      </c>
      <c r="J78" s="75" t="str">
        <f t="shared" si="6"/>
        <v>EXCESS→INV</v>
      </c>
      <c r="K78" s="94">
        <f>IF(F78&gt;D78,D78*'SKU Master'!M77,G78)+I78</f>
        <v>59760.338345864664</v>
      </c>
      <c r="L78" s="94">
        <f t="shared" si="7"/>
        <v>14489.661654135336</v>
      </c>
      <c r="M78" s="95">
        <f t="shared" si="8"/>
        <v>64.398496240601489</v>
      </c>
      <c r="N78" s="75" t="str">
        <f t="shared" si="9"/>
        <v>PROFIT</v>
      </c>
    </row>
    <row r="79" spans="1:14" ht="15" customHeight="1" x14ac:dyDescent="0.25">
      <c r="A79" s="75">
        <v>74</v>
      </c>
      <c r="B79" s="75">
        <f>IF('SKU Master'!B78="","",'SKU Master'!B78)</f>
        <v>587</v>
      </c>
      <c r="C79" s="75" t="str">
        <f>'SKU Master'!C78</f>
        <v>24 Mesh MQ 84"</v>
      </c>
      <c r="D79" s="94">
        <f>'SKU Master'!I78</f>
        <v>590.15</v>
      </c>
      <c r="E79" s="94">
        <f>'SKU Master'!J78</f>
        <v>148500</v>
      </c>
      <c r="F79" s="94">
        <f>'SKU Master'!K78</f>
        <v>0</v>
      </c>
      <c r="G79" s="94">
        <f>'SKU Master'!L78</f>
        <v>0</v>
      </c>
      <c r="H79" s="94">
        <f t="shared" si="5"/>
        <v>590.15</v>
      </c>
      <c r="I79" s="94">
        <f>H79*'SKU Master'!H78</f>
        <v>133365.97157735264</v>
      </c>
      <c r="J79" s="75" t="str">
        <f t="shared" si="6"/>
        <v>Produced</v>
      </c>
      <c r="K79" s="94">
        <f>IF(F79&gt;D79,D79*'SKU Master'!M78,G79)+I79</f>
        <v>133365.97157735264</v>
      </c>
      <c r="L79" s="94">
        <f t="shared" si="7"/>
        <v>15134.02842264736</v>
      </c>
      <c r="M79" s="95">
        <f t="shared" si="8"/>
        <v>25.644375875027297</v>
      </c>
      <c r="N79" s="75" t="str">
        <f t="shared" si="9"/>
        <v>PROFIT</v>
      </c>
    </row>
    <row r="80" spans="1:14" ht="15" customHeight="1" x14ac:dyDescent="0.25">
      <c r="A80" s="75">
        <v>75</v>
      </c>
      <c r="B80" s="75">
        <f>IF('SKU Master'!B79="","",'SKU Master'!B79)</f>
        <v>588</v>
      </c>
      <c r="C80" s="75" t="str">
        <f>'SKU Master'!C79</f>
        <v>24 Mesh MQ 84"</v>
      </c>
      <c r="D80" s="94">
        <f>'SKU Master'!I79</f>
        <v>606.02</v>
      </c>
      <c r="E80" s="94">
        <f>'SKU Master'!J79</f>
        <v>149490</v>
      </c>
      <c r="F80" s="94">
        <f>'SKU Master'!K79</f>
        <v>0</v>
      </c>
      <c r="G80" s="94">
        <f>'SKU Master'!L79</f>
        <v>0</v>
      </c>
      <c r="H80" s="94">
        <f t="shared" si="5"/>
        <v>606.02</v>
      </c>
      <c r="I80" s="94">
        <f>H80*'SKU Master'!H79</f>
        <v>136452.33689631181</v>
      </c>
      <c r="J80" s="75" t="str">
        <f t="shared" si="6"/>
        <v>Produced</v>
      </c>
      <c r="K80" s="94">
        <f>IF(F80&gt;D80,D80*'SKU Master'!M79,G80)+I80</f>
        <v>136452.33689631181</v>
      </c>
      <c r="L80" s="94">
        <f t="shared" si="7"/>
        <v>13037.663103688188</v>
      </c>
      <c r="M80" s="95">
        <f t="shared" si="8"/>
        <v>21.51358553131611</v>
      </c>
      <c r="N80" s="75" t="str">
        <f t="shared" si="9"/>
        <v>THIN</v>
      </c>
    </row>
    <row r="81" spans="1:14" ht="15" customHeight="1" x14ac:dyDescent="0.25">
      <c r="A81" s="75">
        <v>76</v>
      </c>
      <c r="B81" s="75">
        <f>IF('SKU Master'!B80="","",'SKU Master'!B80)</f>
        <v>590</v>
      </c>
      <c r="C81" s="75" t="str">
        <f>'SKU Master'!C80</f>
        <v>24 Mesh MQ 84"</v>
      </c>
      <c r="D81" s="94">
        <f>'SKU Master'!I80</f>
        <v>323.10000000000002</v>
      </c>
      <c r="E81" s="94">
        <f>'SKU Master'!J80</f>
        <v>88110</v>
      </c>
      <c r="F81" s="94">
        <f>'SKU Master'!K80</f>
        <v>0</v>
      </c>
      <c r="G81" s="94">
        <f>'SKU Master'!L80</f>
        <v>0</v>
      </c>
      <c r="H81" s="94">
        <f t="shared" si="5"/>
        <v>323.10000000000002</v>
      </c>
      <c r="I81" s="94">
        <f>H81*'SKU Master'!H80</f>
        <v>73386.003360628558</v>
      </c>
      <c r="J81" s="75" t="str">
        <f t="shared" si="6"/>
        <v>Produced</v>
      </c>
      <c r="K81" s="94">
        <f>IF(F81&gt;D81,D81*'SKU Master'!M80,G81)+I81</f>
        <v>73386.003360628558</v>
      </c>
      <c r="L81" s="94">
        <f t="shared" si="7"/>
        <v>14723.996639371442</v>
      </c>
      <c r="M81" s="95">
        <f t="shared" si="8"/>
        <v>45.571020239465931</v>
      </c>
      <c r="N81" s="75" t="str">
        <f t="shared" si="9"/>
        <v>PROFIT</v>
      </c>
    </row>
    <row r="82" spans="1:14" ht="15" customHeight="1" x14ac:dyDescent="0.25">
      <c r="A82" s="75">
        <v>77</v>
      </c>
      <c r="B82" s="75">
        <f>IF('SKU Master'!B81="","",'SKU Master'!B81)</f>
        <v>594</v>
      </c>
      <c r="C82" s="75" t="str">
        <f>'SKU Master'!C81</f>
        <v>24 Mesh MQ 84"</v>
      </c>
      <c r="D82" s="94">
        <f>'SKU Master'!I81</f>
        <v>472.6</v>
      </c>
      <c r="E82" s="94">
        <f>'SKU Master'!J81</f>
        <v>126000</v>
      </c>
      <c r="F82" s="94">
        <f>'SKU Master'!K81</f>
        <v>0</v>
      </c>
      <c r="G82" s="94">
        <f>'SKU Master'!L81</f>
        <v>0</v>
      </c>
      <c r="H82" s="94">
        <f t="shared" si="5"/>
        <v>472.6</v>
      </c>
      <c r="I82" s="94">
        <f>H82*'SKU Master'!H81</f>
        <v>106961.32679607572</v>
      </c>
      <c r="J82" s="75" t="str">
        <f t="shared" si="6"/>
        <v>Produced</v>
      </c>
      <c r="K82" s="94">
        <f>IF(F82&gt;D82,D82*'SKU Master'!M81,G82)+I82</f>
        <v>106961.32679607572</v>
      </c>
      <c r="L82" s="94">
        <f t="shared" si="7"/>
        <v>19038.673203924278</v>
      </c>
      <c r="M82" s="95">
        <f t="shared" si="8"/>
        <v>40.28496234431713</v>
      </c>
      <c r="N82" s="75" t="str">
        <f t="shared" si="9"/>
        <v>PROFIT</v>
      </c>
    </row>
    <row r="83" spans="1:14" ht="15" customHeight="1" x14ac:dyDescent="0.25">
      <c r="A83" s="75">
        <v>78</v>
      </c>
      <c r="B83" s="75">
        <f>IF('SKU Master'!B82="","",'SKU Master'!B82)</f>
        <v>600</v>
      </c>
      <c r="C83" s="75" t="str">
        <f>'SKU Master'!C82</f>
        <v>30 Mesh LQ 42"</v>
      </c>
      <c r="D83" s="94">
        <f>'SKU Master'!I82</f>
        <v>341.7</v>
      </c>
      <c r="E83" s="94">
        <f>'SKU Master'!J82</f>
        <v>109800</v>
      </c>
      <c r="F83" s="94">
        <f>'SKU Master'!K82</f>
        <v>0</v>
      </c>
      <c r="G83" s="94">
        <f>'SKU Master'!L82</f>
        <v>0</v>
      </c>
      <c r="H83" s="94">
        <f t="shared" si="5"/>
        <v>341.7</v>
      </c>
      <c r="I83" s="94">
        <f>H83*'SKU Master'!H82</f>
        <v>93119.348759520391</v>
      </c>
      <c r="J83" s="75" t="str">
        <f t="shared" si="6"/>
        <v>Produced</v>
      </c>
      <c r="K83" s="94">
        <f>IF(F83&gt;D83,D83*'SKU Master'!M82,G83)+I83</f>
        <v>93119.348759520391</v>
      </c>
      <c r="L83" s="94">
        <f t="shared" si="7"/>
        <v>16680.651240479609</v>
      </c>
      <c r="M83" s="95">
        <f t="shared" si="8"/>
        <v>48.81665566426576</v>
      </c>
      <c r="N83" s="75" t="str">
        <f t="shared" si="9"/>
        <v>PROFIT</v>
      </c>
    </row>
    <row r="84" spans="1:14" ht="15" customHeight="1" x14ac:dyDescent="0.25">
      <c r="A84" s="75">
        <v>79</v>
      </c>
      <c r="B84" s="75">
        <f>IF('SKU Master'!B83="","",'SKU Master'!B83)</f>
        <v>602</v>
      </c>
      <c r="C84" s="75" t="str">
        <f>'SKU Master'!C83</f>
        <v>30 Mesh LQ 42"</v>
      </c>
      <c r="D84" s="94">
        <f>'SKU Master'!I83</f>
        <v>88.4</v>
      </c>
      <c r="E84" s="94">
        <f>'SKU Master'!J83</f>
        <v>28800</v>
      </c>
      <c r="F84" s="94">
        <f>'SKU Master'!K83</f>
        <v>0</v>
      </c>
      <c r="G84" s="94">
        <f>'SKU Master'!L83</f>
        <v>0</v>
      </c>
      <c r="H84" s="94">
        <f t="shared" si="5"/>
        <v>88.4</v>
      </c>
      <c r="I84" s="94">
        <f>H84*'SKU Master'!H83</f>
        <v>24022.822208055692</v>
      </c>
      <c r="J84" s="75" t="str">
        <f t="shared" si="6"/>
        <v>Produced</v>
      </c>
      <c r="K84" s="94">
        <f>IF(F84&gt;D84,D84*'SKU Master'!M83,G84)+I84</f>
        <v>24022.822208055692</v>
      </c>
      <c r="L84" s="94">
        <f t="shared" si="7"/>
        <v>4777.1777919443084</v>
      </c>
      <c r="M84" s="95">
        <f t="shared" si="8"/>
        <v>54.040472759550994</v>
      </c>
      <c r="N84" s="75" t="str">
        <f t="shared" si="9"/>
        <v>PROFIT</v>
      </c>
    </row>
    <row r="85" spans="1:14" ht="15" customHeight="1" x14ac:dyDescent="0.25">
      <c r="A85" s="75">
        <v>80</v>
      </c>
      <c r="B85" s="75">
        <f>IF('SKU Master'!B84="","",'SKU Master'!B84)</f>
        <v>608</v>
      </c>
      <c r="C85" s="75" t="str">
        <f>'SKU Master'!C84</f>
        <v>30 Mesh LQ 42"</v>
      </c>
      <c r="D85" s="94">
        <f>'SKU Master'!I84</f>
        <v>840.6</v>
      </c>
      <c r="E85" s="94">
        <f>'SKU Master'!J84</f>
        <v>262140</v>
      </c>
      <c r="F85" s="94">
        <f>'SKU Master'!K84</f>
        <v>241.6</v>
      </c>
      <c r="G85" s="94">
        <f>'SKU Master'!L84</f>
        <v>58125</v>
      </c>
      <c r="H85" s="94">
        <f t="shared" si="5"/>
        <v>599</v>
      </c>
      <c r="I85" s="94">
        <f>H85*'SKU Master'!H84</f>
        <v>163526.48325192096</v>
      </c>
      <c r="J85" s="75" t="str">
        <f t="shared" si="6"/>
        <v>Produced</v>
      </c>
      <c r="K85" s="94">
        <f>IF(F85&gt;D85,D85*'SKU Master'!M84,G85)+I85</f>
        <v>221651.48325192096</v>
      </c>
      <c r="L85" s="94">
        <f t="shared" si="7"/>
        <v>40488.516748079041</v>
      </c>
      <c r="M85" s="95">
        <f t="shared" si="8"/>
        <v>48.166210740041684</v>
      </c>
      <c r="N85" s="75" t="str">
        <f t="shared" si="9"/>
        <v>PROFIT</v>
      </c>
    </row>
    <row r="86" spans="1:14" ht="15" customHeight="1" x14ac:dyDescent="0.25">
      <c r="A86" s="75">
        <v>81</v>
      </c>
      <c r="B86" s="75">
        <f>IF('SKU Master'!B85="","",'SKU Master'!B85)</f>
        <v>612</v>
      </c>
      <c r="C86" s="75" t="str">
        <f>'SKU Master'!C85</f>
        <v>30 Mesh LQ 50"</v>
      </c>
      <c r="D86" s="94">
        <f>'SKU Master'!I85</f>
        <v>809.3</v>
      </c>
      <c r="E86" s="94">
        <f>'SKU Master'!J85</f>
        <v>298320</v>
      </c>
      <c r="F86" s="94">
        <f>'SKU Master'!K85</f>
        <v>0</v>
      </c>
      <c r="G86" s="94">
        <f>'SKU Master'!L85</f>
        <v>0</v>
      </c>
      <c r="H86" s="94">
        <f t="shared" si="5"/>
        <v>809.3</v>
      </c>
      <c r="I86" s="94">
        <f>H86*'SKU Master'!H85</f>
        <v>227099.33895987165</v>
      </c>
      <c r="J86" s="75" t="str">
        <f t="shared" si="6"/>
        <v>Produced</v>
      </c>
      <c r="K86" s="94">
        <f>IF(F86&gt;D86,D86*'SKU Master'!M85,G86)+I86</f>
        <v>227099.33895987165</v>
      </c>
      <c r="L86" s="94">
        <f t="shared" si="7"/>
        <v>71220.661040128354</v>
      </c>
      <c r="M86" s="95">
        <f t="shared" si="8"/>
        <v>88.002793821979935</v>
      </c>
      <c r="N86" s="75" t="str">
        <f t="shared" si="9"/>
        <v>PROFIT</v>
      </c>
    </row>
    <row r="87" spans="1:14" ht="15" customHeight="1" x14ac:dyDescent="0.25">
      <c r="A87" s="75">
        <v>82</v>
      </c>
      <c r="B87" s="75">
        <f>IF('SKU Master'!B86="","",'SKU Master'!B86)</f>
        <v>626</v>
      </c>
      <c r="C87" s="75" t="str">
        <f>'SKU Master'!C86</f>
        <v>30 Mesh SHQ 48"</v>
      </c>
      <c r="D87" s="94">
        <f>'SKU Master'!I86</f>
        <v>96.8</v>
      </c>
      <c r="E87" s="94">
        <f>'SKU Master'!J86</f>
        <v>39000</v>
      </c>
      <c r="F87" s="94">
        <f>'SKU Master'!K86</f>
        <v>0</v>
      </c>
      <c r="G87" s="94">
        <f>'SKU Master'!L86</f>
        <v>0</v>
      </c>
      <c r="H87" s="94">
        <f t="shared" si="5"/>
        <v>96.8</v>
      </c>
      <c r="I87" s="94">
        <f>H87*'SKU Master'!H86</f>
        <v>15296.572795050881</v>
      </c>
      <c r="J87" s="75" t="str">
        <f t="shared" si="6"/>
        <v>Produced</v>
      </c>
      <c r="K87" s="94">
        <f>IF(F87&gt;D87,D87*'SKU Master'!M86,G87)+I87</f>
        <v>15296.572795050881</v>
      </c>
      <c r="L87" s="94">
        <f t="shared" si="7"/>
        <v>23703.427204949119</v>
      </c>
      <c r="M87" s="95">
        <f t="shared" si="8"/>
        <v>244.8701157536066</v>
      </c>
      <c r="N87" s="75" t="str">
        <f t="shared" si="9"/>
        <v>PROFIT</v>
      </c>
    </row>
    <row r="88" spans="1:14" ht="15" customHeight="1" x14ac:dyDescent="0.25">
      <c r="A88" s="75">
        <v>83</v>
      </c>
      <c r="B88" s="75">
        <f>IF('SKU Master'!B87="","",'SKU Master'!B87)</f>
        <v>632</v>
      </c>
      <c r="C88" s="75" t="str">
        <f>'SKU Master'!C87</f>
        <v>40 Mesh HQ 146"</v>
      </c>
      <c r="D88" s="94">
        <f>'SKU Master'!I87</f>
        <v>1500</v>
      </c>
      <c r="E88" s="94">
        <f>'SKU Master'!J87</f>
        <v>398855.9</v>
      </c>
      <c r="F88" s="94">
        <f>'SKU Master'!K87</f>
        <v>1500</v>
      </c>
      <c r="G88" s="94">
        <f>'SKU Master'!L87</f>
        <v>390254</v>
      </c>
      <c r="H88" s="94">
        <f t="shared" si="5"/>
        <v>0</v>
      </c>
      <c r="I88" s="94">
        <f>H88*'SKU Master'!H87</f>
        <v>0</v>
      </c>
      <c r="J88" s="75" t="str">
        <f t="shared" si="6"/>
        <v>Matched</v>
      </c>
      <c r="K88" s="94">
        <f>IF(F88&gt;D88,D88*'SKU Master'!M87,G88)+I88</f>
        <v>390254</v>
      </c>
      <c r="L88" s="94">
        <f t="shared" si="7"/>
        <v>8601.9000000000233</v>
      </c>
      <c r="M88" s="95">
        <f t="shared" si="8"/>
        <v>5.7346000000000155</v>
      </c>
      <c r="N88" s="75" t="str">
        <f t="shared" si="9"/>
        <v>THIN</v>
      </c>
    </row>
    <row r="89" spans="1:14" ht="15" customHeight="1" x14ac:dyDescent="0.25">
      <c r="A89" s="75">
        <v>84</v>
      </c>
      <c r="B89" s="75">
        <f>IF('SKU Master'!B88="","",'SKU Master'!B88)</f>
        <v>639</v>
      </c>
      <c r="C89" s="75" t="str">
        <f>'SKU Master'!C88</f>
        <v>40 Mesh HQ 42"</v>
      </c>
      <c r="D89" s="94">
        <f>'SKU Master'!I88</f>
        <v>1121.9000000000001</v>
      </c>
      <c r="E89" s="94">
        <f>'SKU Master'!J88</f>
        <v>413850</v>
      </c>
      <c r="F89" s="94">
        <f>'SKU Master'!K88</f>
        <v>0</v>
      </c>
      <c r="G89" s="94">
        <f>'SKU Master'!L88</f>
        <v>0</v>
      </c>
      <c r="H89" s="94">
        <f t="shared" si="5"/>
        <v>1121.9000000000001</v>
      </c>
      <c r="I89" s="94">
        <f>H89*'SKU Master'!H88</f>
        <v>254552.65916988641</v>
      </c>
      <c r="J89" s="75" t="str">
        <f t="shared" si="6"/>
        <v>Produced</v>
      </c>
      <c r="K89" s="94">
        <f>IF(F89&gt;D89,D89*'SKU Master'!M88,G89)+I89</f>
        <v>254552.65916988641</v>
      </c>
      <c r="L89" s="94">
        <f t="shared" si="7"/>
        <v>159297.34083011359</v>
      </c>
      <c r="M89" s="95">
        <f t="shared" si="8"/>
        <v>141.98889458072341</v>
      </c>
      <c r="N89" s="75" t="str">
        <f t="shared" si="9"/>
        <v>PROFIT</v>
      </c>
    </row>
    <row r="90" spans="1:14" ht="15" customHeight="1" x14ac:dyDescent="0.25">
      <c r="A90" s="75">
        <v>85</v>
      </c>
      <c r="B90" s="75">
        <f>IF('SKU Master'!B89="","",'SKU Master'!B89)</f>
        <v>641</v>
      </c>
      <c r="C90" s="75" t="str">
        <f>'SKU Master'!C89</f>
        <v>40 Mesh HQ 48"</v>
      </c>
      <c r="D90" s="94">
        <f>'SKU Master'!I89</f>
        <v>3.6</v>
      </c>
      <c r="E90" s="94">
        <f>'SKU Master'!J89</f>
        <v>1350</v>
      </c>
      <c r="F90" s="94">
        <f>'SKU Master'!K89</f>
        <v>0</v>
      </c>
      <c r="G90" s="94">
        <f>'SKU Master'!L89</f>
        <v>0</v>
      </c>
      <c r="H90" s="94">
        <f t="shared" si="5"/>
        <v>3.6</v>
      </c>
      <c r="I90" s="94">
        <f>H90*'SKU Master'!H89</f>
        <v>813.47503667825299</v>
      </c>
      <c r="J90" s="75" t="str">
        <f t="shared" si="6"/>
        <v>Produced</v>
      </c>
      <c r="K90" s="94">
        <f>IF(F90&gt;D90,D90*'SKU Master'!M89,G90)+I90</f>
        <v>813.47503667825299</v>
      </c>
      <c r="L90" s="94">
        <f t="shared" si="7"/>
        <v>536.52496332174701</v>
      </c>
      <c r="M90" s="95">
        <f t="shared" si="8"/>
        <v>149.03471203381861</v>
      </c>
      <c r="N90" s="75" t="str">
        <f t="shared" si="9"/>
        <v>PROFIT</v>
      </c>
    </row>
    <row r="91" spans="1:14" ht="15" customHeight="1" x14ac:dyDescent="0.25">
      <c r="A91" s="75">
        <v>86</v>
      </c>
      <c r="B91" s="75">
        <f>IF('SKU Master'!B90="","",'SKU Master'!B90)</f>
        <v>643</v>
      </c>
      <c r="C91" s="75" t="str">
        <f>'SKU Master'!C90</f>
        <v>40 Mesh HQ 60"</v>
      </c>
      <c r="D91" s="94">
        <f>'SKU Master'!I90</f>
        <v>1</v>
      </c>
      <c r="E91" s="94">
        <f>'SKU Master'!J90</f>
        <v>702</v>
      </c>
      <c r="F91" s="94">
        <f>'SKU Master'!K90</f>
        <v>0</v>
      </c>
      <c r="G91" s="94">
        <f>'SKU Master'!L90</f>
        <v>0</v>
      </c>
      <c r="H91" s="94">
        <f t="shared" si="5"/>
        <v>1</v>
      </c>
      <c r="I91" s="94">
        <f>H91*'SKU Master'!H90</f>
        <v>229.04036980105141</v>
      </c>
      <c r="J91" s="75" t="str">
        <f t="shared" si="6"/>
        <v>Produced</v>
      </c>
      <c r="K91" s="94">
        <f>IF(F91&gt;D91,D91*'SKU Master'!M90,G91)+I91</f>
        <v>229.04036980105141</v>
      </c>
      <c r="L91" s="94">
        <f t="shared" si="7"/>
        <v>472.95963019894862</v>
      </c>
      <c r="M91" s="95">
        <f t="shared" si="8"/>
        <v>472.95963019894862</v>
      </c>
      <c r="N91" s="75" t="str">
        <f t="shared" si="9"/>
        <v>PROFIT</v>
      </c>
    </row>
    <row r="92" spans="1:14" ht="15" customHeight="1" x14ac:dyDescent="0.25">
      <c r="A92" s="75">
        <v>87</v>
      </c>
      <c r="B92" s="75">
        <f>IF('SKU Master'!B91="","",'SKU Master'!B91)</f>
        <v>647</v>
      </c>
      <c r="C92" s="75" t="str">
        <f>'SKU Master'!C91</f>
        <v>40 Mesh HQ 84"</v>
      </c>
      <c r="D92" s="94">
        <f>'SKU Master'!I91</f>
        <v>3876.3</v>
      </c>
      <c r="E92" s="94">
        <f>'SKU Master'!J91</f>
        <v>1039050</v>
      </c>
      <c r="F92" s="94">
        <f>'SKU Master'!K91</f>
        <v>3823.6</v>
      </c>
      <c r="G92" s="94">
        <f>'SKU Master'!L91</f>
        <v>1018818</v>
      </c>
      <c r="H92" s="94">
        <f t="shared" si="5"/>
        <v>52.700000000000273</v>
      </c>
      <c r="I92" s="94">
        <f>H92*'SKU Master'!H91</f>
        <v>12893.376664449694</v>
      </c>
      <c r="J92" s="75" t="str">
        <f t="shared" si="6"/>
        <v>Produced</v>
      </c>
      <c r="K92" s="94">
        <f>IF(F92&gt;D92,D92*'SKU Master'!M91,G92)+I92</f>
        <v>1031711.3766644497</v>
      </c>
      <c r="L92" s="94">
        <f t="shared" si="7"/>
        <v>7338.6233355503064</v>
      </c>
      <c r="M92" s="95">
        <f t="shared" si="8"/>
        <v>1.8932031410237355</v>
      </c>
      <c r="N92" s="75" t="str">
        <f t="shared" si="9"/>
        <v>THIN</v>
      </c>
    </row>
    <row r="93" spans="1:14" ht="15" customHeight="1" x14ac:dyDescent="0.25">
      <c r="A93" s="75">
        <v>88</v>
      </c>
      <c r="B93" s="75">
        <f>IF('SKU Master'!B92="","",'SKU Master'!B92)</f>
        <v>651</v>
      </c>
      <c r="C93" s="75" t="str">
        <f>'SKU Master'!C92</f>
        <v>40 Mesh LQ 42"</v>
      </c>
      <c r="D93" s="94">
        <f>'SKU Master'!I92</f>
        <v>870.65</v>
      </c>
      <c r="E93" s="94">
        <f>'SKU Master'!J92</f>
        <v>299400</v>
      </c>
      <c r="F93" s="94">
        <f>'SKU Master'!K92</f>
        <v>0</v>
      </c>
      <c r="G93" s="94">
        <f>'SKU Master'!L92</f>
        <v>0</v>
      </c>
      <c r="H93" s="94">
        <f t="shared" si="5"/>
        <v>870.65</v>
      </c>
      <c r="I93" s="94">
        <f>H93*'SKU Master'!H92</f>
        <v>228308.2835062317</v>
      </c>
      <c r="J93" s="75" t="str">
        <f t="shared" si="6"/>
        <v>Produced</v>
      </c>
      <c r="K93" s="94">
        <f>IF(F93&gt;D93,D93*'SKU Master'!M92,G93)+I93</f>
        <v>228308.2835062317</v>
      </c>
      <c r="L93" s="94">
        <f t="shared" si="7"/>
        <v>71091.716493768297</v>
      </c>
      <c r="M93" s="95">
        <f t="shared" si="8"/>
        <v>81.653611088001256</v>
      </c>
      <c r="N93" s="75" t="str">
        <f t="shared" si="9"/>
        <v>PROFIT</v>
      </c>
    </row>
    <row r="94" spans="1:14" ht="15" customHeight="1" x14ac:dyDescent="0.25">
      <c r="A94" s="75">
        <v>89</v>
      </c>
      <c r="B94" s="75">
        <f>IF('SKU Master'!B93="","",'SKU Master'!B93)</f>
        <v>658</v>
      </c>
      <c r="C94" s="75" t="str">
        <f>'SKU Master'!C93</f>
        <v>40 Mesh LQ ZZ 42"</v>
      </c>
      <c r="D94" s="94">
        <f>'SKU Master'!I93</f>
        <v>505.42</v>
      </c>
      <c r="E94" s="94">
        <f>'SKU Master'!J93</f>
        <v>162000</v>
      </c>
      <c r="F94" s="94">
        <f>'SKU Master'!K93</f>
        <v>634.29999999999995</v>
      </c>
      <c r="G94" s="94">
        <f>'SKU Master'!L93</f>
        <v>177606</v>
      </c>
      <c r="H94" s="94">
        <f t="shared" si="5"/>
        <v>0</v>
      </c>
      <c r="I94" s="94">
        <f>H94*'SKU Master'!H93</f>
        <v>0</v>
      </c>
      <c r="J94" s="75" t="str">
        <f t="shared" si="6"/>
        <v>EXCESS→INV</v>
      </c>
      <c r="K94" s="94">
        <f>IF(F94&gt;D94,D94*'SKU Master'!M93,G94)+I94</f>
        <v>141519.1936307741</v>
      </c>
      <c r="L94" s="94">
        <f t="shared" si="7"/>
        <v>20480.806369225902</v>
      </c>
      <c r="M94" s="95">
        <f t="shared" si="8"/>
        <v>40.522350459471134</v>
      </c>
      <c r="N94" s="75" t="str">
        <f t="shared" si="9"/>
        <v>PROFIT</v>
      </c>
    </row>
    <row r="95" spans="1:14" ht="15" customHeight="1" x14ac:dyDescent="0.25">
      <c r="A95" s="75">
        <v>90</v>
      </c>
      <c r="B95" s="75">
        <f>IF('SKU Master'!B94="","",'SKU Master'!B94)</f>
        <v>661</v>
      </c>
      <c r="C95" s="75" t="str">
        <f>'SKU Master'!C94</f>
        <v>40 Mesh LQ ZZ 42"</v>
      </c>
      <c r="D95" s="94">
        <f>'SKU Master'!I94</f>
        <v>569.29999999999995</v>
      </c>
      <c r="E95" s="94">
        <f>'SKU Master'!J94</f>
        <v>180150</v>
      </c>
      <c r="F95" s="94">
        <f>'SKU Master'!K94</f>
        <v>922.5</v>
      </c>
      <c r="G95" s="94">
        <f>'SKU Master'!L94</f>
        <v>268620</v>
      </c>
      <c r="H95" s="94">
        <f t="shared" si="5"/>
        <v>0</v>
      </c>
      <c r="I95" s="94">
        <f>H95*'SKU Master'!H94</f>
        <v>0</v>
      </c>
      <c r="J95" s="75" t="str">
        <f t="shared" si="6"/>
        <v>EXCESS→INV</v>
      </c>
      <c r="K95" s="94">
        <f>IF(F95&gt;D95,D95*'SKU Master'!M94,G95)+I95</f>
        <v>165772.7544715447</v>
      </c>
      <c r="L95" s="94">
        <f t="shared" si="7"/>
        <v>14377.2455284553</v>
      </c>
      <c r="M95" s="95">
        <f t="shared" si="8"/>
        <v>25.254251762612508</v>
      </c>
      <c r="N95" s="75" t="str">
        <f t="shared" si="9"/>
        <v>THIN</v>
      </c>
    </row>
    <row r="96" spans="1:14" ht="15" customHeight="1" x14ac:dyDescent="0.25">
      <c r="A96" s="75">
        <v>91</v>
      </c>
      <c r="B96" s="75">
        <f>IF('SKU Master'!B95="","",'SKU Master'!B95)</f>
        <v>661</v>
      </c>
      <c r="C96" s="75" t="str">
        <f>'SKU Master'!C95</f>
        <v>40 Mesh LQ ZZ 42"</v>
      </c>
      <c r="D96" s="94">
        <f>'SKU Master'!I95</f>
        <v>558.71</v>
      </c>
      <c r="E96" s="94">
        <f>'SKU Master'!J95</f>
        <v>198000</v>
      </c>
      <c r="F96" s="94">
        <f>'SKU Master'!K95</f>
        <v>0</v>
      </c>
      <c r="G96" s="94">
        <f>'SKU Master'!L95</f>
        <v>0</v>
      </c>
      <c r="H96" s="94">
        <f t="shared" si="5"/>
        <v>558.71</v>
      </c>
      <c r="I96" s="94">
        <f>H96*'SKU Master'!H95</f>
        <v>157737.93968829128</v>
      </c>
      <c r="J96" s="75" t="str">
        <f t="shared" si="6"/>
        <v>Produced</v>
      </c>
      <c r="K96" s="94">
        <f>IF(F96&gt;D96,D96*'SKU Master'!M95,G96)+I96</f>
        <v>157737.93968829128</v>
      </c>
      <c r="L96" s="94">
        <f t="shared" si="7"/>
        <v>40262.060311708716</v>
      </c>
      <c r="M96" s="95">
        <f t="shared" si="8"/>
        <v>72.062537473302271</v>
      </c>
      <c r="N96" s="75" t="str">
        <f t="shared" si="9"/>
        <v>PROFIT</v>
      </c>
    </row>
    <row r="97" spans="1:14" ht="15" customHeight="1" x14ac:dyDescent="0.25">
      <c r="A97" s="75">
        <v>92</v>
      </c>
      <c r="B97" s="75">
        <f>IF('SKU Master'!B96="","",'SKU Master'!B96)</f>
        <v>665</v>
      </c>
      <c r="C97" s="75" t="str">
        <f>'SKU Master'!C96</f>
        <v>40 Mesh LQ 48"</v>
      </c>
      <c r="D97" s="94">
        <f>'SKU Master'!I96</f>
        <v>208.6</v>
      </c>
      <c r="E97" s="94">
        <f>'SKU Master'!J96</f>
        <v>71940</v>
      </c>
      <c r="F97" s="94">
        <f>'SKU Master'!K96</f>
        <v>0</v>
      </c>
      <c r="G97" s="94">
        <f>'SKU Master'!L96</f>
        <v>0</v>
      </c>
      <c r="H97" s="94">
        <f t="shared" si="5"/>
        <v>208.6</v>
      </c>
      <c r="I97" s="94">
        <f>H97*'SKU Master'!H96</f>
        <v>54775.427161399275</v>
      </c>
      <c r="J97" s="75" t="str">
        <f t="shared" si="6"/>
        <v>Produced</v>
      </c>
      <c r="K97" s="94">
        <f>IF(F97&gt;D97,D97*'SKU Master'!M96,G97)+I97</f>
        <v>54775.427161399275</v>
      </c>
      <c r="L97" s="94">
        <f t="shared" si="7"/>
        <v>17164.572838600725</v>
      </c>
      <c r="M97" s="95">
        <f t="shared" si="8"/>
        <v>82.284625304893225</v>
      </c>
      <c r="N97" s="75" t="str">
        <f t="shared" si="9"/>
        <v>PROFIT</v>
      </c>
    </row>
    <row r="98" spans="1:14" ht="15" customHeight="1" x14ac:dyDescent="0.25">
      <c r="A98" s="75">
        <v>93</v>
      </c>
      <c r="B98" s="75">
        <f>IF('SKU Master'!B97="","",'SKU Master'!B97)</f>
        <v>666</v>
      </c>
      <c r="C98" s="75" t="str">
        <f>'SKU Master'!C97</f>
        <v>40 Mesh LQ 48"</v>
      </c>
      <c r="D98" s="94">
        <f>'SKU Master'!I97</f>
        <v>58.53</v>
      </c>
      <c r="E98" s="94">
        <f>'SKU Master'!J97</f>
        <v>18375</v>
      </c>
      <c r="F98" s="94">
        <f>'SKU Master'!K97</f>
        <v>0</v>
      </c>
      <c r="G98" s="94">
        <f>'SKU Master'!L97</f>
        <v>0</v>
      </c>
      <c r="H98" s="94">
        <f t="shared" si="5"/>
        <v>58.53</v>
      </c>
      <c r="I98" s="94">
        <f>H98*'SKU Master'!H97</f>
        <v>14749.046079419362</v>
      </c>
      <c r="J98" s="75" t="str">
        <f t="shared" si="6"/>
        <v>Produced</v>
      </c>
      <c r="K98" s="94">
        <f>IF(F98&gt;D98,D98*'SKU Master'!M97,G98)+I98</f>
        <v>14749.046079419362</v>
      </c>
      <c r="L98" s="94">
        <f t="shared" si="7"/>
        <v>3625.9539205806377</v>
      </c>
      <c r="M98" s="95">
        <f t="shared" si="8"/>
        <v>61.950348890836111</v>
      </c>
      <c r="N98" s="75" t="str">
        <f t="shared" si="9"/>
        <v>PROFIT</v>
      </c>
    </row>
    <row r="99" spans="1:14" ht="15" customHeight="1" x14ac:dyDescent="0.25">
      <c r="A99" s="75">
        <v>94</v>
      </c>
      <c r="B99" s="75">
        <f>IF('SKU Master'!B98="","",'SKU Master'!B98)</f>
        <v>669</v>
      </c>
      <c r="C99" s="75" t="str">
        <f>'SKU Master'!C98</f>
        <v>40 Mesh LQ 48"</v>
      </c>
      <c r="D99" s="94">
        <f>'SKU Master'!I98</f>
        <v>478.75</v>
      </c>
      <c r="E99" s="94">
        <f>'SKU Master'!J98</f>
        <v>168720</v>
      </c>
      <c r="F99" s="94">
        <f>'SKU Master'!K98</f>
        <v>0</v>
      </c>
      <c r="G99" s="94">
        <f>'SKU Master'!L98</f>
        <v>0</v>
      </c>
      <c r="H99" s="94">
        <f t="shared" si="5"/>
        <v>478.75</v>
      </c>
      <c r="I99" s="94">
        <f>H99*'SKU Master'!H98</f>
        <v>122066.36118319885</v>
      </c>
      <c r="J99" s="75" t="str">
        <f t="shared" si="6"/>
        <v>Produced</v>
      </c>
      <c r="K99" s="94">
        <f>IF(F99&gt;D99,D99*'SKU Master'!M98,G99)+I99</f>
        <v>122066.36118319885</v>
      </c>
      <c r="L99" s="94">
        <f t="shared" si="7"/>
        <v>46653.638816801147</v>
      </c>
      <c r="M99" s="95">
        <f t="shared" si="8"/>
        <v>97.448853925433212</v>
      </c>
      <c r="N99" s="75" t="str">
        <f t="shared" si="9"/>
        <v>PROFIT</v>
      </c>
    </row>
    <row r="100" spans="1:14" ht="15" customHeight="1" x14ac:dyDescent="0.25">
      <c r="A100" s="75">
        <v>95</v>
      </c>
      <c r="B100" s="75">
        <f>IF('SKU Master'!B99="","",'SKU Master'!B99)</f>
        <v>671</v>
      </c>
      <c r="C100" s="75" t="str">
        <f>'SKU Master'!C99</f>
        <v>40 Mesh LQ 48"</v>
      </c>
      <c r="D100" s="94">
        <f>'SKU Master'!I99</f>
        <v>2469.1999999999998</v>
      </c>
      <c r="E100" s="94">
        <f>'SKU Master'!J99</f>
        <v>745200</v>
      </c>
      <c r="F100" s="94">
        <f>'SKU Master'!K99</f>
        <v>0</v>
      </c>
      <c r="G100" s="94">
        <f>'SKU Master'!L99</f>
        <v>0</v>
      </c>
      <c r="H100" s="94">
        <f t="shared" si="5"/>
        <v>2469.1999999999998</v>
      </c>
      <c r="I100" s="94">
        <f>H100*'SKU Master'!H99</f>
        <v>683078.47123887553</v>
      </c>
      <c r="J100" s="75" t="str">
        <f t="shared" si="6"/>
        <v>Produced</v>
      </c>
      <c r="K100" s="94">
        <f>IF(F100&gt;D100,D100*'SKU Master'!M99,G100)+I100</f>
        <v>683078.47123887553</v>
      </c>
      <c r="L100" s="94">
        <f t="shared" si="7"/>
        <v>62121.528761124471</v>
      </c>
      <c r="M100" s="95">
        <f t="shared" si="8"/>
        <v>25.158565025564748</v>
      </c>
      <c r="N100" s="75" t="str">
        <f t="shared" si="9"/>
        <v>THIN</v>
      </c>
    </row>
    <row r="101" spans="1:14" ht="15" customHeight="1" x14ac:dyDescent="0.25">
      <c r="A101" s="75">
        <v>96</v>
      </c>
      <c r="B101" s="75">
        <f>IF('SKU Master'!B100="","",'SKU Master'!B100)</f>
        <v>679</v>
      </c>
      <c r="C101" s="75" t="str">
        <f>'SKU Master'!C100</f>
        <v>40 Mesh MQ 120"</v>
      </c>
      <c r="D101" s="94">
        <f>'SKU Master'!I100</f>
        <v>246</v>
      </c>
      <c r="E101" s="94">
        <f>'SKU Master'!J100</f>
        <v>90000</v>
      </c>
      <c r="F101" s="94">
        <f>'SKU Master'!K100</f>
        <v>0</v>
      </c>
      <c r="G101" s="94">
        <f>'SKU Master'!L100</f>
        <v>0</v>
      </c>
      <c r="H101" s="94">
        <f t="shared" si="5"/>
        <v>246</v>
      </c>
      <c r="I101" s="94">
        <f>H101*'SKU Master'!H100</f>
        <v>65821.405875913872</v>
      </c>
      <c r="J101" s="75" t="str">
        <f t="shared" si="6"/>
        <v>Produced</v>
      </c>
      <c r="K101" s="94">
        <f>IF(F101&gt;D101,D101*'SKU Master'!M100,G101)+I101</f>
        <v>65821.405875913872</v>
      </c>
      <c r="L101" s="94">
        <f t="shared" si="7"/>
        <v>24178.594124086128</v>
      </c>
      <c r="M101" s="95">
        <f t="shared" si="8"/>
        <v>98.286967984089955</v>
      </c>
      <c r="N101" s="75" t="str">
        <f t="shared" si="9"/>
        <v>PROFIT</v>
      </c>
    </row>
    <row r="102" spans="1:14" ht="15" customHeight="1" x14ac:dyDescent="0.25">
      <c r="A102" s="75">
        <v>97</v>
      </c>
      <c r="B102" s="75">
        <f>IF('SKU Master'!B101="","",'SKU Master'!B101)</f>
        <v>683</v>
      </c>
      <c r="C102" s="75" t="str">
        <f>'SKU Master'!C101</f>
        <v>40 Mesh MQ 42"</v>
      </c>
      <c r="D102" s="94">
        <f>'SKU Master'!I101</f>
        <v>100.2</v>
      </c>
      <c r="E102" s="94">
        <f>'SKU Master'!J101</f>
        <v>34800</v>
      </c>
      <c r="F102" s="94">
        <f>'SKU Master'!K101</f>
        <v>0</v>
      </c>
      <c r="G102" s="94">
        <f>'SKU Master'!L101</f>
        <v>0</v>
      </c>
      <c r="H102" s="94">
        <f t="shared" si="5"/>
        <v>100.2</v>
      </c>
      <c r="I102" s="94">
        <f>H102*'SKU Master'!H101</f>
        <v>25812.510546511985</v>
      </c>
      <c r="J102" s="75" t="str">
        <f t="shared" si="6"/>
        <v>Produced</v>
      </c>
      <c r="K102" s="94">
        <f>IF(F102&gt;D102,D102*'SKU Master'!M101,G102)+I102</f>
        <v>25812.510546511985</v>
      </c>
      <c r="L102" s="94">
        <f t="shared" si="7"/>
        <v>8987.489453488015</v>
      </c>
      <c r="M102" s="95">
        <f t="shared" si="8"/>
        <v>89.695503527824499</v>
      </c>
      <c r="N102" s="75" t="str">
        <f t="shared" si="9"/>
        <v>PROFIT</v>
      </c>
    </row>
    <row r="103" spans="1:14" ht="15" customHeight="1" x14ac:dyDescent="0.25">
      <c r="A103" s="75">
        <v>98</v>
      </c>
      <c r="B103" s="75">
        <f>IF('SKU Master'!B102="","",'SKU Master'!B102)</f>
        <v>683</v>
      </c>
      <c r="C103" s="75" t="str">
        <f>'SKU Master'!C102</f>
        <v>40 Mesh MQ 42"</v>
      </c>
      <c r="D103" s="94">
        <f>'SKU Master'!I102</f>
        <v>322.60000000000002</v>
      </c>
      <c r="E103" s="94">
        <f>'SKU Master'!J102</f>
        <v>97200</v>
      </c>
      <c r="F103" s="94">
        <f>'SKU Master'!K102</f>
        <v>0</v>
      </c>
      <c r="G103" s="94">
        <f>'SKU Master'!L102</f>
        <v>0</v>
      </c>
      <c r="H103" s="94">
        <f t="shared" si="5"/>
        <v>322.60000000000002</v>
      </c>
      <c r="I103" s="94">
        <f>H103*'SKU Master'!H102</f>
        <v>83104.949124798077</v>
      </c>
      <c r="J103" s="75" t="str">
        <f t="shared" si="6"/>
        <v>Produced</v>
      </c>
      <c r="K103" s="94">
        <f>IF(F103&gt;D103,D103*'SKU Master'!M102,G103)+I103</f>
        <v>83104.949124798077</v>
      </c>
      <c r="L103" s="94">
        <f t="shared" si="7"/>
        <v>14095.050875201923</v>
      </c>
      <c r="M103" s="95">
        <f t="shared" si="8"/>
        <v>43.692036190954504</v>
      </c>
      <c r="N103" s="75" t="str">
        <f t="shared" si="9"/>
        <v>PROFIT</v>
      </c>
    </row>
    <row r="104" spans="1:14" ht="15" customHeight="1" x14ac:dyDescent="0.25">
      <c r="A104" s="75">
        <v>99</v>
      </c>
      <c r="B104" s="75">
        <f>IF('SKU Master'!B103="","",'SKU Master'!B103)</f>
        <v>689</v>
      </c>
      <c r="C104" s="75" t="str">
        <f>'SKU Master'!C103</f>
        <v>40 Mesh MQ 60"</v>
      </c>
      <c r="D104" s="94">
        <f>'SKU Master'!I103</f>
        <v>75.75</v>
      </c>
      <c r="E104" s="94">
        <f>'SKU Master'!J103</f>
        <v>28800</v>
      </c>
      <c r="F104" s="94">
        <f>'SKU Master'!K103</f>
        <v>0</v>
      </c>
      <c r="G104" s="94">
        <f>'SKU Master'!L103</f>
        <v>0</v>
      </c>
      <c r="H104" s="94">
        <f t="shared" si="5"/>
        <v>75.75</v>
      </c>
      <c r="I104" s="94">
        <f>H104*'SKU Master'!H103</f>
        <v>20353.599511398399</v>
      </c>
      <c r="J104" s="75" t="str">
        <f t="shared" si="6"/>
        <v>Produced</v>
      </c>
      <c r="K104" s="94">
        <f>IF(F104&gt;D104,D104*'SKU Master'!M103,G104)+I104</f>
        <v>20353.599511398399</v>
      </c>
      <c r="L104" s="94">
        <f t="shared" si="7"/>
        <v>8446.400488601601</v>
      </c>
      <c r="M104" s="95">
        <f t="shared" si="8"/>
        <v>111.50363681322246</v>
      </c>
      <c r="N104" s="75" t="str">
        <f t="shared" si="9"/>
        <v>PROFIT</v>
      </c>
    </row>
    <row r="105" spans="1:14" ht="15" customHeight="1" x14ac:dyDescent="0.25">
      <c r="A105" s="75">
        <v>100</v>
      </c>
      <c r="B105" s="75">
        <f>IF('SKU Master'!B104="","",'SKU Master'!B104)</f>
        <v>706</v>
      </c>
      <c r="C105" s="75" t="str">
        <f>'SKU Master'!C104</f>
        <v>60 Mesh HQ 42"</v>
      </c>
      <c r="D105" s="94">
        <f>'SKU Master'!I104</f>
        <v>816.7</v>
      </c>
      <c r="E105" s="94">
        <f>'SKU Master'!J104</f>
        <v>399600</v>
      </c>
      <c r="F105" s="94">
        <f>'SKU Master'!K104</f>
        <v>0</v>
      </c>
      <c r="G105" s="94">
        <f>'SKU Master'!L104</f>
        <v>0</v>
      </c>
      <c r="H105" s="94">
        <f t="shared" si="5"/>
        <v>816.7</v>
      </c>
      <c r="I105" s="94">
        <f>H105*'SKU Master'!H104</f>
        <v>129056.93183593031</v>
      </c>
      <c r="J105" s="75" t="str">
        <f t="shared" si="6"/>
        <v>Produced</v>
      </c>
      <c r="K105" s="94">
        <f>IF(F105&gt;D105,D105*'SKU Master'!M104,G105)+I105</f>
        <v>129056.93183593031</v>
      </c>
      <c r="L105" s="94">
        <f t="shared" si="7"/>
        <v>270543.06816406967</v>
      </c>
      <c r="M105" s="95">
        <f t="shared" si="8"/>
        <v>331.26370535578508</v>
      </c>
      <c r="N105" s="75" t="str">
        <f t="shared" si="9"/>
        <v>PROFIT</v>
      </c>
    </row>
    <row r="106" spans="1:14" ht="15" customHeight="1" x14ac:dyDescent="0.25">
      <c r="A106" s="75">
        <v>101</v>
      </c>
      <c r="B106" s="75">
        <f>IF('SKU Master'!B105="","",'SKU Master'!B105)</f>
        <v>707</v>
      </c>
      <c r="C106" s="75" t="str">
        <f>'SKU Master'!C105</f>
        <v>60 Mesh HQ 48"</v>
      </c>
      <c r="D106" s="94">
        <f>'SKU Master'!I105</f>
        <v>51.1</v>
      </c>
      <c r="E106" s="94">
        <f>'SKU Master'!J105</f>
        <v>25200</v>
      </c>
      <c r="F106" s="94">
        <f>'SKU Master'!K105</f>
        <v>0</v>
      </c>
      <c r="G106" s="94">
        <f>'SKU Master'!L105</f>
        <v>0</v>
      </c>
      <c r="H106" s="94">
        <f t="shared" si="5"/>
        <v>51.1</v>
      </c>
      <c r="I106" s="94">
        <f>H106*'SKU Master'!H105</f>
        <v>13744.496116677783</v>
      </c>
      <c r="J106" s="75" t="str">
        <f t="shared" si="6"/>
        <v>Produced</v>
      </c>
      <c r="K106" s="94">
        <f>IF(F106&gt;D106,D106*'SKU Master'!M105,G106)+I106</f>
        <v>13744.496116677783</v>
      </c>
      <c r="L106" s="94">
        <f t="shared" si="7"/>
        <v>11455.503883322217</v>
      </c>
      <c r="M106" s="95">
        <f t="shared" si="8"/>
        <v>224.17815818634475</v>
      </c>
      <c r="N106" s="75" t="str">
        <f t="shared" si="9"/>
        <v>PROFIT</v>
      </c>
    </row>
    <row r="107" spans="1:14" ht="15" customHeight="1" x14ac:dyDescent="0.25">
      <c r="A107" s="75">
        <v>102</v>
      </c>
      <c r="B107" s="75">
        <f>IF('SKU Master'!B106="","",'SKU Master'!B106)</f>
        <v>708</v>
      </c>
      <c r="C107" s="75" t="str">
        <f>'SKU Master'!C106</f>
        <v>60 Mesh LQ 42"</v>
      </c>
      <c r="D107" s="94">
        <f>'SKU Master'!I106</f>
        <v>220</v>
      </c>
      <c r="E107" s="94">
        <f>'SKU Master'!J106</f>
        <v>98100</v>
      </c>
      <c r="F107" s="94">
        <f>'SKU Master'!K106</f>
        <v>0</v>
      </c>
      <c r="G107" s="94">
        <f>'SKU Master'!L106</f>
        <v>0</v>
      </c>
      <c r="H107" s="94">
        <f t="shared" si="5"/>
        <v>220</v>
      </c>
      <c r="I107" s="94">
        <f>H107*'SKU Master'!H106</f>
        <v>63749.084205987929</v>
      </c>
      <c r="J107" s="75" t="str">
        <f t="shared" si="6"/>
        <v>Produced</v>
      </c>
      <c r="K107" s="94">
        <f>IF(F107&gt;D107,D107*'SKU Master'!M106,G107)+I107</f>
        <v>63749.084205987929</v>
      </c>
      <c r="L107" s="94">
        <f t="shared" si="7"/>
        <v>34350.915794012071</v>
      </c>
      <c r="M107" s="95">
        <f t="shared" si="8"/>
        <v>156.1405263364185</v>
      </c>
      <c r="N107" s="75" t="str">
        <f t="shared" si="9"/>
        <v>PROFIT</v>
      </c>
    </row>
    <row r="108" spans="1:14" ht="15" customHeight="1" x14ac:dyDescent="0.25">
      <c r="A108" s="75">
        <v>103</v>
      </c>
      <c r="B108" s="75">
        <f>IF('SKU Master'!B107="","",'SKU Master'!B107)</f>
        <v>709</v>
      </c>
      <c r="C108" s="75" t="str">
        <f>'SKU Master'!C107</f>
        <v>60 Mesh LQ 48"</v>
      </c>
      <c r="D108" s="94">
        <f>'SKU Master'!I107</f>
        <v>375.8</v>
      </c>
      <c r="E108" s="94">
        <f>'SKU Master'!J107</f>
        <v>152250</v>
      </c>
      <c r="F108" s="94">
        <f>'SKU Master'!K107</f>
        <v>0</v>
      </c>
      <c r="G108" s="94">
        <f>'SKU Master'!L107</f>
        <v>0</v>
      </c>
      <c r="H108" s="94">
        <f t="shared" si="5"/>
        <v>375.8</v>
      </c>
      <c r="I108" s="94">
        <f>H108*'SKU Master'!H107</f>
        <v>107955.8429584446</v>
      </c>
      <c r="J108" s="75" t="str">
        <f t="shared" si="6"/>
        <v>Produced</v>
      </c>
      <c r="K108" s="94">
        <f>IF(F108&gt;D108,D108*'SKU Master'!M107,G108)+I108</f>
        <v>107955.8429584446</v>
      </c>
      <c r="L108" s="94">
        <f t="shared" si="7"/>
        <v>44294.157041555402</v>
      </c>
      <c r="M108" s="95">
        <f t="shared" si="8"/>
        <v>117.86630399562374</v>
      </c>
      <c r="N108" s="75" t="str">
        <f t="shared" si="9"/>
        <v>PROFIT</v>
      </c>
    </row>
    <row r="109" spans="1:14" ht="15" customHeight="1" x14ac:dyDescent="0.25">
      <c r="A109" s="75">
        <v>104</v>
      </c>
      <c r="B109" s="75">
        <f>IF('SKU Master'!B108="","",'SKU Master'!B108)</f>
        <v>720</v>
      </c>
      <c r="C109" s="75" t="str">
        <f>'SKU Master'!C108</f>
        <v>8 Mesh HQ 42"</v>
      </c>
      <c r="D109" s="94">
        <f>'SKU Master'!I108</f>
        <v>356.4</v>
      </c>
      <c r="E109" s="94">
        <f>'SKU Master'!J108</f>
        <v>99540</v>
      </c>
      <c r="F109" s="94">
        <f>'SKU Master'!K108</f>
        <v>345.7</v>
      </c>
      <c r="G109" s="94">
        <f>'SKU Master'!L108</f>
        <v>86700</v>
      </c>
      <c r="H109" s="94">
        <f t="shared" si="5"/>
        <v>10.699999999999989</v>
      </c>
      <c r="I109" s="94">
        <f>H109*'SKU Master'!H108</f>
        <v>1690.840174659548</v>
      </c>
      <c r="J109" s="75" t="str">
        <f t="shared" si="6"/>
        <v>Produced</v>
      </c>
      <c r="K109" s="94">
        <f>IF(F109&gt;D109,D109*'SKU Master'!M108,G109)+I109</f>
        <v>88390.840174659548</v>
      </c>
      <c r="L109" s="94">
        <f t="shared" si="7"/>
        <v>11149.159825340452</v>
      </c>
      <c r="M109" s="95">
        <f t="shared" si="8"/>
        <v>31.282715559316646</v>
      </c>
      <c r="N109" s="75" t="str">
        <f t="shared" si="9"/>
        <v>PROFIT</v>
      </c>
    </row>
    <row r="110" spans="1:14" ht="15" customHeight="1" x14ac:dyDescent="0.25">
      <c r="A110" s="75">
        <v>105</v>
      </c>
      <c r="B110" s="75">
        <f>IF('SKU Master'!B109="","",'SKU Master'!B109)</f>
        <v>723</v>
      </c>
      <c r="C110" s="75" t="str">
        <f>'SKU Master'!C109</f>
        <v>20  Mesh SHQ 39"</v>
      </c>
      <c r="D110" s="94">
        <f>'SKU Master'!I109</f>
        <v>5.45</v>
      </c>
      <c r="E110" s="94">
        <f>'SKU Master'!J109</f>
        <v>1950</v>
      </c>
      <c r="F110" s="94">
        <f>'SKU Master'!K109</f>
        <v>0</v>
      </c>
      <c r="G110" s="94">
        <f>'SKU Master'!L109</f>
        <v>0</v>
      </c>
      <c r="H110" s="94">
        <f t="shared" si="5"/>
        <v>5.45</v>
      </c>
      <c r="I110" s="94">
        <f>H110*'SKU Master'!H109</f>
        <v>1177.4251621414401</v>
      </c>
      <c r="J110" s="75" t="str">
        <f t="shared" si="6"/>
        <v>Produced</v>
      </c>
      <c r="K110" s="94">
        <f>IF(F110&gt;D110,D110*'SKU Master'!M109,G110)+I110</f>
        <v>1177.4251621414401</v>
      </c>
      <c r="L110" s="94">
        <f t="shared" si="7"/>
        <v>772.57483785855993</v>
      </c>
      <c r="M110" s="95">
        <f t="shared" si="8"/>
        <v>141.75685098322199</v>
      </c>
      <c r="N110" s="75" t="str">
        <f t="shared" si="9"/>
        <v>PROFIT</v>
      </c>
    </row>
    <row r="111" spans="1:14" ht="15" customHeight="1" x14ac:dyDescent="0.25">
      <c r="A111" s="75">
        <v>106</v>
      </c>
      <c r="B111" s="75">
        <f>IF('SKU Master'!B110="","",'SKU Master'!B110)</f>
        <v>726</v>
      </c>
      <c r="C111" s="75" t="str">
        <f>'SKU Master'!C110</f>
        <v>120 Mesh LQ 48"</v>
      </c>
      <c r="D111" s="94">
        <f>'SKU Master'!I110</f>
        <v>134.9</v>
      </c>
      <c r="E111" s="94">
        <f>'SKU Master'!J110</f>
        <v>50082</v>
      </c>
      <c r="F111" s="94">
        <f>'SKU Master'!K110</f>
        <v>134.9</v>
      </c>
      <c r="G111" s="94">
        <f>'SKU Master'!L110</f>
        <v>40262</v>
      </c>
      <c r="H111" s="94">
        <f t="shared" si="5"/>
        <v>0</v>
      </c>
      <c r="I111" s="94">
        <f>H111*'SKU Master'!H110</f>
        <v>0</v>
      </c>
      <c r="J111" s="75" t="str">
        <f t="shared" si="6"/>
        <v>Matched</v>
      </c>
      <c r="K111" s="94">
        <f>IF(F111&gt;D111,D111*'SKU Master'!M110,G111)+I111</f>
        <v>40262</v>
      </c>
      <c r="L111" s="94">
        <f t="shared" si="7"/>
        <v>9820</v>
      </c>
      <c r="M111" s="95">
        <f t="shared" si="8"/>
        <v>72.794662713120829</v>
      </c>
      <c r="N111" s="75" t="str">
        <f t="shared" si="9"/>
        <v>PROFIT</v>
      </c>
    </row>
    <row r="112" spans="1:14" ht="15" customHeight="1" x14ac:dyDescent="0.25">
      <c r="A112" s="75">
        <v>107</v>
      </c>
      <c r="B112" s="75">
        <f>IF('SKU Master'!B111="","",'SKU Master'!B111)</f>
        <v>727</v>
      </c>
      <c r="C112" s="75" t="str">
        <f>'SKU Master'!C111</f>
        <v>40 Mesh HQ 138"</v>
      </c>
      <c r="D112" s="94">
        <f>'SKU Master'!I111</f>
        <v>2100</v>
      </c>
      <c r="E112" s="94">
        <f>'SKU Master'!J111</f>
        <v>556500</v>
      </c>
      <c r="F112" s="94">
        <f>'SKU Master'!K111</f>
        <v>2100</v>
      </c>
      <c r="G112" s="94">
        <f>'SKU Master'!L111</f>
        <v>525000</v>
      </c>
      <c r="H112" s="94">
        <f t="shared" si="5"/>
        <v>0</v>
      </c>
      <c r="I112" s="94">
        <f>H112*'SKU Master'!H111</f>
        <v>0</v>
      </c>
      <c r="J112" s="75" t="str">
        <f t="shared" si="6"/>
        <v>Matched</v>
      </c>
      <c r="K112" s="94">
        <f>IF(F112&gt;D112,D112*'SKU Master'!M111,G112)+I112</f>
        <v>525000</v>
      </c>
      <c r="L112" s="94">
        <f t="shared" si="7"/>
        <v>31500</v>
      </c>
      <c r="M112" s="95">
        <f t="shared" si="8"/>
        <v>15</v>
      </c>
      <c r="N112" s="75" t="str">
        <f t="shared" si="9"/>
        <v>THIN</v>
      </c>
    </row>
    <row r="113" spans="1:14" ht="15" customHeight="1" x14ac:dyDescent="0.25">
      <c r="A113" s="75">
        <v>108</v>
      </c>
      <c r="B113" s="75">
        <f>IF('SKU Master'!B112="","",'SKU Master'!B112)</f>
        <v>633</v>
      </c>
      <c r="C113" s="75" t="str">
        <f>'SKU Master'!C112</f>
        <v>40 Mesh HQ 165"</v>
      </c>
      <c r="D113" s="94">
        <f>'SKU Master'!I112</f>
        <v>0</v>
      </c>
      <c r="E113" s="94">
        <f>'SKU Master'!J112</f>
        <v>0</v>
      </c>
      <c r="F113" s="94">
        <f>'SKU Master'!K112</f>
        <v>203</v>
      </c>
      <c r="G113" s="94">
        <f>'SKU Master'!L112</f>
        <v>52920</v>
      </c>
      <c r="H113" s="94">
        <f t="shared" si="5"/>
        <v>0</v>
      </c>
      <c r="I113" s="94">
        <f>H113*'SKU Master'!H112</f>
        <v>0</v>
      </c>
      <c r="J113" s="75" t="str">
        <f t="shared" si="6"/>
        <v>EXCESS→INV</v>
      </c>
      <c r="K113" s="94">
        <f>IF(F113&gt;D113,D113*'SKU Master'!M112,G113)+I113</f>
        <v>0</v>
      </c>
      <c r="L113" s="94">
        <f t="shared" si="7"/>
        <v>0</v>
      </c>
      <c r="M113" s="95">
        <f t="shared" si="8"/>
        <v>0</v>
      </c>
      <c r="N113" s="75" t="str">
        <f t="shared" si="9"/>
        <v>NO SALES</v>
      </c>
    </row>
    <row r="114" spans="1:14" ht="15" customHeight="1" x14ac:dyDescent="0.25">
      <c r="A114" s="75">
        <v>109</v>
      </c>
      <c r="B114" s="75" t="str">
        <f>IF('SKU Master'!B113="","",'SKU Master'!B113)</f>
        <v/>
      </c>
      <c r="C114" s="75">
        <f>'SKU Master'!C113</f>
        <v>0</v>
      </c>
      <c r="D114" s="94">
        <f>'SKU Master'!I113</f>
        <v>0</v>
      </c>
      <c r="E114" s="94">
        <f>'SKU Master'!J113</f>
        <v>0</v>
      </c>
      <c r="F114" s="94">
        <f>'SKU Master'!K113</f>
        <v>0</v>
      </c>
      <c r="G114" s="94">
        <f>'SKU Master'!L113</f>
        <v>0</v>
      </c>
      <c r="H114" s="94">
        <f t="shared" si="5"/>
        <v>0</v>
      </c>
      <c r="I114" s="94">
        <f>H114*'SKU Master'!H113</f>
        <v>0</v>
      </c>
      <c r="J114" s="75" t="str">
        <f t="shared" si="6"/>
        <v>Matched</v>
      </c>
      <c r="K114" s="94">
        <f>IF(F114&gt;D114,D114*'SKU Master'!M113,G114)+I114</f>
        <v>0</v>
      </c>
      <c r="L114" s="94">
        <f t="shared" si="7"/>
        <v>0</v>
      </c>
      <c r="M114" s="95">
        <f t="shared" si="8"/>
        <v>0</v>
      </c>
      <c r="N114" s="75" t="str">
        <f t="shared" si="9"/>
        <v>NO SALES</v>
      </c>
    </row>
    <row r="115" spans="1:14" ht="15" customHeight="1" x14ac:dyDescent="0.25">
      <c r="A115" s="75">
        <v>110</v>
      </c>
      <c r="B115" s="75" t="str">
        <f>IF('SKU Master'!B114="","",'SKU Master'!B114)</f>
        <v/>
      </c>
      <c r="C115" s="75">
        <f>'SKU Master'!C114</f>
        <v>0</v>
      </c>
      <c r="D115" s="94">
        <f>'SKU Master'!I114</f>
        <v>0</v>
      </c>
      <c r="E115" s="94">
        <f>'SKU Master'!J114</f>
        <v>0</v>
      </c>
      <c r="F115" s="94">
        <f>'SKU Master'!K114</f>
        <v>0</v>
      </c>
      <c r="G115" s="94">
        <f>'SKU Master'!L114</f>
        <v>0</v>
      </c>
      <c r="H115" s="94">
        <f t="shared" si="5"/>
        <v>0</v>
      </c>
      <c r="I115" s="94">
        <f>H115*'SKU Master'!H114</f>
        <v>0</v>
      </c>
      <c r="J115" s="75" t="str">
        <f t="shared" si="6"/>
        <v>Matched</v>
      </c>
      <c r="K115" s="94">
        <f>IF(F115&gt;D115,D115*'SKU Master'!M114,G115)+I115</f>
        <v>0</v>
      </c>
      <c r="L115" s="94">
        <f t="shared" si="7"/>
        <v>0</v>
      </c>
      <c r="M115" s="95">
        <f t="shared" si="8"/>
        <v>0</v>
      </c>
      <c r="N115" s="75" t="str">
        <f t="shared" si="9"/>
        <v>NO SALES</v>
      </c>
    </row>
    <row r="116" spans="1:14" ht="15" customHeight="1" x14ac:dyDescent="0.25">
      <c r="A116" s="75">
        <v>111</v>
      </c>
      <c r="B116" s="75" t="str">
        <f>IF('SKU Master'!B115="","",'SKU Master'!B115)</f>
        <v/>
      </c>
      <c r="C116" s="75">
        <f>'SKU Master'!C115</f>
        <v>0</v>
      </c>
      <c r="D116" s="94">
        <f>'SKU Master'!I115</f>
        <v>0</v>
      </c>
      <c r="E116" s="94">
        <f>'SKU Master'!J115</f>
        <v>0</v>
      </c>
      <c r="F116" s="94">
        <f>'SKU Master'!K115</f>
        <v>0</v>
      </c>
      <c r="G116" s="94">
        <f>'SKU Master'!L115</f>
        <v>0</v>
      </c>
      <c r="H116" s="94">
        <f t="shared" si="5"/>
        <v>0</v>
      </c>
      <c r="I116" s="94">
        <f>H116*'SKU Master'!H115</f>
        <v>0</v>
      </c>
      <c r="J116" s="75" t="str">
        <f t="shared" si="6"/>
        <v>Matched</v>
      </c>
      <c r="K116" s="94">
        <f>IF(F116&gt;D116,D116*'SKU Master'!M115,G116)+I116</f>
        <v>0</v>
      </c>
      <c r="L116" s="94">
        <f t="shared" si="7"/>
        <v>0</v>
      </c>
      <c r="M116" s="95">
        <f t="shared" si="8"/>
        <v>0</v>
      </c>
      <c r="N116" s="75" t="str">
        <f t="shared" si="9"/>
        <v>NO SALES</v>
      </c>
    </row>
    <row r="117" spans="1:14" ht="15" customHeight="1" x14ac:dyDescent="0.25">
      <c r="A117" s="75">
        <v>112</v>
      </c>
      <c r="B117" s="75" t="str">
        <f>IF('SKU Master'!B116="","",'SKU Master'!B116)</f>
        <v/>
      </c>
      <c r="C117" s="75">
        <f>'SKU Master'!C116</f>
        <v>0</v>
      </c>
      <c r="D117" s="94">
        <f>'SKU Master'!I116</f>
        <v>0</v>
      </c>
      <c r="E117" s="94">
        <f>'SKU Master'!J116</f>
        <v>0</v>
      </c>
      <c r="F117" s="94">
        <f>'SKU Master'!K116</f>
        <v>0</v>
      </c>
      <c r="G117" s="94">
        <f>'SKU Master'!L116</f>
        <v>0</v>
      </c>
      <c r="H117" s="94">
        <f t="shared" si="5"/>
        <v>0</v>
      </c>
      <c r="I117" s="94">
        <f>H117*'SKU Master'!H116</f>
        <v>0</v>
      </c>
      <c r="J117" s="75" t="str">
        <f t="shared" si="6"/>
        <v>Matched</v>
      </c>
      <c r="K117" s="94">
        <f>IF(F117&gt;D117,D117*'SKU Master'!M116,G117)+I117</f>
        <v>0</v>
      </c>
      <c r="L117" s="94">
        <f t="shared" si="7"/>
        <v>0</v>
      </c>
      <c r="M117" s="95">
        <f t="shared" si="8"/>
        <v>0</v>
      </c>
      <c r="N117" s="75" t="str">
        <f t="shared" si="9"/>
        <v>NO SALES</v>
      </c>
    </row>
    <row r="118" spans="1:14" ht="15" customHeight="1" x14ac:dyDescent="0.25">
      <c r="A118" s="75">
        <v>113</v>
      </c>
      <c r="B118" s="75" t="str">
        <f>IF('SKU Master'!B117="","",'SKU Master'!B117)</f>
        <v/>
      </c>
      <c r="C118" s="75">
        <f>'SKU Master'!C117</f>
        <v>0</v>
      </c>
      <c r="D118" s="94">
        <f>'SKU Master'!I117</f>
        <v>0</v>
      </c>
      <c r="E118" s="94">
        <f>'SKU Master'!J117</f>
        <v>0</v>
      </c>
      <c r="F118" s="94">
        <f>'SKU Master'!K117</f>
        <v>0</v>
      </c>
      <c r="G118" s="94">
        <f>'SKU Master'!L117</f>
        <v>0</v>
      </c>
      <c r="H118" s="94">
        <f t="shared" si="5"/>
        <v>0</v>
      </c>
      <c r="I118" s="94">
        <f>H118*'SKU Master'!H117</f>
        <v>0</v>
      </c>
      <c r="J118" s="75" t="str">
        <f t="shared" si="6"/>
        <v>Matched</v>
      </c>
      <c r="K118" s="94">
        <f>IF(F118&gt;D118,D118*'SKU Master'!M117,G118)+I118</f>
        <v>0</v>
      </c>
      <c r="L118" s="94">
        <f t="shared" si="7"/>
        <v>0</v>
      </c>
      <c r="M118" s="95">
        <f t="shared" si="8"/>
        <v>0</v>
      </c>
      <c r="N118" s="75" t="str">
        <f t="shared" si="9"/>
        <v>NO SALES</v>
      </c>
    </row>
    <row r="119" spans="1:14" ht="15" customHeight="1" x14ac:dyDescent="0.25">
      <c r="A119" s="75">
        <v>114</v>
      </c>
      <c r="B119" s="75" t="str">
        <f>IF('SKU Master'!B118="","",'SKU Master'!B118)</f>
        <v/>
      </c>
      <c r="C119" s="75">
        <f>'SKU Master'!C118</f>
        <v>0</v>
      </c>
      <c r="D119" s="94">
        <f>'SKU Master'!I118</f>
        <v>0</v>
      </c>
      <c r="E119" s="94">
        <f>'SKU Master'!J118</f>
        <v>0</v>
      </c>
      <c r="F119" s="94">
        <f>'SKU Master'!K118</f>
        <v>0</v>
      </c>
      <c r="G119" s="94">
        <f>'SKU Master'!L118</f>
        <v>0</v>
      </c>
      <c r="H119" s="94">
        <f t="shared" si="5"/>
        <v>0</v>
      </c>
      <c r="I119" s="94">
        <f>H119*'SKU Master'!H118</f>
        <v>0</v>
      </c>
      <c r="J119" s="75" t="str">
        <f t="shared" si="6"/>
        <v>Matched</v>
      </c>
      <c r="K119" s="94">
        <f>IF(F119&gt;D119,D119*'SKU Master'!M118,G119)+I119</f>
        <v>0</v>
      </c>
      <c r="L119" s="94">
        <f t="shared" si="7"/>
        <v>0</v>
      </c>
      <c r="M119" s="95">
        <f t="shared" si="8"/>
        <v>0</v>
      </c>
      <c r="N119" s="75" t="str">
        <f t="shared" si="9"/>
        <v>NO SALES</v>
      </c>
    </row>
    <row r="120" spans="1:14" ht="15" customHeight="1" x14ac:dyDescent="0.25">
      <c r="A120" s="75">
        <v>115</v>
      </c>
      <c r="B120" s="75" t="str">
        <f>IF('SKU Master'!B119="","",'SKU Master'!B119)</f>
        <v/>
      </c>
      <c r="C120" s="75">
        <f>'SKU Master'!C119</f>
        <v>0</v>
      </c>
      <c r="D120" s="94">
        <f>'SKU Master'!I119</f>
        <v>0</v>
      </c>
      <c r="E120" s="94">
        <f>'SKU Master'!J119</f>
        <v>0</v>
      </c>
      <c r="F120" s="94">
        <f>'SKU Master'!K119</f>
        <v>0</v>
      </c>
      <c r="G120" s="94">
        <f>'SKU Master'!L119</f>
        <v>0</v>
      </c>
      <c r="H120" s="94">
        <f t="shared" si="5"/>
        <v>0</v>
      </c>
      <c r="I120" s="94">
        <f>H120*'SKU Master'!H119</f>
        <v>0</v>
      </c>
      <c r="J120" s="75" t="str">
        <f t="shared" si="6"/>
        <v>Matched</v>
      </c>
      <c r="K120" s="94">
        <f>IF(F120&gt;D120,D120*'SKU Master'!M119,G120)+I120</f>
        <v>0</v>
      </c>
      <c r="L120" s="94">
        <f t="shared" si="7"/>
        <v>0</v>
      </c>
      <c r="M120" s="95">
        <f t="shared" si="8"/>
        <v>0</v>
      </c>
      <c r="N120" s="75" t="str">
        <f t="shared" si="9"/>
        <v>NO SALES</v>
      </c>
    </row>
    <row r="121" spans="1:14" ht="15" customHeight="1" x14ac:dyDescent="0.25">
      <c r="A121" s="75">
        <v>116</v>
      </c>
      <c r="B121" s="75" t="str">
        <f>IF('SKU Master'!B120="","",'SKU Master'!B120)</f>
        <v/>
      </c>
      <c r="C121" s="75">
        <f>'SKU Master'!C120</f>
        <v>0</v>
      </c>
      <c r="D121" s="94">
        <f>'SKU Master'!I120</f>
        <v>0</v>
      </c>
      <c r="E121" s="94">
        <f>'SKU Master'!J120</f>
        <v>0</v>
      </c>
      <c r="F121" s="94">
        <f>'SKU Master'!K120</f>
        <v>0</v>
      </c>
      <c r="G121" s="94">
        <f>'SKU Master'!L120</f>
        <v>0</v>
      </c>
      <c r="H121" s="94">
        <f t="shared" si="5"/>
        <v>0</v>
      </c>
      <c r="I121" s="94">
        <f>H121*'SKU Master'!H120</f>
        <v>0</v>
      </c>
      <c r="J121" s="75" t="str">
        <f t="shared" si="6"/>
        <v>Matched</v>
      </c>
      <c r="K121" s="94">
        <f>IF(F121&gt;D121,D121*'SKU Master'!M120,G121)+I121</f>
        <v>0</v>
      </c>
      <c r="L121" s="94">
        <f t="shared" si="7"/>
        <v>0</v>
      </c>
      <c r="M121" s="95">
        <f t="shared" si="8"/>
        <v>0</v>
      </c>
      <c r="N121" s="75" t="str">
        <f t="shared" si="9"/>
        <v>NO SALES</v>
      </c>
    </row>
    <row r="122" spans="1:14" ht="15" customHeight="1" x14ac:dyDescent="0.25">
      <c r="A122" s="75">
        <v>117</v>
      </c>
      <c r="B122" s="75" t="str">
        <f>IF('SKU Master'!B121="","",'SKU Master'!B121)</f>
        <v/>
      </c>
      <c r="C122" s="75">
        <f>'SKU Master'!C121</f>
        <v>0</v>
      </c>
      <c r="D122" s="94">
        <f>'SKU Master'!I121</f>
        <v>0</v>
      </c>
      <c r="E122" s="94">
        <f>'SKU Master'!J121</f>
        <v>0</v>
      </c>
      <c r="F122" s="94">
        <f>'SKU Master'!K121</f>
        <v>0</v>
      </c>
      <c r="G122" s="94">
        <f>'SKU Master'!L121</f>
        <v>0</v>
      </c>
      <c r="H122" s="94">
        <f t="shared" si="5"/>
        <v>0</v>
      </c>
      <c r="I122" s="94">
        <f>H122*'SKU Master'!H121</f>
        <v>0</v>
      </c>
      <c r="J122" s="75" t="str">
        <f t="shared" si="6"/>
        <v>Matched</v>
      </c>
      <c r="K122" s="94">
        <f>IF(F122&gt;D122,D122*'SKU Master'!M121,G122)+I122</f>
        <v>0</v>
      </c>
      <c r="L122" s="94">
        <f t="shared" si="7"/>
        <v>0</v>
      </c>
      <c r="M122" s="95">
        <f t="shared" si="8"/>
        <v>0</v>
      </c>
      <c r="N122" s="75" t="str">
        <f t="shared" si="9"/>
        <v>NO SALES</v>
      </c>
    </row>
    <row r="123" spans="1:14" ht="15" customHeight="1" x14ac:dyDescent="0.25">
      <c r="A123" s="75">
        <v>118</v>
      </c>
      <c r="B123" s="75" t="str">
        <f>IF('SKU Master'!B122="","",'SKU Master'!B122)</f>
        <v/>
      </c>
      <c r="C123" s="75">
        <f>'SKU Master'!C122</f>
        <v>0</v>
      </c>
      <c r="D123" s="94">
        <f>'SKU Master'!I122</f>
        <v>0</v>
      </c>
      <c r="E123" s="94">
        <f>'SKU Master'!J122</f>
        <v>0</v>
      </c>
      <c r="F123" s="94">
        <f>'SKU Master'!K122</f>
        <v>0</v>
      </c>
      <c r="G123" s="94">
        <f>'SKU Master'!L122</f>
        <v>0</v>
      </c>
      <c r="H123" s="94">
        <f t="shared" si="5"/>
        <v>0</v>
      </c>
      <c r="I123" s="94">
        <f>H123*'SKU Master'!H122</f>
        <v>0</v>
      </c>
      <c r="J123" s="75" t="str">
        <f t="shared" si="6"/>
        <v>Matched</v>
      </c>
      <c r="K123" s="94">
        <f>IF(F123&gt;D123,D123*'SKU Master'!M122,G123)+I123</f>
        <v>0</v>
      </c>
      <c r="L123" s="94">
        <f t="shared" si="7"/>
        <v>0</v>
      </c>
      <c r="M123" s="95">
        <f t="shared" si="8"/>
        <v>0</v>
      </c>
      <c r="N123" s="75" t="str">
        <f t="shared" si="9"/>
        <v>NO SALES</v>
      </c>
    </row>
    <row r="124" spans="1:14" ht="15" customHeight="1" x14ac:dyDescent="0.25">
      <c r="A124" s="75">
        <v>119</v>
      </c>
      <c r="B124" s="75" t="str">
        <f>IF('SKU Master'!B123="","",'SKU Master'!B123)</f>
        <v/>
      </c>
      <c r="C124" s="75">
        <f>'SKU Master'!C123</f>
        <v>0</v>
      </c>
      <c r="D124" s="94">
        <f>'SKU Master'!I123</f>
        <v>0</v>
      </c>
      <c r="E124" s="94">
        <f>'SKU Master'!J123</f>
        <v>0</v>
      </c>
      <c r="F124" s="94">
        <f>'SKU Master'!K123</f>
        <v>0</v>
      </c>
      <c r="G124" s="94">
        <f>'SKU Master'!L123</f>
        <v>0</v>
      </c>
      <c r="H124" s="94">
        <f t="shared" si="5"/>
        <v>0</v>
      </c>
      <c r="I124" s="94">
        <f>H124*'SKU Master'!H123</f>
        <v>0</v>
      </c>
      <c r="J124" s="75" t="str">
        <f t="shared" si="6"/>
        <v>Matched</v>
      </c>
      <c r="K124" s="94">
        <f>IF(F124&gt;D124,D124*'SKU Master'!M123,G124)+I124</f>
        <v>0</v>
      </c>
      <c r="L124" s="94">
        <f t="shared" si="7"/>
        <v>0</v>
      </c>
      <c r="M124" s="95">
        <f t="shared" si="8"/>
        <v>0</v>
      </c>
      <c r="N124" s="75" t="str">
        <f t="shared" si="9"/>
        <v>NO SALES</v>
      </c>
    </row>
    <row r="125" spans="1:14" ht="15" customHeight="1" x14ac:dyDescent="0.25">
      <c r="A125" s="75">
        <v>120</v>
      </c>
      <c r="B125" s="75" t="str">
        <f>IF('SKU Master'!B124="","",'SKU Master'!B124)</f>
        <v/>
      </c>
      <c r="C125" s="75">
        <f>'SKU Master'!C124</f>
        <v>0</v>
      </c>
      <c r="D125" s="94">
        <f>'SKU Master'!I124</f>
        <v>0</v>
      </c>
      <c r="E125" s="94">
        <f>'SKU Master'!J124</f>
        <v>0</v>
      </c>
      <c r="F125" s="94">
        <f>'SKU Master'!K124</f>
        <v>0</v>
      </c>
      <c r="G125" s="94">
        <f>'SKU Master'!L124</f>
        <v>0</v>
      </c>
      <c r="H125" s="94">
        <f t="shared" si="5"/>
        <v>0</v>
      </c>
      <c r="I125" s="94">
        <f>H125*'SKU Master'!H124</f>
        <v>0</v>
      </c>
      <c r="J125" s="75" t="str">
        <f t="shared" si="6"/>
        <v>Matched</v>
      </c>
      <c r="K125" s="94">
        <f>IF(F125&gt;D125,D125*'SKU Master'!M124,G125)+I125</f>
        <v>0</v>
      </c>
      <c r="L125" s="94">
        <f t="shared" si="7"/>
        <v>0</v>
      </c>
      <c r="M125" s="95">
        <f t="shared" si="8"/>
        <v>0</v>
      </c>
      <c r="N125" s="75" t="str">
        <f t="shared" si="9"/>
        <v>NO SALES</v>
      </c>
    </row>
    <row r="126" spans="1:14" ht="15" customHeight="1" x14ac:dyDescent="0.25">
      <c r="A126" s="75">
        <v>121</v>
      </c>
      <c r="B126" s="75" t="str">
        <f>IF('SKU Master'!B125="","",'SKU Master'!B125)</f>
        <v/>
      </c>
      <c r="C126" s="75">
        <f>'SKU Master'!C125</f>
        <v>0</v>
      </c>
      <c r="D126" s="94">
        <f>'SKU Master'!I125</f>
        <v>0</v>
      </c>
      <c r="E126" s="94">
        <f>'SKU Master'!J125</f>
        <v>0</v>
      </c>
      <c r="F126" s="94">
        <f>'SKU Master'!K125</f>
        <v>0</v>
      </c>
      <c r="G126" s="94">
        <f>'SKU Master'!L125</f>
        <v>0</v>
      </c>
      <c r="H126" s="94">
        <f t="shared" si="5"/>
        <v>0</v>
      </c>
      <c r="I126" s="94">
        <f>H126*'SKU Master'!H125</f>
        <v>0</v>
      </c>
      <c r="J126" s="75" t="str">
        <f t="shared" si="6"/>
        <v>Matched</v>
      </c>
      <c r="K126" s="94">
        <f>IF(F126&gt;D126,D126*'SKU Master'!M125,G126)+I126</f>
        <v>0</v>
      </c>
      <c r="L126" s="94">
        <f t="shared" si="7"/>
        <v>0</v>
      </c>
      <c r="M126" s="95">
        <f t="shared" si="8"/>
        <v>0</v>
      </c>
      <c r="N126" s="75" t="str">
        <f t="shared" si="9"/>
        <v>NO SALES</v>
      </c>
    </row>
    <row r="127" spans="1:14" ht="15" customHeight="1" x14ac:dyDescent="0.25">
      <c r="A127" s="75">
        <v>122</v>
      </c>
      <c r="B127" s="75" t="str">
        <f>IF('SKU Master'!B126="","",'SKU Master'!B126)</f>
        <v/>
      </c>
      <c r="C127" s="75">
        <f>'SKU Master'!C126</f>
        <v>0</v>
      </c>
      <c r="D127" s="94">
        <f>'SKU Master'!I126</f>
        <v>0</v>
      </c>
      <c r="E127" s="94">
        <f>'SKU Master'!J126</f>
        <v>0</v>
      </c>
      <c r="F127" s="94">
        <f>'SKU Master'!K126</f>
        <v>0</v>
      </c>
      <c r="G127" s="94">
        <f>'SKU Master'!L126</f>
        <v>0</v>
      </c>
      <c r="H127" s="94">
        <f t="shared" si="5"/>
        <v>0</v>
      </c>
      <c r="I127" s="94">
        <f>H127*'SKU Master'!H126</f>
        <v>0</v>
      </c>
      <c r="J127" s="75" t="str">
        <f t="shared" si="6"/>
        <v>Matched</v>
      </c>
      <c r="K127" s="94">
        <f>IF(F127&gt;D127,D127*'SKU Master'!M126,G127)+I127</f>
        <v>0</v>
      </c>
      <c r="L127" s="94">
        <f t="shared" si="7"/>
        <v>0</v>
      </c>
      <c r="M127" s="95">
        <f t="shared" si="8"/>
        <v>0</v>
      </c>
      <c r="N127" s="75" t="str">
        <f t="shared" si="9"/>
        <v>NO SALES</v>
      </c>
    </row>
    <row r="128" spans="1:14" ht="15" customHeight="1" x14ac:dyDescent="0.25">
      <c r="A128" s="75">
        <v>123</v>
      </c>
      <c r="B128" s="75" t="str">
        <f>IF('SKU Master'!B127="","",'SKU Master'!B127)</f>
        <v/>
      </c>
      <c r="C128" s="75">
        <f>'SKU Master'!C127</f>
        <v>0</v>
      </c>
      <c r="D128" s="94">
        <f>'SKU Master'!I127</f>
        <v>0</v>
      </c>
      <c r="E128" s="94">
        <f>'SKU Master'!J127</f>
        <v>0</v>
      </c>
      <c r="F128" s="94">
        <f>'SKU Master'!K127</f>
        <v>0</v>
      </c>
      <c r="G128" s="94">
        <f>'SKU Master'!L127</f>
        <v>0</v>
      </c>
      <c r="H128" s="94">
        <f t="shared" si="5"/>
        <v>0</v>
      </c>
      <c r="I128" s="94">
        <f>H128*'SKU Master'!H127</f>
        <v>0</v>
      </c>
      <c r="J128" s="75" t="str">
        <f t="shared" si="6"/>
        <v>Matched</v>
      </c>
      <c r="K128" s="94">
        <f>IF(F128&gt;D128,D128*'SKU Master'!M127,G128)+I128</f>
        <v>0</v>
      </c>
      <c r="L128" s="94">
        <f t="shared" si="7"/>
        <v>0</v>
      </c>
      <c r="M128" s="95">
        <f t="shared" si="8"/>
        <v>0</v>
      </c>
      <c r="N128" s="75" t="str">
        <f t="shared" si="9"/>
        <v>NO SALES</v>
      </c>
    </row>
    <row r="129" spans="1:14" ht="15" customHeight="1" x14ac:dyDescent="0.25">
      <c r="A129" s="75">
        <v>124</v>
      </c>
      <c r="B129" s="75" t="str">
        <f>IF('SKU Master'!B128="","",'SKU Master'!B128)</f>
        <v/>
      </c>
      <c r="C129" s="75">
        <f>'SKU Master'!C128</f>
        <v>0</v>
      </c>
      <c r="D129" s="94">
        <f>'SKU Master'!I128</f>
        <v>0</v>
      </c>
      <c r="E129" s="94">
        <f>'SKU Master'!J128</f>
        <v>0</v>
      </c>
      <c r="F129" s="94">
        <f>'SKU Master'!K128</f>
        <v>0</v>
      </c>
      <c r="G129" s="94">
        <f>'SKU Master'!L128</f>
        <v>0</v>
      </c>
      <c r="H129" s="94">
        <f t="shared" si="5"/>
        <v>0</v>
      </c>
      <c r="I129" s="94">
        <f>H129*'SKU Master'!H128</f>
        <v>0</v>
      </c>
      <c r="J129" s="75" t="str">
        <f t="shared" si="6"/>
        <v>Matched</v>
      </c>
      <c r="K129" s="94">
        <f>IF(F129&gt;D129,D129*'SKU Master'!M128,G129)+I129</f>
        <v>0</v>
      </c>
      <c r="L129" s="94">
        <f t="shared" si="7"/>
        <v>0</v>
      </c>
      <c r="M129" s="95">
        <f t="shared" si="8"/>
        <v>0</v>
      </c>
      <c r="N129" s="75" t="str">
        <f t="shared" si="9"/>
        <v>NO SALES</v>
      </c>
    </row>
    <row r="130" spans="1:14" ht="15" customHeight="1" x14ac:dyDescent="0.25">
      <c r="A130" s="75">
        <v>125</v>
      </c>
      <c r="B130" s="75" t="str">
        <f>IF('SKU Master'!B129="","",'SKU Master'!B129)</f>
        <v/>
      </c>
      <c r="C130" s="75">
        <f>'SKU Master'!C129</f>
        <v>0</v>
      </c>
      <c r="D130" s="94">
        <f>'SKU Master'!I129</f>
        <v>0</v>
      </c>
      <c r="E130" s="94">
        <f>'SKU Master'!J129</f>
        <v>0</v>
      </c>
      <c r="F130" s="94">
        <f>'SKU Master'!K129</f>
        <v>0</v>
      </c>
      <c r="G130" s="94">
        <f>'SKU Master'!L129</f>
        <v>0</v>
      </c>
      <c r="H130" s="94">
        <f t="shared" si="5"/>
        <v>0</v>
      </c>
      <c r="I130" s="94">
        <f>H130*'SKU Master'!H129</f>
        <v>0</v>
      </c>
      <c r="J130" s="75" t="str">
        <f t="shared" si="6"/>
        <v>Matched</v>
      </c>
      <c r="K130" s="94">
        <f>IF(F130&gt;D130,D130*'SKU Master'!M129,G130)+I130</f>
        <v>0</v>
      </c>
      <c r="L130" s="94">
        <f t="shared" si="7"/>
        <v>0</v>
      </c>
      <c r="M130" s="95">
        <f t="shared" si="8"/>
        <v>0</v>
      </c>
      <c r="N130" s="75" t="str">
        <f t="shared" si="9"/>
        <v>NO SALES</v>
      </c>
    </row>
    <row r="131" spans="1:14" ht="15" customHeight="1" x14ac:dyDescent="0.25">
      <c r="A131" s="75">
        <v>126</v>
      </c>
      <c r="B131" s="75" t="str">
        <f>IF('SKU Master'!B130="","",'SKU Master'!B130)</f>
        <v/>
      </c>
      <c r="C131" s="75">
        <f>'SKU Master'!C130</f>
        <v>0</v>
      </c>
      <c r="D131" s="94">
        <f>'SKU Master'!I130</f>
        <v>0</v>
      </c>
      <c r="E131" s="94">
        <f>'SKU Master'!J130</f>
        <v>0</v>
      </c>
      <c r="F131" s="94">
        <f>'SKU Master'!K130</f>
        <v>0</v>
      </c>
      <c r="G131" s="94">
        <f>'SKU Master'!L130</f>
        <v>0</v>
      </c>
      <c r="H131" s="94">
        <f t="shared" si="5"/>
        <v>0</v>
      </c>
      <c r="I131" s="94">
        <f>H131*'SKU Master'!H130</f>
        <v>0</v>
      </c>
      <c r="J131" s="75" t="str">
        <f t="shared" si="6"/>
        <v>Matched</v>
      </c>
      <c r="K131" s="94">
        <f>IF(F131&gt;D131,D131*'SKU Master'!M130,G131)+I131</f>
        <v>0</v>
      </c>
      <c r="L131" s="94">
        <f t="shared" si="7"/>
        <v>0</v>
      </c>
      <c r="M131" s="95">
        <f t="shared" si="8"/>
        <v>0</v>
      </c>
      <c r="N131" s="75" t="str">
        <f t="shared" si="9"/>
        <v>NO SALES</v>
      </c>
    </row>
    <row r="132" spans="1:14" ht="15" customHeight="1" x14ac:dyDescent="0.25">
      <c r="A132" s="75">
        <v>127</v>
      </c>
      <c r="B132" s="75" t="str">
        <f>IF('SKU Master'!B131="","",'SKU Master'!B131)</f>
        <v/>
      </c>
      <c r="C132" s="75">
        <f>'SKU Master'!C131</f>
        <v>0</v>
      </c>
      <c r="D132" s="94">
        <f>'SKU Master'!I131</f>
        <v>0</v>
      </c>
      <c r="E132" s="94">
        <f>'SKU Master'!J131</f>
        <v>0</v>
      </c>
      <c r="F132" s="94">
        <f>'SKU Master'!K131</f>
        <v>0</v>
      </c>
      <c r="G132" s="94">
        <f>'SKU Master'!L131</f>
        <v>0</v>
      </c>
      <c r="H132" s="94">
        <f t="shared" si="5"/>
        <v>0</v>
      </c>
      <c r="I132" s="94">
        <f>H132*'SKU Master'!H131</f>
        <v>0</v>
      </c>
      <c r="J132" s="75" t="str">
        <f t="shared" si="6"/>
        <v>Matched</v>
      </c>
      <c r="K132" s="94">
        <f>IF(F132&gt;D132,D132*'SKU Master'!M131,G132)+I132</f>
        <v>0</v>
      </c>
      <c r="L132" s="94">
        <f t="shared" si="7"/>
        <v>0</v>
      </c>
      <c r="M132" s="95">
        <f t="shared" si="8"/>
        <v>0</v>
      </c>
      <c r="N132" s="75" t="str">
        <f t="shared" si="9"/>
        <v>NO SALES</v>
      </c>
    </row>
    <row r="133" spans="1:14" ht="15" customHeight="1" x14ac:dyDescent="0.25">
      <c r="A133" s="75">
        <v>128</v>
      </c>
      <c r="B133" s="75" t="str">
        <f>IF('SKU Master'!B132="","",'SKU Master'!B132)</f>
        <v/>
      </c>
      <c r="C133" s="75">
        <f>'SKU Master'!C132</f>
        <v>0</v>
      </c>
      <c r="D133" s="94">
        <f>'SKU Master'!I132</f>
        <v>0</v>
      </c>
      <c r="E133" s="94">
        <f>'SKU Master'!J132</f>
        <v>0</v>
      </c>
      <c r="F133" s="94">
        <f>'SKU Master'!K132</f>
        <v>0</v>
      </c>
      <c r="G133" s="94">
        <f>'SKU Master'!L132</f>
        <v>0</v>
      </c>
      <c r="H133" s="94">
        <f t="shared" si="5"/>
        <v>0</v>
      </c>
      <c r="I133" s="94">
        <f>H133*'SKU Master'!H132</f>
        <v>0</v>
      </c>
      <c r="J133" s="75" t="str">
        <f t="shared" si="6"/>
        <v>Matched</v>
      </c>
      <c r="K133" s="94">
        <f>IF(F133&gt;D133,D133*'SKU Master'!M132,G133)+I133</f>
        <v>0</v>
      </c>
      <c r="L133" s="94">
        <f t="shared" si="7"/>
        <v>0</v>
      </c>
      <c r="M133" s="95">
        <f t="shared" si="8"/>
        <v>0</v>
      </c>
      <c r="N133" s="75" t="str">
        <f t="shared" si="9"/>
        <v>NO SALES</v>
      </c>
    </row>
    <row r="134" spans="1:14" ht="15" customHeight="1" x14ac:dyDescent="0.25">
      <c r="A134" s="75">
        <v>129</v>
      </c>
      <c r="B134" s="75" t="str">
        <f>IF('SKU Master'!B133="","",'SKU Master'!B133)</f>
        <v/>
      </c>
      <c r="C134" s="75">
        <f>'SKU Master'!C133</f>
        <v>0</v>
      </c>
      <c r="D134" s="94">
        <f>'SKU Master'!I133</f>
        <v>0</v>
      </c>
      <c r="E134" s="94">
        <f>'SKU Master'!J133</f>
        <v>0</v>
      </c>
      <c r="F134" s="94">
        <f>'SKU Master'!K133</f>
        <v>0</v>
      </c>
      <c r="G134" s="94">
        <f>'SKU Master'!L133</f>
        <v>0</v>
      </c>
      <c r="H134" s="94">
        <f t="shared" ref="H134:H197" si="10">MAX(D134-F134,0)</f>
        <v>0</v>
      </c>
      <c r="I134" s="94">
        <f>H134*'SKU Master'!H133</f>
        <v>0</v>
      </c>
      <c r="J134" s="75" t="str">
        <f t="shared" ref="J134:J197" si="11">IF(D134-F134&lt;-0.5,"EXCESS→INV",IF(D134-F134&gt;0.5,"Produced","Matched"))</f>
        <v>Matched</v>
      </c>
      <c r="K134" s="94">
        <f>IF(F134&gt;D134,D134*'SKU Master'!M133,G134)+I134</f>
        <v>0</v>
      </c>
      <c r="L134" s="94">
        <f t="shared" ref="L134:L197" si="12">IF(E134=0,0,E134-K134)</f>
        <v>0</v>
      </c>
      <c r="M134" s="95">
        <f t="shared" ref="M134:M197" si="13">IFERROR(L134/D134,0)</f>
        <v>0</v>
      </c>
      <c r="N134" s="75" t="str">
        <f t="shared" ref="N134:N197" si="14">IF(E134=0,"NO SALES",IF(L134&lt;0,"LOSS",IF(IFERROR(L134/E134,0)&lt;0.1,"THIN","PROFIT")))</f>
        <v>NO SALES</v>
      </c>
    </row>
    <row r="135" spans="1:14" ht="15" customHeight="1" x14ac:dyDescent="0.25">
      <c r="A135" s="75">
        <v>130</v>
      </c>
      <c r="B135" s="75" t="str">
        <f>IF('SKU Master'!B134="","",'SKU Master'!B134)</f>
        <v/>
      </c>
      <c r="C135" s="75">
        <f>'SKU Master'!C134</f>
        <v>0</v>
      </c>
      <c r="D135" s="94">
        <f>'SKU Master'!I134</f>
        <v>0</v>
      </c>
      <c r="E135" s="94">
        <f>'SKU Master'!J134</f>
        <v>0</v>
      </c>
      <c r="F135" s="94">
        <f>'SKU Master'!K134</f>
        <v>0</v>
      </c>
      <c r="G135" s="94">
        <f>'SKU Master'!L134</f>
        <v>0</v>
      </c>
      <c r="H135" s="94">
        <f t="shared" si="10"/>
        <v>0</v>
      </c>
      <c r="I135" s="94">
        <f>H135*'SKU Master'!H134</f>
        <v>0</v>
      </c>
      <c r="J135" s="75" t="str">
        <f t="shared" si="11"/>
        <v>Matched</v>
      </c>
      <c r="K135" s="94">
        <f>IF(F135&gt;D135,D135*'SKU Master'!M134,G135)+I135</f>
        <v>0</v>
      </c>
      <c r="L135" s="94">
        <f t="shared" si="12"/>
        <v>0</v>
      </c>
      <c r="M135" s="95">
        <f t="shared" si="13"/>
        <v>0</v>
      </c>
      <c r="N135" s="75" t="str">
        <f t="shared" si="14"/>
        <v>NO SALES</v>
      </c>
    </row>
    <row r="136" spans="1:14" ht="15" customHeight="1" x14ac:dyDescent="0.25">
      <c r="A136" s="75">
        <v>131</v>
      </c>
      <c r="B136" s="75" t="str">
        <f>IF('SKU Master'!B135="","",'SKU Master'!B135)</f>
        <v/>
      </c>
      <c r="C136" s="75">
        <f>'SKU Master'!C135</f>
        <v>0</v>
      </c>
      <c r="D136" s="94">
        <f>'SKU Master'!I135</f>
        <v>0</v>
      </c>
      <c r="E136" s="94">
        <f>'SKU Master'!J135</f>
        <v>0</v>
      </c>
      <c r="F136" s="94">
        <f>'SKU Master'!K135</f>
        <v>0</v>
      </c>
      <c r="G136" s="94">
        <f>'SKU Master'!L135</f>
        <v>0</v>
      </c>
      <c r="H136" s="94">
        <f t="shared" si="10"/>
        <v>0</v>
      </c>
      <c r="I136" s="94">
        <f>H136*'SKU Master'!H135</f>
        <v>0</v>
      </c>
      <c r="J136" s="75" t="str">
        <f t="shared" si="11"/>
        <v>Matched</v>
      </c>
      <c r="K136" s="94">
        <f>IF(F136&gt;D136,D136*'SKU Master'!M135,G136)+I136</f>
        <v>0</v>
      </c>
      <c r="L136" s="94">
        <f t="shared" si="12"/>
        <v>0</v>
      </c>
      <c r="M136" s="95">
        <f t="shared" si="13"/>
        <v>0</v>
      </c>
      <c r="N136" s="75" t="str">
        <f t="shared" si="14"/>
        <v>NO SALES</v>
      </c>
    </row>
    <row r="137" spans="1:14" ht="15" customHeight="1" x14ac:dyDescent="0.25">
      <c r="A137" s="75">
        <v>132</v>
      </c>
      <c r="B137" s="75" t="str">
        <f>IF('SKU Master'!B136="","",'SKU Master'!B136)</f>
        <v/>
      </c>
      <c r="C137" s="75">
        <f>'SKU Master'!C136</f>
        <v>0</v>
      </c>
      <c r="D137" s="94">
        <f>'SKU Master'!I136</f>
        <v>0</v>
      </c>
      <c r="E137" s="94">
        <f>'SKU Master'!J136</f>
        <v>0</v>
      </c>
      <c r="F137" s="94">
        <f>'SKU Master'!K136</f>
        <v>0</v>
      </c>
      <c r="G137" s="94">
        <f>'SKU Master'!L136</f>
        <v>0</v>
      </c>
      <c r="H137" s="94">
        <f t="shared" si="10"/>
        <v>0</v>
      </c>
      <c r="I137" s="94">
        <f>H137*'SKU Master'!H136</f>
        <v>0</v>
      </c>
      <c r="J137" s="75" t="str">
        <f t="shared" si="11"/>
        <v>Matched</v>
      </c>
      <c r="K137" s="94">
        <f>IF(F137&gt;D137,D137*'SKU Master'!M136,G137)+I137</f>
        <v>0</v>
      </c>
      <c r="L137" s="94">
        <f t="shared" si="12"/>
        <v>0</v>
      </c>
      <c r="M137" s="95">
        <f t="shared" si="13"/>
        <v>0</v>
      </c>
      <c r="N137" s="75" t="str">
        <f t="shared" si="14"/>
        <v>NO SALES</v>
      </c>
    </row>
    <row r="138" spans="1:14" ht="15" customHeight="1" x14ac:dyDescent="0.25">
      <c r="A138" s="75">
        <v>133</v>
      </c>
      <c r="B138" s="75" t="str">
        <f>IF('SKU Master'!B137="","",'SKU Master'!B137)</f>
        <v/>
      </c>
      <c r="C138" s="75">
        <f>'SKU Master'!C137</f>
        <v>0</v>
      </c>
      <c r="D138" s="94">
        <f>'SKU Master'!I137</f>
        <v>0</v>
      </c>
      <c r="E138" s="94">
        <f>'SKU Master'!J137</f>
        <v>0</v>
      </c>
      <c r="F138" s="94">
        <f>'SKU Master'!K137</f>
        <v>0</v>
      </c>
      <c r="G138" s="94">
        <f>'SKU Master'!L137</f>
        <v>0</v>
      </c>
      <c r="H138" s="94">
        <f t="shared" si="10"/>
        <v>0</v>
      </c>
      <c r="I138" s="94">
        <f>H138*'SKU Master'!H137</f>
        <v>0</v>
      </c>
      <c r="J138" s="75" t="str">
        <f t="shared" si="11"/>
        <v>Matched</v>
      </c>
      <c r="K138" s="94">
        <f>IF(F138&gt;D138,D138*'SKU Master'!M137,G138)+I138</f>
        <v>0</v>
      </c>
      <c r="L138" s="94">
        <f t="shared" si="12"/>
        <v>0</v>
      </c>
      <c r="M138" s="95">
        <f t="shared" si="13"/>
        <v>0</v>
      </c>
      <c r="N138" s="75" t="str">
        <f t="shared" si="14"/>
        <v>NO SALES</v>
      </c>
    </row>
    <row r="139" spans="1:14" ht="15" customHeight="1" x14ac:dyDescent="0.25">
      <c r="A139" s="75">
        <v>134</v>
      </c>
      <c r="B139" s="75" t="str">
        <f>IF('SKU Master'!B138="","",'SKU Master'!B138)</f>
        <v/>
      </c>
      <c r="C139" s="75">
        <f>'SKU Master'!C138</f>
        <v>0</v>
      </c>
      <c r="D139" s="94">
        <f>'SKU Master'!I138</f>
        <v>0</v>
      </c>
      <c r="E139" s="94">
        <f>'SKU Master'!J138</f>
        <v>0</v>
      </c>
      <c r="F139" s="94">
        <f>'SKU Master'!K138</f>
        <v>0</v>
      </c>
      <c r="G139" s="94">
        <f>'SKU Master'!L138</f>
        <v>0</v>
      </c>
      <c r="H139" s="94">
        <f t="shared" si="10"/>
        <v>0</v>
      </c>
      <c r="I139" s="94">
        <f>H139*'SKU Master'!H138</f>
        <v>0</v>
      </c>
      <c r="J139" s="75" t="str">
        <f t="shared" si="11"/>
        <v>Matched</v>
      </c>
      <c r="K139" s="94">
        <f>IF(F139&gt;D139,D139*'SKU Master'!M138,G139)+I139</f>
        <v>0</v>
      </c>
      <c r="L139" s="94">
        <f t="shared" si="12"/>
        <v>0</v>
      </c>
      <c r="M139" s="95">
        <f t="shared" si="13"/>
        <v>0</v>
      </c>
      <c r="N139" s="75" t="str">
        <f t="shared" si="14"/>
        <v>NO SALES</v>
      </c>
    </row>
    <row r="140" spans="1:14" ht="15" customHeight="1" x14ac:dyDescent="0.25">
      <c r="A140" s="75">
        <v>135</v>
      </c>
      <c r="B140" s="75" t="str">
        <f>IF('SKU Master'!B139="","",'SKU Master'!B139)</f>
        <v/>
      </c>
      <c r="C140" s="75">
        <f>'SKU Master'!C139</f>
        <v>0</v>
      </c>
      <c r="D140" s="94">
        <f>'SKU Master'!I139</f>
        <v>0</v>
      </c>
      <c r="E140" s="94">
        <f>'SKU Master'!J139</f>
        <v>0</v>
      </c>
      <c r="F140" s="94">
        <f>'SKU Master'!K139</f>
        <v>0</v>
      </c>
      <c r="G140" s="94">
        <f>'SKU Master'!L139</f>
        <v>0</v>
      </c>
      <c r="H140" s="94">
        <f t="shared" si="10"/>
        <v>0</v>
      </c>
      <c r="I140" s="94">
        <f>H140*'SKU Master'!H139</f>
        <v>0</v>
      </c>
      <c r="J140" s="75" t="str">
        <f t="shared" si="11"/>
        <v>Matched</v>
      </c>
      <c r="K140" s="94">
        <f>IF(F140&gt;D140,D140*'SKU Master'!M139,G140)+I140</f>
        <v>0</v>
      </c>
      <c r="L140" s="94">
        <f t="shared" si="12"/>
        <v>0</v>
      </c>
      <c r="M140" s="95">
        <f t="shared" si="13"/>
        <v>0</v>
      </c>
      <c r="N140" s="75" t="str">
        <f t="shared" si="14"/>
        <v>NO SALES</v>
      </c>
    </row>
    <row r="141" spans="1:14" ht="15" customHeight="1" x14ac:dyDescent="0.25">
      <c r="A141" s="75">
        <v>136</v>
      </c>
      <c r="B141" s="75" t="str">
        <f>IF('SKU Master'!B140="","",'SKU Master'!B140)</f>
        <v/>
      </c>
      <c r="C141" s="75">
        <f>'SKU Master'!C140</f>
        <v>0</v>
      </c>
      <c r="D141" s="94">
        <f>'SKU Master'!I140</f>
        <v>0</v>
      </c>
      <c r="E141" s="94">
        <f>'SKU Master'!J140</f>
        <v>0</v>
      </c>
      <c r="F141" s="94">
        <f>'SKU Master'!K140</f>
        <v>0</v>
      </c>
      <c r="G141" s="94">
        <f>'SKU Master'!L140</f>
        <v>0</v>
      </c>
      <c r="H141" s="94">
        <f t="shared" si="10"/>
        <v>0</v>
      </c>
      <c r="I141" s="94">
        <f>H141*'SKU Master'!H140</f>
        <v>0</v>
      </c>
      <c r="J141" s="75" t="str">
        <f t="shared" si="11"/>
        <v>Matched</v>
      </c>
      <c r="K141" s="94">
        <f>IF(F141&gt;D141,D141*'SKU Master'!M140,G141)+I141</f>
        <v>0</v>
      </c>
      <c r="L141" s="94">
        <f t="shared" si="12"/>
        <v>0</v>
      </c>
      <c r="M141" s="95">
        <f t="shared" si="13"/>
        <v>0</v>
      </c>
      <c r="N141" s="75" t="str">
        <f t="shared" si="14"/>
        <v>NO SALES</v>
      </c>
    </row>
    <row r="142" spans="1:14" ht="15" customHeight="1" x14ac:dyDescent="0.25">
      <c r="A142" s="75">
        <v>137</v>
      </c>
      <c r="B142" s="75" t="str">
        <f>IF('SKU Master'!B141="","",'SKU Master'!B141)</f>
        <v/>
      </c>
      <c r="C142" s="75">
        <f>'SKU Master'!C141</f>
        <v>0</v>
      </c>
      <c r="D142" s="94">
        <f>'SKU Master'!I141</f>
        <v>0</v>
      </c>
      <c r="E142" s="94">
        <f>'SKU Master'!J141</f>
        <v>0</v>
      </c>
      <c r="F142" s="94">
        <f>'SKU Master'!K141</f>
        <v>0</v>
      </c>
      <c r="G142" s="94">
        <f>'SKU Master'!L141</f>
        <v>0</v>
      </c>
      <c r="H142" s="94">
        <f t="shared" si="10"/>
        <v>0</v>
      </c>
      <c r="I142" s="94">
        <f>H142*'SKU Master'!H141</f>
        <v>0</v>
      </c>
      <c r="J142" s="75" t="str">
        <f t="shared" si="11"/>
        <v>Matched</v>
      </c>
      <c r="K142" s="94">
        <f>IF(F142&gt;D142,D142*'SKU Master'!M141,G142)+I142</f>
        <v>0</v>
      </c>
      <c r="L142" s="94">
        <f t="shared" si="12"/>
        <v>0</v>
      </c>
      <c r="M142" s="95">
        <f t="shared" si="13"/>
        <v>0</v>
      </c>
      <c r="N142" s="75" t="str">
        <f t="shared" si="14"/>
        <v>NO SALES</v>
      </c>
    </row>
    <row r="143" spans="1:14" ht="15" customHeight="1" x14ac:dyDescent="0.25">
      <c r="A143" s="75">
        <v>138</v>
      </c>
      <c r="B143" s="75" t="str">
        <f>IF('SKU Master'!B142="","",'SKU Master'!B142)</f>
        <v/>
      </c>
      <c r="C143" s="75">
        <f>'SKU Master'!C142</f>
        <v>0</v>
      </c>
      <c r="D143" s="94">
        <f>'SKU Master'!I142</f>
        <v>0</v>
      </c>
      <c r="E143" s="94">
        <f>'SKU Master'!J142</f>
        <v>0</v>
      </c>
      <c r="F143" s="94">
        <f>'SKU Master'!K142</f>
        <v>0</v>
      </c>
      <c r="G143" s="94">
        <f>'SKU Master'!L142</f>
        <v>0</v>
      </c>
      <c r="H143" s="94">
        <f t="shared" si="10"/>
        <v>0</v>
      </c>
      <c r="I143" s="94">
        <f>H143*'SKU Master'!H142</f>
        <v>0</v>
      </c>
      <c r="J143" s="75" t="str">
        <f t="shared" si="11"/>
        <v>Matched</v>
      </c>
      <c r="K143" s="94">
        <f>IF(F143&gt;D143,D143*'SKU Master'!M142,G143)+I143</f>
        <v>0</v>
      </c>
      <c r="L143" s="94">
        <f t="shared" si="12"/>
        <v>0</v>
      </c>
      <c r="M143" s="95">
        <f t="shared" si="13"/>
        <v>0</v>
      </c>
      <c r="N143" s="75" t="str">
        <f t="shared" si="14"/>
        <v>NO SALES</v>
      </c>
    </row>
    <row r="144" spans="1:14" ht="15" customHeight="1" x14ac:dyDescent="0.25">
      <c r="A144" s="75">
        <v>139</v>
      </c>
      <c r="B144" s="75" t="str">
        <f>IF('SKU Master'!B143="","",'SKU Master'!B143)</f>
        <v/>
      </c>
      <c r="C144" s="75">
        <f>'SKU Master'!C143</f>
        <v>0</v>
      </c>
      <c r="D144" s="94">
        <f>'SKU Master'!I143</f>
        <v>0</v>
      </c>
      <c r="E144" s="94">
        <f>'SKU Master'!J143</f>
        <v>0</v>
      </c>
      <c r="F144" s="94">
        <f>'SKU Master'!K143</f>
        <v>0</v>
      </c>
      <c r="G144" s="94">
        <f>'SKU Master'!L143</f>
        <v>0</v>
      </c>
      <c r="H144" s="94">
        <f t="shared" si="10"/>
        <v>0</v>
      </c>
      <c r="I144" s="94">
        <f>H144*'SKU Master'!H143</f>
        <v>0</v>
      </c>
      <c r="J144" s="75" t="str">
        <f t="shared" si="11"/>
        <v>Matched</v>
      </c>
      <c r="K144" s="94">
        <f>IF(F144&gt;D144,D144*'SKU Master'!M143,G144)+I144</f>
        <v>0</v>
      </c>
      <c r="L144" s="94">
        <f t="shared" si="12"/>
        <v>0</v>
      </c>
      <c r="M144" s="95">
        <f t="shared" si="13"/>
        <v>0</v>
      </c>
      <c r="N144" s="75" t="str">
        <f t="shared" si="14"/>
        <v>NO SALES</v>
      </c>
    </row>
    <row r="145" spans="1:14" ht="15" customHeight="1" x14ac:dyDescent="0.25">
      <c r="A145" s="75">
        <v>140</v>
      </c>
      <c r="B145" s="75" t="str">
        <f>IF('SKU Master'!B144="","",'SKU Master'!B144)</f>
        <v/>
      </c>
      <c r="C145" s="75">
        <f>'SKU Master'!C144</f>
        <v>0</v>
      </c>
      <c r="D145" s="94">
        <f>'SKU Master'!I144</f>
        <v>0</v>
      </c>
      <c r="E145" s="94">
        <f>'SKU Master'!J144</f>
        <v>0</v>
      </c>
      <c r="F145" s="94">
        <f>'SKU Master'!K144</f>
        <v>0</v>
      </c>
      <c r="G145" s="94">
        <f>'SKU Master'!L144</f>
        <v>0</v>
      </c>
      <c r="H145" s="94">
        <f t="shared" si="10"/>
        <v>0</v>
      </c>
      <c r="I145" s="94">
        <f>H145*'SKU Master'!H144</f>
        <v>0</v>
      </c>
      <c r="J145" s="75" t="str">
        <f t="shared" si="11"/>
        <v>Matched</v>
      </c>
      <c r="K145" s="94">
        <f>IF(F145&gt;D145,D145*'SKU Master'!M144,G145)+I145</f>
        <v>0</v>
      </c>
      <c r="L145" s="94">
        <f t="shared" si="12"/>
        <v>0</v>
      </c>
      <c r="M145" s="95">
        <f t="shared" si="13"/>
        <v>0</v>
      </c>
      <c r="N145" s="75" t="str">
        <f t="shared" si="14"/>
        <v>NO SALES</v>
      </c>
    </row>
    <row r="146" spans="1:14" ht="15" customHeight="1" x14ac:dyDescent="0.25">
      <c r="A146" s="75">
        <v>141</v>
      </c>
      <c r="B146" s="75" t="str">
        <f>IF('SKU Master'!B145="","",'SKU Master'!B145)</f>
        <v/>
      </c>
      <c r="C146" s="75">
        <f>'SKU Master'!C145</f>
        <v>0</v>
      </c>
      <c r="D146" s="94">
        <f>'SKU Master'!I145</f>
        <v>0</v>
      </c>
      <c r="E146" s="94">
        <f>'SKU Master'!J145</f>
        <v>0</v>
      </c>
      <c r="F146" s="94">
        <f>'SKU Master'!K145</f>
        <v>0</v>
      </c>
      <c r="G146" s="94">
        <f>'SKU Master'!L145</f>
        <v>0</v>
      </c>
      <c r="H146" s="94">
        <f t="shared" si="10"/>
        <v>0</v>
      </c>
      <c r="I146" s="94">
        <f>H146*'SKU Master'!H145</f>
        <v>0</v>
      </c>
      <c r="J146" s="75" t="str">
        <f t="shared" si="11"/>
        <v>Matched</v>
      </c>
      <c r="K146" s="94">
        <f>IF(F146&gt;D146,D146*'SKU Master'!M145,G146)+I146</f>
        <v>0</v>
      </c>
      <c r="L146" s="94">
        <f t="shared" si="12"/>
        <v>0</v>
      </c>
      <c r="M146" s="95">
        <f t="shared" si="13"/>
        <v>0</v>
      </c>
      <c r="N146" s="75" t="str">
        <f t="shared" si="14"/>
        <v>NO SALES</v>
      </c>
    </row>
    <row r="147" spans="1:14" ht="15" customHeight="1" x14ac:dyDescent="0.25">
      <c r="A147" s="75">
        <v>142</v>
      </c>
      <c r="B147" s="75" t="str">
        <f>IF('SKU Master'!B146="","",'SKU Master'!B146)</f>
        <v/>
      </c>
      <c r="C147" s="75">
        <f>'SKU Master'!C146</f>
        <v>0</v>
      </c>
      <c r="D147" s="94">
        <f>'SKU Master'!I146</f>
        <v>0</v>
      </c>
      <c r="E147" s="94">
        <f>'SKU Master'!J146</f>
        <v>0</v>
      </c>
      <c r="F147" s="94">
        <f>'SKU Master'!K146</f>
        <v>0</v>
      </c>
      <c r="G147" s="94">
        <f>'SKU Master'!L146</f>
        <v>0</v>
      </c>
      <c r="H147" s="94">
        <f t="shared" si="10"/>
        <v>0</v>
      </c>
      <c r="I147" s="94">
        <f>H147*'SKU Master'!H146</f>
        <v>0</v>
      </c>
      <c r="J147" s="75" t="str">
        <f t="shared" si="11"/>
        <v>Matched</v>
      </c>
      <c r="K147" s="94">
        <f>IF(F147&gt;D147,D147*'SKU Master'!M146,G147)+I147</f>
        <v>0</v>
      </c>
      <c r="L147" s="94">
        <f t="shared" si="12"/>
        <v>0</v>
      </c>
      <c r="M147" s="95">
        <f t="shared" si="13"/>
        <v>0</v>
      </c>
      <c r="N147" s="75" t="str">
        <f t="shared" si="14"/>
        <v>NO SALES</v>
      </c>
    </row>
    <row r="148" spans="1:14" ht="15" customHeight="1" x14ac:dyDescent="0.25">
      <c r="A148" s="75">
        <v>143</v>
      </c>
      <c r="B148" s="75" t="str">
        <f>IF('SKU Master'!B147="","",'SKU Master'!B147)</f>
        <v/>
      </c>
      <c r="C148" s="75">
        <f>'SKU Master'!C147</f>
        <v>0</v>
      </c>
      <c r="D148" s="94">
        <f>'SKU Master'!I147</f>
        <v>0</v>
      </c>
      <c r="E148" s="94">
        <f>'SKU Master'!J147</f>
        <v>0</v>
      </c>
      <c r="F148" s="94">
        <f>'SKU Master'!K147</f>
        <v>0</v>
      </c>
      <c r="G148" s="94">
        <f>'SKU Master'!L147</f>
        <v>0</v>
      </c>
      <c r="H148" s="94">
        <f t="shared" si="10"/>
        <v>0</v>
      </c>
      <c r="I148" s="94">
        <f>H148*'SKU Master'!H147</f>
        <v>0</v>
      </c>
      <c r="J148" s="75" t="str">
        <f t="shared" si="11"/>
        <v>Matched</v>
      </c>
      <c r="K148" s="94">
        <f>IF(F148&gt;D148,D148*'SKU Master'!M147,G148)+I148</f>
        <v>0</v>
      </c>
      <c r="L148" s="94">
        <f t="shared" si="12"/>
        <v>0</v>
      </c>
      <c r="M148" s="95">
        <f t="shared" si="13"/>
        <v>0</v>
      </c>
      <c r="N148" s="75" t="str">
        <f t="shared" si="14"/>
        <v>NO SALES</v>
      </c>
    </row>
    <row r="149" spans="1:14" ht="15" customHeight="1" x14ac:dyDescent="0.25">
      <c r="A149" s="75">
        <v>144</v>
      </c>
      <c r="B149" s="75" t="str">
        <f>IF('SKU Master'!B148="","",'SKU Master'!B148)</f>
        <v/>
      </c>
      <c r="C149" s="75">
        <f>'SKU Master'!C148</f>
        <v>0</v>
      </c>
      <c r="D149" s="94">
        <f>'SKU Master'!I148</f>
        <v>0</v>
      </c>
      <c r="E149" s="94">
        <f>'SKU Master'!J148</f>
        <v>0</v>
      </c>
      <c r="F149" s="94">
        <f>'SKU Master'!K148</f>
        <v>0</v>
      </c>
      <c r="G149" s="94">
        <f>'SKU Master'!L148</f>
        <v>0</v>
      </c>
      <c r="H149" s="94">
        <f t="shared" si="10"/>
        <v>0</v>
      </c>
      <c r="I149" s="94">
        <f>H149*'SKU Master'!H148</f>
        <v>0</v>
      </c>
      <c r="J149" s="75" t="str">
        <f t="shared" si="11"/>
        <v>Matched</v>
      </c>
      <c r="K149" s="94">
        <f>IF(F149&gt;D149,D149*'SKU Master'!M148,G149)+I149</f>
        <v>0</v>
      </c>
      <c r="L149" s="94">
        <f t="shared" si="12"/>
        <v>0</v>
      </c>
      <c r="M149" s="95">
        <f t="shared" si="13"/>
        <v>0</v>
      </c>
      <c r="N149" s="75" t="str">
        <f t="shared" si="14"/>
        <v>NO SALES</v>
      </c>
    </row>
    <row r="150" spans="1:14" ht="15" customHeight="1" x14ac:dyDescent="0.25">
      <c r="A150" s="75">
        <v>145</v>
      </c>
      <c r="B150" s="75" t="str">
        <f>IF('SKU Master'!B149="","",'SKU Master'!B149)</f>
        <v/>
      </c>
      <c r="C150" s="75">
        <f>'SKU Master'!C149</f>
        <v>0</v>
      </c>
      <c r="D150" s="94">
        <f>'SKU Master'!I149</f>
        <v>0</v>
      </c>
      <c r="E150" s="94">
        <f>'SKU Master'!J149</f>
        <v>0</v>
      </c>
      <c r="F150" s="94">
        <f>'SKU Master'!K149</f>
        <v>0</v>
      </c>
      <c r="G150" s="94">
        <f>'SKU Master'!L149</f>
        <v>0</v>
      </c>
      <c r="H150" s="94">
        <f t="shared" si="10"/>
        <v>0</v>
      </c>
      <c r="I150" s="94">
        <f>H150*'SKU Master'!H149</f>
        <v>0</v>
      </c>
      <c r="J150" s="75" t="str">
        <f t="shared" si="11"/>
        <v>Matched</v>
      </c>
      <c r="K150" s="94">
        <f>IF(F150&gt;D150,D150*'SKU Master'!M149,G150)+I150</f>
        <v>0</v>
      </c>
      <c r="L150" s="94">
        <f t="shared" si="12"/>
        <v>0</v>
      </c>
      <c r="M150" s="95">
        <f t="shared" si="13"/>
        <v>0</v>
      </c>
      <c r="N150" s="75" t="str">
        <f t="shared" si="14"/>
        <v>NO SALES</v>
      </c>
    </row>
    <row r="151" spans="1:14" ht="15" customHeight="1" x14ac:dyDescent="0.25">
      <c r="A151" s="75">
        <v>146</v>
      </c>
      <c r="B151" s="75" t="str">
        <f>IF('SKU Master'!B150="","",'SKU Master'!B150)</f>
        <v/>
      </c>
      <c r="C151" s="75">
        <f>'SKU Master'!C150</f>
        <v>0</v>
      </c>
      <c r="D151" s="94">
        <f>'SKU Master'!I150</f>
        <v>0</v>
      </c>
      <c r="E151" s="94">
        <f>'SKU Master'!J150</f>
        <v>0</v>
      </c>
      <c r="F151" s="94">
        <f>'SKU Master'!K150</f>
        <v>0</v>
      </c>
      <c r="G151" s="94">
        <f>'SKU Master'!L150</f>
        <v>0</v>
      </c>
      <c r="H151" s="94">
        <f t="shared" si="10"/>
        <v>0</v>
      </c>
      <c r="I151" s="94">
        <f>H151*'SKU Master'!H150</f>
        <v>0</v>
      </c>
      <c r="J151" s="75" t="str">
        <f t="shared" si="11"/>
        <v>Matched</v>
      </c>
      <c r="K151" s="94">
        <f>IF(F151&gt;D151,D151*'SKU Master'!M150,G151)+I151</f>
        <v>0</v>
      </c>
      <c r="L151" s="94">
        <f t="shared" si="12"/>
        <v>0</v>
      </c>
      <c r="M151" s="95">
        <f t="shared" si="13"/>
        <v>0</v>
      </c>
      <c r="N151" s="75" t="str">
        <f t="shared" si="14"/>
        <v>NO SALES</v>
      </c>
    </row>
    <row r="152" spans="1:14" ht="15" customHeight="1" x14ac:dyDescent="0.25">
      <c r="A152" s="75">
        <v>147</v>
      </c>
      <c r="B152" s="75" t="str">
        <f>IF('SKU Master'!B151="","",'SKU Master'!B151)</f>
        <v/>
      </c>
      <c r="C152" s="75">
        <f>'SKU Master'!C151</f>
        <v>0</v>
      </c>
      <c r="D152" s="94">
        <f>'SKU Master'!I151</f>
        <v>0</v>
      </c>
      <c r="E152" s="94">
        <f>'SKU Master'!J151</f>
        <v>0</v>
      </c>
      <c r="F152" s="94">
        <f>'SKU Master'!K151</f>
        <v>0</v>
      </c>
      <c r="G152" s="94">
        <f>'SKU Master'!L151</f>
        <v>0</v>
      </c>
      <c r="H152" s="94">
        <f t="shared" si="10"/>
        <v>0</v>
      </c>
      <c r="I152" s="94">
        <f>H152*'SKU Master'!H151</f>
        <v>0</v>
      </c>
      <c r="J152" s="75" t="str">
        <f t="shared" si="11"/>
        <v>Matched</v>
      </c>
      <c r="K152" s="94">
        <f>IF(F152&gt;D152,D152*'SKU Master'!M151,G152)+I152</f>
        <v>0</v>
      </c>
      <c r="L152" s="94">
        <f t="shared" si="12"/>
        <v>0</v>
      </c>
      <c r="M152" s="95">
        <f t="shared" si="13"/>
        <v>0</v>
      </c>
      <c r="N152" s="75" t="str">
        <f t="shared" si="14"/>
        <v>NO SALES</v>
      </c>
    </row>
    <row r="153" spans="1:14" ht="15" customHeight="1" x14ac:dyDescent="0.25">
      <c r="A153" s="75">
        <v>148</v>
      </c>
      <c r="B153" s="75" t="str">
        <f>IF('SKU Master'!B152="","",'SKU Master'!B152)</f>
        <v/>
      </c>
      <c r="C153" s="75">
        <f>'SKU Master'!C152</f>
        <v>0</v>
      </c>
      <c r="D153" s="94">
        <f>'SKU Master'!I152</f>
        <v>0</v>
      </c>
      <c r="E153" s="94">
        <f>'SKU Master'!J152</f>
        <v>0</v>
      </c>
      <c r="F153" s="94">
        <f>'SKU Master'!K152</f>
        <v>0</v>
      </c>
      <c r="G153" s="94">
        <f>'SKU Master'!L152</f>
        <v>0</v>
      </c>
      <c r="H153" s="94">
        <f t="shared" si="10"/>
        <v>0</v>
      </c>
      <c r="I153" s="94">
        <f>H153*'SKU Master'!H152</f>
        <v>0</v>
      </c>
      <c r="J153" s="75" t="str">
        <f t="shared" si="11"/>
        <v>Matched</v>
      </c>
      <c r="K153" s="94">
        <f>IF(F153&gt;D153,D153*'SKU Master'!M152,G153)+I153</f>
        <v>0</v>
      </c>
      <c r="L153" s="94">
        <f t="shared" si="12"/>
        <v>0</v>
      </c>
      <c r="M153" s="95">
        <f t="shared" si="13"/>
        <v>0</v>
      </c>
      <c r="N153" s="75" t="str">
        <f t="shared" si="14"/>
        <v>NO SALES</v>
      </c>
    </row>
    <row r="154" spans="1:14" ht="15" customHeight="1" x14ac:dyDescent="0.25">
      <c r="A154" s="75">
        <v>149</v>
      </c>
      <c r="B154" s="75" t="str">
        <f>IF('SKU Master'!B153="","",'SKU Master'!B153)</f>
        <v/>
      </c>
      <c r="C154" s="75">
        <f>'SKU Master'!C153</f>
        <v>0</v>
      </c>
      <c r="D154" s="94">
        <f>'SKU Master'!I153</f>
        <v>0</v>
      </c>
      <c r="E154" s="94">
        <f>'SKU Master'!J153</f>
        <v>0</v>
      </c>
      <c r="F154" s="94">
        <f>'SKU Master'!K153</f>
        <v>0</v>
      </c>
      <c r="G154" s="94">
        <f>'SKU Master'!L153</f>
        <v>0</v>
      </c>
      <c r="H154" s="94">
        <f t="shared" si="10"/>
        <v>0</v>
      </c>
      <c r="I154" s="94">
        <f>H154*'SKU Master'!H153</f>
        <v>0</v>
      </c>
      <c r="J154" s="75" t="str">
        <f t="shared" si="11"/>
        <v>Matched</v>
      </c>
      <c r="K154" s="94">
        <f>IF(F154&gt;D154,D154*'SKU Master'!M153,G154)+I154</f>
        <v>0</v>
      </c>
      <c r="L154" s="94">
        <f t="shared" si="12"/>
        <v>0</v>
      </c>
      <c r="M154" s="95">
        <f t="shared" si="13"/>
        <v>0</v>
      </c>
      <c r="N154" s="75" t="str">
        <f t="shared" si="14"/>
        <v>NO SALES</v>
      </c>
    </row>
    <row r="155" spans="1:14" ht="15" customHeight="1" x14ac:dyDescent="0.25">
      <c r="A155" s="75">
        <v>150</v>
      </c>
      <c r="B155" s="75" t="str">
        <f>IF('SKU Master'!B154="","",'SKU Master'!B154)</f>
        <v/>
      </c>
      <c r="C155" s="75">
        <f>'SKU Master'!C154</f>
        <v>0</v>
      </c>
      <c r="D155" s="94">
        <f>'SKU Master'!I154</f>
        <v>0</v>
      </c>
      <c r="E155" s="94">
        <f>'SKU Master'!J154</f>
        <v>0</v>
      </c>
      <c r="F155" s="94">
        <f>'SKU Master'!K154</f>
        <v>0</v>
      </c>
      <c r="G155" s="94">
        <f>'SKU Master'!L154</f>
        <v>0</v>
      </c>
      <c r="H155" s="94">
        <f t="shared" si="10"/>
        <v>0</v>
      </c>
      <c r="I155" s="94">
        <f>H155*'SKU Master'!H154</f>
        <v>0</v>
      </c>
      <c r="J155" s="75" t="str">
        <f t="shared" si="11"/>
        <v>Matched</v>
      </c>
      <c r="K155" s="94">
        <f>IF(F155&gt;D155,D155*'SKU Master'!M154,G155)+I155</f>
        <v>0</v>
      </c>
      <c r="L155" s="94">
        <f t="shared" si="12"/>
        <v>0</v>
      </c>
      <c r="M155" s="95">
        <f t="shared" si="13"/>
        <v>0</v>
      </c>
      <c r="N155" s="75" t="str">
        <f t="shared" si="14"/>
        <v>NO SALES</v>
      </c>
    </row>
    <row r="156" spans="1:14" ht="15" customHeight="1" x14ac:dyDescent="0.25">
      <c r="A156" s="75">
        <v>151</v>
      </c>
      <c r="B156" s="75" t="str">
        <f>IF('SKU Master'!B155="","",'SKU Master'!B155)</f>
        <v/>
      </c>
      <c r="C156" s="75">
        <f>'SKU Master'!C155</f>
        <v>0</v>
      </c>
      <c r="D156" s="94">
        <f>'SKU Master'!I155</f>
        <v>0</v>
      </c>
      <c r="E156" s="94">
        <f>'SKU Master'!J155</f>
        <v>0</v>
      </c>
      <c r="F156" s="94">
        <f>'SKU Master'!K155</f>
        <v>0</v>
      </c>
      <c r="G156" s="94">
        <f>'SKU Master'!L155</f>
        <v>0</v>
      </c>
      <c r="H156" s="94">
        <f t="shared" si="10"/>
        <v>0</v>
      </c>
      <c r="I156" s="94">
        <f>H156*'SKU Master'!H155</f>
        <v>0</v>
      </c>
      <c r="J156" s="75" t="str">
        <f t="shared" si="11"/>
        <v>Matched</v>
      </c>
      <c r="K156" s="94">
        <f>IF(F156&gt;D156,D156*'SKU Master'!M155,G156)+I156</f>
        <v>0</v>
      </c>
      <c r="L156" s="94">
        <f t="shared" si="12"/>
        <v>0</v>
      </c>
      <c r="M156" s="95">
        <f t="shared" si="13"/>
        <v>0</v>
      </c>
      <c r="N156" s="75" t="str">
        <f t="shared" si="14"/>
        <v>NO SALES</v>
      </c>
    </row>
    <row r="157" spans="1:14" ht="15" customHeight="1" x14ac:dyDescent="0.25">
      <c r="A157" s="75">
        <v>152</v>
      </c>
      <c r="B157" s="75" t="str">
        <f>IF('SKU Master'!B156="","",'SKU Master'!B156)</f>
        <v/>
      </c>
      <c r="C157" s="75">
        <f>'SKU Master'!C156</f>
        <v>0</v>
      </c>
      <c r="D157" s="94">
        <f>'SKU Master'!I156</f>
        <v>0</v>
      </c>
      <c r="E157" s="94">
        <f>'SKU Master'!J156</f>
        <v>0</v>
      </c>
      <c r="F157" s="94">
        <f>'SKU Master'!K156</f>
        <v>0</v>
      </c>
      <c r="G157" s="94">
        <f>'SKU Master'!L156</f>
        <v>0</v>
      </c>
      <c r="H157" s="94">
        <f t="shared" si="10"/>
        <v>0</v>
      </c>
      <c r="I157" s="94">
        <f>H157*'SKU Master'!H156</f>
        <v>0</v>
      </c>
      <c r="J157" s="75" t="str">
        <f t="shared" si="11"/>
        <v>Matched</v>
      </c>
      <c r="K157" s="94">
        <f>IF(F157&gt;D157,D157*'SKU Master'!M156,G157)+I157</f>
        <v>0</v>
      </c>
      <c r="L157" s="94">
        <f t="shared" si="12"/>
        <v>0</v>
      </c>
      <c r="M157" s="95">
        <f t="shared" si="13"/>
        <v>0</v>
      </c>
      <c r="N157" s="75" t="str">
        <f t="shared" si="14"/>
        <v>NO SALES</v>
      </c>
    </row>
    <row r="158" spans="1:14" ht="15" customHeight="1" x14ac:dyDescent="0.25">
      <c r="A158" s="75">
        <v>153</v>
      </c>
      <c r="B158" s="75" t="str">
        <f>IF('SKU Master'!B157="","",'SKU Master'!B157)</f>
        <v/>
      </c>
      <c r="C158" s="75">
        <f>'SKU Master'!C157</f>
        <v>0</v>
      </c>
      <c r="D158" s="94">
        <f>'SKU Master'!I157</f>
        <v>0</v>
      </c>
      <c r="E158" s="94">
        <f>'SKU Master'!J157</f>
        <v>0</v>
      </c>
      <c r="F158" s="94">
        <f>'SKU Master'!K157</f>
        <v>0</v>
      </c>
      <c r="G158" s="94">
        <f>'SKU Master'!L157</f>
        <v>0</v>
      </c>
      <c r="H158" s="94">
        <f t="shared" si="10"/>
        <v>0</v>
      </c>
      <c r="I158" s="94">
        <f>H158*'SKU Master'!H157</f>
        <v>0</v>
      </c>
      <c r="J158" s="75" t="str">
        <f t="shared" si="11"/>
        <v>Matched</v>
      </c>
      <c r="K158" s="94">
        <f>IF(F158&gt;D158,D158*'SKU Master'!M157,G158)+I158</f>
        <v>0</v>
      </c>
      <c r="L158" s="94">
        <f t="shared" si="12"/>
        <v>0</v>
      </c>
      <c r="M158" s="95">
        <f t="shared" si="13"/>
        <v>0</v>
      </c>
      <c r="N158" s="75" t="str">
        <f t="shared" si="14"/>
        <v>NO SALES</v>
      </c>
    </row>
    <row r="159" spans="1:14" ht="15" customHeight="1" x14ac:dyDescent="0.25">
      <c r="A159" s="75">
        <v>154</v>
      </c>
      <c r="B159" s="75" t="str">
        <f>IF('SKU Master'!B158="","",'SKU Master'!B158)</f>
        <v/>
      </c>
      <c r="C159" s="75">
        <f>'SKU Master'!C158</f>
        <v>0</v>
      </c>
      <c r="D159" s="94">
        <f>'SKU Master'!I158</f>
        <v>0</v>
      </c>
      <c r="E159" s="94">
        <f>'SKU Master'!J158</f>
        <v>0</v>
      </c>
      <c r="F159" s="94">
        <f>'SKU Master'!K158</f>
        <v>0</v>
      </c>
      <c r="G159" s="94">
        <f>'SKU Master'!L158</f>
        <v>0</v>
      </c>
      <c r="H159" s="94">
        <f t="shared" si="10"/>
        <v>0</v>
      </c>
      <c r="I159" s="94">
        <f>H159*'SKU Master'!H158</f>
        <v>0</v>
      </c>
      <c r="J159" s="75" t="str">
        <f t="shared" si="11"/>
        <v>Matched</v>
      </c>
      <c r="K159" s="94">
        <f>IF(F159&gt;D159,D159*'SKU Master'!M158,G159)+I159</f>
        <v>0</v>
      </c>
      <c r="L159" s="94">
        <f t="shared" si="12"/>
        <v>0</v>
      </c>
      <c r="M159" s="95">
        <f t="shared" si="13"/>
        <v>0</v>
      </c>
      <c r="N159" s="75" t="str">
        <f t="shared" si="14"/>
        <v>NO SALES</v>
      </c>
    </row>
    <row r="160" spans="1:14" ht="15" customHeight="1" x14ac:dyDescent="0.25">
      <c r="A160" s="75">
        <v>155</v>
      </c>
      <c r="B160" s="75" t="str">
        <f>IF('SKU Master'!B159="","",'SKU Master'!B159)</f>
        <v/>
      </c>
      <c r="C160" s="75">
        <f>'SKU Master'!C159</f>
        <v>0</v>
      </c>
      <c r="D160" s="94">
        <f>'SKU Master'!I159</f>
        <v>0</v>
      </c>
      <c r="E160" s="94">
        <f>'SKU Master'!J159</f>
        <v>0</v>
      </c>
      <c r="F160" s="94">
        <f>'SKU Master'!K159</f>
        <v>0</v>
      </c>
      <c r="G160" s="94">
        <f>'SKU Master'!L159</f>
        <v>0</v>
      </c>
      <c r="H160" s="94">
        <f t="shared" si="10"/>
        <v>0</v>
      </c>
      <c r="I160" s="94">
        <f>H160*'SKU Master'!H159</f>
        <v>0</v>
      </c>
      <c r="J160" s="75" t="str">
        <f t="shared" si="11"/>
        <v>Matched</v>
      </c>
      <c r="K160" s="94">
        <f>IF(F160&gt;D160,D160*'SKU Master'!M159,G160)+I160</f>
        <v>0</v>
      </c>
      <c r="L160" s="94">
        <f t="shared" si="12"/>
        <v>0</v>
      </c>
      <c r="M160" s="95">
        <f t="shared" si="13"/>
        <v>0</v>
      </c>
      <c r="N160" s="75" t="str">
        <f t="shared" si="14"/>
        <v>NO SALES</v>
      </c>
    </row>
    <row r="161" spans="1:14" ht="15" customHeight="1" x14ac:dyDescent="0.25">
      <c r="A161" s="75">
        <v>156</v>
      </c>
      <c r="B161" s="75" t="str">
        <f>IF('SKU Master'!B160="","",'SKU Master'!B160)</f>
        <v/>
      </c>
      <c r="C161" s="75">
        <f>'SKU Master'!C160</f>
        <v>0</v>
      </c>
      <c r="D161" s="94">
        <f>'SKU Master'!I160</f>
        <v>0</v>
      </c>
      <c r="E161" s="94">
        <f>'SKU Master'!J160</f>
        <v>0</v>
      </c>
      <c r="F161" s="94">
        <f>'SKU Master'!K160</f>
        <v>0</v>
      </c>
      <c r="G161" s="94">
        <f>'SKU Master'!L160</f>
        <v>0</v>
      </c>
      <c r="H161" s="94">
        <f t="shared" si="10"/>
        <v>0</v>
      </c>
      <c r="I161" s="94">
        <f>H161*'SKU Master'!H160</f>
        <v>0</v>
      </c>
      <c r="J161" s="75" t="str">
        <f t="shared" si="11"/>
        <v>Matched</v>
      </c>
      <c r="K161" s="94">
        <f>IF(F161&gt;D161,D161*'SKU Master'!M160,G161)+I161</f>
        <v>0</v>
      </c>
      <c r="L161" s="94">
        <f t="shared" si="12"/>
        <v>0</v>
      </c>
      <c r="M161" s="95">
        <f t="shared" si="13"/>
        <v>0</v>
      </c>
      <c r="N161" s="75" t="str">
        <f t="shared" si="14"/>
        <v>NO SALES</v>
      </c>
    </row>
    <row r="162" spans="1:14" ht="15" customHeight="1" x14ac:dyDescent="0.25">
      <c r="A162" s="75">
        <v>157</v>
      </c>
      <c r="B162" s="75" t="str">
        <f>IF('SKU Master'!B161="","",'SKU Master'!B161)</f>
        <v/>
      </c>
      <c r="C162" s="75">
        <f>'SKU Master'!C161</f>
        <v>0</v>
      </c>
      <c r="D162" s="94">
        <f>'SKU Master'!I161</f>
        <v>0</v>
      </c>
      <c r="E162" s="94">
        <f>'SKU Master'!J161</f>
        <v>0</v>
      </c>
      <c r="F162" s="94">
        <f>'SKU Master'!K161</f>
        <v>0</v>
      </c>
      <c r="G162" s="94">
        <f>'SKU Master'!L161</f>
        <v>0</v>
      </c>
      <c r="H162" s="94">
        <f t="shared" si="10"/>
        <v>0</v>
      </c>
      <c r="I162" s="94">
        <f>H162*'SKU Master'!H161</f>
        <v>0</v>
      </c>
      <c r="J162" s="75" t="str">
        <f t="shared" si="11"/>
        <v>Matched</v>
      </c>
      <c r="K162" s="94">
        <f>IF(F162&gt;D162,D162*'SKU Master'!M161,G162)+I162</f>
        <v>0</v>
      </c>
      <c r="L162" s="94">
        <f t="shared" si="12"/>
        <v>0</v>
      </c>
      <c r="M162" s="95">
        <f t="shared" si="13"/>
        <v>0</v>
      </c>
      <c r="N162" s="75" t="str">
        <f t="shared" si="14"/>
        <v>NO SALES</v>
      </c>
    </row>
    <row r="163" spans="1:14" ht="15" customHeight="1" x14ac:dyDescent="0.25">
      <c r="A163" s="75">
        <v>158</v>
      </c>
      <c r="B163" s="75" t="str">
        <f>IF('SKU Master'!B162="","",'SKU Master'!B162)</f>
        <v/>
      </c>
      <c r="C163" s="75">
        <f>'SKU Master'!C162</f>
        <v>0</v>
      </c>
      <c r="D163" s="94">
        <f>'SKU Master'!I162</f>
        <v>0</v>
      </c>
      <c r="E163" s="94">
        <f>'SKU Master'!J162</f>
        <v>0</v>
      </c>
      <c r="F163" s="94">
        <f>'SKU Master'!K162</f>
        <v>0</v>
      </c>
      <c r="G163" s="94">
        <f>'SKU Master'!L162</f>
        <v>0</v>
      </c>
      <c r="H163" s="94">
        <f t="shared" si="10"/>
        <v>0</v>
      </c>
      <c r="I163" s="94">
        <f>H163*'SKU Master'!H162</f>
        <v>0</v>
      </c>
      <c r="J163" s="75" t="str">
        <f t="shared" si="11"/>
        <v>Matched</v>
      </c>
      <c r="K163" s="94">
        <f>IF(F163&gt;D163,D163*'SKU Master'!M162,G163)+I163</f>
        <v>0</v>
      </c>
      <c r="L163" s="94">
        <f t="shared" si="12"/>
        <v>0</v>
      </c>
      <c r="M163" s="95">
        <f t="shared" si="13"/>
        <v>0</v>
      </c>
      <c r="N163" s="75" t="str">
        <f t="shared" si="14"/>
        <v>NO SALES</v>
      </c>
    </row>
    <row r="164" spans="1:14" ht="15" customHeight="1" x14ac:dyDescent="0.25">
      <c r="A164" s="75">
        <v>159</v>
      </c>
      <c r="B164" s="75" t="str">
        <f>IF('SKU Master'!B163="","",'SKU Master'!B163)</f>
        <v/>
      </c>
      <c r="C164" s="75">
        <f>'SKU Master'!C163</f>
        <v>0</v>
      </c>
      <c r="D164" s="94">
        <f>'SKU Master'!I163</f>
        <v>0</v>
      </c>
      <c r="E164" s="94">
        <f>'SKU Master'!J163</f>
        <v>0</v>
      </c>
      <c r="F164" s="94">
        <f>'SKU Master'!K163</f>
        <v>0</v>
      </c>
      <c r="G164" s="94">
        <f>'SKU Master'!L163</f>
        <v>0</v>
      </c>
      <c r="H164" s="94">
        <f t="shared" si="10"/>
        <v>0</v>
      </c>
      <c r="I164" s="94">
        <f>H164*'SKU Master'!H163</f>
        <v>0</v>
      </c>
      <c r="J164" s="75" t="str">
        <f t="shared" si="11"/>
        <v>Matched</v>
      </c>
      <c r="K164" s="94">
        <f>IF(F164&gt;D164,D164*'SKU Master'!M163,G164)+I164</f>
        <v>0</v>
      </c>
      <c r="L164" s="94">
        <f t="shared" si="12"/>
        <v>0</v>
      </c>
      <c r="M164" s="95">
        <f t="shared" si="13"/>
        <v>0</v>
      </c>
      <c r="N164" s="75" t="str">
        <f t="shared" si="14"/>
        <v>NO SALES</v>
      </c>
    </row>
    <row r="165" spans="1:14" ht="15" customHeight="1" x14ac:dyDescent="0.25">
      <c r="A165" s="75">
        <v>160</v>
      </c>
      <c r="B165" s="75" t="str">
        <f>IF('SKU Master'!B164="","",'SKU Master'!B164)</f>
        <v/>
      </c>
      <c r="C165" s="75">
        <f>'SKU Master'!C164</f>
        <v>0</v>
      </c>
      <c r="D165" s="94">
        <f>'SKU Master'!I164</f>
        <v>0</v>
      </c>
      <c r="E165" s="94">
        <f>'SKU Master'!J164</f>
        <v>0</v>
      </c>
      <c r="F165" s="94">
        <f>'SKU Master'!K164</f>
        <v>0</v>
      </c>
      <c r="G165" s="94">
        <f>'SKU Master'!L164</f>
        <v>0</v>
      </c>
      <c r="H165" s="94">
        <f t="shared" si="10"/>
        <v>0</v>
      </c>
      <c r="I165" s="94">
        <f>H165*'SKU Master'!H164</f>
        <v>0</v>
      </c>
      <c r="J165" s="75" t="str">
        <f t="shared" si="11"/>
        <v>Matched</v>
      </c>
      <c r="K165" s="94">
        <f>IF(F165&gt;D165,D165*'SKU Master'!M164,G165)+I165</f>
        <v>0</v>
      </c>
      <c r="L165" s="94">
        <f t="shared" si="12"/>
        <v>0</v>
      </c>
      <c r="M165" s="95">
        <f t="shared" si="13"/>
        <v>0</v>
      </c>
      <c r="N165" s="75" t="str">
        <f t="shared" si="14"/>
        <v>NO SALES</v>
      </c>
    </row>
    <row r="166" spans="1:14" ht="15" customHeight="1" x14ac:dyDescent="0.25">
      <c r="A166" s="75">
        <v>161</v>
      </c>
      <c r="B166" s="75" t="str">
        <f>IF('SKU Master'!B165="","",'SKU Master'!B165)</f>
        <v/>
      </c>
      <c r="C166" s="75">
        <f>'SKU Master'!C165</f>
        <v>0</v>
      </c>
      <c r="D166" s="94">
        <f>'SKU Master'!I165</f>
        <v>0</v>
      </c>
      <c r="E166" s="94">
        <f>'SKU Master'!J165</f>
        <v>0</v>
      </c>
      <c r="F166" s="94">
        <f>'SKU Master'!K165</f>
        <v>0</v>
      </c>
      <c r="G166" s="94">
        <f>'SKU Master'!L165</f>
        <v>0</v>
      </c>
      <c r="H166" s="94">
        <f t="shared" si="10"/>
        <v>0</v>
      </c>
      <c r="I166" s="94">
        <f>H166*'SKU Master'!H165</f>
        <v>0</v>
      </c>
      <c r="J166" s="75" t="str">
        <f t="shared" si="11"/>
        <v>Matched</v>
      </c>
      <c r="K166" s="94">
        <f>IF(F166&gt;D166,D166*'SKU Master'!M165,G166)+I166</f>
        <v>0</v>
      </c>
      <c r="L166" s="94">
        <f t="shared" si="12"/>
        <v>0</v>
      </c>
      <c r="M166" s="95">
        <f t="shared" si="13"/>
        <v>0</v>
      </c>
      <c r="N166" s="75" t="str">
        <f t="shared" si="14"/>
        <v>NO SALES</v>
      </c>
    </row>
    <row r="167" spans="1:14" ht="15" customHeight="1" x14ac:dyDescent="0.25">
      <c r="A167" s="75">
        <v>162</v>
      </c>
      <c r="B167" s="75" t="str">
        <f>IF('SKU Master'!B166="","",'SKU Master'!B166)</f>
        <v/>
      </c>
      <c r="C167" s="75">
        <f>'SKU Master'!C166</f>
        <v>0</v>
      </c>
      <c r="D167" s="94">
        <f>'SKU Master'!I166</f>
        <v>0</v>
      </c>
      <c r="E167" s="94">
        <f>'SKU Master'!J166</f>
        <v>0</v>
      </c>
      <c r="F167" s="94">
        <f>'SKU Master'!K166</f>
        <v>0</v>
      </c>
      <c r="G167" s="94">
        <f>'SKU Master'!L166</f>
        <v>0</v>
      </c>
      <c r="H167" s="94">
        <f t="shared" si="10"/>
        <v>0</v>
      </c>
      <c r="I167" s="94">
        <f>H167*'SKU Master'!H166</f>
        <v>0</v>
      </c>
      <c r="J167" s="75" t="str">
        <f t="shared" si="11"/>
        <v>Matched</v>
      </c>
      <c r="K167" s="94">
        <f>IF(F167&gt;D167,D167*'SKU Master'!M166,G167)+I167</f>
        <v>0</v>
      </c>
      <c r="L167" s="94">
        <f t="shared" si="12"/>
        <v>0</v>
      </c>
      <c r="M167" s="95">
        <f t="shared" si="13"/>
        <v>0</v>
      </c>
      <c r="N167" s="75" t="str">
        <f t="shared" si="14"/>
        <v>NO SALES</v>
      </c>
    </row>
    <row r="168" spans="1:14" ht="15" customHeight="1" x14ac:dyDescent="0.25">
      <c r="A168" s="75">
        <v>163</v>
      </c>
      <c r="B168" s="75" t="str">
        <f>IF('SKU Master'!B167="","",'SKU Master'!B167)</f>
        <v/>
      </c>
      <c r="C168" s="75">
        <f>'SKU Master'!C167</f>
        <v>0</v>
      </c>
      <c r="D168" s="94">
        <f>'SKU Master'!I167</f>
        <v>0</v>
      </c>
      <c r="E168" s="94">
        <f>'SKU Master'!J167</f>
        <v>0</v>
      </c>
      <c r="F168" s="94">
        <f>'SKU Master'!K167</f>
        <v>0</v>
      </c>
      <c r="G168" s="94">
        <f>'SKU Master'!L167</f>
        <v>0</v>
      </c>
      <c r="H168" s="94">
        <f t="shared" si="10"/>
        <v>0</v>
      </c>
      <c r="I168" s="94">
        <f>H168*'SKU Master'!H167</f>
        <v>0</v>
      </c>
      <c r="J168" s="75" t="str">
        <f t="shared" si="11"/>
        <v>Matched</v>
      </c>
      <c r="K168" s="94">
        <f>IF(F168&gt;D168,D168*'SKU Master'!M167,G168)+I168</f>
        <v>0</v>
      </c>
      <c r="L168" s="94">
        <f t="shared" si="12"/>
        <v>0</v>
      </c>
      <c r="M168" s="95">
        <f t="shared" si="13"/>
        <v>0</v>
      </c>
      <c r="N168" s="75" t="str">
        <f t="shared" si="14"/>
        <v>NO SALES</v>
      </c>
    </row>
    <row r="169" spans="1:14" ht="15" customHeight="1" x14ac:dyDescent="0.25">
      <c r="A169" s="75">
        <v>164</v>
      </c>
      <c r="B169" s="75" t="str">
        <f>IF('SKU Master'!B168="","",'SKU Master'!B168)</f>
        <v/>
      </c>
      <c r="C169" s="75">
        <f>'SKU Master'!C168</f>
        <v>0</v>
      </c>
      <c r="D169" s="94">
        <f>'SKU Master'!I168</f>
        <v>0</v>
      </c>
      <c r="E169" s="94">
        <f>'SKU Master'!J168</f>
        <v>0</v>
      </c>
      <c r="F169" s="94">
        <f>'SKU Master'!K168</f>
        <v>0</v>
      </c>
      <c r="G169" s="94">
        <f>'SKU Master'!L168</f>
        <v>0</v>
      </c>
      <c r="H169" s="94">
        <f t="shared" si="10"/>
        <v>0</v>
      </c>
      <c r="I169" s="94">
        <f>H169*'SKU Master'!H168</f>
        <v>0</v>
      </c>
      <c r="J169" s="75" t="str">
        <f t="shared" si="11"/>
        <v>Matched</v>
      </c>
      <c r="K169" s="94">
        <f>IF(F169&gt;D169,D169*'SKU Master'!M168,G169)+I169</f>
        <v>0</v>
      </c>
      <c r="L169" s="94">
        <f t="shared" si="12"/>
        <v>0</v>
      </c>
      <c r="M169" s="95">
        <f t="shared" si="13"/>
        <v>0</v>
      </c>
      <c r="N169" s="75" t="str">
        <f t="shared" si="14"/>
        <v>NO SALES</v>
      </c>
    </row>
    <row r="170" spans="1:14" ht="15" customHeight="1" x14ac:dyDescent="0.25">
      <c r="A170" s="75">
        <v>165</v>
      </c>
      <c r="B170" s="75" t="str">
        <f>IF('SKU Master'!B169="","",'SKU Master'!B169)</f>
        <v/>
      </c>
      <c r="C170" s="75">
        <f>'SKU Master'!C169</f>
        <v>0</v>
      </c>
      <c r="D170" s="94">
        <f>'SKU Master'!I169</f>
        <v>0</v>
      </c>
      <c r="E170" s="94">
        <f>'SKU Master'!J169</f>
        <v>0</v>
      </c>
      <c r="F170" s="94">
        <f>'SKU Master'!K169</f>
        <v>0</v>
      </c>
      <c r="G170" s="94">
        <f>'SKU Master'!L169</f>
        <v>0</v>
      </c>
      <c r="H170" s="94">
        <f t="shared" si="10"/>
        <v>0</v>
      </c>
      <c r="I170" s="94">
        <f>H170*'SKU Master'!H169</f>
        <v>0</v>
      </c>
      <c r="J170" s="75" t="str">
        <f t="shared" si="11"/>
        <v>Matched</v>
      </c>
      <c r="K170" s="94">
        <f>IF(F170&gt;D170,D170*'SKU Master'!M169,G170)+I170</f>
        <v>0</v>
      </c>
      <c r="L170" s="94">
        <f t="shared" si="12"/>
        <v>0</v>
      </c>
      <c r="M170" s="95">
        <f t="shared" si="13"/>
        <v>0</v>
      </c>
      <c r="N170" s="75" t="str">
        <f t="shared" si="14"/>
        <v>NO SALES</v>
      </c>
    </row>
    <row r="171" spans="1:14" ht="15" customHeight="1" x14ac:dyDescent="0.25">
      <c r="A171" s="75">
        <v>166</v>
      </c>
      <c r="B171" s="75" t="str">
        <f>IF('SKU Master'!B170="","",'SKU Master'!B170)</f>
        <v/>
      </c>
      <c r="C171" s="75">
        <f>'SKU Master'!C170</f>
        <v>0</v>
      </c>
      <c r="D171" s="94">
        <f>'SKU Master'!I170</f>
        <v>0</v>
      </c>
      <c r="E171" s="94">
        <f>'SKU Master'!J170</f>
        <v>0</v>
      </c>
      <c r="F171" s="94">
        <f>'SKU Master'!K170</f>
        <v>0</v>
      </c>
      <c r="G171" s="94">
        <f>'SKU Master'!L170</f>
        <v>0</v>
      </c>
      <c r="H171" s="94">
        <f t="shared" si="10"/>
        <v>0</v>
      </c>
      <c r="I171" s="94">
        <f>H171*'SKU Master'!H170</f>
        <v>0</v>
      </c>
      <c r="J171" s="75" t="str">
        <f t="shared" si="11"/>
        <v>Matched</v>
      </c>
      <c r="K171" s="94">
        <f>IF(F171&gt;D171,D171*'SKU Master'!M170,G171)+I171</f>
        <v>0</v>
      </c>
      <c r="L171" s="94">
        <f t="shared" si="12"/>
        <v>0</v>
      </c>
      <c r="M171" s="95">
        <f t="shared" si="13"/>
        <v>0</v>
      </c>
      <c r="N171" s="75" t="str">
        <f t="shared" si="14"/>
        <v>NO SALES</v>
      </c>
    </row>
    <row r="172" spans="1:14" ht="15" customHeight="1" x14ac:dyDescent="0.25">
      <c r="A172" s="75">
        <v>167</v>
      </c>
      <c r="B172" s="75" t="str">
        <f>IF('SKU Master'!B171="","",'SKU Master'!B171)</f>
        <v/>
      </c>
      <c r="C172" s="75">
        <f>'SKU Master'!C171</f>
        <v>0</v>
      </c>
      <c r="D172" s="94">
        <f>'SKU Master'!I171</f>
        <v>0</v>
      </c>
      <c r="E172" s="94">
        <f>'SKU Master'!J171</f>
        <v>0</v>
      </c>
      <c r="F172" s="94">
        <f>'SKU Master'!K171</f>
        <v>0</v>
      </c>
      <c r="G172" s="94">
        <f>'SKU Master'!L171</f>
        <v>0</v>
      </c>
      <c r="H172" s="94">
        <f t="shared" si="10"/>
        <v>0</v>
      </c>
      <c r="I172" s="94">
        <f>H172*'SKU Master'!H171</f>
        <v>0</v>
      </c>
      <c r="J172" s="75" t="str">
        <f t="shared" si="11"/>
        <v>Matched</v>
      </c>
      <c r="K172" s="94">
        <f>IF(F172&gt;D172,D172*'SKU Master'!M171,G172)+I172</f>
        <v>0</v>
      </c>
      <c r="L172" s="94">
        <f t="shared" si="12"/>
        <v>0</v>
      </c>
      <c r="M172" s="95">
        <f t="shared" si="13"/>
        <v>0</v>
      </c>
      <c r="N172" s="75" t="str">
        <f t="shared" si="14"/>
        <v>NO SALES</v>
      </c>
    </row>
    <row r="173" spans="1:14" ht="15" customHeight="1" x14ac:dyDescent="0.25">
      <c r="A173" s="75">
        <v>168</v>
      </c>
      <c r="B173" s="75" t="str">
        <f>IF('SKU Master'!B172="","",'SKU Master'!B172)</f>
        <v/>
      </c>
      <c r="C173" s="75">
        <f>'SKU Master'!C172</f>
        <v>0</v>
      </c>
      <c r="D173" s="94">
        <f>'SKU Master'!I172</f>
        <v>0</v>
      </c>
      <c r="E173" s="94">
        <f>'SKU Master'!J172</f>
        <v>0</v>
      </c>
      <c r="F173" s="94"/>
      <c r="G173" s="94">
        <f>'SKU Master'!L172</f>
        <v>0</v>
      </c>
      <c r="H173" s="94">
        <f t="shared" si="10"/>
        <v>0</v>
      </c>
      <c r="I173" s="94">
        <f>H173*'SKU Master'!H172</f>
        <v>0</v>
      </c>
      <c r="J173" s="75" t="str">
        <f t="shared" si="11"/>
        <v>Matched</v>
      </c>
      <c r="K173" s="94">
        <f>IF(F173&gt;D173,D173*'SKU Master'!M172,G173)+I173</f>
        <v>0</v>
      </c>
      <c r="L173" s="94">
        <f t="shared" si="12"/>
        <v>0</v>
      </c>
      <c r="M173" s="95">
        <f t="shared" si="13"/>
        <v>0</v>
      </c>
      <c r="N173" s="75" t="str">
        <f t="shared" si="14"/>
        <v>NO SALES</v>
      </c>
    </row>
    <row r="174" spans="1:14" ht="15" customHeight="1" x14ac:dyDescent="0.25">
      <c r="A174" s="75">
        <v>169</v>
      </c>
      <c r="B174" s="75" t="str">
        <f>IF('SKU Master'!B173="","",'SKU Master'!B173)</f>
        <v/>
      </c>
      <c r="C174" s="75">
        <f>'SKU Master'!C173</f>
        <v>0</v>
      </c>
      <c r="D174" s="94">
        <f>'SKU Master'!I173</f>
        <v>0</v>
      </c>
      <c r="E174" s="94">
        <f>'SKU Master'!J173</f>
        <v>0</v>
      </c>
      <c r="F174" s="94"/>
      <c r="G174" s="94">
        <f>'SKU Master'!L173</f>
        <v>0</v>
      </c>
      <c r="H174" s="94">
        <f t="shared" si="10"/>
        <v>0</v>
      </c>
      <c r="I174" s="94">
        <f>H174*'SKU Master'!H173</f>
        <v>0</v>
      </c>
      <c r="J174" s="75" t="str">
        <f t="shared" si="11"/>
        <v>Matched</v>
      </c>
      <c r="K174" s="94">
        <f>IF(F174&gt;D174,D174*'SKU Master'!M173,G174)+I174</f>
        <v>0</v>
      </c>
      <c r="L174" s="94">
        <f t="shared" si="12"/>
        <v>0</v>
      </c>
      <c r="M174" s="95">
        <f t="shared" si="13"/>
        <v>0</v>
      </c>
      <c r="N174" s="75" t="str">
        <f t="shared" si="14"/>
        <v>NO SALES</v>
      </c>
    </row>
    <row r="175" spans="1:14" ht="15" customHeight="1" x14ac:dyDescent="0.25">
      <c r="A175" s="75">
        <v>170</v>
      </c>
      <c r="B175" s="75" t="str">
        <f>IF('SKU Master'!B174="","",'SKU Master'!B174)</f>
        <v/>
      </c>
      <c r="C175" s="75">
        <f>'SKU Master'!C174</f>
        <v>0</v>
      </c>
      <c r="D175" s="94">
        <f>'SKU Master'!I174</f>
        <v>0</v>
      </c>
      <c r="E175" s="94">
        <f>'SKU Master'!J174</f>
        <v>0</v>
      </c>
      <c r="F175" s="94"/>
      <c r="G175" s="94">
        <f>'SKU Master'!L174</f>
        <v>0</v>
      </c>
      <c r="H175" s="94">
        <f t="shared" si="10"/>
        <v>0</v>
      </c>
      <c r="I175" s="94">
        <f>H175*'SKU Master'!H174</f>
        <v>0</v>
      </c>
      <c r="J175" s="75" t="str">
        <f t="shared" si="11"/>
        <v>Matched</v>
      </c>
      <c r="K175" s="94">
        <f>IF(F175&gt;D175,D175*'SKU Master'!M174,G175)+I175</f>
        <v>0</v>
      </c>
      <c r="L175" s="94">
        <f t="shared" si="12"/>
        <v>0</v>
      </c>
      <c r="M175" s="95">
        <f t="shared" si="13"/>
        <v>0</v>
      </c>
      <c r="N175" s="75" t="str">
        <f t="shared" si="14"/>
        <v>NO SALES</v>
      </c>
    </row>
    <row r="176" spans="1:14" ht="15" customHeight="1" x14ac:dyDescent="0.25">
      <c r="A176" s="75">
        <v>171</v>
      </c>
      <c r="B176" s="75" t="str">
        <f>IF('SKU Master'!B175="","",'SKU Master'!B175)</f>
        <v/>
      </c>
      <c r="C176" s="75">
        <f>'SKU Master'!C175</f>
        <v>0</v>
      </c>
      <c r="D176" s="94">
        <f>'SKU Master'!I175</f>
        <v>0</v>
      </c>
      <c r="E176" s="94">
        <f>'SKU Master'!J175</f>
        <v>0</v>
      </c>
      <c r="F176" s="94"/>
      <c r="G176" s="94">
        <f>'SKU Master'!L175</f>
        <v>0</v>
      </c>
      <c r="H176" s="94">
        <f t="shared" si="10"/>
        <v>0</v>
      </c>
      <c r="I176" s="94">
        <f>H176*'SKU Master'!H175</f>
        <v>0</v>
      </c>
      <c r="J176" s="75" t="str">
        <f t="shared" si="11"/>
        <v>Matched</v>
      </c>
      <c r="K176" s="94">
        <f>IF(F176&gt;D176,D176*'SKU Master'!M175,G176)+I176</f>
        <v>0</v>
      </c>
      <c r="L176" s="94">
        <f t="shared" si="12"/>
        <v>0</v>
      </c>
      <c r="M176" s="95">
        <f t="shared" si="13"/>
        <v>0</v>
      </c>
      <c r="N176" s="75" t="str">
        <f t="shared" si="14"/>
        <v>NO SALES</v>
      </c>
    </row>
    <row r="177" spans="1:14" ht="15" customHeight="1" x14ac:dyDescent="0.25">
      <c r="A177" s="75">
        <v>172</v>
      </c>
      <c r="B177" s="75" t="str">
        <f>IF('SKU Master'!B176="","",'SKU Master'!B176)</f>
        <v/>
      </c>
      <c r="C177" s="75">
        <f>'SKU Master'!C176</f>
        <v>0</v>
      </c>
      <c r="D177" s="94">
        <f>'SKU Master'!I176</f>
        <v>0</v>
      </c>
      <c r="E177" s="94">
        <f>'SKU Master'!J176</f>
        <v>0</v>
      </c>
      <c r="F177" s="94"/>
      <c r="G177" s="94">
        <f>'SKU Master'!L176</f>
        <v>0</v>
      </c>
      <c r="H177" s="94">
        <f t="shared" si="10"/>
        <v>0</v>
      </c>
      <c r="I177" s="94">
        <f>H177*'SKU Master'!H176</f>
        <v>0</v>
      </c>
      <c r="J177" s="75" t="str">
        <f t="shared" si="11"/>
        <v>Matched</v>
      </c>
      <c r="K177" s="94">
        <f>IF(F177&gt;D177,D177*'SKU Master'!M176,G177)+I177</f>
        <v>0</v>
      </c>
      <c r="L177" s="94">
        <f t="shared" si="12"/>
        <v>0</v>
      </c>
      <c r="M177" s="95">
        <f t="shared" si="13"/>
        <v>0</v>
      </c>
      <c r="N177" s="75" t="str">
        <f t="shared" si="14"/>
        <v>NO SALES</v>
      </c>
    </row>
    <row r="178" spans="1:14" ht="15" customHeight="1" x14ac:dyDescent="0.25">
      <c r="A178" s="75">
        <v>173</v>
      </c>
      <c r="B178" s="75" t="str">
        <f>IF('SKU Master'!B177="","",'SKU Master'!B177)</f>
        <v/>
      </c>
      <c r="C178" s="75">
        <f>'SKU Master'!C177</f>
        <v>0</v>
      </c>
      <c r="D178" s="94">
        <f>'SKU Master'!I177</f>
        <v>0</v>
      </c>
      <c r="E178" s="94">
        <f>'SKU Master'!J177</f>
        <v>0</v>
      </c>
      <c r="F178" s="94"/>
      <c r="G178" s="94">
        <f>'SKU Master'!L177</f>
        <v>0</v>
      </c>
      <c r="H178" s="94">
        <f t="shared" si="10"/>
        <v>0</v>
      </c>
      <c r="I178" s="94">
        <f>H178*'SKU Master'!H177</f>
        <v>0</v>
      </c>
      <c r="J178" s="75" t="str">
        <f t="shared" si="11"/>
        <v>Matched</v>
      </c>
      <c r="K178" s="94">
        <f>IF(F178&gt;D178,D178*'SKU Master'!M177,G178)+I178</f>
        <v>0</v>
      </c>
      <c r="L178" s="94">
        <f t="shared" si="12"/>
        <v>0</v>
      </c>
      <c r="M178" s="95">
        <f t="shared" si="13"/>
        <v>0</v>
      </c>
      <c r="N178" s="75" t="str">
        <f t="shared" si="14"/>
        <v>NO SALES</v>
      </c>
    </row>
    <row r="179" spans="1:14" ht="15" customHeight="1" x14ac:dyDescent="0.25">
      <c r="A179" s="75">
        <v>174</v>
      </c>
      <c r="B179" s="75" t="str">
        <f>IF('SKU Master'!B178="","",'SKU Master'!B178)</f>
        <v/>
      </c>
      <c r="C179" s="75">
        <f>'SKU Master'!C178</f>
        <v>0</v>
      </c>
      <c r="D179" s="94">
        <f>'SKU Master'!I178</f>
        <v>0</v>
      </c>
      <c r="E179" s="94">
        <f>'SKU Master'!J178</f>
        <v>0</v>
      </c>
      <c r="F179" s="94"/>
      <c r="G179" s="94">
        <f>'SKU Master'!L178</f>
        <v>0</v>
      </c>
      <c r="H179" s="94">
        <f t="shared" si="10"/>
        <v>0</v>
      </c>
      <c r="I179" s="94">
        <f>H179*'SKU Master'!H178</f>
        <v>0</v>
      </c>
      <c r="J179" s="75" t="str">
        <f t="shared" si="11"/>
        <v>Matched</v>
      </c>
      <c r="K179" s="94">
        <f>IF(F179&gt;D179,D179*'SKU Master'!M178,G179)+I179</f>
        <v>0</v>
      </c>
      <c r="L179" s="94">
        <f t="shared" si="12"/>
        <v>0</v>
      </c>
      <c r="M179" s="95">
        <f t="shared" si="13"/>
        <v>0</v>
      </c>
      <c r="N179" s="75" t="str">
        <f t="shared" si="14"/>
        <v>NO SALES</v>
      </c>
    </row>
    <row r="180" spans="1:14" ht="15" customHeight="1" x14ac:dyDescent="0.25">
      <c r="A180" s="75">
        <v>175</v>
      </c>
      <c r="B180" s="75" t="str">
        <f>IF('SKU Master'!B179="","",'SKU Master'!B179)</f>
        <v/>
      </c>
      <c r="C180" s="75">
        <f>'SKU Master'!C179</f>
        <v>0</v>
      </c>
      <c r="D180" s="94">
        <f>'SKU Master'!I179</f>
        <v>0</v>
      </c>
      <c r="E180" s="94">
        <f>'SKU Master'!J179</f>
        <v>0</v>
      </c>
      <c r="F180" s="94"/>
      <c r="G180" s="94">
        <f>'SKU Master'!L179</f>
        <v>0</v>
      </c>
      <c r="H180" s="94">
        <f t="shared" si="10"/>
        <v>0</v>
      </c>
      <c r="I180" s="94">
        <f>H180*'SKU Master'!H179</f>
        <v>0</v>
      </c>
      <c r="J180" s="75" t="str">
        <f t="shared" si="11"/>
        <v>Matched</v>
      </c>
      <c r="K180" s="94">
        <f>IF(F180&gt;D180,D180*'SKU Master'!M179,G180)+I180</f>
        <v>0</v>
      </c>
      <c r="L180" s="94">
        <f t="shared" si="12"/>
        <v>0</v>
      </c>
      <c r="M180" s="95">
        <f t="shared" si="13"/>
        <v>0</v>
      </c>
      <c r="N180" s="75" t="str">
        <f t="shared" si="14"/>
        <v>NO SALES</v>
      </c>
    </row>
    <row r="181" spans="1:14" ht="15" customHeight="1" x14ac:dyDescent="0.25">
      <c r="A181" s="75">
        <v>176</v>
      </c>
      <c r="B181" s="75" t="str">
        <f>IF('SKU Master'!B180="","",'SKU Master'!B180)</f>
        <v/>
      </c>
      <c r="C181" s="75">
        <f>'SKU Master'!C180</f>
        <v>0</v>
      </c>
      <c r="D181" s="94">
        <f>'SKU Master'!I180</f>
        <v>0</v>
      </c>
      <c r="E181" s="94">
        <f>'SKU Master'!J180</f>
        <v>0</v>
      </c>
      <c r="F181" s="94"/>
      <c r="G181" s="94">
        <f>'SKU Master'!L180</f>
        <v>0</v>
      </c>
      <c r="H181" s="94">
        <f t="shared" si="10"/>
        <v>0</v>
      </c>
      <c r="I181" s="94">
        <f>H181*'SKU Master'!H180</f>
        <v>0</v>
      </c>
      <c r="J181" s="75" t="str">
        <f t="shared" si="11"/>
        <v>Matched</v>
      </c>
      <c r="K181" s="94">
        <f>IF(F181&gt;D181,D181*'SKU Master'!M180,G181)+I181</f>
        <v>0</v>
      </c>
      <c r="L181" s="94">
        <f t="shared" si="12"/>
        <v>0</v>
      </c>
      <c r="M181" s="95">
        <f t="shared" si="13"/>
        <v>0</v>
      </c>
      <c r="N181" s="75" t="str">
        <f t="shared" si="14"/>
        <v>NO SALES</v>
      </c>
    </row>
    <row r="182" spans="1:14" ht="15" customHeight="1" x14ac:dyDescent="0.25">
      <c r="A182" s="75">
        <v>177</v>
      </c>
      <c r="B182" s="75" t="str">
        <f>IF('SKU Master'!B181="","",'SKU Master'!B181)</f>
        <v/>
      </c>
      <c r="C182" s="75">
        <f>'SKU Master'!C181</f>
        <v>0</v>
      </c>
      <c r="D182" s="94">
        <f>'SKU Master'!I181</f>
        <v>0</v>
      </c>
      <c r="E182" s="94">
        <f>'SKU Master'!J181</f>
        <v>0</v>
      </c>
      <c r="F182" s="94"/>
      <c r="G182" s="94">
        <f>'SKU Master'!L181</f>
        <v>0</v>
      </c>
      <c r="H182" s="94">
        <f t="shared" si="10"/>
        <v>0</v>
      </c>
      <c r="I182" s="94">
        <f>H182*'SKU Master'!H181</f>
        <v>0</v>
      </c>
      <c r="J182" s="75" t="str">
        <f t="shared" si="11"/>
        <v>Matched</v>
      </c>
      <c r="K182" s="94">
        <f>IF(F182&gt;D182,D182*'SKU Master'!M181,G182)+I182</f>
        <v>0</v>
      </c>
      <c r="L182" s="94">
        <f t="shared" si="12"/>
        <v>0</v>
      </c>
      <c r="M182" s="95">
        <f t="shared" si="13"/>
        <v>0</v>
      </c>
      <c r="N182" s="75" t="str">
        <f t="shared" si="14"/>
        <v>NO SALES</v>
      </c>
    </row>
    <row r="183" spans="1:14" ht="15" customHeight="1" x14ac:dyDescent="0.25">
      <c r="A183" s="75">
        <v>178</v>
      </c>
      <c r="B183" s="75" t="str">
        <f>IF('SKU Master'!B182="","",'SKU Master'!B182)</f>
        <v/>
      </c>
      <c r="C183" s="75">
        <f>'SKU Master'!C182</f>
        <v>0</v>
      </c>
      <c r="D183" s="94">
        <f>'SKU Master'!I182</f>
        <v>0</v>
      </c>
      <c r="E183" s="94">
        <f>'SKU Master'!J182</f>
        <v>0</v>
      </c>
      <c r="F183" s="94"/>
      <c r="G183" s="94">
        <f>'SKU Master'!L182</f>
        <v>0</v>
      </c>
      <c r="H183" s="94">
        <f t="shared" si="10"/>
        <v>0</v>
      </c>
      <c r="I183" s="94">
        <f>H183*'SKU Master'!H182</f>
        <v>0</v>
      </c>
      <c r="J183" s="75" t="str">
        <f t="shared" si="11"/>
        <v>Matched</v>
      </c>
      <c r="K183" s="94">
        <f>IF(F183&gt;D183,D183*'SKU Master'!M182,G183)+I183</f>
        <v>0</v>
      </c>
      <c r="L183" s="94">
        <f t="shared" si="12"/>
        <v>0</v>
      </c>
      <c r="M183" s="95">
        <f t="shared" si="13"/>
        <v>0</v>
      </c>
      <c r="N183" s="75" t="str">
        <f t="shared" si="14"/>
        <v>NO SALES</v>
      </c>
    </row>
    <row r="184" spans="1:14" ht="15" customHeight="1" x14ac:dyDescent="0.25">
      <c r="A184" s="75">
        <v>179</v>
      </c>
      <c r="B184" s="75" t="str">
        <f>IF('SKU Master'!B183="","",'SKU Master'!B183)</f>
        <v/>
      </c>
      <c r="C184" s="75">
        <f>'SKU Master'!C183</f>
        <v>0</v>
      </c>
      <c r="D184" s="94">
        <f>'SKU Master'!I183</f>
        <v>0</v>
      </c>
      <c r="E184" s="94">
        <f>'SKU Master'!J183</f>
        <v>0</v>
      </c>
      <c r="F184" s="94"/>
      <c r="G184" s="94">
        <f>'SKU Master'!L183</f>
        <v>0</v>
      </c>
      <c r="H184" s="94">
        <f t="shared" si="10"/>
        <v>0</v>
      </c>
      <c r="I184" s="94">
        <f>H184*'SKU Master'!H183</f>
        <v>0</v>
      </c>
      <c r="J184" s="75" t="str">
        <f t="shared" si="11"/>
        <v>Matched</v>
      </c>
      <c r="K184" s="94">
        <f>IF(F184&gt;D184,D184*'SKU Master'!M183,G184)+I184</f>
        <v>0</v>
      </c>
      <c r="L184" s="94">
        <f t="shared" si="12"/>
        <v>0</v>
      </c>
      <c r="M184" s="95">
        <f t="shared" si="13"/>
        <v>0</v>
      </c>
      <c r="N184" s="75" t="str">
        <f t="shared" si="14"/>
        <v>NO SALES</v>
      </c>
    </row>
    <row r="185" spans="1:14" ht="15" customHeight="1" x14ac:dyDescent="0.25">
      <c r="A185" s="75">
        <v>180</v>
      </c>
      <c r="B185" s="75" t="str">
        <f>IF('SKU Master'!B184="","",'SKU Master'!B184)</f>
        <v/>
      </c>
      <c r="C185" s="75">
        <f>'SKU Master'!C184</f>
        <v>0</v>
      </c>
      <c r="D185" s="94">
        <f>'SKU Master'!I184</f>
        <v>0</v>
      </c>
      <c r="E185" s="94">
        <f>'SKU Master'!J184</f>
        <v>0</v>
      </c>
      <c r="F185" s="94"/>
      <c r="G185" s="94">
        <f>'SKU Master'!L184</f>
        <v>0</v>
      </c>
      <c r="H185" s="94">
        <f t="shared" si="10"/>
        <v>0</v>
      </c>
      <c r="I185" s="94">
        <f>H185*'SKU Master'!H184</f>
        <v>0</v>
      </c>
      <c r="J185" s="75" t="str">
        <f t="shared" si="11"/>
        <v>Matched</v>
      </c>
      <c r="K185" s="94">
        <f>IF(F185&gt;D185,D185*'SKU Master'!M184,G185)+I185</f>
        <v>0</v>
      </c>
      <c r="L185" s="94">
        <f t="shared" si="12"/>
        <v>0</v>
      </c>
      <c r="M185" s="95">
        <f t="shared" si="13"/>
        <v>0</v>
      </c>
      <c r="N185" s="75" t="str">
        <f t="shared" si="14"/>
        <v>NO SALES</v>
      </c>
    </row>
    <row r="186" spans="1:14" ht="15" customHeight="1" x14ac:dyDescent="0.25">
      <c r="A186" s="75">
        <v>181</v>
      </c>
      <c r="B186" s="75" t="str">
        <f>IF('SKU Master'!B185="","",'SKU Master'!B185)</f>
        <v/>
      </c>
      <c r="C186" s="75">
        <f>'SKU Master'!C185</f>
        <v>0</v>
      </c>
      <c r="D186" s="94">
        <f>'SKU Master'!I185</f>
        <v>0</v>
      </c>
      <c r="E186" s="94">
        <f>'SKU Master'!J185</f>
        <v>0</v>
      </c>
      <c r="F186" s="94"/>
      <c r="G186" s="94"/>
      <c r="H186" s="94">
        <f t="shared" si="10"/>
        <v>0</v>
      </c>
      <c r="I186" s="94">
        <f>H186*'SKU Master'!H185</f>
        <v>0</v>
      </c>
      <c r="J186" s="75" t="str">
        <f t="shared" si="11"/>
        <v>Matched</v>
      </c>
      <c r="K186" s="94">
        <f>IF(F186&gt;D186,D186*'SKU Master'!M185,G186)+I186</f>
        <v>0</v>
      </c>
      <c r="L186" s="94">
        <f t="shared" si="12"/>
        <v>0</v>
      </c>
      <c r="M186" s="95">
        <f t="shared" si="13"/>
        <v>0</v>
      </c>
      <c r="N186" s="75" t="str">
        <f t="shared" si="14"/>
        <v>NO SALES</v>
      </c>
    </row>
    <row r="187" spans="1:14" ht="15" customHeight="1" x14ac:dyDescent="0.25">
      <c r="A187" s="75">
        <v>182</v>
      </c>
      <c r="B187" s="75" t="str">
        <f>IF('SKU Master'!B186="","",'SKU Master'!B186)</f>
        <v/>
      </c>
      <c r="C187" s="75">
        <f>'SKU Master'!C186</f>
        <v>0</v>
      </c>
      <c r="D187" s="94">
        <f>'SKU Master'!I186</f>
        <v>0</v>
      </c>
      <c r="E187" s="94">
        <f>'SKU Master'!J186</f>
        <v>0</v>
      </c>
      <c r="F187" s="94"/>
      <c r="G187" s="94"/>
      <c r="H187" s="94">
        <f t="shared" si="10"/>
        <v>0</v>
      </c>
      <c r="I187" s="94">
        <f>H187*'SKU Master'!H186</f>
        <v>0</v>
      </c>
      <c r="J187" s="75" t="str">
        <f t="shared" si="11"/>
        <v>Matched</v>
      </c>
      <c r="K187" s="94">
        <f>IF(F187&gt;D187,D187*'SKU Master'!M186,G187)+I187</f>
        <v>0</v>
      </c>
      <c r="L187" s="94">
        <f t="shared" si="12"/>
        <v>0</v>
      </c>
      <c r="M187" s="95">
        <f t="shared" si="13"/>
        <v>0</v>
      </c>
      <c r="N187" s="75" t="str">
        <f t="shared" si="14"/>
        <v>NO SALES</v>
      </c>
    </row>
    <row r="188" spans="1:14" ht="15" customHeight="1" x14ac:dyDescent="0.25">
      <c r="A188" s="75">
        <v>183</v>
      </c>
      <c r="B188" s="75" t="str">
        <f>IF('SKU Master'!B187="","",'SKU Master'!B187)</f>
        <v/>
      </c>
      <c r="C188" s="75">
        <f>'SKU Master'!C187</f>
        <v>0</v>
      </c>
      <c r="D188" s="94">
        <f>'SKU Master'!I187</f>
        <v>0</v>
      </c>
      <c r="E188" s="94">
        <f>'SKU Master'!J187</f>
        <v>0</v>
      </c>
      <c r="F188" s="94"/>
      <c r="G188" s="94"/>
      <c r="H188" s="94">
        <f t="shared" si="10"/>
        <v>0</v>
      </c>
      <c r="I188" s="94">
        <f>H188*'SKU Master'!H187</f>
        <v>0</v>
      </c>
      <c r="J188" s="75" t="str">
        <f t="shared" si="11"/>
        <v>Matched</v>
      </c>
      <c r="K188" s="94">
        <f>IF(F188&gt;D188,D188*'SKU Master'!M187,G188)+I188</f>
        <v>0</v>
      </c>
      <c r="L188" s="94">
        <f t="shared" si="12"/>
        <v>0</v>
      </c>
      <c r="M188" s="95">
        <f t="shared" si="13"/>
        <v>0</v>
      </c>
      <c r="N188" s="75" t="str">
        <f t="shared" si="14"/>
        <v>NO SALES</v>
      </c>
    </row>
    <row r="189" spans="1:14" ht="15" customHeight="1" x14ac:dyDescent="0.25">
      <c r="A189" s="75">
        <v>184</v>
      </c>
      <c r="B189" s="75" t="str">
        <f>IF('SKU Master'!B188="","",'SKU Master'!B188)</f>
        <v/>
      </c>
      <c r="C189" s="75">
        <f>'SKU Master'!C188</f>
        <v>0</v>
      </c>
      <c r="D189" s="94">
        <f>'SKU Master'!I188</f>
        <v>0</v>
      </c>
      <c r="E189" s="94">
        <f>'SKU Master'!J188</f>
        <v>0</v>
      </c>
      <c r="F189" s="94"/>
      <c r="G189" s="94"/>
      <c r="H189" s="94">
        <f t="shared" si="10"/>
        <v>0</v>
      </c>
      <c r="I189" s="94">
        <f>H189*'SKU Master'!H188</f>
        <v>0</v>
      </c>
      <c r="J189" s="75" t="str">
        <f t="shared" si="11"/>
        <v>Matched</v>
      </c>
      <c r="K189" s="94">
        <f>IF(F189&gt;D189,D189*'SKU Master'!M188,G189)+I189</f>
        <v>0</v>
      </c>
      <c r="L189" s="94">
        <f t="shared" si="12"/>
        <v>0</v>
      </c>
      <c r="M189" s="95">
        <f t="shared" si="13"/>
        <v>0</v>
      </c>
      <c r="N189" s="75" t="str">
        <f t="shared" si="14"/>
        <v>NO SALES</v>
      </c>
    </row>
    <row r="190" spans="1:14" ht="15" customHeight="1" x14ac:dyDescent="0.25">
      <c r="A190" s="75">
        <v>185</v>
      </c>
      <c r="B190" s="75" t="str">
        <f>IF('SKU Master'!B189="","",'SKU Master'!B189)</f>
        <v/>
      </c>
      <c r="C190" s="75">
        <f>'SKU Master'!C189</f>
        <v>0</v>
      </c>
      <c r="D190" s="94">
        <f>'SKU Master'!I189</f>
        <v>0</v>
      </c>
      <c r="E190" s="94">
        <f>'SKU Master'!J189</f>
        <v>0</v>
      </c>
      <c r="F190" s="94"/>
      <c r="G190" s="94"/>
      <c r="H190" s="94">
        <f t="shared" si="10"/>
        <v>0</v>
      </c>
      <c r="I190" s="94">
        <f>H190*'SKU Master'!H189</f>
        <v>0</v>
      </c>
      <c r="J190" s="75" t="str">
        <f t="shared" si="11"/>
        <v>Matched</v>
      </c>
      <c r="K190" s="94">
        <f>IF(F190&gt;D190,D190*'SKU Master'!M189,G190)+I190</f>
        <v>0</v>
      </c>
      <c r="L190" s="94">
        <f t="shared" si="12"/>
        <v>0</v>
      </c>
      <c r="M190" s="95">
        <f t="shared" si="13"/>
        <v>0</v>
      </c>
      <c r="N190" s="75" t="str">
        <f t="shared" si="14"/>
        <v>NO SALES</v>
      </c>
    </row>
    <row r="191" spans="1:14" ht="15" customHeight="1" x14ac:dyDescent="0.25">
      <c r="A191" s="75">
        <v>186</v>
      </c>
      <c r="B191" s="75" t="str">
        <f>IF('SKU Master'!B190="","",'SKU Master'!B190)</f>
        <v/>
      </c>
      <c r="C191" s="75">
        <f>'SKU Master'!C190</f>
        <v>0</v>
      </c>
      <c r="D191" s="94">
        <f>'SKU Master'!I190</f>
        <v>0</v>
      </c>
      <c r="E191" s="94">
        <f>'SKU Master'!J190</f>
        <v>0</v>
      </c>
      <c r="F191" s="94"/>
      <c r="G191" s="94"/>
      <c r="H191" s="94">
        <f t="shared" si="10"/>
        <v>0</v>
      </c>
      <c r="I191" s="94">
        <f>H191*'SKU Master'!H190</f>
        <v>0</v>
      </c>
      <c r="J191" s="75" t="str">
        <f t="shared" si="11"/>
        <v>Matched</v>
      </c>
      <c r="K191" s="94">
        <f>IF(F191&gt;D191,D191*'SKU Master'!M190,G191)+I191</f>
        <v>0</v>
      </c>
      <c r="L191" s="94">
        <f t="shared" si="12"/>
        <v>0</v>
      </c>
      <c r="M191" s="95">
        <f t="shared" si="13"/>
        <v>0</v>
      </c>
      <c r="N191" s="75" t="str">
        <f t="shared" si="14"/>
        <v>NO SALES</v>
      </c>
    </row>
    <row r="192" spans="1:14" ht="15" customHeight="1" x14ac:dyDescent="0.25">
      <c r="A192" s="75">
        <v>187</v>
      </c>
      <c r="B192" s="75" t="str">
        <f>IF('SKU Master'!B191="","",'SKU Master'!B191)</f>
        <v/>
      </c>
      <c r="C192" s="75">
        <f>'SKU Master'!C191</f>
        <v>0</v>
      </c>
      <c r="D192" s="94">
        <f>'SKU Master'!I191</f>
        <v>0</v>
      </c>
      <c r="E192" s="94">
        <f>'SKU Master'!J191</f>
        <v>0</v>
      </c>
      <c r="F192" s="94"/>
      <c r="G192" s="94"/>
      <c r="H192" s="94">
        <f t="shared" si="10"/>
        <v>0</v>
      </c>
      <c r="I192" s="94">
        <f>H192*'SKU Master'!H191</f>
        <v>0</v>
      </c>
      <c r="J192" s="75" t="str">
        <f t="shared" si="11"/>
        <v>Matched</v>
      </c>
      <c r="K192" s="94">
        <f>IF(F192&gt;D192,D192*'SKU Master'!M191,G192)+I192</f>
        <v>0</v>
      </c>
      <c r="L192" s="94">
        <f t="shared" si="12"/>
        <v>0</v>
      </c>
      <c r="M192" s="95">
        <f t="shared" si="13"/>
        <v>0</v>
      </c>
      <c r="N192" s="75" t="str">
        <f t="shared" si="14"/>
        <v>NO SALES</v>
      </c>
    </row>
    <row r="193" spans="1:14" ht="15" customHeight="1" x14ac:dyDescent="0.25">
      <c r="A193" s="75">
        <v>188</v>
      </c>
      <c r="B193" s="75" t="str">
        <f>IF('SKU Master'!B192="","",'SKU Master'!B192)</f>
        <v/>
      </c>
      <c r="C193" s="75">
        <f>'SKU Master'!C192</f>
        <v>0</v>
      </c>
      <c r="D193" s="94">
        <f>'SKU Master'!I192</f>
        <v>0</v>
      </c>
      <c r="E193" s="94">
        <f>'SKU Master'!J192</f>
        <v>0</v>
      </c>
      <c r="F193" s="94"/>
      <c r="G193" s="94"/>
      <c r="H193" s="94">
        <f t="shared" si="10"/>
        <v>0</v>
      </c>
      <c r="I193" s="94">
        <f>H193*'SKU Master'!H192</f>
        <v>0</v>
      </c>
      <c r="J193" s="75" t="str">
        <f t="shared" si="11"/>
        <v>Matched</v>
      </c>
      <c r="K193" s="94">
        <f>IF(F193&gt;D193,D193*'SKU Master'!M192,G193)+I193</f>
        <v>0</v>
      </c>
      <c r="L193" s="94">
        <f t="shared" si="12"/>
        <v>0</v>
      </c>
      <c r="M193" s="95">
        <f t="shared" si="13"/>
        <v>0</v>
      </c>
      <c r="N193" s="75" t="str">
        <f t="shared" si="14"/>
        <v>NO SALES</v>
      </c>
    </row>
    <row r="194" spans="1:14" ht="15" customHeight="1" x14ac:dyDescent="0.25">
      <c r="A194" s="75">
        <v>189</v>
      </c>
      <c r="B194" s="75" t="str">
        <f>IF('SKU Master'!B193="","",'SKU Master'!B193)</f>
        <v/>
      </c>
      <c r="C194" s="75">
        <f>'SKU Master'!C193</f>
        <v>0</v>
      </c>
      <c r="D194" s="94">
        <f>'SKU Master'!I193</f>
        <v>0</v>
      </c>
      <c r="E194" s="94">
        <f>'SKU Master'!J193</f>
        <v>0</v>
      </c>
      <c r="F194" s="94"/>
      <c r="G194" s="94"/>
      <c r="H194" s="94">
        <f t="shared" si="10"/>
        <v>0</v>
      </c>
      <c r="I194" s="94">
        <f>H194*'SKU Master'!H193</f>
        <v>0</v>
      </c>
      <c r="J194" s="75" t="str">
        <f t="shared" si="11"/>
        <v>Matched</v>
      </c>
      <c r="K194" s="94">
        <f>IF(F194&gt;D194,D194*'SKU Master'!M193,G194)+I194</f>
        <v>0</v>
      </c>
      <c r="L194" s="94">
        <f t="shared" si="12"/>
        <v>0</v>
      </c>
      <c r="M194" s="95">
        <f t="shared" si="13"/>
        <v>0</v>
      </c>
      <c r="N194" s="75" t="str">
        <f t="shared" si="14"/>
        <v>NO SALES</v>
      </c>
    </row>
    <row r="195" spans="1:14" ht="15" customHeight="1" x14ac:dyDescent="0.25">
      <c r="A195" s="75">
        <v>190</v>
      </c>
      <c r="B195" s="75" t="str">
        <f>IF('SKU Master'!B194="","",'SKU Master'!B194)</f>
        <v/>
      </c>
      <c r="C195" s="75">
        <f>'SKU Master'!C194</f>
        <v>0</v>
      </c>
      <c r="D195" s="94">
        <f>'SKU Master'!I194</f>
        <v>0</v>
      </c>
      <c r="E195" s="94">
        <f>'SKU Master'!J194</f>
        <v>0</v>
      </c>
      <c r="F195" s="94"/>
      <c r="G195" s="94"/>
      <c r="H195" s="94">
        <f t="shared" si="10"/>
        <v>0</v>
      </c>
      <c r="I195" s="94">
        <f>H195*'SKU Master'!H194</f>
        <v>0</v>
      </c>
      <c r="J195" s="75" t="str">
        <f t="shared" si="11"/>
        <v>Matched</v>
      </c>
      <c r="K195" s="94">
        <f>IF(F195&gt;D195,D195*'SKU Master'!M194,G195)+I195</f>
        <v>0</v>
      </c>
      <c r="L195" s="94">
        <f t="shared" si="12"/>
        <v>0</v>
      </c>
      <c r="M195" s="95">
        <f t="shared" si="13"/>
        <v>0</v>
      </c>
      <c r="N195" s="75" t="str">
        <f t="shared" si="14"/>
        <v>NO SALES</v>
      </c>
    </row>
    <row r="196" spans="1:14" ht="15" customHeight="1" x14ac:dyDescent="0.25">
      <c r="A196" s="75">
        <v>191</v>
      </c>
      <c r="B196" s="75" t="str">
        <f>IF('SKU Master'!B195="","",'SKU Master'!B195)</f>
        <v/>
      </c>
      <c r="C196" s="75">
        <f>'SKU Master'!C195</f>
        <v>0</v>
      </c>
      <c r="D196" s="94">
        <f>'SKU Master'!I195</f>
        <v>0</v>
      </c>
      <c r="E196" s="94">
        <f>'SKU Master'!J195</f>
        <v>0</v>
      </c>
      <c r="F196" s="94"/>
      <c r="G196" s="94"/>
      <c r="H196" s="94">
        <f t="shared" si="10"/>
        <v>0</v>
      </c>
      <c r="I196" s="94">
        <f>H196*'SKU Master'!H195</f>
        <v>0</v>
      </c>
      <c r="J196" s="75" t="str">
        <f t="shared" si="11"/>
        <v>Matched</v>
      </c>
      <c r="K196" s="94">
        <f>IF(F196&gt;D196,D196*'SKU Master'!M195,G196)+I196</f>
        <v>0</v>
      </c>
      <c r="L196" s="94">
        <f t="shared" si="12"/>
        <v>0</v>
      </c>
      <c r="M196" s="95">
        <f t="shared" si="13"/>
        <v>0</v>
      </c>
      <c r="N196" s="75" t="str">
        <f t="shared" si="14"/>
        <v>NO SALES</v>
      </c>
    </row>
    <row r="197" spans="1:14" ht="15" customHeight="1" x14ac:dyDescent="0.25">
      <c r="A197" s="75">
        <v>192</v>
      </c>
      <c r="B197" s="75" t="str">
        <f>IF('SKU Master'!B196="","",'SKU Master'!B196)</f>
        <v/>
      </c>
      <c r="C197" s="75">
        <f>'SKU Master'!C196</f>
        <v>0</v>
      </c>
      <c r="D197" s="94">
        <f>'SKU Master'!I196</f>
        <v>0</v>
      </c>
      <c r="E197" s="94">
        <f>'SKU Master'!J196</f>
        <v>0</v>
      </c>
      <c r="F197" s="94"/>
      <c r="G197" s="94"/>
      <c r="H197" s="94">
        <f t="shared" si="10"/>
        <v>0</v>
      </c>
      <c r="I197" s="94">
        <f>H197*'SKU Master'!H196</f>
        <v>0</v>
      </c>
      <c r="J197" s="75" t="str">
        <f t="shared" si="11"/>
        <v>Matched</v>
      </c>
      <c r="K197" s="94">
        <f>IF(F197&gt;D197,D197*'SKU Master'!M196,G197)+I197</f>
        <v>0</v>
      </c>
      <c r="L197" s="94">
        <f t="shared" si="12"/>
        <v>0</v>
      </c>
      <c r="M197" s="95">
        <f t="shared" si="13"/>
        <v>0</v>
      </c>
      <c r="N197" s="75" t="str">
        <f t="shared" si="14"/>
        <v>NO SALES</v>
      </c>
    </row>
    <row r="198" spans="1:14" ht="15" customHeight="1" x14ac:dyDescent="0.25">
      <c r="A198" s="75">
        <v>193</v>
      </c>
      <c r="B198" s="75" t="str">
        <f>IF('SKU Master'!B197="","",'SKU Master'!B197)</f>
        <v/>
      </c>
      <c r="C198" s="75">
        <f>'SKU Master'!C197</f>
        <v>0</v>
      </c>
      <c r="D198" s="94">
        <f>'SKU Master'!I197</f>
        <v>0</v>
      </c>
      <c r="E198" s="94">
        <f>'SKU Master'!J197</f>
        <v>0</v>
      </c>
      <c r="F198" s="94"/>
      <c r="G198" s="94"/>
      <c r="H198" s="94">
        <f t="shared" ref="H198:H261" si="15">MAX(D198-F198,0)</f>
        <v>0</v>
      </c>
      <c r="I198" s="94">
        <f>H198*'SKU Master'!H197</f>
        <v>0</v>
      </c>
      <c r="J198" s="75" t="str">
        <f t="shared" ref="J198:J261" si="16">IF(D198-F198&lt;-0.5,"EXCESS→INV",IF(D198-F198&gt;0.5,"Produced","Matched"))</f>
        <v>Matched</v>
      </c>
      <c r="K198" s="94">
        <f>IF(F198&gt;D198,D198*'SKU Master'!M197,G198)+I198</f>
        <v>0</v>
      </c>
      <c r="L198" s="94">
        <f t="shared" ref="L198:L261" si="17">IF(E198=0,0,E198-K198)</f>
        <v>0</v>
      </c>
      <c r="M198" s="95">
        <f t="shared" ref="M198:M261" si="18">IFERROR(L198/D198,0)</f>
        <v>0</v>
      </c>
      <c r="N198" s="75" t="str">
        <f t="shared" ref="N198:N261" si="19">IF(E198=0,"NO SALES",IF(L198&lt;0,"LOSS",IF(IFERROR(L198/E198,0)&lt;0.1,"THIN","PROFIT")))</f>
        <v>NO SALES</v>
      </c>
    </row>
    <row r="199" spans="1:14" ht="15" customHeight="1" x14ac:dyDescent="0.25">
      <c r="A199" s="75">
        <v>194</v>
      </c>
      <c r="B199" s="75" t="str">
        <f>IF('SKU Master'!B198="","",'SKU Master'!B198)</f>
        <v/>
      </c>
      <c r="C199" s="75">
        <f>'SKU Master'!C198</f>
        <v>0</v>
      </c>
      <c r="D199" s="94">
        <f>'SKU Master'!I198</f>
        <v>0</v>
      </c>
      <c r="E199" s="94">
        <f>'SKU Master'!J198</f>
        <v>0</v>
      </c>
      <c r="F199" s="94"/>
      <c r="G199" s="94"/>
      <c r="H199" s="94">
        <f t="shared" si="15"/>
        <v>0</v>
      </c>
      <c r="I199" s="94">
        <f>H199*'SKU Master'!H198</f>
        <v>0</v>
      </c>
      <c r="J199" s="75" t="str">
        <f t="shared" si="16"/>
        <v>Matched</v>
      </c>
      <c r="K199" s="94">
        <f>IF(F199&gt;D199,D199*'SKU Master'!M198,G199)+I199</f>
        <v>0</v>
      </c>
      <c r="L199" s="94">
        <f t="shared" si="17"/>
        <v>0</v>
      </c>
      <c r="M199" s="95">
        <f t="shared" si="18"/>
        <v>0</v>
      </c>
      <c r="N199" s="75" t="str">
        <f t="shared" si="19"/>
        <v>NO SALES</v>
      </c>
    </row>
    <row r="200" spans="1:14" ht="15" customHeight="1" x14ac:dyDescent="0.25">
      <c r="A200" s="75">
        <v>195</v>
      </c>
      <c r="B200" s="75" t="str">
        <f>IF('SKU Master'!B199="","",'SKU Master'!B199)</f>
        <v/>
      </c>
      <c r="C200" s="75">
        <f>'SKU Master'!C199</f>
        <v>0</v>
      </c>
      <c r="D200" s="94">
        <f>'SKU Master'!I199</f>
        <v>0</v>
      </c>
      <c r="E200" s="94">
        <f>'SKU Master'!J199</f>
        <v>0</v>
      </c>
      <c r="F200" s="94"/>
      <c r="G200" s="94"/>
      <c r="H200" s="94">
        <f t="shared" si="15"/>
        <v>0</v>
      </c>
      <c r="I200" s="94">
        <f>H200*'SKU Master'!H199</f>
        <v>0</v>
      </c>
      <c r="J200" s="75" t="str">
        <f t="shared" si="16"/>
        <v>Matched</v>
      </c>
      <c r="K200" s="94">
        <f>IF(F200&gt;D200,D200*'SKU Master'!M199,G200)+I200</f>
        <v>0</v>
      </c>
      <c r="L200" s="94">
        <f t="shared" si="17"/>
        <v>0</v>
      </c>
      <c r="M200" s="95">
        <f t="shared" si="18"/>
        <v>0</v>
      </c>
      <c r="N200" s="75" t="str">
        <f t="shared" si="19"/>
        <v>NO SALES</v>
      </c>
    </row>
    <row r="201" spans="1:14" ht="15" customHeight="1" x14ac:dyDescent="0.25">
      <c r="A201" s="75">
        <v>196</v>
      </c>
      <c r="B201" s="75" t="str">
        <f>IF('SKU Master'!B200="","",'SKU Master'!B200)</f>
        <v/>
      </c>
      <c r="C201" s="75">
        <f>'SKU Master'!C200</f>
        <v>0</v>
      </c>
      <c r="D201" s="94">
        <f>'SKU Master'!I200</f>
        <v>0</v>
      </c>
      <c r="E201" s="94">
        <f>'SKU Master'!J200</f>
        <v>0</v>
      </c>
      <c r="F201" s="94"/>
      <c r="G201" s="94"/>
      <c r="H201" s="94">
        <f t="shared" si="15"/>
        <v>0</v>
      </c>
      <c r="I201" s="94">
        <f>H201*'SKU Master'!H200</f>
        <v>0</v>
      </c>
      <c r="J201" s="75" t="str">
        <f t="shared" si="16"/>
        <v>Matched</v>
      </c>
      <c r="K201" s="94">
        <f>IF(F201&gt;D201,D201*'SKU Master'!M200,G201)+I201</f>
        <v>0</v>
      </c>
      <c r="L201" s="94">
        <f t="shared" si="17"/>
        <v>0</v>
      </c>
      <c r="M201" s="95">
        <f t="shared" si="18"/>
        <v>0</v>
      </c>
      <c r="N201" s="75" t="str">
        <f t="shared" si="19"/>
        <v>NO SALES</v>
      </c>
    </row>
    <row r="202" spans="1:14" ht="15" customHeight="1" x14ac:dyDescent="0.25">
      <c r="A202" s="75">
        <v>197</v>
      </c>
      <c r="B202" s="75" t="str">
        <f>IF('SKU Master'!B201="","",'SKU Master'!B201)</f>
        <v/>
      </c>
      <c r="C202" s="75">
        <f>'SKU Master'!C201</f>
        <v>0</v>
      </c>
      <c r="D202" s="94">
        <f>'SKU Master'!I201</f>
        <v>0</v>
      </c>
      <c r="E202" s="94">
        <f>'SKU Master'!J201</f>
        <v>0</v>
      </c>
      <c r="F202" s="94"/>
      <c r="G202" s="94"/>
      <c r="H202" s="94">
        <f t="shared" si="15"/>
        <v>0</v>
      </c>
      <c r="I202" s="94">
        <f>H202*'SKU Master'!H201</f>
        <v>0</v>
      </c>
      <c r="J202" s="75" t="str">
        <f t="shared" si="16"/>
        <v>Matched</v>
      </c>
      <c r="K202" s="94">
        <f>IF(F202&gt;D202,D202*'SKU Master'!M201,G202)+I202</f>
        <v>0</v>
      </c>
      <c r="L202" s="94">
        <f t="shared" si="17"/>
        <v>0</v>
      </c>
      <c r="M202" s="95">
        <f t="shared" si="18"/>
        <v>0</v>
      </c>
      <c r="N202" s="75" t="str">
        <f t="shared" si="19"/>
        <v>NO SALES</v>
      </c>
    </row>
    <row r="203" spans="1:14" ht="15" customHeight="1" x14ac:dyDescent="0.25">
      <c r="A203" s="75">
        <v>198</v>
      </c>
      <c r="B203" s="75" t="str">
        <f>IF('SKU Master'!B202="","",'SKU Master'!B202)</f>
        <v/>
      </c>
      <c r="C203" s="75">
        <f>'SKU Master'!C202</f>
        <v>0</v>
      </c>
      <c r="D203" s="94">
        <f>'SKU Master'!I202</f>
        <v>0</v>
      </c>
      <c r="E203" s="94">
        <f>'SKU Master'!J202</f>
        <v>0</v>
      </c>
      <c r="F203" s="94"/>
      <c r="G203" s="94"/>
      <c r="H203" s="94">
        <f t="shared" si="15"/>
        <v>0</v>
      </c>
      <c r="I203" s="94">
        <f>H203*'SKU Master'!H202</f>
        <v>0</v>
      </c>
      <c r="J203" s="75" t="str">
        <f t="shared" si="16"/>
        <v>Matched</v>
      </c>
      <c r="K203" s="94">
        <f>IF(F203&gt;D203,D203*'SKU Master'!M202,G203)+I203</f>
        <v>0</v>
      </c>
      <c r="L203" s="94">
        <f t="shared" si="17"/>
        <v>0</v>
      </c>
      <c r="M203" s="95">
        <f t="shared" si="18"/>
        <v>0</v>
      </c>
      <c r="N203" s="75" t="str">
        <f t="shared" si="19"/>
        <v>NO SALES</v>
      </c>
    </row>
    <row r="204" spans="1:14" ht="15" customHeight="1" x14ac:dyDescent="0.25">
      <c r="A204" s="75">
        <v>199</v>
      </c>
      <c r="B204" s="75" t="str">
        <f>IF('SKU Master'!B203="","",'SKU Master'!B203)</f>
        <v/>
      </c>
      <c r="C204" s="75">
        <f>'SKU Master'!C203</f>
        <v>0</v>
      </c>
      <c r="D204" s="94">
        <f>'SKU Master'!I203</f>
        <v>0</v>
      </c>
      <c r="E204" s="94">
        <f>'SKU Master'!J203</f>
        <v>0</v>
      </c>
      <c r="F204" s="94"/>
      <c r="G204" s="94"/>
      <c r="H204" s="94">
        <f t="shared" si="15"/>
        <v>0</v>
      </c>
      <c r="I204" s="94">
        <f>H204*'SKU Master'!H203</f>
        <v>0</v>
      </c>
      <c r="J204" s="75" t="str">
        <f t="shared" si="16"/>
        <v>Matched</v>
      </c>
      <c r="K204" s="94">
        <f>IF(F204&gt;D204,D204*'SKU Master'!M203,G204)+I204</f>
        <v>0</v>
      </c>
      <c r="L204" s="94">
        <f t="shared" si="17"/>
        <v>0</v>
      </c>
      <c r="M204" s="95">
        <f t="shared" si="18"/>
        <v>0</v>
      </c>
      <c r="N204" s="75" t="str">
        <f t="shared" si="19"/>
        <v>NO SALES</v>
      </c>
    </row>
    <row r="205" spans="1:14" ht="15" customHeight="1" x14ac:dyDescent="0.25">
      <c r="A205" s="75">
        <v>200</v>
      </c>
      <c r="B205" s="75" t="str">
        <f>IF('SKU Master'!B204="","",'SKU Master'!B204)</f>
        <v/>
      </c>
      <c r="C205" s="75">
        <f>'SKU Master'!C204</f>
        <v>0</v>
      </c>
      <c r="D205" s="94">
        <f>'SKU Master'!I204</f>
        <v>0</v>
      </c>
      <c r="E205" s="94">
        <f>'SKU Master'!J204</f>
        <v>0</v>
      </c>
      <c r="F205" s="94"/>
      <c r="G205" s="94"/>
      <c r="H205" s="94">
        <f t="shared" si="15"/>
        <v>0</v>
      </c>
      <c r="I205" s="94">
        <f>H205*'SKU Master'!H204</f>
        <v>0</v>
      </c>
      <c r="J205" s="75" t="str">
        <f t="shared" si="16"/>
        <v>Matched</v>
      </c>
      <c r="K205" s="94">
        <f>IF(F205&gt;D205,D205*'SKU Master'!M204,G205)+I205</f>
        <v>0</v>
      </c>
      <c r="L205" s="94">
        <f t="shared" si="17"/>
        <v>0</v>
      </c>
      <c r="M205" s="95">
        <f t="shared" si="18"/>
        <v>0</v>
      </c>
      <c r="N205" s="75" t="str">
        <f t="shared" si="19"/>
        <v>NO SALES</v>
      </c>
    </row>
    <row r="206" spans="1:14" ht="15" customHeight="1" x14ac:dyDescent="0.25">
      <c r="A206" s="75">
        <v>201</v>
      </c>
      <c r="B206" s="75" t="str">
        <f>IF('SKU Master'!B205="","",'SKU Master'!B205)</f>
        <v/>
      </c>
      <c r="C206" s="75">
        <f>'SKU Master'!C205</f>
        <v>0</v>
      </c>
      <c r="D206" s="94">
        <f>'SKU Master'!I205</f>
        <v>0</v>
      </c>
      <c r="E206" s="94">
        <f>'SKU Master'!J205</f>
        <v>0</v>
      </c>
      <c r="F206" s="94"/>
      <c r="G206" s="94"/>
      <c r="H206" s="94">
        <f t="shared" si="15"/>
        <v>0</v>
      </c>
      <c r="I206" s="94">
        <f>H206*'SKU Master'!H205</f>
        <v>0</v>
      </c>
      <c r="J206" s="75" t="str">
        <f t="shared" si="16"/>
        <v>Matched</v>
      </c>
      <c r="K206" s="94">
        <f>IF(F206&gt;D206,D206*'SKU Master'!M205,G206)+I206</f>
        <v>0</v>
      </c>
      <c r="L206" s="94">
        <f t="shared" si="17"/>
        <v>0</v>
      </c>
      <c r="M206" s="95">
        <f t="shared" si="18"/>
        <v>0</v>
      </c>
      <c r="N206" s="75" t="str">
        <f t="shared" si="19"/>
        <v>NO SALES</v>
      </c>
    </row>
    <row r="207" spans="1:14" ht="15" customHeight="1" x14ac:dyDescent="0.25">
      <c r="A207" s="75">
        <v>202</v>
      </c>
      <c r="B207" s="75" t="str">
        <f>IF('SKU Master'!B206="","",'SKU Master'!B206)</f>
        <v/>
      </c>
      <c r="C207" s="75">
        <f>'SKU Master'!C206</f>
        <v>0</v>
      </c>
      <c r="D207" s="94">
        <f>'SKU Master'!I206</f>
        <v>0</v>
      </c>
      <c r="E207" s="94">
        <f>'SKU Master'!J206</f>
        <v>0</v>
      </c>
      <c r="F207" s="94"/>
      <c r="G207" s="94"/>
      <c r="H207" s="94">
        <f t="shared" si="15"/>
        <v>0</v>
      </c>
      <c r="I207" s="94">
        <f>H207*'SKU Master'!H206</f>
        <v>0</v>
      </c>
      <c r="J207" s="75" t="str">
        <f t="shared" si="16"/>
        <v>Matched</v>
      </c>
      <c r="K207" s="94">
        <f>IF(F207&gt;D207,D207*'SKU Master'!M206,G207)+I207</f>
        <v>0</v>
      </c>
      <c r="L207" s="94">
        <f t="shared" si="17"/>
        <v>0</v>
      </c>
      <c r="M207" s="95">
        <f t="shared" si="18"/>
        <v>0</v>
      </c>
      <c r="N207" s="75" t="str">
        <f t="shared" si="19"/>
        <v>NO SALES</v>
      </c>
    </row>
    <row r="208" spans="1:14" ht="15" customHeight="1" x14ac:dyDescent="0.25">
      <c r="A208" s="75">
        <v>203</v>
      </c>
      <c r="B208" s="75" t="str">
        <f>IF('SKU Master'!B207="","",'SKU Master'!B207)</f>
        <v/>
      </c>
      <c r="C208" s="75">
        <f>'SKU Master'!C207</f>
        <v>0</v>
      </c>
      <c r="D208" s="94">
        <f>'SKU Master'!I207</f>
        <v>0</v>
      </c>
      <c r="E208" s="94">
        <f>'SKU Master'!J207</f>
        <v>0</v>
      </c>
      <c r="F208" s="94"/>
      <c r="G208" s="94"/>
      <c r="H208" s="94">
        <f t="shared" si="15"/>
        <v>0</v>
      </c>
      <c r="I208" s="94">
        <f>H208*'SKU Master'!H207</f>
        <v>0</v>
      </c>
      <c r="J208" s="75" t="str">
        <f t="shared" si="16"/>
        <v>Matched</v>
      </c>
      <c r="K208" s="94">
        <f>IF(F208&gt;D208,D208*'SKU Master'!M207,G208)+I208</f>
        <v>0</v>
      </c>
      <c r="L208" s="94">
        <f t="shared" si="17"/>
        <v>0</v>
      </c>
      <c r="M208" s="95">
        <f t="shared" si="18"/>
        <v>0</v>
      </c>
      <c r="N208" s="75" t="str">
        <f t="shared" si="19"/>
        <v>NO SALES</v>
      </c>
    </row>
    <row r="209" spans="1:14" ht="15" customHeight="1" x14ac:dyDescent="0.25">
      <c r="A209" s="75">
        <v>204</v>
      </c>
      <c r="B209" s="75" t="str">
        <f>IF('SKU Master'!B208="","",'SKU Master'!B208)</f>
        <v/>
      </c>
      <c r="C209" s="75">
        <f>'SKU Master'!C208</f>
        <v>0</v>
      </c>
      <c r="D209" s="94">
        <f>'SKU Master'!I208</f>
        <v>0</v>
      </c>
      <c r="E209" s="94">
        <f>'SKU Master'!J208</f>
        <v>0</v>
      </c>
      <c r="F209" s="94"/>
      <c r="G209" s="94"/>
      <c r="H209" s="94">
        <f t="shared" si="15"/>
        <v>0</v>
      </c>
      <c r="I209" s="94">
        <f>H209*'SKU Master'!H208</f>
        <v>0</v>
      </c>
      <c r="J209" s="75" t="str">
        <f t="shared" si="16"/>
        <v>Matched</v>
      </c>
      <c r="K209" s="94">
        <f>IF(F209&gt;D209,D209*'SKU Master'!M208,G209)+I209</f>
        <v>0</v>
      </c>
      <c r="L209" s="94">
        <f t="shared" si="17"/>
        <v>0</v>
      </c>
      <c r="M209" s="95">
        <f t="shared" si="18"/>
        <v>0</v>
      </c>
      <c r="N209" s="75" t="str">
        <f t="shared" si="19"/>
        <v>NO SALES</v>
      </c>
    </row>
    <row r="210" spans="1:14" ht="15" customHeight="1" x14ac:dyDescent="0.25">
      <c r="A210" s="75">
        <v>205</v>
      </c>
      <c r="B210" s="75" t="str">
        <f>IF('SKU Master'!B209="","",'SKU Master'!B209)</f>
        <v/>
      </c>
      <c r="C210" s="75">
        <f>'SKU Master'!C209</f>
        <v>0</v>
      </c>
      <c r="D210" s="94">
        <f>'SKU Master'!I209</f>
        <v>0</v>
      </c>
      <c r="E210" s="94">
        <f>'SKU Master'!J209</f>
        <v>0</v>
      </c>
      <c r="F210" s="94"/>
      <c r="G210" s="94"/>
      <c r="H210" s="94">
        <f t="shared" si="15"/>
        <v>0</v>
      </c>
      <c r="I210" s="94">
        <f>H210*'SKU Master'!H209</f>
        <v>0</v>
      </c>
      <c r="J210" s="75" t="str">
        <f t="shared" si="16"/>
        <v>Matched</v>
      </c>
      <c r="K210" s="94">
        <f>IF(F210&gt;D210,D210*'SKU Master'!M209,G210)+I210</f>
        <v>0</v>
      </c>
      <c r="L210" s="94">
        <f t="shared" si="17"/>
        <v>0</v>
      </c>
      <c r="M210" s="95">
        <f t="shared" si="18"/>
        <v>0</v>
      </c>
      <c r="N210" s="75" t="str">
        <f t="shared" si="19"/>
        <v>NO SALES</v>
      </c>
    </row>
    <row r="211" spans="1:14" ht="15" customHeight="1" x14ac:dyDescent="0.25">
      <c r="A211" s="75">
        <v>206</v>
      </c>
      <c r="B211" s="75" t="str">
        <f>IF('SKU Master'!B210="","",'SKU Master'!B210)</f>
        <v/>
      </c>
      <c r="C211" s="75">
        <f>'SKU Master'!C210</f>
        <v>0</v>
      </c>
      <c r="D211" s="94">
        <f>'SKU Master'!I210</f>
        <v>0</v>
      </c>
      <c r="E211" s="94">
        <f>'SKU Master'!J210</f>
        <v>0</v>
      </c>
      <c r="F211" s="94"/>
      <c r="G211" s="94"/>
      <c r="H211" s="94">
        <f t="shared" si="15"/>
        <v>0</v>
      </c>
      <c r="I211" s="94">
        <f>H211*'SKU Master'!H210</f>
        <v>0</v>
      </c>
      <c r="J211" s="75" t="str">
        <f t="shared" si="16"/>
        <v>Matched</v>
      </c>
      <c r="K211" s="94">
        <f>IF(F211&gt;D211,D211*'SKU Master'!M210,G211)+I211</f>
        <v>0</v>
      </c>
      <c r="L211" s="94">
        <f t="shared" si="17"/>
        <v>0</v>
      </c>
      <c r="M211" s="95">
        <f t="shared" si="18"/>
        <v>0</v>
      </c>
      <c r="N211" s="75" t="str">
        <f t="shared" si="19"/>
        <v>NO SALES</v>
      </c>
    </row>
    <row r="212" spans="1:14" ht="15" customHeight="1" x14ac:dyDescent="0.25">
      <c r="A212" s="75">
        <v>207</v>
      </c>
      <c r="B212" s="75" t="str">
        <f>IF('SKU Master'!B211="","",'SKU Master'!B211)</f>
        <v/>
      </c>
      <c r="C212" s="75">
        <f>'SKU Master'!C211</f>
        <v>0</v>
      </c>
      <c r="D212" s="94">
        <f>'SKU Master'!I211</f>
        <v>0</v>
      </c>
      <c r="E212" s="94">
        <f>'SKU Master'!J211</f>
        <v>0</v>
      </c>
      <c r="F212" s="94"/>
      <c r="G212" s="94"/>
      <c r="H212" s="94">
        <f t="shared" si="15"/>
        <v>0</v>
      </c>
      <c r="I212" s="94">
        <f>H212*'SKU Master'!H211</f>
        <v>0</v>
      </c>
      <c r="J212" s="75" t="str">
        <f t="shared" si="16"/>
        <v>Matched</v>
      </c>
      <c r="K212" s="94">
        <f>IF(F212&gt;D212,D212*'SKU Master'!M211,G212)+I212</f>
        <v>0</v>
      </c>
      <c r="L212" s="94">
        <f t="shared" si="17"/>
        <v>0</v>
      </c>
      <c r="M212" s="95">
        <f t="shared" si="18"/>
        <v>0</v>
      </c>
      <c r="N212" s="75" t="str">
        <f t="shared" si="19"/>
        <v>NO SALES</v>
      </c>
    </row>
    <row r="213" spans="1:14" ht="15" customHeight="1" x14ac:dyDescent="0.25">
      <c r="A213" s="75">
        <v>208</v>
      </c>
      <c r="B213" s="75" t="str">
        <f>IF('SKU Master'!B212="","",'SKU Master'!B212)</f>
        <v/>
      </c>
      <c r="C213" s="75">
        <f>'SKU Master'!C212</f>
        <v>0</v>
      </c>
      <c r="D213" s="94">
        <f>'SKU Master'!I212</f>
        <v>0</v>
      </c>
      <c r="E213" s="94">
        <f>'SKU Master'!J212</f>
        <v>0</v>
      </c>
      <c r="F213" s="94"/>
      <c r="G213" s="94"/>
      <c r="H213" s="94">
        <f t="shared" si="15"/>
        <v>0</v>
      </c>
      <c r="I213" s="94">
        <f>H213*'SKU Master'!H212</f>
        <v>0</v>
      </c>
      <c r="J213" s="75" t="str">
        <f t="shared" si="16"/>
        <v>Matched</v>
      </c>
      <c r="K213" s="94">
        <f>IF(F213&gt;D213,D213*'SKU Master'!M212,G213)+I213</f>
        <v>0</v>
      </c>
      <c r="L213" s="94">
        <f t="shared" si="17"/>
        <v>0</v>
      </c>
      <c r="M213" s="95">
        <f t="shared" si="18"/>
        <v>0</v>
      </c>
      <c r="N213" s="75" t="str">
        <f t="shared" si="19"/>
        <v>NO SALES</v>
      </c>
    </row>
    <row r="214" spans="1:14" ht="15" customHeight="1" x14ac:dyDescent="0.25">
      <c r="A214" s="75">
        <v>209</v>
      </c>
      <c r="B214" s="75" t="str">
        <f>IF('SKU Master'!B213="","",'SKU Master'!B213)</f>
        <v/>
      </c>
      <c r="C214" s="75">
        <f>'SKU Master'!C213</f>
        <v>0</v>
      </c>
      <c r="D214" s="94">
        <f>'SKU Master'!I213</f>
        <v>0</v>
      </c>
      <c r="E214" s="94">
        <f>'SKU Master'!J213</f>
        <v>0</v>
      </c>
      <c r="F214" s="94"/>
      <c r="G214" s="94"/>
      <c r="H214" s="94">
        <f t="shared" si="15"/>
        <v>0</v>
      </c>
      <c r="I214" s="94">
        <f>H214*'SKU Master'!H213</f>
        <v>0</v>
      </c>
      <c r="J214" s="75" t="str">
        <f t="shared" si="16"/>
        <v>Matched</v>
      </c>
      <c r="K214" s="94">
        <f>IF(F214&gt;D214,D214*'SKU Master'!M213,G214)+I214</f>
        <v>0</v>
      </c>
      <c r="L214" s="94">
        <f t="shared" si="17"/>
        <v>0</v>
      </c>
      <c r="M214" s="95">
        <f t="shared" si="18"/>
        <v>0</v>
      </c>
      <c r="N214" s="75" t="str">
        <f t="shared" si="19"/>
        <v>NO SALES</v>
      </c>
    </row>
    <row r="215" spans="1:14" ht="15" customHeight="1" x14ac:dyDescent="0.25">
      <c r="A215" s="75">
        <v>210</v>
      </c>
      <c r="B215" s="75" t="str">
        <f>IF('SKU Master'!B214="","",'SKU Master'!B214)</f>
        <v/>
      </c>
      <c r="C215" s="75">
        <f>'SKU Master'!C214</f>
        <v>0</v>
      </c>
      <c r="D215" s="94">
        <f>'SKU Master'!I214</f>
        <v>0</v>
      </c>
      <c r="E215" s="94">
        <f>'SKU Master'!J214</f>
        <v>0</v>
      </c>
      <c r="F215" s="94"/>
      <c r="G215" s="94"/>
      <c r="H215" s="94">
        <f t="shared" si="15"/>
        <v>0</v>
      </c>
      <c r="I215" s="94">
        <f>H215*'SKU Master'!H214</f>
        <v>0</v>
      </c>
      <c r="J215" s="75" t="str">
        <f t="shared" si="16"/>
        <v>Matched</v>
      </c>
      <c r="K215" s="94">
        <f>IF(F215&gt;D215,D215*'SKU Master'!M214,G215)+I215</f>
        <v>0</v>
      </c>
      <c r="L215" s="94">
        <f t="shared" si="17"/>
        <v>0</v>
      </c>
      <c r="M215" s="95">
        <f t="shared" si="18"/>
        <v>0</v>
      </c>
      <c r="N215" s="75" t="str">
        <f t="shared" si="19"/>
        <v>NO SALES</v>
      </c>
    </row>
    <row r="216" spans="1:14" ht="15" customHeight="1" x14ac:dyDescent="0.25">
      <c r="A216" s="75">
        <v>211</v>
      </c>
      <c r="B216" s="75" t="str">
        <f>IF('SKU Master'!B215="","",'SKU Master'!B215)</f>
        <v/>
      </c>
      <c r="C216" s="75">
        <f>'SKU Master'!C215</f>
        <v>0</v>
      </c>
      <c r="D216" s="94">
        <f>'SKU Master'!I215</f>
        <v>0</v>
      </c>
      <c r="E216" s="94">
        <f>'SKU Master'!J215</f>
        <v>0</v>
      </c>
      <c r="F216" s="94"/>
      <c r="G216" s="94"/>
      <c r="H216" s="94">
        <f t="shared" si="15"/>
        <v>0</v>
      </c>
      <c r="I216" s="94">
        <f>H216*'SKU Master'!H215</f>
        <v>0</v>
      </c>
      <c r="J216" s="75" t="str">
        <f t="shared" si="16"/>
        <v>Matched</v>
      </c>
      <c r="K216" s="94">
        <f>IF(F216&gt;D216,D216*'SKU Master'!M215,G216)+I216</f>
        <v>0</v>
      </c>
      <c r="L216" s="94">
        <f t="shared" si="17"/>
        <v>0</v>
      </c>
      <c r="M216" s="95">
        <f t="shared" si="18"/>
        <v>0</v>
      </c>
      <c r="N216" s="75" t="str">
        <f t="shared" si="19"/>
        <v>NO SALES</v>
      </c>
    </row>
    <row r="217" spans="1:14" ht="15" customHeight="1" x14ac:dyDescent="0.25">
      <c r="A217" s="75">
        <v>212</v>
      </c>
      <c r="B217" s="75" t="str">
        <f>IF('SKU Master'!B216="","",'SKU Master'!B216)</f>
        <v/>
      </c>
      <c r="C217" s="75">
        <f>'SKU Master'!C216</f>
        <v>0</v>
      </c>
      <c r="D217" s="94">
        <f>'SKU Master'!I216</f>
        <v>0</v>
      </c>
      <c r="E217" s="94">
        <f>'SKU Master'!J216</f>
        <v>0</v>
      </c>
      <c r="F217" s="94"/>
      <c r="G217" s="94"/>
      <c r="H217" s="94">
        <f t="shared" si="15"/>
        <v>0</v>
      </c>
      <c r="I217" s="94">
        <f>H217*'SKU Master'!H216</f>
        <v>0</v>
      </c>
      <c r="J217" s="75" t="str">
        <f t="shared" si="16"/>
        <v>Matched</v>
      </c>
      <c r="K217" s="94">
        <f>IF(F217&gt;D217,D217*'SKU Master'!M216,G217)+I217</f>
        <v>0</v>
      </c>
      <c r="L217" s="94">
        <f t="shared" si="17"/>
        <v>0</v>
      </c>
      <c r="M217" s="95">
        <f t="shared" si="18"/>
        <v>0</v>
      </c>
      <c r="N217" s="75" t="str">
        <f t="shared" si="19"/>
        <v>NO SALES</v>
      </c>
    </row>
    <row r="218" spans="1:14" ht="15" customHeight="1" x14ac:dyDescent="0.25">
      <c r="A218" s="75">
        <v>213</v>
      </c>
      <c r="B218" s="75" t="str">
        <f>IF('SKU Master'!B217="","",'SKU Master'!B217)</f>
        <v/>
      </c>
      <c r="C218" s="75">
        <f>'SKU Master'!C217</f>
        <v>0</v>
      </c>
      <c r="D218" s="94">
        <f>'SKU Master'!I217</f>
        <v>0</v>
      </c>
      <c r="E218" s="94">
        <f>'SKU Master'!J217</f>
        <v>0</v>
      </c>
      <c r="F218" s="94"/>
      <c r="G218" s="94"/>
      <c r="H218" s="94">
        <f t="shared" si="15"/>
        <v>0</v>
      </c>
      <c r="I218" s="94">
        <f>H218*'SKU Master'!H217</f>
        <v>0</v>
      </c>
      <c r="J218" s="75" t="str">
        <f t="shared" si="16"/>
        <v>Matched</v>
      </c>
      <c r="K218" s="94">
        <f>IF(F218&gt;D218,D218*'SKU Master'!M217,G218)+I218</f>
        <v>0</v>
      </c>
      <c r="L218" s="94">
        <f t="shared" si="17"/>
        <v>0</v>
      </c>
      <c r="M218" s="95">
        <f t="shared" si="18"/>
        <v>0</v>
      </c>
      <c r="N218" s="75" t="str">
        <f t="shared" si="19"/>
        <v>NO SALES</v>
      </c>
    </row>
    <row r="219" spans="1:14" ht="15" customHeight="1" x14ac:dyDescent="0.25">
      <c r="A219" s="75">
        <v>214</v>
      </c>
      <c r="B219" s="75" t="str">
        <f>IF('SKU Master'!B218="","",'SKU Master'!B218)</f>
        <v/>
      </c>
      <c r="C219" s="75">
        <f>'SKU Master'!C218</f>
        <v>0</v>
      </c>
      <c r="D219" s="94">
        <f>'SKU Master'!I218</f>
        <v>0</v>
      </c>
      <c r="E219" s="94">
        <f>'SKU Master'!J218</f>
        <v>0</v>
      </c>
      <c r="F219" s="94"/>
      <c r="G219" s="94"/>
      <c r="H219" s="94">
        <f t="shared" si="15"/>
        <v>0</v>
      </c>
      <c r="I219" s="94">
        <f>H219*'SKU Master'!H218</f>
        <v>0</v>
      </c>
      <c r="J219" s="75" t="str">
        <f t="shared" si="16"/>
        <v>Matched</v>
      </c>
      <c r="K219" s="94">
        <f>IF(F219&gt;D219,D219*'SKU Master'!M218,G219)+I219</f>
        <v>0</v>
      </c>
      <c r="L219" s="94">
        <f t="shared" si="17"/>
        <v>0</v>
      </c>
      <c r="M219" s="95">
        <f t="shared" si="18"/>
        <v>0</v>
      </c>
      <c r="N219" s="75" t="str">
        <f t="shared" si="19"/>
        <v>NO SALES</v>
      </c>
    </row>
    <row r="220" spans="1:14" ht="15" customHeight="1" x14ac:dyDescent="0.25">
      <c r="A220" s="75">
        <v>215</v>
      </c>
      <c r="B220" s="75" t="str">
        <f>IF('SKU Master'!B219="","",'SKU Master'!B219)</f>
        <v/>
      </c>
      <c r="C220" s="75">
        <f>'SKU Master'!C219</f>
        <v>0</v>
      </c>
      <c r="D220" s="94">
        <f>'SKU Master'!I219</f>
        <v>0</v>
      </c>
      <c r="E220" s="94">
        <f>'SKU Master'!J219</f>
        <v>0</v>
      </c>
      <c r="F220" s="94"/>
      <c r="G220" s="94"/>
      <c r="H220" s="94">
        <f t="shared" si="15"/>
        <v>0</v>
      </c>
      <c r="I220" s="94">
        <f>H220*'SKU Master'!H219</f>
        <v>0</v>
      </c>
      <c r="J220" s="75" t="str">
        <f t="shared" si="16"/>
        <v>Matched</v>
      </c>
      <c r="K220" s="94">
        <f>IF(F220&gt;D220,D220*'SKU Master'!M219,G220)+I220</f>
        <v>0</v>
      </c>
      <c r="L220" s="94">
        <f t="shared" si="17"/>
        <v>0</v>
      </c>
      <c r="M220" s="95">
        <f t="shared" si="18"/>
        <v>0</v>
      </c>
      <c r="N220" s="75" t="str">
        <f t="shared" si="19"/>
        <v>NO SALES</v>
      </c>
    </row>
    <row r="221" spans="1:14" ht="15" customHeight="1" x14ac:dyDescent="0.25">
      <c r="A221" s="75">
        <v>216</v>
      </c>
      <c r="B221" s="75" t="str">
        <f>IF('SKU Master'!B220="","",'SKU Master'!B220)</f>
        <v/>
      </c>
      <c r="C221" s="75">
        <f>'SKU Master'!C220</f>
        <v>0</v>
      </c>
      <c r="D221" s="94">
        <f>'SKU Master'!I220</f>
        <v>0</v>
      </c>
      <c r="E221" s="94">
        <f>'SKU Master'!J220</f>
        <v>0</v>
      </c>
      <c r="F221" s="94"/>
      <c r="G221" s="94"/>
      <c r="H221" s="94">
        <f t="shared" si="15"/>
        <v>0</v>
      </c>
      <c r="I221" s="94">
        <f>H221*'SKU Master'!H220</f>
        <v>0</v>
      </c>
      <c r="J221" s="75" t="str">
        <f t="shared" si="16"/>
        <v>Matched</v>
      </c>
      <c r="K221" s="94">
        <f>IF(F221&gt;D221,D221*'SKU Master'!M220,G221)+I221</f>
        <v>0</v>
      </c>
      <c r="L221" s="94">
        <f t="shared" si="17"/>
        <v>0</v>
      </c>
      <c r="M221" s="95">
        <f t="shared" si="18"/>
        <v>0</v>
      </c>
      <c r="N221" s="75" t="str">
        <f t="shared" si="19"/>
        <v>NO SALES</v>
      </c>
    </row>
    <row r="222" spans="1:14" ht="15" customHeight="1" x14ac:dyDescent="0.25">
      <c r="A222" s="75">
        <v>217</v>
      </c>
      <c r="B222" s="75" t="str">
        <f>IF('SKU Master'!B221="","",'SKU Master'!B221)</f>
        <v/>
      </c>
      <c r="C222" s="75">
        <f>'SKU Master'!C221</f>
        <v>0</v>
      </c>
      <c r="D222" s="94">
        <f>'SKU Master'!I221</f>
        <v>0</v>
      </c>
      <c r="E222" s="94">
        <f>'SKU Master'!J221</f>
        <v>0</v>
      </c>
      <c r="F222" s="94"/>
      <c r="G222" s="94"/>
      <c r="H222" s="94">
        <f t="shared" si="15"/>
        <v>0</v>
      </c>
      <c r="I222" s="94">
        <f>H222*'SKU Master'!H221</f>
        <v>0</v>
      </c>
      <c r="J222" s="75" t="str">
        <f t="shared" si="16"/>
        <v>Matched</v>
      </c>
      <c r="K222" s="94">
        <f>IF(F222&gt;D222,D222*'SKU Master'!M221,G222)+I222</f>
        <v>0</v>
      </c>
      <c r="L222" s="94">
        <f t="shared" si="17"/>
        <v>0</v>
      </c>
      <c r="M222" s="95">
        <f t="shared" si="18"/>
        <v>0</v>
      </c>
      <c r="N222" s="75" t="str">
        <f t="shared" si="19"/>
        <v>NO SALES</v>
      </c>
    </row>
    <row r="223" spans="1:14" ht="15" customHeight="1" x14ac:dyDescent="0.25">
      <c r="A223" s="75">
        <v>218</v>
      </c>
      <c r="B223" s="75" t="str">
        <f>IF('SKU Master'!B222="","",'SKU Master'!B222)</f>
        <v/>
      </c>
      <c r="C223" s="75">
        <f>'SKU Master'!C222</f>
        <v>0</v>
      </c>
      <c r="D223" s="94">
        <f>'SKU Master'!I222</f>
        <v>0</v>
      </c>
      <c r="E223" s="94">
        <f>'SKU Master'!J222</f>
        <v>0</v>
      </c>
      <c r="F223" s="94"/>
      <c r="G223" s="94"/>
      <c r="H223" s="94">
        <f t="shared" si="15"/>
        <v>0</v>
      </c>
      <c r="I223" s="94">
        <f>H223*'SKU Master'!H222</f>
        <v>0</v>
      </c>
      <c r="J223" s="75" t="str">
        <f t="shared" si="16"/>
        <v>Matched</v>
      </c>
      <c r="K223" s="94">
        <f>IF(F223&gt;D223,D223*'SKU Master'!M222,G223)+I223</f>
        <v>0</v>
      </c>
      <c r="L223" s="94">
        <f t="shared" si="17"/>
        <v>0</v>
      </c>
      <c r="M223" s="95">
        <f t="shared" si="18"/>
        <v>0</v>
      </c>
      <c r="N223" s="75" t="str">
        <f t="shared" si="19"/>
        <v>NO SALES</v>
      </c>
    </row>
    <row r="224" spans="1:14" ht="15" customHeight="1" x14ac:dyDescent="0.25">
      <c r="A224" s="75">
        <v>219</v>
      </c>
      <c r="B224" s="75" t="str">
        <f>IF('SKU Master'!B223="","",'SKU Master'!B223)</f>
        <v/>
      </c>
      <c r="C224" s="75">
        <f>'SKU Master'!C223</f>
        <v>0</v>
      </c>
      <c r="D224" s="94">
        <f>'SKU Master'!I223</f>
        <v>0</v>
      </c>
      <c r="E224" s="94">
        <f>'SKU Master'!J223</f>
        <v>0</v>
      </c>
      <c r="F224" s="94"/>
      <c r="G224" s="94"/>
      <c r="H224" s="94">
        <f t="shared" si="15"/>
        <v>0</v>
      </c>
      <c r="I224" s="94">
        <f>H224*'SKU Master'!H223</f>
        <v>0</v>
      </c>
      <c r="J224" s="75" t="str">
        <f t="shared" si="16"/>
        <v>Matched</v>
      </c>
      <c r="K224" s="94">
        <f>IF(F224&gt;D224,D224*'SKU Master'!M223,G224)+I224</f>
        <v>0</v>
      </c>
      <c r="L224" s="94">
        <f t="shared" si="17"/>
        <v>0</v>
      </c>
      <c r="M224" s="95">
        <f t="shared" si="18"/>
        <v>0</v>
      </c>
      <c r="N224" s="75" t="str">
        <f t="shared" si="19"/>
        <v>NO SALES</v>
      </c>
    </row>
    <row r="225" spans="1:14" ht="15" customHeight="1" x14ac:dyDescent="0.25">
      <c r="A225" s="75">
        <v>220</v>
      </c>
      <c r="B225" s="75" t="str">
        <f>IF('SKU Master'!B224="","",'SKU Master'!B224)</f>
        <v/>
      </c>
      <c r="C225" s="75">
        <f>'SKU Master'!C224</f>
        <v>0</v>
      </c>
      <c r="D225" s="94">
        <f>'SKU Master'!I224</f>
        <v>0</v>
      </c>
      <c r="E225" s="94">
        <f>'SKU Master'!J224</f>
        <v>0</v>
      </c>
      <c r="F225" s="94"/>
      <c r="G225" s="94"/>
      <c r="H225" s="94">
        <f t="shared" si="15"/>
        <v>0</v>
      </c>
      <c r="I225" s="94">
        <f>H225*'SKU Master'!H224</f>
        <v>0</v>
      </c>
      <c r="J225" s="75" t="str">
        <f t="shared" si="16"/>
        <v>Matched</v>
      </c>
      <c r="K225" s="94">
        <f>IF(F225&gt;D225,D225*'SKU Master'!M224,G225)+I225</f>
        <v>0</v>
      </c>
      <c r="L225" s="94">
        <f t="shared" si="17"/>
        <v>0</v>
      </c>
      <c r="M225" s="95">
        <f t="shared" si="18"/>
        <v>0</v>
      </c>
      <c r="N225" s="75" t="str">
        <f t="shared" si="19"/>
        <v>NO SALES</v>
      </c>
    </row>
    <row r="226" spans="1:14" ht="15" customHeight="1" x14ac:dyDescent="0.25">
      <c r="A226" s="75">
        <v>221</v>
      </c>
      <c r="B226" s="75" t="str">
        <f>IF('SKU Master'!B225="","",'SKU Master'!B225)</f>
        <v/>
      </c>
      <c r="C226" s="75">
        <f>'SKU Master'!C225</f>
        <v>0</v>
      </c>
      <c r="D226" s="94">
        <f>'SKU Master'!I225</f>
        <v>0</v>
      </c>
      <c r="E226" s="94">
        <f>'SKU Master'!J225</f>
        <v>0</v>
      </c>
      <c r="F226" s="94"/>
      <c r="G226" s="94"/>
      <c r="H226" s="94">
        <f t="shared" si="15"/>
        <v>0</v>
      </c>
      <c r="I226" s="94">
        <f>H226*'SKU Master'!H225</f>
        <v>0</v>
      </c>
      <c r="J226" s="75" t="str">
        <f t="shared" si="16"/>
        <v>Matched</v>
      </c>
      <c r="K226" s="94">
        <f>IF(F226&gt;D226,D226*'SKU Master'!M225,G226)+I226</f>
        <v>0</v>
      </c>
      <c r="L226" s="94">
        <f t="shared" si="17"/>
        <v>0</v>
      </c>
      <c r="M226" s="95">
        <f t="shared" si="18"/>
        <v>0</v>
      </c>
      <c r="N226" s="75" t="str">
        <f t="shared" si="19"/>
        <v>NO SALES</v>
      </c>
    </row>
    <row r="227" spans="1:14" ht="15" customHeight="1" x14ac:dyDescent="0.25">
      <c r="A227" s="75">
        <v>222</v>
      </c>
      <c r="B227" s="75" t="str">
        <f>IF('SKU Master'!B226="","",'SKU Master'!B226)</f>
        <v/>
      </c>
      <c r="C227" s="75">
        <f>'SKU Master'!C226</f>
        <v>0</v>
      </c>
      <c r="D227" s="94">
        <f>'SKU Master'!I226</f>
        <v>0</v>
      </c>
      <c r="E227" s="94">
        <f>'SKU Master'!J226</f>
        <v>0</v>
      </c>
      <c r="F227" s="94"/>
      <c r="G227" s="94"/>
      <c r="H227" s="94">
        <f t="shared" si="15"/>
        <v>0</v>
      </c>
      <c r="I227" s="94">
        <f>H227*'SKU Master'!H226</f>
        <v>0</v>
      </c>
      <c r="J227" s="75" t="str">
        <f t="shared" si="16"/>
        <v>Matched</v>
      </c>
      <c r="K227" s="94">
        <f>IF(F227&gt;D227,D227*'SKU Master'!M226,G227)+I227</f>
        <v>0</v>
      </c>
      <c r="L227" s="94">
        <f t="shared" si="17"/>
        <v>0</v>
      </c>
      <c r="M227" s="95">
        <f t="shared" si="18"/>
        <v>0</v>
      </c>
      <c r="N227" s="75" t="str">
        <f t="shared" si="19"/>
        <v>NO SALES</v>
      </c>
    </row>
    <row r="228" spans="1:14" ht="15" customHeight="1" x14ac:dyDescent="0.25">
      <c r="A228" s="75">
        <v>223</v>
      </c>
      <c r="B228" s="75" t="str">
        <f>IF('SKU Master'!B227="","",'SKU Master'!B227)</f>
        <v/>
      </c>
      <c r="C228" s="75">
        <f>'SKU Master'!C227</f>
        <v>0</v>
      </c>
      <c r="D228" s="94">
        <f>'SKU Master'!I227</f>
        <v>0</v>
      </c>
      <c r="E228" s="94">
        <f>'SKU Master'!J227</f>
        <v>0</v>
      </c>
      <c r="F228" s="94"/>
      <c r="G228" s="94"/>
      <c r="H228" s="94">
        <f t="shared" si="15"/>
        <v>0</v>
      </c>
      <c r="I228" s="94">
        <f>H228*'SKU Master'!H227</f>
        <v>0</v>
      </c>
      <c r="J228" s="75" t="str">
        <f t="shared" si="16"/>
        <v>Matched</v>
      </c>
      <c r="K228" s="94">
        <f>IF(F228&gt;D228,D228*'SKU Master'!M227,G228)+I228</f>
        <v>0</v>
      </c>
      <c r="L228" s="94">
        <f t="shared" si="17"/>
        <v>0</v>
      </c>
      <c r="M228" s="95">
        <f t="shared" si="18"/>
        <v>0</v>
      </c>
      <c r="N228" s="75" t="str">
        <f t="shared" si="19"/>
        <v>NO SALES</v>
      </c>
    </row>
    <row r="229" spans="1:14" ht="15" customHeight="1" x14ac:dyDescent="0.25">
      <c r="A229" s="75">
        <v>224</v>
      </c>
      <c r="B229" s="75" t="str">
        <f>IF('SKU Master'!B228="","",'SKU Master'!B228)</f>
        <v/>
      </c>
      <c r="C229" s="75">
        <f>'SKU Master'!C228</f>
        <v>0</v>
      </c>
      <c r="D229" s="94">
        <f>'SKU Master'!I228</f>
        <v>0</v>
      </c>
      <c r="E229" s="94">
        <f>'SKU Master'!J228</f>
        <v>0</v>
      </c>
      <c r="F229" s="94"/>
      <c r="G229" s="94"/>
      <c r="H229" s="94">
        <f t="shared" si="15"/>
        <v>0</v>
      </c>
      <c r="I229" s="94">
        <f>H229*'SKU Master'!H228</f>
        <v>0</v>
      </c>
      <c r="J229" s="75" t="str">
        <f t="shared" si="16"/>
        <v>Matched</v>
      </c>
      <c r="K229" s="94">
        <f>IF(F229&gt;D229,D229*'SKU Master'!M228,G229)+I229</f>
        <v>0</v>
      </c>
      <c r="L229" s="94">
        <f t="shared" si="17"/>
        <v>0</v>
      </c>
      <c r="M229" s="95">
        <f t="shared" si="18"/>
        <v>0</v>
      </c>
      <c r="N229" s="75" t="str">
        <f t="shared" si="19"/>
        <v>NO SALES</v>
      </c>
    </row>
    <row r="230" spans="1:14" ht="15" customHeight="1" x14ac:dyDescent="0.25">
      <c r="A230" s="75">
        <v>225</v>
      </c>
      <c r="B230" s="75" t="str">
        <f>IF('SKU Master'!B229="","",'SKU Master'!B229)</f>
        <v/>
      </c>
      <c r="C230" s="75">
        <f>'SKU Master'!C229</f>
        <v>0</v>
      </c>
      <c r="D230" s="94">
        <f>'SKU Master'!I229</f>
        <v>0</v>
      </c>
      <c r="E230" s="94">
        <f>'SKU Master'!J229</f>
        <v>0</v>
      </c>
      <c r="F230" s="94"/>
      <c r="G230" s="94"/>
      <c r="H230" s="94">
        <f t="shared" si="15"/>
        <v>0</v>
      </c>
      <c r="I230" s="94">
        <f>H230*'SKU Master'!H229</f>
        <v>0</v>
      </c>
      <c r="J230" s="75" t="str">
        <f t="shared" si="16"/>
        <v>Matched</v>
      </c>
      <c r="K230" s="94">
        <f>IF(F230&gt;D230,D230*'SKU Master'!M229,G230)+I230</f>
        <v>0</v>
      </c>
      <c r="L230" s="94">
        <f t="shared" si="17"/>
        <v>0</v>
      </c>
      <c r="M230" s="95">
        <f t="shared" si="18"/>
        <v>0</v>
      </c>
      <c r="N230" s="75" t="str">
        <f t="shared" si="19"/>
        <v>NO SALES</v>
      </c>
    </row>
    <row r="231" spans="1:14" ht="15" customHeight="1" x14ac:dyDescent="0.25">
      <c r="A231" s="75">
        <v>226</v>
      </c>
      <c r="B231" s="75" t="str">
        <f>IF('SKU Master'!B230="","",'SKU Master'!B230)</f>
        <v/>
      </c>
      <c r="C231" s="75">
        <f>'SKU Master'!C230</f>
        <v>0</v>
      </c>
      <c r="D231" s="94">
        <f>'SKU Master'!I230</f>
        <v>0</v>
      </c>
      <c r="E231" s="94">
        <f>'SKU Master'!J230</f>
        <v>0</v>
      </c>
      <c r="F231" s="94"/>
      <c r="G231" s="94"/>
      <c r="H231" s="94">
        <f t="shared" si="15"/>
        <v>0</v>
      </c>
      <c r="I231" s="94">
        <f>H231*'SKU Master'!H230</f>
        <v>0</v>
      </c>
      <c r="J231" s="75" t="str">
        <f t="shared" si="16"/>
        <v>Matched</v>
      </c>
      <c r="K231" s="94">
        <f>IF(F231&gt;D231,D231*'SKU Master'!M230,G231)+I231</f>
        <v>0</v>
      </c>
      <c r="L231" s="94">
        <f t="shared" si="17"/>
        <v>0</v>
      </c>
      <c r="M231" s="95">
        <f t="shared" si="18"/>
        <v>0</v>
      </c>
      <c r="N231" s="75" t="str">
        <f t="shared" si="19"/>
        <v>NO SALES</v>
      </c>
    </row>
    <row r="232" spans="1:14" ht="15" customHeight="1" x14ac:dyDescent="0.25">
      <c r="A232" s="75">
        <v>227</v>
      </c>
      <c r="B232" s="75" t="str">
        <f>IF('SKU Master'!B231="","",'SKU Master'!B231)</f>
        <v/>
      </c>
      <c r="C232" s="75">
        <f>'SKU Master'!C231</f>
        <v>0</v>
      </c>
      <c r="D232" s="94">
        <f>'SKU Master'!I231</f>
        <v>0</v>
      </c>
      <c r="E232" s="94">
        <f>'SKU Master'!J231</f>
        <v>0</v>
      </c>
      <c r="F232" s="94"/>
      <c r="G232" s="94"/>
      <c r="H232" s="94">
        <f t="shared" si="15"/>
        <v>0</v>
      </c>
      <c r="I232" s="94">
        <f>H232*'SKU Master'!H231</f>
        <v>0</v>
      </c>
      <c r="J232" s="75" t="str">
        <f t="shared" si="16"/>
        <v>Matched</v>
      </c>
      <c r="K232" s="94">
        <f>IF(F232&gt;D232,D232*'SKU Master'!M231,G232)+I232</f>
        <v>0</v>
      </c>
      <c r="L232" s="94">
        <f t="shared" si="17"/>
        <v>0</v>
      </c>
      <c r="M232" s="95">
        <f t="shared" si="18"/>
        <v>0</v>
      </c>
      <c r="N232" s="75" t="str">
        <f t="shared" si="19"/>
        <v>NO SALES</v>
      </c>
    </row>
    <row r="233" spans="1:14" ht="15" customHeight="1" x14ac:dyDescent="0.25">
      <c r="A233" s="75">
        <v>228</v>
      </c>
      <c r="B233" s="75" t="str">
        <f>IF('SKU Master'!B232="","",'SKU Master'!B232)</f>
        <v/>
      </c>
      <c r="C233" s="75">
        <f>'SKU Master'!C232</f>
        <v>0</v>
      </c>
      <c r="D233" s="94">
        <f>'SKU Master'!I232</f>
        <v>0</v>
      </c>
      <c r="E233" s="94">
        <f>'SKU Master'!J232</f>
        <v>0</v>
      </c>
      <c r="F233" s="94"/>
      <c r="G233" s="94"/>
      <c r="H233" s="94">
        <f t="shared" si="15"/>
        <v>0</v>
      </c>
      <c r="I233" s="94">
        <f>H233*'SKU Master'!H232</f>
        <v>0</v>
      </c>
      <c r="J233" s="75" t="str">
        <f t="shared" si="16"/>
        <v>Matched</v>
      </c>
      <c r="K233" s="94">
        <f>IF(F233&gt;D233,D233*'SKU Master'!M232,G233)+I233</f>
        <v>0</v>
      </c>
      <c r="L233" s="94">
        <f t="shared" si="17"/>
        <v>0</v>
      </c>
      <c r="M233" s="95">
        <f t="shared" si="18"/>
        <v>0</v>
      </c>
      <c r="N233" s="75" t="str">
        <f t="shared" si="19"/>
        <v>NO SALES</v>
      </c>
    </row>
    <row r="234" spans="1:14" ht="15" customHeight="1" x14ac:dyDescent="0.25">
      <c r="A234" s="75">
        <v>229</v>
      </c>
      <c r="B234" s="75" t="str">
        <f>IF('SKU Master'!B233="","",'SKU Master'!B233)</f>
        <v/>
      </c>
      <c r="C234" s="75">
        <f>'SKU Master'!C233</f>
        <v>0</v>
      </c>
      <c r="D234" s="94">
        <f>'SKU Master'!I233</f>
        <v>0</v>
      </c>
      <c r="E234" s="94">
        <f>'SKU Master'!J233</f>
        <v>0</v>
      </c>
      <c r="F234" s="94"/>
      <c r="G234" s="94"/>
      <c r="H234" s="94">
        <f t="shared" si="15"/>
        <v>0</v>
      </c>
      <c r="I234" s="94">
        <f>H234*'SKU Master'!H233</f>
        <v>0</v>
      </c>
      <c r="J234" s="75" t="str">
        <f t="shared" si="16"/>
        <v>Matched</v>
      </c>
      <c r="K234" s="94">
        <f>IF(F234&gt;D234,D234*'SKU Master'!M233,G234)+I234</f>
        <v>0</v>
      </c>
      <c r="L234" s="94">
        <f t="shared" si="17"/>
        <v>0</v>
      </c>
      <c r="M234" s="95">
        <f t="shared" si="18"/>
        <v>0</v>
      </c>
      <c r="N234" s="75" t="str">
        <f t="shared" si="19"/>
        <v>NO SALES</v>
      </c>
    </row>
    <row r="235" spans="1:14" ht="15" customHeight="1" x14ac:dyDescent="0.25">
      <c r="A235" s="75">
        <v>230</v>
      </c>
      <c r="B235" s="75" t="str">
        <f>IF('SKU Master'!B234="","",'SKU Master'!B234)</f>
        <v/>
      </c>
      <c r="C235" s="75">
        <f>'SKU Master'!C234</f>
        <v>0</v>
      </c>
      <c r="D235" s="94">
        <f>'SKU Master'!I234</f>
        <v>0</v>
      </c>
      <c r="E235" s="94">
        <f>'SKU Master'!J234</f>
        <v>0</v>
      </c>
      <c r="F235" s="94"/>
      <c r="G235" s="94"/>
      <c r="H235" s="94">
        <f t="shared" si="15"/>
        <v>0</v>
      </c>
      <c r="I235" s="94">
        <f>H235*'SKU Master'!H234</f>
        <v>0</v>
      </c>
      <c r="J235" s="75" t="str">
        <f t="shared" si="16"/>
        <v>Matched</v>
      </c>
      <c r="K235" s="94">
        <f>IF(F235&gt;D235,D235*'SKU Master'!M234,G235)+I235</f>
        <v>0</v>
      </c>
      <c r="L235" s="94">
        <f t="shared" si="17"/>
        <v>0</v>
      </c>
      <c r="M235" s="95">
        <f t="shared" si="18"/>
        <v>0</v>
      </c>
      <c r="N235" s="75" t="str">
        <f t="shared" si="19"/>
        <v>NO SALES</v>
      </c>
    </row>
    <row r="236" spans="1:14" ht="15" customHeight="1" x14ac:dyDescent="0.25">
      <c r="A236" s="75">
        <v>231</v>
      </c>
      <c r="B236" s="75" t="str">
        <f>IF('SKU Master'!B235="","",'SKU Master'!B235)</f>
        <v/>
      </c>
      <c r="C236" s="75">
        <f>'SKU Master'!C235</f>
        <v>0</v>
      </c>
      <c r="D236" s="94">
        <f>'SKU Master'!I235</f>
        <v>0</v>
      </c>
      <c r="E236" s="94">
        <f>'SKU Master'!J235</f>
        <v>0</v>
      </c>
      <c r="F236" s="94"/>
      <c r="G236" s="94"/>
      <c r="H236" s="94">
        <f t="shared" si="15"/>
        <v>0</v>
      </c>
      <c r="I236" s="94">
        <f>H236*'SKU Master'!H235</f>
        <v>0</v>
      </c>
      <c r="J236" s="75" t="str">
        <f t="shared" si="16"/>
        <v>Matched</v>
      </c>
      <c r="K236" s="94">
        <f>IF(F236&gt;D236,D236*'SKU Master'!M235,G236)+I236</f>
        <v>0</v>
      </c>
      <c r="L236" s="94">
        <f t="shared" si="17"/>
        <v>0</v>
      </c>
      <c r="M236" s="95">
        <f t="shared" si="18"/>
        <v>0</v>
      </c>
      <c r="N236" s="75" t="str">
        <f t="shared" si="19"/>
        <v>NO SALES</v>
      </c>
    </row>
    <row r="237" spans="1:14" ht="15" customHeight="1" x14ac:dyDescent="0.25">
      <c r="A237" s="75">
        <v>232</v>
      </c>
      <c r="B237" s="75" t="str">
        <f>IF('SKU Master'!B236="","",'SKU Master'!B236)</f>
        <v/>
      </c>
      <c r="C237" s="75">
        <f>'SKU Master'!C236</f>
        <v>0</v>
      </c>
      <c r="D237" s="94">
        <f>'SKU Master'!I236</f>
        <v>0</v>
      </c>
      <c r="E237" s="94">
        <f>'SKU Master'!J236</f>
        <v>0</v>
      </c>
      <c r="F237" s="94"/>
      <c r="G237" s="94"/>
      <c r="H237" s="94">
        <f t="shared" si="15"/>
        <v>0</v>
      </c>
      <c r="I237" s="94">
        <f>H237*'SKU Master'!H236</f>
        <v>0</v>
      </c>
      <c r="J237" s="75" t="str">
        <f t="shared" si="16"/>
        <v>Matched</v>
      </c>
      <c r="K237" s="94">
        <f>IF(F237&gt;D237,D237*'SKU Master'!M236,G237)+I237</f>
        <v>0</v>
      </c>
      <c r="L237" s="94">
        <f t="shared" si="17"/>
        <v>0</v>
      </c>
      <c r="M237" s="95">
        <f t="shared" si="18"/>
        <v>0</v>
      </c>
      <c r="N237" s="75" t="str">
        <f t="shared" si="19"/>
        <v>NO SALES</v>
      </c>
    </row>
    <row r="238" spans="1:14" ht="15" customHeight="1" x14ac:dyDescent="0.25">
      <c r="A238" s="75">
        <v>233</v>
      </c>
      <c r="B238" s="75" t="str">
        <f>IF('SKU Master'!B237="","",'SKU Master'!B237)</f>
        <v/>
      </c>
      <c r="C238" s="75">
        <f>'SKU Master'!C237</f>
        <v>0</v>
      </c>
      <c r="D238" s="94">
        <f>'SKU Master'!I237</f>
        <v>0</v>
      </c>
      <c r="E238" s="94">
        <f>'SKU Master'!J237</f>
        <v>0</v>
      </c>
      <c r="F238" s="94"/>
      <c r="G238" s="94"/>
      <c r="H238" s="94">
        <f t="shared" si="15"/>
        <v>0</v>
      </c>
      <c r="I238" s="94">
        <f>H238*'SKU Master'!H237</f>
        <v>0</v>
      </c>
      <c r="J238" s="75" t="str">
        <f t="shared" si="16"/>
        <v>Matched</v>
      </c>
      <c r="K238" s="94">
        <f>IF(F238&gt;D238,D238*'SKU Master'!M237,G238)+I238</f>
        <v>0</v>
      </c>
      <c r="L238" s="94">
        <f t="shared" si="17"/>
        <v>0</v>
      </c>
      <c r="M238" s="95">
        <f t="shared" si="18"/>
        <v>0</v>
      </c>
      <c r="N238" s="75" t="str">
        <f t="shared" si="19"/>
        <v>NO SALES</v>
      </c>
    </row>
    <row r="239" spans="1:14" ht="15" customHeight="1" x14ac:dyDescent="0.25">
      <c r="A239" s="75">
        <v>234</v>
      </c>
      <c r="B239" s="75" t="str">
        <f>IF('SKU Master'!B238="","",'SKU Master'!B238)</f>
        <v/>
      </c>
      <c r="C239" s="75">
        <f>'SKU Master'!C238</f>
        <v>0</v>
      </c>
      <c r="D239" s="94">
        <f>'SKU Master'!I238</f>
        <v>0</v>
      </c>
      <c r="E239" s="94">
        <f>'SKU Master'!J238</f>
        <v>0</v>
      </c>
      <c r="F239" s="94"/>
      <c r="G239" s="94"/>
      <c r="H239" s="94">
        <f t="shared" si="15"/>
        <v>0</v>
      </c>
      <c r="I239" s="94">
        <f>H239*'SKU Master'!H238</f>
        <v>0</v>
      </c>
      <c r="J239" s="75" t="str">
        <f t="shared" si="16"/>
        <v>Matched</v>
      </c>
      <c r="K239" s="94">
        <f>IF(F239&gt;D239,D239*'SKU Master'!M238,G239)+I239</f>
        <v>0</v>
      </c>
      <c r="L239" s="94">
        <f t="shared" si="17"/>
        <v>0</v>
      </c>
      <c r="M239" s="95">
        <f t="shared" si="18"/>
        <v>0</v>
      </c>
      <c r="N239" s="75" t="str">
        <f t="shared" si="19"/>
        <v>NO SALES</v>
      </c>
    </row>
    <row r="240" spans="1:14" ht="15" customHeight="1" x14ac:dyDescent="0.25">
      <c r="A240" s="75">
        <v>235</v>
      </c>
      <c r="B240" s="75" t="str">
        <f>IF('SKU Master'!B239="","",'SKU Master'!B239)</f>
        <v/>
      </c>
      <c r="C240" s="75">
        <f>'SKU Master'!C239</f>
        <v>0</v>
      </c>
      <c r="D240" s="94">
        <f>'SKU Master'!I239</f>
        <v>0</v>
      </c>
      <c r="E240" s="94">
        <f>'SKU Master'!J239</f>
        <v>0</v>
      </c>
      <c r="F240" s="94"/>
      <c r="G240" s="94"/>
      <c r="H240" s="94">
        <f t="shared" si="15"/>
        <v>0</v>
      </c>
      <c r="I240" s="94">
        <f>H240*'SKU Master'!H239</f>
        <v>0</v>
      </c>
      <c r="J240" s="75" t="str">
        <f t="shared" si="16"/>
        <v>Matched</v>
      </c>
      <c r="K240" s="94">
        <f>IF(F240&gt;D240,D240*'SKU Master'!M239,G240)+I240</f>
        <v>0</v>
      </c>
      <c r="L240" s="94">
        <f t="shared" si="17"/>
        <v>0</v>
      </c>
      <c r="M240" s="95">
        <f t="shared" si="18"/>
        <v>0</v>
      </c>
      <c r="N240" s="75" t="str">
        <f t="shared" si="19"/>
        <v>NO SALES</v>
      </c>
    </row>
    <row r="241" spans="1:14" ht="15" customHeight="1" x14ac:dyDescent="0.25">
      <c r="A241" s="75">
        <v>236</v>
      </c>
      <c r="B241" s="75" t="str">
        <f>IF('SKU Master'!B240="","",'SKU Master'!B240)</f>
        <v/>
      </c>
      <c r="C241" s="75">
        <f>'SKU Master'!C240</f>
        <v>0</v>
      </c>
      <c r="D241" s="94">
        <f>'SKU Master'!I240</f>
        <v>0</v>
      </c>
      <c r="E241" s="94">
        <f>'SKU Master'!J240</f>
        <v>0</v>
      </c>
      <c r="F241" s="94"/>
      <c r="G241" s="94"/>
      <c r="H241" s="94">
        <f t="shared" si="15"/>
        <v>0</v>
      </c>
      <c r="I241" s="94">
        <f>H241*'SKU Master'!H240</f>
        <v>0</v>
      </c>
      <c r="J241" s="75" t="str">
        <f t="shared" si="16"/>
        <v>Matched</v>
      </c>
      <c r="K241" s="94">
        <f>IF(F241&gt;D241,D241*'SKU Master'!M240,G241)+I241</f>
        <v>0</v>
      </c>
      <c r="L241" s="94">
        <f t="shared" si="17"/>
        <v>0</v>
      </c>
      <c r="M241" s="95">
        <f t="shared" si="18"/>
        <v>0</v>
      </c>
      <c r="N241" s="75" t="str">
        <f t="shared" si="19"/>
        <v>NO SALES</v>
      </c>
    </row>
    <row r="242" spans="1:14" ht="15" customHeight="1" x14ac:dyDescent="0.25">
      <c r="A242" s="75">
        <v>237</v>
      </c>
      <c r="B242" s="75" t="str">
        <f>IF('SKU Master'!B241="","",'SKU Master'!B241)</f>
        <v/>
      </c>
      <c r="C242" s="75">
        <f>'SKU Master'!C241</f>
        <v>0</v>
      </c>
      <c r="D242" s="94">
        <f>'SKU Master'!I241</f>
        <v>0</v>
      </c>
      <c r="E242" s="94">
        <f>'SKU Master'!J241</f>
        <v>0</v>
      </c>
      <c r="F242" s="94"/>
      <c r="G242" s="94"/>
      <c r="H242" s="94">
        <f t="shared" si="15"/>
        <v>0</v>
      </c>
      <c r="I242" s="94">
        <f>H242*'SKU Master'!H241</f>
        <v>0</v>
      </c>
      <c r="J242" s="75" t="str">
        <f t="shared" si="16"/>
        <v>Matched</v>
      </c>
      <c r="K242" s="94">
        <f>IF(F242&gt;D242,D242*'SKU Master'!M241,G242)+I242</f>
        <v>0</v>
      </c>
      <c r="L242" s="94">
        <f t="shared" si="17"/>
        <v>0</v>
      </c>
      <c r="M242" s="95">
        <f t="shared" si="18"/>
        <v>0</v>
      </c>
      <c r="N242" s="75" t="str">
        <f t="shared" si="19"/>
        <v>NO SALES</v>
      </c>
    </row>
    <row r="243" spans="1:14" ht="15" customHeight="1" x14ac:dyDescent="0.25">
      <c r="A243" s="75">
        <v>238</v>
      </c>
      <c r="B243" s="75" t="str">
        <f>IF('SKU Master'!B242="","",'SKU Master'!B242)</f>
        <v/>
      </c>
      <c r="C243" s="75">
        <f>'SKU Master'!C242</f>
        <v>0</v>
      </c>
      <c r="D243" s="94">
        <f>'SKU Master'!I242</f>
        <v>0</v>
      </c>
      <c r="E243" s="94">
        <f>'SKU Master'!J242</f>
        <v>0</v>
      </c>
      <c r="F243" s="94"/>
      <c r="G243" s="94"/>
      <c r="H243" s="94">
        <f t="shared" si="15"/>
        <v>0</v>
      </c>
      <c r="I243" s="94">
        <f>H243*'SKU Master'!H242</f>
        <v>0</v>
      </c>
      <c r="J243" s="75" t="str">
        <f t="shared" si="16"/>
        <v>Matched</v>
      </c>
      <c r="K243" s="94">
        <f>IF(F243&gt;D243,D243*'SKU Master'!M242,G243)+I243</f>
        <v>0</v>
      </c>
      <c r="L243" s="94">
        <f t="shared" si="17"/>
        <v>0</v>
      </c>
      <c r="M243" s="95">
        <f t="shared" si="18"/>
        <v>0</v>
      </c>
      <c r="N243" s="75" t="str">
        <f t="shared" si="19"/>
        <v>NO SALES</v>
      </c>
    </row>
    <row r="244" spans="1:14" ht="15" customHeight="1" x14ac:dyDescent="0.25">
      <c r="A244" s="75">
        <v>239</v>
      </c>
      <c r="B244" s="75" t="str">
        <f>IF('SKU Master'!B243="","",'SKU Master'!B243)</f>
        <v/>
      </c>
      <c r="C244" s="75">
        <f>'SKU Master'!C243</f>
        <v>0</v>
      </c>
      <c r="D244" s="94">
        <f>'SKU Master'!I243</f>
        <v>0</v>
      </c>
      <c r="E244" s="94">
        <f>'SKU Master'!J243</f>
        <v>0</v>
      </c>
      <c r="F244" s="94"/>
      <c r="G244" s="94"/>
      <c r="H244" s="94">
        <f t="shared" si="15"/>
        <v>0</v>
      </c>
      <c r="I244" s="94">
        <f>H244*'SKU Master'!H243</f>
        <v>0</v>
      </c>
      <c r="J244" s="75" t="str">
        <f t="shared" si="16"/>
        <v>Matched</v>
      </c>
      <c r="K244" s="94">
        <f>IF(F244&gt;D244,D244*'SKU Master'!M243,G244)+I244</f>
        <v>0</v>
      </c>
      <c r="L244" s="94">
        <f t="shared" si="17"/>
        <v>0</v>
      </c>
      <c r="M244" s="95">
        <f t="shared" si="18"/>
        <v>0</v>
      </c>
      <c r="N244" s="75" t="str">
        <f t="shared" si="19"/>
        <v>NO SALES</v>
      </c>
    </row>
    <row r="245" spans="1:14" ht="15" customHeight="1" x14ac:dyDescent="0.25">
      <c r="A245" s="75">
        <v>240</v>
      </c>
      <c r="B245" s="75" t="str">
        <f>IF('SKU Master'!B244="","",'SKU Master'!B244)</f>
        <v/>
      </c>
      <c r="C245" s="75">
        <f>'SKU Master'!C244</f>
        <v>0</v>
      </c>
      <c r="D245" s="94">
        <f>'SKU Master'!I244</f>
        <v>0</v>
      </c>
      <c r="E245" s="94">
        <f>'SKU Master'!J244</f>
        <v>0</v>
      </c>
      <c r="F245" s="94"/>
      <c r="G245" s="94"/>
      <c r="H245" s="94">
        <f t="shared" si="15"/>
        <v>0</v>
      </c>
      <c r="I245" s="94">
        <f>H245*'SKU Master'!H244</f>
        <v>0</v>
      </c>
      <c r="J245" s="75" t="str">
        <f t="shared" si="16"/>
        <v>Matched</v>
      </c>
      <c r="K245" s="94">
        <f>IF(F245&gt;D245,D245*'SKU Master'!M244,G245)+I245</f>
        <v>0</v>
      </c>
      <c r="L245" s="94">
        <f t="shared" si="17"/>
        <v>0</v>
      </c>
      <c r="M245" s="95">
        <f t="shared" si="18"/>
        <v>0</v>
      </c>
      <c r="N245" s="75" t="str">
        <f t="shared" si="19"/>
        <v>NO SALES</v>
      </c>
    </row>
    <row r="246" spans="1:14" ht="15" customHeight="1" x14ac:dyDescent="0.25">
      <c r="A246" s="75">
        <v>241</v>
      </c>
      <c r="B246" s="75" t="str">
        <f>IF('SKU Master'!B245="","",'SKU Master'!B245)</f>
        <v/>
      </c>
      <c r="C246" s="75">
        <f>'SKU Master'!C245</f>
        <v>0</v>
      </c>
      <c r="D246" s="94">
        <f>'SKU Master'!I245</f>
        <v>0</v>
      </c>
      <c r="E246" s="94">
        <f>'SKU Master'!J245</f>
        <v>0</v>
      </c>
      <c r="F246" s="94"/>
      <c r="G246" s="94"/>
      <c r="H246" s="94">
        <f t="shared" si="15"/>
        <v>0</v>
      </c>
      <c r="I246" s="94">
        <f>H246*'SKU Master'!H245</f>
        <v>0</v>
      </c>
      <c r="J246" s="75" t="str">
        <f t="shared" si="16"/>
        <v>Matched</v>
      </c>
      <c r="K246" s="94">
        <f>IF(F246&gt;D246,D246*'SKU Master'!M245,G246)+I246</f>
        <v>0</v>
      </c>
      <c r="L246" s="94">
        <f t="shared" si="17"/>
        <v>0</v>
      </c>
      <c r="M246" s="95">
        <f t="shared" si="18"/>
        <v>0</v>
      </c>
      <c r="N246" s="75" t="str">
        <f t="shared" si="19"/>
        <v>NO SALES</v>
      </c>
    </row>
    <row r="247" spans="1:14" ht="15" customHeight="1" x14ac:dyDescent="0.25">
      <c r="A247" s="75">
        <v>242</v>
      </c>
      <c r="B247" s="75" t="str">
        <f>IF('SKU Master'!B246="","",'SKU Master'!B246)</f>
        <v/>
      </c>
      <c r="C247" s="75">
        <f>'SKU Master'!C246</f>
        <v>0</v>
      </c>
      <c r="D247" s="94">
        <f>'SKU Master'!I246</f>
        <v>0</v>
      </c>
      <c r="E247" s="94">
        <f>'SKU Master'!J246</f>
        <v>0</v>
      </c>
      <c r="F247" s="94"/>
      <c r="G247" s="94"/>
      <c r="H247" s="94">
        <f t="shared" si="15"/>
        <v>0</v>
      </c>
      <c r="I247" s="94">
        <f>H247*'SKU Master'!H246</f>
        <v>0</v>
      </c>
      <c r="J247" s="75" t="str">
        <f t="shared" si="16"/>
        <v>Matched</v>
      </c>
      <c r="K247" s="94">
        <f>IF(F247&gt;D247,D247*'SKU Master'!M246,G247)+I247</f>
        <v>0</v>
      </c>
      <c r="L247" s="94">
        <f t="shared" si="17"/>
        <v>0</v>
      </c>
      <c r="M247" s="95">
        <f t="shared" si="18"/>
        <v>0</v>
      </c>
      <c r="N247" s="75" t="str">
        <f t="shared" si="19"/>
        <v>NO SALES</v>
      </c>
    </row>
    <row r="248" spans="1:14" ht="15" customHeight="1" x14ac:dyDescent="0.25">
      <c r="A248" s="75">
        <v>243</v>
      </c>
      <c r="B248" s="75" t="str">
        <f>IF('SKU Master'!B247="","",'SKU Master'!B247)</f>
        <v/>
      </c>
      <c r="C248" s="75">
        <f>'SKU Master'!C247</f>
        <v>0</v>
      </c>
      <c r="D248" s="94">
        <f>'SKU Master'!I247</f>
        <v>0</v>
      </c>
      <c r="E248" s="94">
        <f>'SKU Master'!J247</f>
        <v>0</v>
      </c>
      <c r="F248" s="94"/>
      <c r="G248" s="94"/>
      <c r="H248" s="94">
        <f t="shared" si="15"/>
        <v>0</v>
      </c>
      <c r="I248" s="94">
        <f>H248*'SKU Master'!H247</f>
        <v>0</v>
      </c>
      <c r="J248" s="75" t="str">
        <f t="shared" si="16"/>
        <v>Matched</v>
      </c>
      <c r="K248" s="94">
        <f>IF(F248&gt;D248,D248*'SKU Master'!M247,G248)+I248</f>
        <v>0</v>
      </c>
      <c r="L248" s="94">
        <f t="shared" si="17"/>
        <v>0</v>
      </c>
      <c r="M248" s="95">
        <f t="shared" si="18"/>
        <v>0</v>
      </c>
      <c r="N248" s="75" t="str">
        <f t="shared" si="19"/>
        <v>NO SALES</v>
      </c>
    </row>
    <row r="249" spans="1:14" ht="15" customHeight="1" x14ac:dyDescent="0.25">
      <c r="A249" s="75">
        <v>244</v>
      </c>
      <c r="B249" s="75" t="str">
        <f>IF('SKU Master'!B248="","",'SKU Master'!B248)</f>
        <v/>
      </c>
      <c r="C249" s="75">
        <f>'SKU Master'!C248</f>
        <v>0</v>
      </c>
      <c r="D249" s="94">
        <f>'SKU Master'!I248</f>
        <v>0</v>
      </c>
      <c r="E249" s="94">
        <f>'SKU Master'!J248</f>
        <v>0</v>
      </c>
      <c r="F249" s="94"/>
      <c r="G249" s="94"/>
      <c r="H249" s="94">
        <f t="shared" si="15"/>
        <v>0</v>
      </c>
      <c r="I249" s="94">
        <f>H249*'SKU Master'!H248</f>
        <v>0</v>
      </c>
      <c r="J249" s="75" t="str">
        <f t="shared" si="16"/>
        <v>Matched</v>
      </c>
      <c r="K249" s="94">
        <f>IF(F249&gt;D249,D249*'SKU Master'!M248,G249)+I249</f>
        <v>0</v>
      </c>
      <c r="L249" s="94">
        <f t="shared" si="17"/>
        <v>0</v>
      </c>
      <c r="M249" s="95">
        <f t="shared" si="18"/>
        <v>0</v>
      </c>
      <c r="N249" s="75" t="str">
        <f t="shared" si="19"/>
        <v>NO SALES</v>
      </c>
    </row>
    <row r="250" spans="1:14" ht="15" customHeight="1" x14ac:dyDescent="0.25">
      <c r="A250" s="75">
        <v>245</v>
      </c>
      <c r="B250" s="75" t="str">
        <f>IF('SKU Master'!B249="","",'SKU Master'!B249)</f>
        <v/>
      </c>
      <c r="C250" s="75">
        <f>'SKU Master'!C249</f>
        <v>0</v>
      </c>
      <c r="D250" s="94">
        <f>'SKU Master'!I249</f>
        <v>0</v>
      </c>
      <c r="E250" s="94">
        <f>'SKU Master'!J249</f>
        <v>0</v>
      </c>
      <c r="F250" s="94"/>
      <c r="G250" s="94"/>
      <c r="H250" s="94">
        <f t="shared" si="15"/>
        <v>0</v>
      </c>
      <c r="I250" s="94">
        <f>H250*'SKU Master'!H249</f>
        <v>0</v>
      </c>
      <c r="J250" s="75" t="str">
        <f t="shared" si="16"/>
        <v>Matched</v>
      </c>
      <c r="K250" s="94">
        <f>IF(F250&gt;D250,D250*'SKU Master'!M249,G250)+I250</f>
        <v>0</v>
      </c>
      <c r="L250" s="94">
        <f t="shared" si="17"/>
        <v>0</v>
      </c>
      <c r="M250" s="95">
        <f t="shared" si="18"/>
        <v>0</v>
      </c>
      <c r="N250" s="75" t="str">
        <f t="shared" si="19"/>
        <v>NO SALES</v>
      </c>
    </row>
    <row r="251" spans="1:14" ht="15" customHeight="1" x14ac:dyDescent="0.25">
      <c r="A251" s="75">
        <v>246</v>
      </c>
      <c r="B251" s="75" t="str">
        <f>IF('SKU Master'!B250="","",'SKU Master'!B250)</f>
        <v/>
      </c>
      <c r="C251" s="75">
        <f>'SKU Master'!C250</f>
        <v>0</v>
      </c>
      <c r="D251" s="94">
        <f>'SKU Master'!I250</f>
        <v>0</v>
      </c>
      <c r="E251" s="94">
        <f>'SKU Master'!J250</f>
        <v>0</v>
      </c>
      <c r="F251" s="94"/>
      <c r="G251" s="94"/>
      <c r="H251" s="94">
        <f t="shared" si="15"/>
        <v>0</v>
      </c>
      <c r="I251" s="94">
        <f>H251*'SKU Master'!H250</f>
        <v>0</v>
      </c>
      <c r="J251" s="75" t="str">
        <f t="shared" si="16"/>
        <v>Matched</v>
      </c>
      <c r="K251" s="94">
        <f>IF(F251&gt;D251,D251*'SKU Master'!M250,G251)+I251</f>
        <v>0</v>
      </c>
      <c r="L251" s="94">
        <f t="shared" si="17"/>
        <v>0</v>
      </c>
      <c r="M251" s="95">
        <f t="shared" si="18"/>
        <v>0</v>
      </c>
      <c r="N251" s="75" t="str">
        <f t="shared" si="19"/>
        <v>NO SALES</v>
      </c>
    </row>
    <row r="252" spans="1:14" ht="15" customHeight="1" x14ac:dyDescent="0.25">
      <c r="A252" s="75">
        <v>247</v>
      </c>
      <c r="B252" s="75" t="str">
        <f>IF('SKU Master'!B251="","",'SKU Master'!B251)</f>
        <v/>
      </c>
      <c r="C252" s="75">
        <f>'SKU Master'!C251</f>
        <v>0</v>
      </c>
      <c r="D252" s="94">
        <f>'SKU Master'!I251</f>
        <v>0</v>
      </c>
      <c r="E252" s="94">
        <f>'SKU Master'!J251</f>
        <v>0</v>
      </c>
      <c r="F252" s="94"/>
      <c r="G252" s="94"/>
      <c r="H252" s="94">
        <f t="shared" si="15"/>
        <v>0</v>
      </c>
      <c r="I252" s="94">
        <f>H252*'SKU Master'!H251</f>
        <v>0</v>
      </c>
      <c r="J252" s="75" t="str">
        <f t="shared" si="16"/>
        <v>Matched</v>
      </c>
      <c r="K252" s="94">
        <f>IF(F252&gt;D252,D252*'SKU Master'!M251,G252)+I252</f>
        <v>0</v>
      </c>
      <c r="L252" s="94">
        <f t="shared" si="17"/>
        <v>0</v>
      </c>
      <c r="M252" s="95">
        <f t="shared" si="18"/>
        <v>0</v>
      </c>
      <c r="N252" s="75" t="str">
        <f t="shared" si="19"/>
        <v>NO SALES</v>
      </c>
    </row>
    <row r="253" spans="1:14" ht="15" customHeight="1" x14ac:dyDescent="0.25">
      <c r="A253" s="75">
        <v>248</v>
      </c>
      <c r="B253" s="75" t="str">
        <f>IF('SKU Master'!B252="","",'SKU Master'!B252)</f>
        <v/>
      </c>
      <c r="C253" s="75">
        <f>'SKU Master'!C252</f>
        <v>0</v>
      </c>
      <c r="D253" s="94">
        <f>'SKU Master'!I252</f>
        <v>0</v>
      </c>
      <c r="E253" s="94">
        <f>'SKU Master'!J252</f>
        <v>0</v>
      </c>
      <c r="F253" s="94"/>
      <c r="G253" s="94"/>
      <c r="H253" s="94">
        <f t="shared" si="15"/>
        <v>0</v>
      </c>
      <c r="I253" s="94">
        <f>H253*'SKU Master'!H252</f>
        <v>0</v>
      </c>
      <c r="J253" s="75" t="str">
        <f t="shared" si="16"/>
        <v>Matched</v>
      </c>
      <c r="K253" s="94">
        <f>IF(F253&gt;D253,D253*'SKU Master'!M252,G253)+I253</f>
        <v>0</v>
      </c>
      <c r="L253" s="94">
        <f t="shared" si="17"/>
        <v>0</v>
      </c>
      <c r="M253" s="95">
        <f t="shared" si="18"/>
        <v>0</v>
      </c>
      <c r="N253" s="75" t="str">
        <f t="shared" si="19"/>
        <v>NO SALES</v>
      </c>
    </row>
    <row r="254" spans="1:14" ht="15" customHeight="1" x14ac:dyDescent="0.25">
      <c r="A254" s="75">
        <v>249</v>
      </c>
      <c r="B254" s="75" t="str">
        <f>IF('SKU Master'!B253="","",'SKU Master'!B253)</f>
        <v/>
      </c>
      <c r="C254" s="75">
        <f>'SKU Master'!C253</f>
        <v>0</v>
      </c>
      <c r="D254" s="94">
        <f>'SKU Master'!I253</f>
        <v>0</v>
      </c>
      <c r="E254" s="94">
        <f>'SKU Master'!J253</f>
        <v>0</v>
      </c>
      <c r="F254" s="94"/>
      <c r="G254" s="94"/>
      <c r="H254" s="94">
        <f t="shared" si="15"/>
        <v>0</v>
      </c>
      <c r="I254" s="94">
        <f>H254*'SKU Master'!H253</f>
        <v>0</v>
      </c>
      <c r="J254" s="75" t="str">
        <f t="shared" si="16"/>
        <v>Matched</v>
      </c>
      <c r="K254" s="94">
        <f>IF(F254&gt;D254,D254*'SKU Master'!M253,G254)+I254</f>
        <v>0</v>
      </c>
      <c r="L254" s="94">
        <f t="shared" si="17"/>
        <v>0</v>
      </c>
      <c r="M254" s="95">
        <f t="shared" si="18"/>
        <v>0</v>
      </c>
      <c r="N254" s="75" t="str">
        <f t="shared" si="19"/>
        <v>NO SALES</v>
      </c>
    </row>
    <row r="255" spans="1:14" ht="15" customHeight="1" x14ac:dyDescent="0.25">
      <c r="A255" s="75">
        <v>250</v>
      </c>
      <c r="B255" s="75" t="str">
        <f>IF('SKU Master'!B254="","",'SKU Master'!B254)</f>
        <v/>
      </c>
      <c r="C255" s="75">
        <f>'SKU Master'!C254</f>
        <v>0</v>
      </c>
      <c r="D255" s="94">
        <f>'SKU Master'!I254</f>
        <v>0</v>
      </c>
      <c r="E255" s="94">
        <f>'SKU Master'!J254</f>
        <v>0</v>
      </c>
      <c r="F255" s="94"/>
      <c r="G255" s="94"/>
      <c r="H255" s="94">
        <f t="shared" si="15"/>
        <v>0</v>
      </c>
      <c r="I255" s="94">
        <f>H255*'SKU Master'!H254</f>
        <v>0</v>
      </c>
      <c r="J255" s="75" t="str">
        <f t="shared" si="16"/>
        <v>Matched</v>
      </c>
      <c r="K255" s="94">
        <f>IF(F255&gt;D255,D255*'SKU Master'!M254,G255)+I255</f>
        <v>0</v>
      </c>
      <c r="L255" s="94">
        <f t="shared" si="17"/>
        <v>0</v>
      </c>
      <c r="M255" s="95">
        <f t="shared" si="18"/>
        <v>0</v>
      </c>
      <c r="N255" s="75" t="str">
        <f t="shared" si="19"/>
        <v>NO SALES</v>
      </c>
    </row>
    <row r="256" spans="1:14" ht="15" customHeight="1" x14ac:dyDescent="0.25">
      <c r="A256" s="75">
        <v>251</v>
      </c>
      <c r="B256" s="75" t="str">
        <f>IF('SKU Master'!B255="","",'SKU Master'!B255)</f>
        <v/>
      </c>
      <c r="C256" s="75">
        <f>'SKU Master'!C255</f>
        <v>0</v>
      </c>
      <c r="D256" s="94">
        <f>'SKU Master'!I255</f>
        <v>0</v>
      </c>
      <c r="E256" s="94">
        <f>'SKU Master'!J255</f>
        <v>0</v>
      </c>
      <c r="F256" s="94"/>
      <c r="G256" s="94"/>
      <c r="H256" s="94">
        <f t="shared" si="15"/>
        <v>0</v>
      </c>
      <c r="I256" s="94">
        <f>H256*'SKU Master'!H255</f>
        <v>0</v>
      </c>
      <c r="J256" s="75" t="str">
        <f t="shared" si="16"/>
        <v>Matched</v>
      </c>
      <c r="K256" s="94">
        <f>IF(F256&gt;D256,D256*'SKU Master'!M255,G256)+I256</f>
        <v>0</v>
      </c>
      <c r="L256" s="94">
        <f t="shared" si="17"/>
        <v>0</v>
      </c>
      <c r="M256" s="95">
        <f t="shared" si="18"/>
        <v>0</v>
      </c>
      <c r="N256" s="75" t="str">
        <f t="shared" si="19"/>
        <v>NO SALES</v>
      </c>
    </row>
    <row r="257" spans="1:14" ht="15" customHeight="1" x14ac:dyDescent="0.25">
      <c r="A257" s="75">
        <v>252</v>
      </c>
      <c r="B257" s="75" t="str">
        <f>IF('SKU Master'!B256="","",'SKU Master'!B256)</f>
        <v/>
      </c>
      <c r="C257" s="75">
        <f>'SKU Master'!C256</f>
        <v>0</v>
      </c>
      <c r="D257" s="94">
        <f>'SKU Master'!I256</f>
        <v>0</v>
      </c>
      <c r="E257" s="94">
        <f>'SKU Master'!J256</f>
        <v>0</v>
      </c>
      <c r="F257" s="94"/>
      <c r="G257" s="94"/>
      <c r="H257" s="94">
        <f t="shared" si="15"/>
        <v>0</v>
      </c>
      <c r="I257" s="94">
        <f>H257*'SKU Master'!H256</f>
        <v>0</v>
      </c>
      <c r="J257" s="75" t="str">
        <f t="shared" si="16"/>
        <v>Matched</v>
      </c>
      <c r="K257" s="94">
        <f>IF(F257&gt;D257,D257*'SKU Master'!M256,G257)+I257</f>
        <v>0</v>
      </c>
      <c r="L257" s="94">
        <f t="shared" si="17"/>
        <v>0</v>
      </c>
      <c r="M257" s="95">
        <f t="shared" si="18"/>
        <v>0</v>
      </c>
      <c r="N257" s="75" t="str">
        <f t="shared" si="19"/>
        <v>NO SALES</v>
      </c>
    </row>
    <row r="258" spans="1:14" ht="15" customHeight="1" x14ac:dyDescent="0.25">
      <c r="A258" s="75">
        <v>253</v>
      </c>
      <c r="B258" s="75" t="str">
        <f>IF('SKU Master'!B257="","",'SKU Master'!B257)</f>
        <v/>
      </c>
      <c r="C258" s="75">
        <f>'SKU Master'!C257</f>
        <v>0</v>
      </c>
      <c r="D258" s="94">
        <f>'SKU Master'!I257</f>
        <v>0</v>
      </c>
      <c r="E258" s="94">
        <f>'SKU Master'!J257</f>
        <v>0</v>
      </c>
      <c r="F258" s="94"/>
      <c r="G258" s="94"/>
      <c r="H258" s="94">
        <f t="shared" si="15"/>
        <v>0</v>
      </c>
      <c r="I258" s="94">
        <f>H258*'SKU Master'!H257</f>
        <v>0</v>
      </c>
      <c r="J258" s="75" t="str">
        <f t="shared" si="16"/>
        <v>Matched</v>
      </c>
      <c r="K258" s="94">
        <f>IF(F258&gt;D258,D258*'SKU Master'!M257,G258)+I258</f>
        <v>0</v>
      </c>
      <c r="L258" s="94">
        <f t="shared" si="17"/>
        <v>0</v>
      </c>
      <c r="M258" s="95">
        <f t="shared" si="18"/>
        <v>0</v>
      </c>
      <c r="N258" s="75" t="str">
        <f t="shared" si="19"/>
        <v>NO SALES</v>
      </c>
    </row>
    <row r="259" spans="1:14" ht="15" customHeight="1" x14ac:dyDescent="0.25">
      <c r="A259" s="75">
        <v>254</v>
      </c>
      <c r="B259" s="75" t="str">
        <f>IF('SKU Master'!B258="","",'SKU Master'!B258)</f>
        <v/>
      </c>
      <c r="C259" s="75">
        <f>'SKU Master'!C258</f>
        <v>0</v>
      </c>
      <c r="D259" s="94">
        <f>'SKU Master'!I258</f>
        <v>0</v>
      </c>
      <c r="E259" s="94">
        <f>'SKU Master'!J258</f>
        <v>0</v>
      </c>
      <c r="F259" s="94"/>
      <c r="G259" s="94"/>
      <c r="H259" s="94">
        <f t="shared" si="15"/>
        <v>0</v>
      </c>
      <c r="I259" s="94">
        <f>H259*'SKU Master'!H258</f>
        <v>0</v>
      </c>
      <c r="J259" s="75" t="str">
        <f t="shared" si="16"/>
        <v>Matched</v>
      </c>
      <c r="K259" s="94">
        <f>IF(F259&gt;D259,D259*'SKU Master'!M258,G259)+I259</f>
        <v>0</v>
      </c>
      <c r="L259" s="94">
        <f t="shared" si="17"/>
        <v>0</v>
      </c>
      <c r="M259" s="95">
        <f t="shared" si="18"/>
        <v>0</v>
      </c>
      <c r="N259" s="75" t="str">
        <f t="shared" si="19"/>
        <v>NO SALES</v>
      </c>
    </row>
    <row r="260" spans="1:14" ht="15" customHeight="1" x14ac:dyDescent="0.25">
      <c r="A260" s="75">
        <v>255</v>
      </c>
      <c r="B260" s="75" t="str">
        <f>IF('SKU Master'!B259="","",'SKU Master'!B259)</f>
        <v/>
      </c>
      <c r="C260" s="75">
        <f>'SKU Master'!C259</f>
        <v>0</v>
      </c>
      <c r="D260" s="94">
        <f>'SKU Master'!I259</f>
        <v>0</v>
      </c>
      <c r="E260" s="94">
        <f>'SKU Master'!J259</f>
        <v>0</v>
      </c>
      <c r="F260" s="94"/>
      <c r="G260" s="94"/>
      <c r="H260" s="94">
        <f t="shared" si="15"/>
        <v>0</v>
      </c>
      <c r="I260" s="94">
        <f>H260*'SKU Master'!H259</f>
        <v>0</v>
      </c>
      <c r="J260" s="75" t="str">
        <f t="shared" si="16"/>
        <v>Matched</v>
      </c>
      <c r="K260" s="94">
        <f>IF(F260&gt;D260,D260*'SKU Master'!M259,G260)+I260</f>
        <v>0</v>
      </c>
      <c r="L260" s="94">
        <f t="shared" si="17"/>
        <v>0</v>
      </c>
      <c r="M260" s="95">
        <f t="shared" si="18"/>
        <v>0</v>
      </c>
      <c r="N260" s="75" t="str">
        <f t="shared" si="19"/>
        <v>NO SALES</v>
      </c>
    </row>
    <row r="261" spans="1:14" ht="15" customHeight="1" x14ac:dyDescent="0.25">
      <c r="A261" s="75">
        <v>256</v>
      </c>
      <c r="B261" s="75" t="str">
        <f>IF('SKU Master'!B260="","",'SKU Master'!B260)</f>
        <v/>
      </c>
      <c r="C261" s="75">
        <f>'SKU Master'!C260</f>
        <v>0</v>
      </c>
      <c r="D261" s="94">
        <f>'SKU Master'!I260</f>
        <v>0</v>
      </c>
      <c r="E261" s="94">
        <f>'SKU Master'!J260</f>
        <v>0</v>
      </c>
      <c r="F261" s="94"/>
      <c r="G261" s="94"/>
      <c r="H261" s="94">
        <f t="shared" si="15"/>
        <v>0</v>
      </c>
      <c r="I261" s="94">
        <f>H261*'SKU Master'!H260</f>
        <v>0</v>
      </c>
      <c r="J261" s="75" t="str">
        <f t="shared" si="16"/>
        <v>Matched</v>
      </c>
      <c r="K261" s="94">
        <f>IF(F261&gt;D261,D261*'SKU Master'!M260,G261)+I261</f>
        <v>0</v>
      </c>
      <c r="L261" s="94">
        <f t="shared" si="17"/>
        <v>0</v>
      </c>
      <c r="M261" s="95">
        <f t="shared" si="18"/>
        <v>0</v>
      </c>
      <c r="N261" s="75" t="str">
        <f t="shared" si="19"/>
        <v>NO SALES</v>
      </c>
    </row>
    <row r="262" spans="1:14" ht="15" customHeight="1" x14ac:dyDescent="0.25">
      <c r="A262" s="75">
        <v>257</v>
      </c>
      <c r="B262" s="75" t="str">
        <f>IF('SKU Master'!B261="","",'SKU Master'!B261)</f>
        <v/>
      </c>
      <c r="C262" s="75">
        <f>'SKU Master'!C261</f>
        <v>0</v>
      </c>
      <c r="D262" s="94">
        <f>'SKU Master'!I261</f>
        <v>0</v>
      </c>
      <c r="E262" s="94">
        <f>'SKU Master'!J261</f>
        <v>0</v>
      </c>
      <c r="F262" s="94"/>
      <c r="G262" s="94"/>
      <c r="H262" s="94">
        <f t="shared" ref="H262:H280" si="20">MAX(D262-F262,0)</f>
        <v>0</v>
      </c>
      <c r="I262" s="94">
        <f>H262*'SKU Master'!H261</f>
        <v>0</v>
      </c>
      <c r="J262" s="75" t="str">
        <f t="shared" ref="J262:J280" si="21">IF(D262-F262&lt;-0.5,"EXCESS→INV",IF(D262-F262&gt;0.5,"Produced","Matched"))</f>
        <v>Matched</v>
      </c>
      <c r="K262" s="94">
        <f>IF(F262&gt;D262,D262*'SKU Master'!M261,G262)+I262</f>
        <v>0</v>
      </c>
      <c r="L262" s="94">
        <f t="shared" ref="L262:L280" si="22">IF(E262=0,0,E262-K262)</f>
        <v>0</v>
      </c>
      <c r="M262" s="95">
        <f t="shared" ref="M262:M280" si="23">IFERROR(L262/D262,0)</f>
        <v>0</v>
      </c>
      <c r="N262" s="75" t="str">
        <f t="shared" ref="N262:N280" si="24">IF(E262=0,"NO SALES",IF(L262&lt;0,"LOSS",IF(IFERROR(L262/E262,0)&lt;0.1,"THIN","PROFIT")))</f>
        <v>NO SALES</v>
      </c>
    </row>
    <row r="263" spans="1:14" ht="15" customHeight="1" x14ac:dyDescent="0.25">
      <c r="A263" s="75">
        <v>258</v>
      </c>
      <c r="B263" s="75" t="str">
        <f>IF('SKU Master'!B262="","",'SKU Master'!B262)</f>
        <v/>
      </c>
      <c r="C263" s="75">
        <f>'SKU Master'!C262</f>
        <v>0</v>
      </c>
      <c r="D263" s="94">
        <f>'SKU Master'!I262</f>
        <v>0</v>
      </c>
      <c r="E263" s="94">
        <f>'SKU Master'!J262</f>
        <v>0</v>
      </c>
      <c r="F263" s="94"/>
      <c r="G263" s="94"/>
      <c r="H263" s="94">
        <f t="shared" si="20"/>
        <v>0</v>
      </c>
      <c r="I263" s="94">
        <f>H263*'SKU Master'!H262</f>
        <v>0</v>
      </c>
      <c r="J263" s="75" t="str">
        <f t="shared" si="21"/>
        <v>Matched</v>
      </c>
      <c r="K263" s="94">
        <f>IF(F263&gt;D263,D263*'SKU Master'!M262,G263)+I263</f>
        <v>0</v>
      </c>
      <c r="L263" s="94">
        <f t="shared" si="22"/>
        <v>0</v>
      </c>
      <c r="M263" s="95">
        <f t="shared" si="23"/>
        <v>0</v>
      </c>
      <c r="N263" s="75" t="str">
        <f t="shared" si="24"/>
        <v>NO SALES</v>
      </c>
    </row>
    <row r="264" spans="1:14" ht="15" customHeight="1" x14ac:dyDescent="0.25">
      <c r="A264" s="75">
        <v>259</v>
      </c>
      <c r="B264" s="75" t="str">
        <f>IF('SKU Master'!B263="","",'SKU Master'!B263)</f>
        <v/>
      </c>
      <c r="C264" s="75">
        <f>'SKU Master'!C263</f>
        <v>0</v>
      </c>
      <c r="D264" s="94">
        <f>'SKU Master'!I263</f>
        <v>0</v>
      </c>
      <c r="E264" s="94">
        <f>'SKU Master'!J263</f>
        <v>0</v>
      </c>
      <c r="F264" s="94"/>
      <c r="G264" s="94"/>
      <c r="H264" s="94">
        <f t="shared" si="20"/>
        <v>0</v>
      </c>
      <c r="I264" s="94">
        <f>H264*'SKU Master'!H263</f>
        <v>0</v>
      </c>
      <c r="J264" s="75" t="str">
        <f t="shared" si="21"/>
        <v>Matched</v>
      </c>
      <c r="K264" s="94">
        <f>IF(F264&gt;D264,D264*'SKU Master'!M263,G264)+I264</f>
        <v>0</v>
      </c>
      <c r="L264" s="94">
        <f t="shared" si="22"/>
        <v>0</v>
      </c>
      <c r="M264" s="95">
        <f t="shared" si="23"/>
        <v>0</v>
      </c>
      <c r="N264" s="75" t="str">
        <f t="shared" si="24"/>
        <v>NO SALES</v>
      </c>
    </row>
    <row r="265" spans="1:14" ht="15" customHeight="1" x14ac:dyDescent="0.25">
      <c r="A265" s="75">
        <v>260</v>
      </c>
      <c r="B265" s="75" t="str">
        <f>IF('SKU Master'!B264="","",'SKU Master'!B264)</f>
        <v/>
      </c>
      <c r="C265" s="75">
        <f>'SKU Master'!C264</f>
        <v>0</v>
      </c>
      <c r="D265" s="94">
        <f>'SKU Master'!I264</f>
        <v>0</v>
      </c>
      <c r="E265" s="94">
        <f>'SKU Master'!J264</f>
        <v>0</v>
      </c>
      <c r="F265" s="94"/>
      <c r="G265" s="94"/>
      <c r="H265" s="94">
        <f t="shared" si="20"/>
        <v>0</v>
      </c>
      <c r="I265" s="94">
        <f>H265*'SKU Master'!H264</f>
        <v>0</v>
      </c>
      <c r="J265" s="75" t="str">
        <f t="shared" si="21"/>
        <v>Matched</v>
      </c>
      <c r="K265" s="94">
        <f>IF(F265&gt;D265,D265*'SKU Master'!M264,G265)+I265</f>
        <v>0</v>
      </c>
      <c r="L265" s="94">
        <f t="shared" si="22"/>
        <v>0</v>
      </c>
      <c r="M265" s="95">
        <f t="shared" si="23"/>
        <v>0</v>
      </c>
      <c r="N265" s="75" t="str">
        <f t="shared" si="24"/>
        <v>NO SALES</v>
      </c>
    </row>
    <row r="266" spans="1:14" ht="15" customHeight="1" x14ac:dyDescent="0.25">
      <c r="A266" s="75">
        <v>261</v>
      </c>
      <c r="B266" s="75" t="str">
        <f>IF('SKU Master'!B265="","",'SKU Master'!B265)</f>
        <v/>
      </c>
      <c r="C266" s="75">
        <f>'SKU Master'!C265</f>
        <v>0</v>
      </c>
      <c r="D266" s="94">
        <f>'SKU Master'!I265</f>
        <v>0</v>
      </c>
      <c r="E266" s="94">
        <f>'SKU Master'!J265</f>
        <v>0</v>
      </c>
      <c r="F266" s="94"/>
      <c r="G266" s="94"/>
      <c r="H266" s="94">
        <f t="shared" si="20"/>
        <v>0</v>
      </c>
      <c r="I266" s="94">
        <f>H266*'SKU Master'!H265</f>
        <v>0</v>
      </c>
      <c r="J266" s="75" t="str">
        <f t="shared" si="21"/>
        <v>Matched</v>
      </c>
      <c r="K266" s="94">
        <f>IF(F266&gt;D266,D266*'SKU Master'!M265,G266)+I266</f>
        <v>0</v>
      </c>
      <c r="L266" s="94">
        <f t="shared" si="22"/>
        <v>0</v>
      </c>
      <c r="M266" s="95">
        <f t="shared" si="23"/>
        <v>0</v>
      </c>
      <c r="N266" s="75" t="str">
        <f t="shared" si="24"/>
        <v>NO SALES</v>
      </c>
    </row>
    <row r="267" spans="1:14" ht="15" customHeight="1" x14ac:dyDescent="0.25">
      <c r="A267" s="75">
        <v>262</v>
      </c>
      <c r="B267" s="75" t="str">
        <f>IF('SKU Master'!B266="","",'SKU Master'!B266)</f>
        <v/>
      </c>
      <c r="C267" s="75">
        <f>'SKU Master'!C266</f>
        <v>0</v>
      </c>
      <c r="D267" s="94">
        <f>'SKU Master'!I266</f>
        <v>0</v>
      </c>
      <c r="E267" s="94">
        <f>'SKU Master'!J266</f>
        <v>0</v>
      </c>
      <c r="F267" s="94"/>
      <c r="G267" s="94"/>
      <c r="H267" s="94">
        <f t="shared" si="20"/>
        <v>0</v>
      </c>
      <c r="I267" s="94">
        <f>H267*'SKU Master'!H266</f>
        <v>0</v>
      </c>
      <c r="J267" s="75" t="str">
        <f t="shared" si="21"/>
        <v>Matched</v>
      </c>
      <c r="K267" s="94">
        <f>IF(F267&gt;D267,D267*'SKU Master'!M266,G267)+I267</f>
        <v>0</v>
      </c>
      <c r="L267" s="94">
        <f t="shared" si="22"/>
        <v>0</v>
      </c>
      <c r="M267" s="95">
        <f t="shared" si="23"/>
        <v>0</v>
      </c>
      <c r="N267" s="75" t="str">
        <f t="shared" si="24"/>
        <v>NO SALES</v>
      </c>
    </row>
    <row r="268" spans="1:14" ht="15" customHeight="1" x14ac:dyDescent="0.25">
      <c r="A268" s="75">
        <v>263</v>
      </c>
      <c r="B268" s="75" t="str">
        <f>IF('SKU Master'!B267="","",'SKU Master'!B267)</f>
        <v/>
      </c>
      <c r="C268" s="75">
        <f>'SKU Master'!C267</f>
        <v>0</v>
      </c>
      <c r="D268" s="94">
        <f>'SKU Master'!I267</f>
        <v>0</v>
      </c>
      <c r="E268" s="94">
        <f>'SKU Master'!J267</f>
        <v>0</v>
      </c>
      <c r="F268" s="94"/>
      <c r="G268" s="94"/>
      <c r="H268" s="94">
        <f t="shared" si="20"/>
        <v>0</v>
      </c>
      <c r="I268" s="94">
        <f>H268*'SKU Master'!H267</f>
        <v>0</v>
      </c>
      <c r="J268" s="75" t="str">
        <f t="shared" si="21"/>
        <v>Matched</v>
      </c>
      <c r="K268" s="94">
        <f>IF(F268&gt;D268,D268*'SKU Master'!M267,G268)+I268</f>
        <v>0</v>
      </c>
      <c r="L268" s="94">
        <f t="shared" si="22"/>
        <v>0</v>
      </c>
      <c r="M268" s="95">
        <f t="shared" si="23"/>
        <v>0</v>
      </c>
      <c r="N268" s="75" t="str">
        <f t="shared" si="24"/>
        <v>NO SALES</v>
      </c>
    </row>
    <row r="269" spans="1:14" ht="15" customHeight="1" x14ac:dyDescent="0.25">
      <c r="A269" s="75">
        <v>264</v>
      </c>
      <c r="B269" s="75" t="str">
        <f>IF('SKU Master'!B268="","",'SKU Master'!B268)</f>
        <v/>
      </c>
      <c r="C269" s="75">
        <f>'SKU Master'!C268</f>
        <v>0</v>
      </c>
      <c r="D269" s="94">
        <f>'SKU Master'!I268</f>
        <v>0</v>
      </c>
      <c r="E269" s="94">
        <f>'SKU Master'!J268</f>
        <v>0</v>
      </c>
      <c r="F269" s="94"/>
      <c r="G269" s="94"/>
      <c r="H269" s="94">
        <f t="shared" si="20"/>
        <v>0</v>
      </c>
      <c r="I269" s="94">
        <f>H269*'SKU Master'!H268</f>
        <v>0</v>
      </c>
      <c r="J269" s="75" t="str">
        <f t="shared" si="21"/>
        <v>Matched</v>
      </c>
      <c r="K269" s="94">
        <f>IF(F269&gt;D269,D269*'SKU Master'!M268,G269)+I269</f>
        <v>0</v>
      </c>
      <c r="L269" s="94">
        <f t="shared" si="22"/>
        <v>0</v>
      </c>
      <c r="M269" s="95">
        <f t="shared" si="23"/>
        <v>0</v>
      </c>
      <c r="N269" s="75" t="str">
        <f t="shared" si="24"/>
        <v>NO SALES</v>
      </c>
    </row>
    <row r="270" spans="1:14" ht="15" customHeight="1" x14ac:dyDescent="0.25">
      <c r="A270" s="75">
        <v>265</v>
      </c>
      <c r="B270" s="75" t="str">
        <f>IF('SKU Master'!B269="","",'SKU Master'!B269)</f>
        <v/>
      </c>
      <c r="C270" s="75">
        <f>'SKU Master'!C269</f>
        <v>0</v>
      </c>
      <c r="D270" s="94">
        <f>'SKU Master'!I269</f>
        <v>0</v>
      </c>
      <c r="E270" s="94">
        <f>'SKU Master'!J269</f>
        <v>0</v>
      </c>
      <c r="F270" s="94"/>
      <c r="G270" s="94"/>
      <c r="H270" s="94">
        <f t="shared" si="20"/>
        <v>0</v>
      </c>
      <c r="I270" s="94">
        <f>H270*'SKU Master'!H269</f>
        <v>0</v>
      </c>
      <c r="J270" s="75" t="str">
        <f t="shared" si="21"/>
        <v>Matched</v>
      </c>
      <c r="K270" s="94">
        <f>IF(F270&gt;D270,D270*'SKU Master'!M269,G270)+I270</f>
        <v>0</v>
      </c>
      <c r="L270" s="94">
        <f t="shared" si="22"/>
        <v>0</v>
      </c>
      <c r="M270" s="95">
        <f t="shared" si="23"/>
        <v>0</v>
      </c>
      <c r="N270" s="75" t="str">
        <f t="shared" si="24"/>
        <v>NO SALES</v>
      </c>
    </row>
    <row r="271" spans="1:14" ht="15" customHeight="1" x14ac:dyDescent="0.25">
      <c r="A271" s="75">
        <v>266</v>
      </c>
      <c r="B271" s="75" t="str">
        <f>IF('SKU Master'!B270="","",'SKU Master'!B270)</f>
        <v/>
      </c>
      <c r="C271" s="75">
        <f>'SKU Master'!C270</f>
        <v>0</v>
      </c>
      <c r="D271" s="94">
        <f>'SKU Master'!I270</f>
        <v>0</v>
      </c>
      <c r="E271" s="94">
        <f>'SKU Master'!J270</f>
        <v>0</v>
      </c>
      <c r="F271" s="94"/>
      <c r="G271" s="94"/>
      <c r="H271" s="94">
        <f t="shared" si="20"/>
        <v>0</v>
      </c>
      <c r="I271" s="94">
        <f>H271*'SKU Master'!H270</f>
        <v>0</v>
      </c>
      <c r="J271" s="75" t="str">
        <f t="shared" si="21"/>
        <v>Matched</v>
      </c>
      <c r="K271" s="94">
        <f>IF(F271&gt;D271,D271*'SKU Master'!M270,G271)+I271</f>
        <v>0</v>
      </c>
      <c r="L271" s="94">
        <f t="shared" si="22"/>
        <v>0</v>
      </c>
      <c r="M271" s="95">
        <f t="shared" si="23"/>
        <v>0</v>
      </c>
      <c r="N271" s="75" t="str">
        <f t="shared" si="24"/>
        <v>NO SALES</v>
      </c>
    </row>
    <row r="272" spans="1:14" ht="15" customHeight="1" x14ac:dyDescent="0.25">
      <c r="A272" s="75">
        <v>267</v>
      </c>
      <c r="B272" s="75" t="str">
        <f>IF('SKU Master'!B271="","",'SKU Master'!B271)</f>
        <v/>
      </c>
      <c r="C272" s="75">
        <f>'SKU Master'!C271</f>
        <v>0</v>
      </c>
      <c r="D272" s="94">
        <f>'SKU Master'!I271</f>
        <v>0</v>
      </c>
      <c r="E272" s="94">
        <f>'SKU Master'!J271</f>
        <v>0</v>
      </c>
      <c r="F272" s="94"/>
      <c r="G272" s="94"/>
      <c r="H272" s="94">
        <f t="shared" si="20"/>
        <v>0</v>
      </c>
      <c r="I272" s="94">
        <f>H272*'SKU Master'!H271</f>
        <v>0</v>
      </c>
      <c r="J272" s="75" t="str">
        <f t="shared" si="21"/>
        <v>Matched</v>
      </c>
      <c r="K272" s="94">
        <f>IF(F272&gt;D272,D272*'SKU Master'!M271,G272)+I272</f>
        <v>0</v>
      </c>
      <c r="L272" s="94">
        <f t="shared" si="22"/>
        <v>0</v>
      </c>
      <c r="M272" s="95">
        <f t="shared" si="23"/>
        <v>0</v>
      </c>
      <c r="N272" s="75" t="str">
        <f t="shared" si="24"/>
        <v>NO SALES</v>
      </c>
    </row>
    <row r="273" spans="1:14" ht="15" customHeight="1" x14ac:dyDescent="0.25">
      <c r="A273" s="75">
        <v>268</v>
      </c>
      <c r="B273" s="75" t="str">
        <f>IF('SKU Master'!B272="","",'SKU Master'!B272)</f>
        <v/>
      </c>
      <c r="C273" s="75">
        <f>'SKU Master'!C272</f>
        <v>0</v>
      </c>
      <c r="D273" s="94">
        <f>'SKU Master'!I272</f>
        <v>0</v>
      </c>
      <c r="E273" s="94">
        <f>'SKU Master'!J272</f>
        <v>0</v>
      </c>
      <c r="F273" s="94"/>
      <c r="G273" s="94"/>
      <c r="H273" s="94">
        <f t="shared" si="20"/>
        <v>0</v>
      </c>
      <c r="I273" s="94">
        <f>H273*'SKU Master'!H272</f>
        <v>0</v>
      </c>
      <c r="J273" s="75" t="str">
        <f t="shared" si="21"/>
        <v>Matched</v>
      </c>
      <c r="K273" s="94">
        <f>IF(F273&gt;D273,D273*'SKU Master'!M272,G273)+I273</f>
        <v>0</v>
      </c>
      <c r="L273" s="94">
        <f t="shared" si="22"/>
        <v>0</v>
      </c>
      <c r="M273" s="95">
        <f t="shared" si="23"/>
        <v>0</v>
      </c>
      <c r="N273" s="75" t="str">
        <f t="shared" si="24"/>
        <v>NO SALES</v>
      </c>
    </row>
    <row r="274" spans="1:14" ht="15" customHeight="1" x14ac:dyDescent="0.25">
      <c r="A274" s="75">
        <v>269</v>
      </c>
      <c r="B274" s="75" t="str">
        <f>IF('SKU Master'!B273="","",'SKU Master'!B273)</f>
        <v/>
      </c>
      <c r="C274" s="75">
        <f>'SKU Master'!C273</f>
        <v>0</v>
      </c>
      <c r="D274" s="94">
        <f>'SKU Master'!I273</f>
        <v>0</v>
      </c>
      <c r="E274" s="94">
        <f>'SKU Master'!J273</f>
        <v>0</v>
      </c>
      <c r="F274" s="94"/>
      <c r="G274" s="94"/>
      <c r="H274" s="94">
        <f t="shared" si="20"/>
        <v>0</v>
      </c>
      <c r="I274" s="94">
        <f>H274*'SKU Master'!H273</f>
        <v>0</v>
      </c>
      <c r="J274" s="75" t="str">
        <f t="shared" si="21"/>
        <v>Matched</v>
      </c>
      <c r="K274" s="94">
        <f>IF(F274&gt;D274,D274*'SKU Master'!M273,G274)+I274</f>
        <v>0</v>
      </c>
      <c r="L274" s="94">
        <f t="shared" si="22"/>
        <v>0</v>
      </c>
      <c r="M274" s="95">
        <f t="shared" si="23"/>
        <v>0</v>
      </c>
      <c r="N274" s="75" t="str">
        <f t="shared" si="24"/>
        <v>NO SALES</v>
      </c>
    </row>
    <row r="275" spans="1:14" ht="15" customHeight="1" x14ac:dyDescent="0.25">
      <c r="A275" s="75">
        <v>270</v>
      </c>
      <c r="B275" s="75" t="str">
        <f>IF('SKU Master'!B274="","",'SKU Master'!B274)</f>
        <v/>
      </c>
      <c r="C275" s="75">
        <f>'SKU Master'!C274</f>
        <v>0</v>
      </c>
      <c r="D275" s="94">
        <f>'SKU Master'!I274</f>
        <v>0</v>
      </c>
      <c r="E275" s="94">
        <f>'SKU Master'!J274</f>
        <v>0</v>
      </c>
      <c r="F275" s="94"/>
      <c r="G275" s="94"/>
      <c r="H275" s="94">
        <f t="shared" si="20"/>
        <v>0</v>
      </c>
      <c r="I275" s="94">
        <f>H275*'SKU Master'!H274</f>
        <v>0</v>
      </c>
      <c r="J275" s="75" t="str">
        <f t="shared" si="21"/>
        <v>Matched</v>
      </c>
      <c r="K275" s="94">
        <f>IF(F275&gt;D275,D275*'SKU Master'!M274,G275)+I275</f>
        <v>0</v>
      </c>
      <c r="L275" s="94">
        <f t="shared" si="22"/>
        <v>0</v>
      </c>
      <c r="M275" s="95">
        <f t="shared" si="23"/>
        <v>0</v>
      </c>
      <c r="N275" s="75" t="str">
        <f t="shared" si="24"/>
        <v>NO SALES</v>
      </c>
    </row>
    <row r="276" spans="1:14" ht="15" customHeight="1" x14ac:dyDescent="0.25">
      <c r="A276" s="75">
        <v>271</v>
      </c>
      <c r="B276" s="75" t="str">
        <f>IF('SKU Master'!B275="","",'SKU Master'!B275)</f>
        <v/>
      </c>
      <c r="C276" s="75">
        <f>'SKU Master'!C275</f>
        <v>0</v>
      </c>
      <c r="D276" s="94">
        <f>'SKU Master'!I275</f>
        <v>0</v>
      </c>
      <c r="E276" s="94">
        <f>'SKU Master'!J275</f>
        <v>0</v>
      </c>
      <c r="F276" s="94"/>
      <c r="G276" s="94"/>
      <c r="H276" s="94">
        <f t="shared" si="20"/>
        <v>0</v>
      </c>
      <c r="I276" s="94">
        <f>H276*'SKU Master'!H275</f>
        <v>0</v>
      </c>
      <c r="J276" s="75" t="str">
        <f t="shared" si="21"/>
        <v>Matched</v>
      </c>
      <c r="K276" s="94">
        <f>IF(F276&gt;D276,D276*'SKU Master'!M275,G276)+I276</f>
        <v>0</v>
      </c>
      <c r="L276" s="94">
        <f t="shared" si="22"/>
        <v>0</v>
      </c>
      <c r="M276" s="95">
        <f t="shared" si="23"/>
        <v>0</v>
      </c>
      <c r="N276" s="75" t="str">
        <f t="shared" si="24"/>
        <v>NO SALES</v>
      </c>
    </row>
    <row r="277" spans="1:14" ht="15" customHeight="1" x14ac:dyDescent="0.25">
      <c r="A277" s="75">
        <v>272</v>
      </c>
      <c r="B277" s="75" t="str">
        <f>IF('SKU Master'!B276="","",'SKU Master'!B276)</f>
        <v/>
      </c>
      <c r="C277" s="75">
        <f>'SKU Master'!C276</f>
        <v>0</v>
      </c>
      <c r="D277" s="94">
        <f>'SKU Master'!I276</f>
        <v>0</v>
      </c>
      <c r="E277" s="94">
        <f>'SKU Master'!J276</f>
        <v>0</v>
      </c>
      <c r="F277" s="94"/>
      <c r="G277" s="94"/>
      <c r="H277" s="94">
        <f t="shared" si="20"/>
        <v>0</v>
      </c>
      <c r="I277" s="94">
        <f>H277*'SKU Master'!H276</f>
        <v>0</v>
      </c>
      <c r="J277" s="75" t="str">
        <f t="shared" si="21"/>
        <v>Matched</v>
      </c>
      <c r="K277" s="94">
        <f>IF(F277&gt;D277,D277*'SKU Master'!M276,G277)+I277</f>
        <v>0</v>
      </c>
      <c r="L277" s="94">
        <f t="shared" si="22"/>
        <v>0</v>
      </c>
      <c r="M277" s="95">
        <f t="shared" si="23"/>
        <v>0</v>
      </c>
      <c r="N277" s="75" t="str">
        <f t="shared" si="24"/>
        <v>NO SALES</v>
      </c>
    </row>
    <row r="278" spans="1:14" ht="15" customHeight="1" x14ac:dyDescent="0.25">
      <c r="A278" s="75">
        <v>273</v>
      </c>
      <c r="B278" s="75" t="str">
        <f>IF('SKU Master'!B277="","",'SKU Master'!B277)</f>
        <v/>
      </c>
      <c r="C278" s="75">
        <f>'SKU Master'!C277</f>
        <v>0</v>
      </c>
      <c r="D278" s="94">
        <f>'SKU Master'!I277</f>
        <v>0</v>
      </c>
      <c r="E278" s="94">
        <f>'SKU Master'!J277</f>
        <v>0</v>
      </c>
      <c r="F278" s="94"/>
      <c r="G278" s="94"/>
      <c r="H278" s="94">
        <f t="shared" si="20"/>
        <v>0</v>
      </c>
      <c r="I278" s="94">
        <f>H278*'SKU Master'!H277</f>
        <v>0</v>
      </c>
      <c r="J278" s="75" t="str">
        <f t="shared" si="21"/>
        <v>Matched</v>
      </c>
      <c r="K278" s="94">
        <f>IF(F278&gt;D278,D278*'SKU Master'!M277,G278)+I278</f>
        <v>0</v>
      </c>
      <c r="L278" s="94">
        <f t="shared" si="22"/>
        <v>0</v>
      </c>
      <c r="M278" s="95">
        <f t="shared" si="23"/>
        <v>0</v>
      </c>
      <c r="N278" s="75" t="str">
        <f t="shared" si="24"/>
        <v>NO SALES</v>
      </c>
    </row>
    <row r="279" spans="1:14" ht="15" customHeight="1" x14ac:dyDescent="0.25">
      <c r="A279" s="75">
        <v>274</v>
      </c>
      <c r="B279" s="75" t="str">
        <f>IF('SKU Master'!B278="","",'SKU Master'!B278)</f>
        <v/>
      </c>
      <c r="C279" s="75">
        <f>'SKU Master'!C278</f>
        <v>0</v>
      </c>
      <c r="D279" s="94">
        <f>'SKU Master'!I278</f>
        <v>0</v>
      </c>
      <c r="E279" s="94">
        <f>'SKU Master'!J278</f>
        <v>0</v>
      </c>
      <c r="F279" s="94"/>
      <c r="G279" s="94"/>
      <c r="H279" s="94">
        <f t="shared" si="20"/>
        <v>0</v>
      </c>
      <c r="I279" s="94">
        <f>H279*'SKU Master'!H278</f>
        <v>0</v>
      </c>
      <c r="J279" s="75" t="str">
        <f t="shared" si="21"/>
        <v>Matched</v>
      </c>
      <c r="K279" s="94">
        <f>IF(F279&gt;D279,D279*'SKU Master'!M278,G279)+I279</f>
        <v>0</v>
      </c>
      <c r="L279" s="94">
        <f t="shared" si="22"/>
        <v>0</v>
      </c>
      <c r="M279" s="95">
        <f t="shared" si="23"/>
        <v>0</v>
      </c>
      <c r="N279" s="75" t="str">
        <f t="shared" si="24"/>
        <v>NO SALES</v>
      </c>
    </row>
    <row r="280" spans="1:14" ht="15" customHeight="1" x14ac:dyDescent="0.25">
      <c r="A280" s="75">
        <v>275</v>
      </c>
      <c r="B280" s="75" t="str">
        <f>IF('SKU Master'!B279="","",'SKU Master'!B279)</f>
        <v/>
      </c>
      <c r="C280" s="75">
        <f>'SKU Master'!C279</f>
        <v>0</v>
      </c>
      <c r="D280" s="94">
        <f>'SKU Master'!I279</f>
        <v>0</v>
      </c>
      <c r="E280" s="94">
        <f>'SKU Master'!J279</f>
        <v>0</v>
      </c>
      <c r="F280" s="94"/>
      <c r="G280" s="94"/>
      <c r="H280" s="94">
        <f t="shared" si="20"/>
        <v>0</v>
      </c>
      <c r="I280" s="94">
        <f>H280*'SKU Master'!H279</f>
        <v>0</v>
      </c>
      <c r="J280" s="75" t="str">
        <f t="shared" si="21"/>
        <v>Matched</v>
      </c>
      <c r="K280" s="94">
        <f>IF(F280&gt;D280,D280*'SKU Master'!M279,G280)+I280</f>
        <v>0</v>
      </c>
      <c r="L280" s="94">
        <f t="shared" si="22"/>
        <v>0</v>
      </c>
      <c r="M280" s="95">
        <f t="shared" si="23"/>
        <v>0</v>
      </c>
      <c r="N280" s="75" t="str">
        <f t="shared" si="24"/>
        <v>NO SALES</v>
      </c>
    </row>
    <row r="281" spans="1:14" ht="15" customHeight="1" x14ac:dyDescent="0.25">
      <c r="A281" s="80"/>
      <c r="B281" s="80"/>
      <c r="C281" s="78" t="s">
        <v>219</v>
      </c>
      <c r="D281" s="96">
        <f t="shared" ref="D281:I281" si="25">SUM(D6:D280)</f>
        <v>89939.48</v>
      </c>
      <c r="E281" s="96">
        <f t="shared" si="25"/>
        <v>26263190.899999999</v>
      </c>
      <c r="F281" s="96">
        <f t="shared" si="25"/>
        <v>22531.9</v>
      </c>
      <c r="G281" s="96">
        <f t="shared" si="25"/>
        <v>5990692</v>
      </c>
      <c r="H281" s="96">
        <f t="shared" si="25"/>
        <v>73009.16</v>
      </c>
      <c r="I281" s="96">
        <f t="shared" si="25"/>
        <v>17406911.560741778</v>
      </c>
      <c r="J281" s="80"/>
      <c r="K281" s="96">
        <f>SUM(K6:K280)</f>
        <v>21801704.303790707</v>
      </c>
      <c r="L281" s="96">
        <f>SUM(L6:L280)</f>
        <v>4461486.5962092979</v>
      </c>
      <c r="M281" s="97">
        <f>LiveTotalContri/(D281)</f>
        <v>49.605430187158056</v>
      </c>
      <c r="N281" s="80"/>
    </row>
  </sheetData>
  <mergeCells count="2">
    <mergeCell ref="A1:N1"/>
    <mergeCell ref="A3:N3"/>
  </mergeCells>
  <conditionalFormatting sqref="J6:J280">
    <cfRule type="expression" dxfId="15" priority="6">
      <formula>$J6="EXCESS→INV"</formula>
    </cfRule>
  </conditionalFormatting>
  <conditionalFormatting sqref="L6:L280">
    <cfRule type="cellIs" dxfId="14" priority="7" operator="lessThan">
      <formula>0</formula>
    </cfRule>
  </conditionalFormatting>
  <conditionalFormatting sqref="N6:N280">
    <cfRule type="expression" dxfId="13" priority="2">
      <formula>$N6="PROFIT"</formula>
    </cfRule>
    <cfRule type="expression" dxfId="12" priority="3">
      <formula>$N6="THIN"</formula>
    </cfRule>
    <cfRule type="expression" dxfId="11" priority="4">
      <formula>$N6="LOSS"</formula>
    </cfRule>
    <cfRule type="expression" dxfId="10" priority="5">
      <formula>$N6="NO SALES"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"/>
  <sheetViews>
    <sheetView tabSelected="1" zoomScaleNormal="100" workbookViewId="0">
      <selection activeCell="C9" sqref="C9"/>
    </sheetView>
  </sheetViews>
  <sheetFormatPr defaultColWidth="8.7109375" defaultRowHeight="15" x14ac:dyDescent="0.25"/>
  <cols>
    <col min="1" max="1" width="8" customWidth="1"/>
    <col min="2" max="2" width="44.5703125" customWidth="1"/>
    <col min="3" max="3" width="18" customWidth="1"/>
    <col min="4" max="4" width="58.7109375" bestFit="1" customWidth="1"/>
  </cols>
  <sheetData>
    <row r="1" spans="1:4" ht="25.5" customHeight="1" x14ac:dyDescent="0.25">
      <c r="A1" s="151" t="s">
        <v>220</v>
      </c>
      <c r="B1" s="151"/>
      <c r="C1" s="151"/>
      <c r="D1" s="151"/>
    </row>
    <row r="3" spans="1:4" ht="15" customHeight="1" x14ac:dyDescent="0.25">
      <c r="A3" s="98" t="s">
        <v>221</v>
      </c>
      <c r="B3" s="98" t="s">
        <v>222</v>
      </c>
      <c r="C3" s="98" t="s">
        <v>223</v>
      </c>
      <c r="D3" s="98" t="s">
        <v>224</v>
      </c>
    </row>
    <row r="4" spans="1:4" ht="15" customHeight="1" x14ac:dyDescent="0.25">
      <c r="A4" s="75" t="s">
        <v>225</v>
      </c>
      <c r="B4" s="69" t="s">
        <v>226</v>
      </c>
      <c r="C4" s="94">
        <f>LiveTotalContri</f>
        <v>4461486.5962092979</v>
      </c>
      <c r="D4" s="99" t="s">
        <v>227</v>
      </c>
    </row>
    <row r="5" spans="1:4" ht="15" customHeight="1" x14ac:dyDescent="0.25">
      <c r="A5" s="75" t="s">
        <v>228</v>
      </c>
      <c r="B5" s="75" t="s">
        <v>229</v>
      </c>
      <c r="C5" s="129">
        <f>'Apr26'!E53</f>
        <v>0</v>
      </c>
      <c r="D5" s="99" t="s">
        <v>230</v>
      </c>
    </row>
    <row r="6" spans="1:4" ht="15" customHeight="1" x14ac:dyDescent="0.25">
      <c r="A6" s="75" t="s">
        <v>231</v>
      </c>
      <c r="B6" s="75" t="s">
        <v>232</v>
      </c>
      <c r="C6" s="129">
        <f>'Apr26'!E54</f>
        <v>172406</v>
      </c>
      <c r="D6" s="99" t="s">
        <v>233</v>
      </c>
    </row>
    <row r="7" spans="1:4" ht="15" customHeight="1" x14ac:dyDescent="0.25">
      <c r="A7" s="75" t="s">
        <v>234</v>
      </c>
      <c r="B7" s="75" t="s">
        <v>235</v>
      </c>
      <c r="C7" s="129">
        <f>'Apr26'!E55</f>
        <v>21805</v>
      </c>
      <c r="D7" s="99" t="s">
        <v>236</v>
      </c>
    </row>
    <row r="8" spans="1:4" ht="15" customHeight="1" x14ac:dyDescent="0.25">
      <c r="A8" s="75" t="s">
        <v>237</v>
      </c>
      <c r="B8" s="75" t="s">
        <v>238</v>
      </c>
      <c r="C8" s="129">
        <f>'Apr26'!E21</f>
        <v>-3374117</v>
      </c>
      <c r="D8" s="99" t="s">
        <v>239</v>
      </c>
    </row>
    <row r="9" spans="1:4" ht="15" customHeight="1" x14ac:dyDescent="0.25">
      <c r="A9" s="75" t="s">
        <v>240</v>
      </c>
      <c r="B9" s="75" t="s">
        <v>241</v>
      </c>
      <c r="C9" s="130">
        <v>6298993</v>
      </c>
      <c r="D9" s="99" t="s">
        <v>242</v>
      </c>
    </row>
    <row r="10" spans="1:4" ht="15" customHeight="1" x14ac:dyDescent="0.25">
      <c r="A10" s="77"/>
      <c r="B10" s="99" t="s">
        <v>243</v>
      </c>
      <c r="C10" s="100">
        <f>SUM(C4:C9)</f>
        <v>7580573.5962092979</v>
      </c>
      <c r="D10" s="77"/>
    </row>
    <row r="12" spans="1:4" ht="15" customHeight="1" x14ac:dyDescent="0.25">
      <c r="A12" s="80"/>
      <c r="B12" s="78" t="s">
        <v>244</v>
      </c>
      <c r="C12" s="101">
        <f>SUM(C4:C9)</f>
        <v>7580573.5962092979</v>
      </c>
      <c r="D12" s="80"/>
    </row>
    <row r="13" spans="1:4" ht="15" customHeight="1" x14ac:dyDescent="0.25">
      <c r="A13" s="77"/>
      <c r="B13" s="75" t="s">
        <v>245</v>
      </c>
      <c r="C13" s="74">
        <f>'Apr26'!E38</f>
        <v>2963361</v>
      </c>
      <c r="D13" s="77"/>
    </row>
    <row r="14" spans="1:4" ht="15" customHeight="1" x14ac:dyDescent="0.25">
      <c r="A14" s="102"/>
      <c r="B14" s="103" t="s">
        <v>246</v>
      </c>
      <c r="C14" s="104">
        <f>C12-C13</f>
        <v>4617212.5962092979</v>
      </c>
      <c r="D14" s="102"/>
    </row>
    <row r="15" spans="1:4" ht="15" customHeight="1" x14ac:dyDescent="0.25">
      <c r="A15" s="77"/>
      <c r="B15" s="75" t="s">
        <v>247</v>
      </c>
      <c r="C15" s="105">
        <f>'Apr26'!E47</f>
        <v>4617213</v>
      </c>
      <c r="D15" s="77"/>
    </row>
    <row r="16" spans="1:4" ht="15" customHeight="1" x14ac:dyDescent="0.25">
      <c r="A16" s="77"/>
      <c r="B16" s="69" t="s">
        <v>248</v>
      </c>
      <c r="C16" s="106">
        <f>C14-C15</f>
        <v>-0.40379070211201906</v>
      </c>
      <c r="D16" s="77"/>
    </row>
    <row r="18" spans="1:4" ht="15" customHeight="1" x14ac:dyDescent="0.25">
      <c r="A18" s="107" t="s">
        <v>249</v>
      </c>
    </row>
    <row r="19" spans="1:4" ht="15" customHeight="1" x14ac:dyDescent="0.25">
      <c r="A19" s="152" t="s">
        <v>250</v>
      </c>
      <c r="B19" s="152"/>
      <c r="C19" s="152"/>
      <c r="D19" s="152"/>
    </row>
    <row r="20" spans="1:4" ht="15" customHeight="1" x14ac:dyDescent="0.25">
      <c r="A20" s="152" t="s">
        <v>251</v>
      </c>
      <c r="B20" s="152"/>
      <c r="C20" s="152"/>
      <c r="D20" s="152"/>
    </row>
    <row r="21" spans="1:4" ht="15" customHeight="1" x14ac:dyDescent="0.25">
      <c r="A21" s="152" t="s">
        <v>252</v>
      </c>
      <c r="B21" s="152"/>
      <c r="C21" s="152"/>
      <c r="D21" s="152"/>
    </row>
    <row r="22" spans="1:4" ht="15" customHeight="1" x14ac:dyDescent="0.25">
      <c r="A22" s="152" t="s">
        <v>253</v>
      </c>
      <c r="B22" s="152"/>
      <c r="C22" s="152"/>
      <c r="D22" s="152"/>
    </row>
    <row r="23" spans="1:4" ht="15" customHeight="1" x14ac:dyDescent="0.25">
      <c r="A23" s="152" t="s">
        <v>254</v>
      </c>
      <c r="B23" s="152"/>
      <c r="C23" s="152"/>
      <c r="D23" s="152"/>
    </row>
  </sheetData>
  <mergeCells count="6">
    <mergeCell ref="A23:D23"/>
    <mergeCell ref="A1:D1"/>
    <mergeCell ref="A19:D19"/>
    <mergeCell ref="A20:D20"/>
    <mergeCell ref="A21:D21"/>
    <mergeCell ref="A22:D22"/>
  </mergeCells>
  <pageMargins left="0.75" right="0.75" top="1" bottom="1" header="0.511811023622047" footer="0.511811023622047"/>
  <pageSetup paperSize="9" orientation="portrait" horizontalDpi="300" verticalDpi="300"/>
  <ignoredErrors>
    <ignoredError sqref="C15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38"/>
  <sheetViews>
    <sheetView topLeftCell="A9" zoomScale="124" zoomScaleNormal="124" workbookViewId="0">
      <selection activeCell="B16" sqref="B16"/>
    </sheetView>
  </sheetViews>
  <sheetFormatPr defaultColWidth="8.7109375" defaultRowHeight="15" x14ac:dyDescent="0.25"/>
  <cols>
    <col min="1" max="1" width="34.42578125" bestFit="1" customWidth="1"/>
    <col min="2" max="2" width="20" customWidth="1"/>
    <col min="3" max="3" width="30" customWidth="1"/>
    <col min="4" max="4" width="12" customWidth="1"/>
    <col min="9" max="9" width="7.42578125" customWidth="1"/>
    <col min="10" max="10" width="36.140625" customWidth="1"/>
  </cols>
  <sheetData>
    <row r="1" spans="1:10" ht="25.5" customHeight="1" x14ac:dyDescent="0.25">
      <c r="A1" s="151" t="s">
        <v>255</v>
      </c>
      <c r="B1" s="151"/>
      <c r="C1" s="151"/>
      <c r="D1" s="151"/>
    </row>
    <row r="2" spans="1:10" ht="15" customHeight="1" x14ac:dyDescent="0.25">
      <c r="I2" s="108" t="s">
        <v>256</v>
      </c>
      <c r="J2" s="108" t="s">
        <v>222</v>
      </c>
    </row>
    <row r="3" spans="1:10" ht="15" customHeight="1" x14ac:dyDescent="0.25">
      <c r="A3" s="2" t="s">
        <v>257</v>
      </c>
      <c r="E3" s="135" t="s">
        <v>925</v>
      </c>
      <c r="I3">
        <v>101</v>
      </c>
      <c r="J3" t="s">
        <v>258</v>
      </c>
    </row>
    <row r="4" spans="1:10" ht="15" customHeight="1" x14ac:dyDescent="0.25">
      <c r="A4" s="69" t="s">
        <v>259</v>
      </c>
      <c r="B4" s="109">
        <v>258</v>
      </c>
      <c r="C4" s="133" t="s">
        <v>921</v>
      </c>
      <c r="D4" s="134">
        <v>107.37</v>
      </c>
      <c r="E4" s="131" t="s">
        <v>926</v>
      </c>
      <c r="I4">
        <v>102</v>
      </c>
      <c r="J4" t="s">
        <v>260</v>
      </c>
    </row>
    <row r="5" spans="1:10" ht="15" customHeight="1" x14ac:dyDescent="0.25">
      <c r="C5" s="133" t="s">
        <v>922</v>
      </c>
      <c r="D5" s="134">
        <v>2</v>
      </c>
      <c r="I5">
        <v>103</v>
      </c>
      <c r="J5" t="s">
        <v>261</v>
      </c>
    </row>
    <row r="6" spans="1:10" ht="15" customHeight="1" x14ac:dyDescent="0.25">
      <c r="A6" s="2" t="s">
        <v>262</v>
      </c>
      <c r="C6" s="133" t="s">
        <v>923</v>
      </c>
      <c r="D6" s="134"/>
      <c r="I6">
        <v>104</v>
      </c>
      <c r="J6" t="s">
        <v>263</v>
      </c>
    </row>
    <row r="7" spans="1:10" ht="15" customHeight="1" x14ac:dyDescent="0.25">
      <c r="A7" s="75" t="s">
        <v>170</v>
      </c>
      <c r="B7" s="110" t="str">
        <f>IFERROR(VLOOKUP(B4,'SKU Master'!B5:N259,2,FALSE()),IFERROR(VLOOKUP(TEXT(B4,"0"),'SKU Master'!B5:N259,2,FALSE()),"NOT FOUND"))</f>
        <v>SF 54"</v>
      </c>
      <c r="I7">
        <v>105</v>
      </c>
      <c r="J7" t="s">
        <v>264</v>
      </c>
    </row>
    <row r="8" spans="1:10" ht="15" customHeight="1" x14ac:dyDescent="0.25">
      <c r="A8" s="75" t="s">
        <v>171</v>
      </c>
      <c r="B8" s="110" t="str">
        <f>IFERROR(VLOOKUP(B4,#REF!,3,FALSE()),IFERROR(VLOOKUP(TEXT(B4,"0"),#REF!,3,FALSE()),""))</f>
        <v/>
      </c>
      <c r="I8">
        <v>106</v>
      </c>
      <c r="J8" t="s">
        <v>265</v>
      </c>
    </row>
    <row r="9" spans="1:10" ht="15" customHeight="1" x14ac:dyDescent="0.25">
      <c r="A9" s="75" t="s">
        <v>266</v>
      </c>
      <c r="B9" s="76">
        <f>IFERROR(VLOOKUP(B4,'SKU Master'!B5:N259,7,FALSE()),IFERROR(VLOOKUP(TEXT(B4,"0"),'SKU Master'!B5:N259,7,FALSE()),0))</f>
        <v>270.20039609941057</v>
      </c>
      <c r="I9">
        <v>107</v>
      </c>
      <c r="J9" t="s">
        <v>267</v>
      </c>
    </row>
    <row r="10" spans="1:10" ht="15" customHeight="1" x14ac:dyDescent="0.25">
      <c r="A10" s="75" t="s">
        <v>180</v>
      </c>
      <c r="B10" s="76">
        <f>IFERROR(VLOOKUP(B4,'SKU Master'!B5:N259,12,FALSE()),IFERROR(VLOOKUP(TEXT(B4,"0"),'SKU Master'!B5:N259,12,FALSE()),0))</f>
        <v>0</v>
      </c>
      <c r="I10">
        <v>108</v>
      </c>
      <c r="J10" t="s">
        <v>268</v>
      </c>
    </row>
    <row r="11" spans="1:10" ht="15" customHeight="1" x14ac:dyDescent="0.25">
      <c r="A11" s="75" t="s">
        <v>181</v>
      </c>
      <c r="B11" s="76">
        <f>IFERROR(VLOOKUP(B4,'SKU Master'!B5:N259,13,FALSE()),IFERROR(VLOOKUP(TEXT(B4,"0"),'SKU Master'!B5:N259,13,FALSE()),0))</f>
        <v>292.4344271633687</v>
      </c>
      <c r="I11">
        <v>109</v>
      </c>
      <c r="J11" t="s">
        <v>269</v>
      </c>
    </row>
    <row r="12" spans="1:10" ht="15" customHeight="1" x14ac:dyDescent="0.25">
      <c r="I12">
        <v>110</v>
      </c>
      <c r="J12" t="s">
        <v>270</v>
      </c>
    </row>
    <row r="13" spans="1:10" ht="15" customHeight="1" x14ac:dyDescent="0.25">
      <c r="A13" s="2" t="s">
        <v>271</v>
      </c>
      <c r="I13">
        <v>111</v>
      </c>
      <c r="J13" t="s">
        <v>272</v>
      </c>
    </row>
    <row r="14" spans="1:10" ht="15" customHeight="1" x14ac:dyDescent="0.25">
      <c r="A14" s="69" t="s">
        <v>273</v>
      </c>
      <c r="B14" s="111" t="s">
        <v>274</v>
      </c>
      <c r="C14" s="131" t="s">
        <v>920</v>
      </c>
      <c r="D14" s="131" t="s">
        <v>172</v>
      </c>
      <c r="E14" s="131" t="s">
        <v>924</v>
      </c>
      <c r="I14">
        <v>112</v>
      </c>
      <c r="J14" t="s">
        <v>275</v>
      </c>
    </row>
    <row r="15" spans="1:10" ht="15" customHeight="1" x14ac:dyDescent="0.25">
      <c r="A15" s="69" t="s">
        <v>276</v>
      </c>
      <c r="B15" s="70">
        <v>325</v>
      </c>
      <c r="C15" s="132">
        <f>_xlfn.CEILING.MATH((B15*D15),0.05)</f>
        <v>16.55</v>
      </c>
      <c r="D15" s="136">
        <f>_xlfn.XLOOKUP(B4,'SKU Master'!B5:B259,'SKU Master'!E5:E259,"NA",0)</f>
        <v>5.0812124901806803E-2</v>
      </c>
      <c r="E15" s="137">
        <f>IF(B4&lt;300,(D15*50),(D15*30))</f>
        <v>2.5406062450903399</v>
      </c>
      <c r="I15">
        <v>113</v>
      </c>
      <c r="J15" t="s">
        <v>277</v>
      </c>
    </row>
    <row r="16" spans="1:10" ht="15" customHeight="1" x14ac:dyDescent="0.25">
      <c r="A16" s="69" t="s">
        <v>278</v>
      </c>
      <c r="B16" s="73">
        <v>1</v>
      </c>
      <c r="I16">
        <v>114</v>
      </c>
      <c r="J16" t="s">
        <v>279</v>
      </c>
    </row>
    <row r="17" spans="1:10" ht="15" customHeight="1" x14ac:dyDescent="0.25">
      <c r="A17" s="69" t="s">
        <v>280</v>
      </c>
      <c r="B17" s="70">
        <f>B10</f>
        <v>0</v>
      </c>
      <c r="I17">
        <v>115</v>
      </c>
      <c r="J17" t="s">
        <v>281</v>
      </c>
    </row>
    <row r="18" spans="1:10" ht="15" customHeight="1" x14ac:dyDescent="0.25">
      <c r="I18">
        <v>116</v>
      </c>
      <c r="J18" t="s">
        <v>282</v>
      </c>
    </row>
    <row r="19" spans="1:10" ht="15" customHeight="1" x14ac:dyDescent="0.25">
      <c r="A19" s="2" t="s">
        <v>283</v>
      </c>
      <c r="I19">
        <v>117</v>
      </c>
      <c r="J19" t="s">
        <v>284</v>
      </c>
    </row>
    <row r="20" spans="1:10" ht="15" customHeight="1" x14ac:dyDescent="0.25">
      <c r="A20" s="78" t="s">
        <v>285</v>
      </c>
      <c r="B20" s="79">
        <f>IF(B14="Produce in-house",B9,B17+WCCharge)</f>
        <v>270.20039609941057</v>
      </c>
      <c r="I20">
        <v>118</v>
      </c>
      <c r="J20" t="s">
        <v>286</v>
      </c>
    </row>
    <row r="21" spans="1:10" ht="15" customHeight="1" x14ac:dyDescent="0.25">
      <c r="A21" s="78" t="s">
        <v>287</v>
      </c>
      <c r="B21" s="112">
        <f>B15-B20</f>
        <v>54.799603900589432</v>
      </c>
      <c r="I21">
        <v>119</v>
      </c>
      <c r="J21" t="s">
        <v>288</v>
      </c>
    </row>
    <row r="22" spans="1:10" ht="15" customHeight="1" x14ac:dyDescent="0.25">
      <c r="A22" s="75" t="s">
        <v>289</v>
      </c>
      <c r="B22" s="113">
        <f>IFERROR(B21/B15,0)</f>
        <v>0.16861416584796748</v>
      </c>
      <c r="I22">
        <v>120</v>
      </c>
      <c r="J22" t="s">
        <v>290</v>
      </c>
    </row>
    <row r="23" spans="1:10" ht="15" customHeight="1" x14ac:dyDescent="0.25">
      <c r="A23" s="78" t="s">
        <v>291</v>
      </c>
      <c r="B23" s="114">
        <f>B21*B16</f>
        <v>54.799603900589432</v>
      </c>
      <c r="I23">
        <v>121</v>
      </c>
      <c r="J23" t="s">
        <v>292</v>
      </c>
    </row>
    <row r="24" spans="1:10" ht="15" customHeight="1" x14ac:dyDescent="0.25">
      <c r="I24">
        <v>122</v>
      </c>
      <c r="J24" t="s">
        <v>293</v>
      </c>
    </row>
    <row r="25" spans="1:10" ht="15" customHeight="1" x14ac:dyDescent="0.25">
      <c r="A25" s="75" t="s">
        <v>294</v>
      </c>
      <c r="B25" s="76">
        <f>B20</f>
        <v>270.20039609941057</v>
      </c>
      <c r="C25" s="99" t="s">
        <v>295</v>
      </c>
      <c r="I25">
        <v>123</v>
      </c>
      <c r="J25" t="s">
        <v>296</v>
      </c>
    </row>
    <row r="26" spans="1:10" ht="15" customHeight="1" x14ac:dyDescent="0.25">
      <c r="A26" s="75" t="s">
        <v>297</v>
      </c>
      <c r="B26" s="76">
        <f>B20/0.85</f>
        <v>317.88281894048305</v>
      </c>
      <c r="C26" s="77"/>
      <c r="I26">
        <v>124</v>
      </c>
      <c r="J26" t="s">
        <v>298</v>
      </c>
    </row>
    <row r="27" spans="1:10" ht="15" customHeight="1" x14ac:dyDescent="0.25">
      <c r="A27" s="115" t="s">
        <v>299</v>
      </c>
      <c r="B27" s="155" t="str">
        <f>IF(B21&lt;0,"REJECT — loss per Kg",IF(B21/B15&lt;0.1,"CAUTION — Thin",IF(B21/B15&lt;0.2,"ACCEPTABLE","STRONG")))</f>
        <v>ACCEPTABLE</v>
      </c>
      <c r="C27" s="155"/>
      <c r="D27" s="155"/>
      <c r="I27">
        <v>125</v>
      </c>
      <c r="J27" t="s">
        <v>300</v>
      </c>
    </row>
    <row r="28" spans="1:10" ht="15" customHeight="1" x14ac:dyDescent="0.25">
      <c r="I28">
        <v>126</v>
      </c>
      <c r="J28" t="s">
        <v>301</v>
      </c>
    </row>
    <row r="29" spans="1:10" ht="15" customHeight="1" x14ac:dyDescent="0.25">
      <c r="I29">
        <v>126</v>
      </c>
      <c r="J29" t="s">
        <v>302</v>
      </c>
    </row>
    <row r="30" spans="1:10" ht="15" customHeight="1" x14ac:dyDescent="0.25">
      <c r="I30">
        <v>126</v>
      </c>
      <c r="J30" t="s">
        <v>303</v>
      </c>
    </row>
    <row r="31" spans="1:10" ht="15" customHeight="1" x14ac:dyDescent="0.25">
      <c r="I31">
        <v>127</v>
      </c>
      <c r="J31" t="s">
        <v>304</v>
      </c>
    </row>
    <row r="32" spans="1:10" ht="15" customHeight="1" x14ac:dyDescent="0.25">
      <c r="I32">
        <v>128</v>
      </c>
      <c r="J32" t="s">
        <v>305</v>
      </c>
    </row>
    <row r="33" spans="9:10" ht="15" customHeight="1" x14ac:dyDescent="0.25">
      <c r="I33">
        <v>129</v>
      </c>
      <c r="J33" t="s">
        <v>306</v>
      </c>
    </row>
    <row r="34" spans="9:10" ht="15" customHeight="1" x14ac:dyDescent="0.25">
      <c r="I34">
        <v>130</v>
      </c>
      <c r="J34" t="s">
        <v>307</v>
      </c>
    </row>
    <row r="35" spans="9:10" ht="15" customHeight="1" x14ac:dyDescent="0.25">
      <c r="I35">
        <v>131</v>
      </c>
      <c r="J35" t="s">
        <v>308</v>
      </c>
    </row>
    <row r="36" spans="9:10" ht="15" customHeight="1" x14ac:dyDescent="0.25">
      <c r="I36">
        <v>132</v>
      </c>
      <c r="J36" t="s">
        <v>309</v>
      </c>
    </row>
    <row r="37" spans="9:10" ht="15" customHeight="1" x14ac:dyDescent="0.25">
      <c r="I37">
        <v>133</v>
      </c>
      <c r="J37" t="s">
        <v>310</v>
      </c>
    </row>
    <row r="38" spans="9:10" ht="15" customHeight="1" x14ac:dyDescent="0.25">
      <c r="I38">
        <v>134</v>
      </c>
      <c r="J38" t="s">
        <v>311</v>
      </c>
    </row>
    <row r="39" spans="9:10" ht="15" customHeight="1" x14ac:dyDescent="0.25">
      <c r="I39">
        <v>135</v>
      </c>
      <c r="J39" t="s">
        <v>312</v>
      </c>
    </row>
    <row r="40" spans="9:10" ht="15" customHeight="1" x14ac:dyDescent="0.25">
      <c r="I40">
        <v>136</v>
      </c>
      <c r="J40" t="s">
        <v>313</v>
      </c>
    </row>
    <row r="41" spans="9:10" ht="15" customHeight="1" x14ac:dyDescent="0.25">
      <c r="I41">
        <v>137</v>
      </c>
      <c r="J41" t="s">
        <v>314</v>
      </c>
    </row>
    <row r="42" spans="9:10" ht="15" customHeight="1" x14ac:dyDescent="0.25">
      <c r="I42">
        <v>138</v>
      </c>
      <c r="J42" t="s">
        <v>315</v>
      </c>
    </row>
    <row r="43" spans="9:10" ht="15" customHeight="1" x14ac:dyDescent="0.25">
      <c r="I43">
        <v>139</v>
      </c>
      <c r="J43" t="s">
        <v>316</v>
      </c>
    </row>
    <row r="44" spans="9:10" ht="15" customHeight="1" x14ac:dyDescent="0.25">
      <c r="I44">
        <v>140</v>
      </c>
      <c r="J44" t="s">
        <v>317</v>
      </c>
    </row>
    <row r="45" spans="9:10" ht="15" customHeight="1" x14ac:dyDescent="0.25">
      <c r="I45">
        <v>141</v>
      </c>
      <c r="J45" t="s">
        <v>318</v>
      </c>
    </row>
    <row r="46" spans="9:10" ht="15" customHeight="1" x14ac:dyDescent="0.25">
      <c r="I46">
        <v>142</v>
      </c>
      <c r="J46" t="s">
        <v>319</v>
      </c>
    </row>
    <row r="47" spans="9:10" ht="15" customHeight="1" x14ac:dyDescent="0.25">
      <c r="I47">
        <v>143</v>
      </c>
      <c r="J47" t="s">
        <v>320</v>
      </c>
    </row>
    <row r="48" spans="9:10" ht="15" customHeight="1" x14ac:dyDescent="0.25">
      <c r="I48">
        <v>144</v>
      </c>
      <c r="J48" t="s">
        <v>321</v>
      </c>
    </row>
    <row r="49" spans="9:10" ht="15" customHeight="1" x14ac:dyDescent="0.25">
      <c r="I49">
        <v>144</v>
      </c>
      <c r="J49" t="s">
        <v>322</v>
      </c>
    </row>
    <row r="50" spans="9:10" ht="15" customHeight="1" x14ac:dyDescent="0.25">
      <c r="I50">
        <v>145</v>
      </c>
      <c r="J50" t="s">
        <v>323</v>
      </c>
    </row>
    <row r="51" spans="9:10" ht="15" customHeight="1" x14ac:dyDescent="0.25">
      <c r="I51">
        <v>145</v>
      </c>
      <c r="J51" t="s">
        <v>324</v>
      </c>
    </row>
    <row r="52" spans="9:10" ht="15" customHeight="1" x14ac:dyDescent="0.25">
      <c r="I52">
        <v>147</v>
      </c>
      <c r="J52" t="s">
        <v>325</v>
      </c>
    </row>
    <row r="53" spans="9:10" ht="15" customHeight="1" x14ac:dyDescent="0.25">
      <c r="I53">
        <v>148</v>
      </c>
      <c r="J53" t="s">
        <v>326</v>
      </c>
    </row>
    <row r="54" spans="9:10" ht="15" customHeight="1" x14ac:dyDescent="0.25">
      <c r="I54">
        <v>149</v>
      </c>
      <c r="J54" t="s">
        <v>327</v>
      </c>
    </row>
    <row r="55" spans="9:10" ht="15" customHeight="1" x14ac:dyDescent="0.25">
      <c r="I55">
        <v>150</v>
      </c>
      <c r="J55" t="s">
        <v>328</v>
      </c>
    </row>
    <row r="56" spans="9:10" ht="15" customHeight="1" x14ac:dyDescent="0.25">
      <c r="I56">
        <v>151</v>
      </c>
      <c r="J56" t="s">
        <v>329</v>
      </c>
    </row>
    <row r="57" spans="9:10" ht="15" customHeight="1" x14ac:dyDescent="0.25">
      <c r="I57">
        <v>152</v>
      </c>
      <c r="J57" t="s">
        <v>330</v>
      </c>
    </row>
    <row r="58" spans="9:10" ht="15" customHeight="1" x14ac:dyDescent="0.25">
      <c r="I58">
        <v>153</v>
      </c>
      <c r="J58" t="s">
        <v>331</v>
      </c>
    </row>
    <row r="59" spans="9:10" ht="15" customHeight="1" x14ac:dyDescent="0.25">
      <c r="I59">
        <v>154</v>
      </c>
      <c r="J59" t="s">
        <v>332</v>
      </c>
    </row>
    <row r="60" spans="9:10" ht="15" customHeight="1" x14ac:dyDescent="0.25">
      <c r="I60">
        <v>155</v>
      </c>
      <c r="J60" t="s">
        <v>333</v>
      </c>
    </row>
    <row r="61" spans="9:10" ht="15" customHeight="1" x14ac:dyDescent="0.25">
      <c r="I61">
        <v>156</v>
      </c>
      <c r="J61" t="s">
        <v>334</v>
      </c>
    </row>
    <row r="62" spans="9:10" ht="15" customHeight="1" x14ac:dyDescent="0.25">
      <c r="I62">
        <v>157</v>
      </c>
      <c r="J62" t="s">
        <v>335</v>
      </c>
    </row>
    <row r="63" spans="9:10" ht="15" customHeight="1" x14ac:dyDescent="0.25">
      <c r="I63">
        <v>158</v>
      </c>
      <c r="J63" t="s">
        <v>336</v>
      </c>
    </row>
    <row r="64" spans="9:10" ht="15" customHeight="1" x14ac:dyDescent="0.25">
      <c r="I64">
        <v>159</v>
      </c>
      <c r="J64" t="s">
        <v>337</v>
      </c>
    </row>
    <row r="65" spans="9:10" ht="15" customHeight="1" x14ac:dyDescent="0.25">
      <c r="I65">
        <v>159</v>
      </c>
      <c r="J65" t="s">
        <v>338</v>
      </c>
    </row>
    <row r="66" spans="9:10" ht="15" customHeight="1" x14ac:dyDescent="0.25">
      <c r="I66">
        <v>159</v>
      </c>
      <c r="J66" t="s">
        <v>339</v>
      </c>
    </row>
    <row r="67" spans="9:10" ht="15" customHeight="1" x14ac:dyDescent="0.25">
      <c r="I67">
        <v>161</v>
      </c>
      <c r="J67" t="s">
        <v>340</v>
      </c>
    </row>
    <row r="68" spans="9:10" ht="15" customHeight="1" x14ac:dyDescent="0.25">
      <c r="I68">
        <v>162</v>
      </c>
      <c r="J68" t="s">
        <v>341</v>
      </c>
    </row>
    <row r="69" spans="9:10" ht="15" customHeight="1" x14ac:dyDescent="0.25">
      <c r="I69">
        <v>163</v>
      </c>
      <c r="J69" t="s">
        <v>342</v>
      </c>
    </row>
    <row r="70" spans="9:10" ht="15" customHeight="1" x14ac:dyDescent="0.25">
      <c r="I70">
        <v>164</v>
      </c>
      <c r="J70" t="s">
        <v>343</v>
      </c>
    </row>
    <row r="71" spans="9:10" ht="15" customHeight="1" x14ac:dyDescent="0.25">
      <c r="I71">
        <v>164</v>
      </c>
      <c r="J71" t="s">
        <v>344</v>
      </c>
    </row>
    <row r="72" spans="9:10" ht="15" customHeight="1" x14ac:dyDescent="0.25">
      <c r="I72">
        <v>165</v>
      </c>
      <c r="J72" t="s">
        <v>345</v>
      </c>
    </row>
    <row r="73" spans="9:10" ht="15" customHeight="1" x14ac:dyDescent="0.25">
      <c r="I73">
        <v>166</v>
      </c>
      <c r="J73" t="s">
        <v>346</v>
      </c>
    </row>
    <row r="74" spans="9:10" ht="15" customHeight="1" x14ac:dyDescent="0.25">
      <c r="I74">
        <v>167</v>
      </c>
      <c r="J74" t="s">
        <v>347</v>
      </c>
    </row>
    <row r="75" spans="9:10" ht="15" customHeight="1" x14ac:dyDescent="0.25">
      <c r="I75">
        <v>168</v>
      </c>
      <c r="J75" t="s">
        <v>348</v>
      </c>
    </row>
    <row r="76" spans="9:10" ht="15" customHeight="1" x14ac:dyDescent="0.25">
      <c r="I76">
        <v>169</v>
      </c>
      <c r="J76" t="s">
        <v>349</v>
      </c>
    </row>
    <row r="77" spans="9:10" ht="15" customHeight="1" x14ac:dyDescent="0.25">
      <c r="I77">
        <v>170</v>
      </c>
      <c r="J77" t="s">
        <v>350</v>
      </c>
    </row>
    <row r="78" spans="9:10" ht="15" customHeight="1" x14ac:dyDescent="0.25">
      <c r="I78">
        <v>171</v>
      </c>
      <c r="J78" t="s">
        <v>351</v>
      </c>
    </row>
    <row r="79" spans="9:10" ht="15" customHeight="1" x14ac:dyDescent="0.25">
      <c r="I79">
        <v>172</v>
      </c>
      <c r="J79" t="s">
        <v>352</v>
      </c>
    </row>
    <row r="80" spans="9:10" ht="15" customHeight="1" x14ac:dyDescent="0.25">
      <c r="I80">
        <v>173</v>
      </c>
      <c r="J80" t="s">
        <v>353</v>
      </c>
    </row>
    <row r="81" spans="9:10" ht="15" customHeight="1" x14ac:dyDescent="0.25">
      <c r="I81">
        <v>174</v>
      </c>
      <c r="J81" t="s">
        <v>354</v>
      </c>
    </row>
    <row r="82" spans="9:10" ht="15" customHeight="1" x14ac:dyDescent="0.25">
      <c r="I82">
        <v>174</v>
      </c>
      <c r="J82" t="s">
        <v>355</v>
      </c>
    </row>
    <row r="83" spans="9:10" ht="15" customHeight="1" x14ac:dyDescent="0.25">
      <c r="I83">
        <v>174</v>
      </c>
      <c r="J83" t="s">
        <v>356</v>
      </c>
    </row>
    <row r="84" spans="9:10" ht="15" customHeight="1" x14ac:dyDescent="0.25">
      <c r="I84">
        <v>175</v>
      </c>
      <c r="J84" t="s">
        <v>357</v>
      </c>
    </row>
    <row r="85" spans="9:10" ht="15" customHeight="1" x14ac:dyDescent="0.25">
      <c r="I85">
        <v>175</v>
      </c>
      <c r="J85" t="s">
        <v>358</v>
      </c>
    </row>
    <row r="86" spans="9:10" ht="15" customHeight="1" x14ac:dyDescent="0.25">
      <c r="I86">
        <v>175</v>
      </c>
      <c r="J86" t="s">
        <v>359</v>
      </c>
    </row>
    <row r="87" spans="9:10" ht="15" customHeight="1" x14ac:dyDescent="0.25">
      <c r="I87">
        <v>175</v>
      </c>
      <c r="J87" t="s">
        <v>360</v>
      </c>
    </row>
    <row r="88" spans="9:10" ht="15" customHeight="1" x14ac:dyDescent="0.25">
      <c r="I88">
        <v>176</v>
      </c>
      <c r="J88" t="s">
        <v>361</v>
      </c>
    </row>
    <row r="89" spans="9:10" ht="15" customHeight="1" x14ac:dyDescent="0.25">
      <c r="I89">
        <v>177</v>
      </c>
      <c r="J89" t="s">
        <v>362</v>
      </c>
    </row>
    <row r="90" spans="9:10" ht="15" customHeight="1" x14ac:dyDescent="0.25">
      <c r="I90">
        <v>178</v>
      </c>
      <c r="J90" t="s">
        <v>363</v>
      </c>
    </row>
    <row r="91" spans="9:10" ht="15" customHeight="1" x14ac:dyDescent="0.25">
      <c r="I91">
        <v>179</v>
      </c>
      <c r="J91" t="s">
        <v>364</v>
      </c>
    </row>
    <row r="92" spans="9:10" ht="15" customHeight="1" x14ac:dyDescent="0.25">
      <c r="I92">
        <v>179</v>
      </c>
      <c r="J92" t="s">
        <v>365</v>
      </c>
    </row>
    <row r="93" spans="9:10" ht="15" customHeight="1" x14ac:dyDescent="0.25">
      <c r="I93">
        <v>181</v>
      </c>
      <c r="J93" t="s">
        <v>366</v>
      </c>
    </row>
    <row r="94" spans="9:10" ht="15" customHeight="1" x14ac:dyDescent="0.25">
      <c r="I94">
        <v>182</v>
      </c>
      <c r="J94" t="s">
        <v>367</v>
      </c>
    </row>
    <row r="95" spans="9:10" ht="15" customHeight="1" x14ac:dyDescent="0.25">
      <c r="I95">
        <v>183</v>
      </c>
      <c r="J95" t="s">
        <v>368</v>
      </c>
    </row>
    <row r="96" spans="9:10" ht="15" customHeight="1" x14ac:dyDescent="0.25">
      <c r="I96">
        <v>184</v>
      </c>
      <c r="J96" t="s">
        <v>369</v>
      </c>
    </row>
    <row r="97" spans="9:10" ht="15" customHeight="1" x14ac:dyDescent="0.25">
      <c r="I97">
        <v>185</v>
      </c>
      <c r="J97" t="s">
        <v>370</v>
      </c>
    </row>
    <row r="98" spans="9:10" ht="15" customHeight="1" x14ac:dyDescent="0.25">
      <c r="I98">
        <v>186</v>
      </c>
      <c r="J98" t="s">
        <v>371</v>
      </c>
    </row>
    <row r="99" spans="9:10" ht="15" customHeight="1" x14ac:dyDescent="0.25">
      <c r="I99">
        <v>187</v>
      </c>
      <c r="J99" t="s">
        <v>372</v>
      </c>
    </row>
    <row r="100" spans="9:10" ht="15" customHeight="1" x14ac:dyDescent="0.25">
      <c r="I100">
        <v>188</v>
      </c>
      <c r="J100" t="s">
        <v>373</v>
      </c>
    </row>
    <row r="101" spans="9:10" ht="15" customHeight="1" x14ac:dyDescent="0.25">
      <c r="I101">
        <v>189</v>
      </c>
      <c r="J101" t="s">
        <v>374</v>
      </c>
    </row>
    <row r="102" spans="9:10" ht="15" customHeight="1" x14ac:dyDescent="0.25">
      <c r="I102">
        <v>190</v>
      </c>
      <c r="J102" t="s">
        <v>375</v>
      </c>
    </row>
    <row r="103" spans="9:10" ht="15" customHeight="1" x14ac:dyDescent="0.25">
      <c r="I103">
        <v>191</v>
      </c>
      <c r="J103" t="s">
        <v>376</v>
      </c>
    </row>
    <row r="104" spans="9:10" ht="15" customHeight="1" x14ac:dyDescent="0.25">
      <c r="I104">
        <v>192</v>
      </c>
      <c r="J104" t="s">
        <v>377</v>
      </c>
    </row>
    <row r="105" spans="9:10" ht="15" customHeight="1" x14ac:dyDescent="0.25">
      <c r="I105">
        <v>193</v>
      </c>
      <c r="J105" t="s">
        <v>378</v>
      </c>
    </row>
    <row r="106" spans="9:10" ht="15" customHeight="1" x14ac:dyDescent="0.25">
      <c r="I106">
        <v>194</v>
      </c>
      <c r="J106" t="s">
        <v>379</v>
      </c>
    </row>
    <row r="107" spans="9:10" ht="15" customHeight="1" x14ac:dyDescent="0.25">
      <c r="I107">
        <v>195</v>
      </c>
      <c r="J107" t="s">
        <v>380</v>
      </c>
    </row>
    <row r="108" spans="9:10" ht="15" customHeight="1" x14ac:dyDescent="0.25">
      <c r="I108">
        <v>196</v>
      </c>
      <c r="J108" t="s">
        <v>381</v>
      </c>
    </row>
    <row r="109" spans="9:10" ht="15" customHeight="1" x14ac:dyDescent="0.25">
      <c r="I109">
        <v>198</v>
      </c>
      <c r="J109" t="s">
        <v>382</v>
      </c>
    </row>
    <row r="110" spans="9:10" ht="15" customHeight="1" x14ac:dyDescent="0.25">
      <c r="I110">
        <v>199</v>
      </c>
      <c r="J110" t="s">
        <v>383</v>
      </c>
    </row>
    <row r="111" spans="9:10" ht="15" customHeight="1" x14ac:dyDescent="0.25">
      <c r="I111">
        <v>200</v>
      </c>
      <c r="J111" t="s">
        <v>384</v>
      </c>
    </row>
    <row r="112" spans="9:10" ht="15" customHeight="1" x14ac:dyDescent="0.25">
      <c r="I112">
        <v>201</v>
      </c>
      <c r="J112" t="s">
        <v>385</v>
      </c>
    </row>
    <row r="113" spans="9:10" ht="15" customHeight="1" x14ac:dyDescent="0.25">
      <c r="I113">
        <v>202</v>
      </c>
      <c r="J113" t="s">
        <v>386</v>
      </c>
    </row>
    <row r="114" spans="9:10" ht="15" customHeight="1" x14ac:dyDescent="0.25">
      <c r="I114">
        <v>203</v>
      </c>
      <c r="J114" t="s">
        <v>387</v>
      </c>
    </row>
    <row r="115" spans="9:10" ht="15" customHeight="1" x14ac:dyDescent="0.25">
      <c r="I115">
        <v>204</v>
      </c>
      <c r="J115" t="s">
        <v>388</v>
      </c>
    </row>
    <row r="116" spans="9:10" ht="15" customHeight="1" x14ac:dyDescent="0.25">
      <c r="I116">
        <v>205</v>
      </c>
      <c r="J116" t="s">
        <v>389</v>
      </c>
    </row>
    <row r="117" spans="9:10" ht="15" customHeight="1" x14ac:dyDescent="0.25">
      <c r="I117">
        <v>206</v>
      </c>
      <c r="J117" t="s">
        <v>390</v>
      </c>
    </row>
    <row r="118" spans="9:10" ht="15" customHeight="1" x14ac:dyDescent="0.25">
      <c r="I118">
        <v>207</v>
      </c>
      <c r="J118" t="s">
        <v>391</v>
      </c>
    </row>
    <row r="119" spans="9:10" ht="15" customHeight="1" x14ac:dyDescent="0.25">
      <c r="I119">
        <v>208</v>
      </c>
      <c r="J119" t="s">
        <v>392</v>
      </c>
    </row>
    <row r="120" spans="9:10" ht="15" customHeight="1" x14ac:dyDescent="0.25">
      <c r="I120">
        <v>209</v>
      </c>
      <c r="J120" t="s">
        <v>393</v>
      </c>
    </row>
    <row r="121" spans="9:10" ht="15" customHeight="1" x14ac:dyDescent="0.25">
      <c r="I121">
        <v>210</v>
      </c>
      <c r="J121" t="s">
        <v>394</v>
      </c>
    </row>
    <row r="122" spans="9:10" ht="15" customHeight="1" x14ac:dyDescent="0.25">
      <c r="I122">
        <v>211</v>
      </c>
      <c r="J122" t="s">
        <v>395</v>
      </c>
    </row>
    <row r="123" spans="9:10" ht="15" customHeight="1" x14ac:dyDescent="0.25">
      <c r="I123">
        <v>212</v>
      </c>
      <c r="J123" t="s">
        <v>396</v>
      </c>
    </row>
    <row r="124" spans="9:10" ht="15" customHeight="1" x14ac:dyDescent="0.25">
      <c r="I124">
        <v>213</v>
      </c>
      <c r="J124" t="s">
        <v>397</v>
      </c>
    </row>
    <row r="125" spans="9:10" ht="15" customHeight="1" x14ac:dyDescent="0.25">
      <c r="I125">
        <v>214</v>
      </c>
      <c r="J125" t="s">
        <v>398</v>
      </c>
    </row>
    <row r="126" spans="9:10" ht="15" customHeight="1" x14ac:dyDescent="0.25">
      <c r="I126">
        <v>215</v>
      </c>
      <c r="J126" t="s">
        <v>399</v>
      </c>
    </row>
    <row r="127" spans="9:10" ht="15" customHeight="1" x14ac:dyDescent="0.25">
      <c r="I127">
        <v>216</v>
      </c>
      <c r="J127" t="s">
        <v>400</v>
      </c>
    </row>
    <row r="128" spans="9:10" ht="15" customHeight="1" x14ac:dyDescent="0.25">
      <c r="I128">
        <v>216</v>
      </c>
      <c r="J128" t="s">
        <v>401</v>
      </c>
    </row>
    <row r="129" spans="9:10" ht="15" customHeight="1" x14ac:dyDescent="0.25">
      <c r="I129">
        <v>217</v>
      </c>
      <c r="J129" t="s">
        <v>402</v>
      </c>
    </row>
    <row r="130" spans="9:10" ht="15" customHeight="1" x14ac:dyDescent="0.25">
      <c r="I130">
        <v>218</v>
      </c>
      <c r="J130" t="s">
        <v>403</v>
      </c>
    </row>
    <row r="131" spans="9:10" ht="15" customHeight="1" x14ac:dyDescent="0.25">
      <c r="I131">
        <v>219</v>
      </c>
      <c r="J131" t="s">
        <v>404</v>
      </c>
    </row>
    <row r="132" spans="9:10" ht="15" customHeight="1" x14ac:dyDescent="0.25">
      <c r="I132">
        <v>220</v>
      </c>
      <c r="J132" t="s">
        <v>405</v>
      </c>
    </row>
    <row r="133" spans="9:10" ht="15" customHeight="1" x14ac:dyDescent="0.25">
      <c r="I133">
        <v>221</v>
      </c>
      <c r="J133" t="s">
        <v>406</v>
      </c>
    </row>
    <row r="134" spans="9:10" ht="15" customHeight="1" x14ac:dyDescent="0.25">
      <c r="I134">
        <v>222</v>
      </c>
      <c r="J134" t="s">
        <v>407</v>
      </c>
    </row>
    <row r="135" spans="9:10" ht="15" customHeight="1" x14ac:dyDescent="0.25">
      <c r="I135">
        <v>223</v>
      </c>
      <c r="J135" t="s">
        <v>408</v>
      </c>
    </row>
    <row r="136" spans="9:10" ht="15" customHeight="1" x14ac:dyDescent="0.25">
      <c r="I136">
        <v>223</v>
      </c>
      <c r="J136" t="s">
        <v>409</v>
      </c>
    </row>
    <row r="137" spans="9:10" ht="15" customHeight="1" x14ac:dyDescent="0.25">
      <c r="I137">
        <v>223</v>
      </c>
      <c r="J137" t="s">
        <v>410</v>
      </c>
    </row>
    <row r="138" spans="9:10" ht="15" customHeight="1" x14ac:dyDescent="0.25">
      <c r="I138">
        <v>223</v>
      </c>
      <c r="J138" t="s">
        <v>411</v>
      </c>
    </row>
    <row r="139" spans="9:10" ht="15" customHeight="1" x14ac:dyDescent="0.25">
      <c r="I139">
        <v>224</v>
      </c>
      <c r="J139" t="s">
        <v>412</v>
      </c>
    </row>
    <row r="140" spans="9:10" ht="15" customHeight="1" x14ac:dyDescent="0.25">
      <c r="I140">
        <v>224</v>
      </c>
      <c r="J140" t="s">
        <v>413</v>
      </c>
    </row>
    <row r="141" spans="9:10" ht="15" customHeight="1" x14ac:dyDescent="0.25">
      <c r="I141">
        <v>225</v>
      </c>
      <c r="J141" t="s">
        <v>414</v>
      </c>
    </row>
    <row r="142" spans="9:10" ht="15" customHeight="1" x14ac:dyDescent="0.25">
      <c r="I142">
        <v>226</v>
      </c>
      <c r="J142" t="s">
        <v>415</v>
      </c>
    </row>
    <row r="143" spans="9:10" ht="15" customHeight="1" x14ac:dyDescent="0.25">
      <c r="I143">
        <v>227</v>
      </c>
      <c r="J143" t="s">
        <v>416</v>
      </c>
    </row>
    <row r="144" spans="9:10" ht="15" customHeight="1" x14ac:dyDescent="0.25">
      <c r="I144">
        <v>228</v>
      </c>
      <c r="J144" t="s">
        <v>417</v>
      </c>
    </row>
    <row r="145" spans="9:10" ht="15" customHeight="1" x14ac:dyDescent="0.25">
      <c r="I145">
        <v>229</v>
      </c>
      <c r="J145" t="s">
        <v>418</v>
      </c>
    </row>
    <row r="146" spans="9:10" ht="15" customHeight="1" x14ac:dyDescent="0.25">
      <c r="I146">
        <v>230</v>
      </c>
      <c r="J146" t="s">
        <v>419</v>
      </c>
    </row>
    <row r="147" spans="9:10" ht="15" customHeight="1" x14ac:dyDescent="0.25">
      <c r="I147">
        <v>231</v>
      </c>
      <c r="J147" t="s">
        <v>420</v>
      </c>
    </row>
    <row r="148" spans="9:10" ht="15" customHeight="1" x14ac:dyDescent="0.25">
      <c r="I148">
        <v>232</v>
      </c>
      <c r="J148" t="s">
        <v>421</v>
      </c>
    </row>
    <row r="149" spans="9:10" ht="15" customHeight="1" x14ac:dyDescent="0.25">
      <c r="I149">
        <v>233</v>
      </c>
      <c r="J149" t="s">
        <v>422</v>
      </c>
    </row>
    <row r="150" spans="9:10" ht="15" customHeight="1" x14ac:dyDescent="0.25">
      <c r="I150">
        <v>234</v>
      </c>
      <c r="J150" t="s">
        <v>423</v>
      </c>
    </row>
    <row r="151" spans="9:10" ht="15" customHeight="1" x14ac:dyDescent="0.25">
      <c r="I151">
        <v>234</v>
      </c>
      <c r="J151" t="s">
        <v>424</v>
      </c>
    </row>
    <row r="152" spans="9:10" ht="15" customHeight="1" x14ac:dyDescent="0.25">
      <c r="I152">
        <v>235</v>
      </c>
      <c r="J152" t="s">
        <v>425</v>
      </c>
    </row>
    <row r="153" spans="9:10" ht="15" customHeight="1" x14ac:dyDescent="0.25">
      <c r="I153">
        <v>236</v>
      </c>
      <c r="J153" t="s">
        <v>426</v>
      </c>
    </row>
    <row r="154" spans="9:10" ht="15" customHeight="1" x14ac:dyDescent="0.25">
      <c r="I154">
        <v>237</v>
      </c>
      <c r="J154" t="s">
        <v>427</v>
      </c>
    </row>
    <row r="155" spans="9:10" ht="15" customHeight="1" x14ac:dyDescent="0.25">
      <c r="I155">
        <v>238</v>
      </c>
      <c r="J155" t="s">
        <v>428</v>
      </c>
    </row>
    <row r="156" spans="9:10" ht="15" customHeight="1" x14ac:dyDescent="0.25">
      <c r="I156">
        <v>239</v>
      </c>
      <c r="J156" t="s">
        <v>429</v>
      </c>
    </row>
    <row r="157" spans="9:10" ht="15" customHeight="1" x14ac:dyDescent="0.25">
      <c r="I157">
        <v>240</v>
      </c>
      <c r="J157" t="s">
        <v>430</v>
      </c>
    </row>
    <row r="158" spans="9:10" ht="15" customHeight="1" x14ac:dyDescent="0.25">
      <c r="I158">
        <v>241</v>
      </c>
      <c r="J158" t="s">
        <v>431</v>
      </c>
    </row>
    <row r="159" spans="9:10" ht="15" customHeight="1" x14ac:dyDescent="0.25">
      <c r="I159">
        <v>242</v>
      </c>
      <c r="J159" t="s">
        <v>432</v>
      </c>
    </row>
    <row r="160" spans="9:10" ht="15" customHeight="1" x14ac:dyDescent="0.25">
      <c r="I160">
        <v>244</v>
      </c>
      <c r="J160" t="s">
        <v>433</v>
      </c>
    </row>
    <row r="161" spans="9:10" ht="15" customHeight="1" x14ac:dyDescent="0.25">
      <c r="I161">
        <v>244</v>
      </c>
      <c r="J161" t="s">
        <v>434</v>
      </c>
    </row>
    <row r="162" spans="9:10" ht="15" customHeight="1" x14ac:dyDescent="0.25">
      <c r="I162">
        <v>245</v>
      </c>
      <c r="J162" t="s">
        <v>435</v>
      </c>
    </row>
    <row r="163" spans="9:10" ht="15" customHeight="1" x14ac:dyDescent="0.25">
      <c r="I163">
        <v>246</v>
      </c>
      <c r="J163" t="s">
        <v>436</v>
      </c>
    </row>
    <row r="164" spans="9:10" ht="15" customHeight="1" x14ac:dyDescent="0.25">
      <c r="I164">
        <v>247</v>
      </c>
      <c r="J164" t="s">
        <v>437</v>
      </c>
    </row>
    <row r="165" spans="9:10" ht="15" customHeight="1" x14ac:dyDescent="0.25">
      <c r="I165">
        <v>248</v>
      </c>
      <c r="J165" t="s">
        <v>438</v>
      </c>
    </row>
    <row r="166" spans="9:10" ht="15" customHeight="1" x14ac:dyDescent="0.25">
      <c r="I166">
        <v>249</v>
      </c>
      <c r="J166" t="s">
        <v>439</v>
      </c>
    </row>
    <row r="167" spans="9:10" ht="15" customHeight="1" x14ac:dyDescent="0.25">
      <c r="I167">
        <v>250</v>
      </c>
      <c r="J167" t="s">
        <v>440</v>
      </c>
    </row>
    <row r="168" spans="9:10" ht="15" customHeight="1" x14ac:dyDescent="0.25">
      <c r="I168">
        <v>251</v>
      </c>
      <c r="J168" t="s">
        <v>441</v>
      </c>
    </row>
    <row r="169" spans="9:10" ht="15" customHeight="1" x14ac:dyDescent="0.25">
      <c r="I169">
        <v>252</v>
      </c>
      <c r="J169" t="s">
        <v>442</v>
      </c>
    </row>
    <row r="170" spans="9:10" ht="15" customHeight="1" x14ac:dyDescent="0.25">
      <c r="I170">
        <v>253</v>
      </c>
      <c r="J170" t="s">
        <v>443</v>
      </c>
    </row>
    <row r="171" spans="9:10" ht="15" customHeight="1" x14ac:dyDescent="0.25">
      <c r="I171">
        <v>254</v>
      </c>
      <c r="J171" t="s">
        <v>444</v>
      </c>
    </row>
    <row r="172" spans="9:10" ht="15" customHeight="1" x14ac:dyDescent="0.25">
      <c r="I172">
        <v>255</v>
      </c>
      <c r="J172" t="s">
        <v>445</v>
      </c>
    </row>
    <row r="173" spans="9:10" ht="15" customHeight="1" x14ac:dyDescent="0.25">
      <c r="I173">
        <v>256</v>
      </c>
      <c r="J173" t="s">
        <v>446</v>
      </c>
    </row>
    <row r="174" spans="9:10" ht="15" customHeight="1" x14ac:dyDescent="0.25">
      <c r="I174">
        <v>257</v>
      </c>
      <c r="J174" t="s">
        <v>447</v>
      </c>
    </row>
    <row r="175" spans="9:10" ht="15" customHeight="1" x14ac:dyDescent="0.25">
      <c r="I175">
        <v>257</v>
      </c>
      <c r="J175" t="s">
        <v>448</v>
      </c>
    </row>
    <row r="176" spans="9:10" ht="15" customHeight="1" x14ac:dyDescent="0.25">
      <c r="I176">
        <v>258</v>
      </c>
      <c r="J176" t="s">
        <v>449</v>
      </c>
    </row>
    <row r="177" spans="9:10" ht="15" customHeight="1" x14ac:dyDescent="0.25">
      <c r="I177">
        <v>258</v>
      </c>
      <c r="J177" t="s">
        <v>450</v>
      </c>
    </row>
    <row r="178" spans="9:10" ht="15" customHeight="1" x14ac:dyDescent="0.25">
      <c r="I178">
        <v>258</v>
      </c>
      <c r="J178" t="s">
        <v>451</v>
      </c>
    </row>
    <row r="179" spans="9:10" ht="15" customHeight="1" x14ac:dyDescent="0.25">
      <c r="I179">
        <v>258</v>
      </c>
      <c r="J179" t="s">
        <v>452</v>
      </c>
    </row>
    <row r="180" spans="9:10" ht="15" customHeight="1" x14ac:dyDescent="0.25">
      <c r="I180">
        <v>259</v>
      </c>
      <c r="J180" t="s">
        <v>453</v>
      </c>
    </row>
    <row r="181" spans="9:10" ht="15" customHeight="1" x14ac:dyDescent="0.25">
      <c r="I181">
        <v>260</v>
      </c>
      <c r="J181" t="s">
        <v>454</v>
      </c>
    </row>
    <row r="182" spans="9:10" ht="15" customHeight="1" x14ac:dyDescent="0.25">
      <c r="I182">
        <v>261</v>
      </c>
      <c r="J182" t="s">
        <v>455</v>
      </c>
    </row>
    <row r="183" spans="9:10" ht="15" customHeight="1" x14ac:dyDescent="0.25">
      <c r="I183">
        <v>262</v>
      </c>
      <c r="J183" t="s">
        <v>456</v>
      </c>
    </row>
    <row r="184" spans="9:10" ht="15" customHeight="1" x14ac:dyDescent="0.25">
      <c r="I184">
        <v>263</v>
      </c>
      <c r="J184" t="s">
        <v>457</v>
      </c>
    </row>
    <row r="185" spans="9:10" ht="15" customHeight="1" x14ac:dyDescent="0.25">
      <c r="I185">
        <v>264</v>
      </c>
      <c r="J185" t="s">
        <v>458</v>
      </c>
    </row>
    <row r="186" spans="9:10" ht="15" customHeight="1" x14ac:dyDescent="0.25">
      <c r="I186">
        <v>265</v>
      </c>
      <c r="J186" t="s">
        <v>459</v>
      </c>
    </row>
    <row r="187" spans="9:10" ht="15" customHeight="1" x14ac:dyDescent="0.25">
      <c r="I187">
        <v>266</v>
      </c>
      <c r="J187" t="s">
        <v>460</v>
      </c>
    </row>
    <row r="188" spans="9:10" ht="15" customHeight="1" x14ac:dyDescent="0.25">
      <c r="I188">
        <v>267</v>
      </c>
      <c r="J188" t="s">
        <v>461</v>
      </c>
    </row>
    <row r="189" spans="9:10" ht="15" customHeight="1" x14ac:dyDescent="0.25">
      <c r="I189">
        <v>268</v>
      </c>
      <c r="J189" t="s">
        <v>462</v>
      </c>
    </row>
    <row r="190" spans="9:10" ht="15" customHeight="1" x14ac:dyDescent="0.25">
      <c r="I190">
        <v>269</v>
      </c>
      <c r="J190" t="s">
        <v>463</v>
      </c>
    </row>
    <row r="191" spans="9:10" ht="15" customHeight="1" x14ac:dyDescent="0.25">
      <c r="I191">
        <v>270</v>
      </c>
      <c r="J191" t="s">
        <v>464</v>
      </c>
    </row>
    <row r="192" spans="9:10" ht="15" customHeight="1" x14ac:dyDescent="0.25">
      <c r="I192">
        <v>271</v>
      </c>
      <c r="J192" t="s">
        <v>465</v>
      </c>
    </row>
    <row r="193" spans="9:10" ht="15" customHeight="1" x14ac:dyDescent="0.25">
      <c r="I193">
        <v>272</v>
      </c>
      <c r="J193" t="s">
        <v>466</v>
      </c>
    </row>
    <row r="194" spans="9:10" ht="15" customHeight="1" x14ac:dyDescent="0.25">
      <c r="I194">
        <v>273</v>
      </c>
      <c r="J194" t="s">
        <v>467</v>
      </c>
    </row>
    <row r="195" spans="9:10" ht="15" customHeight="1" x14ac:dyDescent="0.25">
      <c r="I195">
        <v>274</v>
      </c>
      <c r="J195" t="s">
        <v>468</v>
      </c>
    </row>
    <row r="196" spans="9:10" ht="15" customHeight="1" x14ac:dyDescent="0.25">
      <c r="I196">
        <v>275</v>
      </c>
      <c r="J196" t="s">
        <v>469</v>
      </c>
    </row>
    <row r="197" spans="9:10" ht="15" customHeight="1" x14ac:dyDescent="0.25">
      <c r="I197">
        <v>276</v>
      </c>
      <c r="J197" t="s">
        <v>470</v>
      </c>
    </row>
    <row r="198" spans="9:10" ht="15" customHeight="1" x14ac:dyDescent="0.25">
      <c r="I198">
        <v>277</v>
      </c>
      <c r="J198" t="s">
        <v>471</v>
      </c>
    </row>
    <row r="199" spans="9:10" ht="15" customHeight="1" x14ac:dyDescent="0.25">
      <c r="I199">
        <v>278</v>
      </c>
      <c r="J199" t="s">
        <v>472</v>
      </c>
    </row>
    <row r="200" spans="9:10" ht="15" customHeight="1" x14ac:dyDescent="0.25">
      <c r="I200">
        <v>279</v>
      </c>
      <c r="J200" t="s">
        <v>473</v>
      </c>
    </row>
    <row r="201" spans="9:10" ht="15" customHeight="1" x14ac:dyDescent="0.25">
      <c r="I201">
        <v>280</v>
      </c>
      <c r="J201" t="s">
        <v>474</v>
      </c>
    </row>
    <row r="202" spans="9:10" ht="15" customHeight="1" x14ac:dyDescent="0.25">
      <c r="I202">
        <v>280</v>
      </c>
      <c r="J202" t="s">
        <v>475</v>
      </c>
    </row>
    <row r="203" spans="9:10" ht="15" customHeight="1" x14ac:dyDescent="0.25">
      <c r="I203">
        <v>282</v>
      </c>
      <c r="J203" t="s">
        <v>476</v>
      </c>
    </row>
    <row r="204" spans="9:10" ht="15" customHeight="1" x14ac:dyDescent="0.25">
      <c r="I204">
        <v>283</v>
      </c>
      <c r="J204" t="s">
        <v>477</v>
      </c>
    </row>
    <row r="205" spans="9:10" ht="15" customHeight="1" x14ac:dyDescent="0.25">
      <c r="I205">
        <v>284</v>
      </c>
      <c r="J205" t="s">
        <v>478</v>
      </c>
    </row>
    <row r="206" spans="9:10" ht="15" customHeight="1" x14ac:dyDescent="0.25">
      <c r="I206">
        <v>285</v>
      </c>
      <c r="J206" t="s">
        <v>479</v>
      </c>
    </row>
    <row r="207" spans="9:10" ht="15" customHeight="1" x14ac:dyDescent="0.25">
      <c r="I207">
        <v>286</v>
      </c>
      <c r="J207" t="s">
        <v>480</v>
      </c>
    </row>
    <row r="208" spans="9:10" ht="15" customHeight="1" x14ac:dyDescent="0.25">
      <c r="I208">
        <v>287</v>
      </c>
      <c r="J208" t="s">
        <v>481</v>
      </c>
    </row>
    <row r="209" spans="9:10" ht="15" customHeight="1" x14ac:dyDescent="0.25">
      <c r="I209">
        <v>288</v>
      </c>
      <c r="J209" t="s">
        <v>482</v>
      </c>
    </row>
    <row r="210" spans="9:10" ht="15" customHeight="1" x14ac:dyDescent="0.25">
      <c r="I210">
        <v>289</v>
      </c>
      <c r="J210" t="s">
        <v>483</v>
      </c>
    </row>
    <row r="211" spans="9:10" ht="15" customHeight="1" x14ac:dyDescent="0.25">
      <c r="I211">
        <v>290</v>
      </c>
      <c r="J211" t="s">
        <v>484</v>
      </c>
    </row>
    <row r="212" spans="9:10" ht="15" customHeight="1" x14ac:dyDescent="0.25">
      <c r="I212">
        <v>291</v>
      </c>
      <c r="J212" t="s">
        <v>485</v>
      </c>
    </row>
    <row r="213" spans="9:10" ht="15" customHeight="1" x14ac:dyDescent="0.25">
      <c r="I213">
        <v>401</v>
      </c>
      <c r="J213" t="s">
        <v>486</v>
      </c>
    </row>
    <row r="214" spans="9:10" ht="15" customHeight="1" x14ac:dyDescent="0.25">
      <c r="I214">
        <v>402</v>
      </c>
      <c r="J214" t="s">
        <v>487</v>
      </c>
    </row>
    <row r="215" spans="9:10" ht="15" customHeight="1" x14ac:dyDescent="0.25">
      <c r="I215">
        <v>403</v>
      </c>
      <c r="J215" t="s">
        <v>488</v>
      </c>
    </row>
    <row r="216" spans="9:10" ht="15" customHeight="1" x14ac:dyDescent="0.25">
      <c r="I216">
        <v>404</v>
      </c>
      <c r="J216" t="s">
        <v>489</v>
      </c>
    </row>
    <row r="217" spans="9:10" ht="15" customHeight="1" x14ac:dyDescent="0.25">
      <c r="I217">
        <v>405</v>
      </c>
      <c r="J217" t="s">
        <v>490</v>
      </c>
    </row>
    <row r="218" spans="9:10" ht="15" customHeight="1" x14ac:dyDescent="0.25">
      <c r="I218">
        <v>406</v>
      </c>
      <c r="J218" t="s">
        <v>491</v>
      </c>
    </row>
    <row r="219" spans="9:10" ht="15" customHeight="1" x14ac:dyDescent="0.25">
      <c r="I219">
        <v>407</v>
      </c>
      <c r="J219" t="s">
        <v>492</v>
      </c>
    </row>
    <row r="220" spans="9:10" ht="15" customHeight="1" x14ac:dyDescent="0.25">
      <c r="I220">
        <v>408</v>
      </c>
      <c r="J220" t="s">
        <v>493</v>
      </c>
    </row>
    <row r="221" spans="9:10" ht="15" customHeight="1" x14ac:dyDescent="0.25">
      <c r="I221">
        <v>409</v>
      </c>
      <c r="J221" t="s">
        <v>494</v>
      </c>
    </row>
    <row r="222" spans="9:10" ht="15" customHeight="1" x14ac:dyDescent="0.25">
      <c r="I222">
        <v>410</v>
      </c>
      <c r="J222" t="s">
        <v>495</v>
      </c>
    </row>
    <row r="223" spans="9:10" ht="15" customHeight="1" x14ac:dyDescent="0.25">
      <c r="I223">
        <v>411</v>
      </c>
      <c r="J223" t="s">
        <v>496</v>
      </c>
    </row>
    <row r="224" spans="9:10" ht="15" customHeight="1" x14ac:dyDescent="0.25">
      <c r="I224">
        <v>412</v>
      </c>
      <c r="J224" t="s">
        <v>497</v>
      </c>
    </row>
    <row r="225" spans="9:10" ht="15" customHeight="1" x14ac:dyDescent="0.25">
      <c r="I225">
        <v>413</v>
      </c>
      <c r="J225" t="s">
        <v>498</v>
      </c>
    </row>
    <row r="226" spans="9:10" ht="15" customHeight="1" x14ac:dyDescent="0.25">
      <c r="I226">
        <v>414</v>
      </c>
      <c r="J226" t="s">
        <v>499</v>
      </c>
    </row>
    <row r="227" spans="9:10" ht="15" customHeight="1" x14ac:dyDescent="0.25">
      <c r="I227">
        <v>415</v>
      </c>
      <c r="J227" t="s">
        <v>500</v>
      </c>
    </row>
    <row r="228" spans="9:10" ht="15" customHeight="1" x14ac:dyDescent="0.25">
      <c r="I228">
        <v>416</v>
      </c>
      <c r="J228" t="s">
        <v>501</v>
      </c>
    </row>
    <row r="229" spans="9:10" ht="15" customHeight="1" x14ac:dyDescent="0.25">
      <c r="I229">
        <v>417</v>
      </c>
      <c r="J229" t="s">
        <v>502</v>
      </c>
    </row>
    <row r="230" spans="9:10" ht="15" customHeight="1" x14ac:dyDescent="0.25">
      <c r="I230">
        <v>418</v>
      </c>
      <c r="J230" t="s">
        <v>503</v>
      </c>
    </row>
    <row r="231" spans="9:10" ht="15" customHeight="1" x14ac:dyDescent="0.25">
      <c r="I231">
        <v>419</v>
      </c>
      <c r="J231" t="s">
        <v>504</v>
      </c>
    </row>
    <row r="232" spans="9:10" ht="15" customHeight="1" x14ac:dyDescent="0.25">
      <c r="I232">
        <v>420</v>
      </c>
      <c r="J232" t="s">
        <v>505</v>
      </c>
    </row>
    <row r="233" spans="9:10" ht="15" customHeight="1" x14ac:dyDescent="0.25">
      <c r="I233">
        <v>421</v>
      </c>
      <c r="J233" t="s">
        <v>506</v>
      </c>
    </row>
    <row r="234" spans="9:10" ht="15" customHeight="1" x14ac:dyDescent="0.25">
      <c r="I234">
        <v>422</v>
      </c>
      <c r="J234" t="s">
        <v>507</v>
      </c>
    </row>
    <row r="235" spans="9:10" ht="15" customHeight="1" x14ac:dyDescent="0.25">
      <c r="I235">
        <v>423</v>
      </c>
      <c r="J235" t="s">
        <v>508</v>
      </c>
    </row>
    <row r="236" spans="9:10" ht="15" customHeight="1" x14ac:dyDescent="0.25">
      <c r="I236">
        <v>424</v>
      </c>
      <c r="J236" t="s">
        <v>509</v>
      </c>
    </row>
    <row r="237" spans="9:10" ht="15" customHeight="1" x14ac:dyDescent="0.25">
      <c r="I237">
        <v>425</v>
      </c>
      <c r="J237" t="s">
        <v>510</v>
      </c>
    </row>
    <row r="238" spans="9:10" ht="15" customHeight="1" x14ac:dyDescent="0.25">
      <c r="I238">
        <v>426</v>
      </c>
      <c r="J238" t="s">
        <v>511</v>
      </c>
    </row>
    <row r="239" spans="9:10" ht="15" customHeight="1" x14ac:dyDescent="0.25">
      <c r="I239">
        <v>426</v>
      </c>
      <c r="J239" t="s">
        <v>512</v>
      </c>
    </row>
    <row r="240" spans="9:10" ht="15" customHeight="1" x14ac:dyDescent="0.25">
      <c r="I240">
        <v>428</v>
      </c>
      <c r="J240" t="s">
        <v>513</v>
      </c>
    </row>
    <row r="241" spans="9:10" ht="15" customHeight="1" x14ac:dyDescent="0.25">
      <c r="I241">
        <v>429</v>
      </c>
      <c r="J241" t="s">
        <v>514</v>
      </c>
    </row>
    <row r="242" spans="9:10" ht="15" customHeight="1" x14ac:dyDescent="0.25">
      <c r="I242">
        <v>430</v>
      </c>
      <c r="J242" t="s">
        <v>515</v>
      </c>
    </row>
    <row r="243" spans="9:10" ht="15" customHeight="1" x14ac:dyDescent="0.25">
      <c r="I243">
        <v>431</v>
      </c>
      <c r="J243" t="s">
        <v>516</v>
      </c>
    </row>
    <row r="244" spans="9:10" ht="15" customHeight="1" x14ac:dyDescent="0.25">
      <c r="I244">
        <v>432</v>
      </c>
      <c r="J244" t="s">
        <v>517</v>
      </c>
    </row>
    <row r="245" spans="9:10" ht="15" customHeight="1" x14ac:dyDescent="0.25">
      <c r="I245">
        <v>433</v>
      </c>
      <c r="J245" t="s">
        <v>518</v>
      </c>
    </row>
    <row r="246" spans="9:10" ht="15" customHeight="1" x14ac:dyDescent="0.25">
      <c r="I246">
        <v>434</v>
      </c>
      <c r="J246" t="s">
        <v>519</v>
      </c>
    </row>
    <row r="247" spans="9:10" ht="15" customHeight="1" x14ac:dyDescent="0.25">
      <c r="I247">
        <v>435</v>
      </c>
      <c r="J247" t="s">
        <v>520</v>
      </c>
    </row>
    <row r="248" spans="9:10" ht="15" customHeight="1" x14ac:dyDescent="0.25">
      <c r="I248">
        <v>436</v>
      </c>
      <c r="J248" t="s">
        <v>521</v>
      </c>
    </row>
    <row r="249" spans="9:10" ht="15" customHeight="1" x14ac:dyDescent="0.25">
      <c r="I249">
        <v>437</v>
      </c>
      <c r="J249" t="s">
        <v>522</v>
      </c>
    </row>
    <row r="250" spans="9:10" ht="15" customHeight="1" x14ac:dyDescent="0.25">
      <c r="I250">
        <v>438</v>
      </c>
      <c r="J250" t="s">
        <v>523</v>
      </c>
    </row>
    <row r="251" spans="9:10" ht="15" customHeight="1" x14ac:dyDescent="0.25">
      <c r="I251">
        <v>439</v>
      </c>
      <c r="J251" t="s">
        <v>524</v>
      </c>
    </row>
    <row r="252" spans="9:10" ht="15" customHeight="1" x14ac:dyDescent="0.25">
      <c r="I252">
        <v>440</v>
      </c>
      <c r="J252" t="s">
        <v>525</v>
      </c>
    </row>
    <row r="253" spans="9:10" ht="15" customHeight="1" x14ac:dyDescent="0.25">
      <c r="I253">
        <v>441</v>
      </c>
      <c r="J253" t="s">
        <v>526</v>
      </c>
    </row>
    <row r="254" spans="9:10" ht="15" customHeight="1" x14ac:dyDescent="0.25">
      <c r="I254">
        <v>442</v>
      </c>
      <c r="J254" t="s">
        <v>527</v>
      </c>
    </row>
    <row r="255" spans="9:10" ht="15" customHeight="1" x14ac:dyDescent="0.25">
      <c r="I255">
        <v>443</v>
      </c>
      <c r="J255" t="s">
        <v>528</v>
      </c>
    </row>
    <row r="256" spans="9:10" ht="15" customHeight="1" x14ac:dyDescent="0.25">
      <c r="I256">
        <v>444</v>
      </c>
      <c r="J256" t="s">
        <v>529</v>
      </c>
    </row>
    <row r="257" spans="9:10" ht="15" customHeight="1" x14ac:dyDescent="0.25">
      <c r="I257">
        <v>445</v>
      </c>
      <c r="J257" t="s">
        <v>530</v>
      </c>
    </row>
    <row r="258" spans="9:10" ht="15" customHeight="1" x14ac:dyDescent="0.25">
      <c r="I258">
        <v>446</v>
      </c>
      <c r="J258" t="s">
        <v>531</v>
      </c>
    </row>
    <row r="259" spans="9:10" ht="15" customHeight="1" x14ac:dyDescent="0.25">
      <c r="I259">
        <v>447</v>
      </c>
      <c r="J259" t="s">
        <v>532</v>
      </c>
    </row>
    <row r="260" spans="9:10" ht="15" customHeight="1" x14ac:dyDescent="0.25">
      <c r="I260">
        <v>448</v>
      </c>
      <c r="J260" t="s">
        <v>533</v>
      </c>
    </row>
    <row r="261" spans="9:10" ht="15" customHeight="1" x14ac:dyDescent="0.25">
      <c r="I261">
        <v>449</v>
      </c>
      <c r="J261" t="s">
        <v>534</v>
      </c>
    </row>
    <row r="262" spans="9:10" ht="15" customHeight="1" x14ac:dyDescent="0.25">
      <c r="I262">
        <v>450</v>
      </c>
      <c r="J262" t="s">
        <v>535</v>
      </c>
    </row>
    <row r="263" spans="9:10" ht="15" customHeight="1" x14ac:dyDescent="0.25">
      <c r="I263">
        <v>451</v>
      </c>
      <c r="J263" t="s">
        <v>536</v>
      </c>
    </row>
    <row r="264" spans="9:10" ht="15" customHeight="1" x14ac:dyDescent="0.25">
      <c r="I264">
        <v>452</v>
      </c>
      <c r="J264" t="s">
        <v>537</v>
      </c>
    </row>
    <row r="265" spans="9:10" ht="15" customHeight="1" x14ac:dyDescent="0.25">
      <c r="I265">
        <v>453</v>
      </c>
      <c r="J265" t="s">
        <v>538</v>
      </c>
    </row>
    <row r="266" spans="9:10" ht="15" customHeight="1" x14ac:dyDescent="0.25">
      <c r="I266">
        <v>454</v>
      </c>
      <c r="J266" t="s">
        <v>539</v>
      </c>
    </row>
    <row r="267" spans="9:10" ht="15" customHeight="1" x14ac:dyDescent="0.25">
      <c r="I267">
        <v>455</v>
      </c>
      <c r="J267" t="s">
        <v>540</v>
      </c>
    </row>
    <row r="268" spans="9:10" ht="15" customHeight="1" x14ac:dyDescent="0.25">
      <c r="I268">
        <v>456</v>
      </c>
      <c r="J268" t="s">
        <v>541</v>
      </c>
    </row>
    <row r="269" spans="9:10" ht="15" customHeight="1" x14ac:dyDescent="0.25">
      <c r="I269">
        <v>457</v>
      </c>
      <c r="J269" t="s">
        <v>542</v>
      </c>
    </row>
    <row r="270" spans="9:10" ht="15" customHeight="1" x14ac:dyDescent="0.25">
      <c r="I270">
        <v>458</v>
      </c>
      <c r="J270" t="s">
        <v>543</v>
      </c>
    </row>
    <row r="271" spans="9:10" ht="15" customHeight="1" x14ac:dyDescent="0.25">
      <c r="I271">
        <v>459</v>
      </c>
      <c r="J271" t="s">
        <v>544</v>
      </c>
    </row>
    <row r="272" spans="9:10" ht="15" customHeight="1" x14ac:dyDescent="0.25">
      <c r="I272">
        <v>460</v>
      </c>
      <c r="J272" t="s">
        <v>545</v>
      </c>
    </row>
    <row r="273" spans="9:10" ht="15" customHeight="1" x14ac:dyDescent="0.25">
      <c r="I273">
        <v>461</v>
      </c>
      <c r="J273" t="s">
        <v>546</v>
      </c>
    </row>
    <row r="274" spans="9:10" ht="15" customHeight="1" x14ac:dyDescent="0.25">
      <c r="I274">
        <v>462</v>
      </c>
      <c r="J274" t="s">
        <v>547</v>
      </c>
    </row>
    <row r="275" spans="9:10" ht="15" customHeight="1" x14ac:dyDescent="0.25">
      <c r="I275">
        <v>463</v>
      </c>
      <c r="J275" t="s">
        <v>548</v>
      </c>
    </row>
    <row r="276" spans="9:10" ht="15" customHeight="1" x14ac:dyDescent="0.25">
      <c r="I276">
        <v>464</v>
      </c>
      <c r="J276" t="s">
        <v>549</v>
      </c>
    </row>
    <row r="277" spans="9:10" ht="15" customHeight="1" x14ac:dyDescent="0.25">
      <c r="I277">
        <v>465</v>
      </c>
      <c r="J277" t="s">
        <v>550</v>
      </c>
    </row>
    <row r="278" spans="9:10" ht="15" customHeight="1" x14ac:dyDescent="0.25">
      <c r="I278">
        <v>466</v>
      </c>
      <c r="J278" t="s">
        <v>551</v>
      </c>
    </row>
    <row r="279" spans="9:10" ht="15" customHeight="1" x14ac:dyDescent="0.25">
      <c r="I279">
        <v>467</v>
      </c>
      <c r="J279" t="s">
        <v>552</v>
      </c>
    </row>
    <row r="280" spans="9:10" ht="15" customHeight="1" x14ac:dyDescent="0.25">
      <c r="I280">
        <v>468</v>
      </c>
      <c r="J280" t="s">
        <v>553</v>
      </c>
    </row>
    <row r="281" spans="9:10" ht="15" customHeight="1" x14ac:dyDescent="0.25">
      <c r="I281">
        <v>469</v>
      </c>
      <c r="J281" t="s">
        <v>554</v>
      </c>
    </row>
    <row r="282" spans="9:10" ht="15" customHeight="1" x14ac:dyDescent="0.25">
      <c r="I282">
        <v>470</v>
      </c>
      <c r="J282" t="s">
        <v>555</v>
      </c>
    </row>
    <row r="283" spans="9:10" ht="15" customHeight="1" x14ac:dyDescent="0.25">
      <c r="I283">
        <v>471</v>
      </c>
      <c r="J283" t="s">
        <v>556</v>
      </c>
    </row>
    <row r="284" spans="9:10" ht="15" customHeight="1" x14ac:dyDescent="0.25">
      <c r="I284">
        <v>472</v>
      </c>
      <c r="J284" t="s">
        <v>557</v>
      </c>
    </row>
    <row r="285" spans="9:10" ht="15" customHeight="1" x14ac:dyDescent="0.25">
      <c r="I285">
        <v>473</v>
      </c>
      <c r="J285" t="s">
        <v>558</v>
      </c>
    </row>
    <row r="286" spans="9:10" ht="15" customHeight="1" x14ac:dyDescent="0.25">
      <c r="I286">
        <v>474</v>
      </c>
      <c r="J286" t="s">
        <v>559</v>
      </c>
    </row>
    <row r="287" spans="9:10" ht="15" customHeight="1" x14ac:dyDescent="0.25">
      <c r="I287">
        <v>475</v>
      </c>
      <c r="J287" t="s">
        <v>560</v>
      </c>
    </row>
    <row r="288" spans="9:10" ht="15" customHeight="1" x14ac:dyDescent="0.25">
      <c r="I288">
        <v>476</v>
      </c>
      <c r="J288" t="s">
        <v>561</v>
      </c>
    </row>
    <row r="289" spans="9:10" ht="15" customHeight="1" x14ac:dyDescent="0.25">
      <c r="I289">
        <v>477</v>
      </c>
      <c r="J289" t="s">
        <v>562</v>
      </c>
    </row>
    <row r="290" spans="9:10" ht="15" customHeight="1" x14ac:dyDescent="0.25">
      <c r="I290">
        <v>478</v>
      </c>
      <c r="J290" t="s">
        <v>563</v>
      </c>
    </row>
    <row r="291" spans="9:10" ht="15" customHeight="1" x14ac:dyDescent="0.25">
      <c r="I291">
        <v>479</v>
      </c>
      <c r="J291" t="s">
        <v>564</v>
      </c>
    </row>
    <row r="292" spans="9:10" ht="15" customHeight="1" x14ac:dyDescent="0.25">
      <c r="I292">
        <v>480</v>
      </c>
      <c r="J292" t="s">
        <v>565</v>
      </c>
    </row>
    <row r="293" spans="9:10" ht="15" customHeight="1" x14ac:dyDescent="0.25">
      <c r="I293">
        <v>481</v>
      </c>
      <c r="J293" t="s">
        <v>566</v>
      </c>
    </row>
    <row r="294" spans="9:10" ht="15" customHeight="1" x14ac:dyDescent="0.25">
      <c r="I294">
        <v>482</v>
      </c>
      <c r="J294" t="s">
        <v>567</v>
      </c>
    </row>
    <row r="295" spans="9:10" ht="15" customHeight="1" x14ac:dyDescent="0.25">
      <c r="I295">
        <v>483</v>
      </c>
      <c r="J295" t="s">
        <v>568</v>
      </c>
    </row>
    <row r="296" spans="9:10" ht="15" customHeight="1" x14ac:dyDescent="0.25">
      <c r="I296">
        <v>484</v>
      </c>
      <c r="J296" t="s">
        <v>569</v>
      </c>
    </row>
    <row r="297" spans="9:10" ht="15" customHeight="1" x14ac:dyDescent="0.25">
      <c r="I297">
        <v>485</v>
      </c>
      <c r="J297" t="s">
        <v>570</v>
      </c>
    </row>
    <row r="298" spans="9:10" ht="15" customHeight="1" x14ac:dyDescent="0.25">
      <c r="I298">
        <v>486</v>
      </c>
      <c r="J298" t="s">
        <v>571</v>
      </c>
    </row>
    <row r="299" spans="9:10" ht="15" customHeight="1" x14ac:dyDescent="0.25">
      <c r="I299">
        <v>487</v>
      </c>
      <c r="J299" t="s">
        <v>572</v>
      </c>
    </row>
    <row r="300" spans="9:10" ht="15" customHeight="1" x14ac:dyDescent="0.25">
      <c r="I300">
        <v>488</v>
      </c>
      <c r="J300" t="s">
        <v>573</v>
      </c>
    </row>
    <row r="301" spans="9:10" ht="15" customHeight="1" x14ac:dyDescent="0.25">
      <c r="I301">
        <v>489</v>
      </c>
      <c r="J301" t="s">
        <v>574</v>
      </c>
    </row>
    <row r="302" spans="9:10" ht="15" customHeight="1" x14ac:dyDescent="0.25">
      <c r="I302">
        <v>490</v>
      </c>
      <c r="J302" t="s">
        <v>575</v>
      </c>
    </row>
    <row r="303" spans="9:10" ht="15" customHeight="1" x14ac:dyDescent="0.25">
      <c r="I303">
        <v>491</v>
      </c>
      <c r="J303" t="s">
        <v>576</v>
      </c>
    </row>
    <row r="304" spans="9:10" ht="15" customHeight="1" x14ac:dyDescent="0.25">
      <c r="I304">
        <v>492</v>
      </c>
      <c r="J304" t="s">
        <v>577</v>
      </c>
    </row>
    <row r="305" spans="9:10" ht="15" customHeight="1" x14ac:dyDescent="0.25">
      <c r="I305">
        <v>493</v>
      </c>
      <c r="J305" t="s">
        <v>578</v>
      </c>
    </row>
    <row r="306" spans="9:10" ht="15" customHeight="1" x14ac:dyDescent="0.25">
      <c r="I306">
        <v>494</v>
      </c>
      <c r="J306" t="s">
        <v>579</v>
      </c>
    </row>
    <row r="307" spans="9:10" ht="15" customHeight="1" x14ac:dyDescent="0.25">
      <c r="I307">
        <v>495</v>
      </c>
      <c r="J307" t="s">
        <v>580</v>
      </c>
    </row>
    <row r="308" spans="9:10" ht="15" customHeight="1" x14ac:dyDescent="0.25">
      <c r="I308">
        <v>496</v>
      </c>
      <c r="J308" t="s">
        <v>581</v>
      </c>
    </row>
    <row r="309" spans="9:10" ht="15" customHeight="1" x14ac:dyDescent="0.25">
      <c r="I309">
        <v>497</v>
      </c>
      <c r="J309" t="s">
        <v>582</v>
      </c>
    </row>
    <row r="310" spans="9:10" ht="15" customHeight="1" x14ac:dyDescent="0.25">
      <c r="I310">
        <v>498</v>
      </c>
      <c r="J310" t="s">
        <v>583</v>
      </c>
    </row>
    <row r="311" spans="9:10" ht="15" customHeight="1" x14ac:dyDescent="0.25">
      <c r="I311">
        <v>499</v>
      </c>
      <c r="J311" t="s">
        <v>584</v>
      </c>
    </row>
    <row r="312" spans="9:10" ht="15" customHeight="1" x14ac:dyDescent="0.25">
      <c r="I312">
        <v>500</v>
      </c>
      <c r="J312" t="s">
        <v>585</v>
      </c>
    </row>
    <row r="313" spans="9:10" ht="15" customHeight="1" x14ac:dyDescent="0.25">
      <c r="I313">
        <v>501</v>
      </c>
      <c r="J313" t="s">
        <v>586</v>
      </c>
    </row>
    <row r="314" spans="9:10" ht="15" customHeight="1" x14ac:dyDescent="0.25">
      <c r="I314">
        <v>502</v>
      </c>
      <c r="J314" t="s">
        <v>587</v>
      </c>
    </row>
    <row r="315" spans="9:10" ht="15" customHeight="1" x14ac:dyDescent="0.25">
      <c r="I315">
        <v>503</v>
      </c>
      <c r="J315" t="s">
        <v>588</v>
      </c>
    </row>
    <row r="316" spans="9:10" ht="15" customHeight="1" x14ac:dyDescent="0.25">
      <c r="I316">
        <v>504</v>
      </c>
      <c r="J316" t="s">
        <v>589</v>
      </c>
    </row>
    <row r="317" spans="9:10" ht="15" customHeight="1" x14ac:dyDescent="0.25">
      <c r="I317">
        <v>505</v>
      </c>
      <c r="J317" t="s">
        <v>590</v>
      </c>
    </row>
    <row r="318" spans="9:10" ht="15" customHeight="1" x14ac:dyDescent="0.25">
      <c r="I318">
        <v>506</v>
      </c>
      <c r="J318" t="s">
        <v>591</v>
      </c>
    </row>
    <row r="319" spans="9:10" ht="15" customHeight="1" x14ac:dyDescent="0.25">
      <c r="I319">
        <v>507</v>
      </c>
      <c r="J319" t="s">
        <v>592</v>
      </c>
    </row>
    <row r="320" spans="9:10" ht="15" customHeight="1" x14ac:dyDescent="0.25">
      <c r="I320">
        <v>508</v>
      </c>
      <c r="J320" t="s">
        <v>593</v>
      </c>
    </row>
    <row r="321" spans="9:10" ht="15" customHeight="1" x14ac:dyDescent="0.25">
      <c r="I321">
        <v>509</v>
      </c>
      <c r="J321" t="s">
        <v>594</v>
      </c>
    </row>
    <row r="322" spans="9:10" ht="15" customHeight="1" x14ac:dyDescent="0.25">
      <c r="I322">
        <v>510</v>
      </c>
      <c r="J322" t="s">
        <v>595</v>
      </c>
    </row>
    <row r="323" spans="9:10" ht="15" customHeight="1" x14ac:dyDescent="0.25">
      <c r="I323">
        <v>511</v>
      </c>
      <c r="J323" t="s">
        <v>596</v>
      </c>
    </row>
    <row r="324" spans="9:10" ht="15" customHeight="1" x14ac:dyDescent="0.25">
      <c r="I324">
        <v>512</v>
      </c>
      <c r="J324" t="s">
        <v>597</v>
      </c>
    </row>
    <row r="325" spans="9:10" ht="15" customHeight="1" x14ac:dyDescent="0.25">
      <c r="I325">
        <v>513</v>
      </c>
      <c r="J325" t="s">
        <v>598</v>
      </c>
    </row>
    <row r="326" spans="9:10" ht="15" customHeight="1" x14ac:dyDescent="0.25">
      <c r="I326">
        <v>514</v>
      </c>
      <c r="J326" t="s">
        <v>599</v>
      </c>
    </row>
    <row r="327" spans="9:10" ht="15" customHeight="1" x14ac:dyDescent="0.25">
      <c r="I327">
        <v>515</v>
      </c>
      <c r="J327" t="s">
        <v>600</v>
      </c>
    </row>
    <row r="328" spans="9:10" ht="15" customHeight="1" x14ac:dyDescent="0.25">
      <c r="I328">
        <v>516</v>
      </c>
      <c r="J328" t="s">
        <v>601</v>
      </c>
    </row>
    <row r="329" spans="9:10" ht="15" customHeight="1" x14ac:dyDescent="0.25">
      <c r="I329">
        <v>517</v>
      </c>
      <c r="J329" t="s">
        <v>602</v>
      </c>
    </row>
    <row r="330" spans="9:10" ht="15" customHeight="1" x14ac:dyDescent="0.25">
      <c r="I330">
        <v>518</v>
      </c>
      <c r="J330" t="s">
        <v>603</v>
      </c>
    </row>
    <row r="331" spans="9:10" ht="15" customHeight="1" x14ac:dyDescent="0.25">
      <c r="I331">
        <v>519</v>
      </c>
      <c r="J331" t="s">
        <v>604</v>
      </c>
    </row>
    <row r="332" spans="9:10" ht="15" customHeight="1" x14ac:dyDescent="0.25">
      <c r="I332">
        <v>520</v>
      </c>
      <c r="J332" t="s">
        <v>605</v>
      </c>
    </row>
    <row r="333" spans="9:10" ht="15" customHeight="1" x14ac:dyDescent="0.25">
      <c r="I333">
        <v>521</v>
      </c>
      <c r="J333" t="s">
        <v>606</v>
      </c>
    </row>
    <row r="334" spans="9:10" ht="15" customHeight="1" x14ac:dyDescent="0.25">
      <c r="I334">
        <v>522</v>
      </c>
      <c r="J334" t="s">
        <v>607</v>
      </c>
    </row>
    <row r="335" spans="9:10" ht="15" customHeight="1" x14ac:dyDescent="0.25">
      <c r="I335">
        <v>523</v>
      </c>
      <c r="J335" t="s">
        <v>608</v>
      </c>
    </row>
    <row r="336" spans="9:10" ht="15" customHeight="1" x14ac:dyDescent="0.25">
      <c r="I336">
        <v>524</v>
      </c>
      <c r="J336" t="s">
        <v>609</v>
      </c>
    </row>
    <row r="337" spans="9:10" ht="15" customHeight="1" x14ac:dyDescent="0.25">
      <c r="I337">
        <v>525</v>
      </c>
      <c r="J337" t="s">
        <v>610</v>
      </c>
    </row>
    <row r="338" spans="9:10" ht="15" customHeight="1" x14ac:dyDescent="0.25">
      <c r="I338">
        <v>526</v>
      </c>
      <c r="J338" t="s">
        <v>611</v>
      </c>
    </row>
    <row r="339" spans="9:10" ht="15" customHeight="1" x14ac:dyDescent="0.25">
      <c r="I339">
        <v>527</v>
      </c>
      <c r="J339" t="s">
        <v>612</v>
      </c>
    </row>
    <row r="340" spans="9:10" ht="15" customHeight="1" x14ac:dyDescent="0.25">
      <c r="I340">
        <v>528</v>
      </c>
      <c r="J340" t="s">
        <v>613</v>
      </c>
    </row>
    <row r="341" spans="9:10" ht="15" customHeight="1" x14ac:dyDescent="0.25">
      <c r="I341">
        <v>529</v>
      </c>
      <c r="J341" t="s">
        <v>614</v>
      </c>
    </row>
    <row r="342" spans="9:10" ht="15" customHeight="1" x14ac:dyDescent="0.25">
      <c r="I342">
        <v>530</v>
      </c>
      <c r="J342" t="s">
        <v>615</v>
      </c>
    </row>
    <row r="343" spans="9:10" ht="15" customHeight="1" x14ac:dyDescent="0.25">
      <c r="I343">
        <v>531</v>
      </c>
      <c r="J343" t="s">
        <v>616</v>
      </c>
    </row>
    <row r="344" spans="9:10" ht="15" customHeight="1" x14ac:dyDescent="0.25">
      <c r="I344">
        <v>532</v>
      </c>
      <c r="J344" t="s">
        <v>617</v>
      </c>
    </row>
    <row r="345" spans="9:10" ht="15" customHeight="1" x14ac:dyDescent="0.25">
      <c r="I345">
        <v>533</v>
      </c>
      <c r="J345" t="s">
        <v>618</v>
      </c>
    </row>
    <row r="346" spans="9:10" ht="15" customHeight="1" x14ac:dyDescent="0.25">
      <c r="I346">
        <v>534</v>
      </c>
      <c r="J346" t="s">
        <v>619</v>
      </c>
    </row>
    <row r="347" spans="9:10" ht="15" customHeight="1" x14ac:dyDescent="0.25">
      <c r="I347">
        <v>535</v>
      </c>
      <c r="J347" t="s">
        <v>620</v>
      </c>
    </row>
    <row r="348" spans="9:10" ht="15" customHeight="1" x14ac:dyDescent="0.25">
      <c r="I348">
        <v>536</v>
      </c>
      <c r="J348" t="s">
        <v>621</v>
      </c>
    </row>
    <row r="349" spans="9:10" ht="15" customHeight="1" x14ac:dyDescent="0.25">
      <c r="I349">
        <v>537</v>
      </c>
      <c r="J349" t="s">
        <v>622</v>
      </c>
    </row>
    <row r="350" spans="9:10" ht="15" customHeight="1" x14ac:dyDescent="0.25">
      <c r="I350">
        <v>538</v>
      </c>
      <c r="J350" t="s">
        <v>623</v>
      </c>
    </row>
    <row r="351" spans="9:10" ht="15" customHeight="1" x14ac:dyDescent="0.25">
      <c r="I351">
        <v>539</v>
      </c>
      <c r="J351" t="s">
        <v>624</v>
      </c>
    </row>
    <row r="352" spans="9:10" ht="15" customHeight="1" x14ac:dyDescent="0.25">
      <c r="I352">
        <v>540</v>
      </c>
      <c r="J352" t="s">
        <v>625</v>
      </c>
    </row>
    <row r="353" spans="9:10" ht="15" customHeight="1" x14ac:dyDescent="0.25">
      <c r="I353">
        <v>541</v>
      </c>
      <c r="J353" t="s">
        <v>626</v>
      </c>
    </row>
    <row r="354" spans="9:10" ht="15" customHeight="1" x14ac:dyDescent="0.25">
      <c r="I354">
        <v>542</v>
      </c>
      <c r="J354" t="s">
        <v>627</v>
      </c>
    </row>
    <row r="355" spans="9:10" ht="15" customHeight="1" x14ac:dyDescent="0.25">
      <c r="I355">
        <v>543</v>
      </c>
      <c r="J355" t="s">
        <v>628</v>
      </c>
    </row>
    <row r="356" spans="9:10" ht="15" customHeight="1" x14ac:dyDescent="0.25">
      <c r="I356">
        <v>544</v>
      </c>
      <c r="J356" t="s">
        <v>629</v>
      </c>
    </row>
    <row r="357" spans="9:10" ht="15" customHeight="1" x14ac:dyDescent="0.25">
      <c r="I357">
        <v>545</v>
      </c>
      <c r="J357" t="s">
        <v>630</v>
      </c>
    </row>
    <row r="358" spans="9:10" ht="15" customHeight="1" x14ac:dyDescent="0.25">
      <c r="I358">
        <v>546</v>
      </c>
      <c r="J358" t="s">
        <v>631</v>
      </c>
    </row>
    <row r="359" spans="9:10" ht="15" customHeight="1" x14ac:dyDescent="0.25">
      <c r="I359">
        <v>547</v>
      </c>
      <c r="J359" t="s">
        <v>632</v>
      </c>
    </row>
    <row r="360" spans="9:10" ht="15" customHeight="1" x14ac:dyDescent="0.25">
      <c r="I360">
        <v>548</v>
      </c>
      <c r="J360" t="s">
        <v>633</v>
      </c>
    </row>
    <row r="361" spans="9:10" ht="15" customHeight="1" x14ac:dyDescent="0.25">
      <c r="I361">
        <v>549</v>
      </c>
      <c r="J361" t="s">
        <v>634</v>
      </c>
    </row>
    <row r="362" spans="9:10" ht="15" customHeight="1" x14ac:dyDescent="0.25">
      <c r="I362">
        <v>550</v>
      </c>
      <c r="J362" t="s">
        <v>635</v>
      </c>
    </row>
    <row r="363" spans="9:10" ht="15" customHeight="1" x14ac:dyDescent="0.25">
      <c r="I363">
        <v>551</v>
      </c>
      <c r="J363" t="s">
        <v>636</v>
      </c>
    </row>
    <row r="364" spans="9:10" ht="15" customHeight="1" x14ac:dyDescent="0.25">
      <c r="I364">
        <v>552</v>
      </c>
      <c r="J364" t="s">
        <v>637</v>
      </c>
    </row>
    <row r="365" spans="9:10" ht="15" customHeight="1" x14ac:dyDescent="0.25">
      <c r="I365">
        <v>553</v>
      </c>
      <c r="J365" t="s">
        <v>638</v>
      </c>
    </row>
    <row r="366" spans="9:10" ht="15" customHeight="1" x14ac:dyDescent="0.25">
      <c r="I366">
        <v>554</v>
      </c>
      <c r="J366" t="s">
        <v>639</v>
      </c>
    </row>
    <row r="367" spans="9:10" ht="15" customHeight="1" x14ac:dyDescent="0.25">
      <c r="I367">
        <v>555</v>
      </c>
      <c r="J367" t="s">
        <v>640</v>
      </c>
    </row>
    <row r="368" spans="9:10" ht="15" customHeight="1" x14ac:dyDescent="0.25">
      <c r="I368">
        <v>556</v>
      </c>
      <c r="J368" t="s">
        <v>641</v>
      </c>
    </row>
    <row r="369" spans="9:10" ht="15" customHeight="1" x14ac:dyDescent="0.25">
      <c r="I369">
        <v>557</v>
      </c>
      <c r="J369" t="s">
        <v>642</v>
      </c>
    </row>
    <row r="370" spans="9:10" ht="15" customHeight="1" x14ac:dyDescent="0.25">
      <c r="I370">
        <v>558</v>
      </c>
      <c r="J370" t="s">
        <v>643</v>
      </c>
    </row>
    <row r="371" spans="9:10" ht="15" customHeight="1" x14ac:dyDescent="0.25">
      <c r="I371">
        <v>559</v>
      </c>
      <c r="J371" t="s">
        <v>644</v>
      </c>
    </row>
    <row r="372" spans="9:10" ht="15" customHeight="1" x14ac:dyDescent="0.25">
      <c r="I372">
        <v>560</v>
      </c>
      <c r="J372" t="s">
        <v>645</v>
      </c>
    </row>
    <row r="373" spans="9:10" ht="15" customHeight="1" x14ac:dyDescent="0.25">
      <c r="I373">
        <v>561</v>
      </c>
      <c r="J373" t="s">
        <v>646</v>
      </c>
    </row>
    <row r="374" spans="9:10" ht="15" customHeight="1" x14ac:dyDescent="0.25">
      <c r="I374">
        <v>562</v>
      </c>
      <c r="J374" t="s">
        <v>647</v>
      </c>
    </row>
    <row r="375" spans="9:10" ht="15" customHeight="1" x14ac:dyDescent="0.25">
      <c r="I375">
        <v>563</v>
      </c>
      <c r="J375" t="s">
        <v>648</v>
      </c>
    </row>
    <row r="376" spans="9:10" ht="15" customHeight="1" x14ac:dyDescent="0.25">
      <c r="I376">
        <v>564</v>
      </c>
      <c r="J376" t="s">
        <v>649</v>
      </c>
    </row>
    <row r="377" spans="9:10" ht="15" customHeight="1" x14ac:dyDescent="0.25">
      <c r="I377">
        <v>565</v>
      </c>
      <c r="J377" t="s">
        <v>650</v>
      </c>
    </row>
    <row r="378" spans="9:10" ht="15" customHeight="1" x14ac:dyDescent="0.25">
      <c r="I378">
        <v>566</v>
      </c>
      <c r="J378" t="s">
        <v>651</v>
      </c>
    </row>
    <row r="379" spans="9:10" ht="15" customHeight="1" x14ac:dyDescent="0.25">
      <c r="I379">
        <v>567</v>
      </c>
      <c r="J379" t="s">
        <v>652</v>
      </c>
    </row>
    <row r="380" spans="9:10" ht="15" customHeight="1" x14ac:dyDescent="0.25">
      <c r="I380">
        <v>568</v>
      </c>
      <c r="J380" t="s">
        <v>653</v>
      </c>
    </row>
    <row r="381" spans="9:10" ht="15" customHeight="1" x14ac:dyDescent="0.25">
      <c r="I381">
        <v>569</v>
      </c>
      <c r="J381" t="s">
        <v>654</v>
      </c>
    </row>
    <row r="382" spans="9:10" ht="15" customHeight="1" x14ac:dyDescent="0.25">
      <c r="I382">
        <v>570</v>
      </c>
      <c r="J382" t="s">
        <v>655</v>
      </c>
    </row>
    <row r="383" spans="9:10" ht="15" customHeight="1" x14ac:dyDescent="0.25">
      <c r="I383">
        <v>571</v>
      </c>
      <c r="J383" t="s">
        <v>656</v>
      </c>
    </row>
    <row r="384" spans="9:10" ht="15" customHeight="1" x14ac:dyDescent="0.25">
      <c r="I384">
        <v>572</v>
      </c>
      <c r="J384" t="s">
        <v>657</v>
      </c>
    </row>
    <row r="385" spans="9:10" ht="15" customHeight="1" x14ac:dyDescent="0.25">
      <c r="I385">
        <v>573</v>
      </c>
      <c r="J385" t="s">
        <v>658</v>
      </c>
    </row>
    <row r="386" spans="9:10" ht="15" customHeight="1" x14ac:dyDescent="0.25">
      <c r="I386">
        <v>574</v>
      </c>
      <c r="J386" t="s">
        <v>659</v>
      </c>
    </row>
    <row r="387" spans="9:10" ht="15" customHeight="1" x14ac:dyDescent="0.25">
      <c r="I387">
        <v>575</v>
      </c>
      <c r="J387" t="s">
        <v>660</v>
      </c>
    </row>
    <row r="388" spans="9:10" ht="15" customHeight="1" x14ac:dyDescent="0.25">
      <c r="I388">
        <v>576</v>
      </c>
      <c r="J388" t="s">
        <v>661</v>
      </c>
    </row>
    <row r="389" spans="9:10" ht="15" customHeight="1" x14ac:dyDescent="0.25">
      <c r="I389">
        <v>577</v>
      </c>
      <c r="J389" t="s">
        <v>662</v>
      </c>
    </row>
    <row r="390" spans="9:10" ht="15" customHeight="1" x14ac:dyDescent="0.25">
      <c r="I390">
        <v>578</v>
      </c>
      <c r="J390" t="s">
        <v>663</v>
      </c>
    </row>
    <row r="391" spans="9:10" ht="15" customHeight="1" x14ac:dyDescent="0.25">
      <c r="I391">
        <v>579</v>
      </c>
      <c r="J391" t="s">
        <v>664</v>
      </c>
    </row>
    <row r="392" spans="9:10" ht="15" customHeight="1" x14ac:dyDescent="0.25">
      <c r="I392">
        <v>580</v>
      </c>
      <c r="J392" t="s">
        <v>665</v>
      </c>
    </row>
    <row r="393" spans="9:10" ht="15" customHeight="1" x14ac:dyDescent="0.25">
      <c r="I393">
        <v>581</v>
      </c>
      <c r="J393" t="s">
        <v>666</v>
      </c>
    </row>
    <row r="394" spans="9:10" ht="15" customHeight="1" x14ac:dyDescent="0.25">
      <c r="I394">
        <v>582</v>
      </c>
      <c r="J394" t="s">
        <v>667</v>
      </c>
    </row>
    <row r="395" spans="9:10" ht="15" customHeight="1" x14ac:dyDescent="0.25">
      <c r="I395">
        <v>583</v>
      </c>
      <c r="J395" t="s">
        <v>668</v>
      </c>
    </row>
    <row r="396" spans="9:10" ht="15" customHeight="1" x14ac:dyDescent="0.25">
      <c r="I396">
        <v>584</v>
      </c>
      <c r="J396" t="s">
        <v>669</v>
      </c>
    </row>
    <row r="397" spans="9:10" ht="15" customHeight="1" x14ac:dyDescent="0.25">
      <c r="I397">
        <v>585</v>
      </c>
      <c r="J397" t="s">
        <v>670</v>
      </c>
    </row>
    <row r="398" spans="9:10" ht="15" customHeight="1" x14ac:dyDescent="0.25">
      <c r="I398">
        <v>586</v>
      </c>
      <c r="J398" t="s">
        <v>671</v>
      </c>
    </row>
    <row r="399" spans="9:10" ht="15" customHeight="1" x14ac:dyDescent="0.25">
      <c r="I399">
        <v>587</v>
      </c>
      <c r="J399" t="s">
        <v>672</v>
      </c>
    </row>
    <row r="400" spans="9:10" ht="15" customHeight="1" x14ac:dyDescent="0.25">
      <c r="I400">
        <v>588</v>
      </c>
      <c r="J400" t="s">
        <v>673</v>
      </c>
    </row>
    <row r="401" spans="9:10" ht="15" customHeight="1" x14ac:dyDescent="0.25">
      <c r="I401">
        <v>589</v>
      </c>
      <c r="J401" t="s">
        <v>674</v>
      </c>
    </row>
    <row r="402" spans="9:10" ht="15" customHeight="1" x14ac:dyDescent="0.25">
      <c r="I402">
        <v>590</v>
      </c>
      <c r="J402" t="s">
        <v>675</v>
      </c>
    </row>
    <row r="403" spans="9:10" ht="15" customHeight="1" x14ac:dyDescent="0.25">
      <c r="I403">
        <v>591</v>
      </c>
      <c r="J403" t="s">
        <v>676</v>
      </c>
    </row>
    <row r="404" spans="9:10" ht="15" customHeight="1" x14ac:dyDescent="0.25">
      <c r="I404">
        <v>592</v>
      </c>
      <c r="J404" t="s">
        <v>677</v>
      </c>
    </row>
    <row r="405" spans="9:10" ht="15" customHeight="1" x14ac:dyDescent="0.25">
      <c r="I405">
        <v>593</v>
      </c>
      <c r="J405" t="s">
        <v>678</v>
      </c>
    </row>
    <row r="406" spans="9:10" ht="15" customHeight="1" x14ac:dyDescent="0.25">
      <c r="I406">
        <v>594</v>
      </c>
      <c r="J406" t="s">
        <v>679</v>
      </c>
    </row>
    <row r="407" spans="9:10" ht="15" customHeight="1" x14ac:dyDescent="0.25">
      <c r="I407">
        <v>595</v>
      </c>
      <c r="J407" t="s">
        <v>680</v>
      </c>
    </row>
    <row r="408" spans="9:10" ht="15" customHeight="1" x14ac:dyDescent="0.25">
      <c r="I408">
        <v>596</v>
      </c>
      <c r="J408" t="s">
        <v>681</v>
      </c>
    </row>
    <row r="409" spans="9:10" ht="15" customHeight="1" x14ac:dyDescent="0.25">
      <c r="I409">
        <v>597</v>
      </c>
      <c r="J409" t="s">
        <v>682</v>
      </c>
    </row>
    <row r="410" spans="9:10" ht="15" customHeight="1" x14ac:dyDescent="0.25">
      <c r="I410">
        <v>598</v>
      </c>
      <c r="J410" t="s">
        <v>683</v>
      </c>
    </row>
    <row r="411" spans="9:10" ht="15" customHeight="1" x14ac:dyDescent="0.25">
      <c r="I411">
        <v>599</v>
      </c>
      <c r="J411" t="s">
        <v>684</v>
      </c>
    </row>
    <row r="412" spans="9:10" ht="15" customHeight="1" x14ac:dyDescent="0.25">
      <c r="I412">
        <v>600</v>
      </c>
      <c r="J412" t="s">
        <v>685</v>
      </c>
    </row>
    <row r="413" spans="9:10" ht="15" customHeight="1" x14ac:dyDescent="0.25">
      <c r="I413">
        <v>601</v>
      </c>
      <c r="J413" t="s">
        <v>686</v>
      </c>
    </row>
    <row r="414" spans="9:10" ht="15" customHeight="1" x14ac:dyDescent="0.25">
      <c r="I414">
        <v>602</v>
      </c>
      <c r="J414" t="s">
        <v>687</v>
      </c>
    </row>
    <row r="415" spans="9:10" ht="15" customHeight="1" x14ac:dyDescent="0.25">
      <c r="I415">
        <v>603</v>
      </c>
      <c r="J415" t="s">
        <v>688</v>
      </c>
    </row>
    <row r="416" spans="9:10" ht="15" customHeight="1" x14ac:dyDescent="0.25">
      <c r="I416">
        <v>604</v>
      </c>
      <c r="J416" t="s">
        <v>689</v>
      </c>
    </row>
    <row r="417" spans="9:10" ht="15" customHeight="1" x14ac:dyDescent="0.25">
      <c r="I417">
        <v>605</v>
      </c>
      <c r="J417" t="s">
        <v>690</v>
      </c>
    </row>
    <row r="418" spans="9:10" ht="15" customHeight="1" x14ac:dyDescent="0.25">
      <c r="I418">
        <v>606</v>
      </c>
      <c r="J418" t="s">
        <v>691</v>
      </c>
    </row>
    <row r="419" spans="9:10" ht="15" customHeight="1" x14ac:dyDescent="0.25">
      <c r="I419">
        <v>607</v>
      </c>
      <c r="J419" t="s">
        <v>692</v>
      </c>
    </row>
    <row r="420" spans="9:10" ht="15" customHeight="1" x14ac:dyDescent="0.25">
      <c r="I420">
        <v>608</v>
      </c>
      <c r="J420" t="s">
        <v>693</v>
      </c>
    </row>
    <row r="421" spans="9:10" ht="15" customHeight="1" x14ac:dyDescent="0.25">
      <c r="I421">
        <v>609</v>
      </c>
      <c r="J421" t="s">
        <v>694</v>
      </c>
    </row>
    <row r="422" spans="9:10" ht="15" customHeight="1" x14ac:dyDescent="0.25">
      <c r="I422">
        <v>610</v>
      </c>
      <c r="J422" t="s">
        <v>695</v>
      </c>
    </row>
    <row r="423" spans="9:10" ht="15" customHeight="1" x14ac:dyDescent="0.25">
      <c r="I423">
        <v>611</v>
      </c>
      <c r="J423" t="s">
        <v>696</v>
      </c>
    </row>
    <row r="424" spans="9:10" ht="15" customHeight="1" x14ac:dyDescent="0.25">
      <c r="I424">
        <v>612</v>
      </c>
      <c r="J424" t="s">
        <v>697</v>
      </c>
    </row>
    <row r="425" spans="9:10" ht="15" customHeight="1" x14ac:dyDescent="0.25">
      <c r="I425">
        <v>613</v>
      </c>
      <c r="J425" t="s">
        <v>698</v>
      </c>
    </row>
    <row r="426" spans="9:10" ht="15" customHeight="1" x14ac:dyDescent="0.25">
      <c r="I426">
        <v>614</v>
      </c>
      <c r="J426" t="s">
        <v>699</v>
      </c>
    </row>
    <row r="427" spans="9:10" ht="15" customHeight="1" x14ac:dyDescent="0.25">
      <c r="I427">
        <v>615</v>
      </c>
      <c r="J427" t="s">
        <v>700</v>
      </c>
    </row>
    <row r="428" spans="9:10" ht="15" customHeight="1" x14ac:dyDescent="0.25">
      <c r="I428">
        <v>616</v>
      </c>
      <c r="J428" t="s">
        <v>701</v>
      </c>
    </row>
    <row r="429" spans="9:10" ht="15" customHeight="1" x14ac:dyDescent="0.25">
      <c r="I429">
        <v>617</v>
      </c>
      <c r="J429" t="s">
        <v>702</v>
      </c>
    </row>
    <row r="430" spans="9:10" ht="15" customHeight="1" x14ac:dyDescent="0.25">
      <c r="I430">
        <v>618</v>
      </c>
      <c r="J430" t="s">
        <v>703</v>
      </c>
    </row>
    <row r="431" spans="9:10" ht="15" customHeight="1" x14ac:dyDescent="0.25">
      <c r="I431">
        <v>619</v>
      </c>
      <c r="J431" t="s">
        <v>704</v>
      </c>
    </row>
    <row r="432" spans="9:10" ht="15" customHeight="1" x14ac:dyDescent="0.25">
      <c r="I432">
        <v>620</v>
      </c>
      <c r="J432" t="s">
        <v>705</v>
      </c>
    </row>
    <row r="433" spans="9:10" ht="15" customHeight="1" x14ac:dyDescent="0.25">
      <c r="I433">
        <v>621</v>
      </c>
      <c r="J433" t="s">
        <v>706</v>
      </c>
    </row>
    <row r="434" spans="9:10" ht="15" customHeight="1" x14ac:dyDescent="0.25">
      <c r="I434">
        <v>622</v>
      </c>
      <c r="J434" t="s">
        <v>707</v>
      </c>
    </row>
    <row r="435" spans="9:10" ht="15" customHeight="1" x14ac:dyDescent="0.25">
      <c r="I435">
        <v>623</v>
      </c>
      <c r="J435" t="s">
        <v>708</v>
      </c>
    </row>
    <row r="436" spans="9:10" ht="15" customHeight="1" x14ac:dyDescent="0.25">
      <c r="I436">
        <v>624</v>
      </c>
      <c r="J436" t="s">
        <v>709</v>
      </c>
    </row>
    <row r="437" spans="9:10" ht="15" customHeight="1" x14ac:dyDescent="0.25">
      <c r="I437">
        <v>625</v>
      </c>
      <c r="J437" t="s">
        <v>710</v>
      </c>
    </row>
    <row r="438" spans="9:10" ht="15" customHeight="1" x14ac:dyDescent="0.25">
      <c r="I438">
        <v>626</v>
      </c>
      <c r="J438" t="s">
        <v>711</v>
      </c>
    </row>
    <row r="439" spans="9:10" ht="15" customHeight="1" x14ac:dyDescent="0.25">
      <c r="I439">
        <v>627</v>
      </c>
      <c r="J439" t="s">
        <v>712</v>
      </c>
    </row>
    <row r="440" spans="9:10" ht="15" customHeight="1" x14ac:dyDescent="0.25">
      <c r="I440">
        <v>628</v>
      </c>
      <c r="J440" t="s">
        <v>713</v>
      </c>
    </row>
    <row r="441" spans="9:10" ht="15" customHeight="1" x14ac:dyDescent="0.25">
      <c r="I441">
        <v>629</v>
      </c>
      <c r="J441" t="s">
        <v>714</v>
      </c>
    </row>
    <row r="442" spans="9:10" ht="15" customHeight="1" x14ac:dyDescent="0.25">
      <c r="I442">
        <v>630</v>
      </c>
      <c r="J442" t="s">
        <v>715</v>
      </c>
    </row>
    <row r="443" spans="9:10" ht="15" customHeight="1" x14ac:dyDescent="0.25">
      <c r="I443">
        <v>631</v>
      </c>
      <c r="J443" t="s">
        <v>716</v>
      </c>
    </row>
    <row r="444" spans="9:10" ht="15" customHeight="1" x14ac:dyDescent="0.25">
      <c r="I444">
        <v>632</v>
      </c>
      <c r="J444" t="s">
        <v>717</v>
      </c>
    </row>
    <row r="445" spans="9:10" ht="15" customHeight="1" x14ac:dyDescent="0.25">
      <c r="I445">
        <v>633</v>
      </c>
      <c r="J445" t="s">
        <v>718</v>
      </c>
    </row>
    <row r="446" spans="9:10" ht="15" customHeight="1" x14ac:dyDescent="0.25">
      <c r="I446">
        <v>634</v>
      </c>
      <c r="J446" t="s">
        <v>719</v>
      </c>
    </row>
    <row r="447" spans="9:10" ht="15" customHeight="1" x14ac:dyDescent="0.25">
      <c r="I447">
        <v>635</v>
      </c>
      <c r="J447" t="s">
        <v>720</v>
      </c>
    </row>
    <row r="448" spans="9:10" ht="15" customHeight="1" x14ac:dyDescent="0.25">
      <c r="I448">
        <v>636</v>
      </c>
      <c r="J448" t="s">
        <v>721</v>
      </c>
    </row>
    <row r="449" spans="9:10" ht="15" customHeight="1" x14ac:dyDescent="0.25">
      <c r="I449">
        <v>637</v>
      </c>
      <c r="J449" t="s">
        <v>722</v>
      </c>
    </row>
    <row r="450" spans="9:10" ht="15" customHeight="1" x14ac:dyDescent="0.25">
      <c r="I450">
        <v>638</v>
      </c>
      <c r="J450" t="s">
        <v>723</v>
      </c>
    </row>
    <row r="451" spans="9:10" ht="15" customHeight="1" x14ac:dyDescent="0.25">
      <c r="I451">
        <v>639</v>
      </c>
      <c r="J451" t="s">
        <v>724</v>
      </c>
    </row>
    <row r="452" spans="9:10" ht="15" customHeight="1" x14ac:dyDescent="0.25">
      <c r="I452">
        <v>640</v>
      </c>
      <c r="J452" t="s">
        <v>725</v>
      </c>
    </row>
    <row r="453" spans="9:10" ht="15" customHeight="1" x14ac:dyDescent="0.25">
      <c r="I453">
        <v>641</v>
      </c>
      <c r="J453" t="s">
        <v>726</v>
      </c>
    </row>
    <row r="454" spans="9:10" ht="15" customHeight="1" x14ac:dyDescent="0.25">
      <c r="I454">
        <v>642</v>
      </c>
      <c r="J454" t="s">
        <v>727</v>
      </c>
    </row>
    <row r="455" spans="9:10" ht="15" customHeight="1" x14ac:dyDescent="0.25">
      <c r="I455">
        <v>643</v>
      </c>
      <c r="J455" t="s">
        <v>728</v>
      </c>
    </row>
    <row r="456" spans="9:10" ht="15" customHeight="1" x14ac:dyDescent="0.25">
      <c r="I456">
        <v>644</v>
      </c>
      <c r="J456" t="s">
        <v>729</v>
      </c>
    </row>
    <row r="457" spans="9:10" ht="15" customHeight="1" x14ac:dyDescent="0.25">
      <c r="I457">
        <v>645</v>
      </c>
      <c r="J457" t="s">
        <v>730</v>
      </c>
    </row>
    <row r="458" spans="9:10" ht="15" customHeight="1" x14ac:dyDescent="0.25">
      <c r="I458">
        <v>646</v>
      </c>
      <c r="J458" t="s">
        <v>731</v>
      </c>
    </row>
    <row r="459" spans="9:10" ht="15" customHeight="1" x14ac:dyDescent="0.25">
      <c r="I459">
        <v>647</v>
      </c>
      <c r="J459" t="s">
        <v>732</v>
      </c>
    </row>
    <row r="460" spans="9:10" ht="15" customHeight="1" x14ac:dyDescent="0.25">
      <c r="I460">
        <v>648</v>
      </c>
      <c r="J460" t="s">
        <v>733</v>
      </c>
    </row>
    <row r="461" spans="9:10" ht="15" customHeight="1" x14ac:dyDescent="0.25">
      <c r="I461">
        <v>649</v>
      </c>
      <c r="J461" t="s">
        <v>734</v>
      </c>
    </row>
    <row r="462" spans="9:10" ht="15" customHeight="1" x14ac:dyDescent="0.25">
      <c r="I462">
        <v>650</v>
      </c>
      <c r="J462" t="s">
        <v>735</v>
      </c>
    </row>
    <row r="463" spans="9:10" ht="15" customHeight="1" x14ac:dyDescent="0.25">
      <c r="I463">
        <v>651</v>
      </c>
      <c r="J463" t="s">
        <v>736</v>
      </c>
    </row>
    <row r="464" spans="9:10" ht="15" customHeight="1" x14ac:dyDescent="0.25">
      <c r="I464">
        <v>652</v>
      </c>
      <c r="J464" t="s">
        <v>737</v>
      </c>
    </row>
    <row r="465" spans="9:10" ht="15" customHeight="1" x14ac:dyDescent="0.25">
      <c r="I465">
        <v>653</v>
      </c>
      <c r="J465" t="s">
        <v>738</v>
      </c>
    </row>
    <row r="466" spans="9:10" ht="15" customHeight="1" x14ac:dyDescent="0.25">
      <c r="I466">
        <v>654</v>
      </c>
      <c r="J466" t="s">
        <v>739</v>
      </c>
    </row>
    <row r="467" spans="9:10" ht="15" customHeight="1" x14ac:dyDescent="0.25">
      <c r="I467">
        <v>655</v>
      </c>
      <c r="J467" t="s">
        <v>740</v>
      </c>
    </row>
    <row r="468" spans="9:10" ht="15" customHeight="1" x14ac:dyDescent="0.25">
      <c r="I468">
        <v>656</v>
      </c>
      <c r="J468" t="s">
        <v>741</v>
      </c>
    </row>
    <row r="469" spans="9:10" ht="15" customHeight="1" x14ac:dyDescent="0.25">
      <c r="I469">
        <v>657</v>
      </c>
      <c r="J469" t="s">
        <v>742</v>
      </c>
    </row>
    <row r="470" spans="9:10" ht="15" customHeight="1" x14ac:dyDescent="0.25">
      <c r="I470">
        <v>658</v>
      </c>
      <c r="J470" t="s">
        <v>743</v>
      </c>
    </row>
    <row r="471" spans="9:10" ht="15" customHeight="1" x14ac:dyDescent="0.25">
      <c r="I471">
        <v>659</v>
      </c>
      <c r="J471" t="s">
        <v>744</v>
      </c>
    </row>
    <row r="472" spans="9:10" ht="15" customHeight="1" x14ac:dyDescent="0.25">
      <c r="I472">
        <v>660</v>
      </c>
      <c r="J472" t="s">
        <v>745</v>
      </c>
    </row>
    <row r="473" spans="9:10" ht="15" customHeight="1" x14ac:dyDescent="0.25">
      <c r="I473">
        <v>661</v>
      </c>
      <c r="J473" t="s">
        <v>746</v>
      </c>
    </row>
    <row r="474" spans="9:10" ht="15" customHeight="1" x14ac:dyDescent="0.25">
      <c r="I474">
        <v>661</v>
      </c>
      <c r="J474" t="s">
        <v>747</v>
      </c>
    </row>
    <row r="475" spans="9:10" ht="15" customHeight="1" x14ac:dyDescent="0.25">
      <c r="I475">
        <v>663</v>
      </c>
      <c r="J475" t="s">
        <v>748</v>
      </c>
    </row>
    <row r="476" spans="9:10" ht="15" customHeight="1" x14ac:dyDescent="0.25">
      <c r="I476">
        <v>664</v>
      </c>
      <c r="J476" t="s">
        <v>749</v>
      </c>
    </row>
    <row r="477" spans="9:10" ht="15" customHeight="1" x14ac:dyDescent="0.25">
      <c r="I477">
        <v>665</v>
      </c>
      <c r="J477" t="s">
        <v>750</v>
      </c>
    </row>
    <row r="478" spans="9:10" ht="15" customHeight="1" x14ac:dyDescent="0.25">
      <c r="I478">
        <v>666</v>
      </c>
      <c r="J478" t="s">
        <v>751</v>
      </c>
    </row>
    <row r="479" spans="9:10" ht="15" customHeight="1" x14ac:dyDescent="0.25">
      <c r="I479">
        <v>667</v>
      </c>
      <c r="J479" t="s">
        <v>752</v>
      </c>
    </row>
    <row r="480" spans="9:10" ht="15" customHeight="1" x14ac:dyDescent="0.25">
      <c r="I480">
        <v>668</v>
      </c>
      <c r="J480" t="s">
        <v>753</v>
      </c>
    </row>
    <row r="481" spans="9:10" ht="15" customHeight="1" x14ac:dyDescent="0.25">
      <c r="I481">
        <v>669</v>
      </c>
      <c r="J481" t="s">
        <v>754</v>
      </c>
    </row>
    <row r="482" spans="9:10" ht="15" customHeight="1" x14ac:dyDescent="0.25">
      <c r="I482">
        <v>670</v>
      </c>
      <c r="J482" t="s">
        <v>755</v>
      </c>
    </row>
    <row r="483" spans="9:10" ht="15" customHeight="1" x14ac:dyDescent="0.25">
      <c r="I483">
        <v>671</v>
      </c>
      <c r="J483" t="s">
        <v>756</v>
      </c>
    </row>
    <row r="484" spans="9:10" ht="15" customHeight="1" x14ac:dyDescent="0.25">
      <c r="I484">
        <v>672</v>
      </c>
      <c r="J484" t="s">
        <v>757</v>
      </c>
    </row>
    <row r="485" spans="9:10" ht="15" customHeight="1" x14ac:dyDescent="0.25">
      <c r="I485">
        <v>673</v>
      </c>
      <c r="J485" t="s">
        <v>758</v>
      </c>
    </row>
    <row r="486" spans="9:10" ht="15" customHeight="1" x14ac:dyDescent="0.25">
      <c r="I486">
        <v>674</v>
      </c>
      <c r="J486" t="s">
        <v>759</v>
      </c>
    </row>
    <row r="487" spans="9:10" ht="15" customHeight="1" x14ac:dyDescent="0.25">
      <c r="I487">
        <v>675</v>
      </c>
      <c r="J487" t="s">
        <v>760</v>
      </c>
    </row>
    <row r="488" spans="9:10" ht="15" customHeight="1" x14ac:dyDescent="0.25">
      <c r="I488">
        <v>676</v>
      </c>
      <c r="J488" t="s">
        <v>761</v>
      </c>
    </row>
    <row r="489" spans="9:10" ht="15" customHeight="1" x14ac:dyDescent="0.25">
      <c r="I489">
        <v>677</v>
      </c>
      <c r="J489" t="s">
        <v>762</v>
      </c>
    </row>
    <row r="490" spans="9:10" ht="15" customHeight="1" x14ac:dyDescent="0.25">
      <c r="I490">
        <v>678</v>
      </c>
      <c r="J490" t="s">
        <v>763</v>
      </c>
    </row>
    <row r="491" spans="9:10" ht="15" customHeight="1" x14ac:dyDescent="0.25">
      <c r="I491">
        <v>679</v>
      </c>
      <c r="J491" t="s">
        <v>764</v>
      </c>
    </row>
    <row r="492" spans="9:10" ht="15" customHeight="1" x14ac:dyDescent="0.25">
      <c r="I492">
        <v>680</v>
      </c>
      <c r="J492" t="s">
        <v>765</v>
      </c>
    </row>
    <row r="493" spans="9:10" ht="15" customHeight="1" x14ac:dyDescent="0.25">
      <c r="I493">
        <v>681</v>
      </c>
      <c r="J493" t="s">
        <v>766</v>
      </c>
    </row>
    <row r="494" spans="9:10" ht="15" customHeight="1" x14ac:dyDescent="0.25">
      <c r="I494">
        <v>682</v>
      </c>
      <c r="J494" t="s">
        <v>767</v>
      </c>
    </row>
    <row r="495" spans="9:10" ht="15" customHeight="1" x14ac:dyDescent="0.25">
      <c r="I495">
        <v>683</v>
      </c>
      <c r="J495" t="s">
        <v>768</v>
      </c>
    </row>
    <row r="496" spans="9:10" ht="15" customHeight="1" x14ac:dyDescent="0.25">
      <c r="I496">
        <v>683</v>
      </c>
      <c r="J496" t="s">
        <v>769</v>
      </c>
    </row>
    <row r="497" spans="9:10" ht="15" customHeight="1" x14ac:dyDescent="0.25">
      <c r="I497">
        <v>685</v>
      </c>
      <c r="J497" t="s">
        <v>770</v>
      </c>
    </row>
    <row r="498" spans="9:10" ht="15" customHeight="1" x14ac:dyDescent="0.25">
      <c r="I498">
        <v>686</v>
      </c>
      <c r="J498" t="s">
        <v>771</v>
      </c>
    </row>
    <row r="499" spans="9:10" ht="15" customHeight="1" x14ac:dyDescent="0.25">
      <c r="I499">
        <v>687</v>
      </c>
      <c r="J499" t="s">
        <v>772</v>
      </c>
    </row>
    <row r="500" spans="9:10" ht="15" customHeight="1" x14ac:dyDescent="0.25">
      <c r="I500">
        <v>688</v>
      </c>
      <c r="J500" t="s">
        <v>773</v>
      </c>
    </row>
    <row r="501" spans="9:10" ht="15" customHeight="1" x14ac:dyDescent="0.25">
      <c r="I501">
        <v>689</v>
      </c>
      <c r="J501" t="s">
        <v>774</v>
      </c>
    </row>
    <row r="502" spans="9:10" ht="15" customHeight="1" x14ac:dyDescent="0.25">
      <c r="I502">
        <v>690</v>
      </c>
      <c r="J502" t="s">
        <v>775</v>
      </c>
    </row>
    <row r="503" spans="9:10" ht="15" customHeight="1" x14ac:dyDescent="0.25">
      <c r="I503">
        <v>691</v>
      </c>
      <c r="J503" t="s">
        <v>776</v>
      </c>
    </row>
    <row r="504" spans="9:10" ht="15" customHeight="1" x14ac:dyDescent="0.25">
      <c r="I504">
        <v>692</v>
      </c>
      <c r="J504" t="s">
        <v>777</v>
      </c>
    </row>
    <row r="505" spans="9:10" ht="15" customHeight="1" x14ac:dyDescent="0.25">
      <c r="I505">
        <v>693</v>
      </c>
      <c r="J505" t="s">
        <v>778</v>
      </c>
    </row>
    <row r="506" spans="9:10" ht="15" customHeight="1" x14ac:dyDescent="0.25">
      <c r="I506">
        <v>694</v>
      </c>
      <c r="J506" t="s">
        <v>779</v>
      </c>
    </row>
    <row r="507" spans="9:10" ht="15" customHeight="1" x14ac:dyDescent="0.25">
      <c r="I507">
        <v>695</v>
      </c>
      <c r="J507" t="s">
        <v>780</v>
      </c>
    </row>
    <row r="508" spans="9:10" ht="15" customHeight="1" x14ac:dyDescent="0.25">
      <c r="I508">
        <v>696</v>
      </c>
      <c r="J508" t="s">
        <v>781</v>
      </c>
    </row>
    <row r="509" spans="9:10" ht="15" customHeight="1" x14ac:dyDescent="0.25">
      <c r="I509">
        <v>697</v>
      </c>
      <c r="J509" t="s">
        <v>782</v>
      </c>
    </row>
    <row r="510" spans="9:10" ht="15" customHeight="1" x14ac:dyDescent="0.25">
      <c r="I510">
        <v>698</v>
      </c>
      <c r="J510" t="s">
        <v>783</v>
      </c>
    </row>
    <row r="511" spans="9:10" ht="15" customHeight="1" x14ac:dyDescent="0.25">
      <c r="I511">
        <v>699</v>
      </c>
      <c r="J511" t="s">
        <v>784</v>
      </c>
    </row>
    <row r="512" spans="9:10" ht="15" customHeight="1" x14ac:dyDescent="0.25">
      <c r="I512">
        <v>700</v>
      </c>
      <c r="J512" t="s">
        <v>785</v>
      </c>
    </row>
    <row r="513" spans="9:10" ht="15" customHeight="1" x14ac:dyDescent="0.25">
      <c r="I513">
        <v>701</v>
      </c>
      <c r="J513" t="s">
        <v>786</v>
      </c>
    </row>
    <row r="514" spans="9:10" ht="15" customHeight="1" x14ac:dyDescent="0.25">
      <c r="I514">
        <v>702</v>
      </c>
      <c r="J514" t="s">
        <v>787</v>
      </c>
    </row>
    <row r="515" spans="9:10" ht="15" customHeight="1" x14ac:dyDescent="0.25">
      <c r="I515">
        <v>703</v>
      </c>
      <c r="J515" t="s">
        <v>788</v>
      </c>
    </row>
    <row r="516" spans="9:10" ht="15" customHeight="1" x14ac:dyDescent="0.25">
      <c r="I516">
        <v>704</v>
      </c>
      <c r="J516" t="s">
        <v>789</v>
      </c>
    </row>
    <row r="517" spans="9:10" ht="15" customHeight="1" x14ac:dyDescent="0.25">
      <c r="I517">
        <v>705</v>
      </c>
      <c r="J517" t="s">
        <v>790</v>
      </c>
    </row>
    <row r="518" spans="9:10" ht="15" customHeight="1" x14ac:dyDescent="0.25">
      <c r="I518">
        <v>706</v>
      </c>
      <c r="J518" t="s">
        <v>791</v>
      </c>
    </row>
    <row r="519" spans="9:10" ht="15" customHeight="1" x14ac:dyDescent="0.25">
      <c r="I519">
        <v>707</v>
      </c>
      <c r="J519" t="s">
        <v>792</v>
      </c>
    </row>
    <row r="520" spans="9:10" ht="15" customHeight="1" x14ac:dyDescent="0.25">
      <c r="I520">
        <v>708</v>
      </c>
      <c r="J520" t="s">
        <v>793</v>
      </c>
    </row>
    <row r="521" spans="9:10" ht="15" customHeight="1" x14ac:dyDescent="0.25">
      <c r="I521">
        <v>709</v>
      </c>
      <c r="J521" t="s">
        <v>794</v>
      </c>
    </row>
    <row r="522" spans="9:10" ht="15" customHeight="1" x14ac:dyDescent="0.25">
      <c r="I522">
        <v>710</v>
      </c>
      <c r="J522" t="s">
        <v>795</v>
      </c>
    </row>
    <row r="523" spans="9:10" ht="15" customHeight="1" x14ac:dyDescent="0.25">
      <c r="I523">
        <v>711</v>
      </c>
      <c r="J523" t="s">
        <v>796</v>
      </c>
    </row>
    <row r="524" spans="9:10" ht="15" customHeight="1" x14ac:dyDescent="0.25">
      <c r="I524">
        <v>712</v>
      </c>
      <c r="J524" t="s">
        <v>797</v>
      </c>
    </row>
    <row r="525" spans="9:10" ht="15" customHeight="1" x14ac:dyDescent="0.25">
      <c r="I525">
        <v>713</v>
      </c>
      <c r="J525" t="s">
        <v>798</v>
      </c>
    </row>
    <row r="526" spans="9:10" ht="15" customHeight="1" x14ac:dyDescent="0.25">
      <c r="I526">
        <v>714</v>
      </c>
      <c r="J526" t="s">
        <v>799</v>
      </c>
    </row>
    <row r="527" spans="9:10" ht="15" customHeight="1" x14ac:dyDescent="0.25">
      <c r="I527">
        <v>715</v>
      </c>
      <c r="J527" t="s">
        <v>800</v>
      </c>
    </row>
    <row r="528" spans="9:10" ht="15" customHeight="1" x14ac:dyDescent="0.25">
      <c r="I528">
        <v>716</v>
      </c>
      <c r="J528" t="s">
        <v>801</v>
      </c>
    </row>
    <row r="529" spans="9:10" ht="15" customHeight="1" x14ac:dyDescent="0.25">
      <c r="I529">
        <v>717</v>
      </c>
      <c r="J529" t="s">
        <v>802</v>
      </c>
    </row>
    <row r="530" spans="9:10" ht="15" customHeight="1" x14ac:dyDescent="0.25">
      <c r="I530">
        <v>718</v>
      </c>
      <c r="J530" t="s">
        <v>803</v>
      </c>
    </row>
    <row r="531" spans="9:10" ht="15" customHeight="1" x14ac:dyDescent="0.25">
      <c r="I531">
        <v>719</v>
      </c>
      <c r="J531" t="s">
        <v>804</v>
      </c>
    </row>
    <row r="532" spans="9:10" ht="15" customHeight="1" x14ac:dyDescent="0.25">
      <c r="I532">
        <v>720</v>
      </c>
      <c r="J532" t="s">
        <v>805</v>
      </c>
    </row>
    <row r="533" spans="9:10" ht="15" customHeight="1" x14ac:dyDescent="0.25">
      <c r="I533">
        <v>721</v>
      </c>
      <c r="J533" t="s">
        <v>806</v>
      </c>
    </row>
    <row r="534" spans="9:10" ht="15" customHeight="1" x14ac:dyDescent="0.25">
      <c r="I534">
        <v>722</v>
      </c>
      <c r="J534" t="s">
        <v>807</v>
      </c>
    </row>
    <row r="535" spans="9:10" ht="15" customHeight="1" x14ac:dyDescent="0.25">
      <c r="I535">
        <v>723</v>
      </c>
      <c r="J535" t="s">
        <v>808</v>
      </c>
    </row>
    <row r="536" spans="9:10" ht="15" customHeight="1" x14ac:dyDescent="0.25">
      <c r="I536">
        <v>724</v>
      </c>
      <c r="J536" t="s">
        <v>809</v>
      </c>
    </row>
    <row r="537" spans="9:10" ht="15" customHeight="1" x14ac:dyDescent="0.25">
      <c r="I537">
        <v>725</v>
      </c>
      <c r="J537" t="s">
        <v>810</v>
      </c>
    </row>
    <row r="538" spans="9:10" ht="15" customHeight="1" x14ac:dyDescent="0.25">
      <c r="I538">
        <v>726</v>
      </c>
      <c r="J538" t="s">
        <v>811</v>
      </c>
    </row>
  </sheetData>
  <mergeCells count="2">
    <mergeCell ref="A1:D1"/>
    <mergeCell ref="B27:D27"/>
  </mergeCells>
  <conditionalFormatting sqref="B21">
    <cfRule type="cellIs" dxfId="9" priority="2" operator="greaterThan">
      <formula>0</formula>
    </cfRule>
    <cfRule type="cellIs" dxfId="8" priority="3" operator="lessThan">
      <formula>0</formula>
    </cfRule>
  </conditionalFormatting>
  <conditionalFormatting sqref="B23">
    <cfRule type="cellIs" dxfId="7" priority="4" operator="greaterThan">
      <formula>0</formula>
    </cfRule>
    <cfRule type="cellIs" dxfId="6" priority="5" operator="lessThan">
      <formula>0</formula>
    </cfRule>
  </conditionalFormatting>
  <conditionalFormatting sqref="B27">
    <cfRule type="expression" dxfId="5" priority="6">
      <formula>LEFT(B27,6)="REJECT"</formula>
    </cfRule>
    <cfRule type="expression" dxfId="4" priority="7">
      <formula>LEFT(B27,7)="CAUTION"</formula>
    </cfRule>
    <cfRule type="expression" dxfId="3" priority="8">
      <formula>LEFT(B27,6)="STRONG"</formula>
    </cfRule>
    <cfRule type="expression" dxfId="2" priority="9">
      <formula>LEFT(B27,6)="ACCEPT"</formula>
    </cfRule>
  </conditionalFormatting>
  <dataValidations count="2">
    <dataValidation type="list" sqref="B14" xr:uid="{00000000-0002-0000-0600-000000000000}">
      <formula1>"Produce in-house,Purchase &amp; resell"</formula1>
      <formula2>0</formula2>
    </dataValidation>
    <dataValidation type="list" allowBlank="1" showInputMessage="1" showErrorMessage="1" sqref="B4" xr:uid="{00000000-0002-0000-0600-000001000000}">
      <formula1>$I$5:$I$600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40"/>
  <sheetViews>
    <sheetView zoomScaleNormal="100" workbookViewId="0">
      <pane xSplit="1" ySplit="7" topLeftCell="B104" activePane="bottomRight" state="frozen"/>
      <selection pane="topRight" activeCell="B1" sqref="B1"/>
      <selection pane="bottomLeft" activeCell="A8" sqref="A8"/>
      <selection pane="bottomRight" activeCell="G194" sqref="G194"/>
    </sheetView>
  </sheetViews>
  <sheetFormatPr defaultColWidth="8.7109375" defaultRowHeight="15" x14ac:dyDescent="0.25"/>
  <cols>
    <col min="1" max="1" width="5" customWidth="1"/>
    <col min="2" max="2" width="8" customWidth="1"/>
    <col min="3" max="5" width="24" customWidth="1"/>
    <col min="6" max="6" width="19.7109375" style="147" bestFit="1" customWidth="1"/>
    <col min="7" max="7" width="14" customWidth="1"/>
    <col min="8" max="8" width="13" customWidth="1"/>
    <col min="9" max="13" width="12" customWidth="1"/>
    <col min="14" max="15" width="13" customWidth="1"/>
  </cols>
  <sheetData>
    <row r="1" spans="1:15" ht="25.5" customHeight="1" x14ac:dyDescent="0.25">
      <c r="A1" s="151" t="s">
        <v>812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</row>
    <row r="3" spans="1:15" ht="15" customHeight="1" x14ac:dyDescent="0.25">
      <c r="A3" s="152" t="s">
        <v>813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</row>
    <row r="4" spans="1:15" ht="15" customHeight="1" x14ac:dyDescent="0.25">
      <c r="A4" s="152" t="s">
        <v>814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</row>
    <row r="5" spans="1:15" ht="15" customHeight="1" x14ac:dyDescent="0.25">
      <c r="A5" s="152" t="s">
        <v>815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</row>
    <row r="7" spans="1:15" ht="49.5" customHeight="1" x14ac:dyDescent="0.25">
      <c r="A7" s="83" t="s">
        <v>168</v>
      </c>
      <c r="B7" s="83" t="s">
        <v>169</v>
      </c>
      <c r="C7" s="83" t="s">
        <v>170</v>
      </c>
      <c r="D7" s="83" t="s">
        <v>171</v>
      </c>
      <c r="E7" s="83" t="s">
        <v>936</v>
      </c>
      <c r="F7" s="144" t="s">
        <v>981</v>
      </c>
      <c r="G7" s="83" t="s">
        <v>816</v>
      </c>
      <c r="H7" s="83" t="s">
        <v>817</v>
      </c>
      <c r="I7" s="83" t="s">
        <v>818</v>
      </c>
      <c r="J7" s="83" t="s">
        <v>819</v>
      </c>
      <c r="K7" s="83" t="s">
        <v>820</v>
      </c>
      <c r="L7" s="83" t="s">
        <v>821</v>
      </c>
      <c r="M7" s="83" t="s">
        <v>215</v>
      </c>
      <c r="N7" s="83" t="s">
        <v>822</v>
      </c>
      <c r="O7" s="83" t="s">
        <v>216</v>
      </c>
    </row>
    <row r="8" spans="1:15" ht="15" customHeight="1" x14ac:dyDescent="0.25">
      <c r="A8" s="75">
        <v>1</v>
      </c>
      <c r="B8" s="75">
        <v>126</v>
      </c>
      <c r="C8" s="75" t="s">
        <v>927</v>
      </c>
      <c r="D8" s="75" t="s">
        <v>182</v>
      </c>
      <c r="E8" s="75">
        <v>2400</v>
      </c>
      <c r="F8" s="148">
        <f>E8*(_xlfn.XLOOKUP(B8,'Ratio Master'!A:A,'Ratio Master'!G:G,""))</f>
        <v>226.47498266141039</v>
      </c>
      <c r="G8" s="70"/>
      <c r="H8" s="70">
        <f>IFERROR('SKU Master'!M5+0,0)</f>
        <v>0</v>
      </c>
      <c r="I8" s="150">
        <f t="shared" ref="I8:I71" si="0">MAX(F8-G8,0)</f>
        <v>226.47498266141039</v>
      </c>
      <c r="J8" s="70">
        <f>IFERROR('SKU Master'!N5+0,0)</f>
        <v>297.02970297029702</v>
      </c>
      <c r="K8" s="74">
        <f t="shared" ref="K8:K71" si="1">MIN(G8,F8)*H8</f>
        <v>0</v>
      </c>
      <c r="L8" s="74">
        <f>I8*'SKU Master'!H5</f>
        <v>49468.130770022217</v>
      </c>
      <c r="M8" s="74">
        <f t="shared" ref="M8:M71" si="2">K8+L8</f>
        <v>49468.130770022217</v>
      </c>
      <c r="N8" s="74">
        <f t="shared" ref="N8:N71" si="3">F8*J8</f>
        <v>67269.796830121893</v>
      </c>
      <c r="O8" s="94">
        <f t="shared" ref="O8:O71" si="4">N8-M8</f>
        <v>17801.666060099677</v>
      </c>
    </row>
    <row r="9" spans="1:15" ht="15" customHeight="1" x14ac:dyDescent="0.25">
      <c r="A9" s="75">
        <v>2</v>
      </c>
      <c r="B9" s="75">
        <v>144</v>
      </c>
      <c r="C9" s="75" t="s">
        <v>830</v>
      </c>
      <c r="D9" s="75" t="s">
        <v>182</v>
      </c>
      <c r="E9" s="75">
        <v>48000</v>
      </c>
      <c r="F9" s="148">
        <f>E9*(_xlfn.XLOOKUP(B9,'Ratio Master'!A:A,'Ratio Master'!G:G,""))</f>
        <v>1919.5871596105919</v>
      </c>
      <c r="G9" s="70"/>
      <c r="H9" s="70">
        <f>IFERROR('SKU Master'!M6+0,0)</f>
        <v>0</v>
      </c>
      <c r="I9" s="150">
        <f t="shared" si="0"/>
        <v>1919.5871596105919</v>
      </c>
      <c r="J9" s="70">
        <f>IFERROR('SKU Master'!N6+0,0)</f>
        <v>343.7641509878037</v>
      </c>
      <c r="K9" s="74">
        <f t="shared" si="1"/>
        <v>0</v>
      </c>
      <c r="L9" s="74">
        <f>I9*'SKU Master'!H6</f>
        <v>528937.85871310299</v>
      </c>
      <c r="M9" s="74">
        <f t="shared" si="2"/>
        <v>528937.85871310299</v>
      </c>
      <c r="N9" s="74">
        <f t="shared" si="3"/>
        <v>659885.25017062481</v>
      </c>
      <c r="O9" s="94">
        <f t="shared" si="4"/>
        <v>130947.39145752182</v>
      </c>
    </row>
    <row r="10" spans="1:15" ht="15" customHeight="1" x14ac:dyDescent="0.25">
      <c r="A10" s="75">
        <v>3</v>
      </c>
      <c r="B10" s="75">
        <v>145</v>
      </c>
      <c r="C10" s="75" t="s">
        <v>928</v>
      </c>
      <c r="D10" s="75" t="s">
        <v>182</v>
      </c>
      <c r="E10" s="75">
        <v>0</v>
      </c>
      <c r="F10" s="148">
        <f>E10*(_xlfn.XLOOKUP(B10,'Ratio Master'!A:A,'Ratio Master'!G:G,""))</f>
        <v>0</v>
      </c>
      <c r="G10" s="70"/>
      <c r="H10" s="70">
        <f>IFERROR('SKU Master'!M7+0,0)</f>
        <v>0</v>
      </c>
      <c r="I10" s="150">
        <f t="shared" si="0"/>
        <v>0</v>
      </c>
      <c r="J10" s="70">
        <f>IFERROR('SKU Master'!N7+0,0)</f>
        <v>416.48590021691973</v>
      </c>
      <c r="K10" s="74">
        <f t="shared" si="1"/>
        <v>0</v>
      </c>
      <c r="L10" s="74">
        <f>I10*'SKU Master'!H7</f>
        <v>0</v>
      </c>
      <c r="M10" s="74">
        <f t="shared" si="2"/>
        <v>0</v>
      </c>
      <c r="N10" s="74">
        <f t="shared" si="3"/>
        <v>0</v>
      </c>
      <c r="O10" s="94">
        <f t="shared" si="4"/>
        <v>0</v>
      </c>
    </row>
    <row r="11" spans="1:15" ht="15" customHeight="1" x14ac:dyDescent="0.25">
      <c r="A11" s="75">
        <v>4</v>
      </c>
      <c r="B11" s="75">
        <v>147</v>
      </c>
      <c r="C11" s="75" t="s">
        <v>830</v>
      </c>
      <c r="D11" s="75" t="s">
        <v>831</v>
      </c>
      <c r="E11" s="75">
        <v>2400</v>
      </c>
      <c r="F11" s="148">
        <f>E11*(_xlfn.XLOOKUP(B11,'Ratio Master'!A:A,'Ratio Master'!G:G,""))</f>
        <v>102.759</v>
      </c>
      <c r="G11" s="70"/>
      <c r="H11" s="70">
        <f>IFERROR('SKU Master'!M8+0,0)</f>
        <v>0</v>
      </c>
      <c r="I11" s="150">
        <f t="shared" si="0"/>
        <v>102.759</v>
      </c>
      <c r="J11" s="70">
        <f>IFERROR('SKU Master'!N8+0,0)</f>
        <v>342.29828850855745</v>
      </c>
      <c r="K11" s="74">
        <f t="shared" si="1"/>
        <v>0</v>
      </c>
      <c r="L11" s="74">
        <f>I11*'SKU Master'!H8</f>
        <v>23937.442000203504</v>
      </c>
      <c r="M11" s="74">
        <f t="shared" si="2"/>
        <v>23937.442000203504</v>
      </c>
      <c r="N11" s="74">
        <f t="shared" si="3"/>
        <v>35174.229828850854</v>
      </c>
      <c r="O11" s="94">
        <f t="shared" si="4"/>
        <v>11236.78782864735</v>
      </c>
    </row>
    <row r="12" spans="1:15" ht="15" customHeight="1" x14ac:dyDescent="0.25">
      <c r="A12" s="75">
        <v>5</v>
      </c>
      <c r="B12" s="75">
        <v>155</v>
      </c>
      <c r="C12" s="75" t="s">
        <v>830</v>
      </c>
      <c r="D12" s="75" t="s">
        <v>183</v>
      </c>
      <c r="E12" s="75">
        <v>2400</v>
      </c>
      <c r="F12" s="148">
        <f>E12*(_xlfn.XLOOKUP(B12,'Ratio Master'!A:A,'Ratio Master'!G:G,""))</f>
        <v>98.981694915254153</v>
      </c>
      <c r="G12" s="70"/>
      <c r="H12" s="70">
        <f>IFERROR('SKU Master'!M9+0,0)</f>
        <v>0</v>
      </c>
      <c r="I12" s="150">
        <f t="shared" si="0"/>
        <v>98.981694915254153</v>
      </c>
      <c r="J12" s="70">
        <f>IFERROR('SKU Master'!N9+0,0)</f>
        <v>333.18692351132586</v>
      </c>
      <c r="K12" s="74">
        <f t="shared" si="1"/>
        <v>0</v>
      </c>
      <c r="L12" s="74">
        <f>I12*'SKU Master'!H9</f>
        <v>22468.331496666728</v>
      </c>
      <c r="M12" s="74">
        <f t="shared" si="2"/>
        <v>22468.331496666728</v>
      </c>
      <c r="N12" s="74">
        <f t="shared" si="3"/>
        <v>32979.406412750177</v>
      </c>
      <c r="O12" s="94">
        <f t="shared" si="4"/>
        <v>10511.074916083449</v>
      </c>
    </row>
    <row r="13" spans="1:15" ht="15" customHeight="1" x14ac:dyDescent="0.25">
      <c r="A13" s="75">
        <v>6</v>
      </c>
      <c r="B13" s="75">
        <v>158</v>
      </c>
      <c r="C13" s="75" t="s">
        <v>830</v>
      </c>
      <c r="D13" s="75" t="s">
        <v>184</v>
      </c>
      <c r="E13" s="75">
        <v>2400</v>
      </c>
      <c r="F13" s="148">
        <f>E13*(_xlfn.XLOOKUP(B13,'Ratio Master'!A:A,'Ratio Master'!G:G,""))</f>
        <v>98.086296296296325</v>
      </c>
      <c r="G13" s="70"/>
      <c r="H13" s="70">
        <f>IFERROR('SKU Master'!M10+0,0)</f>
        <v>0</v>
      </c>
      <c r="I13" s="150">
        <f t="shared" si="0"/>
        <v>98.086296296296325</v>
      </c>
      <c r="J13" s="70">
        <f>IFERROR('SKU Master'!N10+0,0)</f>
        <v>302.81372570465135</v>
      </c>
      <c r="K13" s="74">
        <f t="shared" si="1"/>
        <v>0</v>
      </c>
      <c r="L13" s="74">
        <f>I13*'SKU Master'!H10</f>
        <v>22574.479191841368</v>
      </c>
      <c r="M13" s="74">
        <f t="shared" si="2"/>
        <v>22574.479191841368</v>
      </c>
      <c r="N13" s="74">
        <f t="shared" si="3"/>
        <v>29701.876822051836</v>
      </c>
      <c r="O13" s="94">
        <f t="shared" si="4"/>
        <v>7127.3976302104675</v>
      </c>
    </row>
    <row r="14" spans="1:15" ht="15" customHeight="1" x14ac:dyDescent="0.25">
      <c r="A14" s="75">
        <v>7</v>
      </c>
      <c r="B14" s="75">
        <v>159</v>
      </c>
      <c r="C14" s="75" t="s">
        <v>830</v>
      </c>
      <c r="D14" s="75" t="s">
        <v>185</v>
      </c>
      <c r="E14" s="75">
        <v>0</v>
      </c>
      <c r="F14" s="148">
        <f>E14*(_xlfn.XLOOKUP(B14,'Ratio Master'!A:A,'Ratio Master'!G:G,""))</f>
        <v>0</v>
      </c>
      <c r="G14" s="70"/>
      <c r="H14" s="70">
        <f>IFERROR('SKU Master'!M11+0,0)</f>
        <v>0</v>
      </c>
      <c r="I14" s="150">
        <f t="shared" si="0"/>
        <v>0</v>
      </c>
      <c r="J14" s="70">
        <f>IFERROR('SKU Master'!N11+0,0)</f>
        <v>329.54842077786475</v>
      </c>
      <c r="K14" s="74">
        <f t="shared" si="1"/>
        <v>0</v>
      </c>
      <c r="L14" s="74">
        <f>I14*'SKU Master'!H11</f>
        <v>0</v>
      </c>
      <c r="M14" s="74">
        <f t="shared" si="2"/>
        <v>0</v>
      </c>
      <c r="N14" s="74">
        <f t="shared" si="3"/>
        <v>0</v>
      </c>
      <c r="O14" s="94">
        <f t="shared" si="4"/>
        <v>0</v>
      </c>
    </row>
    <row r="15" spans="1:15" ht="15" customHeight="1" x14ac:dyDescent="0.25">
      <c r="A15" s="75">
        <v>8</v>
      </c>
      <c r="B15" s="75">
        <v>159</v>
      </c>
      <c r="C15" s="75" t="s">
        <v>830</v>
      </c>
      <c r="D15" s="75" t="s">
        <v>186</v>
      </c>
      <c r="E15" s="75">
        <v>0</v>
      </c>
      <c r="F15" s="148">
        <f>E15*(_xlfn.XLOOKUP(B15,'Ratio Master'!A:A,'Ratio Master'!G:G,""))</f>
        <v>0</v>
      </c>
      <c r="G15" s="70"/>
      <c r="H15" s="70">
        <f>IFERROR('SKU Master'!M12+0,0)</f>
        <v>0</v>
      </c>
      <c r="I15" s="150">
        <f t="shared" si="0"/>
        <v>0</v>
      </c>
      <c r="J15" s="70">
        <f>IFERROR('SKU Master'!N12+0,0)</f>
        <v>320.24408421837154</v>
      </c>
      <c r="K15" s="74">
        <f t="shared" si="1"/>
        <v>0</v>
      </c>
      <c r="L15" s="74">
        <f>I15*'SKU Master'!H12</f>
        <v>0</v>
      </c>
      <c r="M15" s="74">
        <f t="shared" si="2"/>
        <v>0</v>
      </c>
      <c r="N15" s="74">
        <f t="shared" si="3"/>
        <v>0</v>
      </c>
      <c r="O15" s="94">
        <f t="shared" si="4"/>
        <v>0</v>
      </c>
    </row>
    <row r="16" spans="1:15" ht="15" customHeight="1" x14ac:dyDescent="0.25">
      <c r="A16" s="75">
        <v>9</v>
      </c>
      <c r="B16" s="75">
        <v>164</v>
      </c>
      <c r="C16" s="75" t="s">
        <v>830</v>
      </c>
      <c r="D16" s="75" t="s">
        <v>187</v>
      </c>
      <c r="E16" s="75">
        <v>2400</v>
      </c>
      <c r="F16" s="148">
        <f>E16*(_xlfn.XLOOKUP(B16,'Ratio Master'!A:A,'Ratio Master'!G:G,""))</f>
        <v>92.714666666666645</v>
      </c>
      <c r="G16" s="70"/>
      <c r="H16" s="70">
        <f>IFERROR('SKU Master'!M13+0,0)</f>
        <v>0</v>
      </c>
      <c r="I16" s="150">
        <f t="shared" si="0"/>
        <v>92.714666666666645</v>
      </c>
      <c r="J16" s="70">
        <f>IFERROR('SKU Master'!N13+0,0)</f>
        <v>322.95590516286285</v>
      </c>
      <c r="K16" s="74">
        <f t="shared" si="1"/>
        <v>0</v>
      </c>
      <c r="L16" s="74">
        <f>I16*'SKU Master'!H13</f>
        <v>23981.848851387509</v>
      </c>
      <c r="M16" s="74">
        <f t="shared" si="2"/>
        <v>23981.848851387509</v>
      </c>
      <c r="N16" s="74">
        <f t="shared" si="3"/>
        <v>29942.749095206433</v>
      </c>
      <c r="O16" s="94">
        <f t="shared" si="4"/>
        <v>5960.9002438189236</v>
      </c>
    </row>
    <row r="17" spans="1:15" ht="15" customHeight="1" x14ac:dyDescent="0.25">
      <c r="A17" s="75">
        <v>10</v>
      </c>
      <c r="B17" s="75">
        <v>167</v>
      </c>
      <c r="C17" s="75" t="s">
        <v>834</v>
      </c>
      <c r="D17" s="75" t="s">
        <v>185</v>
      </c>
      <c r="E17" s="75">
        <v>2000</v>
      </c>
      <c r="F17" s="148">
        <f>E17*(_xlfn.XLOOKUP(B17,'Ratio Master'!A:A,'Ratio Master'!G:G,""))</f>
        <v>320.32051282051202</v>
      </c>
      <c r="G17" s="70"/>
      <c r="H17" s="70">
        <f>IFERROR('SKU Master'!M14+0,0)</f>
        <v>0</v>
      </c>
      <c r="I17" s="150">
        <f t="shared" si="0"/>
        <v>320.32051282051202</v>
      </c>
      <c r="J17" s="70">
        <f>IFERROR('SKU Master'!N14+0,0)</f>
        <v>329.78196233894943</v>
      </c>
      <c r="K17" s="74">
        <f t="shared" si="1"/>
        <v>0</v>
      </c>
      <c r="L17" s="74">
        <f>I17*'SKU Master'!H14</f>
        <v>83091.656543616962</v>
      </c>
      <c r="M17" s="74">
        <f t="shared" si="2"/>
        <v>83091.656543616962</v>
      </c>
      <c r="N17" s="74">
        <f t="shared" si="3"/>
        <v>105635.92729536706</v>
      </c>
      <c r="O17" s="94">
        <f t="shared" si="4"/>
        <v>22544.270751750097</v>
      </c>
    </row>
    <row r="18" spans="1:15" ht="15" customHeight="1" x14ac:dyDescent="0.25">
      <c r="A18" s="75">
        <v>11</v>
      </c>
      <c r="B18" s="75">
        <v>170</v>
      </c>
      <c r="C18" s="75" t="s">
        <v>835</v>
      </c>
      <c r="D18" s="75" t="s">
        <v>194</v>
      </c>
      <c r="E18" s="75">
        <v>60000</v>
      </c>
      <c r="F18" s="148">
        <f>E18*(_xlfn.XLOOKUP(B18,'Ratio Master'!A:A,'Ratio Master'!G:G,""))</f>
        <v>3435.0913432835823</v>
      </c>
      <c r="G18" s="70"/>
      <c r="H18" s="70">
        <f>IFERROR('SKU Master'!M15+0,0)</f>
        <v>0</v>
      </c>
      <c r="I18" s="150">
        <f t="shared" si="0"/>
        <v>3435.0913432835823</v>
      </c>
      <c r="J18" s="70">
        <f>IFERROR('SKU Master'!N15+0,0)</f>
        <v>305.13514713062006</v>
      </c>
      <c r="K18" s="74">
        <f t="shared" si="1"/>
        <v>0</v>
      </c>
      <c r="L18" s="74">
        <f>I18*'SKU Master'!H15</f>
        <v>879599.96606396651</v>
      </c>
      <c r="M18" s="74">
        <f t="shared" si="2"/>
        <v>879599.96606396651</v>
      </c>
      <c r="N18" s="74">
        <f t="shared" si="3"/>
        <v>1048167.1024399552</v>
      </c>
      <c r="O18" s="94">
        <f t="shared" si="4"/>
        <v>168567.13637598872</v>
      </c>
    </row>
    <row r="19" spans="1:15" ht="15" customHeight="1" x14ac:dyDescent="0.25">
      <c r="A19" s="75">
        <v>12</v>
      </c>
      <c r="B19" s="75">
        <v>174</v>
      </c>
      <c r="C19" s="75" t="s">
        <v>929</v>
      </c>
      <c r="D19" s="75" t="s">
        <v>187</v>
      </c>
      <c r="E19" s="75">
        <v>14175</v>
      </c>
      <c r="F19" s="148">
        <f>E19*(_xlfn.XLOOKUP(B19,'Ratio Master'!A:A,'Ratio Master'!G:G,""))</f>
        <v>782.6503815675992</v>
      </c>
      <c r="G19" s="70"/>
      <c r="H19" s="70">
        <f>IFERROR('SKU Master'!M16+0,0)</f>
        <v>0</v>
      </c>
      <c r="I19" s="150">
        <f t="shared" si="0"/>
        <v>782.6503815675992</v>
      </c>
      <c r="J19" s="70">
        <f>IFERROR('SKU Master'!N16+0,0)</f>
        <v>321.22392007052599</v>
      </c>
      <c r="K19" s="74">
        <f t="shared" si="1"/>
        <v>0</v>
      </c>
      <c r="L19" s="74">
        <f>I19*'SKU Master'!H16</f>
        <v>203137.31233429722</v>
      </c>
      <c r="M19" s="74">
        <f t="shared" si="2"/>
        <v>203137.31233429722</v>
      </c>
      <c r="N19" s="74">
        <f t="shared" si="3"/>
        <v>251406.02361183715</v>
      </c>
      <c r="O19" s="94">
        <f t="shared" si="4"/>
        <v>48268.711277539929</v>
      </c>
    </row>
    <row r="20" spans="1:15" ht="15" customHeight="1" x14ac:dyDescent="0.25">
      <c r="A20" s="75">
        <v>13</v>
      </c>
      <c r="B20" s="75">
        <v>175</v>
      </c>
      <c r="C20" s="75" t="s">
        <v>930</v>
      </c>
      <c r="D20" s="75" t="s">
        <v>187</v>
      </c>
      <c r="E20" s="75">
        <v>4500</v>
      </c>
      <c r="F20" s="148">
        <f>E20*(_xlfn.XLOOKUP(B20,'Ratio Master'!A:A,'Ratio Master'!G:G,""))</f>
        <v>269.59609422987887</v>
      </c>
      <c r="G20" s="70"/>
      <c r="H20" s="70">
        <f>IFERROR('SKU Master'!M17+0,0)</f>
        <v>0</v>
      </c>
      <c r="I20" s="150">
        <f t="shared" si="0"/>
        <v>269.59609422987887</v>
      </c>
      <c r="J20" s="70">
        <f>IFERROR('SKU Master'!N17+0,0)</f>
        <v>313.285175879397</v>
      </c>
      <c r="K20" s="74">
        <f t="shared" si="1"/>
        <v>0</v>
      </c>
      <c r="L20" s="74">
        <f>I20*'SKU Master'!H17</f>
        <v>69619.287987129966</v>
      </c>
      <c r="M20" s="74">
        <f t="shared" si="2"/>
        <v>69619.287987129966</v>
      </c>
      <c r="N20" s="74">
        <f t="shared" si="3"/>
        <v>84460.459797206087</v>
      </c>
      <c r="O20" s="94">
        <f t="shared" si="4"/>
        <v>14841.171810076121</v>
      </c>
    </row>
    <row r="21" spans="1:15" ht="15" customHeight="1" x14ac:dyDescent="0.25">
      <c r="A21" s="75">
        <v>14</v>
      </c>
      <c r="B21" s="75">
        <v>177</v>
      </c>
      <c r="C21" s="75" t="s">
        <v>836</v>
      </c>
      <c r="D21" s="75" t="s">
        <v>182</v>
      </c>
      <c r="E21" s="75">
        <v>3600</v>
      </c>
      <c r="F21" s="148">
        <f>E21*(_xlfn.XLOOKUP(B21,'Ratio Master'!A:A,'Ratio Master'!G:G,""))</f>
        <v>626.3377777777788</v>
      </c>
      <c r="G21" s="70"/>
      <c r="H21" s="70">
        <f>IFERROR('SKU Master'!M18+0,0)</f>
        <v>0</v>
      </c>
      <c r="I21" s="150">
        <f t="shared" si="0"/>
        <v>626.3377777777788</v>
      </c>
      <c r="J21" s="70">
        <f>IFERROR('SKU Master'!N18+0,0)</f>
        <v>341.983556012333</v>
      </c>
      <c r="K21" s="74">
        <f t="shared" si="1"/>
        <v>0</v>
      </c>
      <c r="L21" s="74">
        <f>I21*'SKU Master'!H18</f>
        <v>163526.89177632469</v>
      </c>
      <c r="M21" s="74">
        <f t="shared" si="2"/>
        <v>163526.89177632469</v>
      </c>
      <c r="N21" s="74">
        <f t="shared" si="3"/>
        <v>214197.2205093072</v>
      </c>
      <c r="O21" s="94">
        <f t="shared" si="4"/>
        <v>50670.328732982511</v>
      </c>
    </row>
    <row r="22" spans="1:15" ht="15" customHeight="1" x14ac:dyDescent="0.25">
      <c r="A22" s="75">
        <v>15</v>
      </c>
      <c r="B22" s="75">
        <v>179</v>
      </c>
      <c r="C22" s="75" t="s">
        <v>837</v>
      </c>
      <c r="D22" s="75" t="s">
        <v>182</v>
      </c>
      <c r="E22" s="75">
        <v>93750</v>
      </c>
      <c r="F22" s="148">
        <f>E22*(_xlfn.XLOOKUP(B22,'Ratio Master'!A:A,'Ratio Master'!G:G,""))</f>
        <v>7408.8355745721283</v>
      </c>
      <c r="G22" s="70"/>
      <c r="H22" s="70">
        <f>IFERROR('SKU Master'!M19+0,0)</f>
        <v>0</v>
      </c>
      <c r="I22" s="150">
        <f t="shared" si="0"/>
        <v>7408.8355745721283</v>
      </c>
      <c r="J22" s="70">
        <f>IFERROR('SKU Master'!N19+0,0)</f>
        <v>317.70234986945172</v>
      </c>
      <c r="K22" s="74">
        <f t="shared" si="1"/>
        <v>0</v>
      </c>
      <c r="L22" s="74">
        <f>I22*'SKU Master'!H19</f>
        <v>1736595.846926416</v>
      </c>
      <c r="M22" s="74">
        <f t="shared" si="2"/>
        <v>1736595.846926416</v>
      </c>
      <c r="N22" s="74">
        <f t="shared" si="3"/>
        <v>2353804.4718379546</v>
      </c>
      <c r="O22" s="94">
        <f t="shared" si="4"/>
        <v>617208.62491153856</v>
      </c>
    </row>
    <row r="23" spans="1:15" ht="15" customHeight="1" x14ac:dyDescent="0.25">
      <c r="A23" s="75">
        <v>16</v>
      </c>
      <c r="B23" s="75">
        <v>181</v>
      </c>
      <c r="C23" s="75" t="s">
        <v>837</v>
      </c>
      <c r="D23" s="75" t="s">
        <v>188</v>
      </c>
      <c r="E23" s="75">
        <v>3750</v>
      </c>
      <c r="F23" s="148">
        <f>E23*(_xlfn.XLOOKUP(B23,'Ratio Master'!A:A,'Ratio Master'!G:G,""))</f>
        <v>299.40174418604659</v>
      </c>
      <c r="G23" s="70"/>
      <c r="H23" s="70">
        <f>IFERROR('SKU Master'!M20+0,0)</f>
        <v>0</v>
      </c>
      <c r="I23" s="150">
        <f t="shared" si="0"/>
        <v>299.40174418604659</v>
      </c>
      <c r="J23" s="70">
        <f>IFERROR('SKU Master'!N20+0,0)</f>
        <v>313.53579966773367</v>
      </c>
      <c r="K23" s="74">
        <f t="shared" si="1"/>
        <v>0</v>
      </c>
      <c r="L23" s="74">
        <f>I23*'SKU Master'!H20</f>
        <v>71757.848595040094</v>
      </c>
      <c r="M23" s="74">
        <f t="shared" si="2"/>
        <v>71757.848595040094</v>
      </c>
      <c r="N23" s="74">
        <f t="shared" si="3"/>
        <v>93873.165285286348</v>
      </c>
      <c r="O23" s="94">
        <f t="shared" si="4"/>
        <v>22115.316690246254</v>
      </c>
    </row>
    <row r="24" spans="1:15" ht="15" customHeight="1" x14ac:dyDescent="0.25">
      <c r="A24" s="75">
        <v>17</v>
      </c>
      <c r="B24" s="75">
        <v>187</v>
      </c>
      <c r="C24" s="75" t="s">
        <v>837</v>
      </c>
      <c r="D24" s="75" t="s">
        <v>187</v>
      </c>
      <c r="E24" s="75">
        <v>9000</v>
      </c>
      <c r="F24" s="148">
        <f>E24*(_xlfn.XLOOKUP(B24,'Ratio Master'!A:A,'Ratio Master'!G:G,""))</f>
        <v>731.73398601398583</v>
      </c>
      <c r="G24" s="70"/>
      <c r="H24" s="70">
        <f>IFERROR('SKU Master'!M21+0,0)</f>
        <v>0</v>
      </c>
      <c r="I24" s="150">
        <f t="shared" si="0"/>
        <v>731.73398601398583</v>
      </c>
      <c r="J24" s="70">
        <f>IFERROR('SKU Master'!N21+0,0)</f>
        <v>312.85436578648955</v>
      </c>
      <c r="K24" s="74">
        <f t="shared" si="1"/>
        <v>0</v>
      </c>
      <c r="L24" s="74">
        <f>I24*'SKU Master'!H21</f>
        <v>175014.38154275797</v>
      </c>
      <c r="M24" s="74">
        <f t="shared" si="2"/>
        <v>175014.38154275797</v>
      </c>
      <c r="N24" s="74">
        <f t="shared" si="3"/>
        <v>228926.17211882555</v>
      </c>
      <c r="O24" s="94">
        <f t="shared" si="4"/>
        <v>53911.790576067579</v>
      </c>
    </row>
    <row r="25" spans="1:15" ht="15" customHeight="1" x14ac:dyDescent="0.25">
      <c r="A25" s="75">
        <v>18</v>
      </c>
      <c r="B25" s="75">
        <v>188</v>
      </c>
      <c r="C25" s="75" t="s">
        <v>838</v>
      </c>
      <c r="D25" s="75" t="s">
        <v>182</v>
      </c>
      <c r="E25" s="75">
        <v>4500</v>
      </c>
      <c r="F25" s="148">
        <f>E25*(_xlfn.XLOOKUP(B25,'Ratio Master'!A:A,'Ratio Master'!G:G,""))</f>
        <v>397.80937499999982</v>
      </c>
      <c r="G25" s="70"/>
      <c r="H25" s="70">
        <f>IFERROR('SKU Master'!M22+0,0)</f>
        <v>0</v>
      </c>
      <c r="I25" s="150">
        <f t="shared" si="0"/>
        <v>397.80937499999982</v>
      </c>
      <c r="J25" s="70">
        <f>IFERROR('SKU Master'!N22+0,0)</f>
        <v>308.34914611005689</v>
      </c>
      <c r="K25" s="74">
        <f t="shared" si="1"/>
        <v>0</v>
      </c>
      <c r="L25" s="74">
        <f>I25*'SKU Master'!H22</f>
        <v>90832.262557955226</v>
      </c>
      <c r="M25" s="74">
        <f t="shared" si="2"/>
        <v>90832.262557955226</v>
      </c>
      <c r="N25" s="74">
        <f t="shared" si="3"/>
        <v>122664.18109582536</v>
      </c>
      <c r="O25" s="94">
        <f t="shared" si="4"/>
        <v>31831.918537870137</v>
      </c>
    </row>
    <row r="26" spans="1:15" ht="15" customHeight="1" x14ac:dyDescent="0.25">
      <c r="A26" s="75">
        <v>19</v>
      </c>
      <c r="B26" s="75">
        <v>193</v>
      </c>
      <c r="C26" s="75" t="s">
        <v>839</v>
      </c>
      <c r="D26" s="75" t="s">
        <v>182</v>
      </c>
      <c r="E26" s="75">
        <v>3000</v>
      </c>
      <c r="F26" s="148">
        <f>E26*(_xlfn.XLOOKUP(B26,'Ratio Master'!A:A,'Ratio Master'!G:G,""))</f>
        <v>364.35452054794496</v>
      </c>
      <c r="G26" s="70"/>
      <c r="H26" s="70">
        <f>IFERROR('SKU Master'!M23+0,0)</f>
        <v>0</v>
      </c>
      <c r="I26" s="150">
        <f t="shared" si="0"/>
        <v>364.35452054794496</v>
      </c>
      <c r="J26" s="70">
        <f>IFERROR('SKU Master'!N23+0,0)</f>
        <v>352.84234108092971</v>
      </c>
      <c r="K26" s="74">
        <f t="shared" si="1"/>
        <v>0</v>
      </c>
      <c r="L26" s="74">
        <f>I26*'SKU Master'!H23</f>
        <v>83488.532322673709</v>
      </c>
      <c r="M26" s="74">
        <f t="shared" si="2"/>
        <v>83488.532322673709</v>
      </c>
      <c r="N26" s="74">
        <f t="shared" si="3"/>
        <v>128559.70201355661</v>
      </c>
      <c r="O26" s="94">
        <f t="shared" si="4"/>
        <v>45071.169690882904</v>
      </c>
    </row>
    <row r="27" spans="1:15" ht="15" customHeight="1" x14ac:dyDescent="0.25">
      <c r="A27" s="75">
        <v>20</v>
      </c>
      <c r="B27" s="75">
        <v>199</v>
      </c>
      <c r="C27" s="75" t="s">
        <v>189</v>
      </c>
      <c r="D27" s="75" t="s">
        <v>190</v>
      </c>
      <c r="E27" s="75">
        <v>3000</v>
      </c>
      <c r="F27" s="148">
        <f>E27*(_xlfn.XLOOKUP(B27,'Ratio Master'!A:A,'Ratio Master'!G:G,""))</f>
        <v>149.0453642384106</v>
      </c>
      <c r="G27" s="70"/>
      <c r="H27" s="70">
        <f>IFERROR('SKU Master'!M24+0,0)</f>
        <v>0</v>
      </c>
      <c r="I27" s="150">
        <f t="shared" si="0"/>
        <v>149.0453642384106</v>
      </c>
      <c r="J27" s="70">
        <f>IFERROR('SKU Master'!N24+0,0)</f>
        <v>361.6476611589481</v>
      </c>
      <c r="K27" s="74">
        <f t="shared" si="1"/>
        <v>0</v>
      </c>
      <c r="L27" s="74">
        <f>I27*'SKU Master'!H24</f>
        <v>34152.392815243758</v>
      </c>
      <c r="M27" s="74">
        <f t="shared" si="2"/>
        <v>34152.392815243758</v>
      </c>
      <c r="N27" s="74">
        <f t="shared" si="3"/>
        <v>53901.907383404716</v>
      </c>
      <c r="O27" s="94">
        <f t="shared" si="4"/>
        <v>19749.514568160957</v>
      </c>
    </row>
    <row r="28" spans="1:15" ht="15" customHeight="1" x14ac:dyDescent="0.25">
      <c r="A28" s="75">
        <v>21</v>
      </c>
      <c r="B28" s="75">
        <v>200</v>
      </c>
      <c r="C28" s="75" t="s">
        <v>189</v>
      </c>
      <c r="D28" s="75" t="s">
        <v>191</v>
      </c>
      <c r="E28" s="75">
        <v>3000</v>
      </c>
      <c r="F28" s="148">
        <f>E28*(_xlfn.XLOOKUP(B28,'Ratio Master'!A:A,'Ratio Master'!G:G,""))</f>
        <v>147.95939849624071</v>
      </c>
      <c r="G28" s="70"/>
      <c r="H28" s="70">
        <f>IFERROR('SKU Master'!M25+0,0)</f>
        <v>0</v>
      </c>
      <c r="I28" s="150">
        <f t="shared" si="0"/>
        <v>147.95939849624071</v>
      </c>
      <c r="J28" s="70">
        <f>IFERROR('SKU Master'!N25+0,0)</f>
        <v>313.60813331420258</v>
      </c>
      <c r="K28" s="74">
        <f t="shared" si="1"/>
        <v>0</v>
      </c>
      <c r="L28" s="74">
        <f>I28*'SKU Master'!H25</f>
        <v>34486.760411376592</v>
      </c>
      <c r="M28" s="74">
        <f t="shared" si="2"/>
        <v>34486.760411376592</v>
      </c>
      <c r="N28" s="74">
        <f t="shared" si="3"/>
        <v>46401.270768698283</v>
      </c>
      <c r="O28" s="94">
        <f t="shared" si="4"/>
        <v>11914.510357321691</v>
      </c>
    </row>
    <row r="29" spans="1:15" ht="15" customHeight="1" x14ac:dyDescent="0.25">
      <c r="A29" s="75">
        <v>22</v>
      </c>
      <c r="B29" s="75">
        <v>201</v>
      </c>
      <c r="C29" s="75" t="s">
        <v>189</v>
      </c>
      <c r="D29" s="75" t="s">
        <v>192</v>
      </c>
      <c r="E29" s="75">
        <v>3000</v>
      </c>
      <c r="F29" s="148">
        <f>E29*(_xlfn.XLOOKUP(B29,'Ratio Master'!A:A,'Ratio Master'!G:G,""))</f>
        <v>152.99783393501821</v>
      </c>
      <c r="G29" s="70"/>
      <c r="H29" s="70">
        <f>IFERROR('SKU Master'!M26+0,0)</f>
        <v>0</v>
      </c>
      <c r="I29" s="150">
        <f t="shared" si="0"/>
        <v>152.99783393501821</v>
      </c>
      <c r="J29" s="70">
        <f>IFERROR('SKU Master'!N26+0,0)</f>
        <v>342.0074349442379</v>
      </c>
      <c r="K29" s="74">
        <f t="shared" si="1"/>
        <v>0</v>
      </c>
      <c r="L29" s="74">
        <f>I29*'SKU Master'!H26</f>
        <v>37422.633766232735</v>
      </c>
      <c r="M29" s="74">
        <f t="shared" si="2"/>
        <v>37422.633766232735</v>
      </c>
      <c r="N29" s="74">
        <f t="shared" si="3"/>
        <v>52326.39673614005</v>
      </c>
      <c r="O29" s="94">
        <f t="shared" si="4"/>
        <v>14903.762969907315</v>
      </c>
    </row>
    <row r="30" spans="1:15" ht="15" customHeight="1" x14ac:dyDescent="0.25">
      <c r="A30" s="75">
        <v>23</v>
      </c>
      <c r="B30" s="75">
        <v>204</v>
      </c>
      <c r="C30" s="75" t="s">
        <v>189</v>
      </c>
      <c r="D30" s="75" t="s">
        <v>193</v>
      </c>
      <c r="E30" s="75">
        <v>3000</v>
      </c>
      <c r="F30" s="148">
        <f>E30*(_xlfn.XLOOKUP(B30,'Ratio Master'!A:A,'Ratio Master'!G:G,""))</f>
        <v>147.74238952536842</v>
      </c>
      <c r="G30" s="70"/>
      <c r="H30" s="70">
        <f>IFERROR('SKU Master'!M27+0,0)</f>
        <v>0</v>
      </c>
      <c r="I30" s="150">
        <f t="shared" si="0"/>
        <v>147.74238952536842</v>
      </c>
      <c r="J30" s="70">
        <f>IFERROR('SKU Master'!N27+0,0)</f>
        <v>281.30463052729533</v>
      </c>
      <c r="K30" s="74">
        <f t="shared" si="1"/>
        <v>0</v>
      </c>
      <c r="L30" s="74">
        <f>I30*'SKU Master'!H27</f>
        <v>37126.023750428809</v>
      </c>
      <c r="M30" s="74">
        <f t="shared" si="2"/>
        <v>37126.023750428809</v>
      </c>
      <c r="N30" s="74">
        <f t="shared" si="3"/>
        <v>41560.618298653513</v>
      </c>
      <c r="O30" s="94">
        <f t="shared" si="4"/>
        <v>4434.5945482247043</v>
      </c>
    </row>
    <row r="31" spans="1:15" ht="15" customHeight="1" x14ac:dyDescent="0.25">
      <c r="A31" s="75">
        <v>24</v>
      </c>
      <c r="B31" s="75">
        <v>206</v>
      </c>
      <c r="C31" s="75" t="s">
        <v>189</v>
      </c>
      <c r="D31" s="75" t="s">
        <v>195</v>
      </c>
      <c r="E31" s="75">
        <v>3000</v>
      </c>
      <c r="F31" s="148">
        <f>E31*(_xlfn.XLOOKUP(B31,'Ratio Master'!A:A,'Ratio Master'!G:G,""))</f>
        <v>145.54382022471898</v>
      </c>
      <c r="G31" s="70"/>
      <c r="H31" s="70">
        <f>IFERROR('SKU Master'!M28+0,0)</f>
        <v>0</v>
      </c>
      <c r="I31" s="150">
        <f t="shared" si="0"/>
        <v>145.54382022471898</v>
      </c>
      <c r="J31" s="70">
        <f>IFERROR('SKU Master'!N28+0,0)</f>
        <v>287.67123287671234</v>
      </c>
      <c r="K31" s="74">
        <f t="shared" si="1"/>
        <v>0</v>
      </c>
      <c r="L31" s="74">
        <f>I31*'SKU Master'!H28</f>
        <v>36855.723557464218</v>
      </c>
      <c r="M31" s="74">
        <f t="shared" si="2"/>
        <v>36855.723557464218</v>
      </c>
      <c r="N31" s="74">
        <f t="shared" si="3"/>
        <v>41868.770201631487</v>
      </c>
      <c r="O31" s="94">
        <f t="shared" si="4"/>
        <v>5013.0466441672688</v>
      </c>
    </row>
    <row r="32" spans="1:15" ht="15" customHeight="1" x14ac:dyDescent="0.25">
      <c r="A32" s="75">
        <v>25</v>
      </c>
      <c r="B32" s="75">
        <v>205</v>
      </c>
      <c r="C32" s="75" t="s">
        <v>189</v>
      </c>
      <c r="D32" s="75" t="s">
        <v>194</v>
      </c>
      <c r="E32" s="75">
        <v>15000</v>
      </c>
      <c r="F32" s="148">
        <f>E32*(_xlfn.XLOOKUP(B32,'Ratio Master'!A:A,'Ratio Master'!G:G,""))</f>
        <v>748.40533333333349</v>
      </c>
      <c r="G32" s="70"/>
      <c r="H32" s="70">
        <f>IFERROR('SKU Master'!M29+0,0)</f>
        <v>0</v>
      </c>
      <c r="I32" s="150">
        <f t="shared" si="0"/>
        <v>748.40533333333349</v>
      </c>
      <c r="J32" s="70">
        <f>IFERROR('SKU Master'!N29+0,0)</f>
        <v>327.42426246858048</v>
      </c>
      <c r="K32" s="74">
        <f t="shared" si="1"/>
        <v>0</v>
      </c>
      <c r="L32" s="74">
        <f>I32*'SKU Master'!H29</f>
        <v>179381.53318001245</v>
      </c>
      <c r="M32" s="74">
        <f t="shared" si="2"/>
        <v>179381.53318001245</v>
      </c>
      <c r="N32" s="74">
        <f t="shared" si="3"/>
        <v>245046.06429421884</v>
      </c>
      <c r="O32" s="94">
        <f t="shared" si="4"/>
        <v>65664.531114206387</v>
      </c>
    </row>
    <row r="33" spans="1:15" ht="15" customHeight="1" x14ac:dyDescent="0.25">
      <c r="A33" s="75">
        <v>26</v>
      </c>
      <c r="B33" s="75">
        <v>211</v>
      </c>
      <c r="C33" s="75" t="s">
        <v>840</v>
      </c>
      <c r="D33" s="75" t="s">
        <v>182</v>
      </c>
      <c r="E33" s="75">
        <v>2000</v>
      </c>
      <c r="F33" s="148">
        <f>E33*(_xlfn.XLOOKUP(B33,'Ratio Master'!A:A,'Ratio Master'!G:G,""))</f>
        <v>314.24800000000005</v>
      </c>
      <c r="G33" s="70"/>
      <c r="H33" s="70">
        <f>IFERROR('SKU Master'!M30+0,0)</f>
        <v>0</v>
      </c>
      <c r="I33" s="150">
        <f t="shared" si="0"/>
        <v>314.24800000000005</v>
      </c>
      <c r="J33" s="70">
        <f>IFERROR('SKU Master'!N30+0,0)</f>
        <v>302.98187861548786</v>
      </c>
      <c r="K33" s="74">
        <f t="shared" si="1"/>
        <v>0</v>
      </c>
      <c r="L33" s="74">
        <f>I33*'SKU Master'!H30</f>
        <v>78311.421310578575</v>
      </c>
      <c r="M33" s="74">
        <f t="shared" si="2"/>
        <v>78311.421310578575</v>
      </c>
      <c r="N33" s="74">
        <f t="shared" si="3"/>
        <v>95211.44939115984</v>
      </c>
      <c r="O33" s="94">
        <f t="shared" si="4"/>
        <v>16900.028080581265</v>
      </c>
    </row>
    <row r="34" spans="1:15" ht="15" customHeight="1" x14ac:dyDescent="0.25">
      <c r="A34" s="75">
        <v>27</v>
      </c>
      <c r="B34" s="75">
        <v>213</v>
      </c>
      <c r="C34" s="75" t="s">
        <v>841</v>
      </c>
      <c r="D34" s="75" t="s">
        <v>182</v>
      </c>
      <c r="E34" s="75">
        <v>86250</v>
      </c>
      <c r="F34" s="148">
        <f>E34*(_xlfn.XLOOKUP(B34,'Ratio Master'!A:A,'Ratio Master'!G:G,""))</f>
        <v>6021.2498743598971</v>
      </c>
      <c r="G34" s="70"/>
      <c r="H34" s="70">
        <f>IFERROR('SKU Master'!M31+0,0)</f>
        <v>0</v>
      </c>
      <c r="I34" s="150">
        <f t="shared" si="0"/>
        <v>6021.2498743598971</v>
      </c>
      <c r="J34" s="70">
        <f>IFERROR('SKU Master'!N31+0,0)</f>
        <v>296.6507177033493</v>
      </c>
      <c r="K34" s="74">
        <f t="shared" si="1"/>
        <v>0</v>
      </c>
      <c r="L34" s="74">
        <f>I34*'SKU Master'!H31</f>
        <v>1519503.726171178</v>
      </c>
      <c r="M34" s="74">
        <f t="shared" si="2"/>
        <v>1519503.726171178</v>
      </c>
      <c r="N34" s="74">
        <f t="shared" si="3"/>
        <v>1786208.0967000653</v>
      </c>
      <c r="O34" s="94">
        <f t="shared" si="4"/>
        <v>266704.37052888726</v>
      </c>
    </row>
    <row r="35" spans="1:15" ht="15" customHeight="1" x14ac:dyDescent="0.25">
      <c r="A35" s="75">
        <v>28</v>
      </c>
      <c r="B35" s="75">
        <v>218</v>
      </c>
      <c r="C35" s="75" t="s">
        <v>841</v>
      </c>
      <c r="D35" s="75" t="s">
        <v>196</v>
      </c>
      <c r="E35" s="75">
        <v>15000</v>
      </c>
      <c r="F35" s="148">
        <f>E35*(_xlfn.XLOOKUP(B35,'Ratio Master'!A:A,'Ratio Master'!G:G,""))</f>
        <v>1053.5374749499006</v>
      </c>
      <c r="G35" s="70"/>
      <c r="H35" s="70">
        <f>IFERROR('SKU Master'!M32+0,0)</f>
        <v>0</v>
      </c>
      <c r="I35" s="150">
        <f t="shared" si="0"/>
        <v>1053.5374749499006</v>
      </c>
      <c r="J35" s="70">
        <f>IFERROR('SKU Master'!N32+0,0)</f>
        <v>292.4344271633687</v>
      </c>
      <c r="K35" s="74">
        <f t="shared" si="1"/>
        <v>0</v>
      </c>
      <c r="L35" s="74">
        <f>I35*'SKU Master'!H32</f>
        <v>284666.24303703598</v>
      </c>
      <c r="M35" s="74">
        <f t="shared" si="2"/>
        <v>284666.24303703598</v>
      </c>
      <c r="N35" s="74">
        <f t="shared" si="3"/>
        <v>308090.62798211607</v>
      </c>
      <c r="O35" s="94">
        <f t="shared" si="4"/>
        <v>23424.384945080092</v>
      </c>
    </row>
    <row r="36" spans="1:15" ht="15" customHeight="1" x14ac:dyDescent="0.25">
      <c r="A36" s="75">
        <v>29</v>
      </c>
      <c r="B36" s="75">
        <v>219</v>
      </c>
      <c r="C36" s="75" t="s">
        <v>842</v>
      </c>
      <c r="D36" s="75" t="s">
        <v>182</v>
      </c>
      <c r="E36" s="75">
        <v>15000</v>
      </c>
      <c r="F36" s="148">
        <f>E36*(_xlfn.XLOOKUP(B36,'Ratio Master'!A:A,'Ratio Master'!G:G,""))</f>
        <v>1216.0660701527579</v>
      </c>
      <c r="G36" s="70"/>
      <c r="H36" s="70">
        <f>IFERROR('SKU Master'!M33+0,0)</f>
        <v>0</v>
      </c>
      <c r="I36" s="150">
        <f t="shared" si="0"/>
        <v>1216.0660701527579</v>
      </c>
      <c r="J36" s="70">
        <f>IFERROR('SKU Master'!N33+0,0)</f>
        <v>319.25092675444199</v>
      </c>
      <c r="K36" s="74">
        <f t="shared" si="1"/>
        <v>0</v>
      </c>
      <c r="L36" s="74">
        <f>I36*'SKU Master'!H33</f>
        <v>308649.50976205629</v>
      </c>
      <c r="M36" s="74">
        <f t="shared" si="2"/>
        <v>308649.50976205629</v>
      </c>
      <c r="N36" s="74">
        <f t="shared" si="3"/>
        <v>388230.21989090025</v>
      </c>
      <c r="O36" s="94">
        <f t="shared" si="4"/>
        <v>79580.710128843959</v>
      </c>
    </row>
    <row r="37" spans="1:15" ht="15" customHeight="1" x14ac:dyDescent="0.25">
      <c r="A37" s="75">
        <v>30</v>
      </c>
      <c r="B37" s="75">
        <v>223</v>
      </c>
      <c r="C37" s="75" t="s">
        <v>931</v>
      </c>
      <c r="D37" s="75" t="s">
        <v>185</v>
      </c>
      <c r="E37" s="75">
        <v>18750</v>
      </c>
      <c r="F37" s="148">
        <f>E37*(_xlfn.XLOOKUP(B37,'Ratio Master'!A:A,'Ratio Master'!G:G,""))</f>
        <v>1502.7739620679706</v>
      </c>
      <c r="G37" s="70"/>
      <c r="H37" s="70">
        <f>IFERROR('SKU Master'!M34+0,0)</f>
        <v>0</v>
      </c>
      <c r="I37" s="150">
        <f t="shared" si="0"/>
        <v>1502.7739620679706</v>
      </c>
      <c r="J37" s="70">
        <f>IFERROR('SKU Master'!N34+0,0)</f>
        <v>252.27272727272728</v>
      </c>
      <c r="K37" s="74">
        <f t="shared" si="1"/>
        <v>0</v>
      </c>
      <c r="L37" s="74">
        <f>I37*'SKU Master'!H34</f>
        <v>295559.8011248766</v>
      </c>
      <c r="M37" s="74">
        <f t="shared" si="2"/>
        <v>295559.8011248766</v>
      </c>
      <c r="N37" s="74">
        <f t="shared" si="3"/>
        <v>379108.88588532899</v>
      </c>
      <c r="O37" s="94">
        <f t="shared" si="4"/>
        <v>83549.084760452388</v>
      </c>
    </row>
    <row r="38" spans="1:15" ht="15" customHeight="1" x14ac:dyDescent="0.25">
      <c r="A38" s="75">
        <v>31</v>
      </c>
      <c r="B38" s="75">
        <v>226</v>
      </c>
      <c r="C38" s="75" t="s">
        <v>843</v>
      </c>
      <c r="D38" s="75" t="s">
        <v>182</v>
      </c>
      <c r="E38" s="75">
        <v>3000</v>
      </c>
      <c r="F38" s="148">
        <f>E38*(_xlfn.XLOOKUP(B38,'Ratio Master'!A:A,'Ratio Master'!G:G,""))</f>
        <v>339.72754850895899</v>
      </c>
      <c r="G38" s="70"/>
      <c r="H38" s="70">
        <f>IFERROR('SKU Master'!M35+0,0)</f>
        <v>0</v>
      </c>
      <c r="I38" s="150">
        <f t="shared" si="0"/>
        <v>339.72754850895899</v>
      </c>
      <c r="J38" s="70">
        <f>IFERROR('SKU Master'!N35+0,0)</f>
        <v>321.53296524845729</v>
      </c>
      <c r="K38" s="74">
        <f t="shared" si="1"/>
        <v>0</v>
      </c>
      <c r="L38" s="74">
        <f>I38*'SKU Master'!H35</f>
        <v>70766.601155300261</v>
      </c>
      <c r="M38" s="74">
        <f t="shared" si="2"/>
        <v>70766.601155300261</v>
      </c>
      <c r="N38" s="74">
        <f t="shared" si="3"/>
        <v>109233.6060486747</v>
      </c>
      <c r="O38" s="94">
        <f t="shared" si="4"/>
        <v>38467.00489337444</v>
      </c>
    </row>
    <row r="39" spans="1:15" ht="15" customHeight="1" x14ac:dyDescent="0.25">
      <c r="A39" s="75">
        <v>32</v>
      </c>
      <c r="B39" s="75">
        <v>228</v>
      </c>
      <c r="C39" s="75" t="s">
        <v>840</v>
      </c>
      <c r="D39" s="75" t="s">
        <v>182</v>
      </c>
      <c r="E39" s="75">
        <v>2000</v>
      </c>
      <c r="F39" s="148">
        <f>E39*(_xlfn.XLOOKUP(B39,'Ratio Master'!A:A,'Ratio Master'!G:G,""))</f>
        <v>277.22142857142802</v>
      </c>
      <c r="G39" s="70"/>
      <c r="H39" s="70">
        <f>IFERROR('SKU Master'!M36+0,0)</f>
        <v>0</v>
      </c>
      <c r="I39" s="150">
        <f t="shared" si="0"/>
        <v>277.22142857142802</v>
      </c>
      <c r="J39" s="70">
        <f>IFERROR('SKU Master'!N36+0,0)</f>
        <v>301.60096402134616</v>
      </c>
      <c r="K39" s="74">
        <f t="shared" si="1"/>
        <v>0</v>
      </c>
      <c r="L39" s="74">
        <f>I39*'SKU Master'!H36</f>
        <v>57508.323064795331</v>
      </c>
      <c r="M39" s="74">
        <f t="shared" si="2"/>
        <v>57508.323064795331</v>
      </c>
      <c r="N39" s="74">
        <f t="shared" si="3"/>
        <v>83610.250104517443</v>
      </c>
      <c r="O39" s="94">
        <f t="shared" si="4"/>
        <v>26101.927039722112</v>
      </c>
    </row>
    <row r="40" spans="1:15" ht="15" customHeight="1" x14ac:dyDescent="0.25">
      <c r="A40" s="75">
        <v>33</v>
      </c>
      <c r="B40" s="75">
        <v>228</v>
      </c>
      <c r="C40" s="75" t="s">
        <v>844</v>
      </c>
      <c r="D40" s="75" t="s">
        <v>182</v>
      </c>
      <c r="E40" s="75">
        <v>2000</v>
      </c>
      <c r="F40" s="148">
        <f>E40*(_xlfn.XLOOKUP(B40,'Ratio Master'!A:A,'Ratio Master'!G:G,""))</f>
        <v>277.22142857142802</v>
      </c>
      <c r="G40" s="70"/>
      <c r="H40" s="70">
        <f>IFERROR('SKU Master'!M37+0,0)</f>
        <v>0</v>
      </c>
      <c r="I40" s="150">
        <f t="shared" si="0"/>
        <v>277.22142857142802</v>
      </c>
      <c r="J40" s="70">
        <f>IFERROR('SKU Master'!N37+0,0)</f>
        <v>338.91213389121339</v>
      </c>
      <c r="K40" s="74">
        <f t="shared" si="1"/>
        <v>0</v>
      </c>
      <c r="L40" s="74">
        <f>I40*'SKU Master'!H37</f>
        <v>59333.839293782374</v>
      </c>
      <c r="M40" s="74">
        <f t="shared" si="2"/>
        <v>59333.839293782374</v>
      </c>
      <c r="N40" s="74">
        <f t="shared" si="3"/>
        <v>93953.70591751326</v>
      </c>
      <c r="O40" s="94">
        <f t="shared" si="4"/>
        <v>34619.866623730886</v>
      </c>
    </row>
    <row r="41" spans="1:15" ht="15" customHeight="1" x14ac:dyDescent="0.25">
      <c r="A41" s="75">
        <v>34</v>
      </c>
      <c r="B41" s="75">
        <v>232</v>
      </c>
      <c r="C41" s="75" t="s">
        <v>845</v>
      </c>
      <c r="D41" s="75" t="s">
        <v>182</v>
      </c>
      <c r="E41" s="75">
        <v>28000</v>
      </c>
      <c r="F41" s="148">
        <f>E41*(_xlfn.XLOOKUP(B41,'Ratio Master'!A:A,'Ratio Master'!G:G,""))</f>
        <v>1711.2260583743164</v>
      </c>
      <c r="G41" s="70"/>
      <c r="H41" s="70">
        <f>IFERROR('SKU Master'!M38+0,0)</f>
        <v>0</v>
      </c>
      <c r="I41" s="150">
        <f t="shared" si="0"/>
        <v>1711.2260583743164</v>
      </c>
      <c r="J41" s="70">
        <f>IFERROR('SKU Master'!N38+0,0)</f>
        <v>308.21917808219177</v>
      </c>
      <c r="K41" s="74">
        <f t="shared" si="1"/>
        <v>0</v>
      </c>
      <c r="L41" s="74">
        <f>I41*'SKU Master'!H38</f>
        <v>366409.33106039034</v>
      </c>
      <c r="M41" s="74">
        <f t="shared" si="2"/>
        <v>366409.33106039034</v>
      </c>
      <c r="N41" s="74">
        <f t="shared" si="3"/>
        <v>527432.68922496052</v>
      </c>
      <c r="O41" s="94">
        <f t="shared" si="4"/>
        <v>161023.35816457018</v>
      </c>
    </row>
    <row r="42" spans="1:15" ht="15" customHeight="1" x14ac:dyDescent="0.25">
      <c r="A42" s="75">
        <v>35</v>
      </c>
      <c r="B42" s="75">
        <v>234</v>
      </c>
      <c r="C42" s="75" t="s">
        <v>845</v>
      </c>
      <c r="D42" s="75" t="s">
        <v>185</v>
      </c>
      <c r="E42" s="75">
        <v>25000</v>
      </c>
      <c r="F42" s="148">
        <f>E42*(_xlfn.XLOOKUP(B42,'Ratio Master'!A:A,'Ratio Master'!G:G,""))</f>
        <v>1496.766493055555</v>
      </c>
      <c r="G42" s="70"/>
      <c r="H42" s="70">
        <f>IFERROR('SKU Master'!M39+0,0)</f>
        <v>0</v>
      </c>
      <c r="I42" s="150">
        <f t="shared" si="0"/>
        <v>1496.766493055555</v>
      </c>
      <c r="J42" s="70">
        <f>IFERROR('SKU Master'!N39+0,0)</f>
        <v>281.67938931297709</v>
      </c>
      <c r="K42" s="74">
        <f t="shared" si="1"/>
        <v>0</v>
      </c>
      <c r="L42" s="74">
        <f>I42*'SKU Master'!H39</f>
        <v>317868.70772490132</v>
      </c>
      <c r="M42" s="74">
        <f t="shared" si="2"/>
        <v>317868.70772490132</v>
      </c>
      <c r="N42" s="74">
        <f t="shared" si="3"/>
        <v>421608.27170801512</v>
      </c>
      <c r="O42" s="94">
        <f t="shared" si="4"/>
        <v>103739.5639831138</v>
      </c>
    </row>
    <row r="43" spans="1:15" ht="15" customHeight="1" x14ac:dyDescent="0.25">
      <c r="A43" s="75">
        <v>36</v>
      </c>
      <c r="B43" s="75">
        <v>235</v>
      </c>
      <c r="C43" s="75" t="s">
        <v>846</v>
      </c>
      <c r="D43" s="75" t="s">
        <v>182</v>
      </c>
      <c r="E43" s="75">
        <v>3600</v>
      </c>
      <c r="F43" s="148">
        <f>E43*(_xlfn.XLOOKUP(B43,'Ratio Master'!A:A,'Ratio Master'!G:G,""))</f>
        <v>251.27795744680861</v>
      </c>
      <c r="G43" s="70"/>
      <c r="H43" s="70">
        <f>IFERROR('SKU Master'!M40+0,0)</f>
        <v>0</v>
      </c>
      <c r="I43" s="150">
        <f t="shared" si="0"/>
        <v>251.27795744680861</v>
      </c>
      <c r="J43" s="70">
        <f>IFERROR('SKU Master'!N40+0,0)</f>
        <v>265.60232220609578</v>
      </c>
      <c r="K43" s="74">
        <f t="shared" si="1"/>
        <v>0</v>
      </c>
      <c r="L43" s="74">
        <f>I43*'SKU Master'!H40</f>
        <v>53865.811392580727</v>
      </c>
      <c r="M43" s="74">
        <f t="shared" si="2"/>
        <v>53865.811392580727</v>
      </c>
      <c r="N43" s="74">
        <f t="shared" si="3"/>
        <v>66740.009017076882</v>
      </c>
      <c r="O43" s="94">
        <f t="shared" si="4"/>
        <v>12874.197624496155</v>
      </c>
    </row>
    <row r="44" spans="1:15" ht="15" customHeight="1" x14ac:dyDescent="0.25">
      <c r="A44" s="75">
        <v>37</v>
      </c>
      <c r="B44" s="75">
        <v>237</v>
      </c>
      <c r="C44" s="75" t="s">
        <v>846</v>
      </c>
      <c r="D44" s="75" t="s">
        <v>185</v>
      </c>
      <c r="E44" s="75">
        <v>15000</v>
      </c>
      <c r="F44" s="148">
        <f>E44*(_xlfn.XLOOKUP(B44,'Ratio Master'!A:A,'Ratio Master'!G:G,""))</f>
        <v>1051.475285171103</v>
      </c>
      <c r="G44" s="70"/>
      <c r="H44" s="70">
        <f>IFERROR('SKU Master'!M41+0,0)</f>
        <v>292.12067496164991</v>
      </c>
      <c r="I44" s="150">
        <f t="shared" si="0"/>
        <v>1051.475285171103</v>
      </c>
      <c r="J44" s="70">
        <f>IFERROR('SKU Master'!N41+0,0)</f>
        <v>320.5128205128205</v>
      </c>
      <c r="K44" s="74">
        <f t="shared" si="1"/>
        <v>307157.6700096759</v>
      </c>
      <c r="L44" s="74">
        <f>I44*'SKU Master'!H41</f>
        <v>222825.03385977959</v>
      </c>
      <c r="M44" s="74">
        <f t="shared" si="2"/>
        <v>529982.70386945549</v>
      </c>
      <c r="N44" s="74">
        <f t="shared" si="3"/>
        <v>337011.30934971251</v>
      </c>
      <c r="O44" s="94">
        <f t="shared" si="4"/>
        <v>-192971.39451974299</v>
      </c>
    </row>
    <row r="45" spans="1:15" ht="15" customHeight="1" x14ac:dyDescent="0.25">
      <c r="A45" s="75">
        <v>38</v>
      </c>
      <c r="B45" s="75">
        <v>238</v>
      </c>
      <c r="C45" s="75" t="s">
        <v>847</v>
      </c>
      <c r="D45" s="75" t="s">
        <v>182</v>
      </c>
      <c r="E45" s="75">
        <v>4000</v>
      </c>
      <c r="F45" s="148">
        <f>E45*(_xlfn.XLOOKUP(B45,'Ratio Master'!A:A,'Ratio Master'!G:G,""))</f>
        <v>372.8881278538812</v>
      </c>
      <c r="G45" s="70"/>
      <c r="H45" s="70">
        <f>IFERROR('SKU Master'!M42+0,0)</f>
        <v>0</v>
      </c>
      <c r="I45" s="150">
        <f t="shared" si="0"/>
        <v>372.8881278538812</v>
      </c>
      <c r="J45" s="70">
        <f>IFERROR('SKU Master'!N42+0,0)</f>
        <v>212.10720887245841</v>
      </c>
      <c r="K45" s="74">
        <f t="shared" si="1"/>
        <v>0</v>
      </c>
      <c r="L45" s="74">
        <f>I45*'SKU Master'!H42</f>
        <v>86072.038546039432</v>
      </c>
      <c r="M45" s="74">
        <f t="shared" si="2"/>
        <v>86072.038546039432</v>
      </c>
      <c r="N45" s="74">
        <f t="shared" si="3"/>
        <v>79092.260020763162</v>
      </c>
      <c r="O45" s="94">
        <f t="shared" si="4"/>
        <v>-6979.7785252762696</v>
      </c>
    </row>
    <row r="46" spans="1:15" ht="15" customHeight="1" x14ac:dyDescent="0.25">
      <c r="A46" s="75">
        <v>39</v>
      </c>
      <c r="B46" s="75">
        <v>250</v>
      </c>
      <c r="C46" s="75" t="s">
        <v>848</v>
      </c>
      <c r="D46" s="75" t="s">
        <v>182</v>
      </c>
      <c r="E46" s="75">
        <v>0</v>
      </c>
      <c r="F46" s="148">
        <f>E46*(_xlfn.XLOOKUP(B46,'Ratio Master'!A:A,'Ratio Master'!G:G,""))</f>
        <v>0</v>
      </c>
      <c r="G46" s="70"/>
      <c r="H46" s="70">
        <f>IFERROR('SKU Master'!M43+0,0)</f>
        <v>215.95528455284554</v>
      </c>
      <c r="I46" s="150">
        <f t="shared" si="0"/>
        <v>0</v>
      </c>
      <c r="J46" s="70">
        <f>IFERROR('SKU Master'!N43+0,0)</f>
        <v>219.24335206777957</v>
      </c>
      <c r="K46" s="74">
        <f t="shared" si="1"/>
        <v>0</v>
      </c>
      <c r="L46" s="74">
        <f>I46*'SKU Master'!H43</f>
        <v>0</v>
      </c>
      <c r="M46" s="74">
        <f t="shared" si="2"/>
        <v>0</v>
      </c>
      <c r="N46" s="74">
        <f t="shared" si="3"/>
        <v>0</v>
      </c>
      <c r="O46" s="94">
        <f t="shared" si="4"/>
        <v>0</v>
      </c>
    </row>
    <row r="47" spans="1:15" ht="15" customHeight="1" x14ac:dyDescent="0.25">
      <c r="A47" s="75">
        <v>40</v>
      </c>
      <c r="B47" s="75">
        <v>258</v>
      </c>
      <c r="C47" s="75" t="s">
        <v>849</v>
      </c>
      <c r="D47" s="75" t="s">
        <v>182</v>
      </c>
      <c r="E47" s="75">
        <v>200000</v>
      </c>
      <c r="F47" s="148">
        <f>E47*(_xlfn.XLOOKUP(B47,'Ratio Master'!A:A,'Ratio Master'!G:G,""))</f>
        <v>10162.42498036136</v>
      </c>
      <c r="G47" s="70"/>
      <c r="H47" s="70">
        <f>IFERROR('SKU Master'!M44+0,0)</f>
        <v>0</v>
      </c>
      <c r="I47" s="150">
        <f t="shared" si="0"/>
        <v>10162.42498036136</v>
      </c>
      <c r="J47" s="70">
        <f>IFERROR('SKU Master'!N44+0,0)</f>
        <v>278.46534653465346</v>
      </c>
      <c r="K47" s="74">
        <f t="shared" si="1"/>
        <v>0</v>
      </c>
      <c r="L47" s="74">
        <f>I47*'SKU Master'!H44</f>
        <v>2297735.6182863046</v>
      </c>
      <c r="M47" s="74">
        <f t="shared" si="2"/>
        <v>2297735.6182863046</v>
      </c>
      <c r="N47" s="74">
        <f t="shared" si="3"/>
        <v>2829883.193788745</v>
      </c>
      <c r="O47" s="94">
        <f t="shared" si="4"/>
        <v>532147.57550244033</v>
      </c>
    </row>
    <row r="48" spans="1:15" ht="15" customHeight="1" x14ac:dyDescent="0.25">
      <c r="A48" s="75">
        <v>41</v>
      </c>
      <c r="B48" s="75">
        <v>262</v>
      </c>
      <c r="C48" s="75" t="s">
        <v>849</v>
      </c>
      <c r="D48" s="75" t="s">
        <v>188</v>
      </c>
      <c r="E48" s="75">
        <v>0</v>
      </c>
      <c r="F48" s="148">
        <f>E48*(_xlfn.XLOOKUP(B48,'Ratio Master'!A:A,'Ratio Master'!G:G,""))</f>
        <v>0</v>
      </c>
      <c r="G48" s="70"/>
      <c r="H48" s="70">
        <f>IFERROR('SKU Master'!M45+0,0)</f>
        <v>281.43195266272187</v>
      </c>
      <c r="I48" s="150">
        <f t="shared" si="0"/>
        <v>0</v>
      </c>
      <c r="J48" s="70">
        <f>IFERROR('SKU Master'!N45+0,0)</f>
        <v>290.39046060322659</v>
      </c>
      <c r="K48" s="74">
        <f t="shared" si="1"/>
        <v>0</v>
      </c>
      <c r="L48" s="74">
        <f>I48*'SKU Master'!H45</f>
        <v>0</v>
      </c>
      <c r="M48" s="74">
        <f t="shared" si="2"/>
        <v>0</v>
      </c>
      <c r="N48" s="74">
        <f t="shared" si="3"/>
        <v>0</v>
      </c>
      <c r="O48" s="94">
        <f t="shared" si="4"/>
        <v>0</v>
      </c>
    </row>
    <row r="49" spans="1:15" ht="15" customHeight="1" x14ac:dyDescent="0.25">
      <c r="A49" s="75">
        <v>42</v>
      </c>
      <c r="B49" s="75">
        <v>271</v>
      </c>
      <c r="C49" s="75" t="s">
        <v>850</v>
      </c>
      <c r="D49" s="75" t="s">
        <v>182</v>
      </c>
      <c r="E49" s="75">
        <v>2700</v>
      </c>
      <c r="F49" s="148">
        <f>E49*(_xlfn.XLOOKUP(B49,'Ratio Master'!A:A,'Ratio Master'!G:G,""))</f>
        <v>160.66835820895528</v>
      </c>
      <c r="G49" s="70"/>
      <c r="H49" s="70">
        <f>IFERROR('SKU Master'!M46+0,0)</f>
        <v>0</v>
      </c>
      <c r="I49" s="150">
        <f t="shared" si="0"/>
        <v>160.66835820895528</v>
      </c>
      <c r="J49" s="70">
        <f>IFERROR('SKU Master'!N46+0,0)</f>
        <v>254.93667438376687</v>
      </c>
      <c r="K49" s="74">
        <f t="shared" si="1"/>
        <v>0</v>
      </c>
      <c r="L49" s="74">
        <f>I49*'SKU Master'!H46</f>
        <v>34388.057798826652</v>
      </c>
      <c r="M49" s="74">
        <f t="shared" si="2"/>
        <v>34388.057798826652</v>
      </c>
      <c r="N49" s="74">
        <f t="shared" si="3"/>
        <v>40960.25692049085</v>
      </c>
      <c r="O49" s="94">
        <f t="shared" si="4"/>
        <v>6572.1991216641982</v>
      </c>
    </row>
    <row r="50" spans="1:15" ht="15" customHeight="1" x14ac:dyDescent="0.25">
      <c r="A50" s="75">
        <v>43</v>
      </c>
      <c r="B50" s="75">
        <v>280</v>
      </c>
      <c r="C50" s="75" t="s">
        <v>198</v>
      </c>
      <c r="D50" s="75" t="s">
        <v>182</v>
      </c>
      <c r="E50" s="75">
        <v>75000</v>
      </c>
      <c r="F50" s="148">
        <f>E50*(_xlfn.XLOOKUP(B50,'Ratio Master'!A:A,'Ratio Master'!G:G,""))</f>
        <v>2393.2225699328851</v>
      </c>
      <c r="G50" s="70"/>
      <c r="H50" s="70">
        <f>IFERROR('SKU Master'!M47+0,0)</f>
        <v>215.15418502202644</v>
      </c>
      <c r="I50" s="150">
        <f t="shared" si="0"/>
        <v>2393.2225699328851</v>
      </c>
      <c r="J50" s="70">
        <f>IFERROR('SKU Master'!N47+0,0)</f>
        <v>260.60808553291014</v>
      </c>
      <c r="K50" s="74">
        <f t="shared" si="1"/>
        <v>514911.85161022958</v>
      </c>
      <c r="L50" s="74">
        <f>I50*'SKU Master'!H47</f>
        <v>515377.61354929913</v>
      </c>
      <c r="M50" s="74">
        <f t="shared" si="2"/>
        <v>1030289.4651595287</v>
      </c>
      <c r="N50" s="74">
        <f t="shared" si="3"/>
        <v>623693.15220436035</v>
      </c>
      <c r="O50" s="94">
        <f t="shared" si="4"/>
        <v>-406596.31295516831</v>
      </c>
    </row>
    <row r="51" spans="1:15" ht="15" customHeight="1" x14ac:dyDescent="0.25">
      <c r="A51" s="75">
        <v>44</v>
      </c>
      <c r="B51" s="75">
        <v>290</v>
      </c>
      <c r="C51" s="75" t="s">
        <v>851</v>
      </c>
      <c r="D51" s="75" t="s">
        <v>188</v>
      </c>
      <c r="E51" s="75">
        <v>0</v>
      </c>
      <c r="F51" s="148">
        <f>E51*(_xlfn.XLOOKUP(B51,'Ratio Master'!A:A,'Ratio Master'!G:G,""))</f>
        <v>0</v>
      </c>
      <c r="G51" s="70"/>
      <c r="H51" s="70">
        <f>IFERROR('SKU Master'!M48+0,0)</f>
        <v>0</v>
      </c>
      <c r="I51" s="150">
        <f t="shared" si="0"/>
        <v>0</v>
      </c>
      <c r="J51" s="70">
        <f>IFERROR('SKU Master'!N48+0,0)</f>
        <v>259.51195219123503</v>
      </c>
      <c r="K51" s="74">
        <f t="shared" si="1"/>
        <v>0</v>
      </c>
      <c r="L51" s="74">
        <f>I51*'SKU Master'!H48</f>
        <v>0</v>
      </c>
      <c r="M51" s="74">
        <f t="shared" si="2"/>
        <v>0</v>
      </c>
      <c r="N51" s="74">
        <f t="shared" si="3"/>
        <v>0</v>
      </c>
      <c r="O51" s="94">
        <f t="shared" si="4"/>
        <v>0</v>
      </c>
    </row>
    <row r="52" spans="1:15" ht="15" customHeight="1" x14ac:dyDescent="0.25">
      <c r="A52" s="75">
        <v>45</v>
      </c>
      <c r="B52" s="75">
        <v>401</v>
      </c>
      <c r="C52" s="75" t="s">
        <v>852</v>
      </c>
      <c r="D52" s="75" t="s">
        <v>182</v>
      </c>
      <c r="E52" s="75">
        <v>720</v>
      </c>
      <c r="F52" s="148">
        <f>E52*(_xlfn.XLOOKUP(B52,'Ratio Master'!A:A,'Ratio Master'!G:G,""))</f>
        <v>107.10486486486505</v>
      </c>
      <c r="G52" s="70"/>
      <c r="H52" s="70">
        <f>IFERROR('SKU Master'!M49+0,0)</f>
        <v>227.96926454445665</v>
      </c>
      <c r="I52" s="150">
        <f t="shared" si="0"/>
        <v>107.10486486486505</v>
      </c>
      <c r="J52" s="70">
        <f>IFERROR('SKU Master'!N49+0,0)</f>
        <v>259.68837395125848</v>
      </c>
      <c r="K52" s="74">
        <f t="shared" si="1"/>
        <v>24416.617272376701</v>
      </c>
      <c r="L52" s="74">
        <f>I52*'SKU Master'!H49</f>
        <v>23110.387948268588</v>
      </c>
      <c r="M52" s="74">
        <f t="shared" si="2"/>
        <v>47527.005220645289</v>
      </c>
      <c r="N52" s="74">
        <f t="shared" si="3"/>
        <v>27813.888199026082</v>
      </c>
      <c r="O52" s="94">
        <f t="shared" si="4"/>
        <v>-19713.117021619208</v>
      </c>
    </row>
    <row r="53" spans="1:15" ht="15" customHeight="1" x14ac:dyDescent="0.25">
      <c r="A53" s="75">
        <v>46</v>
      </c>
      <c r="B53" s="75">
        <v>404</v>
      </c>
      <c r="C53" s="75" t="s">
        <v>853</v>
      </c>
      <c r="D53" s="75" t="s">
        <v>182</v>
      </c>
      <c r="E53" s="75">
        <v>2250</v>
      </c>
      <c r="F53" s="148">
        <f>E53*(_xlfn.XLOOKUP(B53,'Ratio Master'!A:A,'Ratio Master'!G:G,""))</f>
        <v>257.30121002592824</v>
      </c>
      <c r="G53" s="70"/>
      <c r="H53" s="70">
        <f>IFERROR('SKU Master'!M50+0,0)</f>
        <v>0</v>
      </c>
      <c r="I53" s="150">
        <f t="shared" si="0"/>
        <v>257.30121002592824</v>
      </c>
      <c r="J53" s="70">
        <f>IFERROR('SKU Master'!N50+0,0)</f>
        <v>307.16723549488057</v>
      </c>
      <c r="K53" s="74">
        <f t="shared" si="1"/>
        <v>0</v>
      </c>
      <c r="L53" s="74">
        <f>I53*'SKU Master'!H50</f>
        <v>55200.760858985152</v>
      </c>
      <c r="M53" s="74">
        <f t="shared" si="2"/>
        <v>55200.760858985152</v>
      </c>
      <c r="N53" s="74">
        <f t="shared" si="3"/>
        <v>79034.50137315203</v>
      </c>
      <c r="O53" s="94">
        <f t="shared" si="4"/>
        <v>23833.740514166879</v>
      </c>
    </row>
    <row r="54" spans="1:15" ht="15" customHeight="1" x14ac:dyDescent="0.25">
      <c r="A54" s="75">
        <v>47</v>
      </c>
      <c r="B54" s="75">
        <v>406</v>
      </c>
      <c r="C54" s="75" t="s">
        <v>854</v>
      </c>
      <c r="D54" s="75" t="s">
        <v>182</v>
      </c>
      <c r="E54" s="75">
        <v>480</v>
      </c>
      <c r="F54" s="148">
        <f>E54*(_xlfn.XLOOKUP(B54,'Ratio Master'!A:A,'Ratio Master'!G:G,""))</f>
        <v>111.6888888888888</v>
      </c>
      <c r="G54" s="70"/>
      <c r="H54" s="70">
        <f>IFERROR('SKU Master'!M51+0,0)</f>
        <v>0</v>
      </c>
      <c r="I54" s="150">
        <f t="shared" si="0"/>
        <v>111.6888888888888</v>
      </c>
      <c r="J54" s="70">
        <f>IFERROR('SKU Master'!N51+0,0)</f>
        <v>300.40053404539384</v>
      </c>
      <c r="K54" s="74">
        <f t="shared" si="1"/>
        <v>0</v>
      </c>
      <c r="L54" s="74">
        <f>I54*'SKU Master'!H51</f>
        <v>24035.082392955879</v>
      </c>
      <c r="M54" s="74">
        <f t="shared" si="2"/>
        <v>24035.082392955879</v>
      </c>
      <c r="N54" s="74">
        <f t="shared" si="3"/>
        <v>33551.40186915885</v>
      </c>
      <c r="O54" s="94">
        <f t="shared" si="4"/>
        <v>9516.3194762029707</v>
      </c>
    </row>
    <row r="55" spans="1:15" ht="15" customHeight="1" x14ac:dyDescent="0.25">
      <c r="A55" s="75">
        <v>48</v>
      </c>
      <c r="B55" s="75">
        <v>418</v>
      </c>
      <c r="C55" s="75" t="s">
        <v>855</v>
      </c>
      <c r="D55" s="75" t="s">
        <v>182</v>
      </c>
      <c r="E55" s="75">
        <v>0</v>
      </c>
      <c r="F55" s="148">
        <f>E55*(_xlfn.XLOOKUP(B55,'Ratio Master'!A:A,'Ratio Master'!G:G,""))</f>
        <v>0</v>
      </c>
      <c r="G55" s="70"/>
      <c r="H55" s="70">
        <f>IFERROR('SKU Master'!M52+0,0)</f>
        <v>0</v>
      </c>
      <c r="I55" s="150">
        <f t="shared" si="0"/>
        <v>0</v>
      </c>
      <c r="J55" s="70">
        <f>IFERROR('SKU Master'!N52+0,0)</f>
        <v>258.08823529411762</v>
      </c>
      <c r="K55" s="74">
        <f t="shared" si="1"/>
        <v>0</v>
      </c>
      <c r="L55" s="74">
        <f>I55*'SKU Master'!H52</f>
        <v>0</v>
      </c>
      <c r="M55" s="74">
        <f t="shared" si="2"/>
        <v>0</v>
      </c>
      <c r="N55" s="74">
        <f t="shared" si="3"/>
        <v>0</v>
      </c>
      <c r="O55" s="94">
        <f t="shared" si="4"/>
        <v>0</v>
      </c>
    </row>
    <row r="56" spans="1:15" ht="15" customHeight="1" x14ac:dyDescent="0.25">
      <c r="A56" s="75">
        <v>49</v>
      </c>
      <c r="B56" s="75">
        <v>419</v>
      </c>
      <c r="C56" s="75" t="s">
        <v>855</v>
      </c>
      <c r="D56" s="75" t="s">
        <v>187</v>
      </c>
      <c r="E56" s="75">
        <v>1350</v>
      </c>
      <c r="F56" s="148">
        <f>E56*(_xlfn.XLOOKUP(B56,'Ratio Master'!A:A,'Ratio Master'!G:G,""))</f>
        <v>156.67391304347893</v>
      </c>
      <c r="G56" s="70"/>
      <c r="H56" s="70">
        <f>IFERROR('SKU Master'!M53+0,0)</f>
        <v>0</v>
      </c>
      <c r="I56" s="150">
        <f t="shared" si="0"/>
        <v>156.67391304347893</v>
      </c>
      <c r="J56" s="70">
        <f>IFERROR('SKU Master'!N53+0,0)</f>
        <v>256.40800869595705</v>
      </c>
      <c r="K56" s="74">
        <f t="shared" si="1"/>
        <v>0</v>
      </c>
      <c r="L56" s="74">
        <f>I56*'SKU Master'!H53</f>
        <v>33183.969935835208</v>
      </c>
      <c r="M56" s="74">
        <f t="shared" si="2"/>
        <v>33183.969935835208</v>
      </c>
      <c r="N56" s="74">
        <f t="shared" si="3"/>
        <v>40172.446058081965</v>
      </c>
      <c r="O56" s="94">
        <f t="shared" si="4"/>
        <v>6988.4761222467569</v>
      </c>
    </row>
    <row r="57" spans="1:15" ht="15" customHeight="1" x14ac:dyDescent="0.25">
      <c r="A57" s="75">
        <v>50</v>
      </c>
      <c r="B57" s="75">
        <v>423</v>
      </c>
      <c r="C57" s="75" t="s">
        <v>856</v>
      </c>
      <c r="D57" s="75" t="s">
        <v>191</v>
      </c>
      <c r="E57" s="75">
        <v>900</v>
      </c>
      <c r="F57" s="148">
        <f>E57*(_xlfn.XLOOKUP(B57,'Ratio Master'!A:A,'Ratio Master'!G:G,""))</f>
        <v>120.32408759124061</v>
      </c>
      <c r="G57" s="70"/>
      <c r="H57" s="70">
        <f>IFERROR('SKU Master'!M54+0,0)</f>
        <v>0</v>
      </c>
      <c r="I57" s="150">
        <f t="shared" si="0"/>
        <v>120.32408759124061</v>
      </c>
      <c r="J57" s="70">
        <f>IFERROR('SKU Master'!N54+0,0)</f>
        <v>264.48021080913503</v>
      </c>
      <c r="K57" s="74">
        <f t="shared" si="1"/>
        <v>0</v>
      </c>
      <c r="L57" s="74">
        <f>I57*'SKU Master'!H54</f>
        <v>25541.343395932752</v>
      </c>
      <c r="M57" s="74">
        <f t="shared" si="2"/>
        <v>25541.343395932752</v>
      </c>
      <c r="N57" s="74">
        <f t="shared" si="3"/>
        <v>31823.340051548144</v>
      </c>
      <c r="O57" s="94">
        <f t="shared" si="4"/>
        <v>6281.9966556153922</v>
      </c>
    </row>
    <row r="58" spans="1:15" ht="15" customHeight="1" x14ac:dyDescent="0.25">
      <c r="A58" s="75">
        <v>51</v>
      </c>
      <c r="B58" s="75">
        <v>426</v>
      </c>
      <c r="C58" s="75" t="s">
        <v>856</v>
      </c>
      <c r="D58" s="75" t="s">
        <v>199</v>
      </c>
      <c r="E58" s="75">
        <v>0</v>
      </c>
      <c r="F58" s="148">
        <f>E58*(_xlfn.XLOOKUP(B58,'Ratio Master'!A:A,'Ratio Master'!G:G,""))</f>
        <v>0</v>
      </c>
      <c r="G58" s="70"/>
      <c r="H58" s="70">
        <f>IFERROR('SKU Master'!M55+0,0)</f>
        <v>0</v>
      </c>
      <c r="I58" s="150">
        <f t="shared" si="0"/>
        <v>0</v>
      </c>
      <c r="J58" s="70">
        <f>IFERROR('SKU Master'!N55+0,0)</f>
        <v>269.59235266234793</v>
      </c>
      <c r="K58" s="74">
        <f t="shared" si="1"/>
        <v>0</v>
      </c>
      <c r="L58" s="74">
        <f>I58*'SKU Master'!H55</f>
        <v>0</v>
      </c>
      <c r="M58" s="74">
        <f t="shared" si="2"/>
        <v>0</v>
      </c>
      <c r="N58" s="74">
        <f t="shared" si="3"/>
        <v>0</v>
      </c>
      <c r="O58" s="94">
        <f t="shared" si="4"/>
        <v>0</v>
      </c>
    </row>
    <row r="59" spans="1:15" ht="15" customHeight="1" x14ac:dyDescent="0.25">
      <c r="A59" s="75">
        <v>52</v>
      </c>
      <c r="B59" s="75">
        <v>428</v>
      </c>
      <c r="C59" s="75" t="s">
        <v>856</v>
      </c>
      <c r="D59" s="75" t="s">
        <v>187</v>
      </c>
      <c r="E59" s="75">
        <v>4500</v>
      </c>
      <c r="F59" s="148">
        <f>E59*(_xlfn.XLOOKUP(B59,'Ratio Master'!A:A,'Ratio Master'!G:G,""))</f>
        <v>621</v>
      </c>
      <c r="G59" s="70"/>
      <c r="H59" s="70">
        <f>IFERROR('SKU Master'!M56+0,0)</f>
        <v>0</v>
      </c>
      <c r="I59" s="150">
        <f t="shared" si="0"/>
        <v>621</v>
      </c>
      <c r="J59" s="70">
        <f>IFERROR('SKU Master'!N56+0,0)</f>
        <v>198.79518072289156</v>
      </c>
      <c r="K59" s="74">
        <f t="shared" si="1"/>
        <v>0</v>
      </c>
      <c r="L59" s="74">
        <f>I59*'SKU Master'!H56</f>
        <v>133144.48759594519</v>
      </c>
      <c r="M59" s="74">
        <f t="shared" si="2"/>
        <v>133144.48759594519</v>
      </c>
      <c r="N59" s="74">
        <f t="shared" si="3"/>
        <v>123451.80722891566</v>
      </c>
      <c r="O59" s="94">
        <f t="shared" si="4"/>
        <v>-9692.680367029534</v>
      </c>
    </row>
    <row r="60" spans="1:15" ht="15" customHeight="1" x14ac:dyDescent="0.25">
      <c r="A60" s="75">
        <v>53</v>
      </c>
      <c r="B60" s="75">
        <v>437</v>
      </c>
      <c r="C60" s="75" t="s">
        <v>860</v>
      </c>
      <c r="D60" s="75" t="s">
        <v>202</v>
      </c>
      <c r="E60" s="75">
        <v>0</v>
      </c>
      <c r="F60" s="148">
        <f>E60*(_xlfn.XLOOKUP(B60,'Ratio Master'!A:A,'Ratio Master'!G:G,""))</f>
        <v>0</v>
      </c>
      <c r="G60" s="70"/>
      <c r="H60" s="70">
        <f>IFERROR('SKU Master'!M57+0,0)</f>
        <v>0</v>
      </c>
      <c r="I60" s="150">
        <f t="shared" si="0"/>
        <v>0</v>
      </c>
      <c r="J60" s="70">
        <f>IFERROR('SKU Master'!N57+0,0)</f>
        <v>295.56650246305418</v>
      </c>
      <c r="K60" s="74">
        <f t="shared" si="1"/>
        <v>0</v>
      </c>
      <c r="L60" s="74">
        <f>I60*'SKU Master'!H57</f>
        <v>0</v>
      </c>
      <c r="M60" s="74">
        <f t="shared" si="2"/>
        <v>0</v>
      </c>
      <c r="N60" s="74">
        <f t="shared" si="3"/>
        <v>0</v>
      </c>
      <c r="O60" s="94">
        <f t="shared" si="4"/>
        <v>0</v>
      </c>
    </row>
    <row r="61" spans="1:15" ht="15" customHeight="1" x14ac:dyDescent="0.25">
      <c r="A61" s="75">
        <v>54</v>
      </c>
      <c r="B61" s="75">
        <v>438</v>
      </c>
      <c r="C61" s="75" t="s">
        <v>860</v>
      </c>
      <c r="D61" s="75" t="s">
        <v>199</v>
      </c>
      <c r="E61" s="75">
        <v>7200</v>
      </c>
      <c r="F61" s="148">
        <f>E61*(_xlfn.XLOOKUP(B61,'Ratio Master'!A:A,'Ratio Master'!G:G,""))</f>
        <v>1661.194736842104</v>
      </c>
      <c r="G61" s="70"/>
      <c r="H61" s="70">
        <f>IFERROR('SKU Master'!M58+0,0)</f>
        <v>0</v>
      </c>
      <c r="I61" s="150">
        <f t="shared" si="0"/>
        <v>1661.194736842104</v>
      </c>
      <c r="J61" s="70">
        <f>IFERROR('SKU Master'!N58+0,0)</f>
        <v>199.66773162939296</v>
      </c>
      <c r="K61" s="74">
        <f t="shared" si="1"/>
        <v>0</v>
      </c>
      <c r="L61" s="74">
        <f>I61*'SKU Master'!H58</f>
        <v>362528.6968250355</v>
      </c>
      <c r="M61" s="74">
        <f t="shared" si="2"/>
        <v>362528.6968250355</v>
      </c>
      <c r="N61" s="74">
        <f t="shared" si="3"/>
        <v>331686.98489994928</v>
      </c>
      <c r="O61" s="94">
        <f t="shared" si="4"/>
        <v>-30841.711925086216</v>
      </c>
    </row>
    <row r="62" spans="1:15" ht="15" customHeight="1" x14ac:dyDescent="0.25">
      <c r="A62" s="75">
        <v>55</v>
      </c>
      <c r="B62" s="75">
        <v>439</v>
      </c>
      <c r="C62" s="75" t="s">
        <v>860</v>
      </c>
      <c r="D62" s="75" t="s">
        <v>187</v>
      </c>
      <c r="E62" s="75">
        <v>2000</v>
      </c>
      <c r="F62" s="148">
        <f>E62*(_xlfn.XLOOKUP(B62,'Ratio Master'!A:A,'Ratio Master'!G:G,""))</f>
        <v>482.427379925222</v>
      </c>
      <c r="G62" s="70"/>
      <c r="H62" s="70">
        <f>IFERROR('SKU Master'!M59+0,0)</f>
        <v>0</v>
      </c>
      <c r="I62" s="150">
        <f t="shared" si="0"/>
        <v>482.427379925222</v>
      </c>
      <c r="J62" s="70">
        <f>IFERROR('SKU Master'!N59+0,0)</f>
        <v>258.7368068353158</v>
      </c>
      <c r="K62" s="74">
        <f t="shared" si="1"/>
        <v>0</v>
      </c>
      <c r="L62" s="74">
        <f>I62*'SKU Master'!H59</f>
        <v>106716.31906153884</v>
      </c>
      <c r="M62" s="74">
        <f t="shared" si="2"/>
        <v>106716.31906153884</v>
      </c>
      <c r="N62" s="74">
        <f t="shared" si="3"/>
        <v>124821.71981177968</v>
      </c>
      <c r="O62" s="94">
        <f t="shared" si="4"/>
        <v>18105.400750240835</v>
      </c>
    </row>
    <row r="63" spans="1:15" ht="15" customHeight="1" x14ac:dyDescent="0.25">
      <c r="A63" s="75">
        <v>56</v>
      </c>
      <c r="B63" s="75">
        <v>445</v>
      </c>
      <c r="C63" s="75" t="s">
        <v>861</v>
      </c>
      <c r="D63" s="75" t="s">
        <v>200</v>
      </c>
      <c r="E63" s="75">
        <v>12000</v>
      </c>
      <c r="F63" s="148">
        <f>E63*(_xlfn.XLOOKUP(B63,'Ratio Master'!A:A,'Ratio Master'!G:G,""))</f>
        <v>988.97132616487443</v>
      </c>
      <c r="G63" s="70"/>
      <c r="H63" s="70">
        <f>IFERROR('SKU Master'!M60+0,0)</f>
        <v>0</v>
      </c>
      <c r="I63" s="150">
        <f t="shared" si="0"/>
        <v>988.97132616487443</v>
      </c>
      <c r="J63" s="70">
        <f>IFERROR('SKU Master'!N60+0,0)</f>
        <v>247.7592829705506</v>
      </c>
      <c r="K63" s="74">
        <f t="shared" si="1"/>
        <v>0</v>
      </c>
      <c r="L63" s="74">
        <f>I63*'SKU Master'!H60</f>
        <v>211739.36751327661</v>
      </c>
      <c r="M63" s="74">
        <f t="shared" si="2"/>
        <v>211739.36751327661</v>
      </c>
      <c r="N63" s="74">
        <f t="shared" si="3"/>
        <v>245026.82664904383</v>
      </c>
      <c r="O63" s="94">
        <f t="shared" si="4"/>
        <v>33287.459135767218</v>
      </c>
    </row>
    <row r="64" spans="1:15" ht="15" customHeight="1" x14ac:dyDescent="0.25">
      <c r="A64" s="75">
        <v>57</v>
      </c>
      <c r="B64" s="75">
        <v>446</v>
      </c>
      <c r="C64" s="75" t="s">
        <v>861</v>
      </c>
      <c r="D64" s="75" t="s">
        <v>182</v>
      </c>
      <c r="E64" s="75">
        <v>0</v>
      </c>
      <c r="F64" s="148">
        <f>E64*(_xlfn.XLOOKUP(B64,'Ratio Master'!A:A,'Ratio Master'!G:G,""))</f>
        <v>0</v>
      </c>
      <c r="G64" s="70"/>
      <c r="H64" s="70">
        <f>IFERROR('SKU Master'!M61+0,0)</f>
        <v>0</v>
      </c>
      <c r="I64" s="150">
        <f t="shared" si="0"/>
        <v>0</v>
      </c>
      <c r="J64" s="70">
        <f>IFERROR('SKU Master'!N61+0,0)</f>
        <v>213.0006037432079</v>
      </c>
      <c r="K64" s="74">
        <f t="shared" si="1"/>
        <v>0</v>
      </c>
      <c r="L64" s="74">
        <f>I64*'SKU Master'!H61</f>
        <v>0</v>
      </c>
      <c r="M64" s="74">
        <f t="shared" si="2"/>
        <v>0</v>
      </c>
      <c r="N64" s="74">
        <f t="shared" si="3"/>
        <v>0</v>
      </c>
      <c r="O64" s="94">
        <f t="shared" si="4"/>
        <v>0</v>
      </c>
    </row>
    <row r="65" spans="1:15" ht="15" customHeight="1" x14ac:dyDescent="0.25">
      <c r="A65" s="75">
        <v>58</v>
      </c>
      <c r="B65" s="75">
        <v>451</v>
      </c>
      <c r="C65" s="75" t="s">
        <v>861</v>
      </c>
      <c r="D65" s="75" t="s">
        <v>863</v>
      </c>
      <c r="E65" s="75">
        <v>18000</v>
      </c>
      <c r="F65" s="148">
        <f>E65*(_xlfn.XLOOKUP(B65,'Ratio Master'!A:A,'Ratio Master'!G:G,""))</f>
        <v>1430.9154207603594</v>
      </c>
      <c r="G65" s="70"/>
      <c r="H65" s="70">
        <f>IFERROR('SKU Master'!M62+0,0)</f>
        <v>0</v>
      </c>
      <c r="I65" s="150">
        <f t="shared" si="0"/>
        <v>1430.9154207603594</v>
      </c>
      <c r="J65" s="70">
        <f>IFERROR('SKU Master'!N62+0,0)</f>
        <v>247.4792073108122</v>
      </c>
      <c r="K65" s="74">
        <f t="shared" si="1"/>
        <v>0</v>
      </c>
      <c r="L65" s="74">
        <f>I65*'SKU Master'!H62</f>
        <v>316160.19436908222</v>
      </c>
      <c r="M65" s="74">
        <f t="shared" si="2"/>
        <v>316160.19436908222</v>
      </c>
      <c r="N65" s="74">
        <f t="shared" si="3"/>
        <v>354121.81405859109</v>
      </c>
      <c r="O65" s="94">
        <f t="shared" si="4"/>
        <v>37961.619689508865</v>
      </c>
    </row>
    <row r="66" spans="1:15" ht="15" customHeight="1" x14ac:dyDescent="0.25">
      <c r="A66" s="75">
        <v>59</v>
      </c>
      <c r="B66" s="75">
        <v>454</v>
      </c>
      <c r="C66" s="75" t="s">
        <v>861</v>
      </c>
      <c r="D66" s="75" t="s">
        <v>187</v>
      </c>
      <c r="E66" s="75">
        <v>9000</v>
      </c>
      <c r="F66" s="148">
        <f>E66*(_xlfn.XLOOKUP(B66,'Ratio Master'!A:A,'Ratio Master'!G:G,""))</f>
        <v>799.16175682913797</v>
      </c>
      <c r="G66" s="70"/>
      <c r="H66" s="70">
        <f>IFERROR('SKU Master'!M63+0,0)</f>
        <v>0</v>
      </c>
      <c r="I66" s="150">
        <f t="shared" si="0"/>
        <v>799.16175682913797</v>
      </c>
      <c r="J66" s="70">
        <f>IFERROR('SKU Master'!N63+0,0)</f>
        <v>294.11764705882354</v>
      </c>
      <c r="K66" s="74">
        <f t="shared" si="1"/>
        <v>0</v>
      </c>
      <c r="L66" s="74">
        <f>I66*'SKU Master'!H63</f>
        <v>171141.76408706472</v>
      </c>
      <c r="M66" s="74">
        <f t="shared" si="2"/>
        <v>171141.76408706472</v>
      </c>
      <c r="N66" s="74">
        <f t="shared" si="3"/>
        <v>235047.57553798176</v>
      </c>
      <c r="O66" s="94">
        <f t="shared" si="4"/>
        <v>63905.811450917041</v>
      </c>
    </row>
    <row r="67" spans="1:15" ht="15" customHeight="1" x14ac:dyDescent="0.25">
      <c r="A67" s="75">
        <v>60</v>
      </c>
      <c r="B67" s="75">
        <v>456</v>
      </c>
      <c r="C67" s="75" t="s">
        <v>864</v>
      </c>
      <c r="D67" s="75" t="s">
        <v>200</v>
      </c>
      <c r="E67" s="75">
        <v>0</v>
      </c>
      <c r="F67" s="148">
        <f>E67*(_xlfn.XLOOKUP(B67,'Ratio Master'!A:A,'Ratio Master'!G:G,""))</f>
        <v>0</v>
      </c>
      <c r="G67" s="70"/>
      <c r="H67" s="70">
        <f>IFERROR('SKU Master'!M64+0,0)</f>
        <v>0</v>
      </c>
      <c r="I67" s="150">
        <f t="shared" si="0"/>
        <v>0</v>
      </c>
      <c r="J67" s="70">
        <f>IFERROR('SKU Master'!N64+0,0)</f>
        <v>403.44827586206895</v>
      </c>
      <c r="K67" s="74">
        <f t="shared" si="1"/>
        <v>0</v>
      </c>
      <c r="L67" s="74">
        <f>I67*'SKU Master'!H64</f>
        <v>0</v>
      </c>
      <c r="M67" s="74">
        <f t="shared" si="2"/>
        <v>0</v>
      </c>
      <c r="N67" s="74">
        <f t="shared" si="3"/>
        <v>0</v>
      </c>
      <c r="O67" s="94">
        <f t="shared" si="4"/>
        <v>0</v>
      </c>
    </row>
    <row r="68" spans="1:15" ht="15" customHeight="1" x14ac:dyDescent="0.25">
      <c r="A68" s="75">
        <v>61</v>
      </c>
      <c r="B68" s="75">
        <v>457</v>
      </c>
      <c r="C68" s="75" t="s">
        <v>864</v>
      </c>
      <c r="D68" s="75" t="s">
        <v>182</v>
      </c>
      <c r="E68" s="75">
        <v>120000</v>
      </c>
      <c r="F68" s="148">
        <f>E68*(_xlfn.XLOOKUP(B68,'Ratio Master'!A:A,'Ratio Master'!G:G,""))</f>
        <v>12036.3485477178</v>
      </c>
      <c r="G68" s="70"/>
      <c r="H68" s="70">
        <f>IFERROR('SKU Master'!M65+0,0)</f>
        <v>0</v>
      </c>
      <c r="I68" s="150">
        <f t="shared" si="0"/>
        <v>12036.3485477178</v>
      </c>
      <c r="J68" s="70">
        <f>IFERROR('SKU Master'!N65+0,0)</f>
        <v>453.05062743401129</v>
      </c>
      <c r="K68" s="74">
        <f t="shared" si="1"/>
        <v>0</v>
      </c>
      <c r="L68" s="74">
        <f>I68*'SKU Master'!H65</f>
        <v>2560405.4595696335</v>
      </c>
      <c r="M68" s="74">
        <f t="shared" si="2"/>
        <v>2560405.4595696335</v>
      </c>
      <c r="N68" s="74">
        <f t="shared" si="3"/>
        <v>5453075.261558</v>
      </c>
      <c r="O68" s="94">
        <f t="shared" si="4"/>
        <v>2892669.8019883665</v>
      </c>
    </row>
    <row r="69" spans="1:15" ht="15" customHeight="1" x14ac:dyDescent="0.25">
      <c r="A69" s="75">
        <v>62</v>
      </c>
      <c r="B69" s="75">
        <v>458</v>
      </c>
      <c r="C69" s="75" t="s">
        <v>864</v>
      </c>
      <c r="D69" s="75" t="s">
        <v>858</v>
      </c>
      <c r="E69" s="75">
        <v>19800</v>
      </c>
      <c r="F69" s="148">
        <f>E69*(_xlfn.XLOOKUP(B69,'Ratio Master'!A:A,'Ratio Master'!G:G,""))</f>
        <v>1949.4925255704177</v>
      </c>
      <c r="G69" s="70"/>
      <c r="H69" s="70">
        <f>IFERROR('SKU Master'!M66+0,0)</f>
        <v>0</v>
      </c>
      <c r="I69" s="150">
        <f t="shared" si="0"/>
        <v>1949.4925255704177</v>
      </c>
      <c r="J69" s="70">
        <f>IFERROR('SKU Master'!N66+0,0)</f>
        <v>503.17662007623886</v>
      </c>
      <c r="K69" s="74">
        <f t="shared" si="1"/>
        <v>0</v>
      </c>
      <c r="L69" s="74">
        <f>I69*'SKU Master'!H66</f>
        <v>426082.84614805772</v>
      </c>
      <c r="M69" s="74">
        <f t="shared" si="2"/>
        <v>426082.84614805772</v>
      </c>
      <c r="N69" s="74">
        <f t="shared" si="3"/>
        <v>980939.05988041346</v>
      </c>
      <c r="O69" s="94">
        <f t="shared" si="4"/>
        <v>554856.21373235574</v>
      </c>
    </row>
    <row r="70" spans="1:15" ht="15" customHeight="1" x14ac:dyDescent="0.25">
      <c r="A70" s="75">
        <v>63</v>
      </c>
      <c r="B70" s="75">
        <v>459</v>
      </c>
      <c r="C70" s="75" t="s">
        <v>864</v>
      </c>
      <c r="D70" s="75" t="s">
        <v>188</v>
      </c>
      <c r="E70" s="75">
        <v>27000</v>
      </c>
      <c r="F70" s="148">
        <f>E70*(_xlfn.XLOOKUP(B70,'Ratio Master'!A:A,'Ratio Master'!G:G,""))</f>
        <v>2688.2642045454545</v>
      </c>
      <c r="G70" s="70"/>
      <c r="H70" s="70">
        <f>IFERROR('SKU Master'!M67+0,0)</f>
        <v>0</v>
      </c>
      <c r="I70" s="150">
        <f t="shared" si="0"/>
        <v>2688.2642045454545</v>
      </c>
      <c r="J70" s="70">
        <f>IFERROR('SKU Master'!N67+0,0)</f>
        <v>349.16273122847537</v>
      </c>
      <c r="K70" s="74">
        <f t="shared" si="1"/>
        <v>0</v>
      </c>
      <c r="L70" s="74">
        <f>I70*'SKU Master'!H67</f>
        <v>661016.3331940216</v>
      </c>
      <c r="M70" s="74">
        <f t="shared" si="2"/>
        <v>661016.3331940216</v>
      </c>
      <c r="N70" s="74">
        <f t="shared" si="3"/>
        <v>938641.67192283564</v>
      </c>
      <c r="O70" s="94">
        <f t="shared" si="4"/>
        <v>277625.33872881404</v>
      </c>
    </row>
    <row r="71" spans="1:15" ht="15" customHeight="1" x14ac:dyDescent="0.25">
      <c r="A71" s="75">
        <v>64</v>
      </c>
      <c r="B71" s="75">
        <v>460</v>
      </c>
      <c r="C71" s="75" t="s">
        <v>864</v>
      </c>
      <c r="D71" s="75" t="s">
        <v>191</v>
      </c>
      <c r="E71" s="75">
        <v>1800</v>
      </c>
      <c r="F71" s="148">
        <f>E71*(_xlfn.XLOOKUP(B71,'Ratio Master'!A:A,'Ratio Master'!G:G,""))</f>
        <v>183.13701431492879</v>
      </c>
      <c r="G71" s="70"/>
      <c r="H71" s="70">
        <f>IFERROR('SKU Master'!M68+0,0)</f>
        <v>249.64374654122855</v>
      </c>
      <c r="I71" s="150">
        <f t="shared" si="0"/>
        <v>183.13701431492879</v>
      </c>
      <c r="J71" s="70">
        <f>IFERROR('SKU Master'!N68+0,0)</f>
        <v>292.3406038138283</v>
      </c>
      <c r="K71" s="74">
        <f t="shared" si="1"/>
        <v>45719.010383953428</v>
      </c>
      <c r="L71" s="74">
        <f>I71*'SKU Master'!H68</f>
        <v>45695.691102734832</v>
      </c>
      <c r="M71" s="74">
        <f t="shared" si="2"/>
        <v>91414.701486688253</v>
      </c>
      <c r="N71" s="74">
        <f t="shared" si="3"/>
        <v>53538.385345488001</v>
      </c>
      <c r="O71" s="94">
        <f t="shared" si="4"/>
        <v>-37876.316141200252</v>
      </c>
    </row>
    <row r="72" spans="1:15" ht="15" customHeight="1" x14ac:dyDescent="0.25">
      <c r="A72" s="75">
        <v>65</v>
      </c>
      <c r="B72" s="75">
        <v>468</v>
      </c>
      <c r="C72" s="75" t="s">
        <v>864</v>
      </c>
      <c r="D72" s="75" t="s">
        <v>187</v>
      </c>
      <c r="E72" s="75">
        <v>6000</v>
      </c>
      <c r="F72" s="148">
        <f>E72*(_xlfn.XLOOKUP(B72,'Ratio Master'!A:A,'Ratio Master'!G:G,""))</f>
        <v>603.41826086956803</v>
      </c>
      <c r="G72" s="70"/>
      <c r="H72" s="70">
        <f>IFERROR('SKU Master'!M69+0,0)</f>
        <v>0</v>
      </c>
      <c r="I72" s="150">
        <f t="shared" ref="I72:I132" si="5">MAX(F72-G72,0)</f>
        <v>603.41826086956803</v>
      </c>
      <c r="J72" s="70">
        <f>IFERROR('SKU Master'!N69+0,0)</f>
        <v>318.91773947196157</v>
      </c>
      <c r="K72" s="74">
        <f t="shared" ref="K72:K132" si="6">MIN(G72,F72)*H72</f>
        <v>0</v>
      </c>
      <c r="L72" s="74">
        <f>I72*'SKU Master'!H69</f>
        <v>155743.08621913372</v>
      </c>
      <c r="M72" s="74">
        <f t="shared" ref="M72:M132" si="7">K72+L72</f>
        <v>155743.08621913372</v>
      </c>
      <c r="N72" s="74">
        <f t="shared" ref="N72:N132" si="8">F72*J72</f>
        <v>192440.78771262502</v>
      </c>
      <c r="O72" s="94">
        <f t="shared" ref="O72:O132" si="9">N72-M72</f>
        <v>36697.701493491302</v>
      </c>
    </row>
    <row r="73" spans="1:15" ht="15" customHeight="1" x14ac:dyDescent="0.25">
      <c r="A73" s="75">
        <v>66</v>
      </c>
      <c r="B73" s="75">
        <v>469</v>
      </c>
      <c r="C73" s="75" t="s">
        <v>865</v>
      </c>
      <c r="D73" s="75" t="s">
        <v>200</v>
      </c>
      <c r="E73" s="75">
        <v>0</v>
      </c>
      <c r="F73" s="148">
        <f>E73*(_xlfn.XLOOKUP(B73,'Ratio Master'!A:A,'Ratio Master'!G:G,""))</f>
        <v>0</v>
      </c>
      <c r="G73" s="70"/>
      <c r="H73" s="70">
        <f>IFERROR('SKU Master'!M70+0,0)</f>
        <v>0</v>
      </c>
      <c r="I73" s="150">
        <f t="shared" si="5"/>
        <v>0</v>
      </c>
      <c r="J73" s="70">
        <f>IFERROR('SKU Master'!N70+0,0)</f>
        <v>300.13895321908291</v>
      </c>
      <c r="K73" s="74">
        <f t="shared" si="6"/>
        <v>0</v>
      </c>
      <c r="L73" s="74">
        <f>I73*'SKU Master'!H70</f>
        <v>0</v>
      </c>
      <c r="M73" s="74">
        <f t="shared" si="7"/>
        <v>0</v>
      </c>
      <c r="N73" s="74">
        <f t="shared" si="8"/>
        <v>0</v>
      </c>
      <c r="O73" s="94">
        <f t="shared" si="9"/>
        <v>0</v>
      </c>
    </row>
    <row r="74" spans="1:15" ht="15" customHeight="1" x14ac:dyDescent="0.25">
      <c r="A74" s="75">
        <v>67</v>
      </c>
      <c r="B74" s="75">
        <v>470</v>
      </c>
      <c r="C74" s="75" t="s">
        <v>865</v>
      </c>
      <c r="D74" s="75" t="s">
        <v>182</v>
      </c>
      <c r="E74" s="75">
        <v>6300</v>
      </c>
      <c r="F74" s="148">
        <f>E74*(_xlfn.XLOOKUP(B74,'Ratio Master'!A:A,'Ratio Master'!G:G,""))</f>
        <v>790.71658799639306</v>
      </c>
      <c r="G74" s="70"/>
      <c r="H74" s="70">
        <f>IFERROR('SKU Master'!M71+0,0)</f>
        <v>0</v>
      </c>
      <c r="I74" s="150">
        <f t="shared" si="5"/>
        <v>790.71658799639306</v>
      </c>
      <c r="J74" s="70">
        <f>IFERROR('SKU Master'!N71+0,0)</f>
        <v>308.97009966777409</v>
      </c>
      <c r="K74" s="74">
        <f t="shared" si="6"/>
        <v>0</v>
      </c>
      <c r="L74" s="74">
        <f>I74*'SKU Master'!H71</f>
        <v>196041.60203197153</v>
      </c>
      <c r="M74" s="74">
        <f t="shared" si="7"/>
        <v>196041.60203197153</v>
      </c>
      <c r="N74" s="74">
        <f t="shared" si="8"/>
        <v>244307.78300220784</v>
      </c>
      <c r="O74" s="94">
        <f t="shared" si="9"/>
        <v>48266.18097023631</v>
      </c>
    </row>
    <row r="75" spans="1:15" ht="15" customHeight="1" x14ac:dyDescent="0.25">
      <c r="A75" s="75">
        <v>68</v>
      </c>
      <c r="B75" s="75">
        <v>471</v>
      </c>
      <c r="C75" s="75" t="s">
        <v>865</v>
      </c>
      <c r="D75" s="75" t="s">
        <v>858</v>
      </c>
      <c r="E75" s="75">
        <v>9000</v>
      </c>
      <c r="F75" s="148">
        <f>E75*(_xlfn.XLOOKUP(B75,'Ratio Master'!A:A,'Ratio Master'!G:G,""))</f>
        <v>1119.840546697038</v>
      </c>
      <c r="G75" s="70"/>
      <c r="H75" s="70">
        <f>IFERROR('SKU Master'!M72+0,0)</f>
        <v>0</v>
      </c>
      <c r="I75" s="150">
        <f t="shared" si="5"/>
        <v>1119.840546697038</v>
      </c>
      <c r="J75" s="70">
        <f>IFERROR('SKU Master'!N72+0,0)</f>
        <v>298.69848156182212</v>
      </c>
      <c r="K75" s="74">
        <f t="shared" si="6"/>
        <v>0</v>
      </c>
      <c r="L75" s="74">
        <f>I75*'SKU Master'!H72</f>
        <v>272565.82720286574</v>
      </c>
      <c r="M75" s="74">
        <f t="shared" si="7"/>
        <v>272565.82720286574</v>
      </c>
      <c r="N75" s="74">
        <f t="shared" si="8"/>
        <v>334494.67088976601</v>
      </c>
      <c r="O75" s="94">
        <f t="shared" si="9"/>
        <v>61928.843686900276</v>
      </c>
    </row>
    <row r="76" spans="1:15" ht="15" customHeight="1" x14ac:dyDescent="0.25">
      <c r="A76" s="75">
        <v>69</v>
      </c>
      <c r="B76" s="75">
        <v>472</v>
      </c>
      <c r="C76" s="75" t="s">
        <v>865</v>
      </c>
      <c r="D76" s="75" t="s">
        <v>188</v>
      </c>
      <c r="E76" s="75">
        <v>4500</v>
      </c>
      <c r="F76" s="148">
        <f>E76*(_xlfn.XLOOKUP(B76,'Ratio Master'!A:A,'Ratio Master'!G:G,""))</f>
        <v>565.93561368209407</v>
      </c>
      <c r="G76" s="70"/>
      <c r="H76" s="70">
        <f>IFERROR('SKU Master'!M73+0,0)</f>
        <v>0</v>
      </c>
      <c r="I76" s="150">
        <f t="shared" si="5"/>
        <v>565.93561368209407</v>
      </c>
      <c r="J76" s="70">
        <f>IFERROR('SKU Master'!N73+0,0)</f>
        <v>330.14354066985646</v>
      </c>
      <c r="K76" s="74">
        <f t="shared" si="6"/>
        <v>0</v>
      </c>
      <c r="L76" s="74">
        <f>I76*'SKU Master'!H73</f>
        <v>127948.3717455083</v>
      </c>
      <c r="M76" s="74">
        <f t="shared" si="7"/>
        <v>127948.3717455083</v>
      </c>
      <c r="N76" s="74">
        <f t="shared" si="8"/>
        <v>186839.9872921746</v>
      </c>
      <c r="O76" s="94">
        <f t="shared" si="9"/>
        <v>58891.615546666304</v>
      </c>
    </row>
    <row r="77" spans="1:15" ht="15" customHeight="1" x14ac:dyDescent="0.25">
      <c r="A77" s="75">
        <v>70</v>
      </c>
      <c r="B77" s="75">
        <v>475</v>
      </c>
      <c r="C77" s="75" t="s">
        <v>865</v>
      </c>
      <c r="D77" s="75" t="s">
        <v>187</v>
      </c>
      <c r="E77" s="75">
        <v>0</v>
      </c>
      <c r="F77" s="148">
        <f>E77*(_xlfn.XLOOKUP(B77,'Ratio Master'!A:A,'Ratio Master'!G:G,""))</f>
        <v>0</v>
      </c>
      <c r="G77" s="70"/>
      <c r="H77" s="70">
        <f>IFERROR('SKU Master'!M74+0,0)</f>
        <v>293.75116235819229</v>
      </c>
      <c r="I77" s="150">
        <f t="shared" si="5"/>
        <v>0</v>
      </c>
      <c r="J77" s="70">
        <f>IFERROR('SKU Master'!N74+0,0)</f>
        <v>326.38599416423506</v>
      </c>
      <c r="K77" s="74">
        <f t="shared" si="6"/>
        <v>0</v>
      </c>
      <c r="L77" s="74">
        <f>I77*'SKU Master'!H74</f>
        <v>0</v>
      </c>
      <c r="M77" s="74">
        <f t="shared" si="7"/>
        <v>0</v>
      </c>
      <c r="N77" s="74">
        <f t="shared" si="8"/>
        <v>0</v>
      </c>
      <c r="O77" s="94">
        <f t="shared" si="9"/>
        <v>0</v>
      </c>
    </row>
    <row r="78" spans="1:15" ht="15" customHeight="1" x14ac:dyDescent="0.25">
      <c r="A78" s="75">
        <v>71</v>
      </c>
      <c r="B78" s="75">
        <v>478</v>
      </c>
      <c r="C78" s="75" t="s">
        <v>866</v>
      </c>
      <c r="D78" s="75" t="s">
        <v>200</v>
      </c>
      <c r="E78" s="75">
        <v>5400</v>
      </c>
      <c r="F78" s="148">
        <f>E78*(_xlfn.XLOOKUP(B78,'Ratio Master'!A:A,'Ratio Master'!G:G,""))</f>
        <v>909.88235294117771</v>
      </c>
      <c r="G78" s="70"/>
      <c r="H78" s="70">
        <f>IFERROR('SKU Master'!M75+0,0)</f>
        <v>239.34328358208955</v>
      </c>
      <c r="I78" s="150">
        <f t="shared" si="5"/>
        <v>909.88235294117771</v>
      </c>
      <c r="J78" s="70">
        <f>IFERROR('SKU Master'!N75+0,0)</f>
        <v>349.13793103448279</v>
      </c>
      <c r="K78" s="74">
        <f t="shared" si="6"/>
        <v>217774.23002633918</v>
      </c>
      <c r="L78" s="74">
        <f>I78*'SKU Master'!H75</f>
        <v>212679.65624773648</v>
      </c>
      <c r="M78" s="74">
        <f t="shared" si="7"/>
        <v>430453.88627407566</v>
      </c>
      <c r="N78" s="74">
        <f t="shared" si="8"/>
        <v>317674.44219066983</v>
      </c>
      <c r="O78" s="94">
        <f t="shared" si="9"/>
        <v>-112779.44408340583</v>
      </c>
    </row>
    <row r="79" spans="1:15" ht="15" customHeight="1" x14ac:dyDescent="0.25">
      <c r="A79" s="75">
        <v>72</v>
      </c>
      <c r="B79" s="75">
        <v>489</v>
      </c>
      <c r="C79" s="75" t="s">
        <v>866</v>
      </c>
      <c r="D79" s="75" t="s">
        <v>201</v>
      </c>
      <c r="E79" s="75">
        <v>5400</v>
      </c>
      <c r="F79" s="148">
        <f>E79*(_xlfn.XLOOKUP(B79,'Ratio Master'!A:A,'Ratio Master'!G:G,""))</f>
        <v>811.90714285714489</v>
      </c>
      <c r="G79" s="70"/>
      <c r="H79" s="70">
        <f>IFERROR('SKU Master'!M76+0,0)</f>
        <v>0</v>
      </c>
      <c r="I79" s="150">
        <f t="shared" si="5"/>
        <v>811.90714285714489</v>
      </c>
      <c r="J79" s="70">
        <f>IFERROR('SKU Master'!N76+0,0)</f>
        <v>321.06164383561645</v>
      </c>
      <c r="K79" s="74">
        <f t="shared" si="6"/>
        <v>0</v>
      </c>
      <c r="L79" s="74">
        <f>I79*'SKU Master'!H76</f>
        <v>197246.94268434611</v>
      </c>
      <c r="M79" s="74">
        <f t="shared" si="7"/>
        <v>197246.94268434611</v>
      </c>
      <c r="N79" s="74">
        <f t="shared" si="8"/>
        <v>260672.24192759363</v>
      </c>
      <c r="O79" s="94">
        <f t="shared" si="9"/>
        <v>63425.299243247515</v>
      </c>
    </row>
    <row r="80" spans="1:15" ht="15" customHeight="1" x14ac:dyDescent="0.25">
      <c r="A80" s="75">
        <v>73</v>
      </c>
      <c r="B80" s="75">
        <v>490</v>
      </c>
      <c r="C80" s="75" t="s">
        <v>866</v>
      </c>
      <c r="D80" s="75" t="s">
        <v>202</v>
      </c>
      <c r="E80" s="75">
        <v>3000</v>
      </c>
      <c r="F80" s="148">
        <f>E80*(_xlfn.XLOOKUP(B80,'Ratio Master'!A:A,'Ratio Master'!G:G,""))</f>
        <v>508.21917808219195</v>
      </c>
      <c r="G80" s="70"/>
      <c r="H80" s="70">
        <f>IFERROR('SKU Master'!M77+0,0)</f>
        <v>265.6015037593985</v>
      </c>
      <c r="I80" s="150">
        <f t="shared" si="5"/>
        <v>508.21917808219195</v>
      </c>
      <c r="J80" s="70">
        <f>IFERROR('SKU Master'!N77+0,0)</f>
        <v>330</v>
      </c>
      <c r="K80" s="74">
        <f t="shared" si="6"/>
        <v>134983.77793799571</v>
      </c>
      <c r="L80" s="74">
        <f>I80*'SKU Master'!H77</f>
        <v>127481.83654224701</v>
      </c>
      <c r="M80" s="74">
        <f t="shared" si="7"/>
        <v>262465.61448024272</v>
      </c>
      <c r="N80" s="74">
        <f t="shared" si="8"/>
        <v>167712.32876712334</v>
      </c>
      <c r="O80" s="94">
        <f t="shared" si="9"/>
        <v>-94753.285713119374</v>
      </c>
    </row>
    <row r="81" spans="1:15" ht="15" customHeight="1" x14ac:dyDescent="0.25">
      <c r="A81" s="75">
        <v>74</v>
      </c>
      <c r="B81" s="75">
        <v>493</v>
      </c>
      <c r="C81" s="75" t="s">
        <v>866</v>
      </c>
      <c r="D81" s="75" t="s">
        <v>869</v>
      </c>
      <c r="E81" s="75">
        <v>3600</v>
      </c>
      <c r="F81" s="148">
        <f>E81*(_xlfn.XLOOKUP(B81,'Ratio Master'!A:A,'Ratio Master'!G:G,""))</f>
        <v>569.79117647058968</v>
      </c>
      <c r="G81" s="70"/>
      <c r="H81" s="70">
        <f>IFERROR('SKU Master'!M78+0,0)</f>
        <v>0</v>
      </c>
      <c r="I81" s="150">
        <f t="shared" si="5"/>
        <v>569.79117647058968</v>
      </c>
      <c r="J81" s="70">
        <f>IFERROR('SKU Master'!N78+0,0)</f>
        <v>251.63094128611371</v>
      </c>
      <c r="K81" s="74">
        <f t="shared" si="6"/>
        <v>0</v>
      </c>
      <c r="L81" s="74">
        <f>I81*'SKU Master'!H78</f>
        <v>128765.15097213078</v>
      </c>
      <c r="M81" s="74">
        <f t="shared" si="7"/>
        <v>128765.15097213078</v>
      </c>
      <c r="N81" s="74">
        <f t="shared" si="8"/>
        <v>143377.09007181661</v>
      </c>
      <c r="O81" s="94">
        <f t="shared" si="9"/>
        <v>14611.939099685827</v>
      </c>
    </row>
    <row r="82" spans="1:15" ht="15" customHeight="1" x14ac:dyDescent="0.25">
      <c r="A82" s="75">
        <v>75</v>
      </c>
      <c r="B82" s="75">
        <v>495</v>
      </c>
      <c r="C82" s="75" t="s">
        <v>866</v>
      </c>
      <c r="D82" s="75" t="s">
        <v>199</v>
      </c>
      <c r="E82" s="75">
        <v>32400</v>
      </c>
      <c r="F82" s="148">
        <f>E82*(_xlfn.XLOOKUP(B82,'Ratio Master'!A:A,'Ratio Master'!G:G,""))</f>
        <v>4891.3698795180662</v>
      </c>
      <c r="G82" s="70"/>
      <c r="H82" s="70">
        <f>IFERROR('SKU Master'!M79+0,0)</f>
        <v>0</v>
      </c>
      <c r="I82" s="150">
        <f t="shared" si="5"/>
        <v>4891.3698795180662</v>
      </c>
      <c r="J82" s="70">
        <f>IFERROR('SKU Master'!N79+0,0)</f>
        <v>246.6750272268242</v>
      </c>
      <c r="K82" s="74">
        <f t="shared" si="6"/>
        <v>0</v>
      </c>
      <c r="L82" s="74">
        <f>I82*'SKU Master'!H79</f>
        <v>1101347.8939382716</v>
      </c>
      <c r="M82" s="74">
        <f t="shared" si="7"/>
        <v>1101347.8939382716</v>
      </c>
      <c r="N82" s="74">
        <f t="shared" si="8"/>
        <v>1206578.7982065869</v>
      </c>
      <c r="O82" s="94">
        <f t="shared" si="9"/>
        <v>105230.90426831529</v>
      </c>
    </row>
    <row r="83" spans="1:15" ht="15" customHeight="1" x14ac:dyDescent="0.25">
      <c r="A83" s="75">
        <v>76</v>
      </c>
      <c r="B83" s="75">
        <v>497</v>
      </c>
      <c r="C83" s="75" t="s">
        <v>866</v>
      </c>
      <c r="D83" s="75" t="s">
        <v>187</v>
      </c>
      <c r="E83" s="75">
        <v>4500</v>
      </c>
      <c r="F83" s="148">
        <f>E83*(_xlfn.XLOOKUP(B83,'Ratio Master'!A:A,'Ratio Master'!G:G,""))</f>
        <v>761.63636363636249</v>
      </c>
      <c r="G83" s="70"/>
      <c r="H83" s="70">
        <f>IFERROR('SKU Master'!M80+0,0)</f>
        <v>0</v>
      </c>
      <c r="I83" s="150">
        <f t="shared" si="5"/>
        <v>761.63636363636249</v>
      </c>
      <c r="J83" s="70">
        <f>IFERROR('SKU Master'!N80+0,0)</f>
        <v>272.7019498607242</v>
      </c>
      <c r="K83" s="74">
        <f t="shared" si="6"/>
        <v>0</v>
      </c>
      <c r="L83" s="74">
        <f>I83*'SKU Master'!H80</f>
        <v>172991.17530608174</v>
      </c>
      <c r="M83" s="74">
        <f t="shared" si="7"/>
        <v>172991.17530608174</v>
      </c>
      <c r="N83" s="74">
        <f t="shared" si="8"/>
        <v>207699.72144846764</v>
      </c>
      <c r="O83" s="94">
        <f t="shared" si="9"/>
        <v>34708.546142385894</v>
      </c>
    </row>
    <row r="84" spans="1:15" ht="15" customHeight="1" x14ac:dyDescent="0.25">
      <c r="A84" s="75">
        <v>77</v>
      </c>
      <c r="B84" s="75">
        <v>499</v>
      </c>
      <c r="C84" s="75" t="s">
        <v>870</v>
      </c>
      <c r="D84" s="75" t="s">
        <v>187</v>
      </c>
      <c r="E84" s="75">
        <v>150</v>
      </c>
      <c r="F84" s="148">
        <f>E84*(_xlfn.XLOOKUP(B84,'Ratio Master'!A:A,'Ratio Master'!G:G,""))</f>
        <v>23.451016635859499</v>
      </c>
      <c r="G84" s="70"/>
      <c r="H84" s="70">
        <f>IFERROR('SKU Master'!M81+0,0)</f>
        <v>0</v>
      </c>
      <c r="I84" s="150">
        <f t="shared" si="5"/>
        <v>23.451016635859499</v>
      </c>
      <c r="J84" s="70">
        <f>IFERROR('SKU Master'!N81+0,0)</f>
        <v>266.61024121878967</v>
      </c>
      <c r="K84" s="74">
        <f t="shared" si="6"/>
        <v>0</v>
      </c>
      <c r="L84" s="74">
        <f>I84*'SKU Master'!H81</f>
        <v>5307.5578800007961</v>
      </c>
      <c r="M84" s="74">
        <f t="shared" si="7"/>
        <v>5307.5578800007961</v>
      </c>
      <c r="N84" s="74">
        <f t="shared" si="8"/>
        <v>6252.2812021123509</v>
      </c>
      <c r="O84" s="94">
        <f t="shared" si="9"/>
        <v>944.72332211155481</v>
      </c>
    </row>
    <row r="85" spans="1:15" ht="15" customHeight="1" x14ac:dyDescent="0.25">
      <c r="A85" s="75">
        <v>78</v>
      </c>
      <c r="B85" s="75">
        <v>504</v>
      </c>
      <c r="C85" s="75" t="s">
        <v>871</v>
      </c>
      <c r="D85" s="75" t="s">
        <v>182</v>
      </c>
      <c r="E85" s="75">
        <v>150</v>
      </c>
      <c r="F85" s="148">
        <f>E85*(_xlfn.XLOOKUP(B85,'Ratio Master'!A:A,'Ratio Master'!G:G,""))</f>
        <v>28.10769230769225</v>
      </c>
      <c r="G85" s="70"/>
      <c r="H85" s="70">
        <f>IFERROR('SKU Master'!M82+0,0)</f>
        <v>0</v>
      </c>
      <c r="I85" s="150">
        <f t="shared" si="5"/>
        <v>28.10769230769225</v>
      </c>
      <c r="J85" s="70">
        <f>IFERROR('SKU Master'!N82+0,0)</f>
        <v>321.33450395083406</v>
      </c>
      <c r="K85" s="74">
        <f t="shared" si="6"/>
        <v>0</v>
      </c>
      <c r="L85" s="74">
        <f>I85*'SKU Master'!H82</f>
        <v>7659.8478279932206</v>
      </c>
      <c r="M85" s="74">
        <f t="shared" si="7"/>
        <v>7659.8478279932206</v>
      </c>
      <c r="N85" s="74">
        <f t="shared" si="8"/>
        <v>9031.9713648949637</v>
      </c>
      <c r="O85" s="94">
        <f t="shared" si="9"/>
        <v>1372.1235369017431</v>
      </c>
    </row>
    <row r="86" spans="1:15" ht="15" customHeight="1" x14ac:dyDescent="0.25">
      <c r="A86" s="75">
        <v>79</v>
      </c>
      <c r="B86" s="75">
        <v>508</v>
      </c>
      <c r="C86" s="75" t="s">
        <v>871</v>
      </c>
      <c r="D86" s="75" t="s">
        <v>187</v>
      </c>
      <c r="E86" s="75">
        <v>3000</v>
      </c>
      <c r="F86" s="148">
        <f>E86*(_xlfn.XLOOKUP(B86,'Ratio Master'!A:A,'Ratio Master'!G:G,""))</f>
        <v>507.94159292035499</v>
      </c>
      <c r="G86" s="70"/>
      <c r="H86" s="70">
        <f>IFERROR('SKU Master'!M83+0,0)</f>
        <v>0</v>
      </c>
      <c r="I86" s="150">
        <f t="shared" si="5"/>
        <v>507.94159292035499</v>
      </c>
      <c r="J86" s="70">
        <f>IFERROR('SKU Master'!N83+0,0)</f>
        <v>325.79185520361989</v>
      </c>
      <c r="K86" s="74">
        <f t="shared" si="6"/>
        <v>0</v>
      </c>
      <c r="L86" s="74">
        <f>I86*'SKU Master'!H83</f>
        <v>138033.83007694894</v>
      </c>
      <c r="M86" s="74">
        <f t="shared" si="7"/>
        <v>138033.83007694894</v>
      </c>
      <c r="N86" s="74">
        <f t="shared" si="8"/>
        <v>165483.23389260433</v>
      </c>
      <c r="O86" s="94">
        <f t="shared" si="9"/>
        <v>27449.403815655387</v>
      </c>
    </row>
    <row r="87" spans="1:15" ht="15" customHeight="1" x14ac:dyDescent="0.25">
      <c r="A87" s="75">
        <v>80</v>
      </c>
      <c r="B87" s="75">
        <v>518</v>
      </c>
      <c r="C87" s="75" t="s">
        <v>873</v>
      </c>
      <c r="D87" s="75" t="s">
        <v>182</v>
      </c>
      <c r="E87" s="75">
        <v>2400</v>
      </c>
      <c r="F87" s="148">
        <f>E87*(_xlfn.XLOOKUP(B87,'Ratio Master'!A:A,'Ratio Master'!G:G,""))</f>
        <v>364.67692307692323</v>
      </c>
      <c r="G87" s="70"/>
      <c r="H87" s="70">
        <f>IFERROR('SKU Master'!M84+0,0)</f>
        <v>240.58360927152319</v>
      </c>
      <c r="I87" s="150">
        <f t="shared" si="5"/>
        <v>364.67692307692323</v>
      </c>
      <c r="J87" s="70">
        <f>IFERROR('SKU Master'!N84+0,0)</f>
        <v>311.84867951463241</v>
      </c>
      <c r="K87" s="74">
        <f t="shared" si="6"/>
        <v>87735.290371879819</v>
      </c>
      <c r="L87" s="74">
        <f>I87*'SKU Master'!H84</f>
        <v>99556.485398832301</v>
      </c>
      <c r="M87" s="74">
        <f t="shared" si="7"/>
        <v>187291.77577071212</v>
      </c>
      <c r="N87" s="74">
        <f t="shared" si="8"/>
        <v>113724.01691099769</v>
      </c>
      <c r="O87" s="94">
        <f t="shared" si="9"/>
        <v>-73567.758859714435</v>
      </c>
    </row>
    <row r="88" spans="1:15" ht="15" customHeight="1" x14ac:dyDescent="0.25">
      <c r="A88" s="75">
        <v>81</v>
      </c>
      <c r="B88" s="75">
        <v>539</v>
      </c>
      <c r="C88" s="75" t="s">
        <v>876</v>
      </c>
      <c r="D88" s="75" t="s">
        <v>200</v>
      </c>
      <c r="E88" s="75">
        <v>26250</v>
      </c>
      <c r="F88" s="148">
        <f>E88*(_xlfn.XLOOKUP(B88,'Ratio Master'!A:A,'Ratio Master'!G:G,""))</f>
        <v>1374.2329393518023</v>
      </c>
      <c r="G88" s="70"/>
      <c r="H88" s="70">
        <f>IFERROR('SKU Master'!M85+0,0)</f>
        <v>0</v>
      </c>
      <c r="I88" s="150">
        <f t="shared" si="5"/>
        <v>1374.2329393518023</v>
      </c>
      <c r="J88" s="70">
        <f>IFERROR('SKU Master'!N85+0,0)</f>
        <v>368.61485234152974</v>
      </c>
      <c r="K88" s="74">
        <f t="shared" si="6"/>
        <v>0</v>
      </c>
      <c r="L88" s="74">
        <f>I88*'SKU Master'!H85</f>
        <v>385626.33399688092</v>
      </c>
      <c r="M88" s="74">
        <f t="shared" si="7"/>
        <v>385626.33399688092</v>
      </c>
      <c r="N88" s="74">
        <f t="shared" si="8"/>
        <v>506562.67202203098</v>
      </c>
      <c r="O88" s="94">
        <f t="shared" si="9"/>
        <v>120936.33802515006</v>
      </c>
    </row>
    <row r="89" spans="1:15" ht="15" customHeight="1" x14ac:dyDescent="0.25">
      <c r="A89" s="75">
        <v>82</v>
      </c>
      <c r="B89" s="75">
        <v>540</v>
      </c>
      <c r="C89" s="75" t="s">
        <v>876</v>
      </c>
      <c r="D89" s="75" t="s">
        <v>182</v>
      </c>
      <c r="E89" s="75">
        <v>189000</v>
      </c>
      <c r="F89" s="148">
        <f>E89*(_xlfn.XLOOKUP(B89,'Ratio Master'!A:A,'Ratio Master'!G:G,""))</f>
        <v>9502.2657792671489</v>
      </c>
      <c r="G89" s="70"/>
      <c r="H89" s="70">
        <f>IFERROR('SKU Master'!M86+0,0)</f>
        <v>0</v>
      </c>
      <c r="I89" s="150">
        <f t="shared" si="5"/>
        <v>9502.2657792671489</v>
      </c>
      <c r="J89" s="70">
        <f>IFERROR('SKU Master'!N86+0,0)</f>
        <v>402.89256198347107</v>
      </c>
      <c r="K89" s="74">
        <f t="shared" si="6"/>
        <v>0</v>
      </c>
      <c r="L89" s="74">
        <f>I89*'SKU Master'!H86</f>
        <v>1501571.2831661243</v>
      </c>
      <c r="M89" s="74">
        <f t="shared" si="7"/>
        <v>1501571.2831661243</v>
      </c>
      <c r="N89" s="74">
        <f t="shared" si="8"/>
        <v>3828392.2044568057</v>
      </c>
      <c r="O89" s="94">
        <f t="shared" si="9"/>
        <v>2326820.9212906817</v>
      </c>
    </row>
    <row r="90" spans="1:15" ht="15" customHeight="1" x14ac:dyDescent="0.25">
      <c r="A90" s="75">
        <v>83</v>
      </c>
      <c r="B90" s="75">
        <v>541</v>
      </c>
      <c r="C90" s="75" t="s">
        <v>876</v>
      </c>
      <c r="D90" s="75" t="s">
        <v>932</v>
      </c>
      <c r="E90" s="75">
        <v>0</v>
      </c>
      <c r="F90" s="148">
        <f>E90*(_xlfn.XLOOKUP(B90,'Ratio Master'!A:A,'Ratio Master'!G:G,""))</f>
        <v>0</v>
      </c>
      <c r="G90" s="70"/>
      <c r="H90" s="70">
        <f>IFERROR('SKU Master'!M87+0,0)</f>
        <v>260.16933333333333</v>
      </c>
      <c r="I90" s="150">
        <f t="shared" si="5"/>
        <v>0</v>
      </c>
      <c r="J90" s="70">
        <f>IFERROR('SKU Master'!N87+0,0)</f>
        <v>265.90393333333333</v>
      </c>
      <c r="K90" s="74">
        <f t="shared" si="6"/>
        <v>0</v>
      </c>
      <c r="L90" s="74">
        <f>I90*'SKU Master'!H87</f>
        <v>0</v>
      </c>
      <c r="M90" s="74">
        <f t="shared" si="7"/>
        <v>0</v>
      </c>
      <c r="N90" s="74">
        <f t="shared" si="8"/>
        <v>0</v>
      </c>
      <c r="O90" s="94">
        <f t="shared" si="9"/>
        <v>0</v>
      </c>
    </row>
    <row r="91" spans="1:15" ht="15" customHeight="1" x14ac:dyDescent="0.25">
      <c r="A91" s="75">
        <v>84</v>
      </c>
      <c r="B91" s="75">
        <v>551</v>
      </c>
      <c r="C91" s="75" t="s">
        <v>876</v>
      </c>
      <c r="D91" s="75" t="s">
        <v>193</v>
      </c>
      <c r="E91" s="75">
        <v>6750</v>
      </c>
      <c r="F91" s="148">
        <f>E91*(_xlfn.XLOOKUP(B91,'Ratio Master'!A:A,'Ratio Master'!G:G,""))</f>
        <v>310.25510204081644</v>
      </c>
      <c r="G91" s="70"/>
      <c r="H91" s="70">
        <f>IFERROR('SKU Master'!M88+0,0)</f>
        <v>0</v>
      </c>
      <c r="I91" s="150">
        <f t="shared" si="5"/>
        <v>310.25510204081644</v>
      </c>
      <c r="J91" s="70">
        <f>IFERROR('SKU Master'!N88+0,0)</f>
        <v>368.88314466529988</v>
      </c>
      <c r="K91" s="74">
        <f t="shared" si="6"/>
        <v>0</v>
      </c>
      <c r="L91" s="74">
        <f>I91*'SKU Master'!H88</f>
        <v>70395.098712464809</v>
      </c>
      <c r="M91" s="74">
        <f t="shared" si="7"/>
        <v>70395.098712464809</v>
      </c>
      <c r="N91" s="74">
        <f t="shared" si="8"/>
        <v>114447.87768926987</v>
      </c>
      <c r="O91" s="94">
        <f t="shared" si="9"/>
        <v>44052.778976805057</v>
      </c>
    </row>
    <row r="92" spans="1:15" ht="15" customHeight="1" x14ac:dyDescent="0.25">
      <c r="A92" s="75">
        <v>85</v>
      </c>
      <c r="B92" s="75">
        <v>553</v>
      </c>
      <c r="C92" s="75" t="s">
        <v>876</v>
      </c>
      <c r="D92" s="75" t="s">
        <v>185</v>
      </c>
      <c r="E92" s="75">
        <v>5250</v>
      </c>
      <c r="F92" s="148">
        <f>E92*(_xlfn.XLOOKUP(B92,'Ratio Master'!A:A,'Ratio Master'!G:G,""))</f>
        <v>263.54394353369776</v>
      </c>
      <c r="G92" s="70"/>
      <c r="H92" s="70">
        <f>IFERROR('SKU Master'!M89+0,0)</f>
        <v>0</v>
      </c>
      <c r="I92" s="150">
        <f t="shared" si="5"/>
        <v>263.54394353369776</v>
      </c>
      <c r="J92" s="70">
        <f>IFERROR('SKU Master'!N89+0,0)</f>
        <v>375</v>
      </c>
      <c r="K92" s="74">
        <f t="shared" si="6"/>
        <v>0</v>
      </c>
      <c r="L92" s="74">
        <f>I92*'SKU Master'!H89</f>
        <v>59551.783092335063</v>
      </c>
      <c r="M92" s="74">
        <f t="shared" si="7"/>
        <v>59551.783092335063</v>
      </c>
      <c r="N92" s="74">
        <f t="shared" si="8"/>
        <v>98828.978825136655</v>
      </c>
      <c r="O92" s="94">
        <f t="shared" si="9"/>
        <v>39277.195732801592</v>
      </c>
    </row>
    <row r="93" spans="1:15" ht="15" customHeight="1" x14ac:dyDescent="0.25">
      <c r="A93" s="75">
        <v>86</v>
      </c>
      <c r="B93" s="75">
        <v>555</v>
      </c>
      <c r="C93" s="75" t="s">
        <v>876</v>
      </c>
      <c r="D93" s="75" t="s">
        <v>187</v>
      </c>
      <c r="E93" s="75">
        <v>0</v>
      </c>
      <c r="F93" s="148">
        <f>E93*(_xlfn.XLOOKUP(B93,'Ratio Master'!A:A,'Ratio Master'!G:G,""))</f>
        <v>0</v>
      </c>
      <c r="G93" s="70"/>
      <c r="H93" s="70">
        <f>IFERROR('SKU Master'!M90+0,0)</f>
        <v>0</v>
      </c>
      <c r="I93" s="150">
        <f t="shared" si="5"/>
        <v>0</v>
      </c>
      <c r="J93" s="70">
        <f>IFERROR('SKU Master'!N90+0,0)</f>
        <v>702</v>
      </c>
      <c r="K93" s="74">
        <f t="shared" si="6"/>
        <v>0</v>
      </c>
      <c r="L93" s="74">
        <f>I93*'SKU Master'!H90</f>
        <v>0</v>
      </c>
      <c r="M93" s="74">
        <f t="shared" si="7"/>
        <v>0</v>
      </c>
      <c r="N93" s="74">
        <f t="shared" si="8"/>
        <v>0</v>
      </c>
      <c r="O93" s="94">
        <f t="shared" si="9"/>
        <v>0</v>
      </c>
    </row>
    <row r="94" spans="1:15" ht="15" customHeight="1" x14ac:dyDescent="0.25">
      <c r="A94" s="75">
        <v>87</v>
      </c>
      <c r="B94" s="75">
        <v>559</v>
      </c>
      <c r="C94" s="75" t="s">
        <v>878</v>
      </c>
      <c r="D94" s="75" t="s">
        <v>182</v>
      </c>
      <c r="E94" s="75">
        <v>3240</v>
      </c>
      <c r="F94" s="148">
        <f>E94*(_xlfn.XLOOKUP(B94,'Ratio Master'!A:A,'Ratio Master'!G:G,""))</f>
        <v>185.95705263157888</v>
      </c>
      <c r="G94" s="70"/>
      <c r="H94" s="70">
        <f>IFERROR('SKU Master'!M91+0,0)</f>
        <v>266.45517313526523</v>
      </c>
      <c r="I94" s="150">
        <f t="shared" si="5"/>
        <v>185.95705263157888</v>
      </c>
      <c r="J94" s="70">
        <f>IFERROR('SKU Master'!N91+0,0)</f>
        <v>268.05200835848615</v>
      </c>
      <c r="K94" s="74">
        <f t="shared" si="6"/>
        <v>49549.218654670978</v>
      </c>
      <c r="L94" s="74">
        <f>I94*'SKU Master'!H91</f>
        <v>45495.527950471158</v>
      </c>
      <c r="M94" s="74">
        <f t="shared" si="7"/>
        <v>95044.746605142136</v>
      </c>
      <c r="N94" s="74">
        <f t="shared" si="8"/>
        <v>49846.161426319428</v>
      </c>
      <c r="O94" s="94">
        <f t="shared" si="9"/>
        <v>-45198.585178822708</v>
      </c>
    </row>
    <row r="95" spans="1:15" ht="15" customHeight="1" x14ac:dyDescent="0.25">
      <c r="A95" s="75">
        <v>88</v>
      </c>
      <c r="B95" s="75">
        <v>565</v>
      </c>
      <c r="C95" s="75" t="s">
        <v>879</v>
      </c>
      <c r="D95" s="75" t="s">
        <v>201</v>
      </c>
      <c r="E95" s="75">
        <v>6750</v>
      </c>
      <c r="F95" s="148">
        <f>E95*(_xlfn.XLOOKUP(B95,'Ratio Master'!A:A,'Ratio Master'!G:G,""))</f>
        <v>485.96493506493505</v>
      </c>
      <c r="G95" s="70"/>
      <c r="H95" s="70">
        <f>IFERROR('SKU Master'!M92+0,0)</f>
        <v>0</v>
      </c>
      <c r="I95" s="150">
        <f t="shared" si="5"/>
        <v>485.96493506493505</v>
      </c>
      <c r="J95" s="70">
        <f>IFERROR('SKU Master'!N92+0,0)</f>
        <v>343.88100844196867</v>
      </c>
      <c r="K95" s="74">
        <f t="shared" si="6"/>
        <v>0</v>
      </c>
      <c r="L95" s="74">
        <f>I95*'SKU Master'!H92</f>
        <v>127433.32012736768</v>
      </c>
      <c r="M95" s="74">
        <f t="shared" si="7"/>
        <v>127433.32012736768</v>
      </c>
      <c r="N95" s="74">
        <f t="shared" si="8"/>
        <v>167114.1119375657</v>
      </c>
      <c r="O95" s="94">
        <f t="shared" si="9"/>
        <v>39680.791810198018</v>
      </c>
    </row>
    <row r="96" spans="1:15" ht="15" customHeight="1" x14ac:dyDescent="0.25">
      <c r="A96" s="75">
        <v>89</v>
      </c>
      <c r="B96" s="75">
        <v>566</v>
      </c>
      <c r="C96" s="75" t="s">
        <v>880</v>
      </c>
      <c r="D96" s="75" t="s">
        <v>188</v>
      </c>
      <c r="E96" s="75">
        <v>1350</v>
      </c>
      <c r="F96" s="148">
        <f>E96*(_xlfn.XLOOKUP(B96,'Ratio Master'!A:A,'Ratio Master'!G:G,""))</f>
        <v>57.474137931034498</v>
      </c>
      <c r="G96" s="70"/>
      <c r="H96" s="70">
        <f>IFERROR('SKU Master'!M93+0,0)</f>
        <v>280.00315308213783</v>
      </c>
      <c r="I96" s="150">
        <f t="shared" si="5"/>
        <v>57.474137931034498</v>
      </c>
      <c r="J96" s="70">
        <f>IFERROR('SKU Master'!N93+0,0)</f>
        <v>320.52550354160894</v>
      </c>
      <c r="K96" s="74">
        <f t="shared" si="6"/>
        <v>16092.939841367357</v>
      </c>
      <c r="L96" s="74">
        <f>I96*'SKU Master'!H93</f>
        <v>15820.536449119269</v>
      </c>
      <c r="M96" s="74">
        <f t="shared" si="7"/>
        <v>31913.476290486626</v>
      </c>
      <c r="N96" s="74">
        <f t="shared" si="8"/>
        <v>18421.927000964719</v>
      </c>
      <c r="O96" s="94">
        <f t="shared" si="9"/>
        <v>-13491.549289521907</v>
      </c>
    </row>
    <row r="97" spans="1:15" ht="15" customHeight="1" x14ac:dyDescent="0.25">
      <c r="A97" s="75">
        <v>90</v>
      </c>
      <c r="B97" s="75">
        <v>568</v>
      </c>
      <c r="C97" s="75" t="s">
        <v>880</v>
      </c>
      <c r="D97" s="75" t="s">
        <v>203</v>
      </c>
      <c r="E97" s="75">
        <v>20250</v>
      </c>
      <c r="F97" s="148">
        <f>E97*(_xlfn.XLOOKUP(B97,'Ratio Master'!A:A,'Ratio Master'!G:G,""))</f>
        <v>913.46936241541277</v>
      </c>
      <c r="G97" s="70"/>
      <c r="H97" s="70">
        <f>IFERROR('SKU Master'!M94+0,0)</f>
        <v>291.1869918699187</v>
      </c>
      <c r="I97" s="150">
        <f t="shared" si="5"/>
        <v>913.46936241541277</v>
      </c>
      <c r="J97" s="70">
        <f>IFERROR('SKU Master'!N94+0,0)</f>
        <v>316.44124363253121</v>
      </c>
      <c r="K97" s="74">
        <f t="shared" si="6"/>
        <v>265990.39580707659</v>
      </c>
      <c r="L97" s="74">
        <f>I97*'SKU Master'!H94</f>
        <v>257895.46490269419</v>
      </c>
      <c r="M97" s="74">
        <f t="shared" si="7"/>
        <v>523885.86070977082</v>
      </c>
      <c r="N97" s="74">
        <f t="shared" si="8"/>
        <v>289059.38106294861</v>
      </c>
      <c r="O97" s="94">
        <f t="shared" si="9"/>
        <v>-234826.4796468222</v>
      </c>
    </row>
    <row r="98" spans="1:15" ht="15" customHeight="1" x14ac:dyDescent="0.25">
      <c r="A98" s="75">
        <v>91</v>
      </c>
      <c r="B98" s="75">
        <v>574</v>
      </c>
      <c r="C98" s="75" t="s">
        <v>881</v>
      </c>
      <c r="D98" s="75" t="s">
        <v>200</v>
      </c>
      <c r="E98" s="75">
        <v>7200</v>
      </c>
      <c r="F98" s="148">
        <f>E98*(_xlfn.XLOOKUP(B98,'Ratio Master'!A:A,'Ratio Master'!G:G,""))</f>
        <v>570.51031578947345</v>
      </c>
      <c r="G98" s="70"/>
      <c r="H98" s="70">
        <f>IFERROR('SKU Master'!M95+0,0)</f>
        <v>0</v>
      </c>
      <c r="I98" s="150">
        <f t="shared" si="5"/>
        <v>570.51031578947345</v>
      </c>
      <c r="J98" s="70">
        <f>IFERROR('SKU Master'!N95+0,0)</f>
        <v>354.38778615023892</v>
      </c>
      <c r="K98" s="74">
        <f t="shared" si="6"/>
        <v>0</v>
      </c>
      <c r="L98" s="74">
        <f>I98*'SKU Master'!H95</f>
        <v>161069.46677802075</v>
      </c>
      <c r="M98" s="74">
        <f t="shared" si="7"/>
        <v>161069.46677802075</v>
      </c>
      <c r="N98" s="74">
        <f t="shared" si="8"/>
        <v>202181.88778850521</v>
      </c>
      <c r="O98" s="94">
        <f t="shared" si="9"/>
        <v>41112.421010484453</v>
      </c>
    </row>
    <row r="99" spans="1:15" ht="15" customHeight="1" x14ac:dyDescent="0.25">
      <c r="A99" s="75">
        <v>92</v>
      </c>
      <c r="B99" s="75">
        <v>576</v>
      </c>
      <c r="C99" s="75" t="s">
        <v>881</v>
      </c>
      <c r="D99" s="75" t="s">
        <v>188</v>
      </c>
      <c r="E99" s="75">
        <v>1800</v>
      </c>
      <c r="F99" s="148">
        <f>E99*(_xlfn.XLOOKUP(B99,'Ratio Master'!A:A,'Ratio Master'!G:G,""))</f>
        <v>135.93333333333331</v>
      </c>
      <c r="G99" s="70"/>
      <c r="H99" s="70">
        <f>IFERROR('SKU Master'!M96+0,0)</f>
        <v>0</v>
      </c>
      <c r="I99" s="150">
        <f t="shared" si="5"/>
        <v>135.93333333333331</v>
      </c>
      <c r="J99" s="70">
        <f>IFERROR('SKU Master'!N96+0,0)</f>
        <v>344.87056567593481</v>
      </c>
      <c r="K99" s="74">
        <f t="shared" si="6"/>
        <v>0</v>
      </c>
      <c r="L99" s="74">
        <f>I99*'SKU Master'!H96</f>
        <v>35694.182161103585</v>
      </c>
      <c r="M99" s="74">
        <f t="shared" si="7"/>
        <v>35694.182161103585</v>
      </c>
      <c r="N99" s="74">
        <f t="shared" si="8"/>
        <v>46879.405560882064</v>
      </c>
      <c r="O99" s="94">
        <f t="shared" si="9"/>
        <v>11185.223399778479</v>
      </c>
    </row>
    <row r="100" spans="1:15" ht="15" customHeight="1" x14ac:dyDescent="0.25">
      <c r="A100" s="75">
        <v>93</v>
      </c>
      <c r="B100" s="75">
        <v>577</v>
      </c>
      <c r="C100" s="75" t="s">
        <v>882</v>
      </c>
      <c r="D100" s="75" t="s">
        <v>200</v>
      </c>
      <c r="E100" s="75">
        <v>2700</v>
      </c>
      <c r="F100" s="148">
        <f>E100*(_xlfn.XLOOKUP(B100,'Ratio Master'!A:A,'Ratio Master'!G:G,""))</f>
        <v>292.50960000000026</v>
      </c>
      <c r="G100" s="70"/>
      <c r="H100" s="70">
        <f>IFERROR('SKU Master'!M97+0,0)</f>
        <v>0</v>
      </c>
      <c r="I100" s="150">
        <f t="shared" si="5"/>
        <v>292.50960000000026</v>
      </c>
      <c r="J100" s="70">
        <f>IFERROR('SKU Master'!N97+0,0)</f>
        <v>313.94156842644799</v>
      </c>
      <c r="K100" s="74">
        <f t="shared" si="6"/>
        <v>0</v>
      </c>
      <c r="L100" s="74">
        <f>I100*'SKU Master'!H97</f>
        <v>73709.850829874078</v>
      </c>
      <c r="M100" s="74">
        <f t="shared" si="7"/>
        <v>73709.850829874078</v>
      </c>
      <c r="N100" s="74">
        <f t="shared" si="8"/>
        <v>91830.922603793006</v>
      </c>
      <c r="O100" s="94">
        <f t="shared" si="9"/>
        <v>18121.071773918928</v>
      </c>
    </row>
    <row r="101" spans="1:15" ht="15" customHeight="1" x14ac:dyDescent="0.25">
      <c r="A101" s="75">
        <v>94</v>
      </c>
      <c r="B101" s="75">
        <v>578</v>
      </c>
      <c r="C101" s="75" t="s">
        <v>882</v>
      </c>
      <c r="D101" s="75" t="s">
        <v>182</v>
      </c>
      <c r="E101" s="75">
        <v>18000</v>
      </c>
      <c r="F101" s="148">
        <f>E101*(_xlfn.XLOOKUP(B101,'Ratio Master'!A:A,'Ratio Master'!G:G,""))</f>
        <v>1784.1400588913077</v>
      </c>
      <c r="G101" s="70"/>
      <c r="H101" s="70">
        <f>IFERROR('SKU Master'!M98+0,0)</f>
        <v>0</v>
      </c>
      <c r="I101" s="150">
        <f t="shared" si="5"/>
        <v>1784.1400588913077</v>
      </c>
      <c r="J101" s="70">
        <f>IFERROR('SKU Master'!N98+0,0)</f>
        <v>352.41775456919061</v>
      </c>
      <c r="K101" s="74">
        <f t="shared" si="6"/>
        <v>0</v>
      </c>
      <c r="L101" s="74">
        <f>I101*'SKU Master'!H98</f>
        <v>454900.22941000533</v>
      </c>
      <c r="M101" s="74">
        <f t="shared" si="7"/>
        <v>454900.22941000533</v>
      </c>
      <c r="N101" s="74">
        <f t="shared" si="8"/>
        <v>628762.63339141815</v>
      </c>
      <c r="O101" s="94">
        <f t="shared" si="9"/>
        <v>173862.40398141282</v>
      </c>
    </row>
    <row r="102" spans="1:15" ht="15" customHeight="1" x14ac:dyDescent="0.25">
      <c r="A102" s="75">
        <v>95</v>
      </c>
      <c r="B102" s="75">
        <v>587</v>
      </c>
      <c r="C102" s="75" t="s">
        <v>883</v>
      </c>
      <c r="D102" s="75" t="s">
        <v>188</v>
      </c>
      <c r="E102" s="75">
        <v>6750</v>
      </c>
      <c r="F102" s="148">
        <f>E102*(_xlfn.XLOOKUP(B102,'Ratio Master'!A:A,'Ratio Master'!G:G,""))</f>
        <v>893.8540031397165</v>
      </c>
      <c r="G102" s="70"/>
      <c r="H102" s="70">
        <f>IFERROR('SKU Master'!M99+0,0)</f>
        <v>0</v>
      </c>
      <c r="I102" s="150">
        <f t="shared" si="5"/>
        <v>893.8540031397165</v>
      </c>
      <c r="J102" s="70">
        <f>IFERROR('SKU Master'!N99+0,0)</f>
        <v>301.79815324801558</v>
      </c>
      <c r="K102" s="74">
        <f t="shared" si="6"/>
        <v>0</v>
      </c>
      <c r="L102" s="74">
        <f>I102*'SKU Master'!H99</f>
        <v>247275.40335956041</v>
      </c>
      <c r="M102" s="74">
        <f t="shared" si="7"/>
        <v>247275.40335956041</v>
      </c>
      <c r="N102" s="74">
        <f t="shared" si="8"/>
        <v>269763.48742091237</v>
      </c>
      <c r="O102" s="94">
        <f t="shared" si="9"/>
        <v>22488.084061351954</v>
      </c>
    </row>
    <row r="103" spans="1:15" ht="15" customHeight="1" x14ac:dyDescent="0.25">
      <c r="A103" s="75">
        <v>96</v>
      </c>
      <c r="B103" s="75">
        <v>588</v>
      </c>
      <c r="C103" s="75" t="s">
        <v>883</v>
      </c>
      <c r="D103" s="75" t="s">
        <v>884</v>
      </c>
      <c r="E103" s="75">
        <v>6750</v>
      </c>
      <c r="F103" s="148">
        <f>E103*(_xlfn.XLOOKUP(B103,'Ratio Master'!A:A,'Ratio Master'!G:G,""))</f>
        <v>904.83927527761432</v>
      </c>
      <c r="G103" s="70"/>
      <c r="H103" s="70">
        <f>IFERROR('SKU Master'!M100+0,0)</f>
        <v>0</v>
      </c>
      <c r="I103" s="150">
        <f t="shared" si="5"/>
        <v>904.83927527761432</v>
      </c>
      <c r="J103" s="70">
        <f>IFERROR('SKU Master'!N100+0,0)</f>
        <v>365.85365853658539</v>
      </c>
      <c r="K103" s="74">
        <f t="shared" si="6"/>
        <v>0</v>
      </c>
      <c r="L103" s="74">
        <f>I103*'SKU Master'!H100</f>
        <v>242104.85036794964</v>
      </c>
      <c r="M103" s="74">
        <f t="shared" si="7"/>
        <v>242104.85036794964</v>
      </c>
      <c r="N103" s="74">
        <f t="shared" si="8"/>
        <v>331038.75924790767</v>
      </c>
      <c r="O103" s="94">
        <f t="shared" si="9"/>
        <v>88933.908879958035</v>
      </c>
    </row>
    <row r="104" spans="1:15" ht="15" customHeight="1" x14ac:dyDescent="0.25">
      <c r="A104" s="75">
        <v>97</v>
      </c>
      <c r="B104" s="75">
        <v>590</v>
      </c>
      <c r="C104" s="75" t="s">
        <v>883</v>
      </c>
      <c r="D104" s="75" t="s">
        <v>204</v>
      </c>
      <c r="E104" s="75">
        <v>6750</v>
      </c>
      <c r="F104" s="148">
        <f>E104*(_xlfn.XLOOKUP(B104,'Ratio Master'!A:A,'Ratio Master'!G:G,""))</f>
        <v>879.05271565495343</v>
      </c>
      <c r="G104" s="70"/>
      <c r="H104" s="70">
        <f>IFERROR('SKU Master'!M101+0,0)</f>
        <v>0</v>
      </c>
      <c r="I104" s="150">
        <f t="shared" si="5"/>
        <v>879.05271565495343</v>
      </c>
      <c r="J104" s="70">
        <f>IFERROR('SKU Master'!N101+0,0)</f>
        <v>347.30538922155688</v>
      </c>
      <c r="K104" s="74">
        <f t="shared" si="6"/>
        <v>0</v>
      </c>
      <c r="L104" s="74">
        <f>I104*'SKU Master'!H101</f>
        <v>226452.66959863759</v>
      </c>
      <c r="M104" s="74">
        <f t="shared" si="7"/>
        <v>226452.66959863759</v>
      </c>
      <c r="N104" s="74">
        <f t="shared" si="8"/>
        <v>305299.74555681017</v>
      </c>
      <c r="O104" s="94">
        <f t="shared" si="9"/>
        <v>78847.075958172587</v>
      </c>
    </row>
    <row r="105" spans="1:15" ht="15" customHeight="1" x14ac:dyDescent="0.25">
      <c r="A105" s="75">
        <v>98</v>
      </c>
      <c r="B105" s="75">
        <v>594</v>
      </c>
      <c r="C105" s="75" t="s">
        <v>883</v>
      </c>
      <c r="D105" s="75" t="s">
        <v>199</v>
      </c>
      <c r="E105" s="75">
        <v>9000</v>
      </c>
      <c r="F105" s="148">
        <f>E105*(_xlfn.XLOOKUP(B105,'Ratio Master'!A:A,'Ratio Master'!G:G,""))</f>
        <v>1185.8951798010721</v>
      </c>
      <c r="G105" s="70"/>
      <c r="H105" s="70">
        <f>IFERROR('SKU Master'!M102+0,0)</f>
        <v>0</v>
      </c>
      <c r="I105" s="150">
        <f t="shared" si="5"/>
        <v>1185.8951798010721</v>
      </c>
      <c r="J105" s="70">
        <f>IFERROR('SKU Master'!N102+0,0)</f>
        <v>301.30192188468692</v>
      </c>
      <c r="K105" s="74">
        <f t="shared" si="6"/>
        <v>0</v>
      </c>
      <c r="L105" s="74">
        <f>I105*'SKU Master'!H102</f>
        <v>305498.3217133024</v>
      </c>
      <c r="M105" s="74">
        <f t="shared" si="7"/>
        <v>305498.3217133024</v>
      </c>
      <c r="N105" s="74">
        <f t="shared" si="8"/>
        <v>357312.49682784936</v>
      </c>
      <c r="O105" s="94">
        <f t="shared" si="9"/>
        <v>51814.175114546961</v>
      </c>
    </row>
    <row r="106" spans="1:15" ht="15" customHeight="1" x14ac:dyDescent="0.25">
      <c r="A106" s="75">
        <v>99</v>
      </c>
      <c r="B106" s="75">
        <v>596</v>
      </c>
      <c r="C106" s="75" t="s">
        <v>885</v>
      </c>
      <c r="D106" s="75" t="s">
        <v>182</v>
      </c>
      <c r="E106" s="75">
        <v>0</v>
      </c>
      <c r="F106" s="148">
        <f>E106*(_xlfn.XLOOKUP(B106,'Ratio Master'!A:A,'Ratio Master'!G:G,""))</f>
        <v>0</v>
      </c>
      <c r="G106" s="70"/>
      <c r="H106" s="70">
        <f>IFERROR('SKU Master'!M103+0,0)</f>
        <v>0</v>
      </c>
      <c r="I106" s="150">
        <f t="shared" si="5"/>
        <v>0</v>
      </c>
      <c r="J106" s="70">
        <f>IFERROR('SKU Master'!N103+0,0)</f>
        <v>380.19801980198019</v>
      </c>
      <c r="K106" s="74">
        <f t="shared" si="6"/>
        <v>0</v>
      </c>
      <c r="L106" s="74">
        <f>I106*'SKU Master'!H103</f>
        <v>0</v>
      </c>
      <c r="M106" s="74">
        <f t="shared" si="7"/>
        <v>0</v>
      </c>
      <c r="N106" s="74">
        <f t="shared" si="8"/>
        <v>0</v>
      </c>
      <c r="O106" s="94">
        <f t="shared" si="9"/>
        <v>0</v>
      </c>
    </row>
    <row r="107" spans="1:15" ht="15" customHeight="1" x14ac:dyDescent="0.25">
      <c r="A107" s="75">
        <v>100</v>
      </c>
      <c r="B107" s="75">
        <v>600</v>
      </c>
      <c r="C107" s="75" t="s">
        <v>886</v>
      </c>
      <c r="D107" s="75" t="s">
        <v>182</v>
      </c>
      <c r="E107" s="75">
        <v>13500</v>
      </c>
      <c r="F107" s="148">
        <f>E107*(_xlfn.XLOOKUP(B107,'Ratio Master'!A:A,'Ratio Master'!G:G,""))</f>
        <v>672.07939024390294</v>
      </c>
      <c r="G107" s="70"/>
      <c r="H107" s="70">
        <f>IFERROR('SKU Master'!M104+0,0)</f>
        <v>0</v>
      </c>
      <c r="I107" s="150">
        <f t="shared" si="5"/>
        <v>672.07939024390294</v>
      </c>
      <c r="J107" s="70">
        <f>IFERROR('SKU Master'!N104+0,0)</f>
        <v>489.28615158564952</v>
      </c>
      <c r="K107" s="74">
        <f t="shared" si="6"/>
        <v>0</v>
      </c>
      <c r="L107" s="74">
        <f>I107*'SKU Master'!H104</f>
        <v>106203.62930701725</v>
      </c>
      <c r="M107" s="74">
        <f t="shared" si="7"/>
        <v>106203.62930701725</v>
      </c>
      <c r="N107" s="74">
        <f t="shared" si="8"/>
        <v>328839.13841246918</v>
      </c>
      <c r="O107" s="94">
        <f t="shared" si="9"/>
        <v>222635.50910545193</v>
      </c>
    </row>
    <row r="108" spans="1:15" ht="15" customHeight="1" x14ac:dyDescent="0.25">
      <c r="A108" s="75">
        <v>101</v>
      </c>
      <c r="B108" s="75">
        <v>608</v>
      </c>
      <c r="C108" s="75" t="s">
        <v>886</v>
      </c>
      <c r="D108" s="75" t="s">
        <v>187</v>
      </c>
      <c r="E108" s="75">
        <v>16200</v>
      </c>
      <c r="F108" s="148">
        <f>E108*(_xlfn.XLOOKUP(B108,'Ratio Master'!A:A,'Ratio Master'!G:G,""))</f>
        <v>803.11930294906153</v>
      </c>
      <c r="G108" s="70"/>
      <c r="H108" s="70">
        <f>IFERROR('SKU Master'!M105+0,0)</f>
        <v>0</v>
      </c>
      <c r="I108" s="150">
        <f t="shared" si="5"/>
        <v>803.11930294906153</v>
      </c>
      <c r="J108" s="70">
        <f>IFERROR('SKU Master'!N105+0,0)</f>
        <v>493.15068493150682</v>
      </c>
      <c r="K108" s="74">
        <f t="shared" si="6"/>
        <v>0</v>
      </c>
      <c r="L108" s="74">
        <f>I108*'SKU Master'!H105</f>
        <v>216017.02819202241</v>
      </c>
      <c r="M108" s="74">
        <f t="shared" si="7"/>
        <v>216017.02819202241</v>
      </c>
      <c r="N108" s="74">
        <f t="shared" si="8"/>
        <v>396058.834331044</v>
      </c>
      <c r="O108" s="94">
        <f t="shared" si="9"/>
        <v>180041.80613902159</v>
      </c>
    </row>
    <row r="109" spans="1:15" ht="15" customHeight="1" x14ac:dyDescent="0.25">
      <c r="A109" s="75">
        <v>102</v>
      </c>
      <c r="B109" s="75">
        <v>612</v>
      </c>
      <c r="C109" s="75" t="s">
        <v>887</v>
      </c>
      <c r="D109" s="75" t="s">
        <v>187</v>
      </c>
      <c r="E109" s="75">
        <v>4500</v>
      </c>
      <c r="F109" s="148">
        <f>E109*(_xlfn.XLOOKUP(B109,'Ratio Master'!A:A,'Ratio Master'!G:G,""))</f>
        <v>256.95488721804526</v>
      </c>
      <c r="G109" s="70"/>
      <c r="H109" s="70">
        <f>IFERROR('SKU Master'!M106+0,0)</f>
        <v>0</v>
      </c>
      <c r="I109" s="150">
        <f t="shared" si="5"/>
        <v>256.95488721804526</v>
      </c>
      <c r="J109" s="70">
        <f>IFERROR('SKU Master'!N106+0,0)</f>
        <v>445.90909090909093</v>
      </c>
      <c r="K109" s="74">
        <f t="shared" si="6"/>
        <v>0</v>
      </c>
      <c r="L109" s="74">
        <f>I109*'SKU Master'!H106</f>
        <v>74457.448829105895</v>
      </c>
      <c r="M109" s="74">
        <f t="shared" si="7"/>
        <v>74457.448829105895</v>
      </c>
      <c r="N109" s="74">
        <f t="shared" si="8"/>
        <v>114578.52016404655</v>
      </c>
      <c r="O109" s="94">
        <f t="shared" si="9"/>
        <v>40121.071334940658</v>
      </c>
    </row>
    <row r="110" spans="1:15" ht="15" customHeight="1" x14ac:dyDescent="0.25">
      <c r="A110" s="75">
        <v>103</v>
      </c>
      <c r="B110" s="75">
        <v>619</v>
      </c>
      <c r="C110" s="75" t="s">
        <v>888</v>
      </c>
      <c r="D110" s="75" t="s">
        <v>187</v>
      </c>
      <c r="E110" s="75">
        <v>0</v>
      </c>
      <c r="F110" s="148">
        <f>E110*(_xlfn.XLOOKUP(B110,'Ratio Master'!A:A,'Ratio Master'!G:G,""))</f>
        <v>0</v>
      </c>
      <c r="G110" s="70"/>
      <c r="H110" s="70">
        <f>IFERROR('SKU Master'!M107+0,0)</f>
        <v>0</v>
      </c>
      <c r="I110" s="150">
        <f t="shared" si="5"/>
        <v>0</v>
      </c>
      <c r="J110" s="70">
        <f>IFERROR('SKU Master'!N107+0,0)</f>
        <v>405.13571048430015</v>
      </c>
      <c r="K110" s="74">
        <f t="shared" si="6"/>
        <v>0</v>
      </c>
      <c r="L110" s="74">
        <f>I110*'SKU Master'!H107</f>
        <v>0</v>
      </c>
      <c r="M110" s="74">
        <f t="shared" si="7"/>
        <v>0</v>
      </c>
      <c r="N110" s="74">
        <f t="shared" si="8"/>
        <v>0</v>
      </c>
      <c r="O110" s="94">
        <f t="shared" si="9"/>
        <v>0</v>
      </c>
    </row>
    <row r="111" spans="1:15" ht="15" customHeight="1" x14ac:dyDescent="0.25">
      <c r="A111" s="75">
        <v>104</v>
      </c>
      <c r="B111" s="75">
        <v>621</v>
      </c>
      <c r="C111" s="75" t="s">
        <v>889</v>
      </c>
      <c r="D111" s="75" t="s">
        <v>182</v>
      </c>
      <c r="E111" s="75">
        <v>450</v>
      </c>
      <c r="F111" s="148">
        <f>E111*(_xlfn.XLOOKUP(B111,'Ratio Master'!A:A,'Ratio Master'!G:G,""))</f>
        <v>30.307499999999997</v>
      </c>
      <c r="G111" s="70"/>
      <c r="H111" s="70">
        <f>IFERROR('SKU Master'!M108+0,0)</f>
        <v>250.79548741683541</v>
      </c>
      <c r="I111" s="150">
        <f t="shared" si="5"/>
        <v>30.307499999999997</v>
      </c>
      <c r="J111" s="70">
        <f>IFERROR('SKU Master'!N108+0,0)</f>
        <v>279.29292929292933</v>
      </c>
      <c r="K111" s="74">
        <f t="shared" si="6"/>
        <v>7600.9842348857383</v>
      </c>
      <c r="L111" s="74">
        <f>I111*'SKU Master'!H108</f>
        <v>4789.2652891116168</v>
      </c>
      <c r="M111" s="74">
        <f t="shared" si="7"/>
        <v>12390.249523997354</v>
      </c>
      <c r="N111" s="74">
        <f t="shared" si="8"/>
        <v>8464.670454545454</v>
      </c>
      <c r="O111" s="94">
        <f t="shared" si="9"/>
        <v>-3925.5790694519001</v>
      </c>
    </row>
    <row r="112" spans="1:15" ht="15" customHeight="1" x14ac:dyDescent="0.25">
      <c r="A112" s="75">
        <v>105</v>
      </c>
      <c r="B112" s="75">
        <v>626</v>
      </c>
      <c r="C112" s="75" t="s">
        <v>890</v>
      </c>
      <c r="D112" s="75" t="s">
        <v>182</v>
      </c>
      <c r="E112" s="75">
        <v>600</v>
      </c>
      <c r="F112" s="148">
        <f>E112*(_xlfn.XLOOKUP(B112,'Ratio Master'!A:A,'Ratio Master'!G:G,""))</f>
        <v>100.06122448979579</v>
      </c>
      <c r="G112" s="70"/>
      <c r="H112" s="70">
        <f>IFERROR('SKU Master'!M109+0,0)</f>
        <v>0</v>
      </c>
      <c r="I112" s="150">
        <f t="shared" si="5"/>
        <v>100.06122448979579</v>
      </c>
      <c r="J112" s="70">
        <f>IFERROR('SKU Master'!N109+0,0)</f>
        <v>357.79816513761466</v>
      </c>
      <c r="K112" s="74">
        <f t="shared" si="6"/>
        <v>0</v>
      </c>
      <c r="L112" s="74">
        <f>I112*'SKU Master'!H109</f>
        <v>21617.35843467318</v>
      </c>
      <c r="M112" s="74">
        <f t="shared" si="7"/>
        <v>21617.35843467318</v>
      </c>
      <c r="N112" s="74">
        <f t="shared" si="8"/>
        <v>35801.722523871889</v>
      </c>
      <c r="O112" s="94">
        <f t="shared" si="9"/>
        <v>14184.364089198709</v>
      </c>
    </row>
    <row r="113" spans="1:15" ht="15" customHeight="1" x14ac:dyDescent="0.25">
      <c r="A113" s="75">
        <v>106</v>
      </c>
      <c r="B113" s="75">
        <v>639</v>
      </c>
      <c r="C113" s="75" t="s">
        <v>894</v>
      </c>
      <c r="D113" s="75" t="s">
        <v>187</v>
      </c>
      <c r="E113" s="75">
        <v>10800</v>
      </c>
      <c r="F113" s="148">
        <f>E113*(_xlfn.XLOOKUP(B113,'Ratio Master'!A:A,'Ratio Master'!G:G,""))</f>
        <v>1097.6915917503973</v>
      </c>
      <c r="G113" s="70"/>
      <c r="H113" s="70">
        <f>IFERROR('SKU Master'!M110+0,0)</f>
        <v>298.45811712379538</v>
      </c>
      <c r="I113" s="150">
        <f t="shared" si="5"/>
        <v>1097.6915917503973</v>
      </c>
      <c r="J113" s="70">
        <f>IFERROR('SKU Master'!N110+0,0)</f>
        <v>371.2527798369162</v>
      </c>
      <c r="K113" s="74">
        <f t="shared" si="6"/>
        <v>327614.96565644542</v>
      </c>
      <c r="L113" s="74">
        <f>I113*'SKU Master'!H110</f>
        <v>173459.91053435148</v>
      </c>
      <c r="M113" s="74">
        <f t="shared" si="7"/>
        <v>501074.8761907969</v>
      </c>
      <c r="N113" s="74">
        <f t="shared" si="8"/>
        <v>407521.05484094436</v>
      </c>
      <c r="O113" s="94">
        <f t="shared" si="9"/>
        <v>-93553.821349852544</v>
      </c>
    </row>
    <row r="114" spans="1:15" ht="15" customHeight="1" x14ac:dyDescent="0.25">
      <c r="A114" s="75">
        <v>107</v>
      </c>
      <c r="B114" s="75">
        <v>647</v>
      </c>
      <c r="C114" s="75" t="s">
        <v>898</v>
      </c>
      <c r="D114" s="75" t="s">
        <v>187</v>
      </c>
      <c r="E114" s="75">
        <v>0</v>
      </c>
      <c r="F114" s="148">
        <f>E114*(_xlfn.XLOOKUP(B114,'Ratio Master'!A:A,'Ratio Master'!G:G,""))</f>
        <v>0</v>
      </c>
      <c r="G114" s="70"/>
      <c r="H114" s="70">
        <f>IFERROR('SKU Master'!M111+0,0)</f>
        <v>250</v>
      </c>
      <c r="I114" s="150">
        <f t="shared" si="5"/>
        <v>0</v>
      </c>
      <c r="J114" s="70">
        <f>IFERROR('SKU Master'!N111+0,0)</f>
        <v>265</v>
      </c>
      <c r="K114" s="74">
        <f t="shared" si="6"/>
        <v>0</v>
      </c>
      <c r="L114" s="74">
        <f>I114*'SKU Master'!H111</f>
        <v>0</v>
      </c>
      <c r="M114" s="74">
        <f t="shared" si="7"/>
        <v>0</v>
      </c>
      <c r="N114" s="74">
        <f t="shared" si="8"/>
        <v>0</v>
      </c>
      <c r="O114" s="94">
        <f t="shared" si="9"/>
        <v>0</v>
      </c>
    </row>
    <row r="115" spans="1:15" ht="15" customHeight="1" x14ac:dyDescent="0.25">
      <c r="A115" s="75">
        <v>108</v>
      </c>
      <c r="B115" s="75">
        <v>651</v>
      </c>
      <c r="C115" s="75" t="s">
        <v>899</v>
      </c>
      <c r="D115" s="75" t="s">
        <v>187</v>
      </c>
      <c r="E115" s="75">
        <v>10800</v>
      </c>
      <c r="F115" s="148">
        <f>E115*(_xlfn.XLOOKUP(B115,'Ratio Master'!A:A,'Ratio Master'!G:G,""))</f>
        <v>725.49335885167477</v>
      </c>
      <c r="G115" s="70"/>
      <c r="H115" s="70">
        <f>IFERROR('SKU Master'!M112+0,0)</f>
        <v>260.68965517241378</v>
      </c>
      <c r="I115" s="150">
        <f t="shared" si="5"/>
        <v>725.49335885167477</v>
      </c>
      <c r="J115" s="70">
        <f>IFERROR('SKU Master'!N112+0,0)</f>
        <v>0</v>
      </c>
      <c r="K115" s="74">
        <f t="shared" si="6"/>
        <v>189128.61354891935</v>
      </c>
      <c r="L115" s="74">
        <f>I115*'SKU Master'!H112</f>
        <v>114644.23528926255</v>
      </c>
      <c r="M115" s="74">
        <f t="shared" si="7"/>
        <v>303772.84883818193</v>
      </c>
      <c r="N115" s="74">
        <f t="shared" si="8"/>
        <v>0</v>
      </c>
      <c r="O115" s="94">
        <f t="shared" si="9"/>
        <v>-303772.84883818193</v>
      </c>
    </row>
    <row r="116" spans="1:15" ht="15" customHeight="1" x14ac:dyDescent="0.25">
      <c r="A116" s="75">
        <v>109</v>
      </c>
      <c r="B116" s="75">
        <v>653</v>
      </c>
      <c r="C116" s="75" t="s">
        <v>899</v>
      </c>
      <c r="D116" s="75" t="s">
        <v>901</v>
      </c>
      <c r="E116" s="75">
        <v>0</v>
      </c>
      <c r="F116" s="148">
        <f>E116*(_xlfn.XLOOKUP(B116,'Ratio Master'!A:A,'Ratio Master'!G:G,""))</f>
        <v>0</v>
      </c>
      <c r="G116" s="70"/>
      <c r="H116" s="70">
        <f>IFERROR('SKU Master'!M113+0,0)</f>
        <v>0</v>
      </c>
      <c r="I116" s="150">
        <f t="shared" si="5"/>
        <v>0</v>
      </c>
      <c r="J116" s="70">
        <f>IFERROR('SKU Master'!N113+0,0)</f>
        <v>0</v>
      </c>
      <c r="K116" s="74">
        <f t="shared" si="6"/>
        <v>0</v>
      </c>
      <c r="L116" s="74">
        <f>I116*'SKU Master'!H113</f>
        <v>0</v>
      </c>
      <c r="M116" s="74">
        <f t="shared" si="7"/>
        <v>0</v>
      </c>
      <c r="N116" s="74">
        <f t="shared" si="8"/>
        <v>0</v>
      </c>
      <c r="O116" s="94">
        <f t="shared" si="9"/>
        <v>0</v>
      </c>
    </row>
    <row r="117" spans="1:15" ht="15" customHeight="1" x14ac:dyDescent="0.25">
      <c r="A117" s="75">
        <v>110</v>
      </c>
      <c r="B117" s="75">
        <v>658</v>
      </c>
      <c r="C117" s="75" t="s">
        <v>899</v>
      </c>
      <c r="D117" s="75" t="s">
        <v>933</v>
      </c>
      <c r="E117" s="75">
        <v>12000</v>
      </c>
      <c r="F117" s="148">
        <f>E117*(_xlfn.XLOOKUP(B117,'Ratio Master'!A:A,'Ratio Master'!G:G,""))</f>
        <v>460.58923512747845</v>
      </c>
      <c r="G117" s="70"/>
      <c r="H117" s="70">
        <f>IFERROR('SKU Master'!M114+0,0)</f>
        <v>0</v>
      </c>
      <c r="I117" s="150">
        <f t="shared" si="5"/>
        <v>460.58923512747845</v>
      </c>
      <c r="J117" s="70">
        <f>IFERROR('SKU Master'!N114+0,0)</f>
        <v>0</v>
      </c>
      <c r="K117" s="74">
        <f t="shared" si="6"/>
        <v>0</v>
      </c>
      <c r="L117" s="74">
        <f>I117*'SKU Master'!H114</f>
        <v>0</v>
      </c>
      <c r="M117" s="74">
        <f t="shared" si="7"/>
        <v>0</v>
      </c>
      <c r="N117" s="74">
        <f t="shared" si="8"/>
        <v>0</v>
      </c>
      <c r="O117" s="94">
        <f t="shared" si="9"/>
        <v>0</v>
      </c>
    </row>
    <row r="118" spans="1:15" ht="15" customHeight="1" x14ac:dyDescent="0.25">
      <c r="A118" s="75">
        <v>111</v>
      </c>
      <c r="B118" s="75">
        <v>661</v>
      </c>
      <c r="C118" s="75" t="s">
        <v>902</v>
      </c>
      <c r="D118" s="75" t="s">
        <v>187</v>
      </c>
      <c r="E118" s="75">
        <v>30000</v>
      </c>
      <c r="F118" s="148">
        <f>E118*(_xlfn.XLOOKUP(B118,'Ratio Master'!A:A,'Ratio Master'!G:G,""))</f>
        <v>1086.0575734604429</v>
      </c>
      <c r="G118" s="70"/>
      <c r="H118" s="70">
        <f>IFERROR('SKU Master'!M115+0,0)</f>
        <v>0</v>
      </c>
      <c r="I118" s="150">
        <f t="shared" si="5"/>
        <v>1086.0575734604429</v>
      </c>
      <c r="J118" s="70">
        <f>IFERROR('SKU Master'!N115+0,0)</f>
        <v>0</v>
      </c>
      <c r="K118" s="74">
        <f t="shared" si="6"/>
        <v>0</v>
      </c>
      <c r="L118" s="74">
        <f>I118*'SKU Master'!H115</f>
        <v>0</v>
      </c>
      <c r="M118" s="74">
        <f t="shared" si="7"/>
        <v>0</v>
      </c>
      <c r="N118" s="74">
        <f t="shared" si="8"/>
        <v>0</v>
      </c>
      <c r="O118" s="94">
        <f t="shared" si="9"/>
        <v>0</v>
      </c>
    </row>
    <row r="119" spans="1:15" ht="15" customHeight="1" x14ac:dyDescent="0.25">
      <c r="A119" s="75">
        <v>112</v>
      </c>
      <c r="B119" s="75">
        <v>665</v>
      </c>
      <c r="C119" s="75" t="s">
        <v>903</v>
      </c>
      <c r="D119" s="75" t="s">
        <v>200</v>
      </c>
      <c r="E119" s="75">
        <v>2250</v>
      </c>
      <c r="F119" s="148">
        <f>E119*(_xlfn.XLOOKUP(B119,'Ratio Master'!A:A,'Ratio Master'!G:G,""))</f>
        <v>150.62618296529979</v>
      </c>
      <c r="G119" s="70"/>
      <c r="H119" s="70">
        <f>IFERROR('SKU Master'!M116+0,0)</f>
        <v>0</v>
      </c>
      <c r="I119" s="150">
        <f t="shared" si="5"/>
        <v>150.62618296529979</v>
      </c>
      <c r="J119" s="70">
        <f>IFERROR('SKU Master'!N116+0,0)</f>
        <v>0</v>
      </c>
      <c r="K119" s="74">
        <f t="shared" si="6"/>
        <v>0</v>
      </c>
      <c r="L119" s="74">
        <f>I119*'SKU Master'!H116</f>
        <v>0</v>
      </c>
      <c r="M119" s="74">
        <f t="shared" si="7"/>
        <v>0</v>
      </c>
      <c r="N119" s="74">
        <f t="shared" si="8"/>
        <v>0</v>
      </c>
      <c r="O119" s="94">
        <f t="shared" si="9"/>
        <v>0</v>
      </c>
    </row>
    <row r="120" spans="1:15" ht="15" customHeight="1" x14ac:dyDescent="0.25">
      <c r="A120" s="75">
        <v>113</v>
      </c>
      <c r="B120" s="75">
        <v>669</v>
      </c>
      <c r="C120" s="75" t="s">
        <v>903</v>
      </c>
      <c r="D120" s="75" t="s">
        <v>187</v>
      </c>
      <c r="E120" s="75">
        <v>2250</v>
      </c>
      <c r="F120" s="148">
        <f>E120*(_xlfn.XLOOKUP(B120,'Ratio Master'!A:A,'Ratio Master'!G:G,""))</f>
        <v>162.46081504702195</v>
      </c>
      <c r="G120" s="70"/>
      <c r="H120" s="70">
        <f>IFERROR('SKU Master'!M117+0,0)</f>
        <v>0</v>
      </c>
      <c r="I120" s="150">
        <f t="shared" si="5"/>
        <v>162.46081504702195</v>
      </c>
      <c r="J120" s="70">
        <f>IFERROR('SKU Master'!N117+0,0)</f>
        <v>0</v>
      </c>
      <c r="K120" s="74">
        <f t="shared" si="6"/>
        <v>0</v>
      </c>
      <c r="L120" s="74">
        <f>I120*'SKU Master'!H117</f>
        <v>0</v>
      </c>
      <c r="M120" s="74">
        <f t="shared" si="7"/>
        <v>0</v>
      </c>
      <c r="N120" s="74">
        <f t="shared" si="8"/>
        <v>0</v>
      </c>
      <c r="O120" s="94">
        <f t="shared" si="9"/>
        <v>0</v>
      </c>
    </row>
    <row r="121" spans="1:15" ht="15" customHeight="1" x14ac:dyDescent="0.25">
      <c r="A121" s="75">
        <v>114</v>
      </c>
      <c r="B121" s="75">
        <v>670</v>
      </c>
      <c r="C121" s="75" t="s">
        <v>903</v>
      </c>
      <c r="D121" s="75" t="s">
        <v>901</v>
      </c>
      <c r="E121" s="75">
        <v>0</v>
      </c>
      <c r="F121" s="148">
        <f>E121*(_xlfn.XLOOKUP(B121,'Ratio Master'!A:A,'Ratio Master'!G:G,""))</f>
        <v>0</v>
      </c>
      <c r="G121" s="70"/>
      <c r="H121" s="70">
        <f>IFERROR('SKU Master'!M118+0,0)</f>
        <v>0</v>
      </c>
      <c r="I121" s="150">
        <f t="shared" si="5"/>
        <v>0</v>
      </c>
      <c r="J121" s="70">
        <f>IFERROR('SKU Master'!N118+0,0)</f>
        <v>0</v>
      </c>
      <c r="K121" s="74">
        <f t="shared" si="6"/>
        <v>0</v>
      </c>
      <c r="L121" s="74">
        <f>I121*'SKU Master'!H118</f>
        <v>0</v>
      </c>
      <c r="M121" s="74">
        <f t="shared" si="7"/>
        <v>0</v>
      </c>
      <c r="N121" s="74">
        <f t="shared" si="8"/>
        <v>0</v>
      </c>
      <c r="O121" s="94">
        <f t="shared" si="9"/>
        <v>0</v>
      </c>
    </row>
    <row r="122" spans="1:15" ht="15" customHeight="1" x14ac:dyDescent="0.25">
      <c r="A122" s="75">
        <v>115</v>
      </c>
      <c r="B122" s="75">
        <v>679</v>
      </c>
      <c r="C122" s="75" t="s">
        <v>904</v>
      </c>
      <c r="D122" s="75" t="s">
        <v>187</v>
      </c>
      <c r="E122" s="75">
        <v>600</v>
      </c>
      <c r="F122" s="148">
        <f>E122*(_xlfn.XLOOKUP(B122,'Ratio Master'!A:A,'Ratio Master'!G:G,""))</f>
        <v>153.36269015212198</v>
      </c>
      <c r="G122" s="70"/>
      <c r="H122" s="70">
        <f>IFERROR('SKU Master'!M119+0,0)</f>
        <v>0</v>
      </c>
      <c r="I122" s="150">
        <f t="shared" si="5"/>
        <v>153.36269015212198</v>
      </c>
      <c r="J122" s="70">
        <f>IFERROR('SKU Master'!N119+0,0)</f>
        <v>0</v>
      </c>
      <c r="K122" s="74">
        <f t="shared" si="6"/>
        <v>0</v>
      </c>
      <c r="L122" s="74">
        <f>I122*'SKU Master'!H119</f>
        <v>0</v>
      </c>
      <c r="M122" s="74">
        <f t="shared" si="7"/>
        <v>0</v>
      </c>
      <c r="N122" s="74">
        <f t="shared" si="8"/>
        <v>0</v>
      </c>
      <c r="O122" s="94">
        <f t="shared" si="9"/>
        <v>0</v>
      </c>
    </row>
    <row r="123" spans="1:15" ht="15" customHeight="1" x14ac:dyDescent="0.25">
      <c r="A123" s="75">
        <v>116</v>
      </c>
      <c r="B123" s="75">
        <v>683</v>
      </c>
      <c r="C123" s="75" t="s">
        <v>905</v>
      </c>
      <c r="D123" s="75" t="s">
        <v>187</v>
      </c>
      <c r="E123" s="75">
        <v>4200</v>
      </c>
      <c r="F123" s="148">
        <f>E123*(_xlfn.XLOOKUP(B123,'Ratio Master'!A:A,'Ratio Master'!G:G,""))</f>
        <v>358.47894264770787</v>
      </c>
      <c r="G123" s="70"/>
      <c r="H123" s="70">
        <f>IFERROR('SKU Master'!M120+0,0)</f>
        <v>0</v>
      </c>
      <c r="I123" s="150">
        <f t="shared" si="5"/>
        <v>358.47894264770787</v>
      </c>
      <c r="J123" s="70">
        <f>IFERROR('SKU Master'!N120+0,0)</f>
        <v>0</v>
      </c>
      <c r="K123" s="74">
        <f t="shared" si="6"/>
        <v>0</v>
      </c>
      <c r="L123" s="74">
        <f>I123*'SKU Master'!H120</f>
        <v>0</v>
      </c>
      <c r="M123" s="74">
        <f t="shared" si="7"/>
        <v>0</v>
      </c>
      <c r="N123" s="74">
        <f t="shared" si="8"/>
        <v>0</v>
      </c>
      <c r="O123" s="94">
        <f t="shared" si="9"/>
        <v>0</v>
      </c>
    </row>
    <row r="124" spans="1:15" ht="15" customHeight="1" x14ac:dyDescent="0.25">
      <c r="A124" s="75">
        <v>117</v>
      </c>
      <c r="B124" s="75">
        <v>691</v>
      </c>
      <c r="C124" s="75" t="s">
        <v>908</v>
      </c>
      <c r="D124" s="75" t="s">
        <v>187</v>
      </c>
      <c r="E124" s="75">
        <v>0</v>
      </c>
      <c r="F124" s="148">
        <f>E124*(_xlfn.XLOOKUP(B124,'Ratio Master'!A:A,'Ratio Master'!G:G,""))</f>
        <v>0</v>
      </c>
      <c r="G124" s="70"/>
      <c r="H124" s="70">
        <f>IFERROR('SKU Master'!M121+0,0)</f>
        <v>0</v>
      </c>
      <c r="I124" s="150">
        <f t="shared" si="5"/>
        <v>0</v>
      </c>
      <c r="J124" s="70">
        <f>IFERROR('SKU Master'!N121+0,0)</f>
        <v>0</v>
      </c>
      <c r="K124" s="74">
        <f t="shared" si="6"/>
        <v>0</v>
      </c>
      <c r="L124" s="74">
        <f>I124*'SKU Master'!H121</f>
        <v>0</v>
      </c>
      <c r="M124" s="74">
        <f t="shared" si="7"/>
        <v>0</v>
      </c>
      <c r="N124" s="74">
        <f t="shared" si="8"/>
        <v>0</v>
      </c>
      <c r="O124" s="94">
        <f t="shared" si="9"/>
        <v>0</v>
      </c>
    </row>
    <row r="125" spans="1:15" ht="15" customHeight="1" x14ac:dyDescent="0.25">
      <c r="A125" s="75">
        <v>118</v>
      </c>
      <c r="B125" s="75">
        <v>692</v>
      </c>
      <c r="C125" s="75" t="s">
        <v>909</v>
      </c>
      <c r="D125" s="75" t="s">
        <v>187</v>
      </c>
      <c r="E125" s="75">
        <v>1500</v>
      </c>
      <c r="F125" s="148">
        <f>E125*(_xlfn.XLOOKUP(B125,'Ratio Master'!A:A,'Ratio Master'!G:G,""))</f>
        <v>300.80097087378601</v>
      </c>
      <c r="G125" s="70"/>
      <c r="H125" s="70">
        <f>IFERROR('SKU Master'!M122+0,0)</f>
        <v>0</v>
      </c>
      <c r="I125" s="150">
        <f t="shared" si="5"/>
        <v>300.80097087378601</v>
      </c>
      <c r="J125" s="70">
        <f>IFERROR('SKU Master'!N122+0,0)</f>
        <v>0</v>
      </c>
      <c r="K125" s="74">
        <f t="shared" si="6"/>
        <v>0</v>
      </c>
      <c r="L125" s="74">
        <f>I125*'SKU Master'!H122</f>
        <v>0</v>
      </c>
      <c r="M125" s="74">
        <f t="shared" si="7"/>
        <v>0</v>
      </c>
      <c r="N125" s="74">
        <f t="shared" si="8"/>
        <v>0</v>
      </c>
      <c r="O125" s="94">
        <f t="shared" si="9"/>
        <v>0</v>
      </c>
    </row>
    <row r="126" spans="1:15" ht="15" customHeight="1" x14ac:dyDescent="0.25">
      <c r="A126" s="75">
        <v>119</v>
      </c>
      <c r="B126" s="75">
        <v>706</v>
      </c>
      <c r="C126" s="75" t="s">
        <v>934</v>
      </c>
      <c r="D126" s="75" t="s">
        <v>187</v>
      </c>
      <c r="E126" s="75">
        <v>7200</v>
      </c>
      <c r="F126" s="148">
        <f>E126*(_xlfn.XLOOKUP(B126,'Ratio Master'!A:A,'Ratio Master'!G:G,""))</f>
        <v>730.94065209781922</v>
      </c>
      <c r="G126" s="70"/>
      <c r="H126" s="70">
        <f>IFERROR('SKU Master'!M123+0,0)</f>
        <v>0</v>
      </c>
      <c r="I126" s="150">
        <f t="shared" si="5"/>
        <v>730.94065209781922</v>
      </c>
      <c r="J126" s="70">
        <f>IFERROR('SKU Master'!N123+0,0)</f>
        <v>0</v>
      </c>
      <c r="K126" s="74">
        <f t="shared" si="6"/>
        <v>0</v>
      </c>
      <c r="L126" s="74">
        <f>I126*'SKU Master'!H123</f>
        <v>0</v>
      </c>
      <c r="M126" s="74">
        <f t="shared" si="7"/>
        <v>0</v>
      </c>
      <c r="N126" s="74">
        <f t="shared" si="8"/>
        <v>0</v>
      </c>
      <c r="O126" s="94">
        <f t="shared" si="9"/>
        <v>0</v>
      </c>
    </row>
    <row r="127" spans="1:15" ht="15" customHeight="1" x14ac:dyDescent="0.25">
      <c r="A127" s="75">
        <v>120</v>
      </c>
      <c r="B127" s="75">
        <v>708</v>
      </c>
      <c r="C127" s="75" t="s">
        <v>912</v>
      </c>
      <c r="D127" s="75" t="s">
        <v>187</v>
      </c>
      <c r="E127" s="75">
        <v>9000</v>
      </c>
      <c r="F127" s="148">
        <f>E127*(_xlfn.XLOOKUP(B127,'Ratio Master'!A:A,'Ratio Master'!G:G,""))</f>
        <v>614.81887298747733</v>
      </c>
      <c r="G127" s="70"/>
      <c r="H127" s="70">
        <f>IFERROR('SKU Master'!M124+0,0)</f>
        <v>0</v>
      </c>
      <c r="I127" s="150">
        <f t="shared" si="5"/>
        <v>614.81887298747733</v>
      </c>
      <c r="J127" s="70">
        <f>IFERROR('SKU Master'!N124+0,0)</f>
        <v>0</v>
      </c>
      <c r="K127" s="74">
        <f t="shared" si="6"/>
        <v>0</v>
      </c>
      <c r="L127" s="74">
        <f>I127*'SKU Master'!H124</f>
        <v>0</v>
      </c>
      <c r="M127" s="74">
        <f t="shared" si="7"/>
        <v>0</v>
      </c>
      <c r="N127" s="74">
        <f t="shared" si="8"/>
        <v>0</v>
      </c>
      <c r="O127" s="94">
        <f t="shared" si="9"/>
        <v>0</v>
      </c>
    </row>
    <row r="128" spans="1:15" ht="15" customHeight="1" x14ac:dyDescent="0.25">
      <c r="A128" s="75">
        <v>121</v>
      </c>
      <c r="B128" s="75">
        <v>709</v>
      </c>
      <c r="C128" s="75" t="s">
        <v>913</v>
      </c>
      <c r="D128" s="75" t="s">
        <v>187</v>
      </c>
      <c r="E128" s="75">
        <v>2700</v>
      </c>
      <c r="F128" s="148">
        <f>E128*(_xlfn.XLOOKUP(B128,'Ratio Master'!A:A,'Ratio Master'!G:G,""))</f>
        <v>208.90239852398517</v>
      </c>
      <c r="G128" s="70"/>
      <c r="H128" s="70">
        <f>IFERROR('SKU Master'!M125+0,0)</f>
        <v>0</v>
      </c>
      <c r="I128" s="150">
        <f t="shared" si="5"/>
        <v>208.90239852398517</v>
      </c>
      <c r="J128" s="70">
        <f>IFERROR('SKU Master'!N125+0,0)</f>
        <v>0</v>
      </c>
      <c r="K128" s="74">
        <f t="shared" si="6"/>
        <v>0</v>
      </c>
      <c r="L128" s="74">
        <f>I128*'SKU Master'!H125</f>
        <v>0</v>
      </c>
      <c r="M128" s="74">
        <f t="shared" si="7"/>
        <v>0</v>
      </c>
      <c r="N128" s="74">
        <f t="shared" si="8"/>
        <v>0</v>
      </c>
      <c r="O128" s="94">
        <f t="shared" si="9"/>
        <v>0</v>
      </c>
    </row>
    <row r="129" spans="1:15" ht="15" customHeight="1" x14ac:dyDescent="0.25">
      <c r="A129" s="75">
        <v>122</v>
      </c>
      <c r="B129" s="75">
        <v>720</v>
      </c>
      <c r="C129" s="75" t="s">
        <v>914</v>
      </c>
      <c r="D129" s="75" t="s">
        <v>182</v>
      </c>
      <c r="E129" s="75">
        <v>2160</v>
      </c>
      <c r="F129" s="148">
        <f>E129*(_xlfn.XLOOKUP(B129,'Ratio Master'!A:A,'Ratio Master'!G:G,""))</f>
        <v>294.53268292682975</v>
      </c>
      <c r="G129" s="70"/>
      <c r="H129" s="70">
        <f>IFERROR('SKU Master'!M126+0,0)</f>
        <v>0</v>
      </c>
      <c r="I129" s="150">
        <f t="shared" si="5"/>
        <v>294.53268292682975</v>
      </c>
      <c r="J129" s="70">
        <f>IFERROR('SKU Master'!N126+0,0)</f>
        <v>0</v>
      </c>
      <c r="K129" s="74">
        <f t="shared" si="6"/>
        <v>0</v>
      </c>
      <c r="L129" s="74">
        <f>I129*'SKU Master'!H126</f>
        <v>0</v>
      </c>
      <c r="M129" s="74">
        <f t="shared" si="7"/>
        <v>0</v>
      </c>
      <c r="N129" s="74">
        <f t="shared" si="8"/>
        <v>0</v>
      </c>
      <c r="O129" s="94">
        <f t="shared" si="9"/>
        <v>0</v>
      </c>
    </row>
    <row r="130" spans="1:15" ht="15" customHeight="1" x14ac:dyDescent="0.25">
      <c r="A130" s="75">
        <v>123</v>
      </c>
      <c r="B130" s="75">
        <v>726</v>
      </c>
      <c r="C130" s="75" t="s">
        <v>935</v>
      </c>
      <c r="D130" s="75" t="s">
        <v>187</v>
      </c>
      <c r="E130" s="75">
        <v>432</v>
      </c>
      <c r="F130" s="148">
        <f>E130*(_xlfn.XLOOKUP(B130,'Ratio Master'!A:A,'Ratio Master'!G:G,""))</f>
        <v>58.669244288225144</v>
      </c>
      <c r="G130" s="70"/>
      <c r="H130" s="70">
        <f>IFERROR('SKU Master'!M127+0,0)</f>
        <v>0</v>
      </c>
      <c r="I130" s="150">
        <f t="shared" si="5"/>
        <v>58.669244288225144</v>
      </c>
      <c r="J130" s="70">
        <f>IFERROR('SKU Master'!N127+0,0)</f>
        <v>0</v>
      </c>
      <c r="K130" s="74">
        <f t="shared" si="6"/>
        <v>0</v>
      </c>
      <c r="L130" s="74">
        <f>I130*'SKU Master'!H127</f>
        <v>0</v>
      </c>
      <c r="M130" s="74">
        <f t="shared" si="7"/>
        <v>0</v>
      </c>
      <c r="N130" s="74">
        <f t="shared" si="8"/>
        <v>0</v>
      </c>
      <c r="O130" s="94">
        <f t="shared" si="9"/>
        <v>0</v>
      </c>
    </row>
    <row r="131" spans="1:15" ht="15" customHeight="1" x14ac:dyDescent="0.25">
      <c r="A131" s="75">
        <v>124</v>
      </c>
      <c r="B131" s="75">
        <v>720</v>
      </c>
      <c r="C131" s="75" t="s">
        <v>914</v>
      </c>
      <c r="D131" s="75" t="s">
        <v>182</v>
      </c>
      <c r="E131" s="75">
        <v>4320</v>
      </c>
      <c r="F131" s="148">
        <f>E131*(_xlfn.XLOOKUP(B131,'Ratio Master'!A:A,'Ratio Master'!G:G,""))</f>
        <v>589.0653658536595</v>
      </c>
      <c r="G131" s="70"/>
      <c r="H131" s="70">
        <f>IFERROR('SKU Master'!M128+0,0)</f>
        <v>0</v>
      </c>
      <c r="I131" s="150">
        <f t="shared" si="5"/>
        <v>589.0653658536595</v>
      </c>
      <c r="J131" s="70">
        <f>IFERROR('SKU Master'!N128+0,0)</f>
        <v>0</v>
      </c>
      <c r="K131" s="74">
        <f t="shared" si="6"/>
        <v>0</v>
      </c>
      <c r="L131" s="74">
        <f>I131*'SKU Master'!H128</f>
        <v>0</v>
      </c>
      <c r="M131" s="74">
        <f t="shared" si="7"/>
        <v>0</v>
      </c>
      <c r="N131" s="74">
        <f t="shared" si="8"/>
        <v>0</v>
      </c>
      <c r="O131" s="94">
        <f t="shared" si="9"/>
        <v>0</v>
      </c>
    </row>
    <row r="132" spans="1:15" ht="15" customHeight="1" x14ac:dyDescent="0.25">
      <c r="A132" s="75">
        <v>125</v>
      </c>
      <c r="B132" s="75">
        <v>726</v>
      </c>
      <c r="C132" s="75" t="s">
        <v>935</v>
      </c>
      <c r="D132" s="75" t="s">
        <v>187</v>
      </c>
      <c r="E132" s="75">
        <v>0</v>
      </c>
      <c r="F132" s="148">
        <f>E132*(_xlfn.XLOOKUP(B132,'Ratio Master'!A:A,'Ratio Master'!G:G,""))</f>
        <v>0</v>
      </c>
      <c r="G132" s="70"/>
      <c r="H132" s="70">
        <f>IFERROR('SKU Master'!M129+0,0)</f>
        <v>0</v>
      </c>
      <c r="I132" s="150">
        <f t="shared" si="5"/>
        <v>0</v>
      </c>
      <c r="J132" s="70">
        <f>IFERROR('SKU Master'!N129+0,0)</f>
        <v>0</v>
      </c>
      <c r="K132" s="74">
        <f t="shared" si="6"/>
        <v>0</v>
      </c>
      <c r="L132" s="74">
        <f>I132*'SKU Master'!H129</f>
        <v>0</v>
      </c>
      <c r="M132" s="74">
        <f t="shared" si="7"/>
        <v>0</v>
      </c>
      <c r="N132" s="74">
        <f t="shared" si="8"/>
        <v>0</v>
      </c>
      <c r="O132" s="94">
        <f t="shared" si="9"/>
        <v>0</v>
      </c>
    </row>
    <row r="133" spans="1:15" ht="15" customHeight="1" x14ac:dyDescent="0.25">
      <c r="A133" s="75">
        <v>126</v>
      </c>
      <c r="B133" s="75"/>
      <c r="C133" s="75"/>
      <c r="D133" s="75"/>
      <c r="E133" s="75"/>
      <c r="F133" s="148">
        <f>E133*(_xlfn.XLOOKUP(B133,'Ratio Master'!A:A,'Ratio Master'!G:G,""))</f>
        <v>0</v>
      </c>
      <c r="G133" s="70"/>
      <c r="H133" s="70"/>
      <c r="I133" s="76"/>
      <c r="J133" s="70"/>
      <c r="K133" s="74"/>
      <c r="L133" s="74"/>
      <c r="M133" s="74"/>
      <c r="N133" s="74"/>
      <c r="O133" s="94"/>
    </row>
    <row r="134" spans="1:15" ht="15" customHeight="1" x14ac:dyDescent="0.25">
      <c r="A134" s="75">
        <v>127</v>
      </c>
      <c r="B134" s="75"/>
      <c r="C134" s="75"/>
      <c r="D134" s="75"/>
      <c r="E134" s="75"/>
      <c r="F134" s="148">
        <f>E134*(_xlfn.XLOOKUP(B134,'Ratio Master'!A:A,'Ratio Master'!G:G,""))</f>
        <v>0</v>
      </c>
      <c r="G134" s="70"/>
      <c r="H134" s="70"/>
      <c r="I134" s="76"/>
      <c r="J134" s="70"/>
      <c r="K134" s="74"/>
      <c r="L134" s="74"/>
      <c r="M134" s="74"/>
      <c r="N134" s="74"/>
      <c r="O134" s="94"/>
    </row>
    <row r="135" spans="1:15" ht="15" customHeight="1" x14ac:dyDescent="0.25">
      <c r="A135" s="75">
        <v>128</v>
      </c>
      <c r="B135" s="75"/>
      <c r="C135" s="75"/>
      <c r="D135" s="75"/>
      <c r="E135" s="75"/>
      <c r="F135" s="148">
        <f>E135*(_xlfn.XLOOKUP(B135,'Ratio Master'!A:A,'Ratio Master'!G:G,""))</f>
        <v>0</v>
      </c>
      <c r="G135" s="70"/>
      <c r="H135" s="70"/>
      <c r="I135" s="76"/>
      <c r="J135" s="70"/>
      <c r="K135" s="74"/>
      <c r="L135" s="74"/>
      <c r="M135" s="74"/>
      <c r="N135" s="74"/>
      <c r="O135" s="94"/>
    </row>
    <row r="136" spans="1:15" ht="15" customHeight="1" x14ac:dyDescent="0.25">
      <c r="A136" s="75">
        <v>129</v>
      </c>
      <c r="B136" s="75"/>
      <c r="C136" s="75">
        <f>'SKU Master'!C113</f>
        <v>0</v>
      </c>
      <c r="D136" s="75"/>
      <c r="E136" s="75"/>
      <c r="F136" s="148">
        <f>E136*(_xlfn.XLOOKUP(B136,'Ratio Master'!A:A,'Ratio Master'!G:G,""))</f>
        <v>0</v>
      </c>
      <c r="G136" s="70"/>
      <c r="H136" s="70">
        <f>IFERROR('SKU Master'!M113+0,0)</f>
        <v>0</v>
      </c>
      <c r="I136" s="76">
        <f t="shared" ref="I136:I199" si="10">MAX(F136-G136,0)</f>
        <v>0</v>
      </c>
      <c r="J136" s="70">
        <f>IFERROR('SKU Master'!N113+0,0)</f>
        <v>0</v>
      </c>
      <c r="K136" s="74">
        <f t="shared" ref="K136:K199" si="11">MIN(G136,F136)*H136</f>
        <v>0</v>
      </c>
      <c r="L136" s="74">
        <f>I136*'SKU Master'!H113</f>
        <v>0</v>
      </c>
      <c r="M136" s="74">
        <f t="shared" ref="M136:M199" si="12">K136+L136</f>
        <v>0</v>
      </c>
      <c r="N136" s="74">
        <f t="shared" ref="N136:N199" si="13">F136*J136</f>
        <v>0</v>
      </c>
      <c r="O136" s="94">
        <f t="shared" ref="O136:O199" si="14">N136-M136</f>
        <v>0</v>
      </c>
    </row>
    <row r="137" spans="1:15" ht="15" customHeight="1" x14ac:dyDescent="0.25">
      <c r="A137" s="75">
        <v>130</v>
      </c>
      <c r="B137" s="75"/>
      <c r="C137" s="75">
        <f>'SKU Master'!C114</f>
        <v>0</v>
      </c>
      <c r="D137" s="75"/>
      <c r="E137" s="75"/>
      <c r="F137" s="148">
        <f>E137*(_xlfn.XLOOKUP(B137,'Ratio Master'!A:A,'Ratio Master'!G:G,""))</f>
        <v>0</v>
      </c>
      <c r="G137" s="70"/>
      <c r="H137" s="70">
        <f>IFERROR('SKU Master'!M114+0,0)</f>
        <v>0</v>
      </c>
      <c r="I137" s="76">
        <f t="shared" si="10"/>
        <v>0</v>
      </c>
      <c r="J137" s="70">
        <f>IFERROR('SKU Master'!N114+0,0)</f>
        <v>0</v>
      </c>
      <c r="K137" s="74">
        <f t="shared" si="11"/>
        <v>0</v>
      </c>
      <c r="L137" s="74">
        <f>I137*'SKU Master'!H114</f>
        <v>0</v>
      </c>
      <c r="M137" s="74">
        <f t="shared" si="12"/>
        <v>0</v>
      </c>
      <c r="N137" s="74">
        <f t="shared" si="13"/>
        <v>0</v>
      </c>
      <c r="O137" s="94">
        <f t="shared" si="14"/>
        <v>0</v>
      </c>
    </row>
    <row r="138" spans="1:15" ht="15" customHeight="1" x14ac:dyDescent="0.25">
      <c r="A138" s="75">
        <v>131</v>
      </c>
      <c r="B138" s="75"/>
      <c r="C138" s="75">
        <f>'SKU Master'!C115</f>
        <v>0</v>
      </c>
      <c r="D138" s="75"/>
      <c r="E138" s="75"/>
      <c r="F138" s="148">
        <f>E138*(_xlfn.XLOOKUP(B138,'Ratio Master'!A:A,'Ratio Master'!G:G,""))</f>
        <v>0</v>
      </c>
      <c r="G138" s="70"/>
      <c r="H138" s="70">
        <f>IFERROR('SKU Master'!M115+0,0)</f>
        <v>0</v>
      </c>
      <c r="I138" s="76">
        <f t="shared" si="10"/>
        <v>0</v>
      </c>
      <c r="J138" s="70">
        <f>IFERROR('SKU Master'!N115+0,0)</f>
        <v>0</v>
      </c>
      <c r="K138" s="74">
        <f t="shared" si="11"/>
        <v>0</v>
      </c>
      <c r="L138" s="74">
        <f>I138*'SKU Master'!H115</f>
        <v>0</v>
      </c>
      <c r="M138" s="74">
        <f t="shared" si="12"/>
        <v>0</v>
      </c>
      <c r="N138" s="74">
        <f t="shared" si="13"/>
        <v>0</v>
      </c>
      <c r="O138" s="94">
        <f t="shared" si="14"/>
        <v>0</v>
      </c>
    </row>
    <row r="139" spans="1:15" ht="15" customHeight="1" x14ac:dyDescent="0.25">
      <c r="A139" s="75">
        <v>132</v>
      </c>
      <c r="B139" s="75"/>
      <c r="C139" s="75">
        <f>'SKU Master'!C116</f>
        <v>0</v>
      </c>
      <c r="D139" s="75"/>
      <c r="E139" s="75"/>
      <c r="F139" s="148">
        <f>E139*(_xlfn.XLOOKUP(B139,'Ratio Master'!A:A,'Ratio Master'!G:G,""))</f>
        <v>0</v>
      </c>
      <c r="G139" s="70"/>
      <c r="H139" s="70">
        <f>IFERROR('SKU Master'!M116+0,0)</f>
        <v>0</v>
      </c>
      <c r="I139" s="76">
        <f t="shared" si="10"/>
        <v>0</v>
      </c>
      <c r="J139" s="70">
        <f>IFERROR('SKU Master'!N116+0,0)</f>
        <v>0</v>
      </c>
      <c r="K139" s="74">
        <f t="shared" si="11"/>
        <v>0</v>
      </c>
      <c r="L139" s="74">
        <f>I139*'SKU Master'!H116</f>
        <v>0</v>
      </c>
      <c r="M139" s="74">
        <f t="shared" si="12"/>
        <v>0</v>
      </c>
      <c r="N139" s="74">
        <f t="shared" si="13"/>
        <v>0</v>
      </c>
      <c r="O139" s="94">
        <f t="shared" si="14"/>
        <v>0</v>
      </c>
    </row>
    <row r="140" spans="1:15" ht="15" customHeight="1" x14ac:dyDescent="0.25">
      <c r="A140" s="75">
        <v>133</v>
      </c>
      <c r="B140" s="75"/>
      <c r="C140" s="75">
        <f>'SKU Master'!C117</f>
        <v>0</v>
      </c>
      <c r="D140" s="75"/>
      <c r="E140" s="75"/>
      <c r="F140" s="148">
        <f>E140*(_xlfn.XLOOKUP(B140,'Ratio Master'!A:A,'Ratio Master'!G:G,""))</f>
        <v>0</v>
      </c>
      <c r="G140" s="70"/>
      <c r="H140" s="70">
        <f>IFERROR('SKU Master'!M117+0,0)</f>
        <v>0</v>
      </c>
      <c r="I140" s="76">
        <f t="shared" si="10"/>
        <v>0</v>
      </c>
      <c r="J140" s="70">
        <f>IFERROR('SKU Master'!N117+0,0)</f>
        <v>0</v>
      </c>
      <c r="K140" s="74">
        <f t="shared" si="11"/>
        <v>0</v>
      </c>
      <c r="L140" s="74">
        <f>I140*'SKU Master'!H117</f>
        <v>0</v>
      </c>
      <c r="M140" s="74">
        <f t="shared" si="12"/>
        <v>0</v>
      </c>
      <c r="N140" s="74">
        <f t="shared" si="13"/>
        <v>0</v>
      </c>
      <c r="O140" s="94">
        <f t="shared" si="14"/>
        <v>0</v>
      </c>
    </row>
    <row r="141" spans="1:15" ht="15" customHeight="1" x14ac:dyDescent="0.25">
      <c r="A141" s="75">
        <v>134</v>
      </c>
      <c r="B141" s="75"/>
      <c r="C141" s="75">
        <f>'SKU Master'!C118</f>
        <v>0</v>
      </c>
      <c r="D141" s="75"/>
      <c r="E141" s="75"/>
      <c r="F141" s="148">
        <f>E141*(_xlfn.XLOOKUP(B141,'Ratio Master'!A:A,'Ratio Master'!G:G,""))</f>
        <v>0</v>
      </c>
      <c r="G141" s="70"/>
      <c r="H141" s="70">
        <f>IFERROR('SKU Master'!M118+0,0)</f>
        <v>0</v>
      </c>
      <c r="I141" s="76">
        <f t="shared" si="10"/>
        <v>0</v>
      </c>
      <c r="J141" s="70">
        <f>IFERROR('SKU Master'!N118+0,0)</f>
        <v>0</v>
      </c>
      <c r="K141" s="74">
        <f t="shared" si="11"/>
        <v>0</v>
      </c>
      <c r="L141" s="74">
        <f>I141*'SKU Master'!H118</f>
        <v>0</v>
      </c>
      <c r="M141" s="74">
        <f t="shared" si="12"/>
        <v>0</v>
      </c>
      <c r="N141" s="74">
        <f t="shared" si="13"/>
        <v>0</v>
      </c>
      <c r="O141" s="94">
        <f t="shared" si="14"/>
        <v>0</v>
      </c>
    </row>
    <row r="142" spans="1:15" ht="15" customHeight="1" x14ac:dyDescent="0.25">
      <c r="A142" s="75">
        <v>135</v>
      </c>
      <c r="B142" s="75"/>
      <c r="C142" s="75">
        <f>'SKU Master'!C119</f>
        <v>0</v>
      </c>
      <c r="D142" s="75"/>
      <c r="E142" s="75"/>
      <c r="F142" s="148">
        <f>E142*(_xlfn.XLOOKUP(B142,'Ratio Master'!A:A,'Ratio Master'!G:G,""))</f>
        <v>0</v>
      </c>
      <c r="G142" s="70"/>
      <c r="H142" s="70">
        <f>IFERROR('SKU Master'!M119+0,0)</f>
        <v>0</v>
      </c>
      <c r="I142" s="76">
        <f t="shared" si="10"/>
        <v>0</v>
      </c>
      <c r="J142" s="70">
        <f>IFERROR('SKU Master'!N119+0,0)</f>
        <v>0</v>
      </c>
      <c r="K142" s="74">
        <f t="shared" si="11"/>
        <v>0</v>
      </c>
      <c r="L142" s="74">
        <f>I142*'SKU Master'!H119</f>
        <v>0</v>
      </c>
      <c r="M142" s="74">
        <f t="shared" si="12"/>
        <v>0</v>
      </c>
      <c r="N142" s="74">
        <f t="shared" si="13"/>
        <v>0</v>
      </c>
      <c r="O142" s="94">
        <f t="shared" si="14"/>
        <v>0</v>
      </c>
    </row>
    <row r="143" spans="1:15" ht="15" customHeight="1" x14ac:dyDescent="0.25">
      <c r="A143" s="75">
        <v>136</v>
      </c>
      <c r="B143" s="75"/>
      <c r="C143" s="75">
        <f>'SKU Master'!C120</f>
        <v>0</v>
      </c>
      <c r="D143" s="75"/>
      <c r="E143" s="75"/>
      <c r="F143" s="148">
        <f>E143*(_xlfn.XLOOKUP(B143,'Ratio Master'!A:A,'Ratio Master'!G:G,""))</f>
        <v>0</v>
      </c>
      <c r="G143" s="70"/>
      <c r="H143" s="70">
        <f>IFERROR('SKU Master'!M120+0,0)</f>
        <v>0</v>
      </c>
      <c r="I143" s="76">
        <f t="shared" si="10"/>
        <v>0</v>
      </c>
      <c r="J143" s="70">
        <f>IFERROR('SKU Master'!N120+0,0)</f>
        <v>0</v>
      </c>
      <c r="K143" s="74">
        <f t="shared" si="11"/>
        <v>0</v>
      </c>
      <c r="L143" s="74">
        <f>I143*'SKU Master'!H120</f>
        <v>0</v>
      </c>
      <c r="M143" s="74">
        <f t="shared" si="12"/>
        <v>0</v>
      </c>
      <c r="N143" s="74">
        <f t="shared" si="13"/>
        <v>0</v>
      </c>
      <c r="O143" s="94">
        <f t="shared" si="14"/>
        <v>0</v>
      </c>
    </row>
    <row r="144" spans="1:15" ht="15" customHeight="1" x14ac:dyDescent="0.25">
      <c r="A144" s="75">
        <v>137</v>
      </c>
      <c r="B144" s="75"/>
      <c r="C144" s="75">
        <f>'SKU Master'!C121</f>
        <v>0</v>
      </c>
      <c r="D144" s="75"/>
      <c r="E144" s="75"/>
      <c r="F144" s="148">
        <f>E144*(_xlfn.XLOOKUP(B144,'Ratio Master'!A:A,'Ratio Master'!G:G,""))</f>
        <v>0</v>
      </c>
      <c r="G144" s="70"/>
      <c r="H144" s="70">
        <f>IFERROR('SKU Master'!M121+0,0)</f>
        <v>0</v>
      </c>
      <c r="I144" s="76">
        <f t="shared" si="10"/>
        <v>0</v>
      </c>
      <c r="J144" s="70">
        <f>IFERROR('SKU Master'!N121+0,0)</f>
        <v>0</v>
      </c>
      <c r="K144" s="74">
        <f t="shared" si="11"/>
        <v>0</v>
      </c>
      <c r="L144" s="74">
        <f>I144*'SKU Master'!H121</f>
        <v>0</v>
      </c>
      <c r="M144" s="74">
        <f t="shared" si="12"/>
        <v>0</v>
      </c>
      <c r="N144" s="74">
        <f t="shared" si="13"/>
        <v>0</v>
      </c>
      <c r="O144" s="94">
        <f t="shared" si="14"/>
        <v>0</v>
      </c>
    </row>
    <row r="145" spans="1:15" ht="15" customHeight="1" x14ac:dyDescent="0.25">
      <c r="A145" s="75">
        <v>138</v>
      </c>
      <c r="B145" s="75"/>
      <c r="C145" s="75">
        <f>'SKU Master'!C122</f>
        <v>0</v>
      </c>
      <c r="D145" s="75"/>
      <c r="E145" s="75"/>
      <c r="F145" s="148">
        <f>E145*(_xlfn.XLOOKUP(B145,'Ratio Master'!A:A,'Ratio Master'!G:G,""))</f>
        <v>0</v>
      </c>
      <c r="G145" s="70"/>
      <c r="H145" s="70">
        <f>IFERROR('SKU Master'!M122+0,0)</f>
        <v>0</v>
      </c>
      <c r="I145" s="76">
        <f t="shared" si="10"/>
        <v>0</v>
      </c>
      <c r="J145" s="70">
        <f>IFERROR('SKU Master'!N122+0,0)</f>
        <v>0</v>
      </c>
      <c r="K145" s="74">
        <f t="shared" si="11"/>
        <v>0</v>
      </c>
      <c r="L145" s="74">
        <f>I145*'SKU Master'!H122</f>
        <v>0</v>
      </c>
      <c r="M145" s="74">
        <f t="shared" si="12"/>
        <v>0</v>
      </c>
      <c r="N145" s="74">
        <f t="shared" si="13"/>
        <v>0</v>
      </c>
      <c r="O145" s="94">
        <f t="shared" si="14"/>
        <v>0</v>
      </c>
    </row>
    <row r="146" spans="1:15" ht="15" customHeight="1" x14ac:dyDescent="0.25">
      <c r="A146" s="75">
        <v>139</v>
      </c>
      <c r="B146" s="75"/>
      <c r="C146" s="75">
        <f>'SKU Master'!C123</f>
        <v>0</v>
      </c>
      <c r="D146" s="75"/>
      <c r="E146" s="75"/>
      <c r="F146" s="148">
        <f>E146*(_xlfn.XLOOKUP(B146,'Ratio Master'!A:A,'Ratio Master'!G:G,""))</f>
        <v>0</v>
      </c>
      <c r="G146" s="70"/>
      <c r="H146" s="70">
        <f>IFERROR('SKU Master'!M123+0,0)</f>
        <v>0</v>
      </c>
      <c r="I146" s="76">
        <f t="shared" si="10"/>
        <v>0</v>
      </c>
      <c r="J146" s="70">
        <f>IFERROR('SKU Master'!N123+0,0)</f>
        <v>0</v>
      </c>
      <c r="K146" s="74">
        <f t="shared" si="11"/>
        <v>0</v>
      </c>
      <c r="L146" s="74">
        <f>I146*'SKU Master'!H123</f>
        <v>0</v>
      </c>
      <c r="M146" s="74">
        <f t="shared" si="12"/>
        <v>0</v>
      </c>
      <c r="N146" s="74">
        <f t="shared" si="13"/>
        <v>0</v>
      </c>
      <c r="O146" s="94">
        <f t="shared" si="14"/>
        <v>0</v>
      </c>
    </row>
    <row r="147" spans="1:15" ht="15" customHeight="1" x14ac:dyDescent="0.25">
      <c r="A147" s="75">
        <v>140</v>
      </c>
      <c r="B147" s="75"/>
      <c r="C147" s="75">
        <f>'SKU Master'!C124</f>
        <v>0</v>
      </c>
      <c r="D147" s="75"/>
      <c r="E147" s="75"/>
      <c r="F147" s="148">
        <f>E147*(_xlfn.XLOOKUP(B147,'Ratio Master'!A:A,'Ratio Master'!G:G,""))</f>
        <v>0</v>
      </c>
      <c r="G147" s="70"/>
      <c r="H147" s="70">
        <f>IFERROR('SKU Master'!M124+0,0)</f>
        <v>0</v>
      </c>
      <c r="I147" s="76">
        <f t="shared" si="10"/>
        <v>0</v>
      </c>
      <c r="J147" s="70">
        <f>IFERROR('SKU Master'!N124+0,0)</f>
        <v>0</v>
      </c>
      <c r="K147" s="74">
        <f t="shared" si="11"/>
        <v>0</v>
      </c>
      <c r="L147" s="74">
        <f>I147*'SKU Master'!H124</f>
        <v>0</v>
      </c>
      <c r="M147" s="74">
        <f t="shared" si="12"/>
        <v>0</v>
      </c>
      <c r="N147" s="74">
        <f t="shared" si="13"/>
        <v>0</v>
      </c>
      <c r="O147" s="94">
        <f t="shared" si="14"/>
        <v>0</v>
      </c>
    </row>
    <row r="148" spans="1:15" ht="15" customHeight="1" x14ac:dyDescent="0.25">
      <c r="A148" s="75">
        <v>141</v>
      </c>
      <c r="B148" s="75"/>
      <c r="C148" s="75">
        <f>'SKU Master'!C125</f>
        <v>0</v>
      </c>
      <c r="D148" s="75"/>
      <c r="E148" s="75"/>
      <c r="F148" s="148">
        <f>E148*(_xlfn.XLOOKUP(B148,'Ratio Master'!A:A,'Ratio Master'!G:G,""))</f>
        <v>0</v>
      </c>
      <c r="G148" s="70"/>
      <c r="H148" s="70">
        <f>IFERROR('SKU Master'!M125+0,0)</f>
        <v>0</v>
      </c>
      <c r="I148" s="76">
        <f t="shared" si="10"/>
        <v>0</v>
      </c>
      <c r="J148" s="70">
        <f>IFERROR('SKU Master'!N125+0,0)</f>
        <v>0</v>
      </c>
      <c r="K148" s="74">
        <f t="shared" si="11"/>
        <v>0</v>
      </c>
      <c r="L148" s="74">
        <f>I148*'SKU Master'!H125</f>
        <v>0</v>
      </c>
      <c r="M148" s="74">
        <f t="shared" si="12"/>
        <v>0</v>
      </c>
      <c r="N148" s="74">
        <f t="shared" si="13"/>
        <v>0</v>
      </c>
      <c r="O148" s="94">
        <f t="shared" si="14"/>
        <v>0</v>
      </c>
    </row>
    <row r="149" spans="1:15" ht="15" customHeight="1" x14ac:dyDescent="0.25">
      <c r="A149" s="75">
        <v>142</v>
      </c>
      <c r="B149" s="75"/>
      <c r="C149" s="75">
        <f>'SKU Master'!C126</f>
        <v>0</v>
      </c>
      <c r="D149" s="75"/>
      <c r="E149" s="75"/>
      <c r="F149" s="148">
        <f>E149*(_xlfn.XLOOKUP(B149,'Ratio Master'!A:A,'Ratio Master'!G:G,""))</f>
        <v>0</v>
      </c>
      <c r="G149" s="70"/>
      <c r="H149" s="70">
        <f>IFERROR('SKU Master'!M126+0,0)</f>
        <v>0</v>
      </c>
      <c r="I149" s="76">
        <f t="shared" si="10"/>
        <v>0</v>
      </c>
      <c r="J149" s="70">
        <f>IFERROR('SKU Master'!N126+0,0)</f>
        <v>0</v>
      </c>
      <c r="K149" s="74">
        <f t="shared" si="11"/>
        <v>0</v>
      </c>
      <c r="L149" s="74">
        <f>I149*'SKU Master'!H126</f>
        <v>0</v>
      </c>
      <c r="M149" s="74">
        <f t="shared" si="12"/>
        <v>0</v>
      </c>
      <c r="N149" s="74">
        <f t="shared" si="13"/>
        <v>0</v>
      </c>
      <c r="O149" s="94">
        <f t="shared" si="14"/>
        <v>0</v>
      </c>
    </row>
    <row r="150" spans="1:15" ht="15" customHeight="1" x14ac:dyDescent="0.25">
      <c r="A150" s="75">
        <v>143</v>
      </c>
      <c r="B150" s="75"/>
      <c r="C150" s="75">
        <f>'SKU Master'!C127</f>
        <v>0</v>
      </c>
      <c r="D150" s="75"/>
      <c r="E150" s="75"/>
      <c r="F150" s="148">
        <f>E150*(_xlfn.XLOOKUP(B150,'Ratio Master'!A:A,'Ratio Master'!G:G,""))</f>
        <v>0</v>
      </c>
      <c r="G150" s="70"/>
      <c r="H150" s="70">
        <f>IFERROR('SKU Master'!M127+0,0)</f>
        <v>0</v>
      </c>
      <c r="I150" s="76">
        <f t="shared" si="10"/>
        <v>0</v>
      </c>
      <c r="J150" s="70">
        <f>IFERROR('SKU Master'!N127+0,0)</f>
        <v>0</v>
      </c>
      <c r="K150" s="74">
        <f t="shared" si="11"/>
        <v>0</v>
      </c>
      <c r="L150" s="74">
        <f>I150*'SKU Master'!H127</f>
        <v>0</v>
      </c>
      <c r="M150" s="74">
        <f t="shared" si="12"/>
        <v>0</v>
      </c>
      <c r="N150" s="74">
        <f t="shared" si="13"/>
        <v>0</v>
      </c>
      <c r="O150" s="94">
        <f t="shared" si="14"/>
        <v>0</v>
      </c>
    </row>
    <row r="151" spans="1:15" ht="15" customHeight="1" x14ac:dyDescent="0.25">
      <c r="A151" s="75">
        <v>144</v>
      </c>
      <c r="B151" s="75"/>
      <c r="C151" s="75">
        <f>'SKU Master'!C128</f>
        <v>0</v>
      </c>
      <c r="D151" s="75"/>
      <c r="E151" s="75"/>
      <c r="F151" s="148">
        <f>E151*(_xlfn.XLOOKUP(B151,'Ratio Master'!A:A,'Ratio Master'!G:G,""))</f>
        <v>0</v>
      </c>
      <c r="G151" s="70"/>
      <c r="H151" s="70">
        <f>IFERROR('SKU Master'!M128+0,0)</f>
        <v>0</v>
      </c>
      <c r="I151" s="76">
        <f t="shared" si="10"/>
        <v>0</v>
      </c>
      <c r="J151" s="70">
        <f>IFERROR('SKU Master'!N128+0,0)</f>
        <v>0</v>
      </c>
      <c r="K151" s="74">
        <f t="shared" si="11"/>
        <v>0</v>
      </c>
      <c r="L151" s="74">
        <f>I151*'SKU Master'!H128</f>
        <v>0</v>
      </c>
      <c r="M151" s="74">
        <f t="shared" si="12"/>
        <v>0</v>
      </c>
      <c r="N151" s="74">
        <f t="shared" si="13"/>
        <v>0</v>
      </c>
      <c r="O151" s="94">
        <f t="shared" si="14"/>
        <v>0</v>
      </c>
    </row>
    <row r="152" spans="1:15" ht="15" customHeight="1" x14ac:dyDescent="0.25">
      <c r="A152" s="75">
        <v>145</v>
      </c>
      <c r="B152" s="75"/>
      <c r="C152" s="75">
        <f>'SKU Master'!C129</f>
        <v>0</v>
      </c>
      <c r="D152" s="75"/>
      <c r="E152" s="75"/>
      <c r="F152" s="148">
        <f>E152*(_xlfn.XLOOKUP(B152,'Ratio Master'!A:A,'Ratio Master'!G:G,""))</f>
        <v>0</v>
      </c>
      <c r="G152" s="70"/>
      <c r="H152" s="70">
        <f>IFERROR('SKU Master'!M129+0,0)</f>
        <v>0</v>
      </c>
      <c r="I152" s="76">
        <f t="shared" si="10"/>
        <v>0</v>
      </c>
      <c r="J152" s="70">
        <f>IFERROR('SKU Master'!N129+0,0)</f>
        <v>0</v>
      </c>
      <c r="K152" s="74">
        <f t="shared" si="11"/>
        <v>0</v>
      </c>
      <c r="L152" s="74">
        <f>I152*'SKU Master'!H129</f>
        <v>0</v>
      </c>
      <c r="M152" s="74">
        <f t="shared" si="12"/>
        <v>0</v>
      </c>
      <c r="N152" s="74">
        <f t="shared" si="13"/>
        <v>0</v>
      </c>
      <c r="O152" s="94">
        <f t="shared" si="14"/>
        <v>0</v>
      </c>
    </row>
    <row r="153" spans="1:15" ht="15" customHeight="1" x14ac:dyDescent="0.25">
      <c r="A153" s="75">
        <v>146</v>
      </c>
      <c r="B153" s="75"/>
      <c r="C153" s="75">
        <f>'SKU Master'!C130</f>
        <v>0</v>
      </c>
      <c r="D153" s="75"/>
      <c r="E153" s="75"/>
      <c r="F153" s="148">
        <f>E153*(_xlfn.XLOOKUP(B153,'Ratio Master'!A:A,'Ratio Master'!G:G,""))</f>
        <v>0</v>
      </c>
      <c r="G153" s="70"/>
      <c r="H153" s="70">
        <f>IFERROR('SKU Master'!M130+0,0)</f>
        <v>0</v>
      </c>
      <c r="I153" s="76">
        <f t="shared" si="10"/>
        <v>0</v>
      </c>
      <c r="J153" s="70">
        <f>IFERROR('SKU Master'!N130+0,0)</f>
        <v>0</v>
      </c>
      <c r="K153" s="74">
        <f t="shared" si="11"/>
        <v>0</v>
      </c>
      <c r="L153" s="74">
        <f>I153*'SKU Master'!H130</f>
        <v>0</v>
      </c>
      <c r="M153" s="74">
        <f t="shared" si="12"/>
        <v>0</v>
      </c>
      <c r="N153" s="74">
        <f t="shared" si="13"/>
        <v>0</v>
      </c>
      <c r="O153" s="94">
        <f t="shared" si="14"/>
        <v>0</v>
      </c>
    </row>
    <row r="154" spans="1:15" ht="15" customHeight="1" x14ac:dyDescent="0.25">
      <c r="A154" s="75">
        <v>147</v>
      </c>
      <c r="B154" s="75"/>
      <c r="C154" s="75">
        <f>'SKU Master'!C131</f>
        <v>0</v>
      </c>
      <c r="D154" s="75"/>
      <c r="E154" s="75"/>
      <c r="F154" s="148">
        <f>E154*(_xlfn.XLOOKUP(B154,'Ratio Master'!A:A,'Ratio Master'!G:G,""))</f>
        <v>0</v>
      </c>
      <c r="G154" s="70"/>
      <c r="H154" s="70">
        <f>IFERROR('SKU Master'!M131+0,0)</f>
        <v>0</v>
      </c>
      <c r="I154" s="76">
        <f t="shared" si="10"/>
        <v>0</v>
      </c>
      <c r="J154" s="70">
        <f>IFERROR('SKU Master'!N131+0,0)</f>
        <v>0</v>
      </c>
      <c r="K154" s="74">
        <f t="shared" si="11"/>
        <v>0</v>
      </c>
      <c r="L154" s="74">
        <f>I154*'SKU Master'!H131</f>
        <v>0</v>
      </c>
      <c r="M154" s="74">
        <f t="shared" si="12"/>
        <v>0</v>
      </c>
      <c r="N154" s="74">
        <f t="shared" si="13"/>
        <v>0</v>
      </c>
      <c r="O154" s="94">
        <f t="shared" si="14"/>
        <v>0</v>
      </c>
    </row>
    <row r="155" spans="1:15" ht="15" customHeight="1" x14ac:dyDescent="0.25">
      <c r="A155" s="75">
        <v>148</v>
      </c>
      <c r="B155" s="75"/>
      <c r="C155" s="75">
        <f>'SKU Master'!C132</f>
        <v>0</v>
      </c>
      <c r="D155" s="75"/>
      <c r="E155" s="75"/>
      <c r="F155" s="148">
        <f>E155*(_xlfn.XLOOKUP(B155,'Ratio Master'!A:A,'Ratio Master'!G:G,""))</f>
        <v>0</v>
      </c>
      <c r="G155" s="70"/>
      <c r="H155" s="70">
        <f>IFERROR('SKU Master'!M132+0,0)</f>
        <v>0</v>
      </c>
      <c r="I155" s="76">
        <f t="shared" si="10"/>
        <v>0</v>
      </c>
      <c r="J155" s="70">
        <f>IFERROR('SKU Master'!N132+0,0)</f>
        <v>0</v>
      </c>
      <c r="K155" s="74">
        <f t="shared" si="11"/>
        <v>0</v>
      </c>
      <c r="L155" s="74">
        <f>I155*'SKU Master'!H132</f>
        <v>0</v>
      </c>
      <c r="M155" s="74">
        <f t="shared" si="12"/>
        <v>0</v>
      </c>
      <c r="N155" s="74">
        <f t="shared" si="13"/>
        <v>0</v>
      </c>
      <c r="O155" s="94">
        <f t="shared" si="14"/>
        <v>0</v>
      </c>
    </row>
    <row r="156" spans="1:15" ht="15" customHeight="1" x14ac:dyDescent="0.25">
      <c r="A156" s="75">
        <v>149</v>
      </c>
      <c r="B156" s="75"/>
      <c r="C156" s="75">
        <f>'SKU Master'!C133</f>
        <v>0</v>
      </c>
      <c r="D156" s="75"/>
      <c r="E156" s="75"/>
      <c r="F156" s="148">
        <f>E156*(_xlfn.XLOOKUP(B156,'Ratio Master'!A:A,'Ratio Master'!G:G,""))</f>
        <v>0</v>
      </c>
      <c r="G156" s="70"/>
      <c r="H156" s="70">
        <f>IFERROR('SKU Master'!M133+0,0)</f>
        <v>0</v>
      </c>
      <c r="I156" s="76">
        <f t="shared" si="10"/>
        <v>0</v>
      </c>
      <c r="J156" s="70">
        <f>IFERROR('SKU Master'!N133+0,0)</f>
        <v>0</v>
      </c>
      <c r="K156" s="74">
        <f t="shared" si="11"/>
        <v>0</v>
      </c>
      <c r="L156" s="74">
        <f>I156*'SKU Master'!H133</f>
        <v>0</v>
      </c>
      <c r="M156" s="74">
        <f t="shared" si="12"/>
        <v>0</v>
      </c>
      <c r="N156" s="74">
        <f t="shared" si="13"/>
        <v>0</v>
      </c>
      <c r="O156" s="94">
        <f t="shared" si="14"/>
        <v>0</v>
      </c>
    </row>
    <row r="157" spans="1:15" ht="15" customHeight="1" x14ac:dyDescent="0.25">
      <c r="A157" s="75">
        <v>150</v>
      </c>
      <c r="B157" s="75"/>
      <c r="C157" s="75">
        <f>'SKU Master'!C134</f>
        <v>0</v>
      </c>
      <c r="D157" s="75"/>
      <c r="E157" s="75"/>
      <c r="F157" s="148">
        <f>E157*(_xlfn.XLOOKUP(B157,'Ratio Master'!A:A,'Ratio Master'!G:G,""))</f>
        <v>0</v>
      </c>
      <c r="G157" s="70"/>
      <c r="H157" s="70">
        <f>IFERROR('SKU Master'!M134+0,0)</f>
        <v>0</v>
      </c>
      <c r="I157" s="76">
        <f t="shared" si="10"/>
        <v>0</v>
      </c>
      <c r="J157" s="70">
        <f>IFERROR('SKU Master'!N134+0,0)</f>
        <v>0</v>
      </c>
      <c r="K157" s="74">
        <f t="shared" si="11"/>
        <v>0</v>
      </c>
      <c r="L157" s="74">
        <f>I157*'SKU Master'!H134</f>
        <v>0</v>
      </c>
      <c r="M157" s="74">
        <f t="shared" si="12"/>
        <v>0</v>
      </c>
      <c r="N157" s="74">
        <f t="shared" si="13"/>
        <v>0</v>
      </c>
      <c r="O157" s="94">
        <f t="shared" si="14"/>
        <v>0</v>
      </c>
    </row>
    <row r="158" spans="1:15" ht="15" customHeight="1" x14ac:dyDescent="0.25">
      <c r="A158" s="75">
        <v>151</v>
      </c>
      <c r="B158" s="75"/>
      <c r="C158" s="75">
        <f>'SKU Master'!C135</f>
        <v>0</v>
      </c>
      <c r="D158" s="75"/>
      <c r="E158" s="75"/>
      <c r="F158" s="148">
        <f>E158*(_xlfn.XLOOKUP(B158,'Ratio Master'!A:A,'Ratio Master'!G:G,""))</f>
        <v>0</v>
      </c>
      <c r="G158" s="70"/>
      <c r="H158" s="70">
        <f>IFERROR('SKU Master'!M135+0,0)</f>
        <v>0</v>
      </c>
      <c r="I158" s="76">
        <f t="shared" si="10"/>
        <v>0</v>
      </c>
      <c r="J158" s="70">
        <f>IFERROR('SKU Master'!N135+0,0)</f>
        <v>0</v>
      </c>
      <c r="K158" s="74">
        <f t="shared" si="11"/>
        <v>0</v>
      </c>
      <c r="L158" s="74">
        <f>I158*'SKU Master'!H135</f>
        <v>0</v>
      </c>
      <c r="M158" s="74">
        <f t="shared" si="12"/>
        <v>0</v>
      </c>
      <c r="N158" s="74">
        <f t="shared" si="13"/>
        <v>0</v>
      </c>
      <c r="O158" s="94">
        <f t="shared" si="14"/>
        <v>0</v>
      </c>
    </row>
    <row r="159" spans="1:15" ht="15" customHeight="1" x14ac:dyDescent="0.25">
      <c r="A159" s="75">
        <v>152</v>
      </c>
      <c r="B159" s="75"/>
      <c r="C159" s="75">
        <f>'SKU Master'!C136</f>
        <v>0</v>
      </c>
      <c r="D159" s="75"/>
      <c r="E159" s="75"/>
      <c r="F159" s="148">
        <f>E159*(_xlfn.XLOOKUP(B159,'Ratio Master'!A:A,'Ratio Master'!G:G,""))</f>
        <v>0</v>
      </c>
      <c r="G159" s="70"/>
      <c r="H159" s="70">
        <f>IFERROR('SKU Master'!M136+0,0)</f>
        <v>0</v>
      </c>
      <c r="I159" s="76">
        <f t="shared" si="10"/>
        <v>0</v>
      </c>
      <c r="J159" s="70">
        <f>IFERROR('SKU Master'!N136+0,0)</f>
        <v>0</v>
      </c>
      <c r="K159" s="74">
        <f t="shared" si="11"/>
        <v>0</v>
      </c>
      <c r="L159" s="74">
        <f>I159*'SKU Master'!H136</f>
        <v>0</v>
      </c>
      <c r="M159" s="74">
        <f t="shared" si="12"/>
        <v>0</v>
      </c>
      <c r="N159" s="74">
        <f t="shared" si="13"/>
        <v>0</v>
      </c>
      <c r="O159" s="94">
        <f t="shared" si="14"/>
        <v>0</v>
      </c>
    </row>
    <row r="160" spans="1:15" ht="15" customHeight="1" x14ac:dyDescent="0.25">
      <c r="A160" s="75">
        <v>153</v>
      </c>
      <c r="B160" s="75"/>
      <c r="C160" s="75">
        <f>'SKU Master'!C137</f>
        <v>0</v>
      </c>
      <c r="D160" s="75"/>
      <c r="E160" s="75"/>
      <c r="F160" s="148">
        <f>E160*(_xlfn.XLOOKUP(B160,'Ratio Master'!A:A,'Ratio Master'!G:G,""))</f>
        <v>0</v>
      </c>
      <c r="G160" s="70"/>
      <c r="H160" s="70">
        <f>IFERROR('SKU Master'!M137+0,0)</f>
        <v>0</v>
      </c>
      <c r="I160" s="76">
        <f t="shared" si="10"/>
        <v>0</v>
      </c>
      <c r="J160" s="70">
        <f>IFERROR('SKU Master'!N137+0,0)</f>
        <v>0</v>
      </c>
      <c r="K160" s="74">
        <f t="shared" si="11"/>
        <v>0</v>
      </c>
      <c r="L160" s="74">
        <f>I160*'SKU Master'!H137</f>
        <v>0</v>
      </c>
      <c r="M160" s="74">
        <f t="shared" si="12"/>
        <v>0</v>
      </c>
      <c r="N160" s="74">
        <f t="shared" si="13"/>
        <v>0</v>
      </c>
      <c r="O160" s="94">
        <f t="shared" si="14"/>
        <v>0</v>
      </c>
    </row>
    <row r="161" spans="1:15" ht="15" customHeight="1" x14ac:dyDescent="0.25">
      <c r="A161" s="75">
        <v>154</v>
      </c>
      <c r="B161" s="75"/>
      <c r="C161" s="75">
        <f>'SKU Master'!C138</f>
        <v>0</v>
      </c>
      <c r="D161" s="75"/>
      <c r="E161" s="75"/>
      <c r="F161" s="148">
        <f>E161*(_xlfn.XLOOKUP(B161,'Ratio Master'!A:A,'Ratio Master'!G:G,""))</f>
        <v>0</v>
      </c>
      <c r="G161" s="70"/>
      <c r="H161" s="70">
        <f>IFERROR('SKU Master'!M138+0,0)</f>
        <v>0</v>
      </c>
      <c r="I161" s="76">
        <f t="shared" si="10"/>
        <v>0</v>
      </c>
      <c r="J161" s="70">
        <f>IFERROR('SKU Master'!N138+0,0)</f>
        <v>0</v>
      </c>
      <c r="K161" s="74">
        <f t="shared" si="11"/>
        <v>0</v>
      </c>
      <c r="L161" s="74">
        <f>I161*'SKU Master'!H138</f>
        <v>0</v>
      </c>
      <c r="M161" s="74">
        <f t="shared" si="12"/>
        <v>0</v>
      </c>
      <c r="N161" s="74">
        <f t="shared" si="13"/>
        <v>0</v>
      </c>
      <c r="O161" s="94">
        <f t="shared" si="14"/>
        <v>0</v>
      </c>
    </row>
    <row r="162" spans="1:15" ht="15" customHeight="1" x14ac:dyDescent="0.25">
      <c r="A162" s="75">
        <v>155</v>
      </c>
      <c r="B162" s="75"/>
      <c r="C162" s="75">
        <f>'SKU Master'!C139</f>
        <v>0</v>
      </c>
      <c r="D162" s="75"/>
      <c r="E162" s="75"/>
      <c r="F162" s="148">
        <f>E162*(_xlfn.XLOOKUP(B162,'Ratio Master'!A:A,'Ratio Master'!G:G,""))</f>
        <v>0</v>
      </c>
      <c r="G162" s="70"/>
      <c r="H162" s="70">
        <f>IFERROR('SKU Master'!M139+0,0)</f>
        <v>0</v>
      </c>
      <c r="I162" s="76">
        <f t="shared" si="10"/>
        <v>0</v>
      </c>
      <c r="J162" s="70">
        <f>IFERROR('SKU Master'!N139+0,0)</f>
        <v>0</v>
      </c>
      <c r="K162" s="74">
        <f t="shared" si="11"/>
        <v>0</v>
      </c>
      <c r="L162" s="74">
        <f>I162*'SKU Master'!H139</f>
        <v>0</v>
      </c>
      <c r="M162" s="74">
        <f t="shared" si="12"/>
        <v>0</v>
      </c>
      <c r="N162" s="74">
        <f t="shared" si="13"/>
        <v>0</v>
      </c>
      <c r="O162" s="94">
        <f t="shared" si="14"/>
        <v>0</v>
      </c>
    </row>
    <row r="163" spans="1:15" ht="15" customHeight="1" x14ac:dyDescent="0.25">
      <c r="A163" s="75">
        <v>156</v>
      </c>
      <c r="B163" s="75"/>
      <c r="C163" s="75">
        <f>'SKU Master'!C140</f>
        <v>0</v>
      </c>
      <c r="D163" s="75"/>
      <c r="E163" s="75"/>
      <c r="F163" s="148">
        <f>E163*(_xlfn.XLOOKUP(B163,'Ratio Master'!A:A,'Ratio Master'!G:G,""))</f>
        <v>0</v>
      </c>
      <c r="G163" s="70"/>
      <c r="H163" s="70">
        <f>IFERROR('SKU Master'!M140+0,0)</f>
        <v>0</v>
      </c>
      <c r="I163" s="76">
        <f t="shared" si="10"/>
        <v>0</v>
      </c>
      <c r="J163" s="70">
        <f>IFERROR('SKU Master'!N140+0,0)</f>
        <v>0</v>
      </c>
      <c r="K163" s="74">
        <f t="shared" si="11"/>
        <v>0</v>
      </c>
      <c r="L163" s="74">
        <f>I163*'SKU Master'!H140</f>
        <v>0</v>
      </c>
      <c r="M163" s="74">
        <f t="shared" si="12"/>
        <v>0</v>
      </c>
      <c r="N163" s="74">
        <f t="shared" si="13"/>
        <v>0</v>
      </c>
      <c r="O163" s="94">
        <f t="shared" si="14"/>
        <v>0</v>
      </c>
    </row>
    <row r="164" spans="1:15" ht="15" customHeight="1" x14ac:dyDescent="0.25">
      <c r="A164" s="75">
        <v>157</v>
      </c>
      <c r="B164" s="75"/>
      <c r="C164" s="75">
        <f>'SKU Master'!C141</f>
        <v>0</v>
      </c>
      <c r="D164" s="75"/>
      <c r="E164" s="75"/>
      <c r="F164" s="148">
        <f>E164*(_xlfn.XLOOKUP(B164,'Ratio Master'!A:A,'Ratio Master'!G:G,""))</f>
        <v>0</v>
      </c>
      <c r="G164" s="70"/>
      <c r="H164" s="70">
        <f>IFERROR('SKU Master'!M141+0,0)</f>
        <v>0</v>
      </c>
      <c r="I164" s="76">
        <f t="shared" si="10"/>
        <v>0</v>
      </c>
      <c r="J164" s="70">
        <f>IFERROR('SKU Master'!N141+0,0)</f>
        <v>0</v>
      </c>
      <c r="K164" s="74">
        <f t="shared" si="11"/>
        <v>0</v>
      </c>
      <c r="L164" s="74">
        <f>I164*'SKU Master'!H141</f>
        <v>0</v>
      </c>
      <c r="M164" s="74">
        <f t="shared" si="12"/>
        <v>0</v>
      </c>
      <c r="N164" s="74">
        <f t="shared" si="13"/>
        <v>0</v>
      </c>
      <c r="O164" s="94">
        <f t="shared" si="14"/>
        <v>0</v>
      </c>
    </row>
    <row r="165" spans="1:15" ht="15" customHeight="1" x14ac:dyDescent="0.25">
      <c r="A165" s="75">
        <v>158</v>
      </c>
      <c r="B165" s="75"/>
      <c r="C165" s="75">
        <f>'SKU Master'!C142</f>
        <v>0</v>
      </c>
      <c r="D165" s="75"/>
      <c r="E165" s="75"/>
      <c r="F165" s="148">
        <f>E165*(_xlfn.XLOOKUP(B165,'Ratio Master'!A:A,'Ratio Master'!G:G,""))</f>
        <v>0</v>
      </c>
      <c r="G165" s="70"/>
      <c r="H165" s="70">
        <f>IFERROR('SKU Master'!M142+0,0)</f>
        <v>0</v>
      </c>
      <c r="I165" s="76">
        <f t="shared" si="10"/>
        <v>0</v>
      </c>
      <c r="J165" s="70">
        <f>IFERROR('SKU Master'!N142+0,0)</f>
        <v>0</v>
      </c>
      <c r="K165" s="74">
        <f t="shared" si="11"/>
        <v>0</v>
      </c>
      <c r="L165" s="74">
        <f>I165*'SKU Master'!H142</f>
        <v>0</v>
      </c>
      <c r="M165" s="74">
        <f t="shared" si="12"/>
        <v>0</v>
      </c>
      <c r="N165" s="74">
        <f t="shared" si="13"/>
        <v>0</v>
      </c>
      <c r="O165" s="94">
        <f t="shared" si="14"/>
        <v>0</v>
      </c>
    </row>
    <row r="166" spans="1:15" ht="15" customHeight="1" x14ac:dyDescent="0.25">
      <c r="A166" s="75">
        <v>159</v>
      </c>
      <c r="B166" s="75"/>
      <c r="C166" s="75">
        <f>'SKU Master'!C143</f>
        <v>0</v>
      </c>
      <c r="D166" s="75"/>
      <c r="E166" s="75"/>
      <c r="F166" s="148">
        <f>E166*(_xlfn.XLOOKUP(B166,'Ratio Master'!A:A,'Ratio Master'!G:G,""))</f>
        <v>0</v>
      </c>
      <c r="G166" s="70"/>
      <c r="H166" s="70">
        <f>IFERROR('SKU Master'!M143+0,0)</f>
        <v>0</v>
      </c>
      <c r="I166" s="76">
        <f t="shared" si="10"/>
        <v>0</v>
      </c>
      <c r="J166" s="70">
        <f>IFERROR('SKU Master'!N143+0,0)</f>
        <v>0</v>
      </c>
      <c r="K166" s="74">
        <f t="shared" si="11"/>
        <v>0</v>
      </c>
      <c r="L166" s="74">
        <f>I166*'SKU Master'!H143</f>
        <v>0</v>
      </c>
      <c r="M166" s="74">
        <f t="shared" si="12"/>
        <v>0</v>
      </c>
      <c r="N166" s="74">
        <f t="shared" si="13"/>
        <v>0</v>
      </c>
      <c r="O166" s="94">
        <f t="shared" si="14"/>
        <v>0</v>
      </c>
    </row>
    <row r="167" spans="1:15" ht="15" customHeight="1" x14ac:dyDescent="0.25">
      <c r="A167" s="75">
        <v>160</v>
      </c>
      <c r="B167" s="75"/>
      <c r="C167" s="75">
        <f>'SKU Master'!C144</f>
        <v>0</v>
      </c>
      <c r="D167" s="75"/>
      <c r="E167" s="75"/>
      <c r="F167" s="148">
        <f>E167*(_xlfn.XLOOKUP(B167,'Ratio Master'!A:A,'Ratio Master'!G:G,""))</f>
        <v>0</v>
      </c>
      <c r="G167" s="70"/>
      <c r="H167" s="70">
        <f>IFERROR('SKU Master'!M144+0,0)</f>
        <v>0</v>
      </c>
      <c r="I167" s="76">
        <f t="shared" si="10"/>
        <v>0</v>
      </c>
      <c r="J167" s="70">
        <f>IFERROR('SKU Master'!N144+0,0)</f>
        <v>0</v>
      </c>
      <c r="K167" s="74">
        <f t="shared" si="11"/>
        <v>0</v>
      </c>
      <c r="L167" s="74">
        <f>I167*'SKU Master'!H144</f>
        <v>0</v>
      </c>
      <c r="M167" s="74">
        <f t="shared" si="12"/>
        <v>0</v>
      </c>
      <c r="N167" s="74">
        <f t="shared" si="13"/>
        <v>0</v>
      </c>
      <c r="O167" s="94">
        <f t="shared" si="14"/>
        <v>0</v>
      </c>
    </row>
    <row r="168" spans="1:15" ht="15" customHeight="1" x14ac:dyDescent="0.25">
      <c r="A168" s="75">
        <v>161</v>
      </c>
      <c r="B168" s="75"/>
      <c r="C168" s="75">
        <f>'SKU Master'!C145</f>
        <v>0</v>
      </c>
      <c r="D168" s="75"/>
      <c r="E168" s="75"/>
      <c r="F168" s="148">
        <f>E168*(_xlfn.XLOOKUP(B168,'Ratio Master'!A:A,'Ratio Master'!G:G,""))</f>
        <v>0</v>
      </c>
      <c r="G168" s="70"/>
      <c r="H168" s="70">
        <f>IFERROR('SKU Master'!M145+0,0)</f>
        <v>0</v>
      </c>
      <c r="I168" s="76">
        <f t="shared" si="10"/>
        <v>0</v>
      </c>
      <c r="J168" s="70">
        <f>IFERROR('SKU Master'!N145+0,0)</f>
        <v>0</v>
      </c>
      <c r="K168" s="74">
        <f t="shared" si="11"/>
        <v>0</v>
      </c>
      <c r="L168" s="74">
        <f>I168*'SKU Master'!H145</f>
        <v>0</v>
      </c>
      <c r="M168" s="74">
        <f t="shared" si="12"/>
        <v>0</v>
      </c>
      <c r="N168" s="74">
        <f t="shared" si="13"/>
        <v>0</v>
      </c>
      <c r="O168" s="94">
        <f t="shared" si="14"/>
        <v>0</v>
      </c>
    </row>
    <row r="169" spans="1:15" ht="15" customHeight="1" x14ac:dyDescent="0.25">
      <c r="A169" s="75">
        <v>162</v>
      </c>
      <c r="B169" s="75"/>
      <c r="C169" s="75">
        <f>'SKU Master'!C146</f>
        <v>0</v>
      </c>
      <c r="D169" s="75"/>
      <c r="E169" s="75"/>
      <c r="F169" s="148">
        <f>E169*(_xlfn.XLOOKUP(B169,'Ratio Master'!A:A,'Ratio Master'!G:G,""))</f>
        <v>0</v>
      </c>
      <c r="G169" s="70"/>
      <c r="H169" s="70">
        <f>IFERROR('SKU Master'!M146+0,0)</f>
        <v>0</v>
      </c>
      <c r="I169" s="76">
        <f t="shared" si="10"/>
        <v>0</v>
      </c>
      <c r="J169" s="70">
        <f>IFERROR('SKU Master'!N146+0,0)</f>
        <v>0</v>
      </c>
      <c r="K169" s="74">
        <f t="shared" si="11"/>
        <v>0</v>
      </c>
      <c r="L169" s="74">
        <f>I169*'SKU Master'!H146</f>
        <v>0</v>
      </c>
      <c r="M169" s="74">
        <f t="shared" si="12"/>
        <v>0</v>
      </c>
      <c r="N169" s="74">
        <f t="shared" si="13"/>
        <v>0</v>
      </c>
      <c r="O169" s="94">
        <f t="shared" si="14"/>
        <v>0</v>
      </c>
    </row>
    <row r="170" spans="1:15" ht="15" customHeight="1" x14ac:dyDescent="0.25">
      <c r="A170" s="75">
        <v>163</v>
      </c>
      <c r="B170" s="75"/>
      <c r="C170" s="75">
        <f>'SKU Master'!C147</f>
        <v>0</v>
      </c>
      <c r="D170" s="75"/>
      <c r="E170" s="75"/>
      <c r="F170" s="148">
        <f>E170*(_xlfn.XLOOKUP(B170,'Ratio Master'!A:A,'Ratio Master'!G:G,""))</f>
        <v>0</v>
      </c>
      <c r="G170" s="70"/>
      <c r="H170" s="70">
        <f>IFERROR('SKU Master'!M147+0,0)</f>
        <v>0</v>
      </c>
      <c r="I170" s="76">
        <f t="shared" si="10"/>
        <v>0</v>
      </c>
      <c r="J170" s="70">
        <f>IFERROR('SKU Master'!N147+0,0)</f>
        <v>0</v>
      </c>
      <c r="K170" s="74">
        <f t="shared" si="11"/>
        <v>0</v>
      </c>
      <c r="L170" s="74">
        <f>I170*'SKU Master'!H147</f>
        <v>0</v>
      </c>
      <c r="M170" s="74">
        <f t="shared" si="12"/>
        <v>0</v>
      </c>
      <c r="N170" s="74">
        <f t="shared" si="13"/>
        <v>0</v>
      </c>
      <c r="O170" s="94">
        <f t="shared" si="14"/>
        <v>0</v>
      </c>
    </row>
    <row r="171" spans="1:15" ht="15" customHeight="1" x14ac:dyDescent="0.25">
      <c r="A171" s="75">
        <v>164</v>
      </c>
      <c r="B171" s="75"/>
      <c r="C171" s="75">
        <f>'SKU Master'!C148</f>
        <v>0</v>
      </c>
      <c r="D171" s="75"/>
      <c r="E171" s="75"/>
      <c r="F171" s="148">
        <f>E171*(_xlfn.XLOOKUP(B171,'Ratio Master'!A:A,'Ratio Master'!G:G,""))</f>
        <v>0</v>
      </c>
      <c r="G171" s="70"/>
      <c r="H171" s="70">
        <f>IFERROR('SKU Master'!M148+0,0)</f>
        <v>0</v>
      </c>
      <c r="I171" s="76">
        <f t="shared" si="10"/>
        <v>0</v>
      </c>
      <c r="J171" s="70">
        <f>IFERROR('SKU Master'!N148+0,0)</f>
        <v>0</v>
      </c>
      <c r="K171" s="74">
        <f t="shared" si="11"/>
        <v>0</v>
      </c>
      <c r="L171" s="74">
        <f>I171*'SKU Master'!H148</f>
        <v>0</v>
      </c>
      <c r="M171" s="74">
        <f t="shared" si="12"/>
        <v>0</v>
      </c>
      <c r="N171" s="74">
        <f t="shared" si="13"/>
        <v>0</v>
      </c>
      <c r="O171" s="94">
        <f t="shared" si="14"/>
        <v>0</v>
      </c>
    </row>
    <row r="172" spans="1:15" ht="15" customHeight="1" x14ac:dyDescent="0.25">
      <c r="A172" s="75">
        <v>165</v>
      </c>
      <c r="B172" s="75"/>
      <c r="C172" s="75">
        <f>'SKU Master'!C149</f>
        <v>0</v>
      </c>
      <c r="D172" s="75"/>
      <c r="E172" s="75"/>
      <c r="F172" s="148">
        <f>E172*(_xlfn.XLOOKUP(B172,'Ratio Master'!A:A,'Ratio Master'!G:G,""))</f>
        <v>0</v>
      </c>
      <c r="G172" s="70"/>
      <c r="H172" s="70">
        <f>IFERROR('SKU Master'!M149+0,0)</f>
        <v>0</v>
      </c>
      <c r="I172" s="76">
        <f t="shared" si="10"/>
        <v>0</v>
      </c>
      <c r="J172" s="70">
        <f>IFERROR('SKU Master'!N149+0,0)</f>
        <v>0</v>
      </c>
      <c r="K172" s="74">
        <f t="shared" si="11"/>
        <v>0</v>
      </c>
      <c r="L172" s="74">
        <f>I172*'SKU Master'!H149</f>
        <v>0</v>
      </c>
      <c r="M172" s="74">
        <f t="shared" si="12"/>
        <v>0</v>
      </c>
      <c r="N172" s="74">
        <f t="shared" si="13"/>
        <v>0</v>
      </c>
      <c r="O172" s="94">
        <f t="shared" si="14"/>
        <v>0</v>
      </c>
    </row>
    <row r="173" spans="1:15" ht="15" customHeight="1" x14ac:dyDescent="0.25">
      <c r="A173" s="75">
        <v>166</v>
      </c>
      <c r="B173" s="75"/>
      <c r="C173" s="75">
        <f>'SKU Master'!C150</f>
        <v>0</v>
      </c>
      <c r="D173" s="75"/>
      <c r="E173" s="75"/>
      <c r="F173" s="148">
        <f>E173*(_xlfn.XLOOKUP(B173,'Ratio Master'!A:A,'Ratio Master'!G:G,""))</f>
        <v>0</v>
      </c>
      <c r="G173" s="70"/>
      <c r="H173" s="70">
        <f>IFERROR('SKU Master'!M150+0,0)</f>
        <v>0</v>
      </c>
      <c r="I173" s="76">
        <f t="shared" si="10"/>
        <v>0</v>
      </c>
      <c r="J173" s="70">
        <f>IFERROR('SKU Master'!N150+0,0)</f>
        <v>0</v>
      </c>
      <c r="K173" s="74">
        <f t="shared" si="11"/>
        <v>0</v>
      </c>
      <c r="L173" s="74">
        <f>I173*'SKU Master'!H150</f>
        <v>0</v>
      </c>
      <c r="M173" s="74">
        <f t="shared" si="12"/>
        <v>0</v>
      </c>
      <c r="N173" s="74">
        <f t="shared" si="13"/>
        <v>0</v>
      </c>
      <c r="O173" s="94">
        <f t="shared" si="14"/>
        <v>0</v>
      </c>
    </row>
    <row r="174" spans="1:15" ht="15" customHeight="1" x14ac:dyDescent="0.25">
      <c r="A174" s="75">
        <v>167</v>
      </c>
      <c r="B174" s="75"/>
      <c r="C174" s="75">
        <f>'SKU Master'!C151</f>
        <v>0</v>
      </c>
      <c r="D174" s="75"/>
      <c r="E174" s="75"/>
      <c r="F174" s="148">
        <f>E174*(_xlfn.XLOOKUP(B174,'Ratio Master'!A:A,'Ratio Master'!G:G,""))</f>
        <v>0</v>
      </c>
      <c r="G174" s="70"/>
      <c r="H174" s="70">
        <f>IFERROR('SKU Master'!M151+0,0)</f>
        <v>0</v>
      </c>
      <c r="I174" s="76">
        <f t="shared" si="10"/>
        <v>0</v>
      </c>
      <c r="J174" s="70">
        <f>IFERROR('SKU Master'!N151+0,0)</f>
        <v>0</v>
      </c>
      <c r="K174" s="74">
        <f t="shared" si="11"/>
        <v>0</v>
      </c>
      <c r="L174" s="74">
        <f>I174*'SKU Master'!H151</f>
        <v>0</v>
      </c>
      <c r="M174" s="74">
        <f t="shared" si="12"/>
        <v>0</v>
      </c>
      <c r="N174" s="74">
        <f t="shared" si="13"/>
        <v>0</v>
      </c>
      <c r="O174" s="94">
        <f t="shared" si="14"/>
        <v>0</v>
      </c>
    </row>
    <row r="175" spans="1:15" ht="15" customHeight="1" x14ac:dyDescent="0.25">
      <c r="A175" s="75">
        <v>168</v>
      </c>
      <c r="B175" s="75"/>
      <c r="C175" s="75">
        <f>'SKU Master'!C152</f>
        <v>0</v>
      </c>
      <c r="D175" s="75"/>
      <c r="E175" s="75"/>
      <c r="F175" s="148">
        <f>E175*(_xlfn.XLOOKUP(B175,'Ratio Master'!A:A,'Ratio Master'!G:G,""))</f>
        <v>0</v>
      </c>
      <c r="G175" s="70"/>
      <c r="H175" s="70">
        <f>IFERROR('SKU Master'!M152+0,0)</f>
        <v>0</v>
      </c>
      <c r="I175" s="76">
        <f t="shared" si="10"/>
        <v>0</v>
      </c>
      <c r="J175" s="70">
        <f>IFERROR('SKU Master'!N152+0,0)</f>
        <v>0</v>
      </c>
      <c r="K175" s="74">
        <f t="shared" si="11"/>
        <v>0</v>
      </c>
      <c r="L175" s="74">
        <f>I175*'SKU Master'!H152</f>
        <v>0</v>
      </c>
      <c r="M175" s="74">
        <f t="shared" si="12"/>
        <v>0</v>
      </c>
      <c r="N175" s="74">
        <f t="shared" si="13"/>
        <v>0</v>
      </c>
      <c r="O175" s="94">
        <f t="shared" si="14"/>
        <v>0</v>
      </c>
    </row>
    <row r="176" spans="1:15" ht="15" customHeight="1" x14ac:dyDescent="0.25">
      <c r="A176" s="75">
        <v>169</v>
      </c>
      <c r="B176" s="75"/>
      <c r="C176" s="75">
        <f>'SKU Master'!C153</f>
        <v>0</v>
      </c>
      <c r="D176" s="75"/>
      <c r="E176" s="75"/>
      <c r="F176" s="148">
        <f>E176*(_xlfn.XLOOKUP(B176,'Ratio Master'!A:A,'Ratio Master'!G:G,""))</f>
        <v>0</v>
      </c>
      <c r="G176" s="70"/>
      <c r="H176" s="70">
        <f>IFERROR('SKU Master'!M153+0,0)</f>
        <v>0</v>
      </c>
      <c r="I176" s="76">
        <f t="shared" si="10"/>
        <v>0</v>
      </c>
      <c r="J176" s="70">
        <f>IFERROR('SKU Master'!N153+0,0)</f>
        <v>0</v>
      </c>
      <c r="K176" s="74">
        <f t="shared" si="11"/>
        <v>0</v>
      </c>
      <c r="L176" s="74">
        <f>I176*'SKU Master'!H153</f>
        <v>0</v>
      </c>
      <c r="M176" s="74">
        <f t="shared" si="12"/>
        <v>0</v>
      </c>
      <c r="N176" s="74">
        <f t="shared" si="13"/>
        <v>0</v>
      </c>
      <c r="O176" s="94">
        <f t="shared" si="14"/>
        <v>0</v>
      </c>
    </row>
    <row r="177" spans="1:15" ht="15" customHeight="1" x14ac:dyDescent="0.25">
      <c r="A177" s="75">
        <v>170</v>
      </c>
      <c r="B177" s="75"/>
      <c r="C177" s="75">
        <f>'SKU Master'!C154</f>
        <v>0</v>
      </c>
      <c r="D177" s="75"/>
      <c r="E177" s="75"/>
      <c r="F177" s="148">
        <f>E177*(_xlfn.XLOOKUP(B177,'Ratio Master'!A:A,'Ratio Master'!G:G,""))</f>
        <v>0</v>
      </c>
      <c r="G177" s="70"/>
      <c r="H177" s="70">
        <f>IFERROR('SKU Master'!M154+0,0)</f>
        <v>0</v>
      </c>
      <c r="I177" s="76">
        <f t="shared" si="10"/>
        <v>0</v>
      </c>
      <c r="J177" s="70">
        <f>IFERROR('SKU Master'!N154+0,0)</f>
        <v>0</v>
      </c>
      <c r="K177" s="74">
        <f t="shared" si="11"/>
        <v>0</v>
      </c>
      <c r="L177" s="74">
        <f>I177*'SKU Master'!H154</f>
        <v>0</v>
      </c>
      <c r="M177" s="74">
        <f t="shared" si="12"/>
        <v>0</v>
      </c>
      <c r="N177" s="74">
        <f t="shared" si="13"/>
        <v>0</v>
      </c>
      <c r="O177" s="94">
        <f t="shared" si="14"/>
        <v>0</v>
      </c>
    </row>
    <row r="178" spans="1:15" ht="15" customHeight="1" x14ac:dyDescent="0.25">
      <c r="A178" s="75">
        <v>171</v>
      </c>
      <c r="B178" s="75"/>
      <c r="C178" s="75">
        <f>'SKU Master'!C155</f>
        <v>0</v>
      </c>
      <c r="D178" s="75"/>
      <c r="E178" s="75"/>
      <c r="F178" s="148">
        <f>E178*(_xlfn.XLOOKUP(B178,'Ratio Master'!A:A,'Ratio Master'!G:G,""))</f>
        <v>0</v>
      </c>
      <c r="G178" s="70"/>
      <c r="H178" s="70">
        <f>IFERROR('SKU Master'!M155+0,0)</f>
        <v>0</v>
      </c>
      <c r="I178" s="76">
        <f t="shared" si="10"/>
        <v>0</v>
      </c>
      <c r="J178" s="70">
        <f>IFERROR('SKU Master'!N155+0,0)</f>
        <v>0</v>
      </c>
      <c r="K178" s="74">
        <f t="shared" si="11"/>
        <v>0</v>
      </c>
      <c r="L178" s="74">
        <f>I178*'SKU Master'!H155</f>
        <v>0</v>
      </c>
      <c r="M178" s="74">
        <f t="shared" si="12"/>
        <v>0</v>
      </c>
      <c r="N178" s="74">
        <f t="shared" si="13"/>
        <v>0</v>
      </c>
      <c r="O178" s="94">
        <f t="shared" si="14"/>
        <v>0</v>
      </c>
    </row>
    <row r="179" spans="1:15" ht="15" customHeight="1" x14ac:dyDescent="0.25">
      <c r="A179" s="75">
        <v>172</v>
      </c>
      <c r="B179" s="75"/>
      <c r="C179" s="75">
        <f>'SKU Master'!C156</f>
        <v>0</v>
      </c>
      <c r="D179" s="75"/>
      <c r="E179" s="75"/>
      <c r="F179" s="148">
        <f>E179*(_xlfn.XLOOKUP(B179,'Ratio Master'!A:A,'Ratio Master'!G:G,""))</f>
        <v>0</v>
      </c>
      <c r="G179" s="70"/>
      <c r="H179" s="70">
        <f>IFERROR('SKU Master'!M156+0,0)</f>
        <v>0</v>
      </c>
      <c r="I179" s="76">
        <f t="shared" si="10"/>
        <v>0</v>
      </c>
      <c r="J179" s="70">
        <f>IFERROR('SKU Master'!N156+0,0)</f>
        <v>0</v>
      </c>
      <c r="K179" s="74">
        <f t="shared" si="11"/>
        <v>0</v>
      </c>
      <c r="L179" s="74">
        <f>I179*'SKU Master'!H156</f>
        <v>0</v>
      </c>
      <c r="M179" s="74">
        <f t="shared" si="12"/>
        <v>0</v>
      </c>
      <c r="N179" s="74">
        <f t="shared" si="13"/>
        <v>0</v>
      </c>
      <c r="O179" s="94">
        <f t="shared" si="14"/>
        <v>0</v>
      </c>
    </row>
    <row r="180" spans="1:15" ht="15" customHeight="1" x14ac:dyDescent="0.25">
      <c r="A180" s="75">
        <v>173</v>
      </c>
      <c r="B180" s="75"/>
      <c r="C180" s="75">
        <f>'SKU Master'!C157</f>
        <v>0</v>
      </c>
      <c r="D180" s="75"/>
      <c r="E180" s="75"/>
      <c r="F180" s="148">
        <f>E180*(_xlfn.XLOOKUP(B180,'Ratio Master'!A:A,'Ratio Master'!G:G,""))</f>
        <v>0</v>
      </c>
      <c r="G180" s="70"/>
      <c r="H180" s="70">
        <f>IFERROR('SKU Master'!M157+0,0)</f>
        <v>0</v>
      </c>
      <c r="I180" s="76">
        <f t="shared" si="10"/>
        <v>0</v>
      </c>
      <c r="J180" s="70">
        <f>IFERROR('SKU Master'!N157+0,0)</f>
        <v>0</v>
      </c>
      <c r="K180" s="74">
        <f t="shared" si="11"/>
        <v>0</v>
      </c>
      <c r="L180" s="74">
        <f>I180*'SKU Master'!H157</f>
        <v>0</v>
      </c>
      <c r="M180" s="74">
        <f t="shared" si="12"/>
        <v>0</v>
      </c>
      <c r="N180" s="74">
        <f t="shared" si="13"/>
        <v>0</v>
      </c>
      <c r="O180" s="94">
        <f t="shared" si="14"/>
        <v>0</v>
      </c>
    </row>
    <row r="181" spans="1:15" ht="15" customHeight="1" x14ac:dyDescent="0.25">
      <c r="A181" s="75">
        <v>174</v>
      </c>
      <c r="B181" s="75"/>
      <c r="C181" s="75">
        <f>'SKU Master'!C158</f>
        <v>0</v>
      </c>
      <c r="D181" s="75"/>
      <c r="E181" s="75"/>
      <c r="F181" s="148">
        <f>E181*(_xlfn.XLOOKUP(B181,'Ratio Master'!A:A,'Ratio Master'!G:G,""))</f>
        <v>0</v>
      </c>
      <c r="G181" s="70"/>
      <c r="H181" s="70">
        <f>IFERROR('SKU Master'!M158+0,0)</f>
        <v>0</v>
      </c>
      <c r="I181" s="76">
        <f t="shared" si="10"/>
        <v>0</v>
      </c>
      <c r="J181" s="70">
        <f>IFERROR('SKU Master'!N158+0,0)</f>
        <v>0</v>
      </c>
      <c r="K181" s="74">
        <f t="shared" si="11"/>
        <v>0</v>
      </c>
      <c r="L181" s="74">
        <f>I181*'SKU Master'!H158</f>
        <v>0</v>
      </c>
      <c r="M181" s="74">
        <f t="shared" si="12"/>
        <v>0</v>
      </c>
      <c r="N181" s="74">
        <f t="shared" si="13"/>
        <v>0</v>
      </c>
      <c r="O181" s="94">
        <f t="shared" si="14"/>
        <v>0</v>
      </c>
    </row>
    <row r="182" spans="1:15" ht="15" customHeight="1" x14ac:dyDescent="0.25">
      <c r="A182" s="75">
        <v>175</v>
      </c>
      <c r="B182" s="75"/>
      <c r="C182" s="75">
        <f>'SKU Master'!C159</f>
        <v>0</v>
      </c>
      <c r="D182" s="75"/>
      <c r="E182" s="75"/>
      <c r="F182" s="148">
        <f>E182*(_xlfn.XLOOKUP(B182,'Ratio Master'!A:A,'Ratio Master'!G:G,""))</f>
        <v>0</v>
      </c>
      <c r="G182" s="70"/>
      <c r="H182" s="70">
        <f>IFERROR('SKU Master'!M159+0,0)</f>
        <v>0</v>
      </c>
      <c r="I182" s="76">
        <f t="shared" si="10"/>
        <v>0</v>
      </c>
      <c r="J182" s="70">
        <f>IFERROR('SKU Master'!N159+0,0)</f>
        <v>0</v>
      </c>
      <c r="K182" s="74">
        <f t="shared" si="11"/>
        <v>0</v>
      </c>
      <c r="L182" s="74">
        <f>I182*'SKU Master'!H159</f>
        <v>0</v>
      </c>
      <c r="M182" s="74">
        <f t="shared" si="12"/>
        <v>0</v>
      </c>
      <c r="N182" s="74">
        <f t="shared" si="13"/>
        <v>0</v>
      </c>
      <c r="O182" s="94">
        <f t="shared" si="14"/>
        <v>0</v>
      </c>
    </row>
    <row r="183" spans="1:15" ht="15" customHeight="1" x14ac:dyDescent="0.25">
      <c r="A183" s="75">
        <v>176</v>
      </c>
      <c r="B183" s="75"/>
      <c r="C183" s="75">
        <f>'SKU Master'!C160</f>
        <v>0</v>
      </c>
      <c r="D183" s="75"/>
      <c r="E183" s="75"/>
      <c r="F183" s="148">
        <f>E183*(_xlfn.XLOOKUP(B183,'Ratio Master'!A:A,'Ratio Master'!G:G,""))</f>
        <v>0</v>
      </c>
      <c r="G183" s="70"/>
      <c r="H183" s="70">
        <f>IFERROR('SKU Master'!M160+0,0)</f>
        <v>0</v>
      </c>
      <c r="I183" s="76">
        <f t="shared" si="10"/>
        <v>0</v>
      </c>
      <c r="J183" s="70">
        <f>IFERROR('SKU Master'!N160+0,0)</f>
        <v>0</v>
      </c>
      <c r="K183" s="74">
        <f t="shared" si="11"/>
        <v>0</v>
      </c>
      <c r="L183" s="74">
        <f>I183*'SKU Master'!H160</f>
        <v>0</v>
      </c>
      <c r="M183" s="74">
        <f t="shared" si="12"/>
        <v>0</v>
      </c>
      <c r="N183" s="74">
        <f t="shared" si="13"/>
        <v>0</v>
      </c>
      <c r="O183" s="94">
        <f t="shared" si="14"/>
        <v>0</v>
      </c>
    </row>
    <row r="184" spans="1:15" ht="15" customHeight="1" x14ac:dyDescent="0.25">
      <c r="A184" s="75">
        <v>177</v>
      </c>
      <c r="B184" s="75"/>
      <c r="C184" s="75">
        <f>'SKU Master'!C161</f>
        <v>0</v>
      </c>
      <c r="D184" s="75"/>
      <c r="E184" s="75"/>
      <c r="F184" s="148">
        <f>E184*(_xlfn.XLOOKUP(B184,'Ratio Master'!A:A,'Ratio Master'!G:G,""))</f>
        <v>0</v>
      </c>
      <c r="G184" s="70"/>
      <c r="H184" s="70">
        <f>IFERROR('SKU Master'!M161+0,0)</f>
        <v>0</v>
      </c>
      <c r="I184" s="76">
        <f t="shared" si="10"/>
        <v>0</v>
      </c>
      <c r="J184" s="70">
        <f>IFERROR('SKU Master'!N161+0,0)</f>
        <v>0</v>
      </c>
      <c r="K184" s="74">
        <f t="shared" si="11"/>
        <v>0</v>
      </c>
      <c r="L184" s="74">
        <f>I184*'SKU Master'!H161</f>
        <v>0</v>
      </c>
      <c r="M184" s="74">
        <f t="shared" si="12"/>
        <v>0</v>
      </c>
      <c r="N184" s="74">
        <f t="shared" si="13"/>
        <v>0</v>
      </c>
      <c r="O184" s="94">
        <f t="shared" si="14"/>
        <v>0</v>
      </c>
    </row>
    <row r="185" spans="1:15" ht="15" customHeight="1" x14ac:dyDescent="0.25">
      <c r="A185" s="75">
        <v>178</v>
      </c>
      <c r="B185" s="75"/>
      <c r="C185" s="75">
        <f>'SKU Master'!C162</f>
        <v>0</v>
      </c>
      <c r="D185" s="75"/>
      <c r="E185" s="75"/>
      <c r="F185" s="148">
        <f>E185*(_xlfn.XLOOKUP(B185,'Ratio Master'!A:A,'Ratio Master'!G:G,""))</f>
        <v>0</v>
      </c>
      <c r="G185" s="70"/>
      <c r="H185" s="70">
        <f>IFERROR('SKU Master'!M162+0,0)</f>
        <v>0</v>
      </c>
      <c r="I185" s="76">
        <f t="shared" si="10"/>
        <v>0</v>
      </c>
      <c r="J185" s="70">
        <f>IFERROR('SKU Master'!N162+0,0)</f>
        <v>0</v>
      </c>
      <c r="K185" s="74">
        <f t="shared" si="11"/>
        <v>0</v>
      </c>
      <c r="L185" s="74">
        <f>I185*'SKU Master'!H162</f>
        <v>0</v>
      </c>
      <c r="M185" s="74">
        <f t="shared" si="12"/>
        <v>0</v>
      </c>
      <c r="N185" s="74">
        <f t="shared" si="13"/>
        <v>0</v>
      </c>
      <c r="O185" s="94">
        <f t="shared" si="14"/>
        <v>0</v>
      </c>
    </row>
    <row r="186" spans="1:15" ht="15" customHeight="1" x14ac:dyDescent="0.25">
      <c r="A186" s="75">
        <v>179</v>
      </c>
      <c r="B186" s="75"/>
      <c r="C186" s="75">
        <f>'SKU Master'!C163</f>
        <v>0</v>
      </c>
      <c r="D186" s="75"/>
      <c r="E186" s="75"/>
      <c r="F186" s="148">
        <f>E186*(_xlfn.XLOOKUP(B186,'Ratio Master'!A:A,'Ratio Master'!G:G,""))</f>
        <v>0</v>
      </c>
      <c r="G186" s="70"/>
      <c r="H186" s="70">
        <f>IFERROR('SKU Master'!M163+0,0)</f>
        <v>0</v>
      </c>
      <c r="I186" s="76">
        <f t="shared" si="10"/>
        <v>0</v>
      </c>
      <c r="J186" s="70">
        <f>IFERROR('SKU Master'!N163+0,0)</f>
        <v>0</v>
      </c>
      <c r="K186" s="74">
        <f t="shared" si="11"/>
        <v>0</v>
      </c>
      <c r="L186" s="74">
        <f>I186*'SKU Master'!H163</f>
        <v>0</v>
      </c>
      <c r="M186" s="74">
        <f t="shared" si="12"/>
        <v>0</v>
      </c>
      <c r="N186" s="74">
        <f t="shared" si="13"/>
        <v>0</v>
      </c>
      <c r="O186" s="94">
        <f t="shared" si="14"/>
        <v>0</v>
      </c>
    </row>
    <row r="187" spans="1:15" ht="15" customHeight="1" x14ac:dyDescent="0.25">
      <c r="A187" s="75">
        <v>180</v>
      </c>
      <c r="B187" s="75"/>
      <c r="C187" s="75">
        <f>'SKU Master'!C164</f>
        <v>0</v>
      </c>
      <c r="D187" s="75"/>
      <c r="E187" s="75"/>
      <c r="F187" s="148">
        <f>E187*(_xlfn.XLOOKUP(B187,'Ratio Master'!A:A,'Ratio Master'!G:G,""))</f>
        <v>0</v>
      </c>
      <c r="G187" s="70"/>
      <c r="H187" s="70">
        <f>IFERROR('SKU Master'!M164+0,0)</f>
        <v>0</v>
      </c>
      <c r="I187" s="76">
        <f t="shared" si="10"/>
        <v>0</v>
      </c>
      <c r="J187" s="70">
        <f>IFERROR('SKU Master'!N164+0,0)</f>
        <v>0</v>
      </c>
      <c r="K187" s="74">
        <f t="shared" si="11"/>
        <v>0</v>
      </c>
      <c r="L187" s="74">
        <f>I187*'SKU Master'!H164</f>
        <v>0</v>
      </c>
      <c r="M187" s="74">
        <f t="shared" si="12"/>
        <v>0</v>
      </c>
      <c r="N187" s="74">
        <f t="shared" si="13"/>
        <v>0</v>
      </c>
      <c r="O187" s="94">
        <f t="shared" si="14"/>
        <v>0</v>
      </c>
    </row>
    <row r="188" spans="1:15" ht="15" customHeight="1" x14ac:dyDescent="0.25">
      <c r="A188" s="75">
        <v>181</v>
      </c>
      <c r="B188" s="75"/>
      <c r="C188" s="75">
        <f>'SKU Master'!C165</f>
        <v>0</v>
      </c>
      <c r="D188" s="75"/>
      <c r="E188" s="75"/>
      <c r="F188" s="148">
        <f>E188*(_xlfn.XLOOKUP(B188,'Ratio Master'!A:A,'Ratio Master'!G:G,""))</f>
        <v>0</v>
      </c>
      <c r="G188" s="70"/>
      <c r="H188" s="70">
        <f>IFERROR('SKU Master'!M165+0,0)</f>
        <v>0</v>
      </c>
      <c r="I188" s="76">
        <f t="shared" si="10"/>
        <v>0</v>
      </c>
      <c r="J188" s="70">
        <f>IFERROR('SKU Master'!N165+0,0)</f>
        <v>0</v>
      </c>
      <c r="K188" s="74">
        <f t="shared" si="11"/>
        <v>0</v>
      </c>
      <c r="L188" s="74">
        <f>I188*'SKU Master'!H165</f>
        <v>0</v>
      </c>
      <c r="M188" s="74">
        <f t="shared" si="12"/>
        <v>0</v>
      </c>
      <c r="N188" s="74">
        <f t="shared" si="13"/>
        <v>0</v>
      </c>
      <c r="O188" s="94">
        <f t="shared" si="14"/>
        <v>0</v>
      </c>
    </row>
    <row r="189" spans="1:15" ht="15" customHeight="1" x14ac:dyDescent="0.25">
      <c r="A189" s="75">
        <v>182</v>
      </c>
      <c r="B189" s="75"/>
      <c r="C189" s="75">
        <f>'SKU Master'!C166</f>
        <v>0</v>
      </c>
      <c r="D189" s="75"/>
      <c r="E189" s="75"/>
      <c r="F189" s="148">
        <f>E189*(_xlfn.XLOOKUP(B189,'Ratio Master'!A:A,'Ratio Master'!G:G,""))</f>
        <v>0</v>
      </c>
      <c r="G189" s="70"/>
      <c r="H189" s="70">
        <f>IFERROR('SKU Master'!M166+0,0)</f>
        <v>0</v>
      </c>
      <c r="I189" s="76">
        <f t="shared" si="10"/>
        <v>0</v>
      </c>
      <c r="J189" s="70">
        <f>IFERROR('SKU Master'!N166+0,0)</f>
        <v>0</v>
      </c>
      <c r="K189" s="74">
        <f t="shared" si="11"/>
        <v>0</v>
      </c>
      <c r="L189" s="74">
        <f>I189*'SKU Master'!H166</f>
        <v>0</v>
      </c>
      <c r="M189" s="74">
        <f t="shared" si="12"/>
        <v>0</v>
      </c>
      <c r="N189" s="74">
        <f t="shared" si="13"/>
        <v>0</v>
      </c>
      <c r="O189" s="94">
        <f t="shared" si="14"/>
        <v>0</v>
      </c>
    </row>
    <row r="190" spans="1:15" ht="15" customHeight="1" x14ac:dyDescent="0.25">
      <c r="A190" s="75">
        <v>183</v>
      </c>
      <c r="B190" s="75"/>
      <c r="C190" s="75">
        <f>'SKU Master'!C167</f>
        <v>0</v>
      </c>
      <c r="D190" s="75"/>
      <c r="E190" s="75"/>
      <c r="F190" s="148">
        <f>E190*(_xlfn.XLOOKUP(B190,'Ratio Master'!A:A,'Ratio Master'!G:G,""))</f>
        <v>0</v>
      </c>
      <c r="G190" s="70"/>
      <c r="H190" s="70">
        <f>IFERROR('SKU Master'!M167+0,0)</f>
        <v>0</v>
      </c>
      <c r="I190" s="76">
        <f t="shared" si="10"/>
        <v>0</v>
      </c>
      <c r="J190" s="70">
        <f>IFERROR('SKU Master'!N167+0,0)</f>
        <v>0</v>
      </c>
      <c r="K190" s="74">
        <f t="shared" si="11"/>
        <v>0</v>
      </c>
      <c r="L190" s="74">
        <f>I190*'SKU Master'!H167</f>
        <v>0</v>
      </c>
      <c r="M190" s="74">
        <f t="shared" si="12"/>
        <v>0</v>
      </c>
      <c r="N190" s="74">
        <f t="shared" si="13"/>
        <v>0</v>
      </c>
      <c r="O190" s="94">
        <f t="shared" si="14"/>
        <v>0</v>
      </c>
    </row>
    <row r="191" spans="1:15" ht="15" customHeight="1" x14ac:dyDescent="0.25">
      <c r="A191" s="75">
        <v>184</v>
      </c>
      <c r="B191" s="75"/>
      <c r="C191" s="75">
        <f>'SKU Master'!C168</f>
        <v>0</v>
      </c>
      <c r="D191" s="75"/>
      <c r="E191" s="75"/>
      <c r="F191" s="148">
        <f>E191*(_xlfn.XLOOKUP(B191,'Ratio Master'!A:A,'Ratio Master'!G:G,""))</f>
        <v>0</v>
      </c>
      <c r="G191" s="70"/>
      <c r="H191" s="70">
        <f>IFERROR('SKU Master'!M168+0,0)</f>
        <v>0</v>
      </c>
      <c r="I191" s="76">
        <f t="shared" si="10"/>
        <v>0</v>
      </c>
      <c r="J191" s="70">
        <f>IFERROR('SKU Master'!N168+0,0)</f>
        <v>0</v>
      </c>
      <c r="K191" s="74">
        <f t="shared" si="11"/>
        <v>0</v>
      </c>
      <c r="L191" s="74">
        <f>I191*'SKU Master'!H168</f>
        <v>0</v>
      </c>
      <c r="M191" s="74">
        <f t="shared" si="12"/>
        <v>0</v>
      </c>
      <c r="N191" s="74">
        <f t="shared" si="13"/>
        <v>0</v>
      </c>
      <c r="O191" s="94">
        <f t="shared" si="14"/>
        <v>0</v>
      </c>
    </row>
    <row r="192" spans="1:15" ht="15" customHeight="1" x14ac:dyDescent="0.25">
      <c r="A192" s="75">
        <v>185</v>
      </c>
      <c r="B192" s="75"/>
      <c r="C192" s="75">
        <f>'SKU Master'!C169</f>
        <v>0</v>
      </c>
      <c r="D192" s="75"/>
      <c r="E192" s="75"/>
      <c r="F192" s="148">
        <f>E192*(_xlfn.XLOOKUP(B192,'Ratio Master'!A:A,'Ratio Master'!G:G,""))</f>
        <v>0</v>
      </c>
      <c r="G192" s="70"/>
      <c r="H192" s="70">
        <f>IFERROR('SKU Master'!M169+0,0)</f>
        <v>0</v>
      </c>
      <c r="I192" s="76">
        <f t="shared" si="10"/>
        <v>0</v>
      </c>
      <c r="J192" s="70">
        <f>IFERROR('SKU Master'!N169+0,0)</f>
        <v>0</v>
      </c>
      <c r="K192" s="74">
        <f t="shared" si="11"/>
        <v>0</v>
      </c>
      <c r="L192" s="74">
        <f>I192*'SKU Master'!H169</f>
        <v>0</v>
      </c>
      <c r="M192" s="74">
        <f t="shared" si="12"/>
        <v>0</v>
      </c>
      <c r="N192" s="74">
        <f t="shared" si="13"/>
        <v>0</v>
      </c>
      <c r="O192" s="94">
        <f t="shared" si="14"/>
        <v>0</v>
      </c>
    </row>
    <row r="193" spans="1:15" ht="15" customHeight="1" x14ac:dyDescent="0.25">
      <c r="A193" s="75">
        <v>186</v>
      </c>
      <c r="B193" s="75"/>
      <c r="C193" s="75">
        <f>'SKU Master'!C170</f>
        <v>0</v>
      </c>
      <c r="D193" s="75"/>
      <c r="E193" s="75"/>
      <c r="F193" s="148">
        <f>E193*(_xlfn.XLOOKUP(B193,'Ratio Master'!A:A,'Ratio Master'!G:G,""))</f>
        <v>0</v>
      </c>
      <c r="G193" s="70"/>
      <c r="H193" s="70">
        <f>IFERROR('SKU Master'!M170+0,0)</f>
        <v>0</v>
      </c>
      <c r="I193" s="76">
        <f t="shared" si="10"/>
        <v>0</v>
      </c>
      <c r="J193" s="70">
        <f>IFERROR('SKU Master'!N170+0,0)</f>
        <v>0</v>
      </c>
      <c r="K193" s="74">
        <f t="shared" si="11"/>
        <v>0</v>
      </c>
      <c r="L193" s="74">
        <f>I193*'SKU Master'!H170</f>
        <v>0</v>
      </c>
      <c r="M193" s="74">
        <f t="shared" si="12"/>
        <v>0</v>
      </c>
      <c r="N193" s="74">
        <f t="shared" si="13"/>
        <v>0</v>
      </c>
      <c r="O193" s="94">
        <f t="shared" si="14"/>
        <v>0</v>
      </c>
    </row>
    <row r="194" spans="1:15" ht="15" customHeight="1" x14ac:dyDescent="0.25">
      <c r="A194" s="75">
        <v>187</v>
      </c>
      <c r="B194" s="75"/>
      <c r="C194" s="75">
        <f>'SKU Master'!C171</f>
        <v>0</v>
      </c>
      <c r="D194" s="75"/>
      <c r="E194" s="75"/>
      <c r="F194" s="148">
        <f>E194*(_xlfn.XLOOKUP(B194,'Ratio Master'!A:A,'Ratio Master'!G:G,""))</f>
        <v>0</v>
      </c>
      <c r="G194" s="70"/>
      <c r="H194" s="70">
        <f>IFERROR('SKU Master'!M171+0,0)</f>
        <v>0</v>
      </c>
      <c r="I194" s="76">
        <f t="shared" si="10"/>
        <v>0</v>
      </c>
      <c r="J194" s="70">
        <f>IFERROR('SKU Master'!N171+0,0)</f>
        <v>0</v>
      </c>
      <c r="K194" s="74">
        <f t="shared" si="11"/>
        <v>0</v>
      </c>
      <c r="L194" s="74">
        <f>I194*'SKU Master'!H171</f>
        <v>0</v>
      </c>
      <c r="M194" s="74">
        <f t="shared" si="12"/>
        <v>0</v>
      </c>
      <c r="N194" s="74">
        <f t="shared" si="13"/>
        <v>0</v>
      </c>
      <c r="O194" s="94">
        <f t="shared" si="14"/>
        <v>0</v>
      </c>
    </row>
    <row r="195" spans="1:15" ht="15" customHeight="1" x14ac:dyDescent="0.25">
      <c r="A195" s="75">
        <v>188</v>
      </c>
      <c r="B195" s="75"/>
      <c r="C195" s="75">
        <f>'SKU Master'!C172</f>
        <v>0</v>
      </c>
      <c r="D195" s="75"/>
      <c r="E195" s="75"/>
      <c r="F195" s="148">
        <f>E195*(_xlfn.XLOOKUP(B195,'Ratio Master'!A:A,'Ratio Master'!G:G,""))</f>
        <v>0</v>
      </c>
      <c r="G195" s="70"/>
      <c r="H195" s="70">
        <f>IFERROR('SKU Master'!M172+0,0)</f>
        <v>0</v>
      </c>
      <c r="I195" s="76">
        <f t="shared" si="10"/>
        <v>0</v>
      </c>
      <c r="J195" s="70">
        <f>IFERROR('SKU Master'!N172+0,0)</f>
        <v>0</v>
      </c>
      <c r="K195" s="74">
        <f t="shared" si="11"/>
        <v>0</v>
      </c>
      <c r="L195" s="74">
        <f>I195*'SKU Master'!H172</f>
        <v>0</v>
      </c>
      <c r="M195" s="74">
        <f t="shared" si="12"/>
        <v>0</v>
      </c>
      <c r="N195" s="74">
        <f t="shared" si="13"/>
        <v>0</v>
      </c>
      <c r="O195" s="94">
        <f t="shared" si="14"/>
        <v>0</v>
      </c>
    </row>
    <row r="196" spans="1:15" ht="15" customHeight="1" x14ac:dyDescent="0.25">
      <c r="A196" s="75">
        <v>189</v>
      </c>
      <c r="B196" s="75"/>
      <c r="C196" s="75">
        <f>'SKU Master'!C173</f>
        <v>0</v>
      </c>
      <c r="D196" s="75"/>
      <c r="E196" s="75"/>
      <c r="F196" s="148">
        <f>E196*(_xlfn.XLOOKUP(B196,'Ratio Master'!A:A,'Ratio Master'!G:G,""))</f>
        <v>0</v>
      </c>
      <c r="G196" s="70"/>
      <c r="H196" s="70">
        <f>IFERROR('SKU Master'!M173+0,0)</f>
        <v>0</v>
      </c>
      <c r="I196" s="76">
        <f t="shared" si="10"/>
        <v>0</v>
      </c>
      <c r="J196" s="70">
        <f>IFERROR('SKU Master'!N173+0,0)</f>
        <v>0</v>
      </c>
      <c r="K196" s="74">
        <f t="shared" si="11"/>
        <v>0</v>
      </c>
      <c r="L196" s="74">
        <f>I196*'SKU Master'!H173</f>
        <v>0</v>
      </c>
      <c r="M196" s="74">
        <f t="shared" si="12"/>
        <v>0</v>
      </c>
      <c r="N196" s="74">
        <f t="shared" si="13"/>
        <v>0</v>
      </c>
      <c r="O196" s="94">
        <f t="shared" si="14"/>
        <v>0</v>
      </c>
    </row>
    <row r="197" spans="1:15" ht="15" customHeight="1" x14ac:dyDescent="0.25">
      <c r="A197" s="75">
        <v>190</v>
      </c>
      <c r="B197" s="75"/>
      <c r="C197" s="75">
        <f>'SKU Master'!C174</f>
        <v>0</v>
      </c>
      <c r="D197" s="75"/>
      <c r="E197" s="75"/>
      <c r="F197" s="148">
        <f>E197*(_xlfn.XLOOKUP(B197,'Ratio Master'!A:A,'Ratio Master'!G:G,""))</f>
        <v>0</v>
      </c>
      <c r="G197" s="70"/>
      <c r="H197" s="70">
        <f>IFERROR('SKU Master'!M174+0,0)</f>
        <v>0</v>
      </c>
      <c r="I197" s="76">
        <f t="shared" si="10"/>
        <v>0</v>
      </c>
      <c r="J197" s="70">
        <f>IFERROR('SKU Master'!N174+0,0)</f>
        <v>0</v>
      </c>
      <c r="K197" s="74">
        <f t="shared" si="11"/>
        <v>0</v>
      </c>
      <c r="L197" s="74">
        <f>I197*'SKU Master'!H174</f>
        <v>0</v>
      </c>
      <c r="M197" s="74">
        <f t="shared" si="12"/>
        <v>0</v>
      </c>
      <c r="N197" s="74">
        <f t="shared" si="13"/>
        <v>0</v>
      </c>
      <c r="O197" s="94">
        <f t="shared" si="14"/>
        <v>0</v>
      </c>
    </row>
    <row r="198" spans="1:15" ht="15" customHeight="1" x14ac:dyDescent="0.25">
      <c r="A198" s="75">
        <v>191</v>
      </c>
      <c r="B198" s="75"/>
      <c r="C198" s="75">
        <f>'SKU Master'!C175</f>
        <v>0</v>
      </c>
      <c r="D198" s="75"/>
      <c r="E198" s="75"/>
      <c r="F198" s="148">
        <f>E198*(_xlfn.XLOOKUP(B198,'Ratio Master'!A:A,'Ratio Master'!G:G,""))</f>
        <v>0</v>
      </c>
      <c r="G198" s="70"/>
      <c r="H198" s="70">
        <f>IFERROR('SKU Master'!M175+0,0)</f>
        <v>0</v>
      </c>
      <c r="I198" s="76">
        <f t="shared" si="10"/>
        <v>0</v>
      </c>
      <c r="J198" s="70">
        <f>IFERROR('SKU Master'!N175+0,0)</f>
        <v>0</v>
      </c>
      <c r="K198" s="74">
        <f t="shared" si="11"/>
        <v>0</v>
      </c>
      <c r="L198" s="74">
        <f>I198*'SKU Master'!H175</f>
        <v>0</v>
      </c>
      <c r="M198" s="74">
        <f t="shared" si="12"/>
        <v>0</v>
      </c>
      <c r="N198" s="74">
        <f t="shared" si="13"/>
        <v>0</v>
      </c>
      <c r="O198" s="94">
        <f t="shared" si="14"/>
        <v>0</v>
      </c>
    </row>
    <row r="199" spans="1:15" ht="15" customHeight="1" x14ac:dyDescent="0.25">
      <c r="A199" s="75">
        <v>192</v>
      </c>
      <c r="B199" s="75"/>
      <c r="C199" s="75">
        <f>'SKU Master'!C176</f>
        <v>0</v>
      </c>
      <c r="D199" s="75"/>
      <c r="E199" s="75"/>
      <c r="F199" s="148">
        <f>E199*(_xlfn.XLOOKUP(B199,'Ratio Master'!A:A,'Ratio Master'!G:G,""))</f>
        <v>0</v>
      </c>
      <c r="G199" s="70"/>
      <c r="H199" s="70">
        <f>IFERROR('SKU Master'!M176+0,0)</f>
        <v>0</v>
      </c>
      <c r="I199" s="76">
        <f t="shared" si="10"/>
        <v>0</v>
      </c>
      <c r="J199" s="70">
        <f>IFERROR('SKU Master'!N176+0,0)</f>
        <v>0</v>
      </c>
      <c r="K199" s="74">
        <f t="shared" si="11"/>
        <v>0</v>
      </c>
      <c r="L199" s="74">
        <f>I199*'SKU Master'!H176</f>
        <v>0</v>
      </c>
      <c r="M199" s="74">
        <f t="shared" si="12"/>
        <v>0</v>
      </c>
      <c r="N199" s="74">
        <f t="shared" si="13"/>
        <v>0</v>
      </c>
      <c r="O199" s="94">
        <f t="shared" si="14"/>
        <v>0</v>
      </c>
    </row>
    <row r="200" spans="1:15" ht="15" customHeight="1" x14ac:dyDescent="0.25">
      <c r="A200" s="75">
        <v>193</v>
      </c>
      <c r="B200" s="75"/>
      <c r="C200" s="75">
        <f>'SKU Master'!C177</f>
        <v>0</v>
      </c>
      <c r="D200" s="75"/>
      <c r="E200" s="75"/>
      <c r="F200" s="148">
        <f>E200*(_xlfn.XLOOKUP(B200,'Ratio Master'!A:A,'Ratio Master'!G:G,""))</f>
        <v>0</v>
      </c>
      <c r="G200" s="70"/>
      <c r="H200" s="70">
        <f>IFERROR('SKU Master'!M177+0,0)</f>
        <v>0</v>
      </c>
      <c r="I200" s="76">
        <f t="shared" ref="I200:I232" si="15">MAX(F200-G200,0)</f>
        <v>0</v>
      </c>
      <c r="J200" s="70">
        <f>IFERROR('SKU Master'!N177+0,0)</f>
        <v>0</v>
      </c>
      <c r="K200" s="74">
        <f t="shared" ref="K200:K232" si="16">MIN(G200,F200)*H200</f>
        <v>0</v>
      </c>
      <c r="L200" s="74">
        <f>I200*'SKU Master'!H177</f>
        <v>0</v>
      </c>
      <c r="M200" s="74">
        <f t="shared" ref="M200:M232" si="17">K200+L200</f>
        <v>0</v>
      </c>
      <c r="N200" s="74">
        <f t="shared" ref="N200:N232" si="18">F200*J200</f>
        <v>0</v>
      </c>
      <c r="O200" s="94">
        <f t="shared" ref="O200:O232" si="19">N200-M200</f>
        <v>0</v>
      </c>
    </row>
    <row r="201" spans="1:15" ht="15" customHeight="1" x14ac:dyDescent="0.25">
      <c r="A201" s="75">
        <v>194</v>
      </c>
      <c r="B201" s="75"/>
      <c r="C201" s="75">
        <f>'SKU Master'!C178</f>
        <v>0</v>
      </c>
      <c r="D201" s="75"/>
      <c r="E201" s="75"/>
      <c r="F201" s="148">
        <f>E201*(_xlfn.XLOOKUP(B201,'Ratio Master'!A:A,'Ratio Master'!G:G,""))</f>
        <v>0</v>
      </c>
      <c r="G201" s="70"/>
      <c r="H201" s="70">
        <f>IFERROR('SKU Master'!M178+0,0)</f>
        <v>0</v>
      </c>
      <c r="I201" s="76">
        <f t="shared" si="15"/>
        <v>0</v>
      </c>
      <c r="J201" s="70">
        <f>IFERROR('SKU Master'!N178+0,0)</f>
        <v>0</v>
      </c>
      <c r="K201" s="74">
        <f t="shared" si="16"/>
        <v>0</v>
      </c>
      <c r="L201" s="74">
        <f>I201*'SKU Master'!H178</f>
        <v>0</v>
      </c>
      <c r="M201" s="74">
        <f t="shared" si="17"/>
        <v>0</v>
      </c>
      <c r="N201" s="74">
        <f t="shared" si="18"/>
        <v>0</v>
      </c>
      <c r="O201" s="94">
        <f t="shared" si="19"/>
        <v>0</v>
      </c>
    </row>
    <row r="202" spans="1:15" ht="15" customHeight="1" x14ac:dyDescent="0.25">
      <c r="A202" s="75">
        <v>195</v>
      </c>
      <c r="B202" s="75"/>
      <c r="C202" s="75">
        <f>'SKU Master'!C179</f>
        <v>0</v>
      </c>
      <c r="D202" s="75"/>
      <c r="E202" s="75"/>
      <c r="F202" s="148">
        <f>E202*(_xlfn.XLOOKUP(B202,'Ratio Master'!A:A,'Ratio Master'!G:G,""))</f>
        <v>0</v>
      </c>
      <c r="G202" s="70"/>
      <c r="H202" s="70">
        <f>IFERROR('SKU Master'!M179+0,0)</f>
        <v>0</v>
      </c>
      <c r="I202" s="76">
        <f t="shared" si="15"/>
        <v>0</v>
      </c>
      <c r="J202" s="70">
        <f>IFERROR('SKU Master'!N179+0,0)</f>
        <v>0</v>
      </c>
      <c r="K202" s="74">
        <f t="shared" si="16"/>
        <v>0</v>
      </c>
      <c r="L202" s="74">
        <f>I202*'SKU Master'!H179</f>
        <v>0</v>
      </c>
      <c r="M202" s="74">
        <f t="shared" si="17"/>
        <v>0</v>
      </c>
      <c r="N202" s="74">
        <f t="shared" si="18"/>
        <v>0</v>
      </c>
      <c r="O202" s="94">
        <f t="shared" si="19"/>
        <v>0</v>
      </c>
    </row>
    <row r="203" spans="1:15" ht="15" customHeight="1" x14ac:dyDescent="0.25">
      <c r="A203" s="75">
        <v>196</v>
      </c>
      <c r="B203" s="75"/>
      <c r="C203" s="75">
        <f>'SKU Master'!C180</f>
        <v>0</v>
      </c>
      <c r="D203" s="75"/>
      <c r="E203" s="75"/>
      <c r="F203" s="148">
        <f>E203*(_xlfn.XLOOKUP(B203,'Ratio Master'!A:A,'Ratio Master'!G:G,""))</f>
        <v>0</v>
      </c>
      <c r="G203" s="70"/>
      <c r="H203" s="70">
        <f>IFERROR('SKU Master'!M180+0,0)</f>
        <v>0</v>
      </c>
      <c r="I203" s="76">
        <f t="shared" si="15"/>
        <v>0</v>
      </c>
      <c r="J203" s="70">
        <f>IFERROR('SKU Master'!N180+0,0)</f>
        <v>0</v>
      </c>
      <c r="K203" s="74">
        <f t="shared" si="16"/>
        <v>0</v>
      </c>
      <c r="L203" s="74">
        <f>I203*'SKU Master'!H180</f>
        <v>0</v>
      </c>
      <c r="M203" s="74">
        <f t="shared" si="17"/>
        <v>0</v>
      </c>
      <c r="N203" s="74">
        <f t="shared" si="18"/>
        <v>0</v>
      </c>
      <c r="O203" s="94">
        <f t="shared" si="19"/>
        <v>0</v>
      </c>
    </row>
    <row r="204" spans="1:15" ht="15" customHeight="1" x14ac:dyDescent="0.25">
      <c r="A204" s="75">
        <v>197</v>
      </c>
      <c r="B204" s="75"/>
      <c r="C204" s="75">
        <f>'SKU Master'!C181</f>
        <v>0</v>
      </c>
      <c r="D204" s="75"/>
      <c r="E204" s="75"/>
      <c r="F204" s="148">
        <f>E204*(_xlfn.XLOOKUP(B204,'Ratio Master'!A:A,'Ratio Master'!G:G,""))</f>
        <v>0</v>
      </c>
      <c r="G204" s="70"/>
      <c r="H204" s="70">
        <f>IFERROR('SKU Master'!M181+0,0)</f>
        <v>0</v>
      </c>
      <c r="I204" s="76">
        <f t="shared" si="15"/>
        <v>0</v>
      </c>
      <c r="J204" s="70">
        <f>IFERROR('SKU Master'!N181+0,0)</f>
        <v>0</v>
      </c>
      <c r="K204" s="74">
        <f t="shared" si="16"/>
        <v>0</v>
      </c>
      <c r="L204" s="74">
        <f>I204*'SKU Master'!H181</f>
        <v>0</v>
      </c>
      <c r="M204" s="74">
        <f t="shared" si="17"/>
        <v>0</v>
      </c>
      <c r="N204" s="74">
        <f t="shared" si="18"/>
        <v>0</v>
      </c>
      <c r="O204" s="94">
        <f t="shared" si="19"/>
        <v>0</v>
      </c>
    </row>
    <row r="205" spans="1:15" ht="15" customHeight="1" x14ac:dyDescent="0.25">
      <c r="A205" s="75">
        <v>198</v>
      </c>
      <c r="B205" s="75"/>
      <c r="C205" s="75">
        <f>'SKU Master'!C182</f>
        <v>0</v>
      </c>
      <c r="D205" s="75"/>
      <c r="E205" s="75"/>
      <c r="F205" s="148">
        <f>E205*(_xlfn.XLOOKUP(B205,'Ratio Master'!A:A,'Ratio Master'!G:G,""))</f>
        <v>0</v>
      </c>
      <c r="G205" s="70"/>
      <c r="H205" s="70">
        <f>IFERROR('SKU Master'!M182+0,0)</f>
        <v>0</v>
      </c>
      <c r="I205" s="76">
        <f t="shared" si="15"/>
        <v>0</v>
      </c>
      <c r="J205" s="70">
        <f>IFERROR('SKU Master'!N182+0,0)</f>
        <v>0</v>
      </c>
      <c r="K205" s="74">
        <f t="shared" si="16"/>
        <v>0</v>
      </c>
      <c r="L205" s="74">
        <f>I205*'SKU Master'!H182</f>
        <v>0</v>
      </c>
      <c r="M205" s="74">
        <f t="shared" si="17"/>
        <v>0</v>
      </c>
      <c r="N205" s="74">
        <f t="shared" si="18"/>
        <v>0</v>
      </c>
      <c r="O205" s="94">
        <f t="shared" si="19"/>
        <v>0</v>
      </c>
    </row>
    <row r="206" spans="1:15" ht="15" customHeight="1" x14ac:dyDescent="0.25">
      <c r="A206" s="75">
        <v>199</v>
      </c>
      <c r="B206" s="75"/>
      <c r="C206" s="75">
        <f>'SKU Master'!C183</f>
        <v>0</v>
      </c>
      <c r="D206" s="75"/>
      <c r="E206" s="75"/>
      <c r="F206" s="148">
        <f>E206*(_xlfn.XLOOKUP(B206,'Ratio Master'!A:A,'Ratio Master'!G:G,""))</f>
        <v>0</v>
      </c>
      <c r="G206" s="70"/>
      <c r="H206" s="70">
        <f>IFERROR('SKU Master'!M183+0,0)</f>
        <v>0</v>
      </c>
      <c r="I206" s="76">
        <f t="shared" si="15"/>
        <v>0</v>
      </c>
      <c r="J206" s="70">
        <f>IFERROR('SKU Master'!N183+0,0)</f>
        <v>0</v>
      </c>
      <c r="K206" s="74">
        <f t="shared" si="16"/>
        <v>0</v>
      </c>
      <c r="L206" s="74">
        <f>I206*'SKU Master'!H183</f>
        <v>0</v>
      </c>
      <c r="M206" s="74">
        <f t="shared" si="17"/>
        <v>0</v>
      </c>
      <c r="N206" s="74">
        <f t="shared" si="18"/>
        <v>0</v>
      </c>
      <c r="O206" s="94">
        <f t="shared" si="19"/>
        <v>0</v>
      </c>
    </row>
    <row r="207" spans="1:15" ht="15" customHeight="1" x14ac:dyDescent="0.25">
      <c r="A207" s="75">
        <v>200</v>
      </c>
      <c r="B207" s="75"/>
      <c r="C207" s="75">
        <f>'SKU Master'!C184</f>
        <v>0</v>
      </c>
      <c r="D207" s="75"/>
      <c r="E207" s="75"/>
      <c r="F207" s="148">
        <f>E207*(_xlfn.XLOOKUP(B207,'Ratio Master'!A:A,'Ratio Master'!G:G,""))</f>
        <v>0</v>
      </c>
      <c r="G207" s="70"/>
      <c r="H207" s="70">
        <f>IFERROR('SKU Master'!M184+0,0)</f>
        <v>0</v>
      </c>
      <c r="I207" s="76">
        <f t="shared" si="15"/>
        <v>0</v>
      </c>
      <c r="J207" s="70">
        <f>IFERROR('SKU Master'!N184+0,0)</f>
        <v>0</v>
      </c>
      <c r="K207" s="74">
        <f t="shared" si="16"/>
        <v>0</v>
      </c>
      <c r="L207" s="74">
        <f>I207*'SKU Master'!H184</f>
        <v>0</v>
      </c>
      <c r="M207" s="74">
        <f t="shared" si="17"/>
        <v>0</v>
      </c>
      <c r="N207" s="74">
        <f t="shared" si="18"/>
        <v>0</v>
      </c>
      <c r="O207" s="94">
        <f t="shared" si="19"/>
        <v>0</v>
      </c>
    </row>
    <row r="208" spans="1:15" ht="15" customHeight="1" x14ac:dyDescent="0.25">
      <c r="A208" s="75">
        <v>201</v>
      </c>
      <c r="B208" s="75"/>
      <c r="C208" s="75">
        <f>'SKU Master'!C185</f>
        <v>0</v>
      </c>
      <c r="D208" s="75"/>
      <c r="E208" s="75"/>
      <c r="F208" s="148">
        <f>E208*(_xlfn.XLOOKUP(B208,'Ratio Master'!A:A,'Ratio Master'!G:G,""))</f>
        <v>0</v>
      </c>
      <c r="G208" s="70"/>
      <c r="H208" s="70">
        <f>IFERROR('SKU Master'!M185+0,0)</f>
        <v>0</v>
      </c>
      <c r="I208" s="76">
        <f t="shared" si="15"/>
        <v>0</v>
      </c>
      <c r="J208" s="70">
        <f>IFERROR('SKU Master'!N185+0,0)</f>
        <v>0</v>
      </c>
      <c r="K208" s="74">
        <f t="shared" si="16"/>
        <v>0</v>
      </c>
      <c r="L208" s="74">
        <f>I208*'SKU Master'!H185</f>
        <v>0</v>
      </c>
      <c r="M208" s="74">
        <f t="shared" si="17"/>
        <v>0</v>
      </c>
      <c r="N208" s="74">
        <f t="shared" si="18"/>
        <v>0</v>
      </c>
      <c r="O208" s="94">
        <f t="shared" si="19"/>
        <v>0</v>
      </c>
    </row>
    <row r="209" spans="1:15" ht="15" customHeight="1" x14ac:dyDescent="0.25">
      <c r="A209" s="75">
        <v>202</v>
      </c>
      <c r="B209" s="75"/>
      <c r="C209" s="75">
        <f>'SKU Master'!C186</f>
        <v>0</v>
      </c>
      <c r="D209" s="75"/>
      <c r="E209" s="75"/>
      <c r="F209" s="148">
        <f>E209*(_xlfn.XLOOKUP(B209,'Ratio Master'!A:A,'Ratio Master'!G:G,""))</f>
        <v>0</v>
      </c>
      <c r="G209" s="70"/>
      <c r="H209" s="70">
        <f>IFERROR('SKU Master'!M186+0,0)</f>
        <v>0</v>
      </c>
      <c r="I209" s="76">
        <f t="shared" si="15"/>
        <v>0</v>
      </c>
      <c r="J209" s="70">
        <f>IFERROR('SKU Master'!N186+0,0)</f>
        <v>0</v>
      </c>
      <c r="K209" s="74">
        <f t="shared" si="16"/>
        <v>0</v>
      </c>
      <c r="L209" s="74">
        <f>I209*'SKU Master'!H186</f>
        <v>0</v>
      </c>
      <c r="M209" s="74">
        <f t="shared" si="17"/>
        <v>0</v>
      </c>
      <c r="N209" s="74">
        <f t="shared" si="18"/>
        <v>0</v>
      </c>
      <c r="O209" s="94">
        <f t="shared" si="19"/>
        <v>0</v>
      </c>
    </row>
    <row r="210" spans="1:15" ht="15" customHeight="1" x14ac:dyDescent="0.25">
      <c r="A210" s="75">
        <v>203</v>
      </c>
      <c r="B210" s="75"/>
      <c r="C210" s="75">
        <f>'SKU Master'!C187</f>
        <v>0</v>
      </c>
      <c r="D210" s="75"/>
      <c r="E210" s="75"/>
      <c r="F210" s="148">
        <f>E210*(_xlfn.XLOOKUP(B210,'Ratio Master'!A:A,'Ratio Master'!G:G,""))</f>
        <v>0</v>
      </c>
      <c r="G210" s="70"/>
      <c r="H210" s="70">
        <f>IFERROR('SKU Master'!M187+0,0)</f>
        <v>0</v>
      </c>
      <c r="I210" s="76">
        <f t="shared" si="15"/>
        <v>0</v>
      </c>
      <c r="J210" s="70">
        <f>IFERROR('SKU Master'!N187+0,0)</f>
        <v>0</v>
      </c>
      <c r="K210" s="74">
        <f t="shared" si="16"/>
        <v>0</v>
      </c>
      <c r="L210" s="74">
        <f>I210*'SKU Master'!H187</f>
        <v>0</v>
      </c>
      <c r="M210" s="74">
        <f t="shared" si="17"/>
        <v>0</v>
      </c>
      <c r="N210" s="74">
        <f t="shared" si="18"/>
        <v>0</v>
      </c>
      <c r="O210" s="94">
        <f t="shared" si="19"/>
        <v>0</v>
      </c>
    </row>
    <row r="211" spans="1:15" ht="15" customHeight="1" x14ac:dyDescent="0.25">
      <c r="A211" s="75">
        <v>204</v>
      </c>
      <c r="B211" s="75"/>
      <c r="C211" s="75">
        <f>'SKU Master'!C188</f>
        <v>0</v>
      </c>
      <c r="D211" s="75"/>
      <c r="E211" s="75"/>
      <c r="F211" s="148">
        <f>E211*(_xlfn.XLOOKUP(B211,'Ratio Master'!A:A,'Ratio Master'!G:G,""))</f>
        <v>0</v>
      </c>
      <c r="G211" s="70"/>
      <c r="H211" s="70">
        <f>IFERROR('SKU Master'!M188+0,0)</f>
        <v>0</v>
      </c>
      <c r="I211" s="76">
        <f t="shared" si="15"/>
        <v>0</v>
      </c>
      <c r="J211" s="70">
        <f>IFERROR('SKU Master'!N188+0,0)</f>
        <v>0</v>
      </c>
      <c r="K211" s="74">
        <f t="shared" si="16"/>
        <v>0</v>
      </c>
      <c r="L211" s="74">
        <f>I211*'SKU Master'!H188</f>
        <v>0</v>
      </c>
      <c r="M211" s="74">
        <f t="shared" si="17"/>
        <v>0</v>
      </c>
      <c r="N211" s="74">
        <f t="shared" si="18"/>
        <v>0</v>
      </c>
      <c r="O211" s="94">
        <f t="shared" si="19"/>
        <v>0</v>
      </c>
    </row>
    <row r="212" spans="1:15" ht="15" customHeight="1" x14ac:dyDescent="0.25">
      <c r="A212" s="75">
        <v>205</v>
      </c>
      <c r="B212" s="75"/>
      <c r="C212" s="75">
        <f>'SKU Master'!C189</f>
        <v>0</v>
      </c>
      <c r="D212" s="75"/>
      <c r="E212" s="75"/>
      <c r="F212" s="148">
        <f>E212*(_xlfn.XLOOKUP(B212,'Ratio Master'!A:A,'Ratio Master'!G:G,""))</f>
        <v>0</v>
      </c>
      <c r="G212" s="70"/>
      <c r="H212" s="70">
        <f>IFERROR('SKU Master'!M189+0,0)</f>
        <v>0</v>
      </c>
      <c r="I212" s="76">
        <f t="shared" si="15"/>
        <v>0</v>
      </c>
      <c r="J212" s="70">
        <f>IFERROR('SKU Master'!N189+0,0)</f>
        <v>0</v>
      </c>
      <c r="K212" s="74">
        <f t="shared" si="16"/>
        <v>0</v>
      </c>
      <c r="L212" s="74">
        <f>I212*'SKU Master'!H189</f>
        <v>0</v>
      </c>
      <c r="M212" s="74">
        <f t="shared" si="17"/>
        <v>0</v>
      </c>
      <c r="N212" s="74">
        <f t="shared" si="18"/>
        <v>0</v>
      </c>
      <c r="O212" s="94">
        <f t="shared" si="19"/>
        <v>0</v>
      </c>
    </row>
    <row r="213" spans="1:15" ht="15" customHeight="1" x14ac:dyDescent="0.25">
      <c r="A213" s="75">
        <v>206</v>
      </c>
      <c r="B213" s="75"/>
      <c r="C213" s="75">
        <f>'SKU Master'!C190</f>
        <v>0</v>
      </c>
      <c r="D213" s="75"/>
      <c r="E213" s="75"/>
      <c r="F213" s="148">
        <f>E213*(_xlfn.XLOOKUP(B213,'Ratio Master'!A:A,'Ratio Master'!G:G,""))</f>
        <v>0</v>
      </c>
      <c r="G213" s="70"/>
      <c r="H213" s="70">
        <f>IFERROR('SKU Master'!M190+0,0)</f>
        <v>0</v>
      </c>
      <c r="I213" s="76">
        <f t="shared" si="15"/>
        <v>0</v>
      </c>
      <c r="J213" s="70">
        <f>IFERROR('SKU Master'!N190+0,0)</f>
        <v>0</v>
      </c>
      <c r="K213" s="74">
        <f t="shared" si="16"/>
        <v>0</v>
      </c>
      <c r="L213" s="74">
        <f>I213*'SKU Master'!H190</f>
        <v>0</v>
      </c>
      <c r="M213" s="74">
        <f t="shared" si="17"/>
        <v>0</v>
      </c>
      <c r="N213" s="74">
        <f t="shared" si="18"/>
        <v>0</v>
      </c>
      <c r="O213" s="94">
        <f t="shared" si="19"/>
        <v>0</v>
      </c>
    </row>
    <row r="214" spans="1:15" ht="15" customHeight="1" x14ac:dyDescent="0.25">
      <c r="A214" s="75">
        <v>207</v>
      </c>
      <c r="B214" s="75"/>
      <c r="C214" s="75">
        <f>'SKU Master'!C191</f>
        <v>0</v>
      </c>
      <c r="D214" s="75"/>
      <c r="E214" s="75"/>
      <c r="F214" s="148">
        <f>E214*(_xlfn.XLOOKUP(B214,'Ratio Master'!A:A,'Ratio Master'!G:G,""))</f>
        <v>0</v>
      </c>
      <c r="G214" s="70"/>
      <c r="H214" s="70">
        <f>IFERROR('SKU Master'!M191+0,0)</f>
        <v>0</v>
      </c>
      <c r="I214" s="76">
        <f t="shared" si="15"/>
        <v>0</v>
      </c>
      <c r="J214" s="70">
        <f>IFERROR('SKU Master'!N191+0,0)</f>
        <v>0</v>
      </c>
      <c r="K214" s="74">
        <f t="shared" si="16"/>
        <v>0</v>
      </c>
      <c r="L214" s="74">
        <f>I214*'SKU Master'!H191</f>
        <v>0</v>
      </c>
      <c r="M214" s="74">
        <f t="shared" si="17"/>
        <v>0</v>
      </c>
      <c r="N214" s="74">
        <f t="shared" si="18"/>
        <v>0</v>
      </c>
      <c r="O214" s="94">
        <f t="shared" si="19"/>
        <v>0</v>
      </c>
    </row>
    <row r="215" spans="1:15" ht="15" customHeight="1" x14ac:dyDescent="0.25">
      <c r="A215" s="75">
        <v>208</v>
      </c>
      <c r="B215" s="75"/>
      <c r="C215" s="75">
        <f>'SKU Master'!C192</f>
        <v>0</v>
      </c>
      <c r="D215" s="75"/>
      <c r="E215" s="75"/>
      <c r="F215" s="148">
        <f>E215*(_xlfn.XLOOKUP(B215,'Ratio Master'!A:A,'Ratio Master'!G:G,""))</f>
        <v>0</v>
      </c>
      <c r="G215" s="70"/>
      <c r="H215" s="70">
        <f>IFERROR('SKU Master'!M192+0,0)</f>
        <v>0</v>
      </c>
      <c r="I215" s="76">
        <f t="shared" si="15"/>
        <v>0</v>
      </c>
      <c r="J215" s="70">
        <f>IFERROR('SKU Master'!N192+0,0)</f>
        <v>0</v>
      </c>
      <c r="K215" s="74">
        <f t="shared" si="16"/>
        <v>0</v>
      </c>
      <c r="L215" s="74">
        <f>I215*'SKU Master'!H192</f>
        <v>0</v>
      </c>
      <c r="M215" s="74">
        <f t="shared" si="17"/>
        <v>0</v>
      </c>
      <c r="N215" s="74">
        <f t="shared" si="18"/>
        <v>0</v>
      </c>
      <c r="O215" s="94">
        <f t="shared" si="19"/>
        <v>0</v>
      </c>
    </row>
    <row r="216" spans="1:15" ht="15" customHeight="1" x14ac:dyDescent="0.25">
      <c r="A216" s="75">
        <v>209</v>
      </c>
      <c r="B216" s="75"/>
      <c r="C216" s="75">
        <f>'SKU Master'!C193</f>
        <v>0</v>
      </c>
      <c r="D216" s="75"/>
      <c r="E216" s="75"/>
      <c r="F216" s="148">
        <f>E216*(_xlfn.XLOOKUP(B216,'Ratio Master'!A:A,'Ratio Master'!G:G,""))</f>
        <v>0</v>
      </c>
      <c r="G216" s="70"/>
      <c r="H216" s="70">
        <f>IFERROR('SKU Master'!M193+0,0)</f>
        <v>0</v>
      </c>
      <c r="I216" s="76">
        <f t="shared" si="15"/>
        <v>0</v>
      </c>
      <c r="J216" s="70">
        <f>IFERROR('SKU Master'!N193+0,0)</f>
        <v>0</v>
      </c>
      <c r="K216" s="74">
        <f t="shared" si="16"/>
        <v>0</v>
      </c>
      <c r="L216" s="74">
        <f>I216*'SKU Master'!H193</f>
        <v>0</v>
      </c>
      <c r="M216" s="74">
        <f t="shared" si="17"/>
        <v>0</v>
      </c>
      <c r="N216" s="74">
        <f t="shared" si="18"/>
        <v>0</v>
      </c>
      <c r="O216" s="94">
        <f t="shared" si="19"/>
        <v>0</v>
      </c>
    </row>
    <row r="217" spans="1:15" ht="15" customHeight="1" x14ac:dyDescent="0.25">
      <c r="A217" s="75">
        <v>210</v>
      </c>
      <c r="B217" s="75"/>
      <c r="C217" s="75">
        <f>'SKU Master'!C194</f>
        <v>0</v>
      </c>
      <c r="D217" s="75"/>
      <c r="E217" s="75"/>
      <c r="F217" s="148">
        <f>E217*(_xlfn.XLOOKUP(B217,'Ratio Master'!A:A,'Ratio Master'!G:G,""))</f>
        <v>0</v>
      </c>
      <c r="G217" s="70"/>
      <c r="H217" s="70">
        <f>IFERROR('SKU Master'!M194+0,0)</f>
        <v>0</v>
      </c>
      <c r="I217" s="76">
        <f t="shared" si="15"/>
        <v>0</v>
      </c>
      <c r="J217" s="70">
        <f>IFERROR('SKU Master'!N194+0,0)</f>
        <v>0</v>
      </c>
      <c r="K217" s="74">
        <f t="shared" si="16"/>
        <v>0</v>
      </c>
      <c r="L217" s="74">
        <f>I217*'SKU Master'!H194</f>
        <v>0</v>
      </c>
      <c r="M217" s="74">
        <f t="shared" si="17"/>
        <v>0</v>
      </c>
      <c r="N217" s="74">
        <f t="shared" si="18"/>
        <v>0</v>
      </c>
      <c r="O217" s="94">
        <f t="shared" si="19"/>
        <v>0</v>
      </c>
    </row>
    <row r="218" spans="1:15" ht="15" customHeight="1" x14ac:dyDescent="0.25">
      <c r="A218" s="75">
        <v>211</v>
      </c>
      <c r="B218" s="75"/>
      <c r="C218" s="75">
        <f>'SKU Master'!C195</f>
        <v>0</v>
      </c>
      <c r="D218" s="75"/>
      <c r="E218" s="75"/>
      <c r="F218" s="148">
        <f>E218*(_xlfn.XLOOKUP(B218,'Ratio Master'!A:A,'Ratio Master'!G:G,""))</f>
        <v>0</v>
      </c>
      <c r="G218" s="70"/>
      <c r="H218" s="70">
        <f>IFERROR('SKU Master'!M195+0,0)</f>
        <v>0</v>
      </c>
      <c r="I218" s="76">
        <f t="shared" si="15"/>
        <v>0</v>
      </c>
      <c r="J218" s="70">
        <f>IFERROR('SKU Master'!N195+0,0)</f>
        <v>0</v>
      </c>
      <c r="K218" s="74">
        <f t="shared" si="16"/>
        <v>0</v>
      </c>
      <c r="L218" s="74">
        <f>I218*'SKU Master'!H195</f>
        <v>0</v>
      </c>
      <c r="M218" s="74">
        <f t="shared" si="17"/>
        <v>0</v>
      </c>
      <c r="N218" s="74">
        <f t="shared" si="18"/>
        <v>0</v>
      </c>
      <c r="O218" s="94">
        <f t="shared" si="19"/>
        <v>0</v>
      </c>
    </row>
    <row r="219" spans="1:15" ht="15" customHeight="1" x14ac:dyDescent="0.25">
      <c r="A219" s="75">
        <v>212</v>
      </c>
      <c r="B219" s="75"/>
      <c r="C219" s="75">
        <f>'SKU Master'!C196</f>
        <v>0</v>
      </c>
      <c r="D219" s="75"/>
      <c r="E219" s="75"/>
      <c r="F219" s="148">
        <f>E219*(_xlfn.XLOOKUP(B219,'Ratio Master'!A:A,'Ratio Master'!G:G,""))</f>
        <v>0</v>
      </c>
      <c r="G219" s="70"/>
      <c r="H219" s="70">
        <f>IFERROR('SKU Master'!M196+0,0)</f>
        <v>0</v>
      </c>
      <c r="I219" s="76">
        <f t="shared" si="15"/>
        <v>0</v>
      </c>
      <c r="J219" s="70">
        <f>IFERROR('SKU Master'!N196+0,0)</f>
        <v>0</v>
      </c>
      <c r="K219" s="74">
        <f t="shared" si="16"/>
        <v>0</v>
      </c>
      <c r="L219" s="74">
        <f>I219*'SKU Master'!H196</f>
        <v>0</v>
      </c>
      <c r="M219" s="74">
        <f t="shared" si="17"/>
        <v>0</v>
      </c>
      <c r="N219" s="74">
        <f t="shared" si="18"/>
        <v>0</v>
      </c>
      <c r="O219" s="94">
        <f t="shared" si="19"/>
        <v>0</v>
      </c>
    </row>
    <row r="220" spans="1:15" ht="15" customHeight="1" x14ac:dyDescent="0.25">
      <c r="A220" s="75">
        <v>213</v>
      </c>
      <c r="B220" s="75"/>
      <c r="C220" s="75">
        <f>'SKU Master'!C197</f>
        <v>0</v>
      </c>
      <c r="D220" s="75"/>
      <c r="E220" s="75"/>
      <c r="F220" s="148">
        <f>E220*(_xlfn.XLOOKUP(B220,'Ratio Master'!A:A,'Ratio Master'!G:G,""))</f>
        <v>0</v>
      </c>
      <c r="G220" s="70"/>
      <c r="H220" s="70">
        <f>IFERROR('SKU Master'!M197+0,0)</f>
        <v>0</v>
      </c>
      <c r="I220" s="76">
        <f t="shared" si="15"/>
        <v>0</v>
      </c>
      <c r="J220" s="70">
        <f>IFERROR('SKU Master'!N197+0,0)</f>
        <v>0</v>
      </c>
      <c r="K220" s="74">
        <f t="shared" si="16"/>
        <v>0</v>
      </c>
      <c r="L220" s="74">
        <f>I220*'SKU Master'!H197</f>
        <v>0</v>
      </c>
      <c r="M220" s="74">
        <f t="shared" si="17"/>
        <v>0</v>
      </c>
      <c r="N220" s="74">
        <f t="shared" si="18"/>
        <v>0</v>
      </c>
      <c r="O220" s="94">
        <f t="shared" si="19"/>
        <v>0</v>
      </c>
    </row>
    <row r="221" spans="1:15" ht="15" customHeight="1" x14ac:dyDescent="0.25">
      <c r="A221" s="75">
        <v>214</v>
      </c>
      <c r="B221" s="75"/>
      <c r="C221" s="75">
        <f>'SKU Master'!C198</f>
        <v>0</v>
      </c>
      <c r="D221" s="75"/>
      <c r="E221" s="75"/>
      <c r="F221" s="148">
        <f>E221*(_xlfn.XLOOKUP(B221,'Ratio Master'!A:A,'Ratio Master'!G:G,""))</f>
        <v>0</v>
      </c>
      <c r="G221" s="70"/>
      <c r="H221" s="70">
        <f>IFERROR('SKU Master'!M198+0,0)</f>
        <v>0</v>
      </c>
      <c r="I221" s="76">
        <f t="shared" si="15"/>
        <v>0</v>
      </c>
      <c r="J221" s="70">
        <f>IFERROR('SKU Master'!N198+0,0)</f>
        <v>0</v>
      </c>
      <c r="K221" s="74">
        <f t="shared" si="16"/>
        <v>0</v>
      </c>
      <c r="L221" s="74">
        <f>I221*'SKU Master'!H198</f>
        <v>0</v>
      </c>
      <c r="M221" s="74">
        <f t="shared" si="17"/>
        <v>0</v>
      </c>
      <c r="N221" s="74">
        <f t="shared" si="18"/>
        <v>0</v>
      </c>
      <c r="O221" s="94">
        <f t="shared" si="19"/>
        <v>0</v>
      </c>
    </row>
    <row r="222" spans="1:15" ht="15" customHeight="1" x14ac:dyDescent="0.25">
      <c r="A222" s="75">
        <v>215</v>
      </c>
      <c r="B222" s="75"/>
      <c r="C222" s="75">
        <f>'SKU Master'!C199</f>
        <v>0</v>
      </c>
      <c r="D222" s="75"/>
      <c r="E222" s="75"/>
      <c r="F222" s="148">
        <f>E222*(_xlfn.XLOOKUP(B222,'Ratio Master'!A:A,'Ratio Master'!G:G,""))</f>
        <v>0</v>
      </c>
      <c r="G222" s="70"/>
      <c r="H222" s="70">
        <f>IFERROR('SKU Master'!M199+0,0)</f>
        <v>0</v>
      </c>
      <c r="I222" s="76">
        <f t="shared" si="15"/>
        <v>0</v>
      </c>
      <c r="J222" s="70">
        <f>IFERROR('SKU Master'!N199+0,0)</f>
        <v>0</v>
      </c>
      <c r="K222" s="74">
        <f t="shared" si="16"/>
        <v>0</v>
      </c>
      <c r="L222" s="74">
        <f>I222*'SKU Master'!H199</f>
        <v>0</v>
      </c>
      <c r="M222" s="74">
        <f t="shared" si="17"/>
        <v>0</v>
      </c>
      <c r="N222" s="74">
        <f t="shared" si="18"/>
        <v>0</v>
      </c>
      <c r="O222" s="94">
        <f t="shared" si="19"/>
        <v>0</v>
      </c>
    </row>
    <row r="223" spans="1:15" ht="15" customHeight="1" x14ac:dyDescent="0.25">
      <c r="A223" s="75">
        <v>216</v>
      </c>
      <c r="B223" s="75"/>
      <c r="C223" s="75">
        <f>'SKU Master'!C200</f>
        <v>0</v>
      </c>
      <c r="D223" s="75"/>
      <c r="E223" s="75"/>
      <c r="F223" s="148">
        <f>E223*(_xlfn.XLOOKUP(B223,'Ratio Master'!A:A,'Ratio Master'!G:G,""))</f>
        <v>0</v>
      </c>
      <c r="G223" s="70"/>
      <c r="H223" s="70">
        <f>IFERROR('SKU Master'!M200+0,0)</f>
        <v>0</v>
      </c>
      <c r="I223" s="76">
        <f t="shared" si="15"/>
        <v>0</v>
      </c>
      <c r="J223" s="70">
        <f>IFERROR('SKU Master'!N200+0,0)</f>
        <v>0</v>
      </c>
      <c r="K223" s="74">
        <f t="shared" si="16"/>
        <v>0</v>
      </c>
      <c r="L223" s="74">
        <f>I223*'SKU Master'!H200</f>
        <v>0</v>
      </c>
      <c r="M223" s="74">
        <f t="shared" si="17"/>
        <v>0</v>
      </c>
      <c r="N223" s="74">
        <f t="shared" si="18"/>
        <v>0</v>
      </c>
      <c r="O223" s="94">
        <f t="shared" si="19"/>
        <v>0</v>
      </c>
    </row>
    <row r="224" spans="1:15" ht="15" customHeight="1" x14ac:dyDescent="0.25">
      <c r="A224" s="75">
        <v>217</v>
      </c>
      <c r="B224" s="75"/>
      <c r="C224" s="75">
        <f>'SKU Master'!C201</f>
        <v>0</v>
      </c>
      <c r="D224" s="75"/>
      <c r="E224" s="75"/>
      <c r="F224" s="148">
        <f>E224*(_xlfn.XLOOKUP(B224,'Ratio Master'!A:A,'Ratio Master'!G:G,""))</f>
        <v>0</v>
      </c>
      <c r="G224" s="70"/>
      <c r="H224" s="70">
        <f>IFERROR('SKU Master'!M201+0,0)</f>
        <v>0</v>
      </c>
      <c r="I224" s="76">
        <f t="shared" si="15"/>
        <v>0</v>
      </c>
      <c r="J224" s="70">
        <f>IFERROR('SKU Master'!N201+0,0)</f>
        <v>0</v>
      </c>
      <c r="K224" s="74">
        <f t="shared" si="16"/>
        <v>0</v>
      </c>
      <c r="L224" s="74">
        <f>I224*'SKU Master'!H201</f>
        <v>0</v>
      </c>
      <c r="M224" s="74">
        <f t="shared" si="17"/>
        <v>0</v>
      </c>
      <c r="N224" s="74">
        <f t="shared" si="18"/>
        <v>0</v>
      </c>
      <c r="O224" s="94">
        <f t="shared" si="19"/>
        <v>0</v>
      </c>
    </row>
    <row r="225" spans="1:15" ht="15" customHeight="1" x14ac:dyDescent="0.25">
      <c r="A225" s="75">
        <v>218</v>
      </c>
      <c r="B225" s="75"/>
      <c r="C225" s="75">
        <f>'SKU Master'!C202</f>
        <v>0</v>
      </c>
      <c r="D225" s="75"/>
      <c r="E225" s="75"/>
      <c r="F225" s="148">
        <f>E225*(_xlfn.XLOOKUP(B225,'Ratio Master'!A:A,'Ratio Master'!G:G,""))</f>
        <v>0</v>
      </c>
      <c r="G225" s="70"/>
      <c r="H225" s="70">
        <f>IFERROR('SKU Master'!M202+0,0)</f>
        <v>0</v>
      </c>
      <c r="I225" s="76">
        <f t="shared" si="15"/>
        <v>0</v>
      </c>
      <c r="J225" s="70">
        <f>IFERROR('SKU Master'!N202+0,0)</f>
        <v>0</v>
      </c>
      <c r="K225" s="74">
        <f t="shared" si="16"/>
        <v>0</v>
      </c>
      <c r="L225" s="74">
        <f>I225*'SKU Master'!H202</f>
        <v>0</v>
      </c>
      <c r="M225" s="74">
        <f t="shared" si="17"/>
        <v>0</v>
      </c>
      <c r="N225" s="74">
        <f t="shared" si="18"/>
        <v>0</v>
      </c>
      <c r="O225" s="94">
        <f t="shared" si="19"/>
        <v>0</v>
      </c>
    </row>
    <row r="226" spans="1:15" ht="15" customHeight="1" x14ac:dyDescent="0.25">
      <c r="A226" s="75">
        <v>219</v>
      </c>
      <c r="B226" s="75"/>
      <c r="C226" s="75">
        <f>'SKU Master'!C203</f>
        <v>0</v>
      </c>
      <c r="D226" s="75"/>
      <c r="E226" s="75"/>
      <c r="F226" s="148">
        <f>E226*(_xlfn.XLOOKUP(B226,'Ratio Master'!A:A,'Ratio Master'!G:G,""))</f>
        <v>0</v>
      </c>
      <c r="G226" s="70"/>
      <c r="H226" s="70">
        <f>IFERROR('SKU Master'!M203+0,0)</f>
        <v>0</v>
      </c>
      <c r="I226" s="76">
        <f t="shared" si="15"/>
        <v>0</v>
      </c>
      <c r="J226" s="70">
        <f>IFERROR('SKU Master'!N203+0,0)</f>
        <v>0</v>
      </c>
      <c r="K226" s="74">
        <f t="shared" si="16"/>
        <v>0</v>
      </c>
      <c r="L226" s="74">
        <f>I226*'SKU Master'!H203</f>
        <v>0</v>
      </c>
      <c r="M226" s="74">
        <f t="shared" si="17"/>
        <v>0</v>
      </c>
      <c r="N226" s="74">
        <f t="shared" si="18"/>
        <v>0</v>
      </c>
      <c r="O226" s="94">
        <f t="shared" si="19"/>
        <v>0</v>
      </c>
    </row>
    <row r="227" spans="1:15" ht="15" customHeight="1" x14ac:dyDescent="0.25">
      <c r="A227" s="75">
        <v>220</v>
      </c>
      <c r="B227" s="75"/>
      <c r="C227" s="75">
        <f>'SKU Master'!C204</f>
        <v>0</v>
      </c>
      <c r="D227" s="75"/>
      <c r="E227" s="75"/>
      <c r="F227" s="148">
        <f>E227*(_xlfn.XLOOKUP(B227,'Ratio Master'!A:A,'Ratio Master'!G:G,""))</f>
        <v>0</v>
      </c>
      <c r="G227" s="70"/>
      <c r="H227" s="70">
        <f>IFERROR('SKU Master'!M204+0,0)</f>
        <v>0</v>
      </c>
      <c r="I227" s="76">
        <f t="shared" si="15"/>
        <v>0</v>
      </c>
      <c r="J227" s="70">
        <f>IFERROR('SKU Master'!N204+0,0)</f>
        <v>0</v>
      </c>
      <c r="K227" s="74">
        <f t="shared" si="16"/>
        <v>0</v>
      </c>
      <c r="L227" s="74">
        <f>I227*'SKU Master'!H204</f>
        <v>0</v>
      </c>
      <c r="M227" s="74">
        <f t="shared" si="17"/>
        <v>0</v>
      </c>
      <c r="N227" s="74">
        <f t="shared" si="18"/>
        <v>0</v>
      </c>
      <c r="O227" s="94">
        <f t="shared" si="19"/>
        <v>0</v>
      </c>
    </row>
    <row r="228" spans="1:15" ht="15" customHeight="1" x14ac:dyDescent="0.25">
      <c r="A228" s="75">
        <v>221</v>
      </c>
      <c r="B228" s="75"/>
      <c r="C228" s="75">
        <f>'SKU Master'!C205</f>
        <v>0</v>
      </c>
      <c r="D228" s="75"/>
      <c r="E228" s="75"/>
      <c r="F228" s="148">
        <f>E228*(_xlfn.XLOOKUP(B228,'Ratio Master'!A:A,'Ratio Master'!G:G,""))</f>
        <v>0</v>
      </c>
      <c r="G228" s="70"/>
      <c r="H228" s="70">
        <f>IFERROR('SKU Master'!M205+0,0)</f>
        <v>0</v>
      </c>
      <c r="I228" s="76">
        <f t="shared" si="15"/>
        <v>0</v>
      </c>
      <c r="J228" s="70">
        <f>IFERROR('SKU Master'!N205+0,0)</f>
        <v>0</v>
      </c>
      <c r="K228" s="74">
        <f t="shared" si="16"/>
        <v>0</v>
      </c>
      <c r="L228" s="74">
        <f>I228*'SKU Master'!H205</f>
        <v>0</v>
      </c>
      <c r="M228" s="74">
        <f t="shared" si="17"/>
        <v>0</v>
      </c>
      <c r="N228" s="74">
        <f t="shared" si="18"/>
        <v>0</v>
      </c>
      <c r="O228" s="94">
        <f t="shared" si="19"/>
        <v>0</v>
      </c>
    </row>
    <row r="229" spans="1:15" ht="15" customHeight="1" x14ac:dyDescent="0.25">
      <c r="A229" s="75">
        <v>222</v>
      </c>
      <c r="B229" s="75"/>
      <c r="C229" s="75">
        <f>'SKU Master'!C206</f>
        <v>0</v>
      </c>
      <c r="D229" s="75"/>
      <c r="E229" s="75"/>
      <c r="F229" s="148">
        <f>E229*(_xlfn.XLOOKUP(B229,'Ratio Master'!A:A,'Ratio Master'!G:G,""))</f>
        <v>0</v>
      </c>
      <c r="G229" s="70"/>
      <c r="H229" s="70">
        <f>IFERROR('SKU Master'!M206+0,0)</f>
        <v>0</v>
      </c>
      <c r="I229" s="76">
        <f t="shared" si="15"/>
        <v>0</v>
      </c>
      <c r="J229" s="70">
        <f>IFERROR('SKU Master'!N206+0,0)</f>
        <v>0</v>
      </c>
      <c r="K229" s="74">
        <f t="shared" si="16"/>
        <v>0</v>
      </c>
      <c r="L229" s="74">
        <f>I229*'SKU Master'!H206</f>
        <v>0</v>
      </c>
      <c r="M229" s="74">
        <f t="shared" si="17"/>
        <v>0</v>
      </c>
      <c r="N229" s="74">
        <f t="shared" si="18"/>
        <v>0</v>
      </c>
      <c r="O229" s="94">
        <f t="shared" si="19"/>
        <v>0</v>
      </c>
    </row>
    <row r="230" spans="1:15" ht="15" customHeight="1" x14ac:dyDescent="0.25">
      <c r="A230" s="75">
        <v>223</v>
      </c>
      <c r="B230" s="75"/>
      <c r="C230" s="75">
        <f>'SKU Master'!C207</f>
        <v>0</v>
      </c>
      <c r="D230" s="75"/>
      <c r="E230" s="75"/>
      <c r="F230" s="148">
        <f>E230*(_xlfn.XLOOKUP(B230,'Ratio Master'!A:A,'Ratio Master'!G:G,""))</f>
        <v>0</v>
      </c>
      <c r="G230" s="70"/>
      <c r="H230" s="70">
        <f>IFERROR('SKU Master'!M207+0,0)</f>
        <v>0</v>
      </c>
      <c r="I230" s="76">
        <f t="shared" si="15"/>
        <v>0</v>
      </c>
      <c r="J230" s="70">
        <f>IFERROR('SKU Master'!N207+0,0)</f>
        <v>0</v>
      </c>
      <c r="K230" s="74">
        <f t="shared" si="16"/>
        <v>0</v>
      </c>
      <c r="L230" s="74">
        <f>I230*'SKU Master'!H207</f>
        <v>0</v>
      </c>
      <c r="M230" s="74">
        <f t="shared" si="17"/>
        <v>0</v>
      </c>
      <c r="N230" s="74">
        <f t="shared" si="18"/>
        <v>0</v>
      </c>
      <c r="O230" s="94">
        <f t="shared" si="19"/>
        <v>0</v>
      </c>
    </row>
    <row r="231" spans="1:15" ht="15" customHeight="1" x14ac:dyDescent="0.25">
      <c r="A231" s="75">
        <v>224</v>
      </c>
      <c r="B231" s="75"/>
      <c r="C231" s="75">
        <f>'SKU Master'!C208</f>
        <v>0</v>
      </c>
      <c r="D231" s="75"/>
      <c r="E231" s="75"/>
      <c r="F231" s="148">
        <f>E231*(_xlfn.XLOOKUP(B231,'Ratio Master'!A:A,'Ratio Master'!G:G,""))</f>
        <v>0</v>
      </c>
      <c r="G231" s="70"/>
      <c r="H231" s="70">
        <f>IFERROR('SKU Master'!M208+0,0)</f>
        <v>0</v>
      </c>
      <c r="I231" s="76">
        <f t="shared" si="15"/>
        <v>0</v>
      </c>
      <c r="J231" s="70">
        <f>IFERROR('SKU Master'!N208+0,0)</f>
        <v>0</v>
      </c>
      <c r="K231" s="74">
        <f t="shared" si="16"/>
        <v>0</v>
      </c>
      <c r="L231" s="74">
        <f>I231*'SKU Master'!H208</f>
        <v>0</v>
      </c>
      <c r="M231" s="74">
        <f t="shared" si="17"/>
        <v>0</v>
      </c>
      <c r="N231" s="74">
        <f t="shared" si="18"/>
        <v>0</v>
      </c>
      <c r="O231" s="94">
        <f t="shared" si="19"/>
        <v>0</v>
      </c>
    </row>
    <row r="232" spans="1:15" ht="15" customHeight="1" x14ac:dyDescent="0.25">
      <c r="A232" s="75">
        <v>225</v>
      </c>
      <c r="B232" s="75"/>
      <c r="C232" s="75">
        <f>'SKU Master'!C209</f>
        <v>0</v>
      </c>
      <c r="D232" s="75"/>
      <c r="E232" s="75"/>
      <c r="F232" s="148">
        <f>E232*(_xlfn.XLOOKUP(B232,'Ratio Master'!A:A,'Ratio Master'!G:G,""))</f>
        <v>0</v>
      </c>
      <c r="G232" s="70"/>
      <c r="H232" s="70">
        <f>IFERROR('SKU Master'!M209+0,0)</f>
        <v>0</v>
      </c>
      <c r="I232" s="76">
        <f t="shared" si="15"/>
        <v>0</v>
      </c>
      <c r="J232" s="70">
        <f>IFERROR('SKU Master'!N209+0,0)</f>
        <v>0</v>
      </c>
      <c r="K232" s="74">
        <f t="shared" si="16"/>
        <v>0</v>
      </c>
      <c r="L232" s="74">
        <f>I232*'SKU Master'!H209</f>
        <v>0</v>
      </c>
      <c r="M232" s="74">
        <f t="shared" si="17"/>
        <v>0</v>
      </c>
      <c r="N232" s="74">
        <f t="shared" si="18"/>
        <v>0</v>
      </c>
      <c r="O232" s="94">
        <f t="shared" si="19"/>
        <v>0</v>
      </c>
    </row>
    <row r="233" spans="1:15" ht="15" customHeight="1" x14ac:dyDescent="0.25">
      <c r="A233" s="80"/>
      <c r="B233" s="80"/>
      <c r="C233" s="78" t="s">
        <v>219</v>
      </c>
      <c r="D233" s="78"/>
      <c r="E233" s="78"/>
      <c r="F233" s="149">
        <f>SUM(F8:F232)</f>
        <v>111914.23568884477</v>
      </c>
      <c r="G233" s="96">
        <f>SUM(G8:G232)</f>
        <v>0</v>
      </c>
      <c r="H233" s="80"/>
      <c r="I233" s="96">
        <f>SUM(I8:I232)</f>
        <v>111914.23568884477</v>
      </c>
      <c r="J233" s="80"/>
      <c r="K233" s="96">
        <f>SUM(K8:K232)</f>
        <v>2188675.5653558159</v>
      </c>
      <c r="L233" s="96">
        <f>SUM(L8:L232)</f>
        <v>24177053.988855779</v>
      </c>
      <c r="M233" s="96">
        <f>SUM(M8:M232)</f>
        <v>26365729.554211587</v>
      </c>
      <c r="N233" s="96">
        <f>SUM(N8:N232)</f>
        <v>35343863.379871525</v>
      </c>
      <c r="O233" s="96">
        <f>SUM(O8:O232)</f>
        <v>8978133.8256599307</v>
      </c>
    </row>
    <row r="235" spans="1:15" ht="15" customHeight="1" x14ac:dyDescent="0.25">
      <c r="C235" s="69" t="s">
        <v>823</v>
      </c>
      <c r="D235" s="69"/>
      <c r="E235" s="69"/>
      <c r="F235" s="145"/>
      <c r="G235" s="77"/>
      <c r="H235" s="77"/>
      <c r="I235" s="77"/>
      <c r="J235" s="77"/>
      <c r="K235" s="77"/>
      <c r="L235" s="77"/>
      <c r="M235" s="77"/>
      <c r="N235" s="77"/>
      <c r="O235" s="106">
        <f>O233</f>
        <v>8978133.8256599307</v>
      </c>
    </row>
    <row r="236" spans="1:15" ht="15" customHeight="1" x14ac:dyDescent="0.25">
      <c r="C236" s="75" t="s">
        <v>824</v>
      </c>
      <c r="D236" s="75"/>
      <c r="E236" s="75"/>
      <c r="F236" s="145"/>
      <c r="G236" s="77"/>
      <c r="H236" s="77"/>
      <c r="I236" s="77"/>
      <c r="J236" s="77"/>
      <c r="K236" s="77"/>
      <c r="L236" s="77"/>
      <c r="M236" s="77"/>
      <c r="N236" s="77"/>
      <c r="O236" s="94">
        <f>('PAL Reconciliation'!C5+'PAL Reconciliation'!C6+'PAL Reconciliation'!C7+'PAL Reconciliation'!C8+'PAL Reconciliation'!C9)/12</f>
        <v>259923.91666666666</v>
      </c>
    </row>
    <row r="237" spans="1:15" ht="15" customHeight="1" x14ac:dyDescent="0.25">
      <c r="C237" s="78" t="s">
        <v>825</v>
      </c>
      <c r="D237" s="78"/>
      <c r="E237" s="78"/>
      <c r="F237" s="146"/>
      <c r="G237" s="80"/>
      <c r="H237" s="80"/>
      <c r="I237" s="80"/>
      <c r="J237" s="80"/>
      <c r="K237" s="80"/>
      <c r="L237" s="80"/>
      <c r="M237" s="80"/>
      <c r="N237" s="80"/>
      <c r="O237" s="96">
        <f>O233+O236</f>
        <v>9238057.7423265968</v>
      </c>
    </row>
    <row r="238" spans="1:15" ht="15" customHeight="1" x14ac:dyDescent="0.25">
      <c r="C238" s="75" t="s">
        <v>826</v>
      </c>
      <c r="D238" s="75"/>
      <c r="E238" s="75"/>
      <c r="F238" s="145"/>
      <c r="G238" s="77"/>
      <c r="H238" s="77"/>
      <c r="I238" s="77"/>
      <c r="J238" s="77"/>
      <c r="K238" s="77"/>
      <c r="L238" s="77"/>
      <c r="M238" s="77"/>
      <c r="N238" s="77"/>
      <c r="O238" s="74">
        <f>MonthlyFixed</f>
        <v>2963361</v>
      </c>
    </row>
    <row r="239" spans="1:15" ht="15" customHeight="1" x14ac:dyDescent="0.25">
      <c r="C239" s="116" t="s">
        <v>827</v>
      </c>
      <c r="D239" s="116"/>
      <c r="E239" s="116"/>
      <c r="F239" s="146"/>
      <c r="G239" s="80"/>
      <c r="H239" s="80"/>
      <c r="I239" s="80"/>
      <c r="J239" s="80"/>
      <c r="K239" s="80"/>
      <c r="L239" s="80"/>
      <c r="M239" s="80"/>
      <c r="N239" s="80"/>
      <c r="O239" s="117">
        <f>O237-O238</f>
        <v>6274696.7423265968</v>
      </c>
    </row>
    <row r="240" spans="1:15" ht="15" customHeight="1" x14ac:dyDescent="0.25">
      <c r="C240" s="69" t="s">
        <v>828</v>
      </c>
      <c r="D240" s="69"/>
      <c r="E240" s="69"/>
      <c r="F240" s="145"/>
      <c r="G240" s="77"/>
      <c r="H240" s="77"/>
      <c r="I240" s="77"/>
      <c r="J240" s="77"/>
      <c r="K240" s="77"/>
      <c r="L240" s="77"/>
      <c r="M240" s="77"/>
      <c r="N240" s="77"/>
      <c r="O240" s="118">
        <f>O239*12</f>
        <v>75296360.907919168</v>
      </c>
    </row>
  </sheetData>
  <mergeCells count="4">
    <mergeCell ref="A1:O1"/>
    <mergeCell ref="A3:O3"/>
    <mergeCell ref="A4:O4"/>
    <mergeCell ref="A5:O5"/>
  </mergeCells>
  <conditionalFormatting sqref="O239:O240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B9C14-4593-48D9-B1AD-D48B72087BC5}">
  <dimension ref="A1:J544"/>
  <sheetViews>
    <sheetView topLeftCell="A463" workbookViewId="0">
      <selection activeCell="G482" sqref="G482"/>
    </sheetView>
  </sheetViews>
  <sheetFormatPr defaultColWidth="8.85546875" defaultRowHeight="15" x14ac:dyDescent="0.25"/>
  <cols>
    <col min="1" max="1" width="11.5703125" style="139" customWidth="1"/>
    <col min="2" max="2" width="35.5703125" style="139" bestFit="1" customWidth="1"/>
    <col min="3" max="3" width="24.140625" style="139" bestFit="1" customWidth="1"/>
    <col min="4" max="4" width="20.28515625" style="139" customWidth="1"/>
    <col min="5" max="5" width="14.7109375" style="139" customWidth="1"/>
    <col min="6" max="6" width="20.28515625" style="139" customWidth="1"/>
    <col min="7" max="7" width="8.85546875" style="140"/>
    <col min="8" max="16384" width="8.85546875" style="139"/>
  </cols>
  <sheetData>
    <row r="1" spans="1:10" s="141" customFormat="1" x14ac:dyDescent="0.25">
      <c r="A1" s="141" t="s">
        <v>829</v>
      </c>
      <c r="B1" s="141" t="s">
        <v>170</v>
      </c>
      <c r="C1" s="141" t="s">
        <v>171</v>
      </c>
      <c r="D1" s="141" t="s">
        <v>980</v>
      </c>
      <c r="E1" s="141" t="s">
        <v>941</v>
      </c>
      <c r="F1" s="141" t="s">
        <v>937</v>
      </c>
      <c r="G1" s="142" t="s">
        <v>172</v>
      </c>
      <c r="J1" s="143" t="s">
        <v>982</v>
      </c>
    </row>
    <row r="2" spans="1:10" x14ac:dyDescent="0.25">
      <c r="A2" s="139">
        <v>101</v>
      </c>
      <c r="B2" s="139" t="s">
        <v>258</v>
      </c>
      <c r="C2" s="139" t="s">
        <v>182</v>
      </c>
      <c r="D2" s="139">
        <v>0</v>
      </c>
      <c r="E2" s="139">
        <v>4.5999999999999999E-2</v>
      </c>
      <c r="F2" s="139" t="s">
        <v>942</v>
      </c>
      <c r="G2" s="140" t="s">
        <v>942</v>
      </c>
      <c r="J2" s="139">
        <f>COUNTIF(A:A,A2)</f>
        <v>1</v>
      </c>
    </row>
    <row r="3" spans="1:10" x14ac:dyDescent="0.25">
      <c r="A3" s="139">
        <v>102</v>
      </c>
      <c r="B3" s="139" t="s">
        <v>260</v>
      </c>
      <c r="C3" s="139" t="s">
        <v>193</v>
      </c>
      <c r="D3" s="139">
        <v>0</v>
      </c>
      <c r="E3" s="139">
        <v>4.5999999999999999E-2</v>
      </c>
      <c r="F3" s="139" t="s">
        <v>942</v>
      </c>
      <c r="G3" s="140" t="s">
        <v>942</v>
      </c>
      <c r="J3" s="139">
        <f t="shared" ref="J3:J66" si="0">COUNTIF(A:A,A3)</f>
        <v>1</v>
      </c>
    </row>
    <row r="4" spans="1:10" x14ac:dyDescent="0.25">
      <c r="A4" s="139">
        <v>103</v>
      </c>
      <c r="B4" s="139" t="s">
        <v>261</v>
      </c>
      <c r="C4" s="139" t="s">
        <v>194</v>
      </c>
      <c r="D4" s="139">
        <v>0</v>
      </c>
      <c r="E4" s="139">
        <v>4.5999999999999999E-2</v>
      </c>
      <c r="F4" s="139" t="s">
        <v>942</v>
      </c>
      <c r="G4" s="140" t="s">
        <v>942</v>
      </c>
      <c r="J4" s="139">
        <f t="shared" si="0"/>
        <v>1</v>
      </c>
    </row>
    <row r="5" spans="1:10" x14ac:dyDescent="0.25">
      <c r="A5" s="139">
        <v>104</v>
      </c>
      <c r="B5" s="139" t="s">
        <v>263</v>
      </c>
      <c r="C5" s="139" t="s">
        <v>186</v>
      </c>
      <c r="D5" s="139">
        <v>0</v>
      </c>
      <c r="E5" s="139">
        <v>4.5999999999999999E-2</v>
      </c>
      <c r="F5" s="139" t="s">
        <v>942</v>
      </c>
      <c r="G5" s="140" t="s">
        <v>942</v>
      </c>
      <c r="J5" s="139">
        <f t="shared" si="0"/>
        <v>1</v>
      </c>
    </row>
    <row r="6" spans="1:10" x14ac:dyDescent="0.25">
      <c r="A6" s="139">
        <v>105</v>
      </c>
      <c r="B6" s="139" t="s">
        <v>264</v>
      </c>
      <c r="C6" s="139" t="s">
        <v>184</v>
      </c>
      <c r="D6" s="139">
        <v>0</v>
      </c>
      <c r="E6" s="139">
        <v>4.5999999999999999E-2</v>
      </c>
      <c r="F6" s="139" t="s">
        <v>942</v>
      </c>
      <c r="G6" s="140" t="s">
        <v>942</v>
      </c>
      <c r="J6" s="139">
        <f t="shared" si="0"/>
        <v>1</v>
      </c>
    </row>
    <row r="7" spans="1:10" x14ac:dyDescent="0.25">
      <c r="A7" s="139">
        <v>106</v>
      </c>
      <c r="B7" s="139" t="s">
        <v>265</v>
      </c>
      <c r="C7" s="139" t="s">
        <v>979</v>
      </c>
      <c r="D7" s="139">
        <v>0</v>
      </c>
      <c r="E7" s="139">
        <v>4.5999999999999999E-2</v>
      </c>
      <c r="F7" s="139" t="s">
        <v>942</v>
      </c>
      <c r="G7" s="140" t="s">
        <v>942</v>
      </c>
      <c r="J7" s="139">
        <f t="shared" si="0"/>
        <v>1</v>
      </c>
    </row>
    <row r="8" spans="1:10" x14ac:dyDescent="0.25">
      <c r="A8" s="139">
        <v>107</v>
      </c>
      <c r="B8" s="139" t="s">
        <v>267</v>
      </c>
      <c r="C8" s="139" t="s">
        <v>195</v>
      </c>
      <c r="D8" s="139">
        <v>0</v>
      </c>
      <c r="E8" s="139">
        <v>4.5999999999999999E-2</v>
      </c>
      <c r="F8" s="139" t="s">
        <v>942</v>
      </c>
      <c r="G8" s="140" t="s">
        <v>942</v>
      </c>
      <c r="J8" s="139">
        <f t="shared" si="0"/>
        <v>1</v>
      </c>
    </row>
    <row r="9" spans="1:10" x14ac:dyDescent="0.25">
      <c r="A9" s="139">
        <v>108</v>
      </c>
      <c r="B9" s="139" t="s">
        <v>268</v>
      </c>
      <c r="C9" s="139" t="s">
        <v>833</v>
      </c>
      <c r="D9" s="139">
        <v>0</v>
      </c>
      <c r="E9" s="139">
        <v>4.5999999999999999E-2</v>
      </c>
      <c r="F9" s="139" t="s">
        <v>942</v>
      </c>
      <c r="G9" s="140" t="s">
        <v>942</v>
      </c>
      <c r="J9" s="139">
        <f t="shared" si="0"/>
        <v>1</v>
      </c>
    </row>
    <row r="10" spans="1:10" x14ac:dyDescent="0.25">
      <c r="A10" s="139">
        <v>109</v>
      </c>
      <c r="B10" s="139" t="s">
        <v>269</v>
      </c>
      <c r="C10" s="139" t="s">
        <v>910</v>
      </c>
      <c r="D10" s="139">
        <v>0</v>
      </c>
      <c r="E10" s="139">
        <v>7.0000000000000007E-2</v>
      </c>
      <c r="F10" s="139" t="s">
        <v>942</v>
      </c>
      <c r="G10" s="140" t="s">
        <v>942</v>
      </c>
      <c r="J10" s="139">
        <f t="shared" si="0"/>
        <v>1</v>
      </c>
    </row>
    <row r="11" spans="1:10" x14ac:dyDescent="0.25">
      <c r="A11" s="139">
        <v>110</v>
      </c>
      <c r="B11" s="139" t="s">
        <v>270</v>
      </c>
      <c r="C11" s="139" t="s">
        <v>193</v>
      </c>
      <c r="D11" s="139">
        <v>0</v>
      </c>
      <c r="E11" s="139">
        <v>0.05</v>
      </c>
      <c r="F11" s="139" t="s">
        <v>942</v>
      </c>
      <c r="G11" s="140" t="s">
        <v>942</v>
      </c>
      <c r="J11" s="139">
        <f t="shared" si="0"/>
        <v>1</v>
      </c>
    </row>
    <row r="12" spans="1:10" x14ac:dyDescent="0.25">
      <c r="A12" s="139">
        <v>111</v>
      </c>
      <c r="B12" s="139" t="s">
        <v>272</v>
      </c>
      <c r="C12" s="139" t="s">
        <v>190</v>
      </c>
      <c r="D12" s="139">
        <v>0</v>
      </c>
      <c r="E12" s="139">
        <v>0.05</v>
      </c>
      <c r="F12" s="139" t="s">
        <v>942</v>
      </c>
      <c r="G12" s="140" t="s">
        <v>942</v>
      </c>
      <c r="J12" s="139">
        <f t="shared" si="0"/>
        <v>1</v>
      </c>
    </row>
    <row r="13" spans="1:10" x14ac:dyDescent="0.25">
      <c r="A13" s="139">
        <v>112</v>
      </c>
      <c r="B13" s="139" t="s">
        <v>275</v>
      </c>
      <c r="C13" s="139" t="s">
        <v>192</v>
      </c>
      <c r="D13" s="139">
        <v>0</v>
      </c>
      <c r="E13" s="139">
        <v>0.05</v>
      </c>
      <c r="F13" s="139" t="s">
        <v>942</v>
      </c>
      <c r="G13" s="140" t="s">
        <v>942</v>
      </c>
      <c r="J13" s="139">
        <f t="shared" si="0"/>
        <v>1</v>
      </c>
    </row>
    <row r="14" spans="1:10" x14ac:dyDescent="0.25">
      <c r="A14" s="139">
        <v>113</v>
      </c>
      <c r="B14" s="139" t="s">
        <v>277</v>
      </c>
      <c r="C14" s="139" t="s">
        <v>194</v>
      </c>
      <c r="D14" s="139">
        <v>0</v>
      </c>
      <c r="E14" s="139">
        <v>0.05</v>
      </c>
      <c r="F14" s="139" t="s">
        <v>942</v>
      </c>
      <c r="G14" s="140" t="s">
        <v>942</v>
      </c>
      <c r="J14" s="139">
        <f t="shared" si="0"/>
        <v>1</v>
      </c>
    </row>
    <row r="15" spans="1:10" x14ac:dyDescent="0.25">
      <c r="A15" s="139">
        <v>114</v>
      </c>
      <c r="B15" s="139" t="s">
        <v>279</v>
      </c>
      <c r="C15" s="139" t="s">
        <v>195</v>
      </c>
      <c r="D15" s="139">
        <v>0</v>
      </c>
      <c r="E15" s="139">
        <v>0.05</v>
      </c>
      <c r="F15" s="139" t="s">
        <v>942</v>
      </c>
      <c r="G15" s="140" t="s">
        <v>942</v>
      </c>
      <c r="J15" s="139">
        <f t="shared" si="0"/>
        <v>1</v>
      </c>
    </row>
    <row r="16" spans="1:10" x14ac:dyDescent="0.25">
      <c r="A16" s="139">
        <v>115</v>
      </c>
      <c r="B16" s="139" t="s">
        <v>281</v>
      </c>
      <c r="C16" s="139" t="s">
        <v>182</v>
      </c>
      <c r="D16" s="139">
        <v>0</v>
      </c>
      <c r="E16" s="139">
        <v>6.4000000000000001E-2</v>
      </c>
      <c r="F16" s="139" t="s">
        <v>942</v>
      </c>
      <c r="G16" s="140" t="s">
        <v>942</v>
      </c>
      <c r="J16" s="139">
        <f t="shared" si="0"/>
        <v>1</v>
      </c>
    </row>
    <row r="17" spans="1:10" x14ac:dyDescent="0.25">
      <c r="A17" s="139">
        <v>116</v>
      </c>
      <c r="B17" s="139" t="s">
        <v>282</v>
      </c>
      <c r="C17" s="139" t="s">
        <v>202</v>
      </c>
      <c r="D17" s="139">
        <v>0</v>
      </c>
      <c r="E17" s="139">
        <v>6.4000000000000001E-2</v>
      </c>
      <c r="F17" s="139" t="s">
        <v>942</v>
      </c>
      <c r="G17" s="140" t="s">
        <v>942</v>
      </c>
      <c r="J17" s="139">
        <f t="shared" si="0"/>
        <v>1</v>
      </c>
    </row>
    <row r="18" spans="1:10" x14ac:dyDescent="0.25">
      <c r="A18" s="139">
        <v>117</v>
      </c>
      <c r="B18" s="139" t="s">
        <v>284</v>
      </c>
      <c r="C18" s="139" t="s">
        <v>187</v>
      </c>
      <c r="D18" s="139">
        <v>0</v>
      </c>
      <c r="E18" s="139">
        <v>9.6000000000000002E-2</v>
      </c>
      <c r="F18" s="139" t="s">
        <v>942</v>
      </c>
      <c r="G18" s="140" t="s">
        <v>942</v>
      </c>
      <c r="J18" s="139">
        <f t="shared" si="0"/>
        <v>1</v>
      </c>
    </row>
    <row r="19" spans="1:10" x14ac:dyDescent="0.25">
      <c r="A19" s="139">
        <v>118</v>
      </c>
      <c r="B19" s="139" t="s">
        <v>286</v>
      </c>
      <c r="C19" s="139" t="s">
        <v>185</v>
      </c>
      <c r="D19" s="139">
        <v>0</v>
      </c>
      <c r="E19" s="139">
        <v>0.13200000000000001</v>
      </c>
      <c r="F19" s="139" t="s">
        <v>942</v>
      </c>
      <c r="G19" s="140" t="s">
        <v>942</v>
      </c>
      <c r="J19" s="139">
        <f t="shared" si="0"/>
        <v>1</v>
      </c>
    </row>
    <row r="20" spans="1:10" x14ac:dyDescent="0.25">
      <c r="A20" s="139">
        <v>119</v>
      </c>
      <c r="B20" s="139" t="s">
        <v>288</v>
      </c>
      <c r="C20" s="139" t="s">
        <v>187</v>
      </c>
      <c r="D20" s="139">
        <v>11.4</v>
      </c>
      <c r="E20" s="139">
        <v>0.16</v>
      </c>
      <c r="F20" s="139">
        <v>11.4</v>
      </c>
      <c r="G20" s="140">
        <v>0.16409063180827901</v>
      </c>
      <c r="J20" s="139">
        <f t="shared" si="0"/>
        <v>1</v>
      </c>
    </row>
    <row r="21" spans="1:10" x14ac:dyDescent="0.25">
      <c r="A21" s="139">
        <v>120</v>
      </c>
      <c r="B21" s="139" t="s">
        <v>290</v>
      </c>
      <c r="C21" s="139" t="s">
        <v>182</v>
      </c>
      <c r="D21" s="139">
        <v>0</v>
      </c>
      <c r="E21" s="139">
        <v>5.5999999999999994E-2</v>
      </c>
      <c r="F21" s="139" t="s">
        <v>942</v>
      </c>
      <c r="G21" s="140" t="s">
        <v>942</v>
      </c>
      <c r="J21" s="139">
        <f t="shared" si="0"/>
        <v>1</v>
      </c>
    </row>
    <row r="22" spans="1:10" x14ac:dyDescent="0.25">
      <c r="A22" s="139">
        <v>121</v>
      </c>
      <c r="B22" s="139" t="s">
        <v>292</v>
      </c>
      <c r="C22" s="139" t="s">
        <v>182</v>
      </c>
      <c r="D22" s="139">
        <v>0</v>
      </c>
      <c r="E22" s="139">
        <v>0.06</v>
      </c>
      <c r="F22" s="139" t="s">
        <v>942</v>
      </c>
      <c r="G22" s="140" t="s">
        <v>942</v>
      </c>
      <c r="J22" s="139">
        <f t="shared" si="0"/>
        <v>1</v>
      </c>
    </row>
    <row r="23" spans="1:10" x14ac:dyDescent="0.25">
      <c r="A23" s="139">
        <v>122</v>
      </c>
      <c r="B23" s="139" t="s">
        <v>293</v>
      </c>
      <c r="C23" s="139" t="s">
        <v>196</v>
      </c>
      <c r="D23" s="139">
        <v>0</v>
      </c>
      <c r="E23" s="139">
        <v>0.06</v>
      </c>
      <c r="F23" s="139" t="s">
        <v>942</v>
      </c>
      <c r="G23" s="140" t="s">
        <v>942</v>
      </c>
      <c r="J23" s="139">
        <f t="shared" si="0"/>
        <v>1</v>
      </c>
    </row>
    <row r="24" spans="1:10" x14ac:dyDescent="0.25">
      <c r="A24" s="139">
        <v>123</v>
      </c>
      <c r="B24" s="139" t="s">
        <v>296</v>
      </c>
      <c r="C24" s="139" t="s">
        <v>182</v>
      </c>
      <c r="D24" s="139">
        <v>11.4</v>
      </c>
      <c r="E24" s="139">
        <v>0.22</v>
      </c>
      <c r="F24" s="139" t="s">
        <v>942</v>
      </c>
      <c r="G24" s="140" t="s">
        <v>942</v>
      </c>
      <c r="J24" s="139">
        <f t="shared" si="0"/>
        <v>1</v>
      </c>
    </row>
    <row r="25" spans="1:10" x14ac:dyDescent="0.25">
      <c r="A25" s="139">
        <v>124</v>
      </c>
      <c r="B25" s="139" t="s">
        <v>298</v>
      </c>
      <c r="C25" s="139" t="s">
        <v>187</v>
      </c>
      <c r="D25" s="139">
        <v>11.4</v>
      </c>
      <c r="E25" s="139">
        <v>0.17600000000000002</v>
      </c>
      <c r="F25" s="139">
        <v>12</v>
      </c>
      <c r="G25" s="140">
        <v>0.217938461538462</v>
      </c>
      <c r="J25" s="139">
        <f t="shared" si="0"/>
        <v>1</v>
      </c>
    </row>
    <row r="26" spans="1:10" x14ac:dyDescent="0.25">
      <c r="A26" s="139">
        <v>125</v>
      </c>
      <c r="B26" s="139" t="s">
        <v>300</v>
      </c>
      <c r="C26" s="139" t="s">
        <v>187</v>
      </c>
      <c r="D26" s="139">
        <v>5.7</v>
      </c>
      <c r="E26" s="139">
        <v>0.1</v>
      </c>
      <c r="F26" s="139" t="s">
        <v>942</v>
      </c>
      <c r="G26" s="140" t="s">
        <v>942</v>
      </c>
      <c r="J26" s="139">
        <f t="shared" si="0"/>
        <v>1</v>
      </c>
    </row>
    <row r="27" spans="1:10" x14ac:dyDescent="0.25">
      <c r="A27" s="139">
        <v>126</v>
      </c>
      <c r="B27" s="139" t="s">
        <v>301</v>
      </c>
      <c r="C27" s="139" t="s">
        <v>877</v>
      </c>
      <c r="D27" s="139">
        <v>5.7</v>
      </c>
      <c r="E27" s="139">
        <v>0.1</v>
      </c>
      <c r="F27" s="139">
        <v>5.7</v>
      </c>
      <c r="G27" s="140">
        <v>9.4364576108921003E-2</v>
      </c>
      <c r="J27" s="139">
        <f t="shared" si="0"/>
        <v>3</v>
      </c>
    </row>
    <row r="28" spans="1:10" x14ac:dyDescent="0.25">
      <c r="A28" s="139">
        <v>126</v>
      </c>
      <c r="B28" s="139" t="s">
        <v>302</v>
      </c>
      <c r="C28" s="139" t="s">
        <v>182</v>
      </c>
      <c r="D28" s="139">
        <v>0</v>
      </c>
      <c r="E28" s="139">
        <v>0.09</v>
      </c>
      <c r="F28" s="139">
        <v>0</v>
      </c>
      <c r="G28" s="140">
        <v>9.4364576108921003E-2</v>
      </c>
      <c r="J28" s="139">
        <f t="shared" si="0"/>
        <v>3</v>
      </c>
    </row>
    <row r="29" spans="1:10" x14ac:dyDescent="0.25">
      <c r="A29" s="139">
        <v>126</v>
      </c>
      <c r="B29" s="139" t="s">
        <v>978</v>
      </c>
      <c r="C29" s="139" t="s">
        <v>182</v>
      </c>
      <c r="D29" s="139">
        <v>0</v>
      </c>
      <c r="E29" s="139">
        <v>0.09</v>
      </c>
      <c r="F29" s="139">
        <v>0</v>
      </c>
      <c r="G29" s="140">
        <v>9.4364576108921003E-2</v>
      </c>
      <c r="J29" s="139">
        <f t="shared" si="0"/>
        <v>3</v>
      </c>
    </row>
    <row r="30" spans="1:10" x14ac:dyDescent="0.25">
      <c r="A30" s="139">
        <v>127</v>
      </c>
      <c r="B30" s="139" t="s">
        <v>304</v>
      </c>
      <c r="C30" s="139" t="s">
        <v>832</v>
      </c>
      <c r="D30" s="139">
        <v>0</v>
      </c>
      <c r="E30" s="139">
        <v>0.13</v>
      </c>
      <c r="F30" s="139" t="s">
        <v>942</v>
      </c>
      <c r="G30" s="140" t="s">
        <v>942</v>
      </c>
      <c r="J30" s="139">
        <f t="shared" si="0"/>
        <v>1</v>
      </c>
    </row>
    <row r="31" spans="1:10" x14ac:dyDescent="0.25">
      <c r="A31" s="139">
        <v>128</v>
      </c>
      <c r="B31" s="139" t="s">
        <v>305</v>
      </c>
      <c r="C31" s="139" t="s">
        <v>832</v>
      </c>
      <c r="D31" s="139">
        <v>0</v>
      </c>
      <c r="E31" s="139">
        <v>0.16</v>
      </c>
      <c r="F31" s="139" t="s">
        <v>942</v>
      </c>
      <c r="G31" s="140" t="s">
        <v>942</v>
      </c>
      <c r="J31" s="139">
        <f t="shared" si="0"/>
        <v>1</v>
      </c>
    </row>
    <row r="32" spans="1:10" x14ac:dyDescent="0.25">
      <c r="A32" s="139">
        <v>129</v>
      </c>
      <c r="B32" s="139" t="s">
        <v>306</v>
      </c>
      <c r="C32" s="139" t="s">
        <v>185</v>
      </c>
      <c r="D32" s="139">
        <v>0</v>
      </c>
      <c r="E32" s="139">
        <v>0.16</v>
      </c>
      <c r="F32" s="139">
        <v>9</v>
      </c>
      <c r="G32" s="140">
        <v>7.4178451178451205E-2</v>
      </c>
      <c r="J32" s="139">
        <f t="shared" si="0"/>
        <v>1</v>
      </c>
    </row>
    <row r="33" spans="1:10" x14ac:dyDescent="0.25">
      <c r="A33" s="139">
        <v>130</v>
      </c>
      <c r="B33" s="139" t="s">
        <v>307</v>
      </c>
      <c r="C33" s="139" t="s">
        <v>832</v>
      </c>
      <c r="D33" s="139">
        <v>0</v>
      </c>
      <c r="E33" s="139">
        <v>2.7999999999999997E-2</v>
      </c>
      <c r="F33" s="139" t="s">
        <v>942</v>
      </c>
      <c r="G33" s="140" t="s">
        <v>942</v>
      </c>
      <c r="J33" s="139">
        <f t="shared" si="0"/>
        <v>1</v>
      </c>
    </row>
    <row r="34" spans="1:10" x14ac:dyDescent="0.25">
      <c r="A34" s="139">
        <v>131</v>
      </c>
      <c r="B34" s="139" t="s">
        <v>308</v>
      </c>
      <c r="C34" s="139" t="s">
        <v>182</v>
      </c>
      <c r="D34" s="139">
        <v>0</v>
      </c>
      <c r="E34" s="139">
        <v>3.2000000000000001E-2</v>
      </c>
      <c r="F34" s="139" t="s">
        <v>942</v>
      </c>
      <c r="G34" s="140" t="s">
        <v>942</v>
      </c>
      <c r="J34" s="139">
        <f t="shared" si="0"/>
        <v>1</v>
      </c>
    </row>
    <row r="35" spans="1:10" x14ac:dyDescent="0.25">
      <c r="A35" s="139">
        <v>132</v>
      </c>
      <c r="B35" s="139" t="s">
        <v>309</v>
      </c>
      <c r="C35" s="139" t="s">
        <v>188</v>
      </c>
      <c r="D35" s="139">
        <v>0</v>
      </c>
      <c r="E35" s="139">
        <v>3.2000000000000001E-2</v>
      </c>
      <c r="F35" s="139" t="s">
        <v>942</v>
      </c>
      <c r="G35" s="140" t="s">
        <v>942</v>
      </c>
      <c r="J35" s="139">
        <f t="shared" si="0"/>
        <v>1</v>
      </c>
    </row>
    <row r="36" spans="1:10" x14ac:dyDescent="0.25">
      <c r="A36" s="139">
        <v>133</v>
      </c>
      <c r="B36" s="139" t="s">
        <v>310</v>
      </c>
      <c r="C36" s="139" t="s">
        <v>193</v>
      </c>
      <c r="D36" s="139">
        <v>0</v>
      </c>
      <c r="E36" s="139">
        <v>3.2000000000000001E-2</v>
      </c>
      <c r="F36" s="139" t="s">
        <v>942</v>
      </c>
      <c r="G36" s="140" t="s">
        <v>942</v>
      </c>
      <c r="J36" s="139">
        <f t="shared" si="0"/>
        <v>1</v>
      </c>
    </row>
    <row r="37" spans="1:10" x14ac:dyDescent="0.25">
      <c r="A37" s="139">
        <v>134</v>
      </c>
      <c r="B37" s="139" t="s">
        <v>311</v>
      </c>
      <c r="C37" s="139" t="s">
        <v>194</v>
      </c>
      <c r="D37" s="139">
        <v>0</v>
      </c>
      <c r="E37" s="139">
        <v>3.2000000000000001E-2</v>
      </c>
      <c r="F37" s="139" t="s">
        <v>942</v>
      </c>
      <c r="G37" s="140" t="s">
        <v>942</v>
      </c>
      <c r="J37" s="139">
        <f t="shared" si="0"/>
        <v>1</v>
      </c>
    </row>
    <row r="38" spans="1:10" x14ac:dyDescent="0.25">
      <c r="A38" s="139">
        <v>135</v>
      </c>
      <c r="B38" s="139" t="s">
        <v>312</v>
      </c>
      <c r="C38" s="139" t="s">
        <v>185</v>
      </c>
      <c r="D38" s="139">
        <v>0</v>
      </c>
      <c r="E38" s="139">
        <v>3.2000000000000001E-2</v>
      </c>
      <c r="F38" s="139" t="s">
        <v>942</v>
      </c>
      <c r="G38" s="140" t="s">
        <v>942</v>
      </c>
      <c r="J38" s="139">
        <f t="shared" si="0"/>
        <v>1</v>
      </c>
    </row>
    <row r="39" spans="1:10" x14ac:dyDescent="0.25">
      <c r="A39" s="139">
        <v>136</v>
      </c>
      <c r="B39" s="139" t="s">
        <v>313</v>
      </c>
      <c r="C39" s="139" t="s">
        <v>195</v>
      </c>
      <c r="D39" s="139">
        <v>0</v>
      </c>
      <c r="E39" s="139">
        <v>3.2000000000000001E-2</v>
      </c>
      <c r="F39" s="139" t="s">
        <v>942</v>
      </c>
      <c r="G39" s="140" t="s">
        <v>942</v>
      </c>
      <c r="J39" s="139">
        <f t="shared" si="0"/>
        <v>1</v>
      </c>
    </row>
    <row r="40" spans="1:10" x14ac:dyDescent="0.25">
      <c r="A40" s="139">
        <v>137</v>
      </c>
      <c r="B40" s="139" t="s">
        <v>314</v>
      </c>
      <c r="C40" s="139" t="s">
        <v>188</v>
      </c>
      <c r="D40" s="139">
        <v>0</v>
      </c>
      <c r="E40" s="139">
        <v>3.6000000000000004E-2</v>
      </c>
      <c r="F40" s="139" t="s">
        <v>942</v>
      </c>
      <c r="G40" s="140" t="s">
        <v>942</v>
      </c>
      <c r="J40" s="139">
        <f t="shared" si="0"/>
        <v>1</v>
      </c>
    </row>
    <row r="41" spans="1:10" x14ac:dyDescent="0.25">
      <c r="A41" s="139">
        <v>138</v>
      </c>
      <c r="B41" s="139" t="s">
        <v>315</v>
      </c>
      <c r="C41" s="139" t="s">
        <v>194</v>
      </c>
      <c r="D41" s="139">
        <v>0</v>
      </c>
      <c r="E41" s="139">
        <v>3.6000000000000004E-2</v>
      </c>
      <c r="F41" s="139" t="s">
        <v>942</v>
      </c>
      <c r="G41" s="140" t="s">
        <v>942</v>
      </c>
      <c r="J41" s="139">
        <f t="shared" si="0"/>
        <v>1</v>
      </c>
    </row>
    <row r="42" spans="1:10" x14ac:dyDescent="0.25">
      <c r="A42" s="139">
        <v>139</v>
      </c>
      <c r="B42" s="139" t="s">
        <v>316</v>
      </c>
      <c r="C42" s="139" t="s">
        <v>185</v>
      </c>
      <c r="D42" s="139">
        <v>0</v>
      </c>
      <c r="E42" s="139">
        <v>3.6000000000000004E-2</v>
      </c>
      <c r="F42" s="139" t="s">
        <v>942</v>
      </c>
      <c r="G42" s="140" t="s">
        <v>942</v>
      </c>
      <c r="J42" s="139">
        <f t="shared" si="0"/>
        <v>1</v>
      </c>
    </row>
    <row r="43" spans="1:10" x14ac:dyDescent="0.25">
      <c r="A43" s="139">
        <v>140</v>
      </c>
      <c r="B43" s="139" t="s">
        <v>317</v>
      </c>
      <c r="C43" s="139" t="s">
        <v>195</v>
      </c>
      <c r="D43" s="139">
        <v>0</v>
      </c>
      <c r="E43" s="139">
        <v>3.6000000000000004E-2</v>
      </c>
      <c r="F43" s="139" t="s">
        <v>942</v>
      </c>
      <c r="G43" s="140" t="s">
        <v>942</v>
      </c>
      <c r="J43" s="139">
        <f t="shared" si="0"/>
        <v>1</v>
      </c>
    </row>
    <row r="44" spans="1:10" x14ac:dyDescent="0.25">
      <c r="A44" s="139">
        <v>141</v>
      </c>
      <c r="B44" s="139" t="s">
        <v>318</v>
      </c>
      <c r="C44" s="139" t="s">
        <v>190</v>
      </c>
      <c r="D44" s="139">
        <v>4.7</v>
      </c>
      <c r="E44" s="139">
        <v>0.04</v>
      </c>
      <c r="F44" s="139">
        <v>4.7</v>
      </c>
      <c r="G44" s="140">
        <v>3.8875E-2</v>
      </c>
      <c r="J44" s="139">
        <f t="shared" si="0"/>
        <v>1</v>
      </c>
    </row>
    <row r="45" spans="1:10" x14ac:dyDescent="0.25">
      <c r="A45" s="139">
        <v>142</v>
      </c>
      <c r="B45" s="139" t="s">
        <v>319</v>
      </c>
      <c r="C45" s="139" t="s">
        <v>967</v>
      </c>
      <c r="D45" s="139">
        <v>4.7</v>
      </c>
      <c r="E45" s="139">
        <v>0.04</v>
      </c>
      <c r="F45" s="139" t="s">
        <v>942</v>
      </c>
      <c r="G45" s="140" t="s">
        <v>942</v>
      </c>
      <c r="J45" s="139">
        <f t="shared" si="0"/>
        <v>1</v>
      </c>
    </row>
    <row r="46" spans="1:10" x14ac:dyDescent="0.25">
      <c r="A46" s="139">
        <v>143</v>
      </c>
      <c r="B46" s="139" t="s">
        <v>320</v>
      </c>
      <c r="C46" s="139" t="s">
        <v>200</v>
      </c>
      <c r="D46" s="139">
        <v>4.7</v>
      </c>
      <c r="E46" s="139">
        <v>0.04</v>
      </c>
      <c r="F46" s="139" t="s">
        <v>942</v>
      </c>
      <c r="G46" s="140" t="s">
        <v>942</v>
      </c>
      <c r="J46" s="139">
        <f t="shared" si="0"/>
        <v>1</v>
      </c>
    </row>
    <row r="47" spans="1:10" x14ac:dyDescent="0.25">
      <c r="A47" s="139">
        <v>144</v>
      </c>
      <c r="B47" s="139" t="s">
        <v>321</v>
      </c>
      <c r="C47" s="139" t="s">
        <v>182</v>
      </c>
      <c r="D47" s="139">
        <v>4.7</v>
      </c>
      <c r="E47" s="139">
        <v>0.04</v>
      </c>
      <c r="F47" s="139">
        <v>4.7</v>
      </c>
      <c r="G47" s="140">
        <v>3.9991399158554E-2</v>
      </c>
      <c r="J47" s="139">
        <f t="shared" si="0"/>
        <v>2</v>
      </c>
    </row>
    <row r="48" spans="1:10" x14ac:dyDescent="0.25">
      <c r="A48" s="139">
        <v>144</v>
      </c>
      <c r="B48" s="139" t="s">
        <v>322</v>
      </c>
      <c r="C48" s="139" t="s">
        <v>182</v>
      </c>
      <c r="D48" s="139">
        <v>4.7</v>
      </c>
      <c r="E48" s="139">
        <v>0.04</v>
      </c>
      <c r="F48" s="139">
        <v>4.7</v>
      </c>
      <c r="G48" s="140">
        <v>3.9991399158554E-2</v>
      </c>
      <c r="J48" s="139">
        <f t="shared" si="0"/>
        <v>2</v>
      </c>
    </row>
    <row r="49" spans="1:10" x14ac:dyDescent="0.25">
      <c r="A49" s="139">
        <v>145</v>
      </c>
      <c r="B49" s="139" t="s">
        <v>324</v>
      </c>
      <c r="C49" s="139" t="s">
        <v>182</v>
      </c>
      <c r="D49" s="139">
        <v>4.7</v>
      </c>
      <c r="E49" s="139">
        <v>3.6000000000000004E-2</v>
      </c>
      <c r="F49" s="139">
        <v>4.7</v>
      </c>
      <c r="G49" s="140">
        <v>3.5550684404753403E-2</v>
      </c>
      <c r="J49" s="139">
        <f t="shared" si="0"/>
        <v>2</v>
      </c>
    </row>
    <row r="50" spans="1:10" x14ac:dyDescent="0.25">
      <c r="A50" s="139">
        <v>145</v>
      </c>
      <c r="B50" s="139" t="s">
        <v>323</v>
      </c>
      <c r="C50" s="139" t="s">
        <v>182</v>
      </c>
      <c r="D50" s="139">
        <v>4.7</v>
      </c>
      <c r="E50" s="139">
        <v>0.04</v>
      </c>
      <c r="F50" s="139">
        <v>4.7</v>
      </c>
      <c r="G50" s="140">
        <v>3.5550684404753403E-2</v>
      </c>
      <c r="J50" s="139">
        <f t="shared" si="0"/>
        <v>2</v>
      </c>
    </row>
    <row r="51" spans="1:10" x14ac:dyDescent="0.25">
      <c r="A51" s="139">
        <v>147</v>
      </c>
      <c r="B51" s="139" t="s">
        <v>325</v>
      </c>
      <c r="C51" s="139" t="s">
        <v>831</v>
      </c>
      <c r="D51" s="139">
        <v>4.7</v>
      </c>
      <c r="E51" s="139">
        <v>0.04</v>
      </c>
      <c r="F51" s="139">
        <v>4.7</v>
      </c>
      <c r="G51" s="140">
        <v>4.281625E-2</v>
      </c>
      <c r="J51" s="139">
        <f t="shared" si="0"/>
        <v>1</v>
      </c>
    </row>
    <row r="52" spans="1:10" x14ac:dyDescent="0.25">
      <c r="A52" s="139">
        <v>148</v>
      </c>
      <c r="B52" s="139" t="s">
        <v>326</v>
      </c>
      <c r="C52" s="139" t="s">
        <v>977</v>
      </c>
      <c r="D52" s="139">
        <v>4.7</v>
      </c>
      <c r="E52" s="139">
        <v>0.04</v>
      </c>
      <c r="F52" s="139" t="s">
        <v>942</v>
      </c>
      <c r="G52" s="140" t="s">
        <v>942</v>
      </c>
      <c r="J52" s="139">
        <f t="shared" si="0"/>
        <v>1</v>
      </c>
    </row>
    <row r="53" spans="1:10" x14ac:dyDescent="0.25">
      <c r="A53" s="139">
        <v>149</v>
      </c>
      <c r="B53" s="139" t="s">
        <v>327</v>
      </c>
      <c r="C53" s="139" t="s">
        <v>188</v>
      </c>
      <c r="D53" s="139">
        <v>4.7</v>
      </c>
      <c r="E53" s="139">
        <v>0.04</v>
      </c>
      <c r="F53" s="139" t="s">
        <v>942</v>
      </c>
      <c r="G53" s="140" t="s">
        <v>942</v>
      </c>
      <c r="J53" s="139">
        <f t="shared" si="0"/>
        <v>1</v>
      </c>
    </row>
    <row r="54" spans="1:10" x14ac:dyDescent="0.25">
      <c r="A54" s="139">
        <v>150</v>
      </c>
      <c r="B54" s="139" t="s">
        <v>328</v>
      </c>
      <c r="C54" s="139" t="s">
        <v>867</v>
      </c>
      <c r="D54" s="139">
        <v>4.7</v>
      </c>
      <c r="E54" s="139">
        <v>0.04</v>
      </c>
      <c r="F54" s="139" t="s">
        <v>942</v>
      </c>
      <c r="G54" s="140" t="s">
        <v>942</v>
      </c>
      <c r="J54" s="139">
        <f t="shared" si="0"/>
        <v>1</v>
      </c>
    </row>
    <row r="55" spans="1:10" x14ac:dyDescent="0.25">
      <c r="A55" s="139">
        <v>151</v>
      </c>
      <c r="B55" s="139" t="s">
        <v>329</v>
      </c>
      <c r="C55" s="139" t="s">
        <v>976</v>
      </c>
      <c r="D55" s="139">
        <v>4.7</v>
      </c>
      <c r="E55" s="139">
        <v>0.04</v>
      </c>
      <c r="F55" s="139" t="s">
        <v>942</v>
      </c>
      <c r="G55" s="140" t="s">
        <v>942</v>
      </c>
      <c r="J55" s="139">
        <f t="shared" si="0"/>
        <v>1</v>
      </c>
    </row>
    <row r="56" spans="1:10" x14ac:dyDescent="0.25">
      <c r="A56" s="139">
        <v>152</v>
      </c>
      <c r="B56" s="139" t="s">
        <v>330</v>
      </c>
      <c r="C56" s="139" t="s">
        <v>966</v>
      </c>
      <c r="D56" s="139">
        <v>4.7</v>
      </c>
      <c r="E56" s="139">
        <v>0.04</v>
      </c>
      <c r="F56" s="139" t="s">
        <v>942</v>
      </c>
      <c r="G56" s="140" t="s">
        <v>942</v>
      </c>
      <c r="J56" s="139">
        <f t="shared" si="0"/>
        <v>1</v>
      </c>
    </row>
    <row r="57" spans="1:10" x14ac:dyDescent="0.25">
      <c r="A57" s="139">
        <v>153</v>
      </c>
      <c r="B57" s="139" t="s">
        <v>331</v>
      </c>
      <c r="C57" s="139" t="s">
        <v>965</v>
      </c>
      <c r="D57" s="139">
        <v>4.7</v>
      </c>
      <c r="E57" s="139">
        <v>0.04</v>
      </c>
      <c r="F57" s="139" t="s">
        <v>942</v>
      </c>
      <c r="G57" s="140" t="s">
        <v>942</v>
      </c>
      <c r="J57" s="139">
        <f t="shared" si="0"/>
        <v>1</v>
      </c>
    </row>
    <row r="58" spans="1:10" x14ac:dyDescent="0.25">
      <c r="A58" s="139">
        <v>154</v>
      </c>
      <c r="B58" s="139" t="s">
        <v>332</v>
      </c>
      <c r="C58" s="139" t="s">
        <v>832</v>
      </c>
      <c r="D58" s="139">
        <v>4.7</v>
      </c>
      <c r="E58" s="139">
        <v>0.04</v>
      </c>
      <c r="F58" s="139">
        <v>4.7</v>
      </c>
      <c r="G58" s="140">
        <v>4.3862444771723103E-2</v>
      </c>
      <c r="J58" s="139">
        <f t="shared" si="0"/>
        <v>1</v>
      </c>
    </row>
    <row r="59" spans="1:10" x14ac:dyDescent="0.25">
      <c r="A59" s="139">
        <v>155</v>
      </c>
      <c r="B59" s="139" t="s">
        <v>333</v>
      </c>
      <c r="C59" s="139" t="s">
        <v>183</v>
      </c>
      <c r="D59" s="139">
        <v>4.7</v>
      </c>
      <c r="E59" s="139">
        <v>0.04</v>
      </c>
      <c r="F59" s="139">
        <v>4.7</v>
      </c>
      <c r="G59" s="140">
        <v>4.1242372881355897E-2</v>
      </c>
      <c r="J59" s="139">
        <f t="shared" si="0"/>
        <v>1</v>
      </c>
    </row>
    <row r="60" spans="1:10" x14ac:dyDescent="0.25">
      <c r="A60" s="139">
        <v>156</v>
      </c>
      <c r="B60" s="139" t="s">
        <v>334</v>
      </c>
      <c r="C60" s="139" t="s">
        <v>975</v>
      </c>
      <c r="D60" s="139">
        <v>4.7</v>
      </c>
      <c r="E60" s="139">
        <v>0.04</v>
      </c>
      <c r="F60" s="139" t="s">
        <v>942</v>
      </c>
      <c r="G60" s="140" t="s">
        <v>942</v>
      </c>
      <c r="J60" s="139">
        <f t="shared" si="0"/>
        <v>1</v>
      </c>
    </row>
    <row r="61" spans="1:10" x14ac:dyDescent="0.25">
      <c r="A61" s="139">
        <v>157</v>
      </c>
      <c r="B61" s="139" t="s">
        <v>335</v>
      </c>
      <c r="C61" s="139" t="s">
        <v>194</v>
      </c>
      <c r="D61" s="139">
        <v>4.7</v>
      </c>
      <c r="E61" s="139">
        <v>0.04</v>
      </c>
      <c r="F61" s="139" t="s">
        <v>942</v>
      </c>
      <c r="G61" s="140" t="s">
        <v>942</v>
      </c>
      <c r="J61" s="139">
        <f t="shared" si="0"/>
        <v>1</v>
      </c>
    </row>
    <row r="62" spans="1:10" x14ac:dyDescent="0.25">
      <c r="A62" s="139">
        <v>158</v>
      </c>
      <c r="B62" s="139" t="s">
        <v>336</v>
      </c>
      <c r="C62" s="139" t="s">
        <v>184</v>
      </c>
      <c r="D62" s="139">
        <v>4.7</v>
      </c>
      <c r="E62" s="139">
        <v>0.04</v>
      </c>
      <c r="F62" s="139">
        <v>4.7</v>
      </c>
      <c r="G62" s="140">
        <v>4.0869290123456803E-2</v>
      </c>
      <c r="J62" s="139">
        <f t="shared" si="0"/>
        <v>1</v>
      </c>
    </row>
    <row r="63" spans="1:10" x14ac:dyDescent="0.25">
      <c r="A63" s="139">
        <v>159</v>
      </c>
      <c r="B63" s="139" t="s">
        <v>337</v>
      </c>
      <c r="C63" s="139" t="s">
        <v>185</v>
      </c>
      <c r="D63" s="139">
        <v>4.7</v>
      </c>
      <c r="E63" s="139">
        <v>0.04</v>
      </c>
      <c r="F63" s="139">
        <v>4.7</v>
      </c>
      <c r="G63" s="140">
        <v>3.9779456607480598E-2</v>
      </c>
      <c r="J63" s="139">
        <f t="shared" si="0"/>
        <v>3</v>
      </c>
    </row>
    <row r="64" spans="1:10" x14ac:dyDescent="0.25">
      <c r="A64" s="139">
        <v>159</v>
      </c>
      <c r="B64" s="139" t="s">
        <v>339</v>
      </c>
      <c r="C64" s="139" t="s">
        <v>186</v>
      </c>
      <c r="D64" s="139">
        <v>4.7</v>
      </c>
      <c r="E64" s="139">
        <v>0.04</v>
      </c>
      <c r="F64" s="139">
        <v>4.7</v>
      </c>
      <c r="G64" s="140">
        <v>3.9779456607480598E-2</v>
      </c>
      <c r="J64" s="139">
        <f t="shared" si="0"/>
        <v>3</v>
      </c>
    </row>
    <row r="65" spans="1:10" x14ac:dyDescent="0.25">
      <c r="A65" s="139">
        <v>159</v>
      </c>
      <c r="B65" s="139" t="s">
        <v>338</v>
      </c>
      <c r="C65" s="139" t="s">
        <v>185</v>
      </c>
      <c r="D65" s="139">
        <v>4.7</v>
      </c>
      <c r="E65" s="139">
        <v>0.04</v>
      </c>
      <c r="F65" s="139">
        <v>4.7</v>
      </c>
      <c r="G65" s="140">
        <v>3.9779456607480598E-2</v>
      </c>
      <c r="J65" s="139">
        <f t="shared" si="0"/>
        <v>3</v>
      </c>
    </row>
    <row r="66" spans="1:10" x14ac:dyDescent="0.25">
      <c r="A66" s="139">
        <v>161</v>
      </c>
      <c r="B66" s="139" t="s">
        <v>340</v>
      </c>
      <c r="C66" s="139" t="s">
        <v>833</v>
      </c>
      <c r="D66" s="139">
        <v>4.7</v>
      </c>
      <c r="E66" s="139">
        <v>0.04</v>
      </c>
      <c r="F66" s="139">
        <v>4.7</v>
      </c>
      <c r="G66" s="140">
        <v>4.1415099009901001E-2</v>
      </c>
      <c r="J66" s="139">
        <f t="shared" si="0"/>
        <v>1</v>
      </c>
    </row>
    <row r="67" spans="1:10" x14ac:dyDescent="0.25">
      <c r="A67" s="139">
        <v>162</v>
      </c>
      <c r="B67" s="139" t="s">
        <v>341</v>
      </c>
      <c r="C67" s="139" t="s">
        <v>195</v>
      </c>
      <c r="D67" s="139">
        <v>4.7</v>
      </c>
      <c r="E67" s="139">
        <v>0.04</v>
      </c>
      <c r="F67" s="139" t="s">
        <v>942</v>
      </c>
      <c r="G67" s="140" t="s">
        <v>942</v>
      </c>
      <c r="J67" s="139">
        <f t="shared" ref="J67:J130" si="1">COUNTIF(A:A,A67)</f>
        <v>1</v>
      </c>
    </row>
    <row r="68" spans="1:10" x14ac:dyDescent="0.25">
      <c r="A68" s="139">
        <v>163</v>
      </c>
      <c r="B68" s="139" t="s">
        <v>342</v>
      </c>
      <c r="C68" s="139" t="s">
        <v>974</v>
      </c>
      <c r="D68" s="139">
        <v>4.7</v>
      </c>
      <c r="E68" s="139">
        <v>0.04</v>
      </c>
      <c r="F68" s="139" t="s">
        <v>942</v>
      </c>
      <c r="G68" s="140" t="s">
        <v>942</v>
      </c>
      <c r="J68" s="139">
        <f t="shared" si="1"/>
        <v>1</v>
      </c>
    </row>
    <row r="69" spans="1:10" x14ac:dyDescent="0.25">
      <c r="A69" s="139">
        <v>164</v>
      </c>
      <c r="B69" s="139" t="s">
        <v>343</v>
      </c>
      <c r="C69" s="139" t="s">
        <v>187</v>
      </c>
      <c r="D69" s="139">
        <v>4.7</v>
      </c>
      <c r="E69" s="139">
        <v>0.04</v>
      </c>
      <c r="F69" s="139">
        <v>4.7</v>
      </c>
      <c r="G69" s="140">
        <v>3.8631111111111102E-2</v>
      </c>
      <c r="J69" s="139">
        <f t="shared" si="1"/>
        <v>2</v>
      </c>
    </row>
    <row r="70" spans="1:10" x14ac:dyDescent="0.25">
      <c r="A70" s="139">
        <v>164</v>
      </c>
      <c r="B70" s="139" t="s">
        <v>344</v>
      </c>
      <c r="C70" s="139" t="s">
        <v>187</v>
      </c>
      <c r="D70" s="139">
        <v>4.7</v>
      </c>
      <c r="E70" s="139">
        <v>0.04</v>
      </c>
      <c r="F70" s="139">
        <v>4.7</v>
      </c>
      <c r="G70" s="140">
        <v>3.8631111111111102E-2</v>
      </c>
      <c r="J70" s="139">
        <f t="shared" si="1"/>
        <v>2</v>
      </c>
    </row>
    <row r="71" spans="1:10" x14ac:dyDescent="0.25">
      <c r="A71" s="139">
        <v>165</v>
      </c>
      <c r="B71" s="139" t="s">
        <v>345</v>
      </c>
      <c r="C71" s="139" t="s">
        <v>185</v>
      </c>
      <c r="D71" s="139">
        <v>5.05</v>
      </c>
      <c r="E71" s="139">
        <v>5.5999999999999994E-2</v>
      </c>
      <c r="F71" s="139" t="s">
        <v>942</v>
      </c>
      <c r="G71" s="140" t="s">
        <v>942</v>
      </c>
      <c r="J71" s="139">
        <f t="shared" si="1"/>
        <v>1</v>
      </c>
    </row>
    <row r="72" spans="1:10" x14ac:dyDescent="0.25">
      <c r="A72" s="139">
        <v>166</v>
      </c>
      <c r="B72" s="139" t="s">
        <v>346</v>
      </c>
      <c r="C72" s="139" t="s">
        <v>182</v>
      </c>
      <c r="D72" s="139">
        <v>12</v>
      </c>
      <c r="E72" s="139">
        <v>0.16</v>
      </c>
      <c r="F72" s="139" t="s">
        <v>942</v>
      </c>
      <c r="G72" s="140" t="s">
        <v>942</v>
      </c>
      <c r="J72" s="139">
        <f t="shared" si="1"/>
        <v>1</v>
      </c>
    </row>
    <row r="73" spans="1:10" x14ac:dyDescent="0.25">
      <c r="A73" s="139">
        <v>167</v>
      </c>
      <c r="B73" s="139" t="s">
        <v>347</v>
      </c>
      <c r="C73" s="139" t="s">
        <v>185</v>
      </c>
      <c r="D73" s="139">
        <v>12</v>
      </c>
      <c r="E73" s="139">
        <v>0.16</v>
      </c>
      <c r="F73" s="139">
        <v>12</v>
      </c>
      <c r="G73" s="140">
        <v>0.160160256410256</v>
      </c>
      <c r="J73" s="139">
        <f t="shared" si="1"/>
        <v>1</v>
      </c>
    </row>
    <row r="74" spans="1:10" x14ac:dyDescent="0.25">
      <c r="A74" s="139">
        <v>168</v>
      </c>
      <c r="B74" s="139" t="s">
        <v>348</v>
      </c>
      <c r="C74" s="139" t="s">
        <v>182</v>
      </c>
      <c r="D74" s="139">
        <v>5.05</v>
      </c>
      <c r="E74" s="139">
        <v>5.5999999999999994E-2</v>
      </c>
      <c r="F74" s="139" t="s">
        <v>942</v>
      </c>
      <c r="G74" s="140" t="s">
        <v>942</v>
      </c>
      <c r="J74" s="139">
        <f t="shared" si="1"/>
        <v>1</v>
      </c>
    </row>
    <row r="75" spans="1:10" x14ac:dyDescent="0.25">
      <c r="A75" s="139">
        <v>169</v>
      </c>
      <c r="B75" s="139" t="s">
        <v>349</v>
      </c>
      <c r="C75" s="139" t="s">
        <v>188</v>
      </c>
      <c r="D75" s="139">
        <v>5.7</v>
      </c>
      <c r="E75" s="139">
        <v>5.5999999999999994E-2</v>
      </c>
      <c r="F75" s="139" t="s">
        <v>942</v>
      </c>
      <c r="G75" s="140" t="s">
        <v>942</v>
      </c>
      <c r="J75" s="139">
        <f t="shared" si="1"/>
        <v>1</v>
      </c>
    </row>
    <row r="76" spans="1:10" x14ac:dyDescent="0.25">
      <c r="A76" s="139">
        <v>170</v>
      </c>
      <c r="B76" s="139" t="s">
        <v>350</v>
      </c>
      <c r="C76" s="139" t="s">
        <v>194</v>
      </c>
      <c r="D76" s="139">
        <v>5.05</v>
      </c>
      <c r="E76" s="139">
        <v>5.5999999999999994E-2</v>
      </c>
      <c r="F76" s="139">
        <v>5.05</v>
      </c>
      <c r="G76" s="140">
        <v>5.7251522388059702E-2</v>
      </c>
      <c r="J76" s="139">
        <f t="shared" si="1"/>
        <v>1</v>
      </c>
    </row>
    <row r="77" spans="1:10" x14ac:dyDescent="0.25">
      <c r="A77" s="139">
        <v>171</v>
      </c>
      <c r="B77" s="139" t="s">
        <v>351</v>
      </c>
      <c r="C77" s="139" t="s">
        <v>182</v>
      </c>
      <c r="D77" s="139">
        <v>5.7</v>
      </c>
      <c r="E77" s="139">
        <v>0.08</v>
      </c>
      <c r="F77" s="139" t="s">
        <v>942</v>
      </c>
      <c r="G77" s="140" t="s">
        <v>942</v>
      </c>
      <c r="J77" s="139">
        <f t="shared" si="1"/>
        <v>1</v>
      </c>
    </row>
    <row r="78" spans="1:10" x14ac:dyDescent="0.25">
      <c r="A78" s="139">
        <v>172</v>
      </c>
      <c r="B78" s="139" t="s">
        <v>352</v>
      </c>
      <c r="C78" s="139" t="s">
        <v>185</v>
      </c>
      <c r="D78" s="139">
        <v>5.7</v>
      </c>
      <c r="E78" s="139">
        <v>0.106</v>
      </c>
      <c r="F78" s="139" t="s">
        <v>942</v>
      </c>
      <c r="G78" s="140" t="s">
        <v>942</v>
      </c>
      <c r="J78" s="139">
        <f t="shared" si="1"/>
        <v>1</v>
      </c>
    </row>
    <row r="79" spans="1:10" x14ac:dyDescent="0.25">
      <c r="A79" s="139">
        <v>173</v>
      </c>
      <c r="B79" s="139" t="s">
        <v>353</v>
      </c>
      <c r="C79" s="139" t="s">
        <v>185</v>
      </c>
      <c r="D79" s="139">
        <v>8.5</v>
      </c>
      <c r="E79" s="139">
        <v>0.11199999999999999</v>
      </c>
      <c r="F79" s="139" t="s">
        <v>942</v>
      </c>
      <c r="G79" s="140" t="s">
        <v>942</v>
      </c>
      <c r="J79" s="139">
        <f t="shared" si="1"/>
        <v>1</v>
      </c>
    </row>
    <row r="80" spans="1:10" x14ac:dyDescent="0.25">
      <c r="A80" s="139">
        <v>174</v>
      </c>
      <c r="B80" s="139" t="s">
        <v>355</v>
      </c>
      <c r="C80" s="139" t="s">
        <v>187</v>
      </c>
      <c r="D80" s="139">
        <v>5.7</v>
      </c>
      <c r="E80" s="139">
        <v>0.06</v>
      </c>
      <c r="F80" s="139">
        <v>5.7</v>
      </c>
      <c r="G80" s="140">
        <v>5.5213430798419699E-2</v>
      </c>
      <c r="J80" s="139">
        <f t="shared" si="1"/>
        <v>3</v>
      </c>
    </row>
    <row r="81" spans="1:10" x14ac:dyDescent="0.25">
      <c r="A81" s="139">
        <v>174</v>
      </c>
      <c r="B81" s="139" t="s">
        <v>354</v>
      </c>
      <c r="C81" s="139" t="s">
        <v>187</v>
      </c>
      <c r="D81" s="139">
        <v>5.7</v>
      </c>
      <c r="E81" s="139">
        <v>7.0000000000000007E-2</v>
      </c>
      <c r="F81" s="139">
        <v>5.7</v>
      </c>
      <c r="G81" s="140">
        <v>5.5213430798419699E-2</v>
      </c>
      <c r="J81" s="139">
        <f t="shared" si="1"/>
        <v>3</v>
      </c>
    </row>
    <row r="82" spans="1:10" x14ac:dyDescent="0.25">
      <c r="A82" s="139">
        <v>174</v>
      </c>
      <c r="B82" s="139" t="s">
        <v>356</v>
      </c>
      <c r="C82" s="139" t="s">
        <v>187</v>
      </c>
      <c r="D82" s="139">
        <v>5.7</v>
      </c>
      <c r="E82" s="139">
        <v>0.06</v>
      </c>
      <c r="F82" s="139">
        <v>5.7</v>
      </c>
      <c r="G82" s="140">
        <v>5.5213430798419699E-2</v>
      </c>
      <c r="J82" s="139">
        <f t="shared" si="1"/>
        <v>3</v>
      </c>
    </row>
    <row r="83" spans="1:10" x14ac:dyDescent="0.25">
      <c r="A83" s="139">
        <v>175</v>
      </c>
      <c r="B83" s="139" t="s">
        <v>358</v>
      </c>
      <c r="C83" s="139" t="s">
        <v>187</v>
      </c>
      <c r="D83" s="139">
        <v>5.7</v>
      </c>
      <c r="E83" s="139">
        <v>7.0000000000000007E-2</v>
      </c>
      <c r="F83" s="139">
        <v>5.7</v>
      </c>
      <c r="G83" s="140">
        <v>5.9910243162195301E-2</v>
      </c>
      <c r="J83" s="139">
        <f t="shared" si="1"/>
        <v>4</v>
      </c>
    </row>
    <row r="84" spans="1:10" x14ac:dyDescent="0.25">
      <c r="A84" s="139">
        <v>175</v>
      </c>
      <c r="B84" s="139" t="s">
        <v>360</v>
      </c>
      <c r="C84" s="139" t="s">
        <v>187</v>
      </c>
      <c r="D84" s="139">
        <v>5.7</v>
      </c>
      <c r="E84" s="139">
        <v>0.06</v>
      </c>
      <c r="F84" s="139">
        <v>5.7</v>
      </c>
      <c r="G84" s="140">
        <v>5.9910243162195301E-2</v>
      </c>
      <c r="J84" s="139">
        <f t="shared" si="1"/>
        <v>4</v>
      </c>
    </row>
    <row r="85" spans="1:10" x14ac:dyDescent="0.25">
      <c r="A85" s="139">
        <v>175</v>
      </c>
      <c r="B85" s="139" t="s">
        <v>357</v>
      </c>
      <c r="C85" s="139" t="s">
        <v>187</v>
      </c>
      <c r="D85" s="139">
        <v>5.7</v>
      </c>
      <c r="E85" s="139">
        <v>7.0000000000000007E-2</v>
      </c>
      <c r="F85" s="139">
        <v>5.7</v>
      </c>
      <c r="G85" s="140">
        <v>5.9910243162195301E-2</v>
      </c>
      <c r="J85" s="139">
        <f t="shared" si="1"/>
        <v>4</v>
      </c>
    </row>
    <row r="86" spans="1:10" x14ac:dyDescent="0.25">
      <c r="A86" s="139">
        <v>175</v>
      </c>
      <c r="B86" s="139" t="s">
        <v>359</v>
      </c>
      <c r="C86" s="139" t="s">
        <v>187</v>
      </c>
      <c r="D86" s="139">
        <v>5.7</v>
      </c>
      <c r="E86" s="139">
        <v>0.06</v>
      </c>
      <c r="F86" s="139">
        <v>5.7</v>
      </c>
      <c r="G86" s="140">
        <v>5.9910243162195301E-2</v>
      </c>
      <c r="J86" s="139">
        <f t="shared" si="1"/>
        <v>4</v>
      </c>
    </row>
    <row r="87" spans="1:10" x14ac:dyDescent="0.25">
      <c r="A87" s="139">
        <v>176</v>
      </c>
      <c r="B87" s="139" t="s">
        <v>361</v>
      </c>
      <c r="C87" s="139" t="s">
        <v>187</v>
      </c>
      <c r="D87" s="139">
        <v>8.5</v>
      </c>
      <c r="E87" s="139">
        <v>9.6000000000000002E-2</v>
      </c>
      <c r="F87" s="139" t="s">
        <v>942</v>
      </c>
      <c r="G87" s="140" t="s">
        <v>942</v>
      </c>
      <c r="J87" s="139">
        <f t="shared" si="1"/>
        <v>1</v>
      </c>
    </row>
    <row r="88" spans="1:10" x14ac:dyDescent="0.25">
      <c r="A88" s="139">
        <v>177</v>
      </c>
      <c r="B88" s="139" t="s">
        <v>362</v>
      </c>
      <c r="C88" s="139" t="s">
        <v>182</v>
      </c>
      <c r="D88" s="139">
        <v>12</v>
      </c>
      <c r="E88" s="139">
        <v>0.17600000000000002</v>
      </c>
      <c r="F88" s="139">
        <v>12</v>
      </c>
      <c r="G88" s="140">
        <v>0.17398271604938301</v>
      </c>
      <c r="J88" s="139">
        <f t="shared" si="1"/>
        <v>1</v>
      </c>
    </row>
    <row r="89" spans="1:10" x14ac:dyDescent="0.25">
      <c r="A89" s="139">
        <v>178</v>
      </c>
      <c r="B89" s="139" t="s">
        <v>363</v>
      </c>
      <c r="C89" s="139" t="s">
        <v>190</v>
      </c>
      <c r="D89" s="139">
        <v>5.7</v>
      </c>
      <c r="E89" s="139">
        <v>0.08</v>
      </c>
      <c r="F89" s="139" t="s">
        <v>942</v>
      </c>
      <c r="G89" s="140" t="s">
        <v>942</v>
      </c>
      <c r="J89" s="139">
        <f t="shared" si="1"/>
        <v>1</v>
      </c>
    </row>
    <row r="90" spans="1:10" x14ac:dyDescent="0.25">
      <c r="A90" s="139">
        <v>179</v>
      </c>
      <c r="B90" s="139" t="s">
        <v>364</v>
      </c>
      <c r="C90" s="139" t="s">
        <v>182</v>
      </c>
      <c r="D90" s="139">
        <v>5.7</v>
      </c>
      <c r="E90" s="139">
        <v>0.08</v>
      </c>
      <c r="F90" s="139">
        <v>5.7</v>
      </c>
      <c r="G90" s="140">
        <v>7.9027579462102704E-2</v>
      </c>
      <c r="J90" s="139">
        <f t="shared" si="1"/>
        <v>2</v>
      </c>
    </row>
    <row r="91" spans="1:10" x14ac:dyDescent="0.25">
      <c r="A91" s="139">
        <v>179</v>
      </c>
      <c r="B91" s="139" t="s">
        <v>365</v>
      </c>
      <c r="C91" s="139" t="s">
        <v>182</v>
      </c>
      <c r="D91" s="139">
        <v>5.7</v>
      </c>
      <c r="E91" s="139">
        <v>0.08</v>
      </c>
      <c r="F91" s="139">
        <v>5.7</v>
      </c>
      <c r="G91" s="140">
        <v>7.9027579462102704E-2</v>
      </c>
      <c r="J91" s="139">
        <f t="shared" si="1"/>
        <v>2</v>
      </c>
    </row>
    <row r="92" spans="1:10" x14ac:dyDescent="0.25">
      <c r="A92" s="139">
        <v>181</v>
      </c>
      <c r="B92" s="139" t="s">
        <v>366</v>
      </c>
      <c r="C92" s="139" t="s">
        <v>188</v>
      </c>
      <c r="D92" s="139">
        <v>5.7</v>
      </c>
      <c r="E92" s="139">
        <v>0.08</v>
      </c>
      <c r="F92" s="139">
        <v>5.7</v>
      </c>
      <c r="G92" s="140">
        <v>7.9840465116279097E-2</v>
      </c>
      <c r="J92" s="139">
        <f t="shared" si="1"/>
        <v>1</v>
      </c>
    </row>
    <row r="93" spans="1:10" x14ac:dyDescent="0.25">
      <c r="A93" s="139">
        <v>182</v>
      </c>
      <c r="B93" s="139" t="s">
        <v>367</v>
      </c>
      <c r="C93" s="139" t="s">
        <v>973</v>
      </c>
      <c r="D93" s="139">
        <v>5.7</v>
      </c>
      <c r="E93" s="139">
        <v>0.08</v>
      </c>
      <c r="F93" s="139" t="s">
        <v>942</v>
      </c>
      <c r="G93" s="140" t="s">
        <v>942</v>
      </c>
      <c r="J93" s="139">
        <f t="shared" si="1"/>
        <v>1</v>
      </c>
    </row>
    <row r="94" spans="1:10" x14ac:dyDescent="0.25">
      <c r="A94" s="139">
        <v>183</v>
      </c>
      <c r="B94" s="139" t="s">
        <v>368</v>
      </c>
      <c r="C94" s="139" t="s">
        <v>191</v>
      </c>
      <c r="D94" s="139">
        <v>5.7</v>
      </c>
      <c r="E94" s="139">
        <v>0.08</v>
      </c>
      <c r="F94" s="139" t="s">
        <v>942</v>
      </c>
      <c r="G94" s="140" t="s">
        <v>942</v>
      </c>
      <c r="J94" s="139">
        <f t="shared" si="1"/>
        <v>1</v>
      </c>
    </row>
    <row r="95" spans="1:10" x14ac:dyDescent="0.25">
      <c r="A95" s="139">
        <v>184</v>
      </c>
      <c r="B95" s="139" t="s">
        <v>369</v>
      </c>
      <c r="C95" s="139" t="s">
        <v>192</v>
      </c>
      <c r="D95" s="139">
        <v>5.7</v>
      </c>
      <c r="E95" s="139">
        <v>0.08</v>
      </c>
      <c r="F95" s="139" t="s">
        <v>942</v>
      </c>
      <c r="G95" s="140" t="s">
        <v>942</v>
      </c>
      <c r="J95" s="139">
        <f t="shared" si="1"/>
        <v>1</v>
      </c>
    </row>
    <row r="96" spans="1:10" x14ac:dyDescent="0.25">
      <c r="A96" s="139">
        <v>185</v>
      </c>
      <c r="B96" s="139" t="s">
        <v>370</v>
      </c>
      <c r="C96" s="139" t="s">
        <v>194</v>
      </c>
      <c r="D96" s="139">
        <v>5.7</v>
      </c>
      <c r="E96" s="139">
        <v>0.08</v>
      </c>
      <c r="F96" s="139" t="s">
        <v>942</v>
      </c>
      <c r="G96" s="140" t="s">
        <v>942</v>
      </c>
      <c r="J96" s="139">
        <f t="shared" si="1"/>
        <v>1</v>
      </c>
    </row>
    <row r="97" spans="1:10" x14ac:dyDescent="0.25">
      <c r="A97" s="139">
        <v>186</v>
      </c>
      <c r="B97" s="139" t="s">
        <v>371</v>
      </c>
      <c r="C97" s="139" t="s">
        <v>185</v>
      </c>
      <c r="D97" s="139">
        <v>5.7</v>
      </c>
      <c r="E97" s="139">
        <v>0.08</v>
      </c>
      <c r="F97" s="139" t="s">
        <v>942</v>
      </c>
      <c r="G97" s="140" t="s">
        <v>942</v>
      </c>
      <c r="J97" s="139">
        <f t="shared" si="1"/>
        <v>1</v>
      </c>
    </row>
    <row r="98" spans="1:10" x14ac:dyDescent="0.25">
      <c r="A98" s="139">
        <v>187</v>
      </c>
      <c r="B98" s="139" t="s">
        <v>372</v>
      </c>
      <c r="C98" s="139" t="s">
        <v>187</v>
      </c>
      <c r="D98" s="139">
        <v>5.7</v>
      </c>
      <c r="E98" s="139">
        <v>0.08</v>
      </c>
      <c r="F98" s="139">
        <v>5.7</v>
      </c>
      <c r="G98" s="140">
        <v>8.13037762237762E-2</v>
      </c>
      <c r="J98" s="139">
        <f t="shared" si="1"/>
        <v>2</v>
      </c>
    </row>
    <row r="99" spans="1:10" x14ac:dyDescent="0.25">
      <c r="A99" s="139">
        <v>187</v>
      </c>
      <c r="B99" s="139" t="s">
        <v>972</v>
      </c>
      <c r="C99" s="139" t="s">
        <v>187</v>
      </c>
      <c r="D99" s="139">
        <v>5.7</v>
      </c>
      <c r="E99" s="139">
        <v>0.08</v>
      </c>
      <c r="F99" s="139">
        <v>5.7</v>
      </c>
      <c r="G99" s="140">
        <v>8.13037762237762E-2</v>
      </c>
      <c r="J99" s="139">
        <f t="shared" si="1"/>
        <v>2</v>
      </c>
    </row>
    <row r="100" spans="1:10" x14ac:dyDescent="0.25">
      <c r="A100" s="139">
        <v>188</v>
      </c>
      <c r="B100" s="139" t="s">
        <v>373</v>
      </c>
      <c r="C100" s="139" t="s">
        <v>182</v>
      </c>
      <c r="D100" s="139">
        <v>5.7</v>
      </c>
      <c r="E100" s="139">
        <v>8.8000000000000009E-2</v>
      </c>
      <c r="F100" s="139">
        <v>5.7</v>
      </c>
      <c r="G100" s="140">
        <v>8.8402083333333298E-2</v>
      </c>
      <c r="J100" s="139">
        <f t="shared" si="1"/>
        <v>1</v>
      </c>
    </row>
    <row r="101" spans="1:10" x14ac:dyDescent="0.25">
      <c r="A101" s="139">
        <v>189</v>
      </c>
      <c r="B101" s="139" t="s">
        <v>374</v>
      </c>
      <c r="C101" s="139" t="s">
        <v>185</v>
      </c>
      <c r="D101" s="139">
        <v>5.7</v>
      </c>
      <c r="E101" s="139">
        <v>8.8000000000000009E-2</v>
      </c>
      <c r="F101" s="139" t="s">
        <v>942</v>
      </c>
      <c r="G101" s="140" t="s">
        <v>942</v>
      </c>
      <c r="J101" s="139">
        <f t="shared" si="1"/>
        <v>1</v>
      </c>
    </row>
    <row r="102" spans="1:10" x14ac:dyDescent="0.25">
      <c r="A102" s="139">
        <v>190</v>
      </c>
      <c r="B102" s="139" t="s">
        <v>375</v>
      </c>
      <c r="C102" s="139" t="s">
        <v>187</v>
      </c>
      <c r="D102" s="139">
        <v>5.7</v>
      </c>
      <c r="E102" s="139">
        <v>8.8000000000000009E-2</v>
      </c>
      <c r="F102" s="139" t="s">
        <v>942</v>
      </c>
      <c r="G102" s="140" t="s">
        <v>942</v>
      </c>
      <c r="J102" s="139">
        <f t="shared" si="1"/>
        <v>1</v>
      </c>
    </row>
    <row r="103" spans="1:10" x14ac:dyDescent="0.25">
      <c r="A103" s="139">
        <v>191</v>
      </c>
      <c r="B103" s="139" t="s">
        <v>376</v>
      </c>
      <c r="C103" s="139" t="s">
        <v>187</v>
      </c>
      <c r="D103" s="139">
        <v>8.5</v>
      </c>
      <c r="E103" s="139">
        <v>0.12</v>
      </c>
      <c r="F103" s="139" t="s">
        <v>942</v>
      </c>
      <c r="G103" s="140" t="s">
        <v>942</v>
      </c>
      <c r="J103" s="139">
        <f t="shared" si="1"/>
        <v>1</v>
      </c>
    </row>
    <row r="104" spans="1:10" x14ac:dyDescent="0.25">
      <c r="A104" s="139">
        <v>192</v>
      </c>
      <c r="B104" s="139" t="s">
        <v>377</v>
      </c>
      <c r="C104" s="139" t="s">
        <v>200</v>
      </c>
      <c r="D104" s="139">
        <v>8.5</v>
      </c>
      <c r="E104" s="139">
        <v>0.124</v>
      </c>
      <c r="F104" s="139" t="s">
        <v>942</v>
      </c>
      <c r="G104" s="140" t="s">
        <v>942</v>
      </c>
      <c r="J104" s="139">
        <f t="shared" si="1"/>
        <v>1</v>
      </c>
    </row>
    <row r="105" spans="1:10" x14ac:dyDescent="0.25">
      <c r="A105" s="139">
        <v>193</v>
      </c>
      <c r="B105" s="139" t="s">
        <v>378</v>
      </c>
      <c r="C105" s="139" t="s">
        <v>182</v>
      </c>
      <c r="D105" s="139">
        <v>8.5</v>
      </c>
      <c r="E105" s="139">
        <v>0.124</v>
      </c>
      <c r="F105" s="139">
        <v>8.5</v>
      </c>
      <c r="G105" s="140">
        <v>0.12145150684931499</v>
      </c>
      <c r="J105" s="139">
        <f t="shared" si="1"/>
        <v>1</v>
      </c>
    </row>
    <row r="106" spans="1:10" x14ac:dyDescent="0.25">
      <c r="A106" s="139">
        <v>194</v>
      </c>
      <c r="B106" s="139" t="s">
        <v>379</v>
      </c>
      <c r="C106" s="139" t="s">
        <v>191</v>
      </c>
      <c r="D106" s="139">
        <v>8.5</v>
      </c>
      <c r="E106" s="139">
        <v>0.124</v>
      </c>
      <c r="F106" s="139" t="s">
        <v>942</v>
      </c>
      <c r="G106" s="140" t="s">
        <v>942</v>
      </c>
      <c r="J106" s="139">
        <f t="shared" si="1"/>
        <v>1</v>
      </c>
    </row>
    <row r="107" spans="1:10" x14ac:dyDescent="0.25">
      <c r="A107" s="139">
        <v>195</v>
      </c>
      <c r="B107" s="139" t="s">
        <v>380</v>
      </c>
      <c r="C107" s="139" t="s">
        <v>187</v>
      </c>
      <c r="D107" s="139">
        <v>8.5</v>
      </c>
      <c r="E107" s="139">
        <v>0.124</v>
      </c>
      <c r="F107" s="139">
        <v>8.5</v>
      </c>
      <c r="G107" s="140">
        <v>0.1206881997512</v>
      </c>
      <c r="J107" s="139">
        <f t="shared" si="1"/>
        <v>1</v>
      </c>
    </row>
    <row r="108" spans="1:10" x14ac:dyDescent="0.25">
      <c r="A108" s="139">
        <v>196</v>
      </c>
      <c r="B108" s="139" t="s">
        <v>381</v>
      </c>
      <c r="C108" s="139" t="s">
        <v>194</v>
      </c>
      <c r="D108" s="139">
        <v>4.7</v>
      </c>
      <c r="E108" s="139">
        <v>0.04</v>
      </c>
      <c r="F108" s="139" t="s">
        <v>942</v>
      </c>
      <c r="G108" s="140" t="s">
        <v>942</v>
      </c>
      <c r="J108" s="139">
        <f t="shared" si="1"/>
        <v>1</v>
      </c>
    </row>
    <row r="109" spans="1:10" x14ac:dyDescent="0.25">
      <c r="A109" s="139">
        <v>198</v>
      </c>
      <c r="B109" s="139" t="s">
        <v>382</v>
      </c>
      <c r="C109" s="139" t="s">
        <v>185</v>
      </c>
      <c r="D109" s="139">
        <v>5</v>
      </c>
      <c r="E109" s="139">
        <v>0.05</v>
      </c>
      <c r="F109" s="139">
        <v>5</v>
      </c>
      <c r="G109" s="140">
        <v>5.0332786885245902E-2</v>
      </c>
      <c r="J109" s="139">
        <f t="shared" si="1"/>
        <v>1</v>
      </c>
    </row>
    <row r="110" spans="1:10" x14ac:dyDescent="0.25">
      <c r="A110" s="139">
        <v>199</v>
      </c>
      <c r="B110" s="139" t="s">
        <v>383</v>
      </c>
      <c r="C110" s="139" t="s">
        <v>190</v>
      </c>
      <c r="D110" s="139">
        <v>5</v>
      </c>
      <c r="E110" s="139">
        <v>0.05</v>
      </c>
      <c r="F110" s="139">
        <v>5</v>
      </c>
      <c r="G110" s="140">
        <v>4.9681788079470199E-2</v>
      </c>
      <c r="J110" s="139">
        <f t="shared" si="1"/>
        <v>1</v>
      </c>
    </row>
    <row r="111" spans="1:10" x14ac:dyDescent="0.25">
      <c r="A111" s="139">
        <v>200</v>
      </c>
      <c r="B111" s="139" t="s">
        <v>384</v>
      </c>
      <c r="C111" s="139" t="s">
        <v>191</v>
      </c>
      <c r="D111" s="139">
        <v>5</v>
      </c>
      <c r="E111" s="139">
        <v>0.05</v>
      </c>
      <c r="F111" s="139">
        <v>5</v>
      </c>
      <c r="G111" s="140">
        <v>4.9319799498746902E-2</v>
      </c>
      <c r="J111" s="139">
        <f t="shared" si="1"/>
        <v>1</v>
      </c>
    </row>
    <row r="112" spans="1:10" x14ac:dyDescent="0.25">
      <c r="A112" s="139">
        <v>201</v>
      </c>
      <c r="B112" s="139" t="s">
        <v>385</v>
      </c>
      <c r="C112" s="139" t="s">
        <v>192</v>
      </c>
      <c r="D112" s="139">
        <v>5</v>
      </c>
      <c r="E112" s="139">
        <v>0.05</v>
      </c>
      <c r="F112" s="139">
        <v>5</v>
      </c>
      <c r="G112" s="140">
        <v>5.0999277978339398E-2</v>
      </c>
      <c r="J112" s="139">
        <f t="shared" si="1"/>
        <v>1</v>
      </c>
    </row>
    <row r="113" spans="1:10" x14ac:dyDescent="0.25">
      <c r="A113" s="139">
        <v>202</v>
      </c>
      <c r="B113" s="139" t="s">
        <v>386</v>
      </c>
      <c r="C113" s="139" t="s">
        <v>951</v>
      </c>
      <c r="D113" s="139">
        <v>5</v>
      </c>
      <c r="E113" s="139">
        <v>0.05</v>
      </c>
      <c r="F113" s="139" t="s">
        <v>942</v>
      </c>
      <c r="G113" s="140" t="s">
        <v>942</v>
      </c>
      <c r="J113" s="139">
        <f t="shared" si="1"/>
        <v>1</v>
      </c>
    </row>
    <row r="114" spans="1:10" x14ac:dyDescent="0.25">
      <c r="A114" s="139">
        <v>203</v>
      </c>
      <c r="B114" s="139" t="s">
        <v>387</v>
      </c>
      <c r="C114" s="139" t="s">
        <v>859</v>
      </c>
      <c r="D114" s="139">
        <v>5</v>
      </c>
      <c r="E114" s="139">
        <v>0.05</v>
      </c>
      <c r="F114" s="139" t="s">
        <v>942</v>
      </c>
      <c r="G114" s="140" t="s">
        <v>942</v>
      </c>
      <c r="J114" s="139">
        <f t="shared" si="1"/>
        <v>1</v>
      </c>
    </row>
    <row r="115" spans="1:10" x14ac:dyDescent="0.25">
      <c r="A115" s="139">
        <v>204</v>
      </c>
      <c r="B115" s="139" t="s">
        <v>388</v>
      </c>
      <c r="C115" s="139" t="s">
        <v>193</v>
      </c>
      <c r="D115" s="139">
        <v>5</v>
      </c>
      <c r="E115" s="139">
        <v>0.05</v>
      </c>
      <c r="F115" s="139">
        <v>5</v>
      </c>
      <c r="G115" s="140">
        <v>4.9247463175122803E-2</v>
      </c>
      <c r="J115" s="139">
        <f t="shared" si="1"/>
        <v>1</v>
      </c>
    </row>
    <row r="116" spans="1:10" x14ac:dyDescent="0.25">
      <c r="A116" s="139">
        <v>205</v>
      </c>
      <c r="B116" s="139" t="s">
        <v>389</v>
      </c>
      <c r="C116" s="139" t="s">
        <v>194</v>
      </c>
      <c r="D116" s="139">
        <v>5</v>
      </c>
      <c r="E116" s="139">
        <v>0.05</v>
      </c>
      <c r="F116" s="139">
        <v>5</v>
      </c>
      <c r="G116" s="140">
        <v>4.9893688888888899E-2</v>
      </c>
      <c r="J116" s="139">
        <f t="shared" si="1"/>
        <v>1</v>
      </c>
    </row>
    <row r="117" spans="1:10" x14ac:dyDescent="0.25">
      <c r="A117" s="139">
        <v>206</v>
      </c>
      <c r="B117" s="139" t="s">
        <v>390</v>
      </c>
      <c r="C117" s="139" t="s">
        <v>195</v>
      </c>
      <c r="D117" s="139">
        <v>5</v>
      </c>
      <c r="E117" s="139">
        <v>0.05</v>
      </c>
      <c r="F117" s="139">
        <v>5</v>
      </c>
      <c r="G117" s="140">
        <v>4.8514606741572999E-2</v>
      </c>
      <c r="J117" s="139">
        <f t="shared" si="1"/>
        <v>1</v>
      </c>
    </row>
    <row r="118" spans="1:10" x14ac:dyDescent="0.25">
      <c r="A118" s="139">
        <v>207</v>
      </c>
      <c r="B118" s="139" t="s">
        <v>391</v>
      </c>
      <c r="C118" s="139" t="s">
        <v>187</v>
      </c>
      <c r="D118" s="139">
        <v>5</v>
      </c>
      <c r="E118" s="139">
        <v>0.05</v>
      </c>
      <c r="F118" s="139" t="s">
        <v>942</v>
      </c>
      <c r="G118" s="140" t="s">
        <v>942</v>
      </c>
      <c r="J118" s="139">
        <f t="shared" si="1"/>
        <v>1</v>
      </c>
    </row>
    <row r="119" spans="1:10" x14ac:dyDescent="0.25">
      <c r="A119" s="139">
        <v>208</v>
      </c>
      <c r="B119" s="139" t="s">
        <v>392</v>
      </c>
      <c r="C119" s="139" t="s">
        <v>194</v>
      </c>
      <c r="D119" s="139">
        <v>8.5</v>
      </c>
      <c r="E119" s="139">
        <v>6.6000000000000003E-2</v>
      </c>
      <c r="F119" s="139" t="s">
        <v>942</v>
      </c>
      <c r="G119" s="140" t="s">
        <v>942</v>
      </c>
      <c r="J119" s="139">
        <f t="shared" si="1"/>
        <v>1</v>
      </c>
    </row>
    <row r="120" spans="1:10" x14ac:dyDescent="0.25">
      <c r="A120" s="139">
        <v>209</v>
      </c>
      <c r="B120" s="139" t="s">
        <v>393</v>
      </c>
      <c r="C120" s="139" t="s">
        <v>195</v>
      </c>
      <c r="D120" s="139">
        <v>8.5</v>
      </c>
      <c r="E120" s="139">
        <v>7.8E-2</v>
      </c>
      <c r="F120" s="139" t="s">
        <v>942</v>
      </c>
      <c r="G120" s="140" t="s">
        <v>942</v>
      </c>
      <c r="J120" s="139">
        <f t="shared" si="1"/>
        <v>1</v>
      </c>
    </row>
    <row r="121" spans="1:10" x14ac:dyDescent="0.25">
      <c r="A121" s="139">
        <v>211</v>
      </c>
      <c r="B121" s="139" t="s">
        <v>395</v>
      </c>
      <c r="C121" s="139" t="s">
        <v>182</v>
      </c>
      <c r="D121" s="139">
        <v>12</v>
      </c>
      <c r="E121" s="139">
        <v>0.16399999999999998</v>
      </c>
      <c r="F121" s="139">
        <v>12</v>
      </c>
      <c r="G121" s="140">
        <v>0.15712400000000001</v>
      </c>
      <c r="J121" s="139">
        <f t="shared" si="1"/>
        <v>1</v>
      </c>
    </row>
    <row r="122" spans="1:10" x14ac:dyDescent="0.25">
      <c r="A122" s="139">
        <v>212</v>
      </c>
      <c r="B122" s="139" t="s">
        <v>396</v>
      </c>
      <c r="C122" s="139" t="s">
        <v>182</v>
      </c>
      <c r="D122" s="139">
        <v>5.7</v>
      </c>
      <c r="E122" s="139">
        <v>7.0000000000000007E-2</v>
      </c>
      <c r="F122" s="139" t="s">
        <v>942</v>
      </c>
      <c r="G122" s="140" t="s">
        <v>942</v>
      </c>
      <c r="J122" s="139">
        <f t="shared" si="1"/>
        <v>1</v>
      </c>
    </row>
    <row r="123" spans="1:10" x14ac:dyDescent="0.25">
      <c r="A123" s="139">
        <v>213</v>
      </c>
      <c r="B123" s="139" t="s">
        <v>397</v>
      </c>
      <c r="C123" s="139" t="s">
        <v>182</v>
      </c>
      <c r="D123" s="139">
        <v>5.7</v>
      </c>
      <c r="E123" s="139">
        <v>7.0000000000000007E-2</v>
      </c>
      <c r="F123" s="139">
        <v>5.7</v>
      </c>
      <c r="G123" s="140">
        <v>6.9811592746201703E-2</v>
      </c>
      <c r="J123" s="139">
        <f t="shared" si="1"/>
        <v>1</v>
      </c>
    </row>
    <row r="124" spans="1:10" x14ac:dyDescent="0.25">
      <c r="A124" s="139">
        <v>214</v>
      </c>
      <c r="B124" s="139" t="s">
        <v>398</v>
      </c>
      <c r="C124" s="139" t="s">
        <v>877</v>
      </c>
      <c r="D124" s="139">
        <v>5.7</v>
      </c>
      <c r="E124" s="139">
        <v>7.0000000000000007E-2</v>
      </c>
      <c r="F124" s="139" t="s">
        <v>942</v>
      </c>
      <c r="G124" s="140" t="s">
        <v>942</v>
      </c>
      <c r="J124" s="139">
        <f t="shared" si="1"/>
        <v>1</v>
      </c>
    </row>
    <row r="125" spans="1:10" x14ac:dyDescent="0.25">
      <c r="A125" s="139">
        <v>215</v>
      </c>
      <c r="B125" s="139" t="s">
        <v>399</v>
      </c>
      <c r="C125" s="139" t="s">
        <v>192</v>
      </c>
      <c r="D125" s="139">
        <v>5.7</v>
      </c>
      <c r="E125" s="139">
        <v>7.0000000000000007E-2</v>
      </c>
      <c r="F125" s="139" t="s">
        <v>942</v>
      </c>
      <c r="G125" s="140" t="s">
        <v>942</v>
      </c>
      <c r="J125" s="139">
        <f t="shared" si="1"/>
        <v>1</v>
      </c>
    </row>
    <row r="126" spans="1:10" x14ac:dyDescent="0.25">
      <c r="A126" s="139">
        <v>216</v>
      </c>
      <c r="B126" s="139" t="s">
        <v>400</v>
      </c>
      <c r="C126" s="139" t="s">
        <v>185</v>
      </c>
      <c r="D126" s="139">
        <v>5.7</v>
      </c>
      <c r="E126" s="139">
        <v>7.0000000000000007E-2</v>
      </c>
      <c r="F126" s="139" t="s">
        <v>942</v>
      </c>
      <c r="G126" s="140" t="s">
        <v>942</v>
      </c>
      <c r="J126" s="139">
        <f t="shared" si="1"/>
        <v>2</v>
      </c>
    </row>
    <row r="127" spans="1:10" x14ac:dyDescent="0.25">
      <c r="A127" s="139">
        <v>216</v>
      </c>
      <c r="B127" s="139" t="s">
        <v>401</v>
      </c>
      <c r="C127" s="139" t="s">
        <v>185</v>
      </c>
      <c r="D127" s="139">
        <v>5.7</v>
      </c>
      <c r="E127" s="139">
        <v>7.0000000000000007E-2</v>
      </c>
      <c r="F127" s="139" t="s">
        <v>942</v>
      </c>
      <c r="G127" s="140" t="s">
        <v>942</v>
      </c>
      <c r="J127" s="139">
        <f t="shared" si="1"/>
        <v>2</v>
      </c>
    </row>
    <row r="128" spans="1:10" x14ac:dyDescent="0.25">
      <c r="A128" s="139">
        <v>217</v>
      </c>
      <c r="B128" s="139" t="s">
        <v>402</v>
      </c>
      <c r="C128" s="139" t="s">
        <v>187</v>
      </c>
      <c r="D128" s="139">
        <v>5.7</v>
      </c>
      <c r="E128" s="139">
        <v>7.0000000000000007E-2</v>
      </c>
      <c r="F128" s="139">
        <v>5.7</v>
      </c>
      <c r="G128" s="140">
        <v>7.0918666666666699E-2</v>
      </c>
      <c r="J128" s="139">
        <f t="shared" si="1"/>
        <v>1</v>
      </c>
    </row>
    <row r="129" spans="1:10" x14ac:dyDescent="0.25">
      <c r="A129" s="139">
        <v>218</v>
      </c>
      <c r="B129" s="139" t="s">
        <v>403</v>
      </c>
      <c r="C129" s="139" t="s">
        <v>196</v>
      </c>
      <c r="D129" s="139">
        <v>5.7</v>
      </c>
      <c r="E129" s="139">
        <v>7.0000000000000007E-2</v>
      </c>
      <c r="F129" s="139">
        <v>5.7</v>
      </c>
      <c r="G129" s="140">
        <v>7.0235831663326698E-2</v>
      </c>
      <c r="J129" s="139">
        <f t="shared" si="1"/>
        <v>1</v>
      </c>
    </row>
    <row r="130" spans="1:10" x14ac:dyDescent="0.25">
      <c r="A130" s="139">
        <v>219</v>
      </c>
      <c r="B130" s="139" t="s">
        <v>404</v>
      </c>
      <c r="C130" s="139" t="s">
        <v>182</v>
      </c>
      <c r="D130" s="139">
        <v>5.7</v>
      </c>
      <c r="E130" s="139">
        <v>0.08</v>
      </c>
      <c r="F130" s="139">
        <v>5.7</v>
      </c>
      <c r="G130" s="140">
        <v>8.1071071343517195E-2</v>
      </c>
      <c r="J130" s="139">
        <f t="shared" si="1"/>
        <v>1</v>
      </c>
    </row>
    <row r="131" spans="1:10" x14ac:dyDescent="0.25">
      <c r="A131" s="139">
        <v>220</v>
      </c>
      <c r="B131" s="139" t="s">
        <v>405</v>
      </c>
      <c r="C131" s="139" t="s">
        <v>188</v>
      </c>
      <c r="D131" s="139">
        <v>5.7</v>
      </c>
      <c r="E131" s="139">
        <v>0.09</v>
      </c>
      <c r="F131" s="139" t="s">
        <v>942</v>
      </c>
      <c r="G131" s="140" t="s">
        <v>942</v>
      </c>
      <c r="J131" s="139">
        <f t="shared" ref="J131:J194" si="2">COUNTIF(A:A,A131)</f>
        <v>1</v>
      </c>
    </row>
    <row r="132" spans="1:10" x14ac:dyDescent="0.25">
      <c r="A132" s="139">
        <v>221</v>
      </c>
      <c r="B132" s="139" t="s">
        <v>406</v>
      </c>
      <c r="C132" s="139" t="s">
        <v>192</v>
      </c>
      <c r="D132" s="139">
        <v>5.7</v>
      </c>
      <c r="E132" s="139">
        <v>0.08</v>
      </c>
      <c r="F132" s="139" t="s">
        <v>942</v>
      </c>
      <c r="G132" s="140" t="s">
        <v>942</v>
      </c>
      <c r="J132" s="139">
        <f t="shared" si="2"/>
        <v>1</v>
      </c>
    </row>
    <row r="133" spans="1:10" x14ac:dyDescent="0.25">
      <c r="A133" s="139">
        <v>222</v>
      </c>
      <c r="B133" s="139" t="s">
        <v>407</v>
      </c>
      <c r="C133" s="139" t="s">
        <v>951</v>
      </c>
      <c r="D133" s="139">
        <v>5.7</v>
      </c>
      <c r="E133" s="139">
        <v>0.08</v>
      </c>
      <c r="F133" s="139" t="s">
        <v>942</v>
      </c>
      <c r="G133" s="140" t="s">
        <v>942</v>
      </c>
      <c r="J133" s="139">
        <f t="shared" si="2"/>
        <v>1</v>
      </c>
    </row>
    <row r="134" spans="1:10" x14ac:dyDescent="0.25">
      <c r="A134" s="139">
        <v>223</v>
      </c>
      <c r="B134" s="139" t="s">
        <v>408</v>
      </c>
      <c r="C134" s="139" t="s">
        <v>185</v>
      </c>
      <c r="D134" s="139">
        <v>5.7</v>
      </c>
      <c r="E134" s="139">
        <v>0.08</v>
      </c>
      <c r="F134" s="139">
        <v>5.7</v>
      </c>
      <c r="G134" s="140">
        <v>8.0147944643625096E-2</v>
      </c>
      <c r="J134" s="139">
        <f t="shared" si="2"/>
        <v>4</v>
      </c>
    </row>
    <row r="135" spans="1:10" x14ac:dyDescent="0.25">
      <c r="A135" s="139">
        <v>223</v>
      </c>
      <c r="B135" s="139" t="s">
        <v>409</v>
      </c>
      <c r="C135" s="139" t="s">
        <v>185</v>
      </c>
      <c r="D135" s="139">
        <v>5.7</v>
      </c>
      <c r="E135" s="139">
        <v>0.08</v>
      </c>
      <c r="F135" s="139">
        <v>5.7</v>
      </c>
      <c r="G135" s="140">
        <v>8.0147944643625096E-2</v>
      </c>
      <c r="J135" s="139">
        <f t="shared" si="2"/>
        <v>4</v>
      </c>
    </row>
    <row r="136" spans="1:10" x14ac:dyDescent="0.25">
      <c r="A136" s="139">
        <v>223</v>
      </c>
      <c r="B136" s="139" t="s">
        <v>411</v>
      </c>
      <c r="C136" s="139" t="s">
        <v>185</v>
      </c>
      <c r="D136" s="139">
        <v>5.7</v>
      </c>
      <c r="E136" s="139">
        <v>0.08</v>
      </c>
      <c r="F136" s="139">
        <v>5.7</v>
      </c>
      <c r="G136" s="140">
        <v>8.0147944643625096E-2</v>
      </c>
      <c r="J136" s="139">
        <f t="shared" si="2"/>
        <v>4</v>
      </c>
    </row>
    <row r="137" spans="1:10" x14ac:dyDescent="0.25">
      <c r="A137" s="139">
        <v>223</v>
      </c>
      <c r="B137" s="139" t="s">
        <v>410</v>
      </c>
      <c r="C137" s="139" t="s">
        <v>185</v>
      </c>
      <c r="D137" s="139">
        <v>5.7</v>
      </c>
      <c r="E137" s="139">
        <v>0.08</v>
      </c>
      <c r="F137" s="139">
        <v>5.7</v>
      </c>
      <c r="G137" s="140">
        <v>8.0147944643625096E-2</v>
      </c>
      <c r="J137" s="139">
        <f t="shared" si="2"/>
        <v>4</v>
      </c>
    </row>
    <row r="138" spans="1:10" x14ac:dyDescent="0.25">
      <c r="A138" s="139">
        <v>224</v>
      </c>
      <c r="B138" s="139" t="s">
        <v>413</v>
      </c>
      <c r="C138" s="139" t="s">
        <v>187</v>
      </c>
      <c r="D138" s="139">
        <v>5.7</v>
      </c>
      <c r="E138" s="139">
        <v>0.08</v>
      </c>
      <c r="F138" s="139">
        <v>5.7</v>
      </c>
      <c r="G138" s="140">
        <v>7.4727810345682696E-2</v>
      </c>
      <c r="J138" s="139">
        <f t="shared" si="2"/>
        <v>2</v>
      </c>
    </row>
    <row r="139" spans="1:10" x14ac:dyDescent="0.25">
      <c r="A139" s="139">
        <v>224</v>
      </c>
      <c r="B139" s="139" t="s">
        <v>412</v>
      </c>
      <c r="C139" s="139" t="s">
        <v>187</v>
      </c>
      <c r="D139" s="139">
        <v>5.7</v>
      </c>
      <c r="E139" s="139">
        <v>0.08</v>
      </c>
      <c r="F139" s="139">
        <v>5.7</v>
      </c>
      <c r="G139" s="140">
        <v>7.4727810345682696E-2</v>
      </c>
      <c r="J139" s="139">
        <f t="shared" si="2"/>
        <v>2</v>
      </c>
    </row>
    <row r="140" spans="1:10" x14ac:dyDescent="0.25">
      <c r="A140" s="139">
        <v>225</v>
      </c>
      <c r="B140" s="139" t="s">
        <v>414</v>
      </c>
      <c r="C140" s="139" t="s">
        <v>185</v>
      </c>
      <c r="D140" s="139">
        <v>8.5</v>
      </c>
      <c r="E140" s="139">
        <v>0.09</v>
      </c>
      <c r="F140" s="139" t="s">
        <v>942</v>
      </c>
      <c r="G140" s="140" t="s">
        <v>942</v>
      </c>
      <c r="J140" s="139">
        <f t="shared" si="2"/>
        <v>1</v>
      </c>
    </row>
    <row r="141" spans="1:10" x14ac:dyDescent="0.25">
      <c r="A141" s="139">
        <v>226</v>
      </c>
      <c r="B141" s="139" t="s">
        <v>415</v>
      </c>
      <c r="C141" s="139" t="s">
        <v>182</v>
      </c>
      <c r="D141" s="139">
        <v>8.5</v>
      </c>
      <c r="E141" s="139">
        <v>0.11</v>
      </c>
      <c r="F141" s="139">
        <v>8.5</v>
      </c>
      <c r="G141" s="140">
        <v>0.113242516169653</v>
      </c>
      <c r="J141" s="139">
        <f t="shared" si="2"/>
        <v>1</v>
      </c>
    </row>
    <row r="142" spans="1:10" x14ac:dyDescent="0.25">
      <c r="A142" s="139">
        <v>227</v>
      </c>
      <c r="B142" s="139" t="s">
        <v>416</v>
      </c>
      <c r="C142" s="139" t="s">
        <v>877</v>
      </c>
      <c r="D142" s="139">
        <v>8.5</v>
      </c>
      <c r="E142" s="139">
        <v>0.11</v>
      </c>
      <c r="F142" s="139" t="s">
        <v>942</v>
      </c>
      <c r="G142" s="140" t="s">
        <v>942</v>
      </c>
      <c r="J142" s="139">
        <f t="shared" si="2"/>
        <v>1</v>
      </c>
    </row>
    <row r="143" spans="1:10" x14ac:dyDescent="0.25">
      <c r="A143" s="139">
        <v>228</v>
      </c>
      <c r="B143" s="139" t="s">
        <v>417</v>
      </c>
      <c r="C143" s="139" t="s">
        <v>182</v>
      </c>
      <c r="D143" s="139">
        <v>12</v>
      </c>
      <c r="E143" s="139">
        <v>0.14000000000000001</v>
      </c>
      <c r="F143" s="139">
        <v>12</v>
      </c>
      <c r="G143" s="140">
        <v>0.138610714285714</v>
      </c>
      <c r="J143" s="139">
        <f t="shared" si="2"/>
        <v>1</v>
      </c>
    </row>
    <row r="144" spans="1:10" x14ac:dyDescent="0.25">
      <c r="A144" s="139">
        <v>229</v>
      </c>
      <c r="B144" s="139" t="s">
        <v>418</v>
      </c>
      <c r="C144" s="139" t="s">
        <v>951</v>
      </c>
      <c r="D144" s="139">
        <v>12</v>
      </c>
      <c r="E144" s="139">
        <v>0.14000000000000001</v>
      </c>
      <c r="F144" s="139" t="s">
        <v>942</v>
      </c>
      <c r="G144" s="140" t="s">
        <v>942</v>
      </c>
      <c r="J144" s="139">
        <f t="shared" si="2"/>
        <v>1</v>
      </c>
    </row>
    <row r="145" spans="1:10" x14ac:dyDescent="0.25">
      <c r="A145" s="139">
        <v>230</v>
      </c>
      <c r="B145" s="139" t="s">
        <v>419</v>
      </c>
      <c r="C145" s="139" t="s">
        <v>185</v>
      </c>
      <c r="D145" s="139">
        <v>12</v>
      </c>
      <c r="E145" s="139">
        <v>0.14000000000000001</v>
      </c>
      <c r="F145" s="139">
        <v>12</v>
      </c>
      <c r="G145" s="140">
        <v>0.14613000000000001</v>
      </c>
      <c r="J145" s="139">
        <f t="shared" si="2"/>
        <v>1</v>
      </c>
    </row>
    <row r="146" spans="1:10" x14ac:dyDescent="0.25">
      <c r="A146" s="139">
        <v>231</v>
      </c>
      <c r="B146" s="139" t="s">
        <v>420</v>
      </c>
      <c r="C146" s="139" t="s">
        <v>190</v>
      </c>
      <c r="D146" s="139">
        <v>5.7</v>
      </c>
      <c r="E146" s="139">
        <v>0.06</v>
      </c>
      <c r="F146" s="139" t="s">
        <v>942</v>
      </c>
      <c r="G146" s="140" t="s">
        <v>942</v>
      </c>
      <c r="J146" s="139">
        <f t="shared" si="2"/>
        <v>1</v>
      </c>
    </row>
    <row r="147" spans="1:10" x14ac:dyDescent="0.25">
      <c r="A147" s="139">
        <v>232</v>
      </c>
      <c r="B147" s="139" t="s">
        <v>421</v>
      </c>
      <c r="C147" s="139" t="s">
        <v>182</v>
      </c>
      <c r="D147" s="139">
        <v>5.7</v>
      </c>
      <c r="E147" s="139">
        <v>0.06</v>
      </c>
      <c r="F147" s="139">
        <v>5.7</v>
      </c>
      <c r="G147" s="140">
        <v>6.1115216370511302E-2</v>
      </c>
      <c r="J147" s="139">
        <f t="shared" si="2"/>
        <v>1</v>
      </c>
    </row>
    <row r="148" spans="1:10" x14ac:dyDescent="0.25">
      <c r="A148" s="139">
        <v>233</v>
      </c>
      <c r="B148" s="139" t="s">
        <v>422</v>
      </c>
      <c r="C148" s="139" t="s">
        <v>194</v>
      </c>
      <c r="D148" s="139">
        <v>5.7</v>
      </c>
      <c r="E148" s="139">
        <v>0.06</v>
      </c>
      <c r="F148" s="139" t="s">
        <v>942</v>
      </c>
      <c r="G148" s="140" t="s">
        <v>942</v>
      </c>
      <c r="J148" s="139">
        <f t="shared" si="2"/>
        <v>1</v>
      </c>
    </row>
    <row r="149" spans="1:10" x14ac:dyDescent="0.25">
      <c r="A149" s="139">
        <v>234</v>
      </c>
      <c r="B149" s="139" t="s">
        <v>424</v>
      </c>
      <c r="C149" s="139" t="s">
        <v>185</v>
      </c>
      <c r="D149" s="139">
        <v>5.7</v>
      </c>
      <c r="E149" s="139">
        <v>0.06</v>
      </c>
      <c r="F149" s="139">
        <v>5.7</v>
      </c>
      <c r="G149" s="140">
        <v>5.9870659722222198E-2</v>
      </c>
      <c r="J149" s="139">
        <f t="shared" si="2"/>
        <v>2</v>
      </c>
    </row>
    <row r="150" spans="1:10" x14ac:dyDescent="0.25">
      <c r="A150" s="139">
        <v>234</v>
      </c>
      <c r="B150" s="139" t="s">
        <v>423</v>
      </c>
      <c r="C150" s="139" t="s">
        <v>185</v>
      </c>
      <c r="D150" s="139">
        <v>5.7</v>
      </c>
      <c r="E150" s="139">
        <v>0.06</v>
      </c>
      <c r="F150" s="139">
        <v>5.7</v>
      </c>
      <c r="G150" s="140">
        <v>5.9870659722222198E-2</v>
      </c>
      <c r="J150" s="139">
        <f t="shared" si="2"/>
        <v>2</v>
      </c>
    </row>
    <row r="151" spans="1:10" x14ac:dyDescent="0.25">
      <c r="A151" s="139">
        <v>235</v>
      </c>
      <c r="B151" s="139" t="s">
        <v>425</v>
      </c>
      <c r="C151" s="139" t="s">
        <v>182</v>
      </c>
      <c r="D151" s="139">
        <v>5.7</v>
      </c>
      <c r="E151" s="139">
        <v>7.0000000000000007E-2</v>
      </c>
      <c r="F151" s="139">
        <v>5.7</v>
      </c>
      <c r="G151" s="140">
        <v>6.9799432624113505E-2</v>
      </c>
      <c r="J151" s="139">
        <f t="shared" si="2"/>
        <v>1</v>
      </c>
    </row>
    <row r="152" spans="1:10" x14ac:dyDescent="0.25">
      <c r="A152" s="139">
        <v>236</v>
      </c>
      <c r="B152" s="139" t="s">
        <v>426</v>
      </c>
      <c r="C152" s="139" t="s">
        <v>951</v>
      </c>
      <c r="D152" s="139">
        <v>5.7</v>
      </c>
      <c r="E152" s="139">
        <v>7.0000000000000007E-2</v>
      </c>
      <c r="F152" s="139" t="s">
        <v>942</v>
      </c>
      <c r="G152" s="140" t="s">
        <v>942</v>
      </c>
      <c r="J152" s="139">
        <f t="shared" si="2"/>
        <v>1</v>
      </c>
    </row>
    <row r="153" spans="1:10" x14ac:dyDescent="0.25">
      <c r="A153" s="139">
        <v>237</v>
      </c>
      <c r="B153" s="139" t="s">
        <v>427</v>
      </c>
      <c r="C153" s="139" t="s">
        <v>185</v>
      </c>
      <c r="D153" s="139">
        <v>5.7</v>
      </c>
      <c r="E153" s="139">
        <v>7.0000000000000007E-2</v>
      </c>
      <c r="F153" s="139">
        <v>5.7</v>
      </c>
      <c r="G153" s="140">
        <v>7.0098352344740197E-2</v>
      </c>
      <c r="J153" s="139">
        <f t="shared" si="2"/>
        <v>1</v>
      </c>
    </row>
    <row r="154" spans="1:10" x14ac:dyDescent="0.25">
      <c r="A154" s="139">
        <v>238</v>
      </c>
      <c r="B154" s="139" t="s">
        <v>428</v>
      </c>
      <c r="C154" s="139" t="s">
        <v>182</v>
      </c>
      <c r="D154" s="139">
        <v>8.5</v>
      </c>
      <c r="E154" s="139">
        <v>9.1999999999999998E-2</v>
      </c>
      <c r="F154" s="139">
        <v>8.5</v>
      </c>
      <c r="G154" s="140">
        <v>9.32220319634703E-2</v>
      </c>
      <c r="J154" s="139">
        <f t="shared" si="2"/>
        <v>1</v>
      </c>
    </row>
    <row r="155" spans="1:10" x14ac:dyDescent="0.25">
      <c r="A155" s="139">
        <v>239</v>
      </c>
      <c r="B155" s="139" t="s">
        <v>429</v>
      </c>
      <c r="C155" s="139" t="s">
        <v>201</v>
      </c>
      <c r="D155" s="139">
        <v>8.5</v>
      </c>
      <c r="E155" s="139">
        <v>9.1999999999999998E-2</v>
      </c>
      <c r="F155" s="139" t="s">
        <v>942</v>
      </c>
      <c r="G155" s="140" t="s">
        <v>942</v>
      </c>
      <c r="J155" s="139">
        <f t="shared" si="2"/>
        <v>1</v>
      </c>
    </row>
    <row r="156" spans="1:10" x14ac:dyDescent="0.25">
      <c r="A156" s="139">
        <v>240</v>
      </c>
      <c r="B156" s="139" t="s">
        <v>430</v>
      </c>
      <c r="C156" s="139" t="s">
        <v>185</v>
      </c>
      <c r="D156" s="139">
        <v>8.5</v>
      </c>
      <c r="E156" s="139">
        <v>9.1999999999999998E-2</v>
      </c>
      <c r="F156" s="139">
        <v>8.5</v>
      </c>
      <c r="G156" s="140">
        <v>9.9076923076923104E-2</v>
      </c>
      <c r="J156" s="139">
        <f t="shared" si="2"/>
        <v>1</v>
      </c>
    </row>
    <row r="157" spans="1:10" x14ac:dyDescent="0.25">
      <c r="A157" s="139">
        <v>241</v>
      </c>
      <c r="B157" s="139" t="s">
        <v>431</v>
      </c>
      <c r="C157" s="139" t="s">
        <v>194</v>
      </c>
      <c r="D157" s="139">
        <v>5.7</v>
      </c>
      <c r="E157" s="139">
        <v>5.5999999999999994E-2</v>
      </c>
      <c r="F157" s="139" t="s">
        <v>942</v>
      </c>
      <c r="G157" s="140" t="s">
        <v>942</v>
      </c>
      <c r="J157" s="139">
        <f t="shared" si="2"/>
        <v>1</v>
      </c>
    </row>
    <row r="158" spans="1:10" x14ac:dyDescent="0.25">
      <c r="A158" s="139">
        <v>242</v>
      </c>
      <c r="B158" s="139" t="s">
        <v>432</v>
      </c>
      <c r="C158" s="139" t="s">
        <v>187</v>
      </c>
      <c r="D158" s="139">
        <v>5.7</v>
      </c>
      <c r="E158" s="139">
        <v>7.0000000000000007E-2</v>
      </c>
      <c r="F158" s="139" t="s">
        <v>942</v>
      </c>
      <c r="G158" s="140" t="s">
        <v>942</v>
      </c>
      <c r="J158" s="139">
        <f t="shared" si="2"/>
        <v>1</v>
      </c>
    </row>
    <row r="159" spans="1:10" x14ac:dyDescent="0.25">
      <c r="A159" s="139">
        <v>244</v>
      </c>
      <c r="B159" s="139" t="s">
        <v>433</v>
      </c>
      <c r="C159" s="139" t="s">
        <v>185</v>
      </c>
      <c r="D159" s="139">
        <v>12</v>
      </c>
      <c r="E159" s="139">
        <v>0.15</v>
      </c>
      <c r="F159" s="139">
        <v>12</v>
      </c>
      <c r="G159" s="140">
        <v>0.16237499999999999</v>
      </c>
      <c r="J159" s="139">
        <f t="shared" si="2"/>
        <v>1</v>
      </c>
    </row>
    <row r="160" spans="1:10" x14ac:dyDescent="0.25">
      <c r="A160" s="139">
        <v>245</v>
      </c>
      <c r="B160" s="139" t="s">
        <v>435</v>
      </c>
      <c r="C160" s="139" t="s">
        <v>182</v>
      </c>
      <c r="D160" s="139">
        <v>5.7</v>
      </c>
      <c r="E160" s="139">
        <v>0.08</v>
      </c>
      <c r="F160" s="139">
        <v>5.7</v>
      </c>
      <c r="G160" s="140">
        <v>7.8E-2</v>
      </c>
      <c r="J160" s="139">
        <f t="shared" si="2"/>
        <v>1</v>
      </c>
    </row>
    <row r="161" spans="1:10" x14ac:dyDescent="0.25">
      <c r="A161" s="139">
        <v>246</v>
      </c>
      <c r="B161" s="139" t="s">
        <v>436</v>
      </c>
      <c r="C161" s="139" t="s">
        <v>185</v>
      </c>
      <c r="D161" s="139">
        <v>8.5</v>
      </c>
      <c r="E161" s="139">
        <v>0.09</v>
      </c>
      <c r="F161" s="139" t="s">
        <v>942</v>
      </c>
      <c r="G161" s="140" t="s">
        <v>942</v>
      </c>
      <c r="J161" s="139">
        <f t="shared" si="2"/>
        <v>1</v>
      </c>
    </row>
    <row r="162" spans="1:10" x14ac:dyDescent="0.25">
      <c r="A162" s="139">
        <v>247</v>
      </c>
      <c r="B162" s="139" t="s">
        <v>437</v>
      </c>
      <c r="C162" s="139" t="s">
        <v>188</v>
      </c>
      <c r="D162" s="139">
        <v>9.5</v>
      </c>
      <c r="E162" s="139">
        <v>0.19</v>
      </c>
      <c r="F162" s="139" t="s">
        <v>942</v>
      </c>
      <c r="G162" s="140" t="s">
        <v>942</v>
      </c>
      <c r="J162" s="139">
        <f t="shared" si="2"/>
        <v>1</v>
      </c>
    </row>
    <row r="163" spans="1:10" x14ac:dyDescent="0.25">
      <c r="A163" s="139">
        <v>248</v>
      </c>
      <c r="B163" s="139" t="s">
        <v>438</v>
      </c>
      <c r="C163" s="139" t="s">
        <v>182</v>
      </c>
      <c r="D163" s="139">
        <v>9.5</v>
      </c>
      <c r="E163" s="139">
        <v>0.2</v>
      </c>
      <c r="F163" s="139" t="s">
        <v>942</v>
      </c>
      <c r="G163" s="140" t="s">
        <v>942</v>
      </c>
      <c r="J163" s="139">
        <f t="shared" si="2"/>
        <v>1</v>
      </c>
    </row>
    <row r="164" spans="1:10" x14ac:dyDescent="0.25">
      <c r="A164" s="139">
        <v>249</v>
      </c>
      <c r="B164" s="139" t="s">
        <v>439</v>
      </c>
      <c r="C164" s="139" t="s">
        <v>188</v>
      </c>
      <c r="D164" s="139">
        <v>9.5</v>
      </c>
      <c r="E164" s="139">
        <v>0.19</v>
      </c>
      <c r="F164" s="139">
        <v>9.5</v>
      </c>
      <c r="G164" s="140">
        <v>9.1281471004243303E-2</v>
      </c>
      <c r="J164" s="139">
        <f t="shared" si="2"/>
        <v>1</v>
      </c>
    </row>
    <row r="165" spans="1:10" x14ac:dyDescent="0.25">
      <c r="A165" s="139">
        <v>250</v>
      </c>
      <c r="B165" s="139" t="s">
        <v>440</v>
      </c>
      <c r="C165" s="139" t="s">
        <v>182</v>
      </c>
      <c r="D165" s="139">
        <v>10</v>
      </c>
      <c r="E165" s="139">
        <v>0.2</v>
      </c>
      <c r="F165" s="139">
        <v>10</v>
      </c>
      <c r="G165" s="140">
        <v>0.106005850285866</v>
      </c>
      <c r="J165" s="139">
        <f t="shared" si="2"/>
        <v>1</v>
      </c>
    </row>
    <row r="166" spans="1:10" x14ac:dyDescent="0.25">
      <c r="A166" s="139">
        <v>251</v>
      </c>
      <c r="B166" s="139" t="s">
        <v>441</v>
      </c>
      <c r="C166" s="139" t="s">
        <v>182</v>
      </c>
      <c r="D166" s="139">
        <v>10</v>
      </c>
      <c r="E166" s="139">
        <v>0.1</v>
      </c>
      <c r="F166" s="139">
        <v>0</v>
      </c>
      <c r="G166" s="140">
        <v>0.11457000000000001</v>
      </c>
      <c r="J166" s="139">
        <f t="shared" si="2"/>
        <v>1</v>
      </c>
    </row>
    <row r="167" spans="1:10" x14ac:dyDescent="0.25">
      <c r="A167" s="139">
        <v>252</v>
      </c>
      <c r="B167" s="139" t="s">
        <v>442</v>
      </c>
      <c r="C167" s="139" t="s">
        <v>188</v>
      </c>
      <c r="D167" s="139">
        <v>10</v>
      </c>
      <c r="E167" s="139">
        <v>0.1</v>
      </c>
      <c r="F167" s="139" t="s">
        <v>942</v>
      </c>
      <c r="G167" s="140" t="s">
        <v>942</v>
      </c>
      <c r="J167" s="139">
        <f t="shared" si="2"/>
        <v>1</v>
      </c>
    </row>
    <row r="168" spans="1:10" x14ac:dyDescent="0.25">
      <c r="A168" s="139">
        <v>253</v>
      </c>
      <c r="B168" s="139" t="s">
        <v>443</v>
      </c>
      <c r="C168" s="139" t="s">
        <v>182</v>
      </c>
      <c r="D168" s="139">
        <v>0</v>
      </c>
      <c r="E168" s="139">
        <v>4.4000000000000004E-2</v>
      </c>
      <c r="F168" s="139" t="s">
        <v>942</v>
      </c>
      <c r="G168" s="140" t="s">
        <v>942</v>
      </c>
      <c r="J168" s="139">
        <f t="shared" si="2"/>
        <v>1</v>
      </c>
    </row>
    <row r="169" spans="1:10" x14ac:dyDescent="0.25">
      <c r="A169" s="139">
        <v>254</v>
      </c>
      <c r="B169" s="139" t="s">
        <v>444</v>
      </c>
      <c r="C169" s="139" t="s">
        <v>190</v>
      </c>
      <c r="D169" s="139">
        <v>5.05</v>
      </c>
      <c r="E169" s="139">
        <v>0.05</v>
      </c>
      <c r="F169" s="139" t="s">
        <v>942</v>
      </c>
      <c r="G169" s="140" t="s">
        <v>942</v>
      </c>
      <c r="J169" s="139">
        <f t="shared" si="2"/>
        <v>1</v>
      </c>
    </row>
    <row r="170" spans="1:10" x14ac:dyDescent="0.25">
      <c r="A170" s="139">
        <v>255</v>
      </c>
      <c r="B170" s="139" t="s">
        <v>445</v>
      </c>
      <c r="C170" s="139" t="s">
        <v>971</v>
      </c>
      <c r="D170" s="139">
        <v>5.05</v>
      </c>
      <c r="E170" s="139">
        <v>0.05</v>
      </c>
      <c r="F170" s="139" t="s">
        <v>942</v>
      </c>
      <c r="G170" s="140" t="s">
        <v>942</v>
      </c>
      <c r="J170" s="139">
        <f t="shared" si="2"/>
        <v>1</v>
      </c>
    </row>
    <row r="171" spans="1:10" x14ac:dyDescent="0.25">
      <c r="A171" s="139">
        <v>256</v>
      </c>
      <c r="B171" s="139" t="s">
        <v>446</v>
      </c>
      <c r="C171" s="139" t="s">
        <v>967</v>
      </c>
      <c r="D171" s="139">
        <v>5.05</v>
      </c>
      <c r="E171" s="139">
        <v>0.05</v>
      </c>
      <c r="F171" s="139" t="s">
        <v>942</v>
      </c>
      <c r="G171" s="140" t="s">
        <v>942</v>
      </c>
      <c r="J171" s="139">
        <f t="shared" si="2"/>
        <v>1</v>
      </c>
    </row>
    <row r="172" spans="1:10" x14ac:dyDescent="0.25">
      <c r="A172" s="139">
        <v>257</v>
      </c>
      <c r="B172" s="139" t="s">
        <v>448</v>
      </c>
      <c r="C172" s="139" t="s">
        <v>194</v>
      </c>
      <c r="D172" s="139">
        <v>5.05</v>
      </c>
      <c r="E172" s="139">
        <v>0.05</v>
      </c>
      <c r="F172" s="139">
        <v>5.7</v>
      </c>
      <c r="G172" s="140">
        <v>5.05004166666667E-2</v>
      </c>
      <c r="J172" s="139">
        <f t="shared" si="2"/>
        <v>2</v>
      </c>
    </row>
    <row r="173" spans="1:10" x14ac:dyDescent="0.25">
      <c r="A173" s="139">
        <v>257</v>
      </c>
      <c r="B173" s="139" t="s">
        <v>447</v>
      </c>
      <c r="C173" s="139" t="s">
        <v>194</v>
      </c>
      <c r="D173" s="139">
        <v>5.05</v>
      </c>
      <c r="E173" s="139">
        <v>0.05</v>
      </c>
      <c r="F173" s="139">
        <v>5.7</v>
      </c>
      <c r="G173" s="140">
        <v>5.05004166666667E-2</v>
      </c>
      <c r="J173" s="139">
        <f t="shared" si="2"/>
        <v>2</v>
      </c>
    </row>
    <row r="174" spans="1:10" x14ac:dyDescent="0.25">
      <c r="A174" s="139">
        <v>258</v>
      </c>
      <c r="B174" s="139" t="s">
        <v>450</v>
      </c>
      <c r="C174" s="139" t="s">
        <v>182</v>
      </c>
      <c r="D174" s="139">
        <v>5.7</v>
      </c>
      <c r="E174" s="139">
        <v>0.05</v>
      </c>
      <c r="F174" s="139">
        <v>5.7</v>
      </c>
      <c r="G174" s="140">
        <v>5.0812124901806803E-2</v>
      </c>
      <c r="J174" s="139">
        <f t="shared" si="2"/>
        <v>4</v>
      </c>
    </row>
    <row r="175" spans="1:10" x14ac:dyDescent="0.25">
      <c r="A175" s="139">
        <v>258</v>
      </c>
      <c r="B175" s="139" t="s">
        <v>449</v>
      </c>
      <c r="C175" s="139" t="s">
        <v>182</v>
      </c>
      <c r="D175" s="139">
        <v>5.05</v>
      </c>
      <c r="E175" s="139">
        <v>0.05</v>
      </c>
      <c r="F175" s="139">
        <v>5.7</v>
      </c>
      <c r="G175" s="140">
        <v>5.0812124901806803E-2</v>
      </c>
      <c r="J175" s="139">
        <f t="shared" si="2"/>
        <v>4</v>
      </c>
    </row>
    <row r="176" spans="1:10" x14ac:dyDescent="0.25">
      <c r="A176" s="139">
        <v>258</v>
      </c>
      <c r="B176" s="139" t="s">
        <v>452</v>
      </c>
      <c r="C176" s="139" t="s">
        <v>182</v>
      </c>
      <c r="D176" s="139">
        <v>5.7</v>
      </c>
      <c r="E176" s="139">
        <v>0.05</v>
      </c>
      <c r="F176" s="139">
        <v>5.7</v>
      </c>
      <c r="G176" s="140">
        <v>5.0812124901806803E-2</v>
      </c>
      <c r="J176" s="139">
        <f t="shared" si="2"/>
        <v>4</v>
      </c>
    </row>
    <row r="177" spans="1:10" x14ac:dyDescent="0.25">
      <c r="A177" s="139">
        <v>258</v>
      </c>
      <c r="B177" s="139" t="s">
        <v>451</v>
      </c>
      <c r="C177" s="139" t="s">
        <v>182</v>
      </c>
      <c r="D177" s="139">
        <v>5.7</v>
      </c>
      <c r="E177" s="139">
        <v>0.05</v>
      </c>
      <c r="F177" s="139">
        <v>5.7</v>
      </c>
      <c r="G177" s="140">
        <v>5.0812124901806803E-2</v>
      </c>
      <c r="J177" s="139">
        <f t="shared" si="2"/>
        <v>4</v>
      </c>
    </row>
    <row r="178" spans="1:10" x14ac:dyDescent="0.25">
      <c r="A178" s="139">
        <v>259</v>
      </c>
      <c r="B178" s="139" t="s">
        <v>453</v>
      </c>
      <c r="C178" s="139" t="s">
        <v>970</v>
      </c>
      <c r="D178" s="139">
        <v>5.05</v>
      </c>
      <c r="E178" s="139">
        <v>0.05</v>
      </c>
      <c r="F178" s="139" t="s">
        <v>942</v>
      </c>
      <c r="G178" s="140" t="s">
        <v>942</v>
      </c>
      <c r="J178" s="139">
        <f t="shared" si="2"/>
        <v>1</v>
      </c>
    </row>
    <row r="179" spans="1:10" x14ac:dyDescent="0.25">
      <c r="A179" s="139">
        <v>260</v>
      </c>
      <c r="B179" s="139" t="s">
        <v>454</v>
      </c>
      <c r="C179" s="139" t="s">
        <v>968</v>
      </c>
      <c r="D179" s="139">
        <v>5.05</v>
      </c>
      <c r="E179" s="139">
        <v>0.05</v>
      </c>
      <c r="F179" s="139" t="s">
        <v>942</v>
      </c>
      <c r="G179" s="140" t="s">
        <v>942</v>
      </c>
      <c r="J179" s="139">
        <f t="shared" si="2"/>
        <v>1</v>
      </c>
    </row>
    <row r="180" spans="1:10" x14ac:dyDescent="0.25">
      <c r="A180" s="139">
        <v>261</v>
      </c>
      <c r="B180" s="139" t="s">
        <v>455</v>
      </c>
      <c r="C180" s="139" t="s">
        <v>969</v>
      </c>
      <c r="D180" s="139">
        <v>5.05</v>
      </c>
      <c r="E180" s="139">
        <v>0.05</v>
      </c>
      <c r="F180" s="139" t="s">
        <v>942</v>
      </c>
      <c r="G180" s="140" t="s">
        <v>942</v>
      </c>
      <c r="J180" s="139">
        <f t="shared" si="2"/>
        <v>1</v>
      </c>
    </row>
    <row r="181" spans="1:10" x14ac:dyDescent="0.25">
      <c r="A181" s="139">
        <v>262</v>
      </c>
      <c r="B181" s="139" t="s">
        <v>456</v>
      </c>
      <c r="C181" s="139" t="s">
        <v>188</v>
      </c>
      <c r="D181" s="139">
        <v>5.05</v>
      </c>
      <c r="E181" s="139">
        <v>0.05</v>
      </c>
      <c r="F181" s="139">
        <v>5.7</v>
      </c>
      <c r="G181" s="140">
        <v>4.9376635753445697E-2</v>
      </c>
      <c r="J181" s="139">
        <f t="shared" si="2"/>
        <v>1</v>
      </c>
    </row>
    <row r="182" spans="1:10" x14ac:dyDescent="0.25">
      <c r="A182" s="139">
        <v>263</v>
      </c>
      <c r="B182" s="139" t="s">
        <v>457</v>
      </c>
      <c r="C182" s="139" t="s">
        <v>968</v>
      </c>
      <c r="D182" s="139">
        <v>5.05</v>
      </c>
      <c r="E182" s="139">
        <v>0.05</v>
      </c>
      <c r="F182" s="139" t="s">
        <v>942</v>
      </c>
      <c r="G182" s="140" t="s">
        <v>942</v>
      </c>
      <c r="J182" s="139">
        <f t="shared" si="2"/>
        <v>1</v>
      </c>
    </row>
    <row r="183" spans="1:10" x14ac:dyDescent="0.25">
      <c r="A183" s="139">
        <v>264</v>
      </c>
      <c r="B183" s="139" t="s">
        <v>458</v>
      </c>
      <c r="C183" s="139" t="s">
        <v>191</v>
      </c>
      <c r="D183" s="139">
        <v>5.05</v>
      </c>
      <c r="E183" s="139">
        <v>0.05</v>
      </c>
      <c r="F183" s="139" t="s">
        <v>942</v>
      </c>
      <c r="G183" s="140" t="s">
        <v>942</v>
      </c>
      <c r="J183" s="139">
        <f t="shared" si="2"/>
        <v>1</v>
      </c>
    </row>
    <row r="184" spans="1:10" x14ac:dyDescent="0.25">
      <c r="A184" s="139">
        <v>265</v>
      </c>
      <c r="B184" s="139" t="s">
        <v>459</v>
      </c>
      <c r="C184" s="139" t="s">
        <v>832</v>
      </c>
      <c r="D184" s="139">
        <v>5.05</v>
      </c>
      <c r="E184" s="139">
        <v>0.05</v>
      </c>
      <c r="F184" s="139" t="s">
        <v>942</v>
      </c>
      <c r="G184" s="140" t="s">
        <v>942</v>
      </c>
      <c r="J184" s="139">
        <f t="shared" si="2"/>
        <v>1</v>
      </c>
    </row>
    <row r="185" spans="1:10" x14ac:dyDescent="0.25">
      <c r="A185" s="139">
        <v>266</v>
      </c>
      <c r="B185" s="139" t="s">
        <v>460</v>
      </c>
      <c r="C185" s="139" t="s">
        <v>183</v>
      </c>
      <c r="D185" s="139">
        <v>5.05</v>
      </c>
      <c r="E185" s="139">
        <v>0.05</v>
      </c>
      <c r="F185" s="139" t="s">
        <v>942</v>
      </c>
      <c r="G185" s="140" t="s">
        <v>942</v>
      </c>
      <c r="J185" s="139">
        <f t="shared" si="2"/>
        <v>1</v>
      </c>
    </row>
    <row r="186" spans="1:10" x14ac:dyDescent="0.25">
      <c r="A186" s="139">
        <v>267</v>
      </c>
      <c r="B186" s="139" t="s">
        <v>461</v>
      </c>
      <c r="C186" s="139" t="s">
        <v>204</v>
      </c>
      <c r="D186" s="139">
        <v>5.05</v>
      </c>
      <c r="E186" s="139">
        <v>0.05</v>
      </c>
      <c r="F186" s="139" t="s">
        <v>942</v>
      </c>
      <c r="G186" s="140" t="s">
        <v>942</v>
      </c>
      <c r="J186" s="139">
        <f t="shared" si="2"/>
        <v>1</v>
      </c>
    </row>
    <row r="187" spans="1:10" x14ac:dyDescent="0.25">
      <c r="A187" s="139">
        <v>268</v>
      </c>
      <c r="B187" s="139" t="s">
        <v>462</v>
      </c>
      <c r="C187" s="139" t="s">
        <v>193</v>
      </c>
      <c r="D187" s="139">
        <v>5.05</v>
      </c>
      <c r="E187" s="139">
        <v>0.05</v>
      </c>
      <c r="F187" s="139" t="s">
        <v>942</v>
      </c>
      <c r="G187" s="140" t="s">
        <v>942</v>
      </c>
      <c r="J187" s="139">
        <f t="shared" si="2"/>
        <v>1</v>
      </c>
    </row>
    <row r="188" spans="1:10" x14ac:dyDescent="0.25">
      <c r="A188" s="139">
        <v>269</v>
      </c>
      <c r="B188" s="139" t="s">
        <v>463</v>
      </c>
      <c r="C188" s="139" t="s">
        <v>184</v>
      </c>
      <c r="D188" s="139">
        <v>5.05</v>
      </c>
      <c r="E188" s="139">
        <v>0.05</v>
      </c>
      <c r="F188" s="139" t="s">
        <v>942</v>
      </c>
      <c r="G188" s="140" t="s">
        <v>942</v>
      </c>
      <c r="J188" s="139">
        <f t="shared" si="2"/>
        <v>1</v>
      </c>
    </row>
    <row r="189" spans="1:10" x14ac:dyDescent="0.25">
      <c r="A189" s="139">
        <v>270</v>
      </c>
      <c r="B189" s="139" t="s">
        <v>464</v>
      </c>
      <c r="C189" s="139" t="s">
        <v>187</v>
      </c>
      <c r="D189" s="139">
        <v>5.05</v>
      </c>
      <c r="E189" s="139">
        <v>0.05</v>
      </c>
      <c r="F189" s="139" t="s">
        <v>942</v>
      </c>
      <c r="G189" s="140" t="s">
        <v>942</v>
      </c>
      <c r="J189" s="139">
        <f t="shared" si="2"/>
        <v>1</v>
      </c>
    </row>
    <row r="190" spans="1:10" x14ac:dyDescent="0.25">
      <c r="A190" s="139">
        <v>271</v>
      </c>
      <c r="B190" s="139" t="s">
        <v>465</v>
      </c>
      <c r="C190" s="139" t="s">
        <v>182</v>
      </c>
      <c r="D190" s="139">
        <v>5.7</v>
      </c>
      <c r="E190" s="139">
        <v>5.5999999999999994E-2</v>
      </c>
      <c r="F190" s="139">
        <v>5.7</v>
      </c>
      <c r="G190" s="140">
        <v>5.9506799336650103E-2</v>
      </c>
      <c r="J190" s="139">
        <f t="shared" si="2"/>
        <v>1</v>
      </c>
    </row>
    <row r="191" spans="1:10" x14ac:dyDescent="0.25">
      <c r="A191" s="139">
        <v>272</v>
      </c>
      <c r="B191" s="139" t="s">
        <v>466</v>
      </c>
      <c r="C191" s="139" t="s">
        <v>188</v>
      </c>
      <c r="D191" s="139">
        <v>5.7</v>
      </c>
      <c r="E191" s="139">
        <v>5.5999999999999994E-2</v>
      </c>
      <c r="F191" s="139" t="s">
        <v>942</v>
      </c>
      <c r="G191" s="140" t="s">
        <v>942</v>
      </c>
      <c r="J191" s="139">
        <f t="shared" si="2"/>
        <v>1</v>
      </c>
    </row>
    <row r="192" spans="1:10" x14ac:dyDescent="0.25">
      <c r="A192" s="139">
        <v>273</v>
      </c>
      <c r="B192" s="139" t="s">
        <v>467</v>
      </c>
      <c r="C192" s="139" t="s">
        <v>182</v>
      </c>
      <c r="D192" s="139">
        <v>8.5</v>
      </c>
      <c r="E192" s="139">
        <v>0.08</v>
      </c>
      <c r="F192" s="139">
        <v>8.5</v>
      </c>
      <c r="G192" s="140">
        <v>8.2008333333333294E-2</v>
      </c>
      <c r="J192" s="139">
        <f t="shared" si="2"/>
        <v>1</v>
      </c>
    </row>
    <row r="193" spans="1:10" x14ac:dyDescent="0.25">
      <c r="A193" s="139">
        <v>274</v>
      </c>
      <c r="B193" s="139" t="s">
        <v>468</v>
      </c>
      <c r="C193" s="139" t="s">
        <v>188</v>
      </c>
      <c r="D193" s="139">
        <v>8.5</v>
      </c>
      <c r="E193" s="139">
        <v>0.08</v>
      </c>
      <c r="F193" s="139" t="s">
        <v>942</v>
      </c>
      <c r="G193" s="140" t="s">
        <v>942</v>
      </c>
      <c r="J193" s="139">
        <f t="shared" si="2"/>
        <v>1</v>
      </c>
    </row>
    <row r="194" spans="1:10" x14ac:dyDescent="0.25">
      <c r="A194" s="139">
        <v>275</v>
      </c>
      <c r="B194" s="139" t="s">
        <v>469</v>
      </c>
      <c r="C194" s="139" t="s">
        <v>195</v>
      </c>
      <c r="D194" s="139">
        <v>5.05</v>
      </c>
      <c r="E194" s="139">
        <v>0.05</v>
      </c>
      <c r="F194" s="139" t="s">
        <v>942</v>
      </c>
      <c r="G194" s="140" t="s">
        <v>942</v>
      </c>
      <c r="J194" s="139">
        <f t="shared" si="2"/>
        <v>1</v>
      </c>
    </row>
    <row r="195" spans="1:10" x14ac:dyDescent="0.25">
      <c r="A195" s="139">
        <v>276</v>
      </c>
      <c r="B195" s="139" t="s">
        <v>470</v>
      </c>
      <c r="C195" s="139" t="s">
        <v>966</v>
      </c>
      <c r="D195" s="139">
        <v>4.7</v>
      </c>
      <c r="E195" s="139">
        <v>0.04</v>
      </c>
      <c r="F195" s="139" t="s">
        <v>942</v>
      </c>
      <c r="G195" s="140" t="s">
        <v>942</v>
      </c>
      <c r="J195" s="139">
        <f t="shared" ref="J195:J258" si="3">COUNTIF(A:A,A195)</f>
        <v>1</v>
      </c>
    </row>
    <row r="196" spans="1:10" x14ac:dyDescent="0.25">
      <c r="A196" s="139">
        <v>277</v>
      </c>
      <c r="B196" s="139" t="s">
        <v>471</v>
      </c>
      <c r="C196" s="139" t="s">
        <v>191</v>
      </c>
      <c r="D196" s="139">
        <v>4.7</v>
      </c>
      <c r="E196" s="139">
        <v>0.04</v>
      </c>
      <c r="F196" s="139" t="s">
        <v>942</v>
      </c>
      <c r="G196" s="140" t="s">
        <v>942</v>
      </c>
      <c r="J196" s="139">
        <f t="shared" si="3"/>
        <v>1</v>
      </c>
    </row>
    <row r="197" spans="1:10" x14ac:dyDescent="0.25">
      <c r="A197" s="139">
        <v>278</v>
      </c>
      <c r="B197" s="139" t="s">
        <v>472</v>
      </c>
      <c r="C197" s="139" t="s">
        <v>184</v>
      </c>
      <c r="D197" s="139">
        <v>4.7</v>
      </c>
      <c r="E197" s="139">
        <v>0.04</v>
      </c>
      <c r="F197" s="139" t="s">
        <v>942</v>
      </c>
      <c r="G197" s="140" t="s">
        <v>942</v>
      </c>
      <c r="J197" s="139">
        <f t="shared" si="3"/>
        <v>1</v>
      </c>
    </row>
    <row r="198" spans="1:10" x14ac:dyDescent="0.25">
      <c r="A198" s="139">
        <v>279</v>
      </c>
      <c r="B198" s="139" t="s">
        <v>473</v>
      </c>
      <c r="C198" s="139" t="s">
        <v>186</v>
      </c>
      <c r="D198" s="139">
        <v>4.7</v>
      </c>
      <c r="E198" s="139">
        <v>0.04</v>
      </c>
      <c r="F198" s="139" t="s">
        <v>942</v>
      </c>
      <c r="G198" s="140" t="s">
        <v>942</v>
      </c>
      <c r="J198" s="139">
        <f t="shared" si="3"/>
        <v>1</v>
      </c>
    </row>
    <row r="199" spans="1:10" x14ac:dyDescent="0.25">
      <c r="A199" s="139">
        <v>280</v>
      </c>
      <c r="B199" s="139" t="s">
        <v>474</v>
      </c>
      <c r="C199" s="139" t="s">
        <v>967</v>
      </c>
      <c r="D199" s="139">
        <v>4.6500000000000004</v>
      </c>
      <c r="E199" s="139">
        <v>0.03</v>
      </c>
      <c r="F199" s="139">
        <v>4.6500000000000004</v>
      </c>
      <c r="G199" s="140">
        <v>3.19096342657718E-2</v>
      </c>
      <c r="J199" s="139">
        <f t="shared" si="3"/>
        <v>2</v>
      </c>
    </row>
    <row r="200" spans="1:10" x14ac:dyDescent="0.25">
      <c r="A200" s="139">
        <v>280</v>
      </c>
      <c r="B200" s="139" t="s">
        <v>475</v>
      </c>
      <c r="C200" s="139" t="s">
        <v>182</v>
      </c>
      <c r="D200" s="139">
        <v>4.6500000000000004</v>
      </c>
      <c r="E200" s="139">
        <v>0.03</v>
      </c>
      <c r="F200" s="139">
        <v>4.6500000000000004</v>
      </c>
      <c r="G200" s="140">
        <v>3.19096342657718E-2</v>
      </c>
      <c r="J200" s="139">
        <f t="shared" si="3"/>
        <v>2</v>
      </c>
    </row>
    <row r="201" spans="1:10" x14ac:dyDescent="0.25">
      <c r="A201" s="139">
        <v>282</v>
      </c>
      <c r="B201" s="139" t="s">
        <v>476</v>
      </c>
      <c r="C201" s="139" t="s">
        <v>966</v>
      </c>
      <c r="D201" s="139">
        <v>4.6500000000000004</v>
      </c>
      <c r="E201" s="139">
        <v>0.03</v>
      </c>
      <c r="F201" s="139" t="s">
        <v>942</v>
      </c>
      <c r="G201" s="140" t="s">
        <v>942</v>
      </c>
      <c r="J201" s="139">
        <f t="shared" si="3"/>
        <v>1</v>
      </c>
    </row>
    <row r="202" spans="1:10" x14ac:dyDescent="0.25">
      <c r="A202" s="139">
        <v>283</v>
      </c>
      <c r="B202" s="139" t="s">
        <v>477</v>
      </c>
      <c r="C202" s="139" t="s">
        <v>965</v>
      </c>
      <c r="D202" s="139">
        <v>4.6500000000000004</v>
      </c>
      <c r="E202" s="139">
        <v>0.03</v>
      </c>
      <c r="F202" s="139" t="s">
        <v>942</v>
      </c>
      <c r="G202" s="140" t="s">
        <v>942</v>
      </c>
      <c r="J202" s="139">
        <f t="shared" si="3"/>
        <v>1</v>
      </c>
    </row>
    <row r="203" spans="1:10" x14ac:dyDescent="0.25">
      <c r="A203" s="139">
        <v>284</v>
      </c>
      <c r="B203" s="139" t="s">
        <v>478</v>
      </c>
      <c r="C203" s="139" t="s">
        <v>185</v>
      </c>
      <c r="D203" s="139">
        <v>4.6500000000000004</v>
      </c>
      <c r="E203" s="139">
        <v>0.03</v>
      </c>
      <c r="F203" s="139" t="s">
        <v>942</v>
      </c>
      <c r="G203" s="140" t="s">
        <v>942</v>
      </c>
      <c r="J203" s="139">
        <f t="shared" si="3"/>
        <v>1</v>
      </c>
    </row>
    <row r="204" spans="1:10" x14ac:dyDescent="0.25">
      <c r="A204" s="139">
        <v>285</v>
      </c>
      <c r="B204" s="139" t="s">
        <v>479</v>
      </c>
      <c r="C204" s="139" t="s">
        <v>186</v>
      </c>
      <c r="D204" s="139">
        <v>4.6500000000000004</v>
      </c>
      <c r="E204" s="139">
        <v>0.03</v>
      </c>
      <c r="F204" s="139" t="s">
        <v>942</v>
      </c>
      <c r="G204" s="140" t="s">
        <v>942</v>
      </c>
      <c r="J204" s="139">
        <f t="shared" si="3"/>
        <v>1</v>
      </c>
    </row>
    <row r="205" spans="1:10" x14ac:dyDescent="0.25">
      <c r="A205" s="139">
        <v>286</v>
      </c>
      <c r="B205" s="139" t="s">
        <v>480</v>
      </c>
      <c r="C205" s="139" t="s">
        <v>188</v>
      </c>
      <c r="D205" s="139">
        <v>5.7</v>
      </c>
      <c r="E205" s="139">
        <v>0.09</v>
      </c>
      <c r="F205" s="139">
        <v>5.7</v>
      </c>
      <c r="G205" s="140">
        <v>8.7794594594594599E-2</v>
      </c>
      <c r="J205" s="139">
        <f t="shared" si="3"/>
        <v>1</v>
      </c>
    </row>
    <row r="206" spans="1:10" x14ac:dyDescent="0.25">
      <c r="A206" s="139">
        <v>287</v>
      </c>
      <c r="B206" s="139" t="s">
        <v>481</v>
      </c>
      <c r="C206" s="139" t="s">
        <v>188</v>
      </c>
      <c r="D206" s="139">
        <v>8.5</v>
      </c>
      <c r="E206" s="139">
        <v>0.11</v>
      </c>
      <c r="F206" s="139" t="s">
        <v>942</v>
      </c>
      <c r="G206" s="140" t="s">
        <v>942</v>
      </c>
      <c r="J206" s="139">
        <f t="shared" si="3"/>
        <v>1</v>
      </c>
    </row>
    <row r="207" spans="1:10" x14ac:dyDescent="0.25">
      <c r="A207" s="139">
        <v>288</v>
      </c>
      <c r="B207" s="139" t="s">
        <v>482</v>
      </c>
      <c r="C207" s="139" t="s">
        <v>185</v>
      </c>
      <c r="D207" s="139">
        <v>8.5</v>
      </c>
      <c r="E207" s="139">
        <v>0.11</v>
      </c>
      <c r="F207" s="139" t="s">
        <v>942</v>
      </c>
      <c r="G207" s="140" t="s">
        <v>942</v>
      </c>
      <c r="J207" s="139">
        <f t="shared" si="3"/>
        <v>1</v>
      </c>
    </row>
    <row r="208" spans="1:10" x14ac:dyDescent="0.25">
      <c r="A208" s="139">
        <v>289</v>
      </c>
      <c r="B208" s="139" t="s">
        <v>483</v>
      </c>
      <c r="C208" s="139" t="s">
        <v>187</v>
      </c>
      <c r="D208" s="139">
        <v>8.5</v>
      </c>
      <c r="E208" s="139">
        <v>0.10800000000000001</v>
      </c>
      <c r="F208" s="139" t="s">
        <v>942</v>
      </c>
      <c r="G208" s="140" t="s">
        <v>942</v>
      </c>
      <c r="J208" s="139">
        <f t="shared" si="3"/>
        <v>1</v>
      </c>
    </row>
    <row r="209" spans="1:10" x14ac:dyDescent="0.25">
      <c r="A209" s="139">
        <v>290</v>
      </c>
      <c r="B209" s="139" t="s">
        <v>484</v>
      </c>
      <c r="C209" s="139" t="s">
        <v>188</v>
      </c>
      <c r="D209" s="139">
        <v>5.7</v>
      </c>
      <c r="E209" s="139">
        <v>7.0000000000000007E-2</v>
      </c>
      <c r="F209" s="139">
        <v>5.7</v>
      </c>
      <c r="G209" s="140">
        <v>6.8990697674418594E-2</v>
      </c>
      <c r="J209" s="139">
        <f t="shared" si="3"/>
        <v>1</v>
      </c>
    </row>
    <row r="210" spans="1:10" x14ac:dyDescent="0.25">
      <c r="A210" s="139">
        <v>291</v>
      </c>
      <c r="B210" s="139" t="s">
        <v>964</v>
      </c>
      <c r="C210" s="139" t="s">
        <v>194</v>
      </c>
      <c r="D210" s="139">
        <v>8.5</v>
      </c>
      <c r="E210" s="139">
        <v>7.5999999999999998E-2</v>
      </c>
      <c r="F210" s="139">
        <v>7.7</v>
      </c>
      <c r="G210" s="140">
        <v>7.9066666666666702E-2</v>
      </c>
      <c r="J210" s="139">
        <f t="shared" si="3"/>
        <v>1</v>
      </c>
    </row>
    <row r="211" spans="1:10" x14ac:dyDescent="0.25">
      <c r="A211" s="139">
        <v>292</v>
      </c>
      <c r="B211" s="139" t="s">
        <v>963</v>
      </c>
      <c r="C211" s="139" t="s">
        <v>194</v>
      </c>
      <c r="D211" s="139">
        <v>5.7</v>
      </c>
      <c r="E211" s="139">
        <v>5.5999999999999994E-2</v>
      </c>
      <c r="F211" s="139" t="s">
        <v>942</v>
      </c>
      <c r="G211" s="140" t="s">
        <v>942</v>
      </c>
      <c r="J211" s="139">
        <f t="shared" si="3"/>
        <v>1</v>
      </c>
    </row>
    <row r="212" spans="1:10" x14ac:dyDescent="0.25">
      <c r="A212" s="139">
        <v>293</v>
      </c>
      <c r="B212" s="139" t="s">
        <v>962</v>
      </c>
      <c r="C212" s="139" t="s">
        <v>188</v>
      </c>
      <c r="D212" s="139">
        <v>5.7</v>
      </c>
      <c r="E212" s="139">
        <v>0.09</v>
      </c>
      <c r="F212" s="139" t="s">
        <v>942</v>
      </c>
      <c r="G212" s="140" t="s">
        <v>942</v>
      </c>
      <c r="J212" s="139">
        <f t="shared" si="3"/>
        <v>1</v>
      </c>
    </row>
    <row r="213" spans="1:10" x14ac:dyDescent="0.25">
      <c r="A213" s="139">
        <v>294</v>
      </c>
      <c r="B213" s="139" t="s">
        <v>961</v>
      </c>
      <c r="C213" s="139" t="s">
        <v>187</v>
      </c>
      <c r="D213" s="139">
        <v>8.5</v>
      </c>
      <c r="E213" s="139">
        <v>0.11</v>
      </c>
      <c r="F213" s="139" t="s">
        <v>942</v>
      </c>
      <c r="G213" s="140" t="s">
        <v>942</v>
      </c>
      <c r="J213" s="139">
        <f t="shared" si="3"/>
        <v>1</v>
      </c>
    </row>
    <row r="214" spans="1:10" x14ac:dyDescent="0.25">
      <c r="A214" s="139">
        <v>403</v>
      </c>
      <c r="B214" s="139" t="s">
        <v>488</v>
      </c>
      <c r="C214" s="139" t="s">
        <v>200</v>
      </c>
      <c r="D214" s="139">
        <v>5.75</v>
      </c>
      <c r="E214" s="139">
        <v>0.11666666666666667</v>
      </c>
      <c r="F214" s="139">
        <v>5.75</v>
      </c>
      <c r="G214" s="140">
        <v>0.116278481012658</v>
      </c>
      <c r="J214" s="139">
        <f t="shared" si="3"/>
        <v>1</v>
      </c>
    </row>
    <row r="215" spans="1:10" x14ac:dyDescent="0.25">
      <c r="A215" s="139">
        <v>404</v>
      </c>
      <c r="B215" s="139" t="s">
        <v>489</v>
      </c>
      <c r="C215" s="139" t="s">
        <v>182</v>
      </c>
      <c r="D215" s="139">
        <v>5.75</v>
      </c>
      <c r="E215" s="139">
        <v>0.11666666666666667</v>
      </c>
      <c r="F215" s="139">
        <v>5.75</v>
      </c>
      <c r="G215" s="140">
        <v>0.114356093344857</v>
      </c>
      <c r="J215" s="139">
        <f t="shared" si="3"/>
        <v>1</v>
      </c>
    </row>
    <row r="216" spans="1:10" x14ac:dyDescent="0.25">
      <c r="A216" s="139">
        <v>405</v>
      </c>
      <c r="B216" s="139" t="s">
        <v>490</v>
      </c>
      <c r="C216" s="139" t="s">
        <v>187</v>
      </c>
      <c r="D216" s="139">
        <v>5.75</v>
      </c>
      <c r="E216" s="139">
        <v>0.11666666666666667</v>
      </c>
      <c r="F216" s="139">
        <v>5.75</v>
      </c>
      <c r="G216" s="140">
        <v>0.11799275362318799</v>
      </c>
      <c r="J216" s="139">
        <f t="shared" si="3"/>
        <v>1</v>
      </c>
    </row>
    <row r="217" spans="1:10" x14ac:dyDescent="0.25">
      <c r="A217" s="139">
        <v>406</v>
      </c>
      <c r="B217" s="139" t="s">
        <v>491</v>
      </c>
      <c r="C217" s="139" t="s">
        <v>182</v>
      </c>
      <c r="D217" s="139">
        <v>11.5</v>
      </c>
      <c r="E217" s="139">
        <v>0.23333333333333334</v>
      </c>
      <c r="F217" s="139">
        <v>11.5</v>
      </c>
      <c r="G217" s="140">
        <v>0.232685185185185</v>
      </c>
      <c r="J217" s="139">
        <f t="shared" si="3"/>
        <v>1</v>
      </c>
    </row>
    <row r="218" spans="1:10" x14ac:dyDescent="0.25">
      <c r="A218" s="139">
        <v>407</v>
      </c>
      <c r="B218" s="139" t="s">
        <v>492</v>
      </c>
      <c r="C218" s="139" t="s">
        <v>187</v>
      </c>
      <c r="D218" s="139">
        <v>11.5</v>
      </c>
      <c r="E218" s="139">
        <v>0.23333333333333334</v>
      </c>
      <c r="F218" s="139">
        <v>11.5</v>
      </c>
      <c r="G218" s="140">
        <v>0.23699999999999999</v>
      </c>
      <c r="J218" s="139">
        <f t="shared" si="3"/>
        <v>1</v>
      </c>
    </row>
    <row r="219" spans="1:10" x14ac:dyDescent="0.25">
      <c r="A219" s="139">
        <v>408</v>
      </c>
      <c r="B219" s="139" t="s">
        <v>493</v>
      </c>
      <c r="C219" s="139" t="s">
        <v>187</v>
      </c>
      <c r="D219" s="139">
        <v>0</v>
      </c>
      <c r="E219" s="139">
        <v>7.3333333333333334E-2</v>
      </c>
      <c r="F219" s="139" t="s">
        <v>942</v>
      </c>
      <c r="G219" s="140" t="s">
        <v>942</v>
      </c>
      <c r="J219" s="139">
        <f t="shared" si="3"/>
        <v>1</v>
      </c>
    </row>
    <row r="220" spans="1:10" x14ac:dyDescent="0.25">
      <c r="A220" s="139">
        <v>409</v>
      </c>
      <c r="B220" s="139" t="s">
        <v>494</v>
      </c>
      <c r="C220" s="139" t="s">
        <v>200</v>
      </c>
      <c r="D220" s="139">
        <v>0</v>
      </c>
      <c r="E220" s="139">
        <v>7.6666666666666661E-2</v>
      </c>
      <c r="F220" s="139" t="s">
        <v>942</v>
      </c>
      <c r="G220" s="140" t="s">
        <v>942</v>
      </c>
      <c r="J220" s="139">
        <f t="shared" si="3"/>
        <v>1</v>
      </c>
    </row>
    <row r="221" spans="1:10" x14ac:dyDescent="0.25">
      <c r="A221" s="139">
        <v>410</v>
      </c>
      <c r="B221" s="139" t="s">
        <v>495</v>
      </c>
      <c r="C221" s="139" t="s">
        <v>188</v>
      </c>
      <c r="D221" s="139">
        <v>0</v>
      </c>
      <c r="E221" s="139">
        <v>7.6666666666666661E-2</v>
      </c>
      <c r="F221" s="139" t="s">
        <v>942</v>
      </c>
      <c r="G221" s="140" t="s">
        <v>942</v>
      </c>
      <c r="J221" s="139">
        <f t="shared" si="3"/>
        <v>1</v>
      </c>
    </row>
    <row r="222" spans="1:10" x14ac:dyDescent="0.25">
      <c r="A222" s="139">
        <v>411</v>
      </c>
      <c r="B222" s="139" t="s">
        <v>496</v>
      </c>
      <c r="C222" s="139" t="s">
        <v>862</v>
      </c>
      <c r="D222" s="139">
        <v>0</v>
      </c>
      <c r="E222" s="139">
        <v>7.6666666666666661E-2</v>
      </c>
      <c r="F222" s="139" t="s">
        <v>942</v>
      </c>
      <c r="G222" s="140" t="s">
        <v>942</v>
      </c>
      <c r="J222" s="139">
        <f t="shared" si="3"/>
        <v>1</v>
      </c>
    </row>
    <row r="223" spans="1:10" x14ac:dyDescent="0.25">
      <c r="A223" s="139">
        <v>412</v>
      </c>
      <c r="B223" s="139" t="s">
        <v>497</v>
      </c>
      <c r="C223" s="139" t="s">
        <v>187</v>
      </c>
      <c r="D223" s="139">
        <v>0</v>
      </c>
      <c r="E223" s="139">
        <v>7.6666666666666661E-2</v>
      </c>
      <c r="F223" s="139" t="s">
        <v>942</v>
      </c>
      <c r="G223" s="140" t="s">
        <v>942</v>
      </c>
      <c r="J223" s="139">
        <f t="shared" si="3"/>
        <v>1</v>
      </c>
    </row>
    <row r="224" spans="1:10" x14ac:dyDescent="0.25">
      <c r="A224" s="139">
        <v>413</v>
      </c>
      <c r="B224" s="139" t="s">
        <v>498</v>
      </c>
      <c r="C224" s="139" t="s">
        <v>867</v>
      </c>
      <c r="D224" s="139">
        <v>0</v>
      </c>
      <c r="E224" s="139">
        <v>6.6666666666666666E-2</v>
      </c>
      <c r="F224" s="139" t="s">
        <v>942</v>
      </c>
      <c r="G224" s="140" t="s">
        <v>942</v>
      </c>
      <c r="J224" s="139">
        <f t="shared" si="3"/>
        <v>1</v>
      </c>
    </row>
    <row r="225" spans="1:10" x14ac:dyDescent="0.25">
      <c r="A225" s="139">
        <v>414</v>
      </c>
      <c r="B225" s="139" t="s">
        <v>499</v>
      </c>
      <c r="C225" s="139" t="s">
        <v>193</v>
      </c>
      <c r="D225" s="139">
        <v>0</v>
      </c>
      <c r="E225" s="139">
        <v>6.6666666666666666E-2</v>
      </c>
      <c r="F225" s="139" t="s">
        <v>942</v>
      </c>
      <c r="G225" s="140" t="s">
        <v>942</v>
      </c>
      <c r="J225" s="139">
        <f t="shared" si="3"/>
        <v>1</v>
      </c>
    </row>
    <row r="226" spans="1:10" x14ac:dyDescent="0.25">
      <c r="A226" s="139">
        <v>415</v>
      </c>
      <c r="B226" s="139" t="s">
        <v>500</v>
      </c>
      <c r="C226" s="139" t="s">
        <v>187</v>
      </c>
      <c r="D226" s="139">
        <v>0</v>
      </c>
      <c r="E226" s="139">
        <v>0.13333333333333333</v>
      </c>
      <c r="F226" s="139" t="s">
        <v>942</v>
      </c>
      <c r="G226" s="140" t="s">
        <v>942</v>
      </c>
      <c r="J226" s="139">
        <f t="shared" si="3"/>
        <v>1</v>
      </c>
    </row>
    <row r="227" spans="1:10" x14ac:dyDescent="0.25">
      <c r="A227" s="139">
        <v>416</v>
      </c>
      <c r="B227" s="139" t="s">
        <v>501</v>
      </c>
      <c r="C227" s="139" t="s">
        <v>200</v>
      </c>
      <c r="D227" s="139">
        <v>0</v>
      </c>
      <c r="E227" s="139">
        <v>0.12000000000000001</v>
      </c>
      <c r="F227" s="139">
        <v>0</v>
      </c>
      <c r="G227" s="140">
        <v>0</v>
      </c>
      <c r="J227" s="139">
        <f t="shared" si="3"/>
        <v>1</v>
      </c>
    </row>
    <row r="228" spans="1:10" x14ac:dyDescent="0.25">
      <c r="A228" s="139">
        <v>417</v>
      </c>
      <c r="B228" s="139" t="s">
        <v>502</v>
      </c>
      <c r="C228" s="139" t="s">
        <v>200</v>
      </c>
      <c r="D228" s="139">
        <v>0</v>
      </c>
      <c r="E228" s="139">
        <v>0.13333333333333333</v>
      </c>
      <c r="F228" s="139" t="s">
        <v>942</v>
      </c>
      <c r="G228" s="140" t="s">
        <v>942</v>
      </c>
      <c r="J228" s="139">
        <f t="shared" si="3"/>
        <v>1</v>
      </c>
    </row>
    <row r="229" spans="1:10" x14ac:dyDescent="0.25">
      <c r="A229" s="139">
        <v>418</v>
      </c>
      <c r="B229" s="139" t="s">
        <v>503</v>
      </c>
      <c r="C229" s="139" t="s">
        <v>182</v>
      </c>
      <c r="D229" s="139">
        <v>6.5</v>
      </c>
      <c r="E229" s="139">
        <v>0.11666666666666667</v>
      </c>
      <c r="F229" s="139">
        <v>6.5</v>
      </c>
      <c r="G229" s="140">
        <v>0.115498800959233</v>
      </c>
      <c r="J229" s="139">
        <f t="shared" si="3"/>
        <v>1</v>
      </c>
    </row>
    <row r="230" spans="1:10" x14ac:dyDescent="0.25">
      <c r="A230" s="139">
        <v>419</v>
      </c>
      <c r="B230" s="139" t="s">
        <v>504</v>
      </c>
      <c r="C230" s="139" t="s">
        <v>187</v>
      </c>
      <c r="D230" s="139">
        <v>6.5</v>
      </c>
      <c r="E230" s="139">
        <v>0.11666666666666667</v>
      </c>
      <c r="F230" s="139">
        <v>6.5</v>
      </c>
      <c r="G230" s="140">
        <v>0.116054750402577</v>
      </c>
      <c r="J230" s="139">
        <f t="shared" si="3"/>
        <v>1</v>
      </c>
    </row>
    <row r="231" spans="1:10" x14ac:dyDescent="0.25">
      <c r="A231" s="139">
        <v>420</v>
      </c>
      <c r="B231" s="139" t="s">
        <v>505</v>
      </c>
      <c r="C231" s="139" t="s">
        <v>200</v>
      </c>
      <c r="D231" s="139">
        <v>7.5</v>
      </c>
      <c r="E231" s="139">
        <v>0.15</v>
      </c>
      <c r="F231" s="139" t="s">
        <v>942</v>
      </c>
      <c r="G231" s="140" t="s">
        <v>942</v>
      </c>
      <c r="J231" s="139">
        <f t="shared" si="3"/>
        <v>1</v>
      </c>
    </row>
    <row r="232" spans="1:10" x14ac:dyDescent="0.25">
      <c r="A232" s="139">
        <v>421</v>
      </c>
      <c r="B232" s="139" t="s">
        <v>506</v>
      </c>
      <c r="C232" s="139" t="s">
        <v>200</v>
      </c>
      <c r="D232" s="139">
        <v>7.5</v>
      </c>
      <c r="E232" s="139">
        <v>0.13333333333333333</v>
      </c>
      <c r="F232" s="139">
        <v>7.5</v>
      </c>
      <c r="G232" s="140">
        <v>0.132622222222222</v>
      </c>
      <c r="J232" s="139">
        <f t="shared" si="3"/>
        <v>1</v>
      </c>
    </row>
    <row r="233" spans="1:10" x14ac:dyDescent="0.25">
      <c r="A233" s="139">
        <v>422</v>
      </c>
      <c r="B233" s="139" t="s">
        <v>507</v>
      </c>
      <c r="C233" s="139" t="s">
        <v>188</v>
      </c>
      <c r="D233" s="139">
        <v>7.5</v>
      </c>
      <c r="E233" s="139">
        <v>0.13333333333333333</v>
      </c>
      <c r="F233" s="139" t="s">
        <v>942</v>
      </c>
      <c r="G233" s="140" t="s">
        <v>942</v>
      </c>
      <c r="J233" s="139">
        <f t="shared" si="3"/>
        <v>1</v>
      </c>
    </row>
    <row r="234" spans="1:10" x14ac:dyDescent="0.25">
      <c r="A234" s="139">
        <v>423</v>
      </c>
      <c r="B234" s="139" t="s">
        <v>508</v>
      </c>
      <c r="C234" s="139" t="s">
        <v>191</v>
      </c>
      <c r="D234" s="139">
        <v>7.5</v>
      </c>
      <c r="E234" s="139">
        <v>0.13333333333333333</v>
      </c>
      <c r="F234" s="139">
        <v>7.5</v>
      </c>
      <c r="G234" s="140">
        <v>0.13369343065693401</v>
      </c>
      <c r="J234" s="139">
        <f t="shared" si="3"/>
        <v>1</v>
      </c>
    </row>
    <row r="235" spans="1:10" x14ac:dyDescent="0.25">
      <c r="A235" s="139">
        <v>424</v>
      </c>
      <c r="B235" s="139" t="s">
        <v>509</v>
      </c>
      <c r="C235" s="139" t="s">
        <v>857</v>
      </c>
      <c r="D235" s="139">
        <v>7.5</v>
      </c>
      <c r="E235" s="139">
        <v>0.13333333333333333</v>
      </c>
      <c r="F235" s="139">
        <v>7.5</v>
      </c>
      <c r="G235" s="140">
        <v>0.13500000000000001</v>
      </c>
      <c r="J235" s="139">
        <f t="shared" si="3"/>
        <v>1</v>
      </c>
    </row>
    <row r="236" spans="1:10" x14ac:dyDescent="0.25">
      <c r="A236" s="139">
        <v>425</v>
      </c>
      <c r="B236" s="139" t="s">
        <v>510</v>
      </c>
      <c r="C236" s="139" t="s">
        <v>202</v>
      </c>
      <c r="D236" s="139">
        <v>7.5</v>
      </c>
      <c r="E236" s="139">
        <v>0.13333333333333333</v>
      </c>
      <c r="F236" s="139" t="s">
        <v>942</v>
      </c>
      <c r="G236" s="140" t="s">
        <v>942</v>
      </c>
      <c r="J236" s="139">
        <f t="shared" si="3"/>
        <v>1</v>
      </c>
    </row>
    <row r="237" spans="1:10" x14ac:dyDescent="0.25">
      <c r="A237" s="139">
        <v>426</v>
      </c>
      <c r="B237" s="139" t="s">
        <v>511</v>
      </c>
      <c r="C237" s="139" t="s">
        <v>199</v>
      </c>
      <c r="D237" s="139">
        <v>7.5</v>
      </c>
      <c r="E237" s="139">
        <v>0.13333333333333333</v>
      </c>
      <c r="F237" s="139">
        <v>7.5</v>
      </c>
      <c r="G237" s="140">
        <v>0.130333333333333</v>
      </c>
      <c r="J237" s="139">
        <f t="shared" si="3"/>
        <v>2</v>
      </c>
    </row>
    <row r="238" spans="1:10" x14ac:dyDescent="0.25">
      <c r="A238" s="139">
        <v>426</v>
      </c>
      <c r="B238" s="139" t="s">
        <v>512</v>
      </c>
      <c r="C238" s="139" t="s">
        <v>199</v>
      </c>
      <c r="D238" s="139">
        <v>7.5</v>
      </c>
      <c r="E238" s="139">
        <v>0.17499999999999999</v>
      </c>
      <c r="F238" s="139">
        <v>7.5</v>
      </c>
      <c r="G238" s="140">
        <v>0.130333333333333</v>
      </c>
      <c r="J238" s="139">
        <f t="shared" si="3"/>
        <v>2</v>
      </c>
    </row>
    <row r="239" spans="1:10" x14ac:dyDescent="0.25">
      <c r="A239" s="139">
        <v>428</v>
      </c>
      <c r="B239" s="139" t="s">
        <v>513</v>
      </c>
      <c r="C239" s="139" t="s">
        <v>187</v>
      </c>
      <c r="D239" s="139">
        <v>7.5</v>
      </c>
      <c r="E239" s="139">
        <v>0.13333333333333333</v>
      </c>
      <c r="F239" s="139">
        <v>7.5</v>
      </c>
      <c r="G239" s="140">
        <v>0.13800000000000001</v>
      </c>
      <c r="J239" s="139">
        <f t="shared" si="3"/>
        <v>1</v>
      </c>
    </row>
    <row r="240" spans="1:10" x14ac:dyDescent="0.25">
      <c r="A240" s="139">
        <v>429</v>
      </c>
      <c r="B240" s="139" t="s">
        <v>514</v>
      </c>
      <c r="C240" s="139" t="s">
        <v>182</v>
      </c>
      <c r="D240" s="139">
        <v>13</v>
      </c>
      <c r="E240" s="139">
        <v>0.23333333333333334</v>
      </c>
      <c r="F240" s="139">
        <v>13</v>
      </c>
      <c r="G240" s="140">
        <v>0.23458333333333301</v>
      </c>
      <c r="J240" s="139">
        <f t="shared" si="3"/>
        <v>1</v>
      </c>
    </row>
    <row r="241" spans="1:10" x14ac:dyDescent="0.25">
      <c r="A241" s="139">
        <v>430</v>
      </c>
      <c r="B241" s="139" t="s">
        <v>515</v>
      </c>
      <c r="C241" s="139" t="s">
        <v>200</v>
      </c>
      <c r="D241" s="139">
        <v>6</v>
      </c>
      <c r="E241" s="139">
        <v>7.3333333333333334E-2</v>
      </c>
      <c r="F241" s="139">
        <v>6</v>
      </c>
      <c r="G241" s="140">
        <v>7.5216666666666696E-2</v>
      </c>
      <c r="J241" s="139">
        <f t="shared" si="3"/>
        <v>1</v>
      </c>
    </row>
    <row r="242" spans="1:10" x14ac:dyDescent="0.25">
      <c r="A242" s="139">
        <v>431</v>
      </c>
      <c r="B242" s="139" t="s">
        <v>516</v>
      </c>
      <c r="C242" s="139" t="s">
        <v>862</v>
      </c>
      <c r="D242" s="139">
        <v>5.75</v>
      </c>
      <c r="E242" s="139">
        <v>8.3333333333333329E-2</v>
      </c>
      <c r="F242" s="139" t="s">
        <v>942</v>
      </c>
      <c r="G242" s="140" t="s">
        <v>942</v>
      </c>
      <c r="J242" s="139">
        <f t="shared" si="3"/>
        <v>1</v>
      </c>
    </row>
    <row r="243" spans="1:10" x14ac:dyDescent="0.25">
      <c r="A243" s="139">
        <v>432</v>
      </c>
      <c r="B243" s="139" t="s">
        <v>517</v>
      </c>
      <c r="C243" s="139" t="s">
        <v>182</v>
      </c>
      <c r="D243" s="139">
        <v>5.75</v>
      </c>
      <c r="E243" s="139">
        <v>8.3333333333333329E-2</v>
      </c>
      <c r="F243" s="139">
        <v>5.75</v>
      </c>
      <c r="G243" s="140">
        <v>8.6805555555555594E-2</v>
      </c>
      <c r="J243" s="139">
        <f t="shared" si="3"/>
        <v>1</v>
      </c>
    </row>
    <row r="244" spans="1:10" x14ac:dyDescent="0.25">
      <c r="A244" s="139">
        <v>433</v>
      </c>
      <c r="B244" s="139" t="s">
        <v>518</v>
      </c>
      <c r="C244" s="139" t="s">
        <v>858</v>
      </c>
      <c r="D244" s="139">
        <v>5.75</v>
      </c>
      <c r="E244" s="139">
        <v>8.3333333333333329E-2</v>
      </c>
      <c r="F244" s="139">
        <v>5.75</v>
      </c>
      <c r="G244" s="140">
        <v>8.1666666666666707E-2</v>
      </c>
      <c r="J244" s="139">
        <f t="shared" si="3"/>
        <v>1</v>
      </c>
    </row>
    <row r="245" spans="1:10" x14ac:dyDescent="0.25">
      <c r="A245" s="139">
        <v>434</v>
      </c>
      <c r="B245" s="139" t="s">
        <v>519</v>
      </c>
      <c r="C245" s="139" t="s">
        <v>859</v>
      </c>
      <c r="D245" s="139">
        <v>5.75</v>
      </c>
      <c r="E245" s="139">
        <v>8.3333333333333329E-2</v>
      </c>
      <c r="F245" s="139">
        <v>5.75</v>
      </c>
      <c r="G245" s="140">
        <v>9.1249999999999998E-2</v>
      </c>
      <c r="J245" s="139">
        <f t="shared" si="3"/>
        <v>1</v>
      </c>
    </row>
    <row r="246" spans="1:10" x14ac:dyDescent="0.25">
      <c r="A246" s="139">
        <v>435</v>
      </c>
      <c r="B246" s="139" t="s">
        <v>520</v>
      </c>
      <c r="C246" s="139" t="s">
        <v>185</v>
      </c>
      <c r="D246" s="139">
        <v>5.75</v>
      </c>
      <c r="E246" s="139">
        <v>8.3333333333333329E-2</v>
      </c>
      <c r="F246" s="139">
        <v>5.75</v>
      </c>
      <c r="G246" s="140">
        <v>8.6666666666666697E-2</v>
      </c>
      <c r="J246" s="139">
        <f t="shared" si="3"/>
        <v>1</v>
      </c>
    </row>
    <row r="247" spans="1:10" x14ac:dyDescent="0.25">
      <c r="A247" s="139">
        <v>436</v>
      </c>
      <c r="B247" s="139" t="s">
        <v>521</v>
      </c>
      <c r="C247" s="139" t="s">
        <v>960</v>
      </c>
      <c r="D247" s="139">
        <v>13</v>
      </c>
      <c r="E247" s="139">
        <v>0.255</v>
      </c>
      <c r="F247" s="139" t="s">
        <v>942</v>
      </c>
      <c r="G247" s="140" t="s">
        <v>942</v>
      </c>
      <c r="J247" s="139">
        <f t="shared" si="3"/>
        <v>1</v>
      </c>
    </row>
    <row r="248" spans="1:10" x14ac:dyDescent="0.25">
      <c r="A248" s="139">
        <v>437</v>
      </c>
      <c r="B248" s="139" t="s">
        <v>522</v>
      </c>
      <c r="C248" s="139" t="s">
        <v>202</v>
      </c>
      <c r="D248" s="139">
        <v>13</v>
      </c>
      <c r="E248" s="139">
        <v>0.24000000000000002</v>
      </c>
      <c r="F248" s="139">
        <v>13</v>
      </c>
      <c r="G248" s="140">
        <v>0.24139506172839501</v>
      </c>
      <c r="J248" s="139">
        <f t="shared" si="3"/>
        <v>1</v>
      </c>
    </row>
    <row r="249" spans="1:10" x14ac:dyDescent="0.25">
      <c r="A249" s="139">
        <v>438</v>
      </c>
      <c r="B249" s="139" t="s">
        <v>523</v>
      </c>
      <c r="C249" s="139" t="s">
        <v>199</v>
      </c>
      <c r="D249" s="139">
        <v>13</v>
      </c>
      <c r="E249" s="139">
        <v>0.21666666666666667</v>
      </c>
      <c r="F249" s="139">
        <v>13</v>
      </c>
      <c r="G249" s="140">
        <v>0.23072149122807001</v>
      </c>
      <c r="J249" s="139">
        <f t="shared" si="3"/>
        <v>1</v>
      </c>
    </row>
    <row r="250" spans="1:10" x14ac:dyDescent="0.25">
      <c r="A250" s="139">
        <v>439</v>
      </c>
      <c r="B250" s="139" t="s">
        <v>524</v>
      </c>
      <c r="C250" s="139" t="s">
        <v>187</v>
      </c>
      <c r="D250" s="139">
        <v>13</v>
      </c>
      <c r="E250" s="139">
        <v>0.24000000000000002</v>
      </c>
      <c r="F250" s="139">
        <v>13</v>
      </c>
      <c r="G250" s="140">
        <v>0.241213689962611</v>
      </c>
      <c r="J250" s="139">
        <f t="shared" si="3"/>
        <v>1</v>
      </c>
    </row>
    <row r="251" spans="1:10" x14ac:dyDescent="0.25">
      <c r="A251" s="139">
        <v>440</v>
      </c>
      <c r="B251" s="139" t="s">
        <v>525</v>
      </c>
      <c r="C251" s="139" t="s">
        <v>187</v>
      </c>
      <c r="D251" s="139">
        <v>0</v>
      </c>
      <c r="E251" s="139">
        <v>4.3333333333333335E-2</v>
      </c>
      <c r="F251" s="139" t="s">
        <v>942</v>
      </c>
      <c r="G251" s="140" t="s">
        <v>942</v>
      </c>
      <c r="J251" s="139">
        <f t="shared" si="3"/>
        <v>1</v>
      </c>
    </row>
    <row r="252" spans="1:10" x14ac:dyDescent="0.25">
      <c r="A252" s="139">
        <v>441</v>
      </c>
      <c r="B252" s="139" t="s">
        <v>526</v>
      </c>
      <c r="C252" s="139" t="s">
        <v>187</v>
      </c>
      <c r="D252" s="139">
        <v>3.4</v>
      </c>
      <c r="E252" s="139">
        <v>0.05</v>
      </c>
      <c r="F252" s="139">
        <v>3.4</v>
      </c>
      <c r="G252" s="140">
        <v>1</v>
      </c>
      <c r="J252" s="139">
        <f t="shared" si="3"/>
        <v>1</v>
      </c>
    </row>
    <row r="253" spans="1:10" x14ac:dyDescent="0.25">
      <c r="A253" s="139">
        <v>442</v>
      </c>
      <c r="B253" s="139" t="s">
        <v>527</v>
      </c>
      <c r="C253" s="139" t="s">
        <v>187</v>
      </c>
      <c r="D253" s="139">
        <v>0</v>
      </c>
      <c r="E253" s="139">
        <v>5.3333333333333337E-2</v>
      </c>
      <c r="F253" s="139" t="s">
        <v>942</v>
      </c>
      <c r="G253" s="140" t="s">
        <v>942</v>
      </c>
      <c r="J253" s="139">
        <f t="shared" si="3"/>
        <v>1</v>
      </c>
    </row>
    <row r="254" spans="1:10" x14ac:dyDescent="0.25">
      <c r="A254" s="139">
        <v>443</v>
      </c>
      <c r="B254" s="139" t="s">
        <v>528</v>
      </c>
      <c r="C254" s="139" t="s">
        <v>187</v>
      </c>
      <c r="D254" s="139">
        <v>0</v>
      </c>
      <c r="E254" s="139">
        <v>6.0000000000000005E-2</v>
      </c>
      <c r="F254" s="139" t="s">
        <v>942</v>
      </c>
      <c r="G254" s="140" t="s">
        <v>942</v>
      </c>
      <c r="J254" s="139">
        <f t="shared" si="3"/>
        <v>1</v>
      </c>
    </row>
    <row r="255" spans="1:10" x14ac:dyDescent="0.25">
      <c r="A255" s="139">
        <v>444</v>
      </c>
      <c r="B255" s="139" t="s">
        <v>529</v>
      </c>
      <c r="C255" s="139" t="s">
        <v>187</v>
      </c>
      <c r="D255" s="139">
        <v>5</v>
      </c>
      <c r="E255" s="139">
        <v>7.6666666666666661E-2</v>
      </c>
      <c r="F255" s="139">
        <v>5</v>
      </c>
      <c r="G255" s="140">
        <v>7.4986666666666701E-2</v>
      </c>
      <c r="J255" s="139">
        <f t="shared" si="3"/>
        <v>1</v>
      </c>
    </row>
    <row r="256" spans="1:10" x14ac:dyDescent="0.25">
      <c r="A256" s="139">
        <v>445</v>
      </c>
      <c r="B256" s="139" t="s">
        <v>530</v>
      </c>
      <c r="C256" s="139" t="s">
        <v>200</v>
      </c>
      <c r="D256" s="139">
        <v>6</v>
      </c>
      <c r="E256" s="139">
        <v>8.3333333333333329E-2</v>
      </c>
      <c r="F256" s="139">
        <v>6</v>
      </c>
      <c r="G256" s="140">
        <v>8.2414277180406198E-2</v>
      </c>
      <c r="J256" s="139">
        <f t="shared" si="3"/>
        <v>1</v>
      </c>
    </row>
    <row r="257" spans="1:10" x14ac:dyDescent="0.25">
      <c r="A257" s="139">
        <v>446</v>
      </c>
      <c r="B257" s="139" t="s">
        <v>531</v>
      </c>
      <c r="C257" s="139" t="s">
        <v>182</v>
      </c>
      <c r="D257" s="139">
        <v>6</v>
      </c>
      <c r="E257" s="139">
        <v>8.3333333333333329E-2</v>
      </c>
      <c r="F257" s="139">
        <v>6</v>
      </c>
      <c r="G257" s="140">
        <v>8.3899516908212596E-2</v>
      </c>
      <c r="J257" s="139">
        <f t="shared" si="3"/>
        <v>1</v>
      </c>
    </row>
    <row r="258" spans="1:10" x14ac:dyDescent="0.25">
      <c r="A258" s="139">
        <v>447</v>
      </c>
      <c r="B258" s="139" t="s">
        <v>532</v>
      </c>
      <c r="C258" s="139" t="s">
        <v>188</v>
      </c>
      <c r="D258" s="139">
        <v>6</v>
      </c>
      <c r="E258" s="139">
        <v>8.3333333333333329E-2</v>
      </c>
      <c r="F258" s="139">
        <v>6</v>
      </c>
      <c r="G258" s="140">
        <v>8.2553030303030295E-2</v>
      </c>
      <c r="J258" s="139">
        <f t="shared" si="3"/>
        <v>1</v>
      </c>
    </row>
    <row r="259" spans="1:10" x14ac:dyDescent="0.25">
      <c r="A259" s="139">
        <v>448</v>
      </c>
      <c r="B259" s="139" t="s">
        <v>533</v>
      </c>
      <c r="C259" s="139" t="s">
        <v>869</v>
      </c>
      <c r="D259" s="139">
        <v>6</v>
      </c>
      <c r="E259" s="139">
        <v>8.3333333333333329E-2</v>
      </c>
      <c r="F259" s="139" t="s">
        <v>942</v>
      </c>
      <c r="G259" s="140" t="s">
        <v>942</v>
      </c>
      <c r="J259" s="139">
        <f t="shared" ref="J259:J322" si="4">COUNTIF(A:A,A259)</f>
        <v>1</v>
      </c>
    </row>
    <row r="260" spans="1:10" x14ac:dyDescent="0.25">
      <c r="A260" s="139">
        <v>449</v>
      </c>
      <c r="B260" s="139" t="s">
        <v>534</v>
      </c>
      <c r="C260" s="139" t="s">
        <v>204</v>
      </c>
      <c r="D260" s="139">
        <v>6</v>
      </c>
      <c r="E260" s="139">
        <v>8.3333333333333329E-2</v>
      </c>
      <c r="F260" s="139" t="s">
        <v>942</v>
      </c>
      <c r="G260" s="140" t="s">
        <v>942</v>
      </c>
      <c r="J260" s="139">
        <f t="shared" si="4"/>
        <v>1</v>
      </c>
    </row>
    <row r="261" spans="1:10" x14ac:dyDescent="0.25">
      <c r="A261" s="139">
        <v>450</v>
      </c>
      <c r="B261" s="139" t="s">
        <v>535</v>
      </c>
      <c r="C261" s="139" t="s">
        <v>862</v>
      </c>
      <c r="D261" s="139">
        <v>6</v>
      </c>
      <c r="E261" s="139">
        <v>8.3333333333333329E-2</v>
      </c>
      <c r="F261" s="139">
        <v>6</v>
      </c>
      <c r="G261" s="140">
        <v>8.9383141762452101E-2</v>
      </c>
      <c r="J261" s="139">
        <f t="shared" si="4"/>
        <v>1</v>
      </c>
    </row>
    <row r="262" spans="1:10" x14ac:dyDescent="0.25">
      <c r="A262" s="139">
        <v>451</v>
      </c>
      <c r="B262" s="139" t="s">
        <v>536</v>
      </c>
      <c r="C262" s="139" t="s">
        <v>863</v>
      </c>
      <c r="D262" s="139">
        <v>6</v>
      </c>
      <c r="E262" s="139">
        <v>8.3333333333333329E-2</v>
      </c>
      <c r="F262" s="139">
        <v>6</v>
      </c>
      <c r="G262" s="140">
        <v>7.9495301153353307E-2</v>
      </c>
      <c r="J262" s="139">
        <f t="shared" si="4"/>
        <v>1</v>
      </c>
    </row>
    <row r="263" spans="1:10" x14ac:dyDescent="0.25">
      <c r="A263" s="139">
        <v>452</v>
      </c>
      <c r="B263" s="139" t="s">
        <v>537</v>
      </c>
      <c r="C263" s="139" t="s">
        <v>955</v>
      </c>
      <c r="D263" s="139">
        <v>6</v>
      </c>
      <c r="E263" s="139">
        <v>8.3333333333333329E-2</v>
      </c>
      <c r="F263" s="139" t="s">
        <v>942</v>
      </c>
      <c r="G263" s="140" t="s">
        <v>942</v>
      </c>
      <c r="J263" s="139">
        <f t="shared" si="4"/>
        <v>1</v>
      </c>
    </row>
    <row r="264" spans="1:10" x14ac:dyDescent="0.25">
      <c r="A264" s="139">
        <v>453</v>
      </c>
      <c r="B264" s="139" t="s">
        <v>538</v>
      </c>
      <c r="C264" s="139" t="s">
        <v>185</v>
      </c>
      <c r="D264" s="139">
        <v>6</v>
      </c>
      <c r="E264" s="139">
        <v>8.3333333333333329E-2</v>
      </c>
      <c r="F264" s="139">
        <v>6</v>
      </c>
      <c r="G264" s="140">
        <v>8.81333333333333E-2</v>
      </c>
      <c r="J264" s="139">
        <f t="shared" si="4"/>
        <v>1</v>
      </c>
    </row>
    <row r="265" spans="1:10" x14ac:dyDescent="0.25">
      <c r="A265" s="139">
        <v>454</v>
      </c>
      <c r="B265" s="139" t="s">
        <v>539</v>
      </c>
      <c r="C265" s="139" t="s">
        <v>187</v>
      </c>
      <c r="D265" s="139">
        <v>6</v>
      </c>
      <c r="E265" s="139">
        <v>8.3333333333333329E-2</v>
      </c>
      <c r="F265" s="139">
        <v>6</v>
      </c>
      <c r="G265" s="140">
        <v>8.8795750758793104E-2</v>
      </c>
      <c r="J265" s="139">
        <f t="shared" si="4"/>
        <v>1</v>
      </c>
    </row>
    <row r="266" spans="1:10" x14ac:dyDescent="0.25">
      <c r="A266" s="139">
        <v>455</v>
      </c>
      <c r="B266" s="139" t="s">
        <v>540</v>
      </c>
      <c r="C266" s="139" t="s">
        <v>205</v>
      </c>
      <c r="D266" s="139">
        <v>6</v>
      </c>
      <c r="E266" s="139">
        <v>8.3333333333333329E-2</v>
      </c>
      <c r="F266" s="139" t="s">
        <v>942</v>
      </c>
      <c r="G266" s="140" t="s">
        <v>942</v>
      </c>
      <c r="J266" s="139">
        <f t="shared" si="4"/>
        <v>1</v>
      </c>
    </row>
    <row r="267" spans="1:10" x14ac:dyDescent="0.25">
      <c r="A267" s="139">
        <v>456</v>
      </c>
      <c r="B267" s="139" t="s">
        <v>541</v>
      </c>
      <c r="C267" s="139" t="s">
        <v>200</v>
      </c>
      <c r="D267" s="139">
        <v>5.75</v>
      </c>
      <c r="E267" s="139">
        <v>0.1</v>
      </c>
      <c r="F267" s="139">
        <v>5.75</v>
      </c>
      <c r="G267" s="140">
        <v>0.102662337662338</v>
      </c>
      <c r="J267" s="139">
        <f t="shared" si="4"/>
        <v>1</v>
      </c>
    </row>
    <row r="268" spans="1:10" x14ac:dyDescent="0.25">
      <c r="A268" s="139">
        <v>457</v>
      </c>
      <c r="B268" s="139" t="s">
        <v>542</v>
      </c>
      <c r="C268" s="139" t="s">
        <v>182</v>
      </c>
      <c r="D268" s="139">
        <v>5.75</v>
      </c>
      <c r="E268" s="139">
        <v>0.1</v>
      </c>
      <c r="F268" s="139">
        <v>5.75</v>
      </c>
      <c r="G268" s="140">
        <v>0.100302904564315</v>
      </c>
      <c r="J268" s="139">
        <f t="shared" si="4"/>
        <v>1</v>
      </c>
    </row>
    <row r="269" spans="1:10" x14ac:dyDescent="0.25">
      <c r="A269" s="139">
        <v>458</v>
      </c>
      <c r="B269" s="139" t="s">
        <v>543</v>
      </c>
      <c r="C269" s="139" t="s">
        <v>858</v>
      </c>
      <c r="D269" s="139">
        <v>5.75</v>
      </c>
      <c r="E269" s="139">
        <v>0.1</v>
      </c>
      <c r="F269" s="139">
        <v>5.75</v>
      </c>
      <c r="G269" s="140">
        <v>9.8459218463152406E-2</v>
      </c>
      <c r="J269" s="139">
        <f t="shared" si="4"/>
        <v>1</v>
      </c>
    </row>
    <row r="270" spans="1:10" x14ac:dyDescent="0.25">
      <c r="A270" s="139">
        <v>459</v>
      </c>
      <c r="B270" s="139" t="s">
        <v>544</v>
      </c>
      <c r="C270" s="139" t="s">
        <v>188</v>
      </c>
      <c r="D270" s="139">
        <v>5.75</v>
      </c>
      <c r="E270" s="139">
        <v>0.1</v>
      </c>
      <c r="F270" s="139">
        <v>5.75</v>
      </c>
      <c r="G270" s="140">
        <v>9.9565340909090902E-2</v>
      </c>
      <c r="J270" s="139">
        <f t="shared" si="4"/>
        <v>1</v>
      </c>
    </row>
    <row r="271" spans="1:10" x14ac:dyDescent="0.25">
      <c r="A271" s="139">
        <v>460</v>
      </c>
      <c r="B271" s="139" t="s">
        <v>545</v>
      </c>
      <c r="C271" s="139" t="s">
        <v>191</v>
      </c>
      <c r="D271" s="139">
        <v>5.75</v>
      </c>
      <c r="E271" s="139">
        <v>0.1</v>
      </c>
      <c r="F271" s="139">
        <v>5.75</v>
      </c>
      <c r="G271" s="140">
        <v>0.101742785730516</v>
      </c>
      <c r="J271" s="139">
        <f t="shared" si="4"/>
        <v>1</v>
      </c>
    </row>
    <row r="272" spans="1:10" x14ac:dyDescent="0.25">
      <c r="A272" s="139">
        <v>461</v>
      </c>
      <c r="B272" s="139" t="s">
        <v>546</v>
      </c>
      <c r="C272" s="139" t="s">
        <v>869</v>
      </c>
      <c r="D272" s="139">
        <v>5.75</v>
      </c>
      <c r="E272" s="139">
        <v>0.1</v>
      </c>
      <c r="F272" s="139" t="s">
        <v>942</v>
      </c>
      <c r="G272" s="140" t="s">
        <v>942</v>
      </c>
      <c r="J272" s="139">
        <f t="shared" si="4"/>
        <v>1</v>
      </c>
    </row>
    <row r="273" spans="1:10" x14ac:dyDescent="0.25">
      <c r="A273" s="139">
        <v>462</v>
      </c>
      <c r="B273" s="139" t="s">
        <v>547</v>
      </c>
      <c r="C273" s="139" t="s">
        <v>857</v>
      </c>
      <c r="D273" s="139">
        <v>5.75</v>
      </c>
      <c r="E273" s="139">
        <v>0.1</v>
      </c>
      <c r="F273" s="139" t="s">
        <v>942</v>
      </c>
      <c r="G273" s="140" t="s">
        <v>942</v>
      </c>
      <c r="J273" s="139">
        <f t="shared" si="4"/>
        <v>1</v>
      </c>
    </row>
    <row r="274" spans="1:10" x14ac:dyDescent="0.25">
      <c r="A274" s="139">
        <v>463</v>
      </c>
      <c r="B274" s="139" t="s">
        <v>548</v>
      </c>
      <c r="C274" s="139" t="s">
        <v>204</v>
      </c>
      <c r="D274" s="139">
        <v>5.75</v>
      </c>
      <c r="E274" s="139">
        <v>0.1</v>
      </c>
      <c r="F274" s="139" t="s">
        <v>942</v>
      </c>
      <c r="G274" s="140" t="s">
        <v>942</v>
      </c>
      <c r="J274" s="139">
        <f t="shared" si="4"/>
        <v>1</v>
      </c>
    </row>
    <row r="275" spans="1:10" x14ac:dyDescent="0.25">
      <c r="A275" s="139">
        <v>464</v>
      </c>
      <c r="B275" s="139" t="s">
        <v>549</v>
      </c>
      <c r="C275" s="139" t="s">
        <v>959</v>
      </c>
      <c r="D275" s="139">
        <v>5.75</v>
      </c>
      <c r="E275" s="139">
        <v>0.1</v>
      </c>
      <c r="F275" s="139" t="s">
        <v>942</v>
      </c>
      <c r="G275" s="140" t="s">
        <v>942</v>
      </c>
      <c r="J275" s="139">
        <f t="shared" si="4"/>
        <v>1</v>
      </c>
    </row>
    <row r="276" spans="1:10" x14ac:dyDescent="0.25">
      <c r="A276" s="139">
        <v>465</v>
      </c>
      <c r="B276" s="139" t="s">
        <v>550</v>
      </c>
      <c r="C276" s="139" t="s">
        <v>875</v>
      </c>
      <c r="D276" s="139">
        <v>5.75</v>
      </c>
      <c r="E276" s="139">
        <v>0.1</v>
      </c>
      <c r="F276" s="139" t="s">
        <v>942</v>
      </c>
      <c r="G276" s="140" t="s">
        <v>942</v>
      </c>
      <c r="J276" s="139">
        <f t="shared" si="4"/>
        <v>1</v>
      </c>
    </row>
    <row r="277" spans="1:10" x14ac:dyDescent="0.25">
      <c r="A277" s="139">
        <v>466</v>
      </c>
      <c r="B277" s="139" t="s">
        <v>551</v>
      </c>
      <c r="C277" s="139" t="s">
        <v>859</v>
      </c>
      <c r="D277" s="139">
        <v>5.75</v>
      </c>
      <c r="E277" s="139">
        <v>0.1</v>
      </c>
      <c r="F277" s="139">
        <v>5.75</v>
      </c>
      <c r="G277" s="140">
        <v>9.4666666666666704E-2</v>
      </c>
      <c r="J277" s="139">
        <f t="shared" si="4"/>
        <v>1</v>
      </c>
    </row>
    <row r="278" spans="1:10" x14ac:dyDescent="0.25">
      <c r="A278" s="139">
        <v>467</v>
      </c>
      <c r="B278" s="139" t="s">
        <v>552</v>
      </c>
      <c r="C278" s="139" t="s">
        <v>185</v>
      </c>
      <c r="D278" s="139">
        <v>5.75</v>
      </c>
      <c r="E278" s="139">
        <v>0.1</v>
      </c>
      <c r="F278" s="139" t="s">
        <v>942</v>
      </c>
      <c r="G278" s="140" t="s">
        <v>942</v>
      </c>
      <c r="J278" s="139">
        <f t="shared" si="4"/>
        <v>1</v>
      </c>
    </row>
    <row r="279" spans="1:10" x14ac:dyDescent="0.25">
      <c r="A279" s="139">
        <v>468</v>
      </c>
      <c r="B279" s="139" t="s">
        <v>553</v>
      </c>
      <c r="C279" s="139" t="s">
        <v>187</v>
      </c>
      <c r="D279" s="139">
        <v>5.75</v>
      </c>
      <c r="E279" s="139">
        <v>0.1</v>
      </c>
      <c r="F279" s="139">
        <v>5.75</v>
      </c>
      <c r="G279" s="140">
        <v>0.10056971014492801</v>
      </c>
      <c r="J279" s="139">
        <f t="shared" si="4"/>
        <v>1</v>
      </c>
    </row>
    <row r="280" spans="1:10" x14ac:dyDescent="0.25">
      <c r="A280" s="139">
        <v>469</v>
      </c>
      <c r="B280" s="139" t="s">
        <v>554</v>
      </c>
      <c r="C280" s="139" t="s">
        <v>200</v>
      </c>
      <c r="D280" s="139">
        <v>6.75</v>
      </c>
      <c r="E280" s="139">
        <v>0.12000000000000001</v>
      </c>
      <c r="F280" s="139">
        <v>6.75</v>
      </c>
      <c r="G280" s="140">
        <v>0.122735042735043</v>
      </c>
      <c r="J280" s="139">
        <f t="shared" si="4"/>
        <v>1</v>
      </c>
    </row>
    <row r="281" spans="1:10" x14ac:dyDescent="0.25">
      <c r="A281" s="139">
        <v>470</v>
      </c>
      <c r="B281" s="139" t="s">
        <v>555</v>
      </c>
      <c r="C281" s="139" t="s">
        <v>182</v>
      </c>
      <c r="D281" s="139">
        <v>6.75</v>
      </c>
      <c r="E281" s="139">
        <v>0.12000000000000001</v>
      </c>
      <c r="F281" s="139">
        <v>6.75</v>
      </c>
      <c r="G281" s="140">
        <v>0.125510569523237</v>
      </c>
      <c r="J281" s="139">
        <f t="shared" si="4"/>
        <v>2</v>
      </c>
    </row>
    <row r="282" spans="1:10" x14ac:dyDescent="0.25">
      <c r="A282" s="139">
        <v>470</v>
      </c>
      <c r="B282" s="139" t="s">
        <v>559</v>
      </c>
      <c r="C282" s="139" t="s">
        <v>199</v>
      </c>
      <c r="D282" s="139">
        <v>6.75</v>
      </c>
      <c r="E282" s="139">
        <v>0.10666666666666667</v>
      </c>
      <c r="F282" s="139">
        <v>6.75</v>
      </c>
      <c r="G282" s="140">
        <v>0.125510569523237</v>
      </c>
      <c r="J282" s="139">
        <f t="shared" si="4"/>
        <v>2</v>
      </c>
    </row>
    <row r="283" spans="1:10" x14ac:dyDescent="0.25">
      <c r="A283" s="139">
        <v>471</v>
      </c>
      <c r="B283" s="139" t="s">
        <v>556</v>
      </c>
      <c r="C283" s="139" t="s">
        <v>858</v>
      </c>
      <c r="D283" s="139">
        <v>6.75</v>
      </c>
      <c r="E283" s="139">
        <v>0.12000000000000001</v>
      </c>
      <c r="F283" s="139">
        <v>6.75</v>
      </c>
      <c r="G283" s="140">
        <v>0.12442672741078201</v>
      </c>
      <c r="J283" s="139">
        <f t="shared" si="4"/>
        <v>1</v>
      </c>
    </row>
    <row r="284" spans="1:10" x14ac:dyDescent="0.25">
      <c r="A284" s="139">
        <v>472</v>
      </c>
      <c r="B284" s="139" t="s">
        <v>557</v>
      </c>
      <c r="C284" s="139" t="s">
        <v>188</v>
      </c>
      <c r="D284" s="139">
        <v>6.75</v>
      </c>
      <c r="E284" s="139">
        <v>0.12000000000000001</v>
      </c>
      <c r="F284" s="139">
        <v>6.75</v>
      </c>
      <c r="G284" s="140">
        <v>0.12576346970713201</v>
      </c>
      <c r="J284" s="139">
        <f t="shared" si="4"/>
        <v>1</v>
      </c>
    </row>
    <row r="285" spans="1:10" x14ac:dyDescent="0.25">
      <c r="A285" s="139">
        <v>473</v>
      </c>
      <c r="B285" s="139" t="s">
        <v>558</v>
      </c>
      <c r="C285" s="139" t="s">
        <v>191</v>
      </c>
      <c r="D285" s="139">
        <v>6.75</v>
      </c>
      <c r="E285" s="139">
        <v>0.14000000000000001</v>
      </c>
      <c r="F285" s="139" t="s">
        <v>942</v>
      </c>
      <c r="G285" s="140" t="s">
        <v>942</v>
      </c>
      <c r="J285" s="139">
        <f t="shared" si="4"/>
        <v>1</v>
      </c>
    </row>
    <row r="286" spans="1:10" x14ac:dyDescent="0.25">
      <c r="A286" s="139">
        <v>475</v>
      </c>
      <c r="B286" s="139" t="s">
        <v>560</v>
      </c>
      <c r="C286" s="139" t="s">
        <v>187</v>
      </c>
      <c r="D286" s="139">
        <v>6.75</v>
      </c>
      <c r="E286" s="139">
        <v>0.12333333333333334</v>
      </c>
      <c r="F286" s="139">
        <v>6.75</v>
      </c>
      <c r="G286" s="140">
        <v>0.121947242206235</v>
      </c>
      <c r="J286" s="139">
        <f t="shared" si="4"/>
        <v>1</v>
      </c>
    </row>
    <row r="287" spans="1:10" x14ac:dyDescent="0.25">
      <c r="A287" s="139">
        <v>476</v>
      </c>
      <c r="B287" s="139" t="s">
        <v>561</v>
      </c>
      <c r="C287" s="139" t="s">
        <v>187</v>
      </c>
      <c r="D287" s="139">
        <v>6.75</v>
      </c>
      <c r="E287" s="139">
        <v>0.14000000000000001</v>
      </c>
      <c r="F287" s="139" t="s">
        <v>942</v>
      </c>
      <c r="G287" s="140" t="s">
        <v>942</v>
      </c>
      <c r="J287" s="139">
        <f t="shared" si="4"/>
        <v>1</v>
      </c>
    </row>
    <row r="288" spans="1:10" x14ac:dyDescent="0.25">
      <c r="A288" s="139">
        <v>477</v>
      </c>
      <c r="B288" s="139" t="s">
        <v>562</v>
      </c>
      <c r="C288" s="139" t="s">
        <v>187</v>
      </c>
      <c r="D288" s="139">
        <v>9.5</v>
      </c>
      <c r="E288" s="139">
        <v>0.14333333333333334</v>
      </c>
      <c r="F288" s="139" t="s">
        <v>942</v>
      </c>
      <c r="G288" s="140" t="s">
        <v>942</v>
      </c>
      <c r="J288" s="139">
        <f t="shared" si="4"/>
        <v>1</v>
      </c>
    </row>
    <row r="289" spans="1:10" x14ac:dyDescent="0.25">
      <c r="A289" s="139">
        <v>478</v>
      </c>
      <c r="B289" s="139" t="s">
        <v>958</v>
      </c>
      <c r="C289" s="139" t="s">
        <v>957</v>
      </c>
      <c r="D289" s="139">
        <v>9.5</v>
      </c>
      <c r="E289" s="139">
        <v>0.15</v>
      </c>
      <c r="F289" s="139">
        <v>9.5</v>
      </c>
      <c r="G289" s="140">
        <v>0.16849673202614401</v>
      </c>
      <c r="J289" s="139">
        <f t="shared" si="4"/>
        <v>1</v>
      </c>
    </row>
    <row r="290" spans="1:10" x14ac:dyDescent="0.25">
      <c r="A290" s="139">
        <v>479</v>
      </c>
      <c r="B290" s="139" t="s">
        <v>564</v>
      </c>
      <c r="C290" s="139" t="s">
        <v>182</v>
      </c>
      <c r="D290" s="139">
        <v>9.5</v>
      </c>
      <c r="E290" s="139">
        <v>0.15</v>
      </c>
      <c r="F290" s="139">
        <v>9.5</v>
      </c>
      <c r="G290" s="140">
        <v>0.164333333333333</v>
      </c>
      <c r="J290" s="139">
        <f t="shared" si="4"/>
        <v>1</v>
      </c>
    </row>
    <row r="291" spans="1:10" x14ac:dyDescent="0.25">
      <c r="A291" s="139">
        <v>480</v>
      </c>
      <c r="B291" s="139" t="s">
        <v>565</v>
      </c>
      <c r="C291" s="139" t="s">
        <v>877</v>
      </c>
      <c r="D291" s="139">
        <v>9.5</v>
      </c>
      <c r="E291" s="139">
        <v>0.16666666666666666</v>
      </c>
      <c r="F291" s="139" t="s">
        <v>942</v>
      </c>
      <c r="G291" s="140" t="s">
        <v>942</v>
      </c>
      <c r="J291" s="139">
        <f t="shared" si="4"/>
        <v>1</v>
      </c>
    </row>
    <row r="292" spans="1:10" x14ac:dyDescent="0.25">
      <c r="A292" s="139">
        <v>481</v>
      </c>
      <c r="B292" s="139" t="s">
        <v>566</v>
      </c>
      <c r="C292" s="139" t="s">
        <v>867</v>
      </c>
      <c r="D292" s="139">
        <v>9.5</v>
      </c>
      <c r="E292" s="139">
        <v>0.15</v>
      </c>
      <c r="F292" s="139">
        <v>9.5</v>
      </c>
      <c r="G292" s="140">
        <v>0.14955314009661799</v>
      </c>
      <c r="J292" s="139">
        <f t="shared" si="4"/>
        <v>1</v>
      </c>
    </row>
    <row r="293" spans="1:10" x14ac:dyDescent="0.25">
      <c r="A293" s="139">
        <v>482</v>
      </c>
      <c r="B293" s="139" t="s">
        <v>567</v>
      </c>
      <c r="C293" s="139" t="s">
        <v>858</v>
      </c>
      <c r="D293" s="139">
        <v>9.5</v>
      </c>
      <c r="E293" s="139">
        <v>0.16666666666666666</v>
      </c>
      <c r="F293" s="139" t="s">
        <v>942</v>
      </c>
      <c r="G293" s="140" t="s">
        <v>942</v>
      </c>
      <c r="J293" s="139">
        <f t="shared" si="4"/>
        <v>1</v>
      </c>
    </row>
    <row r="294" spans="1:10" x14ac:dyDescent="0.25">
      <c r="A294" s="139">
        <v>483</v>
      </c>
      <c r="B294" s="139" t="s">
        <v>568</v>
      </c>
      <c r="C294" s="139" t="s">
        <v>858</v>
      </c>
      <c r="D294" s="139">
        <v>9.5</v>
      </c>
      <c r="E294" s="139">
        <v>0.15</v>
      </c>
      <c r="F294" s="139" t="s">
        <v>942</v>
      </c>
      <c r="G294" s="140" t="s">
        <v>942</v>
      </c>
      <c r="J294" s="139">
        <f t="shared" si="4"/>
        <v>1</v>
      </c>
    </row>
    <row r="295" spans="1:10" x14ac:dyDescent="0.25">
      <c r="A295" s="139">
        <v>484</v>
      </c>
      <c r="B295" s="139" t="s">
        <v>569</v>
      </c>
      <c r="C295" s="139" t="s">
        <v>188</v>
      </c>
      <c r="D295" s="139">
        <v>9.5</v>
      </c>
      <c r="E295" s="139">
        <v>0.16666666666666666</v>
      </c>
      <c r="F295" s="139">
        <v>9.5</v>
      </c>
      <c r="G295" s="140">
        <v>0.17190909090909101</v>
      </c>
      <c r="J295" s="139">
        <f t="shared" si="4"/>
        <v>1</v>
      </c>
    </row>
    <row r="296" spans="1:10" x14ac:dyDescent="0.25">
      <c r="A296" s="139">
        <v>485</v>
      </c>
      <c r="B296" s="139" t="s">
        <v>570</v>
      </c>
      <c r="C296" s="139" t="s">
        <v>191</v>
      </c>
      <c r="D296" s="139">
        <v>9.5</v>
      </c>
      <c r="E296" s="139">
        <v>0.16666666666666666</v>
      </c>
      <c r="F296" s="139">
        <v>9.5</v>
      </c>
      <c r="G296" s="140">
        <v>0.16930303030303001</v>
      </c>
      <c r="J296" s="139">
        <f t="shared" si="4"/>
        <v>1</v>
      </c>
    </row>
    <row r="297" spans="1:10" x14ac:dyDescent="0.25">
      <c r="A297" s="139">
        <v>486</v>
      </c>
      <c r="B297" s="139" t="s">
        <v>571</v>
      </c>
      <c r="C297" s="139" t="s">
        <v>956</v>
      </c>
      <c r="D297" s="139">
        <v>9.5</v>
      </c>
      <c r="E297" s="139">
        <v>0.14000000000000001</v>
      </c>
      <c r="F297" s="139" t="s">
        <v>942</v>
      </c>
      <c r="G297" s="140" t="s">
        <v>942</v>
      </c>
      <c r="J297" s="139">
        <f t="shared" si="4"/>
        <v>1</v>
      </c>
    </row>
    <row r="298" spans="1:10" x14ac:dyDescent="0.25">
      <c r="A298" s="139">
        <v>487</v>
      </c>
      <c r="B298" s="139" t="s">
        <v>572</v>
      </c>
      <c r="C298" s="139" t="s">
        <v>868</v>
      </c>
      <c r="D298" s="139">
        <v>9.5</v>
      </c>
      <c r="E298" s="139">
        <v>0.16666666666666666</v>
      </c>
      <c r="F298" s="139">
        <v>9.5</v>
      </c>
      <c r="G298" s="140">
        <v>0.15777777777777799</v>
      </c>
      <c r="J298" s="139">
        <f t="shared" si="4"/>
        <v>1</v>
      </c>
    </row>
    <row r="299" spans="1:10" x14ac:dyDescent="0.25">
      <c r="A299" s="139">
        <v>488</v>
      </c>
      <c r="B299" s="139" t="s">
        <v>573</v>
      </c>
      <c r="C299" s="139" t="s">
        <v>204</v>
      </c>
      <c r="D299" s="139">
        <v>9.5</v>
      </c>
      <c r="E299" s="139">
        <v>0.15</v>
      </c>
      <c r="F299" s="139">
        <v>9.5</v>
      </c>
      <c r="G299" s="140">
        <v>0.14657358490566</v>
      </c>
      <c r="J299" s="139">
        <f t="shared" si="4"/>
        <v>1</v>
      </c>
    </row>
    <row r="300" spans="1:10" x14ac:dyDescent="0.25">
      <c r="A300" s="139">
        <v>489</v>
      </c>
      <c r="B300" s="139" t="s">
        <v>574</v>
      </c>
      <c r="C300" s="139" t="s">
        <v>201</v>
      </c>
      <c r="D300" s="139">
        <v>9.5</v>
      </c>
      <c r="E300" s="139">
        <v>0.15</v>
      </c>
      <c r="F300" s="139">
        <v>9.5</v>
      </c>
      <c r="G300" s="140">
        <v>0.15035317460317499</v>
      </c>
      <c r="J300" s="139">
        <f t="shared" si="4"/>
        <v>1</v>
      </c>
    </row>
    <row r="301" spans="1:10" x14ac:dyDescent="0.25">
      <c r="A301" s="139">
        <v>490</v>
      </c>
      <c r="B301" s="139" t="s">
        <v>575</v>
      </c>
      <c r="C301" s="139" t="s">
        <v>202</v>
      </c>
      <c r="D301" s="139">
        <v>9.5</v>
      </c>
      <c r="E301" s="139">
        <v>0.16666666666666666</v>
      </c>
      <c r="F301" s="139">
        <v>9.5</v>
      </c>
      <c r="G301" s="140">
        <v>0.16940639269406399</v>
      </c>
      <c r="J301" s="139">
        <f t="shared" si="4"/>
        <v>1</v>
      </c>
    </row>
    <row r="302" spans="1:10" x14ac:dyDescent="0.25">
      <c r="A302" s="139">
        <v>491</v>
      </c>
      <c r="B302" s="139" t="s">
        <v>576</v>
      </c>
      <c r="C302" s="139" t="s">
        <v>859</v>
      </c>
      <c r="D302" s="139">
        <v>9.5</v>
      </c>
      <c r="E302" s="139">
        <v>0.15</v>
      </c>
      <c r="F302" s="139">
        <v>9.5</v>
      </c>
      <c r="G302" s="140">
        <v>0.145284403669725</v>
      </c>
      <c r="J302" s="139">
        <f t="shared" si="4"/>
        <v>1</v>
      </c>
    </row>
    <row r="303" spans="1:10" x14ac:dyDescent="0.25">
      <c r="A303" s="139">
        <v>492</v>
      </c>
      <c r="B303" s="139" t="s">
        <v>577</v>
      </c>
      <c r="C303" s="139" t="s">
        <v>862</v>
      </c>
      <c r="D303" s="139">
        <v>9.5</v>
      </c>
      <c r="E303" s="139">
        <v>0.15</v>
      </c>
      <c r="F303" s="139" t="s">
        <v>942</v>
      </c>
      <c r="G303" s="140" t="s">
        <v>942</v>
      </c>
      <c r="J303" s="139">
        <f t="shared" si="4"/>
        <v>1</v>
      </c>
    </row>
    <row r="304" spans="1:10" x14ac:dyDescent="0.25">
      <c r="A304" s="139">
        <v>493</v>
      </c>
      <c r="B304" s="139" t="s">
        <v>578</v>
      </c>
      <c r="C304" s="139" t="s">
        <v>869</v>
      </c>
      <c r="D304" s="139">
        <v>9.5</v>
      </c>
      <c r="E304" s="139">
        <v>0.16666666666666666</v>
      </c>
      <c r="F304" s="139">
        <v>9.5</v>
      </c>
      <c r="G304" s="140">
        <v>0.15827532679738601</v>
      </c>
      <c r="J304" s="139">
        <f t="shared" si="4"/>
        <v>1</v>
      </c>
    </row>
    <row r="305" spans="1:10" x14ac:dyDescent="0.25">
      <c r="A305" s="139">
        <v>494</v>
      </c>
      <c r="B305" s="139" t="s">
        <v>579</v>
      </c>
      <c r="C305" s="139" t="s">
        <v>955</v>
      </c>
      <c r="D305" s="139">
        <v>9.5</v>
      </c>
      <c r="E305" s="139">
        <v>0.16666666666666666</v>
      </c>
      <c r="F305" s="139" t="s">
        <v>942</v>
      </c>
      <c r="G305" s="140" t="s">
        <v>942</v>
      </c>
      <c r="J305" s="139">
        <f t="shared" si="4"/>
        <v>1</v>
      </c>
    </row>
    <row r="306" spans="1:10" x14ac:dyDescent="0.25">
      <c r="A306" s="139">
        <v>495</v>
      </c>
      <c r="B306" s="139" t="s">
        <v>580</v>
      </c>
      <c r="C306" s="139" t="s">
        <v>199</v>
      </c>
      <c r="D306" s="139">
        <v>9.5</v>
      </c>
      <c r="E306" s="139">
        <v>0.15</v>
      </c>
      <c r="F306" s="139">
        <v>9.5</v>
      </c>
      <c r="G306" s="140">
        <v>0.150968206157965</v>
      </c>
      <c r="J306" s="139">
        <f t="shared" si="4"/>
        <v>1</v>
      </c>
    </row>
    <row r="307" spans="1:10" x14ac:dyDescent="0.25">
      <c r="A307" s="139">
        <v>496</v>
      </c>
      <c r="B307" s="139" t="s">
        <v>581</v>
      </c>
      <c r="C307" s="139" t="s">
        <v>195</v>
      </c>
      <c r="D307" s="139">
        <v>9.5</v>
      </c>
      <c r="E307" s="139">
        <v>0.15</v>
      </c>
      <c r="F307" s="139" t="s">
        <v>942</v>
      </c>
      <c r="G307" s="140" t="s">
        <v>942</v>
      </c>
      <c r="J307" s="139">
        <f t="shared" si="4"/>
        <v>1</v>
      </c>
    </row>
    <row r="308" spans="1:10" x14ac:dyDescent="0.25">
      <c r="A308" s="139">
        <v>497</v>
      </c>
      <c r="B308" s="139" t="s">
        <v>582</v>
      </c>
      <c r="C308" s="139" t="s">
        <v>187</v>
      </c>
      <c r="D308" s="139">
        <v>9.5</v>
      </c>
      <c r="E308" s="139">
        <v>0.16666666666666666</v>
      </c>
      <c r="F308" s="139">
        <v>9.5</v>
      </c>
      <c r="G308" s="140">
        <v>0.16925252525252499</v>
      </c>
      <c r="J308" s="139">
        <f t="shared" si="4"/>
        <v>1</v>
      </c>
    </row>
    <row r="309" spans="1:10" x14ac:dyDescent="0.25">
      <c r="A309" s="139">
        <v>498</v>
      </c>
      <c r="B309" s="139" t="s">
        <v>583</v>
      </c>
      <c r="C309" s="139" t="s">
        <v>187</v>
      </c>
      <c r="D309" s="139">
        <v>13</v>
      </c>
      <c r="E309" s="139">
        <v>0.2</v>
      </c>
      <c r="F309" s="139" t="s">
        <v>942</v>
      </c>
      <c r="G309" s="140" t="s">
        <v>942</v>
      </c>
      <c r="J309" s="139">
        <f t="shared" si="4"/>
        <v>1</v>
      </c>
    </row>
    <row r="310" spans="1:10" x14ac:dyDescent="0.25">
      <c r="A310" s="139">
        <v>499</v>
      </c>
      <c r="B310" s="139" t="s">
        <v>584</v>
      </c>
      <c r="C310" s="139" t="s">
        <v>187</v>
      </c>
      <c r="D310" s="139">
        <v>10.25</v>
      </c>
      <c r="E310" s="139">
        <v>0.16</v>
      </c>
      <c r="F310" s="139">
        <v>10.25</v>
      </c>
      <c r="G310" s="140">
        <v>0.15634011090573</v>
      </c>
      <c r="J310" s="139">
        <f t="shared" si="4"/>
        <v>1</v>
      </c>
    </row>
    <row r="311" spans="1:10" x14ac:dyDescent="0.25">
      <c r="A311" s="139">
        <v>500</v>
      </c>
      <c r="B311" s="139" t="s">
        <v>585</v>
      </c>
      <c r="C311" s="139" t="s">
        <v>187</v>
      </c>
      <c r="D311" s="139">
        <v>10.25</v>
      </c>
      <c r="E311" s="139">
        <v>0.16333333333333336</v>
      </c>
      <c r="F311" s="139" t="s">
        <v>942</v>
      </c>
      <c r="G311" s="140" t="s">
        <v>942</v>
      </c>
      <c r="J311" s="139">
        <f t="shared" si="4"/>
        <v>1</v>
      </c>
    </row>
    <row r="312" spans="1:10" x14ac:dyDescent="0.25">
      <c r="A312" s="139">
        <v>501</v>
      </c>
      <c r="B312" s="139" t="s">
        <v>586</v>
      </c>
      <c r="C312" s="139" t="s">
        <v>187</v>
      </c>
      <c r="D312" s="139">
        <v>10.25</v>
      </c>
      <c r="E312" s="139">
        <v>0.18333333333333332</v>
      </c>
      <c r="F312" s="139" t="s">
        <v>942</v>
      </c>
      <c r="G312" s="140" t="s">
        <v>942</v>
      </c>
      <c r="J312" s="139">
        <f t="shared" si="4"/>
        <v>1</v>
      </c>
    </row>
    <row r="313" spans="1:10" x14ac:dyDescent="0.25">
      <c r="A313" s="139">
        <v>502</v>
      </c>
      <c r="B313" s="139" t="s">
        <v>587</v>
      </c>
      <c r="C313" s="139" t="s">
        <v>187</v>
      </c>
      <c r="D313" s="139">
        <v>10.25</v>
      </c>
      <c r="E313" s="139">
        <v>8.666666666666667E-2</v>
      </c>
      <c r="F313" s="139" t="s">
        <v>942</v>
      </c>
      <c r="G313" s="140" t="s">
        <v>942</v>
      </c>
      <c r="J313" s="139">
        <f t="shared" si="4"/>
        <v>1</v>
      </c>
    </row>
    <row r="314" spans="1:10" x14ac:dyDescent="0.25">
      <c r="A314" s="139">
        <v>503</v>
      </c>
      <c r="B314" s="139" t="s">
        <v>588</v>
      </c>
      <c r="C314" s="139" t="s">
        <v>187</v>
      </c>
      <c r="D314" s="139">
        <v>10.25</v>
      </c>
      <c r="E314" s="139">
        <v>0.16333333333333336</v>
      </c>
      <c r="F314" s="139" t="s">
        <v>942</v>
      </c>
      <c r="G314" s="140" t="s">
        <v>942</v>
      </c>
      <c r="J314" s="139">
        <f t="shared" si="4"/>
        <v>1</v>
      </c>
    </row>
    <row r="315" spans="1:10" x14ac:dyDescent="0.25">
      <c r="A315" s="139">
        <v>504</v>
      </c>
      <c r="B315" s="139" t="s">
        <v>589</v>
      </c>
      <c r="C315" s="139" t="s">
        <v>182</v>
      </c>
      <c r="D315" s="139">
        <v>10.25</v>
      </c>
      <c r="E315" s="139">
        <v>0.18333333333333332</v>
      </c>
      <c r="F315" s="139">
        <v>10.25</v>
      </c>
      <c r="G315" s="140">
        <v>0.18738461538461501</v>
      </c>
      <c r="J315" s="139">
        <f t="shared" si="4"/>
        <v>1</v>
      </c>
    </row>
    <row r="316" spans="1:10" x14ac:dyDescent="0.25">
      <c r="A316" s="139">
        <v>505</v>
      </c>
      <c r="B316" s="139" t="s">
        <v>590</v>
      </c>
      <c r="C316" s="139" t="s">
        <v>858</v>
      </c>
      <c r="D316" s="139">
        <v>10.25</v>
      </c>
      <c r="E316" s="139">
        <v>0.18333333333333332</v>
      </c>
      <c r="F316" s="139">
        <v>10.25</v>
      </c>
      <c r="G316" s="140">
        <v>0.18933333333333299</v>
      </c>
      <c r="J316" s="139">
        <f t="shared" si="4"/>
        <v>1</v>
      </c>
    </row>
    <row r="317" spans="1:10" x14ac:dyDescent="0.25">
      <c r="A317" s="139">
        <v>506</v>
      </c>
      <c r="B317" s="139" t="s">
        <v>591</v>
      </c>
      <c r="C317" s="139" t="s">
        <v>188</v>
      </c>
      <c r="D317" s="139">
        <v>10.25</v>
      </c>
      <c r="E317" s="139">
        <v>0.18333333333333332</v>
      </c>
      <c r="F317" s="139">
        <v>10.25</v>
      </c>
      <c r="G317" s="140">
        <v>0.182666666666667</v>
      </c>
      <c r="J317" s="139">
        <f t="shared" si="4"/>
        <v>1</v>
      </c>
    </row>
    <row r="318" spans="1:10" x14ac:dyDescent="0.25">
      <c r="A318" s="139">
        <v>507</v>
      </c>
      <c r="B318" s="139" t="s">
        <v>592</v>
      </c>
      <c r="C318" s="139" t="s">
        <v>191</v>
      </c>
      <c r="D318" s="139">
        <v>10.25</v>
      </c>
      <c r="E318" s="139">
        <v>0.18333333333333332</v>
      </c>
      <c r="F318" s="139">
        <v>10.25</v>
      </c>
      <c r="G318" s="140">
        <v>0.16679245283018901</v>
      </c>
      <c r="J318" s="139">
        <f t="shared" si="4"/>
        <v>1</v>
      </c>
    </row>
    <row r="319" spans="1:10" x14ac:dyDescent="0.25">
      <c r="A319" s="139">
        <v>508</v>
      </c>
      <c r="B319" s="139" t="s">
        <v>593</v>
      </c>
      <c r="C319" s="139" t="s">
        <v>187</v>
      </c>
      <c r="D319" s="139">
        <v>10.25</v>
      </c>
      <c r="E319" s="139">
        <v>0.18333333333333332</v>
      </c>
      <c r="F319" s="139">
        <v>10.25</v>
      </c>
      <c r="G319" s="140">
        <v>0.16931386430678499</v>
      </c>
      <c r="J319" s="139">
        <f t="shared" si="4"/>
        <v>1</v>
      </c>
    </row>
    <row r="320" spans="1:10" x14ac:dyDescent="0.25">
      <c r="A320" s="139">
        <v>509</v>
      </c>
      <c r="B320" s="139" t="s">
        <v>594</v>
      </c>
      <c r="C320" s="139" t="s">
        <v>187</v>
      </c>
      <c r="D320" s="139">
        <v>0</v>
      </c>
      <c r="E320" s="139">
        <v>0</v>
      </c>
      <c r="F320" s="139" t="s">
        <v>942</v>
      </c>
      <c r="G320" s="140" t="s">
        <v>942</v>
      </c>
      <c r="J320" s="139">
        <f t="shared" si="4"/>
        <v>1</v>
      </c>
    </row>
    <row r="321" spans="1:10" x14ac:dyDescent="0.25">
      <c r="A321" s="139">
        <v>510</v>
      </c>
      <c r="B321" s="139" t="s">
        <v>595</v>
      </c>
      <c r="C321" s="139" t="s">
        <v>872</v>
      </c>
      <c r="D321" s="139">
        <v>0</v>
      </c>
      <c r="E321" s="139">
        <v>0</v>
      </c>
      <c r="F321" s="139">
        <v>10.25</v>
      </c>
      <c r="G321" s="140">
        <v>0.24833333333333299</v>
      </c>
      <c r="J321" s="139">
        <f t="shared" si="4"/>
        <v>1</v>
      </c>
    </row>
    <row r="322" spans="1:10" x14ac:dyDescent="0.25">
      <c r="A322" s="139">
        <v>511</v>
      </c>
      <c r="B322" s="139" t="s">
        <v>596</v>
      </c>
      <c r="C322" s="139" t="s">
        <v>954</v>
      </c>
      <c r="D322" s="139">
        <v>0</v>
      </c>
      <c r="E322" s="139">
        <v>0</v>
      </c>
      <c r="F322" s="139" t="s">
        <v>942</v>
      </c>
      <c r="G322" s="140" t="s">
        <v>942</v>
      </c>
      <c r="J322" s="139">
        <f t="shared" si="4"/>
        <v>1</v>
      </c>
    </row>
    <row r="323" spans="1:10" x14ac:dyDescent="0.25">
      <c r="A323" s="139">
        <v>512</v>
      </c>
      <c r="B323" s="139" t="s">
        <v>597</v>
      </c>
      <c r="C323" s="139" t="s">
        <v>187</v>
      </c>
      <c r="D323" s="139">
        <v>5.75</v>
      </c>
      <c r="E323" s="139">
        <v>8.3333333333333329E-2</v>
      </c>
      <c r="F323" s="139" t="s">
        <v>942</v>
      </c>
      <c r="G323" s="140" t="s">
        <v>942</v>
      </c>
      <c r="J323" s="139">
        <f t="shared" ref="J323:J386" si="5">COUNTIF(A:A,A323)</f>
        <v>1</v>
      </c>
    </row>
    <row r="324" spans="1:10" x14ac:dyDescent="0.25">
      <c r="A324" s="139">
        <v>513</v>
      </c>
      <c r="B324" s="139" t="s">
        <v>598</v>
      </c>
      <c r="C324" s="139" t="s">
        <v>187</v>
      </c>
      <c r="D324" s="139">
        <v>0</v>
      </c>
      <c r="E324" s="139">
        <v>6.6666666666666666E-2</v>
      </c>
      <c r="F324" s="139" t="s">
        <v>942</v>
      </c>
      <c r="G324" s="140" t="s">
        <v>942</v>
      </c>
      <c r="J324" s="139">
        <f t="shared" si="5"/>
        <v>1</v>
      </c>
    </row>
    <row r="325" spans="1:10" x14ac:dyDescent="0.25">
      <c r="A325" s="139">
        <v>514</v>
      </c>
      <c r="B325" s="139" t="s">
        <v>599</v>
      </c>
      <c r="C325" s="139" t="s">
        <v>187</v>
      </c>
      <c r="D325" s="139">
        <v>0</v>
      </c>
      <c r="E325" s="139">
        <v>0.29333333333333333</v>
      </c>
      <c r="F325" s="139" t="s">
        <v>942</v>
      </c>
      <c r="G325" s="140" t="s">
        <v>942</v>
      </c>
      <c r="J325" s="139">
        <f t="shared" si="5"/>
        <v>1</v>
      </c>
    </row>
    <row r="326" spans="1:10" x14ac:dyDescent="0.25">
      <c r="A326" s="139">
        <v>515</v>
      </c>
      <c r="B326" s="139" t="s">
        <v>600</v>
      </c>
      <c r="C326" s="139" t="s">
        <v>187</v>
      </c>
      <c r="D326" s="139">
        <v>5</v>
      </c>
      <c r="E326" s="139">
        <v>0.1</v>
      </c>
      <c r="F326" s="139">
        <v>5</v>
      </c>
      <c r="G326" s="140">
        <v>0.10444444444444501</v>
      </c>
      <c r="J326" s="139">
        <f t="shared" si="5"/>
        <v>1</v>
      </c>
    </row>
    <row r="327" spans="1:10" x14ac:dyDescent="0.25">
      <c r="A327" s="139">
        <v>516</v>
      </c>
      <c r="B327" s="139" t="s">
        <v>601</v>
      </c>
      <c r="C327" s="139" t="s">
        <v>187</v>
      </c>
      <c r="D327" s="139">
        <v>0</v>
      </c>
      <c r="E327" s="139">
        <v>0.11666666666666667</v>
      </c>
      <c r="F327" s="139" t="s">
        <v>942</v>
      </c>
      <c r="G327" s="140" t="s">
        <v>942</v>
      </c>
      <c r="J327" s="139">
        <f t="shared" si="5"/>
        <v>1</v>
      </c>
    </row>
    <row r="328" spans="1:10" x14ac:dyDescent="0.25">
      <c r="A328" s="139">
        <v>517</v>
      </c>
      <c r="B328" s="139" t="s">
        <v>602</v>
      </c>
      <c r="C328" s="139" t="s">
        <v>194</v>
      </c>
      <c r="D328" s="139">
        <v>0</v>
      </c>
      <c r="E328" s="139">
        <v>4.6666666666666662E-2</v>
      </c>
      <c r="F328" s="139" t="s">
        <v>942</v>
      </c>
      <c r="G328" s="140" t="s">
        <v>942</v>
      </c>
      <c r="J328" s="139">
        <f t="shared" si="5"/>
        <v>1</v>
      </c>
    </row>
    <row r="329" spans="1:10" x14ac:dyDescent="0.25">
      <c r="A329" s="139">
        <v>518</v>
      </c>
      <c r="B329" s="139" t="s">
        <v>603</v>
      </c>
      <c r="C329" s="139" t="s">
        <v>182</v>
      </c>
      <c r="D329" s="139">
        <v>12</v>
      </c>
      <c r="E329" s="139">
        <v>2.6666666666666668E-2</v>
      </c>
      <c r="F329" s="139">
        <v>12</v>
      </c>
      <c r="G329" s="140">
        <v>0.151948717948718</v>
      </c>
      <c r="J329" s="139">
        <f t="shared" si="5"/>
        <v>1</v>
      </c>
    </row>
    <row r="330" spans="1:10" x14ac:dyDescent="0.25">
      <c r="A330" s="139">
        <v>519</v>
      </c>
      <c r="B330" s="139" t="s">
        <v>604</v>
      </c>
      <c r="C330" s="139" t="s">
        <v>874</v>
      </c>
      <c r="D330" s="139">
        <v>0</v>
      </c>
      <c r="E330" s="139">
        <v>2.3333333333333331E-2</v>
      </c>
      <c r="F330" s="139" t="s">
        <v>942</v>
      </c>
      <c r="G330" s="140" t="s">
        <v>942</v>
      </c>
      <c r="J330" s="139">
        <f t="shared" si="5"/>
        <v>1</v>
      </c>
    </row>
    <row r="331" spans="1:10" x14ac:dyDescent="0.25">
      <c r="A331" s="139">
        <v>520</v>
      </c>
      <c r="B331" s="139" t="s">
        <v>605</v>
      </c>
      <c r="C331" s="139" t="s">
        <v>182</v>
      </c>
      <c r="D331" s="139">
        <v>5</v>
      </c>
      <c r="E331" s="139">
        <v>4.6666666666666662E-2</v>
      </c>
      <c r="F331" s="139" t="s">
        <v>942</v>
      </c>
      <c r="G331" s="140" t="s">
        <v>942</v>
      </c>
      <c r="J331" s="139">
        <f t="shared" si="5"/>
        <v>1</v>
      </c>
    </row>
    <row r="332" spans="1:10" x14ac:dyDescent="0.25">
      <c r="A332" s="139">
        <v>521</v>
      </c>
      <c r="B332" s="139" t="s">
        <v>606</v>
      </c>
      <c r="C332" s="139" t="s">
        <v>874</v>
      </c>
      <c r="D332" s="139">
        <v>5</v>
      </c>
      <c r="E332" s="139">
        <v>9.3333333333333324E-2</v>
      </c>
      <c r="F332" s="139" t="s">
        <v>942</v>
      </c>
      <c r="G332" s="140" t="s">
        <v>942</v>
      </c>
      <c r="J332" s="139">
        <f t="shared" si="5"/>
        <v>1</v>
      </c>
    </row>
    <row r="333" spans="1:10" x14ac:dyDescent="0.25">
      <c r="A333" s="139">
        <v>522</v>
      </c>
      <c r="B333" s="139" t="s">
        <v>607</v>
      </c>
      <c r="C333" s="139" t="s">
        <v>953</v>
      </c>
      <c r="D333" s="139">
        <v>5</v>
      </c>
      <c r="E333" s="139">
        <v>0</v>
      </c>
      <c r="F333" s="139" t="s">
        <v>942</v>
      </c>
      <c r="G333" s="140" t="s">
        <v>942</v>
      </c>
      <c r="J333" s="139">
        <f t="shared" si="5"/>
        <v>1</v>
      </c>
    </row>
    <row r="334" spans="1:10" x14ac:dyDescent="0.25">
      <c r="A334" s="139">
        <v>523</v>
      </c>
      <c r="B334" s="139" t="s">
        <v>608</v>
      </c>
      <c r="C334" s="139" t="s">
        <v>952</v>
      </c>
      <c r="D334" s="139">
        <v>5</v>
      </c>
      <c r="E334" s="139">
        <v>0.14000000000000001</v>
      </c>
      <c r="F334" s="139" t="s">
        <v>942</v>
      </c>
      <c r="G334" s="140" t="s">
        <v>942</v>
      </c>
      <c r="J334" s="139">
        <f t="shared" si="5"/>
        <v>1</v>
      </c>
    </row>
    <row r="335" spans="1:10" x14ac:dyDescent="0.25">
      <c r="A335" s="139">
        <v>524</v>
      </c>
      <c r="B335" s="139" t="s">
        <v>609</v>
      </c>
      <c r="C335" s="139" t="s">
        <v>194</v>
      </c>
      <c r="D335" s="139">
        <v>5</v>
      </c>
      <c r="E335" s="139">
        <v>9.3333333333333324E-2</v>
      </c>
      <c r="F335" s="139" t="s">
        <v>942</v>
      </c>
      <c r="G335" s="140" t="s">
        <v>942</v>
      </c>
      <c r="J335" s="139">
        <f t="shared" si="5"/>
        <v>1</v>
      </c>
    </row>
    <row r="336" spans="1:10" x14ac:dyDescent="0.25">
      <c r="A336" s="139">
        <v>525</v>
      </c>
      <c r="B336" s="139" t="s">
        <v>610</v>
      </c>
      <c r="C336" s="139" t="s">
        <v>195</v>
      </c>
      <c r="D336" s="139">
        <v>5</v>
      </c>
      <c r="E336" s="139">
        <v>4.6666666666666662E-2</v>
      </c>
      <c r="F336" s="139" t="s">
        <v>942</v>
      </c>
      <c r="G336" s="140" t="s">
        <v>942</v>
      </c>
      <c r="J336" s="139">
        <f t="shared" si="5"/>
        <v>1</v>
      </c>
    </row>
    <row r="337" spans="1:10" x14ac:dyDescent="0.25">
      <c r="A337" s="139">
        <v>526</v>
      </c>
      <c r="B337" s="139" t="s">
        <v>611</v>
      </c>
      <c r="C337" s="139" t="s">
        <v>182</v>
      </c>
      <c r="D337" s="139">
        <v>5</v>
      </c>
      <c r="E337" s="139">
        <v>0.13333333333333333</v>
      </c>
      <c r="F337" s="139" t="s">
        <v>942</v>
      </c>
      <c r="G337" s="140" t="s">
        <v>942</v>
      </c>
      <c r="J337" s="139">
        <f t="shared" si="5"/>
        <v>1</v>
      </c>
    </row>
    <row r="338" spans="1:10" x14ac:dyDescent="0.25">
      <c r="A338" s="139">
        <v>527</v>
      </c>
      <c r="B338" s="139" t="s">
        <v>612</v>
      </c>
      <c r="C338" s="139" t="s">
        <v>877</v>
      </c>
      <c r="D338" s="139">
        <v>5</v>
      </c>
      <c r="E338" s="139">
        <v>4.6666666666666662E-2</v>
      </c>
      <c r="F338" s="139" t="s">
        <v>942</v>
      </c>
      <c r="G338" s="140" t="s">
        <v>942</v>
      </c>
      <c r="J338" s="139">
        <f t="shared" si="5"/>
        <v>1</v>
      </c>
    </row>
    <row r="339" spans="1:10" x14ac:dyDescent="0.25">
      <c r="A339" s="139">
        <v>528</v>
      </c>
      <c r="B339" s="139" t="s">
        <v>613</v>
      </c>
      <c r="C339" s="139" t="s">
        <v>203</v>
      </c>
      <c r="D339" s="139">
        <v>5</v>
      </c>
      <c r="E339" s="139">
        <v>0.11333333333333333</v>
      </c>
      <c r="F339" s="139">
        <v>5</v>
      </c>
      <c r="G339" s="140">
        <v>3.7999999999999999E-2</v>
      </c>
      <c r="J339" s="139">
        <f t="shared" si="5"/>
        <v>1</v>
      </c>
    </row>
    <row r="340" spans="1:10" x14ac:dyDescent="0.25">
      <c r="A340" s="139">
        <v>529</v>
      </c>
      <c r="B340" s="139" t="s">
        <v>614</v>
      </c>
      <c r="C340" s="139" t="s">
        <v>874</v>
      </c>
      <c r="D340" s="139">
        <v>5</v>
      </c>
      <c r="E340" s="139">
        <v>4.6666666666666662E-2</v>
      </c>
      <c r="F340" s="139" t="s">
        <v>942</v>
      </c>
      <c r="G340" s="140" t="s">
        <v>942</v>
      </c>
      <c r="J340" s="139">
        <f t="shared" si="5"/>
        <v>1</v>
      </c>
    </row>
    <row r="341" spans="1:10" x14ac:dyDescent="0.25">
      <c r="A341" s="139">
        <v>530</v>
      </c>
      <c r="B341" s="139" t="s">
        <v>615</v>
      </c>
      <c r="C341" s="139" t="s">
        <v>874</v>
      </c>
      <c r="D341" s="139">
        <v>5</v>
      </c>
      <c r="E341" s="139">
        <v>0.18666666666666665</v>
      </c>
      <c r="F341" s="139">
        <v>5</v>
      </c>
      <c r="G341" s="140">
        <v>5.34818181818182E-2</v>
      </c>
      <c r="J341" s="139">
        <f t="shared" si="5"/>
        <v>1</v>
      </c>
    </row>
    <row r="342" spans="1:10" x14ac:dyDescent="0.25">
      <c r="A342" s="139">
        <v>531</v>
      </c>
      <c r="B342" s="139" t="s">
        <v>616</v>
      </c>
      <c r="C342" s="139" t="s">
        <v>874</v>
      </c>
      <c r="D342" s="139">
        <v>5</v>
      </c>
      <c r="E342" s="139">
        <v>0.16666666666666666</v>
      </c>
      <c r="F342" s="139" t="s">
        <v>942</v>
      </c>
      <c r="G342" s="140" t="s">
        <v>942</v>
      </c>
      <c r="J342" s="139">
        <f t="shared" si="5"/>
        <v>1</v>
      </c>
    </row>
    <row r="343" spans="1:10" x14ac:dyDescent="0.25">
      <c r="A343" s="139">
        <v>532</v>
      </c>
      <c r="B343" s="139" t="s">
        <v>617</v>
      </c>
      <c r="C343" s="139" t="s">
        <v>875</v>
      </c>
      <c r="D343" s="139">
        <v>5</v>
      </c>
      <c r="E343" s="139">
        <v>0.12666666666666665</v>
      </c>
      <c r="F343" s="139">
        <v>5</v>
      </c>
      <c r="G343" s="140">
        <v>3.9797979797979798E-2</v>
      </c>
      <c r="J343" s="139">
        <f t="shared" si="5"/>
        <v>1</v>
      </c>
    </row>
    <row r="344" spans="1:10" x14ac:dyDescent="0.25">
      <c r="A344" s="139">
        <v>533</v>
      </c>
      <c r="B344" s="139" t="s">
        <v>618</v>
      </c>
      <c r="C344" s="139" t="s">
        <v>195</v>
      </c>
      <c r="D344" s="139">
        <v>5</v>
      </c>
      <c r="E344" s="139">
        <v>0.15</v>
      </c>
      <c r="F344" s="139" t="s">
        <v>942</v>
      </c>
      <c r="G344" s="140" t="s">
        <v>942</v>
      </c>
      <c r="J344" s="139">
        <f t="shared" si="5"/>
        <v>1</v>
      </c>
    </row>
    <row r="345" spans="1:10" x14ac:dyDescent="0.25">
      <c r="A345" s="139">
        <v>534</v>
      </c>
      <c r="B345" s="139" t="s">
        <v>619</v>
      </c>
      <c r="C345" s="139" t="s">
        <v>182</v>
      </c>
      <c r="D345" s="139">
        <v>5</v>
      </c>
      <c r="E345" s="139">
        <v>0.05</v>
      </c>
      <c r="F345" s="139">
        <v>4.5999999999999996</v>
      </c>
      <c r="G345" s="140">
        <v>0</v>
      </c>
      <c r="J345" s="139">
        <f t="shared" si="5"/>
        <v>1</v>
      </c>
    </row>
    <row r="346" spans="1:10" x14ac:dyDescent="0.25">
      <c r="A346" s="139">
        <v>535</v>
      </c>
      <c r="B346" s="139" t="s">
        <v>620</v>
      </c>
      <c r="C346" s="139" t="s">
        <v>874</v>
      </c>
      <c r="D346" s="139">
        <v>5</v>
      </c>
      <c r="E346" s="139">
        <v>0.05</v>
      </c>
      <c r="F346" s="139" t="s">
        <v>942</v>
      </c>
      <c r="G346" s="140" t="s">
        <v>942</v>
      </c>
      <c r="J346" s="139">
        <f t="shared" si="5"/>
        <v>1</v>
      </c>
    </row>
    <row r="347" spans="1:10" x14ac:dyDescent="0.25">
      <c r="A347" s="139">
        <v>536</v>
      </c>
      <c r="B347" s="139" t="s">
        <v>621</v>
      </c>
      <c r="C347" s="139" t="s">
        <v>874</v>
      </c>
      <c r="D347" s="139">
        <v>5</v>
      </c>
      <c r="E347" s="139">
        <v>0.05</v>
      </c>
      <c r="F347" s="139" t="s">
        <v>942</v>
      </c>
      <c r="G347" s="140" t="s">
        <v>942</v>
      </c>
      <c r="J347" s="139">
        <f t="shared" si="5"/>
        <v>1</v>
      </c>
    </row>
    <row r="348" spans="1:10" x14ac:dyDescent="0.25">
      <c r="A348" s="139">
        <v>537</v>
      </c>
      <c r="B348" s="139" t="s">
        <v>622</v>
      </c>
      <c r="C348" s="139" t="s">
        <v>874</v>
      </c>
      <c r="D348" s="139">
        <v>5</v>
      </c>
      <c r="E348" s="139">
        <v>5.5E-2</v>
      </c>
      <c r="F348" s="139" t="s">
        <v>942</v>
      </c>
      <c r="G348" s="140" t="s">
        <v>942</v>
      </c>
      <c r="J348" s="139">
        <f t="shared" si="5"/>
        <v>1</v>
      </c>
    </row>
    <row r="349" spans="1:10" x14ac:dyDescent="0.25">
      <c r="A349" s="139">
        <v>538</v>
      </c>
      <c r="B349" s="139" t="s">
        <v>623</v>
      </c>
      <c r="C349" s="139" t="s">
        <v>194</v>
      </c>
      <c r="D349" s="139">
        <v>4.5999999999999996</v>
      </c>
      <c r="E349" s="139">
        <v>0.05</v>
      </c>
      <c r="F349" s="139">
        <v>4.5999999999999996</v>
      </c>
      <c r="G349" s="140">
        <v>4.6106060606060602E-2</v>
      </c>
      <c r="J349" s="139">
        <f t="shared" si="5"/>
        <v>1</v>
      </c>
    </row>
    <row r="350" spans="1:10" x14ac:dyDescent="0.25">
      <c r="A350" s="139">
        <v>539</v>
      </c>
      <c r="B350" s="139" t="s">
        <v>624</v>
      </c>
      <c r="C350" s="139" t="s">
        <v>200</v>
      </c>
      <c r="D350" s="139">
        <v>4.5999999999999996</v>
      </c>
      <c r="E350" s="139">
        <v>5.3333333333333337E-2</v>
      </c>
      <c r="F350" s="139">
        <v>4.5999999999999996</v>
      </c>
      <c r="G350" s="140">
        <v>5.2351731022925799E-2</v>
      </c>
      <c r="J350" s="139">
        <f t="shared" si="5"/>
        <v>1</v>
      </c>
    </row>
    <row r="351" spans="1:10" x14ac:dyDescent="0.25">
      <c r="A351" s="139">
        <v>540</v>
      </c>
      <c r="B351" s="139" t="s">
        <v>625</v>
      </c>
      <c r="C351" s="139" t="s">
        <v>182</v>
      </c>
      <c r="D351" s="139">
        <v>4.5999999999999996</v>
      </c>
      <c r="E351" s="139">
        <v>5.3333333333333337E-2</v>
      </c>
      <c r="F351" s="139">
        <v>4.5999999999999996</v>
      </c>
      <c r="G351" s="140">
        <v>5.0276538514640999E-2</v>
      </c>
      <c r="J351" s="139">
        <f t="shared" si="5"/>
        <v>1</v>
      </c>
    </row>
    <row r="352" spans="1:10" x14ac:dyDescent="0.25">
      <c r="A352" s="139">
        <v>541</v>
      </c>
      <c r="B352" s="139" t="s">
        <v>626</v>
      </c>
      <c r="C352" s="139" t="s">
        <v>877</v>
      </c>
      <c r="D352" s="139">
        <v>4.5999999999999996</v>
      </c>
      <c r="E352" s="139">
        <v>0.13</v>
      </c>
      <c r="F352" s="139">
        <v>4.5999999999999996</v>
      </c>
      <c r="G352" s="140">
        <v>5.1900000000000002E-2</v>
      </c>
      <c r="J352" s="139">
        <f t="shared" si="5"/>
        <v>1</v>
      </c>
    </row>
    <row r="353" spans="1:10" x14ac:dyDescent="0.25">
      <c r="A353" s="139">
        <v>542</v>
      </c>
      <c r="B353" s="139" t="s">
        <v>627</v>
      </c>
      <c r="C353" s="139" t="s">
        <v>188</v>
      </c>
      <c r="D353" s="139">
        <v>4.5999999999999996</v>
      </c>
      <c r="E353" s="139">
        <v>5.3333333333333337E-2</v>
      </c>
      <c r="F353" s="139">
        <v>4.5999999999999996</v>
      </c>
      <c r="G353" s="140">
        <v>5.1254901960784298E-2</v>
      </c>
      <c r="J353" s="139">
        <f t="shared" si="5"/>
        <v>1</v>
      </c>
    </row>
    <row r="354" spans="1:10" x14ac:dyDescent="0.25">
      <c r="A354" s="139">
        <v>543</v>
      </c>
      <c r="B354" s="139" t="s">
        <v>628</v>
      </c>
      <c r="C354" s="139" t="s">
        <v>203</v>
      </c>
      <c r="D354" s="139">
        <v>4.5999999999999996</v>
      </c>
      <c r="E354" s="139">
        <v>4.6666666666666662E-2</v>
      </c>
      <c r="F354" s="139" t="s">
        <v>942</v>
      </c>
      <c r="G354" s="140" t="s">
        <v>942</v>
      </c>
      <c r="J354" s="139">
        <f t="shared" si="5"/>
        <v>1</v>
      </c>
    </row>
    <row r="355" spans="1:10" x14ac:dyDescent="0.25">
      <c r="A355" s="139">
        <v>544</v>
      </c>
      <c r="B355" s="139" t="s">
        <v>629</v>
      </c>
      <c r="C355" s="139" t="s">
        <v>874</v>
      </c>
      <c r="D355" s="139">
        <v>4.5999999999999996</v>
      </c>
      <c r="E355" s="139">
        <v>0.15</v>
      </c>
      <c r="F355" s="139" t="s">
        <v>942</v>
      </c>
      <c r="G355" s="140" t="s">
        <v>942</v>
      </c>
      <c r="J355" s="139">
        <f t="shared" si="5"/>
        <v>1</v>
      </c>
    </row>
    <row r="356" spans="1:10" x14ac:dyDescent="0.25">
      <c r="A356" s="139">
        <v>545</v>
      </c>
      <c r="B356" s="139" t="s">
        <v>630</v>
      </c>
      <c r="C356" s="139" t="s">
        <v>874</v>
      </c>
      <c r="D356" s="139">
        <v>4.5999999999999996</v>
      </c>
      <c r="E356" s="139">
        <v>0.2</v>
      </c>
      <c r="F356" s="139">
        <v>5</v>
      </c>
      <c r="G356" s="140">
        <v>6.0387342722262802E-2</v>
      </c>
      <c r="J356" s="139">
        <f t="shared" si="5"/>
        <v>1</v>
      </c>
    </row>
    <row r="357" spans="1:10" x14ac:dyDescent="0.25">
      <c r="A357" s="139">
        <v>546</v>
      </c>
      <c r="B357" s="139" t="s">
        <v>631</v>
      </c>
      <c r="C357" s="139" t="s">
        <v>192</v>
      </c>
      <c r="D357" s="139">
        <v>4.5999999999999996</v>
      </c>
      <c r="E357" s="139">
        <v>0.05</v>
      </c>
      <c r="F357" s="139" t="s">
        <v>942</v>
      </c>
      <c r="G357" s="140" t="s">
        <v>942</v>
      </c>
      <c r="J357" s="139">
        <f t="shared" si="5"/>
        <v>1</v>
      </c>
    </row>
    <row r="358" spans="1:10" x14ac:dyDescent="0.25">
      <c r="A358" s="139">
        <v>547</v>
      </c>
      <c r="B358" s="139" t="s">
        <v>632</v>
      </c>
      <c r="C358" s="139" t="s">
        <v>953</v>
      </c>
      <c r="D358" s="139">
        <v>4.5999999999999996</v>
      </c>
      <c r="E358" s="139">
        <v>0.05</v>
      </c>
      <c r="F358" s="139" t="s">
        <v>942</v>
      </c>
      <c r="G358" s="140" t="s">
        <v>942</v>
      </c>
      <c r="J358" s="139">
        <f t="shared" si="5"/>
        <v>1</v>
      </c>
    </row>
    <row r="359" spans="1:10" x14ac:dyDescent="0.25">
      <c r="A359" s="139">
        <v>548</v>
      </c>
      <c r="B359" s="139" t="s">
        <v>633</v>
      </c>
      <c r="C359" s="139" t="s">
        <v>832</v>
      </c>
      <c r="D359" s="139">
        <v>4.5999999999999996</v>
      </c>
      <c r="E359" s="139">
        <v>0.05</v>
      </c>
      <c r="F359" s="139" t="s">
        <v>942</v>
      </c>
      <c r="G359" s="140" t="s">
        <v>942</v>
      </c>
      <c r="J359" s="139">
        <f t="shared" si="5"/>
        <v>1</v>
      </c>
    </row>
    <row r="360" spans="1:10" x14ac:dyDescent="0.25">
      <c r="A360" s="139">
        <v>549</v>
      </c>
      <c r="B360" s="139" t="s">
        <v>634</v>
      </c>
      <c r="C360" s="139" t="s">
        <v>875</v>
      </c>
      <c r="D360" s="139">
        <v>4.5999999999999996</v>
      </c>
      <c r="E360" s="139">
        <v>0.05</v>
      </c>
      <c r="F360" s="139">
        <v>4.5999999999999996</v>
      </c>
      <c r="G360" s="140">
        <v>4.1037037037036997E-2</v>
      </c>
      <c r="J360" s="139">
        <f t="shared" si="5"/>
        <v>1</v>
      </c>
    </row>
    <row r="361" spans="1:10" x14ac:dyDescent="0.25">
      <c r="A361" s="139">
        <v>550</v>
      </c>
      <c r="B361" s="139" t="s">
        <v>635</v>
      </c>
      <c r="C361" s="139" t="s">
        <v>859</v>
      </c>
      <c r="D361" s="139">
        <v>4.5999999999999996</v>
      </c>
      <c r="E361" s="139">
        <v>0.05</v>
      </c>
      <c r="F361" s="139" t="s">
        <v>942</v>
      </c>
      <c r="G361" s="140" t="s">
        <v>942</v>
      </c>
      <c r="J361" s="139">
        <f t="shared" si="5"/>
        <v>1</v>
      </c>
    </row>
    <row r="362" spans="1:10" x14ac:dyDescent="0.25">
      <c r="A362" s="139">
        <v>551</v>
      </c>
      <c r="B362" s="139" t="s">
        <v>636</v>
      </c>
      <c r="C362" s="139" t="s">
        <v>193</v>
      </c>
      <c r="D362" s="139">
        <v>4.5999999999999996</v>
      </c>
      <c r="E362" s="139">
        <v>0.05</v>
      </c>
      <c r="F362" s="139">
        <v>4.5999999999999996</v>
      </c>
      <c r="G362" s="140">
        <v>4.5963718820861699E-2</v>
      </c>
      <c r="J362" s="139">
        <f t="shared" si="5"/>
        <v>1</v>
      </c>
    </row>
    <row r="363" spans="1:10" x14ac:dyDescent="0.25">
      <c r="A363" s="139">
        <v>552</v>
      </c>
      <c r="B363" s="139" t="s">
        <v>637</v>
      </c>
      <c r="C363" s="139" t="s">
        <v>952</v>
      </c>
      <c r="D363" s="139">
        <v>4.5999999999999996</v>
      </c>
      <c r="E363" s="139">
        <v>0.15</v>
      </c>
      <c r="F363" s="139" t="s">
        <v>942</v>
      </c>
      <c r="G363" s="140" t="s">
        <v>942</v>
      </c>
      <c r="J363" s="139">
        <f t="shared" si="5"/>
        <v>1</v>
      </c>
    </row>
    <row r="364" spans="1:10" x14ac:dyDescent="0.25">
      <c r="A364" s="139">
        <v>553</v>
      </c>
      <c r="B364" s="139" t="s">
        <v>638</v>
      </c>
      <c r="C364" s="139" t="s">
        <v>185</v>
      </c>
      <c r="D364" s="139">
        <v>4.5999999999999996</v>
      </c>
      <c r="E364" s="139">
        <v>0.05</v>
      </c>
      <c r="F364" s="139">
        <v>4.5999999999999996</v>
      </c>
      <c r="G364" s="140">
        <v>5.0198846387371002E-2</v>
      </c>
      <c r="J364" s="139">
        <f t="shared" si="5"/>
        <v>1</v>
      </c>
    </row>
    <row r="365" spans="1:10" x14ac:dyDescent="0.25">
      <c r="A365" s="139">
        <v>554</v>
      </c>
      <c r="B365" s="139" t="s">
        <v>639</v>
      </c>
      <c r="C365" s="139" t="s">
        <v>195</v>
      </c>
      <c r="D365" s="139">
        <v>4.5999999999999996</v>
      </c>
      <c r="E365" s="139">
        <v>0.05</v>
      </c>
      <c r="F365" s="139" t="s">
        <v>942</v>
      </c>
      <c r="G365" s="140" t="s">
        <v>942</v>
      </c>
      <c r="J365" s="139">
        <f t="shared" si="5"/>
        <v>1</v>
      </c>
    </row>
    <row r="366" spans="1:10" x14ac:dyDescent="0.25">
      <c r="A366" s="139">
        <v>555</v>
      </c>
      <c r="B366" s="139" t="s">
        <v>640</v>
      </c>
      <c r="C366" s="139" t="s">
        <v>187</v>
      </c>
      <c r="D366" s="139">
        <v>4.5999999999999996</v>
      </c>
      <c r="E366" s="139">
        <v>5.3333333333333337E-2</v>
      </c>
      <c r="F366" s="139">
        <v>4.5999999999999996</v>
      </c>
      <c r="G366" s="140">
        <v>5.11642135642136E-2</v>
      </c>
      <c r="J366" s="139">
        <f t="shared" si="5"/>
        <v>1</v>
      </c>
    </row>
    <row r="367" spans="1:10" x14ac:dyDescent="0.25">
      <c r="A367" s="139">
        <v>556</v>
      </c>
      <c r="B367" s="139" t="s">
        <v>641</v>
      </c>
      <c r="C367" s="139" t="s">
        <v>182</v>
      </c>
      <c r="D367" s="139">
        <v>0</v>
      </c>
      <c r="E367" s="139">
        <v>5.3333333333333337E-2</v>
      </c>
      <c r="F367" s="139" t="s">
        <v>942</v>
      </c>
      <c r="G367" s="140" t="s">
        <v>942</v>
      </c>
      <c r="J367" s="139">
        <f t="shared" si="5"/>
        <v>1</v>
      </c>
    </row>
    <row r="368" spans="1:10" x14ac:dyDescent="0.25">
      <c r="A368" s="139">
        <v>557</v>
      </c>
      <c r="B368" s="139" t="s">
        <v>642</v>
      </c>
      <c r="C368" s="139" t="s">
        <v>187</v>
      </c>
      <c r="D368" s="139">
        <v>0</v>
      </c>
      <c r="E368" s="139">
        <v>5.3333333333333337E-2</v>
      </c>
      <c r="F368" s="139" t="s">
        <v>942</v>
      </c>
      <c r="G368" s="140" t="s">
        <v>942</v>
      </c>
      <c r="J368" s="139">
        <f t="shared" si="5"/>
        <v>1</v>
      </c>
    </row>
    <row r="369" spans="1:10" x14ac:dyDescent="0.25">
      <c r="A369" s="139">
        <v>558</v>
      </c>
      <c r="B369" s="139" t="s">
        <v>643</v>
      </c>
      <c r="C369" s="139" t="s">
        <v>200</v>
      </c>
      <c r="D369" s="139">
        <v>4.9000000000000004</v>
      </c>
      <c r="E369" s="139">
        <v>0.05</v>
      </c>
      <c r="F369" s="139" t="s">
        <v>942</v>
      </c>
      <c r="G369" s="140" t="s">
        <v>942</v>
      </c>
      <c r="J369" s="139">
        <f t="shared" si="5"/>
        <v>1</v>
      </c>
    </row>
    <row r="370" spans="1:10" x14ac:dyDescent="0.25">
      <c r="A370" s="139">
        <v>559</v>
      </c>
      <c r="B370" s="139" t="s">
        <v>644</v>
      </c>
      <c r="C370" s="139" t="s">
        <v>182</v>
      </c>
      <c r="D370" s="139">
        <v>4.9000000000000004</v>
      </c>
      <c r="E370" s="139">
        <v>6.0000000000000005E-2</v>
      </c>
      <c r="F370" s="139">
        <v>4.9000000000000004</v>
      </c>
      <c r="G370" s="140">
        <v>5.7394152046783602E-2</v>
      </c>
      <c r="J370" s="139">
        <f t="shared" si="5"/>
        <v>1</v>
      </c>
    </row>
    <row r="371" spans="1:10" x14ac:dyDescent="0.25">
      <c r="A371" s="139">
        <v>560</v>
      </c>
      <c r="B371" s="139" t="s">
        <v>645</v>
      </c>
      <c r="C371" s="139" t="s">
        <v>874</v>
      </c>
      <c r="D371" s="139">
        <v>4.9000000000000004</v>
      </c>
      <c r="E371" s="139">
        <v>5.6666666666666664E-2</v>
      </c>
      <c r="F371" s="139" t="s">
        <v>942</v>
      </c>
      <c r="G371" s="140" t="s">
        <v>942</v>
      </c>
      <c r="J371" s="139">
        <f t="shared" si="5"/>
        <v>1</v>
      </c>
    </row>
    <row r="372" spans="1:10" x14ac:dyDescent="0.25">
      <c r="A372" s="139">
        <v>561</v>
      </c>
      <c r="B372" s="139" t="s">
        <v>646</v>
      </c>
      <c r="C372" s="139" t="s">
        <v>192</v>
      </c>
      <c r="D372" s="139">
        <v>4.9000000000000004</v>
      </c>
      <c r="E372" s="139">
        <v>6.0000000000000005E-2</v>
      </c>
      <c r="F372" s="139" t="s">
        <v>942</v>
      </c>
      <c r="G372" s="140" t="s">
        <v>942</v>
      </c>
      <c r="J372" s="139">
        <f t="shared" si="5"/>
        <v>1</v>
      </c>
    </row>
    <row r="373" spans="1:10" x14ac:dyDescent="0.25">
      <c r="A373" s="139">
        <v>562</v>
      </c>
      <c r="B373" s="139" t="s">
        <v>647</v>
      </c>
      <c r="C373" s="139" t="s">
        <v>951</v>
      </c>
      <c r="D373" s="139">
        <v>4.9000000000000004</v>
      </c>
      <c r="E373" s="139">
        <v>0.1</v>
      </c>
      <c r="F373" s="139" t="s">
        <v>942</v>
      </c>
      <c r="G373" s="140" t="s">
        <v>942</v>
      </c>
      <c r="J373" s="139">
        <f t="shared" si="5"/>
        <v>1</v>
      </c>
    </row>
    <row r="374" spans="1:10" x14ac:dyDescent="0.25">
      <c r="A374" s="139">
        <v>563</v>
      </c>
      <c r="B374" s="139" t="s">
        <v>648</v>
      </c>
      <c r="C374" s="139" t="s">
        <v>194</v>
      </c>
      <c r="D374" s="139">
        <v>4.9000000000000004</v>
      </c>
      <c r="E374" s="139">
        <v>6.0000000000000005E-2</v>
      </c>
      <c r="F374" s="139" t="s">
        <v>942</v>
      </c>
      <c r="G374" s="140" t="s">
        <v>942</v>
      </c>
      <c r="J374" s="139">
        <f t="shared" si="5"/>
        <v>1</v>
      </c>
    </row>
    <row r="375" spans="1:10" x14ac:dyDescent="0.25">
      <c r="A375" s="139">
        <v>564</v>
      </c>
      <c r="B375" s="139" t="s">
        <v>649</v>
      </c>
      <c r="C375" s="139" t="s">
        <v>185</v>
      </c>
      <c r="D375" s="139">
        <v>4.9000000000000004</v>
      </c>
      <c r="E375" s="139">
        <v>6.0000000000000005E-2</v>
      </c>
      <c r="F375" s="139" t="s">
        <v>942</v>
      </c>
      <c r="G375" s="140" t="s">
        <v>942</v>
      </c>
      <c r="J375" s="139">
        <f t="shared" si="5"/>
        <v>1</v>
      </c>
    </row>
    <row r="376" spans="1:10" x14ac:dyDescent="0.25">
      <c r="A376" s="139">
        <v>565</v>
      </c>
      <c r="B376" s="139" t="s">
        <v>650</v>
      </c>
      <c r="C376" s="139" t="s">
        <v>201</v>
      </c>
      <c r="D376" s="139">
        <v>4.9000000000000004</v>
      </c>
      <c r="E376" s="139">
        <v>7.3333333333333334E-2</v>
      </c>
      <c r="F376" s="139">
        <v>4.9000000000000004</v>
      </c>
      <c r="G376" s="140">
        <v>7.1994805194805195E-2</v>
      </c>
      <c r="J376" s="139">
        <f t="shared" si="5"/>
        <v>1</v>
      </c>
    </row>
    <row r="377" spans="1:10" x14ac:dyDescent="0.25">
      <c r="A377" s="139">
        <v>566</v>
      </c>
      <c r="B377" s="139" t="s">
        <v>651</v>
      </c>
      <c r="C377" s="139" t="s">
        <v>867</v>
      </c>
      <c r="D377" s="139">
        <v>5.0999999999999996</v>
      </c>
      <c r="E377" s="139">
        <v>0.05</v>
      </c>
      <c r="F377" s="139">
        <v>5.0999999999999996</v>
      </c>
      <c r="G377" s="140">
        <v>4.257343550447E-2</v>
      </c>
      <c r="J377" s="139">
        <f t="shared" si="5"/>
        <v>1</v>
      </c>
    </row>
    <row r="378" spans="1:10" x14ac:dyDescent="0.25">
      <c r="A378" s="139">
        <v>567</v>
      </c>
      <c r="B378" s="139" t="s">
        <v>652</v>
      </c>
      <c r="C378" s="139" t="s">
        <v>182</v>
      </c>
      <c r="D378" s="139">
        <v>5.0999999999999996</v>
      </c>
      <c r="E378" s="139">
        <v>5.6666666666666664E-2</v>
      </c>
      <c r="F378" s="139">
        <v>5.0999999999999996</v>
      </c>
      <c r="G378" s="140">
        <v>5.1641975308642001E-2</v>
      </c>
      <c r="J378" s="139">
        <f t="shared" si="5"/>
        <v>1</v>
      </c>
    </row>
    <row r="379" spans="1:10" x14ac:dyDescent="0.25">
      <c r="A379" s="139">
        <v>568</v>
      </c>
      <c r="B379" s="139" t="s">
        <v>653</v>
      </c>
      <c r="C379" s="139" t="s">
        <v>203</v>
      </c>
      <c r="D379" s="139">
        <v>5.0999999999999996</v>
      </c>
      <c r="E379" s="139">
        <v>4.6666666666666662E-2</v>
      </c>
      <c r="F379" s="139">
        <v>5.0999999999999996</v>
      </c>
      <c r="G379" s="140">
        <v>4.5109598143971003E-2</v>
      </c>
      <c r="J379" s="139">
        <f t="shared" si="5"/>
        <v>1</v>
      </c>
    </row>
    <row r="380" spans="1:10" x14ac:dyDescent="0.25">
      <c r="A380" s="139">
        <v>569</v>
      </c>
      <c r="B380" s="139" t="s">
        <v>654</v>
      </c>
      <c r="C380" s="139" t="s">
        <v>874</v>
      </c>
      <c r="D380" s="139">
        <v>5.0999999999999996</v>
      </c>
      <c r="E380" s="139">
        <v>4.4444444444444446E-2</v>
      </c>
      <c r="F380" s="139">
        <v>5.0999999999999996</v>
      </c>
      <c r="G380" s="140">
        <v>4.48237347294939E-2</v>
      </c>
      <c r="J380" s="139">
        <f t="shared" si="5"/>
        <v>1</v>
      </c>
    </row>
    <row r="381" spans="1:10" x14ac:dyDescent="0.25">
      <c r="A381" s="139">
        <v>570</v>
      </c>
      <c r="B381" s="139" t="s">
        <v>655</v>
      </c>
      <c r="C381" s="139" t="s">
        <v>201</v>
      </c>
      <c r="D381" s="139">
        <v>5.0999999999999996</v>
      </c>
      <c r="E381" s="139">
        <v>7.3333333333333334E-2</v>
      </c>
      <c r="F381" s="139" t="s">
        <v>942</v>
      </c>
      <c r="G381" s="140" t="s">
        <v>942</v>
      </c>
      <c r="J381" s="139">
        <f t="shared" si="5"/>
        <v>1</v>
      </c>
    </row>
    <row r="382" spans="1:10" x14ac:dyDescent="0.25">
      <c r="A382" s="139">
        <v>571</v>
      </c>
      <c r="B382" s="139" t="s">
        <v>656</v>
      </c>
      <c r="C382" s="139" t="s">
        <v>875</v>
      </c>
      <c r="D382" s="139">
        <v>5.0999999999999996</v>
      </c>
      <c r="E382" s="139">
        <v>5.6666666666666664E-2</v>
      </c>
      <c r="F382" s="139" t="s">
        <v>942</v>
      </c>
      <c r="G382" s="140" t="s">
        <v>942</v>
      </c>
      <c r="J382" s="139">
        <f t="shared" si="5"/>
        <v>1</v>
      </c>
    </row>
    <row r="383" spans="1:10" x14ac:dyDescent="0.25">
      <c r="A383" s="139">
        <v>572</v>
      </c>
      <c r="B383" s="139" t="s">
        <v>657</v>
      </c>
      <c r="C383" s="139" t="s">
        <v>193</v>
      </c>
      <c r="D383" s="139">
        <v>5.0999999999999996</v>
      </c>
      <c r="E383" s="139">
        <v>0.15</v>
      </c>
      <c r="F383" s="139" t="s">
        <v>942</v>
      </c>
      <c r="G383" s="140" t="s">
        <v>942</v>
      </c>
      <c r="J383" s="139">
        <f t="shared" si="5"/>
        <v>1</v>
      </c>
    </row>
    <row r="384" spans="1:10" x14ac:dyDescent="0.25">
      <c r="A384" s="139">
        <v>573</v>
      </c>
      <c r="B384" s="139" t="s">
        <v>658</v>
      </c>
      <c r="C384" s="139" t="s">
        <v>195</v>
      </c>
      <c r="D384" s="139">
        <v>5.0999999999999996</v>
      </c>
      <c r="E384" s="139">
        <v>0.11333333333333333</v>
      </c>
      <c r="F384" s="139">
        <v>5.0999999999999996</v>
      </c>
      <c r="G384" s="140">
        <v>5.2293333333333303E-2</v>
      </c>
      <c r="J384" s="139">
        <f t="shared" si="5"/>
        <v>1</v>
      </c>
    </row>
    <row r="385" spans="1:10" x14ac:dyDescent="0.25">
      <c r="A385" s="139">
        <v>574</v>
      </c>
      <c r="B385" s="139" t="s">
        <v>659</v>
      </c>
      <c r="C385" s="139" t="s">
        <v>200</v>
      </c>
      <c r="D385" s="139">
        <v>6</v>
      </c>
      <c r="E385" s="139">
        <v>7.6666666666666661E-2</v>
      </c>
      <c r="F385" s="139">
        <v>6</v>
      </c>
      <c r="G385" s="140">
        <v>7.9237543859649096E-2</v>
      </c>
      <c r="J385" s="139">
        <f t="shared" si="5"/>
        <v>1</v>
      </c>
    </row>
    <row r="386" spans="1:10" x14ac:dyDescent="0.25">
      <c r="A386" s="139">
        <v>575</v>
      </c>
      <c r="B386" s="139" t="s">
        <v>660</v>
      </c>
      <c r="C386" s="139" t="s">
        <v>182</v>
      </c>
      <c r="D386" s="139">
        <v>6</v>
      </c>
      <c r="E386" s="139">
        <v>7.6666666666666661E-2</v>
      </c>
      <c r="F386" s="139">
        <v>6</v>
      </c>
      <c r="G386" s="140">
        <v>8.0939393939394005E-2</v>
      </c>
      <c r="J386" s="139">
        <f t="shared" si="5"/>
        <v>1</v>
      </c>
    </row>
    <row r="387" spans="1:10" x14ac:dyDescent="0.25">
      <c r="A387" s="139">
        <v>576</v>
      </c>
      <c r="B387" s="139" t="s">
        <v>661</v>
      </c>
      <c r="C387" s="139" t="s">
        <v>188</v>
      </c>
      <c r="D387" s="139">
        <v>6</v>
      </c>
      <c r="E387" s="139">
        <v>7.6666666666666661E-2</v>
      </c>
      <c r="F387" s="139">
        <v>6</v>
      </c>
      <c r="G387" s="140">
        <v>7.5518518518518499E-2</v>
      </c>
      <c r="J387" s="139">
        <f t="shared" ref="J387:J450" si="6">COUNTIF(A:A,A387)</f>
        <v>1</v>
      </c>
    </row>
    <row r="388" spans="1:10" x14ac:dyDescent="0.25">
      <c r="A388" s="139">
        <v>577</v>
      </c>
      <c r="B388" s="139" t="s">
        <v>662</v>
      </c>
      <c r="C388" s="139" t="s">
        <v>200</v>
      </c>
      <c r="D388" s="139">
        <v>9.1999999999999993</v>
      </c>
      <c r="E388" s="139">
        <v>0.10666666666666667</v>
      </c>
      <c r="F388" s="139">
        <v>9.1999999999999993</v>
      </c>
      <c r="G388" s="140">
        <v>0.108336888888889</v>
      </c>
      <c r="J388" s="139">
        <f t="shared" si="6"/>
        <v>1</v>
      </c>
    </row>
    <row r="389" spans="1:10" x14ac:dyDescent="0.25">
      <c r="A389" s="139">
        <v>578</v>
      </c>
      <c r="B389" s="139" t="s">
        <v>663</v>
      </c>
      <c r="C389" s="139" t="s">
        <v>182</v>
      </c>
      <c r="D389" s="139">
        <v>9.1999999999999993</v>
      </c>
      <c r="E389" s="139">
        <v>0.10666666666666667</v>
      </c>
      <c r="F389" s="139">
        <v>9.1999999999999993</v>
      </c>
      <c r="G389" s="140">
        <v>9.9118892160628205E-2</v>
      </c>
      <c r="J389" s="139">
        <f t="shared" si="6"/>
        <v>1</v>
      </c>
    </row>
    <row r="390" spans="1:10" x14ac:dyDescent="0.25">
      <c r="A390" s="139">
        <v>579</v>
      </c>
      <c r="B390" s="139" t="s">
        <v>664</v>
      </c>
      <c r="C390" s="139" t="s">
        <v>877</v>
      </c>
      <c r="D390" s="139">
        <v>9.1999999999999993</v>
      </c>
      <c r="E390" s="139">
        <v>0.10666666666666667</v>
      </c>
      <c r="F390" s="139" t="s">
        <v>942</v>
      </c>
      <c r="G390" s="140" t="s">
        <v>942</v>
      </c>
      <c r="J390" s="139">
        <f t="shared" si="6"/>
        <v>1</v>
      </c>
    </row>
    <row r="391" spans="1:10" x14ac:dyDescent="0.25">
      <c r="A391" s="139">
        <v>580</v>
      </c>
      <c r="B391" s="139" t="s">
        <v>665</v>
      </c>
      <c r="C391" s="139" t="s">
        <v>188</v>
      </c>
      <c r="D391" s="139">
        <v>9.1999999999999993</v>
      </c>
      <c r="E391" s="139">
        <v>0.1</v>
      </c>
      <c r="F391" s="139" t="s">
        <v>942</v>
      </c>
      <c r="G391" s="140" t="s">
        <v>942</v>
      </c>
      <c r="J391" s="139">
        <f t="shared" si="6"/>
        <v>1</v>
      </c>
    </row>
    <row r="392" spans="1:10" x14ac:dyDescent="0.25">
      <c r="A392" s="139">
        <v>581</v>
      </c>
      <c r="B392" s="139" t="s">
        <v>666</v>
      </c>
      <c r="C392" s="139" t="s">
        <v>204</v>
      </c>
      <c r="D392" s="139">
        <v>9.1999999999999993</v>
      </c>
      <c r="E392" s="139">
        <v>0.10666666666666667</v>
      </c>
      <c r="F392" s="139" t="s">
        <v>942</v>
      </c>
      <c r="G392" s="140" t="s">
        <v>942</v>
      </c>
      <c r="J392" s="139">
        <f t="shared" si="6"/>
        <v>1</v>
      </c>
    </row>
    <row r="393" spans="1:10" x14ac:dyDescent="0.25">
      <c r="A393" s="139">
        <v>582</v>
      </c>
      <c r="B393" s="139" t="s">
        <v>667</v>
      </c>
      <c r="C393" s="139" t="s">
        <v>185</v>
      </c>
      <c r="D393" s="139">
        <v>9.1999999999999993</v>
      </c>
      <c r="E393" s="139">
        <v>0.10666666666666667</v>
      </c>
      <c r="F393" s="139" t="s">
        <v>942</v>
      </c>
      <c r="G393" s="140" t="s">
        <v>942</v>
      </c>
      <c r="J393" s="139">
        <f t="shared" si="6"/>
        <v>1</v>
      </c>
    </row>
    <row r="394" spans="1:10" x14ac:dyDescent="0.25">
      <c r="A394" s="139">
        <v>583</v>
      </c>
      <c r="B394" s="139" t="s">
        <v>668</v>
      </c>
      <c r="C394" s="139" t="s">
        <v>195</v>
      </c>
      <c r="D394" s="139">
        <v>9.1999999999999993</v>
      </c>
      <c r="E394" s="139">
        <v>7.3333333333333334E-2</v>
      </c>
      <c r="F394" s="139" t="s">
        <v>942</v>
      </c>
      <c r="G394" s="140" t="s">
        <v>942</v>
      </c>
      <c r="J394" s="139">
        <f t="shared" si="6"/>
        <v>1</v>
      </c>
    </row>
    <row r="395" spans="1:10" x14ac:dyDescent="0.25">
      <c r="A395" s="139">
        <v>584</v>
      </c>
      <c r="B395" s="139" t="s">
        <v>669</v>
      </c>
      <c r="C395" s="139" t="s">
        <v>187</v>
      </c>
      <c r="D395" s="139">
        <v>9.1999999999999993</v>
      </c>
      <c r="E395" s="139">
        <v>0.1</v>
      </c>
      <c r="F395" s="139">
        <v>9.1999999999999993</v>
      </c>
      <c r="G395" s="140">
        <v>0.101707317073171</v>
      </c>
      <c r="J395" s="139">
        <f t="shared" si="6"/>
        <v>1</v>
      </c>
    </row>
    <row r="396" spans="1:10" x14ac:dyDescent="0.25">
      <c r="A396" s="139">
        <v>585</v>
      </c>
      <c r="B396" s="139" t="s">
        <v>670</v>
      </c>
      <c r="C396" s="139" t="s">
        <v>182</v>
      </c>
      <c r="D396" s="139">
        <v>4.5999999999999996</v>
      </c>
      <c r="E396" s="139">
        <v>7.3333333333333334E-2</v>
      </c>
      <c r="F396" s="139" t="s">
        <v>942</v>
      </c>
      <c r="G396" s="140" t="s">
        <v>942</v>
      </c>
      <c r="J396" s="139">
        <f t="shared" si="6"/>
        <v>1</v>
      </c>
    </row>
    <row r="397" spans="1:10" x14ac:dyDescent="0.25">
      <c r="A397" s="139">
        <v>586</v>
      </c>
      <c r="B397" s="139" t="s">
        <v>671</v>
      </c>
      <c r="C397" s="139" t="s">
        <v>187</v>
      </c>
      <c r="D397" s="139">
        <v>4.5999999999999996</v>
      </c>
      <c r="E397" s="139">
        <v>6.6666666666666666E-2</v>
      </c>
      <c r="F397" s="139">
        <v>4.5999999999999996</v>
      </c>
      <c r="G397" s="140">
        <v>6.4399999999999999E-2</v>
      </c>
      <c r="J397" s="139">
        <f t="shared" si="6"/>
        <v>1</v>
      </c>
    </row>
    <row r="398" spans="1:10" x14ac:dyDescent="0.25">
      <c r="A398" s="139">
        <v>587</v>
      </c>
      <c r="B398" s="139" t="s">
        <v>672</v>
      </c>
      <c r="C398" s="139" t="s">
        <v>188</v>
      </c>
      <c r="D398" s="139">
        <v>9</v>
      </c>
      <c r="E398" s="139">
        <v>0.13333333333333333</v>
      </c>
      <c r="F398" s="139">
        <v>9</v>
      </c>
      <c r="G398" s="140">
        <v>0.132422815279958</v>
      </c>
      <c r="J398" s="139">
        <f t="shared" si="6"/>
        <v>1</v>
      </c>
    </row>
    <row r="399" spans="1:10" x14ac:dyDescent="0.25">
      <c r="A399" s="139">
        <v>588</v>
      </c>
      <c r="B399" s="139" t="s">
        <v>673</v>
      </c>
      <c r="C399" s="139" t="s">
        <v>884</v>
      </c>
      <c r="D399" s="139">
        <v>9</v>
      </c>
      <c r="E399" s="139">
        <v>0.13333333333333333</v>
      </c>
      <c r="F399" s="139">
        <v>9</v>
      </c>
      <c r="G399" s="140">
        <v>0.13405026300409101</v>
      </c>
      <c r="J399" s="139">
        <f t="shared" si="6"/>
        <v>1</v>
      </c>
    </row>
    <row r="400" spans="1:10" x14ac:dyDescent="0.25">
      <c r="A400" s="139">
        <v>589</v>
      </c>
      <c r="B400" s="139" t="s">
        <v>674</v>
      </c>
      <c r="C400" s="139" t="s">
        <v>874</v>
      </c>
      <c r="D400" s="139">
        <v>9</v>
      </c>
      <c r="E400" s="139">
        <v>0.13333333333333333</v>
      </c>
      <c r="F400" s="139" t="s">
        <v>942</v>
      </c>
      <c r="G400" s="140" t="s">
        <v>942</v>
      </c>
      <c r="J400" s="139">
        <f t="shared" si="6"/>
        <v>1</v>
      </c>
    </row>
    <row r="401" spans="1:10" x14ac:dyDescent="0.25">
      <c r="A401" s="139">
        <v>590</v>
      </c>
      <c r="B401" s="139" t="s">
        <v>675</v>
      </c>
      <c r="C401" s="139" t="s">
        <v>204</v>
      </c>
      <c r="D401" s="139">
        <v>9</v>
      </c>
      <c r="E401" s="139">
        <v>0.13333333333333333</v>
      </c>
      <c r="F401" s="139">
        <v>9</v>
      </c>
      <c r="G401" s="140">
        <v>0.130230031948882</v>
      </c>
      <c r="J401" s="139">
        <f t="shared" si="6"/>
        <v>1</v>
      </c>
    </row>
    <row r="402" spans="1:10" x14ac:dyDescent="0.25">
      <c r="A402" s="139">
        <v>591</v>
      </c>
      <c r="B402" s="139" t="s">
        <v>676</v>
      </c>
      <c r="C402" s="139" t="s">
        <v>859</v>
      </c>
      <c r="D402" s="139">
        <v>9</v>
      </c>
      <c r="E402" s="139">
        <v>0.13333333333333333</v>
      </c>
      <c r="F402" s="139" t="s">
        <v>942</v>
      </c>
      <c r="G402" s="140" t="s">
        <v>942</v>
      </c>
      <c r="J402" s="139">
        <f t="shared" si="6"/>
        <v>1</v>
      </c>
    </row>
    <row r="403" spans="1:10" x14ac:dyDescent="0.25">
      <c r="A403" s="139">
        <v>592</v>
      </c>
      <c r="B403" s="139" t="s">
        <v>677</v>
      </c>
      <c r="C403" s="139" t="s">
        <v>862</v>
      </c>
      <c r="D403" s="139">
        <v>9</v>
      </c>
      <c r="E403" s="139">
        <v>0.13333333333333333</v>
      </c>
      <c r="F403" s="139">
        <v>9</v>
      </c>
      <c r="G403" s="140">
        <v>0.126599190283401</v>
      </c>
      <c r="J403" s="139">
        <f t="shared" si="6"/>
        <v>1</v>
      </c>
    </row>
    <row r="404" spans="1:10" x14ac:dyDescent="0.25">
      <c r="A404" s="139">
        <v>593</v>
      </c>
      <c r="B404" s="139" t="s">
        <v>678</v>
      </c>
      <c r="C404" s="139" t="s">
        <v>193</v>
      </c>
      <c r="D404" s="139">
        <v>9</v>
      </c>
      <c r="E404" s="139">
        <v>0.13333333333333333</v>
      </c>
      <c r="F404" s="139">
        <v>9</v>
      </c>
      <c r="G404" s="140">
        <v>0.131886018860189</v>
      </c>
      <c r="J404" s="139">
        <f t="shared" si="6"/>
        <v>1</v>
      </c>
    </row>
    <row r="405" spans="1:10" x14ac:dyDescent="0.25">
      <c r="A405" s="139">
        <v>594</v>
      </c>
      <c r="B405" s="139" t="s">
        <v>679</v>
      </c>
      <c r="C405" s="139" t="s">
        <v>199</v>
      </c>
      <c r="D405" s="139">
        <v>9</v>
      </c>
      <c r="E405" s="139">
        <v>0.13333333333333333</v>
      </c>
      <c r="F405" s="139">
        <v>9</v>
      </c>
      <c r="G405" s="140">
        <v>0.131766131089008</v>
      </c>
      <c r="J405" s="139">
        <f t="shared" si="6"/>
        <v>1</v>
      </c>
    </row>
    <row r="406" spans="1:10" x14ac:dyDescent="0.25">
      <c r="A406" s="139">
        <v>595</v>
      </c>
      <c r="B406" s="139" t="s">
        <v>680</v>
      </c>
      <c r="C406" s="139" t="s">
        <v>187</v>
      </c>
      <c r="D406" s="139">
        <v>0</v>
      </c>
      <c r="E406" s="139">
        <v>0.18333333333333332</v>
      </c>
      <c r="F406" s="139" t="s">
        <v>942</v>
      </c>
      <c r="G406" s="140" t="s">
        <v>942</v>
      </c>
      <c r="J406" s="139">
        <f t="shared" si="6"/>
        <v>1</v>
      </c>
    </row>
    <row r="407" spans="1:10" x14ac:dyDescent="0.25">
      <c r="A407" s="139">
        <v>596</v>
      </c>
      <c r="B407" s="139" t="s">
        <v>681</v>
      </c>
      <c r="C407" s="139" t="s">
        <v>182</v>
      </c>
      <c r="D407" s="139">
        <v>0</v>
      </c>
      <c r="E407" s="139">
        <v>0.13333333333333333</v>
      </c>
      <c r="F407" s="139">
        <v>0</v>
      </c>
      <c r="G407" s="140">
        <v>0.11638936781609199</v>
      </c>
      <c r="J407" s="139">
        <f t="shared" si="6"/>
        <v>1</v>
      </c>
    </row>
    <row r="408" spans="1:10" x14ac:dyDescent="0.25">
      <c r="A408" s="139">
        <v>597</v>
      </c>
      <c r="B408" s="139" t="s">
        <v>682</v>
      </c>
      <c r="C408" s="139" t="s">
        <v>187</v>
      </c>
      <c r="D408" s="139">
        <v>0</v>
      </c>
      <c r="E408" s="139">
        <v>0.13333333333333333</v>
      </c>
      <c r="F408" s="139" t="s">
        <v>942</v>
      </c>
      <c r="G408" s="140" t="s">
        <v>942</v>
      </c>
      <c r="J408" s="139">
        <f t="shared" si="6"/>
        <v>1</v>
      </c>
    </row>
    <row r="409" spans="1:10" x14ac:dyDescent="0.25">
      <c r="A409" s="139">
        <v>598</v>
      </c>
      <c r="B409" s="139" t="s">
        <v>683</v>
      </c>
      <c r="C409" s="139" t="s">
        <v>182</v>
      </c>
      <c r="D409" s="139">
        <v>5.7</v>
      </c>
      <c r="E409" s="139">
        <v>0.04</v>
      </c>
      <c r="F409" s="139" t="s">
        <v>942</v>
      </c>
      <c r="G409" s="140" t="s">
        <v>942</v>
      </c>
      <c r="J409" s="139">
        <f t="shared" si="6"/>
        <v>1</v>
      </c>
    </row>
    <row r="410" spans="1:10" x14ac:dyDescent="0.25">
      <c r="A410" s="139">
        <v>599</v>
      </c>
      <c r="B410" s="139" t="s">
        <v>684</v>
      </c>
      <c r="C410" s="139" t="s">
        <v>190</v>
      </c>
      <c r="D410" s="139">
        <v>5.7</v>
      </c>
      <c r="E410" s="139">
        <v>0.05</v>
      </c>
      <c r="F410" s="139">
        <v>5.7</v>
      </c>
      <c r="G410" s="140">
        <v>4.9953198127925098E-2</v>
      </c>
      <c r="J410" s="139">
        <f t="shared" si="6"/>
        <v>1</v>
      </c>
    </row>
    <row r="411" spans="1:10" x14ac:dyDescent="0.25">
      <c r="A411" s="139">
        <v>600</v>
      </c>
      <c r="B411" s="139" t="s">
        <v>685</v>
      </c>
      <c r="C411" s="139" t="s">
        <v>182</v>
      </c>
      <c r="D411" s="139">
        <v>5.7</v>
      </c>
      <c r="E411" s="139">
        <v>0.05</v>
      </c>
      <c r="F411" s="139">
        <v>5.7</v>
      </c>
      <c r="G411" s="140">
        <v>4.9783658536585403E-2</v>
      </c>
      <c r="J411" s="139">
        <f t="shared" si="6"/>
        <v>1</v>
      </c>
    </row>
    <row r="412" spans="1:10" x14ac:dyDescent="0.25">
      <c r="A412" s="139">
        <v>601</v>
      </c>
      <c r="B412" s="139" t="s">
        <v>686</v>
      </c>
      <c r="C412" s="139" t="s">
        <v>950</v>
      </c>
      <c r="D412" s="139">
        <v>5.7</v>
      </c>
      <c r="E412" s="139">
        <v>0.05</v>
      </c>
      <c r="F412" s="139" t="s">
        <v>942</v>
      </c>
      <c r="G412" s="140" t="s">
        <v>942</v>
      </c>
      <c r="J412" s="139">
        <f t="shared" si="6"/>
        <v>1</v>
      </c>
    </row>
    <row r="413" spans="1:10" x14ac:dyDescent="0.25">
      <c r="A413" s="139">
        <v>602</v>
      </c>
      <c r="B413" s="139" t="s">
        <v>687</v>
      </c>
      <c r="C413" s="139" t="s">
        <v>188</v>
      </c>
      <c r="D413" s="139">
        <v>5.7</v>
      </c>
      <c r="E413" s="139">
        <v>0.05</v>
      </c>
      <c r="F413" s="139">
        <v>5.7</v>
      </c>
      <c r="G413" s="140">
        <v>5.0119170984456E-2</v>
      </c>
      <c r="J413" s="139">
        <f t="shared" si="6"/>
        <v>1</v>
      </c>
    </row>
    <row r="414" spans="1:10" x14ac:dyDescent="0.25">
      <c r="A414" s="139">
        <v>603</v>
      </c>
      <c r="B414" s="139" t="s">
        <v>688</v>
      </c>
      <c r="C414" s="139" t="s">
        <v>947</v>
      </c>
      <c r="D414" s="139">
        <v>5.7</v>
      </c>
      <c r="E414" s="139">
        <v>0.05</v>
      </c>
      <c r="F414" s="139" t="s">
        <v>942</v>
      </c>
      <c r="G414" s="140" t="s">
        <v>942</v>
      </c>
      <c r="J414" s="139">
        <f t="shared" si="6"/>
        <v>1</v>
      </c>
    </row>
    <row r="415" spans="1:10" x14ac:dyDescent="0.25">
      <c r="A415" s="139">
        <v>604</v>
      </c>
      <c r="B415" s="139" t="s">
        <v>689</v>
      </c>
      <c r="C415" s="139" t="s">
        <v>192</v>
      </c>
      <c r="D415" s="139">
        <v>5.7</v>
      </c>
      <c r="E415" s="139">
        <v>0.05</v>
      </c>
      <c r="F415" s="139" t="s">
        <v>942</v>
      </c>
      <c r="G415" s="140" t="s">
        <v>942</v>
      </c>
      <c r="J415" s="139">
        <f t="shared" si="6"/>
        <v>1</v>
      </c>
    </row>
    <row r="416" spans="1:10" x14ac:dyDescent="0.25">
      <c r="A416" s="139">
        <v>605</v>
      </c>
      <c r="B416" s="139" t="s">
        <v>690</v>
      </c>
      <c r="C416" s="139" t="s">
        <v>204</v>
      </c>
      <c r="D416" s="139">
        <v>5.7</v>
      </c>
      <c r="E416" s="139">
        <v>0.05</v>
      </c>
      <c r="F416" s="139" t="s">
        <v>942</v>
      </c>
      <c r="G416" s="140" t="s">
        <v>942</v>
      </c>
      <c r="J416" s="139">
        <f t="shared" si="6"/>
        <v>1</v>
      </c>
    </row>
    <row r="417" spans="1:10" x14ac:dyDescent="0.25">
      <c r="A417" s="139">
        <v>606</v>
      </c>
      <c r="B417" s="139" t="s">
        <v>691</v>
      </c>
      <c r="C417" s="139" t="s">
        <v>193</v>
      </c>
      <c r="D417" s="139">
        <v>5.7</v>
      </c>
      <c r="E417" s="139">
        <v>0.05</v>
      </c>
      <c r="F417" s="139">
        <v>5.7</v>
      </c>
      <c r="G417" s="140">
        <v>5.3395061728395102E-2</v>
      </c>
      <c r="J417" s="139">
        <f t="shared" si="6"/>
        <v>1</v>
      </c>
    </row>
    <row r="418" spans="1:10" x14ac:dyDescent="0.25">
      <c r="A418" s="139">
        <v>607</v>
      </c>
      <c r="B418" s="139" t="s">
        <v>692</v>
      </c>
      <c r="C418" s="139" t="s">
        <v>185</v>
      </c>
      <c r="D418" s="139">
        <v>5.7</v>
      </c>
      <c r="E418" s="139">
        <v>0.05</v>
      </c>
      <c r="F418" s="139" t="s">
        <v>942</v>
      </c>
      <c r="G418" s="140" t="s">
        <v>942</v>
      </c>
      <c r="J418" s="139">
        <f t="shared" si="6"/>
        <v>1</v>
      </c>
    </row>
    <row r="419" spans="1:10" x14ac:dyDescent="0.25">
      <c r="A419" s="139">
        <v>608</v>
      </c>
      <c r="B419" s="139" t="s">
        <v>693</v>
      </c>
      <c r="C419" s="139" t="s">
        <v>187</v>
      </c>
      <c r="D419" s="139">
        <v>5.7</v>
      </c>
      <c r="E419" s="139">
        <v>0.05</v>
      </c>
      <c r="F419" s="139">
        <v>5.7</v>
      </c>
      <c r="G419" s="140">
        <v>4.9575265614139601E-2</v>
      </c>
      <c r="J419" s="139">
        <f t="shared" si="6"/>
        <v>1</v>
      </c>
    </row>
    <row r="420" spans="1:10" x14ac:dyDescent="0.25">
      <c r="A420" s="139">
        <v>609</v>
      </c>
      <c r="B420" s="139" t="s">
        <v>694</v>
      </c>
      <c r="C420" s="139" t="s">
        <v>182</v>
      </c>
      <c r="D420" s="139">
        <v>7</v>
      </c>
      <c r="E420" s="139">
        <v>6.0000000000000005E-2</v>
      </c>
      <c r="F420" s="139" t="s">
        <v>942</v>
      </c>
      <c r="G420" s="140" t="s">
        <v>942</v>
      </c>
      <c r="J420" s="139">
        <f t="shared" si="6"/>
        <v>1</v>
      </c>
    </row>
    <row r="421" spans="1:10" x14ac:dyDescent="0.25">
      <c r="A421" s="139">
        <v>610</v>
      </c>
      <c r="B421" s="139" t="s">
        <v>695</v>
      </c>
      <c r="C421" s="139" t="s">
        <v>190</v>
      </c>
      <c r="D421" s="139">
        <v>7</v>
      </c>
      <c r="E421" s="139">
        <v>6.0000000000000005E-2</v>
      </c>
      <c r="F421" s="139" t="s">
        <v>942</v>
      </c>
      <c r="G421" s="140" t="s">
        <v>942</v>
      </c>
      <c r="J421" s="139">
        <f t="shared" si="6"/>
        <v>1</v>
      </c>
    </row>
    <row r="422" spans="1:10" x14ac:dyDescent="0.25">
      <c r="A422" s="139">
        <v>611</v>
      </c>
      <c r="B422" s="139" t="s">
        <v>696</v>
      </c>
      <c r="C422" s="139" t="s">
        <v>182</v>
      </c>
      <c r="D422" s="139">
        <v>7</v>
      </c>
      <c r="E422" s="139">
        <v>6.0000000000000005E-2</v>
      </c>
      <c r="F422" s="139">
        <v>7</v>
      </c>
      <c r="G422" s="140">
        <v>5.5957004830917902E-2</v>
      </c>
      <c r="J422" s="139">
        <f t="shared" si="6"/>
        <v>1</v>
      </c>
    </row>
    <row r="423" spans="1:10" x14ac:dyDescent="0.25">
      <c r="A423" s="139">
        <v>612</v>
      </c>
      <c r="B423" s="139" t="s">
        <v>697</v>
      </c>
      <c r="C423" s="139" t="s">
        <v>187</v>
      </c>
      <c r="D423" s="139">
        <v>7</v>
      </c>
      <c r="E423" s="139">
        <v>6.0000000000000005E-2</v>
      </c>
      <c r="F423" s="139">
        <v>7</v>
      </c>
      <c r="G423" s="140">
        <v>5.71010860484545E-2</v>
      </c>
      <c r="J423" s="139">
        <f t="shared" si="6"/>
        <v>1</v>
      </c>
    </row>
    <row r="424" spans="1:10" x14ac:dyDescent="0.25">
      <c r="A424" s="139">
        <v>613</v>
      </c>
      <c r="B424" s="139" t="s">
        <v>698</v>
      </c>
      <c r="C424" s="139" t="s">
        <v>190</v>
      </c>
      <c r="D424" s="139">
        <v>8</v>
      </c>
      <c r="E424" s="139">
        <v>7.3333333333333334E-2</v>
      </c>
      <c r="F424" s="139" t="s">
        <v>942</v>
      </c>
      <c r="G424" s="140" t="s">
        <v>942</v>
      </c>
      <c r="J424" s="139">
        <f t="shared" si="6"/>
        <v>1</v>
      </c>
    </row>
    <row r="425" spans="1:10" x14ac:dyDescent="0.25">
      <c r="A425" s="139">
        <v>614</v>
      </c>
      <c r="B425" s="139" t="s">
        <v>699</v>
      </c>
      <c r="C425" s="139" t="s">
        <v>182</v>
      </c>
      <c r="D425" s="139">
        <v>8</v>
      </c>
      <c r="E425" s="139">
        <v>7.0000000000000007E-2</v>
      </c>
      <c r="F425" s="139" t="s">
        <v>942</v>
      </c>
      <c r="G425" s="140" t="s">
        <v>942</v>
      </c>
      <c r="J425" s="139">
        <f t="shared" si="6"/>
        <v>1</v>
      </c>
    </row>
    <row r="426" spans="1:10" x14ac:dyDescent="0.25">
      <c r="A426" s="139">
        <v>615</v>
      </c>
      <c r="B426" s="139" t="s">
        <v>700</v>
      </c>
      <c r="C426" s="139" t="s">
        <v>193</v>
      </c>
      <c r="D426" s="139">
        <v>8</v>
      </c>
      <c r="E426" s="139">
        <v>7.3333333333333334E-2</v>
      </c>
      <c r="F426" s="139">
        <v>8</v>
      </c>
      <c r="G426" s="140">
        <v>7.2181623931623903E-2</v>
      </c>
      <c r="J426" s="139">
        <f t="shared" si="6"/>
        <v>1</v>
      </c>
    </row>
    <row r="427" spans="1:10" x14ac:dyDescent="0.25">
      <c r="A427" s="139">
        <v>616</v>
      </c>
      <c r="B427" s="139" t="s">
        <v>701</v>
      </c>
      <c r="C427" s="139" t="s">
        <v>187</v>
      </c>
      <c r="D427" s="139">
        <v>8</v>
      </c>
      <c r="E427" s="139">
        <v>7.3333333333333334E-2</v>
      </c>
      <c r="F427" s="139" t="s">
        <v>942</v>
      </c>
      <c r="G427" s="140" t="s">
        <v>942</v>
      </c>
      <c r="J427" s="139">
        <f t="shared" si="6"/>
        <v>1</v>
      </c>
    </row>
    <row r="428" spans="1:10" x14ac:dyDescent="0.25">
      <c r="A428" s="139">
        <v>617</v>
      </c>
      <c r="B428" s="139" t="s">
        <v>702</v>
      </c>
      <c r="C428" s="139" t="s">
        <v>190</v>
      </c>
      <c r="D428" s="139">
        <v>11.4</v>
      </c>
      <c r="E428" s="139">
        <v>0.1</v>
      </c>
      <c r="F428" s="139">
        <v>11.4</v>
      </c>
      <c r="G428" s="140">
        <v>9.9166666666666695E-2</v>
      </c>
      <c r="J428" s="139">
        <f t="shared" si="6"/>
        <v>1</v>
      </c>
    </row>
    <row r="429" spans="1:10" x14ac:dyDescent="0.25">
      <c r="A429" s="139">
        <v>618</v>
      </c>
      <c r="B429" s="139" t="s">
        <v>703</v>
      </c>
      <c r="C429" s="139" t="s">
        <v>182</v>
      </c>
      <c r="D429" s="139">
        <v>11.4</v>
      </c>
      <c r="E429" s="139">
        <v>0.1</v>
      </c>
      <c r="F429" s="139" t="s">
        <v>942</v>
      </c>
      <c r="G429" s="140" t="s">
        <v>942</v>
      </c>
      <c r="J429" s="139">
        <f t="shared" si="6"/>
        <v>1</v>
      </c>
    </row>
    <row r="430" spans="1:10" x14ac:dyDescent="0.25">
      <c r="A430" s="139">
        <v>619</v>
      </c>
      <c r="B430" s="139" t="s">
        <v>704</v>
      </c>
      <c r="C430" s="139" t="s">
        <v>187</v>
      </c>
      <c r="D430" s="139">
        <v>11.4</v>
      </c>
      <c r="E430" s="139">
        <v>0.1</v>
      </c>
      <c r="F430" s="139">
        <v>11.4</v>
      </c>
      <c r="G430" s="140">
        <v>0.10030303030303001</v>
      </c>
      <c r="J430" s="139">
        <f t="shared" si="6"/>
        <v>1</v>
      </c>
    </row>
    <row r="431" spans="1:10" x14ac:dyDescent="0.25">
      <c r="A431" s="139">
        <v>620</v>
      </c>
      <c r="B431" s="139" t="s">
        <v>705</v>
      </c>
      <c r="C431" s="139" t="s">
        <v>893</v>
      </c>
      <c r="D431" s="139">
        <v>0</v>
      </c>
      <c r="E431" s="139">
        <v>0.22500000000000001</v>
      </c>
      <c r="F431" s="139" t="s">
        <v>942</v>
      </c>
      <c r="G431" s="140" t="s">
        <v>942</v>
      </c>
      <c r="J431" s="139">
        <f t="shared" si="6"/>
        <v>1</v>
      </c>
    </row>
    <row r="432" spans="1:10" x14ac:dyDescent="0.25">
      <c r="A432" s="139">
        <v>621</v>
      </c>
      <c r="B432" s="139" t="s">
        <v>706</v>
      </c>
      <c r="C432" s="139" t="s">
        <v>182</v>
      </c>
      <c r="D432" s="139">
        <v>5.7</v>
      </c>
      <c r="E432" s="139">
        <v>6.6666666666666666E-2</v>
      </c>
      <c r="F432" s="139">
        <v>5.7</v>
      </c>
      <c r="G432" s="140">
        <v>6.7349999999999993E-2</v>
      </c>
      <c r="J432" s="139">
        <f t="shared" si="6"/>
        <v>1</v>
      </c>
    </row>
    <row r="433" spans="1:10" x14ac:dyDescent="0.25">
      <c r="A433" s="139">
        <v>622</v>
      </c>
      <c r="B433" s="139" t="s">
        <v>707</v>
      </c>
      <c r="C433" s="139" t="s">
        <v>199</v>
      </c>
      <c r="D433" s="139">
        <v>5.7</v>
      </c>
      <c r="E433" s="139">
        <v>6.6666666666666666E-2</v>
      </c>
      <c r="F433" s="139" t="s">
        <v>942</v>
      </c>
      <c r="G433" s="140" t="s">
        <v>942</v>
      </c>
      <c r="J433" s="139">
        <f t="shared" si="6"/>
        <v>1</v>
      </c>
    </row>
    <row r="434" spans="1:10" x14ac:dyDescent="0.25">
      <c r="A434" s="139">
        <v>623</v>
      </c>
      <c r="B434" s="139" t="s">
        <v>708</v>
      </c>
      <c r="C434" s="139" t="s">
        <v>187</v>
      </c>
      <c r="D434" s="139">
        <v>5.7</v>
      </c>
      <c r="E434" s="139">
        <v>0.1</v>
      </c>
      <c r="F434" s="139">
        <v>5.7</v>
      </c>
      <c r="G434" s="140">
        <v>6.8492753623188393E-2</v>
      </c>
      <c r="J434" s="139">
        <f t="shared" si="6"/>
        <v>1</v>
      </c>
    </row>
    <row r="435" spans="1:10" x14ac:dyDescent="0.25">
      <c r="A435" s="139">
        <v>624</v>
      </c>
      <c r="B435" s="139" t="s">
        <v>709</v>
      </c>
      <c r="C435" s="139" t="s">
        <v>187</v>
      </c>
      <c r="D435" s="139">
        <v>0</v>
      </c>
      <c r="E435" s="139">
        <v>0.13333333333333333</v>
      </c>
      <c r="F435" s="139" t="s">
        <v>942</v>
      </c>
      <c r="G435" s="140" t="s">
        <v>942</v>
      </c>
      <c r="J435" s="139">
        <f t="shared" si="6"/>
        <v>1</v>
      </c>
    </row>
    <row r="436" spans="1:10" x14ac:dyDescent="0.25">
      <c r="A436" s="139">
        <v>625</v>
      </c>
      <c r="B436" s="139" t="s">
        <v>710</v>
      </c>
      <c r="C436" s="139" t="s">
        <v>182</v>
      </c>
      <c r="D436" s="139">
        <v>11.4</v>
      </c>
      <c r="E436" s="139">
        <v>0.13333333333333333</v>
      </c>
      <c r="F436" s="139" t="s">
        <v>942</v>
      </c>
      <c r="G436" s="140" t="s">
        <v>942</v>
      </c>
      <c r="J436" s="139">
        <f t="shared" si="6"/>
        <v>1</v>
      </c>
    </row>
    <row r="437" spans="1:10" x14ac:dyDescent="0.25">
      <c r="A437" s="139">
        <v>626</v>
      </c>
      <c r="B437" s="139" t="s">
        <v>711</v>
      </c>
      <c r="C437" s="139" t="s">
        <v>182</v>
      </c>
      <c r="D437" s="139">
        <v>0</v>
      </c>
      <c r="E437" s="139">
        <v>0.26666666666666666</v>
      </c>
      <c r="F437" s="139">
        <v>0</v>
      </c>
      <c r="G437" s="140">
        <v>0.16676870748299299</v>
      </c>
      <c r="J437" s="139">
        <f t="shared" si="6"/>
        <v>1</v>
      </c>
    </row>
    <row r="438" spans="1:10" x14ac:dyDescent="0.25">
      <c r="A438" s="139">
        <v>627</v>
      </c>
      <c r="B438" s="139" t="s">
        <v>712</v>
      </c>
      <c r="C438" s="139" t="s">
        <v>187</v>
      </c>
      <c r="D438" s="139">
        <v>0</v>
      </c>
      <c r="E438" s="139">
        <v>0.1</v>
      </c>
      <c r="F438" s="139" t="s">
        <v>942</v>
      </c>
      <c r="G438" s="140" t="s">
        <v>942</v>
      </c>
      <c r="J438" s="139">
        <f t="shared" si="6"/>
        <v>1</v>
      </c>
    </row>
    <row r="439" spans="1:10" x14ac:dyDescent="0.25">
      <c r="A439" s="139">
        <v>628</v>
      </c>
      <c r="B439" s="139" t="s">
        <v>713</v>
      </c>
      <c r="C439" s="139" t="s">
        <v>187</v>
      </c>
      <c r="D439" s="139">
        <v>0</v>
      </c>
      <c r="E439" s="139">
        <v>8.3333333333333329E-2</v>
      </c>
      <c r="F439" s="139" t="s">
        <v>942</v>
      </c>
      <c r="G439" s="140" t="s">
        <v>942</v>
      </c>
      <c r="J439" s="139">
        <f t="shared" si="6"/>
        <v>1</v>
      </c>
    </row>
    <row r="440" spans="1:10" x14ac:dyDescent="0.25">
      <c r="A440" s="139">
        <v>629</v>
      </c>
      <c r="B440" s="139" t="s">
        <v>714</v>
      </c>
      <c r="C440" s="139" t="s">
        <v>187</v>
      </c>
      <c r="D440" s="139">
        <v>0</v>
      </c>
      <c r="E440" s="139">
        <v>0.26999999999999996</v>
      </c>
      <c r="F440" s="139" t="s">
        <v>942</v>
      </c>
      <c r="G440" s="140" t="s">
        <v>942</v>
      </c>
      <c r="J440" s="139">
        <f t="shared" si="6"/>
        <v>1</v>
      </c>
    </row>
    <row r="441" spans="1:10" x14ac:dyDescent="0.25">
      <c r="A441" s="139">
        <v>630</v>
      </c>
      <c r="B441" s="139" t="s">
        <v>715</v>
      </c>
      <c r="C441" s="139" t="s">
        <v>187</v>
      </c>
      <c r="D441" s="139">
        <v>0</v>
      </c>
      <c r="E441" s="139">
        <v>1</v>
      </c>
      <c r="F441" s="139">
        <v>28</v>
      </c>
      <c r="G441" s="140">
        <v>0.302659574468085</v>
      </c>
      <c r="J441" s="139">
        <f t="shared" si="6"/>
        <v>1</v>
      </c>
    </row>
    <row r="442" spans="1:10" x14ac:dyDescent="0.25">
      <c r="A442" s="139">
        <v>631</v>
      </c>
      <c r="B442" s="139" t="s">
        <v>716</v>
      </c>
      <c r="C442" s="139" t="s">
        <v>187</v>
      </c>
      <c r="D442" s="139">
        <v>0</v>
      </c>
      <c r="E442" s="139">
        <v>1.2333333333333334</v>
      </c>
      <c r="F442" s="139" t="s">
        <v>942</v>
      </c>
      <c r="G442" s="140" t="s">
        <v>942</v>
      </c>
      <c r="J442" s="139">
        <f t="shared" si="6"/>
        <v>1</v>
      </c>
    </row>
    <row r="443" spans="1:10" x14ac:dyDescent="0.25">
      <c r="A443" s="139">
        <v>632</v>
      </c>
      <c r="B443" s="139" t="s">
        <v>717</v>
      </c>
      <c r="C443" s="139" t="s">
        <v>187</v>
      </c>
      <c r="D443" s="139">
        <v>0</v>
      </c>
      <c r="E443" s="139">
        <v>1.3333333333333333</v>
      </c>
      <c r="F443" s="139">
        <v>0</v>
      </c>
      <c r="G443" s="140">
        <v>0.101192679021696</v>
      </c>
      <c r="J443" s="139">
        <f t="shared" si="6"/>
        <v>1</v>
      </c>
    </row>
    <row r="444" spans="1:10" x14ac:dyDescent="0.25">
      <c r="A444" s="139">
        <v>633</v>
      </c>
      <c r="B444" s="139" t="s">
        <v>718</v>
      </c>
      <c r="C444" s="139" t="s">
        <v>187</v>
      </c>
      <c r="D444" s="139">
        <v>0</v>
      </c>
      <c r="E444" s="139">
        <v>1.1666666666666667</v>
      </c>
      <c r="F444" s="139">
        <v>0</v>
      </c>
      <c r="G444" s="140">
        <v>0.10527210884353699</v>
      </c>
      <c r="J444" s="139">
        <f t="shared" si="6"/>
        <v>1</v>
      </c>
    </row>
    <row r="445" spans="1:10" x14ac:dyDescent="0.25">
      <c r="A445" s="139">
        <v>634</v>
      </c>
      <c r="B445" s="139" t="s">
        <v>719</v>
      </c>
      <c r="C445" s="139" t="s">
        <v>940</v>
      </c>
      <c r="D445" s="139">
        <v>0</v>
      </c>
      <c r="E445" s="139">
        <v>0.5</v>
      </c>
      <c r="F445" s="139" t="s">
        <v>942</v>
      </c>
      <c r="G445" s="140" t="s">
        <v>942</v>
      </c>
      <c r="J445" s="139">
        <f t="shared" si="6"/>
        <v>1</v>
      </c>
    </row>
    <row r="446" spans="1:10" x14ac:dyDescent="0.25">
      <c r="A446" s="139">
        <v>635</v>
      </c>
      <c r="B446" s="139" t="s">
        <v>720</v>
      </c>
      <c r="C446" s="139" t="s">
        <v>893</v>
      </c>
      <c r="D446" s="139">
        <v>0</v>
      </c>
      <c r="E446" s="139">
        <v>0.52</v>
      </c>
      <c r="F446" s="139">
        <v>0</v>
      </c>
      <c r="G446" s="140">
        <v>9.2307692307692299E-2</v>
      </c>
      <c r="J446" s="139">
        <f t="shared" si="6"/>
        <v>1</v>
      </c>
    </row>
    <row r="447" spans="1:10" x14ac:dyDescent="0.25">
      <c r="A447" s="139">
        <v>636</v>
      </c>
      <c r="B447" s="139" t="s">
        <v>721</v>
      </c>
      <c r="C447" s="139" t="s">
        <v>182</v>
      </c>
      <c r="D447" s="139">
        <v>7</v>
      </c>
      <c r="E447" s="139">
        <v>0.13333333333333333</v>
      </c>
      <c r="F447" s="139">
        <v>7</v>
      </c>
      <c r="G447" s="140">
        <v>0.113666666666667</v>
      </c>
      <c r="J447" s="139">
        <f t="shared" si="6"/>
        <v>1</v>
      </c>
    </row>
    <row r="448" spans="1:10" x14ac:dyDescent="0.25">
      <c r="A448" s="139">
        <v>637</v>
      </c>
      <c r="B448" s="139" t="s">
        <v>722</v>
      </c>
      <c r="C448" s="139" t="s">
        <v>182</v>
      </c>
      <c r="D448" s="139">
        <v>7</v>
      </c>
      <c r="E448" s="139">
        <v>0.1</v>
      </c>
      <c r="F448" s="139">
        <v>7</v>
      </c>
      <c r="G448" s="140">
        <v>0.102796296296296</v>
      </c>
      <c r="J448" s="139">
        <f t="shared" si="6"/>
        <v>1</v>
      </c>
    </row>
    <row r="449" spans="1:10" x14ac:dyDescent="0.25">
      <c r="A449" s="139">
        <v>638</v>
      </c>
      <c r="B449" s="139" t="s">
        <v>723</v>
      </c>
      <c r="C449" s="139" t="s">
        <v>895</v>
      </c>
      <c r="D449" s="139">
        <v>7</v>
      </c>
      <c r="E449" s="139">
        <v>0.11666666666666667</v>
      </c>
      <c r="F449" s="139">
        <v>7</v>
      </c>
      <c r="G449" s="140">
        <v>9.6708333333333299E-2</v>
      </c>
      <c r="J449" s="139">
        <f t="shared" si="6"/>
        <v>1</v>
      </c>
    </row>
    <row r="450" spans="1:10" x14ac:dyDescent="0.25">
      <c r="A450" s="139">
        <v>639</v>
      </c>
      <c r="B450" s="139" t="s">
        <v>724</v>
      </c>
      <c r="C450" s="139" t="s">
        <v>187</v>
      </c>
      <c r="D450" s="139">
        <v>7</v>
      </c>
      <c r="E450" s="139">
        <v>0.1</v>
      </c>
      <c r="F450" s="139">
        <v>7</v>
      </c>
      <c r="G450" s="140">
        <v>0.101638110347259</v>
      </c>
      <c r="J450" s="139">
        <f t="shared" si="6"/>
        <v>1</v>
      </c>
    </row>
    <row r="451" spans="1:10" x14ac:dyDescent="0.25">
      <c r="A451" s="139">
        <v>640</v>
      </c>
      <c r="B451" s="139" t="s">
        <v>725</v>
      </c>
      <c r="C451" s="139" t="s">
        <v>895</v>
      </c>
      <c r="D451" s="139">
        <v>8</v>
      </c>
      <c r="E451" s="139">
        <v>0.15</v>
      </c>
      <c r="F451" s="139">
        <v>8</v>
      </c>
      <c r="G451" s="140">
        <v>0.15766666666666701</v>
      </c>
      <c r="J451" s="139">
        <f t="shared" ref="J451:J514" si="7">COUNTIF(A:A,A451)</f>
        <v>1</v>
      </c>
    </row>
    <row r="452" spans="1:10" x14ac:dyDescent="0.25">
      <c r="A452" s="139">
        <v>641</v>
      </c>
      <c r="B452" s="139" t="s">
        <v>726</v>
      </c>
      <c r="C452" s="139" t="s">
        <v>187</v>
      </c>
      <c r="D452" s="139">
        <v>8</v>
      </c>
      <c r="E452" s="139">
        <v>0.13666666666666666</v>
      </c>
      <c r="F452" s="139">
        <v>8</v>
      </c>
      <c r="G452" s="140">
        <v>0.117746031746032</v>
      </c>
      <c r="J452" s="139">
        <f t="shared" si="7"/>
        <v>1</v>
      </c>
    </row>
    <row r="453" spans="1:10" x14ac:dyDescent="0.25">
      <c r="A453" s="139">
        <v>642</v>
      </c>
      <c r="B453" s="139" t="s">
        <v>727</v>
      </c>
      <c r="C453" s="139" t="s">
        <v>187</v>
      </c>
      <c r="D453" s="139">
        <v>8</v>
      </c>
      <c r="E453" s="139">
        <v>0.13333333333333333</v>
      </c>
      <c r="F453" s="139">
        <v>8</v>
      </c>
      <c r="G453" s="140">
        <v>0.13473529411764701</v>
      </c>
      <c r="J453" s="139">
        <f t="shared" si="7"/>
        <v>1</v>
      </c>
    </row>
    <row r="454" spans="1:10" x14ac:dyDescent="0.25">
      <c r="A454" s="139">
        <v>643</v>
      </c>
      <c r="B454" s="139" t="s">
        <v>728</v>
      </c>
      <c r="C454" s="139" t="s">
        <v>895</v>
      </c>
      <c r="D454" s="139">
        <v>10</v>
      </c>
      <c r="E454" s="139">
        <v>0.15</v>
      </c>
      <c r="F454" s="139">
        <v>10</v>
      </c>
      <c r="G454" s="140">
        <v>0.140809523809524</v>
      </c>
      <c r="J454" s="139">
        <f t="shared" si="7"/>
        <v>1</v>
      </c>
    </row>
    <row r="455" spans="1:10" x14ac:dyDescent="0.25">
      <c r="A455" s="139">
        <v>644</v>
      </c>
      <c r="B455" s="139" t="s">
        <v>729</v>
      </c>
      <c r="C455" s="139" t="s">
        <v>187</v>
      </c>
      <c r="D455" s="139">
        <v>10</v>
      </c>
      <c r="E455" s="139">
        <v>0.15</v>
      </c>
      <c r="F455" s="139" t="s">
        <v>942</v>
      </c>
      <c r="G455" s="140" t="s">
        <v>942</v>
      </c>
      <c r="J455" s="139">
        <f t="shared" si="7"/>
        <v>1</v>
      </c>
    </row>
    <row r="456" spans="1:10" x14ac:dyDescent="0.25">
      <c r="A456" s="139">
        <v>645</v>
      </c>
      <c r="B456" s="139" t="s">
        <v>730</v>
      </c>
      <c r="C456" s="139" t="s">
        <v>187</v>
      </c>
      <c r="D456" s="139">
        <v>18</v>
      </c>
      <c r="E456" s="139">
        <v>0.26666666666666666</v>
      </c>
      <c r="F456" s="139" t="s">
        <v>942</v>
      </c>
      <c r="G456" s="140" t="s">
        <v>942</v>
      </c>
      <c r="J456" s="139">
        <f t="shared" si="7"/>
        <v>1</v>
      </c>
    </row>
    <row r="457" spans="1:10" x14ac:dyDescent="0.25">
      <c r="A457" s="139">
        <v>646</v>
      </c>
      <c r="B457" s="139" t="s">
        <v>731</v>
      </c>
      <c r="C457" s="139" t="s">
        <v>182</v>
      </c>
      <c r="D457" s="139">
        <v>18</v>
      </c>
      <c r="E457" s="139">
        <v>0.2</v>
      </c>
      <c r="F457" s="139">
        <v>18</v>
      </c>
      <c r="G457" s="140">
        <v>0.192766666666667</v>
      </c>
      <c r="J457" s="139">
        <f t="shared" si="7"/>
        <v>1</v>
      </c>
    </row>
    <row r="458" spans="1:10" x14ac:dyDescent="0.25">
      <c r="A458" s="139">
        <v>647</v>
      </c>
      <c r="B458" s="139" t="s">
        <v>732</v>
      </c>
      <c r="C458" s="139" t="s">
        <v>187</v>
      </c>
      <c r="D458" s="139">
        <v>18</v>
      </c>
      <c r="E458" s="139">
        <v>0.2</v>
      </c>
      <c r="F458" s="139">
        <v>18</v>
      </c>
      <c r="G458" s="140">
        <v>0.207771442736738</v>
      </c>
      <c r="J458" s="139">
        <f t="shared" si="7"/>
        <v>1</v>
      </c>
    </row>
    <row r="459" spans="1:10" x14ac:dyDescent="0.25">
      <c r="A459" s="139">
        <v>648</v>
      </c>
      <c r="B459" s="139" t="s">
        <v>733</v>
      </c>
      <c r="C459" s="139" t="s">
        <v>187</v>
      </c>
      <c r="D459" s="139">
        <v>0</v>
      </c>
      <c r="E459" s="139">
        <v>0.6</v>
      </c>
      <c r="F459" s="139" t="s">
        <v>942</v>
      </c>
      <c r="G459" s="140" t="s">
        <v>942</v>
      </c>
      <c r="J459" s="139">
        <f t="shared" si="7"/>
        <v>1</v>
      </c>
    </row>
    <row r="460" spans="1:10" x14ac:dyDescent="0.25">
      <c r="A460" s="139">
        <v>649</v>
      </c>
      <c r="B460" s="139" t="s">
        <v>734</v>
      </c>
      <c r="C460" s="139" t="s">
        <v>182</v>
      </c>
      <c r="D460" s="139">
        <v>7</v>
      </c>
      <c r="E460" s="139">
        <v>6.6666666666666666E-2</v>
      </c>
      <c r="F460" s="139" t="s">
        <v>942</v>
      </c>
      <c r="G460" s="140" t="s">
        <v>942</v>
      </c>
      <c r="J460" s="139">
        <f t="shared" si="7"/>
        <v>1</v>
      </c>
    </row>
    <row r="461" spans="1:10" x14ac:dyDescent="0.25">
      <c r="A461" s="139">
        <v>650</v>
      </c>
      <c r="B461" s="139" t="s">
        <v>735</v>
      </c>
      <c r="C461" s="139" t="s">
        <v>188</v>
      </c>
      <c r="D461" s="139">
        <v>7</v>
      </c>
      <c r="E461" s="139">
        <v>6.6666666666666666E-2</v>
      </c>
      <c r="F461" s="139" t="s">
        <v>942</v>
      </c>
      <c r="G461" s="140" t="s">
        <v>942</v>
      </c>
      <c r="J461" s="139">
        <f t="shared" si="7"/>
        <v>1</v>
      </c>
    </row>
    <row r="462" spans="1:10" x14ac:dyDescent="0.25">
      <c r="A462" s="139">
        <v>651</v>
      </c>
      <c r="B462" s="139" t="s">
        <v>736</v>
      </c>
      <c r="C462" s="139" t="s">
        <v>187</v>
      </c>
      <c r="D462" s="139">
        <v>7</v>
      </c>
      <c r="E462" s="139">
        <v>6.6666666666666666E-2</v>
      </c>
      <c r="F462" s="139">
        <v>7</v>
      </c>
      <c r="G462" s="140">
        <v>6.7175311004784702E-2</v>
      </c>
      <c r="J462" s="139">
        <f t="shared" si="7"/>
        <v>1</v>
      </c>
    </row>
    <row r="463" spans="1:10" x14ac:dyDescent="0.25">
      <c r="A463" s="139">
        <v>652</v>
      </c>
      <c r="B463" s="139" t="s">
        <v>737</v>
      </c>
      <c r="C463" s="139" t="s">
        <v>900</v>
      </c>
      <c r="D463" s="139">
        <v>7</v>
      </c>
      <c r="E463" s="139">
        <v>0.05</v>
      </c>
      <c r="F463" s="139">
        <v>7</v>
      </c>
      <c r="G463" s="140">
        <v>5.6666666666666698E-2</v>
      </c>
      <c r="J463" s="139">
        <f t="shared" si="7"/>
        <v>1</v>
      </c>
    </row>
    <row r="464" spans="1:10" x14ac:dyDescent="0.25">
      <c r="A464" s="139">
        <v>653</v>
      </c>
      <c r="B464" s="139" t="s">
        <v>738</v>
      </c>
      <c r="C464" s="139" t="s">
        <v>901</v>
      </c>
      <c r="D464" s="139">
        <v>7</v>
      </c>
      <c r="E464" s="139">
        <v>0.05</v>
      </c>
      <c r="F464" s="139">
        <v>7</v>
      </c>
      <c r="G464" s="140">
        <v>5.3634246575342499E-2</v>
      </c>
      <c r="J464" s="139">
        <f t="shared" si="7"/>
        <v>1</v>
      </c>
    </row>
    <row r="465" spans="1:10" x14ac:dyDescent="0.25">
      <c r="A465" s="139">
        <v>654</v>
      </c>
      <c r="B465" s="139" t="s">
        <v>739</v>
      </c>
      <c r="C465" s="139" t="s">
        <v>187</v>
      </c>
      <c r="D465" s="139">
        <v>4.5</v>
      </c>
      <c r="E465" s="139">
        <v>6.6666666666666666E-2</v>
      </c>
      <c r="F465" s="139" t="s">
        <v>942</v>
      </c>
      <c r="G465" s="140" t="s">
        <v>942</v>
      </c>
      <c r="J465" s="139">
        <f t="shared" si="7"/>
        <v>1</v>
      </c>
    </row>
    <row r="466" spans="1:10" x14ac:dyDescent="0.25">
      <c r="A466" s="139">
        <v>655</v>
      </c>
      <c r="B466" s="139" t="s">
        <v>740</v>
      </c>
      <c r="C466" s="139" t="s">
        <v>190</v>
      </c>
      <c r="D466" s="139">
        <v>4.5</v>
      </c>
      <c r="E466" s="139">
        <v>3.6666666666666667E-2</v>
      </c>
      <c r="F466" s="139" t="s">
        <v>942</v>
      </c>
      <c r="G466" s="140" t="s">
        <v>942</v>
      </c>
      <c r="J466" s="139">
        <f t="shared" si="7"/>
        <v>1</v>
      </c>
    </row>
    <row r="467" spans="1:10" x14ac:dyDescent="0.25">
      <c r="A467" s="139">
        <v>656</v>
      </c>
      <c r="B467" s="139" t="s">
        <v>741</v>
      </c>
      <c r="C467" s="139" t="s">
        <v>182</v>
      </c>
      <c r="D467" s="139">
        <v>4.5</v>
      </c>
      <c r="E467" s="139">
        <v>3.6666666666666667E-2</v>
      </c>
      <c r="F467" s="139" t="s">
        <v>942</v>
      </c>
      <c r="G467" s="140" t="s">
        <v>942</v>
      </c>
      <c r="J467" s="139">
        <f t="shared" si="7"/>
        <v>1</v>
      </c>
    </row>
    <row r="468" spans="1:10" x14ac:dyDescent="0.25">
      <c r="A468" s="139">
        <v>657</v>
      </c>
      <c r="B468" s="139" t="s">
        <v>742</v>
      </c>
      <c r="C468" s="139" t="s">
        <v>188</v>
      </c>
      <c r="D468" s="139">
        <v>4.5</v>
      </c>
      <c r="E468" s="139">
        <v>3.6666666666666667E-2</v>
      </c>
      <c r="F468" s="139" t="s">
        <v>942</v>
      </c>
      <c r="G468" s="140" t="s">
        <v>942</v>
      </c>
      <c r="J468" s="139">
        <f t="shared" si="7"/>
        <v>1</v>
      </c>
    </row>
    <row r="469" spans="1:10" x14ac:dyDescent="0.25">
      <c r="A469" s="139">
        <v>658</v>
      </c>
      <c r="B469" s="139" t="s">
        <v>743</v>
      </c>
      <c r="C469" s="139" t="s">
        <v>884</v>
      </c>
      <c r="D469" s="139">
        <v>4.5</v>
      </c>
      <c r="E469" s="139">
        <v>3.6666666666666667E-2</v>
      </c>
      <c r="F469" s="139">
        <v>4.5</v>
      </c>
      <c r="G469" s="140">
        <v>3.8382436260623203E-2</v>
      </c>
      <c r="J469" s="139">
        <f t="shared" si="7"/>
        <v>1</v>
      </c>
    </row>
    <row r="470" spans="1:10" x14ac:dyDescent="0.25">
      <c r="A470" s="139">
        <v>659</v>
      </c>
      <c r="B470" s="139" t="s">
        <v>744</v>
      </c>
      <c r="C470" s="139" t="s">
        <v>859</v>
      </c>
      <c r="D470" s="139">
        <v>4.5</v>
      </c>
      <c r="E470" s="139">
        <v>3.6666666666666667E-2</v>
      </c>
      <c r="F470" s="139" t="s">
        <v>942</v>
      </c>
      <c r="G470" s="140" t="s">
        <v>942</v>
      </c>
      <c r="J470" s="139">
        <f t="shared" si="7"/>
        <v>1</v>
      </c>
    </row>
    <row r="471" spans="1:10" x14ac:dyDescent="0.25">
      <c r="A471" s="139">
        <v>660</v>
      </c>
      <c r="B471" s="139" t="s">
        <v>745</v>
      </c>
      <c r="C471" s="139" t="s">
        <v>193</v>
      </c>
      <c r="D471" s="139">
        <v>4.5</v>
      </c>
      <c r="E471" s="139">
        <v>3.6666666666666667E-2</v>
      </c>
      <c r="F471" s="139" t="s">
        <v>942</v>
      </c>
      <c r="G471" s="140" t="s">
        <v>942</v>
      </c>
      <c r="J471" s="139">
        <f t="shared" si="7"/>
        <v>1</v>
      </c>
    </row>
    <row r="472" spans="1:10" x14ac:dyDescent="0.25">
      <c r="A472" s="139">
        <v>661</v>
      </c>
      <c r="B472" s="139" t="s">
        <v>746</v>
      </c>
      <c r="C472" s="139" t="s">
        <v>187</v>
      </c>
      <c r="D472" s="139">
        <v>4.5</v>
      </c>
      <c r="E472" s="139">
        <v>3.6666666666666667E-2</v>
      </c>
      <c r="F472" s="139">
        <v>4.5</v>
      </c>
      <c r="G472" s="140">
        <v>3.6201919115348098E-2</v>
      </c>
      <c r="J472" s="139">
        <f t="shared" si="7"/>
        <v>2</v>
      </c>
    </row>
    <row r="473" spans="1:10" x14ac:dyDescent="0.25">
      <c r="A473" s="139">
        <v>661</v>
      </c>
      <c r="B473" s="139" t="s">
        <v>747</v>
      </c>
      <c r="C473" s="139" t="s">
        <v>939</v>
      </c>
      <c r="D473" s="139">
        <v>4.5</v>
      </c>
      <c r="E473" s="139">
        <v>3.6666666666666667E-2</v>
      </c>
      <c r="F473" s="139">
        <v>4.5</v>
      </c>
      <c r="G473" s="140">
        <v>3.6201919115348098E-2</v>
      </c>
      <c r="J473" s="139">
        <f t="shared" si="7"/>
        <v>2</v>
      </c>
    </row>
    <row r="474" spans="1:10" x14ac:dyDescent="0.25">
      <c r="A474" s="139">
        <v>663</v>
      </c>
      <c r="B474" s="139" t="s">
        <v>748</v>
      </c>
      <c r="C474" s="139" t="s">
        <v>187</v>
      </c>
      <c r="D474" s="139">
        <v>7</v>
      </c>
      <c r="E474" s="139">
        <v>5.3333333333333337E-2</v>
      </c>
      <c r="F474" s="139" t="s">
        <v>942</v>
      </c>
      <c r="G474" s="140" t="s">
        <v>942</v>
      </c>
      <c r="J474" s="139">
        <f t="shared" si="7"/>
        <v>1</v>
      </c>
    </row>
    <row r="475" spans="1:10" x14ac:dyDescent="0.25">
      <c r="A475" s="139">
        <v>664</v>
      </c>
      <c r="B475" s="139" t="s">
        <v>749</v>
      </c>
      <c r="C475" s="139" t="s">
        <v>190</v>
      </c>
      <c r="D475" s="139">
        <v>7</v>
      </c>
      <c r="E475" s="139">
        <v>7.3333333333333334E-2</v>
      </c>
      <c r="F475" s="139" t="s">
        <v>942</v>
      </c>
      <c r="G475" s="140" t="s">
        <v>942</v>
      </c>
      <c r="J475" s="139">
        <f t="shared" si="7"/>
        <v>1</v>
      </c>
    </row>
    <row r="476" spans="1:10" x14ac:dyDescent="0.25">
      <c r="A476" s="139">
        <v>665</v>
      </c>
      <c r="B476" s="139" t="s">
        <v>750</v>
      </c>
      <c r="C476" s="139" t="s">
        <v>200</v>
      </c>
      <c r="D476" s="139">
        <v>7</v>
      </c>
      <c r="E476" s="139">
        <v>6.6666666666666666E-2</v>
      </c>
      <c r="F476" s="139">
        <v>7</v>
      </c>
      <c r="G476" s="140">
        <v>6.6944970206799903E-2</v>
      </c>
      <c r="J476" s="139">
        <f t="shared" si="7"/>
        <v>1</v>
      </c>
    </row>
    <row r="477" spans="1:10" x14ac:dyDescent="0.25">
      <c r="A477" s="139">
        <v>666</v>
      </c>
      <c r="B477" s="139" t="s">
        <v>751</v>
      </c>
      <c r="C477" s="139" t="s">
        <v>182</v>
      </c>
      <c r="D477" s="139">
        <v>7</v>
      </c>
      <c r="E477" s="139">
        <v>7.3333333333333334E-2</v>
      </c>
      <c r="F477" s="139">
        <v>7</v>
      </c>
      <c r="G477" s="140">
        <v>7.4492831541218593E-2</v>
      </c>
      <c r="J477" s="139">
        <f t="shared" si="7"/>
        <v>1</v>
      </c>
    </row>
    <row r="478" spans="1:10" x14ac:dyDescent="0.25">
      <c r="A478" s="139">
        <v>667</v>
      </c>
      <c r="B478" s="139" t="s">
        <v>752</v>
      </c>
      <c r="C478" s="139" t="s">
        <v>188</v>
      </c>
      <c r="D478" s="139">
        <v>7</v>
      </c>
      <c r="E478" s="139">
        <v>7.3333333333333334E-2</v>
      </c>
      <c r="F478" s="139" t="s">
        <v>942</v>
      </c>
      <c r="G478" s="140" t="s">
        <v>942</v>
      </c>
      <c r="J478" s="139">
        <f t="shared" si="7"/>
        <v>1</v>
      </c>
    </row>
    <row r="479" spans="1:10" x14ac:dyDescent="0.25">
      <c r="A479" s="139">
        <v>668</v>
      </c>
      <c r="B479" s="139" t="s">
        <v>753</v>
      </c>
      <c r="C479" s="139" t="s">
        <v>201</v>
      </c>
      <c r="D479" s="139">
        <v>7</v>
      </c>
      <c r="E479" s="139">
        <v>6.6666666666666666E-2</v>
      </c>
      <c r="F479" s="139" t="s">
        <v>942</v>
      </c>
      <c r="G479" s="140" t="s">
        <v>942</v>
      </c>
      <c r="J479" s="139">
        <f t="shared" si="7"/>
        <v>1</v>
      </c>
    </row>
    <row r="480" spans="1:10" x14ac:dyDescent="0.25">
      <c r="A480" s="139">
        <v>669</v>
      </c>
      <c r="B480" s="139" t="s">
        <v>754</v>
      </c>
      <c r="C480" s="139" t="s">
        <v>187</v>
      </c>
      <c r="D480" s="139">
        <v>7</v>
      </c>
      <c r="E480" s="139">
        <v>7.6666666666666661E-2</v>
      </c>
      <c r="F480" s="139">
        <v>7</v>
      </c>
      <c r="G480" s="140">
        <v>7.2204806687565307E-2</v>
      </c>
      <c r="J480" s="139">
        <f t="shared" si="7"/>
        <v>1</v>
      </c>
    </row>
    <row r="481" spans="1:10" x14ac:dyDescent="0.25">
      <c r="A481" s="139">
        <v>670</v>
      </c>
      <c r="B481" s="139" t="s">
        <v>755</v>
      </c>
      <c r="C481" s="139" t="s">
        <v>949</v>
      </c>
      <c r="D481" s="139">
        <v>7</v>
      </c>
      <c r="E481" s="139">
        <v>6.0000000000000005E-2</v>
      </c>
      <c r="F481" s="139" t="s">
        <v>942</v>
      </c>
      <c r="G481" s="140">
        <v>0.06</v>
      </c>
      <c r="J481" s="139">
        <f t="shared" si="7"/>
        <v>1</v>
      </c>
    </row>
    <row r="482" spans="1:10" x14ac:dyDescent="0.25">
      <c r="A482" s="139">
        <v>671</v>
      </c>
      <c r="B482" s="139" t="s">
        <v>756</v>
      </c>
      <c r="C482" s="139" t="s">
        <v>901</v>
      </c>
      <c r="D482" s="139">
        <v>7</v>
      </c>
      <c r="E482" s="139">
        <v>6.0000000000000005E-2</v>
      </c>
      <c r="F482" s="139">
        <v>7</v>
      </c>
      <c r="G482" s="140">
        <v>5.9013392857142903E-2</v>
      </c>
      <c r="J482" s="139">
        <f t="shared" si="7"/>
        <v>1</v>
      </c>
    </row>
    <row r="483" spans="1:10" x14ac:dyDescent="0.25">
      <c r="A483" s="139">
        <v>672</v>
      </c>
      <c r="B483" s="139" t="s">
        <v>757</v>
      </c>
      <c r="C483" s="139" t="s">
        <v>187</v>
      </c>
      <c r="D483" s="139">
        <v>7</v>
      </c>
      <c r="E483" s="139">
        <v>4.6666666666666662E-2</v>
      </c>
      <c r="F483" s="139" t="s">
        <v>942</v>
      </c>
      <c r="G483" s="140" t="s">
        <v>942</v>
      </c>
      <c r="J483" s="139">
        <f t="shared" si="7"/>
        <v>1</v>
      </c>
    </row>
    <row r="484" spans="1:10" x14ac:dyDescent="0.25">
      <c r="A484" s="139">
        <v>673</v>
      </c>
      <c r="B484" s="139" t="s">
        <v>758</v>
      </c>
      <c r="C484" s="139" t="s">
        <v>901</v>
      </c>
      <c r="D484" s="139">
        <v>7</v>
      </c>
      <c r="E484" s="139">
        <v>6.6666666666666666E-2</v>
      </c>
      <c r="F484" s="139" t="s">
        <v>942</v>
      </c>
      <c r="G484" s="140" t="s">
        <v>942</v>
      </c>
      <c r="J484" s="139">
        <f t="shared" si="7"/>
        <v>1</v>
      </c>
    </row>
    <row r="485" spans="1:10" x14ac:dyDescent="0.25">
      <c r="A485" s="139">
        <v>674</v>
      </c>
      <c r="B485" s="139" t="s">
        <v>759</v>
      </c>
      <c r="C485" s="139" t="s">
        <v>901</v>
      </c>
      <c r="D485" s="139">
        <v>7</v>
      </c>
      <c r="E485" s="139">
        <v>6.3333333333333325E-2</v>
      </c>
      <c r="F485" s="139" t="s">
        <v>942</v>
      </c>
      <c r="G485" s="140" t="s">
        <v>942</v>
      </c>
      <c r="J485" s="139">
        <f t="shared" si="7"/>
        <v>1</v>
      </c>
    </row>
    <row r="486" spans="1:10" x14ac:dyDescent="0.25">
      <c r="A486" s="139">
        <v>675</v>
      </c>
      <c r="B486" s="139" t="s">
        <v>760</v>
      </c>
      <c r="C486" s="139" t="s">
        <v>199</v>
      </c>
      <c r="D486" s="139">
        <v>0</v>
      </c>
      <c r="E486" s="139">
        <v>9.3333333333333324E-2</v>
      </c>
      <c r="F486" s="139" t="s">
        <v>942</v>
      </c>
      <c r="G486" s="140" t="s">
        <v>942</v>
      </c>
      <c r="J486" s="139">
        <f t="shared" si="7"/>
        <v>1</v>
      </c>
    </row>
    <row r="487" spans="1:10" x14ac:dyDescent="0.25">
      <c r="A487" s="139">
        <v>676</v>
      </c>
      <c r="B487" s="139" t="s">
        <v>761</v>
      </c>
      <c r="C487" s="139" t="s">
        <v>187</v>
      </c>
      <c r="D487" s="139">
        <v>0</v>
      </c>
      <c r="E487" s="139">
        <v>0.1</v>
      </c>
      <c r="F487" s="139" t="s">
        <v>942</v>
      </c>
      <c r="G487" s="140" t="s">
        <v>942</v>
      </c>
      <c r="J487" s="139">
        <f t="shared" si="7"/>
        <v>1</v>
      </c>
    </row>
    <row r="488" spans="1:10" x14ac:dyDescent="0.25">
      <c r="A488" s="139">
        <v>677</v>
      </c>
      <c r="B488" s="139" t="s">
        <v>762</v>
      </c>
      <c r="C488" s="139" t="s">
        <v>187</v>
      </c>
      <c r="D488" s="139">
        <v>0</v>
      </c>
      <c r="E488" s="139">
        <v>0.13333333333333333</v>
      </c>
      <c r="F488" s="139" t="s">
        <v>942</v>
      </c>
      <c r="G488" s="140" t="s">
        <v>942</v>
      </c>
      <c r="J488" s="139">
        <f t="shared" si="7"/>
        <v>1</v>
      </c>
    </row>
    <row r="489" spans="1:10" x14ac:dyDescent="0.25">
      <c r="A489" s="139">
        <v>678</v>
      </c>
      <c r="B489" s="139" t="s">
        <v>763</v>
      </c>
      <c r="C489" s="139" t="s">
        <v>857</v>
      </c>
      <c r="D489" s="139">
        <v>28</v>
      </c>
      <c r="E489" s="139">
        <v>0.25</v>
      </c>
      <c r="F489" s="139" t="s">
        <v>942</v>
      </c>
      <c r="G489" s="140" t="s">
        <v>942</v>
      </c>
      <c r="J489" s="139">
        <f t="shared" si="7"/>
        <v>1</v>
      </c>
    </row>
    <row r="490" spans="1:10" x14ac:dyDescent="0.25">
      <c r="A490" s="139">
        <v>679</v>
      </c>
      <c r="B490" s="139" t="s">
        <v>764</v>
      </c>
      <c r="C490" s="139" t="s">
        <v>187</v>
      </c>
      <c r="D490" s="139">
        <v>28</v>
      </c>
      <c r="E490" s="139">
        <v>0.25</v>
      </c>
      <c r="F490" s="139">
        <v>28</v>
      </c>
      <c r="G490" s="140">
        <v>0.25560448358686999</v>
      </c>
      <c r="J490" s="139">
        <f t="shared" si="7"/>
        <v>1</v>
      </c>
    </row>
    <row r="491" spans="1:10" x14ac:dyDescent="0.25">
      <c r="A491" s="139">
        <v>680</v>
      </c>
      <c r="B491" s="139" t="s">
        <v>765</v>
      </c>
      <c r="C491" s="139" t="s">
        <v>187</v>
      </c>
      <c r="D491" s="139">
        <v>0</v>
      </c>
      <c r="E491" s="139">
        <v>7.6666666666666661E-2</v>
      </c>
      <c r="F491" s="139" t="s">
        <v>942</v>
      </c>
      <c r="G491" s="140" t="s">
        <v>942</v>
      </c>
      <c r="J491" s="139">
        <f t="shared" si="7"/>
        <v>1</v>
      </c>
    </row>
    <row r="492" spans="1:10" x14ac:dyDescent="0.25">
      <c r="A492" s="139">
        <v>681</v>
      </c>
      <c r="B492" s="139" t="s">
        <v>766</v>
      </c>
      <c r="C492" s="139" t="s">
        <v>200</v>
      </c>
      <c r="D492" s="139">
        <v>0</v>
      </c>
      <c r="E492" s="139">
        <v>8.3333333333333329E-2</v>
      </c>
      <c r="F492" s="139" t="s">
        <v>942</v>
      </c>
      <c r="G492" s="140" t="s">
        <v>942</v>
      </c>
      <c r="J492" s="139">
        <f t="shared" si="7"/>
        <v>1</v>
      </c>
    </row>
    <row r="493" spans="1:10" x14ac:dyDescent="0.25">
      <c r="A493" s="139">
        <v>682</v>
      </c>
      <c r="B493" s="139" t="s">
        <v>767</v>
      </c>
      <c r="C493" s="139" t="s">
        <v>906</v>
      </c>
      <c r="D493" s="139">
        <v>8.5</v>
      </c>
      <c r="E493" s="139">
        <v>8.3333333333333329E-2</v>
      </c>
      <c r="F493" s="139">
        <v>8.5</v>
      </c>
      <c r="G493" s="140">
        <v>8.3801333333333297E-2</v>
      </c>
      <c r="J493" s="139">
        <f t="shared" si="7"/>
        <v>1</v>
      </c>
    </row>
    <row r="494" spans="1:10" x14ac:dyDescent="0.25">
      <c r="A494" s="139">
        <v>683</v>
      </c>
      <c r="B494" s="139" t="s">
        <v>768</v>
      </c>
      <c r="C494" s="139" t="s">
        <v>187</v>
      </c>
      <c r="D494" s="139">
        <v>8.5</v>
      </c>
      <c r="E494" s="139">
        <v>8.3333333333333329E-2</v>
      </c>
      <c r="F494" s="139">
        <v>8.5</v>
      </c>
      <c r="G494" s="140">
        <v>8.53521292018352E-2</v>
      </c>
      <c r="J494" s="139">
        <f t="shared" si="7"/>
        <v>2</v>
      </c>
    </row>
    <row r="495" spans="1:10" x14ac:dyDescent="0.25">
      <c r="A495" s="139">
        <v>683</v>
      </c>
      <c r="B495" s="139" t="s">
        <v>769</v>
      </c>
      <c r="C495" s="139" t="s">
        <v>205</v>
      </c>
      <c r="D495" s="139">
        <v>8.5</v>
      </c>
      <c r="E495" s="139">
        <v>8.3333333333333329E-2</v>
      </c>
      <c r="F495" s="139">
        <v>8.5</v>
      </c>
      <c r="G495" s="140">
        <v>8.53521292018352E-2</v>
      </c>
      <c r="J495" s="139">
        <f t="shared" si="7"/>
        <v>2</v>
      </c>
    </row>
    <row r="496" spans="1:10" x14ac:dyDescent="0.25">
      <c r="A496" s="139">
        <v>685</v>
      </c>
      <c r="B496" s="139" t="s">
        <v>770</v>
      </c>
      <c r="C496" s="139" t="s">
        <v>201</v>
      </c>
      <c r="D496" s="139">
        <v>8.5</v>
      </c>
      <c r="E496" s="139">
        <v>8.3333333333333329E-2</v>
      </c>
      <c r="F496" s="139">
        <v>8.5</v>
      </c>
      <c r="G496" s="140">
        <v>7.9866666666666697E-2</v>
      </c>
      <c r="J496" s="139">
        <f t="shared" si="7"/>
        <v>1</v>
      </c>
    </row>
    <row r="497" spans="1:10" x14ac:dyDescent="0.25">
      <c r="A497" s="139">
        <v>686</v>
      </c>
      <c r="B497" s="139" t="s">
        <v>771</v>
      </c>
      <c r="C497" s="139" t="s">
        <v>187</v>
      </c>
      <c r="D497" s="139">
        <v>8.5</v>
      </c>
      <c r="E497" s="139">
        <v>9.3333333333333324E-2</v>
      </c>
      <c r="F497" s="139">
        <v>8.5</v>
      </c>
      <c r="G497" s="140">
        <v>0.103917670682731</v>
      </c>
      <c r="J497" s="139">
        <f t="shared" si="7"/>
        <v>1</v>
      </c>
    </row>
    <row r="498" spans="1:10" x14ac:dyDescent="0.25">
      <c r="A498" s="139">
        <v>687</v>
      </c>
      <c r="B498" s="139" t="s">
        <v>772</v>
      </c>
      <c r="C498" s="139" t="s">
        <v>187</v>
      </c>
      <c r="D498" s="139">
        <v>8.5</v>
      </c>
      <c r="E498" s="139">
        <v>0.1</v>
      </c>
      <c r="F498" s="139" t="s">
        <v>942</v>
      </c>
      <c r="G498" s="140" t="s">
        <v>942</v>
      </c>
      <c r="J498" s="139">
        <f t="shared" si="7"/>
        <v>1</v>
      </c>
    </row>
    <row r="499" spans="1:10" x14ac:dyDescent="0.25">
      <c r="A499" s="139">
        <v>688</v>
      </c>
      <c r="B499" s="139" t="s">
        <v>773</v>
      </c>
      <c r="C499" s="139" t="s">
        <v>895</v>
      </c>
      <c r="D499" s="139">
        <v>14</v>
      </c>
      <c r="E499" s="139">
        <v>0.12000000000000001</v>
      </c>
      <c r="F499" s="139" t="s">
        <v>942</v>
      </c>
      <c r="G499" s="140" t="s">
        <v>942</v>
      </c>
      <c r="J499" s="139">
        <f t="shared" si="7"/>
        <v>1</v>
      </c>
    </row>
    <row r="500" spans="1:10" x14ac:dyDescent="0.25">
      <c r="A500" s="139">
        <v>689</v>
      </c>
      <c r="B500" s="139" t="s">
        <v>774</v>
      </c>
      <c r="C500" s="139" t="s">
        <v>187</v>
      </c>
      <c r="D500" s="139">
        <v>14</v>
      </c>
      <c r="E500" s="139">
        <v>0.11666666666666667</v>
      </c>
      <c r="F500" s="139">
        <v>14</v>
      </c>
      <c r="G500" s="140">
        <v>0.1265</v>
      </c>
      <c r="J500" s="139">
        <f t="shared" si="7"/>
        <v>1</v>
      </c>
    </row>
    <row r="501" spans="1:10" x14ac:dyDescent="0.25">
      <c r="A501" s="139">
        <v>690</v>
      </c>
      <c r="B501" s="139" t="s">
        <v>775</v>
      </c>
      <c r="C501" s="139" t="s">
        <v>187</v>
      </c>
      <c r="D501" s="139">
        <v>14</v>
      </c>
      <c r="E501" s="139">
        <v>0.14666666666666667</v>
      </c>
      <c r="F501" s="139" t="s">
        <v>942</v>
      </c>
      <c r="G501" s="140" t="s">
        <v>942</v>
      </c>
      <c r="J501" s="139">
        <f t="shared" si="7"/>
        <v>1</v>
      </c>
    </row>
    <row r="502" spans="1:10" x14ac:dyDescent="0.25">
      <c r="A502" s="139">
        <v>691</v>
      </c>
      <c r="B502" s="139" t="s">
        <v>776</v>
      </c>
      <c r="C502" s="139" t="s">
        <v>187</v>
      </c>
      <c r="D502" s="139">
        <v>16</v>
      </c>
      <c r="E502" s="139">
        <v>0.16500000000000001</v>
      </c>
      <c r="F502" s="139">
        <v>16</v>
      </c>
      <c r="G502" s="140">
        <v>0.16546057142857101</v>
      </c>
      <c r="J502" s="139">
        <f t="shared" si="7"/>
        <v>1</v>
      </c>
    </row>
    <row r="503" spans="1:10" x14ac:dyDescent="0.25">
      <c r="A503" s="139">
        <v>692</v>
      </c>
      <c r="B503" s="139" t="s">
        <v>777</v>
      </c>
      <c r="C503" s="139" t="s">
        <v>187</v>
      </c>
      <c r="D503" s="139">
        <v>21</v>
      </c>
      <c r="E503" s="139">
        <v>0.2</v>
      </c>
      <c r="F503" s="139">
        <v>21</v>
      </c>
      <c r="G503" s="140">
        <v>0.200533980582524</v>
      </c>
      <c r="J503" s="139">
        <f t="shared" si="7"/>
        <v>1</v>
      </c>
    </row>
    <row r="504" spans="1:10" x14ac:dyDescent="0.25">
      <c r="A504" s="139">
        <v>693</v>
      </c>
      <c r="B504" s="139" t="s">
        <v>778</v>
      </c>
      <c r="C504" s="139" t="s">
        <v>940</v>
      </c>
      <c r="D504" s="139">
        <v>28</v>
      </c>
      <c r="E504" s="139">
        <v>0.33</v>
      </c>
      <c r="F504" s="139" t="s">
        <v>942</v>
      </c>
      <c r="G504" s="140" t="s">
        <v>942</v>
      </c>
      <c r="J504" s="139">
        <f t="shared" si="7"/>
        <v>1</v>
      </c>
    </row>
    <row r="505" spans="1:10" x14ac:dyDescent="0.25">
      <c r="A505" s="139">
        <v>694</v>
      </c>
      <c r="B505" s="139" t="s">
        <v>779</v>
      </c>
      <c r="C505" s="139" t="s">
        <v>910</v>
      </c>
      <c r="D505" s="139">
        <v>28</v>
      </c>
      <c r="E505" s="139">
        <v>0.36</v>
      </c>
      <c r="F505" s="139">
        <v>28</v>
      </c>
      <c r="G505" s="140">
        <v>0.355333333333333</v>
      </c>
      <c r="J505" s="139">
        <f t="shared" si="7"/>
        <v>1</v>
      </c>
    </row>
    <row r="506" spans="1:10" x14ac:dyDescent="0.25">
      <c r="A506" s="139">
        <v>695</v>
      </c>
      <c r="B506" s="139" t="s">
        <v>780</v>
      </c>
      <c r="C506" s="139" t="s">
        <v>940</v>
      </c>
      <c r="D506" s="139">
        <v>0</v>
      </c>
      <c r="E506" s="139">
        <v>0.42599999999999999</v>
      </c>
      <c r="F506" s="139" t="s">
        <v>942</v>
      </c>
      <c r="G506" s="140" t="s">
        <v>942</v>
      </c>
      <c r="J506" s="139">
        <f t="shared" si="7"/>
        <v>1</v>
      </c>
    </row>
    <row r="507" spans="1:10" x14ac:dyDescent="0.25">
      <c r="A507" s="139">
        <v>696</v>
      </c>
      <c r="B507" s="139" t="s">
        <v>781</v>
      </c>
      <c r="C507" s="139" t="s">
        <v>187</v>
      </c>
      <c r="D507" s="139">
        <v>0</v>
      </c>
      <c r="E507" s="139">
        <v>0.13333333333333333</v>
      </c>
      <c r="F507" s="139">
        <v>0</v>
      </c>
      <c r="G507" s="140">
        <v>0.13210648148148199</v>
      </c>
      <c r="J507" s="139">
        <f t="shared" si="7"/>
        <v>1</v>
      </c>
    </row>
    <row r="508" spans="1:10" x14ac:dyDescent="0.25">
      <c r="A508" s="139">
        <v>697</v>
      </c>
      <c r="B508" s="139" t="s">
        <v>782</v>
      </c>
      <c r="C508" s="139" t="s">
        <v>187</v>
      </c>
      <c r="D508" s="139">
        <v>0</v>
      </c>
      <c r="E508" s="139">
        <v>0.15</v>
      </c>
      <c r="F508" s="139" t="s">
        <v>942</v>
      </c>
      <c r="G508" s="140" t="s">
        <v>942</v>
      </c>
      <c r="J508" s="139">
        <f t="shared" si="7"/>
        <v>1</v>
      </c>
    </row>
    <row r="509" spans="1:10" x14ac:dyDescent="0.25">
      <c r="A509" s="139">
        <v>698</v>
      </c>
      <c r="B509" s="139" t="s">
        <v>783</v>
      </c>
      <c r="C509" s="139" t="s">
        <v>182</v>
      </c>
      <c r="D509" s="139">
        <v>0</v>
      </c>
      <c r="E509" s="139">
        <v>0.34333333333333338</v>
      </c>
      <c r="F509" s="139" t="s">
        <v>942</v>
      </c>
      <c r="G509" s="140" t="s">
        <v>942</v>
      </c>
      <c r="J509" s="139">
        <f t="shared" si="7"/>
        <v>1</v>
      </c>
    </row>
    <row r="510" spans="1:10" x14ac:dyDescent="0.25">
      <c r="A510" s="139">
        <v>699</v>
      </c>
      <c r="B510" s="139" t="s">
        <v>784</v>
      </c>
      <c r="C510" s="139" t="s">
        <v>187</v>
      </c>
      <c r="D510" s="139">
        <v>0</v>
      </c>
      <c r="E510" s="139">
        <v>0.26999999999999996</v>
      </c>
      <c r="F510" s="139" t="s">
        <v>942</v>
      </c>
      <c r="G510" s="140" t="s">
        <v>942</v>
      </c>
      <c r="J510" s="139">
        <f t="shared" si="7"/>
        <v>1</v>
      </c>
    </row>
    <row r="511" spans="1:10" x14ac:dyDescent="0.25">
      <c r="A511" s="139">
        <v>700</v>
      </c>
      <c r="B511" s="139" t="s">
        <v>785</v>
      </c>
      <c r="C511" s="139" t="s">
        <v>187</v>
      </c>
      <c r="D511" s="139">
        <v>0</v>
      </c>
      <c r="E511" s="139">
        <v>0.3</v>
      </c>
      <c r="F511" s="139" t="s">
        <v>942</v>
      </c>
      <c r="G511" s="140" t="s">
        <v>942</v>
      </c>
      <c r="J511" s="139">
        <f t="shared" si="7"/>
        <v>1</v>
      </c>
    </row>
    <row r="512" spans="1:10" x14ac:dyDescent="0.25">
      <c r="A512" s="139">
        <v>701</v>
      </c>
      <c r="B512" s="139" t="s">
        <v>786</v>
      </c>
      <c r="C512" s="139" t="s">
        <v>187</v>
      </c>
      <c r="D512" s="139">
        <v>0</v>
      </c>
      <c r="E512" s="139">
        <v>7.0000000000000007E-2</v>
      </c>
      <c r="F512" s="139" t="s">
        <v>942</v>
      </c>
      <c r="G512" s="140" t="s">
        <v>942</v>
      </c>
      <c r="J512" s="139">
        <f t="shared" si="7"/>
        <v>1</v>
      </c>
    </row>
    <row r="513" spans="1:10" x14ac:dyDescent="0.25">
      <c r="A513" s="139">
        <v>702</v>
      </c>
      <c r="B513" s="139" t="s">
        <v>787</v>
      </c>
      <c r="C513" s="139" t="s">
        <v>187</v>
      </c>
      <c r="D513" s="139">
        <v>0</v>
      </c>
      <c r="E513" s="139">
        <v>0.15</v>
      </c>
      <c r="F513" s="139" t="s">
        <v>942</v>
      </c>
      <c r="G513" s="140" t="s">
        <v>942</v>
      </c>
      <c r="J513" s="139">
        <f t="shared" si="7"/>
        <v>1</v>
      </c>
    </row>
    <row r="514" spans="1:10" x14ac:dyDescent="0.25">
      <c r="A514" s="139">
        <v>703</v>
      </c>
      <c r="B514" s="139" t="s">
        <v>788</v>
      </c>
      <c r="C514" s="139" t="s">
        <v>187</v>
      </c>
      <c r="D514" s="139">
        <v>0</v>
      </c>
      <c r="E514" s="139">
        <v>0.18000000000000002</v>
      </c>
      <c r="F514" s="139" t="s">
        <v>942</v>
      </c>
      <c r="G514" s="140" t="s">
        <v>942</v>
      </c>
      <c r="J514" s="139">
        <f t="shared" si="7"/>
        <v>1</v>
      </c>
    </row>
    <row r="515" spans="1:10" x14ac:dyDescent="0.25">
      <c r="A515" s="139">
        <v>704</v>
      </c>
      <c r="B515" s="139" t="s">
        <v>789</v>
      </c>
      <c r="C515" s="139" t="s">
        <v>187</v>
      </c>
      <c r="D515" s="139">
        <v>0</v>
      </c>
      <c r="E515" s="139">
        <v>0.2</v>
      </c>
      <c r="F515" s="139" t="s">
        <v>942</v>
      </c>
      <c r="G515" s="140" t="s">
        <v>942</v>
      </c>
      <c r="J515" s="139">
        <f t="shared" ref="J515:J544" si="8">COUNTIF(A:A,A515)</f>
        <v>1</v>
      </c>
    </row>
    <row r="516" spans="1:10" x14ac:dyDescent="0.25">
      <c r="A516" s="139">
        <v>705</v>
      </c>
      <c r="B516" s="139" t="s">
        <v>790</v>
      </c>
      <c r="C516" s="139" t="s">
        <v>187</v>
      </c>
      <c r="D516" s="139">
        <v>0</v>
      </c>
      <c r="E516" s="139">
        <v>0.25</v>
      </c>
      <c r="F516" s="139" t="s">
        <v>942</v>
      </c>
      <c r="G516" s="140" t="s">
        <v>942</v>
      </c>
      <c r="J516" s="139">
        <f t="shared" si="8"/>
        <v>1</v>
      </c>
    </row>
    <row r="517" spans="1:10" x14ac:dyDescent="0.25">
      <c r="A517" s="139">
        <v>706</v>
      </c>
      <c r="B517" s="139" t="s">
        <v>948</v>
      </c>
      <c r="C517" s="139" t="s">
        <v>187</v>
      </c>
      <c r="D517" s="139">
        <v>0</v>
      </c>
      <c r="E517" s="139">
        <v>0.10333333333333333</v>
      </c>
      <c r="F517" s="139">
        <v>0</v>
      </c>
      <c r="G517" s="140">
        <v>0.101519535013586</v>
      </c>
      <c r="J517" s="139">
        <f t="shared" si="8"/>
        <v>2</v>
      </c>
    </row>
    <row r="518" spans="1:10" x14ac:dyDescent="0.25">
      <c r="A518" s="139">
        <v>706</v>
      </c>
      <c r="B518" s="139" t="s">
        <v>791</v>
      </c>
      <c r="C518" s="139" t="s">
        <v>187</v>
      </c>
      <c r="D518" s="139">
        <v>12</v>
      </c>
      <c r="E518" s="139">
        <v>0.1</v>
      </c>
      <c r="F518" s="139">
        <v>9.7463476603853501</v>
      </c>
      <c r="G518" s="140">
        <v>0.101519535013586</v>
      </c>
      <c r="J518" s="139">
        <f t="shared" si="8"/>
        <v>2</v>
      </c>
    </row>
    <row r="519" spans="1:10" x14ac:dyDescent="0.25">
      <c r="A519" s="139">
        <v>707</v>
      </c>
      <c r="B519" s="139" t="s">
        <v>792</v>
      </c>
      <c r="C519" s="139" t="s">
        <v>187</v>
      </c>
      <c r="D519" s="139">
        <v>13</v>
      </c>
      <c r="E519" s="139">
        <v>0.11666666666666667</v>
      </c>
      <c r="F519" s="139">
        <v>13</v>
      </c>
      <c r="G519" s="140">
        <v>0.117169811320755</v>
      </c>
      <c r="J519" s="139">
        <f t="shared" si="8"/>
        <v>1</v>
      </c>
    </row>
    <row r="520" spans="1:10" x14ac:dyDescent="0.25">
      <c r="A520" s="139">
        <v>708</v>
      </c>
      <c r="B520" s="139" t="s">
        <v>793</v>
      </c>
      <c r="C520" s="139" t="s">
        <v>187</v>
      </c>
      <c r="D520" s="139">
        <v>9</v>
      </c>
      <c r="E520" s="139">
        <v>6.6666666666666666E-2</v>
      </c>
      <c r="F520" s="139">
        <v>9</v>
      </c>
      <c r="G520" s="140">
        <v>6.8313208109719706E-2</v>
      </c>
      <c r="J520" s="139">
        <f t="shared" si="8"/>
        <v>1</v>
      </c>
    </row>
    <row r="521" spans="1:10" x14ac:dyDescent="0.25">
      <c r="A521" s="139">
        <v>709</v>
      </c>
      <c r="B521" s="139" t="s">
        <v>794</v>
      </c>
      <c r="C521" s="139" t="s">
        <v>187</v>
      </c>
      <c r="D521" s="139">
        <v>10</v>
      </c>
      <c r="E521" s="139">
        <v>7.6666666666666661E-2</v>
      </c>
      <c r="F521" s="139">
        <v>10</v>
      </c>
      <c r="G521" s="140">
        <v>7.7371258712587099E-2</v>
      </c>
      <c r="J521" s="139">
        <f t="shared" si="8"/>
        <v>1</v>
      </c>
    </row>
    <row r="522" spans="1:10" x14ac:dyDescent="0.25">
      <c r="A522" s="139">
        <v>710</v>
      </c>
      <c r="B522" s="139" t="s">
        <v>795</v>
      </c>
      <c r="C522" s="139" t="s">
        <v>201</v>
      </c>
      <c r="D522" s="139">
        <v>0</v>
      </c>
      <c r="E522" s="139">
        <v>8.3333333333333329E-2</v>
      </c>
      <c r="F522" s="139" t="s">
        <v>942</v>
      </c>
      <c r="G522" s="140" t="s">
        <v>942</v>
      </c>
      <c r="J522" s="139">
        <f t="shared" si="8"/>
        <v>1</v>
      </c>
    </row>
    <row r="523" spans="1:10" x14ac:dyDescent="0.25">
      <c r="A523" s="139">
        <v>711</v>
      </c>
      <c r="B523" s="139" t="s">
        <v>796</v>
      </c>
      <c r="C523" s="139" t="s">
        <v>187</v>
      </c>
      <c r="D523" s="139">
        <v>0</v>
      </c>
      <c r="E523" s="139">
        <v>0.08</v>
      </c>
      <c r="F523" s="139">
        <v>0</v>
      </c>
      <c r="G523" s="140">
        <v>0.103666666666667</v>
      </c>
      <c r="J523" s="139">
        <f t="shared" si="8"/>
        <v>1</v>
      </c>
    </row>
    <row r="524" spans="1:10" x14ac:dyDescent="0.25">
      <c r="A524" s="139">
        <v>712</v>
      </c>
      <c r="B524" s="139" t="s">
        <v>797</v>
      </c>
      <c r="C524" s="139" t="s">
        <v>182</v>
      </c>
      <c r="D524" s="139">
        <v>0</v>
      </c>
      <c r="E524" s="139">
        <v>0.1</v>
      </c>
      <c r="F524" s="139">
        <v>0</v>
      </c>
      <c r="G524" s="140">
        <v>0.155694444444444</v>
      </c>
      <c r="J524" s="139">
        <f t="shared" si="8"/>
        <v>1</v>
      </c>
    </row>
    <row r="525" spans="1:10" x14ac:dyDescent="0.25">
      <c r="A525" s="139">
        <v>713</v>
      </c>
      <c r="B525" s="139" t="s">
        <v>798</v>
      </c>
      <c r="C525" s="139" t="s">
        <v>182</v>
      </c>
      <c r="D525" s="139">
        <v>0</v>
      </c>
      <c r="E525" s="139">
        <v>0.15</v>
      </c>
      <c r="F525" s="139" t="s">
        <v>942</v>
      </c>
      <c r="G525" s="140" t="s">
        <v>942</v>
      </c>
      <c r="J525" s="139">
        <f t="shared" si="8"/>
        <v>1</v>
      </c>
    </row>
    <row r="526" spans="1:10" x14ac:dyDescent="0.25">
      <c r="A526" s="139">
        <v>714</v>
      </c>
      <c r="B526" s="139" t="s">
        <v>799</v>
      </c>
      <c r="C526" s="139" t="s">
        <v>187</v>
      </c>
      <c r="D526" s="139">
        <v>0</v>
      </c>
      <c r="E526" s="139">
        <v>0.21666666666666667</v>
      </c>
      <c r="F526" s="139" t="s">
        <v>942</v>
      </c>
      <c r="G526" s="140" t="s">
        <v>942</v>
      </c>
      <c r="J526" s="139">
        <f t="shared" si="8"/>
        <v>1</v>
      </c>
    </row>
    <row r="527" spans="1:10" x14ac:dyDescent="0.25">
      <c r="A527" s="139">
        <v>715</v>
      </c>
      <c r="B527" s="139" t="s">
        <v>800</v>
      </c>
      <c r="C527" s="139" t="s">
        <v>947</v>
      </c>
      <c r="D527" s="139">
        <v>0</v>
      </c>
      <c r="E527" s="139">
        <v>0.14666666666666667</v>
      </c>
      <c r="F527" s="139" t="s">
        <v>942</v>
      </c>
      <c r="G527" s="140" t="s">
        <v>942</v>
      </c>
      <c r="J527" s="139">
        <f t="shared" si="8"/>
        <v>1</v>
      </c>
    </row>
    <row r="528" spans="1:10" x14ac:dyDescent="0.25">
      <c r="A528" s="139">
        <v>716</v>
      </c>
      <c r="B528" s="139" t="s">
        <v>801</v>
      </c>
      <c r="C528" s="139" t="s">
        <v>182</v>
      </c>
      <c r="D528" s="139">
        <v>0</v>
      </c>
      <c r="E528" s="139">
        <v>0.14666666666666667</v>
      </c>
      <c r="F528" s="139">
        <v>0</v>
      </c>
      <c r="G528" s="140">
        <v>0.11550000000000001</v>
      </c>
      <c r="J528" s="139">
        <f t="shared" si="8"/>
        <v>1</v>
      </c>
    </row>
    <row r="529" spans="1:10" x14ac:dyDescent="0.25">
      <c r="A529" s="139">
        <v>717</v>
      </c>
      <c r="B529" s="139" t="s">
        <v>802</v>
      </c>
      <c r="C529" s="139" t="s">
        <v>204</v>
      </c>
      <c r="D529" s="139">
        <v>0</v>
      </c>
      <c r="E529" s="139">
        <v>0.14666666666666667</v>
      </c>
      <c r="F529" s="139" t="s">
        <v>942</v>
      </c>
      <c r="G529" s="140" t="s">
        <v>942</v>
      </c>
      <c r="J529" s="139">
        <f t="shared" si="8"/>
        <v>1</v>
      </c>
    </row>
    <row r="530" spans="1:10" x14ac:dyDescent="0.25">
      <c r="A530" s="139">
        <v>718</v>
      </c>
      <c r="B530" s="139" t="s">
        <v>803</v>
      </c>
      <c r="C530" s="139" t="s">
        <v>862</v>
      </c>
      <c r="D530" s="139">
        <v>0</v>
      </c>
      <c r="E530" s="139">
        <v>0.14666666666666667</v>
      </c>
      <c r="F530" s="139" t="s">
        <v>942</v>
      </c>
      <c r="G530" s="140" t="s">
        <v>942</v>
      </c>
      <c r="J530" s="139">
        <f t="shared" si="8"/>
        <v>1</v>
      </c>
    </row>
    <row r="531" spans="1:10" x14ac:dyDescent="0.25">
      <c r="A531" s="139">
        <v>719</v>
      </c>
      <c r="B531" s="139" t="s">
        <v>804</v>
      </c>
      <c r="C531" s="139" t="s">
        <v>946</v>
      </c>
      <c r="D531" s="139">
        <v>0</v>
      </c>
      <c r="E531" s="139">
        <v>0.14666666666666667</v>
      </c>
      <c r="F531" s="139" t="s">
        <v>942</v>
      </c>
      <c r="G531" s="140" t="s">
        <v>942</v>
      </c>
      <c r="J531" s="139">
        <f t="shared" si="8"/>
        <v>1</v>
      </c>
    </row>
    <row r="532" spans="1:10" x14ac:dyDescent="0.25">
      <c r="A532" s="139">
        <v>720</v>
      </c>
      <c r="B532" s="139" t="s">
        <v>805</v>
      </c>
      <c r="C532" s="139" t="s">
        <v>182</v>
      </c>
      <c r="D532" s="139">
        <v>0</v>
      </c>
      <c r="E532" s="139">
        <v>0.13333333333333333</v>
      </c>
      <c r="F532" s="139">
        <v>0</v>
      </c>
      <c r="G532" s="140">
        <v>0.136357723577236</v>
      </c>
      <c r="J532" s="139">
        <f t="shared" si="8"/>
        <v>1</v>
      </c>
    </row>
    <row r="533" spans="1:10" x14ac:dyDescent="0.25">
      <c r="A533" s="139">
        <v>721</v>
      </c>
      <c r="B533" s="139" t="s">
        <v>806</v>
      </c>
      <c r="C533" s="139" t="s">
        <v>185</v>
      </c>
      <c r="D533" s="139">
        <v>0</v>
      </c>
      <c r="E533" s="139">
        <v>0.13333333333333333</v>
      </c>
      <c r="F533" s="139" t="s">
        <v>942</v>
      </c>
      <c r="G533" s="140" t="s">
        <v>942</v>
      </c>
      <c r="J533" s="139">
        <f t="shared" si="8"/>
        <v>1</v>
      </c>
    </row>
    <row r="534" spans="1:10" x14ac:dyDescent="0.25">
      <c r="A534" s="139">
        <v>722</v>
      </c>
      <c r="B534" s="139" t="s">
        <v>807</v>
      </c>
      <c r="C534" s="139" t="s">
        <v>187</v>
      </c>
      <c r="D534" s="139">
        <v>0</v>
      </c>
      <c r="E534" s="139">
        <v>0.16666666666666666</v>
      </c>
      <c r="F534" s="139" t="s">
        <v>942</v>
      </c>
      <c r="G534" s="140" t="s">
        <v>942</v>
      </c>
      <c r="J534" s="139">
        <f t="shared" si="8"/>
        <v>1</v>
      </c>
    </row>
    <row r="535" spans="1:10" x14ac:dyDescent="0.25">
      <c r="A535" s="139">
        <v>723</v>
      </c>
      <c r="B535" s="139" t="s">
        <v>808</v>
      </c>
      <c r="C535" s="139" t="s">
        <v>200</v>
      </c>
      <c r="D535" s="139">
        <v>10.25</v>
      </c>
      <c r="E535" s="139">
        <v>0.16</v>
      </c>
      <c r="F535" s="139">
        <v>10.25</v>
      </c>
      <c r="G535" s="140">
        <v>0.176666666666667</v>
      </c>
      <c r="J535" s="139">
        <f t="shared" si="8"/>
        <v>1</v>
      </c>
    </row>
    <row r="536" spans="1:10" x14ac:dyDescent="0.25">
      <c r="A536" s="139">
        <v>724</v>
      </c>
      <c r="B536" s="139" t="s">
        <v>809</v>
      </c>
      <c r="C536" s="139" t="s">
        <v>884</v>
      </c>
      <c r="D536" s="139">
        <v>9.5</v>
      </c>
      <c r="E536" s="139">
        <v>0.15</v>
      </c>
      <c r="F536" s="139">
        <v>9.5</v>
      </c>
      <c r="G536" s="140">
        <v>0.15</v>
      </c>
      <c r="J536" s="139">
        <f t="shared" si="8"/>
        <v>1</v>
      </c>
    </row>
    <row r="537" spans="1:10" x14ac:dyDescent="0.25">
      <c r="A537" s="139">
        <v>725</v>
      </c>
      <c r="B537" s="139" t="s">
        <v>945</v>
      </c>
      <c r="C537" s="139" t="s">
        <v>187</v>
      </c>
      <c r="D537" s="139">
        <v>9.5</v>
      </c>
      <c r="E537" s="139">
        <v>0.23333333333333334</v>
      </c>
      <c r="F537" s="139">
        <v>13</v>
      </c>
      <c r="G537" s="140">
        <v>0.237916666666667</v>
      </c>
      <c r="J537" s="139">
        <f t="shared" si="8"/>
        <v>1</v>
      </c>
    </row>
    <row r="538" spans="1:10" x14ac:dyDescent="0.25">
      <c r="A538" s="139">
        <v>727</v>
      </c>
      <c r="B538" s="139" t="s">
        <v>944</v>
      </c>
      <c r="C538" s="139" t="s">
        <v>187</v>
      </c>
      <c r="D538" s="139">
        <v>0</v>
      </c>
      <c r="E538" s="139">
        <v>0.35</v>
      </c>
      <c r="F538" s="139">
        <v>0</v>
      </c>
      <c r="G538" s="140">
        <v>9.89734693877551E-2</v>
      </c>
      <c r="J538" s="139">
        <f t="shared" si="8"/>
        <v>1</v>
      </c>
    </row>
    <row r="539" spans="1:10" x14ac:dyDescent="0.25">
      <c r="A539" s="139">
        <v>728</v>
      </c>
      <c r="B539" s="139" t="s">
        <v>943</v>
      </c>
      <c r="C539" s="139" t="s">
        <v>200</v>
      </c>
      <c r="D539" s="139">
        <v>9</v>
      </c>
      <c r="E539" s="139">
        <v>0.13333333333333333</v>
      </c>
      <c r="F539" s="139" t="s">
        <v>942</v>
      </c>
      <c r="G539" s="140" t="s">
        <v>942</v>
      </c>
      <c r="J539" s="139">
        <f t="shared" si="8"/>
        <v>1</v>
      </c>
    </row>
    <row r="540" spans="1:10" x14ac:dyDescent="0.25">
      <c r="A540" s="139">
        <v>1106</v>
      </c>
      <c r="B540" s="139" t="s">
        <v>917</v>
      </c>
      <c r="C540" s="139" t="s">
        <v>182</v>
      </c>
      <c r="F540" s="139">
        <v>0</v>
      </c>
      <c r="G540" s="140">
        <v>7.1879999999999999E-2</v>
      </c>
      <c r="J540" s="139">
        <f t="shared" si="8"/>
        <v>1</v>
      </c>
    </row>
    <row r="541" spans="1:10" x14ac:dyDescent="0.25">
      <c r="A541" s="139">
        <v>1113</v>
      </c>
      <c r="B541" s="139" t="s">
        <v>918</v>
      </c>
      <c r="C541" s="139" t="s">
        <v>862</v>
      </c>
      <c r="F541" s="139">
        <v>0</v>
      </c>
      <c r="G541" s="140">
        <v>3.40121054907047E-2</v>
      </c>
      <c r="J541" s="139">
        <f t="shared" si="8"/>
        <v>1</v>
      </c>
    </row>
    <row r="542" spans="1:10" x14ac:dyDescent="0.25">
      <c r="A542">
        <v>726</v>
      </c>
      <c r="B542" t="s">
        <v>915</v>
      </c>
      <c r="C542" t="s">
        <v>187</v>
      </c>
      <c r="F542" s="139">
        <v>0</v>
      </c>
      <c r="G542" s="81">
        <v>0.13580843585237301</v>
      </c>
      <c r="J542" s="139">
        <f t="shared" si="8"/>
        <v>1</v>
      </c>
    </row>
    <row r="543" spans="1:10" x14ac:dyDescent="0.25">
      <c r="A543">
        <v>401</v>
      </c>
      <c r="B543" t="s">
        <v>852</v>
      </c>
      <c r="C543" t="s">
        <v>182</v>
      </c>
      <c r="F543" s="119">
        <v>5.75</v>
      </c>
      <c r="G543" s="81">
        <v>0.14875675675675701</v>
      </c>
      <c r="J543" s="139">
        <f t="shared" si="8"/>
        <v>1</v>
      </c>
    </row>
    <row r="544" spans="1:10" x14ac:dyDescent="0.25">
      <c r="A544">
        <v>402</v>
      </c>
      <c r="B544" t="s">
        <v>852</v>
      </c>
      <c r="C544" t="s">
        <v>187</v>
      </c>
      <c r="F544" s="119">
        <v>5.75</v>
      </c>
      <c r="G544" s="81">
        <v>0</v>
      </c>
      <c r="J544" s="139">
        <f t="shared" si="8"/>
        <v>1</v>
      </c>
    </row>
  </sheetData>
  <autoFilter ref="J1:J541" xr:uid="{CCFB9C14-4593-48D9-B1AD-D48B72087BC5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How to Use</vt:lpstr>
      <vt:lpstr>Apr26</vt:lpstr>
      <vt:lpstr>Rate Card</vt:lpstr>
      <vt:lpstr>SKU Master</vt:lpstr>
      <vt:lpstr>Live Contribution</vt:lpstr>
      <vt:lpstr>PAL Reconciliation</vt:lpstr>
      <vt:lpstr>Quote Builder</vt:lpstr>
      <vt:lpstr>Contribution Forecast</vt:lpstr>
      <vt:lpstr>Ratio Master</vt:lpstr>
      <vt:lpstr>AnnualFixed</vt:lpstr>
      <vt:lpstr>FabRateIncKg</vt:lpstr>
      <vt:lpstr>FabricAddon</vt:lpstr>
      <vt:lpstr>LiveTotalContri</vt:lpstr>
      <vt:lpstr>MonthlyFixed</vt:lpstr>
      <vt:lpstr>RM_rate</vt:lpstr>
      <vt:lpstr>Stage1_RM</vt:lpstr>
      <vt:lpstr>Stage2_Yarn</vt:lpstr>
      <vt:lpstr>WCCharge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Sudhir Prabhu</cp:lastModifiedBy>
  <cp:revision>0</cp:revision>
  <dcterms:created xsi:type="dcterms:W3CDTF">2026-05-22T07:32:36Z</dcterms:created>
  <dcterms:modified xsi:type="dcterms:W3CDTF">2026-06-18T10:13:15Z</dcterms:modified>
  <dc:language>en-US</dc:language>
</cp:coreProperties>
</file>