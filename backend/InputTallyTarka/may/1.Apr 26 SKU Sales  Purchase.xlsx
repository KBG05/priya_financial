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Current FY 2020 Onwards\AI-MIS\Srp AI\AI Analysis\Inputs\"/>
    </mc:Choice>
  </mc:AlternateContent>
  <xr:revisionPtr revIDLastSave="0" documentId="8_{E4A4F3C5-A3CB-422B-8F45-C21F9B6A1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  <sheet name="purch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2" l="1"/>
  <c r="E35" i="2"/>
  <c r="D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</calcChain>
</file>

<file path=xl/sharedStrings.xml><?xml version="1.0" encoding="utf-8"?>
<sst xmlns="http://schemas.openxmlformats.org/spreadsheetml/2006/main" count="411" uniqueCount="147">
  <si>
    <t>PRIYADARSHINI FILAMENTS PVT. LTD.</t>
  </si>
  <si>
    <t xml:space="preserve"> ITEM WISE SALES SUMMARY</t>
  </si>
  <si>
    <t>FROM 01/04/2026 TO 30/04/2026</t>
  </si>
  <si>
    <t>CATEGORY</t>
  </si>
  <si>
    <t>Common Code</t>
  </si>
  <si>
    <t>PRODUCT</t>
  </si>
  <si>
    <t>COLOUR</t>
  </si>
  <si>
    <t>QTY MTR</t>
  </si>
  <si>
    <t>QTY KGS</t>
  </si>
  <si>
    <t>VALUE</t>
  </si>
  <si>
    <t>FABRIC</t>
  </si>
  <si>
    <t>PP Woven Sacks 0.00 mm</t>
  </si>
  <si>
    <t>TSN 0.00 mm</t>
  </si>
  <si>
    <t>WMT 0.00 mm</t>
  </si>
  <si>
    <t>MSN 0.00 mm</t>
  </si>
  <si>
    <t>MULCH 0.00 mm</t>
  </si>
  <si>
    <t>INSECT NET 0.00 mm</t>
  </si>
  <si>
    <t>12 Mesh HQ 42"</t>
  </si>
  <si>
    <t>Blue</t>
  </si>
  <si>
    <t>120 Mesh LQ 48"</t>
  </si>
  <si>
    <t>White</t>
  </si>
  <si>
    <t>16 Mesh HQ 42"</t>
  </si>
  <si>
    <t>16 Mesh HQ 84"</t>
  </si>
  <si>
    <t>20  Mesh SHQ 39"</t>
  </si>
  <si>
    <t>Black</t>
  </si>
  <si>
    <t>20 Mesh HQ 42"</t>
  </si>
  <si>
    <t>20 Mesh HQ(Juicer) 48"</t>
  </si>
  <si>
    <t>Ivory</t>
  </si>
  <si>
    <t>20 Mesh MQ 42"</t>
  </si>
  <si>
    <t>RP Blue</t>
  </si>
  <si>
    <t>Sea Green</t>
  </si>
  <si>
    <t>20 Mesh MQ 48"</t>
  </si>
  <si>
    <t>Green</t>
  </si>
  <si>
    <t>Grey</t>
  </si>
  <si>
    <t>20 Mesh MQ 60"</t>
  </si>
  <si>
    <t>20 Mesh MQ 84"</t>
  </si>
  <si>
    <t>Light Blue</t>
  </si>
  <si>
    <t>Military Green</t>
  </si>
  <si>
    <t>PF Blue</t>
  </si>
  <si>
    <t>Premium White</t>
  </si>
  <si>
    <t>SF Blue</t>
  </si>
  <si>
    <t>20 Mesh MQ 120"</t>
  </si>
  <si>
    <t>20 Mesh SHQ 48"</t>
  </si>
  <si>
    <t>24 Mesh LQ 42"</t>
  </si>
  <si>
    <t>Rose Pink</t>
  </si>
  <si>
    <t>24 Mesh LQ 48"</t>
  </si>
  <si>
    <t>24 Mesh LQ 49"</t>
  </si>
  <si>
    <t>24 Mesh LQ 50"</t>
  </si>
  <si>
    <t>Jamoon</t>
  </si>
  <si>
    <t>24 Mesh LQ 60"</t>
  </si>
  <si>
    <t>24 Mesh LQ 84"</t>
  </si>
  <si>
    <t>24 Mesh MQ 84"</t>
  </si>
  <si>
    <t>Lemon Yellow</t>
  </si>
  <si>
    <t>Orange</t>
  </si>
  <si>
    <t>30 Mesh LQ 42"</t>
  </si>
  <si>
    <t>30 Mesh LQ 50"</t>
  </si>
  <si>
    <t>30 Mesh SHQ 48"</t>
  </si>
  <si>
    <t>40 Mesh HQ 42"</t>
  </si>
  <si>
    <t>40 Mesh HQ 48"</t>
  </si>
  <si>
    <t>40 Mesh HQ 60"</t>
  </si>
  <si>
    <t>S.White</t>
  </si>
  <si>
    <t>40 Mesh HQ 84"</t>
  </si>
  <si>
    <t>40 Mesh HQ 138"</t>
  </si>
  <si>
    <t>40 Mesh HQ 146"</t>
  </si>
  <si>
    <t>40 Mesh LQ 42"</t>
  </si>
  <si>
    <t>40 Mesh LQ 48"</t>
  </si>
  <si>
    <t>XXWhite</t>
  </si>
  <si>
    <t>40 Mesh LQ ZZ 42"</t>
  </si>
  <si>
    <t>White(G.B)</t>
  </si>
  <si>
    <t>40 Mesh MQ 42"</t>
  </si>
  <si>
    <t>White(Red Border)</t>
  </si>
  <si>
    <t>40 Mesh MQ 60"</t>
  </si>
  <si>
    <t>40 Mesh MQ 120"</t>
  </si>
  <si>
    <t>60 Mesh HQ 42"</t>
  </si>
  <si>
    <t>60 Mesh HQ 48"</t>
  </si>
  <si>
    <t>60 Mesh LQ 42"</t>
  </si>
  <si>
    <t>60 Mesh LQ 48"</t>
  </si>
  <si>
    <t>8 Mesh HQ 42"</t>
  </si>
  <si>
    <t>HF 54"</t>
  </si>
  <si>
    <t>HP 60"</t>
  </si>
  <si>
    <t>HP 120"</t>
  </si>
  <si>
    <t>Kangaroo 54"</t>
  </si>
  <si>
    <t>Kangaroo 60"</t>
  </si>
  <si>
    <t>Kangaroo 84"</t>
  </si>
  <si>
    <t>Kangaroo 120"</t>
  </si>
  <si>
    <t>Lotus 54"</t>
  </si>
  <si>
    <t>Badam Pink</t>
  </si>
  <si>
    <t>Light Sea Green</t>
  </si>
  <si>
    <t>Sky Blue</t>
  </si>
  <si>
    <t>Violet</t>
  </si>
  <si>
    <t>PF 54"</t>
  </si>
  <si>
    <t>Zebra</t>
  </si>
  <si>
    <t>PF 60"</t>
  </si>
  <si>
    <t>PF 84"</t>
  </si>
  <si>
    <t>PF 120"</t>
  </si>
  <si>
    <t>PL 54"</t>
  </si>
  <si>
    <t>PL 60"</t>
  </si>
  <si>
    <t>PL 84"</t>
  </si>
  <si>
    <t>PL 120"</t>
  </si>
  <si>
    <t>Priya-Gold Max 54"</t>
  </si>
  <si>
    <t>Scorpio 60"</t>
  </si>
  <si>
    <t>SF 54"</t>
  </si>
  <si>
    <t>SF 60"</t>
  </si>
  <si>
    <t>SF 110"</t>
  </si>
  <si>
    <t>W</t>
  </si>
  <si>
    <t>Waste 0.00 mm</t>
  </si>
  <si>
    <t>YARN</t>
  </si>
  <si>
    <t>YARN 16.50 mm</t>
  </si>
  <si>
    <t>YARN 12.00 mm</t>
  </si>
  <si>
    <t>Milky White</t>
  </si>
  <si>
    <t xml:space="preserve">Red </t>
  </si>
  <si>
    <t>PURCHAS FROM 01/04/2026 TO 30/04/2026</t>
  </si>
  <si>
    <t>Sl. No.</t>
  </si>
  <si>
    <t>ITEM</t>
  </si>
  <si>
    <t>ALT.QTY</t>
  </si>
  <si>
    <t>STOCK QTY</t>
  </si>
  <si>
    <t>AMOUNT</t>
  </si>
  <si>
    <t>MONOFILAMENT FABRIC HAPPA</t>
  </si>
  <si>
    <t>ANTI BIRD NET GREEN</t>
  </si>
  <si>
    <t>KNOTTED NETTING GREEN NET</t>
  </si>
  <si>
    <t>MSN 50% 2.1 MTR WHITE</t>
  </si>
  <si>
    <t>MSN 50% 5.30MTR WHITE</t>
  </si>
  <si>
    <t>MULCH FILM 4 Ft 400 Mtr 20Micron Silver/Black</t>
  </si>
  <si>
    <t>MULCH FILM 4.0 Ft X400 Mtr 25Micron Silver/Black</t>
  </si>
  <si>
    <t>PP Woven  Sack</t>
  </si>
  <si>
    <t>TSN 50% 2.1MTR GREEN</t>
  </si>
  <si>
    <t>TSN 50% 29.4X40MTR GREEN</t>
  </si>
  <si>
    <t>TSN 50% 3.0MTR  WHITE</t>
  </si>
  <si>
    <t>120MESHLQ48"WHITE</t>
  </si>
  <si>
    <t>20MESHMQ120"WHITE</t>
  </si>
  <si>
    <t>20MESHMQ42"L.BLUE</t>
  </si>
  <si>
    <t>20MESHMQ42"WHITE</t>
  </si>
  <si>
    <t>20MESHMQ48"BLUE</t>
  </si>
  <si>
    <t>20MESHMQ48"GREEN</t>
  </si>
  <si>
    <t>24MESHLQ42"BLUE</t>
  </si>
  <si>
    <t>24MESHLQ50"JAMOON</t>
  </si>
  <si>
    <t>24MESHLQ60"BLK</t>
  </si>
  <si>
    <t>24MESHLQ84"BLUE</t>
  </si>
  <si>
    <t>30MESHLQ42"WHITE</t>
  </si>
  <si>
    <t>40MESHHQ138"WHITE</t>
  </si>
  <si>
    <t>40MESHHQ145.5"WHITE</t>
  </si>
  <si>
    <t>40MESHHQ165"MILKY WHITE</t>
  </si>
  <si>
    <t>40MESHHQ84"WHITE</t>
  </si>
  <si>
    <t>40MESHLQ42"ZZLEMMON YELLOW</t>
  </si>
  <si>
    <t>40MESHLQ42"ZZWHITE</t>
  </si>
  <si>
    <t>8MESHHQ42"BLUE</t>
  </si>
  <si>
    <t>WEED MAT 4.20MTR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</si>
</sst>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7" x14ac:knownFonts="1">
    <font>
      <sz val="11"/>
      <color rgb="FF000000"/>
      <name val="Calibri"/>
    </font>
    <font>
      <b/>
      <sz val="12"/>
      <color rgb="FF000000"/>
      <name val="Cambria"/>
    </font>
    <font>
      <b/>
      <sz val="9"/>
      <color rgb="FF000000"/>
      <name val="Cambria"/>
    </font>
    <font>
      <sz val="9"/>
      <color rgb="FF000000"/>
      <name val="Cambria"/>
    </font>
    <font>
      <b/>
      <sz val="12"/>
      <color rgb="FF000000"/>
      <name val="Cambria"/>
      <family val="1"/>
    </font>
    <font>
      <b/>
      <sz val="11"/>
      <color rgb="FF000000"/>
      <name val="Calibri"/>
      <family val="2"/>
    </font>
    <font>
      <b/>
      <sz val="9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DF7F9"/>
        <bgColor rgb="FF000000"/>
      </patternFill>
    </fill>
    <fill>
      <patternFill patternType="solid">
        <fgColor rgb="FFBBF0B1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64" fontId="3" fillId="2" borderId="3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164" fontId="0" fillId="0" borderId="4" xfId="0" applyNumberFormat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showGridLines="0" tabSelected="1" topLeftCell="B1" workbookViewId="0">
      <selection activeCell="G132" sqref="G132"/>
    </sheetView>
  </sheetViews>
  <sheetFormatPr defaultRowHeight="15" x14ac:dyDescent="0.25"/>
  <cols>
    <col min="1" max="1" width="15" customWidth="1"/>
    <col min="2" max="3" width="25" customWidth="1"/>
    <col min="4" max="4" width="18" customWidth="1"/>
    <col min="5" max="7" width="15" customWidth="1"/>
  </cols>
  <sheetData>
    <row r="1" spans="1:7" ht="15.75" x14ac:dyDescent="0.25">
      <c r="A1" s="16" t="s">
        <v>0</v>
      </c>
      <c r="B1" s="16"/>
      <c r="C1" s="16"/>
      <c r="D1" s="16"/>
      <c r="E1" s="16"/>
      <c r="F1" s="16"/>
    </row>
    <row r="2" spans="1:7" ht="15.75" x14ac:dyDescent="0.25">
      <c r="A2" s="16" t="s">
        <v>1</v>
      </c>
      <c r="B2" s="16"/>
      <c r="C2" s="16"/>
      <c r="D2" s="16"/>
      <c r="E2" s="16"/>
      <c r="F2" s="16"/>
    </row>
    <row r="3" spans="1:7" ht="15.75" x14ac:dyDescent="0.25">
      <c r="A3" s="16" t="s">
        <v>2</v>
      </c>
      <c r="B3" s="16"/>
      <c r="C3" s="16"/>
      <c r="D3" s="16"/>
      <c r="E3" s="16"/>
      <c r="F3" s="16"/>
    </row>
    <row r="5" spans="1:7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25">
      <c r="A6" s="2" t="s">
        <v>10</v>
      </c>
      <c r="B6" s="2">
        <v>1400</v>
      </c>
      <c r="C6" s="2" t="s">
        <v>11</v>
      </c>
      <c r="D6" s="2"/>
      <c r="E6" s="3">
        <v>65736</v>
      </c>
      <c r="F6" s="3">
        <v>6124.2</v>
      </c>
      <c r="G6" s="3">
        <v>1514749.08</v>
      </c>
    </row>
    <row r="7" spans="1:7" x14ac:dyDescent="0.25">
      <c r="A7" s="4" t="s">
        <v>10</v>
      </c>
      <c r="B7" s="4">
        <v>1328</v>
      </c>
      <c r="C7" s="4" t="s">
        <v>12</v>
      </c>
      <c r="D7" s="4"/>
      <c r="E7" s="5">
        <v>1950</v>
      </c>
      <c r="F7" s="5">
        <v>156</v>
      </c>
      <c r="G7" s="5">
        <v>46020</v>
      </c>
    </row>
    <row r="8" spans="1:7" x14ac:dyDescent="0.25">
      <c r="A8" s="2" t="s">
        <v>10</v>
      </c>
      <c r="B8" s="2">
        <v>1402</v>
      </c>
      <c r="C8" s="2" t="s">
        <v>13</v>
      </c>
      <c r="D8" s="2"/>
      <c r="E8" s="3">
        <v>400</v>
      </c>
      <c r="F8" s="3">
        <v>40</v>
      </c>
      <c r="G8" s="3">
        <v>10400</v>
      </c>
    </row>
    <row r="9" spans="1:7" x14ac:dyDescent="0.25">
      <c r="A9" s="4" t="s">
        <v>10</v>
      </c>
      <c r="B9" s="4">
        <v>1402</v>
      </c>
      <c r="C9" s="4" t="s">
        <v>13</v>
      </c>
      <c r="D9" s="4"/>
      <c r="E9" s="5">
        <v>600</v>
      </c>
      <c r="F9" s="5">
        <v>60</v>
      </c>
      <c r="G9" s="5">
        <v>15600</v>
      </c>
    </row>
    <row r="10" spans="1:7" x14ac:dyDescent="0.25">
      <c r="A10" s="2" t="s">
        <v>10</v>
      </c>
      <c r="B10" s="2">
        <v>1402</v>
      </c>
      <c r="C10" s="2" t="s">
        <v>13</v>
      </c>
      <c r="D10" s="2"/>
      <c r="E10" s="3">
        <v>10500</v>
      </c>
      <c r="F10" s="3">
        <v>1050</v>
      </c>
      <c r="G10" s="3">
        <v>262500</v>
      </c>
    </row>
    <row r="11" spans="1:7" x14ac:dyDescent="0.25">
      <c r="A11" s="4" t="s">
        <v>10</v>
      </c>
      <c r="B11" s="4">
        <v>1324</v>
      </c>
      <c r="C11" s="4" t="s">
        <v>12</v>
      </c>
      <c r="D11" s="4"/>
      <c r="E11" s="5">
        <v>105</v>
      </c>
      <c r="F11" s="5">
        <v>8.4</v>
      </c>
      <c r="G11" s="5">
        <v>2625</v>
      </c>
    </row>
    <row r="12" spans="1:7" x14ac:dyDescent="0.25">
      <c r="A12" s="2" t="s">
        <v>10</v>
      </c>
      <c r="B12" s="2">
        <v>1408</v>
      </c>
      <c r="C12" s="2" t="s">
        <v>14</v>
      </c>
      <c r="D12" s="2"/>
      <c r="E12" s="3">
        <v>9735</v>
      </c>
      <c r="F12" s="3">
        <v>168.5</v>
      </c>
      <c r="G12" s="3">
        <v>102300</v>
      </c>
    </row>
    <row r="13" spans="1:7" x14ac:dyDescent="0.25">
      <c r="A13" s="4" t="s">
        <v>10</v>
      </c>
      <c r="B13" s="4">
        <v>1409</v>
      </c>
      <c r="C13" s="4" t="s">
        <v>15</v>
      </c>
      <c r="D13" s="4"/>
      <c r="E13" s="5">
        <v>10000</v>
      </c>
      <c r="F13" s="5">
        <v>275</v>
      </c>
      <c r="G13" s="5">
        <v>54740</v>
      </c>
    </row>
    <row r="14" spans="1:7" x14ac:dyDescent="0.25">
      <c r="A14" s="2" t="s">
        <v>10</v>
      </c>
      <c r="B14" s="2">
        <v>1409</v>
      </c>
      <c r="C14" s="2" t="s">
        <v>15</v>
      </c>
      <c r="D14" s="2"/>
      <c r="E14" s="3">
        <v>8000</v>
      </c>
      <c r="F14" s="3">
        <v>180</v>
      </c>
      <c r="G14" s="3">
        <v>35190</v>
      </c>
    </row>
    <row r="15" spans="1:7" x14ac:dyDescent="0.25">
      <c r="A15" s="4" t="s">
        <v>10</v>
      </c>
      <c r="B15" s="4">
        <v>1405</v>
      </c>
      <c r="C15" s="4" t="s">
        <v>16</v>
      </c>
      <c r="D15" s="4"/>
      <c r="E15" s="5">
        <v>2</v>
      </c>
      <c r="F15" s="5">
        <v>5</v>
      </c>
      <c r="G15" s="5">
        <v>4500</v>
      </c>
    </row>
    <row r="16" spans="1:7" x14ac:dyDescent="0.25">
      <c r="A16" s="2" t="s">
        <v>10</v>
      </c>
      <c r="B16" s="2">
        <v>1218</v>
      </c>
      <c r="C16" s="2" t="s">
        <v>14</v>
      </c>
      <c r="D16" s="2"/>
      <c r="E16" s="3">
        <v>8400</v>
      </c>
      <c r="F16" s="3">
        <v>1136</v>
      </c>
      <c r="G16" s="3">
        <v>327600</v>
      </c>
    </row>
    <row r="17" spans="1:7" x14ac:dyDescent="0.25">
      <c r="A17" s="4" t="s">
        <v>10</v>
      </c>
      <c r="B17" s="4">
        <v>1413</v>
      </c>
      <c r="C17" s="4" t="s">
        <v>12</v>
      </c>
      <c r="D17" s="4"/>
      <c r="E17" s="5">
        <v>4704</v>
      </c>
      <c r="F17" s="5">
        <v>380</v>
      </c>
      <c r="G17" s="5">
        <v>127008</v>
      </c>
    </row>
    <row r="18" spans="1:7" x14ac:dyDescent="0.25">
      <c r="A18" s="2" t="s">
        <v>10</v>
      </c>
      <c r="B18" s="2">
        <v>1250</v>
      </c>
      <c r="C18" s="2" t="s">
        <v>14</v>
      </c>
      <c r="D18" s="2"/>
      <c r="E18" s="3">
        <v>117</v>
      </c>
      <c r="F18" s="3">
        <v>11.7</v>
      </c>
      <c r="G18" s="3">
        <v>3839.94</v>
      </c>
    </row>
    <row r="19" spans="1:7" x14ac:dyDescent="0.25">
      <c r="A19" s="4" t="s">
        <v>10</v>
      </c>
      <c r="B19" s="4">
        <v>401</v>
      </c>
      <c r="C19" s="4" t="s">
        <v>17</v>
      </c>
      <c r="D19" s="4" t="s">
        <v>18</v>
      </c>
      <c r="E19" s="5">
        <v>360</v>
      </c>
      <c r="F19" s="5">
        <v>52.8</v>
      </c>
      <c r="G19" s="5">
        <v>13320</v>
      </c>
    </row>
    <row r="20" spans="1:7" x14ac:dyDescent="0.25">
      <c r="A20" s="2" t="s">
        <v>10</v>
      </c>
      <c r="B20" s="2">
        <v>726</v>
      </c>
      <c r="C20" s="2" t="s">
        <v>19</v>
      </c>
      <c r="D20" s="2" t="s">
        <v>20</v>
      </c>
      <c r="E20" s="3">
        <v>982</v>
      </c>
      <c r="F20" s="3">
        <v>134.9</v>
      </c>
      <c r="G20" s="3">
        <v>50082</v>
      </c>
    </row>
    <row r="21" spans="1:7" x14ac:dyDescent="0.25">
      <c r="A21" s="4" t="s">
        <v>10</v>
      </c>
      <c r="B21" s="4">
        <v>404</v>
      </c>
      <c r="C21" s="4" t="s">
        <v>21</v>
      </c>
      <c r="D21" s="4" t="s">
        <v>18</v>
      </c>
      <c r="E21" s="5">
        <v>2700</v>
      </c>
      <c r="F21" s="5">
        <v>307.89999999999998</v>
      </c>
      <c r="G21" s="5">
        <v>99000</v>
      </c>
    </row>
    <row r="22" spans="1:7" x14ac:dyDescent="0.25">
      <c r="A22" s="2" t="s">
        <v>10</v>
      </c>
      <c r="B22" s="2">
        <v>406</v>
      </c>
      <c r="C22" s="2" t="s">
        <v>22</v>
      </c>
      <c r="D22" s="2" t="s">
        <v>18</v>
      </c>
      <c r="E22" s="3">
        <v>480</v>
      </c>
      <c r="F22" s="3">
        <v>116.18</v>
      </c>
      <c r="G22" s="3">
        <v>35040</v>
      </c>
    </row>
    <row r="23" spans="1:7" x14ac:dyDescent="0.25">
      <c r="A23" s="4" t="s">
        <v>10</v>
      </c>
      <c r="B23" s="4">
        <v>723</v>
      </c>
      <c r="C23" s="4" t="s">
        <v>23</v>
      </c>
      <c r="D23" s="4" t="s">
        <v>24</v>
      </c>
      <c r="E23" s="5">
        <v>30</v>
      </c>
      <c r="F23" s="5">
        <v>5.45</v>
      </c>
      <c r="G23" s="5">
        <v>1950</v>
      </c>
    </row>
    <row r="24" spans="1:7" x14ac:dyDescent="0.25">
      <c r="A24" s="2" t="s">
        <v>10</v>
      </c>
      <c r="B24" s="2">
        <v>499</v>
      </c>
      <c r="C24" s="2" t="s">
        <v>23</v>
      </c>
      <c r="D24" s="2" t="s">
        <v>20</v>
      </c>
      <c r="E24" s="3">
        <v>90</v>
      </c>
      <c r="F24" s="3">
        <v>14.5</v>
      </c>
      <c r="G24" s="3">
        <v>5850</v>
      </c>
    </row>
    <row r="25" spans="1:7" x14ac:dyDescent="0.25">
      <c r="A25" s="4" t="s">
        <v>10</v>
      </c>
      <c r="B25" s="4">
        <v>419</v>
      </c>
      <c r="C25" s="4" t="s">
        <v>25</v>
      </c>
      <c r="D25" s="4" t="s">
        <v>20</v>
      </c>
      <c r="E25" s="5">
        <v>840</v>
      </c>
      <c r="F25" s="5">
        <v>95.6</v>
      </c>
      <c r="G25" s="5">
        <v>32400</v>
      </c>
    </row>
    <row r="26" spans="1:7" x14ac:dyDescent="0.25">
      <c r="A26" s="2" t="s">
        <v>10</v>
      </c>
      <c r="B26" s="2">
        <v>423</v>
      </c>
      <c r="C26" s="2" t="s">
        <v>26</v>
      </c>
      <c r="D26" s="2" t="s">
        <v>27</v>
      </c>
      <c r="E26" s="3">
        <v>1350</v>
      </c>
      <c r="F26" s="3">
        <v>175.2</v>
      </c>
      <c r="G26" s="3">
        <v>54000</v>
      </c>
    </row>
    <row r="27" spans="1:7" x14ac:dyDescent="0.25">
      <c r="A27" s="4" t="s">
        <v>10</v>
      </c>
      <c r="B27" s="4">
        <v>428</v>
      </c>
      <c r="C27" s="4" t="s">
        <v>26</v>
      </c>
      <c r="D27" s="4" t="s">
        <v>20</v>
      </c>
      <c r="E27" s="5">
        <v>900</v>
      </c>
      <c r="F27" s="5">
        <v>131</v>
      </c>
      <c r="G27" s="5">
        <v>36900</v>
      </c>
    </row>
    <row r="28" spans="1:7" x14ac:dyDescent="0.25">
      <c r="A28" s="2" t="s">
        <v>10</v>
      </c>
      <c r="B28" s="2">
        <v>445</v>
      </c>
      <c r="C28" s="2" t="s">
        <v>28</v>
      </c>
      <c r="D28" s="2" t="s">
        <v>24</v>
      </c>
      <c r="E28" s="3">
        <v>5400</v>
      </c>
      <c r="F28" s="3">
        <v>432.8</v>
      </c>
      <c r="G28" s="3">
        <v>91800</v>
      </c>
    </row>
    <row r="29" spans="1:7" x14ac:dyDescent="0.25">
      <c r="A29" s="4" t="s">
        <v>10</v>
      </c>
      <c r="B29" s="4">
        <v>451</v>
      </c>
      <c r="C29" s="4" t="s">
        <v>28</v>
      </c>
      <c r="D29" s="4" t="s">
        <v>29</v>
      </c>
      <c r="E29" s="5">
        <v>13980</v>
      </c>
      <c r="F29" s="5">
        <v>1192.0999999999999</v>
      </c>
      <c r="G29" s="5">
        <v>261360</v>
      </c>
    </row>
    <row r="30" spans="1:7" x14ac:dyDescent="0.25">
      <c r="A30" s="2" t="s">
        <v>10</v>
      </c>
      <c r="B30" s="2">
        <v>453</v>
      </c>
      <c r="C30" s="2" t="s">
        <v>28</v>
      </c>
      <c r="D30" s="2" t="s">
        <v>30</v>
      </c>
      <c r="E30" s="3">
        <v>1800</v>
      </c>
      <c r="F30" s="3">
        <v>161.6</v>
      </c>
      <c r="G30" s="3">
        <v>45000</v>
      </c>
    </row>
    <row r="31" spans="1:7" x14ac:dyDescent="0.25">
      <c r="A31" s="4" t="s">
        <v>10</v>
      </c>
      <c r="B31" s="4">
        <v>454</v>
      </c>
      <c r="C31" s="4" t="s">
        <v>28</v>
      </c>
      <c r="D31" s="4" t="s">
        <v>20</v>
      </c>
      <c r="E31" s="5">
        <v>4800</v>
      </c>
      <c r="F31" s="5">
        <v>427.7</v>
      </c>
      <c r="G31" s="5">
        <v>124200</v>
      </c>
    </row>
    <row r="32" spans="1:7" x14ac:dyDescent="0.25">
      <c r="A32" s="2" t="s">
        <v>10</v>
      </c>
      <c r="B32" s="2">
        <v>456</v>
      </c>
      <c r="C32" s="2" t="s">
        <v>31</v>
      </c>
      <c r="D32" s="2" t="s">
        <v>24</v>
      </c>
      <c r="E32" s="3">
        <v>7200</v>
      </c>
      <c r="F32" s="3">
        <v>734.3</v>
      </c>
      <c r="G32" s="3">
        <v>187200</v>
      </c>
    </row>
    <row r="33" spans="1:7" x14ac:dyDescent="0.25">
      <c r="A33" s="4" t="s">
        <v>10</v>
      </c>
      <c r="B33" s="4">
        <v>457</v>
      </c>
      <c r="C33" s="4" t="s">
        <v>31</v>
      </c>
      <c r="D33" s="4" t="s">
        <v>18</v>
      </c>
      <c r="E33" s="5">
        <v>21000</v>
      </c>
      <c r="F33" s="5">
        <v>2095.1</v>
      </c>
      <c r="G33" s="5">
        <v>546000</v>
      </c>
    </row>
    <row r="34" spans="1:7" x14ac:dyDescent="0.25">
      <c r="A34" s="2" t="s">
        <v>10</v>
      </c>
      <c r="B34" s="2">
        <v>459</v>
      </c>
      <c r="C34" s="2" t="s">
        <v>31</v>
      </c>
      <c r="D34" s="2" t="s">
        <v>32</v>
      </c>
      <c r="E34" s="3">
        <v>15000</v>
      </c>
      <c r="F34" s="3">
        <v>1501.8</v>
      </c>
      <c r="G34" s="3">
        <v>390000</v>
      </c>
    </row>
    <row r="35" spans="1:7" x14ac:dyDescent="0.25">
      <c r="A35" s="4" t="s">
        <v>10</v>
      </c>
      <c r="B35" s="4">
        <v>458</v>
      </c>
      <c r="C35" s="4" t="s">
        <v>31</v>
      </c>
      <c r="D35" s="4" t="s">
        <v>33</v>
      </c>
      <c r="E35" s="5">
        <v>18030</v>
      </c>
      <c r="F35" s="5">
        <v>1807.2</v>
      </c>
      <c r="G35" s="5">
        <v>468990</v>
      </c>
    </row>
    <row r="36" spans="1:7" x14ac:dyDescent="0.25">
      <c r="A36" s="2" t="s">
        <v>10</v>
      </c>
      <c r="B36" s="2">
        <v>460</v>
      </c>
      <c r="C36" s="2" t="s">
        <v>31</v>
      </c>
      <c r="D36" s="2" t="s">
        <v>27</v>
      </c>
      <c r="E36" s="3">
        <v>2100</v>
      </c>
      <c r="F36" s="3">
        <v>205.1</v>
      </c>
      <c r="G36" s="3">
        <v>63000</v>
      </c>
    </row>
    <row r="37" spans="1:7" x14ac:dyDescent="0.25">
      <c r="A37" s="4" t="s">
        <v>10</v>
      </c>
      <c r="B37" s="4">
        <v>468</v>
      </c>
      <c r="C37" s="4" t="s">
        <v>31</v>
      </c>
      <c r="D37" s="4" t="s">
        <v>20</v>
      </c>
      <c r="E37" s="5">
        <v>3000</v>
      </c>
      <c r="F37" s="5">
        <v>299.60000000000002</v>
      </c>
      <c r="G37" s="5">
        <v>90000</v>
      </c>
    </row>
    <row r="38" spans="1:7" x14ac:dyDescent="0.25">
      <c r="A38" s="2" t="s">
        <v>10</v>
      </c>
      <c r="B38" s="2">
        <v>469</v>
      </c>
      <c r="C38" s="2" t="s">
        <v>34</v>
      </c>
      <c r="D38" s="2" t="s">
        <v>24</v>
      </c>
      <c r="E38" s="3">
        <v>6750</v>
      </c>
      <c r="F38" s="3">
        <v>850</v>
      </c>
      <c r="G38" s="3">
        <v>219375</v>
      </c>
    </row>
    <row r="39" spans="1:7" x14ac:dyDescent="0.25">
      <c r="A39" s="4" t="s">
        <v>10</v>
      </c>
      <c r="B39" s="4">
        <v>470</v>
      </c>
      <c r="C39" s="4" t="s">
        <v>34</v>
      </c>
      <c r="D39" s="4" t="s">
        <v>18</v>
      </c>
      <c r="E39" s="5">
        <v>22500</v>
      </c>
      <c r="F39" s="5">
        <v>2851.9</v>
      </c>
      <c r="G39" s="5">
        <v>731250</v>
      </c>
    </row>
    <row r="40" spans="1:7" x14ac:dyDescent="0.25">
      <c r="A40" s="2" t="s">
        <v>10</v>
      </c>
      <c r="B40" s="2">
        <v>472</v>
      </c>
      <c r="C40" s="2" t="s">
        <v>34</v>
      </c>
      <c r="D40" s="2" t="s">
        <v>32</v>
      </c>
      <c r="E40" s="3">
        <v>15750</v>
      </c>
      <c r="F40" s="3">
        <v>1898.7</v>
      </c>
      <c r="G40" s="3">
        <v>511875</v>
      </c>
    </row>
    <row r="41" spans="1:7" x14ac:dyDescent="0.25">
      <c r="A41" s="4" t="s">
        <v>10</v>
      </c>
      <c r="B41" s="4">
        <v>471</v>
      </c>
      <c r="C41" s="4" t="s">
        <v>34</v>
      </c>
      <c r="D41" s="4" t="s">
        <v>33</v>
      </c>
      <c r="E41" s="5">
        <v>15750</v>
      </c>
      <c r="F41" s="5">
        <v>1935.4</v>
      </c>
      <c r="G41" s="5">
        <v>511875</v>
      </c>
    </row>
    <row r="42" spans="1:7" x14ac:dyDescent="0.25">
      <c r="A42" s="2" t="s">
        <v>10</v>
      </c>
      <c r="B42" s="2">
        <v>478</v>
      </c>
      <c r="C42" s="2" t="s">
        <v>35</v>
      </c>
      <c r="D42" s="2" t="s">
        <v>24</v>
      </c>
      <c r="E42" s="3">
        <v>1800</v>
      </c>
      <c r="F42" s="3">
        <v>298.8</v>
      </c>
      <c r="G42" s="3">
        <v>59400</v>
      </c>
    </row>
    <row r="43" spans="1:7" x14ac:dyDescent="0.25">
      <c r="A43" s="4" t="s">
        <v>10</v>
      </c>
      <c r="B43" s="4">
        <v>484</v>
      </c>
      <c r="C43" s="4" t="s">
        <v>35</v>
      </c>
      <c r="D43" s="4" t="s">
        <v>32</v>
      </c>
      <c r="E43" s="5">
        <v>600</v>
      </c>
      <c r="F43" s="5">
        <v>101.5</v>
      </c>
      <c r="G43" s="5">
        <v>30000</v>
      </c>
    </row>
    <row r="44" spans="1:7" x14ac:dyDescent="0.25">
      <c r="A44" s="2" t="s">
        <v>10</v>
      </c>
      <c r="B44" s="2">
        <v>493</v>
      </c>
      <c r="C44" s="2" t="s">
        <v>35</v>
      </c>
      <c r="D44" s="2" t="s">
        <v>36</v>
      </c>
      <c r="E44" s="3">
        <v>6120</v>
      </c>
      <c r="F44" s="3">
        <v>993.8</v>
      </c>
      <c r="G44" s="3">
        <v>211680</v>
      </c>
    </row>
    <row r="45" spans="1:7" x14ac:dyDescent="0.25">
      <c r="A45" s="4" t="s">
        <v>10</v>
      </c>
      <c r="B45" s="4">
        <v>487</v>
      </c>
      <c r="C45" s="4" t="s">
        <v>35</v>
      </c>
      <c r="D45" s="4" t="s">
        <v>37</v>
      </c>
      <c r="E45" s="5">
        <v>5040</v>
      </c>
      <c r="F45" s="5">
        <v>782.5</v>
      </c>
      <c r="G45" s="5">
        <v>156240</v>
      </c>
    </row>
    <row r="46" spans="1:7" x14ac:dyDescent="0.25">
      <c r="A46" s="2" t="s">
        <v>10</v>
      </c>
      <c r="B46" s="2">
        <v>490</v>
      </c>
      <c r="C46" s="2" t="s">
        <v>35</v>
      </c>
      <c r="D46" s="2" t="s">
        <v>38</v>
      </c>
      <c r="E46" s="3">
        <v>930</v>
      </c>
      <c r="F46" s="3">
        <v>156.19999999999999</v>
      </c>
      <c r="G46" s="3">
        <v>38700</v>
      </c>
    </row>
    <row r="47" spans="1:7" x14ac:dyDescent="0.25">
      <c r="A47" s="4" t="s">
        <v>10</v>
      </c>
      <c r="B47" s="4">
        <v>489</v>
      </c>
      <c r="C47" s="4" t="s">
        <v>35</v>
      </c>
      <c r="D47" s="4" t="s">
        <v>39</v>
      </c>
      <c r="E47" s="5">
        <v>3960</v>
      </c>
      <c r="F47" s="5">
        <v>596.9</v>
      </c>
      <c r="G47" s="5">
        <v>154440</v>
      </c>
    </row>
    <row r="48" spans="1:7" x14ac:dyDescent="0.25">
      <c r="A48" s="2" t="s">
        <v>10</v>
      </c>
      <c r="B48" s="2">
        <v>495</v>
      </c>
      <c r="C48" s="2" t="s">
        <v>35</v>
      </c>
      <c r="D48" s="2" t="s">
        <v>40</v>
      </c>
      <c r="E48" s="3">
        <v>38520</v>
      </c>
      <c r="F48" s="3">
        <v>5843.4</v>
      </c>
      <c r="G48" s="3">
        <v>1446120</v>
      </c>
    </row>
    <row r="49" spans="1:7" x14ac:dyDescent="0.25">
      <c r="A49" s="4" t="s">
        <v>10</v>
      </c>
      <c r="B49" s="4">
        <v>497</v>
      </c>
      <c r="C49" s="4" t="s">
        <v>35</v>
      </c>
      <c r="D49" s="4" t="s">
        <v>20</v>
      </c>
      <c r="E49" s="5">
        <v>300</v>
      </c>
      <c r="F49" s="5">
        <v>51</v>
      </c>
      <c r="G49" s="5">
        <v>15000</v>
      </c>
    </row>
    <row r="50" spans="1:7" x14ac:dyDescent="0.25">
      <c r="A50" s="2" t="s">
        <v>10</v>
      </c>
      <c r="B50" s="2">
        <v>438</v>
      </c>
      <c r="C50" s="2" t="s">
        <v>41</v>
      </c>
      <c r="D50" s="2" t="s">
        <v>40</v>
      </c>
      <c r="E50" s="3">
        <v>1200</v>
      </c>
      <c r="F50" s="3">
        <v>275.60000000000002</v>
      </c>
      <c r="G50" s="3">
        <v>73200</v>
      </c>
    </row>
    <row r="51" spans="1:7" x14ac:dyDescent="0.25">
      <c r="A51" s="4" t="s">
        <v>10</v>
      </c>
      <c r="B51" s="4">
        <v>439</v>
      </c>
      <c r="C51" s="4" t="s">
        <v>41</v>
      </c>
      <c r="D51" s="4" t="s">
        <v>20</v>
      </c>
      <c r="E51" s="5">
        <v>3000</v>
      </c>
      <c r="F51" s="5">
        <v>702</v>
      </c>
      <c r="G51" s="5">
        <v>225000</v>
      </c>
    </row>
    <row r="52" spans="1:7" x14ac:dyDescent="0.25">
      <c r="A52" s="2" t="s">
        <v>10</v>
      </c>
      <c r="B52" s="2">
        <v>504</v>
      </c>
      <c r="C52" s="2" t="s">
        <v>42</v>
      </c>
      <c r="D52" s="2" t="s">
        <v>18</v>
      </c>
      <c r="E52" s="3">
        <v>120</v>
      </c>
      <c r="F52" s="3">
        <v>23.11</v>
      </c>
      <c r="G52" s="3">
        <v>10470</v>
      </c>
    </row>
    <row r="53" spans="1:7" x14ac:dyDescent="0.25">
      <c r="A53" s="4" t="s">
        <v>10</v>
      </c>
      <c r="B53" s="4">
        <v>508</v>
      </c>
      <c r="C53" s="4" t="s">
        <v>42</v>
      </c>
      <c r="D53" s="4" t="s">
        <v>20</v>
      </c>
      <c r="E53" s="5">
        <v>450</v>
      </c>
      <c r="F53" s="5">
        <v>78.7</v>
      </c>
      <c r="G53" s="5">
        <v>39600</v>
      </c>
    </row>
    <row r="54" spans="1:7" x14ac:dyDescent="0.25">
      <c r="A54" s="2" t="s">
        <v>10</v>
      </c>
      <c r="B54" s="2">
        <v>539</v>
      </c>
      <c r="C54" s="2" t="s">
        <v>43</v>
      </c>
      <c r="D54" s="2" t="s">
        <v>24</v>
      </c>
      <c r="E54" s="3">
        <v>18900</v>
      </c>
      <c r="F54" s="3">
        <v>969.82</v>
      </c>
      <c r="G54" s="3">
        <v>338625</v>
      </c>
    </row>
    <row r="55" spans="1:7" x14ac:dyDescent="0.25">
      <c r="A55" s="4" t="s">
        <v>10</v>
      </c>
      <c r="B55" s="4">
        <v>540</v>
      </c>
      <c r="C55" s="4" t="s">
        <v>43</v>
      </c>
      <c r="D55" s="4" t="s">
        <v>18</v>
      </c>
      <c r="E55" s="5">
        <v>157650</v>
      </c>
      <c r="F55" s="5">
        <v>7876.6</v>
      </c>
      <c r="G55" s="5">
        <v>2302650</v>
      </c>
    </row>
    <row r="56" spans="1:7" x14ac:dyDescent="0.25">
      <c r="A56" s="2" t="s">
        <v>10</v>
      </c>
      <c r="B56" s="2">
        <v>551</v>
      </c>
      <c r="C56" s="2" t="s">
        <v>43</v>
      </c>
      <c r="D56" s="2" t="s">
        <v>44</v>
      </c>
      <c r="E56" s="3">
        <v>10080</v>
      </c>
      <c r="F56" s="3">
        <v>458.3</v>
      </c>
      <c r="G56" s="3">
        <v>146160</v>
      </c>
    </row>
    <row r="57" spans="1:7" x14ac:dyDescent="0.25">
      <c r="A57" s="4" t="s">
        <v>10</v>
      </c>
      <c r="B57" s="4">
        <v>553</v>
      </c>
      <c r="C57" s="4" t="s">
        <v>43</v>
      </c>
      <c r="D57" s="4" t="s">
        <v>30</v>
      </c>
      <c r="E57" s="5">
        <v>4320</v>
      </c>
      <c r="F57" s="5">
        <v>215.9</v>
      </c>
      <c r="G57" s="5">
        <v>64800</v>
      </c>
    </row>
    <row r="58" spans="1:7" x14ac:dyDescent="0.25">
      <c r="A58" s="2" t="s">
        <v>10</v>
      </c>
      <c r="B58" s="2">
        <v>555</v>
      </c>
      <c r="C58" s="2" t="s">
        <v>43</v>
      </c>
      <c r="D58" s="2" t="s">
        <v>20</v>
      </c>
      <c r="E58" s="3">
        <v>3600</v>
      </c>
      <c r="F58" s="3">
        <v>180.6</v>
      </c>
      <c r="G58" s="3">
        <v>55800</v>
      </c>
    </row>
    <row r="59" spans="1:7" x14ac:dyDescent="0.25">
      <c r="A59" s="4" t="s">
        <v>10</v>
      </c>
      <c r="B59" s="4">
        <v>559</v>
      </c>
      <c r="C59" s="4" t="s">
        <v>45</v>
      </c>
      <c r="D59" s="4" t="s">
        <v>18</v>
      </c>
      <c r="E59" s="5">
        <v>6480</v>
      </c>
      <c r="F59" s="5">
        <v>368.8</v>
      </c>
      <c r="G59" s="5">
        <v>110160</v>
      </c>
    </row>
    <row r="60" spans="1:7" x14ac:dyDescent="0.25">
      <c r="A60" s="2" t="s">
        <v>10</v>
      </c>
      <c r="B60" s="2">
        <v>565</v>
      </c>
      <c r="C60" s="2" t="s">
        <v>46</v>
      </c>
      <c r="D60" s="2" t="s">
        <v>39</v>
      </c>
      <c r="E60" s="3">
        <v>4500</v>
      </c>
      <c r="F60" s="3">
        <v>313.5</v>
      </c>
      <c r="G60" s="3">
        <v>103500</v>
      </c>
    </row>
    <row r="61" spans="1:7" x14ac:dyDescent="0.25">
      <c r="A61" s="4" t="s">
        <v>10</v>
      </c>
      <c r="B61" s="4">
        <v>568</v>
      </c>
      <c r="C61" s="4" t="s">
        <v>47</v>
      </c>
      <c r="D61" s="4" t="s">
        <v>48</v>
      </c>
      <c r="E61" s="5">
        <v>16200</v>
      </c>
      <c r="F61" s="5">
        <v>719.7</v>
      </c>
      <c r="G61" s="5">
        <v>234900</v>
      </c>
    </row>
    <row r="62" spans="1:7" x14ac:dyDescent="0.25">
      <c r="A62" s="2" t="s">
        <v>10</v>
      </c>
      <c r="B62" s="2">
        <v>574</v>
      </c>
      <c r="C62" s="2" t="s">
        <v>49</v>
      </c>
      <c r="D62" s="2" t="s">
        <v>24</v>
      </c>
      <c r="E62" s="3">
        <v>1800</v>
      </c>
      <c r="F62" s="3">
        <v>139.19999999999999</v>
      </c>
      <c r="G62" s="3">
        <v>48600</v>
      </c>
    </row>
    <row r="63" spans="1:7" x14ac:dyDescent="0.25">
      <c r="A63" s="4" t="s">
        <v>10</v>
      </c>
      <c r="B63" s="4">
        <v>577</v>
      </c>
      <c r="C63" s="4" t="s">
        <v>50</v>
      </c>
      <c r="D63" s="4" t="s">
        <v>24</v>
      </c>
      <c r="E63" s="5">
        <v>3150</v>
      </c>
      <c r="F63" s="5">
        <v>350.4</v>
      </c>
      <c r="G63" s="5">
        <v>112500</v>
      </c>
    </row>
    <row r="64" spans="1:7" x14ac:dyDescent="0.25">
      <c r="A64" s="2" t="s">
        <v>10</v>
      </c>
      <c r="B64" s="2">
        <v>578</v>
      </c>
      <c r="C64" s="2" t="s">
        <v>50</v>
      </c>
      <c r="D64" s="2" t="s">
        <v>18</v>
      </c>
      <c r="E64" s="3">
        <v>2250</v>
      </c>
      <c r="F64" s="3">
        <v>225</v>
      </c>
      <c r="G64" s="3">
        <v>74250</v>
      </c>
    </row>
    <row r="65" spans="1:7" x14ac:dyDescent="0.25">
      <c r="A65" s="4" t="s">
        <v>10</v>
      </c>
      <c r="B65" s="4">
        <v>587</v>
      </c>
      <c r="C65" s="4" t="s">
        <v>51</v>
      </c>
      <c r="D65" s="4" t="s">
        <v>32</v>
      </c>
      <c r="E65" s="5">
        <v>4500</v>
      </c>
      <c r="F65" s="5">
        <v>590.15</v>
      </c>
      <c r="G65" s="5">
        <v>148500</v>
      </c>
    </row>
    <row r="66" spans="1:7" x14ac:dyDescent="0.25">
      <c r="A66" s="2" t="s">
        <v>10</v>
      </c>
      <c r="B66" s="2">
        <v>588</v>
      </c>
      <c r="C66" s="2" t="s">
        <v>51</v>
      </c>
      <c r="D66" s="2" t="s">
        <v>52</v>
      </c>
      <c r="E66" s="3">
        <v>4530</v>
      </c>
      <c r="F66" s="3">
        <v>606.02</v>
      </c>
      <c r="G66" s="3">
        <v>149490</v>
      </c>
    </row>
    <row r="67" spans="1:7" x14ac:dyDescent="0.25">
      <c r="A67" s="4" t="s">
        <v>10</v>
      </c>
      <c r="B67" s="4">
        <v>590</v>
      </c>
      <c r="C67" s="4" t="s">
        <v>51</v>
      </c>
      <c r="D67" s="4" t="s">
        <v>53</v>
      </c>
      <c r="E67" s="5">
        <v>2670</v>
      </c>
      <c r="F67" s="5">
        <v>323.10000000000002</v>
      </c>
      <c r="G67" s="5">
        <v>88110</v>
      </c>
    </row>
    <row r="68" spans="1:7" x14ac:dyDescent="0.25">
      <c r="A68" s="2" t="s">
        <v>10</v>
      </c>
      <c r="B68" s="2">
        <v>594</v>
      </c>
      <c r="C68" s="2" t="s">
        <v>51</v>
      </c>
      <c r="D68" s="2" t="s">
        <v>40</v>
      </c>
      <c r="E68" s="3">
        <v>3600</v>
      </c>
      <c r="F68" s="3">
        <v>472.6</v>
      </c>
      <c r="G68" s="3">
        <v>126000</v>
      </c>
    </row>
    <row r="69" spans="1:7" x14ac:dyDescent="0.25">
      <c r="A69" s="4" t="s">
        <v>10</v>
      </c>
      <c r="B69" s="4">
        <v>600</v>
      </c>
      <c r="C69" s="4" t="s">
        <v>54</v>
      </c>
      <c r="D69" s="4" t="s">
        <v>18</v>
      </c>
      <c r="E69" s="5">
        <v>6750</v>
      </c>
      <c r="F69" s="5">
        <v>341.7</v>
      </c>
      <c r="G69" s="5">
        <v>109800</v>
      </c>
    </row>
    <row r="70" spans="1:7" x14ac:dyDescent="0.25">
      <c r="A70" s="2" t="s">
        <v>10</v>
      </c>
      <c r="B70" s="2">
        <v>602</v>
      </c>
      <c r="C70" s="2" t="s">
        <v>54</v>
      </c>
      <c r="D70" s="2" t="s">
        <v>32</v>
      </c>
      <c r="E70" s="3">
        <v>1800</v>
      </c>
      <c r="F70" s="3">
        <v>88.4</v>
      </c>
      <c r="G70" s="3">
        <v>28800</v>
      </c>
    </row>
    <row r="71" spans="1:7" x14ac:dyDescent="0.25">
      <c r="A71" s="4" t="s">
        <v>10</v>
      </c>
      <c r="B71" s="4">
        <v>608</v>
      </c>
      <c r="C71" s="4" t="s">
        <v>54</v>
      </c>
      <c r="D71" s="4" t="s">
        <v>20</v>
      </c>
      <c r="E71" s="5">
        <v>15720</v>
      </c>
      <c r="F71" s="5">
        <v>840.6</v>
      </c>
      <c r="G71" s="5">
        <v>262140</v>
      </c>
    </row>
    <row r="72" spans="1:7" x14ac:dyDescent="0.25">
      <c r="A72" s="2" t="s">
        <v>10</v>
      </c>
      <c r="B72" s="2">
        <v>612</v>
      </c>
      <c r="C72" s="2" t="s">
        <v>55</v>
      </c>
      <c r="D72" s="2" t="s">
        <v>20</v>
      </c>
      <c r="E72" s="3">
        <v>13560</v>
      </c>
      <c r="F72" s="3">
        <v>809.3</v>
      </c>
      <c r="G72" s="3">
        <v>298320</v>
      </c>
    </row>
    <row r="73" spans="1:7" x14ac:dyDescent="0.25">
      <c r="A73" s="4" t="s">
        <v>10</v>
      </c>
      <c r="B73" s="4">
        <v>626</v>
      </c>
      <c r="C73" s="4" t="s">
        <v>56</v>
      </c>
      <c r="D73" s="4" t="s">
        <v>18</v>
      </c>
      <c r="E73" s="5">
        <v>600</v>
      </c>
      <c r="F73" s="5">
        <v>96.8</v>
      </c>
      <c r="G73" s="5">
        <v>39000</v>
      </c>
    </row>
    <row r="74" spans="1:7" x14ac:dyDescent="0.25">
      <c r="A74" s="2" t="s">
        <v>10</v>
      </c>
      <c r="B74" s="2">
        <v>639</v>
      </c>
      <c r="C74" s="2" t="s">
        <v>57</v>
      </c>
      <c r="D74" s="2" t="s">
        <v>20</v>
      </c>
      <c r="E74" s="3">
        <v>11190</v>
      </c>
      <c r="F74" s="3">
        <v>1121.9000000000001</v>
      </c>
      <c r="G74" s="3">
        <v>413850</v>
      </c>
    </row>
    <row r="75" spans="1:7" x14ac:dyDescent="0.25">
      <c r="A75" s="4" t="s">
        <v>10</v>
      </c>
      <c r="B75" s="4">
        <v>641</v>
      </c>
      <c r="C75" s="4" t="s">
        <v>58</v>
      </c>
      <c r="D75" s="4" t="s">
        <v>20</v>
      </c>
      <c r="E75" s="5">
        <v>30</v>
      </c>
      <c r="F75" s="5">
        <v>3.6</v>
      </c>
      <c r="G75" s="5">
        <v>1350</v>
      </c>
    </row>
    <row r="76" spans="1:7" x14ac:dyDescent="0.25">
      <c r="A76" s="2" t="s">
        <v>10</v>
      </c>
      <c r="B76" s="2">
        <v>643</v>
      </c>
      <c r="C76" s="2" t="s">
        <v>59</v>
      </c>
      <c r="D76" s="2" t="s">
        <v>60</v>
      </c>
      <c r="E76" s="3">
        <v>13</v>
      </c>
      <c r="F76" s="3">
        <v>1</v>
      </c>
      <c r="G76" s="3">
        <v>702</v>
      </c>
    </row>
    <row r="77" spans="1:7" x14ac:dyDescent="0.25">
      <c r="A77" s="4" t="s">
        <v>10</v>
      </c>
      <c r="B77" s="4">
        <v>647</v>
      </c>
      <c r="C77" s="4" t="s">
        <v>61</v>
      </c>
      <c r="D77" s="4" t="s">
        <v>20</v>
      </c>
      <c r="E77" s="5">
        <v>19148</v>
      </c>
      <c r="F77" s="5">
        <v>3876.3</v>
      </c>
      <c r="G77" s="5">
        <v>1039050</v>
      </c>
    </row>
    <row r="78" spans="1:7" x14ac:dyDescent="0.25">
      <c r="A78" s="2" t="s">
        <v>10</v>
      </c>
      <c r="B78" s="2">
        <v>727</v>
      </c>
      <c r="C78" s="2" t="s">
        <v>62</v>
      </c>
      <c r="D78" s="2" t="s">
        <v>20</v>
      </c>
      <c r="E78" s="3">
        <v>6000</v>
      </c>
      <c r="F78" s="3">
        <v>2100</v>
      </c>
      <c r="G78" s="3">
        <v>556500</v>
      </c>
    </row>
    <row r="79" spans="1:7" x14ac:dyDescent="0.25">
      <c r="A79" s="4" t="s">
        <v>10</v>
      </c>
      <c r="B79" s="4">
        <v>632</v>
      </c>
      <c r="C79" s="4" t="s">
        <v>63</v>
      </c>
      <c r="D79" s="4" t="s">
        <v>20</v>
      </c>
      <c r="E79" s="5">
        <v>15002</v>
      </c>
      <c r="F79" s="5">
        <v>1500</v>
      </c>
      <c r="G79" s="5">
        <v>398855.9</v>
      </c>
    </row>
    <row r="80" spans="1:7" x14ac:dyDescent="0.25">
      <c r="A80" s="2" t="s">
        <v>10</v>
      </c>
      <c r="B80" s="2">
        <v>651</v>
      </c>
      <c r="C80" s="2" t="s">
        <v>64</v>
      </c>
      <c r="D80" s="2" t="s">
        <v>20</v>
      </c>
      <c r="E80" s="3">
        <v>12900</v>
      </c>
      <c r="F80" s="3">
        <v>870.65</v>
      </c>
      <c r="G80" s="3">
        <v>299400</v>
      </c>
    </row>
    <row r="81" spans="1:7" x14ac:dyDescent="0.25">
      <c r="A81" s="4" t="s">
        <v>10</v>
      </c>
      <c r="B81" s="4">
        <v>665</v>
      </c>
      <c r="C81" s="4" t="s">
        <v>65</v>
      </c>
      <c r="D81" s="4" t="s">
        <v>24</v>
      </c>
      <c r="E81" s="5">
        <v>3270</v>
      </c>
      <c r="F81" s="5">
        <v>208.6</v>
      </c>
      <c r="G81" s="5">
        <v>71940</v>
      </c>
    </row>
    <row r="82" spans="1:7" x14ac:dyDescent="0.25">
      <c r="A82" s="2" t="s">
        <v>10</v>
      </c>
      <c r="B82" s="2">
        <v>666</v>
      </c>
      <c r="C82" s="2" t="s">
        <v>65</v>
      </c>
      <c r="D82" s="2" t="s">
        <v>18</v>
      </c>
      <c r="E82" s="3">
        <v>750</v>
      </c>
      <c r="F82" s="3">
        <v>58.53</v>
      </c>
      <c r="G82" s="3">
        <v>18375</v>
      </c>
    </row>
    <row r="83" spans="1:7" x14ac:dyDescent="0.25">
      <c r="A83" s="4" t="s">
        <v>10</v>
      </c>
      <c r="B83" s="4">
        <v>669</v>
      </c>
      <c r="C83" s="4" t="s">
        <v>65</v>
      </c>
      <c r="D83" s="4" t="s">
        <v>20</v>
      </c>
      <c r="E83" s="5">
        <v>6090</v>
      </c>
      <c r="F83" s="5">
        <v>478.75</v>
      </c>
      <c r="G83" s="5">
        <v>168720</v>
      </c>
    </row>
    <row r="84" spans="1:7" x14ac:dyDescent="0.25">
      <c r="A84" s="2" t="s">
        <v>10</v>
      </c>
      <c r="B84" s="2">
        <v>671</v>
      </c>
      <c r="C84" s="2" t="s">
        <v>65</v>
      </c>
      <c r="D84" s="2" t="s">
        <v>66</v>
      </c>
      <c r="E84" s="3">
        <v>41400</v>
      </c>
      <c r="F84" s="3">
        <v>2469.1999999999998</v>
      </c>
      <c r="G84" s="3">
        <v>745200</v>
      </c>
    </row>
    <row r="85" spans="1:7" x14ac:dyDescent="0.25">
      <c r="A85" s="4" t="s">
        <v>10</v>
      </c>
      <c r="B85" s="4">
        <v>658</v>
      </c>
      <c r="C85" s="4" t="s">
        <v>67</v>
      </c>
      <c r="D85" s="4" t="s">
        <v>52</v>
      </c>
      <c r="E85" s="5">
        <v>14400</v>
      </c>
      <c r="F85" s="5">
        <v>505.42</v>
      </c>
      <c r="G85" s="5">
        <v>162000</v>
      </c>
    </row>
    <row r="86" spans="1:7" x14ac:dyDescent="0.25">
      <c r="A86" s="2" t="s">
        <v>10</v>
      </c>
      <c r="B86" s="2">
        <v>661</v>
      </c>
      <c r="C86" s="2" t="s">
        <v>67</v>
      </c>
      <c r="D86" s="2" t="s">
        <v>20</v>
      </c>
      <c r="E86" s="3">
        <v>14700</v>
      </c>
      <c r="F86" s="3">
        <v>569.29999999999995</v>
      </c>
      <c r="G86" s="3">
        <v>180150</v>
      </c>
    </row>
    <row r="87" spans="1:7" x14ac:dyDescent="0.25">
      <c r="A87" s="4" t="s">
        <v>10</v>
      </c>
      <c r="B87" s="4">
        <v>661</v>
      </c>
      <c r="C87" s="4" t="s">
        <v>67</v>
      </c>
      <c r="D87" s="4" t="s">
        <v>68</v>
      </c>
      <c r="E87" s="5">
        <v>16500</v>
      </c>
      <c r="F87" s="5">
        <v>558.71</v>
      </c>
      <c r="G87" s="5">
        <v>198000</v>
      </c>
    </row>
    <row r="88" spans="1:7" x14ac:dyDescent="0.25">
      <c r="A88" s="2" t="s">
        <v>10</v>
      </c>
      <c r="B88" s="2">
        <v>683</v>
      </c>
      <c r="C88" s="2" t="s">
        <v>69</v>
      </c>
      <c r="D88" s="2" t="s">
        <v>20</v>
      </c>
      <c r="E88" s="3">
        <v>1200</v>
      </c>
      <c r="F88" s="3">
        <v>100.2</v>
      </c>
      <c r="G88" s="3">
        <v>34800</v>
      </c>
    </row>
    <row r="89" spans="1:7" x14ac:dyDescent="0.25">
      <c r="A89" s="4" t="s">
        <v>10</v>
      </c>
      <c r="B89" s="4">
        <v>683</v>
      </c>
      <c r="C89" s="4" t="s">
        <v>69</v>
      </c>
      <c r="D89" s="4" t="s">
        <v>70</v>
      </c>
      <c r="E89" s="5">
        <v>4050</v>
      </c>
      <c r="F89" s="5">
        <v>322.60000000000002</v>
      </c>
      <c r="G89" s="5">
        <v>97200</v>
      </c>
    </row>
    <row r="90" spans="1:7" x14ac:dyDescent="0.25">
      <c r="A90" s="2" t="s">
        <v>10</v>
      </c>
      <c r="B90" s="2">
        <v>689</v>
      </c>
      <c r="C90" s="2" t="s">
        <v>71</v>
      </c>
      <c r="D90" s="2" t="s">
        <v>20</v>
      </c>
      <c r="E90" s="3">
        <v>600</v>
      </c>
      <c r="F90" s="3">
        <v>75.75</v>
      </c>
      <c r="G90" s="3">
        <v>28800</v>
      </c>
    </row>
    <row r="91" spans="1:7" x14ac:dyDescent="0.25">
      <c r="A91" s="4" t="s">
        <v>10</v>
      </c>
      <c r="B91" s="4">
        <v>679</v>
      </c>
      <c r="C91" s="4" t="s">
        <v>72</v>
      </c>
      <c r="D91" s="4" t="s">
        <v>20</v>
      </c>
      <c r="E91" s="5">
        <v>1000</v>
      </c>
      <c r="F91" s="5">
        <v>246</v>
      </c>
      <c r="G91" s="5">
        <v>90000</v>
      </c>
    </row>
    <row r="92" spans="1:7" x14ac:dyDescent="0.25">
      <c r="A92" s="2" t="s">
        <v>10</v>
      </c>
      <c r="B92" s="2">
        <v>706</v>
      </c>
      <c r="C92" s="2" t="s">
        <v>73</v>
      </c>
      <c r="D92" s="2" t="s">
        <v>20</v>
      </c>
      <c r="E92" s="3">
        <v>8160</v>
      </c>
      <c r="F92" s="3">
        <v>816.7</v>
      </c>
      <c r="G92" s="3">
        <v>399600</v>
      </c>
    </row>
    <row r="93" spans="1:7" x14ac:dyDescent="0.25">
      <c r="A93" s="4" t="s">
        <v>10</v>
      </c>
      <c r="B93" s="4">
        <v>707</v>
      </c>
      <c r="C93" s="4" t="s">
        <v>74</v>
      </c>
      <c r="D93" s="4" t="s">
        <v>20</v>
      </c>
      <c r="E93" s="5">
        <v>450</v>
      </c>
      <c r="F93" s="5">
        <v>51.1</v>
      </c>
      <c r="G93" s="5">
        <v>25200</v>
      </c>
    </row>
    <row r="94" spans="1:7" x14ac:dyDescent="0.25">
      <c r="A94" s="2" t="s">
        <v>10</v>
      </c>
      <c r="B94" s="2">
        <v>708</v>
      </c>
      <c r="C94" s="2" t="s">
        <v>75</v>
      </c>
      <c r="D94" s="2" t="s">
        <v>20</v>
      </c>
      <c r="E94" s="3">
        <v>3600</v>
      </c>
      <c r="F94" s="3">
        <v>220</v>
      </c>
      <c r="G94" s="3">
        <v>98100</v>
      </c>
    </row>
    <row r="95" spans="1:7" x14ac:dyDescent="0.25">
      <c r="A95" s="4" t="s">
        <v>10</v>
      </c>
      <c r="B95" s="4">
        <v>709</v>
      </c>
      <c r="C95" s="4" t="s">
        <v>76</v>
      </c>
      <c r="D95" s="4" t="s">
        <v>20</v>
      </c>
      <c r="E95" s="5">
        <v>4500</v>
      </c>
      <c r="F95" s="5">
        <v>375.8</v>
      </c>
      <c r="G95" s="5">
        <v>152250</v>
      </c>
    </row>
    <row r="96" spans="1:7" x14ac:dyDescent="0.25">
      <c r="A96" s="2" t="s">
        <v>10</v>
      </c>
      <c r="B96" s="2">
        <v>720</v>
      </c>
      <c r="C96" s="2" t="s">
        <v>77</v>
      </c>
      <c r="D96" s="2" t="s">
        <v>18</v>
      </c>
      <c r="E96" s="3">
        <v>2610</v>
      </c>
      <c r="F96" s="3">
        <v>356.4</v>
      </c>
      <c r="G96" s="3">
        <v>99540</v>
      </c>
    </row>
    <row r="97" spans="1:7" x14ac:dyDescent="0.25">
      <c r="A97" s="4" t="s">
        <v>10</v>
      </c>
      <c r="B97" s="4">
        <v>144</v>
      </c>
      <c r="C97" s="4" t="s">
        <v>78</v>
      </c>
      <c r="D97" s="4" t="s">
        <v>18</v>
      </c>
      <c r="E97" s="5">
        <v>54000</v>
      </c>
      <c r="F97" s="5">
        <v>2124.41</v>
      </c>
      <c r="G97" s="5">
        <v>730296</v>
      </c>
    </row>
    <row r="98" spans="1:7" x14ac:dyDescent="0.25">
      <c r="A98" s="2" t="s">
        <v>10</v>
      </c>
      <c r="B98" s="2">
        <v>164</v>
      </c>
      <c r="C98" s="2" t="s">
        <v>78</v>
      </c>
      <c r="D98" s="2" t="s">
        <v>20</v>
      </c>
      <c r="E98" s="3">
        <v>2400</v>
      </c>
      <c r="F98" s="3">
        <v>92.2</v>
      </c>
      <c r="G98" s="3">
        <v>38400</v>
      </c>
    </row>
    <row r="99" spans="1:7" x14ac:dyDescent="0.25">
      <c r="A99" s="4" t="s">
        <v>10</v>
      </c>
      <c r="B99" s="4">
        <v>223</v>
      </c>
      <c r="C99" s="4" t="s">
        <v>79</v>
      </c>
      <c r="D99" s="4" t="s">
        <v>30</v>
      </c>
      <c r="E99" s="5">
        <v>2700</v>
      </c>
      <c r="F99" s="5">
        <v>214.26</v>
      </c>
      <c r="G99" s="5">
        <v>75600</v>
      </c>
    </row>
    <row r="100" spans="1:7" x14ac:dyDescent="0.25">
      <c r="A100" s="2" t="s">
        <v>10</v>
      </c>
      <c r="B100" s="2">
        <v>167</v>
      </c>
      <c r="C100" s="2" t="s">
        <v>80</v>
      </c>
      <c r="D100" s="2" t="s">
        <v>30</v>
      </c>
      <c r="E100" s="3">
        <v>400</v>
      </c>
      <c r="F100" s="3">
        <v>65.44</v>
      </c>
      <c r="G100" s="3">
        <v>22400</v>
      </c>
    </row>
    <row r="101" spans="1:7" x14ac:dyDescent="0.25">
      <c r="A101" s="4" t="s">
        <v>10</v>
      </c>
      <c r="B101" s="4">
        <v>179</v>
      </c>
      <c r="C101" s="4" t="s">
        <v>81</v>
      </c>
      <c r="D101" s="4" t="s">
        <v>18</v>
      </c>
      <c r="E101" s="5">
        <v>75750</v>
      </c>
      <c r="F101" s="5">
        <v>5943.01</v>
      </c>
      <c r="G101" s="5">
        <v>1799625</v>
      </c>
    </row>
    <row r="102" spans="1:7" x14ac:dyDescent="0.25">
      <c r="A102" s="2" t="s">
        <v>10</v>
      </c>
      <c r="B102" s="2">
        <v>188</v>
      </c>
      <c r="C102" s="2" t="s">
        <v>82</v>
      </c>
      <c r="D102" s="2" t="s">
        <v>18</v>
      </c>
      <c r="E102" s="3">
        <v>5250</v>
      </c>
      <c r="F102" s="3">
        <v>459.72</v>
      </c>
      <c r="G102" s="3">
        <v>151500</v>
      </c>
    </row>
    <row r="103" spans="1:7" x14ac:dyDescent="0.25">
      <c r="A103" s="4" t="s">
        <v>10</v>
      </c>
      <c r="B103" s="4">
        <v>193</v>
      </c>
      <c r="C103" s="4" t="s">
        <v>83</v>
      </c>
      <c r="D103" s="4" t="s">
        <v>18</v>
      </c>
      <c r="E103" s="5">
        <v>3500</v>
      </c>
      <c r="F103" s="5">
        <v>429.36</v>
      </c>
      <c r="G103" s="5">
        <v>137500</v>
      </c>
    </row>
    <row r="104" spans="1:7" x14ac:dyDescent="0.25">
      <c r="A104" s="2" t="s">
        <v>10</v>
      </c>
      <c r="B104" s="2">
        <v>177</v>
      </c>
      <c r="C104" s="2" t="s">
        <v>84</v>
      </c>
      <c r="D104" s="2" t="s">
        <v>18</v>
      </c>
      <c r="E104" s="3">
        <v>1800</v>
      </c>
      <c r="F104" s="3">
        <v>318.74</v>
      </c>
      <c r="G104" s="3">
        <v>106200</v>
      </c>
    </row>
    <row r="105" spans="1:7" x14ac:dyDescent="0.25">
      <c r="A105" s="4" t="s">
        <v>10</v>
      </c>
      <c r="B105" s="4">
        <v>199</v>
      </c>
      <c r="C105" s="4" t="s">
        <v>85</v>
      </c>
      <c r="D105" s="4" t="s">
        <v>86</v>
      </c>
      <c r="E105" s="5">
        <v>2700</v>
      </c>
      <c r="F105" s="5">
        <v>135.38999999999999</v>
      </c>
      <c r="G105" s="5">
        <v>43725</v>
      </c>
    </row>
    <row r="106" spans="1:7" x14ac:dyDescent="0.25">
      <c r="A106" s="2" t="s">
        <v>10</v>
      </c>
      <c r="B106" s="2">
        <v>200</v>
      </c>
      <c r="C106" s="2" t="s">
        <v>85</v>
      </c>
      <c r="D106" s="2" t="s">
        <v>27</v>
      </c>
      <c r="E106" s="3">
        <v>2050</v>
      </c>
      <c r="F106" s="3">
        <v>100.9</v>
      </c>
      <c r="G106" s="3">
        <v>33275</v>
      </c>
    </row>
    <row r="107" spans="1:7" x14ac:dyDescent="0.25">
      <c r="A107" s="4" t="s">
        <v>10</v>
      </c>
      <c r="B107" s="4">
        <v>201</v>
      </c>
      <c r="C107" s="4" t="s">
        <v>85</v>
      </c>
      <c r="D107" s="4" t="s">
        <v>87</v>
      </c>
      <c r="E107" s="5">
        <v>4250</v>
      </c>
      <c r="F107" s="5">
        <v>225.31</v>
      </c>
      <c r="G107" s="5">
        <v>68750</v>
      </c>
    </row>
    <row r="108" spans="1:7" x14ac:dyDescent="0.25">
      <c r="A108" s="2" t="s">
        <v>10</v>
      </c>
      <c r="B108" s="2">
        <v>204</v>
      </c>
      <c r="C108" s="2" t="s">
        <v>85</v>
      </c>
      <c r="D108" s="2" t="s">
        <v>44</v>
      </c>
      <c r="E108" s="3">
        <v>2700</v>
      </c>
      <c r="F108" s="3">
        <v>136.12</v>
      </c>
      <c r="G108" s="3">
        <v>43725</v>
      </c>
    </row>
    <row r="109" spans="1:7" x14ac:dyDescent="0.25">
      <c r="A109" s="4" t="s">
        <v>10</v>
      </c>
      <c r="B109" s="4">
        <v>205</v>
      </c>
      <c r="C109" s="4" t="s">
        <v>85</v>
      </c>
      <c r="D109" s="4" t="s">
        <v>88</v>
      </c>
      <c r="E109" s="5">
        <v>6250</v>
      </c>
      <c r="F109" s="5">
        <v>318.39999999999998</v>
      </c>
      <c r="G109" s="5">
        <v>99750</v>
      </c>
    </row>
    <row r="110" spans="1:7" x14ac:dyDescent="0.25">
      <c r="A110" s="2" t="s">
        <v>10</v>
      </c>
      <c r="B110" s="2">
        <v>206</v>
      </c>
      <c r="C110" s="2" t="s">
        <v>85</v>
      </c>
      <c r="D110" s="2" t="s">
        <v>89</v>
      </c>
      <c r="E110" s="3">
        <v>2050</v>
      </c>
      <c r="F110" s="3">
        <v>97.3</v>
      </c>
      <c r="G110" s="3">
        <v>33275</v>
      </c>
    </row>
    <row r="111" spans="1:7" x14ac:dyDescent="0.25">
      <c r="A111" s="4" t="s">
        <v>10</v>
      </c>
      <c r="B111" s="4">
        <v>213</v>
      </c>
      <c r="C111" s="4" t="s">
        <v>90</v>
      </c>
      <c r="D111" s="4" t="s">
        <v>18</v>
      </c>
      <c r="E111" s="5">
        <v>71260</v>
      </c>
      <c r="F111" s="5">
        <v>4935.8</v>
      </c>
      <c r="G111" s="5">
        <v>1547550</v>
      </c>
    </row>
    <row r="112" spans="1:7" x14ac:dyDescent="0.25">
      <c r="A112" s="2" t="s">
        <v>10</v>
      </c>
      <c r="B112" s="2">
        <v>218</v>
      </c>
      <c r="C112" s="2" t="s">
        <v>90</v>
      </c>
      <c r="D112" s="2" t="s">
        <v>91</v>
      </c>
      <c r="E112" s="3">
        <v>5250</v>
      </c>
      <c r="F112" s="3">
        <v>370.38</v>
      </c>
      <c r="G112" s="3">
        <v>115875</v>
      </c>
    </row>
    <row r="113" spans="1:7" x14ac:dyDescent="0.25">
      <c r="A113" s="4" t="s">
        <v>10</v>
      </c>
      <c r="B113" s="4">
        <v>219</v>
      </c>
      <c r="C113" s="4" t="s">
        <v>92</v>
      </c>
      <c r="D113" s="4" t="s">
        <v>18</v>
      </c>
      <c r="E113" s="5">
        <v>1500</v>
      </c>
      <c r="F113" s="5">
        <v>126.48</v>
      </c>
      <c r="G113" s="5">
        <v>39000</v>
      </c>
    </row>
    <row r="114" spans="1:7" x14ac:dyDescent="0.25">
      <c r="A114" s="2" t="s">
        <v>10</v>
      </c>
      <c r="B114" s="2">
        <v>226</v>
      </c>
      <c r="C114" s="2" t="s">
        <v>93</v>
      </c>
      <c r="D114" s="2" t="s">
        <v>18</v>
      </c>
      <c r="E114" s="3">
        <v>4500</v>
      </c>
      <c r="F114" s="3">
        <v>487.87</v>
      </c>
      <c r="G114" s="3">
        <v>153000</v>
      </c>
    </row>
    <row r="115" spans="1:7" x14ac:dyDescent="0.25">
      <c r="A115" s="4" t="s">
        <v>10</v>
      </c>
      <c r="B115" s="4">
        <v>211</v>
      </c>
      <c r="C115" s="4" t="s">
        <v>94</v>
      </c>
      <c r="D115" s="4" t="s">
        <v>18</v>
      </c>
      <c r="E115" s="5">
        <v>1170</v>
      </c>
      <c r="F115" s="5">
        <v>191.5</v>
      </c>
      <c r="G115" s="5">
        <v>60840</v>
      </c>
    </row>
    <row r="116" spans="1:7" x14ac:dyDescent="0.25">
      <c r="A116" s="2" t="s">
        <v>10</v>
      </c>
      <c r="B116" s="2">
        <v>232</v>
      </c>
      <c r="C116" s="2" t="s">
        <v>95</v>
      </c>
      <c r="D116" s="2" t="s">
        <v>18</v>
      </c>
      <c r="E116" s="3">
        <v>41000</v>
      </c>
      <c r="F116" s="3">
        <v>2568.39</v>
      </c>
      <c r="G116" s="3">
        <v>722500</v>
      </c>
    </row>
    <row r="117" spans="1:7" x14ac:dyDescent="0.25">
      <c r="A117" s="4" t="s">
        <v>10</v>
      </c>
      <c r="B117" s="4">
        <v>234</v>
      </c>
      <c r="C117" s="4" t="s">
        <v>95</v>
      </c>
      <c r="D117" s="4" t="s">
        <v>30</v>
      </c>
      <c r="E117" s="5">
        <v>23000</v>
      </c>
      <c r="F117" s="5">
        <v>1387</v>
      </c>
      <c r="G117" s="5">
        <v>399000</v>
      </c>
    </row>
    <row r="118" spans="1:7" x14ac:dyDescent="0.25">
      <c r="A118" s="2" t="s">
        <v>10</v>
      </c>
      <c r="B118" s="2">
        <v>235</v>
      </c>
      <c r="C118" s="2" t="s">
        <v>96</v>
      </c>
      <c r="D118" s="2" t="s">
        <v>18</v>
      </c>
      <c r="E118" s="3">
        <v>2250</v>
      </c>
      <c r="F118" s="3">
        <v>151.18</v>
      </c>
      <c r="G118" s="3">
        <v>49500</v>
      </c>
    </row>
    <row r="119" spans="1:7" x14ac:dyDescent="0.25">
      <c r="A119" s="4" t="s">
        <v>10</v>
      </c>
      <c r="B119" s="4">
        <v>238</v>
      </c>
      <c r="C119" s="4" t="s">
        <v>97</v>
      </c>
      <c r="D119" s="4" t="s">
        <v>18</v>
      </c>
      <c r="E119" s="5">
        <v>6600</v>
      </c>
      <c r="F119" s="5">
        <v>625.78</v>
      </c>
      <c r="G119" s="5">
        <v>189600</v>
      </c>
    </row>
    <row r="120" spans="1:7" x14ac:dyDescent="0.25">
      <c r="A120" s="2" t="s">
        <v>10</v>
      </c>
      <c r="B120" s="2">
        <v>228</v>
      </c>
      <c r="C120" s="2" t="s">
        <v>98</v>
      </c>
      <c r="D120" s="2" t="s">
        <v>18</v>
      </c>
      <c r="E120" s="3">
        <v>1200</v>
      </c>
      <c r="F120" s="3">
        <v>161.4</v>
      </c>
      <c r="G120" s="3">
        <v>55200</v>
      </c>
    </row>
    <row r="121" spans="1:7" x14ac:dyDescent="0.25">
      <c r="A121" s="4" t="s">
        <v>10</v>
      </c>
      <c r="B121" s="4">
        <v>126</v>
      </c>
      <c r="C121" s="4" t="s">
        <v>99</v>
      </c>
      <c r="D121" s="4" t="s">
        <v>18</v>
      </c>
      <c r="E121" s="5">
        <v>1800</v>
      </c>
      <c r="F121" s="5">
        <v>181.8</v>
      </c>
      <c r="G121" s="5">
        <v>54000</v>
      </c>
    </row>
    <row r="122" spans="1:7" x14ac:dyDescent="0.25">
      <c r="A122" s="2" t="s">
        <v>10</v>
      </c>
      <c r="B122" s="2">
        <v>223</v>
      </c>
      <c r="C122" s="2" t="s">
        <v>100</v>
      </c>
      <c r="D122" s="2" t="s">
        <v>30</v>
      </c>
      <c r="E122" s="3">
        <v>5550</v>
      </c>
      <c r="F122" s="3">
        <v>429.7</v>
      </c>
      <c r="G122" s="3">
        <v>155400</v>
      </c>
    </row>
    <row r="123" spans="1:7" x14ac:dyDescent="0.25">
      <c r="A123" s="4" t="s">
        <v>10</v>
      </c>
      <c r="B123" s="4">
        <v>258</v>
      </c>
      <c r="C123" s="4" t="s">
        <v>101</v>
      </c>
      <c r="D123" s="4" t="s">
        <v>18</v>
      </c>
      <c r="E123" s="5">
        <v>137000</v>
      </c>
      <c r="F123" s="5">
        <v>7197.34</v>
      </c>
      <c r="G123" s="5">
        <v>2104750</v>
      </c>
    </row>
    <row r="124" spans="1:7" x14ac:dyDescent="0.25">
      <c r="A124" s="2" t="s">
        <v>10</v>
      </c>
      <c r="B124" s="2">
        <v>271</v>
      </c>
      <c r="C124" s="2" t="s">
        <v>102</v>
      </c>
      <c r="D124" s="2" t="s">
        <v>18</v>
      </c>
      <c r="E124" s="3">
        <v>2700</v>
      </c>
      <c r="F124" s="3">
        <v>156.46</v>
      </c>
      <c r="G124" s="3">
        <v>49950</v>
      </c>
    </row>
    <row r="125" spans="1:7" x14ac:dyDescent="0.25">
      <c r="A125" s="4" t="s">
        <v>10</v>
      </c>
      <c r="B125" s="4">
        <v>250</v>
      </c>
      <c r="C125" s="4" t="s">
        <v>103</v>
      </c>
      <c r="D125" s="4" t="s">
        <v>18</v>
      </c>
      <c r="E125" s="5">
        <v>1000</v>
      </c>
      <c r="F125" s="5">
        <v>104.5</v>
      </c>
      <c r="G125" s="5">
        <v>31000</v>
      </c>
    </row>
    <row r="126" spans="1:7" x14ac:dyDescent="0.25">
      <c r="A126" s="2" t="s">
        <v>104</v>
      </c>
      <c r="B126" s="2">
        <v>2313</v>
      </c>
      <c r="C126" s="2" t="s">
        <v>105</v>
      </c>
      <c r="D126" s="2"/>
      <c r="E126" s="3">
        <v>0</v>
      </c>
      <c r="F126" s="3">
        <v>2174</v>
      </c>
      <c r="G126" s="3">
        <v>21740</v>
      </c>
    </row>
    <row r="127" spans="1:7" x14ac:dyDescent="0.25">
      <c r="A127" s="4" t="s">
        <v>106</v>
      </c>
      <c r="B127" s="4">
        <v>3049</v>
      </c>
      <c r="C127" s="4" t="s">
        <v>107</v>
      </c>
      <c r="D127" s="4" t="s">
        <v>48</v>
      </c>
      <c r="E127" s="5">
        <v>575</v>
      </c>
      <c r="F127" s="5">
        <v>575</v>
      </c>
      <c r="G127" s="5">
        <v>92000</v>
      </c>
    </row>
    <row r="128" spans="1:7" x14ac:dyDescent="0.25">
      <c r="A128" s="2" t="s">
        <v>106</v>
      </c>
      <c r="B128" s="2">
        <v>3005</v>
      </c>
      <c r="C128" s="2" t="s">
        <v>108</v>
      </c>
      <c r="D128" s="2" t="s">
        <v>109</v>
      </c>
      <c r="E128" s="3">
        <v>1036</v>
      </c>
      <c r="F128" s="3">
        <v>1036</v>
      </c>
      <c r="G128" s="3">
        <v>191475</v>
      </c>
    </row>
    <row r="129" spans="1:7" x14ac:dyDescent="0.25">
      <c r="A129" s="4" t="s">
        <v>106</v>
      </c>
      <c r="B129" s="4">
        <v>3012</v>
      </c>
      <c r="C129" s="4" t="s">
        <v>108</v>
      </c>
      <c r="D129" s="4" t="s">
        <v>109</v>
      </c>
      <c r="E129" s="5">
        <v>39</v>
      </c>
      <c r="F129" s="5">
        <v>39</v>
      </c>
      <c r="G129" s="5">
        <v>7215</v>
      </c>
    </row>
    <row r="130" spans="1:7" x14ac:dyDescent="0.25">
      <c r="A130" s="2" t="s">
        <v>106</v>
      </c>
      <c r="B130" s="2">
        <v>3074</v>
      </c>
      <c r="C130" s="2" t="s">
        <v>107</v>
      </c>
      <c r="D130" s="2" t="s">
        <v>38</v>
      </c>
      <c r="E130" s="3">
        <v>4375</v>
      </c>
      <c r="F130" s="3">
        <v>4375</v>
      </c>
      <c r="G130" s="3">
        <v>787500</v>
      </c>
    </row>
    <row r="131" spans="1:7" x14ac:dyDescent="0.25">
      <c r="A131" s="4" t="s">
        <v>106</v>
      </c>
      <c r="B131" s="4">
        <v>3017</v>
      </c>
      <c r="C131" s="4" t="s">
        <v>108</v>
      </c>
      <c r="D131" s="4" t="s">
        <v>110</v>
      </c>
      <c r="E131" s="5">
        <v>25</v>
      </c>
      <c r="F131" s="5">
        <v>25</v>
      </c>
      <c r="G131" s="5">
        <v>4625</v>
      </c>
    </row>
    <row r="132" spans="1:7" x14ac:dyDescent="0.25">
      <c r="A132" s="6"/>
      <c r="B132" s="6"/>
      <c r="C132" s="6"/>
      <c r="D132" s="6"/>
      <c r="E132" s="7">
        <v>1290934</v>
      </c>
      <c r="F132" s="7">
        <v>107758.28</v>
      </c>
      <c r="G132" s="7">
        <v>29874817.920000002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F1"/>
    <mergeCell ref="A2:F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3588-4139-4B5C-8F00-47DAB52F49AF}">
  <dimension ref="A1:G35"/>
  <sheetViews>
    <sheetView workbookViewId="0"/>
  </sheetViews>
  <sheetFormatPr defaultRowHeight="15" x14ac:dyDescent="0.25"/>
  <cols>
    <col min="1" max="1" width="6.7109375" bestFit="1" customWidth="1"/>
    <col min="2" max="2" width="14.140625" bestFit="1" customWidth="1"/>
    <col min="3" max="3" width="43" customWidth="1"/>
    <col min="4" max="4" width="15" customWidth="1"/>
    <col min="5" max="5" width="10.7109375" bestFit="1" customWidth="1"/>
    <col min="6" max="6" width="10.7109375" customWidth="1"/>
    <col min="7" max="7" width="15" customWidth="1"/>
  </cols>
  <sheetData>
    <row r="1" spans="1:7" ht="15.75" x14ac:dyDescent="0.25">
      <c r="C1" s="8" t="s">
        <v>111</v>
      </c>
      <c r="D1" s="9"/>
      <c r="E1" s="9"/>
      <c r="F1" s="9"/>
      <c r="G1" s="9"/>
    </row>
    <row r="4" spans="1:7" x14ac:dyDescent="0.25">
      <c r="A4" s="10" t="s">
        <v>112</v>
      </c>
      <c r="B4" s="10" t="s">
        <v>4</v>
      </c>
      <c r="C4" s="11" t="s">
        <v>113</v>
      </c>
      <c r="D4" s="11" t="s">
        <v>114</v>
      </c>
      <c r="E4" s="11" t="s">
        <v>115</v>
      </c>
      <c r="F4" s="11"/>
      <c r="G4" s="11" t="s">
        <v>116</v>
      </c>
    </row>
    <row r="5" spans="1:7" x14ac:dyDescent="0.25">
      <c r="A5" s="12">
        <v>1</v>
      </c>
      <c r="B5" s="12">
        <v>1405</v>
      </c>
      <c r="C5" s="13" t="s">
        <v>117</v>
      </c>
      <c r="D5" s="14">
        <v>2</v>
      </c>
      <c r="E5" s="14">
        <v>5</v>
      </c>
      <c r="F5" s="14">
        <f>G5/E5</f>
        <v>592</v>
      </c>
      <c r="G5" s="14">
        <v>2960</v>
      </c>
    </row>
    <row r="6" spans="1:7" x14ac:dyDescent="0.25">
      <c r="A6" s="12">
        <v>2</v>
      </c>
      <c r="B6" s="12">
        <v>1403</v>
      </c>
      <c r="C6" s="13" t="s">
        <v>118</v>
      </c>
      <c r="D6" s="14">
        <v>18.5</v>
      </c>
      <c r="E6" s="14">
        <v>2640</v>
      </c>
      <c r="F6" s="14">
        <f t="shared" ref="F6:F34" si="0">G6/E6</f>
        <v>3.8095303030303032</v>
      </c>
      <c r="G6" s="14">
        <v>10057.16</v>
      </c>
    </row>
    <row r="7" spans="1:7" x14ac:dyDescent="0.25">
      <c r="A7" s="12">
        <v>3</v>
      </c>
      <c r="B7" s="12">
        <v>1408</v>
      </c>
      <c r="C7" s="13" t="s">
        <v>119</v>
      </c>
      <c r="D7" s="14">
        <v>150</v>
      </c>
      <c r="E7" s="14">
        <v>7095</v>
      </c>
      <c r="F7" s="14">
        <f t="shared" si="0"/>
        <v>10</v>
      </c>
      <c r="G7" s="14">
        <v>70950</v>
      </c>
    </row>
    <row r="8" spans="1:7" x14ac:dyDescent="0.25">
      <c r="A8" s="12">
        <v>4</v>
      </c>
      <c r="B8" s="12">
        <v>1218</v>
      </c>
      <c r="C8" s="13" t="s">
        <v>120</v>
      </c>
      <c r="D8" s="14">
        <v>1136</v>
      </c>
      <c r="E8" s="14">
        <v>8400</v>
      </c>
      <c r="F8" s="14">
        <f t="shared" si="0"/>
        <v>32.457142857142856</v>
      </c>
      <c r="G8" s="14">
        <v>272640</v>
      </c>
    </row>
    <row r="9" spans="1:7" x14ac:dyDescent="0.25">
      <c r="A9" s="12">
        <v>5</v>
      </c>
      <c r="B9" s="12">
        <v>1250</v>
      </c>
      <c r="C9" s="13" t="s">
        <v>121</v>
      </c>
      <c r="D9" s="14">
        <v>11.7</v>
      </c>
      <c r="E9" s="14">
        <v>117</v>
      </c>
      <c r="F9" s="14">
        <f t="shared" si="0"/>
        <v>25</v>
      </c>
      <c r="G9" s="14">
        <v>2925</v>
      </c>
    </row>
    <row r="10" spans="1:7" x14ac:dyDescent="0.25">
      <c r="A10" s="12">
        <v>6</v>
      </c>
      <c r="B10" s="12">
        <v>1409</v>
      </c>
      <c r="C10" s="13" t="s">
        <v>122</v>
      </c>
      <c r="D10" s="14">
        <v>180</v>
      </c>
      <c r="E10" s="14">
        <v>8000</v>
      </c>
      <c r="F10" s="14">
        <f t="shared" si="0"/>
        <v>4.0826250000000002</v>
      </c>
      <c r="G10" s="14">
        <v>32661</v>
      </c>
    </row>
    <row r="11" spans="1:7" x14ac:dyDescent="0.25">
      <c r="A11" s="12">
        <v>7</v>
      </c>
      <c r="B11" s="12">
        <v>1409</v>
      </c>
      <c r="C11" s="13" t="s">
        <v>123</v>
      </c>
      <c r="D11" s="14">
        <v>275</v>
      </c>
      <c r="E11" s="14">
        <v>10000</v>
      </c>
      <c r="F11" s="14">
        <f t="shared" si="0"/>
        <v>5.1123000000000003</v>
      </c>
      <c r="G11" s="14">
        <v>51123</v>
      </c>
    </row>
    <row r="12" spans="1:7" x14ac:dyDescent="0.25">
      <c r="A12" s="12">
        <v>8</v>
      </c>
      <c r="B12" s="12">
        <v>1400</v>
      </c>
      <c r="C12" s="13" t="s">
        <v>124</v>
      </c>
      <c r="D12" s="14">
        <v>6124.2</v>
      </c>
      <c r="E12" s="14">
        <v>65736</v>
      </c>
      <c r="F12" s="14">
        <f t="shared" si="0"/>
        <v>21.294861263234758</v>
      </c>
      <c r="G12" s="14">
        <v>1399839</v>
      </c>
    </row>
    <row r="13" spans="1:7" x14ac:dyDescent="0.25">
      <c r="A13" s="12">
        <v>9</v>
      </c>
      <c r="B13" s="12">
        <v>1324</v>
      </c>
      <c r="C13" s="13" t="s">
        <v>125</v>
      </c>
      <c r="D13" s="14">
        <v>8.4</v>
      </c>
      <c r="E13" s="14">
        <v>105</v>
      </c>
      <c r="F13" s="14">
        <f t="shared" si="0"/>
        <v>21</v>
      </c>
      <c r="G13" s="14">
        <v>2205</v>
      </c>
    </row>
    <row r="14" spans="1:7" x14ac:dyDescent="0.25">
      <c r="A14" s="12">
        <v>10</v>
      </c>
      <c r="B14" s="12">
        <v>1413</v>
      </c>
      <c r="C14" s="13" t="s">
        <v>126</v>
      </c>
      <c r="D14" s="14">
        <v>380</v>
      </c>
      <c r="E14" s="14">
        <v>4704</v>
      </c>
      <c r="F14" s="14">
        <f t="shared" si="0"/>
        <v>21.535714285714285</v>
      </c>
      <c r="G14" s="14">
        <v>101304</v>
      </c>
    </row>
    <row r="15" spans="1:7" x14ac:dyDescent="0.25">
      <c r="A15" s="12">
        <v>11</v>
      </c>
      <c r="B15" s="12">
        <v>1331</v>
      </c>
      <c r="C15" s="13" t="s">
        <v>127</v>
      </c>
      <c r="D15" s="14">
        <v>156</v>
      </c>
      <c r="E15" s="14">
        <v>1950</v>
      </c>
      <c r="F15" s="14">
        <f t="shared" si="0"/>
        <v>21</v>
      </c>
      <c r="G15" s="14">
        <v>40950</v>
      </c>
    </row>
    <row r="16" spans="1:7" x14ac:dyDescent="0.25">
      <c r="A16" s="12">
        <v>12</v>
      </c>
      <c r="B16" s="12">
        <v>726</v>
      </c>
      <c r="C16" s="13" t="s">
        <v>128</v>
      </c>
      <c r="D16" s="14">
        <v>134.9</v>
      </c>
      <c r="E16" s="14">
        <v>982</v>
      </c>
      <c r="F16" s="14">
        <f t="shared" si="0"/>
        <v>41</v>
      </c>
      <c r="G16" s="14">
        <v>40262</v>
      </c>
    </row>
    <row r="17" spans="1:7" x14ac:dyDescent="0.25">
      <c r="A17" s="12">
        <v>13</v>
      </c>
      <c r="B17" s="12">
        <v>439</v>
      </c>
      <c r="C17" s="13" t="s">
        <v>129</v>
      </c>
      <c r="D17" s="14">
        <v>2933.5</v>
      </c>
      <c r="E17" s="14">
        <v>12602</v>
      </c>
      <c r="F17" s="14">
        <f t="shared" si="0"/>
        <v>68</v>
      </c>
      <c r="G17" s="14">
        <v>856936</v>
      </c>
    </row>
    <row r="18" spans="1:7" x14ac:dyDescent="0.25">
      <c r="A18" s="12">
        <v>14</v>
      </c>
      <c r="B18" s="12">
        <v>451</v>
      </c>
      <c r="C18" s="13" t="s">
        <v>130</v>
      </c>
      <c r="D18" s="14">
        <v>590.4</v>
      </c>
      <c r="E18" s="14">
        <v>7500</v>
      </c>
      <c r="F18" s="14">
        <f t="shared" si="0"/>
        <v>17</v>
      </c>
      <c r="G18" s="14">
        <v>127500</v>
      </c>
    </row>
    <row r="19" spans="1:7" x14ac:dyDescent="0.25">
      <c r="A19" s="12">
        <v>15</v>
      </c>
      <c r="B19" s="12">
        <v>454</v>
      </c>
      <c r="C19" s="13" t="s">
        <v>131</v>
      </c>
      <c r="D19" s="14">
        <v>1352</v>
      </c>
      <c r="E19" s="14">
        <v>15854</v>
      </c>
      <c r="F19" s="14">
        <f t="shared" si="0"/>
        <v>24</v>
      </c>
      <c r="G19" s="14">
        <v>380496</v>
      </c>
    </row>
    <row r="20" spans="1:7" x14ac:dyDescent="0.25">
      <c r="A20" s="12">
        <v>16</v>
      </c>
      <c r="B20" s="12">
        <v>457</v>
      </c>
      <c r="C20" s="13" t="s">
        <v>132</v>
      </c>
      <c r="D20" s="14">
        <v>113.5</v>
      </c>
      <c r="E20" s="14">
        <v>1110</v>
      </c>
      <c r="F20" s="14">
        <f t="shared" si="0"/>
        <v>22</v>
      </c>
      <c r="G20" s="14">
        <v>24420</v>
      </c>
    </row>
    <row r="21" spans="1:7" x14ac:dyDescent="0.25">
      <c r="A21" s="12">
        <v>17</v>
      </c>
      <c r="B21" s="12">
        <v>459</v>
      </c>
      <c r="C21" s="13" t="s">
        <v>133</v>
      </c>
      <c r="D21" s="14">
        <v>455.5</v>
      </c>
      <c r="E21" s="14">
        <v>4720</v>
      </c>
      <c r="F21" s="14">
        <f t="shared" si="0"/>
        <v>22</v>
      </c>
      <c r="G21" s="14">
        <v>103840</v>
      </c>
    </row>
    <row r="22" spans="1:7" x14ac:dyDescent="0.25">
      <c r="A22" s="12">
        <v>18</v>
      </c>
      <c r="B22" s="12">
        <v>540</v>
      </c>
      <c r="C22" s="13" t="s">
        <v>134</v>
      </c>
      <c r="D22" s="14">
        <v>4336.8</v>
      </c>
      <c r="E22" s="14">
        <v>86310</v>
      </c>
      <c r="F22" s="14">
        <f t="shared" si="0"/>
        <v>12.543795620437956</v>
      </c>
      <c r="G22" s="14">
        <v>1082655</v>
      </c>
    </row>
    <row r="23" spans="1:7" x14ac:dyDescent="0.25">
      <c r="A23" s="12">
        <v>19</v>
      </c>
      <c r="B23" s="12">
        <v>568</v>
      </c>
      <c r="C23" s="13" t="s">
        <v>135</v>
      </c>
      <c r="D23" s="14">
        <v>1613.1</v>
      </c>
      <c r="E23" s="14">
        <v>36450</v>
      </c>
      <c r="F23" s="14">
        <f t="shared" si="0"/>
        <v>13</v>
      </c>
      <c r="G23" s="14">
        <v>473850</v>
      </c>
    </row>
    <row r="24" spans="1:7" x14ac:dyDescent="0.25">
      <c r="A24" s="12">
        <v>20</v>
      </c>
      <c r="B24" s="12">
        <v>574</v>
      </c>
      <c r="C24" s="13" t="s">
        <v>136</v>
      </c>
      <c r="D24" s="14">
        <v>167.5</v>
      </c>
      <c r="E24" s="14">
        <v>2110</v>
      </c>
      <c r="F24" s="14">
        <f t="shared" si="0"/>
        <v>19</v>
      </c>
      <c r="G24" s="14">
        <v>40090</v>
      </c>
    </row>
    <row r="25" spans="1:7" x14ac:dyDescent="0.25">
      <c r="A25" s="12">
        <v>21</v>
      </c>
      <c r="B25" s="12">
        <v>578</v>
      </c>
      <c r="C25" s="13" t="s">
        <v>137</v>
      </c>
      <c r="D25" s="14">
        <v>1064</v>
      </c>
      <c r="E25" s="14">
        <v>10800</v>
      </c>
      <c r="F25" s="14">
        <f t="shared" si="0"/>
        <v>26.166666666666668</v>
      </c>
      <c r="G25" s="14">
        <v>282600</v>
      </c>
    </row>
    <row r="26" spans="1:7" x14ac:dyDescent="0.25">
      <c r="A26" s="12">
        <v>22</v>
      </c>
      <c r="B26" s="12">
        <v>608</v>
      </c>
      <c r="C26" s="13" t="s">
        <v>138</v>
      </c>
      <c r="D26" s="14">
        <v>241.6</v>
      </c>
      <c r="E26" s="14">
        <v>4650</v>
      </c>
      <c r="F26" s="14">
        <f t="shared" si="0"/>
        <v>12.5</v>
      </c>
      <c r="G26" s="14">
        <v>58125</v>
      </c>
    </row>
    <row r="27" spans="1:7" x14ac:dyDescent="0.25">
      <c r="A27" s="12">
        <v>23</v>
      </c>
      <c r="B27" s="12">
        <v>727</v>
      </c>
      <c r="C27" s="13" t="s">
        <v>139</v>
      </c>
      <c r="D27" s="14">
        <v>2100</v>
      </c>
      <c r="E27" s="14">
        <v>21000</v>
      </c>
      <c r="F27" s="14">
        <f t="shared" si="0"/>
        <v>25</v>
      </c>
      <c r="G27" s="14">
        <v>525000</v>
      </c>
    </row>
    <row r="28" spans="1:7" x14ac:dyDescent="0.25">
      <c r="A28" s="12">
        <v>24</v>
      </c>
      <c r="B28" s="12">
        <v>632</v>
      </c>
      <c r="C28" s="13" t="s">
        <v>140</v>
      </c>
      <c r="D28" s="14">
        <v>1500</v>
      </c>
      <c r="E28" s="14">
        <v>15002</v>
      </c>
      <c r="F28" s="14">
        <f t="shared" si="0"/>
        <v>26.013464871350486</v>
      </c>
      <c r="G28" s="14">
        <v>390254</v>
      </c>
    </row>
    <row r="29" spans="1:7" x14ac:dyDescent="0.25">
      <c r="A29" s="12">
        <v>25</v>
      </c>
      <c r="B29" s="12">
        <v>633</v>
      </c>
      <c r="C29" s="13" t="s">
        <v>141</v>
      </c>
      <c r="D29" s="14">
        <v>203</v>
      </c>
      <c r="E29" s="14">
        <v>1680</v>
      </c>
      <c r="F29" s="14">
        <f t="shared" si="0"/>
        <v>31.5</v>
      </c>
      <c r="G29" s="14">
        <v>52920</v>
      </c>
    </row>
    <row r="30" spans="1:7" x14ac:dyDescent="0.25">
      <c r="A30" s="12">
        <v>26</v>
      </c>
      <c r="B30" s="12">
        <v>647</v>
      </c>
      <c r="C30" s="13" t="s">
        <v>142</v>
      </c>
      <c r="D30" s="14">
        <v>3823.6</v>
      </c>
      <c r="E30" s="14">
        <v>18867</v>
      </c>
      <c r="F30" s="14">
        <f t="shared" si="0"/>
        <v>54</v>
      </c>
      <c r="G30" s="14">
        <v>1018818</v>
      </c>
    </row>
    <row r="31" spans="1:7" x14ac:dyDescent="0.25">
      <c r="A31" s="12">
        <v>27</v>
      </c>
      <c r="B31" s="12">
        <v>661</v>
      </c>
      <c r="C31" s="13" t="s">
        <v>143</v>
      </c>
      <c r="D31" s="14">
        <v>634.29999999999995</v>
      </c>
      <c r="E31" s="14">
        <v>17850</v>
      </c>
      <c r="F31" s="14">
        <f t="shared" si="0"/>
        <v>9.9499159663865537</v>
      </c>
      <c r="G31" s="14">
        <v>177606</v>
      </c>
    </row>
    <row r="32" spans="1:7" x14ac:dyDescent="0.25">
      <c r="A32" s="12">
        <v>28</v>
      </c>
      <c r="B32" s="12">
        <v>661</v>
      </c>
      <c r="C32" s="13" t="s">
        <v>144</v>
      </c>
      <c r="D32" s="14">
        <v>922.5</v>
      </c>
      <c r="E32" s="14">
        <v>24270</v>
      </c>
      <c r="F32" s="14">
        <f t="shared" si="0"/>
        <v>11.067985166872683</v>
      </c>
      <c r="G32" s="14">
        <v>268620</v>
      </c>
    </row>
    <row r="33" spans="1:7" x14ac:dyDescent="0.25">
      <c r="A33" s="12">
        <v>29</v>
      </c>
      <c r="B33" s="12">
        <v>720</v>
      </c>
      <c r="C33" s="13" t="s">
        <v>145</v>
      </c>
      <c r="D33" s="14">
        <v>345.7</v>
      </c>
      <c r="E33" s="14">
        <v>2550</v>
      </c>
      <c r="F33" s="14">
        <f t="shared" si="0"/>
        <v>34</v>
      </c>
      <c r="G33" s="14">
        <v>86700</v>
      </c>
    </row>
    <row r="34" spans="1:7" x14ac:dyDescent="0.25">
      <c r="A34" s="12">
        <v>30</v>
      </c>
      <c r="B34" s="12">
        <v>1402</v>
      </c>
      <c r="C34" s="13" t="s">
        <v>146</v>
      </c>
      <c r="D34" s="14">
        <v>1050</v>
      </c>
      <c r="E34" s="14">
        <v>10500</v>
      </c>
      <c r="F34" s="14">
        <f t="shared" si="0"/>
        <v>22.85</v>
      </c>
      <c r="G34" s="14">
        <v>239925</v>
      </c>
    </row>
    <row r="35" spans="1:7" x14ac:dyDescent="0.25">
      <c r="A35" s="12"/>
      <c r="B35" s="12"/>
      <c r="C35" s="12"/>
      <c r="D35" s="15">
        <f>SUM(D5:D34)</f>
        <v>32023.699999999993</v>
      </c>
      <c r="E35" s="15">
        <f>SUM(E5:E34)</f>
        <v>403559</v>
      </c>
      <c r="F35" s="15"/>
      <c r="G35" s="15">
        <f>SUM(G5:G34)</f>
        <v>8218231.1600000001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purchase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product_wise_sales</dc:title>
  <dc:subject>product_wise_sales</dc:subject>
  <dc:creator>Tarka Infotech Pvt Ltd..</dc:creator>
  <cp:keywords/>
  <dc:description/>
  <cp:lastModifiedBy>Sudhir Prabhu</cp:lastModifiedBy>
  <dcterms:created xsi:type="dcterms:W3CDTF">2026-06-12T06:50:54Z</dcterms:created>
  <dcterms:modified xsi:type="dcterms:W3CDTF">2026-06-12T10:20:52Z</dcterms:modified>
  <cp:category/>
</cp:coreProperties>
</file>