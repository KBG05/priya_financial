
<file path=[Content_Types].xml><?xml version="1.0" encoding="utf-8"?>
<Types xmlns="http://schemas.openxmlformats.org/package/2006/content-types">
  <Default Extension="vml" ContentType="application/vnd.openxmlformats-officedocument.vmlDrawi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3035" firstSheet="6" activeTab="8"/>
  </bookViews>
  <sheets>
    <sheet name="Table of Contents" sheetId="170" r:id="rId1"/>
    <sheet name="Reconcile(HMT)" sheetId="162" r:id="rId2"/>
    <sheet name="Inventory Sales" sheetId="146" r:id="rId3"/>
    <sheet name="Stock Valuation (FIFO)" sheetId="119" r:id="rId4"/>
    <sheet name="Purchase" sheetId="147" r:id="rId5"/>
    <sheet name="Direct Expns" sheetId="134" r:id="rId6"/>
    <sheet name="Indirect Expns" sheetId="133" r:id="rId7"/>
    <sheet name="CONSUMPTION" sheetId="155" r:id="rId8"/>
    <sheet name="PAL I" sheetId="132" r:id="rId9"/>
    <sheet name="MTY" sheetId="176" r:id="rId10"/>
    <sheet name="Balance Sheet" sheetId="174" r:id="rId11"/>
    <sheet name="P&amp;L" sheetId="181" r:id="rId12"/>
    <sheet name="Cash Flow" sheetId="173" r:id="rId13"/>
    <sheet name="Funds Flow" sheetId="179" r:id="rId14"/>
    <sheet name="KPI's" sheetId="172" r:id="rId15"/>
    <sheet name=" Qty Analysis" sheetId="131" r:id="rId16"/>
    <sheet name="Fin Analysis" sheetId="153" r:id="rId17"/>
    <sheet name="Trading PL" sheetId="135" r:id="rId18"/>
    <sheet name="PAL II" sheetId="125" r:id="rId19"/>
    <sheet name="Abt Ratios" sheetId="180" r:id="rId20"/>
    <sheet name="Costing" sheetId="136" r:id="rId21"/>
    <sheet name="Sircilla" sheetId="171" r:id="rId22"/>
    <sheet name="Ins &amp;  Disp Costing" sheetId="154" r:id="rId23"/>
    <sheet name="Sales Summary" sheetId="139" r:id="rId24"/>
  </sheets>
  <definedNames>
    <definedName name="_xlnm._FilterDatabase" localSheetId="5" hidden="1">'Direct Expns'!$B$1:$B$39</definedName>
    <definedName name="_xlnm.Print_Area" localSheetId="15">' Qty Analysis'!#REF!</definedName>
    <definedName name="_xlnm.Print_Area" localSheetId="7">CONSUMPTION!$A$1:$AN$74</definedName>
    <definedName name="_xlnm.Print_Area" localSheetId="20">Costing!$AG$1:$AS$7</definedName>
    <definedName name="_xlnm.Print_Area" localSheetId="5">'Direct Expns'!$R$3:$AE$44</definedName>
    <definedName name="_xlnm.Print_Area" localSheetId="6">'Indirect Expns'!$S$1:$AF$14</definedName>
    <definedName name="_xlnm.Print_Area" localSheetId="8">'PAL I'!$AJ$2:$AO$28</definedName>
    <definedName name="_xlnm.Print_Area" localSheetId="18">'PAL II'!$B$1:$BB$46</definedName>
    <definedName name="_xlnm.Print_Area" localSheetId="3">'Stock Valuation (FIFO)'!$AL$2:$AN$32</definedName>
    <definedName name="_xlnm.Print_Area" localSheetId="17">'Trading PL'!$A$1:$AN$27</definedName>
  </definedNames>
  <calcPr calcId="144525"/>
</workbook>
</file>

<file path=xl/comments1.xml><?xml version="1.0" encoding="utf-8"?>
<comments xmlns="http://schemas.openxmlformats.org/spreadsheetml/2006/main">
  <authors>
    <author>Sudhir Prabhu</author>
  </authors>
  <commentList>
    <comment ref="H19" authorId="0">
      <text>
        <r>
          <rPr>
            <sz val="9"/>
            <rFont val="Tahoma"/>
            <charset val="1"/>
          </rPr>
          <t xml:space="preserve">SVFU 80-10=70-6=10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C32" authorId="0">
      <text>
        <r>
          <rPr>
            <sz val="11"/>
            <rFont val="Tahoma"/>
            <charset val="134"/>
          </rPr>
          <t xml:space="preserve">From Unit 1,2 &amp; 3
</t>
        </r>
      </text>
    </comment>
    <comment ref="C36" authorId="0">
      <text>
        <r>
          <rPr>
            <sz val="11"/>
            <rFont val="Tahoma"/>
            <charset val="134"/>
          </rPr>
          <t>Include:
Inspectors, Supervisors,Tailors, Drivers, Helpers 
Unit 3 &amp; 4</t>
        </r>
      </text>
    </comment>
  </commentList>
</comments>
</file>

<file path=xl/sharedStrings.xml><?xml version="1.0" encoding="utf-8"?>
<sst xmlns="http://schemas.openxmlformats.org/spreadsheetml/2006/main" count="2195" uniqueCount="1039">
  <si>
    <t>Table of Contents</t>
  </si>
  <si>
    <t>Remarks</t>
  </si>
  <si>
    <t>1 Reconcile sheet is comapring Tally Inventory with Tarka</t>
  </si>
  <si>
    <t>2.Review Purchase sheet is redundnt Started to compare Purchases &amp; reconcile</t>
  </si>
  <si>
    <t>3.Qty Analysis is Made by Accounts dept</t>
  </si>
  <si>
    <t>4. Input -Purchase comes from Tally</t>
  </si>
  <si>
    <t>5.Input-Dirct Expns from Tally</t>
  </si>
  <si>
    <t>6.Input-Indirect Expns from Tally</t>
  </si>
  <si>
    <t>7.Input-Stock Vauation from Tally</t>
  </si>
  <si>
    <t>8.Input-Inventory Sales Recobciles Gross Sales to Net Sales</t>
  </si>
  <si>
    <t>9.Output- Cost OF Good Sold (COGS)</t>
  </si>
  <si>
    <t>10.Output-PAL1 Gross P&amp; L compares  with Tally P&amp; L fro data Validation with Quantities</t>
  </si>
  <si>
    <t>11.Output_Trading PL is checking on Trading monthly performance</t>
  </si>
  <si>
    <t>12.Output PAL II- Break up of PAL I Manufacturing Vs Trading</t>
  </si>
  <si>
    <t>13. OUTPUT -YTD reconiiles Finamncial performance of Prodcution Vs Trading in Monofil ament as well as Raw Material Sales and other Trading to see which margein ids better</t>
  </si>
  <si>
    <t>14,15,16,17 OUTPUT from abve sheets for MIS understanding</t>
  </si>
  <si>
    <t>Op Stock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</si>
  <si>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</si>
  <si>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</si>
  <si>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</si>
  <si>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</si>
  <si>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</si>
  <si>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</si>
  <si>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</si>
  <si>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</si>
  <si>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</si>
  <si>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</si>
  <si>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</si>
  <si>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</si>
  <si>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HMT</t>
  </si>
  <si>
    <t>CRK</t>
  </si>
  <si>
    <t>Diff</t>
  </si>
  <si>
    <t>HDPE</t>
  </si>
  <si>
    <t>MB</t>
  </si>
  <si>
    <t>CP</t>
  </si>
  <si>
    <t>RM Total</t>
  </si>
  <si>
    <t>Yarn Factory</t>
  </si>
  <si>
    <t>Yarn Fabrctr</t>
  </si>
  <si>
    <t>Yarn Total</t>
  </si>
  <si>
    <t>Water Content Fabricator</t>
  </si>
  <si>
    <t>Fabric</t>
  </si>
  <si>
    <t>TSN</t>
  </si>
  <si>
    <t>MSN</t>
  </si>
  <si>
    <t>PP Sacks</t>
  </si>
  <si>
    <t>Weed Mat</t>
  </si>
  <si>
    <t>PP Fabric</t>
  </si>
  <si>
    <t>Fabric Total</t>
  </si>
  <si>
    <t>TOTAL</t>
  </si>
  <si>
    <t>SFG/FG</t>
  </si>
  <si>
    <t>Tarka-&gt;</t>
  </si>
  <si>
    <t>PP Fab</t>
  </si>
  <si>
    <t>Particulars</t>
  </si>
  <si>
    <t>Total</t>
  </si>
  <si>
    <t>Finished Goods</t>
  </si>
  <si>
    <t>Outwards Qty</t>
  </si>
  <si>
    <t>Rate</t>
  </si>
  <si>
    <t>Amount</t>
  </si>
  <si>
    <t>MCF</t>
  </si>
  <si>
    <t>WMF</t>
  </si>
  <si>
    <t>MONOFILAMENT FABRIC INSECT BAGS</t>
  </si>
  <si>
    <t>MONOFILAMENT FABRIC INSECT NET</t>
  </si>
  <si>
    <t>MONOFILAMENT FABRIC  HAPPA</t>
  </si>
  <si>
    <t>MCF/WMF</t>
  </si>
  <si>
    <t>NWF/Yarn / Twisted Yarn</t>
  </si>
  <si>
    <t>Othr MF</t>
  </si>
  <si>
    <t>Inc from MF</t>
  </si>
  <si>
    <t>Trading Inc</t>
  </si>
  <si>
    <t>PP Woven Sacks</t>
  </si>
  <si>
    <t>RM Inco</t>
  </si>
  <si>
    <t>ANTI BIRD NET / Rope/MULCH/FIBC</t>
  </si>
  <si>
    <t>Asset Inc</t>
  </si>
  <si>
    <t>Knitted Fabric 8" Red/60" D Green</t>
  </si>
  <si>
    <t>Waste Inc</t>
  </si>
  <si>
    <t xml:space="preserve">Weed Mat </t>
  </si>
  <si>
    <t>Other Inc</t>
  </si>
  <si>
    <t>Flexible Intermediate Bulk Container</t>
  </si>
  <si>
    <t>Packing Materials / Old use Batteries</t>
  </si>
  <si>
    <t>HDPE Monofilament Waste</t>
  </si>
  <si>
    <t>Sale of Asset Etc</t>
  </si>
  <si>
    <t>Colour Pigment</t>
  </si>
  <si>
    <t>Master Batch</t>
  </si>
  <si>
    <t>Grand total:</t>
  </si>
  <si>
    <t>Other Income</t>
  </si>
  <si>
    <t>Sales extract value</t>
  </si>
  <si>
    <t>Sales extract kgs</t>
  </si>
  <si>
    <t>Gross sales</t>
  </si>
  <si>
    <t>tax</t>
  </si>
  <si>
    <t>TCS</t>
  </si>
  <si>
    <t>P/L sales</t>
  </si>
  <si>
    <t>Discount</t>
  </si>
  <si>
    <t>OLD USED EICHER 10.90H. MGV VEHICLE NO.KA02AA6749</t>
  </si>
  <si>
    <t>Credit Note</t>
  </si>
  <si>
    <t>PAL I- FINAL SALES +Less Waste  &amp; Discount</t>
  </si>
  <si>
    <t>RM Purchase for sales</t>
  </si>
  <si>
    <t>Monofil Fabric Sales</t>
  </si>
  <si>
    <t>YTD</t>
  </si>
  <si>
    <t>MB  CP Income</t>
  </si>
  <si>
    <t>Sales From Purchase</t>
  </si>
  <si>
    <t>Sales from Production</t>
  </si>
  <si>
    <t>Trading Sales</t>
  </si>
  <si>
    <t>Opening Stock 01 Apr 25</t>
  </si>
  <si>
    <t>Bank Stock Statement Dec'25</t>
  </si>
  <si>
    <t>RAW MATERIALS:</t>
  </si>
  <si>
    <t>QTY IN KGS.</t>
  </si>
  <si>
    <t>BASIC RATE</t>
  </si>
  <si>
    <t>BASIC VALUE</t>
  </si>
  <si>
    <r>
      <rPr>
        <sz val="11"/>
        <rFont val="Trebuchet MS"/>
        <charset val="134"/>
      </rPr>
      <t>Incr/</t>
    </r>
    <r>
      <rPr>
        <sz val="11"/>
        <color rgb="FFFF0000"/>
        <rFont val="Trebuchet MS"/>
        <charset val="134"/>
      </rPr>
      <t>(Decr)</t>
    </r>
    <r>
      <rPr>
        <sz val="11"/>
        <rFont val="Trebuchet MS"/>
        <charset val="134"/>
      </rPr>
      <t>Stk</t>
    </r>
  </si>
  <si>
    <t>Stk frm Tarka as om 01 Apr(Srp)</t>
  </si>
  <si>
    <t>Physical</t>
  </si>
  <si>
    <t>HDPE Granules</t>
  </si>
  <si>
    <t>Master Batches</t>
  </si>
  <si>
    <t>Colour Pigments</t>
  </si>
  <si>
    <t>Work in Progress</t>
  </si>
  <si>
    <t>HDPE Tape - Factory</t>
  </si>
  <si>
    <t>HDPE Tape - Job Work</t>
  </si>
  <si>
    <t>FINISHED GOODS:</t>
  </si>
  <si>
    <t xml:space="preserve"> </t>
  </si>
  <si>
    <t>HDPE Fishnet Fabrics</t>
  </si>
  <si>
    <t>Monofilament Shade Net -MSN</t>
  </si>
  <si>
    <t>Tape Shade Net-TSN</t>
  </si>
  <si>
    <t>PP Fabric &amp; Sacks</t>
  </si>
  <si>
    <t>Miscellaneous</t>
  </si>
  <si>
    <t>Trading Total</t>
  </si>
  <si>
    <t>S Dr</t>
  </si>
  <si>
    <t>Packing Materials</t>
  </si>
  <si>
    <t>LC &amp; Cr</t>
  </si>
  <si>
    <t>Seconds</t>
  </si>
  <si>
    <t>Grand Total</t>
  </si>
  <si>
    <t>Diff in SFG/FG</t>
  </si>
  <si>
    <t>Month</t>
  </si>
  <si>
    <t>Monofil</t>
  </si>
  <si>
    <t>Trading</t>
  </si>
  <si>
    <t>SFG RM (FIFO)</t>
  </si>
  <si>
    <t>Bank Cl Stk Value</t>
  </si>
  <si>
    <t>FG RM (FIFO)</t>
  </si>
  <si>
    <t>YARN</t>
  </si>
  <si>
    <t>Rm</t>
  </si>
  <si>
    <t>Costing Report</t>
  </si>
  <si>
    <t>SFG</t>
  </si>
  <si>
    <t>CSV Report</t>
  </si>
  <si>
    <t>FG</t>
  </si>
  <si>
    <t>FABRIC</t>
  </si>
  <si>
    <t>Manufacturing SFG/FG</t>
  </si>
  <si>
    <t>Trading SFG/FG</t>
  </si>
  <si>
    <t>MONTH</t>
  </si>
  <si>
    <t>Kgs</t>
  </si>
  <si>
    <t>Value</t>
  </si>
  <si>
    <t>HD -Discount</t>
  </si>
  <si>
    <t>RM -Disc</t>
  </si>
  <si>
    <t>APRIL</t>
  </si>
  <si>
    <t>MAY</t>
  </si>
  <si>
    <t>JUNE</t>
  </si>
  <si>
    <t>JULY</t>
  </si>
  <si>
    <t>AUGUST</t>
  </si>
  <si>
    <t>SEPT</t>
  </si>
  <si>
    <t>OCT</t>
  </si>
  <si>
    <t>NOV</t>
  </si>
  <si>
    <t>DEC</t>
  </si>
  <si>
    <t>JAN</t>
  </si>
  <si>
    <t>FEB</t>
  </si>
  <si>
    <t>MARCH</t>
  </si>
  <si>
    <t>Misc Monofil Purchases</t>
  </si>
  <si>
    <t>Sravya</t>
  </si>
  <si>
    <t>Other Purchases</t>
  </si>
  <si>
    <t>Consumables</t>
  </si>
  <si>
    <t>Monofil Fabric Purchase</t>
  </si>
  <si>
    <t>Yarn Purchase</t>
  </si>
  <si>
    <t>Mono Fabric Pur</t>
  </si>
  <si>
    <t>PPS</t>
  </si>
  <si>
    <t>Misc</t>
  </si>
  <si>
    <t>TOTAL TRADING PURCHASES</t>
  </si>
  <si>
    <t>Group Summary</t>
  </si>
  <si>
    <t>Average</t>
  </si>
  <si>
    <t>Sale</t>
  </si>
  <si>
    <t>Manufacturing Expenses</t>
  </si>
  <si>
    <t>VARIABLE &amp; DIRECT EXPNS</t>
  </si>
  <si>
    <t>Avg</t>
  </si>
  <si>
    <t>Employees Remunaration &amp; Benefits</t>
  </si>
  <si>
    <t>Wages-Fabric</t>
  </si>
  <si>
    <t>Cooli &amp; Cartage</t>
  </si>
  <si>
    <t>Wages-Inspection &amp; Dispatch</t>
  </si>
  <si>
    <t>Depreciation</t>
  </si>
  <si>
    <t>Fabrication charges</t>
  </si>
  <si>
    <t>Fabrication Charges - B-Lore.</t>
  </si>
  <si>
    <t>Wages-Yarn</t>
  </si>
  <si>
    <t>Fabrication Charges-M/H &amp; TN</t>
  </si>
  <si>
    <t>Yarn Processing charges</t>
  </si>
  <si>
    <t>Factory Repairs &amp; Maintanance</t>
  </si>
  <si>
    <t>Freight Inward</t>
  </si>
  <si>
    <t>Forwarding Charges Paid</t>
  </si>
  <si>
    <t>Power Bill</t>
  </si>
  <si>
    <t>Freight Inwards</t>
  </si>
  <si>
    <t>R &amp; M-Machinery</t>
  </si>
  <si>
    <t>Insurance on Assets</t>
  </si>
  <si>
    <t>R &amp; M-Electricals</t>
  </si>
  <si>
    <t>ITC Reversal 2018-19</t>
  </si>
  <si>
    <t>Rent</t>
  </si>
  <si>
    <t>`</t>
  </si>
  <si>
    <t>Medical Exps</t>
  </si>
  <si>
    <t>Packing charges</t>
  </si>
  <si>
    <t>Packing Materials (Consumables)</t>
  </si>
  <si>
    <t>Electricity &amp; power</t>
  </si>
  <si>
    <t>Processing Charges</t>
  </si>
  <si>
    <r>
      <rPr>
        <sz val="11"/>
        <color rgb="FF000000"/>
        <rFont val="Nimbus Roman No9 L"/>
        <charset val="134"/>
      </rPr>
      <t>Working</t>
    </r>
    <r>
      <rPr>
        <sz val="11"/>
        <color rgb="FF000000"/>
        <rFont val="Comic Sans MS"/>
        <charset val="134"/>
      </rPr>
      <t xml:space="preserve"> </t>
    </r>
    <r>
      <rPr>
        <sz val="11"/>
        <color rgb="FF000000"/>
        <rFont val="Nimbus Roman No9 L"/>
        <charset val="134"/>
      </rPr>
      <t>Capital-Bank</t>
    </r>
    <r>
      <rPr>
        <sz val="11"/>
        <color rgb="FF000000"/>
        <rFont val="Comic Sans MS"/>
        <charset val="134"/>
      </rPr>
      <t xml:space="preserve"> </t>
    </r>
    <r>
      <rPr>
        <sz val="11"/>
        <color rgb="FF000000"/>
        <rFont val="Nimbus Roman No9 L"/>
        <charset val="134"/>
      </rPr>
      <t>Charges</t>
    </r>
  </si>
  <si>
    <r>
      <rPr>
        <sz val="11"/>
        <color rgb="FF000000"/>
        <rFont val="Nimbus Roman No9 L"/>
        <charset val="134"/>
      </rPr>
      <t>Working</t>
    </r>
    <r>
      <rPr>
        <sz val="11"/>
        <color rgb="FF000000"/>
        <rFont val="Comic Sans MS"/>
        <charset val="134"/>
      </rPr>
      <t xml:space="preserve"> </t>
    </r>
    <r>
      <rPr>
        <sz val="11"/>
        <color rgb="FF000000"/>
        <rFont val="Nimbus Roman No9 L"/>
        <charset val="134"/>
      </rPr>
      <t>Capital-LC</t>
    </r>
  </si>
  <si>
    <t>Repair &amp; Maintenance AMC</t>
  </si>
  <si>
    <r>
      <rPr>
        <sz val="11"/>
        <color rgb="FF000000"/>
        <rFont val="Nimbus Roman No9 L"/>
        <charset val="134"/>
      </rPr>
      <t>Working</t>
    </r>
    <r>
      <rPr>
        <sz val="11"/>
        <color rgb="FF000000"/>
        <rFont val="Comic Sans MS"/>
        <charset val="134"/>
      </rPr>
      <t xml:space="preserve"> </t>
    </r>
    <r>
      <rPr>
        <sz val="11"/>
        <color rgb="FF000000"/>
        <rFont val="Nimbus Roman No9 L"/>
        <charset val="134"/>
      </rPr>
      <t>Capital-OCC</t>
    </r>
  </si>
  <si>
    <t>Yarn Processing Charges</t>
  </si>
  <si>
    <t>Less Fabrn</t>
  </si>
  <si>
    <t>FIXED EXPNS</t>
  </si>
  <si>
    <t>Manufacturing</t>
  </si>
  <si>
    <t>Employees welfare exp</t>
  </si>
  <si>
    <t>ITC Reversed</t>
  </si>
  <si>
    <t>Salaries Office</t>
  </si>
  <si>
    <t>In House Fabrn</t>
  </si>
  <si>
    <t>Directors Remuneration</t>
  </si>
  <si>
    <t>Fabrn</t>
  </si>
  <si>
    <t>Direct Expns</t>
  </si>
  <si>
    <t>Admn Expns</t>
  </si>
  <si>
    <t>Deprn</t>
  </si>
  <si>
    <t>Selling Expns</t>
  </si>
  <si>
    <t>Finance Cost-Int On Term Loan</t>
  </si>
  <si>
    <t>Finance Cost-Int On Deposits</t>
  </si>
  <si>
    <t>In House Qty</t>
  </si>
  <si>
    <t>Total Expns</t>
  </si>
  <si>
    <t>Fabricators Qty</t>
  </si>
  <si>
    <t>Tally Total-PAL1</t>
  </si>
  <si>
    <t>Yarn Processing Qty (In &amp; Out)</t>
  </si>
  <si>
    <t>Indirect</t>
  </si>
  <si>
    <t>Wages</t>
  </si>
  <si>
    <t>P/L</t>
  </si>
  <si>
    <t>Direct From Above</t>
  </si>
  <si>
    <t>Indirect form Above</t>
  </si>
  <si>
    <t>Direct</t>
  </si>
  <si>
    <t>Variable-Yarn Cost</t>
  </si>
  <si>
    <t>Variable-Fabric Cost</t>
  </si>
  <si>
    <t>Variable-Trading</t>
  </si>
  <si>
    <t>Variable-Finance</t>
  </si>
  <si>
    <t>Fixed Cost</t>
  </si>
  <si>
    <t>Fixed  Expns Break up</t>
  </si>
  <si>
    <t>Salaries</t>
  </si>
  <si>
    <t>Admn</t>
  </si>
  <si>
    <t>Selling</t>
  </si>
  <si>
    <t>Deprnn</t>
  </si>
  <si>
    <t>Interest</t>
  </si>
  <si>
    <t>Financial Expns</t>
  </si>
  <si>
    <t>Indirect Expenses</t>
  </si>
  <si>
    <t>Sales T/o</t>
  </si>
  <si>
    <t>Administrative Expenses</t>
  </si>
  <si>
    <t>Vehicle Four Wheelers Expenses</t>
  </si>
  <si>
    <t>Installation &amp; Programming Charges</t>
  </si>
  <si>
    <t>Arrears of Tax</t>
  </si>
  <si>
    <t>Audit Fees</t>
  </si>
  <si>
    <t>Books &amp; Periodical</t>
  </si>
  <si>
    <t>Building Repair &amp; Maintence Exp</t>
  </si>
  <si>
    <t>Computer Stores &amp; Maint.</t>
  </si>
  <si>
    <t>Conveyance Charges</t>
  </si>
  <si>
    <t xml:space="preserve">      Contract/Consultancy Service Chrgs 18%</t>
  </si>
  <si>
    <t>Donation</t>
  </si>
  <si>
    <t>General Expenses</t>
  </si>
  <si>
    <t>General Repairs &amp; Maintanance</t>
  </si>
  <si>
    <t>Audit Fees GST</t>
  </si>
  <si>
    <t>Income Tax Exps</t>
  </si>
  <si>
    <t>Medical Expenses</t>
  </si>
  <si>
    <t>Mediclaim Exps</t>
  </si>
  <si>
    <t>Office Maintenance</t>
  </si>
  <si>
    <t>Pooja Expenses</t>
  </si>
  <si>
    <t>Postage,Tel, Telex Charges</t>
  </si>
  <si>
    <t>Printing &amp; Stationary</t>
  </si>
  <si>
    <t>Professional Charges</t>
  </si>
  <si>
    <t>Professional Consultation Charges</t>
  </si>
  <si>
    <t>Rates &amp; Taxes</t>
  </si>
  <si>
    <t>Registration &amp; Renewal</t>
  </si>
  <si>
    <t>Repairs &amp; Service Charges</t>
  </si>
  <si>
    <t xml:space="preserve"> Freight charges</t>
  </si>
  <si>
    <t>Round Off (+-)</t>
  </si>
  <si>
    <t>Seminar, Training, Dvpt. Exp.</t>
  </si>
  <si>
    <t xml:space="preserve">  </t>
  </si>
  <si>
    <t>Software maintenance</t>
  </si>
  <si>
    <t>RCM Freight paid</t>
  </si>
  <si>
    <t>Subscription &amp; Membership</t>
  </si>
  <si>
    <t>TDS - Interest on TDS</t>
  </si>
  <si>
    <t>Telephone Charges-Airtel</t>
  </si>
  <si>
    <t>Telephone Charges-BSNL</t>
  </si>
  <si>
    <t>Fluctuation In Foreign Currency</t>
  </si>
  <si>
    <t xml:space="preserve">       VEHICLE MAINTENANCE</t>
  </si>
  <si>
    <t>Watch &amp; Ward</t>
  </si>
  <si>
    <t>Financial Expenses</t>
  </si>
  <si>
    <t>Bank Charges</t>
  </si>
  <si>
    <t>Interest &amp; Bank Charges -ILC</t>
  </si>
  <si>
    <t>Interest on Unsecured Loans (Monthly)</t>
  </si>
  <si>
    <t>Interest on Car Loans</t>
  </si>
  <si>
    <t>Interest on O.C.C</t>
  </si>
  <si>
    <t>Interest on PNB Housing Finance</t>
  </si>
  <si>
    <t>Interest On Term Loan</t>
  </si>
  <si>
    <t>Loan Processing charges</t>
  </si>
  <si>
    <t>Interest to others (VSL)</t>
  </si>
  <si>
    <t>Interest to Depositors</t>
  </si>
  <si>
    <t>Selling Expenses</t>
  </si>
  <si>
    <t>Advertisement</t>
  </si>
  <si>
    <t>Lab Testing Charges</t>
  </si>
  <si>
    <t>Commission on sales</t>
  </si>
  <si>
    <t>Debit Balances Written Off</t>
  </si>
  <si>
    <t>Freight Outwards/Ocean Freight</t>
  </si>
  <si>
    <t>Gift Articles</t>
  </si>
  <si>
    <t>Marketing Expenses</t>
  </si>
  <si>
    <t>Sales Promotion</t>
  </si>
  <si>
    <t>Transportation charges</t>
  </si>
  <si>
    <t>Travelling Expenses</t>
  </si>
  <si>
    <t xml:space="preserve">Discount Allowed </t>
  </si>
  <si>
    <t>Indirect W/o Fin</t>
  </si>
  <si>
    <t>W Cap Int</t>
  </si>
  <si>
    <t>Term Loan</t>
  </si>
  <si>
    <t>COVID LOAN Int</t>
  </si>
  <si>
    <t>Int On Others</t>
  </si>
  <si>
    <t>FIN Cost</t>
  </si>
  <si>
    <t>Indirect COST</t>
  </si>
  <si>
    <t>Quantitative Analysis of Raw Materials for the Financial Year 2025-26</t>
  </si>
  <si>
    <t>Srp</t>
  </si>
  <si>
    <t>Opening Stock</t>
  </si>
  <si>
    <t>Add:- Purchases</t>
  </si>
  <si>
    <t>Add:- Consumables</t>
  </si>
  <si>
    <t>Less:- Purchase return</t>
  </si>
  <si>
    <t>Less :- Sales</t>
  </si>
  <si>
    <t>Closing Stock</t>
  </si>
  <si>
    <t>Consumption HDPE</t>
  </si>
  <si>
    <t>Add:- Job Work Rcpts</t>
  </si>
  <si>
    <t>Consumption MB</t>
  </si>
  <si>
    <t>Consumption CP</t>
  </si>
  <si>
    <t>RM CONSUMPTION</t>
  </si>
  <si>
    <t>Consumption RM</t>
  </si>
  <si>
    <t>COGS -HD</t>
  </si>
  <si>
    <t>COGS- MB/CP</t>
  </si>
  <si>
    <t>Monofil Purchases</t>
  </si>
  <si>
    <t>Add:- Purchases Yarn</t>
  </si>
  <si>
    <t>Porchase Others</t>
  </si>
  <si>
    <t>Purchase Fabric</t>
  </si>
  <si>
    <t>Purchase Consumables</t>
  </si>
  <si>
    <t>Total Purchases</t>
  </si>
  <si>
    <t>Consumption Monofil</t>
  </si>
  <si>
    <t>MONOFIL CONSUMPTION</t>
  </si>
  <si>
    <t>Trading Consumption</t>
  </si>
  <si>
    <t>Consumption Trading</t>
  </si>
  <si>
    <t>Total CONSUMPTION Priyafil</t>
  </si>
  <si>
    <t>Add:- Purchases HD</t>
  </si>
  <si>
    <t>Add:- Purchases MB</t>
  </si>
  <si>
    <t>Add:- Purchases CP</t>
  </si>
  <si>
    <t>Add:- Purchases Monofil Yarn</t>
  </si>
  <si>
    <t>Add:- Purchases Monofil Fab</t>
  </si>
  <si>
    <t>Add:- Purchase Trading</t>
  </si>
  <si>
    <t>Less :- RM Sales</t>
  </si>
  <si>
    <t>Total Consmpn  Priyafil</t>
  </si>
  <si>
    <t>MONOFIL SFG &amp; FG</t>
  </si>
  <si>
    <t>SFG-Yarn</t>
  </si>
  <si>
    <t>FG-Fabric</t>
  </si>
  <si>
    <t>Purchases</t>
  </si>
  <si>
    <t>Difference in Stocks</t>
  </si>
  <si>
    <t>Cl Stock</t>
  </si>
  <si>
    <t>Difference in stocks</t>
  </si>
  <si>
    <t>Total Diff in Stocks</t>
  </si>
  <si>
    <t>FIFO Sheet-&gt;</t>
  </si>
  <si>
    <t>OP Stock</t>
  </si>
  <si>
    <t>Purchase</t>
  </si>
  <si>
    <t>Purchase MonoFil</t>
  </si>
  <si>
    <t>Sales RM</t>
  </si>
  <si>
    <t>Consumption</t>
  </si>
  <si>
    <t>PAL II</t>
  </si>
  <si>
    <t xml:space="preserve">Trading </t>
  </si>
  <si>
    <t>Expns/Ssalary/P&amp;L</t>
  </si>
  <si>
    <t>Apr 25-Mar 26</t>
  </si>
  <si>
    <t>Tally (Apr 24</t>
  </si>
  <si>
    <t>Qty</t>
  </si>
  <si>
    <t>EBS</t>
  </si>
  <si>
    <t>Op Stk</t>
  </si>
  <si>
    <t>Purchase-RM</t>
  </si>
  <si>
    <t>Purchase-Trading</t>
  </si>
  <si>
    <t>Agro Tech Fab-Apr'25 treated Tarding in tally-Rope UVS</t>
  </si>
  <si>
    <t>Purchase Yarn</t>
  </si>
  <si>
    <t>Purchase-Fabric+ Cons</t>
  </si>
  <si>
    <t>Cl Stk</t>
  </si>
  <si>
    <t>Sales</t>
  </si>
  <si>
    <t>Waste</t>
  </si>
  <si>
    <t>GST Refund</t>
  </si>
  <si>
    <t>Othr Inc</t>
  </si>
  <si>
    <t>GST Reversed</t>
  </si>
  <si>
    <t>Fabrication</t>
  </si>
  <si>
    <t>Direct Cost</t>
  </si>
  <si>
    <t>Deprecition</t>
  </si>
  <si>
    <t>Indirect Expns</t>
  </si>
  <si>
    <t>Qtrly Int.</t>
  </si>
  <si>
    <t>Profit (A)</t>
  </si>
  <si>
    <t>NETT PROFIT</t>
  </si>
  <si>
    <t>Fabrication Cost</t>
  </si>
  <si>
    <t>Gross Profit</t>
  </si>
  <si>
    <t>Nett Profit</t>
  </si>
  <si>
    <t>Avg Wcap</t>
  </si>
  <si>
    <t>STR</t>
  </si>
  <si>
    <t>Working Profit</t>
  </si>
  <si>
    <t>Closing Stk GST 5%</t>
  </si>
  <si>
    <t>Opening Stock GST</t>
  </si>
  <si>
    <t>Consumption -Trading</t>
  </si>
  <si>
    <t>Rm Consumption</t>
  </si>
  <si>
    <t>Monofil Consumption</t>
  </si>
  <si>
    <t>Sales Monofil From Production</t>
  </si>
  <si>
    <t>Sales Monofil from Trading Yarn</t>
  </si>
  <si>
    <t>Sales Monofil from Trading Fabric</t>
  </si>
  <si>
    <t>Sales Trading Others</t>
  </si>
  <si>
    <t>TOTAL SALES-&gt;</t>
  </si>
  <si>
    <t>PAL I-&gt;</t>
  </si>
  <si>
    <t>Apr-Mar</t>
  </si>
  <si>
    <t>Op stock RM</t>
  </si>
  <si>
    <t>Purchase RM</t>
  </si>
  <si>
    <t>Cl Stock RM</t>
  </si>
  <si>
    <t>RM Consumption Cost</t>
  </si>
  <si>
    <t>Monofil Purchase Yarn</t>
  </si>
  <si>
    <t>Monofil Purchase Fabric</t>
  </si>
  <si>
    <t>Trading Purchase</t>
  </si>
  <si>
    <t>PFCo  Consumption</t>
  </si>
  <si>
    <t>Stock Difference Monofil</t>
  </si>
  <si>
    <t>Stock DifferenceTrading</t>
  </si>
  <si>
    <t>Total Stock Difference</t>
  </si>
  <si>
    <t>Total Consumption</t>
  </si>
  <si>
    <t>PAL I Consumption</t>
  </si>
  <si>
    <t>Total Variable</t>
  </si>
  <si>
    <t>Total Expns Tally</t>
  </si>
  <si>
    <t>Interest USL</t>
  </si>
  <si>
    <t>Waste Income</t>
  </si>
  <si>
    <t>Gross Profit from PAL I</t>
  </si>
  <si>
    <t>NET Profit From PAL I-&gt;</t>
  </si>
  <si>
    <t>NET PROFIT From Above-&gt;</t>
  </si>
  <si>
    <t>t</t>
  </si>
  <si>
    <t>COGS Monofil</t>
  </si>
  <si>
    <t>COGS Misc Trading</t>
  </si>
  <si>
    <t>Generation</t>
  </si>
  <si>
    <t>From Monofil Production</t>
  </si>
  <si>
    <t>From Monofil Trading Fabric</t>
  </si>
  <si>
    <t>MONOFIL TOTAL</t>
  </si>
  <si>
    <t>From RM  Sales</t>
  </si>
  <si>
    <t>From Misc Trading</t>
  </si>
  <si>
    <t>From Other Income</t>
  </si>
  <si>
    <t>Operating Expns  Sal/Adm/Sell</t>
  </si>
  <si>
    <t>Operating Profit/EBIT</t>
  </si>
  <si>
    <t>EBITDA</t>
  </si>
  <si>
    <t>Finance Cost</t>
  </si>
  <si>
    <t>PAL I</t>
  </si>
  <si>
    <t>Balance Sheet</t>
  </si>
  <si>
    <t>Apr- Mar</t>
  </si>
  <si>
    <t>Apr- Feb</t>
  </si>
  <si>
    <t>Sources of Funds:</t>
  </si>
  <si>
    <t/>
  </si>
  <si>
    <t>Capital Account</t>
  </si>
  <si>
    <t>Directors/Shareholders Deposit</t>
  </si>
  <si>
    <t>Share Application Money (P.A)</t>
  </si>
  <si>
    <t>Share Capital</t>
  </si>
  <si>
    <t>Reserves &amp; Surplus</t>
  </si>
  <si>
    <t>Loans (Liability)</t>
  </si>
  <si>
    <t>Bank OD A/c</t>
  </si>
  <si>
    <t>Secured Loans</t>
  </si>
  <si>
    <t>Unsecured Loans From Share Holders</t>
  </si>
  <si>
    <t>Canara Bank ILC A/c</t>
  </si>
  <si>
    <t>ICICI Bank ILC A/c</t>
  </si>
  <si>
    <t>Term Loans</t>
  </si>
  <si>
    <t>Current Liabilities</t>
  </si>
  <si>
    <t>Deferred Tax Liability</t>
  </si>
  <si>
    <t>Statutory Liabilities</t>
  </si>
  <si>
    <t>Duties &amp; Taxes</t>
  </si>
  <si>
    <t>Outstanding Expenses</t>
  </si>
  <si>
    <t>Sundry Creditors</t>
  </si>
  <si>
    <t>Advance &amp; Deposits  (Liabilities)</t>
  </si>
  <si>
    <t>Loans &amp; Advances (Liabilities)</t>
  </si>
  <si>
    <t>Profit &amp; Loss A/c</t>
  </si>
  <si>
    <t>Opening Balance</t>
  </si>
  <si>
    <t>Current Period</t>
  </si>
  <si>
    <t>Application of Funds:</t>
  </si>
  <si>
    <t>Fixed Assets</t>
  </si>
  <si>
    <t>Motor Vehicles</t>
  </si>
  <si>
    <t>Intangible Assets</t>
  </si>
  <si>
    <t>Office Equipments</t>
  </si>
  <si>
    <t>Plant &amp; Machinery</t>
  </si>
  <si>
    <t>Depreciation - Reserve</t>
  </si>
  <si>
    <t>Electrical &amp; Electrical Fittings</t>
  </si>
  <si>
    <t>Furniture &amp; Fixtures</t>
  </si>
  <si>
    <t>Investments</t>
  </si>
  <si>
    <t>Deferred Tax Assets</t>
  </si>
  <si>
    <t>Current Assets</t>
  </si>
  <si>
    <t>Loans &amp; Advances</t>
  </si>
  <si>
    <t>Deposits (Asset)</t>
  </si>
  <si>
    <t>Loans &amp; Advances (Asset)</t>
  </si>
  <si>
    <t>Sundry Debtors</t>
  </si>
  <si>
    <t>Cash-in-hand</t>
  </si>
  <si>
    <t>Bank Accounts</t>
  </si>
  <si>
    <t>GST Receivable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</si>
  <si>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</si>
  <si>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</si>
  <si>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</si>
  <si>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</si>
  <si>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</si>
  <si>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</si>
  <si>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</si>
  <si>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</si>
  <si>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</si>
  <si>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</si>
  <si>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</si>
  <si>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</si>
  <si>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25  to Mar 26</t>
  </si>
  <si>
    <t>Trading Account:</t>
  </si>
  <si>
    <t>Sales Accounts</t>
  </si>
  <si>
    <t>F N F Sales</t>
  </si>
  <si>
    <t>INTERSTATE SALES</t>
  </si>
  <si>
    <t>LOCAL SALES</t>
  </si>
  <si>
    <t>M C F Sales</t>
  </si>
  <si>
    <t>Other Sales</t>
  </si>
  <si>
    <t>Sales Trading</t>
  </si>
  <si>
    <t>Discount Allowed</t>
  </si>
  <si>
    <t>Interstate Sales</t>
  </si>
  <si>
    <t>Intra State Sales</t>
  </si>
  <si>
    <t>Direct Incomes</t>
  </si>
  <si>
    <t>Freight Charges Collected</t>
  </si>
  <si>
    <t>Cost of Sales :</t>
  </si>
  <si>
    <t>Add: Purchase Accounts</t>
  </si>
  <si>
    <t>Less: Closing Stock</t>
  </si>
  <si>
    <t>Direct Expenses</t>
  </si>
  <si>
    <t>Reversal ITC EXPS (GST)</t>
  </si>
  <si>
    <t>Gross Profit :</t>
  </si>
  <si>
    <t>Income Statement:</t>
  </si>
  <si>
    <t>Indirect Incomes</t>
  </si>
  <si>
    <t>Credit Balances Written Off</t>
  </si>
  <si>
    <t>Interest Earned From Canara FD</t>
  </si>
  <si>
    <t>Interest Earned From ICICI FD</t>
  </si>
  <si>
    <t>Interest On Income Tax</t>
  </si>
  <si>
    <t>Extra-Ordinary Items</t>
  </si>
  <si>
    <t>Income Tax Expenses</t>
  </si>
  <si>
    <t>Deferred Tax</t>
  </si>
  <si>
    <t>Trade Discount Allowed (Non-GST)</t>
  </si>
  <si>
    <t>Nett Profit:</t>
  </si>
  <si>
    <t>Operating Profit (EBITDA)</t>
  </si>
  <si>
    <t>RM Op Stock</t>
  </si>
  <si>
    <t>RM Purchases</t>
  </si>
  <si>
    <t>RM Cl Stock</t>
  </si>
  <si>
    <t>A-&gt;</t>
  </si>
  <si>
    <r>
      <rPr>
        <i/>
        <sz val="9"/>
        <color theme="1"/>
        <rFont val="Arial"/>
        <charset val="134"/>
      </rPr>
      <t xml:space="preserve">MF Purchases   Yarn                       </t>
    </r>
    <r>
      <rPr>
        <b/>
        <i/>
        <sz val="9"/>
        <color theme="1"/>
        <rFont val="Arial"/>
        <charset val="134"/>
      </rPr>
      <t xml:space="preserve">  B-&gt;</t>
    </r>
  </si>
  <si>
    <r>
      <rPr>
        <i/>
        <sz val="9"/>
        <color theme="1"/>
        <rFont val="Arial"/>
        <charset val="134"/>
      </rPr>
      <t xml:space="preserve">MF Pur Fabric &amp; Consumables      </t>
    </r>
    <r>
      <rPr>
        <b/>
        <i/>
        <sz val="9"/>
        <color theme="1"/>
        <rFont val="Arial"/>
        <charset val="134"/>
      </rPr>
      <t>C-&gt;</t>
    </r>
  </si>
  <si>
    <t>MonofilSFG/FG Op Stock</t>
  </si>
  <si>
    <t>Monofil SFG/FG/ CL stock</t>
  </si>
  <si>
    <t xml:space="preserve">  Difference In Stocks Monofil</t>
  </si>
  <si>
    <t>Monfofil Consumption(A+B)</t>
  </si>
  <si>
    <t>Trading Op Stock</t>
  </si>
  <si>
    <t>Trading Purchases</t>
  </si>
  <si>
    <t>Trading Cl Stock</t>
  </si>
  <si>
    <t>Trading Consumption- C</t>
  </si>
  <si>
    <t>Trdg (OS-CS)</t>
  </si>
  <si>
    <t>Consumption For P&amp; L(Row 22)</t>
  </si>
  <si>
    <t xml:space="preserve">  RM For Sale  Consumption</t>
  </si>
  <si>
    <t xml:space="preserve">  Monofil Purchase &amp; Consumed</t>
  </si>
  <si>
    <t xml:space="preserve">     Trading Consumption</t>
  </si>
  <si>
    <t>RM Consumed  by Manufacture</t>
  </si>
  <si>
    <t>Difference in WIP Stck Only</t>
  </si>
  <si>
    <t>TOTAL CONSUMPTION</t>
  </si>
  <si>
    <t>MonoFil Sales</t>
  </si>
  <si>
    <t>RM Sales</t>
  </si>
  <si>
    <t>From Top</t>
  </si>
  <si>
    <t>Expenses from Above</t>
  </si>
  <si>
    <t>Expns Breakdown</t>
  </si>
  <si>
    <t>Cash Flow Summary Month Wise FY25-26</t>
  </si>
  <si>
    <t>Inflow of Cash :</t>
  </si>
  <si>
    <t>Outflow of Cash :</t>
  </si>
  <si>
    <t>Vehicle Loan</t>
  </si>
  <si>
    <t>Nett Inflow</t>
  </si>
  <si>
    <t>Operating Inflow</t>
  </si>
  <si>
    <t>Operating Outflow</t>
  </si>
  <si>
    <t>Financing Inflow</t>
  </si>
  <si>
    <t>Financing Outflow</t>
  </si>
  <si>
    <t>Investing Inflow</t>
  </si>
  <si>
    <t>Investing Outflow</t>
  </si>
  <si>
    <t>Funds Flow Statement</t>
  </si>
  <si>
    <t>Share Value</t>
  </si>
  <si>
    <t>Capital</t>
  </si>
  <si>
    <t>No of Shares</t>
  </si>
  <si>
    <t>Shares</t>
  </si>
  <si>
    <t>Deposit</t>
  </si>
  <si>
    <t>Dep</t>
  </si>
  <si>
    <t>Int</t>
  </si>
  <si>
    <t>Reserves</t>
  </si>
  <si>
    <t>USL Others</t>
  </si>
  <si>
    <t>VRP</t>
  </si>
  <si>
    <t>Prabhudham</t>
  </si>
  <si>
    <t>SRP</t>
  </si>
  <si>
    <t>Brezza</t>
  </si>
  <si>
    <t>Our Funds</t>
  </si>
  <si>
    <t xml:space="preserve"> Cap + Reserve</t>
  </si>
  <si>
    <t>KDK</t>
  </si>
  <si>
    <t>KRK</t>
  </si>
  <si>
    <t>Months</t>
  </si>
  <si>
    <t>Total Funds Employed</t>
  </si>
  <si>
    <t>Liabilities</t>
  </si>
  <si>
    <t>Balance</t>
  </si>
  <si>
    <t>FY 25-26          P &amp; L</t>
  </si>
  <si>
    <t>FY25-26</t>
  </si>
  <si>
    <t>Actuals Left Over Promoters Funds</t>
  </si>
  <si>
    <t>PUP</t>
  </si>
  <si>
    <t>Bank</t>
  </si>
  <si>
    <t>Other</t>
  </si>
  <si>
    <t>Depositors</t>
  </si>
  <si>
    <t>Settlement</t>
  </si>
  <si>
    <t>OOB</t>
  </si>
  <si>
    <t>Cumulative</t>
  </si>
  <si>
    <t>OTHERS</t>
  </si>
  <si>
    <t>Emp Liability</t>
  </si>
  <si>
    <t>Acturial</t>
  </si>
  <si>
    <t>Priyafil</t>
  </si>
  <si>
    <t>FY 23-24</t>
  </si>
  <si>
    <t>KPB</t>
  </si>
  <si>
    <t>Gratuity</t>
  </si>
  <si>
    <t>As on 160425</t>
  </si>
  <si>
    <t>RRG</t>
  </si>
  <si>
    <t>Leave</t>
  </si>
  <si>
    <t>VRG</t>
  </si>
  <si>
    <t>CANHSBC</t>
  </si>
  <si>
    <t>To be updated</t>
  </si>
  <si>
    <t>Net Liab</t>
  </si>
  <si>
    <t>R/o</t>
  </si>
  <si>
    <t>Insurance</t>
  </si>
  <si>
    <t>l</t>
  </si>
  <si>
    <t>2025-26</t>
  </si>
  <si>
    <t>Profitability</t>
  </si>
  <si>
    <t>Revenue Growth</t>
  </si>
  <si>
    <t>(PFM-CFM)/PFM</t>
  </si>
  <si>
    <t>Previous Fin Year-PFY, Current Fin Year-CFY</t>
  </si>
  <si>
    <t>Gross Margin</t>
  </si>
  <si>
    <t>GP/Sales</t>
  </si>
  <si>
    <t>Gross Profit/Sales Revenue</t>
  </si>
  <si>
    <t>GP-OPExpns+ Deprn</t>
  </si>
  <si>
    <t>OP Expne=Overheads, Deprn=Depreciation</t>
  </si>
  <si>
    <t>Net Margin</t>
  </si>
  <si>
    <t>EBITDA-Fin Expns &amp; Deprn</t>
  </si>
  <si>
    <t>Fin Expns (Int on Work. Cap &amp; Long term Borrowings)</t>
  </si>
  <si>
    <t>Liquidity</t>
  </si>
  <si>
    <t>CCC</t>
  </si>
  <si>
    <t>Cash Conversion Cycle</t>
  </si>
  <si>
    <t>DIO+DSO-DPO</t>
  </si>
  <si>
    <t>DIO</t>
  </si>
  <si>
    <t>Days Inventory Outstanding</t>
  </si>
  <si>
    <t>((Op Inventory + Closing Inventor)/2)/COGS X Days</t>
  </si>
  <si>
    <t>DSO</t>
  </si>
  <si>
    <t>Days sales Outstanding</t>
  </si>
  <si>
    <t>Sundry Debtors/Total Sales X Days</t>
  </si>
  <si>
    <t>DPO</t>
  </si>
  <si>
    <t>Days Payable Outstanding</t>
  </si>
  <si>
    <t>Sundry Creditors/Total Sales X Days</t>
  </si>
  <si>
    <t>Current Ratio</t>
  </si>
  <si>
    <t>Current Assets-Current Liabilty</t>
  </si>
  <si>
    <t>&gt; 1 Healthy,&lt;1 Liquidity Issues</t>
  </si>
  <si>
    <t>Quick Ratio</t>
  </si>
  <si>
    <t>Quick Assets-Current Liability</t>
  </si>
  <si>
    <t>Current Asset-Invenotry/ Current Liabilities</t>
  </si>
  <si>
    <t>Leverage</t>
  </si>
  <si>
    <t>Debt Equity</t>
  </si>
  <si>
    <t>Total Debt/Shareholders Equity</t>
  </si>
  <si>
    <t>&lt; 1 Acceptable,&gt;1 High Leverage,Potential risk</t>
  </si>
  <si>
    <t>Debt Coverage</t>
  </si>
  <si>
    <t>EBITDA/(Total Debt+Int)</t>
  </si>
  <si>
    <t>&gt; 1 indicates Sufficient Income,&lt;1 Potential difficulties</t>
  </si>
  <si>
    <t>Interest Coverage</t>
  </si>
  <si>
    <t>EBITDA/Interest</t>
  </si>
  <si>
    <t>&gt;1.5 =Healthy, &lt;1=Challenges</t>
  </si>
  <si>
    <t>Market Metrics</t>
  </si>
  <si>
    <t>EPS</t>
  </si>
  <si>
    <t>Net Income/Shares</t>
  </si>
  <si>
    <t>To Know Profitability &amp; Growth</t>
  </si>
  <si>
    <t>PE Ratio</t>
  </si>
  <si>
    <t>Share Price/EPS</t>
  </si>
  <si>
    <t>High PE -Healthy,Low PE -Undervaluation Or Low Growth</t>
  </si>
  <si>
    <t>EV</t>
  </si>
  <si>
    <t>Enterprise Value</t>
  </si>
  <si>
    <t>Market CAP+Debt - Cash</t>
  </si>
  <si>
    <t>Days</t>
  </si>
  <si>
    <t>Total Assets</t>
  </si>
  <si>
    <t>Mar 25 Rev</t>
  </si>
  <si>
    <t>Last Qtr FY24-25</t>
  </si>
  <si>
    <t>FY 24-25</t>
  </si>
  <si>
    <t>Rf-Fair Rate</t>
  </si>
  <si>
    <t>Govt Bonds</t>
  </si>
  <si>
    <t>B</t>
  </si>
  <si>
    <t>Volatility (Beta)</t>
  </si>
  <si>
    <t>Rd</t>
  </si>
  <si>
    <t>Debt Rate</t>
  </si>
  <si>
    <t>Market Rate</t>
  </si>
  <si>
    <t>Re</t>
  </si>
  <si>
    <t>Cost Of Equity</t>
  </si>
  <si>
    <t>Re=Rf + [Be x (Rm-Rf)]</t>
  </si>
  <si>
    <t>WACC</t>
  </si>
  <si>
    <t>[(E/V)xRe] + [(D/V)xRdx(1-Tc)]</t>
  </si>
  <si>
    <t>OCF</t>
  </si>
  <si>
    <t>Nett+Dep+WC Change</t>
  </si>
  <si>
    <t>DCF</t>
  </si>
  <si>
    <t>Less:- Consumption Monofil</t>
  </si>
  <si>
    <t>Consumption Shade Net</t>
  </si>
  <si>
    <t>Consumption PP Fabric</t>
  </si>
  <si>
    <t>Trading RM Consumption Cost</t>
  </si>
  <si>
    <t>Consumption monofil</t>
  </si>
  <si>
    <t>Consumtion Shade Net</t>
  </si>
  <si>
    <t>Comsumption PP Fabric/Sales</t>
  </si>
  <si>
    <t>Less:- Consumption</t>
  </si>
  <si>
    <t>Less:Sales</t>
  </si>
  <si>
    <t>Consumtion monofil</t>
  </si>
  <si>
    <t>Comsumption PP Fabric/Sacls</t>
  </si>
  <si>
    <t>Consumption Details</t>
  </si>
  <si>
    <t>TOTAL RM CLOSING STOCK</t>
  </si>
  <si>
    <t>Computation of Wastage</t>
  </si>
  <si>
    <t>Production</t>
  </si>
  <si>
    <t>1. HDPE Monofilament</t>
  </si>
  <si>
    <t>2. HDPE Monofilament-Sec</t>
  </si>
  <si>
    <t>3. Packing Materials</t>
  </si>
  <si>
    <t>Wastage</t>
  </si>
  <si>
    <t>% of Wastage</t>
  </si>
  <si>
    <t>HDPE Monofilament (Factory)</t>
  </si>
  <si>
    <t>Opening Bal</t>
  </si>
  <si>
    <t>Add:- Prodn</t>
  </si>
  <si>
    <t>Add:- J.W. Production</t>
  </si>
  <si>
    <t>Add:- RF.</t>
  </si>
  <si>
    <t>Closing Bal</t>
  </si>
  <si>
    <t>Consumption (Issue to Fabr..)</t>
  </si>
  <si>
    <t>Job Work</t>
  </si>
  <si>
    <t>HDPE Monofilament (Fabricator)</t>
  </si>
  <si>
    <t>Op. Balance</t>
  </si>
  <si>
    <t>HDPE Monofilament Receipt</t>
  </si>
  <si>
    <t>Cl.Balance</t>
  </si>
  <si>
    <t>HDPE Woven Fabrics</t>
  </si>
  <si>
    <t>HDPE Woven Fabrics- RF</t>
  </si>
  <si>
    <t>HDPE Woven Fabrics- Sec.</t>
  </si>
  <si>
    <t>Rope Hanks</t>
  </si>
  <si>
    <t>% of Waste</t>
  </si>
  <si>
    <t>Yarn Closing Stock</t>
  </si>
  <si>
    <t>Production-JW/Sales Return</t>
  </si>
  <si>
    <t>Total Receipts</t>
  </si>
  <si>
    <t>Less:- Sales</t>
  </si>
  <si>
    <t>Less:- Monofil Trading Sales</t>
  </si>
  <si>
    <t>Monofil Produced Sale</t>
  </si>
  <si>
    <t>Trading Ac</t>
  </si>
  <si>
    <t>Receipts Tape Shade Purchase</t>
  </si>
  <si>
    <t>Receipts TSN Job Work</t>
  </si>
  <si>
    <t>Receipts Mono Shade</t>
  </si>
  <si>
    <t>Receipts Weed Mat</t>
  </si>
  <si>
    <t>Receipts Mulch</t>
  </si>
  <si>
    <t>Receipts PP Fabric</t>
  </si>
  <si>
    <t>Receipts PP Sacks</t>
  </si>
  <si>
    <t>Buring Loss</t>
  </si>
  <si>
    <t>Sales MSN</t>
  </si>
  <si>
    <t>Sales TSN</t>
  </si>
  <si>
    <t>Sales Weed Mat</t>
  </si>
  <si>
    <t>Sales Mulch</t>
  </si>
  <si>
    <t>Sales PP Fabric/Knitted</t>
  </si>
  <si>
    <t>Sales PP Sacks</t>
  </si>
  <si>
    <t>Sales Total</t>
  </si>
  <si>
    <t>TOTAL SFG &amp; FG CLOSING STOCK</t>
  </si>
  <si>
    <t>Receipts</t>
  </si>
  <si>
    <t>Issued for Processing</t>
  </si>
  <si>
    <t>Monofil Generation From Production</t>
  </si>
  <si>
    <t>Monofil Generation from Trading Yarn</t>
  </si>
  <si>
    <t>Monofil Generation from Trading Fabric</t>
  </si>
  <si>
    <t>Monofil Generation</t>
  </si>
  <si>
    <t>Generation From RM Trading</t>
  </si>
  <si>
    <t>Generation From Other Trading</t>
  </si>
  <si>
    <t>Total Generation</t>
  </si>
  <si>
    <t>Monofil Expns Yarn</t>
  </si>
  <si>
    <t>Monofil Expns Fabric</t>
  </si>
  <si>
    <t>Other Trading Expns</t>
  </si>
  <si>
    <t>OP Profit from Monofil</t>
  </si>
  <si>
    <t>OP Profit from RM Trading</t>
  </si>
  <si>
    <t>OP Profit from Misc Trading</t>
  </si>
  <si>
    <t>Total OP. Profit</t>
  </si>
  <si>
    <t>Overheads</t>
  </si>
  <si>
    <t xml:space="preserve">EBITDA </t>
  </si>
  <si>
    <t>Finance Cost Incl WC</t>
  </si>
  <si>
    <t>PBT</t>
  </si>
  <si>
    <t>Difference in Inventory</t>
  </si>
  <si>
    <t>TALLY PROFIT</t>
  </si>
  <si>
    <t>Operating Expenses</t>
  </si>
  <si>
    <t>OP Profit</t>
  </si>
  <si>
    <t>Fixed Expenses</t>
  </si>
  <si>
    <t>NET</t>
  </si>
  <si>
    <t xml:space="preserve">%age </t>
  </si>
  <si>
    <t>MF Purchse</t>
  </si>
  <si>
    <t xml:space="preserve"> Total Monofil</t>
  </si>
  <si>
    <t>RM</t>
  </si>
  <si>
    <t>Total Consm</t>
  </si>
  <si>
    <t>Yarn</t>
  </si>
  <si>
    <t>RM Cons</t>
  </si>
  <si>
    <t>OP</t>
  </si>
  <si>
    <t>FIN</t>
  </si>
  <si>
    <t>Income</t>
  </si>
  <si>
    <t>Source: MTY</t>
  </si>
  <si>
    <t>Source: Comsumption Sheet</t>
  </si>
  <si>
    <t>Source Direct Expenses Sheet</t>
  </si>
  <si>
    <t>PAL 1</t>
  </si>
  <si>
    <t>Trading RM</t>
  </si>
  <si>
    <t xml:space="preserve">RM </t>
  </si>
  <si>
    <t>Mono Yarn</t>
  </si>
  <si>
    <t>Mono Fab</t>
  </si>
  <si>
    <t>Trd</t>
  </si>
  <si>
    <t>PFCO-TRADING 2025-26</t>
  </si>
  <si>
    <t>Sales- Mono Shade Net MSN</t>
  </si>
  <si>
    <t>Sales- Tape Shade Net  TSN</t>
  </si>
  <si>
    <t>Sales-Weed Mat Fabrics</t>
  </si>
  <si>
    <t>WMT</t>
  </si>
  <si>
    <t>Sales PP Woven Sacks</t>
  </si>
  <si>
    <t>Sales- Mulch Film Fabric</t>
  </si>
  <si>
    <t>Sales PP Woven  Fabrics/KF</t>
  </si>
  <si>
    <t>Add: Purchase MSN</t>
  </si>
  <si>
    <t>Add: Purchase PP Sacks</t>
  </si>
  <si>
    <t>Add:Purchase TSN</t>
  </si>
  <si>
    <t>Add: Weed Mat</t>
  </si>
  <si>
    <t>Add: Purchase Others</t>
  </si>
  <si>
    <t>Total Purchase</t>
  </si>
  <si>
    <t>Expns</t>
  </si>
  <si>
    <t>Nett</t>
  </si>
  <si>
    <t>Sheet</t>
  </si>
  <si>
    <t>SALARY &amp; WAGES</t>
  </si>
  <si>
    <t>TRAVELLING CHARGES</t>
  </si>
  <si>
    <t>Finace Cost</t>
  </si>
  <si>
    <t>Stock Details- 2025-26</t>
  </si>
  <si>
    <t>PP Sacks &amp; Fabric</t>
  </si>
  <si>
    <t>PPFAB</t>
  </si>
  <si>
    <t>PP Fabric Cl Stk</t>
  </si>
  <si>
    <t>Sales  PP Woven Fabrics</t>
  </si>
  <si>
    <t>Cost %</t>
  </si>
  <si>
    <t>Qty Anly</t>
  </si>
  <si>
    <t>Analysis Of Salaries &amp; Wages 2019-20</t>
  </si>
  <si>
    <t>Salaries &amp; Wages 2020-21</t>
  </si>
  <si>
    <t>Op Stk RM Only</t>
  </si>
  <si>
    <t>PFCO</t>
  </si>
  <si>
    <t>CGR</t>
  </si>
  <si>
    <t>Name</t>
  </si>
  <si>
    <t>Nos</t>
  </si>
  <si>
    <t>CTC</t>
  </si>
  <si>
    <t>Cost</t>
  </si>
  <si>
    <t>Details</t>
  </si>
  <si>
    <t>Annual</t>
  </si>
  <si>
    <t>Monthly</t>
  </si>
  <si>
    <t>%age</t>
  </si>
  <si>
    <t>Operators</t>
  </si>
  <si>
    <t>Per Mnth</t>
  </si>
  <si>
    <t>Salaries &amp; Wages</t>
  </si>
  <si>
    <t>MTR Return</t>
  </si>
  <si>
    <t>Reeling</t>
  </si>
  <si>
    <t>CANTEEN EXPENSES</t>
  </si>
  <si>
    <t>Extra Wt Phys</t>
  </si>
  <si>
    <t>E Asst</t>
  </si>
  <si>
    <t>Warp</t>
  </si>
  <si>
    <t>EPF</t>
  </si>
  <si>
    <t>EPF ADMN Charges</t>
  </si>
  <si>
    <t>Cl Stk RM Only</t>
  </si>
  <si>
    <t>Warpers</t>
  </si>
  <si>
    <t>Inspection</t>
  </si>
  <si>
    <t>ESI</t>
  </si>
  <si>
    <t>Leave Encashment</t>
  </si>
  <si>
    <t>HD Sale</t>
  </si>
  <si>
    <t>Consmpn</t>
  </si>
  <si>
    <t>Jobbers</t>
  </si>
  <si>
    <t>Staff Room Rent</t>
  </si>
  <si>
    <t>Trading SaleS</t>
  </si>
  <si>
    <t>Winding</t>
  </si>
  <si>
    <t>MF Sales</t>
  </si>
  <si>
    <t>Staff Welfare</t>
  </si>
  <si>
    <t>Monofil Trading Yarn</t>
  </si>
  <si>
    <t>Monofil Trading Fabric</t>
  </si>
  <si>
    <t>Weavers</t>
  </si>
  <si>
    <t>Staff Welfare 5% - 5407</t>
  </si>
  <si>
    <t>Monofil Sales</t>
  </si>
  <si>
    <t>R?o</t>
  </si>
  <si>
    <t>Assts</t>
  </si>
  <si>
    <t>Employers Contribution to L.W.F</t>
  </si>
  <si>
    <t>Total Sales</t>
  </si>
  <si>
    <t>Finance</t>
  </si>
  <si>
    <t>Bonus</t>
  </si>
  <si>
    <t>Bonus &amp; Exgratia</t>
  </si>
  <si>
    <t>GMS&amp; Retd</t>
  </si>
  <si>
    <t>Exgratia</t>
  </si>
  <si>
    <t>Office</t>
  </si>
  <si>
    <t>P2 Supervisors</t>
  </si>
  <si>
    <t>Inspection Super</t>
  </si>
  <si>
    <t>Managers Remuneration</t>
  </si>
  <si>
    <t>Extra</t>
  </si>
  <si>
    <t>Drivers</t>
  </si>
  <si>
    <t>ADMIN</t>
  </si>
  <si>
    <t>Director Remunaration</t>
  </si>
  <si>
    <t>Trading Expns</t>
  </si>
  <si>
    <t>CC</t>
  </si>
  <si>
    <t>Source GVH Fabric Costing &amp; Yarn Costing Sheet</t>
  </si>
  <si>
    <t>DIRECT COST</t>
  </si>
  <si>
    <t>Office Salaries</t>
  </si>
  <si>
    <t>PNBH Int</t>
  </si>
  <si>
    <t>Covid Int</t>
  </si>
  <si>
    <t>Loss</t>
  </si>
  <si>
    <t>Profit</t>
  </si>
  <si>
    <t>Deprn &amp; INT</t>
  </si>
  <si>
    <t>Mtrl Consmd</t>
  </si>
  <si>
    <t>Stock Vary</t>
  </si>
  <si>
    <t>Op. Expns</t>
  </si>
  <si>
    <t xml:space="preserve">Indirect </t>
  </si>
  <si>
    <t>Admn Sellng</t>
  </si>
  <si>
    <t>Work.Cap</t>
  </si>
  <si>
    <t>Deposits</t>
  </si>
  <si>
    <t>Avg Overheads</t>
  </si>
  <si>
    <t>PNBH/etc</t>
  </si>
  <si>
    <t>SII</t>
  </si>
  <si>
    <t>EII</t>
  </si>
  <si>
    <t>Outflow</t>
  </si>
  <si>
    <t>RM Trading</t>
  </si>
  <si>
    <t>Cost Of Goods Sold</t>
  </si>
  <si>
    <t>Working Cap Avg</t>
  </si>
  <si>
    <t>GP</t>
  </si>
  <si>
    <t>NP</t>
  </si>
  <si>
    <t>Liquidity Ratio</t>
  </si>
  <si>
    <t>P &amp; L Point</t>
  </si>
  <si>
    <t>1. Current Asset /Current  Liabilities</t>
  </si>
  <si>
    <t>1.5-2.0</t>
  </si>
  <si>
    <t>1. Revenue</t>
  </si>
  <si>
    <t>Look for +ve Groth Rate</t>
  </si>
  <si>
    <t>2. Current Asset-Inventory/Current Liabilities</t>
  </si>
  <si>
    <t>1.0-1.2</t>
  </si>
  <si>
    <t>2. COGS</t>
  </si>
  <si>
    <t>Calc % of Revenue, Higher means Production is faster than Pricing</t>
  </si>
  <si>
    <t>3.Gross Margin</t>
  </si>
  <si>
    <t>Increased GP means Pricing Power &amp; Cost Control</t>
  </si>
  <si>
    <t>4.Salaries</t>
  </si>
  <si>
    <t>Higer Salary than Revenue means Less Effeciency in Costs</t>
  </si>
  <si>
    <t>3. Gross Profit/Income X 100</t>
  </si>
  <si>
    <t>20%-30%</t>
  </si>
  <si>
    <t>5.Selling &amp; Marketing Cost</t>
  </si>
  <si>
    <t>Cost increase should indicate increase in Revenue</t>
  </si>
  <si>
    <t>4. Net Profit/Income X 100</t>
  </si>
  <si>
    <t>9%-10%</t>
  </si>
  <si>
    <t>6.General &amp; Admn</t>
  </si>
  <si>
    <t>Increase YOY means higher overheads</t>
  </si>
  <si>
    <t>7.EBITDA</t>
  </si>
  <si>
    <t>Focus on Operation Performance,Compare with Peers</t>
  </si>
  <si>
    <t>Effeciency Ratio</t>
  </si>
  <si>
    <t>8.Deprn &amp; Amort</t>
  </si>
  <si>
    <t>Asesses Life of Assets</t>
  </si>
  <si>
    <t>5.Inventory Turnover Ratio=COGS/ Avg.Inventory</t>
  </si>
  <si>
    <t>4-6</t>
  </si>
  <si>
    <t>9.Interest</t>
  </si>
  <si>
    <t>Anaylse trend</t>
  </si>
  <si>
    <t>10. PBT</t>
  </si>
  <si>
    <t>Evaluate Op Leverage,Compare F=Growth Rate of Revenue to PBT&amp; Profitability Trend</t>
  </si>
  <si>
    <t>Solvency Ratio</t>
  </si>
  <si>
    <t>11.Tax</t>
  </si>
  <si>
    <t>Unerstand efficient Tax rate, If Fluctuating Why? Whar are the incentives?</t>
  </si>
  <si>
    <t>6. Debt Equity Ratio=Total Debt/SH Equity</t>
  </si>
  <si>
    <t>0.5-1.5</t>
  </si>
  <si>
    <t>12.NP</t>
  </si>
  <si>
    <t>Net Income/Revenue,compare over time</t>
  </si>
  <si>
    <t>7. ICR=EBIT/Interest Expns</t>
  </si>
  <si>
    <t>2.0-3.0</t>
  </si>
  <si>
    <t>Balance Sheet Points</t>
  </si>
  <si>
    <t>Market Ratio</t>
  </si>
  <si>
    <t xml:space="preserve">1.Current Assets </t>
  </si>
  <si>
    <t>Work.Cap to assess Co's Liquidity</t>
  </si>
  <si>
    <t>8.(Market Price/Share)/EPS</t>
  </si>
  <si>
    <t>2. Cash</t>
  </si>
  <si>
    <t>Cash to Short Term liabilities to revoew str</t>
  </si>
  <si>
    <t>9.Price to Book Ratio=(Mkt Price/Biz Value)/Share</t>
  </si>
  <si>
    <t>1-3</t>
  </si>
  <si>
    <t>3.Ac.Recievables</t>
  </si>
  <si>
    <t>DSO helps in asssessing How quickly Inventory to Cash</t>
  </si>
  <si>
    <t>10. Dividend Yield=(Ann Dividend/Share)/(Price/Share)</t>
  </si>
  <si>
    <t>4.Inventory</t>
  </si>
  <si>
    <t>DIO Same as above</t>
  </si>
  <si>
    <t>5. Fixed Assets</t>
  </si>
  <si>
    <t>To assess fair value price of Tangible&amp; Intangibles</t>
  </si>
  <si>
    <t>Growth Ratio</t>
  </si>
  <si>
    <t>6. Current Liabilities</t>
  </si>
  <si>
    <t>For Liquidity Purposes</t>
  </si>
  <si>
    <t>Earnings Growth Rate=(CY NP-LY NP)/LY NP</t>
  </si>
  <si>
    <t>+Ve</t>
  </si>
  <si>
    <t>7.Ac Payable</t>
  </si>
  <si>
    <t>DPO to track paymemt to vendors</t>
  </si>
  <si>
    <t>Revenue Growth Rate=CY Inc-LY Inc)/LY Inc</t>
  </si>
  <si>
    <t>8.Short Term Debt</t>
  </si>
  <si>
    <t>To Keep a check on Co's ability to pay</t>
  </si>
  <si>
    <t>9.Non Current Debt</t>
  </si>
  <si>
    <t>Evaluate Debt Equity to determine Solvency</t>
  </si>
  <si>
    <t>DIO=Avg Inventory/COGS X Days</t>
  </si>
  <si>
    <t>10. Equity</t>
  </si>
  <si>
    <t>To evaluate stability Equity/Debt &amp; ROE-Net Profit/Equity</t>
  </si>
  <si>
    <t>DSO=Sundry Debtors/Sales X No Of days</t>
  </si>
  <si>
    <t>DPO=Sundry Creditor/Sales X No  of Days</t>
  </si>
  <si>
    <t>CCC= (DIO+DSO)-DPO</t>
  </si>
  <si>
    <t>Market Cap+Total Debt-Cash &amp; Cash Equivalents</t>
  </si>
  <si>
    <t>Cost Per Unit</t>
  </si>
  <si>
    <t>MF Sale</t>
  </si>
  <si>
    <t>Direct Y</t>
  </si>
  <si>
    <t>Fabr</t>
  </si>
  <si>
    <t xml:space="preserve">Gross </t>
  </si>
  <si>
    <t>WARP COSTING</t>
  </si>
  <si>
    <t>Projected</t>
  </si>
  <si>
    <t>Salary</t>
  </si>
  <si>
    <t>Power</t>
  </si>
  <si>
    <t>C&amp;Spares</t>
  </si>
  <si>
    <t>Cost/Kg</t>
  </si>
  <si>
    <t>INSPECTION &amp; DISPATCH COSTING</t>
  </si>
  <si>
    <t>Disp Qty</t>
  </si>
  <si>
    <t>Labour</t>
  </si>
  <si>
    <t>Repairs</t>
  </si>
  <si>
    <t>C&amp;S</t>
  </si>
  <si>
    <t>PRIYADARSHINI FILAMENTS PVT LTD</t>
  </si>
  <si>
    <t>SIRCILLA YARN SALES AND FABRIC PURCHASE FOR THE YEAR 2024-2025</t>
  </si>
  <si>
    <t>Yarn Sold</t>
  </si>
  <si>
    <t>Fabric Purchased</t>
  </si>
  <si>
    <t>Qty(Kgs)</t>
  </si>
  <si>
    <t>Qty(Mtrs)</t>
  </si>
  <si>
    <t>DESPATCH KGS, SALES KGS SALARY AND OTHER DETAILS APRIL2022-MARCH2023</t>
  </si>
  <si>
    <t>UNITS</t>
  </si>
  <si>
    <t>UNIT1</t>
  </si>
  <si>
    <t>UNIT3</t>
  </si>
  <si>
    <t>UNIT4</t>
  </si>
  <si>
    <t>TRNSFR</t>
  </si>
  <si>
    <t>SALES</t>
  </si>
  <si>
    <t>SALARY RS.</t>
  </si>
  <si>
    <t>POWER</t>
  </si>
  <si>
    <t>Consmbls</t>
  </si>
  <si>
    <t>Transfer</t>
  </si>
  <si>
    <t xml:space="preserve">SALES </t>
  </si>
  <si>
    <t>DESPATCH KGS, SALES KGS SALARY AND OTHER DETAILS APRIL 2023-MARCH 2024</t>
  </si>
  <si>
    <t>Emplys</t>
  </si>
  <si>
    <t>TRNSFR IN KGS</t>
  </si>
  <si>
    <t>SALES IN KGS</t>
  </si>
  <si>
    <t>FY22-23</t>
  </si>
  <si>
    <t>FY23-24</t>
  </si>
  <si>
    <t>WM</t>
  </si>
  <si>
    <t>INH</t>
  </si>
  <si>
    <t>MONTN</t>
  </si>
  <si>
    <t>OCTO</t>
  </si>
  <si>
    <t>tarka on 27mar</t>
  </si>
  <si>
    <t>MISC</t>
  </si>
  <si>
    <t>WASTE</t>
  </si>
  <si>
    <t>LABOUR</t>
  </si>
  <si>
    <t>TOTAL SALES</t>
  </si>
</sst>
</file>

<file path=xl/styles.xml><?xml version="1.0" encoding="utf-8"?>
<styleSheet xmlns="http://schemas.openxmlformats.org/spreadsheetml/2006/main">
  <numFmts count="59">
    <numFmt numFmtId="176" formatCode="0.00000000000"/>
    <numFmt numFmtId="177" formatCode="0.00;[Red]0.00"/>
    <numFmt numFmtId="178" formatCode="0.000_ ;\(0.000\)\ "/>
    <numFmt numFmtId="179" formatCode="[&gt;999999]##\,##\,##\,##0;[&lt;99999]\(##\,##\,##\,##0\);#,###,##0"/>
    <numFmt numFmtId="180" formatCode="[&gt;99999]##\,##\,##0;[&lt;99999]\(##\,##\,##0\);##,##0"/>
    <numFmt numFmtId="181" formatCode="0_ ;\(0\)"/>
    <numFmt numFmtId="182" formatCode="0.000000000000"/>
    <numFmt numFmtId="183" formatCode="0%_);[Red]\(0%\)"/>
    <numFmt numFmtId="184" formatCode="_ * #,##0.0_ ;_ * \-#,##0.0_ ;_ * &quot;-&quot;??_ ;_ @_ "/>
    <numFmt numFmtId="185" formatCode="_(* #,##0.000_);_(* \(#,##0.000\);_(* &quot;-&quot;??_);_(@_)"/>
    <numFmt numFmtId="186" formatCode="#,##0.00;[Red]#,##0.00"/>
    <numFmt numFmtId="187" formatCode="0_ ;\(0\)\ "/>
    <numFmt numFmtId="188" formatCode="&quot;&quot;0.0"/>
    <numFmt numFmtId="189" formatCode="_ &quot;₹&quot;* #,##0.00_ ;_ &quot;₹&quot;* \-#,##0.00_ ;_ &quot;₹&quot;* &quot;-&quot;??_ ;_ @_ "/>
    <numFmt numFmtId="190" formatCode="###0.0"/>
    <numFmt numFmtId="191" formatCode="###0.00"/>
    <numFmt numFmtId="192" formatCode="_ * #,##0_ ;_ * \-#,##0_ ;_ * &quot;-&quot;_ ;_ @_ "/>
    <numFmt numFmtId="193" formatCode="0_);[Red]\(##,##0\)"/>
    <numFmt numFmtId="194" formatCode="0_);\(0\)"/>
    <numFmt numFmtId="195" formatCode="&quot;&quot;0.00"/>
    <numFmt numFmtId="196" formatCode="&quot;&quot;0"/>
    <numFmt numFmtId="197" formatCode="_(* #,##0.0_);_(* \(#,##0.0\);_(* &quot;-&quot;??_);_(@_)"/>
    <numFmt numFmtId="198" formatCode="0.00;[Red]\(0.00\)"/>
    <numFmt numFmtId="199" formatCode="0.0%_);\(0.0%\)"/>
    <numFmt numFmtId="200" formatCode="0.0%;[Red]\(0.0%\)"/>
    <numFmt numFmtId="201" formatCode="0.0%_);[Red]\(0.0%\)"/>
    <numFmt numFmtId="202" formatCode="0.0%"/>
    <numFmt numFmtId="203" formatCode="0.0_);[Red]\(0.0\)"/>
    <numFmt numFmtId="204" formatCode="#,##0;[Red]\(#,##0\)"/>
    <numFmt numFmtId="205" formatCode="0.00;\(0.00\)"/>
    <numFmt numFmtId="206" formatCode="0%;\(0%\)"/>
    <numFmt numFmtId="207" formatCode="0.00_ ;\(0.00\)"/>
    <numFmt numFmtId="208" formatCode="0.000"/>
    <numFmt numFmtId="209" formatCode="0.0_ ;\-0.0\ "/>
    <numFmt numFmtId="210" formatCode="0.00_ ;\(0.00\)\ "/>
    <numFmt numFmtId="211" formatCode="0.0_);\(0.0\)"/>
    <numFmt numFmtId="212" formatCode="0.0_ ;\(0.0\)\ "/>
    <numFmt numFmtId="213" formatCode="_ * #,##0.00_ ;_ * \-#,##0.00_ ;_ * &quot;-&quot;??_ ;_ @_ "/>
    <numFmt numFmtId="214" formatCode="0.\o0_);\(0.00\)"/>
    <numFmt numFmtId="215" formatCode="0.00_);\(0.00\)"/>
    <numFmt numFmtId="216" formatCode="0.0%;\(0.0%\)"/>
    <numFmt numFmtId="217" formatCode="0.0"/>
    <numFmt numFmtId="218" formatCode="0%_);\(0%\)"/>
    <numFmt numFmtId="219" formatCode="0.00_);[Red]\(##,##0.00\)"/>
    <numFmt numFmtId="220" formatCode="0.000000000000000"/>
    <numFmt numFmtId="221" formatCode="_ * #,##0_ ;_ * \-#,##0_ ;_ * &quot;-&quot;??_ ;_ @_ "/>
    <numFmt numFmtId="222" formatCode="#,##0.0"/>
    <numFmt numFmtId="223" formatCode="_(* #,##0_);_(* \(#,##0\);_(* &quot;-&quot;??_);_(@_)"/>
    <numFmt numFmtId="224" formatCode="dd\-mmm"/>
    <numFmt numFmtId="225" formatCode="0.0;\(0.0\)"/>
    <numFmt numFmtId="226" formatCode="mmm\-yy"/>
    <numFmt numFmtId="227" formatCode="0.00_);[Red]\(0.00\)"/>
    <numFmt numFmtId="228" formatCode="#,##0.00;[Red]\(#,##0.00\)"/>
    <numFmt numFmtId="229" formatCode="0.00\ ;\(0.00\)\ "/>
    <numFmt numFmtId="230" formatCode="dd\-mmm\-yy"/>
    <numFmt numFmtId="231" formatCode="_(* #,##0.00_);_(* \(#,##0.00\);_(* &quot;-&quot;??_);_(@_)"/>
    <numFmt numFmtId="232" formatCode="0%;[Red]\(0%\)"/>
    <numFmt numFmtId="233" formatCode="0.0_);[Red]\(##,##0.0\)"/>
    <numFmt numFmtId="234" formatCode="_ &quot;₹&quot;* #,##0_ ;_ &quot;₹&quot;* \-#,##0_ ;_ &quot;₹&quot;* &quot;-&quot;_ ;_ @_ "/>
  </numFmts>
  <fonts count="108">
    <font>
      <sz val="10"/>
      <name val="Arial"/>
      <charset val="134"/>
    </font>
    <font>
      <sz val="8"/>
      <name val="Tahoma"/>
      <charset val="134"/>
    </font>
    <font>
      <sz val="10"/>
      <name val="Tahoma"/>
      <charset val="134"/>
    </font>
    <font>
      <b/>
      <sz val="10"/>
      <name val="Tahoma"/>
      <charset val="134"/>
    </font>
    <font>
      <b/>
      <i/>
      <sz val="10"/>
      <name val="Arial"/>
      <charset val="134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2"/>
      <color rgb="FF000000"/>
      <name val="Calibri"/>
      <charset val="134"/>
    </font>
    <font>
      <i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name val="Trebuchet MS"/>
      <charset val="134"/>
    </font>
    <font>
      <b/>
      <sz val="11"/>
      <name val="Trebuchet MS"/>
      <charset val="134"/>
    </font>
    <font>
      <i/>
      <sz val="10"/>
      <name val="Trebuchet MS"/>
      <charset val="134"/>
    </font>
    <font>
      <i/>
      <sz val="11"/>
      <name val="Trebuchet MS"/>
      <charset val="134"/>
    </font>
    <font>
      <i/>
      <sz val="10"/>
      <name val="Arial"/>
      <charset val="134"/>
    </font>
    <font>
      <b/>
      <sz val="11"/>
      <color rgb="FF00B050"/>
      <name val="Trebuchet MS"/>
      <charset val="134"/>
    </font>
    <font>
      <sz val="11"/>
      <color rgb="FF00B050"/>
      <name val="Trebuchet MS"/>
      <charset val="134"/>
    </font>
    <font>
      <sz val="11"/>
      <color rgb="FFFF0000"/>
      <name val="Trebuchet MS"/>
      <charset val="134"/>
    </font>
    <font>
      <sz val="9"/>
      <color theme="1"/>
      <name val="Arial"/>
      <charset val="134"/>
    </font>
    <font>
      <sz val="10"/>
      <name val="Trebuchet MS"/>
      <charset val="134"/>
    </font>
    <font>
      <sz val="10"/>
      <color theme="1"/>
      <name val="Arial"/>
      <charset val="134"/>
    </font>
    <font>
      <b/>
      <sz val="11"/>
      <color theme="1"/>
      <name val="Trebuchet MS"/>
      <charset val="134"/>
    </font>
    <font>
      <sz val="10"/>
      <color theme="1"/>
      <name val="Trebuchet MS"/>
      <charset val="134"/>
    </font>
    <font>
      <b/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10"/>
      <color theme="1"/>
      <name val="Arial"/>
      <charset val="134"/>
    </font>
    <font>
      <i/>
      <sz val="9"/>
      <color theme="1"/>
      <name val="Arial"/>
      <charset val="134"/>
    </font>
    <font>
      <b/>
      <i/>
      <sz val="9"/>
      <color theme="1"/>
      <name val="Arial"/>
      <charset val="134"/>
    </font>
    <font>
      <sz val="9"/>
      <name val="Arial"/>
      <charset val="134"/>
    </font>
    <font>
      <sz val="10"/>
      <color rgb="FFFF0000"/>
      <name val="Arial"/>
      <charset val="134"/>
    </font>
    <font>
      <i/>
      <sz val="10"/>
      <color theme="1"/>
      <name val="Arial"/>
      <charset val="134"/>
    </font>
    <font>
      <b/>
      <i/>
      <sz val="10"/>
      <color theme="1"/>
      <name val="Arial"/>
      <charset val="134"/>
    </font>
    <font>
      <sz val="11"/>
      <color theme="1"/>
      <name val="Trebuchet MS"/>
      <charset val="134"/>
    </font>
    <font>
      <b/>
      <i/>
      <sz val="11"/>
      <name val="Trebuchet MS"/>
      <charset val="134"/>
    </font>
    <font>
      <b/>
      <sz val="12"/>
      <color rgb="FF000000"/>
      <name val="Cambria"/>
      <charset val="134"/>
    </font>
    <font>
      <b/>
      <sz val="10"/>
      <color rgb="FF000000"/>
      <name val="Cambria"/>
      <charset val="134"/>
    </font>
    <font>
      <sz val="9"/>
      <color rgb="FF000000"/>
      <name val="Calibri"/>
      <charset val="134"/>
    </font>
    <font>
      <b/>
      <sz val="9"/>
      <color rgb="FF000000"/>
      <name val="Calibri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b/>
      <sz val="10"/>
      <name val="Calibri"/>
      <charset val="134"/>
      <scheme val="minor"/>
    </font>
    <font>
      <sz val="10"/>
      <color rgb="FF000000"/>
      <name val="Cambria"/>
      <charset val="134"/>
    </font>
    <font>
      <sz val="9"/>
      <color theme="1"/>
      <name val="Calibri"/>
      <charset val="134"/>
    </font>
    <font>
      <sz val="9"/>
      <name val="Calibri"/>
      <charset val="134"/>
    </font>
    <font>
      <sz val="9"/>
      <color rgb="FFFF0000"/>
      <name val="Calibri"/>
      <charset val="134"/>
    </font>
    <font>
      <sz val="10"/>
      <color rgb="FF000000"/>
      <name val="Calibri"/>
      <charset val="134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"/>
      <charset val="134"/>
    </font>
    <font>
      <b/>
      <sz val="10"/>
      <color rgb="FF00B050"/>
      <name val="Arial"/>
      <charset val="134"/>
    </font>
    <font>
      <sz val="10"/>
      <color rgb="FF00B050"/>
      <name val="Arial"/>
      <charset val="134"/>
    </font>
    <font>
      <b/>
      <sz val="9"/>
      <name val="Arial"/>
      <charset val="134"/>
    </font>
    <font>
      <i/>
      <sz val="9"/>
      <name val="Arial"/>
      <charset val="134"/>
    </font>
    <font>
      <i/>
      <sz val="9"/>
      <color rgb="FF00B0F0"/>
      <name val="Arial"/>
      <charset val="134"/>
    </font>
    <font>
      <u val="singleAccounting"/>
      <sz val="11"/>
      <name val="Trebuchet MS"/>
      <charset val="134"/>
    </font>
    <font>
      <b/>
      <sz val="11"/>
      <color rgb="FFFF0000"/>
      <name val="Trebuchet MS"/>
      <charset val="134"/>
    </font>
    <font>
      <sz val="9"/>
      <color rgb="FF000000"/>
      <name val="Cambria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b/>
      <sz val="9"/>
      <color theme="1"/>
      <name val="Trebuchet MS"/>
      <charset val="134"/>
    </font>
    <font>
      <b/>
      <i/>
      <sz val="9"/>
      <color theme="1"/>
      <name val="Trebuchet MS"/>
      <charset val="134"/>
    </font>
    <font>
      <b/>
      <sz val="9"/>
      <name val="Trebuchet MS"/>
      <charset val="134"/>
    </font>
    <font>
      <sz val="9"/>
      <color theme="1"/>
      <name val="Trebuchet MS"/>
      <charset val="134"/>
    </font>
    <font>
      <i/>
      <sz val="9"/>
      <color theme="1"/>
      <name val="Trebuchet MS"/>
      <charset val="134"/>
    </font>
    <font>
      <i/>
      <sz val="9"/>
      <name val="Trebuchet MS"/>
      <charset val="134"/>
    </font>
    <font>
      <b/>
      <sz val="10"/>
      <name val="Trebuchet MS"/>
      <charset val="134"/>
    </font>
    <font>
      <sz val="9"/>
      <color rgb="FFFF0000"/>
      <name val="Trebuchet MS"/>
      <charset val="134"/>
    </font>
    <font>
      <sz val="9"/>
      <name val="Trebuchet MS"/>
      <charset val="134"/>
    </font>
    <font>
      <i/>
      <sz val="9"/>
      <color rgb="FFFF0000"/>
      <name val="Trebuchet MS"/>
      <charset val="134"/>
    </font>
    <font>
      <sz val="11"/>
      <color rgb="FF000000"/>
      <name val="Comic Sans MS"/>
      <charset val="134"/>
    </font>
    <font>
      <sz val="11"/>
      <color rgb="FF000000"/>
      <name val="Nimbus Roman No9 L"/>
      <charset val="134"/>
    </font>
    <font>
      <sz val="10"/>
      <color rgb="FF000000"/>
      <name val="Comic Sans MS"/>
      <charset val="134"/>
    </font>
    <font>
      <sz val="10"/>
      <color theme="1"/>
      <name val="Tahoma"/>
      <charset val="134"/>
    </font>
    <font>
      <b/>
      <sz val="10"/>
      <color rgb="FFFF0000"/>
      <name val="Tahoma"/>
      <charset val="134"/>
    </font>
    <font>
      <b/>
      <sz val="10"/>
      <color theme="1"/>
      <name val="Tahoma"/>
      <charset val="134"/>
    </font>
    <font>
      <i/>
      <sz val="12"/>
      <name val="Trebuchet MS"/>
      <charset val="134"/>
    </font>
    <font>
      <b/>
      <i/>
      <sz val="12"/>
      <name val="Trebuchet MS"/>
      <charset val="134"/>
    </font>
    <font>
      <b/>
      <u/>
      <sz val="9"/>
      <color theme="1"/>
      <name val="Trebuchet MS"/>
      <charset val="134"/>
    </font>
    <font>
      <sz val="10"/>
      <color rgb="FFFF0000"/>
      <name val="Trebuchet MS"/>
      <charset val="134"/>
    </font>
    <font>
      <b/>
      <sz val="10"/>
      <color theme="1"/>
      <name val="Trebuchet MS"/>
      <charset val="134"/>
    </font>
    <font>
      <sz val="9"/>
      <color theme="1" tint="0.0499893185216834"/>
      <name val="Trebuchet MS"/>
      <charset val="134"/>
    </font>
    <font>
      <b/>
      <i/>
      <sz val="11"/>
      <color rgb="FF000000"/>
      <name val="Calibri"/>
      <charset val="134"/>
    </font>
    <font>
      <i/>
      <sz val="11"/>
      <color rgb="FF000000"/>
      <name val="Calibri"/>
      <charset val="134"/>
    </font>
    <font>
      <b/>
      <sz val="13"/>
      <name val="Arial"/>
      <charset val="134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name val="Tahoma"/>
      <charset val="134"/>
    </font>
    <font>
      <sz val="9"/>
      <name val="Tahoma"/>
      <charset val="1"/>
    </font>
  </fonts>
  <fills count="5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EB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</fills>
  <borders count="24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double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/>
      <bottom style="double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auto="1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double">
        <color auto="1"/>
      </bottom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double">
        <color auto="1"/>
      </bottom>
      <diagonal/>
    </border>
    <border>
      <left style="thin">
        <color rgb="FF000000"/>
      </left>
      <right/>
      <top style="thin">
        <color rgb="FF000000"/>
      </top>
      <bottom style="double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/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rgb="FF000000"/>
      </top>
      <bottom style="double">
        <color auto="1"/>
      </bottom>
      <diagonal/>
    </border>
    <border>
      <left style="thin">
        <color rgb="FF000000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double">
        <color auto="1"/>
      </bottom>
      <diagonal/>
    </border>
    <border>
      <left style="thin">
        <color rgb="FF000000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rgb="FF000000"/>
      </right>
      <top style="double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rgb="FF000000"/>
      </right>
      <top/>
      <bottom style="double">
        <color auto="1"/>
      </bottom>
      <diagonal/>
    </border>
    <border>
      <left/>
      <right style="thin">
        <color rgb="FF000000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double">
        <color auto="1"/>
      </top>
      <bottom style="medium">
        <color auto="1"/>
      </bottom>
      <diagonal/>
    </border>
    <border>
      <left style="thin">
        <color rgb="FF000000"/>
      </left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medium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medium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rgb="FF000000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0" fontId="48" fillId="0" borderId="0"/>
    <xf numFmtId="0" fontId="87" fillId="30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92" fillId="49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92" fillId="45" borderId="0" applyNumberFormat="0" applyBorder="0" applyAlignment="0" applyProtection="0">
      <alignment vertical="center"/>
    </xf>
    <xf numFmtId="0" fontId="87" fillId="34" borderId="0" applyNumberFormat="0" applyBorder="0" applyAlignment="0" applyProtection="0">
      <alignment vertical="center"/>
    </xf>
    <xf numFmtId="0" fontId="101" fillId="0" borderId="243" applyNumberFormat="0" applyFill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38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0" fontId="87" fillId="40" borderId="0" applyNumberFormat="0" applyBorder="0" applyAlignment="0" applyProtection="0">
      <alignment vertical="center"/>
    </xf>
    <xf numFmtId="0" fontId="92" fillId="51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96" fillId="33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99" fillId="0" borderId="242" applyNumberFormat="0" applyFill="0" applyAlignment="0" applyProtection="0">
      <alignment vertical="center"/>
    </xf>
    <xf numFmtId="0" fontId="97" fillId="35" borderId="241" applyNumberFormat="0" applyAlignment="0" applyProtection="0">
      <alignment vertical="center"/>
    </xf>
    <xf numFmtId="189" fontId="48" fillId="0" borderId="0" applyFont="0" applyFill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48" fillId="25" borderId="240" applyNumberFormat="0" applyFont="0" applyAlignment="0" applyProtection="0">
      <alignment vertical="center"/>
    </xf>
    <xf numFmtId="0" fontId="94" fillId="32" borderId="239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04" fillId="35" borderId="239" applyNumberFormat="0" applyAlignment="0" applyProtection="0">
      <alignment vertical="center"/>
    </xf>
    <xf numFmtId="0" fontId="90" fillId="29" borderId="0" applyNumberFormat="0" applyBorder="0" applyAlignment="0" applyProtection="0">
      <alignment vertical="center"/>
    </xf>
    <xf numFmtId="0" fontId="93" fillId="0" borderId="244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88" fillId="0" borderId="238" applyNumberFormat="0" applyFill="0" applyAlignment="0" applyProtection="0">
      <alignment vertical="center"/>
    </xf>
    <xf numFmtId="192" fontId="48" fillId="0" borderId="0" applyFont="0" applyFill="0" applyBorder="0" applyAlignment="0" applyProtection="0">
      <alignment vertical="center"/>
    </xf>
    <xf numFmtId="0" fontId="92" fillId="9" borderId="0" applyNumberFormat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234" fontId="48" fillId="0" borderId="0" applyFon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238" applyNumberFormat="0" applyFill="0" applyAlignment="0" applyProtection="0">
      <alignment vertical="center"/>
    </xf>
    <xf numFmtId="231" fontId="0" fillId="0" borderId="0" applyFont="0" applyFill="0" applyBorder="0" applyAlignment="0" applyProtection="0"/>
    <xf numFmtId="0" fontId="105" fillId="47" borderId="245" applyNumberFormat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95" fillId="0" borderId="0" applyNumberFormat="0" applyFill="0" applyBorder="0" applyAlignment="0" applyProtection="0">
      <alignment vertical="center"/>
    </xf>
  </cellStyleXfs>
  <cellXfs count="331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Protection="1">
      <protection locked="0"/>
    </xf>
    <xf numFmtId="217" fontId="0" fillId="0" borderId="11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Protection="1">
      <protection locked="0"/>
    </xf>
    <xf numFmtId="217" fontId="3" fillId="0" borderId="17" xfId="0" applyNumberFormat="1" applyFont="1" applyBorder="1" applyProtection="1">
      <protection locked="0"/>
    </xf>
    <xf numFmtId="2" fontId="3" fillId="0" borderId="18" xfId="0" applyNumberFormat="1" applyFont="1" applyBorder="1" applyProtection="1">
      <protection locked="0"/>
    </xf>
    <xf numFmtId="2" fontId="3" fillId="0" borderId="19" xfId="0" applyNumberFormat="1" applyFont="1" applyBorder="1" applyProtection="1">
      <protection locked="0"/>
    </xf>
    <xf numFmtId="0" fontId="2" fillId="0" borderId="0" xfId="0" applyFont="1" applyProtection="1">
      <protection locked="0"/>
    </xf>
    <xf numFmtId="217" fontId="2" fillId="0" borderId="0" xfId="0" applyNumberFormat="1" applyFont="1" applyProtection="1">
      <protection locked="0"/>
    </xf>
    <xf numFmtId="2" fontId="2" fillId="0" borderId="0" xfId="0" applyNumberFormat="1" applyFont="1" applyProtection="1">
      <protection locked="0"/>
    </xf>
    <xf numFmtId="0" fontId="2" fillId="0" borderId="16" xfId="0" applyFont="1" applyBorder="1" applyProtection="1">
      <protection locked="0"/>
    </xf>
    <xf numFmtId="0" fontId="0" fillId="0" borderId="20" xfId="0" applyBorder="1" applyProtection="1"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217" fontId="2" fillId="0" borderId="12" xfId="0" applyNumberFormat="1" applyFont="1" applyBorder="1" applyProtection="1">
      <protection locked="0"/>
    </xf>
    <xf numFmtId="2" fontId="2" fillId="0" borderId="12" xfId="0" applyNumberFormat="1" applyFont="1" applyBorder="1" applyProtection="1">
      <protection locked="0"/>
    </xf>
    <xf numFmtId="217" fontId="2" fillId="0" borderId="22" xfId="0" applyNumberFormat="1" applyFont="1" applyBorder="1" applyProtection="1">
      <protection locked="0"/>
    </xf>
    <xf numFmtId="2" fontId="2" fillId="0" borderId="22" xfId="0" applyNumberFormat="1" applyFont="1" applyBorder="1" applyProtection="1">
      <protection locked="0"/>
    </xf>
    <xf numFmtId="217" fontId="2" fillId="0" borderId="23" xfId="0" applyNumberFormat="1" applyFont="1" applyBorder="1" applyProtection="1">
      <protection locked="0"/>
    </xf>
    <xf numFmtId="2" fontId="2" fillId="0" borderId="23" xfId="0" applyNumberFormat="1" applyFont="1" applyBorder="1" applyProtection="1">
      <protection locked="0"/>
    </xf>
    <xf numFmtId="217" fontId="3" fillId="0" borderId="18" xfId="0" applyNumberFormat="1" applyFont="1" applyBorder="1" applyProtection="1">
      <protection locked="0"/>
    </xf>
    <xf numFmtId="2" fontId="3" fillId="0" borderId="21" xfId="0" applyNumberFormat="1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217" fontId="0" fillId="0" borderId="26" xfId="0" applyNumberFormat="1" applyBorder="1" applyProtection="1">
      <protection locked="0"/>
    </xf>
    <xf numFmtId="217" fontId="2" fillId="0" borderId="11" xfId="0" applyNumberFormat="1" applyFont="1" applyBorder="1" applyProtection="1">
      <protection locked="0"/>
    </xf>
    <xf numFmtId="217" fontId="0" fillId="0" borderId="27" xfId="0" applyNumberFormat="1" applyBorder="1" applyProtection="1">
      <protection locked="0"/>
    </xf>
    <xf numFmtId="2" fontId="0" fillId="0" borderId="22" xfId="0" applyNumberFormat="1" applyBorder="1" applyProtection="1">
      <protection locked="0"/>
    </xf>
    <xf numFmtId="217" fontId="2" fillId="0" borderId="28" xfId="0" applyNumberFormat="1" applyFont="1" applyBorder="1" applyProtection="1">
      <protection locked="0"/>
    </xf>
    <xf numFmtId="217" fontId="2" fillId="0" borderId="27" xfId="0" applyNumberFormat="1" applyFont="1" applyBorder="1" applyProtection="1">
      <protection locked="0"/>
    </xf>
    <xf numFmtId="217" fontId="2" fillId="0" borderId="29" xfId="0" applyNumberFormat="1" applyFont="1" applyBorder="1" applyProtection="1">
      <protection locked="0"/>
    </xf>
    <xf numFmtId="217" fontId="2" fillId="0" borderId="30" xfId="0" applyNumberFormat="1" applyFont="1" applyBorder="1" applyProtection="1">
      <protection locked="0"/>
    </xf>
    <xf numFmtId="217" fontId="3" fillId="0" borderId="31" xfId="0" applyNumberFormat="1" applyFont="1" applyBorder="1" applyProtection="1">
      <protection locked="0"/>
    </xf>
    <xf numFmtId="217" fontId="4" fillId="0" borderId="0" xfId="0" applyNumberFormat="1" applyFont="1" applyProtection="1">
      <protection locked="0"/>
    </xf>
    <xf numFmtId="2" fontId="4" fillId="0" borderId="0" xfId="0" applyNumberFormat="1" applyFont="1" applyProtection="1">
      <protection locked="0"/>
    </xf>
    <xf numFmtId="217" fontId="0" fillId="0" borderId="32" xfId="0" applyNumberFormat="1" applyBorder="1" applyProtection="1">
      <protection locked="0"/>
    </xf>
    <xf numFmtId="2" fontId="0" fillId="0" borderId="32" xfId="0" applyNumberFormat="1" applyBorder="1" applyProtection="1">
      <protection locked="0"/>
    </xf>
    <xf numFmtId="217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33" xfId="0" applyFont="1" applyBorder="1" applyAlignment="1" applyProtection="1">
      <alignment horizontal="center"/>
      <protection locked="0"/>
    </xf>
    <xf numFmtId="0" fontId="0" fillId="0" borderId="17" xfId="0" applyFont="1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2" fontId="0" fillId="0" borderId="34" xfId="0" applyNumberFormat="1" applyBorder="1" applyProtection="1">
      <protection locked="0"/>
    </xf>
    <xf numFmtId="2" fontId="0" fillId="0" borderId="35" xfId="0" applyNumberFormat="1" applyBorder="1" applyProtection="1">
      <protection locked="0"/>
    </xf>
    <xf numFmtId="217" fontId="0" fillId="0" borderId="29" xfId="0" applyNumberFormat="1" applyBorder="1" applyProtection="1">
      <protection locked="0"/>
    </xf>
    <xf numFmtId="2" fontId="0" fillId="0" borderId="36" xfId="0" applyNumberFormat="1" applyBorder="1" applyProtection="1">
      <protection locked="0"/>
    </xf>
    <xf numFmtId="2" fontId="5" fillId="0" borderId="19" xfId="0" applyNumberFormat="1" applyFont="1" applyBorder="1" applyProtection="1">
      <protection locked="0"/>
    </xf>
    <xf numFmtId="0" fontId="0" fillId="0" borderId="33" xfId="0" applyBorder="1" applyProtection="1">
      <protection locked="0"/>
    </xf>
    <xf numFmtId="2" fontId="2" fillId="0" borderId="11" xfId="0" applyNumberFormat="1" applyFont="1" applyBorder="1" applyProtection="1">
      <protection locked="0"/>
    </xf>
    <xf numFmtId="197" fontId="5" fillId="0" borderId="18" xfId="45" applyNumberFormat="1" applyFont="1" applyBorder="1" applyProtection="1">
      <protection locked="0"/>
    </xf>
    <xf numFmtId="231" fontId="5" fillId="0" borderId="19" xfId="45" applyFont="1" applyBorder="1" applyProtection="1">
      <protection locked="0"/>
    </xf>
    <xf numFmtId="0" fontId="2" fillId="2" borderId="0" xfId="0" applyFont="1" applyFill="1" applyProtection="1">
      <protection locked="0"/>
    </xf>
    <xf numFmtId="0" fontId="6" fillId="0" borderId="0" xfId="0" applyFont="1" applyAlignment="1">
      <alignment horizontal="center"/>
    </xf>
    <xf numFmtId="0" fontId="7" fillId="2" borderId="35" xfId="0" applyFont="1" applyFill="1" applyBorder="1"/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3" borderId="35" xfId="0" applyFont="1" applyFill="1" applyBorder="1"/>
    <xf numFmtId="0" fontId="7" fillId="3" borderId="37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226" fontId="5" fillId="0" borderId="35" xfId="0" applyNumberFormat="1" applyFont="1" applyBorder="1" applyAlignment="1">
      <alignment horizontal="left"/>
    </xf>
    <xf numFmtId="1" fontId="0" fillId="0" borderId="28" xfId="0" applyNumberFormat="1" applyBorder="1"/>
    <xf numFmtId="217" fontId="0" fillId="0" borderId="27" xfId="0" applyNumberFormat="1" applyBorder="1"/>
    <xf numFmtId="217" fontId="0" fillId="0" borderId="22" xfId="0" applyNumberFormat="1" applyBorder="1"/>
    <xf numFmtId="0" fontId="7" fillId="4" borderId="35" xfId="0" applyFont="1" applyFill="1" applyBorder="1"/>
    <xf numFmtId="1" fontId="7" fillId="4" borderId="7" xfId="0" applyNumberFormat="1" applyFont="1" applyFill="1" applyBorder="1"/>
    <xf numFmtId="217" fontId="7" fillId="4" borderId="24" xfId="0" applyNumberFormat="1" applyFont="1" applyFill="1" applyBorder="1"/>
    <xf numFmtId="217" fontId="7" fillId="4" borderId="8" xfId="0" applyNumberFormat="1" applyFont="1" applyFill="1" applyBorder="1"/>
    <xf numFmtId="0" fontId="7" fillId="3" borderId="27" xfId="0" applyFont="1" applyFill="1" applyBorder="1"/>
    <xf numFmtId="0" fontId="7" fillId="3" borderId="22" xfId="0" applyFont="1" applyFill="1" applyBorder="1"/>
    <xf numFmtId="0" fontId="7" fillId="2" borderId="5" xfId="0" applyFont="1" applyFill="1" applyBorder="1" applyAlignment="1">
      <alignment horizontal="center"/>
    </xf>
    <xf numFmtId="0" fontId="7" fillId="3" borderId="38" xfId="0" applyFont="1" applyFill="1" applyBorder="1" applyAlignment="1">
      <alignment horizontal="center"/>
    </xf>
    <xf numFmtId="2" fontId="0" fillId="0" borderId="22" xfId="0" applyNumberFormat="1" applyBorder="1"/>
    <xf numFmtId="2" fontId="0" fillId="0" borderId="38" xfId="0" applyNumberFormat="1" applyBorder="1"/>
    <xf numFmtId="2" fontId="7" fillId="4" borderId="8" xfId="0" applyNumberFormat="1" applyFont="1" applyFill="1" applyBorder="1"/>
    <xf numFmtId="2" fontId="7" fillId="4" borderId="9" xfId="0" applyNumberFormat="1" applyFont="1" applyFill="1" applyBorder="1"/>
    <xf numFmtId="0" fontId="7" fillId="3" borderId="38" xfId="0" applyFont="1" applyFill="1" applyBorder="1"/>
    <xf numFmtId="0" fontId="0" fillId="0" borderId="38" xfId="0" applyBorder="1"/>
    <xf numFmtId="2" fontId="6" fillId="0" borderId="0" xfId="0" applyNumberFormat="1" applyFont="1"/>
    <xf numFmtId="0" fontId="0" fillId="0" borderId="0" xfId="0" applyFont="1"/>
    <xf numFmtId="2" fontId="0" fillId="0" borderId="0" xfId="0" applyNumberFormat="1"/>
    <xf numFmtId="0" fontId="7" fillId="3" borderId="39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2" fontId="6" fillId="4" borderId="0" xfId="0" applyNumberFormat="1" applyFont="1" applyFill="1"/>
    <xf numFmtId="2" fontId="7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226" fontId="0" fillId="0" borderId="11" xfId="0" applyNumberFormat="1" applyBorder="1"/>
    <xf numFmtId="4" fontId="0" fillId="0" borderId="12" xfId="0" applyNumberFormat="1" applyBorder="1"/>
    <xf numFmtId="4" fontId="0" fillId="0" borderId="34" xfId="0" applyNumberFormat="1" applyBorder="1"/>
    <xf numFmtId="226" fontId="0" fillId="0" borderId="28" xfId="0" applyNumberFormat="1" applyBorder="1"/>
    <xf numFmtId="4" fontId="0" fillId="0" borderId="22" xfId="0" applyNumberFormat="1" applyBorder="1"/>
    <xf numFmtId="4" fontId="0" fillId="0" borderId="35" xfId="0" applyNumberFormat="1" applyBorder="1"/>
    <xf numFmtId="226" fontId="0" fillId="0" borderId="30" xfId="0" applyNumberFormat="1" applyBorder="1"/>
    <xf numFmtId="4" fontId="0" fillId="0" borderId="23" xfId="0" applyNumberFormat="1" applyBorder="1"/>
    <xf numFmtId="4" fontId="0" fillId="0" borderId="36" xfId="0" applyNumberFormat="1" applyBorder="1"/>
    <xf numFmtId="0" fontId="7" fillId="0" borderId="17" xfId="0" applyFont="1" applyBorder="1"/>
    <xf numFmtId="4" fontId="7" fillId="0" borderId="18" xfId="0" applyNumberFormat="1" applyFont="1" applyBorder="1"/>
    <xf numFmtId="4" fontId="7" fillId="0" borderId="21" xfId="0" applyNumberFormat="1" applyFont="1" applyBorder="1"/>
    <xf numFmtId="0" fontId="7" fillId="0" borderId="40" xfId="0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41" xfId="0" applyNumberFormat="1" applyBorder="1"/>
    <xf numFmtId="4" fontId="0" fillId="0" borderId="0" xfId="0" applyNumberFormat="1"/>
    <xf numFmtId="222" fontId="0" fillId="0" borderId="12" xfId="0" applyNumberFormat="1" applyBorder="1"/>
    <xf numFmtId="4" fontId="0" fillId="0" borderId="42" xfId="0" applyNumberFormat="1" applyBorder="1"/>
    <xf numFmtId="222" fontId="0" fillId="0" borderId="22" xfId="0" applyNumberFormat="1" applyBorder="1"/>
    <xf numFmtId="4" fontId="0" fillId="0" borderId="43" xfId="0" applyNumberFormat="1" applyBorder="1"/>
    <xf numFmtId="222" fontId="0" fillId="0" borderId="23" xfId="0" applyNumberFormat="1" applyBorder="1"/>
    <xf numFmtId="4" fontId="0" fillId="0" borderId="40" xfId="0" applyNumberFormat="1" applyBorder="1"/>
    <xf numFmtId="222" fontId="7" fillId="0" borderId="18" xfId="0" applyNumberFormat="1" applyFont="1" applyBorder="1"/>
    <xf numFmtId="0" fontId="7" fillId="0" borderId="44" xfId="0" applyFont="1" applyBorder="1" applyAlignment="1">
      <alignment horizontal="center"/>
    </xf>
    <xf numFmtId="2" fontId="0" fillId="0" borderId="45" xfId="0" applyNumberFormat="1" applyBorder="1"/>
    <xf numFmtId="2" fontId="0" fillId="0" borderId="42" xfId="0" applyNumberFormat="1" applyBorder="1"/>
    <xf numFmtId="2" fontId="0" fillId="0" borderId="46" xfId="0" applyNumberFormat="1" applyBorder="1"/>
    <xf numFmtId="2" fontId="5" fillId="0" borderId="47" xfId="0" applyNumberFormat="1" applyFont="1" applyBorder="1"/>
    <xf numFmtId="0" fontId="7" fillId="0" borderId="19" xfId="0" applyFont="1" applyBorder="1" applyAlignment="1">
      <alignment horizontal="center"/>
    </xf>
    <xf numFmtId="233" fontId="0" fillId="0" borderId="48" xfId="0" applyNumberFormat="1" applyBorder="1"/>
    <xf numFmtId="219" fontId="0" fillId="0" borderId="49" xfId="0" applyNumberFormat="1" applyBorder="1"/>
    <xf numFmtId="233" fontId="0" fillId="0" borderId="28" xfId="0" applyNumberFormat="1" applyBorder="1"/>
    <xf numFmtId="219" fontId="0" fillId="0" borderId="38" xfId="0" applyNumberFormat="1" applyBorder="1"/>
    <xf numFmtId="233" fontId="0" fillId="0" borderId="30" xfId="0" applyNumberFormat="1" applyBorder="1"/>
    <xf numFmtId="219" fontId="0" fillId="0" borderId="50" xfId="0" applyNumberFormat="1" applyBorder="1"/>
    <xf numFmtId="233" fontId="5" fillId="0" borderId="17" xfId="0" applyNumberFormat="1" applyFont="1" applyBorder="1"/>
    <xf numFmtId="219" fontId="5" fillId="0" borderId="19" xfId="0" applyNumberFormat="1" applyFont="1" applyBorder="1"/>
    <xf numFmtId="0" fontId="0" fillId="0" borderId="17" xfId="0" applyBorder="1"/>
    <xf numFmtId="0" fontId="0" fillId="0" borderId="18" xfId="0" applyFont="1" applyBorder="1" applyAlignment="1">
      <alignment horizontal="center" vertical="center"/>
    </xf>
    <xf numFmtId="0" fontId="0" fillId="0" borderId="11" xfId="0" applyBorder="1"/>
    <xf numFmtId="215" fontId="0" fillId="0" borderId="12" xfId="0" applyNumberFormat="1" applyBorder="1"/>
    <xf numFmtId="0" fontId="0" fillId="0" borderId="28" xfId="0" applyBorder="1"/>
    <xf numFmtId="215" fontId="0" fillId="0" borderId="22" xfId="0" applyNumberFormat="1" applyBorder="1"/>
    <xf numFmtId="0" fontId="0" fillId="0" borderId="30" xfId="0" applyBorder="1"/>
    <xf numFmtId="215" fontId="0" fillId="0" borderId="23" xfId="0" applyNumberFormat="1" applyBorder="1"/>
    <xf numFmtId="0" fontId="5" fillId="0" borderId="17" xfId="0" applyFont="1" applyBorder="1"/>
    <xf numFmtId="215" fontId="5" fillId="0" borderId="18" xfId="0" applyNumberFormat="1" applyFont="1" applyBorder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6" fillId="0" borderId="18" xfId="0" applyFont="1" applyBorder="1" applyAlignment="1">
      <alignment horizontal="center"/>
    </xf>
    <xf numFmtId="217" fontId="0" fillId="0" borderId="0" xfId="0" applyNumberFormat="1"/>
    <xf numFmtId="217" fontId="0" fillId="0" borderId="12" xfId="0" applyNumberFormat="1" applyBorder="1"/>
    <xf numFmtId="217" fontId="0" fillId="0" borderId="23" xfId="0" applyNumberFormat="1" applyBorder="1"/>
    <xf numFmtId="217" fontId="0" fillId="0" borderId="40" xfId="0" applyNumberFormat="1" applyBorder="1"/>
    <xf numFmtId="217" fontId="5" fillId="0" borderId="18" xfId="0" applyNumberFormat="1" applyFont="1" applyBorder="1"/>
    <xf numFmtId="1" fontId="0" fillId="0" borderId="0" xfId="0" applyNumberFormat="1"/>
    <xf numFmtId="0" fontId="0" fillId="0" borderId="22" xfId="0" applyBorder="1"/>
    <xf numFmtId="0" fontId="0" fillId="0" borderId="30" xfId="0" applyFont="1" applyBorder="1"/>
    <xf numFmtId="0" fontId="0" fillId="0" borderId="23" xfId="0" applyBorder="1"/>
    <xf numFmtId="1" fontId="0" fillId="0" borderId="40" xfId="0" applyNumberFormat="1" applyBorder="1"/>
    <xf numFmtId="0" fontId="5" fillId="0" borderId="18" xfId="0" applyFont="1" applyBorder="1"/>
    <xf numFmtId="2" fontId="6" fillId="0" borderId="18" xfId="0" applyNumberFormat="1" applyFont="1" applyBorder="1"/>
    <xf numFmtId="0" fontId="5" fillId="0" borderId="2" xfId="0" applyFont="1" applyBorder="1"/>
    <xf numFmtId="217" fontId="6" fillId="0" borderId="21" xfId="0" applyNumberFormat="1" applyFont="1" applyBorder="1" applyAlignment="1">
      <alignment horizontal="center"/>
    </xf>
    <xf numFmtId="0" fontId="0" fillId="0" borderId="2" xfId="0" applyBorder="1"/>
    <xf numFmtId="0" fontId="6" fillId="0" borderId="16" xfId="0" applyFont="1" applyBorder="1" applyAlignment="1">
      <alignment horizontal="center"/>
    </xf>
    <xf numFmtId="0" fontId="6" fillId="0" borderId="10" xfId="0" applyFont="1" applyBorder="1"/>
    <xf numFmtId="2" fontId="0" fillId="0" borderId="12" xfId="0" applyNumberFormat="1" applyBorder="1"/>
    <xf numFmtId="0" fontId="6" fillId="0" borderId="14" xfId="0" applyFont="1" applyBorder="1"/>
    <xf numFmtId="0" fontId="6" fillId="0" borderId="15" xfId="0" applyFont="1" applyBorder="1"/>
    <xf numFmtId="2" fontId="0" fillId="0" borderId="23" xfId="0" applyNumberFormat="1" applyBorder="1"/>
    <xf numFmtId="0" fontId="0" fillId="0" borderId="16" xfId="0" applyBorder="1"/>
    <xf numFmtId="217" fontId="9" fillId="0" borderId="0" xfId="0" applyNumberFormat="1" applyFont="1"/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215" fontId="0" fillId="0" borderId="34" xfId="0" applyNumberFormat="1" applyBorder="1"/>
    <xf numFmtId="215" fontId="5" fillId="0" borderId="41" xfId="0" applyNumberFormat="1" applyFont="1" applyBorder="1"/>
    <xf numFmtId="215" fontId="5" fillId="0" borderId="42" xfId="0" applyNumberFormat="1" applyFont="1" applyBorder="1"/>
    <xf numFmtId="215" fontId="0" fillId="0" borderId="35" xfId="0" applyNumberFormat="1" applyBorder="1"/>
    <xf numFmtId="215" fontId="5" fillId="0" borderId="43" xfId="0" applyNumberFormat="1" applyFont="1" applyBorder="1"/>
    <xf numFmtId="215" fontId="5" fillId="0" borderId="21" xfId="0" applyNumberFormat="1" applyFont="1" applyBorder="1"/>
    <xf numFmtId="215" fontId="5" fillId="0" borderId="40" xfId="0" applyNumberFormat="1" applyFont="1" applyBorder="1"/>
    <xf numFmtId="21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17" fontId="6" fillId="0" borderId="31" xfId="0" applyNumberFormat="1" applyFont="1" applyBorder="1" applyAlignment="1">
      <alignment horizontal="center"/>
    </xf>
    <xf numFmtId="2" fontId="0" fillId="0" borderId="32" xfId="0" applyNumberFormat="1" applyBorder="1"/>
    <xf numFmtId="2" fontId="0" fillId="0" borderId="51" xfId="0" applyNumberFormat="1" applyBorder="1"/>
    <xf numFmtId="2" fontId="0" fillId="0" borderId="52" xfId="0" applyNumberFormat="1" applyBorder="1"/>
    <xf numFmtId="2" fontId="6" fillId="0" borderId="20" xfId="0" applyNumberFormat="1" applyFont="1" applyBorder="1"/>
    <xf numFmtId="2" fontId="10" fillId="0" borderId="0" xfId="0" applyNumberFormat="1" applyFont="1"/>
    <xf numFmtId="0" fontId="0" fillId="0" borderId="2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215" fontId="0" fillId="0" borderId="32" xfId="0" applyNumberFormat="1" applyBorder="1"/>
    <xf numFmtId="2" fontId="0" fillId="0" borderId="26" xfId="0" applyNumberFormat="1" applyBorder="1"/>
    <xf numFmtId="2" fontId="0" fillId="0" borderId="27" xfId="0" applyNumberFormat="1" applyBorder="1"/>
    <xf numFmtId="215" fontId="0" fillId="0" borderId="51" xfId="0" applyNumberFormat="1" applyBorder="1"/>
    <xf numFmtId="215" fontId="0" fillId="0" borderId="52" xfId="0" applyNumberFormat="1" applyBorder="1"/>
    <xf numFmtId="2" fontId="0" fillId="0" borderId="29" xfId="0" applyNumberFormat="1" applyBorder="1"/>
    <xf numFmtId="215" fontId="0" fillId="0" borderId="36" xfId="0" applyNumberFormat="1" applyBorder="1"/>
    <xf numFmtId="215" fontId="5" fillId="0" borderId="20" xfId="0" applyNumberFormat="1" applyFont="1" applyBorder="1"/>
    <xf numFmtId="2" fontId="5" fillId="0" borderId="31" xfId="0" applyNumberFormat="1" applyFont="1" applyBorder="1"/>
    <xf numFmtId="215" fontId="0" fillId="0" borderId="0" xfId="0" applyNumberFormat="1"/>
    <xf numFmtId="217" fontId="6" fillId="0" borderId="20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2" fontId="0" fillId="0" borderId="34" xfId="0" applyNumberFormat="1" applyBorder="1"/>
    <xf numFmtId="2" fontId="0" fillId="0" borderId="35" xfId="0" applyNumberFormat="1" applyBorder="1"/>
    <xf numFmtId="2" fontId="0" fillId="0" borderId="36" xfId="0" applyNumberFormat="1" applyBorder="1"/>
    <xf numFmtId="2" fontId="6" fillId="0" borderId="21" xfId="0" applyNumberFormat="1" applyFont="1" applyBorder="1"/>
    <xf numFmtId="9" fontId="0" fillId="0" borderId="0" xfId="0" applyNumberFormat="1"/>
    <xf numFmtId="0" fontId="0" fillId="0" borderId="40" xfId="0" applyBorder="1" applyAlignment="1">
      <alignment horizontal="center" vertical="center"/>
    </xf>
    <xf numFmtId="215" fontId="0" fillId="0" borderId="41" xfId="0" applyNumberFormat="1" applyBorder="1"/>
    <xf numFmtId="0" fontId="6" fillId="0" borderId="19" xfId="0" applyFont="1" applyBorder="1" applyAlignment="1">
      <alignment horizontal="center"/>
    </xf>
    <xf numFmtId="217" fontId="0" fillId="0" borderId="13" xfId="0" applyNumberFormat="1" applyBorder="1"/>
    <xf numFmtId="217" fontId="0" fillId="0" borderId="50" xfId="0" applyNumberFormat="1" applyBorder="1"/>
    <xf numFmtId="217" fontId="5" fillId="0" borderId="19" xfId="0" applyNumberFormat="1" applyFont="1" applyBorder="1"/>
    <xf numFmtId="0" fontId="0" fillId="0" borderId="50" xfId="0" applyBorder="1"/>
    <xf numFmtId="0" fontId="5" fillId="0" borderId="19" xfId="0" applyFont="1" applyBorder="1"/>
    <xf numFmtId="2" fontId="6" fillId="0" borderId="19" xfId="0" applyNumberFormat="1" applyFont="1" applyBorder="1"/>
    <xf numFmtId="0" fontId="11" fillId="0" borderId="0" xfId="0" applyFont="1"/>
    <xf numFmtId="0" fontId="5" fillId="0" borderId="0" xfId="0" applyFont="1"/>
    <xf numFmtId="0" fontId="12" fillId="0" borderId="0" xfId="0" applyFont="1"/>
    <xf numFmtId="217" fontId="5" fillId="0" borderId="0" xfId="0" applyNumberFormat="1" applyFont="1"/>
    <xf numFmtId="217" fontId="0" fillId="0" borderId="0" xfId="0" applyNumberFormat="1" applyFont="1"/>
    <xf numFmtId="2" fontId="5" fillId="0" borderId="0" xfId="0" applyNumberFormat="1" applyFont="1"/>
    <xf numFmtId="0" fontId="13" fillId="0" borderId="0" xfId="0" applyFont="1"/>
    <xf numFmtId="0" fontId="14" fillId="0" borderId="0" xfId="0" applyFont="1" applyAlignment="1">
      <alignment horizontal="right"/>
    </xf>
    <xf numFmtId="0" fontId="15" fillId="0" borderId="0" xfId="0" applyFont="1"/>
    <xf numFmtId="2" fontId="15" fillId="0" borderId="0" xfId="0" applyNumberFormat="1" applyFont="1"/>
    <xf numFmtId="223" fontId="5" fillId="0" borderId="0" xfId="45" applyNumberFormat="1" applyFont="1" applyFill="1" applyBorder="1"/>
    <xf numFmtId="223" fontId="0" fillId="0" borderId="0" xfId="45" applyNumberFormat="1" applyFont="1" applyFill="1" applyBorder="1"/>
    <xf numFmtId="223" fontId="0" fillId="0" borderId="0" xfId="45" applyNumberFormat="1" applyFont="1"/>
    <xf numFmtId="223" fontId="5" fillId="0" borderId="0" xfId="45" applyNumberFormat="1" applyFont="1"/>
    <xf numFmtId="217" fontId="15" fillId="0" borderId="0" xfId="0" applyNumberFormat="1" applyFont="1"/>
    <xf numFmtId="223" fontId="15" fillId="0" borderId="0" xfId="45" applyNumberFormat="1" applyFont="1"/>
    <xf numFmtId="217" fontId="6" fillId="0" borderId="16" xfId="0" applyNumberFormat="1" applyFont="1" applyBorder="1" applyAlignment="1">
      <alignment horizontal="center"/>
    </xf>
    <xf numFmtId="217" fontId="6" fillId="0" borderId="53" xfId="0" applyNumberFormat="1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2" fontId="0" fillId="0" borderId="41" xfId="0" applyNumberFormat="1" applyBorder="1"/>
    <xf numFmtId="2" fontId="6" fillId="0" borderId="40" xfId="0" applyNumberFormat="1" applyFont="1" applyBorder="1"/>
    <xf numFmtId="1" fontId="5" fillId="0" borderId="0" xfId="0" applyNumberFormat="1" applyFont="1"/>
    <xf numFmtId="217" fontId="6" fillId="0" borderId="33" xfId="0" applyNumberFormat="1" applyFont="1" applyBorder="1" applyAlignment="1">
      <alignment horizontal="center"/>
    </xf>
    <xf numFmtId="217" fontId="6" fillId="0" borderId="54" xfId="0" applyNumberFormat="1" applyFont="1" applyBorder="1" applyAlignment="1">
      <alignment horizontal="center"/>
    </xf>
    <xf numFmtId="2" fontId="0" fillId="0" borderId="13" xfId="0" applyNumberFormat="1" applyBorder="1"/>
    <xf numFmtId="215" fontId="5" fillId="0" borderId="0" xfId="0" applyNumberFormat="1" applyFont="1"/>
    <xf numFmtId="224" fontId="0" fillId="0" borderId="0" xfId="0" applyNumberFormat="1"/>
    <xf numFmtId="0" fontId="11" fillId="0" borderId="1" xfId="0" applyFont="1" applyBorder="1" applyAlignment="1">
      <alignment horizontal="center"/>
    </xf>
    <xf numFmtId="0" fontId="11" fillId="0" borderId="3" xfId="0" applyFont="1" applyBorder="1"/>
    <xf numFmtId="226" fontId="11" fillId="0" borderId="3" xfId="0" applyNumberFormat="1" applyFont="1" applyBorder="1" applyAlignment="1">
      <alignment horizontal="center"/>
    </xf>
    <xf numFmtId="226" fontId="11" fillId="0" borderId="4" xfId="0" applyNumberFormat="1" applyFont="1" applyBorder="1" applyAlignment="1">
      <alignment horizontal="center"/>
    </xf>
    <xf numFmtId="0" fontId="11" fillId="0" borderId="6" xfId="0" applyFont="1" applyBorder="1"/>
    <xf numFmtId="0" fontId="11" fillId="0" borderId="53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0" xfId="0" applyFont="1" applyBorder="1"/>
    <xf numFmtId="217" fontId="11" fillId="0" borderId="12" xfId="0" applyNumberFormat="1" applyFont="1" applyBorder="1"/>
    <xf numFmtId="0" fontId="11" fillId="0" borderId="15" xfId="0" applyFont="1" applyBorder="1"/>
    <xf numFmtId="217" fontId="11" fillId="0" borderId="23" xfId="0" applyNumberFormat="1" applyFont="1" applyBorder="1"/>
    <xf numFmtId="0" fontId="11" fillId="0" borderId="14" xfId="0" applyFont="1" applyBorder="1"/>
    <xf numFmtId="217" fontId="11" fillId="0" borderId="22" xfId="0" applyNumberFormat="1" applyFont="1" applyBorder="1"/>
    <xf numFmtId="217" fontId="11" fillId="0" borderId="8" xfId="0" applyNumberFormat="1" applyFont="1" applyBorder="1"/>
    <xf numFmtId="0" fontId="11" fillId="0" borderId="16" xfId="0" applyFont="1" applyBorder="1"/>
    <xf numFmtId="9" fontId="12" fillId="0" borderId="16" xfId="48" applyFont="1" applyBorder="1" applyAlignment="1">
      <alignment horizontal="center"/>
    </xf>
    <xf numFmtId="217" fontId="11" fillId="0" borderId="18" xfId="0" applyNumberFormat="1" applyFont="1" applyBorder="1"/>
    <xf numFmtId="9" fontId="12" fillId="0" borderId="10" xfId="48" applyFont="1" applyBorder="1" applyAlignment="1">
      <alignment horizontal="center"/>
    </xf>
    <xf numFmtId="217" fontId="11" fillId="0" borderId="55" xfId="0" applyNumberFormat="1" applyFont="1" applyBorder="1"/>
    <xf numFmtId="211" fontId="11" fillId="0" borderId="12" xfId="0" applyNumberFormat="1" applyFont="1" applyBorder="1"/>
    <xf numFmtId="211" fontId="11" fillId="0" borderId="22" xfId="0" applyNumberFormat="1" applyFont="1" applyBorder="1"/>
    <xf numFmtId="202" fontId="11" fillId="0" borderId="22" xfId="48" applyNumberFormat="1" applyFont="1" applyBorder="1" applyAlignment="1">
      <alignment horizontal="center"/>
    </xf>
    <xf numFmtId="202" fontId="11" fillId="0" borderId="23" xfId="48" applyNumberFormat="1" applyFont="1" applyBorder="1" applyAlignment="1">
      <alignment horizontal="center"/>
    </xf>
    <xf numFmtId="211" fontId="11" fillId="0" borderId="23" xfId="48" applyNumberFormat="1" applyFont="1" applyBorder="1" applyAlignment="1">
      <alignment horizontal="right"/>
    </xf>
    <xf numFmtId="0" fontId="11" fillId="0" borderId="56" xfId="0" applyFont="1" applyBorder="1"/>
    <xf numFmtId="9" fontId="12" fillId="0" borderId="56" xfId="48" applyFont="1" applyBorder="1" applyAlignment="1">
      <alignment horizontal="center"/>
    </xf>
    <xf numFmtId="211" fontId="11" fillId="0" borderId="57" xfId="0" applyNumberFormat="1" applyFont="1" applyBorder="1"/>
    <xf numFmtId="9" fontId="11" fillId="0" borderId="58" xfId="48" applyFont="1" applyBorder="1" applyAlignment="1">
      <alignment horizontal="center"/>
    </xf>
    <xf numFmtId="202" fontId="11" fillId="0" borderId="12" xfId="48" applyNumberFormat="1" applyFont="1" applyBorder="1"/>
    <xf numFmtId="9" fontId="11" fillId="0" borderId="14" xfId="48" applyFont="1" applyBorder="1" applyAlignment="1">
      <alignment horizontal="center"/>
    </xf>
    <xf numFmtId="215" fontId="11" fillId="0" borderId="12" xfId="48" applyNumberFormat="1" applyFont="1" applyBorder="1"/>
    <xf numFmtId="217" fontId="11" fillId="0" borderId="22" xfId="48" applyNumberFormat="1" applyFont="1" applyBorder="1"/>
    <xf numFmtId="0" fontId="11" fillId="0" borderId="59" xfId="0" applyFont="1" applyBorder="1"/>
    <xf numFmtId="9" fontId="11" fillId="0" borderId="59" xfId="48" applyFont="1" applyBorder="1" applyAlignment="1">
      <alignment horizontal="center"/>
    </xf>
    <xf numFmtId="217" fontId="11" fillId="0" borderId="23" xfId="48" applyNumberFormat="1" applyFont="1" applyBorder="1"/>
    <xf numFmtId="0" fontId="11" fillId="5" borderId="16" xfId="0" applyFont="1" applyFill="1" applyBorder="1"/>
    <xf numFmtId="9" fontId="12" fillId="5" borderId="16" xfId="48" applyFont="1" applyFill="1" applyBorder="1" applyAlignment="1">
      <alignment horizontal="center"/>
    </xf>
    <xf numFmtId="217" fontId="12" fillId="5" borderId="18" xfId="48" applyNumberFormat="1" applyFont="1" applyFill="1" applyBorder="1"/>
    <xf numFmtId="9" fontId="11" fillId="0" borderId="10" xfId="48" applyFont="1" applyBorder="1" applyAlignment="1">
      <alignment horizontal="center"/>
    </xf>
    <xf numFmtId="202" fontId="11" fillId="0" borderId="55" xfId="48" applyNumberFormat="1" applyFont="1" applyBorder="1"/>
    <xf numFmtId="217" fontId="11" fillId="0" borderId="12" xfId="48" applyNumberFormat="1" applyFont="1" applyBorder="1"/>
    <xf numFmtId="0" fontId="11" fillId="0" borderId="60" xfId="0" applyFont="1" applyBorder="1"/>
    <xf numFmtId="9" fontId="11" fillId="0" borderId="61" xfId="48" applyFont="1" applyBorder="1" applyAlignment="1">
      <alignment horizontal="center"/>
    </xf>
    <xf numFmtId="217" fontId="11" fillId="0" borderId="62" xfId="48" applyNumberFormat="1" applyFont="1" applyBorder="1"/>
    <xf numFmtId="9" fontId="12" fillId="0" borderId="63" xfId="48" applyFont="1" applyBorder="1" applyAlignment="1">
      <alignment horizontal="center"/>
    </xf>
    <xf numFmtId="217" fontId="11" fillId="0" borderId="64" xfId="48" applyNumberFormat="1" applyFont="1" applyBorder="1"/>
    <xf numFmtId="0" fontId="11" fillId="6" borderId="2" xfId="0" applyFont="1" applyFill="1" applyBorder="1"/>
    <xf numFmtId="200" fontId="12" fillId="7" borderId="17" xfId="48" applyNumberFormat="1" applyFont="1" applyFill="1" applyBorder="1" applyAlignment="1">
      <alignment horizontal="center"/>
    </xf>
    <xf numFmtId="217" fontId="11" fillId="7" borderId="65" xfId="48" applyNumberFormat="1" applyFont="1" applyFill="1" applyBorder="1"/>
    <xf numFmtId="0" fontId="12" fillId="5" borderId="3" xfId="0" applyFont="1" applyFill="1" applyBorder="1"/>
    <xf numFmtId="9" fontId="11" fillId="5" borderId="10" xfId="48" applyFont="1" applyFill="1" applyBorder="1" applyAlignment="1">
      <alignment horizontal="center"/>
    </xf>
    <xf numFmtId="217" fontId="12" fillId="5" borderId="55" xfId="0" applyNumberFormat="1" applyFont="1" applyFill="1" applyBorder="1"/>
    <xf numFmtId="0" fontId="11" fillId="0" borderId="61" xfId="0" applyFont="1" applyBorder="1"/>
    <xf numFmtId="217" fontId="11" fillId="0" borderId="66" xfId="0" applyNumberFormat="1" applyFont="1" applyBorder="1"/>
    <xf numFmtId="0" fontId="12" fillId="0" borderId="10" xfId="0" applyFont="1" applyBorder="1"/>
    <xf numFmtId="217" fontId="12" fillId="0" borderId="12" xfId="0" applyNumberFormat="1" applyFont="1" applyBorder="1"/>
    <xf numFmtId="0" fontId="12" fillId="5" borderId="15" xfId="0" applyFont="1" applyFill="1" applyBorder="1"/>
    <xf numFmtId="9" fontId="12" fillId="5" borderId="15" xfId="48" applyFont="1" applyFill="1" applyBorder="1" applyAlignment="1">
      <alignment horizontal="center"/>
    </xf>
    <xf numFmtId="217" fontId="12" fillId="5" borderId="8" xfId="0" applyNumberFormat="1" applyFont="1" applyFill="1" applyBorder="1"/>
    <xf numFmtId="0" fontId="11" fillId="8" borderId="16" xfId="0" applyFont="1" applyFill="1" applyBorder="1"/>
    <xf numFmtId="9" fontId="12" fillId="8" borderId="16" xfId="48" applyFont="1" applyFill="1" applyBorder="1" applyAlignment="1">
      <alignment horizontal="center"/>
    </xf>
    <xf numFmtId="217" fontId="11" fillId="8" borderId="67" xfId="0" applyNumberFormat="1" applyFont="1" applyFill="1" applyBorder="1"/>
    <xf numFmtId="217" fontId="11" fillId="0" borderId="0" xfId="0" applyNumberFormat="1" applyFont="1"/>
    <xf numFmtId="215" fontId="11" fillId="0" borderId="16" xfId="0" applyNumberFormat="1" applyFont="1" applyBorder="1"/>
    <xf numFmtId="218" fontId="12" fillId="0" borderId="16" xfId="48" applyNumberFormat="1" applyFont="1" applyBorder="1" applyAlignment="1">
      <alignment horizontal="center"/>
    </xf>
    <xf numFmtId="215" fontId="11" fillId="0" borderId="18" xfId="0" applyNumberFormat="1" applyFont="1" applyBorder="1"/>
    <xf numFmtId="0" fontId="12" fillId="6" borderId="1" xfId="0" applyFont="1" applyFill="1" applyBorder="1"/>
    <xf numFmtId="215" fontId="11" fillId="0" borderId="0" xfId="0" applyNumberFormat="1" applyFont="1"/>
    <xf numFmtId="0" fontId="11" fillId="0" borderId="1" xfId="0" applyFont="1" applyBorder="1"/>
    <xf numFmtId="226" fontId="11" fillId="0" borderId="5" xfId="0" applyNumberFormat="1" applyFont="1" applyBorder="1" applyAlignment="1">
      <alignment horizontal="center"/>
    </xf>
    <xf numFmtId="0" fontId="11" fillId="0" borderId="68" xfId="0" applyFont="1" applyBorder="1" applyAlignment="1">
      <alignment horizontal="center"/>
    </xf>
    <xf numFmtId="0" fontId="11" fillId="0" borderId="69" xfId="0" applyFont="1" applyBorder="1" applyAlignment="1">
      <alignment horizontal="center"/>
    </xf>
    <xf numFmtId="2" fontId="11" fillId="0" borderId="34" xfId="0" applyNumberFormat="1" applyFont="1" applyBorder="1"/>
    <xf numFmtId="2" fontId="11" fillId="0" borderId="49" xfId="0" applyNumberFormat="1" applyFont="1" applyBorder="1"/>
    <xf numFmtId="215" fontId="11" fillId="0" borderId="36" xfId="0" applyNumberFormat="1" applyFont="1" applyBorder="1"/>
    <xf numFmtId="2" fontId="11" fillId="0" borderId="50" xfId="0" applyNumberFormat="1" applyFont="1" applyBorder="1"/>
    <xf numFmtId="2" fontId="11" fillId="0" borderId="22" xfId="0" applyNumberFormat="1" applyFont="1" applyBorder="1"/>
    <xf numFmtId="2" fontId="11" fillId="0" borderId="23" xfId="0" applyNumberFormat="1" applyFont="1" applyBorder="1"/>
    <xf numFmtId="2" fontId="11" fillId="0" borderId="8" xfId="0" applyNumberFormat="1" applyFont="1" applyBorder="1"/>
    <xf numFmtId="2" fontId="11" fillId="0" borderId="9" xfId="0" applyNumberFormat="1" applyFont="1" applyBorder="1"/>
    <xf numFmtId="2" fontId="11" fillId="0" borderId="13" xfId="0" applyNumberFormat="1" applyFont="1" applyBorder="1"/>
    <xf numFmtId="2" fontId="11" fillId="0" borderId="25" xfId="0" applyNumberFormat="1" applyFont="1" applyBorder="1"/>
    <xf numFmtId="215" fontId="11" fillId="0" borderId="21" xfId="0" applyNumberFormat="1" applyFont="1" applyBorder="1"/>
    <xf numFmtId="210" fontId="11" fillId="0" borderId="19" xfId="0" applyNumberFormat="1" applyFont="1" applyBorder="1"/>
    <xf numFmtId="215" fontId="11" fillId="0" borderId="34" xfId="0" applyNumberFormat="1" applyFont="1" applyBorder="1"/>
    <xf numFmtId="2" fontId="11" fillId="0" borderId="35" xfId="0" applyNumberFormat="1" applyFont="1" applyBorder="1"/>
    <xf numFmtId="2" fontId="11" fillId="0" borderId="38" xfId="0" applyNumberFormat="1" applyFont="1" applyBorder="1"/>
    <xf numFmtId="2" fontId="11" fillId="0" borderId="70" xfId="0" applyNumberFormat="1" applyFont="1" applyBorder="1"/>
    <xf numFmtId="215" fontId="11" fillId="0" borderId="35" xfId="0" applyNumberFormat="1" applyFont="1" applyBorder="1"/>
    <xf numFmtId="215" fontId="11" fillId="0" borderId="38" xfId="0" applyNumberFormat="1" applyFont="1" applyBorder="1"/>
    <xf numFmtId="2" fontId="11" fillId="0" borderId="36" xfId="0" applyNumberFormat="1" applyFont="1" applyBorder="1"/>
    <xf numFmtId="2" fontId="11" fillId="0" borderId="71" xfId="0" applyNumberFormat="1" applyFont="1" applyBorder="1"/>
    <xf numFmtId="2" fontId="11" fillId="0" borderId="72" xfId="0" applyNumberFormat="1" applyFont="1" applyBorder="1"/>
    <xf numFmtId="2" fontId="11" fillId="0" borderId="39" xfId="0" applyNumberFormat="1" applyFont="1" applyBorder="1"/>
    <xf numFmtId="2" fontId="11" fillId="0" borderId="73" xfId="0" applyNumberFormat="1" applyFont="1" applyBorder="1"/>
    <xf numFmtId="2" fontId="12" fillId="5" borderId="21" xfId="0" applyNumberFormat="1" applyFont="1" applyFill="1" applyBorder="1"/>
    <xf numFmtId="2" fontId="12" fillId="5" borderId="19" xfId="0" applyNumberFormat="1" applyFont="1" applyFill="1" applyBorder="1"/>
    <xf numFmtId="2" fontId="11" fillId="0" borderId="66" xfId="0" applyNumberFormat="1" applyFont="1" applyBorder="1"/>
    <xf numFmtId="2" fontId="11" fillId="0" borderId="74" xfId="0" applyNumberFormat="1" applyFont="1" applyBorder="1"/>
    <xf numFmtId="9" fontId="12" fillId="0" borderId="75" xfId="48" applyFont="1" applyBorder="1" applyAlignment="1">
      <alignment horizontal="center"/>
    </xf>
    <xf numFmtId="215" fontId="12" fillId="6" borderId="76" xfId="0" applyNumberFormat="1" applyFont="1" applyFill="1" applyBorder="1"/>
    <xf numFmtId="215" fontId="12" fillId="6" borderId="77" xfId="0" applyNumberFormat="1" applyFont="1" applyFill="1" applyBorder="1"/>
    <xf numFmtId="217" fontId="11" fillId="6" borderId="65" xfId="48" applyNumberFormat="1" applyFont="1" applyFill="1" applyBorder="1"/>
    <xf numFmtId="2" fontId="12" fillId="5" borderId="55" xfId="0" applyNumberFormat="1" applyFont="1" applyFill="1" applyBorder="1"/>
    <xf numFmtId="2" fontId="12" fillId="5" borderId="49" xfId="0" applyNumberFormat="1" applyFont="1" applyFill="1" applyBorder="1"/>
    <xf numFmtId="2" fontId="11" fillId="0" borderId="78" xfId="0" applyNumberFormat="1" applyFont="1" applyBorder="1"/>
    <xf numFmtId="2" fontId="12" fillId="0" borderId="12" xfId="0" applyNumberFormat="1" applyFont="1" applyBorder="1"/>
    <xf numFmtId="2" fontId="12" fillId="0" borderId="13" xfId="0" applyNumberFormat="1" applyFont="1" applyBorder="1"/>
    <xf numFmtId="2" fontId="12" fillId="5" borderId="8" xfId="0" applyNumberFormat="1" applyFont="1" applyFill="1" applyBorder="1"/>
    <xf numFmtId="2" fontId="12" fillId="5" borderId="9" xfId="0" applyNumberFormat="1" applyFont="1" applyFill="1" applyBorder="1"/>
    <xf numFmtId="2" fontId="12" fillId="8" borderId="68" xfId="0" applyNumberFormat="1" applyFont="1" applyFill="1" applyBorder="1"/>
    <xf numFmtId="2" fontId="11" fillId="8" borderId="69" xfId="0" applyNumberFormat="1" applyFont="1" applyFill="1" applyBorder="1"/>
    <xf numFmtId="2" fontId="11" fillId="0" borderId="0" xfId="0" applyNumberFormat="1" applyFont="1"/>
    <xf numFmtId="2" fontId="11" fillId="0" borderId="1" xfId="0" applyNumberFormat="1" applyFont="1" applyBorder="1"/>
    <xf numFmtId="215" fontId="11" fillId="0" borderId="19" xfId="0" applyNumberFormat="1" applyFont="1" applyBorder="1"/>
    <xf numFmtId="215" fontId="12" fillId="6" borderId="1" xfId="0" applyNumberFormat="1" applyFont="1" applyFill="1" applyBorder="1"/>
    <xf numFmtId="1" fontId="11" fillId="0" borderId="0" xfId="0" applyNumberFormat="1" applyFont="1"/>
    <xf numFmtId="215" fontId="12" fillId="0" borderId="0" xfId="0" applyNumberFormat="1" applyFont="1"/>
    <xf numFmtId="2" fontId="12" fillId="0" borderId="0" xfId="0" applyNumberFormat="1" applyFont="1"/>
    <xf numFmtId="0" fontId="11" fillId="0" borderId="2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2" fontId="11" fillId="0" borderId="76" xfId="0" applyNumberFormat="1" applyFont="1" applyBorder="1"/>
    <xf numFmtId="0" fontId="11" fillId="0" borderId="11" xfId="0" applyFont="1" applyBorder="1"/>
    <xf numFmtId="217" fontId="11" fillId="0" borderId="32" xfId="0" applyNumberFormat="1" applyFont="1" applyBorder="1"/>
    <xf numFmtId="0" fontId="11" fillId="0" borderId="30" xfId="0" applyFont="1" applyBorder="1"/>
    <xf numFmtId="217" fontId="11" fillId="0" borderId="29" xfId="0" applyNumberFormat="1" applyFont="1" applyBorder="1"/>
    <xf numFmtId="0" fontId="11" fillId="0" borderId="28" xfId="0" applyFont="1" applyBorder="1"/>
    <xf numFmtId="0" fontId="11" fillId="0" borderId="7" xfId="0" applyFont="1" applyBorder="1"/>
    <xf numFmtId="217" fontId="11" fillId="0" borderId="24" xfId="0" applyNumberFormat="1" applyFont="1" applyBorder="1"/>
    <xf numFmtId="217" fontId="11" fillId="0" borderId="79" xfId="0" applyNumberFormat="1" applyFont="1" applyBorder="1"/>
    <xf numFmtId="2" fontId="11" fillId="0" borderId="21" xfId="0" applyNumberFormat="1" applyFont="1" applyBorder="1"/>
    <xf numFmtId="9" fontId="12" fillId="0" borderId="17" xfId="48" applyFont="1" applyBorder="1" applyAlignment="1">
      <alignment horizontal="center"/>
    </xf>
    <xf numFmtId="217" fontId="11" fillId="0" borderId="20" xfId="0" applyNumberFormat="1" applyFont="1" applyBorder="1"/>
    <xf numFmtId="9" fontId="12" fillId="0" borderId="11" xfId="48" applyFont="1" applyBorder="1" applyAlignment="1">
      <alignment horizontal="center"/>
    </xf>
    <xf numFmtId="217" fontId="11" fillId="0" borderId="51" xfId="0" applyNumberFormat="1" applyFont="1" applyBorder="1"/>
    <xf numFmtId="0" fontId="11" fillId="0" borderId="48" xfId="0" applyFont="1" applyBorder="1"/>
    <xf numFmtId="211" fontId="11" fillId="0" borderId="51" xfId="0" applyNumberFormat="1" applyFont="1" applyBorder="1"/>
    <xf numFmtId="202" fontId="11" fillId="0" borderId="51" xfId="48" applyNumberFormat="1" applyFont="1" applyBorder="1"/>
    <xf numFmtId="202" fontId="11" fillId="0" borderId="52" xfId="48" applyNumberFormat="1" applyFont="1" applyBorder="1"/>
    <xf numFmtId="210" fontId="11" fillId="0" borderId="36" xfId="0" applyNumberFormat="1" applyFont="1" applyBorder="1"/>
    <xf numFmtId="9" fontId="12" fillId="0" borderId="80" xfId="48" applyFont="1" applyBorder="1" applyAlignment="1">
      <alignment horizontal="center"/>
    </xf>
    <xf numFmtId="211" fontId="11" fillId="0" borderId="81" xfId="0" applyNumberFormat="1" applyFont="1" applyBorder="1"/>
    <xf numFmtId="217" fontId="11" fillId="0" borderId="82" xfId="0" applyNumberFormat="1" applyFont="1" applyBorder="1"/>
    <xf numFmtId="215" fontId="11" fillId="0" borderId="22" xfId="0" applyNumberFormat="1" applyFont="1" applyBorder="1"/>
    <xf numFmtId="217" fontId="12" fillId="5" borderId="18" xfId="0" applyNumberFormat="1" applyFont="1" applyFill="1" applyBorder="1"/>
    <xf numFmtId="9" fontId="11" fillId="0" borderId="11" xfId="48" applyFont="1" applyBorder="1" applyAlignment="1">
      <alignment horizontal="center"/>
    </xf>
    <xf numFmtId="217" fontId="11" fillId="0" borderId="4" xfId="0" applyNumberFormat="1" applyFont="1" applyBorder="1"/>
    <xf numFmtId="9" fontId="11" fillId="0" borderId="28" xfId="48" applyFont="1" applyBorder="1" applyAlignment="1">
      <alignment horizontal="center"/>
    </xf>
    <xf numFmtId="9" fontId="11" fillId="0" borderId="83" xfId="48" applyFont="1" applyBorder="1" applyAlignment="1">
      <alignment horizontal="center"/>
    </xf>
    <xf numFmtId="217" fontId="11" fillId="0" borderId="84" xfId="0" applyNumberFormat="1" applyFont="1" applyBorder="1"/>
    <xf numFmtId="2" fontId="12" fillId="6" borderId="77" xfId="0" applyNumberFormat="1" applyFont="1" applyFill="1" applyBorder="1"/>
    <xf numFmtId="217" fontId="11" fillId="6" borderId="85" xfId="0" applyNumberFormat="1" applyFont="1" applyFill="1" applyBorder="1"/>
    <xf numFmtId="9" fontId="11" fillId="5" borderId="11" xfId="48" applyFont="1" applyFill="1" applyBorder="1" applyAlignment="1">
      <alignment horizontal="center"/>
    </xf>
    <xf numFmtId="217" fontId="12" fillId="5" borderId="4" xfId="0" applyNumberFormat="1" applyFont="1" applyFill="1" applyBorder="1"/>
    <xf numFmtId="217" fontId="11" fillId="0" borderId="52" xfId="0" applyNumberFormat="1" applyFont="1" applyBorder="1"/>
    <xf numFmtId="217" fontId="11" fillId="0" borderId="86" xfId="0" applyNumberFormat="1" applyFont="1" applyBorder="1"/>
    <xf numFmtId="217" fontId="12" fillId="0" borderId="32" xfId="0" applyNumberFormat="1" applyFont="1" applyBorder="1"/>
    <xf numFmtId="9" fontId="12" fillId="5" borderId="30" xfId="48" applyFont="1" applyFill="1" applyBorder="1" applyAlignment="1">
      <alignment horizontal="center"/>
    </xf>
    <xf numFmtId="217" fontId="12" fillId="5" borderId="79" xfId="0" applyNumberFormat="1" applyFont="1" applyFill="1" applyBorder="1"/>
    <xf numFmtId="9" fontId="12" fillId="8" borderId="17" xfId="48" applyFont="1" applyFill="1" applyBorder="1" applyAlignment="1">
      <alignment horizontal="center"/>
    </xf>
    <xf numFmtId="217" fontId="11" fillId="8" borderId="1" xfId="0" applyNumberFormat="1" applyFont="1" applyFill="1" applyBorder="1"/>
    <xf numFmtId="218" fontId="12" fillId="0" borderId="17" xfId="48" applyNumberFormat="1" applyFont="1" applyBorder="1" applyAlignment="1">
      <alignment horizontal="center"/>
    </xf>
    <xf numFmtId="215" fontId="11" fillId="0" borderId="31" xfId="0" applyNumberFormat="1" applyFont="1" applyBorder="1"/>
    <xf numFmtId="215" fontId="11" fillId="0" borderId="0" xfId="0" applyNumberFormat="1" applyFont="1" applyAlignment="1">
      <alignment horizontal="right"/>
    </xf>
    <xf numFmtId="215" fontId="11" fillId="2" borderId="0" xfId="0" applyNumberFormat="1" applyFont="1" applyFill="1"/>
    <xf numFmtId="0" fontId="11" fillId="0" borderId="9" xfId="0" applyFont="1" applyBorder="1" applyAlignment="1">
      <alignment horizontal="center"/>
    </xf>
    <xf numFmtId="217" fontId="11" fillId="0" borderId="70" xfId="0" applyNumberFormat="1" applyFont="1" applyBorder="1"/>
    <xf numFmtId="210" fontId="11" fillId="0" borderId="73" xfId="0" applyNumberFormat="1" applyFont="1" applyBorder="1"/>
    <xf numFmtId="210" fontId="11" fillId="0" borderId="9" xfId="0" applyNumberFormat="1" applyFont="1" applyBorder="1"/>
    <xf numFmtId="210" fontId="11" fillId="0" borderId="50" xfId="0" applyNumberFormat="1" applyFont="1" applyBorder="1"/>
    <xf numFmtId="211" fontId="11" fillId="0" borderId="35" xfId="0" applyNumberFormat="1" applyFont="1" applyBorder="1"/>
    <xf numFmtId="210" fontId="11" fillId="0" borderId="38" xfId="0" applyNumberFormat="1" applyFont="1" applyBorder="1"/>
    <xf numFmtId="211" fontId="11" fillId="0" borderId="36" xfId="0" applyNumberFormat="1" applyFont="1" applyBorder="1"/>
    <xf numFmtId="217" fontId="11" fillId="0" borderId="52" xfId="48" applyNumberFormat="1" applyFont="1" applyBorder="1"/>
    <xf numFmtId="9" fontId="11" fillId="0" borderId="87" xfId="48" applyFont="1" applyBorder="1" applyAlignment="1">
      <alignment horizontal="center"/>
    </xf>
    <xf numFmtId="215" fontId="11" fillId="0" borderId="32" xfId="0" applyNumberFormat="1" applyFont="1" applyBorder="1"/>
    <xf numFmtId="9" fontId="11" fillId="0" borderId="88" xfId="48" applyFont="1" applyBorder="1" applyAlignment="1">
      <alignment horizontal="center"/>
    </xf>
    <xf numFmtId="9" fontId="12" fillId="5" borderId="17" xfId="48" applyFont="1" applyFill="1" applyBorder="1" applyAlignment="1">
      <alignment horizontal="center"/>
    </xf>
    <xf numFmtId="217" fontId="12" fillId="5" borderId="20" xfId="0" applyNumberFormat="1" applyFont="1" applyFill="1" applyBorder="1"/>
    <xf numFmtId="217" fontId="11" fillId="0" borderId="89" xfId="0" applyNumberFormat="1" applyFont="1" applyBorder="1"/>
    <xf numFmtId="217" fontId="12" fillId="5" borderId="90" xfId="0" applyNumberFormat="1" applyFont="1" applyFill="1" applyBorder="1"/>
    <xf numFmtId="217" fontId="11" fillId="0" borderId="27" xfId="0" applyNumberFormat="1" applyFont="1" applyBorder="1"/>
    <xf numFmtId="217" fontId="12" fillId="0" borderId="26" xfId="0" applyNumberFormat="1" applyFont="1" applyBorder="1"/>
    <xf numFmtId="217" fontId="12" fillId="5" borderId="24" xfId="0" applyNumberFormat="1" applyFont="1" applyFill="1" applyBorder="1"/>
    <xf numFmtId="217" fontId="11" fillId="8" borderId="91" xfId="0" applyNumberFormat="1" applyFont="1" applyFill="1" applyBorder="1"/>
    <xf numFmtId="194" fontId="11" fillId="0" borderId="0" xfId="0" applyNumberFormat="1" applyFont="1"/>
    <xf numFmtId="2" fontId="11" fillId="0" borderId="68" xfId="0" applyNumberFormat="1" applyFont="1" applyBorder="1"/>
    <xf numFmtId="210" fontId="11" fillId="0" borderId="39" xfId="0" applyNumberFormat="1" applyFont="1" applyBorder="1"/>
    <xf numFmtId="210" fontId="11" fillId="0" borderId="25" xfId="0" applyNumberFormat="1" applyFont="1" applyBorder="1"/>
    <xf numFmtId="210" fontId="11" fillId="0" borderId="21" xfId="0" applyNumberFormat="1" applyFont="1" applyBorder="1"/>
    <xf numFmtId="229" fontId="11" fillId="0" borderId="35" xfId="0" applyNumberFormat="1" applyFont="1" applyBorder="1"/>
    <xf numFmtId="210" fontId="11" fillId="0" borderId="35" xfId="0" applyNumberFormat="1" applyFont="1" applyBorder="1"/>
    <xf numFmtId="9" fontId="11" fillId="0" borderId="37" xfId="48" applyFont="1" applyBorder="1" applyAlignment="1">
      <alignment horizontal="center"/>
    </xf>
    <xf numFmtId="2" fontId="11" fillId="0" borderId="92" xfId="0" applyNumberFormat="1" applyFont="1" applyBorder="1"/>
    <xf numFmtId="2" fontId="11" fillId="8" borderId="68" xfId="0" applyNumberFormat="1" applyFont="1" applyFill="1" applyBorder="1"/>
    <xf numFmtId="217" fontId="11" fillId="0" borderId="31" xfId="0" applyNumberFormat="1" applyFont="1" applyBorder="1"/>
    <xf numFmtId="215" fontId="12" fillId="2" borderId="0" xfId="0" applyNumberFormat="1" applyFont="1" applyFill="1"/>
    <xf numFmtId="217" fontId="11" fillId="0" borderId="90" xfId="0" applyNumberFormat="1" applyFont="1" applyBorder="1"/>
    <xf numFmtId="2" fontId="11" fillId="0" borderId="19" xfId="0" applyNumberFormat="1" applyFont="1" applyBorder="1"/>
    <xf numFmtId="215" fontId="11" fillId="0" borderId="8" xfId="0" applyNumberFormat="1" applyFont="1" applyBorder="1"/>
    <xf numFmtId="215" fontId="11" fillId="0" borderId="70" xfId="0" applyNumberFormat="1" applyFont="1" applyBorder="1"/>
    <xf numFmtId="229" fontId="12" fillId="6" borderId="77" xfId="0" applyNumberFormat="1" applyFont="1" applyFill="1" applyBorder="1"/>
    <xf numFmtId="0" fontId="11" fillId="0" borderId="6" xfId="0" applyFont="1" applyBorder="1" applyAlignment="1">
      <alignment horizontal="center"/>
    </xf>
    <xf numFmtId="2" fontId="11" fillId="0" borderId="67" xfId="0" applyNumberFormat="1" applyFont="1" applyBorder="1"/>
    <xf numFmtId="217" fontId="11" fillId="0" borderId="57" xfId="0" applyNumberFormat="1" applyFont="1" applyBorder="1"/>
    <xf numFmtId="217" fontId="11" fillId="0" borderId="26" xfId="0" applyNumberFormat="1" applyFont="1" applyBorder="1"/>
    <xf numFmtId="209" fontId="11" fillId="0" borderId="52" xfId="48" applyNumberFormat="1" applyFont="1" applyBorder="1"/>
    <xf numFmtId="207" fontId="12" fillId="6" borderId="77" xfId="0" applyNumberFormat="1" applyFont="1" applyFill="1" applyBorder="1"/>
    <xf numFmtId="211" fontId="12" fillId="6" borderId="76" xfId="0" applyNumberFormat="1" applyFont="1" applyFill="1" applyBorder="1"/>
    <xf numFmtId="2" fontId="12" fillId="5" borderId="70" xfId="0" applyNumberFormat="1" applyFont="1" applyFill="1" applyBorder="1"/>
    <xf numFmtId="207" fontId="11" fillId="0" borderId="9" xfId="0" applyNumberFormat="1" applyFont="1" applyBorder="1"/>
    <xf numFmtId="2" fontId="12" fillId="6" borderId="1" xfId="0" applyNumberFormat="1" applyFont="1" applyFill="1" applyBorder="1"/>
    <xf numFmtId="207" fontId="11" fillId="0" borderId="0" xfId="0" applyNumberFormat="1" applyFont="1"/>
    <xf numFmtId="207" fontId="12" fillId="0" borderId="0" xfId="0" applyNumberFormat="1" applyFont="1"/>
    <xf numFmtId="217" fontId="11" fillId="0" borderId="56" xfId="0" applyNumberFormat="1" applyFont="1" applyBorder="1"/>
    <xf numFmtId="2" fontId="11" fillId="0" borderId="93" xfId="0" applyNumberFormat="1" applyFont="1" applyBorder="1"/>
    <xf numFmtId="215" fontId="11" fillId="0" borderId="9" xfId="0" applyNumberFormat="1" applyFont="1" applyBorder="1"/>
    <xf numFmtId="211" fontId="11" fillId="0" borderId="31" xfId="0" applyNumberFormat="1" applyFont="1" applyBorder="1"/>
    <xf numFmtId="211" fontId="11" fillId="0" borderId="0" xfId="0" applyNumberFormat="1" applyFont="1"/>
    <xf numFmtId="2" fontId="11" fillId="0" borderId="32" xfId="0" applyNumberFormat="1" applyFont="1" applyBorder="1"/>
    <xf numFmtId="194" fontId="11" fillId="0" borderId="1" xfId="0" applyNumberFormat="1" applyFont="1" applyBorder="1"/>
    <xf numFmtId="217" fontId="11" fillId="0" borderId="94" xfId="0" applyNumberFormat="1" applyFont="1" applyBorder="1"/>
    <xf numFmtId="217" fontId="11" fillId="0" borderId="91" xfId="0" applyNumberFormat="1" applyFont="1" applyBorder="1"/>
    <xf numFmtId="229" fontId="12" fillId="6" borderId="76" xfId="0" applyNumberFormat="1" applyFont="1" applyFill="1" applyBorder="1"/>
    <xf numFmtId="210" fontId="12" fillId="6" borderId="77" xfId="0" applyNumberFormat="1" applyFont="1" applyFill="1" applyBorder="1"/>
    <xf numFmtId="2" fontId="11" fillId="0" borderId="64" xfId="0" applyNumberFormat="1" applyFont="1" applyBorder="1"/>
    <xf numFmtId="9" fontId="11" fillId="7" borderId="17" xfId="48" applyFont="1" applyFill="1" applyBorder="1" applyAlignment="1">
      <alignment horizontal="center"/>
    </xf>
    <xf numFmtId="215" fontId="11" fillId="0" borderId="25" xfId="0" applyNumberFormat="1" applyFont="1" applyBorder="1"/>
    <xf numFmtId="9" fontId="11" fillId="0" borderId="17" xfId="48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217" fontId="11" fillId="9" borderId="79" xfId="0" applyNumberFormat="1" applyFont="1" applyFill="1" applyBorder="1"/>
    <xf numFmtId="217" fontId="11" fillId="0" borderId="35" xfId="0" applyNumberFormat="1" applyFont="1" applyBorder="1"/>
    <xf numFmtId="210" fontId="11" fillId="0" borderId="70" xfId="0" applyNumberFormat="1" applyFont="1" applyBorder="1"/>
    <xf numFmtId="210" fontId="11" fillId="0" borderId="13" xfId="0" applyNumberFormat="1" applyFont="1" applyBorder="1"/>
    <xf numFmtId="0" fontId="11" fillId="0" borderId="37" xfId="0" applyFont="1" applyBorder="1"/>
    <xf numFmtId="211" fontId="11" fillId="0" borderId="32" xfId="0" applyNumberFormat="1" applyFont="1" applyBorder="1"/>
    <xf numFmtId="206" fontId="12" fillId="0" borderId="28" xfId="48" applyNumberFormat="1" applyFont="1" applyBorder="1" applyAlignment="1">
      <alignment horizontal="center"/>
    </xf>
    <xf numFmtId="211" fontId="11" fillId="9" borderId="51" xfId="0" applyNumberFormat="1" applyFont="1" applyFill="1" applyBorder="1"/>
    <xf numFmtId="202" fontId="11" fillId="0" borderId="51" xfId="48" applyNumberFormat="1" applyFont="1" applyBorder="1" applyAlignment="1">
      <alignment horizontal="center"/>
    </xf>
    <xf numFmtId="207" fontId="12" fillId="6" borderId="76" xfId="0" applyNumberFormat="1" applyFont="1" applyFill="1" applyBorder="1"/>
    <xf numFmtId="9" fontId="11" fillId="6" borderId="85" xfId="48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6" fillId="0" borderId="0" xfId="0" applyFont="1" applyAlignment="1">
      <alignment horizontal="center"/>
    </xf>
    <xf numFmtId="217" fontId="16" fillId="0" borderId="0" xfId="0" applyNumberFormat="1" applyFont="1"/>
    <xf numFmtId="217" fontId="16" fillId="0" borderId="1" xfId="0" applyNumberFormat="1" applyFont="1" applyBorder="1"/>
    <xf numFmtId="2" fontId="11" fillId="9" borderId="25" xfId="0" applyNumberFormat="1" applyFont="1" applyFill="1" applyBorder="1"/>
    <xf numFmtId="202" fontId="12" fillId="0" borderId="0" xfId="48" applyNumberFormat="1" applyFont="1" applyAlignment="1">
      <alignment horizontal="center"/>
    </xf>
    <xf numFmtId="217" fontId="16" fillId="0" borderId="20" xfId="48" applyNumberFormat="1" applyFont="1" applyBorder="1" applyAlignment="1">
      <alignment horizontal="right"/>
    </xf>
    <xf numFmtId="217" fontId="16" fillId="0" borderId="0" xfId="48" applyNumberFormat="1" applyFont="1" applyAlignment="1">
      <alignment horizontal="right"/>
    </xf>
    <xf numFmtId="207" fontId="11" fillId="9" borderId="35" xfId="0" applyNumberFormat="1" applyFont="1" applyFill="1" applyBorder="1"/>
    <xf numFmtId="215" fontId="11" fillId="0" borderId="50" xfId="0" applyNumberFormat="1" applyFont="1" applyBorder="1"/>
    <xf numFmtId="216" fontId="11" fillId="0" borderId="0" xfId="48" applyNumberFormat="1" applyFont="1"/>
    <xf numFmtId="202" fontId="12" fillId="0" borderId="0" xfId="0" applyNumberFormat="1" applyFont="1"/>
    <xf numFmtId="0" fontId="16" fillId="0" borderId="0" xfId="0" applyFont="1"/>
    <xf numFmtId="2" fontId="16" fillId="0" borderId="0" xfId="0" applyNumberFormat="1" applyFont="1"/>
    <xf numFmtId="2" fontId="11" fillId="0" borderId="82" xfId="0" applyNumberFormat="1" applyFont="1" applyBorder="1"/>
    <xf numFmtId="9" fontId="11" fillId="0" borderId="0" xfId="48" applyFont="1" applyAlignment="1">
      <alignment horizontal="center"/>
    </xf>
    <xf numFmtId="9" fontId="16" fillId="0" borderId="0" xfId="48" applyFont="1" applyAlignment="1">
      <alignment horizontal="center"/>
    </xf>
    <xf numFmtId="2" fontId="11" fillId="0" borderId="12" xfId="0" applyNumberFormat="1" applyFont="1" applyBorder="1"/>
    <xf numFmtId="202" fontId="11" fillId="0" borderId="0" xfId="48" applyNumberFormat="1" applyFont="1" applyAlignment="1">
      <alignment horizontal="center"/>
    </xf>
    <xf numFmtId="202" fontId="16" fillId="0" borderId="0" xfId="48" applyNumberFormat="1" applyFont="1" applyAlignment="1">
      <alignment horizontal="center"/>
    </xf>
    <xf numFmtId="2" fontId="11" fillId="0" borderId="69" xfId="0" applyNumberFormat="1" applyFont="1" applyBorder="1"/>
    <xf numFmtId="215" fontId="11" fillId="0" borderId="55" xfId="0" applyNumberFormat="1" applyFont="1" applyBorder="1"/>
    <xf numFmtId="202" fontId="11" fillId="0" borderId="0" xfId="0" applyNumberFormat="1" applyFont="1" applyAlignment="1">
      <alignment horizontal="center"/>
    </xf>
    <xf numFmtId="202" fontId="16" fillId="0" borderId="0" xfId="0" applyNumberFormat="1" applyFont="1" applyAlignment="1">
      <alignment horizontal="center"/>
    </xf>
    <xf numFmtId="205" fontId="12" fillId="6" borderId="76" xfId="0" applyNumberFormat="1" applyFont="1" applyFill="1" applyBorder="1"/>
    <xf numFmtId="205" fontId="12" fillId="6" borderId="77" xfId="0" applyNumberFormat="1" applyFont="1" applyFill="1" applyBorder="1"/>
    <xf numFmtId="201" fontId="12" fillId="0" borderId="0" xfId="48" applyNumberFormat="1" applyFont="1" applyAlignment="1">
      <alignment horizontal="center"/>
    </xf>
    <xf numFmtId="202" fontId="11" fillId="0" borderId="0" xfId="48" applyNumberFormat="1" applyFont="1" applyAlignment="1">
      <alignment horizontal="center" vertical="center"/>
    </xf>
    <xf numFmtId="202" fontId="16" fillId="0" borderId="0" xfId="48" applyNumberFormat="1" applyFont="1" applyAlignment="1">
      <alignment horizontal="center" vertical="center"/>
    </xf>
    <xf numFmtId="201" fontId="12" fillId="0" borderId="0" xfId="48" applyNumberFormat="1" applyFont="1"/>
    <xf numFmtId="199" fontId="16" fillId="0" borderId="0" xfId="48" applyNumberFormat="1" applyFont="1"/>
    <xf numFmtId="231" fontId="11" fillId="0" borderId="0" xfId="45" applyFont="1"/>
    <xf numFmtId="213" fontId="14" fillId="0" borderId="0" xfId="0" applyNumberFormat="1" applyFont="1"/>
    <xf numFmtId="0" fontId="11" fillId="0" borderId="17" xfId="0" applyFont="1" applyBorder="1"/>
    <xf numFmtId="203" fontId="17" fillId="0" borderId="0" xfId="0" applyNumberFormat="1" applyFont="1" applyAlignment="1">
      <alignment horizontal="center"/>
    </xf>
    <xf numFmtId="203" fontId="17" fillId="0" borderId="0" xfId="0" applyNumberFormat="1" applyFont="1"/>
    <xf numFmtId="203" fontId="18" fillId="2" borderId="0" xfId="0" applyNumberFormat="1" applyFont="1" applyFill="1"/>
    <xf numFmtId="203" fontId="18" fillId="2" borderId="1" xfId="0" applyNumberFormat="1" applyFont="1" applyFill="1" applyBorder="1"/>
    <xf numFmtId="203" fontId="17" fillId="2" borderId="20" xfId="48" applyNumberFormat="1" applyFont="1" applyFill="1" applyBorder="1" applyAlignment="1">
      <alignment horizontal="right"/>
    </xf>
    <xf numFmtId="203" fontId="17" fillId="2" borderId="0" xfId="0" applyNumberFormat="1" applyFont="1" applyFill="1"/>
    <xf numFmtId="227" fontId="11" fillId="0" borderId="0" xfId="0" applyNumberFormat="1" applyFont="1"/>
    <xf numFmtId="202" fontId="11" fillId="0" borderId="0" xfId="48" applyNumberFormat="1" applyFont="1"/>
    <xf numFmtId="194" fontId="16" fillId="0" borderId="0" xfId="48" applyNumberFormat="1" applyFont="1" applyAlignment="1">
      <alignment horizontal="center"/>
    </xf>
    <xf numFmtId="194" fontId="16" fillId="0" borderId="0" xfId="0" applyNumberFormat="1" applyFont="1" applyAlignment="1">
      <alignment horizontal="center"/>
    </xf>
    <xf numFmtId="202" fontId="11" fillId="0" borderId="49" xfId="0" applyNumberFormat="1" applyFont="1" applyBorder="1"/>
    <xf numFmtId="202" fontId="11" fillId="0" borderId="38" xfId="0" applyNumberFormat="1" applyFont="1" applyBorder="1"/>
    <xf numFmtId="202" fontId="11" fillId="0" borderId="50" xfId="0" applyNumberFormat="1" applyFont="1" applyBorder="1"/>
    <xf numFmtId="202" fontId="11" fillId="0" borderId="19" xfId="0" applyNumberFormat="1" applyFont="1" applyBorder="1"/>
    <xf numFmtId="0" fontId="11" fillId="0" borderId="16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223" fontId="11" fillId="0" borderId="41" xfId="45" applyNumberFormat="1" applyFont="1" applyBorder="1"/>
    <xf numFmtId="223" fontId="11" fillId="0" borderId="95" xfId="45" applyNumberFormat="1" applyFont="1" applyBorder="1"/>
    <xf numFmtId="223" fontId="11" fillId="0" borderId="46" xfId="45" applyNumberFormat="1" applyFont="1" applyBorder="1"/>
    <xf numFmtId="223" fontId="11" fillId="0" borderId="96" xfId="45" applyNumberFormat="1" applyFont="1" applyBorder="1"/>
    <xf numFmtId="0" fontId="11" fillId="0" borderId="53" xfId="0" applyFont="1" applyBorder="1"/>
    <xf numFmtId="223" fontId="11" fillId="0" borderId="47" xfId="45" applyNumberFormat="1" applyFont="1" applyBorder="1"/>
    <xf numFmtId="223" fontId="11" fillId="0" borderId="54" xfId="45" applyNumberFormat="1" applyFont="1" applyBorder="1"/>
    <xf numFmtId="223" fontId="11" fillId="0" borderId="40" xfId="45" applyNumberFormat="1" applyFont="1" applyBorder="1"/>
    <xf numFmtId="223" fontId="11" fillId="0" borderId="33" xfId="45" applyNumberFormat="1" applyFont="1" applyBorder="1"/>
    <xf numFmtId="223" fontId="11" fillId="0" borderId="42" xfId="45" applyNumberFormat="1" applyFont="1" applyBorder="1"/>
    <xf numFmtId="223" fontId="11" fillId="0" borderId="97" xfId="45" applyNumberFormat="1" applyFont="1" applyBorder="1"/>
    <xf numFmtId="223" fontId="11" fillId="0" borderId="43" xfId="45" applyNumberFormat="1" applyFont="1" applyBorder="1"/>
    <xf numFmtId="223" fontId="11" fillId="0" borderId="98" xfId="45" applyNumberFormat="1" applyFont="1" applyBorder="1"/>
    <xf numFmtId="0" fontId="12" fillId="0" borderId="16" xfId="0" applyFont="1" applyBorder="1"/>
    <xf numFmtId="223" fontId="12" fillId="0" borderId="40" xfId="45" applyNumberFormat="1" applyFont="1" applyBorder="1"/>
    <xf numFmtId="223" fontId="12" fillId="0" borderId="33" xfId="45" applyNumberFormat="1" applyFont="1" applyBorder="1"/>
    <xf numFmtId="223" fontId="12" fillId="0" borderId="47" xfId="45" applyNumberFormat="1" applyFont="1" applyBorder="1"/>
    <xf numFmtId="223" fontId="12" fillId="0" borderId="54" xfId="45" applyNumberFormat="1" applyFont="1" applyBorder="1"/>
    <xf numFmtId="223" fontId="11" fillId="0" borderId="0" xfId="45" applyNumberFormat="1" applyFont="1"/>
    <xf numFmtId="223" fontId="11" fillId="0" borderId="0" xfId="0" applyNumberFormat="1" applyFont="1"/>
    <xf numFmtId="223" fontId="12" fillId="0" borderId="40" xfId="0" applyNumberFormat="1" applyFont="1" applyBorder="1"/>
    <xf numFmtId="0" fontId="11" fillId="0" borderId="33" xfId="0" applyFont="1" applyBorder="1"/>
    <xf numFmtId="0" fontId="6" fillId="0" borderId="17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5" fillId="0" borderId="17" xfId="0" applyFont="1" applyBorder="1" applyAlignment="1">
      <alignment horizontal="right"/>
    </xf>
    <xf numFmtId="0" fontId="0" fillId="0" borderId="11" xfId="0" applyFont="1" applyBorder="1"/>
    <xf numFmtId="0" fontId="0" fillId="0" borderId="0" xfId="0" applyFont="1" applyAlignment="1">
      <alignment horizontal="center"/>
    </xf>
    <xf numFmtId="9" fontId="5" fillId="0" borderId="0" xfId="48" applyFont="1"/>
    <xf numFmtId="0" fontId="0" fillId="0" borderId="9" xfId="0" applyBorder="1"/>
    <xf numFmtId="2" fontId="0" fillId="0" borderId="53" xfId="0" applyNumberFormat="1" applyBorder="1"/>
    <xf numFmtId="9" fontId="5" fillId="0" borderId="1" xfId="48" applyFont="1" applyBorder="1"/>
    <xf numFmtId="0" fontId="0" fillId="0" borderId="13" xfId="0" applyBorder="1"/>
    <xf numFmtId="2" fontId="5" fillId="0" borderId="16" xfId="0" applyNumberFormat="1" applyFont="1" applyBorder="1"/>
    <xf numFmtId="9" fontId="5" fillId="0" borderId="20" xfId="48" applyFont="1" applyBorder="1"/>
    <xf numFmtId="0" fontId="0" fillId="0" borderId="32" xfId="0" applyFont="1" applyBorder="1"/>
    <xf numFmtId="2" fontId="5" fillId="0" borderId="19" xfId="0" applyNumberFormat="1" applyFont="1" applyBorder="1"/>
    <xf numFmtId="0" fontId="11" fillId="0" borderId="0" xfId="0" applyFont="1" applyAlignment="1">
      <alignment horizontal="center"/>
    </xf>
    <xf numFmtId="217" fontId="0" fillId="2" borderId="0" xfId="0" applyNumberFormat="1" applyFill="1"/>
    <xf numFmtId="217" fontId="0" fillId="0" borderId="32" xfId="0" applyNumberFormat="1" applyBorder="1"/>
    <xf numFmtId="217" fontId="0" fillId="2" borderId="32" xfId="0" applyNumberFormat="1" applyFill="1" applyBorder="1"/>
    <xf numFmtId="49" fontId="19" fillId="0" borderId="11" xfId="0" applyNumberFormat="1" applyFont="1" applyBorder="1" applyAlignment="1">
      <alignment vertical="top"/>
    </xf>
    <xf numFmtId="0" fontId="11" fillId="0" borderId="12" xfId="0" applyFont="1" applyBorder="1"/>
    <xf numFmtId="1" fontId="20" fillId="0" borderId="12" xfId="0" applyNumberFormat="1" applyFont="1" applyBorder="1"/>
    <xf numFmtId="9" fontId="11" fillId="0" borderId="13" xfId="48" applyFont="1" applyBorder="1" applyAlignment="1">
      <alignment horizontal="center"/>
    </xf>
    <xf numFmtId="49" fontId="19" fillId="0" borderId="28" xfId="0" applyNumberFormat="1" applyFont="1" applyBorder="1" applyAlignment="1">
      <alignment vertical="top"/>
    </xf>
    <xf numFmtId="0" fontId="20" fillId="0" borderId="22" xfId="0" applyFont="1" applyBorder="1"/>
    <xf numFmtId="1" fontId="20" fillId="0" borderId="22" xfId="0" applyNumberFormat="1" applyFont="1" applyBorder="1"/>
    <xf numFmtId="9" fontId="11" fillId="0" borderId="38" xfId="48" applyFont="1" applyBorder="1" applyAlignment="1">
      <alignment horizontal="center"/>
    </xf>
    <xf numFmtId="196" fontId="21" fillId="0" borderId="22" xfId="0" applyNumberFormat="1" applyFont="1" applyBorder="1" applyAlignment="1">
      <alignment horizontal="right" vertical="top"/>
    </xf>
    <xf numFmtId="49" fontId="19" fillId="0" borderId="7" xfId="0" applyNumberFormat="1" applyFont="1" applyBorder="1" applyAlignment="1">
      <alignment vertical="top"/>
    </xf>
    <xf numFmtId="196" fontId="21" fillId="0" borderId="8" xfId="0" applyNumberFormat="1" applyFont="1" applyBorder="1" applyAlignment="1">
      <alignment horizontal="right" vertical="top"/>
    </xf>
    <xf numFmtId="1" fontId="20" fillId="0" borderId="8" xfId="0" applyNumberFormat="1" applyFont="1" applyBorder="1"/>
    <xf numFmtId="9" fontId="11" fillId="0" borderId="9" xfId="48" applyFont="1" applyBorder="1" applyAlignment="1">
      <alignment horizontal="center"/>
    </xf>
    <xf numFmtId="196" fontId="22" fillId="0" borderId="64" xfId="0" applyNumberFormat="1" applyFont="1" applyBorder="1" applyAlignment="1">
      <alignment horizontal="right" vertical="top"/>
    </xf>
    <xf numFmtId="1" fontId="11" fillId="0" borderId="64" xfId="0" applyNumberFormat="1" applyFont="1" applyBorder="1"/>
    <xf numFmtId="9" fontId="12" fillId="0" borderId="73" xfId="48" applyFont="1" applyBorder="1" applyAlignment="1">
      <alignment horizontal="center"/>
    </xf>
    <xf numFmtId="49" fontId="19" fillId="0" borderId="17" xfId="0" applyNumberFormat="1" applyFont="1" applyBorder="1" applyAlignment="1">
      <alignment vertical="top"/>
    </xf>
    <xf numFmtId="196" fontId="23" fillId="0" borderId="18" xfId="0" applyNumberFormat="1" applyFont="1" applyBorder="1" applyAlignment="1">
      <alignment horizontal="right" vertical="top"/>
    </xf>
    <xf numFmtId="1" fontId="20" fillId="0" borderId="18" xfId="0" applyNumberFormat="1" applyFont="1" applyBorder="1"/>
    <xf numFmtId="9" fontId="11" fillId="0" borderId="19" xfId="48" applyFont="1" applyBorder="1" applyAlignment="1">
      <alignment horizontal="center"/>
    </xf>
    <xf numFmtId="0" fontId="11" fillId="0" borderId="88" xfId="0" applyFont="1" applyBorder="1"/>
    <xf numFmtId="196" fontId="22" fillId="0" borderId="67" xfId="0" applyNumberFormat="1" applyFont="1" applyBorder="1" applyAlignment="1">
      <alignment horizontal="right" vertical="top"/>
    </xf>
    <xf numFmtId="1" fontId="11" fillId="0" borderId="67" xfId="0" applyNumberFormat="1" applyFont="1" applyBorder="1"/>
    <xf numFmtId="9" fontId="12" fillId="0" borderId="69" xfId="0" applyNumberFormat="1" applyFont="1" applyBorder="1" applyAlignment="1">
      <alignment horizontal="center"/>
    </xf>
    <xf numFmtId="49" fontId="19" fillId="0" borderId="0" xfId="0" applyNumberFormat="1" applyFont="1" applyAlignment="1">
      <alignment vertical="top"/>
    </xf>
    <xf numFmtId="196" fontId="23" fillId="0" borderId="0" xfId="0" applyNumberFormat="1" applyFont="1" applyAlignment="1">
      <alignment horizontal="right" vertical="top"/>
    </xf>
    <xf numFmtId="1" fontId="20" fillId="0" borderId="0" xfId="0" applyNumberFormat="1" applyFont="1"/>
    <xf numFmtId="196" fontId="22" fillId="0" borderId="0" xfId="0" applyNumberFormat="1" applyFont="1" applyAlignment="1">
      <alignment horizontal="right" vertical="top"/>
    </xf>
    <xf numFmtId="196" fontId="19" fillId="0" borderId="0" xfId="0" applyNumberFormat="1" applyFont="1" applyAlignment="1">
      <alignment horizontal="right" vertical="top"/>
    </xf>
    <xf numFmtId="196" fontId="24" fillId="0" borderId="0" xfId="0" applyNumberFormat="1" applyFont="1" applyAlignment="1">
      <alignment horizontal="right" vertical="top"/>
    </xf>
    <xf numFmtId="49" fontId="24" fillId="0" borderId="0" xfId="0" applyNumberFormat="1" applyFont="1" applyAlignment="1">
      <alignment horizontal="left" vertical="top" indent="2"/>
    </xf>
    <xf numFmtId="195" fontId="24" fillId="0" borderId="0" xfId="0" applyNumberFormat="1" applyFont="1" applyAlignment="1">
      <alignment horizontal="right" vertical="top"/>
    </xf>
    <xf numFmtId="9" fontId="11" fillId="0" borderId="0" xfId="48" applyFont="1"/>
    <xf numFmtId="9" fontId="11" fillId="0" borderId="44" xfId="0" applyNumberFormat="1" applyFont="1" applyBorder="1" applyAlignment="1">
      <alignment horizontal="center" vertical="center"/>
    </xf>
    <xf numFmtId="9" fontId="11" fillId="0" borderId="99" xfId="0" applyNumberFormat="1" applyFont="1" applyBorder="1" applyAlignment="1">
      <alignment horizontal="center" vertical="center"/>
    </xf>
    <xf numFmtId="0" fontId="11" fillId="0" borderId="99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217" fontId="12" fillId="0" borderId="0" xfId="0" applyNumberFormat="1" applyFont="1"/>
    <xf numFmtId="0" fontId="12" fillId="0" borderId="0" xfId="0" applyFont="1" applyAlignment="1">
      <alignment horizontal="center"/>
    </xf>
    <xf numFmtId="203" fontId="11" fillId="0" borderId="0" xfId="0" applyNumberFormat="1" applyFont="1"/>
    <xf numFmtId="0" fontId="11" fillId="0" borderId="45" xfId="0" applyFont="1" applyBorder="1"/>
    <xf numFmtId="0" fontId="11" fillId="0" borderId="42" xfId="0" applyFont="1" applyBorder="1"/>
    <xf numFmtId="0" fontId="11" fillId="0" borderId="43" xfId="0" applyFont="1" applyBorder="1"/>
    <xf numFmtId="0" fontId="12" fillId="0" borderId="40" xfId="0" applyFont="1" applyBorder="1"/>
    <xf numFmtId="231" fontId="11" fillId="0" borderId="45" xfId="45" applyFont="1" applyBorder="1"/>
    <xf numFmtId="231" fontId="11" fillId="0" borderId="42" xfId="45" applyFont="1" applyBorder="1"/>
    <xf numFmtId="231" fontId="11" fillId="0" borderId="46" xfId="45" applyFont="1" applyBorder="1"/>
    <xf numFmtId="231" fontId="12" fillId="0" borderId="47" xfId="0" applyNumberFormat="1" applyFont="1" applyBorder="1"/>
    <xf numFmtId="198" fontId="11" fillId="0" borderId="0" xfId="0" applyNumberFormat="1" applyFont="1"/>
    <xf numFmtId="231" fontId="11" fillId="0" borderId="0" xfId="45" applyFont="1" applyBorder="1"/>
    <xf numFmtId="231" fontId="12" fillId="0" borderId="0" xfId="0" applyNumberFormat="1" applyFont="1"/>
    <xf numFmtId="49" fontId="25" fillId="0" borderId="2" xfId="0" applyNumberFormat="1" applyFont="1" applyBorder="1" applyAlignment="1">
      <alignment vertical="top"/>
    </xf>
    <xf numFmtId="0" fontId="21" fillId="0" borderId="85" xfId="0" applyFont="1" applyBorder="1" applyAlignment="1">
      <alignment vertical="top"/>
    </xf>
    <xf numFmtId="49" fontId="26" fillId="0" borderId="3" xfId="0" applyNumberFormat="1" applyFont="1" applyBorder="1" applyAlignment="1">
      <alignment horizontal="left" vertical="top" indent="2"/>
    </xf>
    <xf numFmtId="49" fontId="27" fillId="0" borderId="3" xfId="0" applyNumberFormat="1" applyFont="1" applyBorder="1" applyAlignment="1">
      <alignment horizontal="center" vertical="top" wrapText="1"/>
    </xf>
    <xf numFmtId="49" fontId="27" fillId="0" borderId="4" xfId="0" applyNumberFormat="1" applyFont="1" applyBorder="1" applyAlignment="1">
      <alignment horizontal="center" vertical="top" wrapText="1"/>
    </xf>
    <xf numFmtId="49" fontId="27" fillId="0" borderId="5" xfId="0" applyNumberFormat="1" applyFont="1" applyBorder="1" applyAlignment="1">
      <alignment horizontal="center" vertical="top" wrapText="1"/>
    </xf>
    <xf numFmtId="49" fontId="28" fillId="0" borderId="6" xfId="0" applyNumberFormat="1" applyFont="1" applyBorder="1" applyAlignment="1">
      <alignment vertical="top"/>
    </xf>
    <xf numFmtId="49" fontId="19" fillId="0" borderId="7" xfId="0" applyNumberFormat="1" applyFont="1" applyBorder="1" applyAlignment="1">
      <alignment horizontal="center" vertical="top"/>
    </xf>
    <xf numFmtId="49" fontId="19" fillId="0" borderId="25" xfId="0" applyNumberFormat="1" applyFont="1" applyBorder="1" applyAlignment="1">
      <alignment horizontal="center" vertical="top"/>
    </xf>
    <xf numFmtId="49" fontId="19" fillId="0" borderId="9" xfId="0" applyNumberFormat="1" applyFont="1" applyBorder="1" applyAlignment="1">
      <alignment horizontal="center" vertical="top"/>
    </xf>
    <xf numFmtId="49" fontId="24" fillId="0" borderId="40" xfId="0" applyNumberFormat="1" applyFont="1" applyBorder="1" applyAlignment="1">
      <alignment vertical="top"/>
    </xf>
    <xf numFmtId="217" fontId="5" fillId="0" borderId="88" xfId="0" applyNumberFormat="1" applyFont="1" applyBorder="1"/>
    <xf numFmtId="195" fontId="26" fillId="0" borderId="68" xfId="0" applyNumberFormat="1" applyFont="1" applyBorder="1" applyAlignment="1">
      <alignment horizontal="right" vertical="top"/>
    </xf>
    <xf numFmtId="195" fontId="24" fillId="0" borderId="69" xfId="0" applyNumberFormat="1" applyFont="1" applyBorder="1" applyAlignment="1">
      <alignment horizontal="right" vertical="top"/>
    </xf>
    <xf numFmtId="49" fontId="27" fillId="0" borderId="41" xfId="0" applyNumberFormat="1" applyFont="1" applyBorder="1" applyAlignment="1">
      <alignment horizontal="left" vertical="top" indent="1"/>
    </xf>
    <xf numFmtId="217" fontId="0" fillId="0" borderId="28" xfId="0" applyNumberFormat="1" applyBorder="1"/>
    <xf numFmtId="195" fontId="19" fillId="0" borderId="35" xfId="0" applyNumberFormat="1" applyFont="1" applyBorder="1" applyAlignment="1">
      <alignment horizontal="right" vertical="top"/>
    </xf>
    <xf numFmtId="195" fontId="19" fillId="0" borderId="38" xfId="0" applyNumberFormat="1" applyFont="1" applyBorder="1" applyAlignment="1">
      <alignment horizontal="right" vertical="top"/>
    </xf>
    <xf numFmtId="49" fontId="27" fillId="0" borderId="42" xfId="0" applyNumberFormat="1" applyFont="1" applyBorder="1" applyAlignment="1">
      <alignment horizontal="left" vertical="top" indent="1"/>
    </xf>
    <xf numFmtId="217" fontId="0" fillId="0" borderId="28" xfId="0" applyNumberFormat="1" applyFont="1" applyBorder="1"/>
    <xf numFmtId="49" fontId="27" fillId="0" borderId="14" xfId="0" applyNumberFormat="1" applyFont="1" applyBorder="1" applyAlignment="1">
      <alignment horizontal="left" vertical="top" indent="1"/>
    </xf>
    <xf numFmtId="217" fontId="0" fillId="0" borderId="11" xfId="0" applyNumberFormat="1" applyBorder="1"/>
    <xf numFmtId="196" fontId="19" fillId="0" borderId="34" xfId="0" applyNumberFormat="1" applyFont="1" applyBorder="1" applyAlignment="1">
      <alignment horizontal="right" vertical="top"/>
    </xf>
    <xf numFmtId="195" fontId="19" fillId="0" borderId="13" xfId="0" applyNumberFormat="1" applyFont="1" applyBorder="1" applyAlignment="1">
      <alignment horizontal="right" vertical="top"/>
    </xf>
    <xf numFmtId="49" fontId="27" fillId="0" borderId="46" xfId="0" applyNumberFormat="1" applyFont="1" applyBorder="1" applyAlignment="1">
      <alignment horizontal="left" vertical="top" indent="1"/>
    </xf>
    <xf numFmtId="217" fontId="0" fillId="0" borderId="7" xfId="0" applyNumberFormat="1" applyBorder="1"/>
    <xf numFmtId="195" fontId="19" fillId="0" borderId="25" xfId="0" applyNumberFormat="1" applyFont="1" applyBorder="1" applyAlignment="1">
      <alignment horizontal="right" vertical="top"/>
    </xf>
    <xf numFmtId="195" fontId="19" fillId="0" borderId="9" xfId="0" applyNumberFormat="1" applyFont="1" applyBorder="1" applyAlignment="1">
      <alignment horizontal="right" vertical="top"/>
    </xf>
    <xf numFmtId="49" fontId="24" fillId="0" borderId="41" xfId="0" applyNumberFormat="1" applyFont="1" applyBorder="1" applyAlignment="1">
      <alignment horizontal="left" vertical="top" indent="1"/>
    </xf>
    <xf numFmtId="217" fontId="5" fillId="0" borderId="11" xfId="0" applyNumberFormat="1" applyFont="1" applyBorder="1"/>
    <xf numFmtId="195" fontId="24" fillId="0" borderId="34" xfId="0" applyNumberFormat="1" applyFont="1" applyBorder="1" applyAlignment="1">
      <alignment horizontal="right" vertical="top"/>
    </xf>
    <xf numFmtId="195" fontId="24" fillId="0" borderId="13" xfId="0" applyNumberFormat="1" applyFont="1" applyBorder="1" applyAlignment="1">
      <alignment horizontal="right" vertical="top"/>
    </xf>
    <xf numFmtId="49" fontId="19" fillId="0" borderId="42" xfId="0" applyNumberFormat="1" applyFont="1" applyBorder="1" applyAlignment="1">
      <alignment horizontal="left" vertical="top" indent="2"/>
    </xf>
    <xf numFmtId="217" fontId="29" fillId="0" borderId="28" xfId="0" applyNumberFormat="1" applyFont="1" applyBorder="1"/>
    <xf numFmtId="217" fontId="29" fillId="0" borderId="14" xfId="0" applyNumberFormat="1" applyFont="1" applyBorder="1"/>
    <xf numFmtId="49" fontId="19" fillId="0" borderId="99" xfId="0" applyNumberFormat="1" applyFont="1" applyBorder="1" applyAlignment="1">
      <alignment horizontal="left" vertical="top" indent="2"/>
    </xf>
    <xf numFmtId="217" fontId="29" fillId="0" borderId="37" xfId="0" applyNumberFormat="1" applyFont="1" applyBorder="1"/>
    <xf numFmtId="195" fontId="19" fillId="0" borderId="39" xfId="0" applyNumberFormat="1" applyFont="1" applyBorder="1" applyAlignment="1">
      <alignment horizontal="right" vertical="top"/>
    </xf>
    <xf numFmtId="49" fontId="19" fillId="0" borderId="46" xfId="0" applyNumberFormat="1" applyFont="1" applyBorder="1" applyAlignment="1">
      <alignment horizontal="left" vertical="top" indent="2"/>
    </xf>
    <xf numFmtId="217" fontId="29" fillId="0" borderId="7" xfId="0" applyNumberFormat="1" applyFont="1" applyBorder="1"/>
    <xf numFmtId="49" fontId="19" fillId="0" borderId="41" xfId="0" applyNumberFormat="1" applyFont="1" applyBorder="1" applyAlignment="1">
      <alignment horizontal="right" vertical="top" indent="2"/>
    </xf>
    <xf numFmtId="217" fontId="0" fillId="0" borderId="10" xfId="0" applyNumberFormat="1" applyBorder="1"/>
    <xf numFmtId="195" fontId="19" fillId="0" borderId="34" xfId="0" applyNumberFormat="1" applyFont="1" applyBorder="1" applyAlignment="1">
      <alignment horizontal="right" vertical="top"/>
    </xf>
    <xf numFmtId="49" fontId="19" fillId="0" borderId="53" xfId="0" applyNumberFormat="1" applyFont="1" applyBorder="1" applyAlignment="1">
      <alignment horizontal="left" vertical="top" indent="1"/>
    </xf>
    <xf numFmtId="217" fontId="29" fillId="0" borderId="53" xfId="0" applyNumberFormat="1" applyFont="1" applyBorder="1"/>
    <xf numFmtId="195" fontId="29" fillId="0" borderId="68" xfId="0" applyNumberFormat="1" applyFont="1" applyBorder="1"/>
    <xf numFmtId="195" fontId="19" fillId="0" borderId="69" xfId="0" applyNumberFormat="1" applyFont="1" applyBorder="1" applyAlignment="1">
      <alignment horizontal="right" vertical="top"/>
    </xf>
    <xf numFmtId="49" fontId="24" fillId="0" borderId="45" xfId="0" applyNumberFormat="1" applyFont="1" applyBorder="1" applyAlignment="1">
      <alignment horizontal="right" vertical="top" indent="2"/>
    </xf>
    <xf numFmtId="195" fontId="24" fillId="0" borderId="38" xfId="0" applyNumberFormat="1" applyFont="1" applyBorder="1" applyAlignment="1">
      <alignment horizontal="right" vertical="top"/>
    </xf>
    <xf numFmtId="49" fontId="27" fillId="0" borderId="42" xfId="0" applyNumberFormat="1" applyFont="1" applyBorder="1" applyAlignment="1">
      <alignment horizontal="left" vertical="top" indent="3"/>
    </xf>
    <xf numFmtId="49" fontId="27" fillId="0" borderId="15" xfId="0" applyNumberFormat="1" applyFont="1" applyBorder="1" applyAlignment="1">
      <alignment horizontal="left" vertical="top" indent="3"/>
    </xf>
    <xf numFmtId="217" fontId="0" fillId="0" borderId="30" xfId="0" applyNumberFormat="1" applyBorder="1"/>
    <xf numFmtId="195" fontId="19" fillId="0" borderId="36" xfId="0" applyNumberFormat="1" applyFont="1" applyBorder="1" applyAlignment="1">
      <alignment horizontal="right" vertical="top"/>
    </xf>
    <xf numFmtId="195" fontId="19" fillId="0" borderId="50" xfId="0" applyNumberFormat="1" applyFont="1" applyBorder="1" applyAlignment="1">
      <alignment horizontal="right" vertical="top"/>
    </xf>
    <xf numFmtId="49" fontId="27" fillId="0" borderId="61" xfId="0" applyNumberFormat="1" applyFont="1" applyBorder="1" applyAlignment="1">
      <alignment horizontal="left" vertical="top" indent="3"/>
    </xf>
    <xf numFmtId="217" fontId="0" fillId="0" borderId="83" xfId="0" applyNumberFormat="1" applyBorder="1"/>
    <xf numFmtId="195" fontId="19" fillId="0" borderId="93" xfId="0" applyNumberFormat="1" applyFont="1" applyBorder="1" applyAlignment="1">
      <alignment horizontal="right" vertical="top"/>
    </xf>
    <xf numFmtId="195" fontId="24" fillId="0" borderId="78" xfId="0" applyNumberFormat="1" applyFont="1" applyBorder="1" applyAlignment="1">
      <alignment horizontal="right" vertical="top"/>
    </xf>
    <xf numFmtId="49" fontId="24" fillId="0" borderId="47" xfId="0" applyNumberFormat="1" applyFont="1" applyBorder="1" applyAlignment="1">
      <alignment horizontal="left" vertical="top" indent="1"/>
    </xf>
    <xf numFmtId="217" fontId="0" fillId="0" borderId="88" xfId="0" applyNumberFormat="1" applyBorder="1"/>
    <xf numFmtId="195" fontId="24" fillId="0" borderId="68" xfId="0" applyNumberFormat="1" applyFont="1" applyBorder="1" applyAlignment="1">
      <alignment horizontal="right" vertical="top"/>
    </xf>
    <xf numFmtId="49" fontId="24" fillId="0" borderId="53" xfId="0" applyNumberFormat="1" applyFont="1" applyBorder="1" applyAlignment="1">
      <alignment horizontal="left" vertical="top" indent="2"/>
    </xf>
    <xf numFmtId="211" fontId="0" fillId="0" borderId="88" xfId="0" applyNumberFormat="1" applyBorder="1"/>
    <xf numFmtId="215" fontId="28" fillId="0" borderId="68" xfId="0" applyNumberFormat="1" applyFont="1" applyBorder="1" applyAlignment="1">
      <alignment horizontal="right" vertical="top"/>
    </xf>
    <xf numFmtId="195" fontId="28" fillId="0" borderId="69" xfId="0" applyNumberFormat="1" applyFont="1" applyBorder="1" applyAlignment="1">
      <alignment horizontal="right" vertical="top"/>
    </xf>
    <xf numFmtId="49" fontId="27" fillId="0" borderId="59" xfId="0" applyNumberFormat="1" applyFont="1" applyBorder="1" applyAlignment="1">
      <alignment horizontal="left" vertical="top" indent="3"/>
    </xf>
    <xf numFmtId="202" fontId="0" fillId="0" borderId="0" xfId="48" applyNumberFormat="1" applyFont="1" applyBorder="1"/>
    <xf numFmtId="195" fontId="19" fillId="0" borderId="0" xfId="0" applyNumberFormat="1" applyFont="1" applyAlignment="1">
      <alignment horizontal="right" vertical="top"/>
    </xf>
    <xf numFmtId="0" fontId="0" fillId="0" borderId="53" xfId="0" applyBorder="1"/>
    <xf numFmtId="0" fontId="0" fillId="0" borderId="1" xfId="0" applyBorder="1"/>
    <xf numFmtId="210" fontId="4" fillId="0" borderId="1" xfId="0" applyNumberFormat="1" applyFont="1" applyBorder="1"/>
    <xf numFmtId="210" fontId="0" fillId="0" borderId="1" xfId="0" applyNumberFormat="1" applyBorder="1"/>
    <xf numFmtId="49" fontId="26" fillId="0" borderId="45" xfId="0" applyNumberFormat="1" applyFont="1" applyBorder="1" applyAlignment="1">
      <alignment horizontal="left" vertical="top" indent="2"/>
    </xf>
    <xf numFmtId="0" fontId="5" fillId="0" borderId="54" xfId="0" applyFont="1" applyBorder="1"/>
    <xf numFmtId="0" fontId="0" fillId="0" borderId="35" xfId="0" applyBorder="1"/>
    <xf numFmtId="0" fontId="0" fillId="0" borderId="35" xfId="0" applyFont="1" applyBorder="1"/>
    <xf numFmtId="0" fontId="0" fillId="0" borderId="36" xfId="0" applyFont="1" applyBorder="1"/>
    <xf numFmtId="2" fontId="0" fillId="0" borderId="73" xfId="0" applyNumberFormat="1" applyBorder="1"/>
    <xf numFmtId="0" fontId="5" fillId="0" borderId="40" xfId="0" applyFont="1" applyBorder="1"/>
    <xf numFmtId="217" fontId="5" fillId="0" borderId="17" xfId="0" applyNumberFormat="1" applyFont="1" applyBorder="1"/>
    <xf numFmtId="2" fontId="5" fillId="0" borderId="21" xfId="0" applyNumberFormat="1" applyFont="1" applyBorder="1"/>
    <xf numFmtId="2" fontId="0" fillId="0" borderId="19" xfId="0" applyNumberFormat="1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10" xfId="0" applyBorder="1"/>
    <xf numFmtId="2" fontId="0" fillId="0" borderId="49" xfId="0" applyNumberFormat="1" applyBorder="1"/>
    <xf numFmtId="0" fontId="0" fillId="0" borderId="15" xfId="0" applyFont="1" applyBorder="1"/>
    <xf numFmtId="211" fontId="0" fillId="0" borderId="15" xfId="0" applyNumberFormat="1" applyBorder="1"/>
    <xf numFmtId="0" fontId="0" fillId="0" borderId="15" xfId="0" applyBorder="1"/>
    <xf numFmtId="2" fontId="0" fillId="0" borderId="50" xfId="0" applyNumberFormat="1" applyBorder="1"/>
    <xf numFmtId="211" fontId="0" fillId="0" borderId="16" xfId="0" applyNumberFormat="1" applyBorder="1"/>
    <xf numFmtId="2" fontId="0" fillId="0" borderId="18" xfId="0" applyNumberFormat="1" applyBorder="1"/>
    <xf numFmtId="0" fontId="5" fillId="0" borderId="0" xfId="0" applyFont="1" applyAlignment="1">
      <alignment horizontal="right"/>
    </xf>
    <xf numFmtId="0" fontId="0" fillId="0" borderId="2" xfId="0" applyFont="1" applyBorder="1"/>
    <xf numFmtId="211" fontId="0" fillId="0" borderId="2" xfId="0" applyNumberFormat="1" applyBorder="1"/>
    <xf numFmtId="2" fontId="0" fillId="0" borderId="76" xfId="0" applyNumberFormat="1" applyBorder="1"/>
    <xf numFmtId="2" fontId="29" fillId="0" borderId="77" xfId="0" applyNumberFormat="1" applyFont="1" applyBorder="1"/>
    <xf numFmtId="211" fontId="0" fillId="0" borderId="17" xfId="0" applyNumberFormat="1" applyBorder="1"/>
    <xf numFmtId="195" fontId="19" fillId="0" borderId="19" xfId="0" applyNumberFormat="1" applyFont="1" applyBorder="1" applyAlignment="1">
      <alignment horizontal="right" vertical="top"/>
    </xf>
    <xf numFmtId="49" fontId="27" fillId="0" borderId="40" xfId="0" applyNumberFormat="1" applyFont="1" applyBorder="1" applyAlignment="1">
      <alignment horizontal="left" vertical="top" indent="1"/>
    </xf>
    <xf numFmtId="195" fontId="19" fillId="0" borderId="21" xfId="0" applyNumberFormat="1" applyFont="1" applyBorder="1" applyAlignment="1">
      <alignment horizontal="right" vertical="top"/>
    </xf>
    <xf numFmtId="49" fontId="19" fillId="0" borderId="3" xfId="0" applyNumberFormat="1" applyFont="1" applyBorder="1" applyAlignment="1">
      <alignment horizontal="center" vertical="top" wrapText="1"/>
    </xf>
    <xf numFmtId="49" fontId="19" fillId="0" borderId="4" xfId="0" applyNumberFormat="1" applyFont="1" applyBorder="1" applyAlignment="1">
      <alignment horizontal="center" vertical="top" wrapText="1"/>
    </xf>
    <xf numFmtId="49" fontId="19" fillId="0" borderId="5" xfId="0" applyNumberFormat="1" applyFont="1" applyBorder="1" applyAlignment="1">
      <alignment horizontal="center" vertical="top" wrapText="1"/>
    </xf>
    <xf numFmtId="217" fontId="0" fillId="0" borderId="10" xfId="0" applyNumberFormat="1" applyFont="1" applyBorder="1"/>
    <xf numFmtId="215" fontId="4" fillId="0" borderId="1" xfId="0" applyNumberFormat="1" applyFont="1" applyBorder="1"/>
    <xf numFmtId="212" fontId="0" fillId="0" borderId="0" xfId="0" applyNumberFormat="1"/>
    <xf numFmtId="0" fontId="30" fillId="0" borderId="0" xfId="0" applyFont="1"/>
    <xf numFmtId="217" fontId="30" fillId="0" borderId="0" xfId="0" applyNumberFormat="1" applyFont="1"/>
    <xf numFmtId="217" fontId="0" fillId="0" borderId="17" xfId="0" applyNumberFormat="1" applyBorder="1"/>
    <xf numFmtId="1" fontId="0" fillId="0" borderId="21" xfId="0" applyNumberFormat="1" applyBorder="1"/>
    <xf numFmtId="217" fontId="0" fillId="0" borderId="31" xfId="0" applyNumberFormat="1" applyBorder="1"/>
    <xf numFmtId="195" fontId="27" fillId="0" borderId="21" xfId="0" applyNumberFormat="1" applyFont="1" applyBorder="1" applyAlignment="1">
      <alignment horizontal="right" vertical="top"/>
    </xf>
    <xf numFmtId="49" fontId="21" fillId="0" borderId="3" xfId="0" applyNumberFormat="1" applyFont="1" applyBorder="1" applyAlignment="1">
      <alignment horizontal="center" vertical="top" wrapText="1"/>
    </xf>
    <xf numFmtId="49" fontId="21" fillId="0" borderId="4" xfId="0" applyNumberFormat="1" applyFont="1" applyBorder="1" applyAlignment="1">
      <alignment horizontal="center" vertical="top" wrapText="1"/>
    </xf>
    <xf numFmtId="49" fontId="21" fillId="0" borderId="7" xfId="0" applyNumberFormat="1" applyFont="1" applyBorder="1" applyAlignment="1">
      <alignment horizontal="center" vertical="top"/>
    </xf>
    <xf numFmtId="49" fontId="21" fillId="0" borderId="25" xfId="0" applyNumberFormat="1" applyFont="1" applyBorder="1" applyAlignment="1">
      <alignment horizontal="center" vertical="top"/>
    </xf>
    <xf numFmtId="217" fontId="5" fillId="0" borderId="10" xfId="0" applyNumberFormat="1" applyFont="1" applyBorder="1"/>
    <xf numFmtId="2" fontId="0" fillId="0" borderId="0" xfId="0" applyNumberFormat="1" applyFont="1"/>
    <xf numFmtId="210" fontId="0" fillId="0" borderId="1" xfId="0" applyNumberFormat="1" applyFont="1" applyBorder="1"/>
    <xf numFmtId="210" fontId="5" fillId="0" borderId="1" xfId="0" applyNumberFormat="1" applyFont="1" applyBorder="1"/>
    <xf numFmtId="211" fontId="5" fillId="0" borderId="0" xfId="0" applyNumberFormat="1" applyFont="1"/>
    <xf numFmtId="205" fontId="5" fillId="0" borderId="0" xfId="0" applyNumberFormat="1" applyFont="1"/>
    <xf numFmtId="217" fontId="0" fillId="0" borderId="17" xfId="0" applyNumberFormat="1" applyFont="1" applyBorder="1"/>
    <xf numFmtId="1" fontId="0" fillId="0" borderId="21" xfId="0" applyNumberFormat="1" applyFont="1" applyBorder="1"/>
    <xf numFmtId="196" fontId="21" fillId="0" borderId="21" xfId="0" applyNumberFormat="1" applyFont="1" applyBorder="1" applyAlignment="1">
      <alignment horizontal="right" vertical="top"/>
    </xf>
    <xf numFmtId="217" fontId="0" fillId="2" borderId="17" xfId="0" applyNumberFormat="1" applyFont="1" applyFill="1" applyBorder="1"/>
    <xf numFmtId="196" fontId="31" fillId="0" borderId="21" xfId="0" applyNumberFormat="1" applyFont="1" applyBorder="1" applyAlignment="1">
      <alignment horizontal="right" vertical="top"/>
    </xf>
    <xf numFmtId="49" fontId="21" fillId="0" borderId="5" xfId="0" applyNumberFormat="1" applyFont="1" applyBorder="1" applyAlignment="1">
      <alignment horizontal="center" vertical="top" wrapText="1"/>
    </xf>
    <xf numFmtId="49" fontId="21" fillId="0" borderId="9" xfId="0" applyNumberFormat="1" applyFont="1" applyBorder="1" applyAlignment="1">
      <alignment horizontal="center" vertical="top"/>
    </xf>
    <xf numFmtId="195" fontId="0" fillId="0" borderId="0" xfId="0" applyNumberFormat="1"/>
    <xf numFmtId="215" fontId="5" fillId="0" borderId="1" xfId="0" applyNumberFormat="1" applyFont="1" applyBorder="1"/>
    <xf numFmtId="195" fontId="24" fillId="0" borderId="22" xfId="0" applyNumberFormat="1" applyFont="1" applyBorder="1" applyAlignment="1">
      <alignment horizontal="right" vertical="top"/>
    </xf>
    <xf numFmtId="195" fontId="21" fillId="0" borderId="19" xfId="0" applyNumberFormat="1" applyFont="1" applyBorder="1" applyAlignment="1">
      <alignment horizontal="right" vertical="top"/>
    </xf>
    <xf numFmtId="0" fontId="0" fillId="0" borderId="21" xfId="0" applyBorder="1"/>
    <xf numFmtId="195" fontId="24" fillId="0" borderId="19" xfId="0" applyNumberFormat="1" applyFont="1" applyBorder="1" applyAlignment="1">
      <alignment horizontal="right" vertical="top"/>
    </xf>
    <xf numFmtId="196" fontId="27" fillId="0" borderId="21" xfId="0" applyNumberFormat="1" applyFont="1" applyBorder="1" applyAlignment="1">
      <alignment horizontal="right" vertical="top"/>
    </xf>
    <xf numFmtId="196" fontId="19" fillId="0" borderId="21" xfId="0" applyNumberFormat="1" applyFont="1" applyBorder="1" applyAlignment="1">
      <alignment horizontal="right" vertical="top"/>
    </xf>
    <xf numFmtId="49" fontId="19" fillId="0" borderId="6" xfId="0" applyNumberFormat="1" applyFont="1" applyBorder="1" applyAlignment="1">
      <alignment horizontal="center" vertical="top"/>
    </xf>
    <xf numFmtId="217" fontId="27" fillId="0" borderId="16" xfId="0" applyNumberFormat="1" applyFont="1" applyBorder="1" applyAlignment="1">
      <alignment horizontal="right" vertical="top"/>
    </xf>
    <xf numFmtId="217" fontId="0" fillId="0" borderId="53" xfId="0" applyNumberFormat="1" applyBorder="1"/>
    <xf numFmtId="0" fontId="0" fillId="0" borderId="31" xfId="0" applyBorder="1"/>
    <xf numFmtId="0" fontId="0" fillId="0" borderId="18" xfId="0" applyBorder="1"/>
    <xf numFmtId="195" fontId="27" fillId="0" borderId="16" xfId="0" applyNumberFormat="1" applyFont="1" applyBorder="1" applyAlignment="1">
      <alignment horizontal="right" vertical="top"/>
    </xf>
    <xf numFmtId="2" fontId="0" fillId="0" borderId="8" xfId="0" applyNumberFormat="1" applyBorder="1"/>
    <xf numFmtId="2" fontId="0" fillId="0" borderId="22" xfId="0" applyNumberFormat="1" applyFont="1" applyBorder="1"/>
    <xf numFmtId="196" fontId="27" fillId="0" borderId="16" xfId="0" applyNumberFormat="1" applyFont="1" applyBorder="1" applyAlignment="1">
      <alignment horizontal="right" vertical="top"/>
    </xf>
    <xf numFmtId="0" fontId="0" fillId="0" borderId="85" xfId="0" applyBorder="1"/>
    <xf numFmtId="0" fontId="0" fillId="0" borderId="100" xfId="0" applyBorder="1"/>
    <xf numFmtId="49" fontId="19" fillId="0" borderId="88" xfId="0" applyNumberFormat="1" applyFont="1" applyBorder="1" applyAlignment="1">
      <alignment horizontal="center" vertical="top"/>
    </xf>
    <xf numFmtId="49" fontId="19" fillId="0" borderId="68" xfId="0" applyNumberFormat="1" applyFont="1" applyBorder="1" applyAlignment="1">
      <alignment horizontal="center" vertical="top"/>
    </xf>
    <xf numFmtId="49" fontId="19" fillId="0" borderId="69" xfId="0" applyNumberFormat="1" applyFont="1" applyBorder="1" applyAlignment="1">
      <alignment horizontal="center" vertical="top"/>
    </xf>
    <xf numFmtId="195" fontId="21" fillId="0" borderId="69" xfId="0" applyNumberFormat="1" applyFont="1" applyBorder="1" applyAlignment="1">
      <alignment horizontal="right" vertical="top"/>
    </xf>
    <xf numFmtId="195" fontId="21" fillId="0" borderId="38" xfId="0" applyNumberFormat="1" applyFont="1" applyBorder="1" applyAlignment="1">
      <alignment horizontal="right" vertical="top"/>
    </xf>
    <xf numFmtId="217" fontId="0" fillId="0" borderId="11" xfId="0" applyNumberFormat="1" applyFont="1" applyBorder="1"/>
    <xf numFmtId="2" fontId="0" fillId="0" borderId="12" xfId="0" applyNumberFormat="1" applyFont="1" applyBorder="1"/>
    <xf numFmtId="195" fontId="21" fillId="0" borderId="13" xfId="0" applyNumberFormat="1" applyFont="1" applyBorder="1" applyAlignment="1">
      <alignment horizontal="right" vertical="top"/>
    </xf>
    <xf numFmtId="217" fontId="0" fillId="0" borderId="7" xfId="0" applyNumberFormat="1" applyFont="1" applyBorder="1"/>
    <xf numFmtId="2" fontId="0" fillId="0" borderId="8" xfId="0" applyNumberFormat="1" applyFont="1" applyBorder="1"/>
    <xf numFmtId="195" fontId="21" fillId="0" borderId="9" xfId="0" applyNumberFormat="1" applyFont="1" applyBorder="1" applyAlignment="1">
      <alignment horizontal="right" vertical="top"/>
    </xf>
    <xf numFmtId="195" fontId="26" fillId="0" borderId="34" xfId="0" applyNumberFormat="1" applyFont="1" applyBorder="1" applyAlignment="1">
      <alignment horizontal="right" vertical="top"/>
    </xf>
    <xf numFmtId="195" fontId="26" fillId="0" borderId="13" xfId="0" applyNumberFormat="1" applyFont="1" applyBorder="1" applyAlignment="1">
      <alignment horizontal="right" vertical="top"/>
    </xf>
    <xf numFmtId="2" fontId="0" fillId="0" borderId="35" xfId="0" applyNumberFormat="1" applyFont="1" applyBorder="1"/>
    <xf numFmtId="2" fontId="0" fillId="0" borderId="34" xfId="0" applyNumberFormat="1" applyFont="1" applyBorder="1"/>
    <xf numFmtId="2" fontId="0" fillId="0" borderId="25" xfId="0" applyNumberFormat="1" applyFont="1" applyBorder="1"/>
    <xf numFmtId="195" fontId="21" fillId="0" borderId="34" xfId="0" applyNumberFormat="1" applyFont="1" applyBorder="1" applyAlignment="1">
      <alignment horizontal="right" vertical="top"/>
    </xf>
    <xf numFmtId="195" fontId="31" fillId="0" borderId="35" xfId="0" applyNumberFormat="1" applyFont="1" applyBorder="1" applyAlignment="1">
      <alignment horizontal="right" vertical="top"/>
    </xf>
    <xf numFmtId="217" fontId="0" fillId="0" borderId="30" xfId="0" applyNumberFormat="1" applyFont="1" applyBorder="1"/>
    <xf numFmtId="217" fontId="0" fillId="0" borderId="83" xfId="0" applyNumberFormat="1" applyFont="1" applyBorder="1"/>
    <xf numFmtId="195" fontId="31" fillId="0" borderId="66" xfId="0" applyNumberFormat="1" applyFont="1" applyBorder="1" applyAlignment="1">
      <alignment horizontal="right" vertical="top"/>
    </xf>
    <xf numFmtId="195" fontId="26" fillId="0" borderId="78" xfId="0" applyNumberFormat="1" applyFont="1" applyBorder="1" applyAlignment="1">
      <alignment horizontal="right" vertical="top"/>
    </xf>
    <xf numFmtId="217" fontId="0" fillId="0" borderId="88" xfId="0" applyNumberFormat="1" applyFont="1" applyBorder="1"/>
    <xf numFmtId="211" fontId="5" fillId="0" borderId="88" xfId="0" applyNumberFormat="1" applyFont="1" applyBorder="1"/>
    <xf numFmtId="195" fontId="32" fillId="0" borderId="19" xfId="0" applyNumberFormat="1" applyFont="1" applyBorder="1" applyAlignment="1">
      <alignment horizontal="right" vertical="top"/>
    </xf>
    <xf numFmtId="210" fontId="0" fillId="0" borderId="0" xfId="0" applyNumberFormat="1" applyFont="1"/>
    <xf numFmtId="195" fontId="21" fillId="0" borderId="101" xfId="0" applyNumberFormat="1" applyFont="1" applyBorder="1" applyAlignment="1">
      <alignment horizontal="right" vertical="top"/>
    </xf>
    <xf numFmtId="215" fontId="0" fillId="0" borderId="54" xfId="0" applyNumberFormat="1" applyFont="1" applyBorder="1" applyAlignment="1">
      <alignment horizontal="right"/>
    </xf>
    <xf numFmtId="210" fontId="0" fillId="0" borderId="0" xfId="0" applyNumberFormat="1"/>
    <xf numFmtId="215" fontId="4" fillId="0" borderId="0" xfId="0" applyNumberFormat="1" applyFont="1"/>
    <xf numFmtId="217" fontId="0" fillId="0" borderId="14" xfId="0" applyNumberFormat="1" applyBorder="1"/>
    <xf numFmtId="217" fontId="5" fillId="0" borderId="16" xfId="0" applyNumberFormat="1" applyFont="1" applyBorder="1"/>
    <xf numFmtId="2" fontId="0" fillId="0" borderId="19" xfId="0" applyNumberFormat="1" applyFont="1" applyBorder="1"/>
    <xf numFmtId="217" fontId="0" fillId="0" borderId="16" xfId="0" applyNumberFormat="1" applyBorder="1"/>
    <xf numFmtId="0" fontId="0" fillId="0" borderId="19" xfId="0" applyBorder="1"/>
    <xf numFmtId="1" fontId="0" fillId="0" borderId="19" xfId="0" applyNumberFormat="1" applyBorder="1"/>
    <xf numFmtId="0" fontId="0" fillId="0" borderId="1" xfId="0" applyFont="1" applyBorder="1"/>
    <xf numFmtId="202" fontId="0" fillId="0" borderId="0" xfId="48" applyNumberFormat="1" applyFont="1"/>
    <xf numFmtId="2" fontId="0" fillId="0" borderId="1" xfId="0" applyNumberFormat="1" applyBorder="1"/>
    <xf numFmtId="195" fontId="0" fillId="0" borderId="1" xfId="0" applyNumberFormat="1" applyBorder="1"/>
    <xf numFmtId="2" fontId="0" fillId="0" borderId="0" xfId="45" applyNumberFormat="1" applyFont="1"/>
    <xf numFmtId="0" fontId="5" fillId="0" borderId="44" xfId="0" applyFont="1" applyBorder="1" applyAlignment="1">
      <alignment horizontal="center" vertical="center"/>
    </xf>
    <xf numFmtId="0" fontId="5" fillId="10" borderId="16" xfId="0" applyFont="1" applyFill="1" applyBorder="1" applyAlignment="1">
      <alignment horizontal="center"/>
    </xf>
    <xf numFmtId="0" fontId="5" fillId="10" borderId="20" xfId="0" applyFont="1" applyFill="1" applyBorder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5" fillId="10" borderId="17" xfId="0" applyFont="1" applyFill="1" applyBorder="1" applyAlignment="1">
      <alignment horizontal="center"/>
    </xf>
    <xf numFmtId="0" fontId="5" fillId="10" borderId="18" xfId="0" applyFont="1" applyFill="1" applyBorder="1" applyAlignment="1">
      <alignment horizontal="center"/>
    </xf>
    <xf numFmtId="0" fontId="0" fillId="0" borderId="10" xfId="0" applyFont="1" applyBorder="1"/>
    <xf numFmtId="223" fontId="0" fillId="10" borderId="11" xfId="45" applyNumberFormat="1" applyFont="1" applyFill="1" applyBorder="1"/>
    <xf numFmtId="223" fontId="0" fillId="10" borderId="32" xfId="45" applyNumberFormat="1" applyFont="1" applyFill="1" applyBorder="1"/>
    <xf numFmtId="223" fontId="0" fillId="10" borderId="12" xfId="45" applyNumberFormat="1" applyFont="1" applyFill="1" applyBorder="1"/>
    <xf numFmtId="0" fontId="0" fillId="0" borderId="14" xfId="0" applyFont="1" applyBorder="1"/>
    <xf numFmtId="0" fontId="5" fillId="0" borderId="16" xfId="0" applyFont="1" applyBorder="1"/>
    <xf numFmtId="223" fontId="5" fillId="2" borderId="17" xfId="45" applyNumberFormat="1" applyFont="1" applyFill="1" applyBorder="1"/>
    <xf numFmtId="0" fontId="0" fillId="0" borderId="59" xfId="0" applyFont="1" applyBorder="1"/>
    <xf numFmtId="223" fontId="0" fillId="0" borderId="16" xfId="0" applyNumberFormat="1" applyBorder="1" applyAlignment="1">
      <alignment horizontal="center"/>
    </xf>
    <xf numFmtId="223" fontId="0" fillId="0" borderId="20" xfId="0" applyNumberFormat="1" applyBorder="1" applyAlignment="1">
      <alignment horizontal="center"/>
    </xf>
    <xf numFmtId="223" fontId="0" fillId="0" borderId="0" xfId="0" applyNumberFormat="1" applyAlignment="1">
      <alignment horizontal="center"/>
    </xf>
    <xf numFmtId="213" fontId="5" fillId="0" borderId="0" xfId="0" applyNumberFormat="1" applyFont="1" applyAlignment="1">
      <alignment horizontal="center" vertical="center"/>
    </xf>
    <xf numFmtId="223" fontId="5" fillId="0" borderId="0" xfId="0" applyNumberFormat="1" applyFont="1" applyAlignment="1">
      <alignment vertical="center"/>
    </xf>
    <xf numFmtId="0" fontId="5" fillId="10" borderId="33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10" borderId="19" xfId="0" applyFont="1" applyFill="1" applyBorder="1" applyAlignment="1">
      <alignment horizontal="center"/>
    </xf>
    <xf numFmtId="0" fontId="5" fillId="11" borderId="40" xfId="0" applyFont="1" applyFill="1" applyBorder="1" applyAlignment="1">
      <alignment horizontal="center"/>
    </xf>
    <xf numFmtId="0" fontId="5" fillId="6" borderId="40" xfId="0" applyFont="1" applyFill="1" applyBorder="1" applyAlignment="1">
      <alignment horizontal="center"/>
    </xf>
    <xf numFmtId="223" fontId="0" fillId="10" borderId="38" xfId="45" applyNumberFormat="1" applyFont="1" applyFill="1" applyBorder="1"/>
    <xf numFmtId="223" fontId="0" fillId="11" borderId="10" xfId="45" applyNumberFormat="1" applyFont="1" applyFill="1" applyBorder="1"/>
    <xf numFmtId="9" fontId="5" fillId="6" borderId="41" xfId="48" applyFont="1" applyFill="1" applyBorder="1" applyAlignment="1">
      <alignment horizontal="center"/>
    </xf>
    <xf numFmtId="223" fontId="0" fillId="12" borderId="10" xfId="45" applyNumberFormat="1" applyFont="1" applyFill="1" applyBorder="1"/>
    <xf numFmtId="223" fontId="5" fillId="2" borderId="16" xfId="45" applyNumberFormat="1" applyFont="1" applyFill="1" applyBorder="1"/>
    <xf numFmtId="223" fontId="5" fillId="2" borderId="19" xfId="45" applyNumberFormat="1" applyFont="1" applyFill="1" applyBorder="1"/>
    <xf numFmtId="9" fontId="5" fillId="2" borderId="40" xfId="48" applyFont="1" applyFill="1" applyBorder="1" applyAlignment="1">
      <alignment horizontal="center"/>
    </xf>
    <xf numFmtId="223" fontId="0" fillId="0" borderId="33" xfId="0" applyNumberFormat="1" applyBorder="1" applyAlignment="1">
      <alignment horizontal="center"/>
    </xf>
    <xf numFmtId="223" fontId="0" fillId="0" borderId="16" xfId="0" applyNumberFormat="1" applyFont="1" applyBorder="1" applyAlignment="1">
      <alignment horizontal="center"/>
    </xf>
    <xf numFmtId="223" fontId="0" fillId="0" borderId="0" xfId="0" applyNumberFormat="1" applyFont="1" applyAlignment="1">
      <alignment horizontal="center"/>
    </xf>
    <xf numFmtId="223" fontId="0" fillId="0" borderId="0" xfId="0" applyNumberFormat="1" applyFont="1"/>
    <xf numFmtId="221" fontId="5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/>
    </xf>
    <xf numFmtId="221" fontId="5" fillId="0" borderId="0" xfId="0" applyNumberFormat="1" applyFont="1"/>
    <xf numFmtId="213" fontId="5" fillId="0" borderId="0" xfId="0" applyNumberFormat="1" applyFont="1"/>
    <xf numFmtId="213" fontId="0" fillId="0" borderId="0" xfId="0" applyNumberFormat="1"/>
    <xf numFmtId="193" fontId="5" fillId="0" borderId="0" xfId="45" applyNumberFormat="1" applyFont="1"/>
    <xf numFmtId="223" fontId="5" fillId="0" borderId="0" xfId="0" applyNumberFormat="1" applyFont="1" applyAlignment="1">
      <alignment horizontal="center" vertical="center"/>
    </xf>
    <xf numFmtId="0" fontId="5" fillId="11" borderId="20" xfId="0" applyFont="1" applyFill="1" applyBorder="1" applyAlignment="1">
      <alignment horizontal="center"/>
    </xf>
    <xf numFmtId="0" fontId="5" fillId="11" borderId="21" xfId="0" applyFont="1" applyFill="1" applyBorder="1" applyAlignment="1">
      <alignment horizontal="center"/>
    </xf>
    <xf numFmtId="0" fontId="5" fillId="11" borderId="16" xfId="0" applyFont="1" applyFill="1" applyBorder="1" applyAlignment="1">
      <alignment horizontal="center"/>
    </xf>
    <xf numFmtId="3" fontId="0" fillId="11" borderId="32" xfId="48" applyNumberFormat="1" applyFont="1" applyFill="1" applyBorder="1" applyAlignment="1"/>
    <xf numFmtId="223" fontId="0" fillId="11" borderId="34" xfId="45" applyNumberFormat="1" applyFont="1" applyFill="1" applyBorder="1"/>
    <xf numFmtId="223" fontId="5" fillId="11" borderId="10" xfId="48" applyNumberFormat="1" applyFont="1" applyFill="1" applyBorder="1" applyAlignment="1">
      <alignment horizontal="center"/>
    </xf>
    <xf numFmtId="3" fontId="0" fillId="11" borderId="10" xfId="45" applyNumberFormat="1" applyFont="1" applyFill="1" applyBorder="1"/>
    <xf numFmtId="3" fontId="5" fillId="2" borderId="16" xfId="45" applyNumberFormat="1" applyFont="1" applyFill="1" applyBorder="1"/>
    <xf numFmtId="223" fontId="5" fillId="2" borderId="21" xfId="45" applyNumberFormat="1" applyFont="1" applyFill="1" applyBorder="1"/>
    <xf numFmtId="223" fontId="0" fillId="0" borderId="0" xfId="0" applyNumberFormat="1"/>
    <xf numFmtId="193" fontId="0" fillId="0" borderId="0" xfId="45" applyNumberFormat="1" applyFont="1"/>
    <xf numFmtId="0" fontId="5" fillId="0" borderId="33" xfId="0" applyFont="1" applyBorder="1" applyAlignment="1">
      <alignment horizontal="center"/>
    </xf>
    <xf numFmtId="0" fontId="5" fillId="9" borderId="16" xfId="0" applyFont="1" applyFill="1" applyBorder="1" applyAlignment="1">
      <alignment horizontal="center"/>
    </xf>
    <xf numFmtId="0" fontId="5" fillId="9" borderId="18" xfId="0" applyFont="1" applyFill="1" applyBorder="1" applyAlignment="1">
      <alignment horizontal="center"/>
    </xf>
    <xf numFmtId="0" fontId="5" fillId="9" borderId="40" xfId="0" applyFont="1" applyFill="1" applyBorder="1" applyAlignment="1">
      <alignment horizontal="center"/>
    </xf>
    <xf numFmtId="3" fontId="0" fillId="9" borderId="10" xfId="48" applyNumberFormat="1" applyFont="1" applyFill="1" applyBorder="1" applyAlignment="1">
      <alignment horizontal="right"/>
    </xf>
    <xf numFmtId="3" fontId="0" fillId="13" borderId="12" xfId="48" applyNumberFormat="1" applyFont="1" applyFill="1" applyBorder="1" applyAlignment="1">
      <alignment horizontal="right"/>
    </xf>
    <xf numFmtId="223" fontId="0" fillId="9" borderId="41" xfId="45" applyNumberFormat="1" applyFont="1" applyFill="1" applyBorder="1"/>
    <xf numFmtId="3" fontId="0" fillId="13" borderId="10" xfId="48" applyNumberFormat="1" applyFont="1" applyFill="1" applyBorder="1" applyAlignment="1">
      <alignment horizontal="right"/>
    </xf>
    <xf numFmtId="3" fontId="0" fillId="9" borderId="12" xfId="48" applyNumberFormat="1" applyFont="1" applyFill="1" applyBorder="1" applyAlignment="1">
      <alignment horizontal="right"/>
    </xf>
    <xf numFmtId="223" fontId="5" fillId="2" borderId="40" xfId="45" applyNumberFormat="1" applyFont="1" applyFill="1" applyBorder="1"/>
    <xf numFmtId="213" fontId="5" fillId="0" borderId="0" xfId="0" applyNumberFormat="1" applyFont="1" applyAlignment="1">
      <alignment horizontal="right"/>
    </xf>
    <xf numFmtId="0" fontId="5" fillId="14" borderId="16" xfId="0" applyFont="1" applyFill="1" applyBorder="1" applyAlignment="1">
      <alignment horizontal="center"/>
    </xf>
    <xf numFmtId="0" fontId="5" fillId="14" borderId="20" xfId="0" applyFont="1" applyFill="1" applyBorder="1" applyAlignment="1">
      <alignment horizontal="center"/>
    </xf>
    <xf numFmtId="0" fontId="5" fillId="14" borderId="53" xfId="0" applyFont="1" applyFill="1" applyBorder="1" applyAlignment="1">
      <alignment horizontal="center"/>
    </xf>
    <xf numFmtId="0" fontId="5" fillId="6" borderId="47" xfId="0" applyFont="1" applyFill="1" applyBorder="1" applyAlignment="1">
      <alignment horizontal="center"/>
    </xf>
    <xf numFmtId="0" fontId="5" fillId="14" borderId="54" xfId="0" applyFont="1" applyFill="1" applyBorder="1" applyAlignment="1">
      <alignment horizontal="center"/>
    </xf>
    <xf numFmtId="223" fontId="0" fillId="14" borderId="10" xfId="45" applyNumberFormat="1" applyFont="1" applyFill="1" applyBorder="1"/>
    <xf numFmtId="223" fontId="0" fillId="14" borderId="95" xfId="45" applyNumberFormat="1" applyFont="1" applyFill="1" applyBorder="1"/>
    <xf numFmtId="223" fontId="0" fillId="14" borderId="59" xfId="45" applyNumberFormat="1" applyFont="1" applyFill="1" applyBorder="1"/>
    <xf numFmtId="9" fontId="5" fillId="6" borderId="99" xfId="48" applyFont="1" applyFill="1" applyBorder="1" applyAlignment="1">
      <alignment horizontal="center"/>
    </xf>
    <xf numFmtId="223" fontId="0" fillId="14" borderId="101" xfId="45" applyNumberFormat="1" applyFont="1" applyFill="1" applyBorder="1"/>
    <xf numFmtId="0" fontId="5" fillId="14" borderId="33" xfId="0" applyFont="1" applyFill="1" applyBorder="1" applyAlignment="1">
      <alignment horizontal="center"/>
    </xf>
    <xf numFmtId="0" fontId="5" fillId="0" borderId="100" xfId="0" applyFont="1" applyBorder="1" applyAlignment="1">
      <alignment horizontal="center" vertical="center"/>
    </xf>
    <xf numFmtId="0" fontId="5" fillId="14" borderId="47" xfId="0" applyFont="1" applyFill="1" applyBorder="1" applyAlignment="1">
      <alignment horizontal="center"/>
    </xf>
    <xf numFmtId="0" fontId="5" fillId="0" borderId="5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3" fontId="0" fillId="14" borderId="95" xfId="48" applyNumberFormat="1" applyFont="1" applyFill="1" applyBorder="1" applyAlignment="1">
      <alignment horizontal="right"/>
    </xf>
    <xf numFmtId="223" fontId="5" fillId="0" borderId="32" xfId="45" applyNumberFormat="1" applyFont="1" applyBorder="1"/>
    <xf numFmtId="37" fontId="0" fillId="0" borderId="11" xfId="0" applyNumberFormat="1" applyFont="1" applyBorder="1"/>
    <xf numFmtId="37" fontId="0" fillId="0" borderId="13" xfId="0" applyNumberFormat="1" applyBorder="1"/>
    <xf numFmtId="37" fontId="0" fillId="0" borderId="37" xfId="0" applyNumberFormat="1" applyFont="1" applyBorder="1"/>
    <xf numFmtId="37" fontId="0" fillId="0" borderId="73" xfId="0" applyNumberFormat="1" applyBorder="1"/>
    <xf numFmtId="223" fontId="5" fillId="2" borderId="33" xfId="45" applyNumberFormat="1" applyFont="1" applyFill="1" applyBorder="1"/>
    <xf numFmtId="0" fontId="0" fillId="15" borderId="0" xfId="0" applyFill="1"/>
    <xf numFmtId="223" fontId="0" fillId="0" borderId="41" xfId="45" applyNumberFormat="1" applyFont="1" applyBorder="1"/>
    <xf numFmtId="232" fontId="0" fillId="0" borderId="0" xfId="48" applyNumberFormat="1" applyFont="1" applyFill="1"/>
    <xf numFmtId="223" fontId="0" fillId="0" borderId="99" xfId="45" applyNumberFormat="1" applyFont="1" applyBorder="1"/>
    <xf numFmtId="9" fontId="0" fillId="0" borderId="0" xfId="48" applyFont="1" applyFill="1" applyAlignment="1">
      <alignment horizontal="center"/>
    </xf>
    <xf numFmtId="0" fontId="0" fillId="16" borderId="0" xfId="0" applyFill="1"/>
    <xf numFmtId="9" fontId="0" fillId="0" borderId="0" xfId="0" applyNumberFormat="1" applyAlignment="1">
      <alignment horizontal="center"/>
    </xf>
    <xf numFmtId="194" fontId="0" fillId="0" borderId="0" xfId="45" applyNumberFormat="1" applyFont="1"/>
    <xf numFmtId="194" fontId="0" fillId="0" borderId="0" xfId="0" applyNumberFormat="1"/>
    <xf numFmtId="226" fontId="11" fillId="0" borderId="0" xfId="0" applyNumberFormat="1" applyFont="1"/>
    <xf numFmtId="2" fontId="33" fillId="0" borderId="0" xfId="0" applyNumberFormat="1" applyFont="1"/>
    <xf numFmtId="202" fontId="11" fillId="0" borderId="0" xfId="48" applyNumberFormat="1" applyFont="1" applyBorder="1"/>
    <xf numFmtId="211" fontId="11" fillId="0" borderId="0" xfId="48" applyNumberFormat="1" applyFont="1" applyBorder="1"/>
    <xf numFmtId="215" fontId="11" fillId="0" borderId="0" xfId="48" applyNumberFormat="1" applyFont="1" applyBorder="1"/>
    <xf numFmtId="217" fontId="11" fillId="0" borderId="0" xfId="48" applyNumberFormat="1" applyFont="1" applyBorder="1"/>
    <xf numFmtId="215" fontId="34" fillId="0" borderId="0" xfId="0" applyNumberFormat="1" applyFont="1" applyAlignment="1">
      <alignment horizontal="right"/>
    </xf>
    <xf numFmtId="0" fontId="34" fillId="0" borderId="0" xfId="0" applyFont="1" applyAlignment="1">
      <alignment horizontal="right"/>
    </xf>
    <xf numFmtId="191" fontId="0" fillId="0" borderId="0" xfId="0" applyNumberFormat="1"/>
    <xf numFmtId="0" fontId="35" fillId="0" borderId="0" xfId="0" applyFont="1" applyAlignment="1">
      <alignment vertical="center"/>
    </xf>
    <xf numFmtId="0" fontId="36" fillId="0" borderId="16" xfId="0" applyFont="1" applyBorder="1" applyAlignment="1">
      <alignment horizontal="center" vertical="center" wrapText="1"/>
    </xf>
    <xf numFmtId="226" fontId="36" fillId="0" borderId="16" xfId="0" applyNumberFormat="1" applyFont="1" applyBorder="1" applyAlignment="1">
      <alignment horizontal="center" vertical="center" wrapText="1"/>
    </xf>
    <xf numFmtId="226" fontId="36" fillId="0" borderId="20" xfId="0" applyNumberFormat="1" applyFont="1" applyBorder="1" applyAlignment="1">
      <alignment horizontal="center" vertical="center" wrapText="1"/>
    </xf>
    <xf numFmtId="226" fontId="36" fillId="0" borderId="33" xfId="0" applyNumberFormat="1" applyFont="1" applyBorder="1" applyAlignment="1">
      <alignment horizontal="center" vertical="center" wrapText="1"/>
    </xf>
    <xf numFmtId="0" fontId="36" fillId="17" borderId="16" xfId="0" applyFont="1" applyFill="1" applyBorder="1" applyAlignment="1">
      <alignment vertical="center" wrapText="1"/>
    </xf>
    <xf numFmtId="0" fontId="36" fillId="0" borderId="16" xfId="0" applyFont="1" applyBorder="1" applyAlignment="1">
      <alignment vertical="center" wrapText="1"/>
    </xf>
    <xf numFmtId="0" fontId="36" fillId="0" borderId="20" xfId="0" applyFont="1" applyBorder="1" applyAlignment="1">
      <alignment vertical="center" wrapText="1"/>
    </xf>
    <xf numFmtId="0" fontId="36" fillId="0" borderId="33" xfId="0" applyFont="1" applyBorder="1" applyAlignment="1">
      <alignment vertical="center" wrapText="1"/>
    </xf>
    <xf numFmtId="190" fontId="37" fillId="0" borderId="102" xfId="0" applyNumberFormat="1" applyFont="1" applyBorder="1"/>
    <xf numFmtId="190" fontId="37" fillId="0" borderId="103" xfId="0" applyNumberFormat="1" applyFont="1" applyBorder="1"/>
    <xf numFmtId="191" fontId="37" fillId="0" borderId="104" xfId="0" applyNumberFormat="1" applyFont="1" applyBorder="1"/>
    <xf numFmtId="191" fontId="37" fillId="0" borderId="105" xfId="0" applyNumberFormat="1" applyFont="1" applyBorder="1"/>
    <xf numFmtId="190" fontId="37" fillId="0" borderId="106" xfId="0" applyNumberFormat="1" applyFont="1" applyBorder="1"/>
    <xf numFmtId="190" fontId="37" fillId="0" borderId="107" xfId="0" applyNumberFormat="1" applyFont="1" applyBorder="1"/>
    <xf numFmtId="191" fontId="37" fillId="0" borderId="108" xfId="0" applyNumberFormat="1" applyFont="1" applyBorder="1"/>
    <xf numFmtId="191" fontId="37" fillId="0" borderId="38" xfId="0" applyNumberFormat="1" applyFont="1" applyBorder="1"/>
    <xf numFmtId="190" fontId="37" fillId="0" borderId="109" xfId="0" applyNumberFormat="1" applyFont="1" applyBorder="1"/>
    <xf numFmtId="190" fontId="37" fillId="0" borderId="110" xfId="0" applyNumberFormat="1" applyFont="1" applyBorder="1"/>
    <xf numFmtId="191" fontId="37" fillId="0" borderId="111" xfId="0" applyNumberFormat="1" applyFont="1" applyBorder="1"/>
    <xf numFmtId="191" fontId="37" fillId="0" borderId="9" xfId="0" applyNumberFormat="1" applyFont="1" applyBorder="1"/>
    <xf numFmtId="190" fontId="37" fillId="0" borderId="53" xfId="0" applyNumberFormat="1" applyFont="1" applyBorder="1"/>
    <xf numFmtId="190" fontId="37" fillId="0" borderId="112" xfId="0" applyNumberFormat="1" applyFont="1" applyBorder="1"/>
    <xf numFmtId="191" fontId="37" fillId="0" borderId="113" xfId="0" applyNumberFormat="1" applyFont="1" applyBorder="1"/>
    <xf numFmtId="191" fontId="37" fillId="0" borderId="114" xfId="0" applyNumberFormat="1" applyFont="1" applyBorder="1"/>
    <xf numFmtId="190" fontId="37" fillId="0" borderId="16" xfId="0" applyNumberFormat="1" applyFont="1" applyBorder="1"/>
    <xf numFmtId="190" fontId="36" fillId="0" borderId="115" xfId="0" applyNumberFormat="1" applyFont="1" applyBorder="1" applyAlignment="1">
      <alignment horizontal="right" vertical="center"/>
    </xf>
    <xf numFmtId="191" fontId="36" fillId="0" borderId="116" xfId="0" applyNumberFormat="1" applyFont="1" applyBorder="1" applyAlignment="1">
      <alignment horizontal="right" vertical="center"/>
    </xf>
    <xf numFmtId="191" fontId="38" fillId="0" borderId="117" xfId="0" applyNumberFormat="1" applyFont="1" applyBorder="1"/>
    <xf numFmtId="190" fontId="37" fillId="0" borderId="118" xfId="0" applyNumberFormat="1" applyFont="1" applyBorder="1"/>
    <xf numFmtId="190" fontId="37" fillId="0" borderId="119" xfId="0" applyNumberFormat="1" applyFont="1" applyBorder="1"/>
    <xf numFmtId="191" fontId="37" fillId="0" borderId="120" xfId="0" applyNumberFormat="1" applyFont="1" applyBorder="1"/>
    <xf numFmtId="191" fontId="37" fillId="0" borderId="13" xfId="0" applyNumberFormat="1" applyFont="1" applyBorder="1"/>
    <xf numFmtId="191" fontId="37" fillId="0" borderId="107" xfId="0" applyNumberFormat="1" applyFont="1" applyBorder="1"/>
    <xf numFmtId="190" fontId="37" fillId="0" borderId="121" xfId="0" applyNumberFormat="1" applyFont="1" applyBorder="1" applyAlignment="1">
      <alignment horizontal="right"/>
    </xf>
    <xf numFmtId="190" fontId="37" fillId="0" borderId="122" xfId="0" applyNumberFormat="1" applyFont="1" applyBorder="1"/>
    <xf numFmtId="191" fontId="37" fillId="0" borderId="123" xfId="0" applyNumberFormat="1" applyFont="1" applyBorder="1"/>
    <xf numFmtId="191" fontId="37" fillId="0" borderId="124" xfId="0" applyNumberFormat="1" applyFont="1" applyBorder="1"/>
    <xf numFmtId="191" fontId="37" fillId="0" borderId="125" xfId="0" applyNumberFormat="1" applyFont="1" applyBorder="1"/>
    <xf numFmtId="190" fontId="37" fillId="0" borderId="16" xfId="0" applyNumberFormat="1" applyFont="1" applyBorder="1" applyAlignment="1">
      <alignment horizontal="right"/>
    </xf>
    <xf numFmtId="190" fontId="37" fillId="0" borderId="115" xfId="0" applyNumberFormat="1" applyFont="1" applyBorder="1"/>
    <xf numFmtId="191" fontId="37" fillId="0" borderId="116" xfId="0" applyNumberFormat="1" applyFont="1" applyBorder="1"/>
    <xf numFmtId="191" fontId="37" fillId="0" borderId="117" xfId="0" applyNumberFormat="1" applyFont="1" applyBorder="1"/>
    <xf numFmtId="190" fontId="37" fillId="0" borderId="59" xfId="0" applyNumberFormat="1" applyFont="1" applyBorder="1" applyAlignment="1">
      <alignment horizontal="right"/>
    </xf>
    <xf numFmtId="191" fontId="37" fillId="0" borderId="0" xfId="0" applyNumberFormat="1" applyFont="1"/>
    <xf numFmtId="191" fontId="37" fillId="0" borderId="126" xfId="0" applyNumberFormat="1" applyFont="1" applyBorder="1"/>
    <xf numFmtId="191" fontId="37" fillId="0" borderId="127" xfId="0" applyNumberFormat="1" applyFont="1" applyBorder="1"/>
    <xf numFmtId="191" fontId="37" fillId="0" borderId="128" xfId="0" applyNumberFormat="1" applyFont="1" applyBorder="1"/>
    <xf numFmtId="191" fontId="37" fillId="0" borderId="129" xfId="0" applyNumberFormat="1" applyFont="1" applyBorder="1"/>
    <xf numFmtId="190" fontId="37" fillId="0" borderId="59" xfId="0" applyNumberFormat="1" applyFont="1" applyBorder="1"/>
    <xf numFmtId="190" fontId="37" fillId="0" borderId="130" xfId="0" applyNumberFormat="1" applyFont="1" applyBorder="1"/>
    <xf numFmtId="191" fontId="37" fillId="0" borderId="130" xfId="0" applyNumberFormat="1" applyFont="1" applyBorder="1"/>
    <xf numFmtId="190" fontId="37" fillId="0" borderId="121" xfId="0" applyNumberFormat="1" applyFont="1" applyBorder="1"/>
    <xf numFmtId="191" fontId="37" fillId="0" borderId="131" xfId="0" applyNumberFormat="1" applyFont="1" applyBorder="1"/>
    <xf numFmtId="0" fontId="36" fillId="17" borderId="1" xfId="0" applyFont="1" applyFill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190" fontId="37" fillId="0" borderId="132" xfId="0" applyNumberFormat="1" applyFont="1" applyBorder="1"/>
    <xf numFmtId="190" fontId="37" fillId="0" borderId="133" xfId="0" applyNumberFormat="1" applyFont="1" applyBorder="1"/>
    <xf numFmtId="191" fontId="37" fillId="0" borderId="134" xfId="0" applyNumberFormat="1" applyFont="1" applyBorder="1"/>
    <xf numFmtId="191" fontId="37" fillId="0" borderId="135" xfId="0" applyNumberFormat="1" applyFont="1" applyBorder="1"/>
    <xf numFmtId="191" fontId="37" fillId="0" borderId="136" xfId="0" applyNumberFormat="1" applyFont="1" applyBorder="1"/>
    <xf numFmtId="190" fontId="36" fillId="0" borderId="16" xfId="0" applyNumberFormat="1" applyFont="1" applyBorder="1" applyAlignment="1">
      <alignment horizontal="right" vertical="center"/>
    </xf>
    <xf numFmtId="191" fontId="36" fillId="0" borderId="137" xfId="0" applyNumberFormat="1" applyFont="1" applyBorder="1" applyAlignment="1">
      <alignment horizontal="right" vertical="center"/>
    </xf>
    <xf numFmtId="190" fontId="37" fillId="0" borderId="3" xfId="0" applyNumberFormat="1" applyFont="1" applyBorder="1"/>
    <xf numFmtId="190" fontId="37" fillId="0" borderId="138" xfId="0" applyNumberFormat="1" applyFont="1" applyBorder="1"/>
    <xf numFmtId="191" fontId="37" fillId="0" borderId="139" xfId="0" applyNumberFormat="1" applyFont="1" applyBorder="1"/>
    <xf numFmtId="191" fontId="37" fillId="0" borderId="140" xfId="0" applyNumberFormat="1" applyFont="1" applyBorder="1"/>
    <xf numFmtId="190" fontId="37" fillId="0" borderId="0" xfId="0" applyNumberFormat="1" applyFont="1"/>
    <xf numFmtId="190" fontId="38" fillId="17" borderId="59" xfId="0" applyNumberFormat="1" applyFont="1" applyFill="1" applyBorder="1"/>
    <xf numFmtId="190" fontId="36" fillId="0" borderId="1" xfId="0" applyNumberFormat="1" applyFont="1" applyBorder="1" applyAlignment="1">
      <alignment horizontal="right" vertical="center"/>
    </xf>
    <xf numFmtId="191" fontId="36" fillId="0" borderId="1" xfId="0" applyNumberFormat="1" applyFont="1" applyBorder="1" applyAlignment="1">
      <alignment horizontal="right" vertical="center"/>
    </xf>
    <xf numFmtId="191" fontId="38" fillId="0" borderId="1" xfId="0" applyNumberFormat="1" applyFont="1" applyBorder="1"/>
    <xf numFmtId="190" fontId="36" fillId="0" borderId="17" xfId="0" applyNumberFormat="1" applyFont="1" applyBorder="1" applyAlignment="1">
      <alignment horizontal="right" vertical="center"/>
    </xf>
    <xf numFmtId="191" fontId="36" fillId="0" borderId="18" xfId="0" applyNumberFormat="1" applyFont="1" applyBorder="1" applyAlignment="1">
      <alignment horizontal="right" vertical="center"/>
    </xf>
    <xf numFmtId="0" fontId="36" fillId="0" borderId="53" xfId="0" applyFont="1" applyBorder="1" applyAlignment="1">
      <alignment vertical="center" wrapText="1"/>
    </xf>
    <xf numFmtId="0" fontId="36" fillId="0" borderId="102" xfId="0" applyFont="1" applyBorder="1" applyAlignment="1">
      <alignment horizontal="left" vertical="center" wrapText="1"/>
    </xf>
    <xf numFmtId="191" fontId="37" fillId="0" borderId="141" xfId="0" applyNumberFormat="1" applyFont="1" applyBorder="1"/>
    <xf numFmtId="0" fontId="36" fillId="0" borderId="118" xfId="0" applyFont="1" applyBorder="1" applyAlignment="1">
      <alignment horizontal="left" vertical="center" wrapText="1"/>
    </xf>
    <xf numFmtId="217" fontId="37" fillId="0" borderId="142" xfId="0" applyNumberFormat="1" applyFont="1" applyBorder="1"/>
    <xf numFmtId="2" fontId="37" fillId="0" borderId="143" xfId="0" applyNumberFormat="1" applyFont="1" applyBorder="1"/>
    <xf numFmtId="0" fontId="36" fillId="0" borderId="53" xfId="0" applyFont="1" applyBorder="1" applyAlignment="1">
      <alignment horizontal="left" vertical="center" wrapText="1"/>
    </xf>
    <xf numFmtId="217" fontId="37" fillId="0" borderId="112" xfId="0" applyNumberFormat="1" applyFont="1" applyBorder="1"/>
    <xf numFmtId="2" fontId="37" fillId="0" borderId="113" xfId="0" applyNumberFormat="1" applyFont="1" applyBorder="1"/>
    <xf numFmtId="0" fontId="36" fillId="0" borderId="16" xfId="0" applyFont="1" applyBorder="1" applyAlignment="1">
      <alignment horizontal="left" vertical="center" wrapText="1"/>
    </xf>
    <xf numFmtId="0" fontId="36" fillId="17" borderId="118" xfId="0" applyFont="1" applyFill="1" applyBorder="1" applyAlignment="1">
      <alignment horizontal="left" vertical="center" wrapText="1"/>
    </xf>
    <xf numFmtId="190" fontId="37" fillId="0" borderId="125" xfId="0" applyNumberFormat="1" applyFont="1" applyBorder="1"/>
    <xf numFmtId="0" fontId="36" fillId="0" borderId="106" xfId="0" applyFont="1" applyBorder="1" applyAlignment="1">
      <alignment horizontal="left" vertical="center" wrapText="1"/>
    </xf>
    <xf numFmtId="191" fontId="37" fillId="0" borderId="144" xfId="0" applyNumberFormat="1" applyFont="1" applyBorder="1"/>
    <xf numFmtId="0" fontId="36" fillId="0" borderId="109" xfId="0" applyFont="1" applyBorder="1" applyAlignment="1">
      <alignment horizontal="left" vertical="center" wrapText="1"/>
    </xf>
    <xf numFmtId="202" fontId="37" fillId="0" borderId="110" xfId="48" applyNumberFormat="1" applyFont="1" applyFill="1" applyBorder="1"/>
    <xf numFmtId="202" fontId="38" fillId="0" borderId="124" xfId="48" applyNumberFormat="1" applyFont="1" applyFill="1" applyBorder="1" applyAlignment="1">
      <alignment horizontal="right"/>
    </xf>
    <xf numFmtId="191" fontId="37" fillId="0" borderId="145" xfId="48" applyNumberFormat="1" applyFont="1" applyFill="1" applyBorder="1"/>
    <xf numFmtId="191" fontId="37" fillId="0" borderId="146" xfId="0" applyNumberFormat="1" applyFont="1" applyBorder="1"/>
    <xf numFmtId="190" fontId="37" fillId="0" borderId="147" xfId="0" applyNumberFormat="1" applyFont="1" applyBorder="1"/>
    <xf numFmtId="190" fontId="37" fillId="0" borderId="148" xfId="0" applyNumberFormat="1" applyFont="1" applyBorder="1"/>
    <xf numFmtId="191" fontId="37" fillId="0" borderId="149" xfId="0" applyNumberFormat="1" applyFont="1" applyBorder="1"/>
    <xf numFmtId="191" fontId="37" fillId="0" borderId="150" xfId="0" applyNumberFormat="1" applyFont="1" applyBorder="1"/>
    <xf numFmtId="190" fontId="38" fillId="0" borderId="119" xfId="0" applyNumberFormat="1" applyFont="1" applyBorder="1"/>
    <xf numFmtId="191" fontId="38" fillId="0" borderId="126" xfId="0" applyNumberFormat="1" applyFont="1" applyBorder="1"/>
    <xf numFmtId="191" fontId="38" fillId="0" borderId="38" xfId="0" applyNumberFormat="1" applyFont="1" applyBorder="1"/>
    <xf numFmtId="191" fontId="37" fillId="0" borderId="151" xfId="0" applyNumberFormat="1" applyFont="1" applyBorder="1"/>
    <xf numFmtId="2" fontId="37" fillId="0" borderId="104" xfId="0" applyNumberFormat="1" applyFont="1" applyBorder="1"/>
    <xf numFmtId="190" fontId="37" fillId="0" borderId="152" xfId="0" applyNumberFormat="1" applyFont="1" applyBorder="1"/>
    <xf numFmtId="2" fontId="37" fillId="0" borderId="153" xfId="0" applyNumberFormat="1" applyFont="1" applyBorder="1"/>
    <xf numFmtId="190" fontId="37" fillId="0" borderId="153" xfId="0" applyNumberFormat="1" applyFont="1" applyBorder="1"/>
    <xf numFmtId="190" fontId="37" fillId="0" borderId="154" xfId="0" applyNumberFormat="1" applyFont="1" applyBorder="1"/>
    <xf numFmtId="2" fontId="36" fillId="0" borderId="116" xfId="0" applyNumberFormat="1" applyFont="1" applyBorder="1" applyAlignment="1">
      <alignment horizontal="right" vertical="center"/>
    </xf>
    <xf numFmtId="2" fontId="37" fillId="0" borderId="155" xfId="0" applyNumberFormat="1" applyFont="1" applyBorder="1"/>
    <xf numFmtId="190" fontId="37" fillId="0" borderId="155" xfId="0" applyNumberFormat="1" applyFont="1" applyBorder="1"/>
    <xf numFmtId="2" fontId="37" fillId="0" borderId="156" xfId="0" applyNumberFormat="1" applyFont="1" applyBorder="1"/>
    <xf numFmtId="190" fontId="37" fillId="0" borderId="156" xfId="0" applyNumberFormat="1" applyFont="1" applyBorder="1"/>
    <xf numFmtId="2" fontId="37" fillId="0" borderId="131" xfId="0" applyNumberFormat="1" applyFont="1" applyBorder="1"/>
    <xf numFmtId="217" fontId="37" fillId="0" borderId="115" xfId="0" applyNumberFormat="1" applyFont="1" applyBorder="1"/>
    <xf numFmtId="190" fontId="37" fillId="0" borderId="157" xfId="0" applyNumberFormat="1" applyFont="1" applyBorder="1"/>
    <xf numFmtId="2" fontId="37" fillId="0" borderId="126" xfId="0" applyNumberFormat="1" applyFont="1" applyBorder="1"/>
    <xf numFmtId="190" fontId="37" fillId="0" borderId="158" xfId="0" applyNumberFormat="1" applyFont="1" applyBorder="1"/>
    <xf numFmtId="2" fontId="37" fillId="0" borderId="124" xfId="0" applyNumberFormat="1" applyFont="1" applyBorder="1"/>
    <xf numFmtId="2" fontId="37" fillId="0" borderId="134" xfId="0" applyNumberFormat="1" applyFont="1" applyBorder="1"/>
    <xf numFmtId="190" fontId="37" fillId="0" borderId="159" xfId="0" applyNumberFormat="1" applyFont="1" applyBorder="1"/>
    <xf numFmtId="227" fontId="37" fillId="0" borderId="136" xfId="0" applyNumberFormat="1" applyFont="1" applyBorder="1"/>
    <xf numFmtId="227" fontId="37" fillId="0" borderId="129" xfId="0" applyNumberFormat="1" applyFont="1" applyBorder="1"/>
    <xf numFmtId="2" fontId="36" fillId="0" borderId="137" xfId="0" applyNumberFormat="1" applyFont="1" applyBorder="1" applyAlignment="1">
      <alignment horizontal="right" vertical="center"/>
    </xf>
    <xf numFmtId="227" fontId="38" fillId="0" borderId="117" xfId="0" applyNumberFormat="1" applyFont="1" applyBorder="1"/>
    <xf numFmtId="227" fontId="37" fillId="0" borderId="13" xfId="0" applyNumberFormat="1" applyFont="1" applyBorder="1"/>
    <xf numFmtId="227" fontId="37" fillId="0" borderId="38" xfId="0" applyNumberFormat="1" applyFont="1" applyBorder="1"/>
    <xf numFmtId="227" fontId="37" fillId="0" borderId="128" xfId="0" applyNumberFormat="1" applyFont="1" applyBorder="1"/>
    <xf numFmtId="227" fontId="37" fillId="0" borderId="139" xfId="0" applyNumberFormat="1" applyFont="1" applyBorder="1"/>
    <xf numFmtId="227" fontId="37" fillId="0" borderId="140" xfId="0" applyNumberFormat="1" applyFont="1" applyBorder="1"/>
    <xf numFmtId="190" fontId="37" fillId="0" borderId="160" xfId="0" applyNumberFormat="1" applyFont="1" applyBorder="1"/>
    <xf numFmtId="227" fontId="37" fillId="0" borderId="0" xfId="0" applyNumberFormat="1" applyFont="1"/>
    <xf numFmtId="2" fontId="36" fillId="0" borderId="1" xfId="0" applyNumberFormat="1" applyFont="1" applyBorder="1" applyAlignment="1">
      <alignment horizontal="right" vertical="center"/>
    </xf>
    <xf numFmtId="190" fontId="36" fillId="0" borderId="31" xfId="0" applyNumberFormat="1" applyFont="1" applyBorder="1" applyAlignment="1">
      <alignment horizontal="right" vertical="center"/>
    </xf>
    <xf numFmtId="217" fontId="37" fillId="0" borderId="130" xfId="0" applyNumberFormat="1" applyFont="1" applyBorder="1"/>
    <xf numFmtId="217" fontId="37" fillId="0" borderId="161" xfId="0" applyNumberFormat="1" applyFont="1" applyBorder="1"/>
    <xf numFmtId="217" fontId="37" fillId="0" borderId="162" xfId="0" applyNumberFormat="1" applyFont="1" applyBorder="1"/>
    <xf numFmtId="217" fontId="37" fillId="0" borderId="154" xfId="0" applyNumberFormat="1" applyFont="1" applyBorder="1"/>
    <xf numFmtId="202" fontId="37" fillId="0" borderId="153" xfId="48" applyNumberFormat="1" applyFont="1" applyFill="1" applyBorder="1"/>
    <xf numFmtId="190" fontId="37" fillId="0" borderId="163" xfId="0" applyNumberFormat="1" applyFont="1" applyBorder="1"/>
    <xf numFmtId="190" fontId="36" fillId="0" borderId="157" xfId="0" applyNumberFormat="1" applyFont="1" applyBorder="1" applyAlignment="1">
      <alignment horizontal="right" vertical="center"/>
    </xf>
    <xf numFmtId="2" fontId="37" fillId="0" borderId="151" xfId="0" applyNumberFormat="1" applyFont="1" applyBorder="1"/>
    <xf numFmtId="191" fontId="37" fillId="0" borderId="164" xfId="0" applyNumberFormat="1" applyFont="1" applyBorder="1"/>
    <xf numFmtId="191" fontId="37" fillId="0" borderId="35" xfId="0" applyNumberFormat="1" applyFont="1" applyBorder="1"/>
    <xf numFmtId="190" fontId="37" fillId="0" borderId="124" xfId="0" applyNumberFormat="1" applyFont="1" applyBorder="1"/>
    <xf numFmtId="191" fontId="37" fillId="0" borderId="25" xfId="0" applyNumberFormat="1" applyFont="1" applyBorder="1"/>
    <xf numFmtId="191" fontId="37" fillId="0" borderId="165" xfId="0" applyNumberFormat="1" applyFont="1" applyBorder="1"/>
    <xf numFmtId="191" fontId="38" fillId="0" borderId="137" xfId="0" applyNumberFormat="1" applyFont="1" applyBorder="1"/>
    <xf numFmtId="190" fontId="37" fillId="0" borderId="126" xfId="0" applyNumberFormat="1" applyFont="1" applyBorder="1"/>
    <xf numFmtId="191" fontId="37" fillId="0" borderId="34" xfId="0" applyNumberFormat="1" applyFont="1" applyBorder="1"/>
    <xf numFmtId="191" fontId="37" fillId="0" borderId="137" xfId="0" applyNumberFormat="1" applyFont="1" applyBorder="1"/>
    <xf numFmtId="191" fontId="37" fillId="0" borderId="166" xfId="0" applyNumberFormat="1" applyFont="1" applyBorder="1"/>
    <xf numFmtId="190" fontId="37" fillId="0" borderId="134" xfId="0" applyNumberFormat="1" applyFont="1" applyBorder="1"/>
    <xf numFmtId="191" fontId="37" fillId="0" borderId="167" xfId="0" applyNumberFormat="1" applyFont="1" applyBorder="1"/>
    <xf numFmtId="190" fontId="36" fillId="0" borderId="116" xfId="0" applyNumberFormat="1" applyFont="1" applyBorder="1" applyAlignment="1">
      <alignment horizontal="right" vertical="center"/>
    </xf>
    <xf numFmtId="191" fontId="37" fillId="0" borderId="168" xfId="0" applyNumberFormat="1" applyFont="1" applyBorder="1"/>
    <xf numFmtId="190" fontId="37" fillId="0" borderId="120" xfId="0" applyNumberFormat="1" applyFont="1" applyBorder="1"/>
    <xf numFmtId="191" fontId="37" fillId="0" borderId="111" xfId="48" applyNumberFormat="1" applyFont="1" applyFill="1" applyBorder="1"/>
    <xf numFmtId="191" fontId="37" fillId="0" borderId="169" xfId="0" applyNumberFormat="1" applyFont="1" applyBorder="1"/>
    <xf numFmtId="191" fontId="38" fillId="0" borderId="35" xfId="0" applyNumberFormat="1" applyFont="1" applyBorder="1"/>
    <xf numFmtId="190" fontId="37" fillId="0" borderId="151" xfId="0" applyNumberFormat="1" applyFont="1" applyBorder="1"/>
    <xf numFmtId="190" fontId="37" fillId="0" borderId="111" xfId="0" applyNumberFormat="1" applyFont="1" applyBorder="1"/>
    <xf numFmtId="190" fontId="37" fillId="0" borderId="131" xfId="0" applyNumberFormat="1" applyFont="1" applyBorder="1"/>
    <xf numFmtId="190" fontId="37" fillId="0" borderId="123" xfId="0" applyNumberFormat="1" applyFont="1" applyBorder="1"/>
    <xf numFmtId="217" fontId="37" fillId="0" borderId="143" xfId="0" applyNumberFormat="1" applyFont="1" applyBorder="1"/>
    <xf numFmtId="217" fontId="37" fillId="0" borderId="167" xfId="0" applyNumberFormat="1" applyFont="1" applyBorder="1"/>
    <xf numFmtId="217" fontId="37" fillId="0" borderId="113" xfId="0" applyNumberFormat="1" applyFont="1" applyBorder="1"/>
    <xf numFmtId="217" fontId="37" fillId="0" borderId="136" xfId="0" applyNumberFormat="1" applyFont="1" applyBorder="1"/>
    <xf numFmtId="190" fontId="37" fillId="0" borderId="127" xfId="0" applyNumberFormat="1" applyFont="1" applyBorder="1"/>
    <xf numFmtId="190" fontId="37" fillId="0" borderId="108" xfId="0" applyNumberFormat="1" applyFont="1" applyBorder="1"/>
    <xf numFmtId="202" fontId="37" fillId="0" borderId="153" xfId="48" applyNumberFormat="1" applyFont="1" applyBorder="1"/>
    <xf numFmtId="202" fontId="37" fillId="0" borderId="111" xfId="48" applyNumberFormat="1" applyFont="1" applyBorder="1"/>
    <xf numFmtId="190" fontId="37" fillId="0" borderId="113" xfId="0" applyNumberFormat="1" applyFont="1" applyBorder="1"/>
    <xf numFmtId="190" fontId="37" fillId="0" borderId="136" xfId="0" applyNumberFormat="1" applyFont="1" applyBorder="1"/>
    <xf numFmtId="190" fontId="37" fillId="0" borderId="170" xfId="0" applyNumberFormat="1" applyFont="1" applyBorder="1"/>
    <xf numFmtId="190" fontId="37" fillId="0" borderId="104" xfId="0" applyNumberFormat="1" applyFont="1" applyBorder="1"/>
    <xf numFmtId="190" fontId="37" fillId="0" borderId="114" xfId="0" applyNumberFormat="1" applyFont="1" applyBorder="1"/>
    <xf numFmtId="190" fontId="37" fillId="0" borderId="144" xfId="0" applyNumberFormat="1" applyFont="1" applyBorder="1"/>
    <xf numFmtId="190" fontId="37" fillId="0" borderId="145" xfId="0" applyNumberFormat="1" applyFont="1" applyBorder="1"/>
    <xf numFmtId="190" fontId="37" fillId="0" borderId="129" xfId="0" applyNumberFormat="1" applyFont="1" applyBorder="1"/>
    <xf numFmtId="190" fontId="36" fillId="0" borderId="117" xfId="0" applyNumberFormat="1" applyFont="1" applyBorder="1" applyAlignment="1">
      <alignment horizontal="right" vertical="center"/>
    </xf>
    <xf numFmtId="217" fontId="37" fillId="0" borderId="107" xfId="0" applyNumberFormat="1" applyFont="1" applyBorder="1"/>
    <xf numFmtId="217" fontId="37" fillId="0" borderId="127" xfId="0" applyNumberFormat="1" applyFont="1" applyBorder="1"/>
    <xf numFmtId="217" fontId="37" fillId="0" borderId="144" xfId="0" applyNumberFormat="1" applyFont="1" applyBorder="1"/>
    <xf numFmtId="217" fontId="37" fillId="0" borderId="158" xfId="0" applyNumberFormat="1" applyFont="1" applyBorder="1"/>
    <xf numFmtId="190" fontId="37" fillId="0" borderId="171" xfId="0" applyNumberFormat="1" applyFont="1" applyBorder="1"/>
    <xf numFmtId="190" fontId="37" fillId="0" borderId="116" xfId="0" applyNumberFormat="1" applyFont="1" applyBorder="1"/>
    <xf numFmtId="190" fontId="37" fillId="0" borderId="117" xfId="0" applyNumberFormat="1" applyFont="1" applyBorder="1"/>
    <xf numFmtId="190" fontId="37" fillId="0" borderId="141" xfId="0" applyNumberFormat="1" applyFont="1" applyBorder="1"/>
    <xf numFmtId="190" fontId="37" fillId="0" borderId="172" xfId="0" applyNumberFormat="1" applyFont="1" applyBorder="1"/>
    <xf numFmtId="190" fontId="37" fillId="0" borderId="161" xfId="0" applyNumberFormat="1" applyFont="1" applyBorder="1"/>
    <xf numFmtId="190" fontId="37" fillId="0" borderId="173" xfId="0" applyNumberFormat="1" applyFont="1" applyBorder="1"/>
    <xf numFmtId="190" fontId="37" fillId="0" borderId="139" xfId="0" applyNumberFormat="1" applyFont="1" applyBorder="1"/>
    <xf numFmtId="190" fontId="37" fillId="0" borderId="140" xfId="0" applyNumberFormat="1" applyFont="1" applyBorder="1"/>
    <xf numFmtId="190" fontId="36" fillId="0" borderId="18" xfId="0" applyNumberFormat="1" applyFont="1" applyBorder="1" applyAlignment="1">
      <alignment horizontal="right" vertical="center"/>
    </xf>
    <xf numFmtId="190" fontId="36" fillId="0" borderId="19" xfId="0" applyNumberFormat="1" applyFont="1" applyBorder="1" applyAlignment="1">
      <alignment horizontal="right" vertical="center"/>
    </xf>
    <xf numFmtId="217" fontId="37" fillId="0" borderId="141" xfId="0" applyNumberFormat="1" applyFont="1" applyBorder="1"/>
    <xf numFmtId="217" fontId="37" fillId="0" borderId="172" xfId="0" applyNumberFormat="1" applyFont="1" applyBorder="1"/>
    <xf numFmtId="217" fontId="37" fillId="0" borderId="135" xfId="0" applyNumberFormat="1" applyFont="1" applyBorder="1"/>
    <xf numFmtId="217" fontId="37" fillId="0" borderId="129" xfId="0" applyNumberFormat="1" applyFont="1" applyBorder="1"/>
    <xf numFmtId="202" fontId="37" fillId="0" borderId="110" xfId="48" applyNumberFormat="1" applyFont="1" applyBorder="1"/>
    <xf numFmtId="202" fontId="37" fillId="0" borderId="124" xfId="48" applyNumberFormat="1" applyFont="1" applyBorder="1"/>
    <xf numFmtId="202" fontId="37" fillId="0" borderId="145" xfId="48" applyNumberFormat="1" applyFont="1" applyBorder="1"/>
    <xf numFmtId="190" fontId="37" fillId="0" borderId="174" xfId="0" applyNumberFormat="1" applyFont="1" applyBorder="1"/>
    <xf numFmtId="190" fontId="37" fillId="0" borderId="175" xfId="0" applyNumberFormat="1" applyFont="1" applyBorder="1"/>
    <xf numFmtId="190" fontId="37" fillId="0" borderId="164" xfId="0" applyNumberFormat="1" applyFont="1" applyBorder="1"/>
    <xf numFmtId="190" fontId="37" fillId="0" borderId="176" xfId="0" applyNumberFormat="1" applyFont="1" applyBorder="1"/>
    <xf numFmtId="190" fontId="36" fillId="0" borderId="137" xfId="0" applyNumberFormat="1" applyFont="1" applyBorder="1" applyAlignment="1">
      <alignment horizontal="right" vertical="center"/>
    </xf>
    <xf numFmtId="217" fontId="37" fillId="0" borderId="108" xfId="0" applyNumberFormat="1" applyFont="1" applyBorder="1"/>
    <xf numFmtId="190" fontId="37" fillId="0" borderId="137" xfId="0" applyNumberFormat="1" applyFont="1" applyBorder="1"/>
    <xf numFmtId="190" fontId="37" fillId="0" borderId="177" xfId="0" applyNumberFormat="1" applyFont="1" applyBorder="1"/>
    <xf numFmtId="190" fontId="37" fillId="0" borderId="178" xfId="0" applyNumberFormat="1" applyFont="1" applyBorder="1"/>
    <xf numFmtId="190" fontId="37" fillId="0" borderId="168" xfId="0" applyNumberFormat="1" applyFont="1" applyBorder="1"/>
    <xf numFmtId="190" fontId="36" fillId="0" borderId="21" xfId="0" applyNumberFormat="1" applyFont="1" applyBorder="1" applyAlignment="1">
      <alignment horizontal="right" vertical="center"/>
    </xf>
    <xf numFmtId="217" fontId="37" fillId="0" borderId="177" xfId="0" applyNumberFormat="1" applyFont="1" applyBorder="1"/>
    <xf numFmtId="190" fontId="37" fillId="0" borderId="165" xfId="0" applyNumberFormat="1" applyFont="1" applyBorder="1"/>
    <xf numFmtId="190" fontId="37" fillId="0" borderId="105" xfId="0" applyNumberFormat="1" applyFont="1" applyBorder="1"/>
    <xf numFmtId="190" fontId="37" fillId="0" borderId="179" xfId="0" applyNumberFormat="1" applyFont="1" applyBorder="1"/>
    <xf numFmtId="0" fontId="36" fillId="0" borderId="20" xfId="0" applyFont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 wrapText="1"/>
    </xf>
    <xf numFmtId="191" fontId="39" fillId="0" borderId="76" xfId="0" applyNumberFormat="1" applyFont="1" applyBorder="1"/>
    <xf numFmtId="191" fontId="37" fillId="0" borderId="77" xfId="0" applyNumberFormat="1" applyFont="1" applyBorder="1"/>
    <xf numFmtId="191" fontId="37" fillId="0" borderId="106" xfId="0" applyNumberFormat="1" applyFont="1" applyBorder="1"/>
    <xf numFmtId="191" fontId="37" fillId="0" borderId="109" xfId="0" applyNumberFormat="1" applyFont="1" applyBorder="1"/>
    <xf numFmtId="191" fontId="37" fillId="0" borderId="118" xfId="0" applyNumberFormat="1" applyFont="1" applyBorder="1"/>
    <xf numFmtId="191" fontId="37" fillId="0" borderId="180" xfId="0" applyNumberFormat="1" applyFont="1" applyBorder="1"/>
    <xf numFmtId="190" fontId="36" fillId="2" borderId="115" xfId="0" applyNumberFormat="1" applyFont="1" applyFill="1" applyBorder="1" applyAlignment="1">
      <alignment horizontal="right" vertical="center"/>
    </xf>
    <xf numFmtId="191" fontId="36" fillId="2" borderId="115" xfId="0" applyNumberFormat="1" applyFont="1" applyFill="1" applyBorder="1" applyAlignment="1">
      <alignment horizontal="right" vertical="center"/>
    </xf>
    <xf numFmtId="191" fontId="38" fillId="2" borderId="19" xfId="0" applyNumberFormat="1" applyFont="1" applyFill="1" applyBorder="1"/>
    <xf numFmtId="191" fontId="37" fillId="0" borderId="181" xfId="0" applyNumberFormat="1" applyFont="1" applyBorder="1"/>
    <xf numFmtId="191" fontId="37" fillId="0" borderId="182" xfId="0" applyNumberFormat="1" applyFont="1" applyBorder="1"/>
    <xf numFmtId="191" fontId="37" fillId="0" borderId="16" xfId="0" applyNumberFormat="1" applyFont="1" applyBorder="1"/>
    <xf numFmtId="191" fontId="37" fillId="0" borderId="19" xfId="0" applyNumberFormat="1" applyFont="1" applyBorder="1"/>
    <xf numFmtId="0" fontId="36" fillId="0" borderId="19" xfId="0" applyFont="1" applyBorder="1" applyAlignment="1">
      <alignment vertical="center" wrapText="1"/>
    </xf>
    <xf numFmtId="191" fontId="37" fillId="0" borderId="69" xfId="0" applyNumberFormat="1" applyFont="1" applyBorder="1"/>
    <xf numFmtId="190" fontId="36" fillId="2" borderId="16" xfId="0" applyNumberFormat="1" applyFont="1" applyFill="1" applyBorder="1" applyAlignment="1">
      <alignment horizontal="right" vertical="center"/>
    </xf>
    <xf numFmtId="191" fontId="36" fillId="2" borderId="16" xfId="0" applyNumberFormat="1" applyFont="1" applyFill="1" applyBorder="1" applyAlignment="1">
      <alignment horizontal="right" vertical="center"/>
    </xf>
    <xf numFmtId="191" fontId="37" fillId="0" borderId="183" xfId="0" applyNumberFormat="1" applyFont="1" applyBorder="1"/>
    <xf numFmtId="191" fontId="38" fillId="2" borderId="117" xfId="0" applyNumberFormat="1" applyFont="1" applyFill="1" applyBorder="1"/>
    <xf numFmtId="191" fontId="37" fillId="0" borderId="48" xfId="0" applyNumberFormat="1" applyFont="1" applyBorder="1"/>
    <xf numFmtId="191" fontId="38" fillId="0" borderId="19" xfId="0" applyNumberFormat="1" applyFont="1" applyBorder="1"/>
    <xf numFmtId="217" fontId="37" fillId="0" borderId="59" xfId="0" applyNumberFormat="1" applyFont="1" applyBorder="1"/>
    <xf numFmtId="217" fontId="37" fillId="0" borderId="14" xfId="0" applyNumberFormat="1" applyFont="1" applyBorder="1"/>
    <xf numFmtId="217" fontId="37" fillId="0" borderId="53" xfId="0" applyNumberFormat="1" applyFont="1" applyBorder="1"/>
    <xf numFmtId="202" fontId="37" fillId="0" borderId="109" xfId="48" applyNumberFormat="1" applyFont="1" applyBorder="1"/>
    <xf numFmtId="0" fontId="0" fillId="0" borderId="59" xfId="0" applyBorder="1"/>
    <xf numFmtId="191" fontId="37" fillId="0" borderId="102" xfId="0" applyNumberFormat="1" applyFont="1" applyBorder="1"/>
    <xf numFmtId="191" fontId="37" fillId="0" borderId="184" xfId="0" applyNumberFormat="1" applyFont="1" applyBorder="1"/>
    <xf numFmtId="191" fontId="37" fillId="0" borderId="78" xfId="0" applyNumberFormat="1" applyFont="1" applyBorder="1"/>
    <xf numFmtId="191" fontId="37" fillId="2" borderId="13" xfId="0" applyNumberFormat="1" applyFont="1" applyFill="1" applyBorder="1"/>
    <xf numFmtId="191" fontId="37" fillId="0" borderId="185" xfId="0" applyNumberFormat="1" applyFont="1" applyBorder="1"/>
    <xf numFmtId="190" fontId="36" fillId="0" borderId="119" xfId="0" applyNumberFormat="1" applyFont="1" applyBorder="1" applyAlignment="1">
      <alignment horizontal="right" vertical="center"/>
    </xf>
    <xf numFmtId="191" fontId="36" fillId="0" borderId="126" xfId="0" applyNumberFormat="1" applyFont="1" applyBorder="1" applyAlignment="1">
      <alignment horizontal="right" vertical="center"/>
    </xf>
    <xf numFmtId="211" fontId="8" fillId="0" borderId="17" xfId="48" applyNumberFormat="1" applyFont="1" applyFill="1" applyBorder="1"/>
    <xf numFmtId="191" fontId="8" fillId="0" borderId="18" xfId="48" applyNumberFormat="1" applyFont="1" applyFill="1" applyBorder="1"/>
    <xf numFmtId="0" fontId="36" fillId="0" borderId="121" xfId="0" applyFont="1" applyBorder="1" applyAlignment="1">
      <alignment horizontal="left" vertical="center" wrapText="1"/>
    </xf>
    <xf numFmtId="191" fontId="37" fillId="0" borderId="50" xfId="0" applyNumberFormat="1" applyFont="1" applyBorder="1"/>
    <xf numFmtId="191" fontId="39" fillId="0" borderId="85" xfId="0" applyNumberFormat="1" applyFont="1" applyBorder="1"/>
    <xf numFmtId="191" fontId="37" fillId="0" borderId="49" xfId="0" applyNumberFormat="1" applyFont="1" applyBorder="1"/>
    <xf numFmtId="190" fontId="37" fillId="0" borderId="60" xfId="0" applyNumberFormat="1" applyFont="1" applyBorder="1"/>
    <xf numFmtId="190" fontId="37" fillId="0" borderId="186" xfId="0" applyNumberFormat="1" applyFont="1" applyBorder="1"/>
    <xf numFmtId="191" fontId="37" fillId="0" borderId="187" xfId="0" applyNumberFormat="1" applyFont="1" applyBorder="1"/>
    <xf numFmtId="0" fontId="36" fillId="0" borderId="75" xfId="0" applyFont="1" applyBorder="1" applyAlignment="1">
      <alignment horizontal="left" vertical="center" wrapText="1"/>
    </xf>
    <xf numFmtId="190" fontId="36" fillId="0" borderId="188" xfId="0" applyNumberFormat="1" applyFont="1" applyBorder="1" applyAlignment="1">
      <alignment horizontal="right" vertical="center"/>
    </xf>
    <xf numFmtId="191" fontId="36" fillId="0" borderId="189" xfId="0" applyNumberFormat="1" applyFont="1" applyBorder="1" applyAlignment="1">
      <alignment horizontal="right" vertical="center"/>
    </xf>
    <xf numFmtId="191" fontId="37" fillId="0" borderId="190" xfId="0" applyNumberFormat="1" applyFont="1" applyBorder="1"/>
    <xf numFmtId="202" fontId="37" fillId="0" borderId="0" xfId="48" applyNumberFormat="1" applyFont="1" applyFill="1" applyBorder="1"/>
    <xf numFmtId="191" fontId="37" fillId="0" borderId="0" xfId="48" applyNumberFormat="1" applyFont="1" applyFill="1" applyBorder="1"/>
    <xf numFmtId="191" fontId="37" fillId="2" borderId="0" xfId="0" applyNumberFormat="1" applyFont="1" applyFill="1"/>
    <xf numFmtId="202" fontId="37" fillId="0" borderId="2" xfId="48" applyNumberFormat="1" applyFont="1" applyFill="1" applyBorder="1"/>
    <xf numFmtId="191" fontId="37" fillId="0" borderId="85" xfId="48" applyNumberFormat="1" applyFont="1" applyFill="1" applyBorder="1"/>
    <xf numFmtId="202" fontId="37" fillId="0" borderId="100" xfId="48" applyNumberFormat="1" applyFont="1" applyFill="1" applyBorder="1"/>
    <xf numFmtId="190" fontId="8" fillId="17" borderId="16" xfId="0" applyNumberFormat="1" applyFont="1" applyFill="1" applyBorder="1"/>
    <xf numFmtId="217" fontId="8" fillId="0" borderId="17" xfId="48" applyNumberFormat="1" applyFont="1" applyFill="1" applyBorder="1"/>
    <xf numFmtId="217" fontId="8" fillId="0" borderId="19" xfId="48" applyNumberFormat="1" applyFont="1" applyFill="1" applyBorder="1"/>
    <xf numFmtId="190" fontId="8" fillId="17" borderId="59" xfId="0" applyNumberFormat="1" applyFont="1" applyFill="1" applyBorder="1"/>
    <xf numFmtId="217" fontId="8" fillId="0" borderId="59" xfId="48" applyNumberFormat="1" applyFont="1" applyFill="1" applyBorder="1"/>
    <xf numFmtId="191" fontId="8" fillId="0" borderId="0" xfId="48" applyNumberFormat="1" applyFont="1" applyFill="1" applyBorder="1"/>
    <xf numFmtId="217" fontId="8" fillId="0" borderId="101" xfId="48" applyNumberFormat="1" applyFont="1" applyFill="1" applyBorder="1"/>
    <xf numFmtId="202" fontId="37" fillId="0" borderId="59" xfId="48" applyNumberFormat="1" applyFont="1" applyBorder="1"/>
    <xf numFmtId="191" fontId="37" fillId="0" borderId="0" xfId="48" applyNumberFormat="1" applyFont="1" applyBorder="1"/>
    <xf numFmtId="202" fontId="37" fillId="0" borderId="101" xfId="48" applyNumberFormat="1" applyFont="1" applyBorder="1"/>
    <xf numFmtId="0" fontId="36" fillId="17" borderId="53" xfId="0" applyFont="1" applyFill="1" applyBorder="1" applyAlignment="1">
      <alignment vertical="center" wrapText="1"/>
    </xf>
    <xf numFmtId="190" fontId="38" fillId="0" borderId="112" xfId="0" applyNumberFormat="1" applyFont="1" applyBorder="1"/>
    <xf numFmtId="191" fontId="38" fillId="0" borderId="113" xfId="0" applyNumberFormat="1" applyFont="1" applyBorder="1"/>
    <xf numFmtId="191" fontId="38" fillId="0" borderId="69" xfId="0" applyNumberFormat="1" applyFont="1" applyBorder="1"/>
    <xf numFmtId="190" fontId="37" fillId="0" borderId="10" xfId="0" applyNumberFormat="1" applyFont="1" applyBorder="1"/>
    <xf numFmtId="191" fontId="37" fillId="0" borderId="55" xfId="0" applyNumberFormat="1" applyFont="1" applyBorder="1"/>
    <xf numFmtId="191" fontId="37" fillId="0" borderId="73" xfId="0" applyNumberFormat="1" applyFont="1" applyBorder="1"/>
    <xf numFmtId="190" fontId="38" fillId="0" borderId="102" xfId="0" applyNumberFormat="1" applyFont="1" applyBorder="1"/>
    <xf numFmtId="190" fontId="38" fillId="0" borderId="103" xfId="0" applyNumberFormat="1" applyFont="1" applyBorder="1"/>
    <xf numFmtId="191" fontId="38" fillId="0" borderId="104" xfId="0" applyNumberFormat="1" applyFont="1" applyBorder="1"/>
    <xf numFmtId="191" fontId="38" fillId="0" borderId="49" xfId="0" applyNumberFormat="1" applyFont="1" applyBorder="1"/>
    <xf numFmtId="190" fontId="38" fillId="0" borderId="109" xfId="0" applyNumberFormat="1" applyFont="1" applyBorder="1"/>
    <xf numFmtId="190" fontId="40" fillId="0" borderId="110" xfId="0" applyNumberFormat="1" applyFont="1" applyBorder="1"/>
    <xf numFmtId="191" fontId="41" fillId="0" borderId="1" xfId="0" applyNumberFormat="1" applyFont="1" applyBorder="1"/>
    <xf numFmtId="191" fontId="38" fillId="0" borderId="9" xfId="0" applyNumberFormat="1" applyFont="1" applyBorder="1"/>
    <xf numFmtId="190" fontId="38" fillId="0" borderId="20" xfId="0" applyNumberFormat="1" applyFont="1" applyBorder="1"/>
    <xf numFmtId="190" fontId="40" fillId="0" borderId="20" xfId="0" applyNumberFormat="1" applyFont="1" applyBorder="1"/>
    <xf numFmtId="191" fontId="41" fillId="0" borderId="20" xfId="0" applyNumberFormat="1" applyFont="1" applyBorder="1"/>
    <xf numFmtId="191" fontId="38" fillId="0" borderId="20" xfId="0" applyNumberFormat="1" applyFont="1" applyBorder="1"/>
    <xf numFmtId="190" fontId="38" fillId="0" borderId="16" xfId="0" applyNumberFormat="1" applyFont="1" applyBorder="1"/>
    <xf numFmtId="190" fontId="38" fillId="0" borderId="115" xfId="0" applyNumberFormat="1" applyFont="1" applyBorder="1"/>
    <xf numFmtId="191" fontId="38" fillId="0" borderId="116" xfId="0" applyNumberFormat="1" applyFont="1" applyBorder="1"/>
    <xf numFmtId="190" fontId="38" fillId="0" borderId="3" xfId="0" applyNumberFormat="1" applyFont="1" applyBorder="1"/>
    <xf numFmtId="227" fontId="0" fillId="0" borderId="0" xfId="0" applyNumberFormat="1"/>
    <xf numFmtId="0" fontId="36" fillId="0" borderId="1" xfId="0" applyFont="1" applyBorder="1" applyAlignment="1">
      <alignment horizontal="left" vertical="center" wrapText="1"/>
    </xf>
    <xf numFmtId="190" fontId="42" fillId="0" borderId="1" xfId="0" applyNumberFormat="1" applyFont="1" applyBorder="1" applyAlignment="1">
      <alignment horizontal="right" vertical="center"/>
    </xf>
    <xf numFmtId="191" fontId="42" fillId="0" borderId="1" xfId="0" applyNumberFormat="1" applyFont="1" applyBorder="1" applyAlignment="1">
      <alignment horizontal="right" vertical="center"/>
    </xf>
    <xf numFmtId="0" fontId="36" fillId="17" borderId="16" xfId="0" applyFont="1" applyFill="1" applyBorder="1" applyAlignment="1">
      <alignment horizontal="left" vertical="center" wrapText="1"/>
    </xf>
    <xf numFmtId="0" fontId="36" fillId="0" borderId="85" xfId="0" applyFont="1" applyBorder="1" applyAlignment="1">
      <alignment horizontal="left" vertical="center" wrapText="1"/>
    </xf>
    <xf numFmtId="212" fontId="36" fillId="0" borderId="85" xfId="0" applyNumberFormat="1" applyFont="1" applyBorder="1" applyAlignment="1">
      <alignment horizontal="right" vertical="center"/>
    </xf>
    <xf numFmtId="210" fontId="36" fillId="0" borderId="85" xfId="0" applyNumberFormat="1" applyFont="1" applyBorder="1" applyAlignment="1">
      <alignment horizontal="right" vertical="center"/>
    </xf>
    <xf numFmtId="191" fontId="38" fillId="0" borderId="85" xfId="0" applyNumberFormat="1" applyFont="1" applyBorder="1"/>
    <xf numFmtId="190" fontId="43" fillId="0" borderId="119" xfId="0" applyNumberFormat="1" applyFont="1" applyBorder="1"/>
    <xf numFmtId="191" fontId="43" fillId="0" borderId="126" xfId="0" applyNumberFormat="1" applyFont="1" applyBorder="1"/>
    <xf numFmtId="190" fontId="43" fillId="0" borderId="110" xfId="0" applyNumberFormat="1" applyFont="1" applyBorder="1"/>
    <xf numFmtId="191" fontId="43" fillId="0" borderId="124" xfId="0" applyNumberFormat="1" applyFont="1" applyBorder="1"/>
    <xf numFmtId="190" fontId="36" fillId="0" borderId="155" xfId="0" applyNumberFormat="1" applyFont="1" applyBorder="1" applyAlignment="1">
      <alignment horizontal="right" vertical="center"/>
    </xf>
    <xf numFmtId="2" fontId="8" fillId="0" borderId="18" xfId="48" applyNumberFormat="1" applyFont="1" applyFill="1" applyBorder="1"/>
    <xf numFmtId="211" fontId="8" fillId="0" borderId="31" xfId="48" applyNumberFormat="1" applyFont="1" applyFill="1" applyBorder="1"/>
    <xf numFmtId="190" fontId="37" fillId="0" borderId="191" xfId="0" applyNumberFormat="1" applyFont="1" applyBorder="1"/>
    <xf numFmtId="190" fontId="36" fillId="0" borderId="192" xfId="0" applyNumberFormat="1" applyFont="1" applyBorder="1" applyAlignment="1">
      <alignment horizontal="right" vertical="center"/>
    </xf>
    <xf numFmtId="2" fontId="37" fillId="0" borderId="85" xfId="48" applyNumberFormat="1" applyFont="1" applyFill="1" applyBorder="1"/>
    <xf numFmtId="202" fontId="37" fillId="0" borderId="85" xfId="48" applyNumberFormat="1" applyFont="1" applyFill="1" applyBorder="1"/>
    <xf numFmtId="217" fontId="8" fillId="0" borderId="31" xfId="48" applyNumberFormat="1" applyFont="1" applyFill="1" applyBorder="1"/>
    <xf numFmtId="217" fontId="8" fillId="0" borderId="0" xfId="48" applyNumberFormat="1" applyFont="1" applyFill="1" applyBorder="1"/>
    <xf numFmtId="2" fontId="37" fillId="0" borderId="0" xfId="48" applyNumberFormat="1" applyFont="1" applyBorder="1"/>
    <xf numFmtId="202" fontId="37" fillId="0" borderId="0" xfId="48" applyNumberFormat="1" applyFont="1"/>
    <xf numFmtId="190" fontId="38" fillId="0" borderId="154" xfId="0" applyNumberFormat="1" applyFont="1" applyBorder="1"/>
    <xf numFmtId="191" fontId="38" fillId="0" borderId="13" xfId="0" applyNumberFormat="1" applyFont="1" applyBorder="1"/>
    <xf numFmtId="190" fontId="37" fillId="0" borderId="193" xfId="0" applyNumberFormat="1" applyFont="1" applyBorder="1"/>
    <xf numFmtId="191" fontId="37" fillId="0" borderId="193" xfId="0" applyNumberFormat="1" applyFont="1" applyBorder="1"/>
    <xf numFmtId="2" fontId="38" fillId="0" borderId="104" xfId="0" applyNumberFormat="1" applyFont="1" applyBorder="1"/>
    <xf numFmtId="190" fontId="38" fillId="0" borderId="152" xfId="0" applyNumberFormat="1" applyFont="1" applyBorder="1"/>
    <xf numFmtId="2" fontId="37" fillId="0" borderId="127" xfId="0" applyNumberFormat="1" applyFont="1" applyBorder="1"/>
    <xf numFmtId="190" fontId="38" fillId="0" borderId="157" xfId="0" applyNumberFormat="1" applyFont="1" applyBorder="1"/>
    <xf numFmtId="191" fontId="36" fillId="0" borderId="85" xfId="0" applyNumberFormat="1" applyFont="1" applyBorder="1" applyAlignment="1">
      <alignment horizontal="right" vertical="center"/>
    </xf>
    <xf numFmtId="203" fontId="37" fillId="0" borderId="119" xfId="0" applyNumberFormat="1" applyFont="1" applyBorder="1"/>
    <xf numFmtId="203" fontId="37" fillId="0" borderId="155" xfId="0" applyNumberFormat="1" applyFont="1" applyBorder="1"/>
    <xf numFmtId="203" fontId="43" fillId="0" borderId="110" xfId="0" applyNumberFormat="1" applyFont="1" applyBorder="1"/>
    <xf numFmtId="203" fontId="43" fillId="0" borderId="153" xfId="0" applyNumberFormat="1" applyFont="1" applyBorder="1"/>
    <xf numFmtId="191" fontId="37" fillId="0" borderId="194" xfId="0" applyNumberFormat="1" applyFont="1" applyBorder="1"/>
    <xf numFmtId="215" fontId="8" fillId="0" borderId="18" xfId="48" applyNumberFormat="1" applyFont="1" applyFill="1" applyBorder="1"/>
    <xf numFmtId="191" fontId="37" fillId="0" borderId="36" xfId="0" applyNumberFormat="1" applyFont="1" applyBorder="1"/>
    <xf numFmtId="191" fontId="37" fillId="0" borderId="70" xfId="0" applyNumberFormat="1" applyFont="1" applyBorder="1"/>
    <xf numFmtId="191" fontId="37" fillId="0" borderId="195" xfId="0" applyNumberFormat="1" applyFont="1" applyBorder="1"/>
    <xf numFmtId="191" fontId="37" fillId="0" borderId="196" xfId="0" applyNumberFormat="1" applyFont="1" applyBorder="1"/>
    <xf numFmtId="217" fontId="8" fillId="0" borderId="21" xfId="48" applyNumberFormat="1" applyFont="1" applyFill="1" applyBorder="1"/>
    <xf numFmtId="202" fontId="37" fillId="0" borderId="0" xfId="48" applyNumberFormat="1" applyFont="1" applyBorder="1"/>
    <xf numFmtId="191" fontId="38" fillId="0" borderId="68" xfId="0" applyNumberFormat="1" applyFont="1" applyBorder="1"/>
    <xf numFmtId="191" fontId="38" fillId="0" borderId="34" xfId="0" applyNumberFormat="1" applyFont="1" applyBorder="1"/>
    <xf numFmtId="191" fontId="37" fillId="0" borderId="39" xfId="0" applyNumberFormat="1" applyFont="1" applyBorder="1"/>
    <xf numFmtId="215" fontId="38" fillId="0" borderId="85" xfId="0" applyNumberFormat="1" applyFont="1" applyBorder="1"/>
    <xf numFmtId="215" fontId="36" fillId="0" borderId="85" xfId="0" applyNumberFormat="1" applyFont="1" applyBorder="1" applyAlignment="1">
      <alignment horizontal="right" vertical="center"/>
    </xf>
    <xf numFmtId="211" fontId="8" fillId="0" borderId="31" xfId="48" applyNumberFormat="1" applyFont="1" applyBorder="1"/>
    <xf numFmtId="215" fontId="8" fillId="0" borderId="21" xfId="48" applyNumberFormat="1" applyFont="1" applyFill="1" applyBorder="1"/>
    <xf numFmtId="191" fontId="37" fillId="0" borderId="40" xfId="0" applyNumberFormat="1" applyFont="1" applyBorder="1"/>
    <xf numFmtId="190" fontId="37" fillId="0" borderId="149" xfId="0" applyNumberFormat="1" applyFont="1" applyBorder="1"/>
    <xf numFmtId="190" fontId="37" fillId="0" borderId="195" xfId="0" applyNumberFormat="1" applyFont="1" applyBorder="1"/>
    <xf numFmtId="202" fontId="37" fillId="0" borderId="85" xfId="48" applyNumberFormat="1" applyFont="1" applyBorder="1"/>
    <xf numFmtId="217" fontId="8" fillId="0" borderId="31" xfId="48" applyNumberFormat="1" applyFont="1" applyBorder="1"/>
    <xf numFmtId="217" fontId="8" fillId="0" borderId="0" xfId="48" applyNumberFormat="1" applyFont="1" applyBorder="1"/>
    <xf numFmtId="191" fontId="38" fillId="0" borderId="40" xfId="0" applyNumberFormat="1" applyFont="1" applyBorder="1"/>
    <xf numFmtId="190" fontId="43" fillId="0" borderId="153" xfId="0" applyNumberFormat="1" applyFont="1" applyBorder="1"/>
    <xf numFmtId="190" fontId="36" fillId="0" borderId="126" xfId="0" applyNumberFormat="1" applyFont="1" applyBorder="1" applyAlignment="1">
      <alignment horizontal="right" vertical="center"/>
    </xf>
    <xf numFmtId="190" fontId="36" fillId="0" borderId="125" xfId="0" applyNumberFormat="1" applyFont="1" applyBorder="1" applyAlignment="1">
      <alignment horizontal="right" vertical="center"/>
    </xf>
    <xf numFmtId="211" fontId="8" fillId="0" borderId="17" xfId="48" applyNumberFormat="1" applyFont="1" applyBorder="1"/>
    <xf numFmtId="211" fontId="8" fillId="0" borderId="18" xfId="48" applyNumberFormat="1" applyFont="1" applyBorder="1"/>
    <xf numFmtId="211" fontId="8" fillId="0" borderId="19" xfId="48" applyNumberFormat="1" applyFont="1" applyBorder="1"/>
    <xf numFmtId="190" fontId="37" fillId="0" borderId="187" xfId="0" applyNumberFormat="1" applyFont="1" applyBorder="1"/>
    <xf numFmtId="190" fontId="36" fillId="0" borderId="189" xfId="0" applyNumberFormat="1" applyFont="1" applyBorder="1" applyAlignment="1">
      <alignment horizontal="right" vertical="center"/>
    </xf>
    <xf numFmtId="190" fontId="36" fillId="0" borderId="185" xfId="0" applyNumberFormat="1" applyFont="1" applyBorder="1" applyAlignment="1">
      <alignment horizontal="right" vertical="center"/>
    </xf>
    <xf numFmtId="202" fontId="37" fillId="0" borderId="2" xfId="48" applyNumberFormat="1" applyFont="1" applyBorder="1"/>
    <xf numFmtId="202" fontId="37" fillId="0" borderId="100" xfId="48" applyNumberFormat="1" applyFont="1" applyBorder="1"/>
    <xf numFmtId="217" fontId="8" fillId="0" borderId="17" xfId="48" applyNumberFormat="1" applyFont="1" applyBorder="1"/>
    <xf numFmtId="217" fontId="8" fillId="0" borderId="18" xfId="48" applyNumberFormat="1" applyFont="1" applyBorder="1"/>
    <xf numFmtId="217" fontId="8" fillId="0" borderId="19" xfId="48" applyNumberFormat="1" applyFont="1" applyBorder="1"/>
    <xf numFmtId="217" fontId="8" fillId="0" borderId="59" xfId="48" applyNumberFormat="1" applyFont="1" applyBorder="1"/>
    <xf numFmtId="217" fontId="8" fillId="0" borderId="101" xfId="48" applyNumberFormat="1" applyFont="1" applyBorder="1"/>
    <xf numFmtId="190" fontId="37" fillId="0" borderId="197" xfId="0" applyNumberFormat="1" applyFont="1" applyBorder="1"/>
    <xf numFmtId="190" fontId="37" fillId="0" borderId="198" xfId="0" applyNumberFormat="1" applyFont="1" applyBorder="1"/>
    <xf numFmtId="190" fontId="37" fillId="0" borderId="199" xfId="0" applyNumberFormat="1" applyFont="1" applyBorder="1"/>
    <xf numFmtId="190" fontId="38" fillId="0" borderId="104" xfId="0" applyNumberFormat="1" applyFont="1" applyBorder="1"/>
    <xf numFmtId="190" fontId="38" fillId="0" borderId="114" xfId="0" applyNumberFormat="1" applyFont="1" applyBorder="1"/>
    <xf numFmtId="190" fontId="38" fillId="0" borderId="110" xfId="0" applyNumberFormat="1" applyFont="1" applyBorder="1"/>
    <xf numFmtId="190" fontId="38" fillId="0" borderId="124" xfId="0" applyNumberFormat="1" applyFont="1" applyBorder="1"/>
    <xf numFmtId="190" fontId="38" fillId="0" borderId="145" xfId="0" applyNumberFormat="1" applyFont="1" applyBorder="1"/>
    <xf numFmtId="190" fontId="38" fillId="0" borderId="153" xfId="0" applyNumberFormat="1" applyFont="1" applyBorder="1"/>
    <xf numFmtId="190" fontId="38" fillId="0" borderId="116" xfId="0" applyNumberFormat="1" applyFont="1" applyBorder="1"/>
    <xf numFmtId="190" fontId="38" fillId="0" borderId="117" xfId="0" applyNumberFormat="1" applyFont="1" applyBorder="1"/>
    <xf numFmtId="190" fontId="38" fillId="0" borderId="138" xfId="0" applyNumberFormat="1" applyFont="1" applyBorder="1"/>
    <xf numFmtId="190" fontId="38" fillId="0" borderId="139" xfId="0" applyNumberFormat="1" applyFont="1" applyBorder="1"/>
    <xf numFmtId="190" fontId="38" fillId="0" borderId="140" xfId="0" applyNumberFormat="1" applyFont="1" applyBorder="1"/>
    <xf numFmtId="190" fontId="38" fillId="0" borderId="160" xfId="0" applyNumberFormat="1" applyFont="1" applyBorder="1"/>
    <xf numFmtId="190" fontId="36" fillId="0" borderId="85" xfId="0" applyNumberFormat="1" applyFont="1" applyBorder="1" applyAlignment="1">
      <alignment horizontal="right" vertical="center"/>
    </xf>
    <xf numFmtId="190" fontId="43" fillId="0" borderId="124" xfId="0" applyNumberFormat="1" applyFont="1" applyBorder="1"/>
    <xf numFmtId="190" fontId="43" fillId="0" borderId="145" xfId="0" applyNumberFormat="1" applyFont="1" applyBorder="1"/>
    <xf numFmtId="190" fontId="36" fillId="0" borderId="120" xfId="0" applyNumberFormat="1" applyFont="1" applyBorder="1" applyAlignment="1">
      <alignment horizontal="right" vertical="center"/>
    </xf>
    <xf numFmtId="211" fontId="8" fillId="0" borderId="21" xfId="48" applyNumberFormat="1" applyFont="1" applyBorder="1"/>
    <xf numFmtId="190" fontId="36" fillId="0" borderId="194" xfId="0" applyNumberFormat="1" applyFont="1" applyBorder="1" applyAlignment="1">
      <alignment horizontal="right" vertical="center"/>
    </xf>
    <xf numFmtId="217" fontId="8" fillId="0" borderId="21" xfId="48" applyNumberFormat="1" applyFont="1" applyBorder="1"/>
    <xf numFmtId="190" fontId="44" fillId="0" borderId="107" xfId="0" applyNumberFormat="1" applyFont="1" applyBorder="1"/>
    <xf numFmtId="190" fontId="44" fillId="0" borderId="127" xfId="0" applyNumberFormat="1" applyFont="1" applyBorder="1"/>
    <xf numFmtId="190" fontId="37" fillId="0" borderId="200" xfId="0" applyNumberFormat="1" applyFont="1" applyBorder="1"/>
    <xf numFmtId="190" fontId="38" fillId="0" borderId="165" xfId="0" applyNumberFormat="1" applyFont="1" applyBorder="1"/>
    <xf numFmtId="190" fontId="38" fillId="0" borderId="111" xfId="0" applyNumberFormat="1" applyFont="1" applyBorder="1"/>
    <xf numFmtId="190" fontId="38" fillId="0" borderId="137" xfId="0" applyNumberFormat="1" applyFont="1" applyBorder="1"/>
    <xf numFmtId="190" fontId="38" fillId="0" borderId="168" xfId="0" applyNumberFormat="1" applyFont="1" applyBorder="1"/>
    <xf numFmtId="190" fontId="43" fillId="0" borderId="111" xfId="0" applyNumberFormat="1" applyFont="1" applyBorder="1"/>
    <xf numFmtId="190" fontId="44" fillId="0" borderId="144" xfId="0" applyNumberFormat="1" applyFont="1" applyBorder="1"/>
    <xf numFmtId="2" fontId="8" fillId="0" borderId="31" xfId="48" applyNumberFormat="1" applyFont="1" applyFill="1" applyBorder="1"/>
    <xf numFmtId="2" fontId="8" fillId="0" borderId="0" xfId="48" applyNumberFormat="1" applyFont="1" applyFill="1" applyBorder="1"/>
    <xf numFmtId="190" fontId="44" fillId="0" borderId="103" xfId="0" applyNumberFormat="1" applyFont="1" applyBorder="1"/>
    <xf numFmtId="190" fontId="44" fillId="0" borderId="165" xfId="0" applyNumberFormat="1" applyFont="1" applyBorder="1"/>
    <xf numFmtId="2" fontId="8" fillId="0" borderId="21" xfId="48" applyNumberFormat="1" applyFont="1" applyFill="1" applyBorder="1"/>
    <xf numFmtId="2" fontId="8" fillId="0" borderId="17" xfId="48" applyNumberFormat="1" applyFont="1" applyBorder="1"/>
    <xf numFmtId="2" fontId="8" fillId="0" borderId="21" xfId="48" applyNumberFormat="1" applyFont="1" applyBorder="1"/>
    <xf numFmtId="2" fontId="8" fillId="0" borderId="59" xfId="48" applyNumberFormat="1" applyFont="1" applyBorder="1"/>
    <xf numFmtId="2" fontId="8" fillId="0" borderId="0" xfId="48" applyNumberFormat="1" applyFont="1" applyBorder="1"/>
    <xf numFmtId="190" fontId="45" fillId="0" borderId="107" xfId="0" applyNumberFormat="1" applyFont="1" applyBorder="1"/>
    <xf numFmtId="190" fontId="45" fillId="0" borderId="108" xfId="0" applyNumberFormat="1" applyFont="1" applyBorder="1"/>
    <xf numFmtId="191" fontId="37" fillId="0" borderId="201" xfId="0" applyNumberFormat="1" applyFont="1" applyBorder="1"/>
    <xf numFmtId="191" fontId="37" fillId="0" borderId="97" xfId="0" applyNumberFormat="1" applyFont="1" applyBorder="1"/>
    <xf numFmtId="191" fontId="37" fillId="0" borderId="202" xfId="0" applyNumberFormat="1" applyFont="1" applyBorder="1"/>
    <xf numFmtId="191" fontId="37" fillId="0" borderId="203" xfId="0" applyNumberFormat="1" applyFont="1" applyBorder="1"/>
    <xf numFmtId="190" fontId="36" fillId="0" borderId="118" xfId="0" applyNumberFormat="1" applyFont="1" applyBorder="1" applyAlignment="1">
      <alignment horizontal="right" vertical="center"/>
    </xf>
    <xf numFmtId="191" fontId="36" fillId="0" borderId="204" xfId="0" applyNumberFormat="1" applyFont="1" applyBorder="1" applyAlignment="1">
      <alignment horizontal="right" vertical="center"/>
    </xf>
    <xf numFmtId="191" fontId="37" fillId="0" borderId="95" xfId="0" applyNumberFormat="1" applyFont="1" applyBorder="1"/>
    <xf numFmtId="211" fontId="8" fillId="2" borderId="16" xfId="48" applyNumberFormat="1" applyFont="1" applyFill="1" applyBorder="1"/>
    <xf numFmtId="215" fontId="8" fillId="2" borderId="18" xfId="48" applyNumberFormat="1" applyFont="1" applyFill="1" applyBorder="1"/>
    <xf numFmtId="191" fontId="37" fillId="2" borderId="95" xfId="0" applyNumberFormat="1" applyFont="1" applyFill="1" applyBorder="1"/>
    <xf numFmtId="191" fontId="37" fillId="0" borderId="205" xfId="0" applyNumberFormat="1" applyFont="1" applyBorder="1"/>
    <xf numFmtId="191" fontId="37" fillId="0" borderId="206" xfId="0" applyNumberFormat="1" applyFont="1" applyBorder="1"/>
    <xf numFmtId="191" fontId="37" fillId="0" borderId="98" xfId="0" applyNumberFormat="1" applyFont="1" applyBorder="1"/>
    <xf numFmtId="190" fontId="44" fillId="0" borderId="114" xfId="0" applyNumberFormat="1" applyFont="1" applyBorder="1"/>
    <xf numFmtId="191" fontId="37" fillId="0" borderId="5" xfId="0" applyNumberFormat="1" applyFont="1" applyBorder="1"/>
    <xf numFmtId="191" fontId="37" fillId="0" borderId="207" xfId="0" applyNumberFormat="1" applyFont="1" applyBorder="1"/>
    <xf numFmtId="190" fontId="37" fillId="0" borderId="62" xfId="0" applyNumberFormat="1" applyFont="1" applyBorder="1"/>
    <xf numFmtId="191" fontId="37" fillId="0" borderId="208" xfId="0" applyNumberFormat="1" applyFont="1" applyBorder="1"/>
    <xf numFmtId="190" fontId="36" fillId="0" borderId="75" xfId="0" applyNumberFormat="1" applyFont="1" applyBorder="1" applyAlignment="1">
      <alignment horizontal="right" vertical="center"/>
    </xf>
    <xf numFmtId="191" fontId="36" fillId="0" borderId="209" xfId="0" applyNumberFormat="1" applyFont="1" applyBorder="1" applyAlignment="1">
      <alignment horizontal="right" vertical="center"/>
    </xf>
    <xf numFmtId="191" fontId="37" fillId="0" borderId="210" xfId="0" applyNumberFormat="1" applyFont="1" applyBorder="1"/>
    <xf numFmtId="9" fontId="37" fillId="0" borderId="2" xfId="48" applyFont="1" applyBorder="1"/>
    <xf numFmtId="202" fontId="37" fillId="0" borderId="76" xfId="48" applyNumberFormat="1" applyFont="1" applyBorder="1"/>
    <xf numFmtId="2" fontId="8" fillId="0" borderId="19" xfId="48" applyNumberFormat="1" applyFont="1" applyBorder="1"/>
    <xf numFmtId="2" fontId="8" fillId="2" borderId="16" xfId="48" applyNumberFormat="1" applyFont="1" applyFill="1" applyBorder="1"/>
    <xf numFmtId="208" fontId="8" fillId="2" borderId="21" xfId="48" applyNumberFormat="1" applyFont="1" applyFill="1" applyBorder="1"/>
    <xf numFmtId="2" fontId="8" fillId="2" borderId="19" xfId="48" applyNumberFormat="1" applyFont="1" applyFill="1" applyBorder="1"/>
    <xf numFmtId="2" fontId="8" fillId="0" borderId="101" xfId="48" applyNumberFormat="1" applyFont="1" applyBorder="1"/>
    <xf numFmtId="2" fontId="8" fillId="2" borderId="59" xfId="48" applyNumberFormat="1" applyFont="1" applyFill="1" applyBorder="1"/>
    <xf numFmtId="208" fontId="8" fillId="2" borderId="39" xfId="48" applyNumberFormat="1" applyFont="1" applyFill="1" applyBorder="1"/>
    <xf numFmtId="2" fontId="8" fillId="2" borderId="73" xfId="48" applyNumberFormat="1" applyFont="1" applyFill="1" applyBorder="1"/>
    <xf numFmtId="202" fontId="37" fillId="0" borderId="39" xfId="48" applyNumberFormat="1" applyFont="1" applyBorder="1"/>
    <xf numFmtId="202" fontId="37" fillId="0" borderId="73" xfId="48" applyNumberFormat="1" applyFont="1" applyBorder="1"/>
    <xf numFmtId="191" fontId="37" fillId="0" borderId="211" xfId="0" applyNumberFormat="1" applyFont="1" applyBorder="1"/>
    <xf numFmtId="191" fontId="37" fillId="0" borderId="212" xfId="0" applyNumberFormat="1" applyFont="1" applyBorder="1"/>
    <xf numFmtId="191" fontId="37" fillId="0" borderId="213" xfId="0" applyNumberFormat="1" applyFont="1" applyBorder="1"/>
    <xf numFmtId="190" fontId="38" fillId="0" borderId="53" xfId="0" applyNumberFormat="1" applyFont="1" applyBorder="1"/>
    <xf numFmtId="191" fontId="38" fillId="0" borderId="214" xfId="0" applyNumberFormat="1" applyFont="1" applyBorder="1"/>
    <xf numFmtId="191" fontId="36" fillId="2" borderId="215" xfId="0" applyNumberFormat="1" applyFont="1" applyFill="1" applyBorder="1" applyAlignment="1">
      <alignment horizontal="right" vertical="center"/>
    </xf>
    <xf numFmtId="191" fontId="38" fillId="2" borderId="13" xfId="0" applyNumberFormat="1" applyFont="1" applyFill="1" applyBorder="1"/>
    <xf numFmtId="191" fontId="37" fillId="0" borderId="216" xfId="0" applyNumberFormat="1" applyFont="1" applyBorder="1"/>
    <xf numFmtId="191" fontId="38" fillId="0" borderId="211" xfId="0" applyNumberFormat="1" applyFont="1" applyBorder="1"/>
    <xf numFmtId="191" fontId="38" fillId="0" borderId="217" xfId="0" applyNumberFormat="1" applyFont="1" applyBorder="1"/>
    <xf numFmtId="190" fontId="45" fillId="0" borderId="144" xfId="0" applyNumberFormat="1" applyFont="1" applyBorder="1"/>
    <xf numFmtId="203" fontId="0" fillId="0" borderId="0" xfId="0" applyNumberFormat="1"/>
    <xf numFmtId="226" fontId="0" fillId="0" borderId="0" xfId="0" applyNumberFormat="1"/>
    <xf numFmtId="190" fontId="36" fillId="0" borderId="112" xfId="0" applyNumberFormat="1" applyFont="1" applyBorder="1" applyAlignment="1">
      <alignment horizontal="right" vertical="center"/>
    </xf>
    <xf numFmtId="191" fontId="36" fillId="0" borderId="113" xfId="0" applyNumberFormat="1" applyFont="1" applyBorder="1" applyAlignment="1">
      <alignment horizontal="right" vertical="center"/>
    </xf>
    <xf numFmtId="191" fontId="0" fillId="0" borderId="20" xfId="0" applyNumberFormat="1" applyBorder="1"/>
    <xf numFmtId="190" fontId="37" fillId="0" borderId="12" xfId="0" applyNumberFormat="1" applyFont="1" applyBorder="1"/>
    <xf numFmtId="190" fontId="46" fillId="0" borderId="12" xfId="0" applyNumberFormat="1" applyFont="1" applyBorder="1"/>
    <xf numFmtId="231" fontId="47" fillId="0" borderId="12" xfId="45" applyFont="1" applyBorder="1"/>
    <xf numFmtId="190" fontId="37" fillId="0" borderId="22" xfId="0" applyNumberFormat="1" applyFont="1" applyBorder="1"/>
    <xf numFmtId="190" fontId="46" fillId="0" borderId="64" xfId="0" applyNumberFormat="1" applyFont="1" applyBorder="1"/>
    <xf numFmtId="231" fontId="46" fillId="0" borderId="64" xfId="45" applyFont="1" applyBorder="1"/>
    <xf numFmtId="190" fontId="37" fillId="0" borderId="67" xfId="0" applyNumberFormat="1" applyFont="1" applyBorder="1"/>
    <xf numFmtId="190" fontId="46" fillId="0" borderId="8" xfId="0" applyNumberFormat="1" applyFont="1" applyBorder="1"/>
    <xf numFmtId="231" fontId="47" fillId="0" borderId="8" xfId="45" applyFont="1" applyBorder="1"/>
    <xf numFmtId="190" fontId="40" fillId="0" borderId="12" xfId="0" applyNumberFormat="1" applyFont="1" applyBorder="1"/>
    <xf numFmtId="231" fontId="40" fillId="0" borderId="12" xfId="45" applyFont="1" applyBorder="1"/>
    <xf numFmtId="191" fontId="40" fillId="0" borderId="34" xfId="0" applyNumberFormat="1" applyFont="1" applyBorder="1"/>
    <xf numFmtId="0" fontId="0" fillId="0" borderId="22" xfId="0" applyFont="1" applyBorder="1"/>
    <xf numFmtId="217" fontId="5" fillId="0" borderId="22" xfId="0" applyNumberFormat="1" applyFont="1" applyBorder="1"/>
    <xf numFmtId="231" fontId="5" fillId="0" borderId="22" xfId="45" applyFont="1" applyBorder="1"/>
    <xf numFmtId="2" fontId="5" fillId="0" borderId="35" xfId="0" applyNumberFormat="1" applyFont="1" applyBorder="1"/>
    <xf numFmtId="0" fontId="0" fillId="0" borderId="23" xfId="0" applyFont="1" applyBorder="1"/>
    <xf numFmtId="190" fontId="5" fillId="0" borderId="23" xfId="0" applyNumberFormat="1" applyFont="1" applyBorder="1"/>
    <xf numFmtId="231" fontId="5" fillId="0" borderId="23" xfId="45" applyFont="1" applyBorder="1"/>
    <xf numFmtId="2" fontId="5" fillId="0" borderId="36" xfId="0" applyNumberFormat="1" applyFont="1" applyBorder="1"/>
    <xf numFmtId="190" fontId="38" fillId="0" borderId="17" xfId="0" applyNumberFormat="1" applyFont="1" applyBorder="1"/>
    <xf numFmtId="190" fontId="5" fillId="0" borderId="18" xfId="0" applyNumberFormat="1" applyFont="1" applyBorder="1"/>
    <xf numFmtId="231" fontId="5" fillId="0" borderId="18" xfId="45" applyFont="1" applyBorder="1"/>
    <xf numFmtId="231" fontId="0" fillId="0" borderId="0" xfId="45" applyFont="1"/>
    <xf numFmtId="231" fontId="5" fillId="0" borderId="0" xfId="45" applyFont="1" applyFill="1" applyBorder="1"/>
    <xf numFmtId="231" fontId="0" fillId="0" borderId="0" xfId="45" applyFont="1" applyFill="1" applyBorder="1"/>
    <xf numFmtId="231" fontId="5" fillId="0" borderId="0" xfId="45" applyFont="1"/>
    <xf numFmtId="231" fontId="5" fillId="0" borderId="0" xfId="45" applyFont="1" applyBorder="1"/>
    <xf numFmtId="203" fontId="37" fillId="0" borderId="107" xfId="0" applyNumberFormat="1" applyFont="1" applyBorder="1"/>
    <xf numFmtId="203" fontId="37" fillId="0" borderId="158" xfId="0" applyNumberFormat="1" applyFont="1" applyBorder="1"/>
    <xf numFmtId="203" fontId="37" fillId="0" borderId="110" xfId="0" applyNumberFormat="1" applyFont="1" applyBorder="1"/>
    <xf numFmtId="203" fontId="37" fillId="0" borderId="153" xfId="0" applyNumberFormat="1" applyFont="1" applyBorder="1"/>
    <xf numFmtId="203" fontId="36" fillId="0" borderId="112" xfId="0" applyNumberFormat="1" applyFont="1" applyBorder="1" applyAlignment="1">
      <alignment horizontal="right" vertical="center"/>
    </xf>
    <xf numFmtId="203" fontId="36" fillId="0" borderId="154" xfId="0" applyNumberFormat="1" applyFont="1" applyBorder="1" applyAlignment="1">
      <alignment horizontal="right" vertical="center"/>
    </xf>
    <xf numFmtId="2" fontId="0" fillId="0" borderId="20" xfId="0" applyNumberFormat="1" applyBorder="1"/>
    <xf numFmtId="190" fontId="46" fillId="0" borderId="11" xfId="0" applyNumberFormat="1" applyFont="1" applyBorder="1"/>
    <xf numFmtId="191" fontId="47" fillId="0" borderId="12" xfId="0" applyNumberFormat="1" applyFont="1" applyBorder="1"/>
    <xf numFmtId="191" fontId="46" fillId="0" borderId="64" xfId="0" applyNumberFormat="1" applyFont="1" applyBorder="1"/>
    <xf numFmtId="190" fontId="46" fillId="0" borderId="7" xfId="0" applyNumberFormat="1" applyFont="1" applyBorder="1"/>
    <xf numFmtId="191" fontId="47" fillId="0" borderId="8" xfId="0" applyNumberFormat="1" applyFont="1" applyBorder="1"/>
    <xf numFmtId="190" fontId="40" fillId="0" borderId="11" xfId="0" applyNumberFormat="1" applyFont="1" applyBorder="1"/>
    <xf numFmtId="191" fontId="40" fillId="0" borderId="12" xfId="0" applyNumberFormat="1" applyFont="1" applyBorder="1"/>
    <xf numFmtId="217" fontId="5" fillId="0" borderId="28" xfId="0" applyNumberFormat="1" applyFont="1" applyBorder="1"/>
    <xf numFmtId="2" fontId="5" fillId="0" borderId="22" xfId="0" applyNumberFormat="1" applyFont="1" applyBorder="1"/>
    <xf numFmtId="190" fontId="5" fillId="0" borderId="30" xfId="0" applyNumberFormat="1" applyFont="1" applyBorder="1"/>
    <xf numFmtId="191" fontId="5" fillId="0" borderId="23" xfId="0" applyNumberFormat="1" applyFont="1" applyBorder="1"/>
    <xf numFmtId="191" fontId="5" fillId="0" borderId="18" xfId="0" applyNumberFormat="1" applyFont="1" applyBorder="1"/>
    <xf numFmtId="190" fontId="5" fillId="0" borderId="17" xfId="0" applyNumberFormat="1" applyFont="1" applyBorder="1"/>
    <xf numFmtId="191" fontId="37" fillId="0" borderId="68" xfId="0" applyNumberFormat="1" applyFont="1" applyBorder="1"/>
    <xf numFmtId="191" fontId="40" fillId="0" borderId="13" xfId="0" applyNumberFormat="1" applyFont="1" applyBorder="1"/>
    <xf numFmtId="2" fontId="5" fillId="0" borderId="38" xfId="0" applyNumberFormat="1" applyFont="1" applyBorder="1"/>
    <xf numFmtId="2" fontId="5" fillId="0" borderId="50" xfId="0" applyNumberFormat="1" applyFont="1" applyBorder="1"/>
    <xf numFmtId="190" fontId="36" fillId="0" borderId="154" xfId="0" applyNumberFormat="1" applyFont="1" applyBorder="1" applyAlignment="1">
      <alignment horizontal="right" vertical="center"/>
    </xf>
    <xf numFmtId="190" fontId="46" fillId="0" borderId="26" xfId="0" applyNumberFormat="1" applyFont="1" applyBorder="1"/>
    <xf numFmtId="191" fontId="37" fillId="0" borderId="12" xfId="0" applyNumberFormat="1" applyFont="1" applyBorder="1"/>
    <xf numFmtId="190" fontId="46" fillId="0" borderId="24" xfId="0" applyNumberFormat="1" applyFont="1" applyBorder="1"/>
    <xf numFmtId="191" fontId="37" fillId="0" borderId="8" xfId="0" applyNumberFormat="1" applyFont="1" applyBorder="1"/>
    <xf numFmtId="190" fontId="40" fillId="0" borderId="26" xfId="0" applyNumberFormat="1" applyFont="1" applyBorder="1"/>
    <xf numFmtId="217" fontId="5" fillId="0" borderId="27" xfId="0" applyNumberFormat="1" applyFont="1" applyBorder="1"/>
    <xf numFmtId="190" fontId="5" fillId="0" borderId="29" xfId="0" applyNumberFormat="1" applyFont="1" applyBorder="1"/>
    <xf numFmtId="2" fontId="5" fillId="0" borderId="23" xfId="0" applyNumberFormat="1" applyFont="1" applyBorder="1"/>
    <xf numFmtId="190" fontId="36" fillId="0" borderId="113" xfId="0" applyNumberFormat="1" applyFont="1" applyBorder="1" applyAlignment="1">
      <alignment horizontal="right" vertical="center"/>
    </xf>
    <xf numFmtId="190" fontId="36" fillId="0" borderId="129" xfId="0" applyNumberFormat="1" applyFont="1" applyBorder="1" applyAlignment="1">
      <alignment horizontal="right" vertical="center"/>
    </xf>
    <xf numFmtId="190" fontId="37" fillId="0" borderId="64" xfId="0" applyNumberFormat="1" applyFont="1" applyBorder="1"/>
    <xf numFmtId="190" fontId="37" fillId="0" borderId="8" xfId="0" applyNumberFormat="1" applyFont="1" applyBorder="1"/>
    <xf numFmtId="190" fontId="36" fillId="0" borderId="136" xfId="0" applyNumberFormat="1" applyFont="1" applyBorder="1" applyAlignment="1">
      <alignment horizontal="right" vertical="center"/>
    </xf>
    <xf numFmtId="190" fontId="36" fillId="0" borderId="53" xfId="0" applyNumberFormat="1" applyFont="1" applyBorder="1" applyAlignment="1">
      <alignment horizontal="right" vertical="center"/>
    </xf>
    <xf numFmtId="190" fontId="37" fillId="0" borderId="34" xfId="0" applyNumberFormat="1" applyFont="1" applyBorder="1"/>
    <xf numFmtId="190" fontId="37" fillId="0" borderId="39" xfId="0" applyNumberFormat="1" applyFont="1" applyBorder="1"/>
    <xf numFmtId="190" fontId="37" fillId="0" borderId="25" xfId="0" applyNumberFormat="1" applyFont="1" applyBorder="1"/>
    <xf numFmtId="0" fontId="5" fillId="0" borderId="21" xfId="0" applyFont="1" applyBorder="1"/>
    <xf numFmtId="204" fontId="6" fillId="0" borderId="18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200" fontId="0" fillId="0" borderId="12" xfId="48" applyNumberFormat="1" applyFont="1" applyBorder="1" applyAlignment="1">
      <alignment horizontal="right"/>
    </xf>
    <xf numFmtId="0" fontId="0" fillId="0" borderId="14" xfId="0" applyBorder="1"/>
    <xf numFmtId="201" fontId="0" fillId="0" borderId="22" xfId="48" applyNumberFormat="1" applyFont="1" applyBorder="1" applyAlignment="1">
      <alignment horizontal="right"/>
    </xf>
    <xf numFmtId="201" fontId="0" fillId="0" borderId="23" xfId="48" applyNumberFormat="1" applyFont="1" applyBorder="1"/>
    <xf numFmtId="1" fontId="0" fillId="0" borderId="12" xfId="0" applyNumberFormat="1" applyBorder="1"/>
    <xf numFmtId="1" fontId="0" fillId="0" borderId="22" xfId="0" applyNumberFormat="1" applyBorder="1"/>
    <xf numFmtId="228" fontId="0" fillId="0" borderId="22" xfId="0" applyNumberFormat="1" applyBorder="1"/>
    <xf numFmtId="228" fontId="0" fillId="0" borderId="23" xfId="0" applyNumberFormat="1" applyBorder="1"/>
    <xf numFmtId="228" fontId="0" fillId="0" borderId="12" xfId="0" applyNumberFormat="1" applyBorder="1"/>
    <xf numFmtId="0" fontId="0" fillId="0" borderId="6" xfId="0" applyBorder="1"/>
    <xf numFmtId="221" fontId="0" fillId="0" borderId="8" xfId="45" applyNumberFormat="1" applyFont="1" applyBorder="1"/>
    <xf numFmtId="221" fontId="0" fillId="0" borderId="0" xfId="45" applyNumberFormat="1" applyFont="1"/>
    <xf numFmtId="221" fontId="0" fillId="0" borderId="0" xfId="0" applyNumberFormat="1"/>
    <xf numFmtId="1" fontId="0" fillId="0" borderId="0" xfId="0" applyNumberFormat="1" applyAlignment="1">
      <alignment horizontal="center"/>
    </xf>
    <xf numFmtId="0" fontId="5" fillId="15" borderId="0" xfId="0" applyFont="1" applyFill="1" applyAlignment="1">
      <alignment horizontal="center"/>
    </xf>
    <xf numFmtId="9" fontId="0" fillId="0" borderId="0" xfId="48" applyFont="1" applyAlignment="1">
      <alignment horizontal="center"/>
    </xf>
    <xf numFmtId="9" fontId="0" fillId="0" borderId="0" xfId="48" applyFont="1"/>
    <xf numFmtId="204" fontId="6" fillId="0" borderId="21" xfId="0" applyNumberFormat="1" applyFont="1" applyBorder="1" applyAlignment="1">
      <alignment horizontal="center"/>
    </xf>
    <xf numFmtId="204" fontId="6" fillId="0" borderId="19" xfId="0" applyNumberFormat="1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200" fontId="0" fillId="0" borderId="13" xfId="48" applyNumberFormat="1" applyFont="1" applyBorder="1" applyAlignment="1">
      <alignment horizontal="right"/>
    </xf>
    <xf numFmtId="201" fontId="0" fillId="0" borderId="38" xfId="48" applyNumberFormat="1" applyFont="1" applyBorder="1" applyAlignment="1">
      <alignment horizontal="right"/>
    </xf>
    <xf numFmtId="201" fontId="0" fillId="0" borderId="50" xfId="48" applyNumberFormat="1" applyFont="1" applyBorder="1"/>
    <xf numFmtId="1" fontId="0" fillId="0" borderId="13" xfId="0" applyNumberFormat="1" applyBorder="1"/>
    <xf numFmtId="1" fontId="0" fillId="0" borderId="38" xfId="0" applyNumberFormat="1" applyBorder="1"/>
    <xf numFmtId="217" fontId="0" fillId="0" borderId="38" xfId="0" applyNumberFormat="1" applyBorder="1"/>
    <xf numFmtId="228" fontId="0" fillId="0" borderId="38" xfId="0" applyNumberFormat="1" applyBorder="1"/>
    <xf numFmtId="228" fontId="0" fillId="0" borderId="50" xfId="0" applyNumberFormat="1" applyBorder="1"/>
    <xf numFmtId="228" fontId="0" fillId="0" borderId="13" xfId="0" applyNumberFormat="1" applyBorder="1"/>
    <xf numFmtId="204" fontId="0" fillId="0" borderId="8" xfId="45" applyNumberFormat="1" applyFont="1" applyBorder="1"/>
    <xf numFmtId="221" fontId="0" fillId="0" borderId="9" xfId="45" applyNumberFormat="1" applyFont="1" applyBorder="1"/>
    <xf numFmtId="202" fontId="0" fillId="0" borderId="0" xfId="0" applyNumberFormat="1"/>
    <xf numFmtId="0" fontId="6" fillId="0" borderId="2" xfId="0" applyFont="1" applyBorder="1" applyAlignment="1">
      <alignment horizontal="center"/>
    </xf>
    <xf numFmtId="0" fontId="6" fillId="0" borderId="85" xfId="0" applyFont="1" applyBorder="1" applyAlignment="1">
      <alignment horizontal="center"/>
    </xf>
    <xf numFmtId="0" fontId="6" fillId="0" borderId="59" xfId="0" applyFont="1" applyBorder="1"/>
    <xf numFmtId="223" fontId="6" fillId="0" borderId="0" xfId="45" applyNumberFormat="1" applyFont="1" applyBorder="1"/>
    <xf numFmtId="231" fontId="6" fillId="0" borderId="0" xfId="0" applyNumberFormat="1" applyFont="1"/>
    <xf numFmtId="223" fontId="48" fillId="0" borderId="0" xfId="45" applyNumberFormat="1" applyFont="1" applyBorder="1"/>
    <xf numFmtId="231" fontId="0" fillId="0" borderId="0" xfId="0" applyNumberFormat="1"/>
    <xf numFmtId="223" fontId="48" fillId="0" borderId="1" xfId="45" applyNumberFormat="1" applyFont="1" applyBorder="1"/>
    <xf numFmtId="231" fontId="0" fillId="0" borderId="1" xfId="0" applyNumberFormat="1" applyBorder="1"/>
    <xf numFmtId="0" fontId="0" fillId="0" borderId="53" xfId="0" applyBorder="1" applyAlignment="1">
      <alignment horizontal="center"/>
    </xf>
    <xf numFmtId="0" fontId="6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6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226" fontId="0" fillId="0" borderId="41" xfId="0" applyNumberFormat="1" applyBorder="1"/>
    <xf numFmtId="223" fontId="0" fillId="0" borderId="11" xfId="45" applyNumberFormat="1" applyFont="1" applyBorder="1"/>
    <xf numFmtId="226" fontId="0" fillId="0" borderId="42" xfId="0" applyNumberFormat="1" applyBorder="1"/>
    <xf numFmtId="223" fontId="0" fillId="0" borderId="28" xfId="45" applyNumberFormat="1" applyFont="1" applyBorder="1"/>
    <xf numFmtId="226" fontId="0" fillId="0" borderId="46" xfId="0" applyNumberFormat="1" applyBorder="1"/>
    <xf numFmtId="223" fontId="0" fillId="0" borderId="46" xfId="45" applyNumberFormat="1" applyFont="1" applyBorder="1"/>
    <xf numFmtId="223" fontId="0" fillId="0" borderId="88" xfId="45" applyNumberFormat="1" applyFont="1" applyBorder="1"/>
    <xf numFmtId="221" fontId="6" fillId="0" borderId="0" xfId="45" applyNumberFormat="1" applyFont="1"/>
    <xf numFmtId="0" fontId="0" fillId="0" borderId="2" xfId="0" applyBorder="1" applyAlignment="1">
      <alignment horizontal="left" vertical="center"/>
    </xf>
    <xf numFmtId="221" fontId="6" fillId="0" borderId="44" xfId="45" applyNumberFormat="1" applyFont="1" applyBorder="1" applyAlignment="1">
      <alignment horizontal="center" vertical="center"/>
    </xf>
    <xf numFmtId="221" fontId="6" fillId="0" borderId="0" xfId="45" applyNumberFormat="1" applyFont="1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221" fontId="6" fillId="0" borderId="47" xfId="45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223" fontId="0" fillId="0" borderId="12" xfId="45" applyNumberFormat="1" applyFont="1" applyBorder="1"/>
    <xf numFmtId="223" fontId="0" fillId="0" borderId="22" xfId="45" applyNumberFormat="1" applyFont="1" applyBorder="1"/>
    <xf numFmtId="223" fontId="0" fillId="0" borderId="64" xfId="45" applyNumberFormat="1" applyFont="1" applyFill="1" applyBorder="1"/>
    <xf numFmtId="223" fontId="0" fillId="0" borderId="67" xfId="45" applyNumberFormat="1" applyFont="1" applyBorder="1"/>
    <xf numFmtId="223" fontId="0" fillId="0" borderId="8" xfId="45" applyNumberFormat="1" applyFont="1" applyBorder="1"/>
    <xf numFmtId="223" fontId="0" fillId="0" borderId="0" xfId="45" applyNumberFormat="1" applyFont="1" applyBorder="1"/>
    <xf numFmtId="204" fontId="6" fillId="0" borderId="0" xfId="45" applyNumberFormat="1" applyFont="1"/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53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wrapText="1"/>
    </xf>
    <xf numFmtId="223" fontId="6" fillId="0" borderId="13" xfId="45" applyNumberFormat="1" applyFont="1" applyBorder="1"/>
    <xf numFmtId="223" fontId="0" fillId="0" borderId="10" xfId="0" applyNumberFormat="1" applyBorder="1"/>
    <xf numFmtId="9" fontId="0" fillId="0" borderId="10" xfId="48" applyFont="1" applyBorder="1"/>
    <xf numFmtId="223" fontId="0" fillId="0" borderId="41" xfId="0" applyNumberFormat="1" applyBorder="1"/>
    <xf numFmtId="223" fontId="6" fillId="0" borderId="38" xfId="45" applyNumberFormat="1" applyFont="1" applyBorder="1"/>
    <xf numFmtId="223" fontId="0" fillId="0" borderId="14" xfId="0" applyNumberFormat="1" applyBorder="1"/>
    <xf numFmtId="223" fontId="0" fillId="0" borderId="42" xfId="45" applyNumberFormat="1" applyFont="1" applyBorder="1"/>
    <xf numFmtId="223" fontId="0" fillId="0" borderId="42" xfId="0" applyNumberFormat="1" applyBorder="1"/>
    <xf numFmtId="223" fontId="0" fillId="0" borderId="99" xfId="0" applyNumberFormat="1" applyBorder="1"/>
    <xf numFmtId="223" fontId="6" fillId="0" borderId="69" xfId="45" applyNumberFormat="1" applyFont="1" applyBorder="1"/>
    <xf numFmtId="223" fontId="0" fillId="0" borderId="53" xfId="0" applyNumberFormat="1" applyBorder="1"/>
    <xf numFmtId="9" fontId="0" fillId="0" borderId="46" xfId="48" applyFont="1" applyBorder="1"/>
    <xf numFmtId="223" fontId="0" fillId="0" borderId="46" xfId="0" applyNumberFormat="1" applyBorder="1"/>
    <xf numFmtId="204" fontId="6" fillId="0" borderId="0" xfId="0" applyNumberFormat="1" applyFont="1"/>
    <xf numFmtId="0" fontId="6" fillId="0" borderId="100" xfId="0" applyFont="1" applyBorder="1" applyAlignment="1">
      <alignment horizontal="center"/>
    </xf>
    <xf numFmtId="0" fontId="0" fillId="0" borderId="101" xfId="0" applyBorder="1"/>
    <xf numFmtId="223" fontId="0" fillId="0" borderId="1" xfId="0" applyNumberFormat="1" applyBorder="1"/>
    <xf numFmtId="223" fontId="6" fillId="0" borderId="0" xfId="0" applyNumberFormat="1" applyFont="1"/>
    <xf numFmtId="0" fontId="0" fillId="0" borderId="54" xfId="0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85" xfId="0" applyFont="1" applyBorder="1" applyAlignment="1">
      <alignment horizontal="center" vertical="center"/>
    </xf>
    <xf numFmtId="0" fontId="6" fillId="0" borderId="100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223" fontId="6" fillId="0" borderId="11" xfId="45" applyNumberFormat="1" applyFont="1" applyBorder="1"/>
    <xf numFmtId="231" fontId="6" fillId="0" borderId="12" xfId="0" applyNumberFormat="1" applyFont="1" applyBorder="1"/>
    <xf numFmtId="232" fontId="49" fillId="0" borderId="13" xfId="48" applyNumberFormat="1" applyFont="1" applyBorder="1"/>
    <xf numFmtId="223" fontId="0" fillId="0" borderId="14" xfId="45" applyNumberFormat="1" applyFont="1" applyBorder="1"/>
    <xf numFmtId="231" fontId="6" fillId="0" borderId="22" xfId="0" applyNumberFormat="1" applyFont="1" applyBorder="1"/>
    <xf numFmtId="223" fontId="0" fillId="0" borderId="6" xfId="45" applyNumberFormat="1" applyFont="1" applyBorder="1"/>
    <xf numFmtId="223" fontId="6" fillId="0" borderId="7" xfId="45" applyNumberFormat="1" applyFont="1" applyBorder="1"/>
    <xf numFmtId="231" fontId="6" fillId="0" borderId="67" xfId="0" applyNumberFormat="1" applyFont="1" applyBorder="1"/>
    <xf numFmtId="232" fontId="49" fillId="0" borderId="9" xfId="48" applyNumberFormat="1" applyFont="1" applyBorder="1"/>
    <xf numFmtId="186" fontId="0" fillId="0" borderId="0" xfId="0" applyNumberFormat="1"/>
    <xf numFmtId="221" fontId="0" fillId="0" borderId="12" xfId="0" applyNumberFormat="1" applyBorder="1"/>
    <xf numFmtId="221" fontId="0" fillId="0" borderId="13" xfId="45" applyNumberFormat="1" applyFont="1" applyBorder="1"/>
    <xf numFmtId="221" fontId="0" fillId="0" borderId="22" xfId="45" applyNumberFormat="1" applyFont="1" applyBorder="1"/>
    <xf numFmtId="221" fontId="0" fillId="0" borderId="38" xfId="45" applyNumberFormat="1" applyFont="1" applyBorder="1"/>
    <xf numFmtId="221" fontId="0" fillId="0" borderId="23" xfId="45" applyNumberFormat="1" applyFont="1" applyBorder="1"/>
    <xf numFmtId="221" fontId="0" fillId="0" borderId="50" xfId="45" applyNumberFormat="1" applyFont="1" applyBorder="1"/>
    <xf numFmtId="0" fontId="6" fillId="0" borderId="17" xfId="0" applyFont="1" applyBorder="1"/>
    <xf numFmtId="221" fontId="6" fillId="0" borderId="18" xfId="45" applyNumberFormat="1" applyFont="1" applyBorder="1"/>
    <xf numFmtId="221" fontId="6" fillId="0" borderId="19" xfId="45" applyNumberFormat="1" applyFont="1" applyBorder="1"/>
    <xf numFmtId="230" fontId="0" fillId="0" borderId="0" xfId="0" applyNumberFormat="1"/>
    <xf numFmtId="221" fontId="6" fillId="0" borderId="0" xfId="0" applyNumberFormat="1" applyFont="1"/>
    <xf numFmtId="0" fontId="6" fillId="0" borderId="218" xfId="0" applyFont="1" applyBorder="1" applyAlignment="1">
      <alignment horizontal="center"/>
    </xf>
    <xf numFmtId="0" fontId="6" fillId="0" borderId="65" xfId="0" applyFont="1" applyBorder="1" applyAlignment="1">
      <alignment horizontal="center"/>
    </xf>
    <xf numFmtId="0" fontId="6" fillId="0" borderId="77" xfId="0" applyFont="1" applyBorder="1" applyAlignment="1">
      <alignment horizontal="center"/>
    </xf>
    <xf numFmtId="0" fontId="0" fillId="0" borderId="40" xfId="0" applyBorder="1"/>
    <xf numFmtId="0" fontId="0" fillId="0" borderId="40" xfId="0" applyBorder="1" applyAlignment="1">
      <alignment horizontal="center"/>
    </xf>
    <xf numFmtId="0" fontId="0" fillId="0" borderId="41" xfId="0" applyBorder="1"/>
    <xf numFmtId="221" fontId="0" fillId="0" borderId="41" xfId="45" applyNumberFormat="1" applyFont="1" applyBorder="1"/>
    <xf numFmtId="0" fontId="0" fillId="0" borderId="42" xfId="0" applyBorder="1"/>
    <xf numFmtId="221" fontId="0" fillId="0" borderId="42" xfId="45" applyNumberFormat="1" applyFont="1" applyBorder="1"/>
    <xf numFmtId="0" fontId="6" fillId="0" borderId="42" xfId="0" applyFont="1" applyBorder="1"/>
    <xf numFmtId="221" fontId="6" fillId="0" borderId="42" xfId="45" applyNumberFormat="1" applyFont="1" applyBorder="1"/>
    <xf numFmtId="221" fontId="0" fillId="0" borderId="42" xfId="45" applyNumberFormat="1" applyFont="1" applyFill="1" applyBorder="1"/>
    <xf numFmtId="0" fontId="6" fillId="0" borderId="46" xfId="0" applyFont="1" applyBorder="1"/>
    <xf numFmtId="221" fontId="6" fillId="0" borderId="46" xfId="0" applyNumberFormat="1" applyFont="1" applyBorder="1"/>
    <xf numFmtId="221" fontId="6" fillId="2" borderId="0" xfId="0" applyNumberFormat="1" applyFont="1" applyFill="1"/>
    <xf numFmtId="221" fontId="6" fillId="0" borderId="40" xfId="0" applyNumberFormat="1" applyFont="1" applyBorder="1"/>
    <xf numFmtId="0" fontId="0" fillId="0" borderId="0" xfId="0" applyAlignment="1">
      <alignment horizontal="center" vertical="center"/>
    </xf>
    <xf numFmtId="221" fontId="0" fillId="0" borderId="0" xfId="45" applyNumberFormat="1" applyFont="1" applyBorder="1"/>
    <xf numFmtId="221" fontId="6" fillId="0" borderId="0" xfId="45" applyNumberFormat="1" applyFont="1" applyBorder="1"/>
    <xf numFmtId="204" fontId="0" fillId="0" borderId="0" xfId="0" applyNumberFormat="1"/>
    <xf numFmtId="204" fontId="25" fillId="0" borderId="52" xfId="0" applyNumberFormat="1" applyFont="1" applyBorder="1" applyAlignment="1">
      <alignment vertical="top"/>
    </xf>
    <xf numFmtId="204" fontId="21" fillId="0" borderId="0" xfId="0" applyNumberFormat="1" applyFont="1" applyAlignment="1">
      <alignment vertical="top"/>
    </xf>
    <xf numFmtId="49" fontId="24" fillId="0" borderId="48" xfId="0" applyNumberFormat="1" applyFont="1" applyBorder="1" applyAlignment="1">
      <alignment horizontal="left" vertical="top" indent="2"/>
    </xf>
    <xf numFmtId="226" fontId="19" fillId="0" borderId="55" xfId="0" applyNumberFormat="1" applyFont="1" applyBorder="1" applyAlignment="1">
      <alignment horizontal="center" vertical="center" wrapText="1"/>
    </xf>
    <xf numFmtId="49" fontId="50" fillId="0" borderId="28" xfId="0" applyNumberFormat="1" applyFont="1" applyBorder="1" applyAlignment="1">
      <alignment vertical="top"/>
    </xf>
    <xf numFmtId="49" fontId="21" fillId="0" borderId="22" xfId="0" applyNumberFormat="1" applyFont="1" applyBorder="1" applyAlignment="1">
      <alignment horizontal="right" vertical="top"/>
    </xf>
    <xf numFmtId="49" fontId="24" fillId="2" borderId="28" xfId="0" applyNumberFormat="1" applyFont="1" applyFill="1" applyBorder="1" applyAlignment="1">
      <alignment vertical="top"/>
    </xf>
    <xf numFmtId="195" fontId="24" fillId="2" borderId="22" xfId="0" applyNumberFormat="1" applyFont="1" applyFill="1" applyBorder="1" applyAlignment="1">
      <alignment horizontal="right" vertical="top"/>
    </xf>
    <xf numFmtId="49" fontId="19" fillId="0" borderId="28" xfId="0" applyNumberFormat="1" applyFont="1" applyBorder="1" applyAlignment="1">
      <alignment horizontal="left" vertical="top" indent="1"/>
    </xf>
    <xf numFmtId="195" fontId="27" fillId="0" borderId="22" xfId="0" applyNumberFormat="1" applyFont="1" applyBorder="1" applyAlignment="1">
      <alignment horizontal="right" vertical="top"/>
    </xf>
    <xf numFmtId="195" fontId="19" fillId="0" borderId="22" xfId="0" applyNumberFormat="1" applyFont="1" applyBorder="1" applyAlignment="1">
      <alignment horizontal="right" vertical="top"/>
    </xf>
    <xf numFmtId="196" fontId="27" fillId="0" borderId="22" xfId="0" applyNumberFormat="1" applyFont="1" applyBorder="1" applyAlignment="1">
      <alignment horizontal="right" vertical="top"/>
    </xf>
    <xf numFmtId="196" fontId="19" fillId="0" borderId="22" xfId="0" applyNumberFormat="1" applyFont="1" applyBorder="1" applyAlignment="1">
      <alignment horizontal="right" vertical="top"/>
    </xf>
    <xf numFmtId="49" fontId="19" fillId="0" borderId="28" xfId="0" applyNumberFormat="1" applyFont="1" applyBorder="1" applyAlignment="1">
      <alignment horizontal="left" vertical="top" indent="2"/>
    </xf>
    <xf numFmtId="195" fontId="28" fillId="2" borderId="22" xfId="0" applyNumberFormat="1" applyFont="1" applyFill="1" applyBorder="1" applyAlignment="1">
      <alignment horizontal="right" vertical="top"/>
    </xf>
    <xf numFmtId="49" fontId="27" fillId="0" borderId="28" xfId="0" applyNumberFormat="1" applyFont="1" applyBorder="1" applyAlignment="1">
      <alignment horizontal="left" vertical="top" indent="1"/>
    </xf>
    <xf numFmtId="49" fontId="19" fillId="0" borderId="30" xfId="0" applyNumberFormat="1" applyFont="1" applyBorder="1" applyAlignment="1">
      <alignment horizontal="left" vertical="top" indent="1"/>
    </xf>
    <xf numFmtId="196" fontId="27" fillId="0" borderId="23" xfId="0" applyNumberFormat="1" applyFont="1" applyBorder="1" applyAlignment="1">
      <alignment horizontal="right" vertical="top"/>
    </xf>
    <xf numFmtId="195" fontId="19" fillId="0" borderId="23" xfId="0" applyNumberFormat="1" applyFont="1" applyBorder="1" applyAlignment="1">
      <alignment horizontal="right" vertical="top"/>
    </xf>
    <xf numFmtId="195" fontId="27" fillId="0" borderId="23" xfId="0" applyNumberFormat="1" applyFont="1" applyBorder="1" applyAlignment="1">
      <alignment horizontal="right" vertical="top"/>
    </xf>
    <xf numFmtId="49" fontId="24" fillId="6" borderId="17" xfId="0" applyNumberFormat="1" applyFont="1" applyFill="1" applyBorder="1" applyAlignment="1">
      <alignment horizontal="right" vertical="top" indent="2"/>
    </xf>
    <xf numFmtId="195" fontId="24" fillId="6" borderId="18" xfId="0" applyNumberFormat="1" applyFont="1" applyFill="1" applyBorder="1" applyAlignment="1">
      <alignment horizontal="right" vertical="top"/>
    </xf>
    <xf numFmtId="49" fontId="50" fillId="0" borderId="11" xfId="0" applyNumberFormat="1" applyFont="1" applyBorder="1" applyAlignment="1">
      <alignment vertical="top"/>
    </xf>
    <xf numFmtId="49" fontId="21" fillId="0" borderId="12" xfId="0" applyNumberFormat="1" applyFont="1" applyBorder="1" applyAlignment="1">
      <alignment horizontal="right" vertical="top"/>
    </xf>
    <xf numFmtId="49" fontId="24" fillId="6" borderId="28" xfId="0" applyNumberFormat="1" applyFont="1" applyFill="1" applyBorder="1" applyAlignment="1">
      <alignment horizontal="right" vertical="top" indent="2"/>
    </xf>
    <xf numFmtId="195" fontId="24" fillId="6" borderId="22" xfId="0" applyNumberFormat="1" applyFont="1" applyFill="1" applyBorder="1" applyAlignment="1">
      <alignment horizontal="right" vertical="top"/>
    </xf>
    <xf numFmtId="227" fontId="26" fillId="14" borderId="7" xfId="0" applyNumberFormat="1" applyFont="1" applyFill="1" applyBorder="1" applyAlignment="1">
      <alignment horizontal="right" vertical="top" indent="2"/>
    </xf>
    <xf numFmtId="227" fontId="26" fillId="14" borderId="8" xfId="0" applyNumberFormat="1" applyFont="1" applyFill="1" applyBorder="1" applyAlignment="1">
      <alignment horizontal="right" vertical="top"/>
    </xf>
    <xf numFmtId="49" fontId="26" fillId="0" borderId="37" xfId="0" applyNumberFormat="1" applyFont="1" applyFill="1" applyBorder="1" applyAlignment="1">
      <alignment horizontal="right" vertical="top" indent="2"/>
    </xf>
    <xf numFmtId="195" fontId="26" fillId="0" borderId="64" xfId="0" applyNumberFormat="1" applyFont="1" applyFill="1" applyBorder="1" applyAlignment="1">
      <alignment horizontal="right" vertical="top"/>
    </xf>
    <xf numFmtId="0" fontId="6" fillId="0" borderId="48" xfId="0" applyFont="1" applyBorder="1"/>
    <xf numFmtId="228" fontId="0" fillId="0" borderId="55" xfId="45" applyNumberFormat="1" applyFont="1" applyBorder="1"/>
    <xf numFmtId="0" fontId="6" fillId="0" borderId="30" xfId="0" applyFont="1" applyBorder="1"/>
    <xf numFmtId="228" fontId="0" fillId="0" borderId="23" xfId="45" applyNumberFormat="1" applyFont="1" applyBorder="1"/>
    <xf numFmtId="228" fontId="6" fillId="0" borderId="18" xfId="45" applyNumberFormat="1" applyFont="1" applyBorder="1"/>
    <xf numFmtId="0" fontId="6" fillId="0" borderId="11" xfId="0" applyFont="1" applyBorder="1"/>
    <xf numFmtId="228" fontId="0" fillId="0" borderId="12" xfId="45" applyNumberFormat="1" applyFont="1" applyBorder="1"/>
    <xf numFmtId="228" fontId="0" fillId="0" borderId="20" xfId="45" applyNumberFormat="1" applyFont="1" applyBorder="1"/>
    <xf numFmtId="0" fontId="6" fillId="0" borderId="88" xfId="0" applyFont="1" applyBorder="1"/>
    <xf numFmtId="228" fontId="6" fillId="0" borderId="67" xfId="45" applyNumberFormat="1" applyFont="1" applyBorder="1"/>
    <xf numFmtId="0" fontId="21" fillId="0" borderId="22" xfId="0" applyFont="1" applyBorder="1" applyAlignment="1">
      <alignment vertical="top"/>
    </xf>
    <xf numFmtId="0" fontId="21" fillId="0" borderId="12" xfId="0" applyFont="1" applyBorder="1" applyAlignment="1">
      <alignment vertical="top"/>
    </xf>
    <xf numFmtId="228" fontId="6" fillId="2" borderId="18" xfId="45" applyNumberFormat="1" applyFont="1" applyFill="1" applyBorder="1"/>
    <xf numFmtId="226" fontId="19" fillId="0" borderId="49" xfId="0" applyNumberFormat="1" applyFont="1" applyBorder="1" applyAlignment="1">
      <alignment horizontal="center" vertical="center" wrapText="1"/>
    </xf>
    <xf numFmtId="0" fontId="21" fillId="0" borderId="38" xfId="0" applyFont="1" applyBorder="1" applyAlignment="1">
      <alignment vertical="top"/>
    </xf>
    <xf numFmtId="195" fontId="24" fillId="2" borderId="38" xfId="0" applyNumberFormat="1" applyFont="1" applyFill="1" applyBorder="1" applyAlignment="1">
      <alignment horizontal="right" vertical="top"/>
    </xf>
    <xf numFmtId="196" fontId="19" fillId="0" borderId="38" xfId="0" applyNumberFormat="1" applyFont="1" applyBorder="1" applyAlignment="1">
      <alignment horizontal="right" vertical="top"/>
    </xf>
    <xf numFmtId="195" fontId="28" fillId="2" borderId="38" xfId="0" applyNumberFormat="1" applyFont="1" applyFill="1" applyBorder="1" applyAlignment="1">
      <alignment horizontal="right" vertical="top"/>
    </xf>
    <xf numFmtId="195" fontId="24" fillId="6" borderId="19" xfId="0" applyNumberFormat="1" applyFont="1" applyFill="1" applyBorder="1" applyAlignment="1">
      <alignment horizontal="right" vertical="top"/>
    </xf>
    <xf numFmtId="0" fontId="21" fillId="0" borderId="13" xfId="0" applyFont="1" applyBorder="1" applyAlignment="1">
      <alignment vertical="top"/>
    </xf>
    <xf numFmtId="195" fontId="24" fillId="6" borderId="38" xfId="0" applyNumberFormat="1" applyFont="1" applyFill="1" applyBorder="1" applyAlignment="1">
      <alignment horizontal="right" vertical="top"/>
    </xf>
    <xf numFmtId="227" fontId="26" fillId="14" borderId="9" xfId="0" applyNumberFormat="1" applyFont="1" applyFill="1" applyBorder="1" applyAlignment="1">
      <alignment horizontal="right" vertical="top"/>
    </xf>
    <xf numFmtId="195" fontId="26" fillId="0" borderId="39" xfId="0" applyNumberFormat="1" applyFont="1" applyFill="1" applyBorder="1" applyAlignment="1">
      <alignment horizontal="right" vertical="top"/>
    </xf>
    <xf numFmtId="49" fontId="25" fillId="0" borderId="52" xfId="0" applyNumberFormat="1" applyFont="1" applyBorder="1" applyAlignment="1">
      <alignment vertical="top"/>
    </xf>
    <xf numFmtId="0" fontId="21" fillId="0" borderId="0" xfId="0" applyFont="1" applyAlignment="1">
      <alignment vertical="top"/>
    </xf>
    <xf numFmtId="49" fontId="26" fillId="0" borderId="35" xfId="0" applyNumberFormat="1" applyFont="1" applyBorder="1" applyAlignment="1">
      <alignment horizontal="left" vertical="top" indent="2"/>
    </xf>
    <xf numFmtId="49" fontId="19" fillId="0" borderId="22" xfId="0" applyNumberFormat="1" applyFont="1" applyBorder="1" applyAlignment="1">
      <alignment horizontal="center" vertical="top" wrapText="1"/>
    </xf>
    <xf numFmtId="49" fontId="27" fillId="0" borderId="22" xfId="0" applyNumberFormat="1" applyFont="1" applyBorder="1" applyAlignment="1">
      <alignment horizontal="center" vertical="top" wrapText="1"/>
    </xf>
    <xf numFmtId="49" fontId="28" fillId="0" borderId="32" xfId="0" applyNumberFormat="1" applyFont="1" applyBorder="1" applyAlignment="1">
      <alignment vertical="top"/>
    </xf>
    <xf numFmtId="228" fontId="19" fillId="0" borderId="64" xfId="0" applyNumberFormat="1" applyFont="1" applyBorder="1" applyAlignment="1">
      <alignment horizontal="right" vertical="top"/>
    </xf>
    <xf numFmtId="228" fontId="21" fillId="0" borderId="64" xfId="0" applyNumberFormat="1" applyFont="1" applyBorder="1" applyAlignment="1">
      <alignment vertical="top"/>
    </xf>
    <xf numFmtId="49" fontId="24" fillId="0" borderId="0" xfId="0" applyNumberFormat="1" applyFont="1" applyAlignment="1">
      <alignment vertical="top"/>
    </xf>
    <xf numFmtId="228" fontId="24" fillId="0" borderId="64" xfId="0" applyNumberFormat="1" applyFont="1" applyBorder="1" applyAlignment="1">
      <alignment horizontal="right" vertical="top"/>
    </xf>
    <xf numFmtId="49" fontId="19" fillId="0" borderId="0" xfId="0" applyNumberFormat="1" applyFont="1" applyAlignment="1">
      <alignment horizontal="left" vertical="top" indent="1"/>
    </xf>
    <xf numFmtId="228" fontId="27" fillId="0" borderId="64" xfId="0" applyNumberFormat="1" applyFont="1" applyBorder="1" applyAlignment="1">
      <alignment horizontal="right" vertical="top"/>
    </xf>
    <xf numFmtId="49" fontId="27" fillId="0" borderId="0" xfId="0" applyNumberFormat="1" applyFont="1" applyAlignment="1">
      <alignment horizontal="left" vertical="top" indent="1"/>
    </xf>
    <xf numFmtId="228" fontId="27" fillId="0" borderId="12" xfId="0" applyNumberFormat="1" applyFont="1" applyBorder="1" applyAlignment="1">
      <alignment horizontal="right" vertical="top"/>
    </xf>
    <xf numFmtId="228" fontId="19" fillId="0" borderId="12" xfId="0" applyNumberFormat="1" applyFont="1" applyBorder="1" applyAlignment="1">
      <alignment horizontal="right" vertical="top"/>
    </xf>
    <xf numFmtId="49" fontId="19" fillId="0" borderId="0" xfId="0" applyNumberFormat="1" applyFont="1" applyAlignment="1">
      <alignment horizontal="left" vertical="top" indent="2"/>
    </xf>
    <xf numFmtId="228" fontId="19" fillId="0" borderId="23" xfId="0" applyNumberFormat="1" applyFont="1" applyBorder="1" applyAlignment="1">
      <alignment horizontal="right" vertical="top"/>
    </xf>
    <xf numFmtId="228" fontId="27" fillId="0" borderId="23" xfId="0" applyNumberFormat="1" applyFont="1" applyBorder="1" applyAlignment="1">
      <alignment horizontal="right" vertical="top"/>
    </xf>
    <xf numFmtId="49" fontId="24" fillId="0" borderId="0" xfId="0" applyNumberFormat="1" applyFont="1" applyAlignment="1">
      <alignment horizontal="left" vertical="top" indent="1"/>
    </xf>
    <xf numFmtId="49" fontId="19" fillId="0" borderId="0" xfId="0" applyNumberFormat="1" applyFont="1" applyAlignment="1">
      <alignment horizontal="left" vertical="top" indent="3"/>
    </xf>
    <xf numFmtId="49" fontId="27" fillId="0" borderId="0" xfId="0" applyNumberFormat="1" applyFont="1" applyAlignment="1">
      <alignment horizontal="left" vertical="top" indent="3"/>
    </xf>
    <xf numFmtId="228" fontId="24" fillId="0" borderId="23" xfId="0" applyNumberFormat="1" applyFont="1" applyBorder="1" applyAlignment="1">
      <alignment horizontal="right" vertical="top"/>
    </xf>
    <xf numFmtId="228" fontId="28" fillId="0" borderId="23" xfId="0" applyNumberFormat="1" applyFont="1" applyBorder="1" applyAlignment="1">
      <alignment horizontal="right" vertical="top"/>
    </xf>
    <xf numFmtId="228" fontId="28" fillId="0" borderId="64" xfId="0" applyNumberFormat="1" applyFont="1" applyBorder="1" applyAlignment="1">
      <alignment horizontal="right" vertical="top"/>
    </xf>
    <xf numFmtId="228" fontId="27" fillId="2" borderId="64" xfId="0" applyNumberFormat="1" applyFont="1" applyFill="1" applyBorder="1" applyAlignment="1">
      <alignment horizontal="right" vertical="top"/>
    </xf>
    <xf numFmtId="228" fontId="19" fillId="2" borderId="64" xfId="0" applyNumberFormat="1" applyFont="1" applyFill="1" applyBorder="1" applyAlignment="1">
      <alignment horizontal="right" vertical="top"/>
    </xf>
    <xf numFmtId="228" fontId="24" fillId="0" borderId="22" xfId="0" applyNumberFormat="1" applyFont="1" applyBorder="1" applyAlignment="1">
      <alignment horizontal="right" vertical="top"/>
    </xf>
    <xf numFmtId="228" fontId="28" fillId="0" borderId="22" xfId="0" applyNumberFormat="1" applyFont="1" applyBorder="1" applyAlignment="1">
      <alignment horizontal="right" vertical="top"/>
    </xf>
    <xf numFmtId="228" fontId="24" fillId="0" borderId="0" xfId="0" applyNumberFormat="1" applyFont="1" applyAlignment="1">
      <alignment horizontal="right" vertical="top"/>
    </xf>
    <xf numFmtId="228" fontId="28" fillId="0" borderId="0" xfId="0" applyNumberFormat="1" applyFont="1" applyAlignment="1">
      <alignment horizontal="right" vertical="top"/>
    </xf>
    <xf numFmtId="228" fontId="0" fillId="0" borderId="0" xfId="0" applyNumberFormat="1"/>
    <xf numFmtId="228" fontId="0" fillId="2" borderId="0" xfId="0" applyNumberFormat="1" applyFill="1"/>
    <xf numFmtId="49" fontId="27" fillId="0" borderId="1" xfId="0" applyNumberFormat="1" applyFont="1" applyBorder="1" applyAlignment="1">
      <alignment horizontal="left" vertical="top" indent="1"/>
    </xf>
    <xf numFmtId="228" fontId="0" fillId="2" borderId="1" xfId="0" applyNumberFormat="1" applyFill="1" applyBorder="1"/>
    <xf numFmtId="49" fontId="28" fillId="0" borderId="0" xfId="0" applyNumberFormat="1" applyFont="1" applyAlignment="1">
      <alignment horizontal="right" vertical="top" indent="1"/>
    </xf>
    <xf numFmtId="228" fontId="5" fillId="0" borderId="0" xfId="0" applyNumberFormat="1" applyFont="1"/>
    <xf numFmtId="49" fontId="28" fillId="0" borderId="0" xfId="0" applyNumberFormat="1" applyFont="1" applyAlignment="1">
      <alignment horizontal="left" vertical="top" indent="1"/>
    </xf>
    <xf numFmtId="228" fontId="6" fillId="0" borderId="0" xfId="0" applyNumberFormat="1" applyFont="1"/>
    <xf numFmtId="49" fontId="19" fillId="0" borderId="22" xfId="0" applyNumberFormat="1" applyFont="1" applyBorder="1" applyAlignment="1">
      <alignment horizontal="center" vertical="top"/>
    </xf>
    <xf numFmtId="49" fontId="19" fillId="0" borderId="44" xfId="0" applyNumberFormat="1" applyFont="1" applyBorder="1" applyAlignment="1">
      <alignment horizontal="center" vertical="top"/>
    </xf>
    <xf numFmtId="228" fontId="0" fillId="0" borderId="44" xfId="0" applyNumberFormat="1" applyBorder="1"/>
    <xf numFmtId="228" fontId="6" fillId="6" borderId="99" xfId="45" applyNumberFormat="1" applyFont="1" applyFill="1" applyBorder="1"/>
    <xf numFmtId="228" fontId="0" fillId="0" borderId="99" xfId="45" applyNumberFormat="1" applyFont="1" applyBorder="1"/>
    <xf numFmtId="228" fontId="0" fillId="0" borderId="41" xfId="45" applyNumberFormat="1" applyFont="1" applyBorder="1"/>
    <xf numFmtId="228" fontId="51" fillId="0" borderId="43" xfId="0" applyNumberFormat="1" applyFont="1" applyBorder="1" applyAlignment="1">
      <alignment horizontal="right" vertical="top"/>
    </xf>
    <xf numFmtId="185" fontId="0" fillId="0" borderId="0" xfId="0" applyNumberFormat="1"/>
    <xf numFmtId="231" fontId="52" fillId="0" borderId="0" xfId="45" applyFont="1"/>
    <xf numFmtId="228" fontId="0" fillId="0" borderId="99" xfId="45" applyNumberFormat="1" applyFont="1" applyFill="1" applyBorder="1"/>
    <xf numFmtId="195" fontId="27" fillId="0" borderId="0" xfId="0" applyNumberFormat="1" applyFont="1" applyAlignment="1">
      <alignment horizontal="right" vertical="top"/>
    </xf>
    <xf numFmtId="231" fontId="52" fillId="0" borderId="1" xfId="45" applyFont="1" applyBorder="1"/>
    <xf numFmtId="213" fontId="52" fillId="0" borderId="0" xfId="0" applyNumberFormat="1" applyFont="1"/>
    <xf numFmtId="228" fontId="6" fillId="6" borderId="41" xfId="45" applyNumberFormat="1" applyFont="1" applyFill="1" applyBorder="1"/>
    <xf numFmtId="195" fontId="24" fillId="0" borderId="94" xfId="0" applyNumberFormat="1" applyFont="1" applyBorder="1" applyAlignment="1">
      <alignment horizontal="right" vertical="top"/>
    </xf>
    <xf numFmtId="228" fontId="6" fillId="0" borderId="99" xfId="45" applyNumberFormat="1" applyFont="1" applyFill="1" applyBorder="1"/>
    <xf numFmtId="228" fontId="24" fillId="6" borderId="99" xfId="0" applyNumberFormat="1" applyFont="1" applyFill="1" applyBorder="1" applyAlignment="1">
      <alignment horizontal="right" vertical="top"/>
    </xf>
    <xf numFmtId="228" fontId="0" fillId="0" borderId="41" xfId="45" applyNumberFormat="1" applyFont="1" applyFill="1" applyBorder="1"/>
    <xf numFmtId="228" fontId="6" fillId="0" borderId="47" xfId="45" applyNumberFormat="1" applyFont="1" applyBorder="1"/>
    <xf numFmtId="2" fontId="53" fillId="0" borderId="0" xfId="0" applyNumberFormat="1" applyFont="1"/>
    <xf numFmtId="2" fontId="52" fillId="0" borderId="0" xfId="0" applyNumberFormat="1" applyFont="1"/>
    <xf numFmtId="228" fontId="0" fillId="0" borderId="1" xfId="0" applyNumberFormat="1" applyBorder="1"/>
    <xf numFmtId="2" fontId="53" fillId="0" borderId="1" xfId="0" applyNumberFormat="1" applyFont="1" applyBorder="1"/>
    <xf numFmtId="0" fontId="53" fillId="0" borderId="0" xfId="0" applyFont="1"/>
    <xf numFmtId="49" fontId="28" fillId="6" borderId="0" xfId="0" applyNumberFormat="1" applyFont="1" applyFill="1" applyAlignment="1">
      <alignment horizontal="left" vertical="top" indent="1"/>
    </xf>
    <xf numFmtId="228" fontId="6" fillId="6" borderId="0" xfId="0" applyNumberFormat="1" applyFont="1" applyFill="1"/>
    <xf numFmtId="0" fontId="10" fillId="0" borderId="0" xfId="0" applyFont="1"/>
    <xf numFmtId="228" fontId="0" fillId="6" borderId="0" xfId="0" applyNumberFormat="1" applyFill="1"/>
    <xf numFmtId="219" fontId="6" fillId="0" borderId="0" xfId="0" applyNumberFormat="1" applyFont="1"/>
    <xf numFmtId="198" fontId="6" fillId="0" borderId="0" xfId="0" applyNumberFormat="1" applyFont="1"/>
    <xf numFmtId="0" fontId="0" fillId="6" borderId="0" xfId="0" applyFill="1"/>
    <xf numFmtId="2" fontId="6" fillId="6" borderId="0" xfId="0" applyNumberFormat="1" applyFont="1" applyFill="1"/>
    <xf numFmtId="49" fontId="27" fillId="6" borderId="0" xfId="0" applyNumberFormat="1" applyFont="1" applyFill="1" applyAlignment="1">
      <alignment horizontal="left" vertical="top" indent="1"/>
    </xf>
    <xf numFmtId="2" fontId="0" fillId="6" borderId="0" xfId="0" applyNumberFormat="1" applyFill="1"/>
    <xf numFmtId="219" fontId="0" fillId="0" borderId="0" xfId="0" applyNumberFormat="1"/>
    <xf numFmtId="49" fontId="25" fillId="0" borderId="17" xfId="0" applyNumberFormat="1" applyFont="1" applyBorder="1" applyAlignment="1">
      <alignment vertical="top"/>
    </xf>
    <xf numFmtId="49" fontId="19" fillId="0" borderId="18" xfId="0" applyNumberFormat="1" applyFont="1" applyBorder="1" applyAlignment="1">
      <alignment horizontal="center" vertical="top" wrapText="1"/>
    </xf>
    <xf numFmtId="49" fontId="27" fillId="0" borderId="18" xfId="0" applyNumberFormat="1" applyFont="1" applyBorder="1" applyAlignment="1">
      <alignment horizontal="center" vertical="top" wrapText="1"/>
    </xf>
    <xf numFmtId="49" fontId="19" fillId="0" borderId="21" xfId="0" applyNumberFormat="1" applyFont="1" applyBorder="1" applyAlignment="1">
      <alignment horizontal="center" vertical="top" wrapText="1"/>
    </xf>
    <xf numFmtId="49" fontId="50" fillId="0" borderId="37" xfId="0" applyNumberFormat="1" applyFont="1" applyBorder="1" applyAlignment="1">
      <alignment vertical="top"/>
    </xf>
    <xf numFmtId="49" fontId="21" fillId="0" borderId="64" xfId="0" applyNumberFormat="1" applyFont="1" applyBorder="1" applyAlignment="1">
      <alignment horizontal="right" vertical="top"/>
    </xf>
    <xf numFmtId="0" fontId="21" fillId="0" borderId="39" xfId="0" applyFont="1" applyBorder="1" applyAlignment="1">
      <alignment vertical="top"/>
    </xf>
    <xf numFmtId="49" fontId="24" fillId="0" borderId="48" xfId="0" applyNumberFormat="1" applyFont="1" applyBorder="1" applyAlignment="1">
      <alignment vertical="top"/>
    </xf>
    <xf numFmtId="228" fontId="54" fillId="2" borderId="55" xfId="0" applyNumberFormat="1" applyFont="1" applyFill="1" applyBorder="1" applyAlignment="1">
      <alignment horizontal="right" vertical="top"/>
    </xf>
    <xf numFmtId="228" fontId="54" fillId="2" borderId="70" xfId="0" applyNumberFormat="1" applyFont="1" applyFill="1" applyBorder="1" applyAlignment="1">
      <alignment horizontal="right" vertical="top"/>
    </xf>
    <xf numFmtId="228" fontId="55" fillId="0" borderId="22" xfId="0" applyNumberFormat="1" applyFont="1" applyBorder="1" applyAlignment="1">
      <alignment horizontal="right" vertical="top"/>
    </xf>
    <xf numFmtId="228" fontId="19" fillId="0" borderId="22" xfId="0" applyNumberFormat="1" applyFont="1" applyBorder="1" applyAlignment="1">
      <alignment horizontal="right" vertical="top"/>
    </xf>
    <xf numFmtId="228" fontId="27" fillId="0" borderId="35" xfId="0" applyNumberFormat="1" applyFont="1" applyBorder="1" applyAlignment="1">
      <alignment horizontal="right" vertical="top"/>
    </xf>
    <xf numFmtId="228" fontId="56" fillId="0" borderId="22" xfId="0" applyNumberFormat="1" applyFont="1" applyBorder="1" applyAlignment="1">
      <alignment horizontal="right" vertical="top"/>
    </xf>
    <xf numFmtId="228" fontId="19" fillId="0" borderId="35" xfId="0" applyNumberFormat="1" applyFont="1" applyBorder="1" applyAlignment="1">
      <alignment horizontal="right" vertical="top"/>
    </xf>
    <xf numFmtId="49" fontId="19" fillId="0" borderId="7" xfId="0" applyNumberFormat="1" applyFont="1" applyBorder="1" applyAlignment="1">
      <alignment horizontal="left" vertical="top" indent="1"/>
    </xf>
    <xf numFmtId="228" fontId="55" fillId="0" borderId="8" xfId="0" applyNumberFormat="1" applyFont="1" applyBorder="1" applyAlignment="1">
      <alignment horizontal="right" vertical="top"/>
    </xf>
    <xf numFmtId="228" fontId="55" fillId="0" borderId="25" xfId="0" applyNumberFormat="1" applyFont="1" applyBorder="1" applyAlignment="1">
      <alignment horizontal="right" vertical="top"/>
    </xf>
    <xf numFmtId="49" fontId="19" fillId="0" borderId="37" xfId="0" applyNumberFormat="1" applyFont="1" applyBorder="1" applyAlignment="1">
      <alignment horizontal="left" vertical="top" indent="1"/>
    </xf>
    <xf numFmtId="228" fontId="24" fillId="2" borderId="55" xfId="0" applyNumberFormat="1" applyFont="1" applyFill="1" applyBorder="1" applyAlignment="1">
      <alignment horizontal="right" vertical="top"/>
    </xf>
    <xf numFmtId="228" fontId="24" fillId="2" borderId="70" xfId="0" applyNumberFormat="1" applyFont="1" applyFill="1" applyBorder="1" applyAlignment="1">
      <alignment horizontal="right" vertical="top"/>
    </xf>
    <xf numFmtId="228" fontId="27" fillId="0" borderId="22" xfId="0" applyNumberFormat="1" applyFont="1" applyBorder="1" applyAlignment="1">
      <alignment horizontal="right" vertical="top"/>
    </xf>
    <xf numFmtId="228" fontId="27" fillId="0" borderId="8" xfId="0" applyNumberFormat="1" applyFont="1" applyBorder="1" applyAlignment="1">
      <alignment horizontal="right" vertical="top"/>
    </xf>
    <xf numFmtId="228" fontId="19" fillId="0" borderId="8" xfId="0" applyNumberFormat="1" applyFont="1" applyBorder="1" applyAlignment="1">
      <alignment horizontal="right" vertical="top"/>
    </xf>
    <xf numFmtId="228" fontId="27" fillId="0" borderId="25" xfId="0" applyNumberFormat="1" applyFont="1" applyBorder="1" applyAlignment="1">
      <alignment horizontal="right" vertical="top"/>
    </xf>
    <xf numFmtId="228" fontId="27" fillId="0" borderId="39" xfId="0" applyNumberFormat="1" applyFont="1" applyBorder="1" applyAlignment="1">
      <alignment horizontal="right" vertical="top"/>
    </xf>
    <xf numFmtId="49" fontId="27" fillId="0" borderId="7" xfId="0" applyNumberFormat="1" applyFont="1" applyBorder="1" applyAlignment="1">
      <alignment horizontal="left" vertical="top" indent="1"/>
    </xf>
    <xf numFmtId="49" fontId="24" fillId="0" borderId="88" xfId="0" applyNumberFormat="1" applyFont="1" applyBorder="1" applyAlignment="1">
      <alignment horizontal="right" vertical="top" indent="2"/>
    </xf>
    <xf numFmtId="228" fontId="24" fillId="0" borderId="67" xfId="0" applyNumberFormat="1" applyFont="1" applyBorder="1" applyAlignment="1">
      <alignment horizontal="right" vertical="top"/>
    </xf>
    <xf numFmtId="228" fontId="24" fillId="0" borderId="68" xfId="0" applyNumberFormat="1" applyFont="1" applyBorder="1" applyAlignment="1">
      <alignment horizontal="right" vertical="top"/>
    </xf>
    <xf numFmtId="49" fontId="50" fillId="0" borderId="0" xfId="0" applyNumberFormat="1" applyFont="1" applyAlignment="1">
      <alignment vertical="top"/>
    </xf>
    <xf numFmtId="228" fontId="21" fillId="0" borderId="0" xfId="0" applyNumberFormat="1" applyFont="1" applyAlignment="1">
      <alignment horizontal="right" vertical="top"/>
    </xf>
    <xf numFmtId="228" fontId="21" fillId="0" borderId="0" xfId="0" applyNumberFormat="1" applyFont="1" applyAlignment="1">
      <alignment vertical="top"/>
    </xf>
    <xf numFmtId="228" fontId="55" fillId="0" borderId="35" xfId="0" applyNumberFormat="1" applyFont="1" applyBorder="1" applyAlignment="1">
      <alignment horizontal="right" vertical="top"/>
    </xf>
    <xf numFmtId="49" fontId="27" fillId="0" borderId="37" xfId="0" applyNumberFormat="1" applyFont="1" applyBorder="1" applyAlignment="1">
      <alignment horizontal="left" vertical="top" indent="1"/>
    </xf>
    <xf numFmtId="228" fontId="55" fillId="0" borderId="64" xfId="0" applyNumberFormat="1" applyFont="1" applyBorder="1" applyAlignment="1">
      <alignment horizontal="right" vertical="top"/>
    </xf>
    <xf numFmtId="228" fontId="29" fillId="0" borderId="64" xfId="0" applyNumberFormat="1" applyFont="1" applyBorder="1" applyAlignment="1">
      <alignment horizontal="right" vertical="top"/>
    </xf>
    <xf numFmtId="228" fontId="55" fillId="0" borderId="39" xfId="0" applyNumberFormat="1" applyFont="1" applyBorder="1" applyAlignment="1">
      <alignment horizontal="right" vertical="top"/>
    </xf>
    <xf numFmtId="228" fontId="28" fillId="2" borderId="44" xfId="0" applyNumberFormat="1" applyFont="1" applyFill="1" applyBorder="1" applyAlignment="1">
      <alignment horizontal="right" vertical="top"/>
    </xf>
    <xf numFmtId="228" fontId="24" fillId="2" borderId="85" xfId="0" applyNumberFormat="1" applyFont="1" applyFill="1" applyBorder="1" applyAlignment="1">
      <alignment horizontal="right" vertical="top"/>
    </xf>
    <xf numFmtId="228" fontId="55" fillId="0" borderId="46" xfId="0" applyNumberFormat="1" applyFont="1" applyBorder="1" applyAlignment="1">
      <alignment horizontal="right" vertical="top"/>
    </xf>
    <xf numFmtId="228" fontId="55" fillId="0" borderId="79" xfId="0" applyNumberFormat="1" applyFont="1" applyBorder="1" applyAlignment="1">
      <alignment horizontal="right" vertical="top"/>
    </xf>
    <xf numFmtId="195" fontId="27" fillId="0" borderId="39" xfId="0" applyNumberFormat="1" applyFont="1" applyBorder="1" applyAlignment="1">
      <alignment horizontal="right" vertical="top"/>
    </xf>
    <xf numFmtId="228" fontId="27" fillId="0" borderId="36" xfId="0" applyNumberFormat="1" applyFont="1" applyBorder="1" applyAlignment="1">
      <alignment horizontal="right" vertical="top"/>
    </xf>
    <xf numFmtId="49" fontId="24" fillId="0" borderId="17" xfId="0" applyNumberFormat="1" applyFont="1" applyBorder="1" applyAlignment="1">
      <alignment horizontal="right" vertical="top" indent="2"/>
    </xf>
    <xf numFmtId="228" fontId="24" fillId="0" borderId="18" xfId="0" applyNumberFormat="1" applyFont="1" applyBorder="1" applyAlignment="1">
      <alignment horizontal="right" vertical="top"/>
    </xf>
    <xf numFmtId="49" fontId="19" fillId="0" borderId="33" xfId="0" applyNumberFormat="1" applyFont="1" applyBorder="1" applyAlignment="1">
      <alignment horizontal="center" vertical="top" wrapText="1"/>
    </xf>
    <xf numFmtId="49" fontId="19" fillId="0" borderId="40" xfId="0" applyNumberFormat="1" applyFont="1" applyBorder="1" applyAlignment="1">
      <alignment horizontal="center" vertical="top" wrapText="1"/>
    </xf>
    <xf numFmtId="0" fontId="21" fillId="0" borderId="64" xfId="0" applyFont="1" applyBorder="1" applyAlignment="1">
      <alignment vertical="top"/>
    </xf>
    <xf numFmtId="0" fontId="21" fillId="0" borderId="101" xfId="0" applyFont="1" applyBorder="1" applyAlignment="1">
      <alignment vertical="top"/>
    </xf>
    <xf numFmtId="0" fontId="21" fillId="0" borderId="99" xfId="0" applyFont="1" applyBorder="1" applyAlignment="1">
      <alignment vertical="top"/>
    </xf>
    <xf numFmtId="0" fontId="21" fillId="0" borderId="59" xfId="0" applyFont="1" applyBorder="1" applyAlignment="1">
      <alignment vertical="top"/>
    </xf>
    <xf numFmtId="228" fontId="54" fillId="2" borderId="45" xfId="0" applyNumberFormat="1" applyFont="1" applyFill="1" applyBorder="1" applyAlignment="1">
      <alignment horizontal="right" vertical="top"/>
    </xf>
    <xf numFmtId="228" fontId="27" fillId="0" borderId="51" xfId="0" applyNumberFormat="1" applyFont="1" applyBorder="1" applyAlignment="1">
      <alignment horizontal="right" vertical="top"/>
    </xf>
    <xf numFmtId="228" fontId="27" fillId="0" borderId="42" xfId="0" applyNumberFormat="1" applyFont="1" applyBorder="1" applyAlignment="1">
      <alignment horizontal="right" vertical="top"/>
    </xf>
    <xf numFmtId="228" fontId="19" fillId="0" borderId="51" xfId="0" applyNumberFormat="1" applyFont="1" applyBorder="1" applyAlignment="1">
      <alignment horizontal="right" vertical="top"/>
    </xf>
    <xf numFmtId="228" fontId="19" fillId="0" borderId="42" xfId="0" applyNumberFormat="1" applyFont="1" applyBorder="1" applyAlignment="1">
      <alignment horizontal="right" vertical="top"/>
    </xf>
    <xf numFmtId="228" fontId="27" fillId="0" borderId="101" xfId="0" applyNumberFormat="1" applyFont="1" applyBorder="1" applyAlignment="1">
      <alignment horizontal="right" vertical="top"/>
    </xf>
    <xf numFmtId="228" fontId="27" fillId="0" borderId="99" xfId="0" applyNumberFormat="1" applyFont="1" applyBorder="1" applyAlignment="1">
      <alignment horizontal="right" vertical="top"/>
    </xf>
    <xf numFmtId="228" fontId="24" fillId="2" borderId="5" xfId="0" applyNumberFormat="1" applyFont="1" applyFill="1" applyBorder="1" applyAlignment="1">
      <alignment horizontal="right" vertical="top"/>
    </xf>
    <xf numFmtId="228" fontId="24" fillId="2" borderId="45" xfId="0" applyNumberFormat="1" applyFont="1" applyFill="1" applyBorder="1" applyAlignment="1">
      <alignment horizontal="right" vertical="top"/>
    </xf>
    <xf numFmtId="228" fontId="27" fillId="0" borderId="97" xfId="0" applyNumberFormat="1" applyFont="1" applyBorder="1" applyAlignment="1">
      <alignment horizontal="right" vertical="top"/>
    </xf>
    <xf numFmtId="231" fontId="27" fillId="0" borderId="0" xfId="45" applyFont="1" applyAlignment="1">
      <alignment horizontal="right" vertical="top"/>
    </xf>
    <xf numFmtId="228" fontId="55" fillId="0" borderId="97" xfId="0" applyNumberFormat="1" applyFont="1" applyBorder="1" applyAlignment="1">
      <alignment horizontal="right" vertical="top"/>
    </xf>
    <xf numFmtId="228" fontId="55" fillId="0" borderId="42" xfId="0" applyNumberFormat="1" applyFont="1" applyBorder="1" applyAlignment="1">
      <alignment horizontal="right" vertical="top"/>
    </xf>
    <xf numFmtId="228" fontId="27" fillId="0" borderId="96" xfId="0" applyNumberFormat="1" applyFont="1" applyBorder="1" applyAlignment="1">
      <alignment horizontal="right" vertical="top"/>
    </xf>
    <xf numFmtId="228" fontId="27" fillId="0" borderId="46" xfId="0" applyNumberFormat="1" applyFont="1" applyBorder="1" applyAlignment="1">
      <alignment horizontal="right" vertical="top"/>
    </xf>
    <xf numFmtId="228" fontId="21" fillId="0" borderId="101" xfId="0" applyNumberFormat="1" applyFont="1" applyBorder="1" applyAlignment="1">
      <alignment vertical="top"/>
    </xf>
    <xf numFmtId="228" fontId="21" fillId="0" borderId="99" xfId="0" applyNumberFormat="1" applyFont="1" applyBorder="1" applyAlignment="1">
      <alignment vertical="top"/>
    </xf>
    <xf numFmtId="228" fontId="24" fillId="2" borderId="4" xfId="0" applyNumberFormat="1" applyFont="1" applyFill="1" applyBorder="1" applyAlignment="1">
      <alignment horizontal="right" vertical="top"/>
    </xf>
    <xf numFmtId="228" fontId="55" fillId="0" borderId="51" xfId="0" applyNumberFormat="1" applyFont="1" applyBorder="1" applyAlignment="1">
      <alignment horizontal="right" vertical="top"/>
    </xf>
    <xf numFmtId="195" fontId="55" fillId="0" borderId="51" xfId="0" applyNumberFormat="1" applyFont="1" applyBorder="1" applyAlignment="1">
      <alignment horizontal="right" vertical="top"/>
    </xf>
    <xf numFmtId="228" fontId="55" fillId="0" borderId="12" xfId="0" applyNumberFormat="1" applyFont="1" applyBorder="1" applyAlignment="1">
      <alignment horizontal="right" vertical="top"/>
    </xf>
    <xf numFmtId="228" fontId="29" fillId="0" borderId="51" xfId="0" applyNumberFormat="1" applyFont="1" applyBorder="1" applyAlignment="1">
      <alignment horizontal="right" vertical="top"/>
    </xf>
    <xf numFmtId="228" fontId="55" fillId="0" borderId="101" xfId="0" applyNumberFormat="1" applyFont="1" applyBorder="1" applyAlignment="1">
      <alignment horizontal="right" vertical="top"/>
    </xf>
    <xf numFmtId="228" fontId="55" fillId="0" borderId="99" xfId="0" applyNumberFormat="1" applyFont="1" applyBorder="1" applyAlignment="1">
      <alignment horizontal="right" vertical="top"/>
    </xf>
    <xf numFmtId="228" fontId="24" fillId="2" borderId="65" xfId="0" applyNumberFormat="1" applyFont="1" applyFill="1" applyBorder="1" applyAlignment="1">
      <alignment horizontal="right" vertical="top"/>
    </xf>
    <xf numFmtId="228" fontId="24" fillId="2" borderId="100" xfId="0" applyNumberFormat="1" applyFont="1" applyFill="1" applyBorder="1" applyAlignment="1">
      <alignment horizontal="right" vertical="top"/>
    </xf>
    <xf numFmtId="228" fontId="24" fillId="2" borderId="44" xfId="0" applyNumberFormat="1" applyFont="1" applyFill="1" applyBorder="1" applyAlignment="1">
      <alignment horizontal="right" vertical="top"/>
    </xf>
    <xf numFmtId="228" fontId="55" fillId="0" borderId="96" xfId="0" applyNumberFormat="1" applyFont="1" applyBorder="1" applyAlignment="1">
      <alignment horizontal="right" vertical="top"/>
    </xf>
    <xf numFmtId="195" fontId="19" fillId="0" borderId="97" xfId="0" applyNumberFormat="1" applyFont="1" applyBorder="1" applyAlignment="1">
      <alignment horizontal="right" vertical="top"/>
    </xf>
    <xf numFmtId="195" fontId="27" fillId="0" borderId="42" xfId="0" applyNumberFormat="1" applyFont="1" applyBorder="1" applyAlignment="1">
      <alignment horizontal="right" vertical="top"/>
    </xf>
    <xf numFmtId="228" fontId="27" fillId="0" borderId="98" xfId="0" applyNumberFormat="1" applyFont="1" applyBorder="1" applyAlignment="1">
      <alignment horizontal="right" vertical="top"/>
    </xf>
    <xf numFmtId="228" fontId="27" fillId="0" borderId="43" xfId="0" applyNumberFormat="1" applyFont="1" applyBorder="1" applyAlignment="1">
      <alignment horizontal="right" vertical="top"/>
    </xf>
    <xf numFmtId="49" fontId="19" fillId="0" borderId="16" xfId="0" applyNumberFormat="1" applyFont="1" applyBorder="1" applyAlignment="1">
      <alignment horizontal="center" vertical="top" wrapText="1"/>
    </xf>
    <xf numFmtId="0" fontId="21" fillId="0" borderId="44" xfId="0" applyFont="1" applyBorder="1" applyAlignment="1">
      <alignment vertical="top"/>
    </xf>
    <xf numFmtId="228" fontId="54" fillId="2" borderId="3" xfId="0" applyNumberFormat="1" applyFont="1" applyFill="1" applyBorder="1" applyAlignment="1">
      <alignment horizontal="right" vertical="top"/>
    </xf>
    <xf numFmtId="228" fontId="27" fillId="0" borderId="59" xfId="0" applyNumberFormat="1" applyFont="1" applyBorder="1" applyAlignment="1">
      <alignment horizontal="right" vertical="top"/>
    </xf>
    <xf numFmtId="228" fontId="27" fillId="0" borderId="47" xfId="0" applyNumberFormat="1" applyFont="1" applyBorder="1" applyAlignment="1">
      <alignment horizontal="right" vertical="top"/>
    </xf>
    <xf numFmtId="195" fontId="55" fillId="0" borderId="42" xfId="0" applyNumberFormat="1" applyFont="1" applyBorder="1" applyAlignment="1">
      <alignment horizontal="right" vertical="top"/>
    </xf>
    <xf numFmtId="195" fontId="55" fillId="0" borderId="97" xfId="0" applyNumberFormat="1" applyFont="1" applyBorder="1" applyAlignment="1">
      <alignment horizontal="right" vertical="top"/>
    </xf>
    <xf numFmtId="228" fontId="55" fillId="0" borderId="27" xfId="0" applyNumberFormat="1" applyFont="1" applyBorder="1" applyAlignment="1">
      <alignment horizontal="right" vertical="top"/>
    </xf>
    <xf numFmtId="195" fontId="55" fillId="0" borderId="96" xfId="0" applyNumberFormat="1" applyFont="1" applyBorder="1" applyAlignment="1">
      <alignment horizontal="right" vertical="top"/>
    </xf>
    <xf numFmtId="195" fontId="55" fillId="0" borderId="46" xfId="0" applyNumberFormat="1" applyFont="1" applyBorder="1" applyAlignment="1">
      <alignment horizontal="right" vertical="top"/>
    </xf>
    <xf numFmtId="228" fontId="27" fillId="0" borderId="40" xfId="0" applyNumberFormat="1" applyFont="1" applyBorder="1" applyAlignment="1">
      <alignment horizontal="right" vertical="top"/>
    </xf>
    <xf numFmtId="195" fontId="27" fillId="0" borderId="46" xfId="0" applyNumberFormat="1" applyFont="1" applyBorder="1" applyAlignment="1">
      <alignment horizontal="right" vertical="top"/>
    </xf>
    <xf numFmtId="195" fontId="27" fillId="0" borderId="43" xfId="0" applyNumberFormat="1" applyFont="1" applyBorder="1" applyAlignment="1">
      <alignment horizontal="right" vertical="top"/>
    </xf>
    <xf numFmtId="208" fontId="0" fillId="0" borderId="0" xfId="0" applyNumberFormat="1"/>
    <xf numFmtId="186" fontId="6" fillId="0" borderId="0" xfId="0" applyNumberFormat="1" applyFont="1"/>
    <xf numFmtId="49" fontId="25" fillId="0" borderId="2" xfId="0" applyNumberFormat="1" applyFont="1" applyBorder="1" applyAlignment="1">
      <alignment horizontal="center" vertical="top"/>
    </xf>
    <xf numFmtId="0" fontId="5" fillId="0" borderId="44" xfId="0" applyFont="1" applyBorder="1" applyAlignment="1">
      <alignment horizontal="center"/>
    </xf>
    <xf numFmtId="49" fontId="50" fillId="0" borderId="16" xfId="0" applyNumberFormat="1" applyFont="1" applyBorder="1" applyAlignment="1">
      <alignment vertical="top"/>
    </xf>
    <xf numFmtId="49" fontId="24" fillId="0" borderId="10" xfId="0" applyNumberFormat="1" applyFont="1" applyBorder="1" applyAlignment="1">
      <alignment vertical="top"/>
    </xf>
    <xf numFmtId="223" fontId="0" fillId="2" borderId="41" xfId="45" applyNumberFormat="1" applyFont="1" applyFill="1" applyBorder="1"/>
    <xf numFmtId="49" fontId="19" fillId="0" borderId="14" xfId="0" applyNumberFormat="1" applyFont="1" applyBorder="1" applyAlignment="1">
      <alignment horizontal="left" vertical="top" indent="1"/>
    </xf>
    <xf numFmtId="49" fontId="19" fillId="0" borderId="15" xfId="0" applyNumberFormat="1" applyFont="1" applyBorder="1" applyAlignment="1">
      <alignment horizontal="left" vertical="top" indent="1"/>
    </xf>
    <xf numFmtId="223" fontId="0" fillId="0" borderId="43" xfId="45" applyNumberFormat="1" applyFont="1" applyBorder="1"/>
    <xf numFmtId="49" fontId="19" fillId="0" borderId="16" xfId="0" applyNumberFormat="1" applyFont="1" applyBorder="1" applyAlignment="1">
      <alignment horizontal="left" vertical="top" indent="1"/>
    </xf>
    <xf numFmtId="223" fontId="0" fillId="0" borderId="40" xfId="45" applyNumberFormat="1" applyFont="1" applyBorder="1"/>
    <xf numFmtId="223" fontId="5" fillId="2" borderId="41" xfId="45" applyNumberFormat="1" applyFont="1" applyFill="1" applyBorder="1"/>
    <xf numFmtId="231" fontId="6" fillId="0" borderId="0" xfId="45" applyFont="1"/>
    <xf numFmtId="49" fontId="19" fillId="0" borderId="47" xfId="0" applyNumberFormat="1" applyFont="1" applyBorder="1" applyAlignment="1">
      <alignment horizontal="left" vertical="top" indent="1"/>
    </xf>
    <xf numFmtId="223" fontId="0" fillId="0" borderId="47" xfId="45" applyNumberFormat="1" applyFont="1" applyBorder="1"/>
    <xf numFmtId="49" fontId="19" fillId="0" borderId="99" xfId="0" applyNumberFormat="1" applyFont="1" applyBorder="1" applyAlignment="1">
      <alignment horizontal="left" vertical="top" indent="1"/>
    </xf>
    <xf numFmtId="49" fontId="24" fillId="0" borderId="3" xfId="0" applyNumberFormat="1" applyFont="1" applyBorder="1" applyAlignment="1">
      <alignment vertical="top"/>
    </xf>
    <xf numFmtId="223" fontId="5" fillId="2" borderId="45" xfId="45" applyNumberFormat="1" applyFont="1" applyFill="1" applyBorder="1"/>
    <xf numFmtId="49" fontId="19" fillId="0" borderId="6" xfId="0" applyNumberFormat="1" applyFont="1" applyBorder="1" applyAlignment="1">
      <alignment horizontal="left" vertical="top" indent="1"/>
    </xf>
    <xf numFmtId="49" fontId="19" fillId="0" borderId="59" xfId="0" applyNumberFormat="1" applyFont="1" applyBorder="1" applyAlignment="1">
      <alignment horizontal="left" vertical="top" indent="1"/>
    </xf>
    <xf numFmtId="49" fontId="27" fillId="0" borderId="6" xfId="0" applyNumberFormat="1" applyFont="1" applyBorder="1" applyAlignment="1">
      <alignment horizontal="left" vertical="top" indent="1"/>
    </xf>
    <xf numFmtId="49" fontId="24" fillId="0" borderId="53" xfId="0" applyNumberFormat="1" applyFont="1" applyBorder="1" applyAlignment="1">
      <alignment horizontal="right" vertical="top" indent="2"/>
    </xf>
    <xf numFmtId="223" fontId="5" fillId="0" borderId="47" xfId="45" applyNumberFormat="1" applyFont="1" applyBorder="1"/>
    <xf numFmtId="49" fontId="27" fillId="0" borderId="59" xfId="0" applyNumberFormat="1" applyFont="1" applyBorder="1" applyAlignment="1">
      <alignment horizontal="left" vertical="top" indent="1"/>
    </xf>
    <xf numFmtId="223" fontId="0" fillId="0" borderId="64" xfId="45" applyNumberFormat="1" applyFont="1" applyBorder="1"/>
    <xf numFmtId="223" fontId="0" fillId="0" borderId="46" xfId="45" applyNumberFormat="1" applyFont="1" applyFill="1" applyBorder="1"/>
    <xf numFmtId="223" fontId="5" fillId="2" borderId="49" xfId="45" applyNumberFormat="1" applyFont="1" applyFill="1" applyBorder="1"/>
    <xf numFmtId="223" fontId="0" fillId="0" borderId="38" xfId="45" applyNumberFormat="1" applyFont="1" applyFill="1" applyBorder="1"/>
    <xf numFmtId="223" fontId="0" fillId="0" borderId="9" xfId="45" applyNumberFormat="1" applyFont="1" applyFill="1" applyBorder="1"/>
    <xf numFmtId="49" fontId="24" fillId="0" borderId="16" xfId="0" applyNumberFormat="1" applyFont="1" applyBorder="1" applyAlignment="1">
      <alignment horizontal="right" vertical="top" indent="2"/>
    </xf>
    <xf numFmtId="0" fontId="0" fillId="0" borderId="45" xfId="0" applyFont="1" applyBorder="1"/>
    <xf numFmtId="217" fontId="0" fillId="0" borderId="3" xfId="0" applyNumberFormat="1" applyBorder="1"/>
    <xf numFmtId="231" fontId="0" fillId="0" borderId="70" xfId="45" applyFont="1" applyBorder="1"/>
    <xf numFmtId="0" fontId="0" fillId="0" borderId="42" xfId="0" applyFont="1" applyBorder="1"/>
    <xf numFmtId="231" fontId="0" fillId="0" borderId="35" xfId="45" applyFont="1" applyBorder="1"/>
    <xf numFmtId="190" fontId="0" fillId="0" borderId="14" xfId="0" applyNumberFormat="1" applyBorder="1"/>
    <xf numFmtId="0" fontId="0" fillId="0" borderId="43" xfId="0" applyFont="1" applyBorder="1"/>
    <xf numFmtId="190" fontId="0" fillId="0" borderId="15" xfId="0" applyNumberFormat="1" applyBorder="1"/>
    <xf numFmtId="231" fontId="0" fillId="0" borderId="36" xfId="45" applyFont="1" applyBorder="1"/>
    <xf numFmtId="0" fontId="5" fillId="0" borderId="40" xfId="0" applyFont="1" applyBorder="1" applyAlignment="1">
      <alignment horizontal="right"/>
    </xf>
    <xf numFmtId="231" fontId="0" fillId="0" borderId="21" xfId="45" applyFont="1" applyBorder="1"/>
    <xf numFmtId="0" fontId="5" fillId="6" borderId="40" xfId="0" applyFont="1" applyFill="1" applyBorder="1" applyAlignment="1">
      <alignment horizontal="right"/>
    </xf>
    <xf numFmtId="217" fontId="0" fillId="6" borderId="16" xfId="0" applyNumberFormat="1" applyFill="1" applyBorder="1"/>
    <xf numFmtId="231" fontId="0" fillId="6" borderId="21" xfId="45" applyFont="1" applyFill="1" applyBorder="1"/>
    <xf numFmtId="2" fontId="0" fillId="6" borderId="19" xfId="0" applyNumberFormat="1" applyFill="1" applyBorder="1"/>
    <xf numFmtId="217" fontId="0" fillId="0" borderId="16" xfId="0" applyNumberFormat="1" applyFont="1" applyBorder="1" applyAlignment="1">
      <alignment horizontal="center"/>
    </xf>
    <xf numFmtId="217" fontId="0" fillId="0" borderId="20" xfId="0" applyNumberFormat="1" applyFont="1" applyBorder="1" applyAlignment="1">
      <alignment horizontal="center"/>
    </xf>
    <xf numFmtId="217" fontId="0" fillId="0" borderId="31" xfId="0" applyNumberFormat="1" applyFont="1" applyBorder="1" applyAlignment="1">
      <alignment horizontal="center"/>
    </xf>
    <xf numFmtId="197" fontId="0" fillId="0" borderId="10" xfId="45" applyNumberFormat="1" applyFont="1" applyBorder="1"/>
    <xf numFmtId="231" fontId="0" fillId="0" borderId="55" xfId="45" applyFont="1" applyBorder="1"/>
    <xf numFmtId="197" fontId="0" fillId="0" borderId="14" xfId="45" applyNumberFormat="1" applyFont="1" applyBorder="1"/>
    <xf numFmtId="231" fontId="0" fillId="0" borderId="22" xfId="45" applyFont="1" applyBorder="1"/>
    <xf numFmtId="231" fontId="0" fillId="0" borderId="12" xfId="45" applyFont="1" applyBorder="1"/>
    <xf numFmtId="0" fontId="0" fillId="0" borderId="6" xfId="0" applyFont="1" applyBorder="1"/>
    <xf numFmtId="197" fontId="0" fillId="0" borderId="6" xfId="45" applyNumberFormat="1" applyFont="1" applyBorder="1"/>
    <xf numFmtId="231" fontId="0" fillId="0" borderId="8" xfId="45" applyFont="1" applyBorder="1"/>
    <xf numFmtId="0" fontId="5" fillId="6" borderId="3" xfId="0" applyFont="1" applyFill="1" applyBorder="1"/>
    <xf numFmtId="197" fontId="5" fillId="6" borderId="3" xfId="45" applyNumberFormat="1" applyFont="1" applyFill="1" applyBorder="1"/>
    <xf numFmtId="231" fontId="5" fillId="6" borderId="55" xfId="45" applyFont="1" applyFill="1" applyBorder="1"/>
    <xf numFmtId="0" fontId="0" fillId="6" borderId="10" xfId="0" applyFont="1" applyFill="1" applyBorder="1"/>
    <xf numFmtId="197" fontId="5" fillId="6" borderId="10" xfId="45" applyNumberFormat="1" applyFont="1" applyFill="1" applyBorder="1"/>
    <xf numFmtId="231" fontId="5" fillId="6" borderId="12" xfId="45" applyFont="1" applyFill="1" applyBorder="1"/>
    <xf numFmtId="231" fontId="0" fillId="6" borderId="12" xfId="45" applyFont="1" applyFill="1" applyBorder="1"/>
    <xf numFmtId="197" fontId="0" fillId="6" borderId="10" xfId="45" applyNumberFormat="1" applyFont="1" applyFill="1" applyBorder="1"/>
    <xf numFmtId="0" fontId="0" fillId="6" borderId="16" xfId="0" applyFont="1" applyFill="1" applyBorder="1"/>
    <xf numFmtId="197" fontId="0" fillId="6" borderId="16" xfId="45" applyNumberFormat="1" applyFont="1" applyFill="1" applyBorder="1"/>
    <xf numFmtId="231" fontId="0" fillId="6" borderId="18" xfId="45" applyFont="1" applyFill="1" applyBorder="1"/>
    <xf numFmtId="0" fontId="0" fillId="6" borderId="45" xfId="0" applyFont="1" applyFill="1" applyBorder="1" applyAlignment="1">
      <alignment vertical="top"/>
    </xf>
    <xf numFmtId="233" fontId="0" fillId="6" borderId="3" xfId="45" applyNumberFormat="1" applyFont="1" applyFill="1" applyBorder="1"/>
    <xf numFmtId="219" fontId="0" fillId="6" borderId="55" xfId="45" applyNumberFormat="1" applyFont="1" applyFill="1" applyBorder="1"/>
    <xf numFmtId="231" fontId="0" fillId="6" borderId="55" xfId="45" applyFont="1" applyFill="1" applyBorder="1"/>
    <xf numFmtId="0" fontId="0" fillId="6" borderId="46" xfId="0" applyFont="1" applyFill="1" applyBorder="1" applyAlignment="1">
      <alignment vertical="top"/>
    </xf>
    <xf numFmtId="231" fontId="0" fillId="6" borderId="6" xfId="45" applyFont="1" applyFill="1" applyBorder="1"/>
    <xf numFmtId="231" fontId="0" fillId="6" borderId="8" xfId="45" applyFont="1" applyFill="1" applyBorder="1"/>
    <xf numFmtId="0" fontId="0" fillId="6" borderId="53" xfId="0" applyFont="1" applyFill="1" applyBorder="1" applyAlignment="1">
      <alignment vertical="top"/>
    </xf>
    <xf numFmtId="233" fontId="0" fillId="6" borderId="88" xfId="45" applyNumberFormat="1" applyFont="1" applyFill="1" applyBorder="1"/>
    <xf numFmtId="219" fontId="0" fillId="6" borderId="68" xfId="45" applyNumberFormat="1" applyFont="1" applyFill="1" applyBorder="1"/>
    <xf numFmtId="231" fontId="0" fillId="6" borderId="64" xfId="45" applyFont="1" applyFill="1" applyBorder="1"/>
    <xf numFmtId="197" fontId="5" fillId="0" borderId="16" xfId="45" applyNumberFormat="1" applyFont="1" applyBorder="1"/>
    <xf numFmtId="197" fontId="0" fillId="0" borderId="0" xfId="45" applyNumberFormat="1" applyFont="1" applyBorder="1"/>
    <xf numFmtId="231" fontId="0" fillId="0" borderId="0" xfId="45" applyFont="1" applyBorder="1"/>
    <xf numFmtId="197" fontId="0" fillId="0" borderId="0" xfId="45" applyNumberFormat="1" applyFont="1"/>
    <xf numFmtId="0" fontId="0" fillId="0" borderId="3" xfId="0" applyBorder="1"/>
    <xf numFmtId="217" fontId="0" fillId="0" borderId="55" xfId="0" applyNumberFormat="1" applyBorder="1"/>
    <xf numFmtId="217" fontId="0" fillId="0" borderId="18" xfId="0" applyNumberFormat="1" applyBorder="1"/>
    <xf numFmtId="231" fontId="5" fillId="0" borderId="21" xfId="45" applyFont="1" applyBorder="1"/>
    <xf numFmtId="0" fontId="0" fillId="6" borderId="3" xfId="0" applyFill="1" applyBorder="1"/>
    <xf numFmtId="217" fontId="0" fillId="6" borderId="55" xfId="0" applyNumberFormat="1" applyFill="1" applyBorder="1"/>
    <xf numFmtId="231" fontId="0" fillId="6" borderId="70" xfId="45" applyFont="1" applyFill="1" applyBorder="1"/>
    <xf numFmtId="2" fontId="0" fillId="6" borderId="49" xfId="0" applyNumberFormat="1" applyFill="1" applyBorder="1"/>
    <xf numFmtId="0" fontId="0" fillId="6" borderId="6" xfId="0" applyFill="1" applyBorder="1"/>
    <xf numFmtId="217" fontId="0" fillId="6" borderId="8" xfId="0" applyNumberFormat="1" applyFill="1" applyBorder="1"/>
    <xf numFmtId="231" fontId="0" fillId="6" borderId="25" xfId="45" applyFont="1" applyFill="1" applyBorder="1"/>
    <xf numFmtId="2" fontId="0" fillId="6" borderId="9" xfId="0" applyNumberFormat="1" applyFill="1" applyBorder="1"/>
    <xf numFmtId="0" fontId="5" fillId="0" borderId="53" xfId="0" applyFont="1" applyBorder="1"/>
    <xf numFmtId="217" fontId="0" fillId="0" borderId="67" xfId="0" applyNumberFormat="1" applyBorder="1"/>
    <xf numFmtId="231" fontId="5" fillId="0" borderId="68" xfId="45" applyFont="1" applyBorder="1"/>
    <xf numFmtId="2" fontId="5" fillId="0" borderId="69" xfId="0" applyNumberFormat="1" applyFont="1" applyBorder="1"/>
    <xf numFmtId="217" fontId="0" fillId="0" borderId="48" xfId="0" applyNumberFormat="1" applyBorder="1"/>
    <xf numFmtId="2" fontId="0" fillId="0" borderId="77" xfId="0" applyNumberFormat="1" applyBorder="1"/>
    <xf numFmtId="231" fontId="5" fillId="0" borderId="21" xfId="0" applyNumberFormat="1" applyFont="1" applyBorder="1"/>
    <xf numFmtId="0" fontId="5" fillId="0" borderId="48" xfId="0" applyFont="1" applyBorder="1"/>
    <xf numFmtId="217" fontId="5" fillId="0" borderId="55" xfId="0" applyNumberFormat="1" applyFont="1" applyBorder="1"/>
    <xf numFmtId="231" fontId="5" fillId="0" borderId="55" xfId="45" applyFont="1" applyBorder="1"/>
    <xf numFmtId="219" fontId="5" fillId="0" borderId="55" xfId="0" applyNumberFormat="1" applyFont="1" applyBorder="1"/>
    <xf numFmtId="0" fontId="5" fillId="0" borderId="11" xfId="0" applyFont="1" applyBorder="1"/>
    <xf numFmtId="217" fontId="5" fillId="0" borderId="12" xfId="0" applyNumberFormat="1" applyFont="1" applyBorder="1"/>
    <xf numFmtId="231" fontId="5" fillId="0" borderId="12" xfId="45" applyFont="1" applyBorder="1"/>
    <xf numFmtId="219" fontId="5" fillId="0" borderId="12" xfId="0" applyNumberFormat="1" applyFont="1" applyBorder="1"/>
    <xf numFmtId="0" fontId="0" fillId="0" borderId="28" xfId="0" applyFont="1" applyBorder="1" applyAlignment="1">
      <alignment horizontal="right"/>
    </xf>
    <xf numFmtId="231" fontId="0" fillId="0" borderId="22" xfId="0" applyNumberFormat="1" applyBorder="1"/>
    <xf numFmtId="0" fontId="0" fillId="0" borderId="7" xfId="0" applyFont="1" applyBorder="1" applyAlignment="1">
      <alignment horizontal="right"/>
    </xf>
    <xf numFmtId="217" fontId="0" fillId="0" borderId="8" xfId="0" applyNumberFormat="1" applyBorder="1"/>
    <xf numFmtId="217" fontId="0" fillId="0" borderId="1" xfId="0" applyNumberFormat="1" applyBorder="1"/>
    <xf numFmtId="0" fontId="0" fillId="0" borderId="48" xfId="0" applyFont="1" applyBorder="1"/>
    <xf numFmtId="0" fontId="0" fillId="0" borderId="7" xfId="0" applyFont="1" applyBorder="1"/>
    <xf numFmtId="183" fontId="5" fillId="0" borderId="0" xfId="48" applyNumberFormat="1" applyFont="1"/>
    <xf numFmtId="231" fontId="0" fillId="6" borderId="20" xfId="45" applyFont="1" applyFill="1" applyBorder="1"/>
    <xf numFmtId="0" fontId="0" fillId="0" borderId="21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97" fontId="0" fillId="0" borderId="11" xfId="45" applyNumberFormat="1" applyFont="1" applyBorder="1"/>
    <xf numFmtId="231" fontId="0" fillId="0" borderId="34" xfId="0" applyNumberFormat="1" applyBorder="1"/>
    <xf numFmtId="231" fontId="0" fillId="0" borderId="49" xfId="45" applyFont="1" applyBorder="1"/>
    <xf numFmtId="197" fontId="0" fillId="0" borderId="28" xfId="45" applyNumberFormat="1" applyFont="1" applyBorder="1"/>
    <xf numFmtId="231" fontId="0" fillId="0" borderId="13" xfId="45" applyFont="1" applyBorder="1"/>
    <xf numFmtId="197" fontId="0" fillId="0" borderId="7" xfId="45" applyNumberFormat="1" applyFont="1" applyBorder="1"/>
    <xf numFmtId="231" fontId="0" fillId="0" borderId="25" xfId="45" applyFont="1" applyBorder="1"/>
    <xf numFmtId="231" fontId="0" fillId="0" borderId="9" xfId="45" applyFont="1" applyBorder="1"/>
    <xf numFmtId="231" fontId="5" fillId="6" borderId="3" xfId="45" applyFont="1" applyFill="1" applyBorder="1"/>
    <xf numFmtId="231" fontId="5" fillId="6" borderId="49" xfId="45" applyFont="1" applyFill="1" applyBorder="1"/>
    <xf numFmtId="231" fontId="0" fillId="0" borderId="38" xfId="45" applyFont="1" applyBorder="1"/>
    <xf numFmtId="231" fontId="0" fillId="6" borderId="13" xfId="45" applyFont="1" applyFill="1" applyBorder="1"/>
    <xf numFmtId="197" fontId="0" fillId="6" borderId="17" xfId="45" applyNumberFormat="1" applyFont="1" applyFill="1" applyBorder="1"/>
    <xf numFmtId="231" fontId="0" fillId="6" borderId="19" xfId="45" applyFont="1" applyFill="1" applyBorder="1"/>
    <xf numFmtId="231" fontId="0" fillId="6" borderId="49" xfId="45" applyFont="1" applyFill="1" applyBorder="1"/>
    <xf numFmtId="219" fontId="0" fillId="6" borderId="8" xfId="45" applyNumberFormat="1" applyFont="1" applyFill="1" applyBorder="1"/>
    <xf numFmtId="231" fontId="0" fillId="6" borderId="9" xfId="45" applyFont="1" applyFill="1" applyBorder="1"/>
    <xf numFmtId="231" fontId="0" fillId="6" borderId="68" xfId="45" applyFont="1" applyFill="1" applyBorder="1"/>
    <xf numFmtId="231" fontId="0" fillId="6" borderId="73" xfId="45" applyFont="1" applyFill="1" applyBorder="1"/>
    <xf numFmtId="197" fontId="0" fillId="0" borderId="0" xfId="0" applyNumberFormat="1"/>
    <xf numFmtId="0" fontId="0" fillId="0" borderId="48" xfId="0" applyBorder="1"/>
    <xf numFmtId="0" fontId="0" fillId="0" borderId="90" xfId="0" applyBorder="1"/>
    <xf numFmtId="0" fontId="0" fillId="0" borderId="27" xfId="0" applyBorder="1"/>
    <xf numFmtId="0" fontId="0" fillId="0" borderId="29" xfId="0" applyBorder="1"/>
    <xf numFmtId="0" fontId="5" fillId="0" borderId="31" xfId="0" applyFont="1" applyBorder="1"/>
    <xf numFmtId="0" fontId="0" fillId="6" borderId="11" xfId="0" applyFill="1" applyBorder="1"/>
    <xf numFmtId="231" fontId="0" fillId="6" borderId="34" xfId="45" applyFont="1" applyFill="1" applyBorder="1"/>
    <xf numFmtId="0" fontId="0" fillId="6" borderId="26" xfId="0" applyFill="1" applyBorder="1"/>
    <xf numFmtId="0" fontId="0" fillId="6" borderId="30" xfId="0" applyFill="1" applyBorder="1"/>
    <xf numFmtId="231" fontId="0" fillId="6" borderId="36" xfId="45" applyFont="1" applyFill="1" applyBorder="1"/>
    <xf numFmtId="0" fontId="0" fillId="6" borderId="29" xfId="0" applyFill="1" applyBorder="1"/>
    <xf numFmtId="0" fontId="0" fillId="0" borderId="55" xfId="0" applyBorder="1"/>
    <xf numFmtId="217" fontId="0" fillId="6" borderId="20" xfId="0" applyNumberFormat="1" applyFill="1" applyBorder="1"/>
    <xf numFmtId="203" fontId="0" fillId="6" borderId="6" xfId="45" applyNumberFormat="1" applyFont="1" applyFill="1" applyBorder="1"/>
    <xf numFmtId="231" fontId="0" fillId="0" borderId="48" xfId="45" applyFont="1" applyBorder="1"/>
    <xf numFmtId="231" fontId="0" fillId="0" borderId="28" xfId="45" applyFont="1" applyBorder="1"/>
    <xf numFmtId="231" fontId="0" fillId="0" borderId="30" xfId="45" applyFont="1" applyBorder="1"/>
    <xf numFmtId="231" fontId="0" fillId="0" borderId="50" xfId="45" applyFont="1" applyBorder="1"/>
    <xf numFmtId="231" fontId="5" fillId="0" borderId="19" xfId="45" applyFont="1" applyBorder="1"/>
    <xf numFmtId="231" fontId="5" fillId="0" borderId="17" xfId="45" applyFont="1" applyBorder="1"/>
    <xf numFmtId="231" fontId="0" fillId="6" borderId="11" xfId="45" applyFont="1" applyFill="1" applyBorder="1"/>
    <xf numFmtId="231" fontId="0" fillId="6" borderId="30" xfId="45" applyFont="1" applyFill="1" applyBorder="1"/>
    <xf numFmtId="231" fontId="0" fillId="6" borderId="50" xfId="45" applyFont="1" applyFill="1" applyBorder="1"/>
    <xf numFmtId="231" fontId="0" fillId="0" borderId="90" xfId="45" applyFont="1" applyBorder="1"/>
    <xf numFmtId="231" fontId="0" fillId="0" borderId="27" xfId="45" applyFont="1" applyBorder="1"/>
    <xf numFmtId="231" fontId="0" fillId="0" borderId="29" xfId="45" applyFont="1" applyBorder="1"/>
    <xf numFmtId="231" fontId="5" fillId="0" borderId="19" xfId="0" applyNumberFormat="1" applyFont="1" applyBorder="1"/>
    <xf numFmtId="228" fontId="0" fillId="0" borderId="1" xfId="45" applyNumberFormat="1" applyFont="1" applyBorder="1"/>
    <xf numFmtId="228" fontId="0" fillId="0" borderId="0" xfId="45" applyNumberFormat="1" applyFont="1"/>
    <xf numFmtId="191" fontId="37" fillId="0" borderId="22" xfId="0" applyNumberFormat="1" applyFont="1" applyBorder="1"/>
    <xf numFmtId="191" fontId="37" fillId="0" borderId="23" xfId="0" applyNumberFormat="1" applyFont="1" applyBorder="1"/>
    <xf numFmtId="191" fontId="37" fillId="0" borderId="18" xfId="0" applyNumberFormat="1" applyFont="1" applyBorder="1"/>
    <xf numFmtId="217" fontId="0" fillId="0" borderId="21" xfId="0" applyNumberFormat="1" applyBorder="1"/>
    <xf numFmtId="231" fontId="0" fillId="0" borderId="18" xfId="45" applyFont="1" applyBorder="1"/>
    <xf numFmtId="191" fontId="37" fillId="0" borderId="21" xfId="0" applyNumberFormat="1" applyFont="1" applyBorder="1"/>
    <xf numFmtId="2" fontId="0" fillId="6" borderId="21" xfId="0" applyNumberFormat="1" applyFill="1" applyBorder="1"/>
    <xf numFmtId="197" fontId="5" fillId="6" borderId="11" xfId="45" applyNumberFormat="1" applyFont="1" applyFill="1" applyBorder="1"/>
    <xf numFmtId="233" fontId="0" fillId="0" borderId="0" xfId="0" applyNumberFormat="1"/>
    <xf numFmtId="231" fontId="0" fillId="0" borderId="3" xfId="45" applyFont="1" applyBorder="1"/>
    <xf numFmtId="231" fontId="0" fillId="0" borderId="77" xfId="45" applyFont="1" applyBorder="1"/>
    <xf numFmtId="231" fontId="0" fillId="0" borderId="14" xfId="45" applyFont="1" applyBorder="1"/>
    <xf numFmtId="2" fontId="0" fillId="0" borderId="97" xfId="0" applyNumberFormat="1" applyBorder="1"/>
    <xf numFmtId="231" fontId="0" fillId="0" borderId="15" xfId="45" applyFont="1" applyBorder="1"/>
    <xf numFmtId="231" fontId="5" fillId="0" borderId="16" xfId="45" applyFont="1" applyBorder="1"/>
    <xf numFmtId="231" fontId="0" fillId="6" borderId="10" xfId="45" applyFont="1" applyFill="1" applyBorder="1"/>
    <xf numFmtId="231" fontId="0" fillId="6" borderId="15" xfId="45" applyFont="1" applyFill="1" applyBorder="1"/>
    <xf numFmtId="231" fontId="5" fillId="0" borderId="33" xfId="45" applyFont="1" applyBorder="1"/>
    <xf numFmtId="231" fontId="5" fillId="0" borderId="16" xfId="0" applyNumberFormat="1" applyFont="1" applyBorder="1"/>
    <xf numFmtId="0" fontId="5" fillId="0" borderId="12" xfId="0" applyFont="1" applyBorder="1"/>
    <xf numFmtId="231" fontId="0" fillId="0" borderId="55" xfId="45" applyFont="1" applyFill="1" applyBorder="1"/>
    <xf numFmtId="217" fontId="0" fillId="0" borderId="90" xfId="0" applyNumberFormat="1" applyBorder="1"/>
    <xf numFmtId="190" fontId="0" fillId="0" borderId="27" xfId="0" applyNumberFormat="1" applyBorder="1"/>
    <xf numFmtId="231" fontId="0" fillId="0" borderId="23" xfId="45" applyFont="1" applyBorder="1"/>
    <xf numFmtId="231" fontId="0" fillId="0" borderId="18" xfId="0" applyNumberFormat="1" applyBorder="1"/>
    <xf numFmtId="231" fontId="0" fillId="6" borderId="18" xfId="0" applyNumberFormat="1" applyFill="1" applyBorder="1"/>
    <xf numFmtId="231" fontId="5" fillId="6" borderId="34" xfId="45" applyFont="1" applyFill="1" applyBorder="1"/>
    <xf numFmtId="233" fontId="0" fillId="6" borderId="48" xfId="45" applyNumberFormat="1" applyFont="1" applyFill="1" applyBorder="1"/>
    <xf numFmtId="233" fontId="0" fillId="6" borderId="7" xfId="45" applyNumberFormat="1" applyFont="1" applyFill="1" applyBorder="1"/>
    <xf numFmtId="217" fontId="0" fillId="0" borderId="4" xfId="0" applyNumberFormat="1" applyBorder="1"/>
    <xf numFmtId="217" fontId="0" fillId="0" borderId="51" xfId="0" applyNumberFormat="1" applyBorder="1"/>
    <xf numFmtId="190" fontId="0" fillId="0" borderId="51" xfId="0" applyNumberFormat="1" applyBorder="1"/>
    <xf numFmtId="231" fontId="0" fillId="0" borderId="68" xfId="45" applyFont="1" applyBorder="1"/>
    <xf numFmtId="231" fontId="0" fillId="0" borderId="35" xfId="0" applyNumberFormat="1" applyBorder="1"/>
    <xf numFmtId="190" fontId="0" fillId="0" borderId="52" xfId="0" applyNumberFormat="1" applyBorder="1"/>
    <xf numFmtId="0" fontId="0" fillId="6" borderId="19" xfId="0" applyFill="1" applyBorder="1"/>
    <xf numFmtId="233" fontId="0" fillId="6" borderId="37" xfId="45" applyNumberFormat="1" applyFont="1" applyFill="1" applyBorder="1"/>
    <xf numFmtId="231" fontId="0" fillId="6" borderId="39" xfId="45" applyFont="1" applyFill="1" applyBorder="1"/>
    <xf numFmtId="231" fontId="0" fillId="0" borderId="19" xfId="45" applyFont="1" applyBorder="1"/>
    <xf numFmtId="231" fontId="0" fillId="0" borderId="76" xfId="45" applyFont="1" applyBorder="1"/>
    <xf numFmtId="231" fontId="0" fillId="0" borderId="34" xfId="45" applyFont="1" applyBorder="1"/>
    <xf numFmtId="231" fontId="0" fillId="2" borderId="35" xfId="0" applyNumberFormat="1" applyFill="1" applyBorder="1"/>
    <xf numFmtId="231" fontId="0" fillId="2" borderId="35" xfId="45" applyFont="1" applyFill="1" applyBorder="1"/>
    <xf numFmtId="191" fontId="0" fillId="0" borderId="21" xfId="0" applyNumberFormat="1" applyBorder="1"/>
    <xf numFmtId="191" fontId="0" fillId="0" borderId="18" xfId="0" applyNumberFormat="1" applyBorder="1"/>
    <xf numFmtId="191" fontId="0" fillId="6" borderId="21" xfId="0" applyNumberFormat="1" applyFill="1" applyBorder="1"/>
    <xf numFmtId="191" fontId="0" fillId="6" borderId="18" xfId="0" applyNumberFormat="1" applyFill="1" applyBorder="1"/>
    <xf numFmtId="197" fontId="0" fillId="0" borderId="11" xfId="45" applyNumberFormat="1" applyFont="1" applyFill="1" applyBorder="1"/>
    <xf numFmtId="197" fontId="0" fillId="0" borderId="28" xfId="45" applyNumberFormat="1" applyFont="1" applyFill="1" applyBorder="1"/>
    <xf numFmtId="231" fontId="0" fillId="0" borderId="35" xfId="45" applyFont="1" applyFill="1" applyBorder="1"/>
    <xf numFmtId="197" fontId="0" fillId="0" borderId="7" xfId="45" applyNumberFormat="1" applyFont="1" applyFill="1" applyBorder="1"/>
    <xf numFmtId="231" fontId="0" fillId="0" borderId="25" xfId="45" applyFont="1" applyFill="1" applyBorder="1"/>
    <xf numFmtId="231" fontId="0" fillId="0" borderId="65" xfId="45" applyFont="1" applyBorder="1"/>
    <xf numFmtId="231" fontId="0" fillId="0" borderId="22" xfId="45" applyFont="1" applyFill="1" applyBorder="1"/>
    <xf numFmtId="231" fontId="0" fillId="0" borderId="23" xfId="45" applyFont="1" applyFill="1" applyBorder="1"/>
    <xf numFmtId="191" fontId="37" fillId="0" borderId="33" xfId="0" applyNumberFormat="1" applyFont="1" applyBorder="1"/>
    <xf numFmtId="0" fontId="0" fillId="6" borderId="33" xfId="0" applyFill="1" applyBorder="1"/>
    <xf numFmtId="197" fontId="0" fillId="0" borderId="12" xfId="45" applyNumberFormat="1" applyFont="1" applyBorder="1"/>
    <xf numFmtId="185" fontId="0" fillId="0" borderId="34" xfId="0" applyNumberFormat="1" applyBorder="1"/>
    <xf numFmtId="197" fontId="0" fillId="0" borderId="22" xfId="45" applyNumberFormat="1" applyFont="1" applyBorder="1"/>
    <xf numFmtId="197" fontId="0" fillId="0" borderId="8" xfId="45" applyNumberFormat="1" applyFont="1" applyBorder="1"/>
    <xf numFmtId="233" fontId="0" fillId="6" borderId="53" xfId="45" applyNumberFormat="1" applyFont="1" applyFill="1" applyBorder="1"/>
    <xf numFmtId="219" fontId="0" fillId="6" borderId="67" xfId="45" applyNumberFormat="1" applyFont="1" applyFill="1" applyBorder="1"/>
    <xf numFmtId="219" fontId="0" fillId="6" borderId="39" xfId="45" applyNumberFormat="1" applyFont="1" applyFill="1" applyBorder="1"/>
    <xf numFmtId="0" fontId="0" fillId="0" borderId="70" xfId="0" applyBorder="1"/>
    <xf numFmtId="231" fontId="0" fillId="0" borderId="49" xfId="45" applyFont="1" applyFill="1" applyBorder="1"/>
    <xf numFmtId="231" fontId="0" fillId="0" borderId="38" xfId="45" applyFont="1" applyFill="1" applyBorder="1"/>
    <xf numFmtId="0" fontId="0" fillId="0" borderId="36" xfId="0" applyBorder="1"/>
    <xf numFmtId="231" fontId="0" fillId="0" borderId="50" xfId="45" applyFont="1" applyFill="1" applyBorder="1"/>
    <xf numFmtId="0" fontId="0" fillId="6" borderId="34" xfId="0" applyFill="1" applyBorder="1"/>
    <xf numFmtId="0" fontId="0" fillId="6" borderId="36" xfId="0" applyFill="1" applyBorder="1"/>
    <xf numFmtId="231" fontId="0" fillId="0" borderId="0" xfId="45" applyFont="1" applyFill="1"/>
    <xf numFmtId="231" fontId="5" fillId="0" borderId="55" xfId="0" applyNumberFormat="1" applyFont="1" applyBorder="1"/>
    <xf numFmtId="0" fontId="5" fillId="0" borderId="49" xfId="0" applyFont="1" applyBorder="1"/>
    <xf numFmtId="231" fontId="5" fillId="0" borderId="12" xfId="0" applyNumberFormat="1" applyFont="1" applyBorder="1"/>
    <xf numFmtId="0" fontId="5" fillId="0" borderId="13" xfId="0" applyFont="1" applyBorder="1"/>
    <xf numFmtId="231" fontId="5" fillId="0" borderId="22" xfId="0" applyNumberFormat="1" applyFont="1" applyBorder="1"/>
    <xf numFmtId="231" fontId="5" fillId="0" borderId="8" xfId="45" applyFont="1" applyBorder="1"/>
    <xf numFmtId="0" fontId="0" fillId="0" borderId="49" xfId="0" applyBorder="1"/>
    <xf numFmtId="202" fontId="5" fillId="0" borderId="0" xfId="48" applyNumberFormat="1" applyFont="1" applyAlignment="1">
      <alignment horizontal="center"/>
    </xf>
    <xf numFmtId="183" fontId="0" fillId="0" borderId="1" xfId="0" applyNumberFormat="1" applyBorder="1"/>
    <xf numFmtId="228" fontId="5" fillId="0" borderId="0" xfId="45" applyNumberFormat="1" applyFont="1" applyFill="1"/>
    <xf numFmtId="217" fontId="0" fillId="0" borderId="1" xfId="0" applyNumberFormat="1" applyFont="1" applyBorder="1"/>
    <xf numFmtId="228" fontId="0" fillId="0" borderId="1" xfId="0" applyNumberFormat="1" applyFont="1" applyBorder="1"/>
    <xf numFmtId="183" fontId="0" fillId="0" borderId="0" xfId="0" applyNumberFormat="1"/>
    <xf numFmtId="228" fontId="5" fillId="0" borderId="0" xfId="45" applyNumberFormat="1" applyFont="1"/>
    <xf numFmtId="0" fontId="11" fillId="0" borderId="46" xfId="0" applyFont="1" applyBorder="1"/>
    <xf numFmtId="0" fontId="11" fillId="0" borderId="41" xfId="0" applyFont="1" applyBorder="1"/>
    <xf numFmtId="217" fontId="11" fillId="0" borderId="10" xfId="0" applyNumberFormat="1" applyFont="1" applyBorder="1"/>
    <xf numFmtId="2" fontId="11" fillId="0" borderId="55" xfId="0" applyNumberFormat="1" applyFont="1" applyBorder="1"/>
    <xf numFmtId="217" fontId="11" fillId="0" borderId="30" xfId="0" applyNumberFormat="1" applyFont="1" applyBorder="1"/>
    <xf numFmtId="217" fontId="11" fillId="0" borderId="28" xfId="0" applyNumberFormat="1" applyFont="1" applyBorder="1"/>
    <xf numFmtId="217" fontId="11" fillId="0" borderId="7" xfId="0" applyNumberFormat="1" applyFont="1" applyBorder="1"/>
    <xf numFmtId="217" fontId="11" fillId="0" borderId="6" xfId="0" applyNumberFormat="1" applyFont="1" applyBorder="1"/>
    <xf numFmtId="217" fontId="11" fillId="0" borderId="14" xfId="48" applyNumberFormat="1" applyFont="1" applyBorder="1"/>
    <xf numFmtId="0" fontId="11" fillId="0" borderId="99" xfId="0" applyFont="1" applyBorder="1"/>
    <xf numFmtId="217" fontId="11" fillId="0" borderId="59" xfId="48" applyNumberFormat="1" applyFont="1" applyBorder="1"/>
    <xf numFmtId="0" fontId="11" fillId="0" borderId="219" xfId="0" applyFont="1" applyBorder="1"/>
    <xf numFmtId="217" fontId="11" fillId="0" borderId="10" xfId="48" applyNumberFormat="1" applyFont="1" applyBorder="1"/>
    <xf numFmtId="215" fontId="11" fillId="0" borderId="12" xfId="0" applyNumberFormat="1" applyFont="1" applyBorder="1"/>
    <xf numFmtId="217" fontId="11" fillId="0" borderId="59" xfId="0" applyNumberFormat="1" applyFont="1" applyBorder="1"/>
    <xf numFmtId="0" fontId="11" fillId="0" borderId="40" xfId="0" applyFont="1" applyBorder="1"/>
    <xf numFmtId="217" fontId="11" fillId="0" borderId="16" xfId="0" applyNumberFormat="1" applyFont="1" applyBorder="1"/>
    <xf numFmtId="2" fontId="11" fillId="0" borderId="18" xfId="0" applyNumberFormat="1" applyFont="1" applyBorder="1"/>
    <xf numFmtId="0" fontId="11" fillId="0" borderId="47" xfId="0" applyFont="1" applyBorder="1"/>
    <xf numFmtId="217" fontId="11" fillId="0" borderId="88" xfId="0" applyNumberFormat="1" applyFont="1" applyBorder="1"/>
    <xf numFmtId="217" fontId="11" fillId="0" borderId="17" xfId="0" applyNumberFormat="1" applyFont="1" applyBorder="1"/>
    <xf numFmtId="0" fontId="34" fillId="0" borderId="17" xfId="0" applyFont="1" applyBorder="1" applyAlignment="1">
      <alignment horizontal="right"/>
    </xf>
    <xf numFmtId="202" fontId="34" fillId="0" borderId="18" xfId="48" applyNumberFormat="1" applyFont="1" applyBorder="1" applyAlignment="1">
      <alignment horizontal="right"/>
    </xf>
    <xf numFmtId="215" fontId="34" fillId="0" borderId="18" xfId="0" applyNumberFormat="1" applyFont="1" applyBorder="1" applyAlignment="1">
      <alignment horizontal="right"/>
    </xf>
    <xf numFmtId="231" fontId="11" fillId="0" borderId="55" xfId="45" applyFont="1" applyBorder="1"/>
    <xf numFmtId="231" fontId="11" fillId="0" borderId="8" xfId="45" applyFont="1" applyBorder="1"/>
    <xf numFmtId="0" fontId="11" fillId="0" borderId="0" xfId="0" applyFont="1" applyAlignment="1">
      <alignment horizontal="left" vertical="center" wrapText="1"/>
    </xf>
    <xf numFmtId="0" fontId="34" fillId="0" borderId="0" xfId="0" applyFont="1"/>
    <xf numFmtId="215" fontId="34" fillId="0" borderId="0" xfId="0" applyNumberFormat="1" applyFont="1"/>
    <xf numFmtId="215" fontId="11" fillId="0" borderId="1" xfId="0" applyNumberFormat="1" applyFont="1" applyBorder="1"/>
    <xf numFmtId="215" fontId="11" fillId="0" borderId="49" xfId="0" applyNumberFormat="1" applyFont="1" applyBorder="1"/>
    <xf numFmtId="215" fontId="11" fillId="0" borderId="73" xfId="0" applyNumberFormat="1" applyFont="1" applyBorder="1"/>
    <xf numFmtId="215" fontId="11" fillId="0" borderId="72" xfId="0" applyNumberFormat="1" applyFont="1" applyBorder="1"/>
    <xf numFmtId="215" fontId="11" fillId="0" borderId="220" xfId="0" applyNumberFormat="1" applyFont="1" applyBorder="1"/>
    <xf numFmtId="215" fontId="11" fillId="0" borderId="13" xfId="0" applyNumberFormat="1" applyFont="1" applyBorder="1"/>
    <xf numFmtId="215" fontId="11" fillId="0" borderId="69" xfId="0" applyNumberFormat="1" applyFont="1" applyBorder="1"/>
    <xf numFmtId="229" fontId="11" fillId="0" borderId="21" xfId="0" applyNumberFormat="1" applyFont="1" applyBorder="1"/>
    <xf numFmtId="199" fontId="34" fillId="0" borderId="18" xfId="48" applyNumberFormat="1" applyFont="1" applyBorder="1" applyAlignment="1">
      <alignment horizontal="right"/>
    </xf>
    <xf numFmtId="1" fontId="11" fillId="0" borderId="90" xfId="0" applyNumberFormat="1" applyFont="1" applyBorder="1"/>
    <xf numFmtId="1" fontId="11" fillId="0" borderId="70" xfId="0" applyNumberFormat="1" applyFont="1" applyBorder="1"/>
    <xf numFmtId="1" fontId="11" fillId="0" borderId="24" xfId="0" applyNumberFormat="1" applyFont="1" applyBorder="1"/>
    <xf numFmtId="231" fontId="57" fillId="0" borderId="8" xfId="45" applyFont="1" applyBorder="1"/>
    <xf numFmtId="1" fontId="11" fillId="0" borderId="25" xfId="0" applyNumberFormat="1" applyFont="1" applyBorder="1"/>
    <xf numFmtId="1" fontId="34" fillId="0" borderId="0" xfId="0" applyNumberFormat="1" applyFont="1"/>
    <xf numFmtId="1" fontId="11" fillId="0" borderId="1" xfId="0" applyNumberFormat="1" applyFont="1" applyBorder="1"/>
    <xf numFmtId="217" fontId="33" fillId="0" borderId="6" xfId="0" applyNumberFormat="1" applyFont="1" applyBorder="1"/>
    <xf numFmtId="2" fontId="33" fillId="0" borderId="25" xfId="0" applyNumberFormat="1" applyFont="1" applyBorder="1"/>
    <xf numFmtId="211" fontId="11" fillId="0" borderId="10" xfId="0" applyNumberFormat="1" applyFont="1" applyBorder="1"/>
    <xf numFmtId="202" fontId="11" fillId="0" borderId="14" xfId="48" applyNumberFormat="1" applyFont="1" applyBorder="1"/>
    <xf numFmtId="211" fontId="11" fillId="0" borderId="14" xfId="48" applyNumberFormat="1" applyFont="1" applyBorder="1"/>
    <xf numFmtId="202" fontId="11" fillId="0" borderId="59" xfId="48" applyNumberFormat="1" applyFont="1" applyBorder="1"/>
    <xf numFmtId="211" fontId="11" fillId="0" borderId="56" xfId="0" applyNumberFormat="1" applyFont="1" applyBorder="1"/>
    <xf numFmtId="202" fontId="11" fillId="0" borderId="10" xfId="48" applyNumberFormat="1" applyFont="1" applyBorder="1"/>
    <xf numFmtId="215" fontId="11" fillId="0" borderId="10" xfId="48" applyNumberFormat="1" applyFont="1" applyBorder="1"/>
    <xf numFmtId="215" fontId="11" fillId="0" borderId="17" xfId="0" applyNumberFormat="1" applyFont="1" applyBorder="1"/>
    <xf numFmtId="0" fontId="34" fillId="0" borderId="18" xfId="0" applyFont="1" applyBorder="1" applyAlignment="1">
      <alignment horizontal="right"/>
    </xf>
    <xf numFmtId="1" fontId="11" fillId="0" borderId="48" xfId="0" applyNumberFormat="1" applyFont="1" applyBorder="1"/>
    <xf numFmtId="215" fontId="11" fillId="0" borderId="90" xfId="0" applyNumberFormat="1" applyFont="1" applyBorder="1"/>
    <xf numFmtId="1" fontId="11" fillId="0" borderId="7" xfId="0" applyNumberFormat="1" applyFont="1" applyBorder="1"/>
    <xf numFmtId="215" fontId="11" fillId="0" borderId="24" xfId="0" applyNumberFormat="1" applyFont="1" applyBorder="1"/>
    <xf numFmtId="215" fontId="11" fillId="0" borderId="48" xfId="0" applyNumberFormat="1" applyFont="1" applyBorder="1"/>
    <xf numFmtId="215" fontId="11" fillId="0" borderId="7" xfId="0" applyNumberFormat="1" applyFont="1" applyBorder="1"/>
    <xf numFmtId="215" fontId="11" fillId="0" borderId="0" xfId="0" applyNumberFormat="1" applyFont="1" applyAlignment="1">
      <alignment vertical="center"/>
    </xf>
    <xf numFmtId="2" fontId="11" fillId="2" borderId="55" xfId="0" applyNumberFormat="1" applyFont="1" applyFill="1" applyBorder="1"/>
    <xf numFmtId="215" fontId="11" fillId="0" borderId="221" xfId="0" applyNumberFormat="1" applyFont="1" applyBorder="1"/>
    <xf numFmtId="215" fontId="11" fillId="0" borderId="82" xfId="0" applyNumberFormat="1" applyFont="1" applyBorder="1"/>
    <xf numFmtId="215" fontId="11" fillId="0" borderId="22" xfId="48" applyNumberFormat="1" applyFont="1" applyBorder="1"/>
    <xf numFmtId="215" fontId="11" fillId="0" borderId="68" xfId="0" applyNumberFormat="1" applyFont="1" applyBorder="1"/>
    <xf numFmtId="217" fontId="11" fillId="0" borderId="64" xfId="0" applyNumberFormat="1" applyFont="1" applyBorder="1"/>
    <xf numFmtId="215" fontId="11" fillId="0" borderId="39" xfId="0" applyNumberFormat="1" applyFont="1" applyBorder="1"/>
    <xf numFmtId="217" fontId="11" fillId="0" borderId="67" xfId="0" applyNumberFormat="1" applyFont="1" applyBorder="1"/>
    <xf numFmtId="2" fontId="11" fillId="0" borderId="222" xfId="0" applyNumberFormat="1" applyFont="1" applyBorder="1"/>
    <xf numFmtId="215" fontId="11" fillId="0" borderId="26" xfId="0" applyNumberFormat="1" applyFont="1" applyBorder="1"/>
    <xf numFmtId="2" fontId="11" fillId="0" borderId="27" xfId="0" applyNumberFormat="1" applyFont="1" applyBorder="1"/>
    <xf numFmtId="2" fontId="11" fillId="0" borderId="31" xfId="0" applyNumberFormat="1" applyFont="1" applyBorder="1"/>
    <xf numFmtId="2" fontId="11" fillId="0" borderId="26" xfId="0" applyNumberFormat="1" applyFont="1" applyBorder="1"/>
    <xf numFmtId="2" fontId="11" fillId="0" borderId="91" xfId="0" applyNumberFormat="1" applyFont="1" applyBorder="1"/>
    <xf numFmtId="0" fontId="11" fillId="6" borderId="3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217" fontId="11" fillId="0" borderId="48" xfId="0" applyNumberFormat="1" applyFont="1" applyBorder="1"/>
    <xf numFmtId="217" fontId="11" fillId="0" borderId="15" xfId="0" applyNumberFormat="1" applyFont="1" applyBorder="1"/>
    <xf numFmtId="217" fontId="11" fillId="0" borderId="3" xfId="0" applyNumberFormat="1" applyFont="1" applyBorder="1"/>
    <xf numFmtId="203" fontId="11" fillId="0" borderId="3" xfId="0" applyNumberFormat="1" applyFont="1" applyBorder="1"/>
    <xf numFmtId="217" fontId="11" fillId="0" borderId="14" xfId="0" applyNumberFormat="1" applyFont="1" applyBorder="1"/>
    <xf numFmtId="211" fontId="11" fillId="0" borderId="60" xfId="0" applyNumberFormat="1" applyFont="1" applyBorder="1"/>
    <xf numFmtId="215" fontId="11" fillId="0" borderId="10" xfId="0" applyNumberFormat="1" applyFont="1" applyBorder="1"/>
    <xf numFmtId="217" fontId="11" fillId="0" borderId="16" xfId="48" applyNumberFormat="1" applyFont="1" applyBorder="1"/>
    <xf numFmtId="207" fontId="11" fillId="0" borderId="18" xfId="0" applyNumberFormat="1" applyFont="1" applyBorder="1"/>
    <xf numFmtId="2" fontId="11" fillId="0" borderId="0" xfId="0" applyNumberFormat="1" applyFont="1" applyAlignment="1">
      <alignment horizontal="right"/>
    </xf>
    <xf numFmtId="207" fontId="34" fillId="0" borderId="18" xfId="0" applyNumberFormat="1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223" fontId="11" fillId="0" borderId="0" xfId="45" applyNumberFormat="1" applyFont="1" applyAlignment="1">
      <alignment horizontal="right" vertical="center"/>
    </xf>
    <xf numFmtId="0" fontId="11" fillId="0" borderId="0" xfId="0" applyFont="1" applyAlignment="1">
      <alignment horizontal="right"/>
    </xf>
    <xf numFmtId="223" fontId="11" fillId="0" borderId="1" xfId="45" applyNumberFormat="1" applyFont="1" applyBorder="1"/>
    <xf numFmtId="223" fontId="12" fillId="0" borderId="0" xfId="45" applyNumberFormat="1" applyFont="1"/>
    <xf numFmtId="0" fontId="11" fillId="4" borderId="0" xfId="0" applyFont="1" applyFill="1"/>
    <xf numFmtId="0" fontId="11" fillId="6" borderId="5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226" fontId="11" fillId="0" borderId="0" xfId="0" applyNumberFormat="1" applyFont="1" applyAlignment="1">
      <alignment horizontal="center" vertical="center"/>
    </xf>
    <xf numFmtId="198" fontId="12" fillId="0" borderId="0" xfId="0" applyNumberFormat="1" applyFont="1"/>
    <xf numFmtId="2" fontId="12" fillId="0" borderId="1" xfId="0" applyNumberFormat="1" applyFont="1" applyBorder="1"/>
    <xf numFmtId="198" fontId="12" fillId="0" borderId="1" xfId="0" applyNumberFormat="1" applyFont="1" applyBorder="1"/>
    <xf numFmtId="2" fontId="12" fillId="2" borderId="1" xfId="0" applyNumberFormat="1" applyFont="1" applyFill="1" applyBorder="1"/>
    <xf numFmtId="215" fontId="12" fillId="0" borderId="81" xfId="48" applyNumberFormat="1" applyFont="1" applyBorder="1"/>
    <xf numFmtId="198" fontId="12" fillId="0" borderId="81" xfId="0" applyNumberFormat="1" applyFont="1" applyBorder="1"/>
    <xf numFmtId="229" fontId="12" fillId="0" borderId="0" xfId="0" applyNumberFormat="1" applyFont="1"/>
    <xf numFmtId="2" fontId="12" fillId="0" borderId="59" xfId="0" applyNumberFormat="1" applyFont="1" applyBorder="1" applyAlignment="1">
      <alignment horizontal="center" vertical="center"/>
    </xf>
    <xf numFmtId="229" fontId="12" fillId="0" borderId="1" xfId="0" applyNumberFormat="1" applyFont="1" applyBorder="1"/>
    <xf numFmtId="2" fontId="58" fillId="0" borderId="20" xfId="0" applyNumberFormat="1" applyFont="1" applyBorder="1"/>
    <xf numFmtId="2" fontId="12" fillId="0" borderId="20" xfId="0" applyNumberFormat="1" applyFont="1" applyBorder="1"/>
    <xf numFmtId="229" fontId="12" fillId="0" borderId="20" xfId="0" applyNumberFormat="1" applyFont="1" applyBorder="1"/>
    <xf numFmtId="215" fontId="12" fillId="0" borderId="40" xfId="0" applyNumberFormat="1" applyFont="1" applyBorder="1"/>
    <xf numFmtId="220" fontId="11" fillId="0" borderId="0" xfId="0" applyNumberFormat="1" applyFont="1"/>
    <xf numFmtId="0" fontId="34" fillId="0" borderId="19" xfId="0" applyFont="1" applyBorder="1" applyAlignment="1">
      <alignment horizontal="right"/>
    </xf>
    <xf numFmtId="223" fontId="11" fillId="0" borderId="49" xfId="45" applyNumberFormat="1" applyFont="1" applyBorder="1"/>
    <xf numFmtId="223" fontId="11" fillId="0" borderId="9" xfId="45" applyNumberFormat="1" applyFont="1" applyBorder="1"/>
    <xf numFmtId="226" fontId="11" fillId="0" borderId="0" xfId="0" applyNumberFormat="1" applyFont="1" applyAlignment="1">
      <alignment horizontal="center"/>
    </xf>
    <xf numFmtId="182" fontId="11" fillId="0" borderId="0" xfId="0" applyNumberFormat="1" applyFont="1"/>
    <xf numFmtId="2" fontId="12" fillId="0" borderId="89" xfId="0" applyNumberFormat="1" applyFont="1" applyBorder="1"/>
    <xf numFmtId="2" fontId="18" fillId="0" borderId="0" xfId="0" applyNumberFormat="1" applyFont="1"/>
    <xf numFmtId="0" fontId="18" fillId="0" borderId="0" xfId="0" applyFont="1"/>
    <xf numFmtId="0" fontId="35" fillId="0" borderId="0" xfId="0" applyFont="1" applyAlignment="1">
      <alignment horizontal="center" vertical="center"/>
    </xf>
    <xf numFmtId="191" fontId="37" fillId="0" borderId="175" xfId="0" applyNumberFormat="1" applyFont="1" applyBorder="1"/>
    <xf numFmtId="191" fontId="37" fillId="0" borderId="143" xfId="0" applyNumberFormat="1" applyFont="1" applyBorder="1"/>
    <xf numFmtId="191" fontId="37" fillId="0" borderId="145" xfId="0" applyNumberFormat="1" applyFont="1" applyBorder="1"/>
    <xf numFmtId="191" fontId="37" fillId="0" borderId="197" xfId="0" applyNumberFormat="1" applyFont="1" applyBorder="1"/>
    <xf numFmtId="191" fontId="37" fillId="0" borderId="198" xfId="0" applyNumberFormat="1" applyFont="1" applyBorder="1"/>
    <xf numFmtId="190" fontId="59" fillId="0" borderId="112" xfId="0" applyNumberFormat="1" applyFont="1" applyBorder="1" applyAlignment="1">
      <alignment horizontal="right" vertical="center"/>
    </xf>
    <xf numFmtId="191" fontId="59" fillId="0" borderId="129" xfId="0" applyNumberFormat="1" applyFont="1" applyBorder="1" applyAlignment="1">
      <alignment horizontal="right" vertical="center"/>
    </xf>
    <xf numFmtId="190" fontId="40" fillId="0" borderId="16" xfId="0" applyNumberFormat="1" applyFont="1" applyBorder="1"/>
    <xf numFmtId="190" fontId="40" fillId="0" borderId="115" xfId="0" applyNumberFormat="1" applyFont="1" applyBorder="1"/>
    <xf numFmtId="191" fontId="40" fillId="0" borderId="137" xfId="0" applyNumberFormat="1" applyFont="1" applyBorder="1"/>
    <xf numFmtId="191" fontId="40" fillId="0" borderId="19" xfId="0" applyNumberFormat="1" applyFont="1" applyBorder="1"/>
    <xf numFmtId="0" fontId="36" fillId="0" borderId="59" xfId="0" applyFont="1" applyBorder="1" applyAlignment="1">
      <alignment vertical="center" wrapText="1"/>
    </xf>
    <xf numFmtId="191" fontId="36" fillId="0" borderId="0" xfId="0" applyNumberFormat="1" applyFont="1" applyAlignment="1">
      <alignment vertical="center" wrapText="1"/>
    </xf>
    <xf numFmtId="191" fontId="36" fillId="0" borderId="101" xfId="0" applyNumberFormat="1" applyFont="1" applyBorder="1" applyAlignment="1">
      <alignment vertical="center" wrapText="1"/>
    </xf>
    <xf numFmtId="190" fontId="37" fillId="0" borderId="142" xfId="0" applyNumberFormat="1" applyFont="1" applyBorder="1"/>
    <xf numFmtId="191" fontId="37" fillId="0" borderId="142" xfId="0" applyNumberFormat="1" applyFont="1" applyBorder="1"/>
    <xf numFmtId="191" fontId="40" fillId="2" borderId="19" xfId="0" applyNumberFormat="1" applyFont="1" applyFill="1" applyBorder="1"/>
    <xf numFmtId="0" fontId="36" fillId="0" borderId="0" xfId="0" applyFont="1" applyAlignment="1">
      <alignment vertical="center" wrapText="1"/>
    </xf>
    <xf numFmtId="191" fontId="36" fillId="4" borderId="0" xfId="0" applyNumberFormat="1" applyFont="1" applyFill="1" applyAlignment="1">
      <alignment vertical="center" wrapText="1"/>
    </xf>
    <xf numFmtId="190" fontId="40" fillId="0" borderId="0" xfId="0" applyNumberFormat="1" applyFont="1"/>
    <xf numFmtId="205" fontId="5" fillId="4" borderId="0" xfId="0" applyNumberFormat="1" applyFont="1" applyFill="1"/>
    <xf numFmtId="191" fontId="36" fillId="0" borderId="1" xfId="0" applyNumberFormat="1" applyFont="1" applyBorder="1" applyAlignment="1">
      <alignment vertical="center" wrapText="1"/>
    </xf>
    <xf numFmtId="191" fontId="37" fillId="0" borderId="177" xfId="0" applyNumberFormat="1" applyFont="1" applyBorder="1"/>
    <xf numFmtId="190" fontId="38" fillId="0" borderId="106" xfId="0" applyNumberFormat="1" applyFont="1" applyBorder="1"/>
    <xf numFmtId="190" fontId="38" fillId="0" borderId="132" xfId="0" applyNumberFormat="1" applyFont="1" applyBorder="1"/>
    <xf numFmtId="190" fontId="38" fillId="0" borderId="59" xfId="0" applyNumberFormat="1" applyFont="1" applyBorder="1"/>
    <xf numFmtId="191" fontId="37" fillId="0" borderId="101" xfId="0" applyNumberFormat="1" applyFont="1" applyBorder="1"/>
    <xf numFmtId="190" fontId="38" fillId="0" borderId="121" xfId="0" applyNumberFormat="1" applyFont="1" applyBorder="1"/>
    <xf numFmtId="190" fontId="37" fillId="0" borderId="223" xfId="0" applyNumberFormat="1" applyFont="1" applyBorder="1"/>
    <xf numFmtId="191" fontId="37" fillId="0" borderId="224" xfId="0" applyNumberFormat="1" applyFont="1" applyBorder="1"/>
    <xf numFmtId="190" fontId="40" fillId="0" borderId="59" xfId="0" applyNumberFormat="1" applyFont="1" applyBorder="1"/>
    <xf numFmtId="191" fontId="40" fillId="0" borderId="0" xfId="0" applyNumberFormat="1" applyFont="1"/>
    <xf numFmtId="190" fontId="40" fillId="6" borderId="16" xfId="0" applyNumberFormat="1" applyFont="1" applyFill="1" applyBorder="1"/>
    <xf numFmtId="190" fontId="40" fillId="6" borderId="17" xfId="0" applyNumberFormat="1" applyFont="1" applyFill="1" applyBorder="1"/>
    <xf numFmtId="191" fontId="40" fillId="6" borderId="18" xfId="0" applyNumberFormat="1" applyFont="1" applyFill="1" applyBorder="1"/>
    <xf numFmtId="191" fontId="40" fillId="6" borderId="19" xfId="0" applyNumberFormat="1" applyFont="1" applyFill="1" applyBorder="1"/>
    <xf numFmtId="190" fontId="38" fillId="0" borderId="130" xfId="0" applyNumberFormat="1" applyFont="1" applyBorder="1"/>
    <xf numFmtId="191" fontId="38" fillId="0" borderId="73" xfId="0" applyNumberFormat="1" applyFont="1" applyBorder="1"/>
    <xf numFmtId="0" fontId="36" fillId="0" borderId="101" xfId="0" applyFont="1" applyBorder="1" applyAlignment="1">
      <alignment vertical="center" wrapText="1"/>
    </xf>
    <xf numFmtId="225" fontId="40" fillId="0" borderId="19" xfId="0" applyNumberFormat="1" applyFont="1" applyBorder="1"/>
    <xf numFmtId="191" fontId="38" fillId="0" borderId="177" xfId="0" applyNumberFormat="1" applyFont="1" applyBorder="1"/>
    <xf numFmtId="2" fontId="37" fillId="0" borderId="165" xfId="0" applyNumberFormat="1" applyFont="1" applyBorder="1"/>
    <xf numFmtId="2" fontId="37" fillId="0" borderId="111" xfId="0" applyNumberFormat="1" applyFont="1" applyBorder="1"/>
    <xf numFmtId="2" fontId="37" fillId="0" borderId="168" xfId="0" applyNumberFormat="1" applyFont="1" applyBorder="1"/>
    <xf numFmtId="2" fontId="37" fillId="0" borderId="200" xfId="0" applyNumberFormat="1" applyFont="1" applyBorder="1"/>
    <xf numFmtId="191" fontId="37" fillId="0" borderId="200" xfId="0" applyNumberFormat="1" applyFont="1" applyBorder="1"/>
    <xf numFmtId="2" fontId="37" fillId="0" borderId="114" xfId="0" applyNumberFormat="1" applyFont="1" applyBorder="1"/>
    <xf numFmtId="2" fontId="37" fillId="0" borderId="145" xfId="0" applyNumberFormat="1" applyFont="1" applyBorder="1"/>
    <xf numFmtId="2" fontId="37" fillId="0" borderId="140" xfId="0" applyNumberFormat="1" applyFont="1" applyBorder="1"/>
    <xf numFmtId="2" fontId="37" fillId="0" borderId="198" xfId="0" applyNumberFormat="1" applyFont="1" applyBorder="1"/>
    <xf numFmtId="190" fontId="37" fillId="0" borderId="162" xfId="0" applyNumberFormat="1" applyFont="1" applyBorder="1"/>
    <xf numFmtId="190" fontId="37" fillId="0" borderId="225" xfId="0" applyNumberFormat="1" applyFont="1" applyBorder="1"/>
    <xf numFmtId="191" fontId="37" fillId="0" borderId="226" xfId="0" applyNumberFormat="1" applyFont="1" applyBorder="1"/>
    <xf numFmtId="217" fontId="37" fillId="0" borderId="0" xfId="0" applyNumberFormat="1" applyFont="1"/>
    <xf numFmtId="191" fontId="37" fillId="0" borderId="172" xfId="0" applyNumberFormat="1" applyFont="1" applyBorder="1"/>
    <xf numFmtId="190" fontId="37" fillId="0" borderId="227" xfId="0" applyNumberFormat="1" applyFont="1" applyBorder="1"/>
    <xf numFmtId="191" fontId="37" fillId="0" borderId="228" xfId="0" applyNumberFormat="1" applyFont="1" applyBorder="1"/>
    <xf numFmtId="191" fontId="37" fillId="0" borderId="229" xfId="0" applyNumberFormat="1" applyFont="1" applyBorder="1"/>
    <xf numFmtId="191" fontId="59" fillId="0" borderId="54" xfId="0" applyNumberFormat="1" applyFont="1" applyBorder="1" applyAlignment="1">
      <alignment horizontal="right" vertical="center"/>
    </xf>
    <xf numFmtId="191" fontId="40" fillId="0" borderId="230" xfId="0" applyNumberFormat="1" applyFont="1" applyBorder="1"/>
    <xf numFmtId="191" fontId="40" fillId="0" borderId="33" xfId="0" applyNumberFormat="1" applyFont="1" applyBorder="1"/>
    <xf numFmtId="190" fontId="40" fillId="0" borderId="157" xfId="0" applyNumberFormat="1" applyFont="1" applyBorder="1"/>
    <xf numFmtId="190" fontId="59" fillId="0" borderId="154" xfId="0" applyNumberFormat="1" applyFont="1" applyBorder="1" applyAlignment="1">
      <alignment horizontal="right" vertical="center"/>
    </xf>
    <xf numFmtId="191" fontId="59" fillId="0" borderId="136" xfId="0" applyNumberFormat="1" applyFont="1" applyBorder="1" applyAlignment="1">
      <alignment horizontal="right" vertical="center"/>
    </xf>
    <xf numFmtId="190" fontId="46" fillId="0" borderId="112" xfId="0" applyNumberFormat="1" applyFont="1" applyBorder="1" applyAlignment="1">
      <alignment horizontal="right" vertical="center"/>
    </xf>
    <xf numFmtId="191" fontId="46" fillId="0" borderId="129" xfId="0" applyNumberFormat="1" applyFont="1" applyBorder="1" applyAlignment="1">
      <alignment horizontal="right" vertical="center"/>
    </xf>
    <xf numFmtId="191" fontId="40" fillId="0" borderId="20" xfId="0" applyNumberFormat="1" applyFont="1" applyBorder="1"/>
    <xf numFmtId="191" fontId="40" fillId="0" borderId="21" xfId="0" applyNumberFormat="1" applyFont="1" applyBorder="1"/>
    <xf numFmtId="190" fontId="37" fillId="0" borderId="112" xfId="0" applyNumberFormat="1" applyFont="1" applyBorder="1" applyAlignment="1">
      <alignment horizontal="right" vertical="center"/>
    </xf>
    <xf numFmtId="191" fontId="37" fillId="0" borderId="129" xfId="0" applyNumberFormat="1" applyFont="1" applyBorder="1" applyAlignment="1">
      <alignment horizontal="right" vertical="center"/>
    </xf>
    <xf numFmtId="191" fontId="37" fillId="0" borderId="76" xfId="0" applyNumberFormat="1" applyFont="1" applyBorder="1"/>
    <xf numFmtId="191" fontId="37" fillId="0" borderId="231" xfId="0" applyNumberFormat="1" applyFont="1" applyBorder="1"/>
    <xf numFmtId="191" fontId="37" fillId="0" borderId="14" xfId="0" applyNumberFormat="1" applyFont="1" applyBorder="1"/>
    <xf numFmtId="191" fontId="37" fillId="0" borderId="171" xfId="0" applyNumberFormat="1" applyFont="1" applyBorder="1"/>
    <xf numFmtId="191" fontId="37" fillId="0" borderId="232" xfId="0" applyNumberFormat="1" applyFont="1" applyBorder="1"/>
    <xf numFmtId="191" fontId="36" fillId="0" borderId="129" xfId="0" applyNumberFormat="1" applyFont="1" applyBorder="1" applyAlignment="1">
      <alignment horizontal="right" vertical="center"/>
    </xf>
    <xf numFmtId="190" fontId="42" fillId="0" borderId="154" xfId="0" applyNumberFormat="1" applyFont="1" applyBorder="1" applyAlignment="1">
      <alignment horizontal="right" vertical="center"/>
    </xf>
    <xf numFmtId="191" fontId="37" fillId="0" borderId="42" xfId="0" applyNumberFormat="1" applyFont="1" applyBorder="1"/>
    <xf numFmtId="191" fontId="38" fillId="0" borderId="164" xfId="0" applyNumberFormat="1" applyFont="1" applyBorder="1"/>
    <xf numFmtId="191" fontId="42" fillId="0" borderId="136" xfId="0" applyNumberFormat="1" applyFont="1" applyBorder="1" applyAlignment="1">
      <alignment horizontal="right" vertical="center"/>
    </xf>
    <xf numFmtId="190" fontId="42" fillId="0" borderId="112" xfId="0" applyNumberFormat="1" applyFont="1" applyBorder="1" applyAlignment="1">
      <alignment horizontal="right" vertical="center"/>
    </xf>
    <xf numFmtId="0" fontId="36" fillId="18" borderId="16" xfId="0" applyFont="1" applyFill="1" applyBorder="1" applyAlignment="1">
      <alignment horizontal="center" vertical="center" wrapText="1"/>
    </xf>
    <xf numFmtId="0" fontId="36" fillId="18" borderId="20" xfId="0" applyFont="1" applyFill="1" applyBorder="1" applyAlignment="1">
      <alignment horizontal="center" vertical="center" wrapText="1"/>
    </xf>
    <xf numFmtId="0" fontId="36" fillId="18" borderId="33" xfId="0" applyFont="1" applyFill="1" applyBorder="1" applyAlignment="1">
      <alignment horizontal="center" vertical="center" wrapText="1"/>
    </xf>
    <xf numFmtId="0" fontId="36" fillId="18" borderId="16" xfId="0" applyFont="1" applyFill="1" applyBorder="1" applyAlignment="1">
      <alignment vertical="center" wrapText="1"/>
    </xf>
    <xf numFmtId="0" fontId="36" fillId="18" borderId="21" xfId="0" applyFont="1" applyFill="1" applyBorder="1" applyAlignment="1">
      <alignment vertical="center" wrapText="1"/>
    </xf>
    <xf numFmtId="0" fontId="36" fillId="18" borderId="19" xfId="0" applyFont="1" applyFill="1" applyBorder="1" applyAlignment="1">
      <alignment vertical="center" wrapText="1"/>
    </xf>
    <xf numFmtId="190" fontId="37" fillId="18" borderId="102" xfId="0" applyNumberFormat="1" applyFont="1" applyFill="1" applyBorder="1"/>
    <xf numFmtId="191" fontId="37" fillId="18" borderId="164" xfId="0" applyNumberFormat="1" applyFont="1" applyFill="1" applyBorder="1"/>
    <xf numFmtId="191" fontId="37" fillId="18" borderId="77" xfId="0" applyNumberFormat="1" applyFont="1" applyFill="1" applyBorder="1"/>
    <xf numFmtId="190" fontId="37" fillId="18" borderId="106" xfId="0" applyNumberFormat="1" applyFont="1" applyFill="1" applyBorder="1"/>
    <xf numFmtId="191" fontId="37" fillId="18" borderId="167" xfId="0" applyNumberFormat="1" applyFont="1" applyFill="1" applyBorder="1"/>
    <xf numFmtId="191" fontId="37" fillId="18" borderId="233" xfId="0" applyNumberFormat="1" applyFont="1" applyFill="1" applyBorder="1"/>
    <xf numFmtId="190" fontId="37" fillId="18" borderId="109" xfId="0" applyNumberFormat="1" applyFont="1" applyFill="1" applyBorder="1"/>
    <xf numFmtId="190" fontId="37" fillId="18" borderId="111" xfId="0" applyNumberFormat="1" applyFont="1" applyFill="1" applyBorder="1"/>
    <xf numFmtId="191" fontId="37" fillId="18" borderId="234" xfId="0" applyNumberFormat="1" applyFont="1" applyFill="1" applyBorder="1"/>
    <xf numFmtId="190" fontId="37" fillId="18" borderId="3" xfId="0" applyNumberFormat="1" applyFont="1" applyFill="1" applyBorder="1"/>
    <xf numFmtId="190" fontId="37" fillId="18" borderId="168" xfId="0" applyNumberFormat="1" applyFont="1" applyFill="1" applyBorder="1"/>
    <xf numFmtId="191" fontId="37" fillId="18" borderId="49" xfId="0" applyNumberFormat="1" applyFont="1" applyFill="1" applyBorder="1"/>
    <xf numFmtId="191" fontId="37" fillId="18" borderId="200" xfId="0" applyNumberFormat="1" applyFont="1" applyFill="1" applyBorder="1"/>
    <xf numFmtId="191" fontId="42" fillId="0" borderId="129" xfId="0" applyNumberFormat="1" applyFont="1" applyBorder="1" applyAlignment="1">
      <alignment horizontal="right" vertical="center"/>
    </xf>
    <xf numFmtId="190" fontId="59" fillId="19" borderId="53" xfId="0" applyNumberFormat="1" applyFont="1" applyFill="1" applyBorder="1" applyAlignment="1">
      <alignment horizontal="right" vertical="center"/>
    </xf>
    <xf numFmtId="191" fontId="37" fillId="19" borderId="120" xfId="0" applyNumberFormat="1" applyFont="1" applyFill="1" applyBorder="1"/>
    <xf numFmtId="191" fontId="59" fillId="19" borderId="69" xfId="0" applyNumberFormat="1" applyFont="1" applyFill="1" applyBorder="1" applyAlignment="1">
      <alignment horizontal="right" vertical="center"/>
    </xf>
    <xf numFmtId="190" fontId="40" fillId="18" borderId="16" xfId="0" applyNumberFormat="1" applyFont="1" applyFill="1" applyBorder="1"/>
    <xf numFmtId="191" fontId="40" fillId="18" borderId="137" xfId="0" applyNumberFormat="1" applyFont="1" applyFill="1" applyBorder="1"/>
    <xf numFmtId="191" fontId="40" fillId="18" borderId="19" xfId="0" applyNumberFormat="1" applyFont="1" applyFill="1" applyBorder="1"/>
    <xf numFmtId="0" fontId="36" fillId="18" borderId="59" xfId="0" applyFont="1" applyFill="1" applyBorder="1" applyAlignment="1">
      <alignment vertical="center" wrapText="1"/>
    </xf>
    <xf numFmtId="0" fontId="36" fillId="18" borderId="64" xfId="0" applyFont="1" applyFill="1" applyBorder="1" applyAlignment="1">
      <alignment vertical="center" wrapText="1"/>
    </xf>
    <xf numFmtId="191" fontId="36" fillId="18" borderId="101" xfId="0" applyNumberFormat="1" applyFont="1" applyFill="1" applyBorder="1" applyAlignment="1">
      <alignment vertical="center" wrapText="1"/>
    </xf>
    <xf numFmtId="190" fontId="40" fillId="18" borderId="115" xfId="0" applyNumberFormat="1" applyFont="1" applyFill="1" applyBorder="1"/>
    <xf numFmtId="215" fontId="40" fillId="18" borderId="137" xfId="0" applyNumberFormat="1" applyFont="1" applyFill="1" applyBorder="1"/>
    <xf numFmtId="215" fontId="40" fillId="18" borderId="19" xfId="0" applyNumberFormat="1" applyFont="1" applyFill="1" applyBorder="1"/>
    <xf numFmtId="190" fontId="37" fillId="18" borderId="142" xfId="0" applyNumberFormat="1" applyFont="1" applyFill="1" applyBorder="1"/>
    <xf numFmtId="191" fontId="37" fillId="18" borderId="143" xfId="0" applyNumberFormat="1" applyFont="1" applyFill="1" applyBorder="1"/>
    <xf numFmtId="191" fontId="37" fillId="18" borderId="135" xfId="0" applyNumberFormat="1" applyFont="1" applyFill="1" applyBorder="1"/>
    <xf numFmtId="190" fontId="37" fillId="17" borderId="111" xfId="0" applyNumberFormat="1" applyFont="1" applyFill="1" applyBorder="1"/>
    <xf numFmtId="190" fontId="37" fillId="19" borderId="142" xfId="0" applyNumberFormat="1" applyFont="1" applyFill="1" applyBorder="1"/>
    <xf numFmtId="191" fontId="37" fillId="19" borderId="126" xfId="0" applyNumberFormat="1" applyFont="1" applyFill="1" applyBorder="1"/>
    <xf numFmtId="191" fontId="37" fillId="19" borderId="135" xfId="0" applyNumberFormat="1" applyFont="1" applyFill="1" applyBorder="1"/>
    <xf numFmtId="190" fontId="37" fillId="18" borderId="223" xfId="0" applyNumberFormat="1" applyFont="1" applyFill="1" applyBorder="1"/>
    <xf numFmtId="191" fontId="37" fillId="18" borderId="177" xfId="0" applyNumberFormat="1" applyFont="1" applyFill="1" applyBorder="1"/>
    <xf numFmtId="191" fontId="37" fillId="18" borderId="73" xfId="0" applyNumberFormat="1" applyFont="1" applyFill="1" applyBorder="1"/>
    <xf numFmtId="190" fontId="38" fillId="18" borderId="115" xfId="0" applyNumberFormat="1" applyFont="1" applyFill="1" applyBorder="1"/>
    <xf numFmtId="191" fontId="38" fillId="18" borderId="116" xfId="0" applyNumberFormat="1" applyFont="1" applyFill="1" applyBorder="1"/>
    <xf numFmtId="191" fontId="38" fillId="18" borderId="19" xfId="0" applyNumberFormat="1" applyFont="1" applyFill="1" applyBorder="1"/>
    <xf numFmtId="191" fontId="37" fillId="18" borderId="235" xfId="0" applyNumberFormat="1" applyFont="1" applyFill="1" applyBorder="1"/>
    <xf numFmtId="190" fontId="37" fillId="18" borderId="118" xfId="0" applyNumberFormat="1" applyFont="1" applyFill="1" applyBorder="1"/>
    <xf numFmtId="190" fontId="38" fillId="18" borderId="130" xfId="0" applyNumberFormat="1" applyFont="1" applyFill="1" applyBorder="1"/>
    <xf numFmtId="191" fontId="38" fillId="18" borderId="73" xfId="0" applyNumberFormat="1" applyFont="1" applyFill="1" applyBorder="1"/>
    <xf numFmtId="231" fontId="0" fillId="0" borderId="0" xfId="45" applyFont="1" applyAlignment="1">
      <alignment horizontal="center"/>
    </xf>
    <xf numFmtId="191" fontId="38" fillId="0" borderId="197" xfId="0" applyNumberFormat="1" applyFont="1" applyBorder="1"/>
    <xf numFmtId="191" fontId="38" fillId="0" borderId="101" xfId="0" applyNumberFormat="1" applyFont="1" applyBorder="1"/>
    <xf numFmtId="190" fontId="40" fillId="2" borderId="16" xfId="0" applyNumberFormat="1" applyFont="1" applyFill="1" applyBorder="1"/>
    <xf numFmtId="190" fontId="40" fillId="2" borderId="115" xfId="0" applyNumberFormat="1" applyFont="1" applyFill="1" applyBorder="1"/>
    <xf numFmtId="191" fontId="40" fillId="2" borderId="137" xfId="0" applyNumberFormat="1" applyFont="1" applyFill="1" applyBorder="1"/>
    <xf numFmtId="190" fontId="40" fillId="0" borderId="1" xfId="0" applyNumberFormat="1" applyFont="1" applyBorder="1"/>
    <xf numFmtId="0" fontId="5" fillId="0" borderId="3" xfId="0" applyFont="1" applyBorder="1"/>
    <xf numFmtId="2" fontId="29" fillId="0" borderId="22" xfId="0" applyNumberFormat="1" applyFont="1" applyBorder="1"/>
    <xf numFmtId="2" fontId="29" fillId="0" borderId="38" xfId="0" applyNumberFormat="1" applyFont="1" applyBorder="1"/>
    <xf numFmtId="217" fontId="29" fillId="0" borderId="30" xfId="0" applyNumberFormat="1" applyFont="1" applyBorder="1"/>
    <xf numFmtId="2" fontId="29" fillId="0" borderId="23" xfId="0" applyNumberFormat="1" applyFont="1" applyBorder="1"/>
    <xf numFmtId="2" fontId="29" fillId="0" borderId="50" xfId="0" applyNumberFormat="1" applyFont="1" applyBorder="1"/>
    <xf numFmtId="217" fontId="54" fillId="0" borderId="17" xfId="0" applyNumberFormat="1" applyFont="1" applyBorder="1"/>
    <xf numFmtId="2" fontId="54" fillId="0" borderId="18" xfId="0" applyNumberFormat="1" applyFont="1" applyBorder="1"/>
    <xf numFmtId="2" fontId="54" fillId="0" borderId="19" xfId="0" applyNumberFormat="1" applyFont="1" applyBorder="1"/>
    <xf numFmtId="0" fontId="5" fillId="0" borderId="59" xfId="0" applyFont="1" applyBorder="1"/>
    <xf numFmtId="217" fontId="54" fillId="0" borderId="37" xfId="0" applyNumberFormat="1" applyFont="1" applyBorder="1"/>
    <xf numFmtId="2" fontId="54" fillId="0" borderId="64" xfId="0" applyNumberFormat="1" applyFont="1" applyBorder="1"/>
    <xf numFmtId="2" fontId="54" fillId="0" borderId="73" xfId="0" applyNumberFormat="1" applyFont="1" applyBorder="1"/>
    <xf numFmtId="2" fontId="29" fillId="0" borderId="64" xfId="0" applyNumberFormat="1" applyFont="1" applyBorder="1"/>
    <xf numFmtId="2" fontId="29" fillId="0" borderId="73" xfId="0" applyNumberFormat="1" applyFont="1" applyBorder="1"/>
    <xf numFmtId="0" fontId="5" fillId="0" borderId="10" xfId="0" applyFont="1" applyBorder="1"/>
    <xf numFmtId="217" fontId="29" fillId="0" borderId="48" xfId="0" applyNumberFormat="1" applyFont="1" applyBorder="1"/>
    <xf numFmtId="0" fontId="29" fillId="0" borderId="55" xfId="0" applyFont="1" applyBorder="1"/>
    <xf numFmtId="0" fontId="29" fillId="0" borderId="49" xfId="0" applyFont="1" applyBorder="1"/>
    <xf numFmtId="217" fontId="54" fillId="0" borderId="218" xfId="0" applyNumberFormat="1" applyFont="1" applyBorder="1"/>
    <xf numFmtId="2" fontId="54" fillId="0" borderId="65" xfId="0" applyNumberFormat="1" applyFont="1" applyBorder="1"/>
    <xf numFmtId="2" fontId="54" fillId="0" borderId="77" xfId="0" applyNumberFormat="1" applyFont="1" applyBorder="1"/>
    <xf numFmtId="217" fontId="54" fillId="0" borderId="20" xfId="0" applyNumberFormat="1" applyFont="1" applyBorder="1"/>
    <xf numFmtId="2" fontId="54" fillId="0" borderId="20" xfId="0" applyNumberFormat="1" applyFont="1" applyBorder="1"/>
    <xf numFmtId="211" fontId="54" fillId="0" borderId="88" xfId="0" applyNumberFormat="1" applyFont="1" applyBorder="1"/>
    <xf numFmtId="210" fontId="54" fillId="0" borderId="67" xfId="0" applyNumberFormat="1" applyFont="1" applyBorder="1"/>
    <xf numFmtId="231" fontId="54" fillId="0" borderId="69" xfId="0" applyNumberFormat="1" applyFont="1" applyBorder="1"/>
    <xf numFmtId="2" fontId="29" fillId="0" borderId="8" xfId="0" applyNumberFormat="1" applyFont="1" applyBorder="1"/>
    <xf numFmtId="2" fontId="0" fillId="0" borderId="9" xfId="0" applyNumberFormat="1" applyBorder="1"/>
    <xf numFmtId="211" fontId="5" fillId="0" borderId="17" xfId="0" applyNumberFormat="1" applyFont="1" applyBorder="1"/>
    <xf numFmtId="229" fontId="5" fillId="0" borderId="19" xfId="0" applyNumberFormat="1" applyFont="1" applyBorder="1"/>
    <xf numFmtId="0" fontId="0" fillId="0" borderId="37" xfId="0" applyBorder="1"/>
    <xf numFmtId="0" fontId="0" fillId="0" borderId="64" xfId="0" applyBorder="1"/>
    <xf numFmtId="0" fontId="0" fillId="0" borderId="73" xfId="0" applyBorder="1"/>
    <xf numFmtId="225" fontId="0" fillId="0" borderId="48" xfId="0" applyNumberFormat="1" applyBorder="1"/>
    <xf numFmtId="205" fontId="29" fillId="0" borderId="55" xfId="0" applyNumberFormat="1" applyFont="1" applyBorder="1"/>
    <xf numFmtId="207" fontId="0" fillId="0" borderId="49" xfId="0" applyNumberFormat="1" applyBorder="1"/>
    <xf numFmtId="0" fontId="5" fillId="0" borderId="15" xfId="0" applyFont="1" applyBorder="1"/>
    <xf numFmtId="211" fontId="0" fillId="0" borderId="30" xfId="0" applyNumberFormat="1" applyBorder="1"/>
    <xf numFmtId="205" fontId="29" fillId="0" borderId="23" xfId="0" applyNumberFormat="1" applyFont="1" applyBorder="1"/>
    <xf numFmtId="229" fontId="0" fillId="0" borderId="50" xfId="0" applyNumberFormat="1" applyBorder="1"/>
    <xf numFmtId="205" fontId="54" fillId="0" borderId="18" xfId="0" applyNumberFormat="1" applyFont="1" applyBorder="1"/>
    <xf numFmtId="210" fontId="5" fillId="0" borderId="19" xfId="0" applyNumberFormat="1" applyFont="1" applyBorder="1"/>
    <xf numFmtId="0" fontId="5" fillId="0" borderId="1" xfId="0" applyFont="1" applyBorder="1"/>
    <xf numFmtId="191" fontId="0" fillId="0" borderId="1" xfId="0" applyNumberFormat="1" applyBorder="1"/>
    <xf numFmtId="191" fontId="5" fillId="0" borderId="0" xfId="0" applyNumberFormat="1" applyFont="1"/>
    <xf numFmtId="217" fontId="0" fillId="0" borderId="29" xfId="0" applyNumberFormat="1" applyBorder="1"/>
    <xf numFmtId="217" fontId="54" fillId="0" borderId="31" xfId="0" applyNumberFormat="1" applyFont="1" applyBorder="1"/>
    <xf numFmtId="2" fontId="54" fillId="0" borderId="21" xfId="0" applyNumberFormat="1" applyFont="1" applyBorder="1"/>
    <xf numFmtId="217" fontId="54" fillId="0" borderId="94" xfId="0" applyNumberFormat="1" applyFont="1" applyBorder="1"/>
    <xf numFmtId="2" fontId="54" fillId="0" borderId="39" xfId="0" applyNumberFormat="1" applyFont="1" applyBorder="1"/>
    <xf numFmtId="0" fontId="0" fillId="0" borderId="26" xfId="0" applyBorder="1"/>
    <xf numFmtId="0" fontId="29" fillId="0" borderId="12" xfId="0" applyFont="1" applyBorder="1"/>
    <xf numFmtId="0" fontId="0" fillId="0" borderId="34" xfId="0" applyBorder="1"/>
    <xf numFmtId="217" fontId="29" fillId="0" borderId="27" xfId="0" applyNumberFormat="1" applyFont="1" applyBorder="1"/>
    <xf numFmtId="217" fontId="29" fillId="0" borderId="29" xfId="0" applyNumberFormat="1" applyFont="1" applyBorder="1"/>
    <xf numFmtId="217" fontId="54" fillId="0" borderId="236" xfId="0" applyNumberFormat="1" applyFont="1" applyBorder="1"/>
    <xf numFmtId="2" fontId="54" fillId="0" borderId="76" xfId="0" applyNumberFormat="1" applyFont="1" applyBorder="1"/>
    <xf numFmtId="217" fontId="54" fillId="0" borderId="91" xfId="0" applyNumberFormat="1" applyFont="1" applyBorder="1"/>
    <xf numFmtId="2" fontId="54" fillId="0" borderId="67" xfId="0" applyNumberFormat="1" applyFont="1" applyBorder="1"/>
    <xf numFmtId="2" fontId="54" fillId="0" borderId="68" xfId="0" applyNumberFormat="1" applyFont="1" applyBorder="1"/>
    <xf numFmtId="217" fontId="29" fillId="0" borderId="94" xfId="0" applyNumberFormat="1" applyFont="1" applyBorder="1"/>
    <xf numFmtId="2" fontId="29" fillId="0" borderId="39" xfId="0" applyNumberFormat="1" applyFont="1" applyBorder="1"/>
    <xf numFmtId="211" fontId="5" fillId="0" borderId="31" xfId="0" applyNumberFormat="1" applyFont="1" applyBorder="1"/>
    <xf numFmtId="229" fontId="5" fillId="0" borderId="21" xfId="0" applyNumberFormat="1" applyFont="1" applyBorder="1"/>
    <xf numFmtId="0" fontId="0" fillId="0" borderId="94" xfId="0" applyBorder="1"/>
    <xf numFmtId="0" fontId="0" fillId="0" borderId="39" xfId="0" applyBorder="1"/>
    <xf numFmtId="2" fontId="29" fillId="0" borderId="55" xfId="0" applyNumberFormat="1" applyFont="1" applyBorder="1"/>
    <xf numFmtId="212" fontId="0" fillId="0" borderId="48" xfId="0" applyNumberFormat="1" applyBorder="1"/>
    <xf numFmtId="212" fontId="0" fillId="0" borderId="30" xfId="0" applyNumberFormat="1" applyBorder="1"/>
    <xf numFmtId="212" fontId="5" fillId="0" borderId="17" xfId="0" applyNumberFormat="1" applyFont="1" applyBorder="1"/>
    <xf numFmtId="190" fontId="5" fillId="0" borderId="0" xfId="0" applyNumberFormat="1" applyFont="1"/>
    <xf numFmtId="190" fontId="0" fillId="0" borderId="1" xfId="0" applyNumberFormat="1" applyBorder="1"/>
    <xf numFmtId="203" fontId="5" fillId="0" borderId="0" xfId="0" applyNumberFormat="1" applyFont="1"/>
    <xf numFmtId="207" fontId="54" fillId="0" borderId="67" xfId="0" applyNumberFormat="1" applyFont="1" applyBorder="1"/>
    <xf numFmtId="2" fontId="54" fillId="0" borderId="69" xfId="0" applyNumberFormat="1" applyFont="1" applyBorder="1"/>
    <xf numFmtId="210" fontId="29" fillId="0" borderId="55" xfId="0" applyNumberFormat="1" applyFont="1" applyBorder="1"/>
    <xf numFmtId="211" fontId="0" fillId="0" borderId="48" xfId="0" applyNumberFormat="1" applyBorder="1"/>
    <xf numFmtId="210" fontId="29" fillId="0" borderId="23" xfId="0" applyNumberFormat="1" applyFont="1" applyBorder="1"/>
    <xf numFmtId="210" fontId="54" fillId="0" borderId="18" xfId="0" applyNumberFormat="1" applyFont="1" applyBorder="1"/>
    <xf numFmtId="227" fontId="5" fillId="0" borderId="0" xfId="0" applyNumberFormat="1" applyFont="1"/>
    <xf numFmtId="205" fontId="54" fillId="0" borderId="69" xfId="0" applyNumberFormat="1" applyFont="1" applyBorder="1"/>
    <xf numFmtId="205" fontId="29" fillId="0" borderId="73" xfId="0" applyNumberFormat="1" applyFont="1" applyBorder="1"/>
    <xf numFmtId="210" fontId="0" fillId="0" borderId="49" xfId="0" applyNumberFormat="1" applyBorder="1"/>
    <xf numFmtId="210" fontId="0" fillId="0" borderId="50" xfId="0" applyNumberFormat="1" applyBorder="1"/>
    <xf numFmtId="225" fontId="0" fillId="0" borderId="0" xfId="0" applyNumberFormat="1"/>
    <xf numFmtId="205" fontId="0" fillId="0" borderId="0" xfId="0" applyNumberFormat="1"/>
    <xf numFmtId="217" fontId="29" fillId="0" borderId="64" xfId="0" applyNumberFormat="1" applyFont="1" applyBorder="1"/>
    <xf numFmtId="211" fontId="5" fillId="0" borderId="18" xfId="0" applyNumberFormat="1" applyFont="1" applyBorder="1"/>
    <xf numFmtId="217" fontId="54" fillId="0" borderId="18" xfId="0" applyNumberFormat="1" applyFont="1" applyBorder="1"/>
    <xf numFmtId="217" fontId="54" fillId="0" borderId="64" xfId="0" applyNumberFormat="1" applyFont="1" applyBorder="1"/>
    <xf numFmtId="217" fontId="0" fillId="0" borderId="94" xfId="0" applyNumberFormat="1" applyBorder="1"/>
    <xf numFmtId="210" fontId="0" fillId="0" borderId="70" xfId="0" applyNumberFormat="1" applyBorder="1"/>
    <xf numFmtId="210" fontId="0" fillId="0" borderId="36" xfId="0" applyNumberFormat="1" applyBorder="1"/>
    <xf numFmtId="210" fontId="5" fillId="0" borderId="21" xfId="0" applyNumberFormat="1" applyFont="1" applyBorder="1"/>
    <xf numFmtId="191" fontId="37" fillId="0" borderId="51" xfId="0" applyNumberFormat="1" applyFont="1" applyBorder="1"/>
    <xf numFmtId="191" fontId="38" fillId="0" borderId="0" xfId="0" applyNumberFormat="1" applyFont="1"/>
    <xf numFmtId="191" fontId="40" fillId="2" borderId="21" xfId="0" applyNumberFormat="1" applyFont="1" applyFill="1" applyBorder="1"/>
    <xf numFmtId="191" fontId="40" fillId="0" borderId="1" xfId="0" applyNumberFormat="1" applyFont="1" applyBorder="1"/>
    <xf numFmtId="191" fontId="0" fillId="0" borderId="70" xfId="0" applyNumberFormat="1" applyBorder="1"/>
    <xf numFmtId="191" fontId="54" fillId="0" borderId="21" xfId="0" applyNumberFormat="1" applyFont="1" applyBorder="1"/>
    <xf numFmtId="191" fontId="54" fillId="0" borderId="39" xfId="0" applyNumberFormat="1" applyFont="1" applyBorder="1"/>
    <xf numFmtId="2" fontId="0" fillId="0" borderId="39" xfId="0" applyNumberFormat="1" applyBorder="1"/>
    <xf numFmtId="217" fontId="0" fillId="0" borderId="37" xfId="0" applyNumberFormat="1" applyBorder="1"/>
    <xf numFmtId="191" fontId="0" fillId="0" borderId="12" xfId="0" applyNumberFormat="1" applyBorder="1"/>
    <xf numFmtId="2" fontId="29" fillId="0" borderId="12" xfId="0" applyNumberFormat="1" applyFont="1" applyBorder="1"/>
    <xf numFmtId="2" fontId="0" fillId="0" borderId="36" xfId="0" applyNumberFormat="1" applyFont="1" applyBorder="1"/>
    <xf numFmtId="205" fontId="54" fillId="0" borderId="68" xfId="0" applyNumberFormat="1" applyFont="1" applyBorder="1"/>
    <xf numFmtId="191" fontId="29" fillId="0" borderId="73" xfId="0" applyNumberFormat="1" applyFont="1" applyBorder="1"/>
    <xf numFmtId="191" fontId="0" fillId="0" borderId="49" xfId="0" applyNumberFormat="1" applyBorder="1"/>
    <xf numFmtId="191" fontId="0" fillId="0" borderId="73" xfId="0" applyNumberFormat="1" applyBorder="1"/>
    <xf numFmtId="207" fontId="5" fillId="0" borderId="21" xfId="0" applyNumberFormat="1" applyFont="1" applyBorder="1"/>
    <xf numFmtId="2" fontId="0" fillId="0" borderId="50" xfId="0" applyNumberFormat="1" applyFont="1" applyBorder="1"/>
    <xf numFmtId="217" fontId="54" fillId="0" borderId="88" xfId="0" applyNumberFormat="1" applyFont="1" applyBorder="1"/>
    <xf numFmtId="225" fontId="29" fillId="0" borderId="55" xfId="0" applyNumberFormat="1" applyFont="1" applyBorder="1"/>
    <xf numFmtId="225" fontId="29" fillId="0" borderId="23" xfId="0" applyNumberFormat="1" applyFont="1" applyBorder="1"/>
    <xf numFmtId="225" fontId="54" fillId="0" borderId="18" xfId="0" applyNumberFormat="1" applyFont="1" applyBorder="1"/>
    <xf numFmtId="190" fontId="37" fillId="18" borderId="130" xfId="0" applyNumberFormat="1" applyFont="1" applyFill="1" applyBorder="1"/>
    <xf numFmtId="191" fontId="37" fillId="18" borderId="101" xfId="0" applyNumberFormat="1" applyFont="1" applyFill="1" applyBorder="1"/>
    <xf numFmtId="191" fontId="37" fillId="18" borderId="97" xfId="0" applyNumberFormat="1" applyFont="1" applyFill="1" applyBorder="1"/>
    <xf numFmtId="190" fontId="37" fillId="18" borderId="112" xfId="0" applyNumberFormat="1" applyFont="1" applyFill="1" applyBorder="1"/>
    <xf numFmtId="191" fontId="37" fillId="18" borderId="228" xfId="0" applyNumberFormat="1" applyFont="1" applyFill="1" applyBorder="1"/>
    <xf numFmtId="191" fontId="37" fillId="18" borderId="69" xfId="0" applyNumberFormat="1" applyFont="1" applyFill="1" applyBorder="1"/>
    <xf numFmtId="191" fontId="38" fillId="18" borderId="197" xfId="0" applyNumberFormat="1" applyFont="1" applyFill="1" applyBorder="1"/>
    <xf numFmtId="191" fontId="38" fillId="18" borderId="101" xfId="0" applyNumberFormat="1" applyFont="1" applyFill="1" applyBorder="1"/>
    <xf numFmtId="190" fontId="37" fillId="18" borderId="138" xfId="0" applyNumberFormat="1" applyFont="1" applyFill="1" applyBorder="1"/>
    <xf numFmtId="191" fontId="37" fillId="18" borderId="139" xfId="0" applyNumberFormat="1" applyFont="1" applyFill="1" applyBorder="1"/>
    <xf numFmtId="191" fontId="37" fillId="18" borderId="140" xfId="0" applyNumberFormat="1" applyFont="1" applyFill="1" applyBorder="1"/>
    <xf numFmtId="191" fontId="37" fillId="18" borderId="197" xfId="0" applyNumberFormat="1" applyFont="1" applyFill="1" applyBorder="1"/>
    <xf numFmtId="190" fontId="37" fillId="20" borderId="142" xfId="0" applyNumberFormat="1" applyFont="1" applyFill="1" applyBorder="1"/>
    <xf numFmtId="191" fontId="37" fillId="20" borderId="126" xfId="0" applyNumberFormat="1" applyFont="1" applyFill="1" applyBorder="1"/>
    <xf numFmtId="191" fontId="37" fillId="20" borderId="135" xfId="0" applyNumberFormat="1" applyFont="1" applyFill="1" applyBorder="1"/>
    <xf numFmtId="217" fontId="0" fillId="18" borderId="28" xfId="0" applyNumberFormat="1" applyFill="1" applyBorder="1"/>
    <xf numFmtId="2" fontId="29" fillId="18" borderId="22" xfId="0" applyNumberFormat="1" applyFont="1" applyFill="1" applyBorder="1"/>
    <xf numFmtId="2" fontId="0" fillId="18" borderId="38" xfId="0" applyNumberFormat="1" applyFill="1" applyBorder="1"/>
    <xf numFmtId="217" fontId="0" fillId="18" borderId="30" xfId="0" applyNumberFormat="1" applyFill="1" applyBorder="1"/>
    <xf numFmtId="2" fontId="29" fillId="18" borderId="23" xfId="0" applyNumberFormat="1" applyFont="1" applyFill="1" applyBorder="1"/>
    <xf numFmtId="2" fontId="0" fillId="18" borderId="50" xfId="0" applyNumberFormat="1" applyFill="1" applyBorder="1"/>
    <xf numFmtId="217" fontId="54" fillId="18" borderId="17" xfId="0" applyNumberFormat="1" applyFont="1" applyFill="1" applyBorder="1"/>
    <xf numFmtId="2" fontId="54" fillId="18" borderId="18" xfId="0" applyNumberFormat="1" applyFont="1" applyFill="1" applyBorder="1"/>
    <xf numFmtId="2" fontId="54" fillId="18" borderId="19" xfId="0" applyNumberFormat="1" applyFont="1" applyFill="1" applyBorder="1"/>
    <xf numFmtId="217" fontId="54" fillId="18" borderId="37" xfId="0" applyNumberFormat="1" applyFont="1" applyFill="1" applyBorder="1"/>
    <xf numFmtId="2" fontId="54" fillId="18" borderId="64" xfId="0" applyNumberFormat="1" applyFont="1" applyFill="1" applyBorder="1"/>
    <xf numFmtId="2" fontId="54" fillId="18" borderId="73" xfId="0" applyNumberFormat="1" applyFont="1" applyFill="1" applyBorder="1"/>
    <xf numFmtId="190" fontId="46" fillId="18" borderId="106" xfId="0" applyNumberFormat="1" applyFont="1" applyFill="1" applyBorder="1"/>
    <xf numFmtId="2" fontId="0" fillId="18" borderId="22" xfId="0" applyNumberFormat="1" applyFont="1" applyFill="1" applyBorder="1"/>
    <xf numFmtId="191" fontId="46" fillId="18" borderId="233" xfId="0" applyNumberFormat="1" applyFont="1" applyFill="1" applyBorder="1"/>
    <xf numFmtId="190" fontId="46" fillId="18" borderId="132" xfId="0" applyNumberFormat="1" applyFont="1" applyFill="1" applyBorder="1"/>
    <xf numFmtId="191" fontId="46" fillId="18" borderId="237" xfId="0" applyNumberFormat="1" applyFont="1" applyFill="1" applyBorder="1"/>
    <xf numFmtId="190" fontId="46" fillId="18" borderId="59" xfId="0" applyNumberFormat="1" applyFont="1" applyFill="1" applyBorder="1"/>
    <xf numFmtId="2" fontId="0" fillId="18" borderId="64" xfId="0" applyNumberFormat="1" applyFont="1" applyFill="1" applyBorder="1"/>
    <xf numFmtId="0" fontId="0" fillId="18" borderId="48" xfId="0" applyFill="1" applyBorder="1"/>
    <xf numFmtId="0" fontId="29" fillId="18" borderId="55" xfId="0" applyFont="1" applyFill="1" applyBorder="1"/>
    <xf numFmtId="0" fontId="0" fillId="18" borderId="49" xfId="0" applyFill="1" applyBorder="1"/>
    <xf numFmtId="190" fontId="59" fillId="20" borderId="10" xfId="0" applyNumberFormat="1" applyFont="1" applyFill="1" applyBorder="1" applyAlignment="1">
      <alignment horizontal="right" vertical="center"/>
    </xf>
    <xf numFmtId="191" fontId="37" fillId="20" borderId="200" xfId="0" applyNumberFormat="1" applyFont="1" applyFill="1" applyBorder="1"/>
    <xf numFmtId="191" fontId="59" fillId="20" borderId="13" xfId="0" applyNumberFormat="1" applyFont="1" applyFill="1" applyBorder="1" applyAlignment="1">
      <alignment horizontal="right" vertical="center"/>
    </xf>
    <xf numFmtId="190" fontId="59" fillId="20" borderId="53" xfId="0" applyNumberFormat="1" applyFont="1" applyFill="1" applyBorder="1" applyAlignment="1">
      <alignment horizontal="right" vertical="center"/>
    </xf>
    <xf numFmtId="191" fontId="37" fillId="20" borderId="120" xfId="0" applyNumberFormat="1" applyFont="1" applyFill="1" applyBorder="1"/>
    <xf numFmtId="191" fontId="59" fillId="20" borderId="69" xfId="0" applyNumberFormat="1" applyFont="1" applyFill="1" applyBorder="1" applyAlignment="1">
      <alignment horizontal="right" vertical="center"/>
    </xf>
    <xf numFmtId="217" fontId="54" fillId="19" borderId="218" xfId="0" applyNumberFormat="1" applyFont="1" applyFill="1" applyBorder="1"/>
    <xf numFmtId="2" fontId="54" fillId="19" borderId="65" xfId="0" applyNumberFormat="1" applyFont="1" applyFill="1" applyBorder="1"/>
    <xf numFmtId="2" fontId="54" fillId="19" borderId="77" xfId="0" applyNumberFormat="1" applyFont="1" applyFill="1" applyBorder="1"/>
    <xf numFmtId="2" fontId="54" fillId="0" borderId="33" xfId="0" applyNumberFormat="1" applyFont="1" applyBorder="1"/>
    <xf numFmtId="225" fontId="54" fillId="18" borderId="88" xfId="0" applyNumberFormat="1" applyFont="1" applyFill="1" applyBorder="1"/>
    <xf numFmtId="205" fontId="54" fillId="18" borderId="67" xfId="0" applyNumberFormat="1" applyFont="1" applyFill="1" applyBorder="1"/>
    <xf numFmtId="210" fontId="54" fillId="18" borderId="69" xfId="0" applyNumberFormat="1" applyFont="1" applyFill="1" applyBorder="1"/>
    <xf numFmtId="225" fontId="29" fillId="18" borderId="37" xfId="0" applyNumberFormat="1" applyFont="1" applyFill="1" applyBorder="1"/>
    <xf numFmtId="205" fontId="29" fillId="18" borderId="64" xfId="0" applyNumberFormat="1" applyFont="1" applyFill="1" applyBorder="1"/>
    <xf numFmtId="2" fontId="29" fillId="18" borderId="73" xfId="0" applyNumberFormat="1" applyFont="1" applyFill="1" applyBorder="1"/>
    <xf numFmtId="0" fontId="0" fillId="18" borderId="55" xfId="0" applyFill="1" applyBorder="1"/>
    <xf numFmtId="190" fontId="60" fillId="20" borderId="53" xfId="0" applyNumberFormat="1" applyFont="1" applyFill="1" applyBorder="1" applyAlignment="1">
      <alignment horizontal="right" vertical="center"/>
    </xf>
    <xf numFmtId="191" fontId="61" fillId="20" borderId="120" xfId="0" applyNumberFormat="1" applyFont="1" applyFill="1" applyBorder="1"/>
    <xf numFmtId="191" fontId="60" fillId="20" borderId="69" xfId="0" applyNumberFormat="1" applyFont="1" applyFill="1" applyBorder="1" applyAlignment="1">
      <alignment horizontal="right" vertical="center"/>
    </xf>
    <xf numFmtId="211" fontId="5" fillId="20" borderId="17" xfId="0" applyNumberFormat="1" applyFont="1" applyFill="1" applyBorder="1"/>
    <xf numFmtId="2" fontId="54" fillId="19" borderId="18" xfId="0" applyNumberFormat="1" applyFont="1" applyFill="1" applyBorder="1"/>
    <xf numFmtId="229" fontId="5" fillId="19" borderId="19" xfId="0" applyNumberFormat="1" applyFont="1" applyFill="1" applyBorder="1"/>
    <xf numFmtId="0" fontId="0" fillId="18" borderId="37" xfId="0" applyFill="1" applyBorder="1"/>
    <xf numFmtId="0" fontId="0" fillId="18" borderId="64" xfId="0" applyFill="1" applyBorder="1"/>
    <xf numFmtId="0" fontId="0" fillId="18" borderId="73" xfId="0" applyFill="1" applyBorder="1"/>
    <xf numFmtId="211" fontId="0" fillId="18" borderId="48" xfId="0" applyNumberFormat="1" applyFill="1" applyBorder="1"/>
    <xf numFmtId="210" fontId="29" fillId="18" borderId="55" xfId="0" applyNumberFormat="1" applyFont="1" applyFill="1" applyBorder="1"/>
    <xf numFmtId="210" fontId="0" fillId="18" borderId="49" xfId="0" applyNumberFormat="1" applyFill="1" applyBorder="1"/>
    <xf numFmtId="211" fontId="0" fillId="18" borderId="30" xfId="0" applyNumberFormat="1" applyFill="1" applyBorder="1"/>
    <xf numFmtId="210" fontId="29" fillId="18" borderId="23" xfId="0" applyNumberFormat="1" applyFont="1" applyFill="1" applyBorder="1"/>
    <xf numFmtId="229" fontId="0" fillId="18" borderId="50" xfId="0" applyNumberFormat="1" applyFill="1" applyBorder="1"/>
    <xf numFmtId="211" fontId="5" fillId="19" borderId="17" xfId="0" applyNumberFormat="1" applyFont="1" applyFill="1" applyBorder="1"/>
    <xf numFmtId="210" fontId="54" fillId="19" borderId="18" xfId="0" applyNumberFormat="1" applyFont="1" applyFill="1" applyBorder="1"/>
    <xf numFmtId="210" fontId="5" fillId="19" borderId="19" xfId="0" applyNumberFormat="1" applyFont="1" applyFill="1" applyBorder="1"/>
    <xf numFmtId="207" fontId="0" fillId="0" borderId="0" xfId="0" applyNumberFormat="1"/>
    <xf numFmtId="217" fontId="0" fillId="20" borderId="22" xfId="0" applyNumberFormat="1" applyFill="1" applyBorder="1"/>
    <xf numFmtId="0" fontId="0" fillId="20" borderId="22" xfId="0" applyFill="1" applyBorder="1"/>
    <xf numFmtId="2" fontId="0" fillId="20" borderId="22" xfId="0" applyNumberFormat="1" applyFill="1" applyBorder="1"/>
    <xf numFmtId="190" fontId="0" fillId="0" borderId="0" xfId="0" applyNumberFormat="1"/>
    <xf numFmtId="226" fontId="5" fillId="0" borderId="0" xfId="45" applyNumberFormat="1" applyFont="1" applyAlignment="1">
      <alignment horizontal="left"/>
    </xf>
    <xf numFmtId="49" fontId="24" fillId="0" borderId="22" xfId="0" applyNumberFormat="1" applyFont="1" applyBorder="1" applyAlignment="1">
      <alignment horizontal="left" vertical="top" indent="2"/>
    </xf>
    <xf numFmtId="49" fontId="27" fillId="0" borderId="35" xfId="0" applyNumberFormat="1" applyFont="1" applyBorder="1" applyAlignment="1">
      <alignment horizontal="center" vertical="top" wrapText="1"/>
    </xf>
    <xf numFmtId="49" fontId="24" fillId="0" borderId="88" xfId="0" applyNumberFormat="1" applyFont="1" applyBorder="1" applyAlignment="1">
      <alignment vertical="top"/>
    </xf>
    <xf numFmtId="195" fontId="24" fillId="2" borderId="67" xfId="0" applyNumberFormat="1" applyFont="1" applyFill="1" applyBorder="1" applyAlignment="1">
      <alignment horizontal="right" vertical="top"/>
    </xf>
    <xf numFmtId="195" fontId="27" fillId="0" borderId="36" xfId="0" applyNumberFormat="1" applyFont="1" applyBorder="1" applyAlignment="1">
      <alignment horizontal="right" vertical="top"/>
    </xf>
    <xf numFmtId="195" fontId="19" fillId="0" borderId="64" xfId="0" applyNumberFormat="1" applyFont="1" applyBorder="1" applyAlignment="1">
      <alignment horizontal="right" vertical="top"/>
    </xf>
    <xf numFmtId="195" fontId="27" fillId="0" borderId="64" xfId="0" applyNumberFormat="1" applyFont="1" applyBorder="1" applyAlignment="1">
      <alignment horizontal="right" vertical="top"/>
    </xf>
    <xf numFmtId="49" fontId="27" fillId="0" borderId="0" xfId="0" applyNumberFormat="1" applyFont="1" applyAlignment="1">
      <alignment horizontal="left" vertical="top" indent="2"/>
    </xf>
    <xf numFmtId="195" fontId="29" fillId="0" borderId="39" xfId="0" applyNumberFormat="1" applyFont="1" applyBorder="1" applyAlignment="1">
      <alignment horizontal="right" vertical="top"/>
    </xf>
    <xf numFmtId="49" fontId="19" fillId="0" borderId="0" xfId="0" applyNumberFormat="1" applyFont="1" applyAlignment="1">
      <alignment horizontal="center"/>
    </xf>
    <xf numFmtId="49" fontId="55" fillId="0" borderId="0" xfId="0" applyNumberFormat="1" applyFont="1" applyAlignment="1">
      <alignment horizontal="left" vertical="top" indent="2"/>
    </xf>
    <xf numFmtId="49" fontId="19" fillId="0" borderId="0" xfId="0" applyNumberFormat="1" applyFont="1" applyAlignment="1">
      <alignment horizontal="left" vertical="top"/>
    </xf>
    <xf numFmtId="49" fontId="24" fillId="0" borderId="16" xfId="0" applyNumberFormat="1" applyFont="1" applyBorder="1" applyAlignment="1">
      <alignment vertical="top"/>
    </xf>
    <xf numFmtId="195" fontId="24" fillId="2" borderId="18" xfId="0" applyNumberFormat="1" applyFont="1" applyFill="1" applyBorder="1" applyAlignment="1">
      <alignment horizontal="right" vertical="top"/>
    </xf>
    <xf numFmtId="2" fontId="24" fillId="2" borderId="18" xfId="0" applyNumberFormat="1" applyFont="1" applyFill="1" applyBorder="1" applyAlignment="1">
      <alignment horizontal="right" vertical="top"/>
    </xf>
    <xf numFmtId="195" fontId="19" fillId="0" borderId="65" xfId="0" applyNumberFormat="1" applyFont="1" applyBorder="1" applyAlignment="1">
      <alignment horizontal="right" vertical="top"/>
    </xf>
    <xf numFmtId="195" fontId="19" fillId="2" borderId="64" xfId="0" applyNumberFormat="1" applyFont="1" applyFill="1" applyBorder="1" applyAlignment="1">
      <alignment horizontal="right" vertical="top"/>
    </xf>
    <xf numFmtId="195" fontId="0" fillId="0" borderId="64" xfId="0" applyNumberFormat="1" applyBorder="1"/>
    <xf numFmtId="195" fontId="0" fillId="0" borderId="67" xfId="0" applyNumberFormat="1" applyBorder="1"/>
    <xf numFmtId="0" fontId="0" fillId="0" borderId="0" xfId="0" applyFont="1" applyAlignment="1">
      <alignment vertical="top"/>
    </xf>
    <xf numFmtId="49" fontId="55" fillId="0" borderId="35" xfId="0" applyNumberFormat="1" applyFont="1" applyBorder="1" applyAlignment="1">
      <alignment horizontal="center" vertical="top" wrapText="1"/>
    </xf>
    <xf numFmtId="195" fontId="24" fillId="2" borderId="68" xfId="0" applyNumberFormat="1" applyFont="1" applyFill="1" applyBorder="1" applyAlignment="1">
      <alignment horizontal="right" vertical="top"/>
    </xf>
    <xf numFmtId="195" fontId="54" fillId="2" borderId="67" xfId="0" applyNumberFormat="1" applyFont="1" applyFill="1" applyBorder="1" applyAlignment="1">
      <alignment horizontal="right" vertical="top"/>
    </xf>
    <xf numFmtId="195" fontId="29" fillId="0" borderId="64" xfId="0" applyNumberFormat="1" applyFont="1" applyBorder="1" applyAlignment="1">
      <alignment horizontal="right" vertical="top"/>
    </xf>
    <xf numFmtId="195" fontId="55" fillId="0" borderId="64" xfId="0" applyNumberFormat="1" applyFont="1" applyBorder="1" applyAlignment="1">
      <alignment horizontal="right" vertical="top"/>
    </xf>
    <xf numFmtId="195" fontId="24" fillId="2" borderId="21" xfId="0" applyNumberFormat="1" applyFont="1" applyFill="1" applyBorder="1" applyAlignment="1">
      <alignment horizontal="right" vertical="top"/>
    </xf>
    <xf numFmtId="195" fontId="54" fillId="2" borderId="18" xfId="0" applyNumberFormat="1" applyFont="1" applyFill="1" applyBorder="1" applyAlignment="1">
      <alignment horizontal="right" vertical="top"/>
    </xf>
    <xf numFmtId="195" fontId="29" fillId="0" borderId="65" xfId="0" applyNumberFormat="1" applyFont="1" applyBorder="1" applyAlignment="1">
      <alignment horizontal="right" vertical="top"/>
    </xf>
    <xf numFmtId="195" fontId="0" fillId="0" borderId="64" xfId="0" applyNumberFormat="1" applyFont="1" applyBorder="1"/>
    <xf numFmtId="195" fontId="24" fillId="2" borderId="1" xfId="0" applyNumberFormat="1" applyFont="1" applyFill="1" applyBorder="1" applyAlignment="1">
      <alignment horizontal="right" vertical="top"/>
    </xf>
    <xf numFmtId="2" fontId="0" fillId="0" borderId="64" xfId="0" applyNumberFormat="1" applyBorder="1"/>
    <xf numFmtId="2" fontId="24" fillId="2" borderId="20" xfId="0" applyNumberFormat="1" applyFont="1" applyFill="1" applyBorder="1" applyAlignment="1">
      <alignment horizontal="right" vertical="top"/>
    </xf>
    <xf numFmtId="195" fontId="19" fillId="0" borderId="76" xfId="0" applyNumberFormat="1" applyFont="1" applyBorder="1" applyAlignment="1">
      <alignment horizontal="right" vertical="top"/>
    </xf>
    <xf numFmtId="195" fontId="0" fillId="0" borderId="39" xfId="0" applyNumberFormat="1" applyFont="1" applyBorder="1"/>
    <xf numFmtId="195" fontId="0" fillId="0" borderId="39" xfId="0" applyNumberFormat="1" applyBorder="1"/>
    <xf numFmtId="0" fontId="0" fillId="21" borderId="27" xfId="0" applyFill="1" applyBorder="1" applyAlignment="1">
      <alignment horizontal="center"/>
    </xf>
    <xf numFmtId="195" fontId="5" fillId="2" borderId="8" xfId="0" applyNumberFormat="1" applyFont="1" applyFill="1" applyBorder="1"/>
    <xf numFmtId="195" fontId="24" fillId="21" borderId="79" xfId="0" applyNumberFormat="1" applyFont="1" applyFill="1" applyBorder="1" applyAlignment="1">
      <alignment horizontal="right" vertical="top"/>
    </xf>
    <xf numFmtId="202" fontId="5" fillId="0" borderId="40" xfId="48" applyNumberFormat="1" applyFont="1" applyBorder="1"/>
    <xf numFmtId="195" fontId="5" fillId="0" borderId="64" xfId="0" applyNumberFormat="1" applyFont="1" applyBorder="1"/>
    <xf numFmtId="2" fontId="0" fillId="21" borderId="94" xfId="0" applyNumberFormat="1" applyFill="1" applyBorder="1"/>
    <xf numFmtId="195" fontId="5" fillId="2" borderId="18" xfId="0" applyNumberFormat="1" applyFont="1" applyFill="1" applyBorder="1"/>
    <xf numFmtId="195" fontId="24" fillId="21" borderId="33" xfId="0" applyNumberFormat="1" applyFont="1" applyFill="1" applyBorder="1" applyAlignment="1">
      <alignment horizontal="right" vertical="top"/>
    </xf>
    <xf numFmtId="215" fontId="19" fillId="0" borderId="64" xfId="0" applyNumberFormat="1" applyFont="1" applyBorder="1" applyAlignment="1">
      <alignment horizontal="right" vertical="top"/>
    </xf>
    <xf numFmtId="0" fontId="5" fillId="0" borderId="18" xfId="0" applyFont="1" applyBorder="1" applyAlignment="1">
      <alignment horizontal="center" vertical="center"/>
    </xf>
    <xf numFmtId="223" fontId="0" fillId="0" borderId="23" xfId="45" applyNumberFormat="1" applyFont="1" applyBorder="1"/>
    <xf numFmtId="0" fontId="5" fillId="6" borderId="17" xfId="0" applyFont="1" applyFill="1" applyBorder="1"/>
    <xf numFmtId="223" fontId="5" fillId="6" borderId="18" xfId="45" applyNumberFormat="1" applyFont="1" applyFill="1" applyBorder="1"/>
    <xf numFmtId="223" fontId="0" fillId="0" borderId="55" xfId="45" applyNumberFormat="1" applyFont="1" applyBorder="1"/>
    <xf numFmtId="0" fontId="0" fillId="0" borderId="83" xfId="0" applyBorder="1"/>
    <xf numFmtId="223" fontId="0" fillId="0" borderId="66" xfId="45" applyNumberFormat="1" applyFont="1" applyBorder="1"/>
    <xf numFmtId="223" fontId="0" fillId="6" borderId="12" xfId="45" applyNumberFormat="1" applyFont="1" applyFill="1" applyBorder="1"/>
    <xf numFmtId="223" fontId="5" fillId="0" borderId="18" xfId="45" applyNumberFormat="1" applyFont="1" applyBorder="1"/>
    <xf numFmtId="0" fontId="4" fillId="6" borderId="17" xfId="0" applyFont="1" applyFill="1" applyBorder="1"/>
    <xf numFmtId="223" fontId="4" fillId="6" borderId="18" xfId="45" applyNumberFormat="1" applyFont="1" applyFill="1" applyBorder="1"/>
    <xf numFmtId="0" fontId="5" fillId="0" borderId="19" xfId="0" applyFont="1" applyBorder="1" applyAlignment="1">
      <alignment horizontal="center" vertical="center"/>
    </xf>
    <xf numFmtId="223" fontId="5" fillId="0" borderId="13" xfId="45" applyNumberFormat="1" applyFont="1" applyBorder="1"/>
    <xf numFmtId="223" fontId="5" fillId="0" borderId="38" xfId="45" applyNumberFormat="1" applyFont="1" applyBorder="1"/>
    <xf numFmtId="223" fontId="5" fillId="0" borderId="50" xfId="45" applyNumberFormat="1" applyFont="1" applyBorder="1"/>
    <xf numFmtId="223" fontId="5" fillId="6" borderId="19" xfId="45" applyNumberFormat="1" applyFont="1" applyFill="1" applyBorder="1"/>
    <xf numFmtId="223" fontId="5" fillId="0" borderId="49" xfId="45" applyNumberFormat="1" applyFont="1" applyBorder="1"/>
    <xf numFmtId="223" fontId="5" fillId="0" borderId="78" xfId="45" applyNumberFormat="1" applyFont="1" applyBorder="1"/>
    <xf numFmtId="223" fontId="5" fillId="6" borderId="13" xfId="45" applyNumberFormat="1" applyFont="1" applyFill="1" applyBorder="1"/>
    <xf numFmtId="223" fontId="5" fillId="0" borderId="9" xfId="45" applyNumberFormat="1" applyFont="1" applyBorder="1"/>
    <xf numFmtId="223" fontId="5" fillId="0" borderId="19" xfId="45" applyNumberFormat="1" applyFont="1" applyBorder="1"/>
    <xf numFmtId="223" fontId="4" fillId="6" borderId="19" xfId="45" applyNumberFormat="1" applyFont="1" applyFill="1" applyBorder="1"/>
    <xf numFmtId="49" fontId="24" fillId="0" borderId="16" xfId="0" applyNumberFormat="1" applyFont="1" applyBorder="1" applyAlignment="1">
      <alignment horizontal="left" vertical="top" indent="2"/>
    </xf>
    <xf numFmtId="195" fontId="24" fillId="0" borderId="21" xfId="0" applyNumberFormat="1" applyFont="1" applyBorder="1" applyAlignment="1">
      <alignment horizontal="right" vertical="top"/>
    </xf>
    <xf numFmtId="195" fontId="5" fillId="0" borderId="0" xfId="0" applyNumberFormat="1" applyFont="1"/>
    <xf numFmtId="2" fontId="4" fillId="0" borderId="0" xfId="0" applyNumberFormat="1" applyFont="1"/>
    <xf numFmtId="0" fontId="0" fillId="0" borderId="0" xfId="0" applyAlignment="1">
      <alignment horizontal="right"/>
    </xf>
    <xf numFmtId="195" fontId="0" fillId="0" borderId="0" xfId="0" applyNumberFormat="1" applyFont="1"/>
    <xf numFmtId="195" fontId="24" fillId="0" borderId="18" xfId="0" applyNumberFormat="1" applyFont="1" applyBorder="1" applyAlignment="1">
      <alignment horizontal="right" vertical="top"/>
    </xf>
    <xf numFmtId="2" fontId="24" fillId="0" borderId="18" xfId="0" applyNumberFormat="1" applyFont="1" applyBorder="1" applyAlignment="1">
      <alignment horizontal="right" vertical="top"/>
    </xf>
    <xf numFmtId="2" fontId="24" fillId="21" borderId="21" xfId="0" applyNumberFormat="1" applyFont="1" applyFill="1" applyBorder="1" applyAlignment="1">
      <alignment horizontal="right" vertical="top"/>
    </xf>
    <xf numFmtId="195" fontId="19" fillId="0" borderId="85" xfId="0" applyNumberFormat="1" applyFont="1" applyBorder="1" applyAlignment="1">
      <alignment horizontal="right" vertical="top"/>
    </xf>
    <xf numFmtId="195" fontId="0" fillId="0" borderId="94" xfId="0" applyNumberFormat="1" applyBorder="1"/>
    <xf numFmtId="202" fontId="0" fillId="0" borderId="0" xfId="48" applyNumberFormat="1" applyFont="1" applyFill="1" applyBorder="1"/>
    <xf numFmtId="195" fontId="0" fillId="22" borderId="23" xfId="0" applyNumberFormat="1" applyFill="1" applyBorder="1"/>
    <xf numFmtId="2" fontId="0" fillId="22" borderId="64" xfId="0" applyNumberFormat="1" applyFill="1" applyBorder="1"/>
    <xf numFmtId="195" fontId="5" fillId="22" borderId="64" xfId="0" applyNumberFormat="1" applyFont="1" applyFill="1" applyBorder="1"/>
    <xf numFmtId="202" fontId="5" fillId="0" borderId="0" xfId="48" applyNumberFormat="1" applyFont="1"/>
    <xf numFmtId="2" fontId="0" fillId="21" borderId="64" xfId="0" applyNumberFormat="1" applyFill="1" applyBorder="1"/>
    <xf numFmtId="195" fontId="0" fillId="21" borderId="64" xfId="0" applyNumberFormat="1" applyFill="1" applyBorder="1"/>
    <xf numFmtId="2" fontId="5" fillId="21" borderId="64" xfId="0" applyNumberFormat="1" applyFont="1" applyFill="1" applyBorder="1"/>
    <xf numFmtId="202" fontId="5" fillId="0" borderId="0" xfId="0" applyNumberFormat="1" applyFont="1"/>
    <xf numFmtId="2" fontId="4" fillId="21" borderId="12" xfId="0" applyNumberFormat="1" applyFont="1" applyFill="1" applyBorder="1"/>
    <xf numFmtId="202" fontId="4" fillId="0" borderId="0" xfId="0" applyNumberFormat="1" applyFont="1"/>
    <xf numFmtId="2" fontId="24" fillId="0" borderId="0" xfId="0" applyNumberFormat="1" applyFont="1" applyAlignment="1">
      <alignment horizontal="right" vertical="top"/>
    </xf>
    <xf numFmtId="49" fontId="21" fillId="0" borderId="0" xfId="0" applyNumberFormat="1" applyFont="1" applyAlignment="1">
      <alignment vertical="top"/>
    </xf>
    <xf numFmtId="49" fontId="24" fillId="0" borderId="35" xfId="0" applyNumberFormat="1" applyFont="1" applyBorder="1" applyAlignment="1">
      <alignment horizontal="left" vertical="top" indent="2"/>
    </xf>
    <xf numFmtId="49" fontId="24" fillId="0" borderId="0" xfId="0" applyNumberFormat="1" applyFont="1" applyAlignment="1">
      <alignment horizontal="center" vertical="center"/>
    </xf>
    <xf numFmtId="195" fontId="62" fillId="0" borderId="34" xfId="0" applyNumberFormat="1" applyFont="1" applyBorder="1" applyAlignment="1">
      <alignment horizontal="center" vertical="center"/>
    </xf>
    <xf numFmtId="195" fontId="63" fillId="0" borderId="34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left"/>
    </xf>
    <xf numFmtId="195" fontId="64" fillId="0" borderId="36" xfId="0" applyNumberFormat="1" applyFont="1" applyBorder="1" applyAlignment="1">
      <alignment horizontal="right" vertical="center"/>
    </xf>
    <xf numFmtId="195" fontId="64" fillId="0" borderId="23" xfId="0" applyNumberFormat="1" applyFont="1" applyBorder="1" applyAlignment="1">
      <alignment horizontal="right" vertical="center"/>
    </xf>
    <xf numFmtId="49" fontId="19" fillId="0" borderId="0" xfId="0" applyNumberFormat="1" applyFont="1"/>
    <xf numFmtId="195" fontId="65" fillId="0" borderId="39" xfId="0" applyNumberFormat="1" applyFont="1" applyBorder="1" applyAlignment="1">
      <alignment horizontal="right" vertical="top"/>
    </xf>
    <xf numFmtId="195" fontId="65" fillId="0" borderId="64" xfId="0" applyNumberFormat="1" applyFont="1" applyBorder="1" applyAlignment="1">
      <alignment horizontal="right" vertical="top"/>
    </xf>
    <xf numFmtId="49" fontId="27" fillId="0" borderId="0" xfId="0" applyNumberFormat="1" applyFont="1" applyAlignment="1">
      <alignment horizontal="left"/>
    </xf>
    <xf numFmtId="195" fontId="63" fillId="0" borderId="39" xfId="0" applyNumberFormat="1" applyFont="1" applyBorder="1" applyAlignment="1">
      <alignment horizontal="right" vertical="top"/>
    </xf>
    <xf numFmtId="195" fontId="63" fillId="0" borderId="64" xfId="0" applyNumberFormat="1" applyFont="1" applyBorder="1" applyAlignment="1">
      <alignment horizontal="right" vertical="top"/>
    </xf>
    <xf numFmtId="195" fontId="66" fillId="0" borderId="39" xfId="0" applyNumberFormat="1" applyFont="1" applyBorder="1" applyAlignment="1">
      <alignment horizontal="right" vertical="top"/>
    </xf>
    <xf numFmtId="195" fontId="66" fillId="0" borderId="64" xfId="0" applyNumberFormat="1" applyFont="1" applyBorder="1" applyAlignment="1">
      <alignment horizontal="right" vertical="top"/>
    </xf>
    <xf numFmtId="195" fontId="67" fillId="0" borderId="64" xfId="0" applyNumberFormat="1" applyFont="1" applyBorder="1" applyAlignment="1">
      <alignment horizontal="right" vertical="top"/>
    </xf>
    <xf numFmtId="195" fontId="65" fillId="0" borderId="12" xfId="0" applyNumberFormat="1" applyFont="1" applyBorder="1" applyAlignment="1">
      <alignment horizontal="right" vertical="top"/>
    </xf>
    <xf numFmtId="49" fontId="24" fillId="0" borderId="51" xfId="0" applyNumberFormat="1" applyFont="1" applyBorder="1" applyAlignment="1">
      <alignment horizontal="left" vertical="top" indent="2"/>
    </xf>
    <xf numFmtId="195" fontId="65" fillId="0" borderId="22" xfId="0" applyNumberFormat="1" applyFont="1" applyBorder="1"/>
    <xf numFmtId="0" fontId="20" fillId="0" borderId="0" xfId="0" applyFont="1"/>
    <xf numFmtId="2" fontId="20" fillId="0" borderId="0" xfId="0" applyNumberFormat="1" applyFont="1"/>
    <xf numFmtId="215" fontId="20" fillId="0" borderId="0" xfId="0" applyNumberFormat="1" applyFont="1"/>
    <xf numFmtId="215" fontId="20" fillId="16" borderId="0" xfId="0" applyNumberFormat="1" applyFont="1" applyFill="1"/>
    <xf numFmtId="2" fontId="68" fillId="0" borderId="0" xfId="0" applyNumberFormat="1" applyFont="1"/>
    <xf numFmtId="215" fontId="68" fillId="0" borderId="0" xfId="0" applyNumberFormat="1" applyFont="1"/>
    <xf numFmtId="217" fontId="20" fillId="0" borderId="0" xfId="0" applyNumberFormat="1" applyFont="1"/>
    <xf numFmtId="231" fontId="20" fillId="0" borderId="0" xfId="45" applyFont="1"/>
    <xf numFmtId="231" fontId="68" fillId="0" borderId="0" xfId="45" applyFont="1"/>
    <xf numFmtId="195" fontId="62" fillId="0" borderId="12" xfId="0" applyNumberFormat="1" applyFont="1" applyBorder="1" applyAlignment="1">
      <alignment horizontal="center" vertical="center"/>
    </xf>
    <xf numFmtId="195" fontId="64" fillId="0" borderId="36" xfId="0" applyNumberFormat="1" applyFont="1" applyBorder="1" applyAlignment="1">
      <alignment horizontal="right" vertical="top"/>
    </xf>
    <xf numFmtId="195" fontId="62" fillId="0" borderId="36" xfId="0" applyNumberFormat="1" applyFont="1" applyBorder="1" applyAlignment="1">
      <alignment horizontal="right" vertical="top"/>
    </xf>
    <xf numFmtId="195" fontId="64" fillId="0" borderId="64" xfId="0" applyNumberFormat="1" applyFont="1" applyBorder="1" applyAlignment="1">
      <alignment horizontal="right" vertical="top"/>
    </xf>
    <xf numFmtId="195" fontId="69" fillId="0" borderId="39" xfId="0" applyNumberFormat="1" applyFont="1" applyBorder="1" applyAlignment="1">
      <alignment horizontal="right" vertical="top"/>
    </xf>
    <xf numFmtId="195" fontId="62" fillId="0" borderId="64" xfId="0" applyNumberFormat="1" applyFont="1" applyBorder="1" applyAlignment="1">
      <alignment horizontal="right" vertical="top"/>
    </xf>
    <xf numFmtId="195" fontId="70" fillId="0" borderId="64" xfId="0" applyNumberFormat="1" applyFont="1" applyBorder="1" applyAlignment="1">
      <alignment horizontal="center" vertical="top"/>
    </xf>
    <xf numFmtId="195" fontId="71" fillId="0" borderId="39" xfId="0" applyNumberFormat="1" applyFont="1" applyBorder="1" applyAlignment="1">
      <alignment horizontal="right" vertical="top"/>
    </xf>
    <xf numFmtId="195" fontId="67" fillId="0" borderId="39" xfId="0" applyNumberFormat="1" applyFont="1" applyBorder="1" applyAlignment="1">
      <alignment horizontal="right" vertical="top"/>
    </xf>
    <xf numFmtId="195" fontId="65" fillId="0" borderId="35" xfId="0" applyNumberFormat="1" applyFont="1" applyBorder="1"/>
    <xf numFmtId="215" fontId="23" fillId="0" borderId="0" xfId="0" applyNumberFormat="1" applyFont="1"/>
    <xf numFmtId="195" fontId="20" fillId="0" borderId="0" xfId="0" applyNumberFormat="1" applyFont="1"/>
    <xf numFmtId="195" fontId="65" fillId="0" borderId="0" xfId="0" applyNumberFormat="1" applyFont="1" applyAlignment="1">
      <alignment horizontal="right" vertical="top"/>
    </xf>
    <xf numFmtId="188" fontId="65" fillId="0" borderId="0" xfId="0" applyNumberFormat="1" applyFont="1" applyAlignment="1">
      <alignment horizontal="right" vertical="top"/>
    </xf>
    <xf numFmtId="195" fontId="62" fillId="0" borderId="32" xfId="0" applyNumberFormat="1" applyFont="1" applyBorder="1" applyAlignment="1">
      <alignment horizontal="center" vertical="center"/>
    </xf>
    <xf numFmtId="195" fontId="64" fillId="0" borderId="0" xfId="0" applyNumberFormat="1" applyFont="1" applyAlignment="1">
      <alignment horizontal="right" vertical="top"/>
    </xf>
    <xf numFmtId="195" fontId="62" fillId="0" borderId="0" xfId="0" applyNumberFormat="1" applyFont="1" applyAlignment="1">
      <alignment horizontal="right" vertical="top"/>
    </xf>
    <xf numFmtId="195" fontId="70" fillId="0" borderId="64" xfId="0" applyNumberFormat="1" applyFont="1" applyBorder="1" applyAlignment="1">
      <alignment horizontal="right" vertical="top"/>
    </xf>
    <xf numFmtId="195" fontId="63" fillId="0" borderId="0" xfId="0" applyNumberFormat="1" applyFont="1" applyAlignment="1">
      <alignment horizontal="right" vertical="top"/>
    </xf>
    <xf numFmtId="195" fontId="66" fillId="0" borderId="0" xfId="0" applyNumberFormat="1" applyFont="1" applyAlignment="1">
      <alignment horizontal="right" vertical="top"/>
    </xf>
    <xf numFmtId="195" fontId="66" fillId="2" borderId="0" xfId="0" applyNumberFormat="1" applyFont="1" applyFill="1" applyAlignment="1">
      <alignment horizontal="right" vertical="top"/>
    </xf>
    <xf numFmtId="195" fontId="65" fillId="0" borderId="51" xfId="0" applyNumberFormat="1" applyFont="1" applyBorder="1"/>
    <xf numFmtId="188" fontId="20" fillId="0" borderId="0" xfId="0" applyNumberFormat="1" applyFont="1"/>
    <xf numFmtId="49" fontId="19" fillId="0" borderId="0" xfId="0" applyNumberFormat="1" applyFont="1" applyAlignment="1">
      <alignment horizontal="center" vertical="top" wrapText="1"/>
    </xf>
    <xf numFmtId="49" fontId="19" fillId="0" borderId="39" xfId="0" applyNumberFormat="1" applyFont="1" applyBorder="1" applyAlignment="1">
      <alignment horizontal="center" vertical="top" wrapText="1"/>
    </xf>
    <xf numFmtId="195" fontId="22" fillId="0" borderId="22" xfId="0" applyNumberFormat="1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95" fontId="64" fillId="0" borderId="64" xfId="0" applyNumberFormat="1" applyFont="1" applyBorder="1" applyAlignment="1">
      <alignment vertical="center"/>
    </xf>
    <xf numFmtId="2" fontId="20" fillId="21" borderId="29" xfId="0" applyNumberFormat="1" applyFont="1" applyFill="1" applyBorder="1" applyAlignment="1">
      <alignment vertical="center"/>
    </xf>
    <xf numFmtId="195" fontId="64" fillId="0" borderId="64" xfId="0" applyNumberFormat="1" applyFont="1" applyBorder="1"/>
    <xf numFmtId="2" fontId="20" fillId="21" borderId="29" xfId="0" applyNumberFormat="1" applyFont="1" applyFill="1" applyBorder="1"/>
    <xf numFmtId="202" fontId="0" fillId="0" borderId="0" xfId="48" applyNumberFormat="1" applyFont="1" applyFill="1" applyAlignment="1">
      <alignment horizontal="center"/>
    </xf>
    <xf numFmtId="202" fontId="5" fillId="0" borderId="0" xfId="48" applyNumberFormat="1" applyFont="1" applyFill="1" applyAlignment="1">
      <alignment horizontal="center"/>
    </xf>
    <xf numFmtId="195" fontId="65" fillId="0" borderId="64" xfId="0" applyNumberFormat="1" applyFont="1" applyBorder="1"/>
    <xf numFmtId="2" fontId="20" fillId="21" borderId="94" xfId="0" applyNumberFormat="1" applyFont="1" applyFill="1" applyBorder="1"/>
    <xf numFmtId="202" fontId="0" fillId="0" borderId="0" xfId="48" applyNumberFormat="1" applyFont="1" applyAlignment="1">
      <alignment horizontal="center"/>
    </xf>
    <xf numFmtId="195" fontId="62" fillId="0" borderId="22" xfId="0" applyNumberFormat="1" applyFont="1" applyBorder="1"/>
    <xf numFmtId="2" fontId="20" fillId="21" borderId="27" xfId="0" applyNumberFormat="1" applyFont="1" applyFill="1" applyBorder="1"/>
    <xf numFmtId="2" fontId="20" fillId="21" borderId="44" xfId="0" applyNumberFormat="1" applyFont="1" applyFill="1" applyBorder="1"/>
    <xf numFmtId="2" fontId="20" fillId="21" borderId="99" xfId="0" applyNumberFormat="1" applyFont="1" applyFill="1" applyBorder="1"/>
    <xf numFmtId="2" fontId="68" fillId="21" borderId="99" xfId="0" applyNumberFormat="1" applyFont="1" applyFill="1" applyBorder="1"/>
    <xf numFmtId="2" fontId="20" fillId="21" borderId="47" xfId="0" applyNumberFormat="1" applyFont="1" applyFill="1" applyBorder="1"/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72" fillId="0" borderId="3" xfId="0" applyFont="1" applyBorder="1" applyAlignment="1">
      <alignment horizontal="left" vertical="center"/>
    </xf>
    <xf numFmtId="181" fontId="0" fillId="0" borderId="3" xfId="0" applyNumberFormat="1" applyBorder="1"/>
    <xf numFmtId="181" fontId="0" fillId="0" borderId="55" xfId="0" applyNumberFormat="1" applyBorder="1"/>
    <xf numFmtId="0" fontId="72" fillId="0" borderId="10" xfId="0" applyFont="1" applyBorder="1" applyAlignment="1">
      <alignment horizontal="left" vertical="center"/>
    </xf>
    <xf numFmtId="181" fontId="0" fillId="0" borderId="10" xfId="0" applyNumberFormat="1" applyBorder="1"/>
    <xf numFmtId="181" fontId="0" fillId="0" borderId="12" xfId="0" applyNumberFormat="1" applyBorder="1"/>
    <xf numFmtId="0" fontId="72" fillId="0" borderId="53" xfId="0" applyFont="1" applyBorder="1" applyAlignment="1">
      <alignment horizontal="left" vertical="center"/>
    </xf>
    <xf numFmtId="181" fontId="0" fillId="0" borderId="53" xfId="0" applyNumberFormat="1" applyBorder="1"/>
    <xf numFmtId="181" fontId="0" fillId="0" borderId="67" xfId="0" applyNumberFormat="1" applyBorder="1"/>
    <xf numFmtId="0" fontId="72" fillId="0" borderId="45" xfId="0" applyFont="1" applyBorder="1" applyAlignment="1">
      <alignment horizontal="left" vertical="center"/>
    </xf>
    <xf numFmtId="0" fontId="72" fillId="0" borderId="14" xfId="0" applyFont="1" applyBorder="1" applyAlignment="1">
      <alignment horizontal="left" vertical="center"/>
    </xf>
    <xf numFmtId="181" fontId="0" fillId="0" borderId="14" xfId="0" applyNumberFormat="1" applyBorder="1"/>
    <xf numFmtId="181" fontId="0" fillId="0" borderId="22" xfId="0" applyNumberFormat="1" applyBorder="1"/>
    <xf numFmtId="0" fontId="72" fillId="0" borderId="14" xfId="0" applyFont="1" applyBorder="1" applyAlignment="1">
      <alignment horizontal="left" vertical="center" wrapText="1"/>
    </xf>
    <xf numFmtId="0" fontId="72" fillId="0" borderId="15" xfId="0" applyFont="1" applyBorder="1" applyAlignment="1">
      <alignment horizontal="left" vertical="center"/>
    </xf>
    <xf numFmtId="181" fontId="0" fillId="0" borderId="15" xfId="0" applyNumberFormat="1" applyBorder="1"/>
    <xf numFmtId="181" fontId="0" fillId="0" borderId="8" xfId="0" applyNumberFormat="1" applyBorder="1"/>
    <xf numFmtId="181" fontId="5" fillId="0" borderId="16" xfId="0" applyNumberFormat="1" applyFont="1" applyBorder="1"/>
    <xf numFmtId="181" fontId="5" fillId="0" borderId="18" xfId="0" applyNumberFormat="1" applyFont="1" applyBorder="1"/>
    <xf numFmtId="9" fontId="0" fillId="0" borderId="0" xfId="48" applyFont="1" applyFill="1" applyBorder="1" applyAlignment="1">
      <alignment horizontal="center"/>
    </xf>
    <xf numFmtId="0" fontId="73" fillId="0" borderId="10" xfId="0" applyFont="1" applyBorder="1" applyAlignment="1">
      <alignment horizontal="left" vertical="center"/>
    </xf>
    <xf numFmtId="0" fontId="73" fillId="0" borderId="14" xfId="0" applyFont="1" applyBorder="1" applyAlignment="1">
      <alignment horizontal="left" vertical="center"/>
    </xf>
    <xf numFmtId="0" fontId="73" fillId="0" borderId="15" xfId="0" applyFont="1" applyBorder="1" applyAlignment="1">
      <alignment horizontal="left" vertical="center"/>
    </xf>
    <xf numFmtId="181" fontId="0" fillId="0" borderId="23" xfId="0" applyNumberFormat="1" applyBorder="1"/>
    <xf numFmtId="181" fontId="5" fillId="0" borderId="88" xfId="0" applyNumberFormat="1" applyFont="1" applyBorder="1"/>
    <xf numFmtId="181" fontId="0" fillId="0" borderId="0" xfId="0" applyNumberFormat="1"/>
    <xf numFmtId="2" fontId="74" fillId="0" borderId="48" xfId="0" applyNumberFormat="1" applyFont="1" applyBorder="1"/>
    <xf numFmtId="202" fontId="5" fillId="0" borderId="0" xfId="0" applyNumberFormat="1" applyFont="1" applyAlignment="1">
      <alignment horizontal="center"/>
    </xf>
    <xf numFmtId="2" fontId="74" fillId="0" borderId="11" xfId="0" applyNumberFormat="1" applyFont="1" applyBorder="1"/>
    <xf numFmtId="2" fontId="74" fillId="0" borderId="28" xfId="0" applyNumberFormat="1" applyFont="1" applyBorder="1"/>
    <xf numFmtId="0" fontId="0" fillId="0" borderId="28" xfId="0" applyFont="1" applyBorder="1"/>
    <xf numFmtId="2" fontId="74" fillId="0" borderId="30" xfId="0" applyNumberFormat="1" applyFont="1" applyBorder="1"/>
    <xf numFmtId="2" fontId="74" fillId="0" borderId="0" xfId="0" applyNumberFormat="1" applyFont="1" applyAlignment="1">
      <alignment horizontal="right"/>
    </xf>
    <xf numFmtId="2" fontId="74" fillId="0" borderId="0" xfId="0" applyNumberFormat="1" applyFont="1" applyAlignment="1">
      <alignment horizontal="right" indent="1"/>
    </xf>
    <xf numFmtId="0" fontId="0" fillId="18" borderId="0" xfId="0" applyFont="1" applyFill="1"/>
    <xf numFmtId="181" fontId="5" fillId="18" borderId="0" xfId="0" applyNumberFormat="1" applyFont="1" applyFill="1"/>
    <xf numFmtId="0" fontId="0" fillId="18" borderId="0" xfId="0" applyFill="1"/>
    <xf numFmtId="0" fontId="5" fillId="18" borderId="0" xfId="0" applyFont="1" applyFill="1"/>
    <xf numFmtId="181" fontId="5" fillId="0" borderId="0" xfId="0" applyNumberFormat="1" applyFont="1"/>
    <xf numFmtId="181" fontId="0" fillId="0" borderId="55" xfId="45" applyNumberFormat="1" applyFont="1" applyBorder="1"/>
    <xf numFmtId="181" fontId="0" fillId="0" borderId="12" xfId="45" applyNumberFormat="1" applyFont="1" applyBorder="1"/>
    <xf numFmtId="181" fontId="0" fillId="0" borderId="67" xfId="45" applyNumberFormat="1" applyFont="1" applyFill="1" applyBorder="1"/>
    <xf numFmtId="181" fontId="0" fillId="0" borderId="34" xfId="0" applyNumberFormat="1" applyBorder="1"/>
    <xf numFmtId="181" fontId="48" fillId="0" borderId="12" xfId="45" applyNumberFormat="1" applyFont="1" applyFill="1" applyBorder="1"/>
    <xf numFmtId="181" fontId="0" fillId="0" borderId="22" xfId="45" applyNumberFormat="1" applyFont="1" applyFill="1" applyBorder="1"/>
    <xf numFmtId="181" fontId="48" fillId="0" borderId="22" xfId="45" applyNumberFormat="1" applyFont="1" applyBorder="1"/>
    <xf numFmtId="181" fontId="0" fillId="0" borderId="22" xfId="45" applyNumberFormat="1" applyFont="1" applyBorder="1"/>
    <xf numFmtId="181" fontId="0" fillId="0" borderId="52" xfId="0" applyNumberFormat="1" applyBorder="1"/>
    <xf numFmtId="181" fontId="0" fillId="0" borderId="8" xfId="45" applyNumberFormat="1" applyFont="1" applyBorder="1"/>
    <xf numFmtId="181" fontId="5" fillId="0" borderId="18" xfId="45" applyNumberFormat="1" applyFont="1" applyBorder="1"/>
    <xf numFmtId="181" fontId="0" fillId="0" borderId="23" xfId="45" applyNumberFormat="1" applyFont="1" applyBorder="1"/>
    <xf numFmtId="181" fontId="5" fillId="0" borderId="88" xfId="45" applyNumberFormat="1" applyFont="1" applyBorder="1"/>
    <xf numFmtId="181" fontId="0" fillId="0" borderId="0" xfId="45" applyNumberFormat="1" applyFont="1"/>
    <xf numFmtId="181" fontId="0" fillId="23" borderId="55" xfId="45" applyNumberFormat="1" applyFont="1" applyFill="1" applyBorder="1"/>
    <xf numFmtId="181" fontId="48" fillId="0" borderId="22" xfId="0" applyNumberFormat="1" applyFont="1" applyBorder="1"/>
    <xf numFmtId="181" fontId="0" fillId="0" borderId="55" xfId="0" applyNumberFormat="1" applyFont="1" applyBorder="1" applyAlignment="1">
      <alignment horizontal="right"/>
    </xf>
    <xf numFmtId="181" fontId="0" fillId="0" borderId="12" xfId="0" applyNumberFormat="1" applyFont="1" applyBorder="1" applyAlignment="1">
      <alignment horizontal="right"/>
    </xf>
    <xf numFmtId="181" fontId="0" fillId="0" borderId="67" xfId="0" applyNumberFormat="1" applyFont="1" applyBorder="1" applyAlignment="1">
      <alignment horizontal="right"/>
    </xf>
    <xf numFmtId="181" fontId="48" fillId="0" borderId="12" xfId="0" applyNumberFormat="1" applyFont="1" applyBorder="1"/>
    <xf numFmtId="181" fontId="0" fillId="0" borderId="22" xfId="45" applyNumberFormat="1" applyFont="1" applyFill="1" applyBorder="1" applyAlignment="1">
      <alignment horizontal="right"/>
    </xf>
    <xf numFmtId="181" fontId="48" fillId="0" borderId="22" xfId="45" applyNumberFormat="1" applyFont="1" applyBorder="1" applyAlignment="1">
      <alignment horizontal="right"/>
    </xf>
    <xf numFmtId="181" fontId="0" fillId="0" borderId="22" xfId="45" applyNumberFormat="1" applyFont="1" applyBorder="1" applyAlignment="1">
      <alignment horizontal="right"/>
    </xf>
    <xf numFmtId="181" fontId="0" fillId="0" borderId="8" xfId="45" applyNumberFormat="1" applyFont="1" applyBorder="1" applyAlignment="1">
      <alignment horizontal="right"/>
    </xf>
    <xf numFmtId="181" fontId="0" fillId="0" borderId="22" xfId="0" applyNumberFormat="1" applyFont="1" applyBorder="1" applyAlignment="1">
      <alignment horizontal="right"/>
    </xf>
    <xf numFmtId="181" fontId="0" fillId="0" borderId="23" xfId="0" applyNumberFormat="1" applyFont="1" applyBorder="1" applyAlignment="1">
      <alignment horizontal="right"/>
    </xf>
    <xf numFmtId="181" fontId="4" fillId="0" borderId="0" xfId="0" applyNumberFormat="1" applyFont="1" applyAlignment="1">
      <alignment horizontal="center"/>
    </xf>
    <xf numFmtId="181" fontId="0" fillId="0" borderId="0" xfId="45" applyNumberFormat="1" applyFont="1" applyFill="1" applyBorder="1"/>
    <xf numFmtId="181" fontId="0" fillId="0" borderId="0" xfId="45" applyNumberFormat="1" applyFont="1" applyBorder="1"/>
    <xf numFmtId="181" fontId="0" fillId="0" borderId="12" xfId="0" applyNumberFormat="1" applyBorder="1" applyAlignment="1">
      <alignment horizontal="right"/>
    </xf>
    <xf numFmtId="181" fontId="0" fillId="0" borderId="22" xfId="0" applyNumberFormat="1" applyBorder="1" applyAlignment="1">
      <alignment horizontal="right"/>
    </xf>
    <xf numFmtId="0" fontId="5" fillId="6" borderId="19" xfId="0" applyFont="1" applyFill="1" applyBorder="1" applyAlignment="1">
      <alignment horizontal="center"/>
    </xf>
    <xf numFmtId="181" fontId="0" fillId="0" borderId="55" xfId="45" applyNumberFormat="1" applyFont="1" applyFill="1" applyBorder="1"/>
    <xf numFmtId="181" fontId="0" fillId="4" borderId="49" xfId="48" applyNumberFormat="1" applyFont="1" applyFill="1" applyBorder="1" applyAlignment="1">
      <alignment horizontal="right"/>
    </xf>
    <xf numFmtId="181" fontId="0" fillId="0" borderId="12" xfId="45" applyNumberFormat="1" applyFont="1" applyFill="1" applyBorder="1"/>
    <xf numFmtId="181" fontId="0" fillId="6" borderId="13" xfId="48" applyNumberFormat="1" applyFont="1" applyFill="1" applyBorder="1" applyAlignment="1">
      <alignment horizontal="right"/>
    </xf>
    <xf numFmtId="181" fontId="0" fillId="6" borderId="69" xfId="48" applyNumberFormat="1" applyFont="1" applyFill="1" applyBorder="1" applyAlignment="1">
      <alignment horizontal="right"/>
    </xf>
    <xf numFmtId="181" fontId="0" fillId="6" borderId="49" xfId="48" applyNumberFormat="1" applyFont="1" applyFill="1" applyBorder="1" applyAlignment="1">
      <alignment horizontal="right"/>
    </xf>
    <xf numFmtId="181" fontId="5" fillId="6" borderId="19" xfId="0" applyNumberFormat="1" applyFont="1" applyFill="1" applyBorder="1"/>
    <xf numFmtId="181" fontId="5" fillId="6" borderId="69" xfId="0" applyNumberFormat="1" applyFont="1" applyFill="1" applyBorder="1"/>
    <xf numFmtId="181" fontId="0" fillId="0" borderId="0" xfId="48" applyNumberFormat="1" applyFont="1" applyFill="1" applyBorder="1" applyAlignment="1">
      <alignment horizontal="center"/>
    </xf>
    <xf numFmtId="181" fontId="0" fillId="0" borderId="0" xfId="48" applyNumberFormat="1" applyFont="1" applyBorder="1" applyAlignment="1">
      <alignment horizontal="center"/>
    </xf>
    <xf numFmtId="181" fontId="0" fillId="0" borderId="12" xfId="0" applyNumberFormat="1" applyFont="1" applyBorder="1"/>
    <xf numFmtId="181" fontId="0" fillId="2" borderId="0" xfId="0" applyNumberFormat="1" applyFill="1"/>
    <xf numFmtId="181" fontId="5" fillId="24" borderId="0" xfId="0" applyNumberFormat="1" applyFont="1" applyFill="1"/>
    <xf numFmtId="202" fontId="0" fillId="2" borderId="0" xfId="48" applyNumberFormat="1" applyFont="1" applyFill="1"/>
    <xf numFmtId="1" fontId="5" fillId="0" borderId="40" xfId="0" applyNumberFormat="1" applyFont="1" applyBorder="1"/>
    <xf numFmtId="1" fontId="5" fillId="0" borderId="45" xfId="0" applyNumberFormat="1" applyFont="1" applyBorder="1"/>
    <xf numFmtId="1" fontId="5" fillId="0" borderId="46" xfId="0" applyNumberFormat="1" applyFont="1" applyBorder="1"/>
    <xf numFmtId="0" fontId="21" fillId="0" borderId="0" xfId="0" applyFont="1"/>
    <xf numFmtId="215" fontId="0" fillId="0" borderId="12" xfId="0" applyNumberFormat="1" applyBorder="1" applyProtection="1">
      <protection locked="0"/>
    </xf>
    <xf numFmtId="0" fontId="75" fillId="0" borderId="14" xfId="0" applyFont="1" applyBorder="1" applyProtection="1">
      <protection locked="0"/>
    </xf>
    <xf numFmtId="217" fontId="21" fillId="0" borderId="11" xfId="0" applyNumberFormat="1" applyFont="1" applyBorder="1" applyProtection="1">
      <protection locked="0"/>
    </xf>
    <xf numFmtId="215" fontId="21" fillId="0" borderId="12" xfId="0" applyNumberFormat="1" applyFont="1" applyBorder="1" applyProtection="1">
      <protection locked="0"/>
    </xf>
    <xf numFmtId="2" fontId="21" fillId="0" borderId="13" xfId="0" applyNumberFormat="1" applyFont="1" applyBorder="1" applyProtection="1">
      <protection locked="0"/>
    </xf>
    <xf numFmtId="217" fontId="76" fillId="0" borderId="17" xfId="0" applyNumberFormat="1" applyFont="1" applyBorder="1" applyProtection="1">
      <protection locked="0"/>
    </xf>
    <xf numFmtId="215" fontId="76" fillId="0" borderId="18" xfId="0" applyNumberFormat="1" applyFont="1" applyBorder="1" applyProtection="1">
      <protection locked="0"/>
    </xf>
    <xf numFmtId="0" fontId="0" fillId="0" borderId="59" xfId="0" applyFont="1" applyBorder="1" applyAlignment="1" applyProtection="1">
      <alignment horizontal="center"/>
      <protection locked="0"/>
    </xf>
    <xf numFmtId="0" fontId="0" fillId="0" borderId="0" xfId="0" applyFont="1" applyAlignment="1" applyProtection="1">
      <alignment horizontal="center"/>
      <protection locked="0"/>
    </xf>
    <xf numFmtId="217" fontId="2" fillId="0" borderId="48" xfId="0" applyNumberFormat="1" applyFont="1" applyBorder="1" applyProtection="1">
      <protection locked="0"/>
    </xf>
    <xf numFmtId="2" fontId="75" fillId="0" borderId="55" xfId="0" applyNumberFormat="1" applyFont="1" applyBorder="1" applyProtection="1">
      <protection locked="0"/>
    </xf>
    <xf numFmtId="2" fontId="0" fillId="0" borderId="49" xfId="0" applyNumberFormat="1" applyBorder="1" applyProtection="1">
      <protection locked="0"/>
    </xf>
    <xf numFmtId="2" fontId="75" fillId="0" borderId="12" xfId="0" applyNumberFormat="1" applyFont="1" applyBorder="1" applyProtection="1">
      <protection locked="0"/>
    </xf>
    <xf numFmtId="0" fontId="2" fillId="0" borderId="46" xfId="0" applyFont="1" applyBorder="1" applyProtection="1">
      <protection locked="0"/>
    </xf>
    <xf numFmtId="217" fontId="2" fillId="0" borderId="88" xfId="0" applyNumberFormat="1" applyFont="1" applyBorder="1" applyProtection="1">
      <protection locked="0"/>
    </xf>
    <xf numFmtId="2" fontId="75" fillId="0" borderId="67" xfId="0" applyNumberFormat="1" applyFont="1" applyBorder="1" applyProtection="1">
      <protection locked="0"/>
    </xf>
    <xf numFmtId="2" fontId="0" fillId="0" borderId="69" xfId="0" applyNumberFormat="1" applyBorder="1" applyProtection="1">
      <protection locked="0"/>
    </xf>
    <xf numFmtId="0" fontId="75" fillId="0" borderId="10" xfId="0" applyFont="1" applyBorder="1" applyProtection="1">
      <protection locked="0"/>
    </xf>
    <xf numFmtId="217" fontId="75" fillId="0" borderId="48" xfId="0" applyNumberFormat="1" applyFont="1" applyBorder="1" applyProtection="1">
      <protection locked="0"/>
    </xf>
    <xf numFmtId="2" fontId="21" fillId="0" borderId="49" xfId="0" applyNumberFormat="1" applyFont="1" applyBorder="1" applyProtection="1">
      <protection locked="0"/>
    </xf>
    <xf numFmtId="2" fontId="2" fillId="0" borderId="67" xfId="0" applyNumberFormat="1" applyFont="1" applyBorder="1" applyProtection="1">
      <protection locked="0"/>
    </xf>
    <xf numFmtId="2" fontId="2" fillId="0" borderId="55" xfId="0" applyNumberFormat="1" applyFont="1" applyBorder="1" applyProtection="1">
      <protection locked="0"/>
    </xf>
    <xf numFmtId="217" fontId="77" fillId="0" borderId="17" xfId="0" applyNumberFormat="1" applyFont="1" applyBorder="1" applyProtection="1">
      <protection locked="0"/>
    </xf>
    <xf numFmtId="2" fontId="0" fillId="0" borderId="13" xfId="0" applyNumberFormat="1" applyFont="1" applyBorder="1" applyProtection="1">
      <protection locked="0"/>
    </xf>
    <xf numFmtId="217" fontId="75" fillId="0" borderId="12" xfId="0" applyNumberFormat="1" applyFont="1" applyBorder="1" applyProtection="1">
      <protection locked="0"/>
    </xf>
    <xf numFmtId="217" fontId="76" fillId="0" borderId="18" xfId="0" applyNumberFormat="1" applyFont="1" applyBorder="1" applyProtection="1">
      <protection locked="0"/>
    </xf>
    <xf numFmtId="2" fontId="76" fillId="0" borderId="18" xfId="0" applyNumberFormat="1" applyFont="1" applyBorder="1" applyProtection="1">
      <protection locked="0"/>
    </xf>
    <xf numFmtId="217" fontId="21" fillId="0" borderId="26" xfId="0" applyNumberFormat="1" applyFont="1" applyBorder="1" applyProtection="1">
      <protection locked="0"/>
    </xf>
    <xf numFmtId="2" fontId="21" fillId="0" borderId="12" xfId="0" applyNumberFormat="1" applyFont="1" applyBorder="1" applyProtection="1">
      <protection locked="0"/>
    </xf>
    <xf numFmtId="217" fontId="75" fillId="0" borderId="11" xfId="0" applyNumberFormat="1" applyFont="1" applyBorder="1" applyProtection="1">
      <protection locked="0"/>
    </xf>
    <xf numFmtId="217" fontId="76" fillId="0" borderId="31" xfId="0" applyNumberFormat="1" applyFont="1" applyBorder="1" applyProtection="1"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3" fillId="0" borderId="44" xfId="0" applyFont="1" applyBorder="1" applyAlignment="1" applyProtection="1">
      <alignment horizontal="center"/>
      <protection locked="0"/>
    </xf>
    <xf numFmtId="2" fontId="0" fillId="0" borderId="4" xfId="0" applyNumberFormat="1" applyBorder="1" applyProtection="1">
      <protection locked="0"/>
    </xf>
    <xf numFmtId="2" fontId="0" fillId="0" borderId="55" xfId="0" applyNumberFormat="1" applyBorder="1" applyProtection="1">
      <protection locked="0"/>
    </xf>
    <xf numFmtId="2" fontId="0" fillId="0" borderId="70" xfId="0" applyNumberFormat="1" applyBorder="1" applyProtection="1">
      <protection locked="0"/>
    </xf>
    <xf numFmtId="2" fontId="2" fillId="0" borderId="45" xfId="0" applyNumberFormat="1" applyFont="1" applyBorder="1" applyProtection="1">
      <protection locked="0"/>
    </xf>
    <xf numFmtId="2" fontId="2" fillId="0" borderId="41" xfId="0" applyNumberFormat="1" applyFont="1" applyBorder="1" applyProtection="1">
      <protection locked="0"/>
    </xf>
    <xf numFmtId="2" fontId="0" fillId="0" borderId="1" xfId="0" applyNumberFormat="1" applyBorder="1" applyProtection="1">
      <protection locked="0"/>
    </xf>
    <xf numFmtId="2" fontId="0" fillId="0" borderId="67" xfId="0" applyNumberFormat="1" applyBorder="1" applyProtection="1">
      <protection locked="0"/>
    </xf>
    <xf numFmtId="2" fontId="0" fillId="0" borderId="68" xfId="0" applyNumberFormat="1" applyBorder="1" applyProtection="1">
      <protection locked="0"/>
    </xf>
    <xf numFmtId="2" fontId="2" fillId="0" borderId="47" xfId="0" applyNumberFormat="1" applyFont="1" applyBorder="1" applyProtection="1">
      <protection locked="0"/>
    </xf>
    <xf numFmtId="2" fontId="21" fillId="0" borderId="4" xfId="0" applyNumberFormat="1" applyFont="1" applyBorder="1" applyProtection="1">
      <protection locked="0"/>
    </xf>
    <xf numFmtId="2" fontId="21" fillId="0" borderId="55" xfId="0" applyNumberFormat="1" applyFont="1" applyBorder="1" applyProtection="1">
      <protection locked="0"/>
    </xf>
    <xf numFmtId="2" fontId="21" fillId="0" borderId="70" xfId="0" applyNumberFormat="1" applyFont="1" applyBorder="1" applyProtection="1">
      <protection locked="0"/>
    </xf>
    <xf numFmtId="2" fontId="75" fillId="0" borderId="45" xfId="0" applyNumberFormat="1" applyFont="1" applyBorder="1" applyProtection="1">
      <protection locked="0"/>
    </xf>
    <xf numFmtId="2" fontId="21" fillId="0" borderId="32" xfId="0" applyNumberFormat="1" applyFont="1" applyBorder="1" applyProtection="1">
      <protection locked="0"/>
    </xf>
    <xf numFmtId="2" fontId="21" fillId="0" borderId="34" xfId="0" applyNumberFormat="1" applyFont="1" applyBorder="1" applyProtection="1">
      <protection locked="0"/>
    </xf>
    <xf numFmtId="2" fontId="75" fillId="0" borderId="41" xfId="0" applyNumberFormat="1" applyFont="1" applyBorder="1" applyProtection="1">
      <protection locked="0"/>
    </xf>
    <xf numFmtId="2" fontId="21" fillId="0" borderId="9" xfId="0" applyNumberFormat="1" applyFont="1" applyBorder="1" applyProtection="1">
      <protection locked="0"/>
    </xf>
    <xf numFmtId="2" fontId="2" fillId="0" borderId="42" xfId="0" applyNumberFormat="1" applyFont="1" applyBorder="1" applyProtection="1">
      <protection locked="0"/>
    </xf>
    <xf numFmtId="2" fontId="0" fillId="0" borderId="64" xfId="0" applyNumberFormat="1" applyBorder="1" applyProtection="1">
      <protection locked="0"/>
    </xf>
    <xf numFmtId="2" fontId="2" fillId="0" borderId="43" xfId="0" applyNumberFormat="1" applyFont="1" applyBorder="1" applyProtection="1">
      <protection locked="0"/>
    </xf>
    <xf numFmtId="2" fontId="76" fillId="0" borderId="40" xfId="0" applyNumberFormat="1" applyFont="1" applyBorder="1" applyProtection="1">
      <protection locked="0"/>
    </xf>
    <xf numFmtId="217" fontId="5" fillId="0" borderId="48" xfId="0" applyNumberFormat="1" applyFont="1" applyBorder="1" applyProtection="1">
      <protection locked="0"/>
    </xf>
    <xf numFmtId="215" fontId="5" fillId="0" borderId="70" xfId="0" applyNumberFormat="1" applyFont="1" applyBorder="1" applyProtection="1">
      <protection locked="0"/>
    </xf>
    <xf numFmtId="217" fontId="5" fillId="0" borderId="11" xfId="0" applyNumberFormat="1" applyFont="1" applyBorder="1" applyProtection="1">
      <protection locked="0"/>
    </xf>
    <xf numFmtId="215" fontId="5" fillId="0" borderId="34" xfId="0" applyNumberFormat="1" applyFont="1" applyBorder="1" applyProtection="1">
      <protection locked="0"/>
    </xf>
    <xf numFmtId="217" fontId="5" fillId="0" borderId="88" xfId="0" applyNumberFormat="1" applyFont="1" applyBorder="1" applyProtection="1">
      <protection locked="0"/>
    </xf>
    <xf numFmtId="215" fontId="5" fillId="0" borderId="68" xfId="0" applyNumberFormat="1" applyFont="1" applyBorder="1" applyProtection="1">
      <protection locked="0"/>
    </xf>
    <xf numFmtId="217" fontId="26" fillId="0" borderId="48" xfId="0" applyNumberFormat="1" applyFont="1" applyBorder="1" applyProtection="1">
      <protection locked="0"/>
    </xf>
    <xf numFmtId="215" fontId="26" fillId="0" borderId="70" xfId="0" applyNumberFormat="1" applyFont="1" applyBorder="1" applyProtection="1">
      <protection locked="0"/>
    </xf>
    <xf numFmtId="217" fontId="26" fillId="0" borderId="11" xfId="0" applyNumberFormat="1" applyFont="1" applyBorder="1" applyProtection="1">
      <protection locked="0"/>
    </xf>
    <xf numFmtId="215" fontId="26" fillId="0" borderId="34" xfId="0" applyNumberFormat="1" applyFont="1" applyBorder="1" applyProtection="1">
      <protection locked="0"/>
    </xf>
    <xf numFmtId="217" fontId="5" fillId="0" borderId="26" xfId="0" applyNumberFormat="1" applyFont="1" applyBorder="1" applyProtection="1">
      <protection locked="0"/>
    </xf>
    <xf numFmtId="215" fontId="3" fillId="0" borderId="21" xfId="0" applyNumberFormat="1" applyFont="1" applyBorder="1" applyProtection="1"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3" fillId="2" borderId="33" xfId="0" applyFont="1" applyFill="1" applyBorder="1" applyAlignment="1" applyProtection="1">
      <alignment horizontal="center" vertical="center"/>
      <protection locked="0"/>
    </xf>
    <xf numFmtId="217" fontId="5" fillId="0" borderId="2" xfId="0" applyNumberFormat="1" applyFont="1" applyBorder="1" applyProtection="1">
      <protection locked="0"/>
    </xf>
    <xf numFmtId="2" fontId="5" fillId="0" borderId="65" xfId="0" applyNumberFormat="1" applyFont="1" applyBorder="1" applyProtection="1">
      <protection locked="0"/>
    </xf>
    <xf numFmtId="2" fontId="5" fillId="0" borderId="77" xfId="0" applyNumberFormat="1" applyFont="1" applyBorder="1" applyProtection="1">
      <protection locked="0"/>
    </xf>
    <xf numFmtId="217" fontId="5" fillId="0" borderId="14" xfId="0" applyNumberFormat="1" applyFont="1" applyBorder="1" applyProtection="1">
      <protection locked="0"/>
    </xf>
    <xf numFmtId="2" fontId="5" fillId="0" borderId="22" xfId="0" applyNumberFormat="1" applyFont="1" applyBorder="1" applyProtection="1">
      <protection locked="0"/>
    </xf>
    <xf numFmtId="2" fontId="5" fillId="0" borderId="38" xfId="0" applyNumberFormat="1" applyFont="1" applyBorder="1" applyProtection="1">
      <protection locked="0"/>
    </xf>
    <xf numFmtId="217" fontId="5" fillId="0" borderId="59" xfId="0" applyNumberFormat="1" applyFont="1" applyBorder="1" applyProtection="1">
      <protection locked="0"/>
    </xf>
    <xf numFmtId="2" fontId="5" fillId="0" borderId="64" xfId="0" applyNumberFormat="1" applyFont="1" applyBorder="1" applyProtection="1">
      <protection locked="0"/>
    </xf>
    <xf numFmtId="2" fontId="5" fillId="0" borderId="9" xfId="0" applyNumberFormat="1" applyFont="1" applyBorder="1" applyProtection="1">
      <protection locked="0"/>
    </xf>
    <xf numFmtId="2" fontId="5" fillId="0" borderId="13" xfId="0" applyNumberFormat="1" applyFont="1" applyBorder="1" applyProtection="1">
      <protection locked="0"/>
    </xf>
    <xf numFmtId="217" fontId="5" fillId="0" borderId="28" xfId="0" applyNumberFormat="1" applyFont="1" applyBorder="1" applyProtection="1">
      <protection locked="0"/>
    </xf>
    <xf numFmtId="217" fontId="5" fillId="0" borderId="10" xfId="0" applyNumberFormat="1" applyFont="1" applyBorder="1" applyProtection="1">
      <protection locked="0"/>
    </xf>
    <xf numFmtId="217" fontId="5" fillId="0" borderId="3" xfId="0" applyNumberFormat="1" applyFont="1" applyBorder="1" applyProtection="1">
      <protection locked="0"/>
    </xf>
    <xf numFmtId="2" fontId="5" fillId="0" borderId="55" xfId="0" applyNumberFormat="1" applyFont="1" applyBorder="1" applyProtection="1">
      <protection locked="0"/>
    </xf>
    <xf numFmtId="2" fontId="5" fillId="0" borderId="49" xfId="0" applyNumberFormat="1" applyFont="1" applyBorder="1" applyProtection="1">
      <protection locked="0"/>
    </xf>
    <xf numFmtId="217" fontId="5" fillId="0" borderId="16" xfId="0" applyNumberFormat="1" applyFont="1" applyBorder="1" applyProtection="1">
      <protection locked="0"/>
    </xf>
    <xf numFmtId="2" fontId="5" fillId="0" borderId="18" xfId="0" applyNumberFormat="1" applyFont="1" applyBorder="1" applyProtection="1">
      <protection locked="0"/>
    </xf>
    <xf numFmtId="2" fontId="75" fillId="0" borderId="11" xfId="0" applyNumberFormat="1" applyFont="1" applyBorder="1" applyProtection="1">
      <protection locked="0"/>
    </xf>
    <xf numFmtId="217" fontId="5" fillId="2" borderId="16" xfId="0" applyNumberFormat="1" applyFont="1" applyFill="1" applyBorder="1" applyAlignment="1" applyProtection="1">
      <alignment horizontal="center"/>
      <protection locked="0"/>
    </xf>
    <xf numFmtId="217" fontId="5" fillId="2" borderId="20" xfId="0" applyNumberFormat="1" applyFont="1" applyFill="1" applyBorder="1" applyAlignment="1" applyProtection="1">
      <alignment horizontal="center"/>
      <protection locked="0"/>
    </xf>
    <xf numFmtId="2" fontId="5" fillId="0" borderId="34" xfId="0" applyNumberFormat="1" applyFont="1" applyBorder="1"/>
    <xf numFmtId="0" fontId="0" fillId="0" borderId="44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2" fontId="4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15" fillId="0" borderId="0" xfId="0" applyNumberFormat="1" applyFont="1" applyAlignment="1">
      <alignment horizontal="right"/>
    </xf>
    <xf numFmtId="2" fontId="5" fillId="0" borderId="85" xfId="0" applyNumberFormat="1" applyFont="1" applyBorder="1"/>
    <xf numFmtId="0" fontId="0" fillId="0" borderId="0" xfId="0" applyAlignment="1" applyProtection="1">
      <alignment horizontal="center"/>
      <protection locked="0"/>
    </xf>
    <xf numFmtId="0" fontId="0" fillId="2" borderId="16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2" fontId="5" fillId="0" borderId="13" xfId="0" applyNumberFormat="1" applyFont="1" applyBorder="1"/>
    <xf numFmtId="217" fontId="5" fillId="0" borderId="7" xfId="0" applyNumberFormat="1" applyFont="1" applyBorder="1"/>
    <xf numFmtId="2" fontId="5" fillId="0" borderId="9" xfId="0" applyNumberFormat="1" applyFont="1" applyBorder="1"/>
    <xf numFmtId="217" fontId="5" fillId="2" borderId="33" xfId="0" applyNumberFormat="1" applyFont="1" applyFill="1" applyBorder="1" applyAlignment="1" applyProtection="1">
      <alignment horizontal="center"/>
      <protection locked="0"/>
    </xf>
    <xf numFmtId="2" fontId="0" fillId="0" borderId="19" xfId="0" applyNumberFormat="1" applyBorder="1" applyProtection="1">
      <protection locked="0"/>
    </xf>
    <xf numFmtId="1" fontId="4" fillId="0" borderId="0" xfId="0" applyNumberFormat="1" applyFont="1"/>
    <xf numFmtId="1" fontId="15" fillId="0" borderId="0" xfId="0" applyNumberFormat="1" applyFont="1"/>
    <xf numFmtId="1" fontId="31" fillId="0" borderId="0" xfId="0" applyNumberFormat="1" applyFont="1"/>
    <xf numFmtId="2" fontId="21" fillId="0" borderId="0" xfId="0" applyNumberFormat="1" applyFont="1"/>
    <xf numFmtId="2" fontId="52" fillId="0" borderId="79" xfId="0" applyNumberFormat="1" applyFont="1" applyBorder="1"/>
    <xf numFmtId="2" fontId="0" fillId="0" borderId="79" xfId="0" applyNumberFormat="1" applyBorder="1"/>
    <xf numFmtId="197" fontId="5" fillId="0" borderId="0" xfId="45" applyNumberFormat="1" applyFont="1" applyBorder="1" applyProtection="1">
      <protection locked="0"/>
    </xf>
    <xf numFmtId="231" fontId="5" fillId="0" borderId="0" xfId="45" applyFont="1" applyBorder="1" applyProtection="1">
      <protection locked="0"/>
    </xf>
    <xf numFmtId="0" fontId="12" fillId="14" borderId="16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14" borderId="33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 wrapText="1"/>
    </xf>
    <xf numFmtId="0" fontId="11" fillId="14" borderId="55" xfId="0" applyFont="1" applyFill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14" borderId="6" xfId="0" applyFont="1" applyFill="1" applyBorder="1" applyAlignment="1">
      <alignment horizontal="center" vertical="center" wrapText="1"/>
    </xf>
    <xf numFmtId="0" fontId="11" fillId="14" borderId="8" xfId="0" applyFont="1" applyFill="1" applyBorder="1" applyAlignment="1">
      <alignment horizontal="center" vertical="center" wrapText="1"/>
    </xf>
    <xf numFmtId="0" fontId="11" fillId="14" borderId="96" xfId="0" applyFont="1" applyFill="1" applyBorder="1" applyAlignment="1">
      <alignment horizontal="center" vertical="center" wrapText="1"/>
    </xf>
    <xf numFmtId="217" fontId="11" fillId="14" borderId="10" xfId="0" applyNumberFormat="1" applyFont="1" applyFill="1" applyBorder="1"/>
    <xf numFmtId="2" fontId="11" fillId="14" borderId="12" xfId="0" applyNumberFormat="1" applyFont="1" applyFill="1" applyBorder="1"/>
    <xf numFmtId="2" fontId="11" fillId="14" borderId="95" xfId="0" applyNumberFormat="1" applyFont="1" applyFill="1" applyBorder="1"/>
    <xf numFmtId="2" fontId="11" fillId="14" borderId="97" xfId="0" applyNumberFormat="1" applyFont="1" applyFill="1" applyBorder="1"/>
    <xf numFmtId="2" fontId="11" fillId="14" borderId="96" xfId="0" applyNumberFormat="1" applyFont="1" applyFill="1" applyBorder="1"/>
    <xf numFmtId="0" fontId="11" fillId="0" borderId="18" xfId="0" applyFont="1" applyBorder="1"/>
    <xf numFmtId="217" fontId="11" fillId="14" borderId="16" xfId="0" applyNumberFormat="1" applyFont="1" applyFill="1" applyBorder="1"/>
    <xf numFmtId="2" fontId="11" fillId="14" borderId="18" xfId="0" applyNumberFormat="1" applyFont="1" applyFill="1" applyBorder="1"/>
    <xf numFmtId="2" fontId="11" fillId="14" borderId="33" xfId="0" applyNumberFormat="1" applyFont="1" applyFill="1" applyBorder="1"/>
    <xf numFmtId="0" fontId="11" fillId="14" borderId="10" xfId="0" applyFont="1" applyFill="1" applyBorder="1"/>
    <xf numFmtId="0" fontId="11" fillId="14" borderId="12" xfId="0" applyFont="1" applyFill="1" applyBorder="1"/>
    <xf numFmtId="0" fontId="11" fillId="14" borderId="32" xfId="0" applyFont="1" applyFill="1" applyBorder="1"/>
    <xf numFmtId="217" fontId="11" fillId="14" borderId="14" xfId="0" applyNumberFormat="1" applyFont="1" applyFill="1" applyBorder="1"/>
    <xf numFmtId="0" fontId="11" fillId="14" borderId="16" xfId="0" applyFont="1" applyFill="1" applyBorder="1"/>
    <xf numFmtId="0" fontId="11" fillId="14" borderId="18" xfId="0" applyFont="1" applyFill="1" applyBorder="1"/>
    <xf numFmtId="0" fontId="11" fillId="14" borderId="20" xfId="0" applyFont="1" applyFill="1" applyBorder="1"/>
    <xf numFmtId="217" fontId="11" fillId="14" borderId="3" xfId="0" applyNumberFormat="1" applyFont="1" applyFill="1" applyBorder="1"/>
    <xf numFmtId="2" fontId="11" fillId="14" borderId="5" xfId="0" applyNumberFormat="1" applyFont="1" applyFill="1" applyBorder="1"/>
    <xf numFmtId="2" fontId="11" fillId="14" borderId="98" xfId="0" applyNumberFormat="1" applyFont="1" applyFill="1" applyBorder="1"/>
    <xf numFmtId="217" fontId="11" fillId="14" borderId="59" xfId="0" applyNumberFormat="1" applyFont="1" applyFill="1" applyBorder="1"/>
    <xf numFmtId="2" fontId="11" fillId="14" borderId="0" xfId="0" applyNumberFormat="1" applyFont="1" applyFill="1"/>
    <xf numFmtId="0" fontId="11" fillId="14" borderId="14" xfId="0" applyFont="1" applyFill="1" applyBorder="1"/>
    <xf numFmtId="0" fontId="11" fillId="14" borderId="22" xfId="0" applyFont="1" applyFill="1" applyBorder="1"/>
    <xf numFmtId="0" fontId="11" fillId="14" borderId="51" xfId="0" applyFont="1" applyFill="1" applyBorder="1"/>
    <xf numFmtId="0" fontId="11" fillId="14" borderId="61" xfId="0" applyFont="1" applyFill="1" applyBorder="1"/>
    <xf numFmtId="0" fontId="11" fillId="14" borderId="66" xfId="0" applyFont="1" applyFill="1" applyBorder="1"/>
    <xf numFmtId="0" fontId="11" fillId="14" borderId="86" xfId="0" applyFont="1" applyFill="1" applyBorder="1"/>
    <xf numFmtId="0" fontId="11" fillId="14" borderId="59" xfId="0" applyFont="1" applyFill="1" applyBorder="1"/>
    <xf numFmtId="0" fontId="11" fillId="14" borderId="64" xfId="0" applyFont="1" applyFill="1" applyBorder="1"/>
    <xf numFmtId="0" fontId="11" fillId="14" borderId="0" xfId="0" applyFont="1" applyFill="1"/>
    <xf numFmtId="217" fontId="12" fillId="14" borderId="218" xfId="0" applyNumberFormat="1" applyFont="1" applyFill="1" applyBorder="1"/>
    <xf numFmtId="2" fontId="12" fillId="14" borderId="76" xfId="0" applyNumberFormat="1" applyFont="1" applyFill="1" applyBorder="1"/>
    <xf numFmtId="2" fontId="12" fillId="14" borderId="77" xfId="0" applyNumberFormat="1" applyFont="1" applyFill="1" applyBorder="1"/>
    <xf numFmtId="0" fontId="12" fillId="0" borderId="33" xfId="0" applyFont="1" applyBorder="1"/>
    <xf numFmtId="217" fontId="11" fillId="14" borderId="17" xfId="0" applyNumberFormat="1" applyFont="1" applyFill="1" applyBorder="1"/>
    <xf numFmtId="2" fontId="11" fillId="14" borderId="19" xfId="0" applyNumberFormat="1" applyFont="1" applyFill="1" applyBorder="1"/>
    <xf numFmtId="0" fontId="34" fillId="2" borderId="0" xfId="0" applyFont="1" applyFill="1"/>
    <xf numFmtId="217" fontId="11" fillId="2" borderId="0" xfId="0" applyNumberFormat="1" applyFont="1" applyFill="1"/>
    <xf numFmtId="2" fontId="11" fillId="2" borderId="0" xfId="0" applyNumberFormat="1" applyFont="1" applyFill="1"/>
    <xf numFmtId="0" fontId="34" fillId="25" borderId="0" xfId="0" applyFont="1" applyFill="1"/>
    <xf numFmtId="217" fontId="11" fillId="25" borderId="0" xfId="0" applyNumberFormat="1" applyFont="1" applyFill="1"/>
    <xf numFmtId="2" fontId="11" fillId="25" borderId="0" xfId="0" applyNumberFormat="1" applyFont="1" applyFill="1"/>
    <xf numFmtId="217" fontId="34" fillId="0" borderId="0" xfId="0" applyNumberFormat="1" applyFont="1"/>
    <xf numFmtId="2" fontId="34" fillId="0" borderId="0" xfId="0" applyNumberFormat="1" applyFont="1"/>
    <xf numFmtId="9" fontId="12" fillId="0" borderId="0" xfId="0" applyNumberFormat="1" applyFont="1"/>
    <xf numFmtId="9" fontId="11" fillId="0" borderId="0" xfId="0" applyNumberFormat="1" applyFont="1"/>
    <xf numFmtId="217" fontId="11" fillId="0" borderId="1" xfId="0" applyNumberFormat="1" applyFont="1" applyBorder="1"/>
    <xf numFmtId="0" fontId="12" fillId="0" borderId="0" xfId="0" applyFont="1" applyAlignment="1">
      <alignment horizontal="right"/>
    </xf>
    <xf numFmtId="226" fontId="11" fillId="0" borderId="17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48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217" fontId="11" fillId="0" borderId="11" xfId="0" applyNumberFormat="1" applyFont="1" applyBorder="1"/>
    <xf numFmtId="0" fontId="11" fillId="0" borderId="13" xfId="0" applyFont="1" applyBorder="1"/>
    <xf numFmtId="0" fontId="11" fillId="0" borderId="19" xfId="0" applyFont="1" applyBorder="1"/>
    <xf numFmtId="2" fontId="11" fillId="0" borderId="51" xfId="0" applyNumberFormat="1" applyFont="1" applyBorder="1"/>
    <xf numFmtId="213" fontId="11" fillId="0" borderId="13" xfId="45" applyNumberFormat="1" applyFont="1" applyBorder="1"/>
    <xf numFmtId="217" fontId="11" fillId="0" borderId="83" xfId="0" applyNumberFormat="1" applyFont="1" applyBorder="1"/>
    <xf numFmtId="2" fontId="11" fillId="0" borderId="203" xfId="0" applyNumberFormat="1" applyFont="1" applyBorder="1"/>
    <xf numFmtId="217" fontId="11" fillId="0" borderId="37" xfId="0" applyNumberFormat="1" applyFont="1" applyBorder="1"/>
    <xf numFmtId="217" fontId="12" fillId="0" borderId="16" xfId="0" applyNumberFormat="1" applyFont="1" applyBorder="1"/>
    <xf numFmtId="2" fontId="12" fillId="0" borderId="18" xfId="0" applyNumberFormat="1" applyFont="1" applyBorder="1"/>
    <xf numFmtId="2" fontId="12" fillId="0" borderId="33" xfId="0" applyNumberFormat="1" applyFont="1" applyBorder="1"/>
    <xf numFmtId="2" fontId="11" fillId="0" borderId="33" xfId="0" applyNumberFormat="1" applyFont="1" applyBorder="1"/>
    <xf numFmtId="211" fontId="78" fillId="2" borderId="0" xfId="0" applyNumberFormat="1" applyFont="1" applyFill="1"/>
    <xf numFmtId="215" fontId="78" fillId="2" borderId="0" xfId="0" applyNumberFormat="1" applyFont="1" applyFill="1"/>
    <xf numFmtId="211" fontId="78" fillId="25" borderId="0" xfId="0" applyNumberFormat="1" applyFont="1" applyFill="1"/>
    <xf numFmtId="215" fontId="78" fillId="25" borderId="0" xfId="0" applyNumberFormat="1" applyFont="1" applyFill="1"/>
    <xf numFmtId="211" fontId="34" fillId="4" borderId="0" xfId="0" applyNumberFormat="1" applyFont="1" applyFill="1"/>
    <xf numFmtId="215" fontId="34" fillId="4" borderId="0" xfId="0" applyNumberFormat="1" applyFont="1" applyFill="1" applyAlignment="1">
      <alignment horizontal="center"/>
    </xf>
    <xf numFmtId="215" fontId="34" fillId="4" borderId="0" xfId="0" applyNumberFormat="1" applyFont="1" applyFill="1"/>
    <xf numFmtId="211" fontId="34" fillId="23" borderId="0" xfId="0" applyNumberFormat="1" applyFont="1" applyFill="1"/>
    <xf numFmtId="215" fontId="34" fillId="23" borderId="0" xfId="0" applyNumberFormat="1" applyFont="1" applyFill="1" applyAlignment="1">
      <alignment horizontal="center"/>
    </xf>
    <xf numFmtId="215" fontId="34" fillId="23" borderId="0" xfId="0" applyNumberFormat="1" applyFont="1" applyFill="1"/>
    <xf numFmtId="227" fontId="12" fillId="0" borderId="0" xfId="0" applyNumberFormat="1" applyFont="1"/>
    <xf numFmtId="211" fontId="34" fillId="0" borderId="0" xfId="0" applyNumberFormat="1" applyFont="1"/>
    <xf numFmtId="223" fontId="34" fillId="0" borderId="0" xfId="45" applyNumberFormat="1" applyFont="1"/>
    <xf numFmtId="211" fontId="79" fillId="0" borderId="0" xfId="0" applyNumberFormat="1" applyFont="1"/>
    <xf numFmtId="2" fontId="11" fillId="0" borderId="0" xfId="0" applyNumberFormat="1" applyFont="1" applyAlignment="1">
      <alignment horizontal="center"/>
    </xf>
    <xf numFmtId="225" fontId="11" fillId="0" borderId="0" xfId="0" applyNumberFormat="1" applyFont="1"/>
    <xf numFmtId="205" fontId="11" fillId="0" borderId="0" xfId="0" applyNumberFormat="1" applyFont="1"/>
    <xf numFmtId="225" fontId="11" fillId="0" borderId="1" xfId="0" applyNumberFormat="1" applyFont="1" applyBorder="1"/>
    <xf numFmtId="205" fontId="11" fillId="0" borderId="1" xfId="0" applyNumberFormat="1" applyFont="1" applyBorder="1"/>
    <xf numFmtId="2" fontId="78" fillId="2" borderId="0" xfId="0" applyNumberFormat="1" applyFont="1" applyFill="1"/>
    <xf numFmtId="210" fontId="34" fillId="0" borderId="0" xfId="0" applyNumberFormat="1" applyFont="1"/>
    <xf numFmtId="0" fontId="79" fillId="0" borderId="0" xfId="0" applyFont="1"/>
    <xf numFmtId="214" fontId="11" fillId="0" borderId="0" xfId="0" applyNumberFormat="1" applyFont="1"/>
    <xf numFmtId="2" fontId="12" fillId="0" borderId="0" xfId="0" applyNumberFormat="1" applyFont="1" applyAlignment="1">
      <alignment vertical="center"/>
    </xf>
    <xf numFmtId="211" fontId="11" fillId="0" borderId="1" xfId="0" applyNumberFormat="1" applyFont="1" applyBorder="1"/>
    <xf numFmtId="211" fontId="12" fillId="0" borderId="0" xfId="0" applyNumberFormat="1" applyFont="1" applyAlignment="1">
      <alignment vertical="center"/>
    </xf>
    <xf numFmtId="223" fontId="11" fillId="0" borderId="0" xfId="45" applyNumberFormat="1" applyFont="1" applyFill="1" applyBorder="1"/>
    <xf numFmtId="210" fontId="11" fillId="0" borderId="0" xfId="45" applyNumberFormat="1" applyFont="1" applyFill="1" applyBorder="1"/>
    <xf numFmtId="210" fontId="11" fillId="0" borderId="1" xfId="45" applyNumberFormat="1" applyFont="1" applyFill="1" applyBorder="1"/>
    <xf numFmtId="180" fontId="12" fillId="0" borderId="0" xfId="45" applyNumberFormat="1" applyFont="1" applyFill="1" applyBorder="1"/>
    <xf numFmtId="179" fontId="11" fillId="0" borderId="0" xfId="45" applyNumberFormat="1" applyFont="1" applyFill="1" applyBorder="1"/>
    <xf numFmtId="179" fontId="12" fillId="0" borderId="0" xfId="45" applyNumberFormat="1" applyFont="1" applyFill="1" applyBorder="1"/>
    <xf numFmtId="180" fontId="11" fillId="0" borderId="0" xfId="45" applyNumberFormat="1" applyFont="1" applyFill="1" applyBorder="1"/>
    <xf numFmtId="0" fontId="11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2" fontId="11" fillId="0" borderId="52" xfId="0" applyNumberFormat="1" applyFont="1" applyBorder="1"/>
    <xf numFmtId="2" fontId="11" fillId="0" borderId="40" xfId="0" applyNumberFormat="1" applyFont="1" applyBorder="1"/>
    <xf numFmtId="213" fontId="11" fillId="0" borderId="0" xfId="0" applyNumberFormat="1" applyFont="1"/>
    <xf numFmtId="184" fontId="34" fillId="0" borderId="0" xfId="0" applyNumberFormat="1" applyFont="1"/>
    <xf numFmtId="213" fontId="34" fillId="0" borderId="0" xfId="0" applyNumberFormat="1" applyFont="1"/>
    <xf numFmtId="221" fontId="34" fillId="0" borderId="0" xfId="0" applyNumberFormat="1" applyFont="1"/>
    <xf numFmtId="184" fontId="12" fillId="0" borderId="0" xfId="0" applyNumberFormat="1" applyFont="1"/>
    <xf numFmtId="213" fontId="12" fillId="0" borderId="0" xfId="0" applyNumberFormat="1" applyFont="1"/>
    <xf numFmtId="221" fontId="12" fillId="0" borderId="0" xfId="0" applyNumberFormat="1" applyFont="1"/>
    <xf numFmtId="184" fontId="34" fillId="0" borderId="0" xfId="0" applyNumberFormat="1" applyFont="1" applyAlignment="1">
      <alignment horizontal="right"/>
    </xf>
    <xf numFmtId="223" fontId="14" fillId="0" borderId="0" xfId="45" applyNumberFormat="1" applyFont="1" applyFill="1" applyBorder="1" applyAlignment="1"/>
    <xf numFmtId="0" fontId="11" fillId="0" borderId="5" xfId="0" applyFont="1" applyBorder="1" applyAlignment="1">
      <alignment horizontal="center" vertical="center" wrapText="1"/>
    </xf>
    <xf numFmtId="0" fontId="11" fillId="0" borderId="90" xfId="0" applyFont="1" applyBorder="1" applyAlignment="1">
      <alignment horizontal="center" vertical="center" wrapText="1"/>
    </xf>
    <xf numFmtId="0" fontId="11" fillId="0" borderId="96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2" fontId="11" fillId="0" borderId="79" xfId="0" applyNumberFormat="1" applyFont="1" applyBorder="1"/>
    <xf numFmtId="221" fontId="11" fillId="0" borderId="0" xfId="0" applyNumberFormat="1" applyFont="1"/>
    <xf numFmtId="223" fontId="12" fillId="0" borderId="0" xfId="45" applyNumberFormat="1" applyFont="1" applyFill="1" applyBorder="1"/>
    <xf numFmtId="1" fontId="11" fillId="0" borderId="0" xfId="48" applyNumberFormat="1" applyFont="1" applyFill="1" applyBorder="1"/>
    <xf numFmtId="2" fontId="11" fillId="0" borderId="13" xfId="45" applyNumberFormat="1" applyFont="1" applyBorder="1"/>
    <xf numFmtId="2" fontId="34" fillId="4" borderId="0" xfId="0" applyNumberFormat="1" applyFont="1" applyFill="1" applyAlignment="1">
      <alignment horizontal="center"/>
    </xf>
    <xf numFmtId="2" fontId="34" fillId="23" borderId="0" xfId="0" applyNumberFormat="1" applyFont="1" applyFill="1" applyAlignment="1">
      <alignment horizontal="center"/>
    </xf>
    <xf numFmtId="223" fontId="12" fillId="0" borderId="0" xfId="45" applyNumberFormat="1" applyFont="1" applyFill="1"/>
    <xf numFmtId="212" fontId="12" fillId="0" borderId="0" xfId="0" applyNumberFormat="1" applyFont="1"/>
    <xf numFmtId="178" fontId="12" fillId="0" borderId="0" xfId="0" applyNumberFormat="1" applyFont="1"/>
    <xf numFmtId="210" fontId="12" fillId="0" borderId="0" xfId="0" applyNumberFormat="1" applyFont="1"/>
    <xf numFmtId="211" fontId="78" fillId="2" borderId="0" xfId="0" applyNumberFormat="1" applyFont="1" applyFill="1" applyAlignment="1">
      <alignment horizontal="right"/>
    </xf>
    <xf numFmtId="231" fontId="11" fillId="0" borderId="0" xfId="45" applyFont="1" applyFill="1" applyBorder="1"/>
    <xf numFmtId="215" fontId="14" fillId="2" borderId="0" xfId="0" applyNumberFormat="1" applyFont="1" applyFill="1"/>
    <xf numFmtId="187" fontId="34" fillId="0" borderId="0" xfId="0" applyNumberFormat="1" applyFont="1"/>
    <xf numFmtId="217" fontId="12" fillId="26" borderId="0" xfId="0" applyNumberFormat="1" applyFont="1" applyFill="1"/>
    <xf numFmtId="0" fontId="12" fillId="26" borderId="0" xfId="0" applyFont="1" applyFill="1"/>
    <xf numFmtId="215" fontId="12" fillId="26" borderId="0" xfId="45" applyNumberFormat="1" applyFont="1" applyFill="1"/>
    <xf numFmtId="226" fontId="12" fillId="0" borderId="17" xfId="0" applyNumberFormat="1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217" fontId="11" fillId="0" borderId="22" xfId="0" applyNumberFormat="1" applyFont="1" applyBorder="1" applyAlignment="1">
      <alignment horizontal="right" vertical="center" wrapText="1"/>
    </xf>
    <xf numFmtId="217" fontId="11" fillId="0" borderId="23" xfId="0" applyNumberFormat="1" applyFont="1" applyBorder="1" applyAlignment="1">
      <alignment horizontal="right" vertical="center" wrapText="1"/>
    </xf>
    <xf numFmtId="2" fontId="11" fillId="0" borderId="97" xfId="0" applyNumberFormat="1" applyFont="1" applyBorder="1"/>
    <xf numFmtId="217" fontId="11" fillId="4" borderId="11" xfId="0" applyNumberFormat="1" applyFont="1" applyFill="1" applyBorder="1"/>
    <xf numFmtId="2" fontId="11" fillId="0" borderId="98" xfId="0" applyNumberFormat="1" applyFont="1" applyBorder="1"/>
    <xf numFmtId="2" fontId="11" fillId="0" borderId="96" xfId="0" applyNumberFormat="1" applyFont="1" applyBorder="1"/>
    <xf numFmtId="207" fontId="11" fillId="0" borderId="13" xfId="45" applyNumberFormat="1" applyFont="1" applyBorder="1"/>
    <xf numFmtId="205" fontId="11" fillId="0" borderId="38" xfId="0" applyNumberFormat="1" applyFont="1" applyBorder="1"/>
    <xf numFmtId="205" fontId="11" fillId="0" borderId="73" xfId="0" applyNumberFormat="1" applyFont="1" applyBorder="1"/>
    <xf numFmtId="9" fontId="11" fillId="0" borderId="67" xfId="48" applyFont="1" applyBorder="1"/>
    <xf numFmtId="215" fontId="78" fillId="0" borderId="0" xfId="0" applyNumberFormat="1" applyFont="1"/>
    <xf numFmtId="231" fontId="78" fillId="0" borderId="0" xfId="45" applyFont="1" applyFill="1"/>
    <xf numFmtId="223" fontId="12" fillId="0" borderId="0" xfId="45" applyNumberFormat="1" applyFont="1" applyAlignment="1"/>
    <xf numFmtId="217" fontId="11" fillId="0" borderId="0" xfId="0" applyNumberFormat="1" applyFont="1" applyAlignment="1">
      <alignment horizontal="right"/>
    </xf>
    <xf numFmtId="231" fontId="12" fillId="0" borderId="0" xfId="45" applyFont="1" applyFill="1"/>
    <xf numFmtId="223" fontId="12" fillId="0" borderId="0" xfId="0" applyNumberFormat="1" applyFont="1"/>
    <xf numFmtId="2" fontId="11" fillId="0" borderId="90" xfId="0" applyNumberFormat="1" applyFont="1" applyBorder="1"/>
    <xf numFmtId="215" fontId="58" fillId="0" borderId="0" xfId="0" applyNumberFormat="1" applyFont="1"/>
    <xf numFmtId="0" fontId="11" fillId="0" borderId="0" xfId="0" applyFont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203" fontId="7" fillId="14" borderId="0" xfId="0" applyNumberFormat="1" applyFont="1" applyFill="1"/>
    <xf numFmtId="200" fontId="7" fillId="14" borderId="0" xfId="48" applyNumberFormat="1" applyFont="1" applyFill="1" applyBorder="1"/>
    <xf numFmtId="203" fontId="7" fillId="14" borderId="16" xfId="0" applyNumberFormat="1" applyFont="1" applyFill="1" applyBorder="1"/>
    <xf numFmtId="200" fontId="7" fillId="14" borderId="33" xfId="48" applyNumberFormat="1" applyFont="1" applyFill="1" applyBorder="1"/>
    <xf numFmtId="213" fontId="11" fillId="0" borderId="0" xfId="45" applyNumberFormat="1" applyFont="1" applyBorder="1"/>
    <xf numFmtId="203" fontId="7" fillId="0" borderId="0" xfId="0" applyNumberFormat="1" applyFont="1"/>
    <xf numFmtId="200" fontId="7" fillId="0" borderId="0" xfId="48" applyNumberFormat="1" applyFont="1" applyFill="1" applyBorder="1"/>
    <xf numFmtId="217" fontId="11" fillId="6" borderId="0" xfId="0" applyNumberFormat="1" applyFont="1" applyFill="1"/>
    <xf numFmtId="2" fontId="11" fillId="6" borderId="0" xfId="0" applyNumberFormat="1" applyFont="1" applyFill="1"/>
    <xf numFmtId="223" fontId="11" fillId="6" borderId="0" xfId="0" applyNumberFormat="1" applyFont="1" applyFill="1"/>
    <xf numFmtId="223" fontId="11" fillId="6" borderId="0" xfId="45" applyNumberFormat="1" applyFont="1" applyFill="1" applyBorder="1"/>
    <xf numFmtId="217" fontId="11" fillId="14" borderId="0" xfId="0" applyNumberFormat="1" applyFont="1" applyFill="1"/>
    <xf numFmtId="223" fontId="11" fillId="14" borderId="0" xfId="0" applyNumberFormat="1" applyFont="1" applyFill="1"/>
    <xf numFmtId="0" fontId="11" fillId="0" borderId="0" xfId="0" applyFont="1" applyAlignment="1">
      <alignment vertical="center" wrapText="1"/>
    </xf>
    <xf numFmtId="217" fontId="18" fillId="0" borderId="0" xfId="0" applyNumberFormat="1" applyFont="1"/>
    <xf numFmtId="213" fontId="11" fillId="0" borderId="0" xfId="45" applyNumberFormat="1" applyFont="1" applyFill="1" applyBorder="1"/>
    <xf numFmtId="211" fontId="78" fillId="0" borderId="0" xfId="0" applyNumberFormat="1" applyFont="1"/>
    <xf numFmtId="0" fontId="12" fillId="0" borderId="0" xfId="0" applyFont="1" applyAlignment="1">
      <alignment horizontal="center" vertical="center"/>
    </xf>
    <xf numFmtId="49" fontId="62" fillId="0" borderId="44" xfId="0" applyNumberFormat="1" applyFont="1" applyBorder="1" applyAlignment="1">
      <alignment horizontal="center" vertical="top"/>
    </xf>
    <xf numFmtId="226" fontId="22" fillId="0" borderId="85" xfId="0" applyNumberFormat="1" applyFont="1" applyBorder="1" applyAlignment="1">
      <alignment horizontal="center"/>
    </xf>
    <xf numFmtId="0" fontId="22" fillId="0" borderId="85" xfId="0" applyFont="1" applyBorder="1" applyAlignment="1">
      <alignment horizontal="center"/>
    </xf>
    <xf numFmtId="49" fontId="80" fillId="0" borderId="44" xfId="0" applyNumberFormat="1" applyFont="1" applyBorder="1" applyAlignment="1">
      <alignment horizontal="center" vertical="center"/>
    </xf>
    <xf numFmtId="49" fontId="62" fillId="0" borderId="90" xfId="0" applyNumberFormat="1" applyFont="1" applyBorder="1" applyAlignment="1">
      <alignment horizontal="center" vertical="top" wrapText="1"/>
    </xf>
    <xf numFmtId="49" fontId="62" fillId="0" borderId="55" xfId="0" applyNumberFormat="1" applyFont="1" applyBorder="1" applyAlignment="1">
      <alignment horizontal="center" vertical="top"/>
    </xf>
    <xf numFmtId="49" fontId="62" fillId="0" borderId="70" xfId="0" applyNumberFormat="1" applyFont="1" applyBorder="1" applyAlignment="1">
      <alignment horizontal="center" vertical="top"/>
    </xf>
    <xf numFmtId="49" fontId="80" fillId="0" borderId="47" xfId="0" applyNumberFormat="1" applyFont="1" applyBorder="1" applyAlignment="1">
      <alignment horizontal="center" vertical="center"/>
    </xf>
    <xf numFmtId="49" fontId="62" fillId="0" borderId="24" xfId="0" applyNumberFormat="1" applyFont="1" applyBorder="1" applyAlignment="1">
      <alignment horizontal="center" vertical="top" wrapText="1"/>
    </xf>
    <xf numFmtId="49" fontId="62" fillId="0" borderId="8" xfId="0" applyNumberFormat="1" applyFont="1" applyBorder="1" applyAlignment="1">
      <alignment horizontal="center" vertical="top"/>
    </xf>
    <xf numFmtId="49" fontId="62" fillId="0" borderId="25" xfId="0" applyNumberFormat="1" applyFont="1" applyBorder="1" applyAlignment="1">
      <alignment horizontal="center" vertical="top"/>
    </xf>
    <xf numFmtId="49" fontId="65" fillId="0" borderId="99" xfId="0" applyNumberFormat="1" applyFont="1" applyBorder="1" applyAlignment="1">
      <alignment vertical="center"/>
    </xf>
    <xf numFmtId="211" fontId="65" fillId="0" borderId="26" xfId="0" applyNumberFormat="1" applyFont="1" applyBorder="1" applyAlignment="1">
      <alignment horizontal="right" vertical="top"/>
    </xf>
    <xf numFmtId="195" fontId="65" fillId="0" borderId="55" xfId="0" applyNumberFormat="1" applyFont="1" applyBorder="1" applyAlignment="1">
      <alignment horizontal="right" vertical="top"/>
    </xf>
    <xf numFmtId="195" fontId="65" fillId="0" borderId="34" xfId="0" applyNumberFormat="1" applyFont="1" applyBorder="1" applyAlignment="1">
      <alignment horizontal="right" vertical="top"/>
    </xf>
    <xf numFmtId="211" fontId="65" fillId="0" borderId="27" xfId="0" applyNumberFormat="1" applyFont="1" applyBorder="1" applyAlignment="1">
      <alignment horizontal="right" vertical="top"/>
    </xf>
    <xf numFmtId="195" fontId="65" fillId="0" borderId="35" xfId="0" applyNumberFormat="1" applyFont="1" applyBorder="1" applyAlignment="1">
      <alignment horizontal="right" vertical="top"/>
    </xf>
    <xf numFmtId="49" fontId="65" fillId="0" borderId="99" xfId="0" applyNumberFormat="1" applyFont="1" applyBorder="1" applyAlignment="1">
      <alignment vertical="top"/>
    </xf>
    <xf numFmtId="195" fontId="65" fillId="0" borderId="22" xfId="0" applyNumberFormat="1" applyFont="1" applyBorder="1" applyAlignment="1">
      <alignment horizontal="right" vertical="top"/>
    </xf>
    <xf numFmtId="211" fontId="65" fillId="0" borderId="29" xfId="0" applyNumberFormat="1" applyFont="1" applyBorder="1" applyAlignment="1">
      <alignment horizontal="right" vertical="top"/>
    </xf>
    <xf numFmtId="195" fontId="65" fillId="0" borderId="8" xfId="0" applyNumberFormat="1" applyFont="1" applyBorder="1" applyAlignment="1">
      <alignment horizontal="right" vertical="top"/>
    </xf>
    <xf numFmtId="195" fontId="65" fillId="0" borderId="36" xfId="0" applyNumberFormat="1" applyFont="1" applyBorder="1" applyAlignment="1">
      <alignment horizontal="right" vertical="top"/>
    </xf>
    <xf numFmtId="49" fontId="65" fillId="0" borderId="40" xfId="0" applyNumberFormat="1" applyFont="1" applyBorder="1" applyAlignment="1">
      <alignment vertical="center"/>
    </xf>
    <xf numFmtId="211" fontId="62" fillId="0" borderId="31" xfId="0" applyNumberFormat="1" applyFont="1" applyBorder="1" applyAlignment="1">
      <alignment horizontal="right" vertical="top"/>
    </xf>
    <xf numFmtId="195" fontId="62" fillId="0" borderId="18" xfId="0" applyNumberFormat="1" applyFont="1" applyBorder="1" applyAlignment="1">
      <alignment horizontal="right" vertical="top"/>
    </xf>
    <xf numFmtId="195" fontId="62" fillId="0" borderId="21" xfId="0" applyNumberFormat="1" applyFont="1" applyBorder="1" applyAlignment="1">
      <alignment horizontal="right" vertical="top"/>
    </xf>
    <xf numFmtId="211" fontId="65" fillId="0" borderId="4" xfId="0" applyNumberFormat="1" applyFont="1" applyBorder="1" applyAlignment="1">
      <alignment horizontal="right" vertical="top"/>
    </xf>
    <xf numFmtId="195" fontId="65" fillId="0" borderId="4" xfId="0" applyNumberFormat="1" applyFont="1" applyBorder="1" applyAlignment="1">
      <alignment horizontal="right" vertical="top"/>
    </xf>
    <xf numFmtId="211" fontId="65" fillId="0" borderId="51" xfId="0" applyNumberFormat="1" applyFont="1" applyBorder="1" applyAlignment="1">
      <alignment horizontal="right" vertical="top"/>
    </xf>
    <xf numFmtId="195" fontId="65" fillId="0" borderId="51" xfId="0" applyNumberFormat="1" applyFont="1" applyBorder="1" applyAlignment="1">
      <alignment horizontal="right" vertical="top"/>
    </xf>
    <xf numFmtId="211" fontId="65" fillId="0" borderId="52" xfId="0" applyNumberFormat="1" applyFont="1" applyBorder="1" applyAlignment="1">
      <alignment horizontal="right" vertical="top"/>
    </xf>
    <xf numFmtId="195" fontId="65" fillId="0" borderId="52" xfId="0" applyNumberFormat="1" applyFont="1" applyBorder="1" applyAlignment="1">
      <alignment horizontal="right" vertical="top"/>
    </xf>
    <xf numFmtId="0" fontId="20" fillId="0" borderId="40" xfId="0" applyFont="1" applyBorder="1"/>
    <xf numFmtId="211" fontId="68" fillId="0" borderId="20" xfId="0" applyNumberFormat="1" applyFont="1" applyBorder="1"/>
    <xf numFmtId="195" fontId="68" fillId="0" borderId="20" xfId="0" applyNumberFormat="1" applyFont="1" applyBorder="1"/>
    <xf numFmtId="49" fontId="69" fillId="0" borderId="99" xfId="0" applyNumberFormat="1" applyFont="1" applyBorder="1" applyAlignment="1">
      <alignment vertical="top"/>
    </xf>
    <xf numFmtId="211" fontId="65" fillId="0" borderId="32" xfId="0" applyNumberFormat="1" applyFont="1" applyBorder="1" applyAlignment="1">
      <alignment horizontal="right" vertical="top"/>
    </xf>
    <xf numFmtId="195" fontId="65" fillId="0" borderId="32" xfId="0" applyNumberFormat="1" applyFont="1" applyBorder="1" applyAlignment="1">
      <alignment horizontal="right" vertical="top"/>
    </xf>
    <xf numFmtId="49" fontId="65" fillId="0" borderId="40" xfId="0" applyNumberFormat="1" applyFont="1" applyBorder="1" applyAlignment="1">
      <alignment vertical="top"/>
    </xf>
    <xf numFmtId="211" fontId="62" fillId="0" borderId="20" xfId="0" applyNumberFormat="1" applyFont="1" applyBorder="1" applyAlignment="1">
      <alignment horizontal="right" vertical="top"/>
    </xf>
    <xf numFmtId="195" fontId="62" fillId="0" borderId="20" xfId="0" applyNumberFormat="1" applyFont="1" applyBorder="1" applyAlignment="1">
      <alignment horizontal="right" vertical="top"/>
    </xf>
    <xf numFmtId="49" fontId="62" fillId="0" borderId="40" xfId="0" applyNumberFormat="1" applyFont="1" applyBorder="1" applyAlignment="1">
      <alignment vertical="top"/>
    </xf>
    <xf numFmtId="211" fontId="62" fillId="2" borderId="16" xfId="0" applyNumberFormat="1" applyFont="1" applyFill="1" applyBorder="1" applyAlignment="1">
      <alignment horizontal="right" vertical="center"/>
    </xf>
    <xf numFmtId="177" fontId="62" fillId="0" borderId="20" xfId="0" applyNumberFormat="1" applyFont="1" applyBorder="1" applyAlignment="1">
      <alignment horizontal="right" vertical="center"/>
    </xf>
    <xf numFmtId="49" fontId="62" fillId="0" borderId="99" xfId="0" applyNumberFormat="1" applyFont="1" applyBorder="1" applyAlignment="1">
      <alignment horizontal="right" vertical="top"/>
    </xf>
    <xf numFmtId="177" fontId="68" fillId="0" borderId="0" xfId="0" applyNumberFormat="1" applyFont="1"/>
    <xf numFmtId="49" fontId="65" fillId="0" borderId="0" xfId="0" applyNumberFormat="1" applyFont="1" applyAlignment="1">
      <alignment vertical="top"/>
    </xf>
    <xf numFmtId="177" fontId="20" fillId="0" borderId="0" xfId="0" applyNumberFormat="1" applyFont="1"/>
    <xf numFmtId="177" fontId="23" fillId="27" borderId="0" xfId="0" applyNumberFormat="1" applyFont="1" applyFill="1"/>
    <xf numFmtId="177" fontId="81" fillId="0" borderId="0" xfId="0" applyNumberFormat="1" applyFont="1"/>
    <xf numFmtId="0" fontId="68" fillId="0" borderId="0" xfId="0" applyFont="1"/>
    <xf numFmtId="177" fontId="82" fillId="27" borderId="0" xfId="0" applyNumberFormat="1" applyFont="1" applyFill="1"/>
    <xf numFmtId="0" fontId="20" fillId="0" borderId="1" xfId="0" applyFont="1" applyBorder="1"/>
    <xf numFmtId="211" fontId="20" fillId="0" borderId="0" xfId="0" applyNumberFormat="1" applyFont="1"/>
    <xf numFmtId="219" fontId="68" fillId="0" borderId="0" xfId="0" applyNumberFormat="1" applyFont="1"/>
    <xf numFmtId="226" fontId="22" fillId="0" borderId="2" xfId="0" applyNumberFormat="1" applyFont="1" applyBorder="1" applyAlignment="1">
      <alignment horizontal="center"/>
    </xf>
    <xf numFmtId="0" fontId="22" fillId="0" borderId="100" xfId="0" applyFont="1" applyBorder="1" applyAlignment="1">
      <alignment horizontal="center"/>
    </xf>
    <xf numFmtId="49" fontId="62" fillId="0" borderId="48" xfId="0" applyNumberFormat="1" applyFont="1" applyBorder="1" applyAlignment="1">
      <alignment horizontal="center" vertical="top" wrapText="1"/>
    </xf>
    <xf numFmtId="49" fontId="62" fillId="0" borderId="65" xfId="0" applyNumberFormat="1" applyFont="1" applyBorder="1" applyAlignment="1">
      <alignment horizontal="center" vertical="top"/>
    </xf>
    <xf numFmtId="49" fontId="62" fillId="0" borderId="49" xfId="0" applyNumberFormat="1" applyFont="1" applyBorder="1" applyAlignment="1">
      <alignment horizontal="center" vertical="top"/>
    </xf>
    <xf numFmtId="49" fontId="62" fillId="0" borderId="7" xfId="0" applyNumberFormat="1" applyFont="1" applyBorder="1" applyAlignment="1">
      <alignment horizontal="center" vertical="top" wrapText="1"/>
    </xf>
    <xf numFmtId="49" fontId="62" fillId="0" borderId="67" xfId="0" applyNumberFormat="1" applyFont="1" applyBorder="1" applyAlignment="1">
      <alignment horizontal="center" vertical="top"/>
    </xf>
    <xf numFmtId="49" fontId="62" fillId="0" borderId="9" xfId="0" applyNumberFormat="1" applyFont="1" applyBorder="1" applyAlignment="1">
      <alignment horizontal="center" vertical="top"/>
    </xf>
    <xf numFmtId="211" fontId="70" fillId="0" borderId="11" xfId="0" applyNumberFormat="1" applyFont="1" applyBorder="1" applyAlignment="1">
      <alignment horizontal="right" vertical="top"/>
    </xf>
    <xf numFmtId="195" fontId="70" fillId="0" borderId="13" xfId="0" applyNumberFormat="1" applyFont="1" applyBorder="1" applyAlignment="1">
      <alignment horizontal="right" vertical="top"/>
    </xf>
    <xf numFmtId="211" fontId="65" fillId="0" borderId="11" xfId="0" applyNumberFormat="1" applyFont="1" applyBorder="1" applyAlignment="1">
      <alignment horizontal="right" vertical="top"/>
    </xf>
    <xf numFmtId="211" fontId="70" fillId="0" borderId="28" xfId="0" applyNumberFormat="1" applyFont="1" applyBorder="1" applyAlignment="1">
      <alignment horizontal="right" vertical="top"/>
    </xf>
    <xf numFmtId="195" fontId="70" fillId="0" borderId="38" xfId="0" applyNumberFormat="1" applyFont="1" applyBorder="1" applyAlignment="1">
      <alignment horizontal="right" vertical="top"/>
    </xf>
    <xf numFmtId="215" fontId="65" fillId="0" borderId="28" xfId="0" applyNumberFormat="1" applyFont="1" applyBorder="1" applyAlignment="1">
      <alignment horizontal="right" vertical="top"/>
    </xf>
    <xf numFmtId="195" fontId="70" fillId="0" borderId="12" xfId="0" applyNumberFormat="1" applyFont="1" applyBorder="1" applyAlignment="1">
      <alignment horizontal="right" vertical="top"/>
    </xf>
    <xf numFmtId="211" fontId="65" fillId="0" borderId="28" xfId="0" applyNumberFormat="1" applyFont="1" applyBorder="1" applyAlignment="1">
      <alignment horizontal="right" vertical="top"/>
    </xf>
    <xf numFmtId="211" fontId="70" fillId="0" borderId="30" xfId="0" applyNumberFormat="1" applyFont="1" applyBorder="1" applyAlignment="1">
      <alignment horizontal="right" vertical="top"/>
    </xf>
    <xf numFmtId="195" fontId="70" fillId="0" borderId="50" xfId="0" applyNumberFormat="1" applyFont="1" applyBorder="1" applyAlignment="1">
      <alignment horizontal="right" vertical="top"/>
    </xf>
    <xf numFmtId="211" fontId="65" fillId="0" borderId="30" xfId="0" applyNumberFormat="1" applyFont="1" applyBorder="1" applyAlignment="1">
      <alignment horizontal="right" vertical="top"/>
    </xf>
    <xf numFmtId="211" fontId="64" fillId="0" borderId="17" xfId="0" applyNumberFormat="1" applyFont="1" applyBorder="1" applyAlignment="1">
      <alignment horizontal="right" vertical="top"/>
    </xf>
    <xf numFmtId="195" fontId="64" fillId="0" borderId="18" xfId="0" applyNumberFormat="1" applyFont="1" applyBorder="1" applyAlignment="1">
      <alignment horizontal="right" vertical="top"/>
    </xf>
    <xf numFmtId="195" fontId="64" fillId="0" borderId="19" xfId="0" applyNumberFormat="1" applyFont="1" applyBorder="1" applyAlignment="1">
      <alignment horizontal="right" vertical="top"/>
    </xf>
    <xf numFmtId="211" fontId="62" fillId="0" borderId="17" xfId="0" applyNumberFormat="1" applyFont="1" applyBorder="1" applyAlignment="1">
      <alignment horizontal="right" vertical="top"/>
    </xf>
    <xf numFmtId="211" fontId="70" fillId="0" borderId="3" xfId="0" applyNumberFormat="1" applyFont="1" applyBorder="1" applyAlignment="1">
      <alignment horizontal="right" vertical="top"/>
    </xf>
    <xf numFmtId="195" fontId="70" fillId="0" borderId="5" xfId="0" applyNumberFormat="1" applyFont="1" applyBorder="1" applyAlignment="1">
      <alignment horizontal="right" vertical="top"/>
    </xf>
    <xf numFmtId="211" fontId="65" fillId="0" borderId="3" xfId="0" applyNumberFormat="1" applyFont="1" applyBorder="1" applyAlignment="1">
      <alignment horizontal="right" vertical="top"/>
    </xf>
    <xf numFmtId="211" fontId="70" fillId="0" borderId="14" xfId="0" applyNumberFormat="1" applyFont="1" applyBorder="1" applyAlignment="1">
      <alignment horizontal="right" vertical="top"/>
    </xf>
    <xf numFmtId="195" fontId="70" fillId="0" borderId="97" xfId="0" applyNumberFormat="1" applyFont="1" applyBorder="1" applyAlignment="1">
      <alignment horizontal="right" vertical="top"/>
    </xf>
    <xf numFmtId="211" fontId="65" fillId="0" borderId="14" xfId="0" applyNumberFormat="1" applyFont="1" applyBorder="1" applyAlignment="1">
      <alignment horizontal="right" vertical="top"/>
    </xf>
    <xf numFmtId="211" fontId="70" fillId="0" borderId="15" xfId="0" applyNumberFormat="1" applyFont="1" applyBorder="1" applyAlignment="1">
      <alignment horizontal="right" vertical="top"/>
    </xf>
    <xf numFmtId="195" fontId="70" fillId="0" borderId="98" xfId="0" applyNumberFormat="1" applyFont="1" applyBorder="1" applyAlignment="1">
      <alignment horizontal="right" vertical="top"/>
    </xf>
    <xf numFmtId="211" fontId="65" fillId="0" borderId="15" xfId="0" applyNumberFormat="1" applyFont="1" applyBorder="1" applyAlignment="1">
      <alignment horizontal="right" vertical="top"/>
    </xf>
    <xf numFmtId="211" fontId="68" fillId="0" borderId="16" xfId="0" applyNumberFormat="1" applyFont="1" applyBorder="1"/>
    <xf numFmtId="195" fontId="68" fillId="0" borderId="33" xfId="0" applyNumberFormat="1" applyFont="1" applyBorder="1"/>
    <xf numFmtId="211" fontId="70" fillId="0" borderId="10" xfId="0" applyNumberFormat="1" applyFont="1" applyBorder="1" applyAlignment="1">
      <alignment horizontal="right" vertical="top"/>
    </xf>
    <xf numFmtId="195" fontId="70" fillId="0" borderId="95" xfId="0" applyNumberFormat="1" applyFont="1" applyBorder="1" applyAlignment="1">
      <alignment horizontal="right" vertical="top"/>
    </xf>
    <xf numFmtId="211" fontId="65" fillId="0" borderId="10" xfId="0" applyNumberFormat="1" applyFont="1" applyBorder="1" applyAlignment="1">
      <alignment horizontal="right" vertical="top"/>
    </xf>
    <xf numFmtId="195" fontId="65" fillId="0" borderId="97" xfId="0" applyNumberFormat="1" applyFont="1" applyBorder="1" applyAlignment="1">
      <alignment horizontal="right" vertical="top"/>
    </xf>
    <xf numFmtId="195" fontId="65" fillId="0" borderId="38" xfId="0" applyNumberFormat="1" applyFont="1" applyBorder="1" applyAlignment="1">
      <alignment horizontal="right" vertical="top"/>
    </xf>
    <xf numFmtId="195" fontId="65" fillId="0" borderId="50" xfId="0" applyNumberFormat="1" applyFont="1" applyBorder="1" applyAlignment="1">
      <alignment horizontal="right" vertical="top"/>
    </xf>
    <xf numFmtId="211" fontId="62" fillId="0" borderId="16" xfId="0" applyNumberFormat="1" applyFont="1" applyBorder="1" applyAlignment="1">
      <alignment horizontal="right" vertical="top"/>
    </xf>
    <xf numFmtId="195" fontId="62" fillId="0" borderId="33" xfId="0" applyNumberFormat="1" applyFont="1" applyBorder="1" applyAlignment="1">
      <alignment horizontal="right" vertical="top"/>
    </xf>
    <xf numFmtId="211" fontId="62" fillId="0" borderId="16" xfId="0" applyNumberFormat="1" applyFont="1" applyBorder="1" applyAlignment="1">
      <alignment horizontal="right" vertical="center"/>
    </xf>
    <xf numFmtId="177" fontId="62" fillId="0" borderId="33" xfId="0" applyNumberFormat="1" applyFont="1" applyBorder="1" applyAlignment="1">
      <alignment horizontal="right" vertical="center"/>
    </xf>
    <xf numFmtId="195" fontId="65" fillId="0" borderId="65" xfId="0" applyNumberFormat="1" applyFont="1" applyBorder="1" applyAlignment="1">
      <alignment horizontal="right" vertical="top"/>
    </xf>
    <xf numFmtId="195" fontId="65" fillId="0" borderId="13" xfId="0" applyNumberFormat="1" applyFont="1" applyBorder="1" applyAlignment="1">
      <alignment horizontal="right" vertical="top"/>
    </xf>
    <xf numFmtId="195" fontId="65" fillId="0" borderId="23" xfId="0" applyNumberFormat="1" applyFont="1" applyBorder="1" applyAlignment="1">
      <alignment horizontal="right" vertical="top"/>
    </xf>
    <xf numFmtId="195" fontId="62" fillId="0" borderId="19" xfId="0" applyNumberFormat="1" applyFont="1" applyBorder="1" applyAlignment="1">
      <alignment horizontal="right" vertical="top"/>
    </xf>
    <xf numFmtId="195" fontId="62" fillId="0" borderId="67" xfId="0" applyNumberFormat="1" applyFont="1" applyBorder="1" applyAlignment="1">
      <alignment horizontal="right" vertical="top"/>
    </xf>
    <xf numFmtId="195" fontId="65" fillId="0" borderId="5" xfId="0" applyNumberFormat="1" applyFont="1" applyBorder="1" applyAlignment="1">
      <alignment horizontal="right" vertical="top"/>
    </xf>
    <xf numFmtId="195" fontId="65" fillId="0" borderId="98" xfId="0" applyNumberFormat="1" applyFont="1" applyBorder="1" applyAlignment="1">
      <alignment horizontal="right" vertical="top"/>
    </xf>
    <xf numFmtId="195" fontId="65" fillId="0" borderId="95" xfId="0" applyNumberFormat="1" applyFont="1" applyBorder="1" applyAlignment="1">
      <alignment horizontal="right" vertical="top"/>
    </xf>
    <xf numFmtId="49" fontId="64" fillId="0" borderId="49" xfId="0" applyNumberFormat="1" applyFont="1" applyBorder="1" applyAlignment="1">
      <alignment horizontal="center" vertical="top"/>
    </xf>
    <xf numFmtId="49" fontId="64" fillId="0" borderId="9" xfId="0" applyNumberFormat="1" applyFont="1" applyBorder="1" applyAlignment="1">
      <alignment horizontal="center" vertical="top"/>
    </xf>
    <xf numFmtId="49" fontId="64" fillId="0" borderId="48" xfId="0" applyNumberFormat="1" applyFont="1" applyBorder="1" applyAlignment="1">
      <alignment horizontal="center" vertical="top" wrapText="1"/>
    </xf>
    <xf numFmtId="49" fontId="64" fillId="0" borderId="7" xfId="0" applyNumberFormat="1" applyFont="1" applyBorder="1" applyAlignment="1">
      <alignment horizontal="center" vertical="top" wrapText="1"/>
    </xf>
    <xf numFmtId="0" fontId="22" fillId="0" borderId="2" xfId="0" applyFont="1" applyBorder="1" applyAlignment="1">
      <alignment horizontal="center"/>
    </xf>
    <xf numFmtId="49" fontId="62" fillId="0" borderId="3" xfId="0" applyNumberFormat="1" applyFont="1" applyBorder="1" applyAlignment="1">
      <alignment horizontal="center" vertical="top" wrapText="1"/>
    </xf>
    <xf numFmtId="49" fontId="62" fillId="0" borderId="55" xfId="0" applyNumberFormat="1" applyFont="1" applyBorder="1" applyAlignment="1">
      <alignment horizontal="center" vertical="top" wrapText="1"/>
    </xf>
    <xf numFmtId="49" fontId="62" fillId="0" borderId="5" xfId="0" applyNumberFormat="1" applyFont="1" applyBorder="1" applyAlignment="1">
      <alignment horizontal="center" vertical="top" wrapText="1"/>
    </xf>
    <xf numFmtId="49" fontId="62" fillId="0" borderId="6" xfId="0" applyNumberFormat="1" applyFont="1" applyBorder="1" applyAlignment="1">
      <alignment horizontal="center" vertical="top" wrapText="1"/>
    </xf>
    <xf numFmtId="49" fontId="62" fillId="0" borderId="8" xfId="0" applyNumberFormat="1" applyFont="1" applyBorder="1" applyAlignment="1">
      <alignment horizontal="center" vertical="top" wrapText="1"/>
    </xf>
    <xf numFmtId="49" fontId="62" fillId="0" borderId="96" xfId="0" applyNumberFormat="1" applyFont="1" applyBorder="1" applyAlignment="1">
      <alignment horizontal="center" vertical="top" wrapText="1"/>
    </xf>
    <xf numFmtId="211" fontId="65" fillId="0" borderId="2" xfId="0" applyNumberFormat="1" applyFont="1" applyBorder="1" applyAlignment="1">
      <alignment horizontal="right" vertical="top"/>
    </xf>
    <xf numFmtId="195" fontId="65" fillId="0" borderId="76" xfId="0" applyNumberFormat="1" applyFont="1" applyBorder="1" applyAlignment="1">
      <alignment horizontal="right" vertical="top"/>
    </xf>
    <xf numFmtId="215" fontId="65" fillId="0" borderId="77" xfId="0" applyNumberFormat="1" applyFont="1" applyBorder="1" applyAlignment="1">
      <alignment horizontal="right" vertical="top"/>
    </xf>
    <xf numFmtId="215" fontId="65" fillId="0" borderId="38" xfId="0" applyNumberFormat="1" applyFont="1" applyBorder="1" applyAlignment="1">
      <alignment horizontal="right" vertical="top"/>
    </xf>
    <xf numFmtId="215" fontId="65" fillId="0" borderId="13" xfId="0" applyNumberFormat="1" applyFont="1" applyBorder="1" applyAlignment="1">
      <alignment horizontal="right" vertical="top"/>
    </xf>
    <xf numFmtId="195" fontId="65" fillId="2" borderId="97" xfId="0" applyNumberFormat="1" applyFont="1" applyFill="1" applyBorder="1" applyAlignment="1">
      <alignment horizontal="right" vertical="top"/>
    </xf>
    <xf numFmtId="211" fontId="82" fillId="0" borderId="16" xfId="0" applyNumberFormat="1" applyFont="1" applyBorder="1"/>
    <xf numFmtId="195" fontId="82" fillId="0" borderId="33" xfId="0" applyNumberFormat="1" applyFont="1" applyBorder="1"/>
    <xf numFmtId="215" fontId="65" fillId="0" borderId="50" xfId="0" applyNumberFormat="1" applyFont="1" applyBorder="1" applyAlignment="1">
      <alignment horizontal="right" vertical="top"/>
    </xf>
    <xf numFmtId="211" fontId="62" fillId="0" borderId="53" xfId="0" applyNumberFormat="1" applyFont="1" applyBorder="1" applyAlignment="1">
      <alignment horizontal="right" vertical="center"/>
    </xf>
    <xf numFmtId="177" fontId="62" fillId="0" borderId="19" xfId="0" applyNumberFormat="1" applyFont="1" applyBorder="1" applyAlignment="1">
      <alignment horizontal="right" vertical="center"/>
    </xf>
    <xf numFmtId="215" fontId="68" fillId="0" borderId="0" xfId="0" applyNumberFormat="1" applyFont="1" applyAlignment="1">
      <alignment horizontal="right" vertical="top"/>
    </xf>
    <xf numFmtId="197" fontId="64" fillId="0" borderId="0" xfId="45" applyNumberFormat="1" applyFont="1"/>
    <xf numFmtId="2" fontId="64" fillId="0" borderId="0" xfId="0" applyNumberFormat="1" applyFont="1"/>
    <xf numFmtId="231" fontId="64" fillId="0" borderId="0" xfId="45" applyFont="1"/>
    <xf numFmtId="215" fontId="70" fillId="0" borderId="0" xfId="0" applyNumberFormat="1" applyFont="1" applyAlignment="1">
      <alignment horizontal="right" vertical="top"/>
    </xf>
    <xf numFmtId="177" fontId="68" fillId="3" borderId="0" xfId="0" applyNumberFormat="1" applyFont="1" applyFill="1"/>
    <xf numFmtId="215" fontId="83" fillId="2" borderId="0" xfId="0" applyNumberFormat="1" applyFont="1" applyFill="1" applyAlignment="1">
      <alignment horizontal="right" vertical="top"/>
    </xf>
    <xf numFmtId="231" fontId="68" fillId="3" borderId="0" xfId="45" applyFont="1" applyFill="1"/>
    <xf numFmtId="2" fontId="20" fillId="0" borderId="1" xfId="0" applyNumberFormat="1" applyFont="1" applyBorder="1"/>
    <xf numFmtId="227" fontId="68" fillId="0" borderId="0" xfId="0" applyNumberFormat="1" applyFont="1"/>
    <xf numFmtId="215" fontId="69" fillId="0" borderId="0" xfId="0" applyNumberFormat="1" applyFont="1" applyAlignment="1">
      <alignment horizontal="right" vertical="top"/>
    </xf>
    <xf numFmtId="217" fontId="81" fillId="0" borderId="0" xfId="0" applyNumberFormat="1" applyFont="1"/>
    <xf numFmtId="177" fontId="20" fillId="0" borderId="32" xfId="0" applyNumberFormat="1" applyFont="1" applyBorder="1"/>
    <xf numFmtId="49" fontId="81" fillId="0" borderId="0" xfId="0" applyNumberFormat="1" applyFont="1" applyAlignment="1">
      <alignment horizontal="right"/>
    </xf>
    <xf numFmtId="193" fontId="20" fillId="0" borderId="0" xfId="0" applyNumberFormat="1" applyFont="1"/>
    <xf numFmtId="176" fontId="20" fillId="0" borderId="0" xfId="0" applyNumberFormat="1" applyFont="1"/>
    <xf numFmtId="0" fontId="84" fillId="6" borderId="48" xfId="0" applyFont="1" applyFill="1" applyBorder="1" applyAlignment="1">
      <alignment horizontal="center" vertical="center"/>
    </xf>
    <xf numFmtId="0" fontId="84" fillId="6" borderId="55" xfId="0" applyFont="1" applyFill="1" applyBorder="1" applyAlignment="1">
      <alignment horizontal="center" vertical="center"/>
    </xf>
    <xf numFmtId="0" fontId="84" fillId="6" borderId="49" xfId="0" applyFont="1" applyFill="1" applyBorder="1" applyAlignment="1">
      <alignment horizontal="center" vertical="center"/>
    </xf>
    <xf numFmtId="0" fontId="84" fillId="6" borderId="7" xfId="0" applyFont="1" applyFill="1" applyBorder="1" applyAlignment="1">
      <alignment horizontal="center"/>
    </xf>
    <xf numFmtId="211" fontId="4" fillId="6" borderId="8" xfId="0" applyNumberFormat="1" applyFont="1" applyFill="1" applyBorder="1" applyAlignment="1">
      <alignment horizontal="center"/>
    </xf>
    <xf numFmtId="0" fontId="84" fillId="6" borderId="9" xfId="0" applyFont="1" applyFill="1" applyBorder="1" applyAlignment="1">
      <alignment horizontal="center"/>
    </xf>
    <xf numFmtId="211" fontId="0" fillId="6" borderId="11" xfId="0" applyNumberFormat="1" applyFill="1" applyBorder="1"/>
    <xf numFmtId="211" fontId="0" fillId="6" borderId="12" xfId="0" applyNumberFormat="1" applyFill="1" applyBorder="1"/>
    <xf numFmtId="211" fontId="0" fillId="6" borderId="13" xfId="0" applyNumberFormat="1" applyFill="1" applyBorder="1"/>
    <xf numFmtId="211" fontId="0" fillId="6" borderId="28" xfId="0" applyNumberFormat="1" applyFill="1" applyBorder="1"/>
    <xf numFmtId="211" fontId="0" fillId="6" borderId="38" xfId="0" applyNumberFormat="1" applyFill="1" applyBorder="1"/>
    <xf numFmtId="211" fontId="0" fillId="6" borderId="30" xfId="0" applyNumberFormat="1" applyFill="1" applyBorder="1"/>
    <xf numFmtId="211" fontId="0" fillId="6" borderId="50" xfId="0" applyNumberFormat="1" applyFill="1" applyBorder="1"/>
    <xf numFmtId="211" fontId="0" fillId="6" borderId="17" xfId="0" applyNumberFormat="1" applyFill="1" applyBorder="1"/>
    <xf numFmtId="211" fontId="0" fillId="6" borderId="18" xfId="0" applyNumberFormat="1" applyFill="1" applyBorder="1"/>
    <xf numFmtId="211" fontId="0" fillId="6" borderId="19" xfId="0" applyNumberFormat="1" applyFill="1" applyBorder="1"/>
    <xf numFmtId="211" fontId="0" fillId="0" borderId="0" xfId="0" applyNumberFormat="1"/>
    <xf numFmtId="0" fontId="7" fillId="0" borderId="0" xfId="0" applyFont="1"/>
    <xf numFmtId="0" fontId="7" fillId="0" borderId="40" xfId="0" applyFont="1" applyBorder="1"/>
    <xf numFmtId="0" fontId="0" fillId="0" borderId="48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9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211" fontId="0" fillId="0" borderId="11" xfId="0" applyNumberFormat="1" applyBorder="1"/>
    <xf numFmtId="211" fontId="0" fillId="0" borderId="12" xfId="0" applyNumberFormat="1" applyBorder="1"/>
    <xf numFmtId="211" fontId="0" fillId="0" borderId="13" xfId="0" applyNumberFormat="1" applyBorder="1"/>
    <xf numFmtId="211" fontId="0" fillId="0" borderId="28" xfId="0" applyNumberFormat="1" applyBorder="1"/>
    <xf numFmtId="211" fontId="0" fillId="0" borderId="18" xfId="0" applyNumberFormat="1" applyBorder="1"/>
    <xf numFmtId="211" fontId="0" fillId="0" borderId="19" xfId="0" applyNumberFormat="1" applyBorder="1"/>
    <xf numFmtId="217" fontId="85" fillId="0" borderId="40" xfId="0" applyNumberFormat="1" applyFont="1" applyBorder="1"/>
    <xf numFmtId="217" fontId="84" fillId="0" borderId="40" xfId="0" applyNumberFormat="1" applyFont="1" applyBorder="1"/>
    <xf numFmtId="211" fontId="0" fillId="0" borderId="23" xfId="0" applyNumberFormat="1" applyBorder="1"/>
    <xf numFmtId="203" fontId="84" fillId="0" borderId="40" xfId="0" applyNumberFormat="1" applyFont="1" applyBorder="1"/>
    <xf numFmtId="0" fontId="0" fillId="0" borderId="70" xfId="0" applyBorder="1" applyAlignment="1">
      <alignment horizontal="center"/>
    </xf>
    <xf numFmtId="0" fontId="0" fillId="0" borderId="25" xfId="0" applyBorder="1" applyAlignment="1">
      <alignment horizontal="center"/>
    </xf>
    <xf numFmtId="211" fontId="0" fillId="0" borderId="30" xfId="0" applyNumberFormat="1" applyFont="1" applyBorder="1"/>
    <xf numFmtId="211" fontId="0" fillId="2" borderId="12" xfId="0" applyNumberFormat="1" applyFill="1" applyBorder="1"/>
    <xf numFmtId="211" fontId="0" fillId="0" borderId="22" xfId="0" applyNumberFormat="1" applyBorder="1"/>
    <xf numFmtId="211" fontId="0" fillId="0" borderId="29" xfId="0" applyNumberFormat="1" applyBorder="1"/>
    <xf numFmtId="211" fontId="0" fillId="0" borderId="10" xfId="0" applyNumberFormat="1" applyBorder="1"/>
    <xf numFmtId="211" fontId="0" fillId="0" borderId="14" xfId="0" applyNumberFormat="1" applyBorder="1"/>
    <xf numFmtId="211" fontId="0" fillId="0" borderId="55" xfId="0" applyNumberFormat="1" applyBorder="1"/>
    <xf numFmtId="211" fontId="0" fillId="0" borderId="95" xfId="0" applyNumberFormat="1" applyBorder="1"/>
    <xf numFmtId="211" fontId="0" fillId="0" borderId="67" xfId="0" applyNumberFormat="1" applyBorder="1"/>
    <xf numFmtId="211" fontId="0" fillId="0" borderId="65" xfId="0" applyNumberFormat="1" applyBorder="1"/>
    <xf numFmtId="0" fontId="7" fillId="0" borderId="0" xfId="0" applyFont="1" applyAlignment="1">
      <alignment horizontal="center"/>
    </xf>
    <xf numFmtId="230" fontId="0" fillId="0" borderId="0" xfId="0" applyNumberFormat="1" applyAlignment="1">
      <alignment horizontal="center"/>
    </xf>
    <xf numFmtId="217" fontId="84" fillId="0" borderId="0" xfId="0" applyNumberFormat="1" applyFont="1"/>
    <xf numFmtId="217" fontId="7" fillId="0" borderId="0" xfId="0" applyNumberFormat="1" applyFont="1"/>
    <xf numFmtId="0" fontId="85" fillId="0" borderId="0" xfId="0" applyFont="1"/>
    <xf numFmtId="0" fontId="86" fillId="0" borderId="0" xfId="0" applyFont="1"/>
    <xf numFmtId="0" fontId="5" fillId="6" borderId="40" xfId="0" applyFont="1" applyFill="1" applyBorder="1" applyAlignment="1" quotePrefix="1">
      <alignment horizontal="center"/>
    </xf>
    <xf numFmtId="0" fontId="5" fillId="11" borderId="20" xfId="0" applyFont="1" applyFill="1" applyBorder="1" applyAlignment="1" quotePrefix="1">
      <alignment horizontal="center"/>
    </xf>
    <xf numFmtId="0" fontId="5" fillId="11" borderId="16" xfId="0" applyFont="1" applyFill="1" applyBorder="1" applyAlignment="1" quotePrefix="1">
      <alignment horizontal="center"/>
    </xf>
    <xf numFmtId="0" fontId="5" fillId="9" borderId="16" xfId="0" applyFont="1" applyFill="1" applyBorder="1" applyAlignment="1" quotePrefix="1">
      <alignment horizontal="center"/>
    </xf>
    <xf numFmtId="0" fontId="5" fillId="9" borderId="18" xfId="0" applyFont="1" applyFill="1" applyBorder="1" applyAlignment="1" quotePrefix="1">
      <alignment horizontal="center"/>
    </xf>
    <xf numFmtId="0" fontId="5" fillId="6" borderId="47" xfId="0" applyFont="1" applyFill="1" applyBorder="1" applyAlignment="1" quotePrefix="1">
      <alignment horizontal="center"/>
    </xf>
    <xf numFmtId="0" fontId="5" fillId="14" borderId="47" xfId="0" applyFont="1" applyFill="1" applyBorder="1" applyAlignment="1" quotePrefix="1">
      <alignment horizontal="center"/>
    </xf>
    <xf numFmtId="0" fontId="11" fillId="0" borderId="53" xfId="0" applyFont="1" applyBorder="1" applyAlignment="1" quotePrefix="1">
      <alignment horizontal="center"/>
    </xf>
    <xf numFmtId="0" fontId="11" fillId="0" borderId="7" xfId="0" applyFont="1" applyBorder="1" applyAlignment="1" quotePrefix="1">
      <alignment horizontal="center"/>
    </xf>
    <xf numFmtId="0" fontId="11" fillId="0" borderId="6" xfId="0" applyFont="1" applyBorder="1" applyAlignment="1" quotePrefix="1">
      <alignment horizontal="center"/>
    </xf>
    <xf numFmtId="0" fontId="11" fillId="0" borderId="9" xfId="0" applyFont="1" applyBorder="1" applyAlignment="1" quotePrefix="1">
      <alignment horizontal="center"/>
    </xf>
    <xf numFmtId="224" fontId="0" fillId="0" borderId="0" xfId="0" applyNumberFormat="1" quotePrefix="1"/>
    <xf numFmtId="0" fontId="0" fillId="0" borderId="0" xfId="0" quotePrefix="1"/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9" defaultPivotStyle="PivotStyleLight16"/>
  <colors>
    <mruColors>
      <color rgb="00FFCC66"/>
      <color rgb="00FFFFCC"/>
      <color rgb="00DDD9C4"/>
      <color rgb="00C5D9F1"/>
      <color rgb="00FDE9D9"/>
      <color rgb="00FCD5B4"/>
      <color rgb="00FFEEB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haredStrings" Target="sharedStrings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16469816273"/>
          <c:y val="0.179476584022039"/>
          <c:w val="0.802501968503937"/>
          <c:h val="0.677265496771581"/>
        </c:manualLayout>
      </c:layout>
      <c:lineChart>
        <c:grouping val="standard"/>
        <c:varyColors val="0"/>
        <c:ser>
          <c:idx val="7"/>
          <c:order val="0"/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trendline>
            <c:trendlineType val="linear"/>
            <c:dispRSqr val="0"/>
            <c:dispEq val="0"/>
          </c:trendline>
          <c:cat>
            <c:strRef>
              <c:f>'Fin Analysis'!$A$4:$A$15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'Fin Analysis'!$Z$4:$Z$14</c:f>
              <c:numCache>
                <c:formatCode>_(* #,##0_);_(* \(#,##0\);_(* "-"??_);_(@_)</c:formatCode>
                <c:ptCount val="11"/>
                <c:pt idx="0">
                  <c:v>1176226</c:v>
                </c:pt>
                <c:pt idx="1">
                  <c:v>-5305334</c:v>
                </c:pt>
                <c:pt idx="2">
                  <c:v>-1183774</c:v>
                </c:pt>
                <c:pt idx="3">
                  <c:v>-2476573</c:v>
                </c:pt>
                <c:pt idx="4">
                  <c:v>16508320</c:v>
                </c:pt>
                <c:pt idx="5">
                  <c:v>-124962</c:v>
                </c:pt>
                <c:pt idx="6">
                  <c:v>-481292</c:v>
                </c:pt>
                <c:pt idx="7">
                  <c:v>582024.339999996</c:v>
                </c:pt>
                <c:pt idx="8">
                  <c:v>-1021661.9</c:v>
                </c:pt>
                <c:pt idx="9">
                  <c:v>2301899.9</c:v>
                </c:pt>
                <c:pt idx="10">
                  <c:v>2804419.52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4479424"/>
        <c:axId val="-164478880"/>
      </c:lineChart>
      <c:catAx>
        <c:axId val="-16447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</a:p>
        </c:txPr>
        <c:crossAx val="-164478880"/>
        <c:crosses val="autoZero"/>
        <c:auto val="1"/>
        <c:lblAlgn val="ctr"/>
        <c:lblOffset val="100"/>
        <c:noMultiLvlLbl val="0"/>
      </c:catAx>
      <c:valAx>
        <c:axId val="-16447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</a:p>
        </c:txPr>
        <c:crossAx val="-1644794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0854396962515608"/>
          <c:y val="0.85798138869005"/>
          <c:w val="0.89905817598043"/>
          <c:h val="0.088070791577189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46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Apr 24-Mar 25</a:t>
            </a:r>
            <a:endParaRPr lang="en-IN"/>
          </a:p>
          <a:p>
            <a:pPr>
              <a:defRPr lang="en-US" sz="12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IN"/>
          </a:p>
        </c:rich>
      </c:tx>
      <c:layout>
        <c:manualLayout>
          <c:xMode val="edge"/>
          <c:yMode val="edge"/>
          <c:x val="0.462538486775692"/>
          <c:y val="0.0192677020344833"/>
        </c:manualLayout>
      </c:layout>
      <c:overlay val="0"/>
      <c:spPr>
        <a:effectLst>
          <a:softEdge rad="63500"/>
        </a:effectLst>
      </c:spPr>
    </c:title>
    <c:autoTitleDeleted val="0"/>
    <c:plotArea>
      <c:layout>
        <c:manualLayout>
          <c:layoutTarget val="inner"/>
          <c:xMode val="edge"/>
          <c:yMode val="edge"/>
          <c:x val="0.16416469816273"/>
          <c:y val="0.179476584022039"/>
          <c:w val="0.835835338831904"/>
          <c:h val="0.677265496771581"/>
        </c:manualLayout>
      </c:layout>
      <c:lineChart>
        <c:grouping val="standard"/>
        <c:varyColors val="0"/>
        <c:ser>
          <c:idx val="3"/>
          <c:order val="0"/>
          <c:tx>
            <c:strRef>
              <c:f>"Income"</c:f>
              <c:strCache>
                <c:ptCount val="1"/>
                <c:pt idx="0">
                  <c:v>Income</c:v>
                </c:pt>
              </c:strCache>
            </c:strRef>
          </c:tx>
          <c:dLbls>
            <c:delete val="1"/>
          </c:dLbls>
          <c:cat>
            <c:strRef>
              <c:f>{"Apr","May","Jun","Jul","Aug","Sep","Oct","Nov","Dec","Jan","Feb","Mar"}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{313,313,363,276,163,250,144,181,266,267,271,374}</c:f>
              <c:numCache>
                <c:formatCode>General</c:formatCode>
                <c:ptCount val="12"/>
                <c:pt idx="0">
                  <c:v>313</c:v>
                </c:pt>
                <c:pt idx="1">
                  <c:v>313</c:v>
                </c:pt>
                <c:pt idx="2">
                  <c:v>363</c:v>
                </c:pt>
                <c:pt idx="3">
                  <c:v>276</c:v>
                </c:pt>
                <c:pt idx="4">
                  <c:v>163</c:v>
                </c:pt>
                <c:pt idx="5">
                  <c:v>250</c:v>
                </c:pt>
                <c:pt idx="6">
                  <c:v>144</c:v>
                </c:pt>
                <c:pt idx="7">
                  <c:v>181</c:v>
                </c:pt>
                <c:pt idx="8">
                  <c:v>266</c:v>
                </c:pt>
                <c:pt idx="9">
                  <c:v>267</c:v>
                </c:pt>
                <c:pt idx="10">
                  <c:v>271</c:v>
                </c:pt>
                <c:pt idx="11">
                  <c:v>374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"Mtrl Consmd"</c:f>
              <c:strCache>
                <c:ptCount val="1"/>
                <c:pt idx="0">
                  <c:v>Mtrl Consmd</c:v>
                </c:pt>
              </c:strCache>
            </c:strRef>
          </c:tx>
          <c:dLbls>
            <c:delete val="1"/>
          </c:dLbls>
          <c:cat>
            <c:strRef>
              <c:f>{"Apr","May","Jun","Jul","Aug","Sep","Oct","Nov","Dec","Jan","Feb","Mar"}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{121,94,205,120,30,135,90,118,200,208,169,272}</c:f>
              <c:numCache>
                <c:formatCode>General</c:formatCode>
                <c:ptCount val="12"/>
                <c:pt idx="0">
                  <c:v>121</c:v>
                </c:pt>
                <c:pt idx="1">
                  <c:v>94</c:v>
                </c:pt>
                <c:pt idx="2">
                  <c:v>205</c:v>
                </c:pt>
                <c:pt idx="3">
                  <c:v>120</c:v>
                </c:pt>
                <c:pt idx="4">
                  <c:v>30</c:v>
                </c:pt>
                <c:pt idx="5">
                  <c:v>135</c:v>
                </c:pt>
                <c:pt idx="6">
                  <c:v>90</c:v>
                </c:pt>
                <c:pt idx="7">
                  <c:v>118</c:v>
                </c:pt>
                <c:pt idx="8">
                  <c:v>200</c:v>
                </c:pt>
                <c:pt idx="9">
                  <c:v>208</c:v>
                </c:pt>
                <c:pt idx="10">
                  <c:v>169</c:v>
                </c:pt>
                <c:pt idx="11">
                  <c:v>272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"OP. Expns"</c:f>
              <c:strCache>
                <c:ptCount val="1"/>
                <c:pt idx="0">
                  <c:v>OP. Expns</c:v>
                </c:pt>
              </c:strCache>
            </c:strRef>
          </c:tx>
          <c:dLbls>
            <c:delete val="1"/>
          </c:dLbls>
          <c:cat>
            <c:strRef>
              <c:f>{"Apr","May","Jun","Jul","Aug","Sep","Oct","Nov","Dec","Jan","Feb","Mar"}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{166,160,181,159,139,129,65,89,93,88,96,107}</c:f>
              <c:numCache>
                <c:formatCode>General</c:formatCode>
                <c:ptCount val="12"/>
                <c:pt idx="0">
                  <c:v>166</c:v>
                </c:pt>
                <c:pt idx="1">
                  <c:v>160</c:v>
                </c:pt>
                <c:pt idx="2">
                  <c:v>181</c:v>
                </c:pt>
                <c:pt idx="3">
                  <c:v>159</c:v>
                </c:pt>
                <c:pt idx="4">
                  <c:v>139</c:v>
                </c:pt>
                <c:pt idx="5">
                  <c:v>129</c:v>
                </c:pt>
                <c:pt idx="6">
                  <c:v>65</c:v>
                </c:pt>
                <c:pt idx="7">
                  <c:v>89</c:v>
                </c:pt>
                <c:pt idx="8">
                  <c:v>93</c:v>
                </c:pt>
                <c:pt idx="9">
                  <c:v>88</c:v>
                </c:pt>
                <c:pt idx="10">
                  <c:v>96</c:v>
                </c:pt>
                <c:pt idx="11">
                  <c:v>107</c:v>
                </c:pt>
              </c:numCache>
            </c:numRef>
          </c:val>
          <c:smooth val="0"/>
        </c:ser>
        <c:ser>
          <c:idx val="2"/>
          <c:order val="3"/>
          <c:tx>
            <c:strRef>
              <c:f>"Finance"</c:f>
              <c:strCache>
                <c:ptCount val="1"/>
                <c:pt idx="0">
                  <c:v>Finance</c:v>
                </c:pt>
              </c:strCache>
            </c:strRef>
          </c:tx>
          <c:dLbls>
            <c:delete val="1"/>
          </c:dLbls>
          <c:cat>
            <c:strRef>
              <c:f>{"Apr","May","Jun","Jul","Aug","Sep","Oct","Nov","Dec","Jan","Feb","Mar"}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{9,6,13,11,8,16,12,10,13,13,12,13}</c:f>
              <c:numCache>
                <c:formatCode>General</c:formatCode>
                <c:ptCount val="12"/>
                <c:pt idx="0">
                  <c:v>9</c:v>
                </c:pt>
                <c:pt idx="1">
                  <c:v>6</c:v>
                </c:pt>
                <c:pt idx="2">
                  <c:v>13</c:v>
                </c:pt>
                <c:pt idx="3">
                  <c:v>11</c:v>
                </c:pt>
                <c:pt idx="4">
                  <c:v>8</c:v>
                </c:pt>
                <c:pt idx="5">
                  <c:v>16</c:v>
                </c:pt>
                <c:pt idx="6">
                  <c:v>12</c:v>
                </c:pt>
                <c:pt idx="7">
                  <c:v>10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</c:numCache>
            </c:numRef>
          </c:val>
          <c:smooth val="0"/>
        </c:ser>
        <c:ser>
          <c:idx val="7"/>
          <c:order val="4"/>
          <c:tx>
            <c:strRef>
              <c:f>"NET"</c:f>
              <c:strCache>
                <c:ptCount val="1"/>
                <c:pt idx="0">
                  <c:v>NET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strRef>
              <c:f>{"Apr","May","Jun","Jul","Aug","Sep","Oct","Nov","Dec","Jan","Feb","Mar"}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{15.7229361152481,51.2339069869152,-37.0701156619346,-14.5225643555707,-14.9447618465933,-30.3971454382262,-23.8104962442933,-37.2310766029976,-40.9146075264477,-42.6301877836323,-7.2900762477491,-18.0203373890297}</c:f>
              <c:numCache>
                <c:formatCode>General</c:formatCode>
                <c:ptCount val="12"/>
                <c:pt idx="0">
                  <c:v>15.7229361152481</c:v>
                </c:pt>
                <c:pt idx="1">
                  <c:v>51.2339069869152</c:v>
                </c:pt>
                <c:pt idx="2">
                  <c:v>-37.0701156619346</c:v>
                </c:pt>
                <c:pt idx="3">
                  <c:v>-14.5225643555707</c:v>
                </c:pt>
                <c:pt idx="4">
                  <c:v>-14.9447618465933</c:v>
                </c:pt>
                <c:pt idx="5">
                  <c:v>-30.3971454382262</c:v>
                </c:pt>
                <c:pt idx="6">
                  <c:v>-23.8104962442933</c:v>
                </c:pt>
                <c:pt idx="7">
                  <c:v>-37.2310766029976</c:v>
                </c:pt>
                <c:pt idx="8">
                  <c:v>-40.9146075264477</c:v>
                </c:pt>
                <c:pt idx="9">
                  <c:v>-42.6301877836323</c:v>
                </c:pt>
                <c:pt idx="10">
                  <c:v>-7.2900762477491</c:v>
                </c:pt>
                <c:pt idx="11">
                  <c:v>-18.0203373890297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4478336"/>
        <c:axId val="-164474528"/>
      </c:lineChart>
      <c:catAx>
        <c:axId val="-1644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</a:p>
        </c:txPr>
        <c:crossAx val="-164474528"/>
        <c:crosses val="autoZero"/>
        <c:auto val="1"/>
        <c:lblAlgn val="ctr"/>
        <c:lblOffset val="100"/>
        <c:noMultiLvlLbl val="0"/>
      </c:catAx>
      <c:valAx>
        <c:axId val="-164474528"/>
        <c:scaling>
          <c:orientation val="minMax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</a:p>
        </c:txPr>
        <c:crossAx val="-164478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</c:dTable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00801303082307019"/>
          <c:y val="0.440897608793376"/>
          <c:w val="0.0945542263947776"/>
          <c:h val="0.150280883397863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46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"MonoFil Manufacturing Sales"</c:f>
              <c:strCache>
                <c:ptCount val="1"/>
                <c:pt idx="0">
                  <c:v>MonoFil Manufacturing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670139982502187"/>
                  <c:y val="0.057905001458151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531251093613298"/>
                  <c:y val="0.076423519976669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920139982502188"/>
                  <c:y val="0.02549759405074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697917760279965"/>
                  <c:y val="-0.09950240594925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569251968503937"/>
                  <c:y val="0.04401611256926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 Analysis'!$A$4:$A$14</c:f>
              <c:strCache>
                <c:ptCount val="11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</c:strCache>
            </c:strRef>
          </c:cat>
          <c:val>
            <c:numRef>
              <c:f>'Fin Analysis'!$B$4:$B$14</c:f>
              <c:numCache>
                <c:formatCode>_(* #,##0_);_(* \(#,##0\);_(* "-"??_);_(@_)</c:formatCode>
                <c:ptCount val="11"/>
                <c:pt idx="0">
                  <c:v>25323314</c:v>
                </c:pt>
                <c:pt idx="1">
                  <c:v>35041812</c:v>
                </c:pt>
                <c:pt idx="2">
                  <c:v>32559448</c:v>
                </c:pt>
                <c:pt idx="3">
                  <c:v>29621742</c:v>
                </c:pt>
                <c:pt idx="4">
                  <c:v>28386432</c:v>
                </c:pt>
                <c:pt idx="5">
                  <c:v>24538384</c:v>
                </c:pt>
                <c:pt idx="6">
                  <c:v>23696349</c:v>
                </c:pt>
                <c:pt idx="7">
                  <c:v>31664644</c:v>
                </c:pt>
                <c:pt idx="8">
                  <c:v>21073041</c:v>
                </c:pt>
                <c:pt idx="9">
                  <c:v>29974889</c:v>
                </c:pt>
                <c:pt idx="10">
                  <c:v>32607016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"Monfil Consumption"</c:f>
              <c:strCache>
                <c:ptCount val="1"/>
                <c:pt idx="0">
                  <c:v>Monfil Consumption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0.0797847769028871"/>
                  <c:y val="0.04401611256926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770069991251094"/>
                  <c:y val="0.04864574219889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547847769028871"/>
                  <c:y val="0.067164260717410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575622265966753"/>
                  <c:y val="0.044016659375911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3458223972003"/>
                      <c:h val="0.0647455526392534"/>
                    </c:manualLayout>
                  </c15:layout>
                </c:ext>
              </c:extLst>
            </c:dLbl>
            <c:dLbl>
              <c:idx val="10"/>
              <c:layout>
                <c:manualLayout>
                  <c:x val="-0.00226924759405085"/>
                  <c:y val="0.057905001458151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 Analysis'!$A$4:$A$14</c:f>
              <c:strCache>
                <c:ptCount val="11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</c:strCache>
            </c:strRef>
          </c:cat>
          <c:val>
            <c:numRef>
              <c:f>'Fin Analysis'!$G$4:$G$14</c:f>
              <c:numCache>
                <c:formatCode>_(* #,##0_);_(* \(#,##0\);_(* "-"??_);_(@_)</c:formatCode>
                <c:ptCount val="11"/>
                <c:pt idx="0">
                  <c:v>7370403</c:v>
                </c:pt>
                <c:pt idx="1">
                  <c:v>7599002</c:v>
                </c:pt>
                <c:pt idx="2">
                  <c:v>8560526</c:v>
                </c:pt>
                <c:pt idx="3">
                  <c:v>9174569</c:v>
                </c:pt>
                <c:pt idx="4">
                  <c:v>7826655</c:v>
                </c:pt>
                <c:pt idx="5">
                  <c:v>7798635</c:v>
                </c:pt>
                <c:pt idx="6">
                  <c:v>8012495</c:v>
                </c:pt>
                <c:pt idx="7">
                  <c:v>7681052</c:v>
                </c:pt>
                <c:pt idx="8">
                  <c:v>9983822</c:v>
                </c:pt>
                <c:pt idx="9">
                  <c:v>8807033</c:v>
                </c:pt>
                <c:pt idx="10">
                  <c:v>9578212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64473984"/>
        <c:axId val="-164472896"/>
      </c:lineChart>
      <c:catAx>
        <c:axId val="-16447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64472896"/>
        <c:crosses val="autoZero"/>
        <c:auto val="1"/>
        <c:lblAlgn val="ctr"/>
        <c:lblOffset val="100"/>
        <c:noMultiLvlLbl val="0"/>
      </c:catAx>
      <c:valAx>
        <c:axId val="-16447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6447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IN" sz="14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Where the</a:t>
            </a:r>
            <a:endParaRPr lang="en-IN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IN" sz="14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 Income Goes</a:t>
            </a:r>
            <a:endParaRPr lang="en-IN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layout>
        <c:manualLayout>
          <c:xMode val="edge"/>
          <c:yMode val="edge"/>
          <c:x val="0.0233377562837905"/>
          <c:y val="0.053387504644111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02777777777778"/>
          <c:y val="0.206336395450569"/>
          <c:w val="0.813888888888889"/>
          <c:h val="0.512511300670749"/>
        </c:manualLayout>
      </c:layout>
      <c:doughnut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'PAL II'!$BD$48:$BD$55</c:f>
              <c:strCache>
                <c:ptCount val="8"/>
                <c:pt idx="0">
                  <c:v>Mtrl Consmd</c:v>
                </c:pt>
                <c:pt idx="1">
                  <c:v>Stock Vary</c:v>
                </c:pt>
                <c:pt idx="2">
                  <c:v>Op. Expns</c:v>
                </c:pt>
                <c:pt idx="3">
                  <c:v>Admn Sellng</c:v>
                </c:pt>
                <c:pt idx="4">
                  <c:v>Work.Cap</c:v>
                </c:pt>
                <c:pt idx="5">
                  <c:v>Deposits</c:v>
                </c:pt>
                <c:pt idx="6">
                  <c:v>PNBH/etc</c:v>
                </c:pt>
                <c:pt idx="7">
                  <c:v>Deprn</c:v>
                </c:pt>
              </c:strCache>
            </c:strRef>
          </c:cat>
          <c:val>
            <c:numRef>
              <c:f>'PAL II'!$BE$48:$BE$55</c:f>
              <c:numCache>
                <c:formatCode>0.0%</c:formatCode>
                <c:ptCount val="8"/>
                <c:pt idx="0">
                  <c:v>0.601597240651006</c:v>
                </c:pt>
                <c:pt idx="1">
                  <c:v>-0.0288639679867048</c:v>
                </c:pt>
                <c:pt idx="2">
                  <c:v>0.316975656287619</c:v>
                </c:pt>
                <c:pt idx="3">
                  <c:v>0.0433767774440395</c:v>
                </c:pt>
                <c:pt idx="4">
                  <c:v>0.0172593904718755</c:v>
                </c:pt>
                <c:pt idx="5">
                  <c:v>0.00640472806475954</c:v>
                </c:pt>
                <c:pt idx="6">
                  <c:v>0</c:v>
                </c:pt>
                <c:pt idx="7">
                  <c:v>0.00361548909949681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50"/>
      </c:doughnut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80015538523316"/>
          <c:y val="0.032110883399849"/>
          <c:w val="0.0622242203094902"/>
          <c:h val="0.912874674912211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210" b="0" i="0" u="none" strike="noStrike" kern="1200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Finishing Cost on</a:t>
            </a:r>
            <a:r>
              <a:rPr lang="en-IN" baseline="0"/>
              <a:t> Sale Qty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'Ins &amp;  Disp Costing'!$T$41</c:f>
              <c:strCache>
                <c:ptCount val="1"/>
                <c:pt idx="0">
                  <c:v>FY22-23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'Ins &amp;  Disp Costing'!$S$42:$S$53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'Ins &amp;  Disp Costing'!$T$42:$T$53</c:f>
              <c:numCache>
                <c:formatCode>0.00</c:formatCode>
                <c:ptCount val="12"/>
                <c:pt idx="0">
                  <c:v>10.2006620701452</c:v>
                </c:pt>
                <c:pt idx="1">
                  <c:v>8.44644741413473</c:v>
                </c:pt>
                <c:pt idx="2">
                  <c:v>11.5222475031397</c:v>
                </c:pt>
                <c:pt idx="3">
                  <c:v>11.1111651365198</c:v>
                </c:pt>
                <c:pt idx="4">
                  <c:v>14.4889723936204</c:v>
                </c:pt>
                <c:pt idx="5">
                  <c:v>9.52392189797318</c:v>
                </c:pt>
                <c:pt idx="6">
                  <c:v>17.9242597676233</c:v>
                </c:pt>
                <c:pt idx="7">
                  <c:v>7.54939454037187</c:v>
                </c:pt>
                <c:pt idx="8">
                  <c:v>7.60353122854331</c:v>
                </c:pt>
                <c:pt idx="9">
                  <c:v>7.67739353855077</c:v>
                </c:pt>
                <c:pt idx="10">
                  <c:v>5.24931061082984</c:v>
                </c:pt>
                <c:pt idx="11">
                  <c:v>5.70446807404936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'Ins &amp;  Disp Costing'!$U$41</c:f>
              <c:strCache>
                <c:ptCount val="1"/>
                <c:pt idx="0">
                  <c:v>FY23-24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'Ins &amp;  Disp Costing'!$S$42:$S$53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'Ins &amp;  Disp Costing'!$U$42:$U$53</c:f>
              <c:numCache>
                <c:formatCode>0.00</c:formatCode>
                <c:ptCount val="12"/>
                <c:pt idx="0">
                  <c:v>7.6760576086025</c:v>
                </c:pt>
                <c:pt idx="1">
                  <c:v>7.38006371909641</c:v>
                </c:pt>
                <c:pt idx="2">
                  <c:v>6.87731685789938</c:v>
                </c:pt>
                <c:pt idx="3">
                  <c:v>6.96503225103607</c:v>
                </c:pt>
                <c:pt idx="4">
                  <c:v>5.38398124028496</c:v>
                </c:pt>
                <c:pt idx="5">
                  <c:v>8.27190925287974</c:v>
                </c:pt>
                <c:pt idx="6">
                  <c:v>9.81549454808972</c:v>
                </c:pt>
                <c:pt idx="7">
                  <c:v>8.09238347308155</c:v>
                </c:pt>
                <c:pt idx="8">
                  <c:v>6.46772462434836</c:v>
                </c:pt>
                <c:pt idx="9">
                  <c:v>6.904619723491</c:v>
                </c:pt>
                <c:pt idx="10">
                  <c:v>6.62715229755477</c:v>
                </c:pt>
                <c:pt idx="11">
                  <c:v>6.03174366632853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26937008"/>
        <c:axId val="-256611024"/>
      </c:lineChart>
      <c:catAx>
        <c:axId val="-42693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256611024"/>
        <c:crosses val="autoZero"/>
        <c:auto val="1"/>
        <c:lblAlgn val="ctr"/>
        <c:lblOffset val="100"/>
        <c:noMultiLvlLbl val="0"/>
      </c:catAx>
      <c:valAx>
        <c:axId val="-2566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42693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hyperlink" Target="#'Purchase'!A1"/><Relationship Id="rId8" Type="http://schemas.openxmlformats.org/officeDocument/2006/relationships/image" Target="../media/image4.emf"/><Relationship Id="rId7" Type="http://schemas.openxmlformats.org/officeDocument/2006/relationships/hyperlink" Target="#' Qty Analysis'!A1"/><Relationship Id="rId6" Type="http://schemas.openxmlformats.org/officeDocument/2006/relationships/image" Target="../media/image3.emf"/><Relationship Id="rId5" Type="http://schemas.openxmlformats.org/officeDocument/2006/relationships/hyperlink" Target="#'Review Purchase'!A1"/><Relationship Id="rId4" Type="http://schemas.openxmlformats.org/officeDocument/2006/relationships/image" Target="../media/image2.emf"/><Relationship Id="rId36" Type="http://schemas.openxmlformats.org/officeDocument/2006/relationships/image" Target="../media/image18.emf"/><Relationship Id="rId35" Type="http://schemas.openxmlformats.org/officeDocument/2006/relationships/hyperlink" Target="#'Sales Summary'!A1"/><Relationship Id="rId34" Type="http://schemas.openxmlformats.org/officeDocument/2006/relationships/image" Target="../media/image17.emf"/><Relationship Id="rId33" Type="http://schemas.openxmlformats.org/officeDocument/2006/relationships/hyperlink" Target="#'Ins &amp;  Disp Costing'!A1"/><Relationship Id="rId32" Type="http://schemas.openxmlformats.org/officeDocument/2006/relationships/image" Target="../media/image16.emf"/><Relationship Id="rId31" Type="http://schemas.openxmlformats.org/officeDocument/2006/relationships/hyperlink" Target="#'Costing'!A1"/><Relationship Id="rId30" Type="http://schemas.openxmlformats.org/officeDocument/2006/relationships/image" Target="../media/image15.emf"/><Relationship Id="rId3" Type="http://schemas.openxmlformats.org/officeDocument/2006/relationships/hyperlink" Target="#'Reconcile(HMT)'!A1"/><Relationship Id="rId29" Type="http://schemas.openxmlformats.org/officeDocument/2006/relationships/hyperlink" Target="#'Fin Analysis'!A1"/><Relationship Id="rId28" Type="http://schemas.openxmlformats.org/officeDocument/2006/relationships/image" Target="../media/image14.emf"/><Relationship Id="rId27" Type="http://schemas.openxmlformats.org/officeDocument/2006/relationships/hyperlink" Target="#'YTD-FY23-24'!A1"/><Relationship Id="rId26" Type="http://schemas.openxmlformats.org/officeDocument/2006/relationships/image" Target="../media/image13.emf"/><Relationship Id="rId25" Type="http://schemas.openxmlformats.org/officeDocument/2006/relationships/hyperlink" Target="#'PAL II'!A1"/><Relationship Id="rId24" Type="http://schemas.openxmlformats.org/officeDocument/2006/relationships/image" Target="../media/image12.emf"/><Relationship Id="rId23" Type="http://schemas.openxmlformats.org/officeDocument/2006/relationships/hyperlink" Target="#'Trading PL'!A1"/><Relationship Id="rId22" Type="http://schemas.openxmlformats.org/officeDocument/2006/relationships/image" Target="../media/image11.emf"/><Relationship Id="rId21" Type="http://schemas.openxmlformats.org/officeDocument/2006/relationships/hyperlink" Target="#'PAL I'!A1"/><Relationship Id="rId20" Type="http://schemas.openxmlformats.org/officeDocument/2006/relationships/image" Target="../media/image10.emf"/><Relationship Id="rId2" Type="http://schemas.openxmlformats.org/officeDocument/2006/relationships/image" Target="../media/image1.emf"/><Relationship Id="rId19" Type="http://schemas.openxmlformats.org/officeDocument/2006/relationships/hyperlink" Target="#'COGS'!A1"/><Relationship Id="rId18" Type="http://schemas.openxmlformats.org/officeDocument/2006/relationships/image" Target="../media/image9.emf"/><Relationship Id="rId17" Type="http://schemas.openxmlformats.org/officeDocument/2006/relationships/hyperlink" Target="#'Inventory Sales'!A1"/><Relationship Id="rId16" Type="http://schemas.openxmlformats.org/officeDocument/2006/relationships/image" Target="../media/image8.emf"/><Relationship Id="rId15" Type="http://schemas.openxmlformats.org/officeDocument/2006/relationships/hyperlink" Target="#'Stock Valuation (FIFO)'!A1"/><Relationship Id="rId14" Type="http://schemas.openxmlformats.org/officeDocument/2006/relationships/image" Target="../media/image7.emf"/><Relationship Id="rId13" Type="http://schemas.openxmlformats.org/officeDocument/2006/relationships/hyperlink" Target="#'Indirect Expns'!A1"/><Relationship Id="rId12" Type="http://schemas.openxmlformats.org/officeDocument/2006/relationships/image" Target="../media/image6.emf"/><Relationship Id="rId11" Type="http://schemas.openxmlformats.org/officeDocument/2006/relationships/hyperlink" Target="#'Direct Expns'!A1"/><Relationship Id="rId10" Type="http://schemas.openxmlformats.org/officeDocument/2006/relationships/image" Target="../media/image5.emf"/><Relationship Id="rId1" Type="http://schemas.openxmlformats.org/officeDocument/2006/relationships/hyperlink" Target="#'Sheet3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11.xml.rels><?xml version="1.0" encoding="UTF-8" standalone="yes"?>
<Relationships xmlns="http://schemas.openxmlformats.org/package/2006/relationships"><Relationship Id="rId4" Type="http://schemas.openxmlformats.org/officeDocument/2006/relationships/hyperlink" Target="#'Table Of Contents'!A1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'Table Of Contents'!A1"/><Relationship Id="rId1" Type="http://schemas.openxmlformats.org/officeDocument/2006/relationships/chart" Target="../charts/chart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'Table Of Contents'!A1"/><Relationship Id="rId1" Type="http://schemas.openxmlformats.org/officeDocument/2006/relationships/chart" Target="../charts/chart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5</xdr:col>
      <xdr:colOff>229776</xdr:colOff>
      <xdr:row>11</xdr:row>
      <xdr:rowOff>85725</xdr:rowOff>
    </xdr:to>
    <xdr:pic>
      <xdr:nvPicPr>
        <xdr:cNvPr id="10285057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66" b="39913"/>
        <a:stretch>
          <a:fillRect/>
        </a:stretch>
      </xdr:blipFill>
      <xdr:spPr>
        <a:xfrm>
          <a:off x="314325" y="571500"/>
          <a:ext cx="2629535" cy="145732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11</xdr:row>
      <xdr:rowOff>165250</xdr:rowOff>
    </xdr:from>
    <xdr:to>
      <xdr:col>5</xdr:col>
      <xdr:colOff>229776</xdr:colOff>
      <xdr:row>13</xdr:row>
      <xdr:rowOff>163345</xdr:rowOff>
    </xdr:to>
    <xdr:sp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314325" y="210820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Sheet3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3</xdr:row>
      <xdr:rowOff>0</xdr:rowOff>
    </xdr:from>
    <xdr:to>
      <xdr:col>10</xdr:col>
      <xdr:colOff>229708</xdr:colOff>
      <xdr:row>11</xdr:row>
      <xdr:rowOff>85725</xdr:rowOff>
    </xdr:to>
    <xdr:pic>
      <xdr:nvPicPr>
        <xdr:cNvPr id="10285058" name="Picture 2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164" b="39657"/>
        <a:stretch>
          <a:fillRect/>
        </a:stretch>
      </xdr:blipFill>
      <xdr:spPr>
        <a:xfrm>
          <a:off x="3314700" y="571500"/>
          <a:ext cx="2629535" cy="145732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11</xdr:row>
      <xdr:rowOff>165240</xdr:rowOff>
    </xdr:from>
    <xdr:to>
      <xdr:col>10</xdr:col>
      <xdr:colOff>229708</xdr:colOff>
      <xdr:row>13</xdr:row>
      <xdr:rowOff>163335</xdr:rowOff>
    </xdr:to>
    <xdr:sp>
      <xdr:nvSpPr>
        <xdr:cNvPr id="3" name="TextBox 2">
          <a:hlinkClick xmlns:r="http://schemas.openxmlformats.org/officeDocument/2006/relationships" r:id="rId3"/>
        </xdr:cNvPr>
        <xdr:cNvSpPr txBox="1"/>
      </xdr:nvSpPr>
      <xdr:spPr>
        <a:xfrm>
          <a:off x="3314700" y="210820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Reconcile(HMT)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1</xdr:colOff>
      <xdr:row>3</xdr:row>
      <xdr:rowOff>0</xdr:rowOff>
    </xdr:from>
    <xdr:to>
      <xdr:col>15</xdr:col>
      <xdr:colOff>229626</xdr:colOff>
      <xdr:row>11</xdr:row>
      <xdr:rowOff>85725</xdr:rowOff>
    </xdr:to>
    <xdr:pic>
      <xdr:nvPicPr>
        <xdr:cNvPr id="10285059" name="Picture 3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815" b="38609"/>
        <a:stretch>
          <a:fillRect/>
        </a:stretch>
      </xdr:blipFill>
      <xdr:spPr>
        <a:xfrm>
          <a:off x="6315075" y="571500"/>
          <a:ext cx="2629535" cy="145732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</xdr:colOff>
      <xdr:row>11</xdr:row>
      <xdr:rowOff>165203</xdr:rowOff>
    </xdr:from>
    <xdr:to>
      <xdr:col>15</xdr:col>
      <xdr:colOff>229626</xdr:colOff>
      <xdr:row>13</xdr:row>
      <xdr:rowOff>163298</xdr:rowOff>
    </xdr:to>
    <xdr:sp>
      <xdr:nvSpPr>
        <xdr:cNvPr id="4" name="TextBox 3">
          <a:hlinkClick xmlns:r="http://schemas.openxmlformats.org/officeDocument/2006/relationships" r:id="rId5"/>
        </xdr:cNvPr>
        <xdr:cNvSpPr txBox="1"/>
      </xdr:nvSpPr>
      <xdr:spPr>
        <a:xfrm>
          <a:off x="6315075" y="210820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Review Purchase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1</xdr:colOff>
      <xdr:row>15</xdr:row>
      <xdr:rowOff>128270</xdr:rowOff>
    </xdr:from>
    <xdr:to>
      <xdr:col>5</xdr:col>
      <xdr:colOff>229542</xdr:colOff>
      <xdr:row>24</xdr:row>
      <xdr:rowOff>40076</xdr:rowOff>
    </xdr:to>
    <xdr:pic>
      <xdr:nvPicPr>
        <xdr:cNvPr id="10285060" name="Picture 4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6445" b="37707"/>
        <a:stretch>
          <a:fillRect/>
        </a:stretch>
      </xdr:blipFill>
      <xdr:spPr>
        <a:xfrm>
          <a:off x="314325" y="2757170"/>
          <a:ext cx="2629535" cy="145478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</xdr:colOff>
      <xdr:row>24</xdr:row>
      <xdr:rowOff>125801</xdr:rowOff>
    </xdr:from>
    <xdr:to>
      <xdr:col>5</xdr:col>
      <xdr:colOff>229542</xdr:colOff>
      <xdr:row>26</xdr:row>
      <xdr:rowOff>123896</xdr:rowOff>
    </xdr:to>
    <xdr:sp>
      <xdr:nvSpPr>
        <xdr:cNvPr id="5" name="TextBox 4">
          <a:hlinkClick xmlns:r="http://schemas.openxmlformats.org/officeDocument/2006/relationships" r:id="rId7"/>
        </xdr:cNvPr>
        <xdr:cNvSpPr txBox="1"/>
      </xdr:nvSpPr>
      <xdr:spPr>
        <a:xfrm>
          <a:off x="314325" y="429768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 Qty Analysis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15</xdr:row>
      <xdr:rowOff>128270</xdr:rowOff>
    </xdr:from>
    <xdr:to>
      <xdr:col>10</xdr:col>
      <xdr:colOff>229656</xdr:colOff>
      <xdr:row>24</xdr:row>
      <xdr:rowOff>40127</xdr:rowOff>
    </xdr:to>
    <xdr:pic>
      <xdr:nvPicPr>
        <xdr:cNvPr id="10285061" name="Picture 5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682" b="39137"/>
        <a:stretch>
          <a:fillRect/>
        </a:stretch>
      </xdr:blipFill>
      <xdr:spPr>
        <a:xfrm>
          <a:off x="3314700" y="2757170"/>
          <a:ext cx="2629535" cy="145478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24</xdr:row>
      <xdr:rowOff>125852</xdr:rowOff>
    </xdr:from>
    <xdr:to>
      <xdr:col>10</xdr:col>
      <xdr:colOff>229656</xdr:colOff>
      <xdr:row>26</xdr:row>
      <xdr:rowOff>123947</xdr:rowOff>
    </xdr:to>
    <xdr:sp>
      <xdr:nvSpPr>
        <xdr:cNvPr id="6" name="TextBox 5">
          <a:hlinkClick xmlns:r="http://schemas.openxmlformats.org/officeDocument/2006/relationships" r:id="rId9"/>
        </xdr:cNvPr>
        <xdr:cNvSpPr txBox="1"/>
      </xdr:nvSpPr>
      <xdr:spPr>
        <a:xfrm>
          <a:off x="3314700" y="429768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Purchase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1</xdr:colOff>
      <xdr:row>15</xdr:row>
      <xdr:rowOff>128271</xdr:rowOff>
    </xdr:from>
    <xdr:to>
      <xdr:col>15</xdr:col>
      <xdr:colOff>229492</xdr:colOff>
      <xdr:row>24</xdr:row>
      <xdr:rowOff>40103</xdr:rowOff>
    </xdr:to>
    <xdr:pic>
      <xdr:nvPicPr>
        <xdr:cNvPr id="10285062" name="Picture 6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050" b="38430"/>
        <a:stretch>
          <a:fillRect/>
        </a:stretch>
      </xdr:blipFill>
      <xdr:spPr>
        <a:xfrm>
          <a:off x="6315075" y="2757170"/>
          <a:ext cx="2629535" cy="145478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</xdr:colOff>
      <xdr:row>24</xdr:row>
      <xdr:rowOff>125828</xdr:rowOff>
    </xdr:from>
    <xdr:to>
      <xdr:col>15</xdr:col>
      <xdr:colOff>229492</xdr:colOff>
      <xdr:row>26</xdr:row>
      <xdr:rowOff>123923</xdr:rowOff>
    </xdr:to>
    <xdr:sp>
      <xdr:nvSpPr>
        <xdr:cNvPr id="7" name="TextBox 6">
          <a:hlinkClick xmlns:r="http://schemas.openxmlformats.org/officeDocument/2006/relationships" r:id="rId11"/>
        </xdr:cNvPr>
        <xdr:cNvSpPr txBox="1"/>
      </xdr:nvSpPr>
      <xdr:spPr>
        <a:xfrm>
          <a:off x="6315075" y="429768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Direct Expns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1</xdr:colOff>
      <xdr:row>28</xdr:row>
      <xdr:rowOff>88901</xdr:rowOff>
    </xdr:from>
    <xdr:to>
      <xdr:col>5</xdr:col>
      <xdr:colOff>229492</xdr:colOff>
      <xdr:row>37</xdr:row>
      <xdr:rowOff>0</xdr:rowOff>
    </xdr:to>
    <xdr:pic>
      <xdr:nvPicPr>
        <xdr:cNvPr id="10285063" name="Picture 7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050" b="39224"/>
        <a:stretch>
          <a:fillRect/>
        </a:stretch>
      </xdr:blipFill>
      <xdr:spPr>
        <a:xfrm>
          <a:off x="314325" y="4946650"/>
          <a:ext cx="2629535" cy="14541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</xdr:colOff>
      <xdr:row>37</xdr:row>
      <xdr:rowOff>86486</xdr:rowOff>
    </xdr:from>
    <xdr:to>
      <xdr:col>5</xdr:col>
      <xdr:colOff>229492</xdr:colOff>
      <xdr:row>39</xdr:row>
      <xdr:rowOff>84581</xdr:rowOff>
    </xdr:to>
    <xdr:sp>
      <xdr:nvSpPr>
        <xdr:cNvPr id="8" name="TextBox 7">
          <a:hlinkClick xmlns:r="http://schemas.openxmlformats.org/officeDocument/2006/relationships" r:id="rId13"/>
        </xdr:cNvPr>
        <xdr:cNvSpPr txBox="1"/>
      </xdr:nvSpPr>
      <xdr:spPr>
        <a:xfrm>
          <a:off x="314325" y="648716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Indirect Expns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28</xdr:row>
      <xdr:rowOff>88901</xdr:rowOff>
    </xdr:from>
    <xdr:to>
      <xdr:col>10</xdr:col>
      <xdr:colOff>229528</xdr:colOff>
      <xdr:row>37</xdr:row>
      <xdr:rowOff>0</xdr:rowOff>
    </xdr:to>
    <xdr:pic>
      <xdr:nvPicPr>
        <xdr:cNvPr id="10285064" name="Picture 8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6083" b="38874"/>
        <a:stretch>
          <a:fillRect/>
        </a:stretch>
      </xdr:blipFill>
      <xdr:spPr>
        <a:xfrm>
          <a:off x="3314700" y="4946650"/>
          <a:ext cx="2629535" cy="14541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37</xdr:row>
      <xdr:rowOff>86474</xdr:rowOff>
    </xdr:from>
    <xdr:to>
      <xdr:col>10</xdr:col>
      <xdr:colOff>229528</xdr:colOff>
      <xdr:row>39</xdr:row>
      <xdr:rowOff>84569</xdr:rowOff>
    </xdr:to>
    <xdr:sp>
      <xdr:nvSpPr>
        <xdr:cNvPr id="9" name="TextBox 8">
          <a:hlinkClick xmlns:r="http://schemas.openxmlformats.org/officeDocument/2006/relationships" r:id="rId15"/>
        </xdr:cNvPr>
        <xdr:cNvSpPr txBox="1"/>
      </xdr:nvSpPr>
      <xdr:spPr>
        <a:xfrm>
          <a:off x="3314700" y="648716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Stock Valuation (FIFO)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28</xdr:row>
      <xdr:rowOff>88900</xdr:rowOff>
    </xdr:from>
    <xdr:to>
      <xdr:col>15</xdr:col>
      <xdr:colOff>229706</xdr:colOff>
      <xdr:row>37</xdr:row>
      <xdr:rowOff>0</xdr:rowOff>
    </xdr:to>
    <xdr:pic>
      <xdr:nvPicPr>
        <xdr:cNvPr id="10285065" name="Picture 9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101" b="38962"/>
        <a:stretch>
          <a:fillRect/>
        </a:stretch>
      </xdr:blipFill>
      <xdr:spPr>
        <a:xfrm>
          <a:off x="6315075" y="4946650"/>
          <a:ext cx="2629535" cy="145415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37</xdr:row>
      <xdr:rowOff>86476</xdr:rowOff>
    </xdr:from>
    <xdr:to>
      <xdr:col>15</xdr:col>
      <xdr:colOff>229706</xdr:colOff>
      <xdr:row>39</xdr:row>
      <xdr:rowOff>84571</xdr:rowOff>
    </xdr:to>
    <xdr:sp>
      <xdr:nvSpPr>
        <xdr:cNvPr id="10" name="TextBox 9">
          <a:hlinkClick xmlns:r="http://schemas.openxmlformats.org/officeDocument/2006/relationships" r:id="rId17"/>
        </xdr:cNvPr>
        <xdr:cNvSpPr txBox="1"/>
      </xdr:nvSpPr>
      <xdr:spPr>
        <a:xfrm>
          <a:off x="6315075" y="648716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Inventory Sales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41</xdr:row>
      <xdr:rowOff>49530</xdr:rowOff>
    </xdr:from>
    <xdr:to>
      <xdr:col>5</xdr:col>
      <xdr:colOff>229713</xdr:colOff>
      <xdr:row>49</xdr:row>
      <xdr:rowOff>132802</xdr:rowOff>
    </xdr:to>
    <xdr:pic>
      <xdr:nvPicPr>
        <xdr:cNvPr id="10285066" name="Picture 10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290" b="38161"/>
        <a:stretch>
          <a:fillRect/>
        </a:stretch>
      </xdr:blipFill>
      <xdr:spPr>
        <a:xfrm>
          <a:off x="314325" y="7136130"/>
          <a:ext cx="2629535" cy="145478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50</xdr:row>
      <xdr:rowOff>47077</xdr:rowOff>
    </xdr:from>
    <xdr:to>
      <xdr:col>5</xdr:col>
      <xdr:colOff>229713</xdr:colOff>
      <xdr:row>52</xdr:row>
      <xdr:rowOff>45172</xdr:rowOff>
    </xdr:to>
    <xdr:sp>
      <xdr:nvSpPr>
        <xdr:cNvPr id="11" name="TextBox 10">
          <a:hlinkClick xmlns:r="http://schemas.openxmlformats.org/officeDocument/2006/relationships" r:id="rId19"/>
        </xdr:cNvPr>
        <xdr:cNvSpPr txBox="1"/>
      </xdr:nvSpPr>
      <xdr:spPr>
        <a:xfrm>
          <a:off x="314325" y="867664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COGS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6</xdr:col>
      <xdr:colOff>0</xdr:colOff>
      <xdr:row>41</xdr:row>
      <xdr:rowOff>49530</xdr:rowOff>
    </xdr:from>
    <xdr:to>
      <xdr:col>10</xdr:col>
      <xdr:colOff>229722</xdr:colOff>
      <xdr:row>49</xdr:row>
      <xdr:rowOff>132809</xdr:rowOff>
    </xdr:to>
    <xdr:pic>
      <xdr:nvPicPr>
        <xdr:cNvPr id="10285067" name="Picture 11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541" b="38341"/>
        <a:stretch>
          <a:fillRect/>
        </a:stretch>
      </xdr:blipFill>
      <xdr:spPr>
        <a:xfrm>
          <a:off x="3314700" y="7136130"/>
          <a:ext cx="2629535" cy="145478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50</xdr:row>
      <xdr:rowOff>47084</xdr:rowOff>
    </xdr:from>
    <xdr:to>
      <xdr:col>10</xdr:col>
      <xdr:colOff>229722</xdr:colOff>
      <xdr:row>52</xdr:row>
      <xdr:rowOff>45179</xdr:rowOff>
    </xdr:to>
    <xdr:sp>
      <xdr:nvSpPr>
        <xdr:cNvPr id="12" name="TextBox 11">
          <a:hlinkClick xmlns:r="http://schemas.openxmlformats.org/officeDocument/2006/relationships" r:id="rId21"/>
        </xdr:cNvPr>
        <xdr:cNvSpPr txBox="1"/>
      </xdr:nvSpPr>
      <xdr:spPr>
        <a:xfrm>
          <a:off x="3314700" y="867664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PAL I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1</xdr:colOff>
      <xdr:row>41</xdr:row>
      <xdr:rowOff>49530</xdr:rowOff>
    </xdr:from>
    <xdr:to>
      <xdr:col>15</xdr:col>
      <xdr:colOff>229588</xdr:colOff>
      <xdr:row>49</xdr:row>
      <xdr:rowOff>132855</xdr:rowOff>
    </xdr:to>
    <xdr:pic>
      <xdr:nvPicPr>
        <xdr:cNvPr id="10285068" name="Picture 12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719" b="39657"/>
        <a:stretch>
          <a:fillRect/>
        </a:stretch>
      </xdr:blipFill>
      <xdr:spPr>
        <a:xfrm>
          <a:off x="6315075" y="7136130"/>
          <a:ext cx="2629535" cy="145478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</xdr:colOff>
      <xdr:row>50</xdr:row>
      <xdr:rowOff>47130</xdr:rowOff>
    </xdr:from>
    <xdr:to>
      <xdr:col>15</xdr:col>
      <xdr:colOff>229588</xdr:colOff>
      <xdr:row>52</xdr:row>
      <xdr:rowOff>45225</xdr:rowOff>
    </xdr:to>
    <xdr:sp>
      <xdr:nvSpPr>
        <xdr:cNvPr id="13" name="TextBox 12">
          <a:hlinkClick xmlns:r="http://schemas.openxmlformats.org/officeDocument/2006/relationships" r:id="rId23"/>
        </xdr:cNvPr>
        <xdr:cNvSpPr txBox="1"/>
      </xdr:nvSpPr>
      <xdr:spPr>
        <a:xfrm>
          <a:off x="6315075" y="867664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Trading PL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1</xdr:colOff>
      <xdr:row>54</xdr:row>
      <xdr:rowOff>10160</xdr:rowOff>
    </xdr:from>
    <xdr:to>
      <xdr:col>5</xdr:col>
      <xdr:colOff>229614</xdr:colOff>
      <xdr:row>62</xdr:row>
      <xdr:rowOff>93383</xdr:rowOff>
    </xdr:to>
    <xdr:pic>
      <xdr:nvPicPr>
        <xdr:cNvPr id="10285069" name="Picture 13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476" b="36779"/>
        <a:stretch>
          <a:fillRect/>
        </a:stretch>
      </xdr:blipFill>
      <xdr:spPr>
        <a:xfrm>
          <a:off x="314325" y="9325610"/>
          <a:ext cx="2629535" cy="145478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</xdr:colOff>
      <xdr:row>63</xdr:row>
      <xdr:rowOff>7658</xdr:rowOff>
    </xdr:from>
    <xdr:to>
      <xdr:col>5</xdr:col>
      <xdr:colOff>229614</xdr:colOff>
      <xdr:row>65</xdr:row>
      <xdr:rowOff>5753</xdr:rowOff>
    </xdr:to>
    <xdr:sp>
      <xdr:nvSpPr>
        <xdr:cNvPr id="14" name="TextBox 13">
          <a:hlinkClick xmlns:r="http://schemas.openxmlformats.org/officeDocument/2006/relationships" r:id="rId25"/>
        </xdr:cNvPr>
        <xdr:cNvSpPr txBox="1"/>
      </xdr:nvSpPr>
      <xdr:spPr>
        <a:xfrm>
          <a:off x="314325" y="1086612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PAL II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6</xdr:col>
      <xdr:colOff>1</xdr:colOff>
      <xdr:row>54</xdr:row>
      <xdr:rowOff>10161</xdr:rowOff>
    </xdr:from>
    <xdr:to>
      <xdr:col>10</xdr:col>
      <xdr:colOff>229742</xdr:colOff>
      <xdr:row>62</xdr:row>
      <xdr:rowOff>93471</xdr:rowOff>
    </xdr:to>
    <xdr:pic>
      <xdr:nvPicPr>
        <xdr:cNvPr id="10285070" name="Picture 14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098" b="39224"/>
        <a:stretch>
          <a:fillRect/>
        </a:stretch>
      </xdr:blipFill>
      <xdr:spPr>
        <a:xfrm>
          <a:off x="3314700" y="9325610"/>
          <a:ext cx="2629535" cy="145478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</xdr:colOff>
      <xdr:row>63</xdr:row>
      <xdr:rowOff>7746</xdr:rowOff>
    </xdr:from>
    <xdr:to>
      <xdr:col>10</xdr:col>
      <xdr:colOff>229742</xdr:colOff>
      <xdr:row>65</xdr:row>
      <xdr:rowOff>5841</xdr:rowOff>
    </xdr:to>
    <xdr:sp>
      <xdr:nvSpPr>
        <xdr:cNvPr id="15" name="TextBox 14">
          <a:hlinkClick xmlns:r="http://schemas.openxmlformats.org/officeDocument/2006/relationships" r:id="rId27"/>
        </xdr:cNvPr>
        <xdr:cNvSpPr txBox="1"/>
      </xdr:nvSpPr>
      <xdr:spPr>
        <a:xfrm>
          <a:off x="3314700" y="10866120"/>
          <a:ext cx="2629535" cy="34099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YTD-FY23-24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54</xdr:row>
      <xdr:rowOff>10160</xdr:rowOff>
    </xdr:from>
    <xdr:to>
      <xdr:col>15</xdr:col>
      <xdr:colOff>229830</xdr:colOff>
      <xdr:row>62</xdr:row>
      <xdr:rowOff>93473</xdr:rowOff>
    </xdr:to>
    <xdr:pic>
      <xdr:nvPicPr>
        <xdr:cNvPr id="10285071" name="Picture 15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4582" b="39311"/>
        <a:stretch>
          <a:fillRect/>
        </a:stretch>
      </xdr:blipFill>
      <xdr:spPr>
        <a:xfrm>
          <a:off x="6315075" y="9325610"/>
          <a:ext cx="2629535" cy="145478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63</xdr:row>
      <xdr:rowOff>7748</xdr:rowOff>
    </xdr:from>
    <xdr:to>
      <xdr:col>15</xdr:col>
      <xdr:colOff>229830</xdr:colOff>
      <xdr:row>65</xdr:row>
      <xdr:rowOff>5843</xdr:rowOff>
    </xdr:to>
    <xdr:sp>
      <xdr:nvSpPr>
        <xdr:cNvPr id="16" name="TextBox 15">
          <a:hlinkClick xmlns:r="http://schemas.openxmlformats.org/officeDocument/2006/relationships" r:id="rId29"/>
        </xdr:cNvPr>
        <xdr:cNvSpPr txBox="1"/>
      </xdr:nvSpPr>
      <xdr:spPr>
        <a:xfrm>
          <a:off x="6315075" y="10866120"/>
          <a:ext cx="2629535" cy="34099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Fin Analysis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66</xdr:row>
      <xdr:rowOff>138430</xdr:rowOff>
    </xdr:from>
    <xdr:to>
      <xdr:col>5</xdr:col>
      <xdr:colOff>229705</xdr:colOff>
      <xdr:row>75</xdr:row>
      <xdr:rowOff>50255</xdr:rowOff>
    </xdr:to>
    <xdr:pic>
      <xdr:nvPicPr>
        <xdr:cNvPr id="10285072" name="Picture 16">
          <a:hlinkClick xmlns:r="http://schemas.openxmlformats.org/officeDocument/2006/relationships" r:id="rId31"/>
        </xdr:cNvPr>
        <xdr:cNvPicPr>
          <a:picLocks noChangeAspect="1" noChangeArrowheads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038" b="38251"/>
        <a:stretch>
          <a:fillRect/>
        </a:stretch>
      </xdr:blipFill>
      <xdr:spPr>
        <a:xfrm>
          <a:off x="314325" y="11511280"/>
          <a:ext cx="2629535" cy="145478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75</xdr:row>
      <xdr:rowOff>135981</xdr:rowOff>
    </xdr:from>
    <xdr:to>
      <xdr:col>5</xdr:col>
      <xdr:colOff>229705</xdr:colOff>
      <xdr:row>77</xdr:row>
      <xdr:rowOff>134076</xdr:rowOff>
    </xdr:to>
    <xdr:sp>
      <xdr:nvSpPr>
        <xdr:cNvPr id="17" name="TextBox 16">
          <a:hlinkClick xmlns:r="http://schemas.openxmlformats.org/officeDocument/2006/relationships" r:id="rId31"/>
        </xdr:cNvPr>
        <xdr:cNvSpPr txBox="1"/>
      </xdr:nvSpPr>
      <xdr:spPr>
        <a:xfrm>
          <a:off x="314325" y="1305179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Costing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6</xdr:col>
      <xdr:colOff>1</xdr:colOff>
      <xdr:row>66</xdr:row>
      <xdr:rowOff>138430</xdr:rowOff>
    </xdr:from>
    <xdr:to>
      <xdr:col>10</xdr:col>
      <xdr:colOff>229680</xdr:colOff>
      <xdr:row>75</xdr:row>
      <xdr:rowOff>50287</xdr:rowOff>
    </xdr:to>
    <xdr:pic>
      <xdr:nvPicPr>
        <xdr:cNvPr id="10285073" name="Picture 17">
          <a:hlinkClick xmlns:r="http://schemas.openxmlformats.org/officeDocument/2006/relationships" r:id="rId33"/>
        </xdr:cNvPr>
        <xdr:cNvPicPr>
          <a:picLocks noChangeAspect="1" noChangeArrowheads="1"/>
        </xdr:cNvPicPr>
      </xdr:nvPicPr>
      <xdr:blipFill>
        <a:blip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334" b="39137"/>
        <a:stretch>
          <a:fillRect/>
        </a:stretch>
      </xdr:blipFill>
      <xdr:spPr>
        <a:xfrm>
          <a:off x="3314700" y="11511280"/>
          <a:ext cx="2629535" cy="145478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</xdr:colOff>
      <xdr:row>75</xdr:row>
      <xdr:rowOff>136012</xdr:rowOff>
    </xdr:from>
    <xdr:to>
      <xdr:col>10</xdr:col>
      <xdr:colOff>229680</xdr:colOff>
      <xdr:row>77</xdr:row>
      <xdr:rowOff>134107</xdr:rowOff>
    </xdr:to>
    <xdr:sp>
      <xdr:nvSpPr>
        <xdr:cNvPr id="18" name="TextBox 17">
          <a:hlinkClick xmlns:r="http://schemas.openxmlformats.org/officeDocument/2006/relationships" r:id="rId33"/>
        </xdr:cNvPr>
        <xdr:cNvSpPr txBox="1"/>
      </xdr:nvSpPr>
      <xdr:spPr>
        <a:xfrm>
          <a:off x="3314700" y="1305179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Ins &amp;  Disp Costing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66</xdr:row>
      <xdr:rowOff>138430</xdr:rowOff>
    </xdr:from>
    <xdr:to>
      <xdr:col>15</xdr:col>
      <xdr:colOff>229864</xdr:colOff>
      <xdr:row>75</xdr:row>
      <xdr:rowOff>50268</xdr:rowOff>
    </xdr:to>
    <xdr:pic>
      <xdr:nvPicPr>
        <xdr:cNvPr id="10285074" name="Picture 18">
          <a:hlinkClick xmlns:r="http://schemas.openxmlformats.org/officeDocument/2006/relationships" r:id="rId35"/>
        </xdr:cNvPr>
        <xdr:cNvPicPr>
          <a:picLocks noChangeAspect="1" noChangeArrowheads="1"/>
        </xdr:cNvPicPr>
      </xdr:nvPicPr>
      <xdr:blipFill>
        <a:blip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536" b="38609"/>
        <a:stretch>
          <a:fillRect/>
        </a:stretch>
      </xdr:blipFill>
      <xdr:spPr>
        <a:xfrm>
          <a:off x="6315075" y="11511280"/>
          <a:ext cx="2629535" cy="145478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75</xdr:row>
      <xdr:rowOff>135993</xdr:rowOff>
    </xdr:from>
    <xdr:to>
      <xdr:col>15</xdr:col>
      <xdr:colOff>229864</xdr:colOff>
      <xdr:row>77</xdr:row>
      <xdr:rowOff>134088</xdr:rowOff>
    </xdr:to>
    <xdr:sp>
      <xdr:nvSpPr>
        <xdr:cNvPr id="19" name="TextBox 18">
          <a:hlinkClick xmlns:r="http://schemas.openxmlformats.org/officeDocument/2006/relationships" r:id="rId35"/>
        </xdr:cNvPr>
        <xdr:cNvSpPr txBox="1"/>
      </xdr:nvSpPr>
      <xdr:spPr>
        <a:xfrm>
          <a:off x="6315075" y="13051790"/>
          <a:ext cx="2629535" cy="3409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Sales Summary</a:t>
          </a:r>
          <a:endParaRPr lang="en-IN" sz="1100" kern="1200">
            <a:solidFill>
              <a:srgbClr val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129540</xdr:rowOff>
    </xdr:to>
    <xdr:sp>
      <xdr:nvSpPr>
        <xdr:cNvPr id="3" name="Rounded Rectangle 2_ContentButton">
          <a:hlinkClick xmlns:r="http://schemas.openxmlformats.org/officeDocument/2006/relationships" r:id="rId1"/>
        </xdr:cNvPr>
        <xdr:cNvSpPr/>
      </xdr:nvSpPr>
      <xdr:spPr>
        <a:xfrm>
          <a:off x="50800" y="50800"/>
          <a:ext cx="762000" cy="259715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131618</xdr:rowOff>
    </xdr:to>
    <xdr:sp>
      <xdr:nvSpPr>
        <xdr:cNvPr id="3" name="Rounded Rectangle 2_ContentButton">
          <a:hlinkClick xmlns:r="http://schemas.openxmlformats.org/officeDocument/2006/relationships" r:id="rId1"/>
        </xdr:cNvPr>
        <xdr:cNvSpPr/>
      </xdr:nvSpPr>
      <xdr:spPr>
        <a:xfrm>
          <a:off x="50800" y="50800"/>
          <a:ext cx="762000" cy="26162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114300</xdr:rowOff>
    </xdr:to>
    <xdr:sp>
      <xdr:nvSpPr>
        <xdr:cNvPr id="3" name="Rounded Rectangle 2_ContentButton">
          <a:hlinkClick xmlns:r="http://schemas.openxmlformats.org/officeDocument/2006/relationships" r:id="rId1"/>
        </xdr:cNvPr>
        <xdr:cNvSpPr/>
      </xdr:nvSpPr>
      <xdr:spPr>
        <a:xfrm>
          <a:off x="50800" y="50800"/>
          <a:ext cx="762000" cy="263525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0</xdr:row>
      <xdr:rowOff>50800</xdr:rowOff>
    </xdr:from>
    <xdr:to>
      <xdr:col>1</xdr:col>
      <xdr:colOff>203200</xdr:colOff>
      <xdr:row>1</xdr:row>
      <xdr:rowOff>137160</xdr:rowOff>
    </xdr:to>
    <xdr:sp>
      <xdr:nvSpPr>
        <xdr:cNvPr id="3" name="Rounded Rectangle 2_ContentButton">
          <a:hlinkClick xmlns:r="http://schemas.openxmlformats.org/officeDocument/2006/relationships" r:id="rId1"/>
        </xdr:cNvPr>
        <xdr:cNvSpPr/>
      </xdr:nvSpPr>
      <xdr:spPr>
        <a:xfrm>
          <a:off x="50800" y="50800"/>
          <a:ext cx="752475" cy="25781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135467</xdr:rowOff>
    </xdr:to>
    <xdr:sp>
      <xdr:nvSpPr>
        <xdr:cNvPr id="3" name="Rounded Rectangle 2_ContentButton">
          <a:hlinkClick xmlns:r="http://schemas.openxmlformats.org/officeDocument/2006/relationships" r:id="rId1"/>
        </xdr:cNvPr>
        <xdr:cNvSpPr/>
      </xdr:nvSpPr>
      <xdr:spPr>
        <a:xfrm>
          <a:off x="50800" y="50800"/>
          <a:ext cx="762000" cy="255905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99060</xdr:rowOff>
    </xdr:to>
    <xdr:sp>
      <xdr:nvSpPr>
        <xdr:cNvPr id="3" name="Rounded Rectangle 2_ContentButton">
          <a:hlinkClick xmlns:r="http://schemas.openxmlformats.org/officeDocument/2006/relationships" r:id="rId1"/>
        </xdr:cNvPr>
        <xdr:cNvSpPr/>
      </xdr:nvSpPr>
      <xdr:spPr>
        <a:xfrm>
          <a:off x="50800" y="50800"/>
          <a:ext cx="762000" cy="267335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107879</xdr:rowOff>
    </xdr:to>
    <xdr:sp>
      <xdr:nvSpPr>
        <xdr:cNvPr id="3" name="Rounded Rectangle 2_ContentButton">
          <a:hlinkClick xmlns:r="http://schemas.openxmlformats.org/officeDocument/2006/relationships" r:id="rId1"/>
        </xdr:cNvPr>
        <xdr:cNvSpPr/>
      </xdr:nvSpPr>
      <xdr:spPr>
        <a:xfrm>
          <a:off x="50800" y="50800"/>
          <a:ext cx="762000" cy="37084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4</xdr:row>
      <xdr:rowOff>39534</xdr:rowOff>
    </xdr:from>
    <xdr:ext cx="221957" cy="274645"/>
    <xdr:sp>
      <xdr:nvSpPr>
        <xdr:cNvPr id="2" name="TextBox 1"/>
        <xdr:cNvSpPr txBox="1"/>
      </xdr:nvSpPr>
      <xdr:spPr>
        <a:xfrm>
          <a:off x="1762125" y="829945"/>
          <a:ext cx="22161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265246" cy="326413"/>
    <xdr:sp>
      <xdr:nvSpPr>
        <xdr:cNvPr id="3" name="TextBox 2"/>
        <xdr:cNvSpPr txBox="1"/>
      </xdr:nvSpPr>
      <xdr:spPr>
        <a:xfrm>
          <a:off x="1762125" y="0"/>
          <a:ext cx="264795" cy="3263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4" name="TextBox 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5" name="TextBox 4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6" name="TextBox 5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7" name="TextBox 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8" name="TextBox 7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9" name="TextBox 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0" name="TextBox 9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1" name="TextBox 10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2" name="TextBox 1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3" name="TextBox 12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14" name="TextBox 13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15" name="TextBox 14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16" name="TextBox 15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7" name="TextBox 1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8" name="TextBox 1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9" name="TextBox 1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20" cy="309344"/>
    <xdr:sp>
      <xdr:nvSpPr>
        <xdr:cNvPr id="20" name="TextBox 19"/>
        <xdr:cNvSpPr txBox="1"/>
      </xdr:nvSpPr>
      <xdr:spPr>
        <a:xfrm>
          <a:off x="1762125" y="795020"/>
          <a:ext cx="2425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21" name="TextBox 20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22" name="TextBox 21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23" name="TextBox 22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24" name="TextBox 2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25" name="TextBox 2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26" name="TextBox 2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27" name="TextBox 2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28" name="TextBox 27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29" name="TextBox 28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30" name="TextBox 29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31" name="TextBox 30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>
      <xdr:nvSpPr>
        <xdr:cNvPr id="32" name="TextBox 31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33" name="TextBox 32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34" name="TextBox 33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35" name="TextBox 34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36" name="TextBox 35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37" name="TextBox 36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38" name="TextBox 37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39" name="TextBox 38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238" cy="278343"/>
    <xdr:sp>
      <xdr:nvSpPr>
        <xdr:cNvPr id="40" name="TextBox 39"/>
        <xdr:cNvSpPr txBox="1"/>
      </xdr:nvSpPr>
      <xdr:spPr>
        <a:xfrm>
          <a:off x="1762125" y="826135"/>
          <a:ext cx="24320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41" name="TextBox 40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42" name="TextBox 4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43" name="TextBox 4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>
      <xdr:nvSpPr>
        <xdr:cNvPr id="44" name="TextBox 43"/>
        <xdr:cNvSpPr txBox="1"/>
      </xdr:nvSpPr>
      <xdr:spPr>
        <a:xfrm>
          <a:off x="1762125" y="795020"/>
          <a:ext cx="2425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45" name="TextBox 44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46" name="TextBox 45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47" name="TextBox 46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48" name="TextBox 4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49" name="TextBox 4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0" name="TextBox 49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1" name="TextBox 5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52" name="TextBox 51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53" name="TextBox 5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54" name="TextBox 5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55" name="TextBox 5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>
      <xdr:nvSpPr>
        <xdr:cNvPr id="56" name="TextBox 55"/>
        <xdr:cNvSpPr txBox="1"/>
      </xdr:nvSpPr>
      <xdr:spPr>
        <a:xfrm>
          <a:off x="1762125" y="795020"/>
          <a:ext cx="2425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57" name="TextBox 56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58" name="TextBox 57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59" name="TextBox 58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60" name="TextBox 5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61" name="TextBox 60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62" name="TextBox 6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63" name="TextBox 62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460" cy="278343"/>
    <xdr:sp>
      <xdr:nvSpPr>
        <xdr:cNvPr id="64" name="TextBox 63"/>
        <xdr:cNvSpPr txBox="1"/>
      </xdr:nvSpPr>
      <xdr:spPr>
        <a:xfrm>
          <a:off x="1762125" y="826135"/>
          <a:ext cx="24320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5" name="TextBox 6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6" name="TextBox 65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7" name="TextBox 6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>
      <xdr:nvSpPr>
        <xdr:cNvPr id="68" name="TextBox 67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69" name="TextBox 68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70" name="TextBox 69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71" name="TextBox 70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2" name="TextBox 7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3" name="TextBox 7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4" name="TextBox 73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5" name="TextBox 74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76" name="TextBox 75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7" name="TextBox 7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8" name="TextBox 7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9" name="TextBox 7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>
      <xdr:nvSpPr>
        <xdr:cNvPr id="80" name="TextBox 79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81" name="TextBox 80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82" name="TextBox 81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83" name="TextBox 82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84" name="TextBox 8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85" name="TextBox 8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6" name="TextBox 8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7" name="TextBox 8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>
      <xdr:nvSpPr>
        <xdr:cNvPr id="88" name="TextBox 87"/>
        <xdr:cNvSpPr txBox="1"/>
      </xdr:nvSpPr>
      <xdr:spPr>
        <a:xfrm>
          <a:off x="1762125" y="829945"/>
          <a:ext cx="22161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89" name="TextBox 8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90" name="TextBox 89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91" name="TextBox 90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92" name="TextBox 9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93" name="TextBox 92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94" name="TextBox 9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95" name="TextBox 94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96" name="TextBox 95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97" name="TextBox 9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98" name="TextBox 97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99" name="TextBox 98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100" name="TextBox 99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01" name="TextBox 10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02" name="TextBox 10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03" name="TextBox 10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04" name="TextBox 10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>
      <xdr:nvSpPr>
        <xdr:cNvPr id="105" name="TextBox 10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06" name="TextBox 10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07" name="TextBox 10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08" name="TextBox 10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09" name="TextBox 10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0" name="TextBox 10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1" name="TextBox 11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2" name="TextBox 11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113" name="TextBox 112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14" name="TextBox 113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15" name="TextBox 114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16" name="TextBox 115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>
      <xdr:nvSpPr>
        <xdr:cNvPr id="117" name="TextBox 116"/>
        <xdr:cNvSpPr txBox="1"/>
      </xdr:nvSpPr>
      <xdr:spPr>
        <a:xfrm>
          <a:off x="1762125" y="795020"/>
          <a:ext cx="2298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118" name="TextBox 117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119" name="TextBox 118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120" name="TextBox 119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21" name="TextBox 120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22" name="TextBox 121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3" name="TextBox 122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4" name="TextBox 123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>
      <xdr:nvSpPr>
        <xdr:cNvPr id="125" name="TextBox 124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26" name="TextBox 125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27" name="TextBox 12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28" name="TextBox 12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129" name="TextBox 128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30" name="TextBox 12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31" name="TextBox 13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32" name="TextBox 13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33" name="TextBox 13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34" name="TextBox 13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35" name="TextBox 134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36" name="TextBox 13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37" name="TextBox 13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38" name="TextBox 13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39" name="TextBox 13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40" name="TextBox 13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141" name="TextBox 140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42" name="TextBox 14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43" name="TextBox 14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44" name="TextBox 143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45" name="TextBox 14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46" name="TextBox 145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47" name="TextBox 14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48" name="TextBox 147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>
      <xdr:nvSpPr>
        <xdr:cNvPr id="149" name="TextBox 148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50" name="TextBox 14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51" name="TextBox 150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52" name="TextBox 15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153" name="TextBox 15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54" name="TextBox 153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55" name="TextBox 15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56" name="TextBox 15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57" name="TextBox 15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58" name="TextBox 15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59" name="TextBox 158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60" name="TextBox 159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61" name="TextBox 16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62" name="TextBox 16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63" name="TextBox 16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64" name="TextBox 16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165" name="TextBox 16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66" name="TextBox 16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67" name="TextBox 16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68" name="TextBox 16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69" name="TextBox 16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70" name="TextBox 16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71" name="TextBox 17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72" name="TextBox 17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>
      <xdr:nvSpPr>
        <xdr:cNvPr id="173" name="TextBox 172"/>
        <xdr:cNvSpPr txBox="1"/>
      </xdr:nvSpPr>
      <xdr:spPr>
        <a:xfrm>
          <a:off x="1762125" y="829945"/>
          <a:ext cx="22161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74" name="TextBox 17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75" name="TextBox 174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76" name="TextBox 175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77" name="TextBox 17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178" name="TextBox 177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79" name="TextBox 17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80" name="TextBox 179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81" name="TextBox 180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82" name="TextBox 18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83" name="TextBox 182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184" name="TextBox 183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185" name="TextBox 184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86" name="TextBox 18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87" name="TextBox 18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88" name="TextBox 18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89" name="TextBox 18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>
      <xdr:nvSpPr>
        <xdr:cNvPr id="190" name="TextBox 18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91" name="TextBox 19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92" name="TextBox 19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93" name="TextBox 19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94" name="TextBox 19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95" name="TextBox 19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96" name="TextBox 19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97" name="TextBox 19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198" name="TextBox 197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99" name="TextBox 198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200" name="TextBox 199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201" name="TextBox 200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>
      <xdr:nvSpPr>
        <xdr:cNvPr id="202" name="TextBox 201"/>
        <xdr:cNvSpPr txBox="1"/>
      </xdr:nvSpPr>
      <xdr:spPr>
        <a:xfrm>
          <a:off x="1762125" y="795020"/>
          <a:ext cx="2298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203" name="TextBox 202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204" name="TextBox 203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205" name="TextBox 204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206" name="TextBox 205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207" name="TextBox 206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208" name="TextBox 207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209" name="TextBox 208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>
      <xdr:nvSpPr>
        <xdr:cNvPr id="210" name="TextBox 209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211" name="TextBox 210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212" name="TextBox 21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213" name="TextBox 21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214" name="TextBox 213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215" name="TextBox 21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216" name="TextBox 21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217" name="TextBox 21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218" name="TextBox 21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219" name="TextBox 21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220" name="TextBox 219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221" name="TextBox 22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222" name="TextBox 22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223" name="TextBox 22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224" name="TextBox 22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225" name="TextBox 22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226" name="TextBox 225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227" name="TextBox 22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228" name="TextBox 22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229" name="TextBox 228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230" name="TextBox 22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231" name="TextBox 230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232" name="TextBox 23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233" name="TextBox 232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>
      <xdr:nvSpPr>
        <xdr:cNvPr id="234" name="TextBox 233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235" name="TextBox 23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236" name="TextBox 235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237" name="TextBox 23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238" name="TextBox 23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239" name="TextBox 238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240" name="TextBox 23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241" name="TextBox 24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242" name="TextBox 24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243" name="TextBox 24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244" name="TextBox 243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245" name="TextBox 244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246" name="TextBox 24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247" name="TextBox 24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248" name="TextBox 24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249" name="TextBox 24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250" name="TextBox 24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251" name="TextBox 25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252" name="TextBox 25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253" name="TextBox 25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254" name="TextBox 25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255" name="TextBox 25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256" name="TextBox 25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257" name="TextBox 25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6687" cy="274645"/>
    <xdr:sp>
      <xdr:nvSpPr>
        <xdr:cNvPr id="258" name="TextBox 257"/>
        <xdr:cNvSpPr txBox="1"/>
      </xdr:nvSpPr>
      <xdr:spPr>
        <a:xfrm>
          <a:off x="1762125" y="829945"/>
          <a:ext cx="21653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259" name="TextBox 25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260" name="TextBox 259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261" name="TextBox 260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262" name="TextBox 26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263" name="TextBox 262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264" name="TextBox 26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265" name="TextBox 264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266" name="TextBox 265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267" name="TextBox 26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268" name="TextBox 267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269" name="TextBox 268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270" name="TextBox 269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271" name="TextBox 27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272" name="TextBox 27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273" name="TextBox 27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274" name="TextBox 27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872" cy="309344"/>
    <xdr:sp>
      <xdr:nvSpPr>
        <xdr:cNvPr id="275" name="TextBox 27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276" name="TextBox 27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277" name="TextBox 27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278" name="TextBox 27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279" name="TextBox 27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280" name="TextBox 27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281" name="TextBox 280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282" name="TextBox 281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283" name="TextBox 282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284" name="TextBox 283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285" name="TextBox 284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286" name="TextBox 285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>
      <xdr:nvSpPr>
        <xdr:cNvPr id="287" name="TextBox 286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288" name="TextBox 287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289" name="TextBox 288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290" name="TextBox 289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291" name="TextBox 290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292" name="TextBox 291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293" name="TextBox 292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294" name="TextBox 293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949" cy="278343"/>
    <xdr:sp>
      <xdr:nvSpPr>
        <xdr:cNvPr id="295" name="TextBox 294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296" name="TextBox 295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297" name="TextBox 29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298" name="TextBox 29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>
      <xdr:nvSpPr>
        <xdr:cNvPr id="299" name="TextBox 298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300" name="TextBox 29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301" name="TextBox 30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302" name="TextBox 30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03" name="TextBox 30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04" name="TextBox 30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305" name="TextBox 304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306" name="TextBox 305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307" name="TextBox 30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08" name="TextBox 30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09" name="TextBox 30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10" name="TextBox 30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>
      <xdr:nvSpPr>
        <xdr:cNvPr id="311" name="TextBox 31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312" name="TextBox 31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313" name="TextBox 31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314" name="TextBox 313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15" name="TextBox 31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16" name="TextBox 315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317" name="TextBox 316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318" name="TextBox 317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5174" cy="278343"/>
    <xdr:sp>
      <xdr:nvSpPr>
        <xdr:cNvPr id="319" name="TextBox 318"/>
        <xdr:cNvSpPr txBox="1"/>
      </xdr:nvSpPr>
      <xdr:spPr>
        <a:xfrm>
          <a:off x="1762125" y="826135"/>
          <a:ext cx="245110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20" name="TextBox 31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21" name="TextBox 320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22" name="TextBox 32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>
      <xdr:nvSpPr>
        <xdr:cNvPr id="323" name="TextBox 32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324" name="TextBox 323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325" name="TextBox 324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326" name="TextBox 325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27" name="TextBox 32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28" name="TextBox 32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329" name="TextBox 328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330" name="TextBox 329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331" name="TextBox 330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32" name="TextBox 33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33" name="TextBox 33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34" name="TextBox 33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>
      <xdr:nvSpPr>
        <xdr:cNvPr id="335" name="TextBox 33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336" name="TextBox 335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337" name="TextBox 336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338" name="TextBox 337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39" name="TextBox 33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40" name="TextBox 33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341" name="TextBox 340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342" name="TextBox 341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>
      <xdr:nvSpPr>
        <xdr:cNvPr id="343" name="TextBox 342"/>
        <xdr:cNvSpPr txBox="1"/>
      </xdr:nvSpPr>
      <xdr:spPr>
        <a:xfrm>
          <a:off x="1762125" y="829945"/>
          <a:ext cx="22161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344" name="TextBox 34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345" name="TextBox 344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346" name="TextBox 345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347" name="TextBox 34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348" name="TextBox 347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349" name="TextBox 34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350" name="TextBox 349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351" name="TextBox 350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352" name="TextBox 35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353" name="TextBox 352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354" name="TextBox 353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355" name="TextBox 354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356" name="TextBox 355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57" name="TextBox 35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58" name="TextBox 35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59" name="TextBox 35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20" cy="309344"/>
    <xdr:sp>
      <xdr:nvSpPr>
        <xdr:cNvPr id="360" name="TextBox 359"/>
        <xdr:cNvSpPr txBox="1"/>
      </xdr:nvSpPr>
      <xdr:spPr>
        <a:xfrm>
          <a:off x="1762125" y="795020"/>
          <a:ext cx="2425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361" name="TextBox 360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362" name="TextBox 361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363" name="TextBox 362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64" name="TextBox 36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365" name="TextBox 36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366" name="TextBox 36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367" name="TextBox 36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368" name="TextBox 367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369" name="TextBox 368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370" name="TextBox 369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371" name="TextBox 370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>
      <xdr:nvSpPr>
        <xdr:cNvPr id="372" name="TextBox 371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373" name="TextBox 372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374" name="TextBox 373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375" name="TextBox 374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376" name="TextBox 375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377" name="TextBox 376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378" name="TextBox 377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379" name="TextBox 378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238" cy="278343"/>
    <xdr:sp>
      <xdr:nvSpPr>
        <xdr:cNvPr id="380" name="TextBox 379"/>
        <xdr:cNvSpPr txBox="1"/>
      </xdr:nvSpPr>
      <xdr:spPr>
        <a:xfrm>
          <a:off x="1762125" y="826135"/>
          <a:ext cx="24320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81" name="TextBox 380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82" name="TextBox 38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83" name="TextBox 38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>
      <xdr:nvSpPr>
        <xdr:cNvPr id="384" name="TextBox 383"/>
        <xdr:cNvSpPr txBox="1"/>
      </xdr:nvSpPr>
      <xdr:spPr>
        <a:xfrm>
          <a:off x="1762125" y="795020"/>
          <a:ext cx="2425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385" name="TextBox 384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386" name="TextBox 385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387" name="TextBox 386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88" name="TextBox 38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89" name="TextBox 38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390" name="TextBox 389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391" name="TextBox 39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392" name="TextBox 391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93" name="TextBox 39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94" name="TextBox 39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395" name="TextBox 39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>
      <xdr:nvSpPr>
        <xdr:cNvPr id="396" name="TextBox 395"/>
        <xdr:cNvSpPr txBox="1"/>
      </xdr:nvSpPr>
      <xdr:spPr>
        <a:xfrm>
          <a:off x="1762125" y="795020"/>
          <a:ext cx="2425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397" name="TextBox 396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398" name="TextBox 397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399" name="TextBox 398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400" name="TextBox 39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401" name="TextBox 400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02" name="TextBox 40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03" name="TextBox 402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460" cy="278343"/>
    <xdr:sp>
      <xdr:nvSpPr>
        <xdr:cNvPr id="404" name="TextBox 403"/>
        <xdr:cNvSpPr txBox="1"/>
      </xdr:nvSpPr>
      <xdr:spPr>
        <a:xfrm>
          <a:off x="1762125" y="826135"/>
          <a:ext cx="24320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405" name="TextBox 40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406" name="TextBox 405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407" name="TextBox 40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>
      <xdr:nvSpPr>
        <xdr:cNvPr id="408" name="TextBox 407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409" name="TextBox 408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410" name="TextBox 409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411" name="TextBox 410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412" name="TextBox 41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413" name="TextBox 41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14" name="TextBox 413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15" name="TextBox 414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416" name="TextBox 415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417" name="TextBox 41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418" name="TextBox 41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419" name="TextBox 41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>
      <xdr:nvSpPr>
        <xdr:cNvPr id="420" name="TextBox 419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421" name="TextBox 420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422" name="TextBox 421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423" name="TextBox 422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424" name="TextBox 42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425" name="TextBox 42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26" name="TextBox 42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27" name="TextBox 42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>
      <xdr:nvSpPr>
        <xdr:cNvPr id="428" name="TextBox 427"/>
        <xdr:cNvSpPr txBox="1"/>
      </xdr:nvSpPr>
      <xdr:spPr>
        <a:xfrm>
          <a:off x="1762125" y="829945"/>
          <a:ext cx="22161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429" name="TextBox 42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430" name="TextBox 429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431" name="TextBox 430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432" name="TextBox 43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433" name="TextBox 432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434" name="TextBox 43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435" name="TextBox 434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436" name="TextBox 435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437" name="TextBox 43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438" name="TextBox 437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439" name="TextBox 438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440" name="TextBox 439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441" name="TextBox 44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442" name="TextBox 44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443" name="TextBox 44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444" name="TextBox 44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>
      <xdr:nvSpPr>
        <xdr:cNvPr id="445" name="TextBox 44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446" name="TextBox 44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447" name="TextBox 44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448" name="TextBox 44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449" name="TextBox 44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450" name="TextBox 44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51" name="TextBox 45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52" name="TextBox 45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453" name="TextBox 452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454" name="TextBox 453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455" name="TextBox 454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456" name="TextBox 455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>
      <xdr:nvSpPr>
        <xdr:cNvPr id="457" name="TextBox 456"/>
        <xdr:cNvSpPr txBox="1"/>
      </xdr:nvSpPr>
      <xdr:spPr>
        <a:xfrm>
          <a:off x="1762125" y="795020"/>
          <a:ext cx="2298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458" name="TextBox 457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459" name="TextBox 458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460" name="TextBox 459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461" name="TextBox 460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462" name="TextBox 461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63" name="TextBox 462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64" name="TextBox 463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>
      <xdr:nvSpPr>
        <xdr:cNvPr id="465" name="TextBox 464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466" name="TextBox 465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467" name="TextBox 46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468" name="TextBox 46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469" name="TextBox 468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470" name="TextBox 46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471" name="TextBox 47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472" name="TextBox 47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473" name="TextBox 47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474" name="TextBox 47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75" name="TextBox 474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76" name="TextBox 47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477" name="TextBox 47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478" name="TextBox 47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479" name="TextBox 47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480" name="TextBox 47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481" name="TextBox 480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482" name="TextBox 48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483" name="TextBox 48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484" name="TextBox 483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485" name="TextBox 48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486" name="TextBox 485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87" name="TextBox 48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88" name="TextBox 487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>
      <xdr:nvSpPr>
        <xdr:cNvPr id="489" name="TextBox 488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490" name="TextBox 48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491" name="TextBox 490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492" name="TextBox 49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493" name="TextBox 49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494" name="TextBox 493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495" name="TextBox 49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496" name="TextBox 49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497" name="TextBox 49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498" name="TextBox 49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499" name="TextBox 498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00" name="TextBox 499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501" name="TextBox 50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02" name="TextBox 50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03" name="TextBox 50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04" name="TextBox 50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505" name="TextBox 50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506" name="TextBox 50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507" name="TextBox 50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508" name="TextBox 50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09" name="TextBox 50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10" name="TextBox 50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11" name="TextBox 51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12" name="TextBox 51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>
      <xdr:nvSpPr>
        <xdr:cNvPr id="513" name="TextBox 512"/>
        <xdr:cNvSpPr txBox="1"/>
      </xdr:nvSpPr>
      <xdr:spPr>
        <a:xfrm>
          <a:off x="1762125" y="829945"/>
          <a:ext cx="22161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514" name="TextBox 51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515" name="TextBox 514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516" name="TextBox 515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517" name="TextBox 51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518" name="TextBox 517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519" name="TextBox 51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520" name="TextBox 519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521" name="TextBox 520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522" name="TextBox 52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523" name="TextBox 522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524" name="TextBox 523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525" name="TextBox 524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526" name="TextBox 52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27" name="TextBox 52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28" name="TextBox 52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29" name="TextBox 52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>
      <xdr:nvSpPr>
        <xdr:cNvPr id="530" name="TextBox 52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531" name="TextBox 53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532" name="TextBox 53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533" name="TextBox 53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34" name="TextBox 53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35" name="TextBox 53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36" name="TextBox 53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37" name="TextBox 53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538" name="TextBox 537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539" name="TextBox 538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540" name="TextBox 539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541" name="TextBox 540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>
      <xdr:nvSpPr>
        <xdr:cNvPr id="542" name="TextBox 541"/>
        <xdr:cNvSpPr txBox="1"/>
      </xdr:nvSpPr>
      <xdr:spPr>
        <a:xfrm>
          <a:off x="1762125" y="795020"/>
          <a:ext cx="2298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543" name="TextBox 542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544" name="TextBox 543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545" name="TextBox 544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546" name="TextBox 545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547" name="TextBox 546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48" name="TextBox 547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49" name="TextBox 548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>
      <xdr:nvSpPr>
        <xdr:cNvPr id="550" name="TextBox 549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551" name="TextBox 550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552" name="TextBox 55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553" name="TextBox 55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554" name="TextBox 553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555" name="TextBox 55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556" name="TextBox 55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557" name="TextBox 55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558" name="TextBox 55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559" name="TextBox 55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60" name="TextBox 559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61" name="TextBox 56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562" name="TextBox 56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563" name="TextBox 56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564" name="TextBox 56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565" name="TextBox 56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566" name="TextBox 565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567" name="TextBox 56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568" name="TextBox 56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569" name="TextBox 568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570" name="TextBox 56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571" name="TextBox 570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72" name="TextBox 57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73" name="TextBox 572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>
      <xdr:nvSpPr>
        <xdr:cNvPr id="574" name="TextBox 573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75" name="TextBox 57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76" name="TextBox 575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77" name="TextBox 57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578" name="TextBox 57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579" name="TextBox 578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580" name="TextBox 57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581" name="TextBox 58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82" name="TextBox 58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83" name="TextBox 58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84" name="TextBox 583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85" name="TextBox 584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586" name="TextBox 58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87" name="TextBox 58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88" name="TextBox 58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89" name="TextBox 58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590" name="TextBox 58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591" name="TextBox 59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592" name="TextBox 59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593" name="TextBox 59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94" name="TextBox 59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595" name="TextBox 59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96" name="TextBox 59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597" name="TextBox 59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6687" cy="274645"/>
    <xdr:sp>
      <xdr:nvSpPr>
        <xdr:cNvPr id="598" name="TextBox 597"/>
        <xdr:cNvSpPr txBox="1"/>
      </xdr:nvSpPr>
      <xdr:spPr>
        <a:xfrm>
          <a:off x="1762125" y="829945"/>
          <a:ext cx="21653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599" name="TextBox 59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600" name="TextBox 599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601" name="TextBox 600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602" name="TextBox 60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603" name="TextBox 602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604" name="TextBox 60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605" name="TextBox 604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606" name="TextBox 605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607" name="TextBox 60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608" name="TextBox 607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609" name="TextBox 608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610" name="TextBox 609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611" name="TextBox 61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12" name="TextBox 61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13" name="TextBox 61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14" name="TextBox 61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872" cy="309344"/>
    <xdr:sp>
      <xdr:nvSpPr>
        <xdr:cNvPr id="615" name="TextBox 61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616" name="TextBox 61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617" name="TextBox 61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618" name="TextBox 61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19" name="TextBox 61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20" name="TextBox 61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621" name="TextBox 620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622" name="TextBox 621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623" name="TextBox 622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624" name="TextBox 623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625" name="TextBox 624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626" name="TextBox 625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>
      <xdr:nvSpPr>
        <xdr:cNvPr id="627" name="TextBox 626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628" name="TextBox 627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629" name="TextBox 628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630" name="TextBox 629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631" name="TextBox 630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632" name="TextBox 631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633" name="TextBox 632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634" name="TextBox 633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949" cy="278343"/>
    <xdr:sp>
      <xdr:nvSpPr>
        <xdr:cNvPr id="635" name="TextBox 634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636" name="TextBox 635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637" name="TextBox 63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638" name="TextBox 63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>
      <xdr:nvSpPr>
        <xdr:cNvPr id="639" name="TextBox 638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640" name="TextBox 63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641" name="TextBox 64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642" name="TextBox 64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643" name="TextBox 64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644" name="TextBox 64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645" name="TextBox 644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646" name="TextBox 645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647" name="TextBox 64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648" name="TextBox 64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649" name="TextBox 64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650" name="TextBox 64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>
      <xdr:nvSpPr>
        <xdr:cNvPr id="651" name="TextBox 65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652" name="TextBox 65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653" name="TextBox 65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654" name="TextBox 653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655" name="TextBox 65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656" name="TextBox 655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657" name="TextBox 656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658" name="TextBox 657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5174" cy="278343"/>
    <xdr:sp>
      <xdr:nvSpPr>
        <xdr:cNvPr id="659" name="TextBox 658"/>
        <xdr:cNvSpPr txBox="1"/>
      </xdr:nvSpPr>
      <xdr:spPr>
        <a:xfrm>
          <a:off x="1762125" y="826135"/>
          <a:ext cx="245110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60" name="TextBox 65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61" name="TextBox 660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62" name="TextBox 66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>
      <xdr:nvSpPr>
        <xdr:cNvPr id="663" name="TextBox 66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664" name="TextBox 663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665" name="TextBox 664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666" name="TextBox 665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67" name="TextBox 66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68" name="TextBox 66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669" name="TextBox 668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670" name="TextBox 669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671" name="TextBox 670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72" name="TextBox 67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73" name="TextBox 67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74" name="TextBox 67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>
      <xdr:nvSpPr>
        <xdr:cNvPr id="675" name="TextBox 67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676" name="TextBox 675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677" name="TextBox 676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678" name="TextBox 677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79" name="TextBox 67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80" name="TextBox 67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681" name="TextBox 680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682" name="TextBox 681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>
      <xdr:nvSpPr>
        <xdr:cNvPr id="683" name="TextBox 682"/>
        <xdr:cNvSpPr txBox="1"/>
      </xdr:nvSpPr>
      <xdr:spPr>
        <a:xfrm>
          <a:off x="1762125" y="829945"/>
          <a:ext cx="22161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684" name="TextBox 68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685" name="TextBox 684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686" name="TextBox 685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687" name="TextBox 68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688" name="TextBox 687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689" name="TextBox 68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690" name="TextBox 689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691" name="TextBox 690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692" name="TextBox 69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693" name="TextBox 692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694" name="TextBox 693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695" name="TextBox 694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696" name="TextBox 695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97" name="TextBox 69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98" name="TextBox 69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699" name="TextBox 69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20" cy="309344"/>
    <xdr:sp>
      <xdr:nvSpPr>
        <xdr:cNvPr id="700" name="TextBox 699"/>
        <xdr:cNvSpPr txBox="1"/>
      </xdr:nvSpPr>
      <xdr:spPr>
        <a:xfrm>
          <a:off x="1762125" y="795020"/>
          <a:ext cx="2425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701" name="TextBox 700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702" name="TextBox 701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703" name="TextBox 702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04" name="TextBox 70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05" name="TextBox 70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06" name="TextBox 70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07" name="TextBox 70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708" name="TextBox 707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709" name="TextBox 708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710" name="TextBox 709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711" name="TextBox 710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>
      <xdr:nvSpPr>
        <xdr:cNvPr id="712" name="TextBox 711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713" name="TextBox 712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714" name="TextBox 713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715" name="TextBox 714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716" name="TextBox 715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717" name="TextBox 716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18" name="TextBox 717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19" name="TextBox 718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238" cy="278343"/>
    <xdr:sp>
      <xdr:nvSpPr>
        <xdr:cNvPr id="720" name="TextBox 719"/>
        <xdr:cNvSpPr txBox="1"/>
      </xdr:nvSpPr>
      <xdr:spPr>
        <a:xfrm>
          <a:off x="1762125" y="826135"/>
          <a:ext cx="24320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721" name="TextBox 720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722" name="TextBox 72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723" name="TextBox 72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>
      <xdr:nvSpPr>
        <xdr:cNvPr id="724" name="TextBox 723"/>
        <xdr:cNvSpPr txBox="1"/>
      </xdr:nvSpPr>
      <xdr:spPr>
        <a:xfrm>
          <a:off x="1762125" y="795020"/>
          <a:ext cx="2425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725" name="TextBox 724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726" name="TextBox 725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727" name="TextBox 726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728" name="TextBox 72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729" name="TextBox 72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30" name="TextBox 729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31" name="TextBox 73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732" name="TextBox 731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733" name="TextBox 73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734" name="TextBox 73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735" name="TextBox 73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>
      <xdr:nvSpPr>
        <xdr:cNvPr id="736" name="TextBox 735"/>
        <xdr:cNvSpPr txBox="1"/>
      </xdr:nvSpPr>
      <xdr:spPr>
        <a:xfrm>
          <a:off x="1762125" y="795020"/>
          <a:ext cx="2425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737" name="TextBox 736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738" name="TextBox 737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739" name="TextBox 738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740" name="TextBox 73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741" name="TextBox 740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42" name="TextBox 74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43" name="TextBox 742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460" cy="278343"/>
    <xdr:sp>
      <xdr:nvSpPr>
        <xdr:cNvPr id="744" name="TextBox 743"/>
        <xdr:cNvSpPr txBox="1"/>
      </xdr:nvSpPr>
      <xdr:spPr>
        <a:xfrm>
          <a:off x="1762125" y="826135"/>
          <a:ext cx="24320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45" name="TextBox 74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46" name="TextBox 745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47" name="TextBox 74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>
      <xdr:nvSpPr>
        <xdr:cNvPr id="748" name="TextBox 747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749" name="TextBox 748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750" name="TextBox 749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751" name="TextBox 750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52" name="TextBox 75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53" name="TextBox 75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54" name="TextBox 753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55" name="TextBox 754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756" name="TextBox 755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57" name="TextBox 75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58" name="TextBox 75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59" name="TextBox 75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>
      <xdr:nvSpPr>
        <xdr:cNvPr id="760" name="TextBox 759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761" name="TextBox 760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762" name="TextBox 761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763" name="TextBox 762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64" name="TextBox 76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765" name="TextBox 76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66" name="TextBox 76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67" name="TextBox 76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>
      <xdr:nvSpPr>
        <xdr:cNvPr id="768" name="TextBox 767"/>
        <xdr:cNvSpPr txBox="1"/>
      </xdr:nvSpPr>
      <xdr:spPr>
        <a:xfrm>
          <a:off x="1762125" y="829945"/>
          <a:ext cx="22161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769" name="TextBox 76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770" name="TextBox 769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771" name="TextBox 770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772" name="TextBox 77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773" name="TextBox 772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774" name="TextBox 77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775" name="TextBox 774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776" name="TextBox 775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777" name="TextBox 77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778" name="TextBox 777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779" name="TextBox 778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780" name="TextBox 779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781" name="TextBox 78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782" name="TextBox 78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783" name="TextBox 78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784" name="TextBox 78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>
      <xdr:nvSpPr>
        <xdr:cNvPr id="785" name="TextBox 78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786" name="TextBox 78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787" name="TextBox 78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788" name="TextBox 78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789" name="TextBox 78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790" name="TextBox 78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91" name="TextBox 79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792" name="TextBox 79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793" name="TextBox 792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794" name="TextBox 793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795" name="TextBox 794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796" name="TextBox 795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>
      <xdr:nvSpPr>
        <xdr:cNvPr id="797" name="TextBox 796"/>
        <xdr:cNvSpPr txBox="1"/>
      </xdr:nvSpPr>
      <xdr:spPr>
        <a:xfrm>
          <a:off x="1762125" y="795020"/>
          <a:ext cx="2298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798" name="TextBox 797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799" name="TextBox 798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800" name="TextBox 799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801" name="TextBox 800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802" name="TextBox 801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03" name="TextBox 802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04" name="TextBox 803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>
      <xdr:nvSpPr>
        <xdr:cNvPr id="805" name="TextBox 804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06" name="TextBox 805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07" name="TextBox 80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08" name="TextBox 80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809" name="TextBox 808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810" name="TextBox 80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811" name="TextBox 81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812" name="TextBox 81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13" name="TextBox 81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14" name="TextBox 81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15" name="TextBox 814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16" name="TextBox 81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817" name="TextBox 81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18" name="TextBox 81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19" name="TextBox 81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20" name="TextBox 81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821" name="TextBox 820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822" name="TextBox 82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823" name="TextBox 82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824" name="TextBox 823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25" name="TextBox 82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26" name="TextBox 825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27" name="TextBox 82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28" name="TextBox 827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>
      <xdr:nvSpPr>
        <xdr:cNvPr id="829" name="TextBox 828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30" name="TextBox 82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31" name="TextBox 830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32" name="TextBox 83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833" name="TextBox 83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834" name="TextBox 833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835" name="TextBox 83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836" name="TextBox 83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37" name="TextBox 83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38" name="TextBox 83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39" name="TextBox 838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40" name="TextBox 839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841" name="TextBox 84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42" name="TextBox 84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43" name="TextBox 84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44" name="TextBox 84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845" name="TextBox 84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846" name="TextBox 84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847" name="TextBox 84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848" name="TextBox 84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49" name="TextBox 84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50" name="TextBox 84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51" name="TextBox 85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52" name="TextBox 85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>
      <xdr:nvSpPr>
        <xdr:cNvPr id="853" name="TextBox 852"/>
        <xdr:cNvSpPr txBox="1"/>
      </xdr:nvSpPr>
      <xdr:spPr>
        <a:xfrm>
          <a:off x="1762125" y="829945"/>
          <a:ext cx="22161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854" name="TextBox 85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855" name="TextBox 854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856" name="TextBox 855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857" name="TextBox 85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858" name="TextBox 857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859" name="TextBox 85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860" name="TextBox 859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861" name="TextBox 860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862" name="TextBox 86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863" name="TextBox 862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864" name="TextBox 863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865" name="TextBox 864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866" name="TextBox 86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67" name="TextBox 86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68" name="TextBox 86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69" name="TextBox 86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>
      <xdr:nvSpPr>
        <xdr:cNvPr id="870" name="TextBox 86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871" name="TextBox 87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872" name="TextBox 87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873" name="TextBox 87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74" name="TextBox 87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875" name="TextBox 87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76" name="TextBox 87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77" name="TextBox 87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878" name="TextBox 877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879" name="TextBox 878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880" name="TextBox 879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881" name="TextBox 880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>
      <xdr:nvSpPr>
        <xdr:cNvPr id="882" name="TextBox 881"/>
        <xdr:cNvSpPr txBox="1"/>
      </xdr:nvSpPr>
      <xdr:spPr>
        <a:xfrm>
          <a:off x="1762125" y="795020"/>
          <a:ext cx="2298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883" name="TextBox 882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884" name="TextBox 883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885" name="TextBox 884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886" name="TextBox 885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887" name="TextBox 886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88" name="TextBox 887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889" name="TextBox 888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>
      <xdr:nvSpPr>
        <xdr:cNvPr id="890" name="TextBox 889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91" name="TextBox 890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92" name="TextBox 89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93" name="TextBox 89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894" name="TextBox 893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895" name="TextBox 89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896" name="TextBox 89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897" name="TextBox 89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98" name="TextBox 89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899" name="TextBox 89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900" name="TextBox 899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901" name="TextBox 90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902" name="TextBox 90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903" name="TextBox 90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904" name="TextBox 90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905" name="TextBox 90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906" name="TextBox 905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907" name="TextBox 90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908" name="TextBox 90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909" name="TextBox 908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910" name="TextBox 90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911" name="TextBox 910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912" name="TextBox 91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913" name="TextBox 912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>
      <xdr:nvSpPr>
        <xdr:cNvPr id="914" name="TextBox 913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915" name="TextBox 91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916" name="TextBox 915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917" name="TextBox 91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918" name="TextBox 91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919" name="TextBox 918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920" name="TextBox 91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921" name="TextBox 92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922" name="TextBox 92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923" name="TextBox 92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924" name="TextBox 923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925" name="TextBox 924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926" name="TextBox 92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927" name="TextBox 92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928" name="TextBox 92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929" name="TextBox 92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930" name="TextBox 92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931" name="TextBox 93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932" name="TextBox 93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933" name="TextBox 93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934" name="TextBox 93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935" name="TextBox 93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936" name="TextBox 93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937" name="TextBox 93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6687" cy="274645"/>
    <xdr:sp>
      <xdr:nvSpPr>
        <xdr:cNvPr id="938" name="TextBox 937"/>
        <xdr:cNvSpPr txBox="1"/>
      </xdr:nvSpPr>
      <xdr:spPr>
        <a:xfrm>
          <a:off x="1762125" y="829945"/>
          <a:ext cx="21653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939" name="TextBox 93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940" name="TextBox 939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941" name="TextBox 940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942" name="TextBox 94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943" name="TextBox 942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944" name="TextBox 94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945" name="TextBox 944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946" name="TextBox 945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947" name="TextBox 94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948" name="TextBox 947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949" name="TextBox 948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950" name="TextBox 949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951" name="TextBox 95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952" name="TextBox 95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953" name="TextBox 95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954" name="TextBox 95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872" cy="309344"/>
    <xdr:sp>
      <xdr:nvSpPr>
        <xdr:cNvPr id="955" name="TextBox 95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956" name="TextBox 95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957" name="TextBox 95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958" name="TextBox 95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959" name="TextBox 95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960" name="TextBox 95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961" name="TextBox 960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962" name="TextBox 961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963" name="TextBox 962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964" name="TextBox 963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965" name="TextBox 964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966" name="TextBox 965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>
      <xdr:nvSpPr>
        <xdr:cNvPr id="967" name="TextBox 966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968" name="TextBox 967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969" name="TextBox 968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970" name="TextBox 969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971" name="TextBox 970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972" name="TextBox 971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973" name="TextBox 972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974" name="TextBox 973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949" cy="278343"/>
    <xdr:sp>
      <xdr:nvSpPr>
        <xdr:cNvPr id="975" name="TextBox 974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976" name="TextBox 975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977" name="TextBox 97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978" name="TextBox 97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>
      <xdr:nvSpPr>
        <xdr:cNvPr id="979" name="TextBox 978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980" name="TextBox 97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981" name="TextBox 98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982" name="TextBox 98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983" name="TextBox 98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984" name="TextBox 98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985" name="TextBox 984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986" name="TextBox 985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987" name="TextBox 98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988" name="TextBox 98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989" name="TextBox 98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990" name="TextBox 98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>
      <xdr:nvSpPr>
        <xdr:cNvPr id="991" name="TextBox 99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992" name="TextBox 99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993" name="TextBox 99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994" name="TextBox 993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995" name="TextBox 99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996" name="TextBox 995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997" name="TextBox 996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998" name="TextBox 997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5174" cy="278343"/>
    <xdr:sp>
      <xdr:nvSpPr>
        <xdr:cNvPr id="999" name="TextBox 998"/>
        <xdr:cNvSpPr txBox="1"/>
      </xdr:nvSpPr>
      <xdr:spPr>
        <a:xfrm>
          <a:off x="1762125" y="826135"/>
          <a:ext cx="245110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00" name="TextBox 99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01" name="TextBox 1000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02" name="TextBox 100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>
      <xdr:nvSpPr>
        <xdr:cNvPr id="1003" name="TextBox 100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004" name="TextBox 1003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005" name="TextBox 1004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006" name="TextBox 1005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07" name="TextBox 100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08" name="TextBox 100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009" name="TextBox 1008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010" name="TextBox 1009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011" name="TextBox 1010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12" name="TextBox 101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13" name="TextBox 101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14" name="TextBox 101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>
      <xdr:nvSpPr>
        <xdr:cNvPr id="1015" name="TextBox 101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016" name="TextBox 1015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017" name="TextBox 1016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018" name="TextBox 1017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19" name="TextBox 101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20" name="TextBox 101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021" name="TextBox 1020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022" name="TextBox 1021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>
      <xdr:nvSpPr>
        <xdr:cNvPr id="1023" name="TextBox 1022"/>
        <xdr:cNvSpPr txBox="1"/>
      </xdr:nvSpPr>
      <xdr:spPr>
        <a:xfrm>
          <a:off x="1762125" y="829945"/>
          <a:ext cx="22161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024" name="TextBox 102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025" name="TextBox 1024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026" name="TextBox 1025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027" name="TextBox 102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1028" name="TextBox 1027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029" name="TextBox 102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030" name="TextBox 1029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031" name="TextBox 1030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032" name="TextBox 103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033" name="TextBox 1032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1034" name="TextBox 1033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1035" name="TextBox 1034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1036" name="TextBox 1035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37" name="TextBox 103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38" name="TextBox 103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39" name="TextBox 103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20" cy="309344"/>
    <xdr:sp>
      <xdr:nvSpPr>
        <xdr:cNvPr id="1040" name="TextBox 1039"/>
        <xdr:cNvSpPr txBox="1"/>
      </xdr:nvSpPr>
      <xdr:spPr>
        <a:xfrm>
          <a:off x="1762125" y="795020"/>
          <a:ext cx="2425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1041" name="TextBox 1040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1042" name="TextBox 1041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>
      <xdr:nvSpPr>
        <xdr:cNvPr id="1043" name="TextBox 1042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44" name="TextBox 104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45" name="TextBox 104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046" name="TextBox 104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047" name="TextBox 104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1048" name="TextBox 1047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1049" name="TextBox 1048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1050" name="TextBox 1049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1051" name="TextBox 1050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>
      <xdr:nvSpPr>
        <xdr:cNvPr id="1052" name="TextBox 1051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1053" name="TextBox 1052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1054" name="TextBox 1053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1055" name="TextBox 1054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1056" name="TextBox 1055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1057" name="TextBox 1056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058" name="TextBox 1057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059" name="TextBox 1058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238" cy="278343"/>
    <xdr:sp>
      <xdr:nvSpPr>
        <xdr:cNvPr id="1060" name="TextBox 1059"/>
        <xdr:cNvSpPr txBox="1"/>
      </xdr:nvSpPr>
      <xdr:spPr>
        <a:xfrm>
          <a:off x="1762125" y="826135"/>
          <a:ext cx="24320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061" name="TextBox 1060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062" name="TextBox 106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063" name="TextBox 106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>
      <xdr:nvSpPr>
        <xdr:cNvPr id="1064" name="TextBox 1063"/>
        <xdr:cNvSpPr txBox="1"/>
      </xdr:nvSpPr>
      <xdr:spPr>
        <a:xfrm>
          <a:off x="1762125" y="795020"/>
          <a:ext cx="2425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1065" name="TextBox 1064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1066" name="TextBox 1065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1067" name="TextBox 1066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068" name="TextBox 106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069" name="TextBox 106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070" name="TextBox 1069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071" name="TextBox 107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1072" name="TextBox 1071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073" name="TextBox 107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074" name="TextBox 107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075" name="TextBox 107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>
      <xdr:nvSpPr>
        <xdr:cNvPr id="1076" name="TextBox 1075"/>
        <xdr:cNvSpPr txBox="1"/>
      </xdr:nvSpPr>
      <xdr:spPr>
        <a:xfrm>
          <a:off x="1762125" y="795020"/>
          <a:ext cx="2425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1077" name="TextBox 1076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1078" name="TextBox 1077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>
      <xdr:nvSpPr>
        <xdr:cNvPr id="1079" name="TextBox 1078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080" name="TextBox 107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081" name="TextBox 1080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082" name="TextBox 108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083" name="TextBox 1082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460" cy="278343"/>
    <xdr:sp>
      <xdr:nvSpPr>
        <xdr:cNvPr id="1084" name="TextBox 1083"/>
        <xdr:cNvSpPr txBox="1"/>
      </xdr:nvSpPr>
      <xdr:spPr>
        <a:xfrm>
          <a:off x="1762125" y="826135"/>
          <a:ext cx="24320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85" name="TextBox 108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86" name="TextBox 1085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87" name="TextBox 108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>
      <xdr:nvSpPr>
        <xdr:cNvPr id="1088" name="TextBox 1087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1089" name="TextBox 1088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1090" name="TextBox 1089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1091" name="TextBox 1090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92" name="TextBox 109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93" name="TextBox 109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094" name="TextBox 1093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095" name="TextBox 1094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1096" name="TextBox 1095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97" name="TextBox 109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98" name="TextBox 109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099" name="TextBox 109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>
      <xdr:nvSpPr>
        <xdr:cNvPr id="1100" name="TextBox 1099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1101" name="TextBox 1100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1102" name="TextBox 1101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>
      <xdr:nvSpPr>
        <xdr:cNvPr id="1103" name="TextBox 1102"/>
        <xdr:cNvSpPr txBox="1"/>
      </xdr:nvSpPr>
      <xdr:spPr>
        <a:xfrm>
          <a:off x="1762125" y="795020"/>
          <a:ext cx="2432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104" name="TextBox 110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105" name="TextBox 110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06" name="TextBox 110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07" name="TextBox 110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>
      <xdr:nvSpPr>
        <xdr:cNvPr id="1108" name="TextBox 1107"/>
        <xdr:cNvSpPr txBox="1"/>
      </xdr:nvSpPr>
      <xdr:spPr>
        <a:xfrm>
          <a:off x="1762125" y="829945"/>
          <a:ext cx="22161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109" name="TextBox 110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110" name="TextBox 1109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111" name="TextBox 1110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112" name="TextBox 111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1113" name="TextBox 1112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114" name="TextBox 111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115" name="TextBox 1114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116" name="TextBox 1115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117" name="TextBox 111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118" name="TextBox 1117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1119" name="TextBox 1118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1120" name="TextBox 1119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121" name="TextBox 112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22" name="TextBox 112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23" name="TextBox 112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24" name="TextBox 112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>
      <xdr:nvSpPr>
        <xdr:cNvPr id="1125" name="TextBox 112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126" name="TextBox 112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127" name="TextBox 112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128" name="TextBox 112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29" name="TextBox 112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30" name="TextBox 112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31" name="TextBox 113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32" name="TextBox 113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1133" name="TextBox 1132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134" name="TextBox 1133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135" name="TextBox 1134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136" name="TextBox 1135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>
      <xdr:nvSpPr>
        <xdr:cNvPr id="1137" name="TextBox 1136"/>
        <xdr:cNvSpPr txBox="1"/>
      </xdr:nvSpPr>
      <xdr:spPr>
        <a:xfrm>
          <a:off x="1762125" y="795020"/>
          <a:ext cx="2298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1138" name="TextBox 1137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1139" name="TextBox 1138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1140" name="TextBox 1139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141" name="TextBox 1140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142" name="TextBox 1141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43" name="TextBox 1142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44" name="TextBox 1143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>
      <xdr:nvSpPr>
        <xdr:cNvPr id="1145" name="TextBox 1144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146" name="TextBox 1145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147" name="TextBox 114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148" name="TextBox 114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1149" name="TextBox 1148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150" name="TextBox 114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151" name="TextBox 115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152" name="TextBox 115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153" name="TextBox 115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154" name="TextBox 115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55" name="TextBox 1154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56" name="TextBox 115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157" name="TextBox 115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158" name="TextBox 115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159" name="TextBox 115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160" name="TextBox 115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1161" name="TextBox 1160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162" name="TextBox 116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163" name="TextBox 116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164" name="TextBox 1163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165" name="TextBox 116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166" name="TextBox 1165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67" name="TextBox 116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68" name="TextBox 1167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>
      <xdr:nvSpPr>
        <xdr:cNvPr id="1169" name="TextBox 1168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70" name="TextBox 116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71" name="TextBox 1170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72" name="TextBox 117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1173" name="TextBox 117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174" name="TextBox 1173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175" name="TextBox 117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176" name="TextBox 117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77" name="TextBox 117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78" name="TextBox 117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79" name="TextBox 1178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80" name="TextBox 1179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181" name="TextBox 118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82" name="TextBox 118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83" name="TextBox 118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84" name="TextBox 118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1185" name="TextBox 118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186" name="TextBox 118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187" name="TextBox 118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188" name="TextBox 118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89" name="TextBox 118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190" name="TextBox 118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91" name="TextBox 119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192" name="TextBox 119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>
      <xdr:nvSpPr>
        <xdr:cNvPr id="1193" name="TextBox 1192"/>
        <xdr:cNvSpPr txBox="1"/>
      </xdr:nvSpPr>
      <xdr:spPr>
        <a:xfrm>
          <a:off x="1762125" y="829945"/>
          <a:ext cx="22161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194" name="TextBox 119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195" name="TextBox 1194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196" name="TextBox 1195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197" name="TextBox 119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1198" name="TextBox 1197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199" name="TextBox 119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200" name="TextBox 1199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201" name="TextBox 1200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202" name="TextBox 120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203" name="TextBox 1202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1204" name="TextBox 1203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1205" name="TextBox 1204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206" name="TextBox 120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07" name="TextBox 120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08" name="TextBox 120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09" name="TextBox 120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>
      <xdr:nvSpPr>
        <xdr:cNvPr id="1210" name="TextBox 120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211" name="TextBox 121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212" name="TextBox 121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>
      <xdr:nvSpPr>
        <xdr:cNvPr id="1213" name="TextBox 121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14" name="TextBox 121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15" name="TextBox 121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16" name="TextBox 121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17" name="TextBox 121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1218" name="TextBox 1217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219" name="TextBox 1218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220" name="TextBox 1219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221" name="TextBox 1220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>
      <xdr:nvSpPr>
        <xdr:cNvPr id="1222" name="TextBox 1221"/>
        <xdr:cNvSpPr txBox="1"/>
      </xdr:nvSpPr>
      <xdr:spPr>
        <a:xfrm>
          <a:off x="1762125" y="795020"/>
          <a:ext cx="22987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1223" name="TextBox 1222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1224" name="TextBox 1223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>
      <xdr:nvSpPr>
        <xdr:cNvPr id="1225" name="TextBox 1224"/>
        <xdr:cNvSpPr txBox="1"/>
      </xdr:nvSpPr>
      <xdr:spPr>
        <a:xfrm>
          <a:off x="1762125" y="795020"/>
          <a:ext cx="23050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226" name="TextBox 1225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>
      <xdr:nvSpPr>
        <xdr:cNvPr id="1227" name="TextBox 1226"/>
        <xdr:cNvSpPr txBox="1"/>
      </xdr:nvSpPr>
      <xdr:spPr>
        <a:xfrm>
          <a:off x="1762125" y="795020"/>
          <a:ext cx="2311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28" name="TextBox 1227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29" name="TextBox 1228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>
      <xdr:nvSpPr>
        <xdr:cNvPr id="1230" name="TextBox 1229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231" name="TextBox 1230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232" name="TextBox 123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233" name="TextBox 123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1234" name="TextBox 1233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235" name="TextBox 123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236" name="TextBox 123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237" name="TextBox 123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238" name="TextBox 123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239" name="TextBox 123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40" name="TextBox 1239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41" name="TextBox 1240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242" name="TextBox 124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243" name="TextBox 124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244" name="TextBox 124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245" name="TextBox 124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>
      <xdr:nvSpPr>
        <xdr:cNvPr id="1246" name="TextBox 1245"/>
        <xdr:cNvSpPr txBox="1"/>
      </xdr:nvSpPr>
      <xdr:spPr>
        <a:xfrm>
          <a:off x="1762125" y="795020"/>
          <a:ext cx="24384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247" name="TextBox 124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248" name="TextBox 124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>
      <xdr:nvSpPr>
        <xdr:cNvPr id="1249" name="TextBox 1248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250" name="TextBox 1249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>
      <xdr:nvSpPr>
        <xdr:cNvPr id="1251" name="TextBox 1250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52" name="TextBox 1251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53" name="TextBox 1252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>
      <xdr:nvSpPr>
        <xdr:cNvPr id="1254" name="TextBox 1253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55" name="TextBox 125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56" name="TextBox 1255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57" name="TextBox 125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1258" name="TextBox 125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259" name="TextBox 1258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260" name="TextBox 125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261" name="TextBox 126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62" name="TextBox 1261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63" name="TextBox 1262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64" name="TextBox 1263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65" name="TextBox 1264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266" name="TextBox 126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67" name="TextBox 1266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68" name="TextBox 1267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69" name="TextBox 1268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>
      <xdr:nvSpPr>
        <xdr:cNvPr id="1270" name="TextBox 126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271" name="TextBox 127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272" name="TextBox 127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>
      <xdr:nvSpPr>
        <xdr:cNvPr id="1273" name="TextBox 127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74" name="TextBox 1273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>
      <xdr:nvSpPr>
        <xdr:cNvPr id="1275" name="TextBox 1274"/>
        <xdr:cNvSpPr txBox="1"/>
      </xdr:nvSpPr>
      <xdr:spPr>
        <a:xfrm>
          <a:off x="1762125" y="795020"/>
          <a:ext cx="22923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76" name="TextBox 1275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>
      <xdr:nvSpPr>
        <xdr:cNvPr id="1277" name="TextBox 1276"/>
        <xdr:cNvSpPr txBox="1"/>
      </xdr:nvSpPr>
      <xdr:spPr>
        <a:xfrm>
          <a:off x="1762125" y="829945"/>
          <a:ext cx="22288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6687" cy="274645"/>
    <xdr:sp>
      <xdr:nvSpPr>
        <xdr:cNvPr id="1278" name="TextBox 1277"/>
        <xdr:cNvSpPr txBox="1"/>
      </xdr:nvSpPr>
      <xdr:spPr>
        <a:xfrm>
          <a:off x="1762125" y="829945"/>
          <a:ext cx="21653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279" name="TextBox 1278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280" name="TextBox 1279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281" name="TextBox 1280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282" name="TextBox 1281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>
      <xdr:nvSpPr>
        <xdr:cNvPr id="1283" name="TextBox 1282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284" name="TextBox 1283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285" name="TextBox 1284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>
      <xdr:nvSpPr>
        <xdr:cNvPr id="1286" name="TextBox 1285"/>
        <xdr:cNvSpPr txBox="1"/>
      </xdr:nvSpPr>
      <xdr:spPr>
        <a:xfrm>
          <a:off x="1762125" y="795020"/>
          <a:ext cx="2247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287" name="TextBox 1286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>
      <xdr:nvSpPr>
        <xdr:cNvPr id="1288" name="TextBox 1287"/>
        <xdr:cNvSpPr txBox="1"/>
      </xdr:nvSpPr>
      <xdr:spPr>
        <a:xfrm>
          <a:off x="1762125" y="795020"/>
          <a:ext cx="22542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1289" name="TextBox 1288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>
      <xdr:nvSpPr>
        <xdr:cNvPr id="1290" name="TextBox 1289"/>
        <xdr:cNvSpPr txBox="1"/>
      </xdr:nvSpPr>
      <xdr:spPr>
        <a:xfrm>
          <a:off x="1762125" y="829945"/>
          <a:ext cx="23177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1291" name="TextBox 129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292" name="TextBox 129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293" name="TextBox 129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294" name="TextBox 129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872" cy="309344"/>
    <xdr:sp>
      <xdr:nvSpPr>
        <xdr:cNvPr id="1295" name="TextBox 129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1296" name="TextBox 1295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1297" name="TextBox 129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>
      <xdr:nvSpPr>
        <xdr:cNvPr id="1298" name="TextBox 1297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299" name="TextBox 129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300" name="TextBox 129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301" name="TextBox 1300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302" name="TextBox 1301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1303" name="TextBox 1302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1304" name="TextBox 1303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1305" name="TextBox 1304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1306" name="TextBox 1305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>
      <xdr:nvSpPr>
        <xdr:cNvPr id="1307" name="TextBox 1306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1308" name="TextBox 1307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1309" name="TextBox 1308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>
      <xdr:nvSpPr>
        <xdr:cNvPr id="1310" name="TextBox 1309"/>
        <xdr:cNvSpPr txBox="1"/>
      </xdr:nvSpPr>
      <xdr:spPr>
        <a:xfrm>
          <a:off x="1762125" y="795020"/>
          <a:ext cx="23939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1311" name="TextBox 1310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>
      <xdr:nvSpPr>
        <xdr:cNvPr id="1312" name="TextBox 1311"/>
        <xdr:cNvSpPr txBox="1"/>
      </xdr:nvSpPr>
      <xdr:spPr>
        <a:xfrm>
          <a:off x="1762125" y="795020"/>
          <a:ext cx="23876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313" name="TextBox 1312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314" name="TextBox 1313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949" cy="278343"/>
    <xdr:sp>
      <xdr:nvSpPr>
        <xdr:cNvPr id="1315" name="TextBox 1314"/>
        <xdr:cNvSpPr txBox="1"/>
      </xdr:nvSpPr>
      <xdr:spPr>
        <a:xfrm>
          <a:off x="1762125" y="826135"/>
          <a:ext cx="244475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316" name="TextBox 1315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317" name="TextBox 131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318" name="TextBox 131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>
      <xdr:nvSpPr>
        <xdr:cNvPr id="1319" name="TextBox 1318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1320" name="TextBox 1319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1321" name="TextBox 132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1322" name="TextBox 132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323" name="TextBox 132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324" name="TextBox 132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325" name="TextBox 1324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326" name="TextBox 1325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1327" name="TextBox 1326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328" name="TextBox 132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329" name="TextBox 132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330" name="TextBox 132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>
      <xdr:nvSpPr>
        <xdr:cNvPr id="1331" name="TextBox 1330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1332" name="TextBox 1331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1333" name="TextBox 133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>
      <xdr:nvSpPr>
        <xdr:cNvPr id="1334" name="TextBox 1333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335" name="TextBox 1334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>
      <xdr:nvSpPr>
        <xdr:cNvPr id="1336" name="TextBox 1335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337" name="TextBox 1336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338" name="TextBox 1337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5174" cy="278343"/>
    <xdr:sp>
      <xdr:nvSpPr>
        <xdr:cNvPr id="1339" name="TextBox 1338"/>
        <xdr:cNvSpPr txBox="1"/>
      </xdr:nvSpPr>
      <xdr:spPr>
        <a:xfrm>
          <a:off x="1762125" y="826135"/>
          <a:ext cx="245110" cy="278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340" name="TextBox 133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341" name="TextBox 1340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342" name="TextBox 134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>
      <xdr:nvSpPr>
        <xdr:cNvPr id="1343" name="TextBox 1342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344" name="TextBox 1343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345" name="TextBox 1344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346" name="TextBox 1345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347" name="TextBox 1346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348" name="TextBox 1347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349" name="TextBox 1348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350" name="TextBox 1349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351" name="TextBox 1350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352" name="TextBox 1351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353" name="TextBox 1352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354" name="TextBox 1353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>
      <xdr:nvSpPr>
        <xdr:cNvPr id="1355" name="TextBox 1354"/>
        <xdr:cNvSpPr txBox="1"/>
      </xdr:nvSpPr>
      <xdr:spPr>
        <a:xfrm>
          <a:off x="1762125" y="795020"/>
          <a:ext cx="244475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356" name="TextBox 1355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357" name="TextBox 1356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>
      <xdr:nvSpPr>
        <xdr:cNvPr id="1358" name="TextBox 1357"/>
        <xdr:cNvSpPr txBox="1"/>
      </xdr:nvSpPr>
      <xdr:spPr>
        <a:xfrm>
          <a:off x="1762125" y="795020"/>
          <a:ext cx="24511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359" name="TextBox 1358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>
      <xdr:nvSpPr>
        <xdr:cNvPr id="1360" name="TextBox 1359"/>
        <xdr:cNvSpPr txBox="1"/>
      </xdr:nvSpPr>
      <xdr:spPr>
        <a:xfrm>
          <a:off x="1762125" y="795020"/>
          <a:ext cx="237490" cy="309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361" name="TextBox 1360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>
      <xdr:nvSpPr>
        <xdr:cNvPr id="1362" name="TextBox 1361"/>
        <xdr:cNvSpPr txBox="1"/>
      </xdr:nvSpPr>
      <xdr:spPr>
        <a:xfrm>
          <a:off x="1762125" y="829945"/>
          <a:ext cx="2178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twoCellAnchor>
    <xdr:from>
      <xdr:col>0</xdr:col>
      <xdr:colOff>50800</xdr:colOff>
      <xdr:row>0</xdr:row>
      <xdr:rowOff>50800</xdr:rowOff>
    </xdr:from>
    <xdr:to>
      <xdr:col>1</xdr:col>
      <xdr:colOff>566497</xdr:colOff>
      <xdr:row>1</xdr:row>
      <xdr:rowOff>112376</xdr:rowOff>
    </xdr:to>
    <xdr:sp>
      <xdr:nvSpPr>
        <xdr:cNvPr id="1364" name="Rounded Rectangle 1363_ContentButton">
          <a:hlinkClick xmlns:r="http://schemas.openxmlformats.org/officeDocument/2006/relationships" r:id="rId1"/>
        </xdr:cNvPr>
        <xdr:cNvSpPr/>
      </xdr:nvSpPr>
      <xdr:spPr>
        <a:xfrm>
          <a:off x="50800" y="50800"/>
          <a:ext cx="753745" cy="260985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106680</xdr:rowOff>
    </xdr:to>
    <xdr:sp>
      <xdr:nvSpPr>
        <xdr:cNvPr id="3" name="Rounded Rectangle 2_ContentButton">
          <a:hlinkClick xmlns:r="http://schemas.openxmlformats.org/officeDocument/2006/relationships" r:id="rId1"/>
        </xdr:cNvPr>
        <xdr:cNvSpPr/>
      </xdr:nvSpPr>
      <xdr:spPr>
        <a:xfrm>
          <a:off x="50800" y="50800"/>
          <a:ext cx="762000" cy="28448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28</xdr:col>
      <xdr:colOff>312420</xdr:colOff>
      <xdr:row>2</xdr:row>
      <xdr:rowOff>45720</xdr:rowOff>
    </xdr:from>
    <xdr:to>
      <xdr:col>35</xdr:col>
      <xdr:colOff>342900</xdr:colOff>
      <xdr:row>16</xdr:row>
      <xdr:rowOff>144780</xdr:rowOff>
    </xdr:to>
    <xdr:graphicFrame>
      <xdr:nvGraphicFramePr>
        <xdr:cNvPr id="2" name="Chart 2"/>
        <xdr:cNvGraphicFramePr/>
      </xdr:nvGraphicFramePr>
      <xdr:xfrm>
        <a:off x="20524470" y="407670"/>
        <a:ext cx="3850005" cy="2689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464820</xdr:colOff>
      <xdr:row>20</xdr:row>
      <xdr:rowOff>91440</xdr:rowOff>
    </xdr:from>
    <xdr:to>
      <xdr:col>43</xdr:col>
      <xdr:colOff>518160</xdr:colOff>
      <xdr:row>59</xdr:row>
      <xdr:rowOff>22860</xdr:rowOff>
    </xdr:to>
    <xdr:graphicFrame>
      <xdr:nvGraphicFramePr>
        <xdr:cNvPr id="3" name="Chart 2"/>
        <xdr:cNvGraphicFramePr/>
      </xdr:nvGraphicFramePr>
      <xdr:xfrm>
        <a:off x="20076795" y="3777615"/>
        <a:ext cx="9330690" cy="6955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495306</xdr:colOff>
      <xdr:row>22</xdr:row>
      <xdr:rowOff>22860</xdr:rowOff>
    </xdr:from>
    <xdr:to>
      <xdr:col>9</xdr:col>
      <xdr:colOff>396246</xdr:colOff>
      <xdr:row>37</xdr:row>
      <xdr:rowOff>22860</xdr:rowOff>
    </xdr:to>
    <xdr:graphicFrame>
      <xdr:nvGraphicFramePr>
        <xdr:cNvPr id="4" name="Chart 3"/>
        <xdr:cNvGraphicFramePr/>
      </xdr:nvGraphicFramePr>
      <xdr:xfrm>
        <a:off x="2771775" y="4076065"/>
        <a:ext cx="456819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50800</xdr:colOff>
      <xdr:row>0</xdr:row>
      <xdr:rowOff>50800</xdr:rowOff>
    </xdr:from>
    <xdr:to>
      <xdr:col>1</xdr:col>
      <xdr:colOff>203200</xdr:colOff>
      <xdr:row>1</xdr:row>
      <xdr:rowOff>129540</xdr:rowOff>
    </xdr:to>
    <xdr:sp>
      <xdr:nvSpPr>
        <xdr:cNvPr id="6" name="Rounded Rectangle 5_ContentButton">
          <a:hlinkClick xmlns:r="http://schemas.openxmlformats.org/officeDocument/2006/relationships" r:id="rId4"/>
        </xdr:cNvPr>
        <xdr:cNvSpPr/>
      </xdr:nvSpPr>
      <xdr:spPr>
        <a:xfrm>
          <a:off x="50800" y="50800"/>
          <a:ext cx="752475" cy="259715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96253</xdr:rowOff>
    </xdr:to>
    <xdr:sp>
      <xdr:nvSpPr>
        <xdr:cNvPr id="3" name="Rounded Rectangle 2_ContentButton">
          <a:hlinkClick xmlns:r="http://schemas.openxmlformats.org/officeDocument/2006/relationships" r:id="rId1"/>
        </xdr:cNvPr>
        <xdr:cNvSpPr/>
      </xdr:nvSpPr>
      <xdr:spPr>
        <a:xfrm>
          <a:off x="50800" y="50800"/>
          <a:ext cx="762000" cy="26416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57</xdr:col>
      <xdr:colOff>45720</xdr:colOff>
      <xdr:row>46</xdr:row>
      <xdr:rowOff>190500</xdr:rowOff>
    </xdr:from>
    <xdr:to>
      <xdr:col>60</xdr:col>
      <xdr:colOff>899160</xdr:colOff>
      <xdr:row>55</xdr:row>
      <xdr:rowOff>198120</xdr:rowOff>
    </xdr:to>
    <xdr:graphicFrame>
      <xdr:nvGraphicFramePr>
        <xdr:cNvPr id="7660324" name="Chart 1"/>
        <xdr:cNvGraphicFramePr/>
      </xdr:nvGraphicFramePr>
      <xdr:xfrm>
        <a:off x="32335470" y="9753600"/>
        <a:ext cx="3335655" cy="1760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0</xdr:row>
      <xdr:rowOff>50800</xdr:rowOff>
    </xdr:from>
    <xdr:to>
      <xdr:col>1</xdr:col>
      <xdr:colOff>572604</xdr:colOff>
      <xdr:row>1</xdr:row>
      <xdr:rowOff>114300</xdr:rowOff>
    </xdr:to>
    <xdr:sp>
      <xdr:nvSpPr>
        <xdr:cNvPr id="3" name="Rounded Rectangle 2_ContentButton">
          <a:hlinkClick xmlns:r="http://schemas.openxmlformats.org/officeDocument/2006/relationships" r:id="rId2"/>
        </xdr:cNvPr>
        <xdr:cNvSpPr/>
      </xdr:nvSpPr>
      <xdr:spPr>
        <a:xfrm>
          <a:off x="50800" y="50800"/>
          <a:ext cx="759460" cy="263525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0</xdr:row>
      <xdr:rowOff>50800</xdr:rowOff>
    </xdr:from>
    <xdr:to>
      <xdr:col>1</xdr:col>
      <xdr:colOff>203200</xdr:colOff>
      <xdr:row>1</xdr:row>
      <xdr:rowOff>114300</xdr:rowOff>
    </xdr:to>
    <xdr:sp>
      <xdr:nvSpPr>
        <xdr:cNvPr id="3" name="Rounded Rectangle 2_ContentButton">
          <a:hlinkClick xmlns:r="http://schemas.openxmlformats.org/officeDocument/2006/relationships" r:id="rId1"/>
        </xdr:cNvPr>
        <xdr:cNvSpPr/>
      </xdr:nvSpPr>
      <xdr:spPr>
        <a:xfrm>
          <a:off x="50800" y="50800"/>
          <a:ext cx="752475" cy="263525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83820</xdr:colOff>
      <xdr:row>38</xdr:row>
      <xdr:rowOff>171450</xdr:rowOff>
    </xdr:from>
    <xdr:to>
      <xdr:col>23</xdr:col>
      <xdr:colOff>518160</xdr:colOff>
      <xdr:row>55</xdr:row>
      <xdr:rowOff>49530</xdr:rowOff>
    </xdr:to>
    <xdr:graphicFrame>
      <xdr:nvGraphicFramePr>
        <xdr:cNvPr id="4" name="Chart 3"/>
        <xdr:cNvGraphicFramePr/>
      </xdr:nvGraphicFramePr>
      <xdr:xfrm>
        <a:off x="9342120" y="7410450"/>
        <a:ext cx="4463415" cy="2811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0</xdr:row>
      <xdr:rowOff>50800</xdr:rowOff>
    </xdr:from>
    <xdr:to>
      <xdr:col>1</xdr:col>
      <xdr:colOff>264160</xdr:colOff>
      <xdr:row>1</xdr:row>
      <xdr:rowOff>121920</xdr:rowOff>
    </xdr:to>
    <xdr:sp>
      <xdr:nvSpPr>
        <xdr:cNvPr id="3" name="Rounded Rectangle 2_ContentButton">
          <a:hlinkClick xmlns:r="http://schemas.openxmlformats.org/officeDocument/2006/relationships" r:id="rId2"/>
        </xdr:cNvPr>
        <xdr:cNvSpPr/>
      </xdr:nvSpPr>
      <xdr:spPr>
        <a:xfrm>
          <a:off x="50800" y="50800"/>
          <a:ext cx="746760" cy="26162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0</xdr:row>
      <xdr:rowOff>50800</xdr:rowOff>
    </xdr:from>
    <xdr:to>
      <xdr:col>1</xdr:col>
      <xdr:colOff>187960</xdr:colOff>
      <xdr:row>1</xdr:row>
      <xdr:rowOff>137160</xdr:rowOff>
    </xdr:to>
    <xdr:sp>
      <xdr:nvSpPr>
        <xdr:cNvPr id="3" name="Rounded Rectangle 2_ContentButton">
          <a:hlinkClick xmlns:r="http://schemas.openxmlformats.org/officeDocument/2006/relationships" r:id="rId1"/>
        </xdr:cNvPr>
        <xdr:cNvSpPr/>
      </xdr:nvSpPr>
      <xdr:spPr>
        <a:xfrm>
          <a:off x="50800" y="50800"/>
          <a:ext cx="746760" cy="25781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  <a:endParaRPr lang="en-IN" sz="1000" b="1" kern="1200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4.xml"/><Relationship Id="rId1" Type="http://schemas.openxmlformats.org/officeDocument/2006/relationships/comments" Target="../comments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17"/>
  <sheetViews>
    <sheetView showGridLines="0" workbookViewId="0">
      <selection activeCell="Q23" sqref="Q23"/>
    </sheetView>
  </sheetViews>
  <sheetFormatPr defaultColWidth="9" defaultRowHeight="13.5"/>
  <cols>
    <col min="1" max="1" width="4.71428571428571" customWidth="1"/>
  </cols>
  <sheetData>
    <row r="2" ht="18" spans="2:2">
      <c r="B2" s="3313" t="s">
        <v>0</v>
      </c>
    </row>
    <row r="3" spans="17:17">
      <c r="Q3" s="96" t="s">
        <v>1</v>
      </c>
    </row>
    <row r="4" spans="17:17">
      <c r="Q4" s="96" t="s">
        <v>2</v>
      </c>
    </row>
    <row r="5" spans="17:17">
      <c r="Q5" s="96" t="s">
        <v>3</v>
      </c>
    </row>
    <row r="6" spans="17:17">
      <c r="Q6" s="96" t="s">
        <v>4</v>
      </c>
    </row>
    <row r="7" spans="17:17">
      <c r="Q7" s="96" t="s">
        <v>5</v>
      </c>
    </row>
    <row r="8" spans="17:17">
      <c r="Q8" s="96" t="s">
        <v>6</v>
      </c>
    </row>
    <row r="9" spans="17:17">
      <c r="Q9" s="96" t="s">
        <v>7</v>
      </c>
    </row>
    <row r="10" spans="17:17">
      <c r="Q10" s="96" t="s">
        <v>8</v>
      </c>
    </row>
    <row r="11" spans="17:17">
      <c r="Q11" s="96" t="s">
        <v>9</v>
      </c>
    </row>
    <row r="12" spans="17:17">
      <c r="Q12" s="96" t="s">
        <v>10</v>
      </c>
    </row>
    <row r="13" spans="17:17">
      <c r="Q13" s="96" t="s">
        <v>11</v>
      </c>
    </row>
    <row r="14" spans="17:17">
      <c r="Q14" s="96" t="s">
        <v>12</v>
      </c>
    </row>
    <row r="15" spans="17:17">
      <c r="Q15" s="96" t="s">
        <v>13</v>
      </c>
    </row>
    <row r="16" spans="17:17">
      <c r="Q16" s="96" t="s">
        <v>14</v>
      </c>
    </row>
    <row r="17" spans="17:17">
      <c r="Q17" s="96" t="s">
        <v>15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0"/>
  <sheetViews>
    <sheetView workbookViewId="0">
      <pane xSplit="4" ySplit="3" topLeftCell="E4" activePane="bottomRight" state="frozen"/>
      <selection/>
      <selection pane="topRight"/>
      <selection pane="bottomLeft"/>
      <selection pane="bottomRight" activeCell="AM11" sqref="AM11:AM16"/>
    </sheetView>
  </sheetViews>
  <sheetFormatPr defaultColWidth="9" defaultRowHeight="13.5"/>
  <cols>
    <col min="1" max="1" width="13.7142857142857" customWidth="1"/>
    <col min="2" max="2" width="9.85714285714286" customWidth="1"/>
    <col min="3" max="3" width="11.1428571428571" customWidth="1"/>
    <col min="4" max="4" width="10" customWidth="1"/>
    <col min="5" max="6" width="9.28571428571429" customWidth="1"/>
    <col min="7" max="7" width="4.85714285714286" customWidth="1"/>
    <col min="8" max="8" width="9.28571428571429" customWidth="1"/>
    <col min="9" max="9" width="10.5714285714286" customWidth="1"/>
    <col min="10" max="10" width="6.28571428571429" customWidth="1"/>
    <col min="11" max="11" width="9.71428571428571" customWidth="1"/>
    <col min="12" max="12" width="9.28571428571429" customWidth="1"/>
    <col min="13" max="13" width="10" customWidth="1"/>
    <col min="14" max="15" width="9.28571428571429" customWidth="1"/>
    <col min="16" max="16" width="10" customWidth="1"/>
    <col min="17" max="17" width="9.71428571428571" customWidth="1"/>
    <col min="18" max="18" width="9.28571428571429" customWidth="1"/>
    <col min="19" max="19" width="9.14285714285714" customWidth="1"/>
    <col min="20" max="21" width="9.28571428571429" customWidth="1"/>
    <col min="22" max="22" width="8.71428571428571" customWidth="1"/>
    <col min="23" max="24" width="9.28571428571429" customWidth="1"/>
    <col min="25" max="25" width="7" customWidth="1"/>
    <col min="26" max="27" width="9.28571428571429" customWidth="1"/>
    <col min="28" max="28" width="4.71428571428571" customWidth="1"/>
    <col min="29" max="29" width="9.28571428571429" customWidth="1"/>
    <col min="30" max="30" width="10.2857142857143" customWidth="1"/>
    <col min="31" max="31" width="4.71428571428571" customWidth="1"/>
    <col min="32" max="33" width="9.28571428571429" customWidth="1"/>
    <col min="34" max="34" width="4.71428571428571" customWidth="1"/>
    <col min="35" max="36" width="9.28571428571429" customWidth="1"/>
    <col min="37" max="37" width="4.71428571428571" customWidth="1"/>
    <col min="38" max="39" width="9.28571428571429" customWidth="1"/>
    <col min="40" max="40" width="8.71428571428571" customWidth="1"/>
    <col min="41" max="41" width="10.5714285714286" customWidth="1"/>
    <col min="43" max="43" width="10.5714285714286" customWidth="1"/>
    <col min="46" max="46" width="10.2857142857143" customWidth="1"/>
    <col min="47" max="47" width="9.28571428571429" customWidth="1"/>
    <col min="48" max="48" width="10.2857142857143" customWidth="1"/>
    <col min="257" max="257" width="13.7142857142857" customWidth="1"/>
    <col min="258" max="259" width="9.85714285714286" customWidth="1"/>
    <col min="260" max="260" width="10" customWidth="1"/>
    <col min="261" max="262" width="9.28571428571429" customWidth="1"/>
    <col min="263" max="263" width="4" customWidth="1"/>
    <col min="264" max="265" width="9.28571428571429" customWidth="1"/>
    <col min="266" max="266" width="4.71428571428571" customWidth="1"/>
    <col min="267" max="268" width="9.28571428571429" customWidth="1"/>
    <col min="269" max="269" width="10" customWidth="1"/>
    <col min="270" max="271" width="9.28571428571429" customWidth="1"/>
    <col min="272" max="272" width="10" customWidth="1"/>
    <col min="273" max="274" width="9.28571428571429" customWidth="1"/>
    <col min="275" max="275" width="4.71428571428571" customWidth="1"/>
    <col min="276" max="277" width="9.28571428571429" customWidth="1"/>
    <col min="278" max="278" width="8.71428571428571" customWidth="1"/>
    <col min="279" max="280" width="9.28571428571429" customWidth="1"/>
    <col min="281" max="281" width="7" customWidth="1"/>
    <col min="282" max="283" width="9.28571428571429" customWidth="1"/>
    <col min="284" max="284" width="4.71428571428571" customWidth="1"/>
    <col min="285" max="285" width="9.28571428571429" customWidth="1"/>
    <col min="286" max="286" width="10.2857142857143" customWidth="1"/>
    <col min="287" max="287" width="9.14285714285714" customWidth="1"/>
    <col min="288" max="289" width="9.28571428571429" customWidth="1"/>
    <col min="290" max="290" width="4.71428571428571" customWidth="1"/>
    <col min="291" max="292" width="9.28571428571429" customWidth="1"/>
    <col min="293" max="293" width="4.71428571428571" customWidth="1"/>
    <col min="294" max="295" width="9.28571428571429" customWidth="1"/>
    <col min="296" max="296" width="4" customWidth="1"/>
    <col min="297" max="297" width="10.5714285714286" customWidth="1"/>
    <col min="299" max="299" width="10.5714285714286" customWidth="1"/>
    <col min="302" max="302" width="10.2857142857143" customWidth="1"/>
    <col min="303" max="303" width="9.28571428571429" customWidth="1"/>
    <col min="304" max="304" width="10.2857142857143" customWidth="1"/>
    <col min="513" max="513" width="13.7142857142857" customWidth="1"/>
    <col min="514" max="515" width="9.85714285714286" customWidth="1"/>
    <col min="516" max="516" width="10" customWidth="1"/>
    <col min="517" max="518" width="9.28571428571429" customWidth="1"/>
    <col min="519" max="519" width="4" customWidth="1"/>
    <col min="520" max="521" width="9.28571428571429" customWidth="1"/>
    <col min="522" max="522" width="4.71428571428571" customWidth="1"/>
    <col min="523" max="524" width="9.28571428571429" customWidth="1"/>
    <col min="525" max="525" width="10" customWidth="1"/>
    <col min="526" max="527" width="9.28571428571429" customWidth="1"/>
    <col min="528" max="528" width="10" customWidth="1"/>
    <col min="529" max="530" width="9.28571428571429" customWidth="1"/>
    <col min="531" max="531" width="4.71428571428571" customWidth="1"/>
    <col min="532" max="533" width="9.28571428571429" customWidth="1"/>
    <col min="534" max="534" width="8.71428571428571" customWidth="1"/>
    <col min="535" max="536" width="9.28571428571429" customWidth="1"/>
    <col min="537" max="537" width="7" customWidth="1"/>
    <col min="538" max="539" width="9.28571428571429" customWidth="1"/>
    <col min="540" max="540" width="4.71428571428571" customWidth="1"/>
    <col min="541" max="541" width="9.28571428571429" customWidth="1"/>
    <col min="542" max="542" width="10.2857142857143" customWidth="1"/>
    <col min="543" max="543" width="9.14285714285714" customWidth="1"/>
    <col min="544" max="545" width="9.28571428571429" customWidth="1"/>
    <col min="546" max="546" width="4.71428571428571" customWidth="1"/>
    <col min="547" max="548" width="9.28571428571429" customWidth="1"/>
    <col min="549" max="549" width="4.71428571428571" customWidth="1"/>
    <col min="550" max="551" width="9.28571428571429" customWidth="1"/>
    <col min="552" max="552" width="4" customWidth="1"/>
    <col min="553" max="553" width="10.5714285714286" customWidth="1"/>
    <col min="555" max="555" width="10.5714285714286" customWidth="1"/>
    <col min="558" max="558" width="10.2857142857143" customWidth="1"/>
    <col min="559" max="559" width="9.28571428571429" customWidth="1"/>
    <col min="560" max="560" width="10.2857142857143" customWidth="1"/>
    <col min="769" max="769" width="13.7142857142857" customWidth="1"/>
    <col min="770" max="771" width="9.85714285714286" customWidth="1"/>
    <col min="772" max="772" width="10" customWidth="1"/>
    <col min="773" max="774" width="9.28571428571429" customWidth="1"/>
    <col min="775" max="775" width="4" customWidth="1"/>
    <col min="776" max="777" width="9.28571428571429" customWidth="1"/>
    <col min="778" max="778" width="4.71428571428571" customWidth="1"/>
    <col min="779" max="780" width="9.28571428571429" customWidth="1"/>
    <col min="781" max="781" width="10" customWidth="1"/>
    <col min="782" max="783" width="9.28571428571429" customWidth="1"/>
    <col min="784" max="784" width="10" customWidth="1"/>
    <col min="785" max="786" width="9.28571428571429" customWidth="1"/>
    <col min="787" max="787" width="4.71428571428571" customWidth="1"/>
    <col min="788" max="789" width="9.28571428571429" customWidth="1"/>
    <col min="790" max="790" width="8.71428571428571" customWidth="1"/>
    <col min="791" max="792" width="9.28571428571429" customWidth="1"/>
    <col min="793" max="793" width="7" customWidth="1"/>
    <col min="794" max="795" width="9.28571428571429" customWidth="1"/>
    <col min="796" max="796" width="4.71428571428571" customWidth="1"/>
    <col min="797" max="797" width="9.28571428571429" customWidth="1"/>
    <col min="798" max="798" width="10.2857142857143" customWidth="1"/>
    <col min="799" max="799" width="9.14285714285714" customWidth="1"/>
    <col min="800" max="801" width="9.28571428571429" customWidth="1"/>
    <col min="802" max="802" width="4.71428571428571" customWidth="1"/>
    <col min="803" max="804" width="9.28571428571429" customWidth="1"/>
    <col min="805" max="805" width="4.71428571428571" customWidth="1"/>
    <col min="806" max="807" width="9.28571428571429" customWidth="1"/>
    <col min="808" max="808" width="4" customWidth="1"/>
    <col min="809" max="809" width="10.5714285714286" customWidth="1"/>
    <col min="811" max="811" width="10.5714285714286" customWidth="1"/>
    <col min="814" max="814" width="10.2857142857143" customWidth="1"/>
    <col min="815" max="815" width="9.28571428571429" customWidth="1"/>
    <col min="816" max="816" width="10.2857142857143" customWidth="1"/>
    <col min="1025" max="1025" width="13.7142857142857" customWidth="1"/>
    <col min="1026" max="1027" width="9.85714285714286" customWidth="1"/>
    <col min="1028" max="1028" width="10" customWidth="1"/>
    <col min="1029" max="1030" width="9.28571428571429" customWidth="1"/>
    <col min="1031" max="1031" width="4" customWidth="1"/>
    <col min="1032" max="1033" width="9.28571428571429" customWidth="1"/>
    <col min="1034" max="1034" width="4.71428571428571" customWidth="1"/>
    <col min="1035" max="1036" width="9.28571428571429" customWidth="1"/>
    <col min="1037" max="1037" width="10" customWidth="1"/>
    <col min="1038" max="1039" width="9.28571428571429" customWidth="1"/>
    <col min="1040" max="1040" width="10" customWidth="1"/>
    <col min="1041" max="1042" width="9.28571428571429" customWidth="1"/>
    <col min="1043" max="1043" width="4.71428571428571" customWidth="1"/>
    <col min="1044" max="1045" width="9.28571428571429" customWidth="1"/>
    <col min="1046" max="1046" width="8.71428571428571" customWidth="1"/>
    <col min="1047" max="1048" width="9.28571428571429" customWidth="1"/>
    <col min="1049" max="1049" width="7" customWidth="1"/>
    <col min="1050" max="1051" width="9.28571428571429" customWidth="1"/>
    <col min="1052" max="1052" width="4.71428571428571" customWidth="1"/>
    <col min="1053" max="1053" width="9.28571428571429" customWidth="1"/>
    <col min="1054" max="1054" width="10.2857142857143" customWidth="1"/>
    <col min="1055" max="1055" width="9.14285714285714" customWidth="1"/>
    <col min="1056" max="1057" width="9.28571428571429" customWidth="1"/>
    <col min="1058" max="1058" width="4.71428571428571" customWidth="1"/>
    <col min="1059" max="1060" width="9.28571428571429" customWidth="1"/>
    <col min="1061" max="1061" width="4.71428571428571" customWidth="1"/>
    <col min="1062" max="1063" width="9.28571428571429" customWidth="1"/>
    <col min="1064" max="1064" width="4" customWidth="1"/>
    <col min="1065" max="1065" width="10.5714285714286" customWidth="1"/>
    <col min="1067" max="1067" width="10.5714285714286" customWidth="1"/>
    <col min="1070" max="1070" width="10.2857142857143" customWidth="1"/>
    <col min="1071" max="1071" width="9.28571428571429" customWidth="1"/>
    <col min="1072" max="1072" width="10.2857142857143" customWidth="1"/>
    <col min="1281" max="1281" width="13.7142857142857" customWidth="1"/>
    <col min="1282" max="1283" width="9.85714285714286" customWidth="1"/>
    <col min="1284" max="1284" width="10" customWidth="1"/>
    <col min="1285" max="1286" width="9.28571428571429" customWidth="1"/>
    <col min="1287" max="1287" width="4" customWidth="1"/>
    <col min="1288" max="1289" width="9.28571428571429" customWidth="1"/>
    <col min="1290" max="1290" width="4.71428571428571" customWidth="1"/>
    <col min="1291" max="1292" width="9.28571428571429" customWidth="1"/>
    <col min="1293" max="1293" width="10" customWidth="1"/>
    <col min="1294" max="1295" width="9.28571428571429" customWidth="1"/>
    <col min="1296" max="1296" width="10" customWidth="1"/>
    <col min="1297" max="1298" width="9.28571428571429" customWidth="1"/>
    <col min="1299" max="1299" width="4.71428571428571" customWidth="1"/>
    <col min="1300" max="1301" width="9.28571428571429" customWidth="1"/>
    <col min="1302" max="1302" width="8.71428571428571" customWidth="1"/>
    <col min="1303" max="1304" width="9.28571428571429" customWidth="1"/>
    <col min="1305" max="1305" width="7" customWidth="1"/>
    <col min="1306" max="1307" width="9.28571428571429" customWidth="1"/>
    <col min="1308" max="1308" width="4.71428571428571" customWidth="1"/>
    <col min="1309" max="1309" width="9.28571428571429" customWidth="1"/>
    <col min="1310" max="1310" width="10.2857142857143" customWidth="1"/>
    <col min="1311" max="1311" width="9.14285714285714" customWidth="1"/>
    <col min="1312" max="1313" width="9.28571428571429" customWidth="1"/>
    <col min="1314" max="1314" width="4.71428571428571" customWidth="1"/>
    <col min="1315" max="1316" width="9.28571428571429" customWidth="1"/>
    <col min="1317" max="1317" width="4.71428571428571" customWidth="1"/>
    <col min="1318" max="1319" width="9.28571428571429" customWidth="1"/>
    <col min="1320" max="1320" width="4" customWidth="1"/>
    <col min="1321" max="1321" width="10.5714285714286" customWidth="1"/>
    <col min="1323" max="1323" width="10.5714285714286" customWidth="1"/>
    <col min="1326" max="1326" width="10.2857142857143" customWidth="1"/>
    <col min="1327" max="1327" width="9.28571428571429" customWidth="1"/>
    <col min="1328" max="1328" width="10.2857142857143" customWidth="1"/>
    <col min="1537" max="1537" width="13.7142857142857" customWidth="1"/>
    <col min="1538" max="1539" width="9.85714285714286" customWidth="1"/>
    <col min="1540" max="1540" width="10" customWidth="1"/>
    <col min="1541" max="1542" width="9.28571428571429" customWidth="1"/>
    <col min="1543" max="1543" width="4" customWidth="1"/>
    <col min="1544" max="1545" width="9.28571428571429" customWidth="1"/>
    <col min="1546" max="1546" width="4.71428571428571" customWidth="1"/>
    <col min="1547" max="1548" width="9.28571428571429" customWidth="1"/>
    <col min="1549" max="1549" width="10" customWidth="1"/>
    <col min="1550" max="1551" width="9.28571428571429" customWidth="1"/>
    <col min="1552" max="1552" width="10" customWidth="1"/>
    <col min="1553" max="1554" width="9.28571428571429" customWidth="1"/>
    <col min="1555" max="1555" width="4.71428571428571" customWidth="1"/>
    <col min="1556" max="1557" width="9.28571428571429" customWidth="1"/>
    <col min="1558" max="1558" width="8.71428571428571" customWidth="1"/>
    <col min="1559" max="1560" width="9.28571428571429" customWidth="1"/>
    <col min="1561" max="1561" width="7" customWidth="1"/>
    <col min="1562" max="1563" width="9.28571428571429" customWidth="1"/>
    <col min="1564" max="1564" width="4.71428571428571" customWidth="1"/>
    <col min="1565" max="1565" width="9.28571428571429" customWidth="1"/>
    <col min="1566" max="1566" width="10.2857142857143" customWidth="1"/>
    <col min="1567" max="1567" width="9.14285714285714" customWidth="1"/>
    <col min="1568" max="1569" width="9.28571428571429" customWidth="1"/>
    <col min="1570" max="1570" width="4.71428571428571" customWidth="1"/>
    <col min="1571" max="1572" width="9.28571428571429" customWidth="1"/>
    <col min="1573" max="1573" width="4.71428571428571" customWidth="1"/>
    <col min="1574" max="1575" width="9.28571428571429" customWidth="1"/>
    <col min="1576" max="1576" width="4" customWidth="1"/>
    <col min="1577" max="1577" width="10.5714285714286" customWidth="1"/>
    <col min="1579" max="1579" width="10.5714285714286" customWidth="1"/>
    <col min="1582" max="1582" width="10.2857142857143" customWidth="1"/>
    <col min="1583" max="1583" width="9.28571428571429" customWidth="1"/>
    <col min="1584" max="1584" width="10.2857142857143" customWidth="1"/>
    <col min="1793" max="1793" width="13.7142857142857" customWidth="1"/>
    <col min="1794" max="1795" width="9.85714285714286" customWidth="1"/>
    <col min="1796" max="1796" width="10" customWidth="1"/>
    <col min="1797" max="1798" width="9.28571428571429" customWidth="1"/>
    <col min="1799" max="1799" width="4" customWidth="1"/>
    <col min="1800" max="1801" width="9.28571428571429" customWidth="1"/>
    <col min="1802" max="1802" width="4.71428571428571" customWidth="1"/>
    <col min="1803" max="1804" width="9.28571428571429" customWidth="1"/>
    <col min="1805" max="1805" width="10" customWidth="1"/>
    <col min="1806" max="1807" width="9.28571428571429" customWidth="1"/>
    <col min="1808" max="1808" width="10" customWidth="1"/>
    <col min="1809" max="1810" width="9.28571428571429" customWidth="1"/>
    <col min="1811" max="1811" width="4.71428571428571" customWidth="1"/>
    <col min="1812" max="1813" width="9.28571428571429" customWidth="1"/>
    <col min="1814" max="1814" width="8.71428571428571" customWidth="1"/>
    <col min="1815" max="1816" width="9.28571428571429" customWidth="1"/>
    <col min="1817" max="1817" width="7" customWidth="1"/>
    <col min="1818" max="1819" width="9.28571428571429" customWidth="1"/>
    <col min="1820" max="1820" width="4.71428571428571" customWidth="1"/>
    <col min="1821" max="1821" width="9.28571428571429" customWidth="1"/>
    <col min="1822" max="1822" width="10.2857142857143" customWidth="1"/>
    <col min="1823" max="1823" width="9.14285714285714" customWidth="1"/>
    <col min="1824" max="1825" width="9.28571428571429" customWidth="1"/>
    <col min="1826" max="1826" width="4.71428571428571" customWidth="1"/>
    <col min="1827" max="1828" width="9.28571428571429" customWidth="1"/>
    <col min="1829" max="1829" width="4.71428571428571" customWidth="1"/>
    <col min="1830" max="1831" width="9.28571428571429" customWidth="1"/>
    <col min="1832" max="1832" width="4" customWidth="1"/>
    <col min="1833" max="1833" width="10.5714285714286" customWidth="1"/>
    <col min="1835" max="1835" width="10.5714285714286" customWidth="1"/>
    <col min="1838" max="1838" width="10.2857142857143" customWidth="1"/>
    <col min="1839" max="1839" width="9.28571428571429" customWidth="1"/>
    <col min="1840" max="1840" width="10.2857142857143" customWidth="1"/>
    <col min="2049" max="2049" width="13.7142857142857" customWidth="1"/>
    <col min="2050" max="2051" width="9.85714285714286" customWidth="1"/>
    <col min="2052" max="2052" width="10" customWidth="1"/>
    <col min="2053" max="2054" width="9.28571428571429" customWidth="1"/>
    <col min="2055" max="2055" width="4" customWidth="1"/>
    <col min="2056" max="2057" width="9.28571428571429" customWidth="1"/>
    <col min="2058" max="2058" width="4.71428571428571" customWidth="1"/>
    <col min="2059" max="2060" width="9.28571428571429" customWidth="1"/>
    <col min="2061" max="2061" width="10" customWidth="1"/>
    <col min="2062" max="2063" width="9.28571428571429" customWidth="1"/>
    <col min="2064" max="2064" width="10" customWidth="1"/>
    <col min="2065" max="2066" width="9.28571428571429" customWidth="1"/>
    <col min="2067" max="2067" width="4.71428571428571" customWidth="1"/>
    <col min="2068" max="2069" width="9.28571428571429" customWidth="1"/>
    <col min="2070" max="2070" width="8.71428571428571" customWidth="1"/>
    <col min="2071" max="2072" width="9.28571428571429" customWidth="1"/>
    <col min="2073" max="2073" width="7" customWidth="1"/>
    <col min="2074" max="2075" width="9.28571428571429" customWidth="1"/>
    <col min="2076" max="2076" width="4.71428571428571" customWidth="1"/>
    <col min="2077" max="2077" width="9.28571428571429" customWidth="1"/>
    <col min="2078" max="2078" width="10.2857142857143" customWidth="1"/>
    <col min="2079" max="2079" width="9.14285714285714" customWidth="1"/>
    <col min="2080" max="2081" width="9.28571428571429" customWidth="1"/>
    <col min="2082" max="2082" width="4.71428571428571" customWidth="1"/>
    <col min="2083" max="2084" width="9.28571428571429" customWidth="1"/>
    <col min="2085" max="2085" width="4.71428571428571" customWidth="1"/>
    <col min="2086" max="2087" width="9.28571428571429" customWidth="1"/>
    <col min="2088" max="2088" width="4" customWidth="1"/>
    <col min="2089" max="2089" width="10.5714285714286" customWidth="1"/>
    <col min="2091" max="2091" width="10.5714285714286" customWidth="1"/>
    <col min="2094" max="2094" width="10.2857142857143" customWidth="1"/>
    <col min="2095" max="2095" width="9.28571428571429" customWidth="1"/>
    <col min="2096" max="2096" width="10.2857142857143" customWidth="1"/>
    <col min="2305" max="2305" width="13.7142857142857" customWidth="1"/>
    <col min="2306" max="2307" width="9.85714285714286" customWidth="1"/>
    <col min="2308" max="2308" width="10" customWidth="1"/>
    <col min="2309" max="2310" width="9.28571428571429" customWidth="1"/>
    <col min="2311" max="2311" width="4" customWidth="1"/>
    <col min="2312" max="2313" width="9.28571428571429" customWidth="1"/>
    <col min="2314" max="2314" width="4.71428571428571" customWidth="1"/>
    <col min="2315" max="2316" width="9.28571428571429" customWidth="1"/>
    <col min="2317" max="2317" width="10" customWidth="1"/>
    <col min="2318" max="2319" width="9.28571428571429" customWidth="1"/>
    <col min="2320" max="2320" width="10" customWidth="1"/>
    <col min="2321" max="2322" width="9.28571428571429" customWidth="1"/>
    <col min="2323" max="2323" width="4.71428571428571" customWidth="1"/>
    <col min="2324" max="2325" width="9.28571428571429" customWidth="1"/>
    <col min="2326" max="2326" width="8.71428571428571" customWidth="1"/>
    <col min="2327" max="2328" width="9.28571428571429" customWidth="1"/>
    <col min="2329" max="2329" width="7" customWidth="1"/>
    <col min="2330" max="2331" width="9.28571428571429" customWidth="1"/>
    <col min="2332" max="2332" width="4.71428571428571" customWidth="1"/>
    <col min="2333" max="2333" width="9.28571428571429" customWidth="1"/>
    <col min="2334" max="2334" width="10.2857142857143" customWidth="1"/>
    <col min="2335" max="2335" width="9.14285714285714" customWidth="1"/>
    <col min="2336" max="2337" width="9.28571428571429" customWidth="1"/>
    <col min="2338" max="2338" width="4.71428571428571" customWidth="1"/>
    <col min="2339" max="2340" width="9.28571428571429" customWidth="1"/>
    <col min="2341" max="2341" width="4.71428571428571" customWidth="1"/>
    <col min="2342" max="2343" width="9.28571428571429" customWidth="1"/>
    <col min="2344" max="2344" width="4" customWidth="1"/>
    <col min="2345" max="2345" width="10.5714285714286" customWidth="1"/>
    <col min="2347" max="2347" width="10.5714285714286" customWidth="1"/>
    <col min="2350" max="2350" width="10.2857142857143" customWidth="1"/>
    <col min="2351" max="2351" width="9.28571428571429" customWidth="1"/>
    <col min="2352" max="2352" width="10.2857142857143" customWidth="1"/>
    <col min="2561" max="2561" width="13.7142857142857" customWidth="1"/>
    <col min="2562" max="2563" width="9.85714285714286" customWidth="1"/>
    <col min="2564" max="2564" width="10" customWidth="1"/>
    <col min="2565" max="2566" width="9.28571428571429" customWidth="1"/>
    <col min="2567" max="2567" width="4" customWidth="1"/>
    <col min="2568" max="2569" width="9.28571428571429" customWidth="1"/>
    <col min="2570" max="2570" width="4.71428571428571" customWidth="1"/>
    <col min="2571" max="2572" width="9.28571428571429" customWidth="1"/>
    <col min="2573" max="2573" width="10" customWidth="1"/>
    <col min="2574" max="2575" width="9.28571428571429" customWidth="1"/>
    <col min="2576" max="2576" width="10" customWidth="1"/>
    <col min="2577" max="2578" width="9.28571428571429" customWidth="1"/>
    <col min="2579" max="2579" width="4.71428571428571" customWidth="1"/>
    <col min="2580" max="2581" width="9.28571428571429" customWidth="1"/>
    <col min="2582" max="2582" width="8.71428571428571" customWidth="1"/>
    <col min="2583" max="2584" width="9.28571428571429" customWidth="1"/>
    <col min="2585" max="2585" width="7" customWidth="1"/>
    <col min="2586" max="2587" width="9.28571428571429" customWidth="1"/>
    <col min="2588" max="2588" width="4.71428571428571" customWidth="1"/>
    <col min="2589" max="2589" width="9.28571428571429" customWidth="1"/>
    <col min="2590" max="2590" width="10.2857142857143" customWidth="1"/>
    <col min="2591" max="2591" width="9.14285714285714" customWidth="1"/>
    <col min="2592" max="2593" width="9.28571428571429" customWidth="1"/>
    <col min="2594" max="2594" width="4.71428571428571" customWidth="1"/>
    <col min="2595" max="2596" width="9.28571428571429" customWidth="1"/>
    <col min="2597" max="2597" width="4.71428571428571" customWidth="1"/>
    <col min="2598" max="2599" width="9.28571428571429" customWidth="1"/>
    <col min="2600" max="2600" width="4" customWidth="1"/>
    <col min="2601" max="2601" width="10.5714285714286" customWidth="1"/>
    <col min="2603" max="2603" width="10.5714285714286" customWidth="1"/>
    <col min="2606" max="2606" width="10.2857142857143" customWidth="1"/>
    <col min="2607" max="2607" width="9.28571428571429" customWidth="1"/>
    <col min="2608" max="2608" width="10.2857142857143" customWidth="1"/>
    <col min="2817" max="2817" width="13.7142857142857" customWidth="1"/>
    <col min="2818" max="2819" width="9.85714285714286" customWidth="1"/>
    <col min="2820" max="2820" width="10" customWidth="1"/>
    <col min="2821" max="2822" width="9.28571428571429" customWidth="1"/>
    <col min="2823" max="2823" width="4" customWidth="1"/>
    <col min="2824" max="2825" width="9.28571428571429" customWidth="1"/>
    <col min="2826" max="2826" width="4.71428571428571" customWidth="1"/>
    <col min="2827" max="2828" width="9.28571428571429" customWidth="1"/>
    <col min="2829" max="2829" width="10" customWidth="1"/>
    <col min="2830" max="2831" width="9.28571428571429" customWidth="1"/>
    <col min="2832" max="2832" width="10" customWidth="1"/>
    <col min="2833" max="2834" width="9.28571428571429" customWidth="1"/>
    <col min="2835" max="2835" width="4.71428571428571" customWidth="1"/>
    <col min="2836" max="2837" width="9.28571428571429" customWidth="1"/>
    <col min="2838" max="2838" width="8.71428571428571" customWidth="1"/>
    <col min="2839" max="2840" width="9.28571428571429" customWidth="1"/>
    <col min="2841" max="2841" width="7" customWidth="1"/>
    <col min="2842" max="2843" width="9.28571428571429" customWidth="1"/>
    <col min="2844" max="2844" width="4.71428571428571" customWidth="1"/>
    <col min="2845" max="2845" width="9.28571428571429" customWidth="1"/>
    <col min="2846" max="2846" width="10.2857142857143" customWidth="1"/>
    <col min="2847" max="2847" width="9.14285714285714" customWidth="1"/>
    <col min="2848" max="2849" width="9.28571428571429" customWidth="1"/>
    <col min="2850" max="2850" width="4.71428571428571" customWidth="1"/>
    <col min="2851" max="2852" width="9.28571428571429" customWidth="1"/>
    <col min="2853" max="2853" width="4.71428571428571" customWidth="1"/>
    <col min="2854" max="2855" width="9.28571428571429" customWidth="1"/>
    <col min="2856" max="2856" width="4" customWidth="1"/>
    <col min="2857" max="2857" width="10.5714285714286" customWidth="1"/>
    <col min="2859" max="2859" width="10.5714285714286" customWidth="1"/>
    <col min="2862" max="2862" width="10.2857142857143" customWidth="1"/>
    <col min="2863" max="2863" width="9.28571428571429" customWidth="1"/>
    <col min="2864" max="2864" width="10.2857142857143" customWidth="1"/>
    <col min="3073" max="3073" width="13.7142857142857" customWidth="1"/>
    <col min="3074" max="3075" width="9.85714285714286" customWidth="1"/>
    <col min="3076" max="3076" width="10" customWidth="1"/>
    <col min="3077" max="3078" width="9.28571428571429" customWidth="1"/>
    <col min="3079" max="3079" width="4" customWidth="1"/>
    <col min="3080" max="3081" width="9.28571428571429" customWidth="1"/>
    <col min="3082" max="3082" width="4.71428571428571" customWidth="1"/>
    <col min="3083" max="3084" width="9.28571428571429" customWidth="1"/>
    <col min="3085" max="3085" width="10" customWidth="1"/>
    <col min="3086" max="3087" width="9.28571428571429" customWidth="1"/>
    <col min="3088" max="3088" width="10" customWidth="1"/>
    <col min="3089" max="3090" width="9.28571428571429" customWidth="1"/>
    <col min="3091" max="3091" width="4.71428571428571" customWidth="1"/>
    <col min="3092" max="3093" width="9.28571428571429" customWidth="1"/>
    <col min="3094" max="3094" width="8.71428571428571" customWidth="1"/>
    <col min="3095" max="3096" width="9.28571428571429" customWidth="1"/>
    <col min="3097" max="3097" width="7" customWidth="1"/>
    <col min="3098" max="3099" width="9.28571428571429" customWidth="1"/>
    <col min="3100" max="3100" width="4.71428571428571" customWidth="1"/>
    <col min="3101" max="3101" width="9.28571428571429" customWidth="1"/>
    <col min="3102" max="3102" width="10.2857142857143" customWidth="1"/>
    <col min="3103" max="3103" width="9.14285714285714" customWidth="1"/>
    <col min="3104" max="3105" width="9.28571428571429" customWidth="1"/>
    <col min="3106" max="3106" width="4.71428571428571" customWidth="1"/>
    <col min="3107" max="3108" width="9.28571428571429" customWidth="1"/>
    <col min="3109" max="3109" width="4.71428571428571" customWidth="1"/>
    <col min="3110" max="3111" width="9.28571428571429" customWidth="1"/>
    <col min="3112" max="3112" width="4" customWidth="1"/>
    <col min="3113" max="3113" width="10.5714285714286" customWidth="1"/>
    <col min="3115" max="3115" width="10.5714285714286" customWidth="1"/>
    <col min="3118" max="3118" width="10.2857142857143" customWidth="1"/>
    <col min="3119" max="3119" width="9.28571428571429" customWidth="1"/>
    <col min="3120" max="3120" width="10.2857142857143" customWidth="1"/>
    <col min="3329" max="3329" width="13.7142857142857" customWidth="1"/>
    <col min="3330" max="3331" width="9.85714285714286" customWidth="1"/>
    <col min="3332" max="3332" width="10" customWidth="1"/>
    <col min="3333" max="3334" width="9.28571428571429" customWidth="1"/>
    <col min="3335" max="3335" width="4" customWidth="1"/>
    <col min="3336" max="3337" width="9.28571428571429" customWidth="1"/>
    <col min="3338" max="3338" width="4.71428571428571" customWidth="1"/>
    <col min="3339" max="3340" width="9.28571428571429" customWidth="1"/>
    <col min="3341" max="3341" width="10" customWidth="1"/>
    <col min="3342" max="3343" width="9.28571428571429" customWidth="1"/>
    <col min="3344" max="3344" width="10" customWidth="1"/>
    <col min="3345" max="3346" width="9.28571428571429" customWidth="1"/>
    <col min="3347" max="3347" width="4.71428571428571" customWidth="1"/>
    <col min="3348" max="3349" width="9.28571428571429" customWidth="1"/>
    <col min="3350" max="3350" width="8.71428571428571" customWidth="1"/>
    <col min="3351" max="3352" width="9.28571428571429" customWidth="1"/>
    <col min="3353" max="3353" width="7" customWidth="1"/>
    <col min="3354" max="3355" width="9.28571428571429" customWidth="1"/>
    <col min="3356" max="3356" width="4.71428571428571" customWidth="1"/>
    <col min="3357" max="3357" width="9.28571428571429" customWidth="1"/>
    <col min="3358" max="3358" width="10.2857142857143" customWidth="1"/>
    <col min="3359" max="3359" width="9.14285714285714" customWidth="1"/>
    <col min="3360" max="3361" width="9.28571428571429" customWidth="1"/>
    <col min="3362" max="3362" width="4.71428571428571" customWidth="1"/>
    <col min="3363" max="3364" width="9.28571428571429" customWidth="1"/>
    <col min="3365" max="3365" width="4.71428571428571" customWidth="1"/>
    <col min="3366" max="3367" width="9.28571428571429" customWidth="1"/>
    <col min="3368" max="3368" width="4" customWidth="1"/>
    <col min="3369" max="3369" width="10.5714285714286" customWidth="1"/>
    <col min="3371" max="3371" width="10.5714285714286" customWidth="1"/>
    <col min="3374" max="3374" width="10.2857142857143" customWidth="1"/>
    <col min="3375" max="3375" width="9.28571428571429" customWidth="1"/>
    <col min="3376" max="3376" width="10.2857142857143" customWidth="1"/>
    <col min="3585" max="3585" width="13.7142857142857" customWidth="1"/>
    <col min="3586" max="3587" width="9.85714285714286" customWidth="1"/>
    <col min="3588" max="3588" width="10" customWidth="1"/>
    <col min="3589" max="3590" width="9.28571428571429" customWidth="1"/>
    <col min="3591" max="3591" width="4" customWidth="1"/>
    <col min="3592" max="3593" width="9.28571428571429" customWidth="1"/>
    <col min="3594" max="3594" width="4.71428571428571" customWidth="1"/>
    <col min="3595" max="3596" width="9.28571428571429" customWidth="1"/>
    <col min="3597" max="3597" width="10" customWidth="1"/>
    <col min="3598" max="3599" width="9.28571428571429" customWidth="1"/>
    <col min="3600" max="3600" width="10" customWidth="1"/>
    <col min="3601" max="3602" width="9.28571428571429" customWidth="1"/>
    <col min="3603" max="3603" width="4.71428571428571" customWidth="1"/>
    <col min="3604" max="3605" width="9.28571428571429" customWidth="1"/>
    <col min="3606" max="3606" width="8.71428571428571" customWidth="1"/>
    <col min="3607" max="3608" width="9.28571428571429" customWidth="1"/>
    <col min="3609" max="3609" width="7" customWidth="1"/>
    <col min="3610" max="3611" width="9.28571428571429" customWidth="1"/>
    <col min="3612" max="3612" width="4.71428571428571" customWidth="1"/>
    <col min="3613" max="3613" width="9.28571428571429" customWidth="1"/>
    <col min="3614" max="3614" width="10.2857142857143" customWidth="1"/>
    <col min="3615" max="3615" width="9.14285714285714" customWidth="1"/>
    <col min="3616" max="3617" width="9.28571428571429" customWidth="1"/>
    <col min="3618" max="3618" width="4.71428571428571" customWidth="1"/>
    <col min="3619" max="3620" width="9.28571428571429" customWidth="1"/>
    <col min="3621" max="3621" width="4.71428571428571" customWidth="1"/>
    <col min="3622" max="3623" width="9.28571428571429" customWidth="1"/>
    <col min="3624" max="3624" width="4" customWidth="1"/>
    <col min="3625" max="3625" width="10.5714285714286" customWidth="1"/>
    <col min="3627" max="3627" width="10.5714285714286" customWidth="1"/>
    <col min="3630" max="3630" width="10.2857142857143" customWidth="1"/>
    <col min="3631" max="3631" width="9.28571428571429" customWidth="1"/>
    <col min="3632" max="3632" width="10.2857142857143" customWidth="1"/>
    <col min="3841" max="3841" width="13.7142857142857" customWidth="1"/>
    <col min="3842" max="3843" width="9.85714285714286" customWidth="1"/>
    <col min="3844" max="3844" width="10" customWidth="1"/>
    <col min="3845" max="3846" width="9.28571428571429" customWidth="1"/>
    <col min="3847" max="3847" width="4" customWidth="1"/>
    <col min="3848" max="3849" width="9.28571428571429" customWidth="1"/>
    <col min="3850" max="3850" width="4.71428571428571" customWidth="1"/>
    <col min="3851" max="3852" width="9.28571428571429" customWidth="1"/>
    <col min="3853" max="3853" width="10" customWidth="1"/>
    <col min="3854" max="3855" width="9.28571428571429" customWidth="1"/>
    <col min="3856" max="3856" width="10" customWidth="1"/>
    <col min="3857" max="3858" width="9.28571428571429" customWidth="1"/>
    <col min="3859" max="3859" width="4.71428571428571" customWidth="1"/>
    <col min="3860" max="3861" width="9.28571428571429" customWidth="1"/>
    <col min="3862" max="3862" width="8.71428571428571" customWidth="1"/>
    <col min="3863" max="3864" width="9.28571428571429" customWidth="1"/>
    <col min="3865" max="3865" width="7" customWidth="1"/>
    <col min="3866" max="3867" width="9.28571428571429" customWidth="1"/>
    <col min="3868" max="3868" width="4.71428571428571" customWidth="1"/>
    <col min="3869" max="3869" width="9.28571428571429" customWidth="1"/>
    <col min="3870" max="3870" width="10.2857142857143" customWidth="1"/>
    <col min="3871" max="3871" width="9.14285714285714" customWidth="1"/>
    <col min="3872" max="3873" width="9.28571428571429" customWidth="1"/>
    <col min="3874" max="3874" width="4.71428571428571" customWidth="1"/>
    <col min="3875" max="3876" width="9.28571428571429" customWidth="1"/>
    <col min="3877" max="3877" width="4.71428571428571" customWidth="1"/>
    <col min="3878" max="3879" width="9.28571428571429" customWidth="1"/>
    <col min="3880" max="3880" width="4" customWidth="1"/>
    <col min="3881" max="3881" width="10.5714285714286" customWidth="1"/>
    <col min="3883" max="3883" width="10.5714285714286" customWidth="1"/>
    <col min="3886" max="3886" width="10.2857142857143" customWidth="1"/>
    <col min="3887" max="3887" width="9.28571428571429" customWidth="1"/>
    <col min="3888" max="3888" width="10.2857142857143" customWidth="1"/>
    <col min="4097" max="4097" width="13.7142857142857" customWidth="1"/>
    <col min="4098" max="4099" width="9.85714285714286" customWidth="1"/>
    <col min="4100" max="4100" width="10" customWidth="1"/>
    <col min="4101" max="4102" width="9.28571428571429" customWidth="1"/>
    <col min="4103" max="4103" width="4" customWidth="1"/>
    <col min="4104" max="4105" width="9.28571428571429" customWidth="1"/>
    <col min="4106" max="4106" width="4.71428571428571" customWidth="1"/>
    <col min="4107" max="4108" width="9.28571428571429" customWidth="1"/>
    <col min="4109" max="4109" width="10" customWidth="1"/>
    <col min="4110" max="4111" width="9.28571428571429" customWidth="1"/>
    <col min="4112" max="4112" width="10" customWidth="1"/>
    <col min="4113" max="4114" width="9.28571428571429" customWidth="1"/>
    <col min="4115" max="4115" width="4.71428571428571" customWidth="1"/>
    <col min="4116" max="4117" width="9.28571428571429" customWidth="1"/>
    <col min="4118" max="4118" width="8.71428571428571" customWidth="1"/>
    <col min="4119" max="4120" width="9.28571428571429" customWidth="1"/>
    <col min="4121" max="4121" width="7" customWidth="1"/>
    <col min="4122" max="4123" width="9.28571428571429" customWidth="1"/>
    <col min="4124" max="4124" width="4.71428571428571" customWidth="1"/>
    <col min="4125" max="4125" width="9.28571428571429" customWidth="1"/>
    <col min="4126" max="4126" width="10.2857142857143" customWidth="1"/>
    <col min="4127" max="4127" width="9.14285714285714" customWidth="1"/>
    <col min="4128" max="4129" width="9.28571428571429" customWidth="1"/>
    <col min="4130" max="4130" width="4.71428571428571" customWidth="1"/>
    <col min="4131" max="4132" width="9.28571428571429" customWidth="1"/>
    <col min="4133" max="4133" width="4.71428571428571" customWidth="1"/>
    <col min="4134" max="4135" width="9.28571428571429" customWidth="1"/>
    <col min="4136" max="4136" width="4" customWidth="1"/>
    <col min="4137" max="4137" width="10.5714285714286" customWidth="1"/>
    <col min="4139" max="4139" width="10.5714285714286" customWidth="1"/>
    <col min="4142" max="4142" width="10.2857142857143" customWidth="1"/>
    <col min="4143" max="4143" width="9.28571428571429" customWidth="1"/>
    <col min="4144" max="4144" width="10.2857142857143" customWidth="1"/>
    <col min="4353" max="4353" width="13.7142857142857" customWidth="1"/>
    <col min="4354" max="4355" width="9.85714285714286" customWidth="1"/>
    <col min="4356" max="4356" width="10" customWidth="1"/>
    <col min="4357" max="4358" width="9.28571428571429" customWidth="1"/>
    <col min="4359" max="4359" width="4" customWidth="1"/>
    <col min="4360" max="4361" width="9.28571428571429" customWidth="1"/>
    <col min="4362" max="4362" width="4.71428571428571" customWidth="1"/>
    <col min="4363" max="4364" width="9.28571428571429" customWidth="1"/>
    <col min="4365" max="4365" width="10" customWidth="1"/>
    <col min="4366" max="4367" width="9.28571428571429" customWidth="1"/>
    <col min="4368" max="4368" width="10" customWidth="1"/>
    <col min="4369" max="4370" width="9.28571428571429" customWidth="1"/>
    <col min="4371" max="4371" width="4.71428571428571" customWidth="1"/>
    <col min="4372" max="4373" width="9.28571428571429" customWidth="1"/>
    <col min="4374" max="4374" width="8.71428571428571" customWidth="1"/>
    <col min="4375" max="4376" width="9.28571428571429" customWidth="1"/>
    <col min="4377" max="4377" width="7" customWidth="1"/>
    <col min="4378" max="4379" width="9.28571428571429" customWidth="1"/>
    <col min="4380" max="4380" width="4.71428571428571" customWidth="1"/>
    <col min="4381" max="4381" width="9.28571428571429" customWidth="1"/>
    <col min="4382" max="4382" width="10.2857142857143" customWidth="1"/>
    <col min="4383" max="4383" width="9.14285714285714" customWidth="1"/>
    <col min="4384" max="4385" width="9.28571428571429" customWidth="1"/>
    <col min="4386" max="4386" width="4.71428571428571" customWidth="1"/>
    <col min="4387" max="4388" width="9.28571428571429" customWidth="1"/>
    <col min="4389" max="4389" width="4.71428571428571" customWidth="1"/>
    <col min="4390" max="4391" width="9.28571428571429" customWidth="1"/>
    <col min="4392" max="4392" width="4" customWidth="1"/>
    <col min="4393" max="4393" width="10.5714285714286" customWidth="1"/>
    <col min="4395" max="4395" width="10.5714285714286" customWidth="1"/>
    <col min="4398" max="4398" width="10.2857142857143" customWidth="1"/>
    <col min="4399" max="4399" width="9.28571428571429" customWidth="1"/>
    <col min="4400" max="4400" width="10.2857142857143" customWidth="1"/>
    <col min="4609" max="4609" width="13.7142857142857" customWidth="1"/>
    <col min="4610" max="4611" width="9.85714285714286" customWidth="1"/>
    <col min="4612" max="4612" width="10" customWidth="1"/>
    <col min="4613" max="4614" width="9.28571428571429" customWidth="1"/>
    <col min="4615" max="4615" width="4" customWidth="1"/>
    <col min="4616" max="4617" width="9.28571428571429" customWidth="1"/>
    <col min="4618" max="4618" width="4.71428571428571" customWidth="1"/>
    <col min="4619" max="4620" width="9.28571428571429" customWidth="1"/>
    <col min="4621" max="4621" width="10" customWidth="1"/>
    <col min="4622" max="4623" width="9.28571428571429" customWidth="1"/>
    <col min="4624" max="4624" width="10" customWidth="1"/>
    <col min="4625" max="4626" width="9.28571428571429" customWidth="1"/>
    <col min="4627" max="4627" width="4.71428571428571" customWidth="1"/>
    <col min="4628" max="4629" width="9.28571428571429" customWidth="1"/>
    <col min="4630" max="4630" width="8.71428571428571" customWidth="1"/>
    <col min="4631" max="4632" width="9.28571428571429" customWidth="1"/>
    <col min="4633" max="4633" width="7" customWidth="1"/>
    <col min="4634" max="4635" width="9.28571428571429" customWidth="1"/>
    <col min="4636" max="4636" width="4.71428571428571" customWidth="1"/>
    <col min="4637" max="4637" width="9.28571428571429" customWidth="1"/>
    <col min="4638" max="4638" width="10.2857142857143" customWidth="1"/>
    <col min="4639" max="4639" width="9.14285714285714" customWidth="1"/>
    <col min="4640" max="4641" width="9.28571428571429" customWidth="1"/>
    <col min="4642" max="4642" width="4.71428571428571" customWidth="1"/>
    <col min="4643" max="4644" width="9.28571428571429" customWidth="1"/>
    <col min="4645" max="4645" width="4.71428571428571" customWidth="1"/>
    <col min="4646" max="4647" width="9.28571428571429" customWidth="1"/>
    <col min="4648" max="4648" width="4" customWidth="1"/>
    <col min="4649" max="4649" width="10.5714285714286" customWidth="1"/>
    <col min="4651" max="4651" width="10.5714285714286" customWidth="1"/>
    <col min="4654" max="4654" width="10.2857142857143" customWidth="1"/>
    <col min="4655" max="4655" width="9.28571428571429" customWidth="1"/>
    <col min="4656" max="4656" width="10.2857142857143" customWidth="1"/>
    <col min="4865" max="4865" width="13.7142857142857" customWidth="1"/>
    <col min="4866" max="4867" width="9.85714285714286" customWidth="1"/>
    <col min="4868" max="4868" width="10" customWidth="1"/>
    <col min="4869" max="4870" width="9.28571428571429" customWidth="1"/>
    <col min="4871" max="4871" width="4" customWidth="1"/>
    <col min="4872" max="4873" width="9.28571428571429" customWidth="1"/>
    <col min="4874" max="4874" width="4.71428571428571" customWidth="1"/>
    <col min="4875" max="4876" width="9.28571428571429" customWidth="1"/>
    <col min="4877" max="4877" width="10" customWidth="1"/>
    <col min="4878" max="4879" width="9.28571428571429" customWidth="1"/>
    <col min="4880" max="4880" width="10" customWidth="1"/>
    <col min="4881" max="4882" width="9.28571428571429" customWidth="1"/>
    <col min="4883" max="4883" width="4.71428571428571" customWidth="1"/>
    <col min="4884" max="4885" width="9.28571428571429" customWidth="1"/>
    <col min="4886" max="4886" width="8.71428571428571" customWidth="1"/>
    <col min="4887" max="4888" width="9.28571428571429" customWidth="1"/>
    <col min="4889" max="4889" width="7" customWidth="1"/>
    <col min="4890" max="4891" width="9.28571428571429" customWidth="1"/>
    <col min="4892" max="4892" width="4.71428571428571" customWidth="1"/>
    <col min="4893" max="4893" width="9.28571428571429" customWidth="1"/>
    <col min="4894" max="4894" width="10.2857142857143" customWidth="1"/>
    <col min="4895" max="4895" width="9.14285714285714" customWidth="1"/>
    <col min="4896" max="4897" width="9.28571428571429" customWidth="1"/>
    <col min="4898" max="4898" width="4.71428571428571" customWidth="1"/>
    <col min="4899" max="4900" width="9.28571428571429" customWidth="1"/>
    <col min="4901" max="4901" width="4.71428571428571" customWidth="1"/>
    <col min="4902" max="4903" width="9.28571428571429" customWidth="1"/>
    <col min="4904" max="4904" width="4" customWidth="1"/>
    <col min="4905" max="4905" width="10.5714285714286" customWidth="1"/>
    <col min="4907" max="4907" width="10.5714285714286" customWidth="1"/>
    <col min="4910" max="4910" width="10.2857142857143" customWidth="1"/>
    <col min="4911" max="4911" width="9.28571428571429" customWidth="1"/>
    <col min="4912" max="4912" width="10.2857142857143" customWidth="1"/>
    <col min="5121" max="5121" width="13.7142857142857" customWidth="1"/>
    <col min="5122" max="5123" width="9.85714285714286" customWidth="1"/>
    <col min="5124" max="5124" width="10" customWidth="1"/>
    <col min="5125" max="5126" width="9.28571428571429" customWidth="1"/>
    <col min="5127" max="5127" width="4" customWidth="1"/>
    <col min="5128" max="5129" width="9.28571428571429" customWidth="1"/>
    <col min="5130" max="5130" width="4.71428571428571" customWidth="1"/>
    <col min="5131" max="5132" width="9.28571428571429" customWidth="1"/>
    <col min="5133" max="5133" width="10" customWidth="1"/>
    <col min="5134" max="5135" width="9.28571428571429" customWidth="1"/>
    <col min="5136" max="5136" width="10" customWidth="1"/>
    <col min="5137" max="5138" width="9.28571428571429" customWidth="1"/>
    <col min="5139" max="5139" width="4.71428571428571" customWidth="1"/>
    <col min="5140" max="5141" width="9.28571428571429" customWidth="1"/>
    <col min="5142" max="5142" width="8.71428571428571" customWidth="1"/>
    <col min="5143" max="5144" width="9.28571428571429" customWidth="1"/>
    <col min="5145" max="5145" width="7" customWidth="1"/>
    <col min="5146" max="5147" width="9.28571428571429" customWidth="1"/>
    <col min="5148" max="5148" width="4.71428571428571" customWidth="1"/>
    <col min="5149" max="5149" width="9.28571428571429" customWidth="1"/>
    <col min="5150" max="5150" width="10.2857142857143" customWidth="1"/>
    <col min="5151" max="5151" width="9.14285714285714" customWidth="1"/>
    <col min="5152" max="5153" width="9.28571428571429" customWidth="1"/>
    <col min="5154" max="5154" width="4.71428571428571" customWidth="1"/>
    <col min="5155" max="5156" width="9.28571428571429" customWidth="1"/>
    <col min="5157" max="5157" width="4.71428571428571" customWidth="1"/>
    <col min="5158" max="5159" width="9.28571428571429" customWidth="1"/>
    <col min="5160" max="5160" width="4" customWidth="1"/>
    <col min="5161" max="5161" width="10.5714285714286" customWidth="1"/>
    <col min="5163" max="5163" width="10.5714285714286" customWidth="1"/>
    <col min="5166" max="5166" width="10.2857142857143" customWidth="1"/>
    <col min="5167" max="5167" width="9.28571428571429" customWidth="1"/>
    <col min="5168" max="5168" width="10.2857142857143" customWidth="1"/>
    <col min="5377" max="5377" width="13.7142857142857" customWidth="1"/>
    <col min="5378" max="5379" width="9.85714285714286" customWidth="1"/>
    <col min="5380" max="5380" width="10" customWidth="1"/>
    <col min="5381" max="5382" width="9.28571428571429" customWidth="1"/>
    <col min="5383" max="5383" width="4" customWidth="1"/>
    <col min="5384" max="5385" width="9.28571428571429" customWidth="1"/>
    <col min="5386" max="5386" width="4.71428571428571" customWidth="1"/>
    <col min="5387" max="5388" width="9.28571428571429" customWidth="1"/>
    <col min="5389" max="5389" width="10" customWidth="1"/>
    <col min="5390" max="5391" width="9.28571428571429" customWidth="1"/>
    <col min="5392" max="5392" width="10" customWidth="1"/>
    <col min="5393" max="5394" width="9.28571428571429" customWidth="1"/>
    <col min="5395" max="5395" width="4.71428571428571" customWidth="1"/>
    <col min="5396" max="5397" width="9.28571428571429" customWidth="1"/>
    <col min="5398" max="5398" width="8.71428571428571" customWidth="1"/>
    <col min="5399" max="5400" width="9.28571428571429" customWidth="1"/>
    <col min="5401" max="5401" width="7" customWidth="1"/>
    <col min="5402" max="5403" width="9.28571428571429" customWidth="1"/>
    <col min="5404" max="5404" width="4.71428571428571" customWidth="1"/>
    <col min="5405" max="5405" width="9.28571428571429" customWidth="1"/>
    <col min="5406" max="5406" width="10.2857142857143" customWidth="1"/>
    <col min="5407" max="5407" width="9.14285714285714" customWidth="1"/>
    <col min="5408" max="5409" width="9.28571428571429" customWidth="1"/>
    <col min="5410" max="5410" width="4.71428571428571" customWidth="1"/>
    <col min="5411" max="5412" width="9.28571428571429" customWidth="1"/>
    <col min="5413" max="5413" width="4.71428571428571" customWidth="1"/>
    <col min="5414" max="5415" width="9.28571428571429" customWidth="1"/>
    <col min="5416" max="5416" width="4" customWidth="1"/>
    <col min="5417" max="5417" width="10.5714285714286" customWidth="1"/>
    <col min="5419" max="5419" width="10.5714285714286" customWidth="1"/>
    <col min="5422" max="5422" width="10.2857142857143" customWidth="1"/>
    <col min="5423" max="5423" width="9.28571428571429" customWidth="1"/>
    <col min="5424" max="5424" width="10.2857142857143" customWidth="1"/>
    <col min="5633" max="5633" width="13.7142857142857" customWidth="1"/>
    <col min="5634" max="5635" width="9.85714285714286" customWidth="1"/>
    <col min="5636" max="5636" width="10" customWidth="1"/>
    <col min="5637" max="5638" width="9.28571428571429" customWidth="1"/>
    <col min="5639" max="5639" width="4" customWidth="1"/>
    <col min="5640" max="5641" width="9.28571428571429" customWidth="1"/>
    <col min="5642" max="5642" width="4.71428571428571" customWidth="1"/>
    <col min="5643" max="5644" width="9.28571428571429" customWidth="1"/>
    <col min="5645" max="5645" width="10" customWidth="1"/>
    <col min="5646" max="5647" width="9.28571428571429" customWidth="1"/>
    <col min="5648" max="5648" width="10" customWidth="1"/>
    <col min="5649" max="5650" width="9.28571428571429" customWidth="1"/>
    <col min="5651" max="5651" width="4.71428571428571" customWidth="1"/>
    <col min="5652" max="5653" width="9.28571428571429" customWidth="1"/>
    <col min="5654" max="5654" width="8.71428571428571" customWidth="1"/>
    <col min="5655" max="5656" width="9.28571428571429" customWidth="1"/>
    <col min="5657" max="5657" width="7" customWidth="1"/>
    <col min="5658" max="5659" width="9.28571428571429" customWidth="1"/>
    <col min="5660" max="5660" width="4.71428571428571" customWidth="1"/>
    <col min="5661" max="5661" width="9.28571428571429" customWidth="1"/>
    <col min="5662" max="5662" width="10.2857142857143" customWidth="1"/>
    <col min="5663" max="5663" width="9.14285714285714" customWidth="1"/>
    <col min="5664" max="5665" width="9.28571428571429" customWidth="1"/>
    <col min="5666" max="5666" width="4.71428571428571" customWidth="1"/>
    <col min="5667" max="5668" width="9.28571428571429" customWidth="1"/>
    <col min="5669" max="5669" width="4.71428571428571" customWidth="1"/>
    <col min="5670" max="5671" width="9.28571428571429" customWidth="1"/>
    <col min="5672" max="5672" width="4" customWidth="1"/>
    <col min="5673" max="5673" width="10.5714285714286" customWidth="1"/>
    <col min="5675" max="5675" width="10.5714285714286" customWidth="1"/>
    <col min="5678" max="5678" width="10.2857142857143" customWidth="1"/>
    <col min="5679" max="5679" width="9.28571428571429" customWidth="1"/>
    <col min="5680" max="5680" width="10.2857142857143" customWidth="1"/>
    <col min="5889" max="5889" width="13.7142857142857" customWidth="1"/>
    <col min="5890" max="5891" width="9.85714285714286" customWidth="1"/>
    <col min="5892" max="5892" width="10" customWidth="1"/>
    <col min="5893" max="5894" width="9.28571428571429" customWidth="1"/>
    <col min="5895" max="5895" width="4" customWidth="1"/>
    <col min="5896" max="5897" width="9.28571428571429" customWidth="1"/>
    <col min="5898" max="5898" width="4.71428571428571" customWidth="1"/>
    <col min="5899" max="5900" width="9.28571428571429" customWidth="1"/>
    <col min="5901" max="5901" width="10" customWidth="1"/>
    <col min="5902" max="5903" width="9.28571428571429" customWidth="1"/>
    <col min="5904" max="5904" width="10" customWidth="1"/>
    <col min="5905" max="5906" width="9.28571428571429" customWidth="1"/>
    <col min="5907" max="5907" width="4.71428571428571" customWidth="1"/>
    <col min="5908" max="5909" width="9.28571428571429" customWidth="1"/>
    <col min="5910" max="5910" width="8.71428571428571" customWidth="1"/>
    <col min="5911" max="5912" width="9.28571428571429" customWidth="1"/>
    <col min="5913" max="5913" width="7" customWidth="1"/>
    <col min="5914" max="5915" width="9.28571428571429" customWidth="1"/>
    <col min="5916" max="5916" width="4.71428571428571" customWidth="1"/>
    <col min="5917" max="5917" width="9.28571428571429" customWidth="1"/>
    <col min="5918" max="5918" width="10.2857142857143" customWidth="1"/>
    <col min="5919" max="5919" width="9.14285714285714" customWidth="1"/>
    <col min="5920" max="5921" width="9.28571428571429" customWidth="1"/>
    <col min="5922" max="5922" width="4.71428571428571" customWidth="1"/>
    <col min="5923" max="5924" width="9.28571428571429" customWidth="1"/>
    <col min="5925" max="5925" width="4.71428571428571" customWidth="1"/>
    <col min="5926" max="5927" width="9.28571428571429" customWidth="1"/>
    <col min="5928" max="5928" width="4" customWidth="1"/>
    <col min="5929" max="5929" width="10.5714285714286" customWidth="1"/>
    <col min="5931" max="5931" width="10.5714285714286" customWidth="1"/>
    <col min="5934" max="5934" width="10.2857142857143" customWidth="1"/>
    <col min="5935" max="5935" width="9.28571428571429" customWidth="1"/>
    <col min="5936" max="5936" width="10.2857142857143" customWidth="1"/>
    <col min="6145" max="6145" width="13.7142857142857" customWidth="1"/>
    <col min="6146" max="6147" width="9.85714285714286" customWidth="1"/>
    <col min="6148" max="6148" width="10" customWidth="1"/>
    <col min="6149" max="6150" width="9.28571428571429" customWidth="1"/>
    <col min="6151" max="6151" width="4" customWidth="1"/>
    <col min="6152" max="6153" width="9.28571428571429" customWidth="1"/>
    <col min="6154" max="6154" width="4.71428571428571" customWidth="1"/>
    <col min="6155" max="6156" width="9.28571428571429" customWidth="1"/>
    <col min="6157" max="6157" width="10" customWidth="1"/>
    <col min="6158" max="6159" width="9.28571428571429" customWidth="1"/>
    <col min="6160" max="6160" width="10" customWidth="1"/>
    <col min="6161" max="6162" width="9.28571428571429" customWidth="1"/>
    <col min="6163" max="6163" width="4.71428571428571" customWidth="1"/>
    <col min="6164" max="6165" width="9.28571428571429" customWidth="1"/>
    <col min="6166" max="6166" width="8.71428571428571" customWidth="1"/>
    <col min="6167" max="6168" width="9.28571428571429" customWidth="1"/>
    <col min="6169" max="6169" width="7" customWidth="1"/>
    <col min="6170" max="6171" width="9.28571428571429" customWidth="1"/>
    <col min="6172" max="6172" width="4.71428571428571" customWidth="1"/>
    <col min="6173" max="6173" width="9.28571428571429" customWidth="1"/>
    <col min="6174" max="6174" width="10.2857142857143" customWidth="1"/>
    <col min="6175" max="6175" width="9.14285714285714" customWidth="1"/>
    <col min="6176" max="6177" width="9.28571428571429" customWidth="1"/>
    <col min="6178" max="6178" width="4.71428571428571" customWidth="1"/>
    <col min="6179" max="6180" width="9.28571428571429" customWidth="1"/>
    <col min="6181" max="6181" width="4.71428571428571" customWidth="1"/>
    <col min="6182" max="6183" width="9.28571428571429" customWidth="1"/>
    <col min="6184" max="6184" width="4" customWidth="1"/>
    <col min="6185" max="6185" width="10.5714285714286" customWidth="1"/>
    <col min="6187" max="6187" width="10.5714285714286" customWidth="1"/>
    <col min="6190" max="6190" width="10.2857142857143" customWidth="1"/>
    <col min="6191" max="6191" width="9.28571428571429" customWidth="1"/>
    <col min="6192" max="6192" width="10.2857142857143" customWidth="1"/>
    <col min="6401" max="6401" width="13.7142857142857" customWidth="1"/>
    <col min="6402" max="6403" width="9.85714285714286" customWidth="1"/>
    <col min="6404" max="6404" width="10" customWidth="1"/>
    <col min="6405" max="6406" width="9.28571428571429" customWidth="1"/>
    <col min="6407" max="6407" width="4" customWidth="1"/>
    <col min="6408" max="6409" width="9.28571428571429" customWidth="1"/>
    <col min="6410" max="6410" width="4.71428571428571" customWidth="1"/>
    <col min="6411" max="6412" width="9.28571428571429" customWidth="1"/>
    <col min="6413" max="6413" width="10" customWidth="1"/>
    <col min="6414" max="6415" width="9.28571428571429" customWidth="1"/>
    <col min="6416" max="6416" width="10" customWidth="1"/>
    <col min="6417" max="6418" width="9.28571428571429" customWidth="1"/>
    <col min="6419" max="6419" width="4.71428571428571" customWidth="1"/>
    <col min="6420" max="6421" width="9.28571428571429" customWidth="1"/>
    <col min="6422" max="6422" width="8.71428571428571" customWidth="1"/>
    <col min="6423" max="6424" width="9.28571428571429" customWidth="1"/>
    <col min="6425" max="6425" width="7" customWidth="1"/>
    <col min="6426" max="6427" width="9.28571428571429" customWidth="1"/>
    <col min="6428" max="6428" width="4.71428571428571" customWidth="1"/>
    <col min="6429" max="6429" width="9.28571428571429" customWidth="1"/>
    <col min="6430" max="6430" width="10.2857142857143" customWidth="1"/>
    <col min="6431" max="6431" width="9.14285714285714" customWidth="1"/>
    <col min="6432" max="6433" width="9.28571428571429" customWidth="1"/>
    <col min="6434" max="6434" width="4.71428571428571" customWidth="1"/>
    <col min="6435" max="6436" width="9.28571428571429" customWidth="1"/>
    <col min="6437" max="6437" width="4.71428571428571" customWidth="1"/>
    <col min="6438" max="6439" width="9.28571428571429" customWidth="1"/>
    <col min="6440" max="6440" width="4" customWidth="1"/>
    <col min="6441" max="6441" width="10.5714285714286" customWidth="1"/>
    <col min="6443" max="6443" width="10.5714285714286" customWidth="1"/>
    <col min="6446" max="6446" width="10.2857142857143" customWidth="1"/>
    <col min="6447" max="6447" width="9.28571428571429" customWidth="1"/>
    <col min="6448" max="6448" width="10.2857142857143" customWidth="1"/>
    <col min="6657" max="6657" width="13.7142857142857" customWidth="1"/>
    <col min="6658" max="6659" width="9.85714285714286" customWidth="1"/>
    <col min="6660" max="6660" width="10" customWidth="1"/>
    <col min="6661" max="6662" width="9.28571428571429" customWidth="1"/>
    <col min="6663" max="6663" width="4" customWidth="1"/>
    <col min="6664" max="6665" width="9.28571428571429" customWidth="1"/>
    <col min="6666" max="6666" width="4.71428571428571" customWidth="1"/>
    <col min="6667" max="6668" width="9.28571428571429" customWidth="1"/>
    <col min="6669" max="6669" width="10" customWidth="1"/>
    <col min="6670" max="6671" width="9.28571428571429" customWidth="1"/>
    <col min="6672" max="6672" width="10" customWidth="1"/>
    <col min="6673" max="6674" width="9.28571428571429" customWidth="1"/>
    <col min="6675" max="6675" width="4.71428571428571" customWidth="1"/>
    <col min="6676" max="6677" width="9.28571428571429" customWidth="1"/>
    <col min="6678" max="6678" width="8.71428571428571" customWidth="1"/>
    <col min="6679" max="6680" width="9.28571428571429" customWidth="1"/>
    <col min="6681" max="6681" width="7" customWidth="1"/>
    <col min="6682" max="6683" width="9.28571428571429" customWidth="1"/>
    <col min="6684" max="6684" width="4.71428571428571" customWidth="1"/>
    <col min="6685" max="6685" width="9.28571428571429" customWidth="1"/>
    <col min="6686" max="6686" width="10.2857142857143" customWidth="1"/>
    <col min="6687" max="6687" width="9.14285714285714" customWidth="1"/>
    <col min="6688" max="6689" width="9.28571428571429" customWidth="1"/>
    <col min="6690" max="6690" width="4.71428571428571" customWidth="1"/>
    <col min="6691" max="6692" width="9.28571428571429" customWidth="1"/>
    <col min="6693" max="6693" width="4.71428571428571" customWidth="1"/>
    <col min="6694" max="6695" width="9.28571428571429" customWidth="1"/>
    <col min="6696" max="6696" width="4" customWidth="1"/>
    <col min="6697" max="6697" width="10.5714285714286" customWidth="1"/>
    <col min="6699" max="6699" width="10.5714285714286" customWidth="1"/>
    <col min="6702" max="6702" width="10.2857142857143" customWidth="1"/>
    <col min="6703" max="6703" width="9.28571428571429" customWidth="1"/>
    <col min="6704" max="6704" width="10.2857142857143" customWidth="1"/>
    <col min="6913" max="6913" width="13.7142857142857" customWidth="1"/>
    <col min="6914" max="6915" width="9.85714285714286" customWidth="1"/>
    <col min="6916" max="6916" width="10" customWidth="1"/>
    <col min="6917" max="6918" width="9.28571428571429" customWidth="1"/>
    <col min="6919" max="6919" width="4" customWidth="1"/>
    <col min="6920" max="6921" width="9.28571428571429" customWidth="1"/>
    <col min="6922" max="6922" width="4.71428571428571" customWidth="1"/>
    <col min="6923" max="6924" width="9.28571428571429" customWidth="1"/>
    <col min="6925" max="6925" width="10" customWidth="1"/>
    <col min="6926" max="6927" width="9.28571428571429" customWidth="1"/>
    <col min="6928" max="6928" width="10" customWidth="1"/>
    <col min="6929" max="6930" width="9.28571428571429" customWidth="1"/>
    <col min="6931" max="6931" width="4.71428571428571" customWidth="1"/>
    <col min="6932" max="6933" width="9.28571428571429" customWidth="1"/>
    <col min="6934" max="6934" width="8.71428571428571" customWidth="1"/>
    <col min="6935" max="6936" width="9.28571428571429" customWidth="1"/>
    <col min="6937" max="6937" width="7" customWidth="1"/>
    <col min="6938" max="6939" width="9.28571428571429" customWidth="1"/>
    <col min="6940" max="6940" width="4.71428571428571" customWidth="1"/>
    <col min="6941" max="6941" width="9.28571428571429" customWidth="1"/>
    <col min="6942" max="6942" width="10.2857142857143" customWidth="1"/>
    <col min="6943" max="6943" width="9.14285714285714" customWidth="1"/>
    <col min="6944" max="6945" width="9.28571428571429" customWidth="1"/>
    <col min="6946" max="6946" width="4.71428571428571" customWidth="1"/>
    <col min="6947" max="6948" width="9.28571428571429" customWidth="1"/>
    <col min="6949" max="6949" width="4.71428571428571" customWidth="1"/>
    <col min="6950" max="6951" width="9.28571428571429" customWidth="1"/>
    <col min="6952" max="6952" width="4" customWidth="1"/>
    <col min="6953" max="6953" width="10.5714285714286" customWidth="1"/>
    <col min="6955" max="6955" width="10.5714285714286" customWidth="1"/>
    <col min="6958" max="6958" width="10.2857142857143" customWidth="1"/>
    <col min="6959" max="6959" width="9.28571428571429" customWidth="1"/>
    <col min="6960" max="6960" width="10.2857142857143" customWidth="1"/>
    <col min="7169" max="7169" width="13.7142857142857" customWidth="1"/>
    <col min="7170" max="7171" width="9.85714285714286" customWidth="1"/>
    <col min="7172" max="7172" width="10" customWidth="1"/>
    <col min="7173" max="7174" width="9.28571428571429" customWidth="1"/>
    <col min="7175" max="7175" width="4" customWidth="1"/>
    <col min="7176" max="7177" width="9.28571428571429" customWidth="1"/>
    <col min="7178" max="7178" width="4.71428571428571" customWidth="1"/>
    <col min="7179" max="7180" width="9.28571428571429" customWidth="1"/>
    <col min="7181" max="7181" width="10" customWidth="1"/>
    <col min="7182" max="7183" width="9.28571428571429" customWidth="1"/>
    <col min="7184" max="7184" width="10" customWidth="1"/>
    <col min="7185" max="7186" width="9.28571428571429" customWidth="1"/>
    <col min="7187" max="7187" width="4.71428571428571" customWidth="1"/>
    <col min="7188" max="7189" width="9.28571428571429" customWidth="1"/>
    <col min="7190" max="7190" width="8.71428571428571" customWidth="1"/>
    <col min="7191" max="7192" width="9.28571428571429" customWidth="1"/>
    <col min="7193" max="7193" width="7" customWidth="1"/>
    <col min="7194" max="7195" width="9.28571428571429" customWidth="1"/>
    <col min="7196" max="7196" width="4.71428571428571" customWidth="1"/>
    <col min="7197" max="7197" width="9.28571428571429" customWidth="1"/>
    <col min="7198" max="7198" width="10.2857142857143" customWidth="1"/>
    <col min="7199" max="7199" width="9.14285714285714" customWidth="1"/>
    <col min="7200" max="7201" width="9.28571428571429" customWidth="1"/>
    <col min="7202" max="7202" width="4.71428571428571" customWidth="1"/>
    <col min="7203" max="7204" width="9.28571428571429" customWidth="1"/>
    <col min="7205" max="7205" width="4.71428571428571" customWidth="1"/>
    <col min="7206" max="7207" width="9.28571428571429" customWidth="1"/>
    <col min="7208" max="7208" width="4" customWidth="1"/>
    <col min="7209" max="7209" width="10.5714285714286" customWidth="1"/>
    <col min="7211" max="7211" width="10.5714285714286" customWidth="1"/>
    <col min="7214" max="7214" width="10.2857142857143" customWidth="1"/>
    <col min="7215" max="7215" width="9.28571428571429" customWidth="1"/>
    <col min="7216" max="7216" width="10.2857142857143" customWidth="1"/>
    <col min="7425" max="7425" width="13.7142857142857" customWidth="1"/>
    <col min="7426" max="7427" width="9.85714285714286" customWidth="1"/>
    <col min="7428" max="7428" width="10" customWidth="1"/>
    <col min="7429" max="7430" width="9.28571428571429" customWidth="1"/>
    <col min="7431" max="7431" width="4" customWidth="1"/>
    <col min="7432" max="7433" width="9.28571428571429" customWidth="1"/>
    <col min="7434" max="7434" width="4.71428571428571" customWidth="1"/>
    <col min="7435" max="7436" width="9.28571428571429" customWidth="1"/>
    <col min="7437" max="7437" width="10" customWidth="1"/>
    <col min="7438" max="7439" width="9.28571428571429" customWidth="1"/>
    <col min="7440" max="7440" width="10" customWidth="1"/>
    <col min="7441" max="7442" width="9.28571428571429" customWidth="1"/>
    <col min="7443" max="7443" width="4.71428571428571" customWidth="1"/>
    <col min="7444" max="7445" width="9.28571428571429" customWidth="1"/>
    <col min="7446" max="7446" width="8.71428571428571" customWidth="1"/>
    <col min="7447" max="7448" width="9.28571428571429" customWidth="1"/>
    <col min="7449" max="7449" width="7" customWidth="1"/>
    <col min="7450" max="7451" width="9.28571428571429" customWidth="1"/>
    <col min="7452" max="7452" width="4.71428571428571" customWidth="1"/>
    <col min="7453" max="7453" width="9.28571428571429" customWidth="1"/>
    <col min="7454" max="7454" width="10.2857142857143" customWidth="1"/>
    <col min="7455" max="7455" width="9.14285714285714" customWidth="1"/>
    <col min="7456" max="7457" width="9.28571428571429" customWidth="1"/>
    <col min="7458" max="7458" width="4.71428571428571" customWidth="1"/>
    <col min="7459" max="7460" width="9.28571428571429" customWidth="1"/>
    <col min="7461" max="7461" width="4.71428571428571" customWidth="1"/>
    <col min="7462" max="7463" width="9.28571428571429" customWidth="1"/>
    <col min="7464" max="7464" width="4" customWidth="1"/>
    <col min="7465" max="7465" width="10.5714285714286" customWidth="1"/>
    <col min="7467" max="7467" width="10.5714285714286" customWidth="1"/>
    <col min="7470" max="7470" width="10.2857142857143" customWidth="1"/>
    <col min="7471" max="7471" width="9.28571428571429" customWidth="1"/>
    <col min="7472" max="7472" width="10.2857142857143" customWidth="1"/>
    <col min="7681" max="7681" width="13.7142857142857" customWidth="1"/>
    <col min="7682" max="7683" width="9.85714285714286" customWidth="1"/>
    <col min="7684" max="7684" width="10" customWidth="1"/>
    <col min="7685" max="7686" width="9.28571428571429" customWidth="1"/>
    <col min="7687" max="7687" width="4" customWidth="1"/>
    <col min="7688" max="7689" width="9.28571428571429" customWidth="1"/>
    <col min="7690" max="7690" width="4.71428571428571" customWidth="1"/>
    <col min="7691" max="7692" width="9.28571428571429" customWidth="1"/>
    <col min="7693" max="7693" width="10" customWidth="1"/>
    <col min="7694" max="7695" width="9.28571428571429" customWidth="1"/>
    <col min="7696" max="7696" width="10" customWidth="1"/>
    <col min="7697" max="7698" width="9.28571428571429" customWidth="1"/>
    <col min="7699" max="7699" width="4.71428571428571" customWidth="1"/>
    <col min="7700" max="7701" width="9.28571428571429" customWidth="1"/>
    <col min="7702" max="7702" width="8.71428571428571" customWidth="1"/>
    <col min="7703" max="7704" width="9.28571428571429" customWidth="1"/>
    <col min="7705" max="7705" width="7" customWidth="1"/>
    <col min="7706" max="7707" width="9.28571428571429" customWidth="1"/>
    <col min="7708" max="7708" width="4.71428571428571" customWidth="1"/>
    <col min="7709" max="7709" width="9.28571428571429" customWidth="1"/>
    <col min="7710" max="7710" width="10.2857142857143" customWidth="1"/>
    <col min="7711" max="7711" width="9.14285714285714" customWidth="1"/>
    <col min="7712" max="7713" width="9.28571428571429" customWidth="1"/>
    <col min="7714" max="7714" width="4.71428571428571" customWidth="1"/>
    <col min="7715" max="7716" width="9.28571428571429" customWidth="1"/>
    <col min="7717" max="7717" width="4.71428571428571" customWidth="1"/>
    <col min="7718" max="7719" width="9.28571428571429" customWidth="1"/>
    <col min="7720" max="7720" width="4" customWidth="1"/>
    <col min="7721" max="7721" width="10.5714285714286" customWidth="1"/>
    <col min="7723" max="7723" width="10.5714285714286" customWidth="1"/>
    <col min="7726" max="7726" width="10.2857142857143" customWidth="1"/>
    <col min="7727" max="7727" width="9.28571428571429" customWidth="1"/>
    <col min="7728" max="7728" width="10.2857142857143" customWidth="1"/>
    <col min="7937" max="7937" width="13.7142857142857" customWidth="1"/>
    <col min="7938" max="7939" width="9.85714285714286" customWidth="1"/>
    <col min="7940" max="7940" width="10" customWidth="1"/>
    <col min="7941" max="7942" width="9.28571428571429" customWidth="1"/>
    <col min="7943" max="7943" width="4" customWidth="1"/>
    <col min="7944" max="7945" width="9.28571428571429" customWidth="1"/>
    <col min="7946" max="7946" width="4.71428571428571" customWidth="1"/>
    <col min="7947" max="7948" width="9.28571428571429" customWidth="1"/>
    <col min="7949" max="7949" width="10" customWidth="1"/>
    <col min="7950" max="7951" width="9.28571428571429" customWidth="1"/>
    <col min="7952" max="7952" width="10" customWidth="1"/>
    <col min="7953" max="7954" width="9.28571428571429" customWidth="1"/>
    <col min="7955" max="7955" width="4.71428571428571" customWidth="1"/>
    <col min="7956" max="7957" width="9.28571428571429" customWidth="1"/>
    <col min="7958" max="7958" width="8.71428571428571" customWidth="1"/>
    <col min="7959" max="7960" width="9.28571428571429" customWidth="1"/>
    <col min="7961" max="7961" width="7" customWidth="1"/>
    <col min="7962" max="7963" width="9.28571428571429" customWidth="1"/>
    <col min="7964" max="7964" width="4.71428571428571" customWidth="1"/>
    <col min="7965" max="7965" width="9.28571428571429" customWidth="1"/>
    <col min="7966" max="7966" width="10.2857142857143" customWidth="1"/>
    <col min="7967" max="7967" width="9.14285714285714" customWidth="1"/>
    <col min="7968" max="7969" width="9.28571428571429" customWidth="1"/>
    <col min="7970" max="7970" width="4.71428571428571" customWidth="1"/>
    <col min="7971" max="7972" width="9.28571428571429" customWidth="1"/>
    <col min="7973" max="7973" width="4.71428571428571" customWidth="1"/>
    <col min="7974" max="7975" width="9.28571428571429" customWidth="1"/>
    <col min="7976" max="7976" width="4" customWidth="1"/>
    <col min="7977" max="7977" width="10.5714285714286" customWidth="1"/>
    <col min="7979" max="7979" width="10.5714285714286" customWidth="1"/>
    <col min="7982" max="7982" width="10.2857142857143" customWidth="1"/>
    <col min="7983" max="7983" width="9.28571428571429" customWidth="1"/>
    <col min="7984" max="7984" width="10.2857142857143" customWidth="1"/>
    <col min="8193" max="8193" width="13.7142857142857" customWidth="1"/>
    <col min="8194" max="8195" width="9.85714285714286" customWidth="1"/>
    <col min="8196" max="8196" width="10" customWidth="1"/>
    <col min="8197" max="8198" width="9.28571428571429" customWidth="1"/>
    <col min="8199" max="8199" width="4" customWidth="1"/>
    <col min="8200" max="8201" width="9.28571428571429" customWidth="1"/>
    <col min="8202" max="8202" width="4.71428571428571" customWidth="1"/>
    <col min="8203" max="8204" width="9.28571428571429" customWidth="1"/>
    <col min="8205" max="8205" width="10" customWidth="1"/>
    <col min="8206" max="8207" width="9.28571428571429" customWidth="1"/>
    <col min="8208" max="8208" width="10" customWidth="1"/>
    <col min="8209" max="8210" width="9.28571428571429" customWidth="1"/>
    <col min="8211" max="8211" width="4.71428571428571" customWidth="1"/>
    <col min="8212" max="8213" width="9.28571428571429" customWidth="1"/>
    <col min="8214" max="8214" width="8.71428571428571" customWidth="1"/>
    <col min="8215" max="8216" width="9.28571428571429" customWidth="1"/>
    <col min="8217" max="8217" width="7" customWidth="1"/>
    <col min="8218" max="8219" width="9.28571428571429" customWidth="1"/>
    <col min="8220" max="8220" width="4.71428571428571" customWidth="1"/>
    <col min="8221" max="8221" width="9.28571428571429" customWidth="1"/>
    <col min="8222" max="8222" width="10.2857142857143" customWidth="1"/>
    <col min="8223" max="8223" width="9.14285714285714" customWidth="1"/>
    <col min="8224" max="8225" width="9.28571428571429" customWidth="1"/>
    <col min="8226" max="8226" width="4.71428571428571" customWidth="1"/>
    <col min="8227" max="8228" width="9.28571428571429" customWidth="1"/>
    <col min="8229" max="8229" width="4.71428571428571" customWidth="1"/>
    <col min="8230" max="8231" width="9.28571428571429" customWidth="1"/>
    <col min="8232" max="8232" width="4" customWidth="1"/>
    <col min="8233" max="8233" width="10.5714285714286" customWidth="1"/>
    <col min="8235" max="8235" width="10.5714285714286" customWidth="1"/>
    <col min="8238" max="8238" width="10.2857142857143" customWidth="1"/>
    <col min="8239" max="8239" width="9.28571428571429" customWidth="1"/>
    <col min="8240" max="8240" width="10.2857142857143" customWidth="1"/>
    <col min="8449" max="8449" width="13.7142857142857" customWidth="1"/>
    <col min="8450" max="8451" width="9.85714285714286" customWidth="1"/>
    <col min="8452" max="8452" width="10" customWidth="1"/>
    <col min="8453" max="8454" width="9.28571428571429" customWidth="1"/>
    <col min="8455" max="8455" width="4" customWidth="1"/>
    <col min="8456" max="8457" width="9.28571428571429" customWidth="1"/>
    <col min="8458" max="8458" width="4.71428571428571" customWidth="1"/>
    <col min="8459" max="8460" width="9.28571428571429" customWidth="1"/>
    <col min="8461" max="8461" width="10" customWidth="1"/>
    <col min="8462" max="8463" width="9.28571428571429" customWidth="1"/>
    <col min="8464" max="8464" width="10" customWidth="1"/>
    <col min="8465" max="8466" width="9.28571428571429" customWidth="1"/>
    <col min="8467" max="8467" width="4.71428571428571" customWidth="1"/>
    <col min="8468" max="8469" width="9.28571428571429" customWidth="1"/>
    <col min="8470" max="8470" width="8.71428571428571" customWidth="1"/>
    <col min="8471" max="8472" width="9.28571428571429" customWidth="1"/>
    <col min="8473" max="8473" width="7" customWidth="1"/>
    <col min="8474" max="8475" width="9.28571428571429" customWidth="1"/>
    <col min="8476" max="8476" width="4.71428571428571" customWidth="1"/>
    <col min="8477" max="8477" width="9.28571428571429" customWidth="1"/>
    <col min="8478" max="8478" width="10.2857142857143" customWidth="1"/>
    <col min="8479" max="8479" width="9.14285714285714" customWidth="1"/>
    <col min="8480" max="8481" width="9.28571428571429" customWidth="1"/>
    <col min="8482" max="8482" width="4.71428571428571" customWidth="1"/>
    <col min="8483" max="8484" width="9.28571428571429" customWidth="1"/>
    <col min="8485" max="8485" width="4.71428571428571" customWidth="1"/>
    <col min="8486" max="8487" width="9.28571428571429" customWidth="1"/>
    <col min="8488" max="8488" width="4" customWidth="1"/>
    <col min="8489" max="8489" width="10.5714285714286" customWidth="1"/>
    <col min="8491" max="8491" width="10.5714285714286" customWidth="1"/>
    <col min="8494" max="8494" width="10.2857142857143" customWidth="1"/>
    <col min="8495" max="8495" width="9.28571428571429" customWidth="1"/>
    <col min="8496" max="8496" width="10.2857142857143" customWidth="1"/>
    <col min="8705" max="8705" width="13.7142857142857" customWidth="1"/>
    <col min="8706" max="8707" width="9.85714285714286" customWidth="1"/>
    <col min="8708" max="8708" width="10" customWidth="1"/>
    <col min="8709" max="8710" width="9.28571428571429" customWidth="1"/>
    <col min="8711" max="8711" width="4" customWidth="1"/>
    <col min="8712" max="8713" width="9.28571428571429" customWidth="1"/>
    <col min="8714" max="8714" width="4.71428571428571" customWidth="1"/>
    <col min="8715" max="8716" width="9.28571428571429" customWidth="1"/>
    <col min="8717" max="8717" width="10" customWidth="1"/>
    <col min="8718" max="8719" width="9.28571428571429" customWidth="1"/>
    <col min="8720" max="8720" width="10" customWidth="1"/>
    <col min="8721" max="8722" width="9.28571428571429" customWidth="1"/>
    <col min="8723" max="8723" width="4.71428571428571" customWidth="1"/>
    <col min="8724" max="8725" width="9.28571428571429" customWidth="1"/>
    <col min="8726" max="8726" width="8.71428571428571" customWidth="1"/>
    <col min="8727" max="8728" width="9.28571428571429" customWidth="1"/>
    <col min="8729" max="8729" width="7" customWidth="1"/>
    <col min="8730" max="8731" width="9.28571428571429" customWidth="1"/>
    <col min="8732" max="8732" width="4.71428571428571" customWidth="1"/>
    <col min="8733" max="8733" width="9.28571428571429" customWidth="1"/>
    <col min="8734" max="8734" width="10.2857142857143" customWidth="1"/>
    <col min="8735" max="8735" width="9.14285714285714" customWidth="1"/>
    <col min="8736" max="8737" width="9.28571428571429" customWidth="1"/>
    <col min="8738" max="8738" width="4.71428571428571" customWidth="1"/>
    <col min="8739" max="8740" width="9.28571428571429" customWidth="1"/>
    <col min="8741" max="8741" width="4.71428571428571" customWidth="1"/>
    <col min="8742" max="8743" width="9.28571428571429" customWidth="1"/>
    <col min="8744" max="8744" width="4" customWidth="1"/>
    <col min="8745" max="8745" width="10.5714285714286" customWidth="1"/>
    <col min="8747" max="8747" width="10.5714285714286" customWidth="1"/>
    <col min="8750" max="8750" width="10.2857142857143" customWidth="1"/>
    <col min="8751" max="8751" width="9.28571428571429" customWidth="1"/>
    <col min="8752" max="8752" width="10.2857142857143" customWidth="1"/>
    <col min="8961" max="8961" width="13.7142857142857" customWidth="1"/>
    <col min="8962" max="8963" width="9.85714285714286" customWidth="1"/>
    <col min="8964" max="8964" width="10" customWidth="1"/>
    <col min="8965" max="8966" width="9.28571428571429" customWidth="1"/>
    <col min="8967" max="8967" width="4" customWidth="1"/>
    <col min="8968" max="8969" width="9.28571428571429" customWidth="1"/>
    <col min="8970" max="8970" width="4.71428571428571" customWidth="1"/>
    <col min="8971" max="8972" width="9.28571428571429" customWidth="1"/>
    <col min="8973" max="8973" width="10" customWidth="1"/>
    <col min="8974" max="8975" width="9.28571428571429" customWidth="1"/>
    <col min="8976" max="8976" width="10" customWidth="1"/>
    <col min="8977" max="8978" width="9.28571428571429" customWidth="1"/>
    <col min="8979" max="8979" width="4.71428571428571" customWidth="1"/>
    <col min="8980" max="8981" width="9.28571428571429" customWidth="1"/>
    <col min="8982" max="8982" width="8.71428571428571" customWidth="1"/>
    <col min="8983" max="8984" width="9.28571428571429" customWidth="1"/>
    <col min="8985" max="8985" width="7" customWidth="1"/>
    <col min="8986" max="8987" width="9.28571428571429" customWidth="1"/>
    <col min="8988" max="8988" width="4.71428571428571" customWidth="1"/>
    <col min="8989" max="8989" width="9.28571428571429" customWidth="1"/>
    <col min="8990" max="8990" width="10.2857142857143" customWidth="1"/>
    <col min="8991" max="8991" width="9.14285714285714" customWidth="1"/>
    <col min="8992" max="8993" width="9.28571428571429" customWidth="1"/>
    <col min="8994" max="8994" width="4.71428571428571" customWidth="1"/>
    <col min="8995" max="8996" width="9.28571428571429" customWidth="1"/>
    <col min="8997" max="8997" width="4.71428571428571" customWidth="1"/>
    <col min="8998" max="8999" width="9.28571428571429" customWidth="1"/>
    <col min="9000" max="9000" width="4" customWidth="1"/>
    <col min="9001" max="9001" width="10.5714285714286" customWidth="1"/>
    <col min="9003" max="9003" width="10.5714285714286" customWidth="1"/>
    <col min="9006" max="9006" width="10.2857142857143" customWidth="1"/>
    <col min="9007" max="9007" width="9.28571428571429" customWidth="1"/>
    <col min="9008" max="9008" width="10.2857142857143" customWidth="1"/>
    <col min="9217" max="9217" width="13.7142857142857" customWidth="1"/>
    <col min="9218" max="9219" width="9.85714285714286" customWidth="1"/>
    <col min="9220" max="9220" width="10" customWidth="1"/>
    <col min="9221" max="9222" width="9.28571428571429" customWidth="1"/>
    <col min="9223" max="9223" width="4" customWidth="1"/>
    <col min="9224" max="9225" width="9.28571428571429" customWidth="1"/>
    <col min="9226" max="9226" width="4.71428571428571" customWidth="1"/>
    <col min="9227" max="9228" width="9.28571428571429" customWidth="1"/>
    <col min="9229" max="9229" width="10" customWidth="1"/>
    <col min="9230" max="9231" width="9.28571428571429" customWidth="1"/>
    <col min="9232" max="9232" width="10" customWidth="1"/>
    <col min="9233" max="9234" width="9.28571428571429" customWidth="1"/>
    <col min="9235" max="9235" width="4.71428571428571" customWidth="1"/>
    <col min="9236" max="9237" width="9.28571428571429" customWidth="1"/>
    <col min="9238" max="9238" width="8.71428571428571" customWidth="1"/>
    <col min="9239" max="9240" width="9.28571428571429" customWidth="1"/>
    <col min="9241" max="9241" width="7" customWidth="1"/>
    <col min="9242" max="9243" width="9.28571428571429" customWidth="1"/>
    <col min="9244" max="9244" width="4.71428571428571" customWidth="1"/>
    <col min="9245" max="9245" width="9.28571428571429" customWidth="1"/>
    <col min="9246" max="9246" width="10.2857142857143" customWidth="1"/>
    <col min="9247" max="9247" width="9.14285714285714" customWidth="1"/>
    <col min="9248" max="9249" width="9.28571428571429" customWidth="1"/>
    <col min="9250" max="9250" width="4.71428571428571" customWidth="1"/>
    <col min="9251" max="9252" width="9.28571428571429" customWidth="1"/>
    <col min="9253" max="9253" width="4.71428571428571" customWidth="1"/>
    <col min="9254" max="9255" width="9.28571428571429" customWidth="1"/>
    <col min="9256" max="9256" width="4" customWidth="1"/>
    <col min="9257" max="9257" width="10.5714285714286" customWidth="1"/>
    <col min="9259" max="9259" width="10.5714285714286" customWidth="1"/>
    <col min="9262" max="9262" width="10.2857142857143" customWidth="1"/>
    <col min="9263" max="9263" width="9.28571428571429" customWidth="1"/>
    <col min="9264" max="9264" width="10.2857142857143" customWidth="1"/>
    <col min="9473" max="9473" width="13.7142857142857" customWidth="1"/>
    <col min="9474" max="9475" width="9.85714285714286" customWidth="1"/>
    <col min="9476" max="9476" width="10" customWidth="1"/>
    <col min="9477" max="9478" width="9.28571428571429" customWidth="1"/>
    <col min="9479" max="9479" width="4" customWidth="1"/>
    <col min="9480" max="9481" width="9.28571428571429" customWidth="1"/>
    <col min="9482" max="9482" width="4.71428571428571" customWidth="1"/>
    <col min="9483" max="9484" width="9.28571428571429" customWidth="1"/>
    <col min="9485" max="9485" width="10" customWidth="1"/>
    <col min="9486" max="9487" width="9.28571428571429" customWidth="1"/>
    <col min="9488" max="9488" width="10" customWidth="1"/>
    <col min="9489" max="9490" width="9.28571428571429" customWidth="1"/>
    <col min="9491" max="9491" width="4.71428571428571" customWidth="1"/>
    <col min="9492" max="9493" width="9.28571428571429" customWidth="1"/>
    <col min="9494" max="9494" width="8.71428571428571" customWidth="1"/>
    <col min="9495" max="9496" width="9.28571428571429" customWidth="1"/>
    <col min="9497" max="9497" width="7" customWidth="1"/>
    <col min="9498" max="9499" width="9.28571428571429" customWidth="1"/>
    <col min="9500" max="9500" width="4.71428571428571" customWidth="1"/>
    <col min="9501" max="9501" width="9.28571428571429" customWidth="1"/>
    <col min="9502" max="9502" width="10.2857142857143" customWidth="1"/>
    <col min="9503" max="9503" width="9.14285714285714" customWidth="1"/>
    <col min="9504" max="9505" width="9.28571428571429" customWidth="1"/>
    <col min="9506" max="9506" width="4.71428571428571" customWidth="1"/>
    <col min="9507" max="9508" width="9.28571428571429" customWidth="1"/>
    <col min="9509" max="9509" width="4.71428571428571" customWidth="1"/>
    <col min="9510" max="9511" width="9.28571428571429" customWidth="1"/>
    <col min="9512" max="9512" width="4" customWidth="1"/>
    <col min="9513" max="9513" width="10.5714285714286" customWidth="1"/>
    <col min="9515" max="9515" width="10.5714285714286" customWidth="1"/>
    <col min="9518" max="9518" width="10.2857142857143" customWidth="1"/>
    <col min="9519" max="9519" width="9.28571428571429" customWidth="1"/>
    <col min="9520" max="9520" width="10.2857142857143" customWidth="1"/>
    <col min="9729" max="9729" width="13.7142857142857" customWidth="1"/>
    <col min="9730" max="9731" width="9.85714285714286" customWidth="1"/>
    <col min="9732" max="9732" width="10" customWidth="1"/>
    <col min="9733" max="9734" width="9.28571428571429" customWidth="1"/>
    <col min="9735" max="9735" width="4" customWidth="1"/>
    <col min="9736" max="9737" width="9.28571428571429" customWidth="1"/>
    <col min="9738" max="9738" width="4.71428571428571" customWidth="1"/>
    <col min="9739" max="9740" width="9.28571428571429" customWidth="1"/>
    <col min="9741" max="9741" width="10" customWidth="1"/>
    <col min="9742" max="9743" width="9.28571428571429" customWidth="1"/>
    <col min="9744" max="9744" width="10" customWidth="1"/>
    <col min="9745" max="9746" width="9.28571428571429" customWidth="1"/>
    <col min="9747" max="9747" width="4.71428571428571" customWidth="1"/>
    <col min="9748" max="9749" width="9.28571428571429" customWidth="1"/>
    <col min="9750" max="9750" width="8.71428571428571" customWidth="1"/>
    <col min="9751" max="9752" width="9.28571428571429" customWidth="1"/>
    <col min="9753" max="9753" width="7" customWidth="1"/>
    <col min="9754" max="9755" width="9.28571428571429" customWidth="1"/>
    <col min="9756" max="9756" width="4.71428571428571" customWidth="1"/>
    <col min="9757" max="9757" width="9.28571428571429" customWidth="1"/>
    <col min="9758" max="9758" width="10.2857142857143" customWidth="1"/>
    <col min="9759" max="9759" width="9.14285714285714" customWidth="1"/>
    <col min="9760" max="9761" width="9.28571428571429" customWidth="1"/>
    <col min="9762" max="9762" width="4.71428571428571" customWidth="1"/>
    <col min="9763" max="9764" width="9.28571428571429" customWidth="1"/>
    <col min="9765" max="9765" width="4.71428571428571" customWidth="1"/>
    <col min="9766" max="9767" width="9.28571428571429" customWidth="1"/>
    <col min="9768" max="9768" width="4" customWidth="1"/>
    <col min="9769" max="9769" width="10.5714285714286" customWidth="1"/>
    <col min="9771" max="9771" width="10.5714285714286" customWidth="1"/>
    <col min="9774" max="9774" width="10.2857142857143" customWidth="1"/>
    <col min="9775" max="9775" width="9.28571428571429" customWidth="1"/>
    <col min="9776" max="9776" width="10.2857142857143" customWidth="1"/>
    <col min="9985" max="9985" width="13.7142857142857" customWidth="1"/>
    <col min="9986" max="9987" width="9.85714285714286" customWidth="1"/>
    <col min="9988" max="9988" width="10" customWidth="1"/>
    <col min="9989" max="9990" width="9.28571428571429" customWidth="1"/>
    <col min="9991" max="9991" width="4" customWidth="1"/>
    <col min="9992" max="9993" width="9.28571428571429" customWidth="1"/>
    <col min="9994" max="9994" width="4.71428571428571" customWidth="1"/>
    <col min="9995" max="9996" width="9.28571428571429" customWidth="1"/>
    <col min="9997" max="9997" width="10" customWidth="1"/>
    <col min="9998" max="9999" width="9.28571428571429" customWidth="1"/>
    <col min="10000" max="10000" width="10" customWidth="1"/>
    <col min="10001" max="10002" width="9.28571428571429" customWidth="1"/>
    <col min="10003" max="10003" width="4.71428571428571" customWidth="1"/>
    <col min="10004" max="10005" width="9.28571428571429" customWidth="1"/>
    <col min="10006" max="10006" width="8.71428571428571" customWidth="1"/>
    <col min="10007" max="10008" width="9.28571428571429" customWidth="1"/>
    <col min="10009" max="10009" width="7" customWidth="1"/>
    <col min="10010" max="10011" width="9.28571428571429" customWidth="1"/>
    <col min="10012" max="10012" width="4.71428571428571" customWidth="1"/>
    <col min="10013" max="10013" width="9.28571428571429" customWidth="1"/>
    <col min="10014" max="10014" width="10.2857142857143" customWidth="1"/>
    <col min="10015" max="10015" width="9.14285714285714" customWidth="1"/>
    <col min="10016" max="10017" width="9.28571428571429" customWidth="1"/>
    <col min="10018" max="10018" width="4.71428571428571" customWidth="1"/>
    <col min="10019" max="10020" width="9.28571428571429" customWidth="1"/>
    <col min="10021" max="10021" width="4.71428571428571" customWidth="1"/>
    <col min="10022" max="10023" width="9.28571428571429" customWidth="1"/>
    <col min="10024" max="10024" width="4" customWidth="1"/>
    <col min="10025" max="10025" width="10.5714285714286" customWidth="1"/>
    <col min="10027" max="10027" width="10.5714285714286" customWidth="1"/>
    <col min="10030" max="10030" width="10.2857142857143" customWidth="1"/>
    <col min="10031" max="10031" width="9.28571428571429" customWidth="1"/>
    <col min="10032" max="10032" width="10.2857142857143" customWidth="1"/>
    <col min="10241" max="10241" width="13.7142857142857" customWidth="1"/>
    <col min="10242" max="10243" width="9.85714285714286" customWidth="1"/>
    <col min="10244" max="10244" width="10" customWidth="1"/>
    <col min="10245" max="10246" width="9.28571428571429" customWidth="1"/>
    <col min="10247" max="10247" width="4" customWidth="1"/>
    <col min="10248" max="10249" width="9.28571428571429" customWidth="1"/>
    <col min="10250" max="10250" width="4.71428571428571" customWidth="1"/>
    <col min="10251" max="10252" width="9.28571428571429" customWidth="1"/>
    <col min="10253" max="10253" width="10" customWidth="1"/>
    <col min="10254" max="10255" width="9.28571428571429" customWidth="1"/>
    <col min="10256" max="10256" width="10" customWidth="1"/>
    <col min="10257" max="10258" width="9.28571428571429" customWidth="1"/>
    <col min="10259" max="10259" width="4.71428571428571" customWidth="1"/>
    <col min="10260" max="10261" width="9.28571428571429" customWidth="1"/>
    <col min="10262" max="10262" width="8.71428571428571" customWidth="1"/>
    <col min="10263" max="10264" width="9.28571428571429" customWidth="1"/>
    <col min="10265" max="10265" width="7" customWidth="1"/>
    <col min="10266" max="10267" width="9.28571428571429" customWidth="1"/>
    <col min="10268" max="10268" width="4.71428571428571" customWidth="1"/>
    <col min="10269" max="10269" width="9.28571428571429" customWidth="1"/>
    <col min="10270" max="10270" width="10.2857142857143" customWidth="1"/>
    <col min="10271" max="10271" width="9.14285714285714" customWidth="1"/>
    <col min="10272" max="10273" width="9.28571428571429" customWidth="1"/>
    <col min="10274" max="10274" width="4.71428571428571" customWidth="1"/>
    <col min="10275" max="10276" width="9.28571428571429" customWidth="1"/>
    <col min="10277" max="10277" width="4.71428571428571" customWidth="1"/>
    <col min="10278" max="10279" width="9.28571428571429" customWidth="1"/>
    <col min="10280" max="10280" width="4" customWidth="1"/>
    <col min="10281" max="10281" width="10.5714285714286" customWidth="1"/>
    <col min="10283" max="10283" width="10.5714285714286" customWidth="1"/>
    <col min="10286" max="10286" width="10.2857142857143" customWidth="1"/>
    <col min="10287" max="10287" width="9.28571428571429" customWidth="1"/>
    <col min="10288" max="10288" width="10.2857142857143" customWidth="1"/>
    <col min="10497" max="10497" width="13.7142857142857" customWidth="1"/>
    <col min="10498" max="10499" width="9.85714285714286" customWidth="1"/>
    <col min="10500" max="10500" width="10" customWidth="1"/>
    <col min="10501" max="10502" width="9.28571428571429" customWidth="1"/>
    <col min="10503" max="10503" width="4" customWidth="1"/>
    <col min="10504" max="10505" width="9.28571428571429" customWidth="1"/>
    <col min="10506" max="10506" width="4.71428571428571" customWidth="1"/>
    <col min="10507" max="10508" width="9.28571428571429" customWidth="1"/>
    <col min="10509" max="10509" width="10" customWidth="1"/>
    <col min="10510" max="10511" width="9.28571428571429" customWidth="1"/>
    <col min="10512" max="10512" width="10" customWidth="1"/>
    <col min="10513" max="10514" width="9.28571428571429" customWidth="1"/>
    <col min="10515" max="10515" width="4.71428571428571" customWidth="1"/>
    <col min="10516" max="10517" width="9.28571428571429" customWidth="1"/>
    <col min="10518" max="10518" width="8.71428571428571" customWidth="1"/>
    <col min="10519" max="10520" width="9.28571428571429" customWidth="1"/>
    <col min="10521" max="10521" width="7" customWidth="1"/>
    <col min="10522" max="10523" width="9.28571428571429" customWidth="1"/>
    <col min="10524" max="10524" width="4.71428571428571" customWidth="1"/>
    <col min="10525" max="10525" width="9.28571428571429" customWidth="1"/>
    <col min="10526" max="10526" width="10.2857142857143" customWidth="1"/>
    <col min="10527" max="10527" width="9.14285714285714" customWidth="1"/>
    <col min="10528" max="10529" width="9.28571428571429" customWidth="1"/>
    <col min="10530" max="10530" width="4.71428571428571" customWidth="1"/>
    <col min="10531" max="10532" width="9.28571428571429" customWidth="1"/>
    <col min="10533" max="10533" width="4.71428571428571" customWidth="1"/>
    <col min="10534" max="10535" width="9.28571428571429" customWidth="1"/>
    <col min="10536" max="10536" width="4" customWidth="1"/>
    <col min="10537" max="10537" width="10.5714285714286" customWidth="1"/>
    <col min="10539" max="10539" width="10.5714285714286" customWidth="1"/>
    <col min="10542" max="10542" width="10.2857142857143" customWidth="1"/>
    <col min="10543" max="10543" width="9.28571428571429" customWidth="1"/>
    <col min="10544" max="10544" width="10.2857142857143" customWidth="1"/>
    <col min="10753" max="10753" width="13.7142857142857" customWidth="1"/>
    <col min="10754" max="10755" width="9.85714285714286" customWidth="1"/>
    <col min="10756" max="10756" width="10" customWidth="1"/>
    <col min="10757" max="10758" width="9.28571428571429" customWidth="1"/>
    <col min="10759" max="10759" width="4" customWidth="1"/>
    <col min="10760" max="10761" width="9.28571428571429" customWidth="1"/>
    <col min="10762" max="10762" width="4.71428571428571" customWidth="1"/>
    <col min="10763" max="10764" width="9.28571428571429" customWidth="1"/>
    <col min="10765" max="10765" width="10" customWidth="1"/>
    <col min="10766" max="10767" width="9.28571428571429" customWidth="1"/>
    <col min="10768" max="10768" width="10" customWidth="1"/>
    <col min="10769" max="10770" width="9.28571428571429" customWidth="1"/>
    <col min="10771" max="10771" width="4.71428571428571" customWidth="1"/>
    <col min="10772" max="10773" width="9.28571428571429" customWidth="1"/>
    <col min="10774" max="10774" width="8.71428571428571" customWidth="1"/>
    <col min="10775" max="10776" width="9.28571428571429" customWidth="1"/>
    <col min="10777" max="10777" width="7" customWidth="1"/>
    <col min="10778" max="10779" width="9.28571428571429" customWidth="1"/>
    <col min="10780" max="10780" width="4.71428571428571" customWidth="1"/>
    <col min="10781" max="10781" width="9.28571428571429" customWidth="1"/>
    <col min="10782" max="10782" width="10.2857142857143" customWidth="1"/>
    <col min="10783" max="10783" width="9.14285714285714" customWidth="1"/>
    <col min="10784" max="10785" width="9.28571428571429" customWidth="1"/>
    <col min="10786" max="10786" width="4.71428571428571" customWidth="1"/>
    <col min="10787" max="10788" width="9.28571428571429" customWidth="1"/>
    <col min="10789" max="10789" width="4.71428571428571" customWidth="1"/>
    <col min="10790" max="10791" width="9.28571428571429" customWidth="1"/>
    <col min="10792" max="10792" width="4" customWidth="1"/>
    <col min="10793" max="10793" width="10.5714285714286" customWidth="1"/>
    <col min="10795" max="10795" width="10.5714285714286" customWidth="1"/>
    <col min="10798" max="10798" width="10.2857142857143" customWidth="1"/>
    <col min="10799" max="10799" width="9.28571428571429" customWidth="1"/>
    <col min="10800" max="10800" width="10.2857142857143" customWidth="1"/>
    <col min="11009" max="11009" width="13.7142857142857" customWidth="1"/>
    <col min="11010" max="11011" width="9.85714285714286" customWidth="1"/>
    <col min="11012" max="11012" width="10" customWidth="1"/>
    <col min="11013" max="11014" width="9.28571428571429" customWidth="1"/>
    <col min="11015" max="11015" width="4" customWidth="1"/>
    <col min="11016" max="11017" width="9.28571428571429" customWidth="1"/>
    <col min="11018" max="11018" width="4.71428571428571" customWidth="1"/>
    <col min="11019" max="11020" width="9.28571428571429" customWidth="1"/>
    <col min="11021" max="11021" width="10" customWidth="1"/>
    <col min="11022" max="11023" width="9.28571428571429" customWidth="1"/>
    <col min="11024" max="11024" width="10" customWidth="1"/>
    <col min="11025" max="11026" width="9.28571428571429" customWidth="1"/>
    <col min="11027" max="11027" width="4.71428571428571" customWidth="1"/>
    <col min="11028" max="11029" width="9.28571428571429" customWidth="1"/>
    <col min="11030" max="11030" width="8.71428571428571" customWidth="1"/>
    <col min="11031" max="11032" width="9.28571428571429" customWidth="1"/>
    <col min="11033" max="11033" width="7" customWidth="1"/>
    <col min="11034" max="11035" width="9.28571428571429" customWidth="1"/>
    <col min="11036" max="11036" width="4.71428571428571" customWidth="1"/>
    <col min="11037" max="11037" width="9.28571428571429" customWidth="1"/>
    <col min="11038" max="11038" width="10.2857142857143" customWidth="1"/>
    <col min="11039" max="11039" width="9.14285714285714" customWidth="1"/>
    <col min="11040" max="11041" width="9.28571428571429" customWidth="1"/>
    <col min="11042" max="11042" width="4.71428571428571" customWidth="1"/>
    <col min="11043" max="11044" width="9.28571428571429" customWidth="1"/>
    <col min="11045" max="11045" width="4.71428571428571" customWidth="1"/>
    <col min="11046" max="11047" width="9.28571428571429" customWidth="1"/>
    <col min="11048" max="11048" width="4" customWidth="1"/>
    <col min="11049" max="11049" width="10.5714285714286" customWidth="1"/>
    <col min="11051" max="11051" width="10.5714285714286" customWidth="1"/>
    <col min="11054" max="11054" width="10.2857142857143" customWidth="1"/>
    <col min="11055" max="11055" width="9.28571428571429" customWidth="1"/>
    <col min="11056" max="11056" width="10.2857142857143" customWidth="1"/>
    <col min="11265" max="11265" width="13.7142857142857" customWidth="1"/>
    <col min="11266" max="11267" width="9.85714285714286" customWidth="1"/>
    <col min="11268" max="11268" width="10" customWidth="1"/>
    <col min="11269" max="11270" width="9.28571428571429" customWidth="1"/>
    <col min="11271" max="11271" width="4" customWidth="1"/>
    <col min="11272" max="11273" width="9.28571428571429" customWidth="1"/>
    <col min="11274" max="11274" width="4.71428571428571" customWidth="1"/>
    <col min="11275" max="11276" width="9.28571428571429" customWidth="1"/>
    <col min="11277" max="11277" width="10" customWidth="1"/>
    <col min="11278" max="11279" width="9.28571428571429" customWidth="1"/>
    <col min="11280" max="11280" width="10" customWidth="1"/>
    <col min="11281" max="11282" width="9.28571428571429" customWidth="1"/>
    <col min="11283" max="11283" width="4.71428571428571" customWidth="1"/>
    <col min="11284" max="11285" width="9.28571428571429" customWidth="1"/>
    <col min="11286" max="11286" width="8.71428571428571" customWidth="1"/>
    <col min="11287" max="11288" width="9.28571428571429" customWidth="1"/>
    <col min="11289" max="11289" width="7" customWidth="1"/>
    <col min="11290" max="11291" width="9.28571428571429" customWidth="1"/>
    <col min="11292" max="11292" width="4.71428571428571" customWidth="1"/>
    <col min="11293" max="11293" width="9.28571428571429" customWidth="1"/>
    <col min="11294" max="11294" width="10.2857142857143" customWidth="1"/>
    <col min="11295" max="11295" width="9.14285714285714" customWidth="1"/>
    <col min="11296" max="11297" width="9.28571428571429" customWidth="1"/>
    <col min="11298" max="11298" width="4.71428571428571" customWidth="1"/>
    <col min="11299" max="11300" width="9.28571428571429" customWidth="1"/>
    <col min="11301" max="11301" width="4.71428571428571" customWidth="1"/>
    <col min="11302" max="11303" width="9.28571428571429" customWidth="1"/>
    <col min="11304" max="11304" width="4" customWidth="1"/>
    <col min="11305" max="11305" width="10.5714285714286" customWidth="1"/>
    <col min="11307" max="11307" width="10.5714285714286" customWidth="1"/>
    <col min="11310" max="11310" width="10.2857142857143" customWidth="1"/>
    <col min="11311" max="11311" width="9.28571428571429" customWidth="1"/>
    <col min="11312" max="11312" width="10.2857142857143" customWidth="1"/>
    <col min="11521" max="11521" width="13.7142857142857" customWidth="1"/>
    <col min="11522" max="11523" width="9.85714285714286" customWidth="1"/>
    <col min="11524" max="11524" width="10" customWidth="1"/>
    <col min="11525" max="11526" width="9.28571428571429" customWidth="1"/>
    <col min="11527" max="11527" width="4" customWidth="1"/>
    <col min="11528" max="11529" width="9.28571428571429" customWidth="1"/>
    <col min="11530" max="11530" width="4.71428571428571" customWidth="1"/>
    <col min="11531" max="11532" width="9.28571428571429" customWidth="1"/>
    <col min="11533" max="11533" width="10" customWidth="1"/>
    <col min="11534" max="11535" width="9.28571428571429" customWidth="1"/>
    <col min="11536" max="11536" width="10" customWidth="1"/>
    <col min="11537" max="11538" width="9.28571428571429" customWidth="1"/>
    <col min="11539" max="11539" width="4.71428571428571" customWidth="1"/>
    <col min="11540" max="11541" width="9.28571428571429" customWidth="1"/>
    <col min="11542" max="11542" width="8.71428571428571" customWidth="1"/>
    <col min="11543" max="11544" width="9.28571428571429" customWidth="1"/>
    <col min="11545" max="11545" width="7" customWidth="1"/>
    <col min="11546" max="11547" width="9.28571428571429" customWidth="1"/>
    <col min="11548" max="11548" width="4.71428571428571" customWidth="1"/>
    <col min="11549" max="11549" width="9.28571428571429" customWidth="1"/>
    <col min="11550" max="11550" width="10.2857142857143" customWidth="1"/>
    <col min="11551" max="11551" width="9.14285714285714" customWidth="1"/>
    <col min="11552" max="11553" width="9.28571428571429" customWidth="1"/>
    <col min="11554" max="11554" width="4.71428571428571" customWidth="1"/>
    <col min="11555" max="11556" width="9.28571428571429" customWidth="1"/>
    <col min="11557" max="11557" width="4.71428571428571" customWidth="1"/>
    <col min="11558" max="11559" width="9.28571428571429" customWidth="1"/>
    <col min="11560" max="11560" width="4" customWidth="1"/>
    <col min="11561" max="11561" width="10.5714285714286" customWidth="1"/>
    <col min="11563" max="11563" width="10.5714285714286" customWidth="1"/>
    <col min="11566" max="11566" width="10.2857142857143" customWidth="1"/>
    <col min="11567" max="11567" width="9.28571428571429" customWidth="1"/>
    <col min="11568" max="11568" width="10.2857142857143" customWidth="1"/>
    <col min="11777" max="11777" width="13.7142857142857" customWidth="1"/>
    <col min="11778" max="11779" width="9.85714285714286" customWidth="1"/>
    <col min="11780" max="11780" width="10" customWidth="1"/>
    <col min="11781" max="11782" width="9.28571428571429" customWidth="1"/>
    <col min="11783" max="11783" width="4" customWidth="1"/>
    <col min="11784" max="11785" width="9.28571428571429" customWidth="1"/>
    <col min="11786" max="11786" width="4.71428571428571" customWidth="1"/>
    <col min="11787" max="11788" width="9.28571428571429" customWidth="1"/>
    <col min="11789" max="11789" width="10" customWidth="1"/>
    <col min="11790" max="11791" width="9.28571428571429" customWidth="1"/>
    <col min="11792" max="11792" width="10" customWidth="1"/>
    <col min="11793" max="11794" width="9.28571428571429" customWidth="1"/>
    <col min="11795" max="11795" width="4.71428571428571" customWidth="1"/>
    <col min="11796" max="11797" width="9.28571428571429" customWidth="1"/>
    <col min="11798" max="11798" width="8.71428571428571" customWidth="1"/>
    <col min="11799" max="11800" width="9.28571428571429" customWidth="1"/>
    <col min="11801" max="11801" width="7" customWidth="1"/>
    <col min="11802" max="11803" width="9.28571428571429" customWidth="1"/>
    <col min="11804" max="11804" width="4.71428571428571" customWidth="1"/>
    <col min="11805" max="11805" width="9.28571428571429" customWidth="1"/>
    <col min="11806" max="11806" width="10.2857142857143" customWidth="1"/>
    <col min="11807" max="11807" width="9.14285714285714" customWidth="1"/>
    <col min="11808" max="11809" width="9.28571428571429" customWidth="1"/>
    <col min="11810" max="11810" width="4.71428571428571" customWidth="1"/>
    <col min="11811" max="11812" width="9.28571428571429" customWidth="1"/>
    <col min="11813" max="11813" width="4.71428571428571" customWidth="1"/>
    <col min="11814" max="11815" width="9.28571428571429" customWidth="1"/>
    <col min="11816" max="11816" width="4" customWidth="1"/>
    <col min="11817" max="11817" width="10.5714285714286" customWidth="1"/>
    <col min="11819" max="11819" width="10.5714285714286" customWidth="1"/>
    <col min="11822" max="11822" width="10.2857142857143" customWidth="1"/>
    <col min="11823" max="11823" width="9.28571428571429" customWidth="1"/>
    <col min="11824" max="11824" width="10.2857142857143" customWidth="1"/>
    <col min="12033" max="12033" width="13.7142857142857" customWidth="1"/>
    <col min="12034" max="12035" width="9.85714285714286" customWidth="1"/>
    <col min="12036" max="12036" width="10" customWidth="1"/>
    <col min="12037" max="12038" width="9.28571428571429" customWidth="1"/>
    <col min="12039" max="12039" width="4" customWidth="1"/>
    <col min="12040" max="12041" width="9.28571428571429" customWidth="1"/>
    <col min="12042" max="12042" width="4.71428571428571" customWidth="1"/>
    <col min="12043" max="12044" width="9.28571428571429" customWidth="1"/>
    <col min="12045" max="12045" width="10" customWidth="1"/>
    <col min="12046" max="12047" width="9.28571428571429" customWidth="1"/>
    <col min="12048" max="12048" width="10" customWidth="1"/>
    <col min="12049" max="12050" width="9.28571428571429" customWidth="1"/>
    <col min="12051" max="12051" width="4.71428571428571" customWidth="1"/>
    <col min="12052" max="12053" width="9.28571428571429" customWidth="1"/>
    <col min="12054" max="12054" width="8.71428571428571" customWidth="1"/>
    <col min="12055" max="12056" width="9.28571428571429" customWidth="1"/>
    <col min="12057" max="12057" width="7" customWidth="1"/>
    <col min="12058" max="12059" width="9.28571428571429" customWidth="1"/>
    <col min="12060" max="12060" width="4.71428571428571" customWidth="1"/>
    <col min="12061" max="12061" width="9.28571428571429" customWidth="1"/>
    <col min="12062" max="12062" width="10.2857142857143" customWidth="1"/>
    <col min="12063" max="12063" width="9.14285714285714" customWidth="1"/>
    <col min="12064" max="12065" width="9.28571428571429" customWidth="1"/>
    <col min="12066" max="12066" width="4.71428571428571" customWidth="1"/>
    <col min="12067" max="12068" width="9.28571428571429" customWidth="1"/>
    <col min="12069" max="12069" width="4.71428571428571" customWidth="1"/>
    <col min="12070" max="12071" width="9.28571428571429" customWidth="1"/>
    <col min="12072" max="12072" width="4" customWidth="1"/>
    <col min="12073" max="12073" width="10.5714285714286" customWidth="1"/>
    <col min="12075" max="12075" width="10.5714285714286" customWidth="1"/>
    <col min="12078" max="12078" width="10.2857142857143" customWidth="1"/>
    <col min="12079" max="12079" width="9.28571428571429" customWidth="1"/>
    <col min="12080" max="12080" width="10.2857142857143" customWidth="1"/>
    <col min="12289" max="12289" width="13.7142857142857" customWidth="1"/>
    <col min="12290" max="12291" width="9.85714285714286" customWidth="1"/>
    <col min="12292" max="12292" width="10" customWidth="1"/>
    <col min="12293" max="12294" width="9.28571428571429" customWidth="1"/>
    <col min="12295" max="12295" width="4" customWidth="1"/>
    <col min="12296" max="12297" width="9.28571428571429" customWidth="1"/>
    <col min="12298" max="12298" width="4.71428571428571" customWidth="1"/>
    <col min="12299" max="12300" width="9.28571428571429" customWidth="1"/>
    <col min="12301" max="12301" width="10" customWidth="1"/>
    <col min="12302" max="12303" width="9.28571428571429" customWidth="1"/>
    <col min="12304" max="12304" width="10" customWidth="1"/>
    <col min="12305" max="12306" width="9.28571428571429" customWidth="1"/>
    <col min="12307" max="12307" width="4.71428571428571" customWidth="1"/>
    <col min="12308" max="12309" width="9.28571428571429" customWidth="1"/>
    <col min="12310" max="12310" width="8.71428571428571" customWidth="1"/>
    <col min="12311" max="12312" width="9.28571428571429" customWidth="1"/>
    <col min="12313" max="12313" width="7" customWidth="1"/>
    <col min="12314" max="12315" width="9.28571428571429" customWidth="1"/>
    <col min="12316" max="12316" width="4.71428571428571" customWidth="1"/>
    <col min="12317" max="12317" width="9.28571428571429" customWidth="1"/>
    <col min="12318" max="12318" width="10.2857142857143" customWidth="1"/>
    <col min="12319" max="12319" width="9.14285714285714" customWidth="1"/>
    <col min="12320" max="12321" width="9.28571428571429" customWidth="1"/>
    <col min="12322" max="12322" width="4.71428571428571" customWidth="1"/>
    <col min="12323" max="12324" width="9.28571428571429" customWidth="1"/>
    <col min="12325" max="12325" width="4.71428571428571" customWidth="1"/>
    <col min="12326" max="12327" width="9.28571428571429" customWidth="1"/>
    <col min="12328" max="12328" width="4" customWidth="1"/>
    <col min="12329" max="12329" width="10.5714285714286" customWidth="1"/>
    <col min="12331" max="12331" width="10.5714285714286" customWidth="1"/>
    <col min="12334" max="12334" width="10.2857142857143" customWidth="1"/>
    <col min="12335" max="12335" width="9.28571428571429" customWidth="1"/>
    <col min="12336" max="12336" width="10.2857142857143" customWidth="1"/>
    <col min="12545" max="12545" width="13.7142857142857" customWidth="1"/>
    <col min="12546" max="12547" width="9.85714285714286" customWidth="1"/>
    <col min="12548" max="12548" width="10" customWidth="1"/>
    <col min="12549" max="12550" width="9.28571428571429" customWidth="1"/>
    <col min="12551" max="12551" width="4" customWidth="1"/>
    <col min="12552" max="12553" width="9.28571428571429" customWidth="1"/>
    <col min="12554" max="12554" width="4.71428571428571" customWidth="1"/>
    <col min="12555" max="12556" width="9.28571428571429" customWidth="1"/>
    <col min="12557" max="12557" width="10" customWidth="1"/>
    <col min="12558" max="12559" width="9.28571428571429" customWidth="1"/>
    <col min="12560" max="12560" width="10" customWidth="1"/>
    <col min="12561" max="12562" width="9.28571428571429" customWidth="1"/>
    <col min="12563" max="12563" width="4.71428571428571" customWidth="1"/>
    <col min="12564" max="12565" width="9.28571428571429" customWidth="1"/>
    <col min="12566" max="12566" width="8.71428571428571" customWidth="1"/>
    <col min="12567" max="12568" width="9.28571428571429" customWidth="1"/>
    <col min="12569" max="12569" width="7" customWidth="1"/>
    <col min="12570" max="12571" width="9.28571428571429" customWidth="1"/>
    <col min="12572" max="12572" width="4.71428571428571" customWidth="1"/>
    <col min="12573" max="12573" width="9.28571428571429" customWidth="1"/>
    <col min="12574" max="12574" width="10.2857142857143" customWidth="1"/>
    <col min="12575" max="12575" width="9.14285714285714" customWidth="1"/>
    <col min="12576" max="12577" width="9.28571428571429" customWidth="1"/>
    <col min="12578" max="12578" width="4.71428571428571" customWidth="1"/>
    <col min="12579" max="12580" width="9.28571428571429" customWidth="1"/>
    <col min="12581" max="12581" width="4.71428571428571" customWidth="1"/>
    <col min="12582" max="12583" width="9.28571428571429" customWidth="1"/>
    <col min="12584" max="12584" width="4" customWidth="1"/>
    <col min="12585" max="12585" width="10.5714285714286" customWidth="1"/>
    <col min="12587" max="12587" width="10.5714285714286" customWidth="1"/>
    <col min="12590" max="12590" width="10.2857142857143" customWidth="1"/>
    <col min="12591" max="12591" width="9.28571428571429" customWidth="1"/>
    <col min="12592" max="12592" width="10.2857142857143" customWidth="1"/>
    <col min="12801" max="12801" width="13.7142857142857" customWidth="1"/>
    <col min="12802" max="12803" width="9.85714285714286" customWidth="1"/>
    <col min="12804" max="12804" width="10" customWidth="1"/>
    <col min="12805" max="12806" width="9.28571428571429" customWidth="1"/>
    <col min="12807" max="12807" width="4" customWidth="1"/>
    <col min="12808" max="12809" width="9.28571428571429" customWidth="1"/>
    <col min="12810" max="12810" width="4.71428571428571" customWidth="1"/>
    <col min="12811" max="12812" width="9.28571428571429" customWidth="1"/>
    <col min="12813" max="12813" width="10" customWidth="1"/>
    <col min="12814" max="12815" width="9.28571428571429" customWidth="1"/>
    <col min="12816" max="12816" width="10" customWidth="1"/>
    <col min="12817" max="12818" width="9.28571428571429" customWidth="1"/>
    <col min="12819" max="12819" width="4.71428571428571" customWidth="1"/>
    <col min="12820" max="12821" width="9.28571428571429" customWidth="1"/>
    <col min="12822" max="12822" width="8.71428571428571" customWidth="1"/>
    <col min="12823" max="12824" width="9.28571428571429" customWidth="1"/>
    <col min="12825" max="12825" width="7" customWidth="1"/>
    <col min="12826" max="12827" width="9.28571428571429" customWidth="1"/>
    <col min="12828" max="12828" width="4.71428571428571" customWidth="1"/>
    <col min="12829" max="12829" width="9.28571428571429" customWidth="1"/>
    <col min="12830" max="12830" width="10.2857142857143" customWidth="1"/>
    <col min="12831" max="12831" width="9.14285714285714" customWidth="1"/>
    <col min="12832" max="12833" width="9.28571428571429" customWidth="1"/>
    <col min="12834" max="12834" width="4.71428571428571" customWidth="1"/>
    <col min="12835" max="12836" width="9.28571428571429" customWidth="1"/>
    <col min="12837" max="12837" width="4.71428571428571" customWidth="1"/>
    <col min="12838" max="12839" width="9.28571428571429" customWidth="1"/>
    <col min="12840" max="12840" width="4" customWidth="1"/>
    <col min="12841" max="12841" width="10.5714285714286" customWidth="1"/>
    <col min="12843" max="12843" width="10.5714285714286" customWidth="1"/>
    <col min="12846" max="12846" width="10.2857142857143" customWidth="1"/>
    <col min="12847" max="12847" width="9.28571428571429" customWidth="1"/>
    <col min="12848" max="12848" width="10.2857142857143" customWidth="1"/>
    <col min="13057" max="13057" width="13.7142857142857" customWidth="1"/>
    <col min="13058" max="13059" width="9.85714285714286" customWidth="1"/>
    <col min="13060" max="13060" width="10" customWidth="1"/>
    <col min="13061" max="13062" width="9.28571428571429" customWidth="1"/>
    <col min="13063" max="13063" width="4" customWidth="1"/>
    <col min="13064" max="13065" width="9.28571428571429" customWidth="1"/>
    <col min="13066" max="13066" width="4.71428571428571" customWidth="1"/>
    <col min="13067" max="13068" width="9.28571428571429" customWidth="1"/>
    <col min="13069" max="13069" width="10" customWidth="1"/>
    <col min="13070" max="13071" width="9.28571428571429" customWidth="1"/>
    <col min="13072" max="13072" width="10" customWidth="1"/>
    <col min="13073" max="13074" width="9.28571428571429" customWidth="1"/>
    <col min="13075" max="13075" width="4.71428571428571" customWidth="1"/>
    <col min="13076" max="13077" width="9.28571428571429" customWidth="1"/>
    <col min="13078" max="13078" width="8.71428571428571" customWidth="1"/>
    <col min="13079" max="13080" width="9.28571428571429" customWidth="1"/>
    <col min="13081" max="13081" width="7" customWidth="1"/>
    <col min="13082" max="13083" width="9.28571428571429" customWidth="1"/>
    <col min="13084" max="13084" width="4.71428571428571" customWidth="1"/>
    <col min="13085" max="13085" width="9.28571428571429" customWidth="1"/>
    <col min="13086" max="13086" width="10.2857142857143" customWidth="1"/>
    <col min="13087" max="13087" width="9.14285714285714" customWidth="1"/>
    <col min="13088" max="13089" width="9.28571428571429" customWidth="1"/>
    <col min="13090" max="13090" width="4.71428571428571" customWidth="1"/>
    <col min="13091" max="13092" width="9.28571428571429" customWidth="1"/>
    <col min="13093" max="13093" width="4.71428571428571" customWidth="1"/>
    <col min="13094" max="13095" width="9.28571428571429" customWidth="1"/>
    <col min="13096" max="13096" width="4" customWidth="1"/>
    <col min="13097" max="13097" width="10.5714285714286" customWidth="1"/>
    <col min="13099" max="13099" width="10.5714285714286" customWidth="1"/>
    <col min="13102" max="13102" width="10.2857142857143" customWidth="1"/>
    <col min="13103" max="13103" width="9.28571428571429" customWidth="1"/>
    <col min="13104" max="13104" width="10.2857142857143" customWidth="1"/>
    <col min="13313" max="13313" width="13.7142857142857" customWidth="1"/>
    <col min="13314" max="13315" width="9.85714285714286" customWidth="1"/>
    <col min="13316" max="13316" width="10" customWidth="1"/>
    <col min="13317" max="13318" width="9.28571428571429" customWidth="1"/>
    <col min="13319" max="13319" width="4" customWidth="1"/>
    <col min="13320" max="13321" width="9.28571428571429" customWidth="1"/>
    <col min="13322" max="13322" width="4.71428571428571" customWidth="1"/>
    <col min="13323" max="13324" width="9.28571428571429" customWidth="1"/>
    <col min="13325" max="13325" width="10" customWidth="1"/>
    <col min="13326" max="13327" width="9.28571428571429" customWidth="1"/>
    <col min="13328" max="13328" width="10" customWidth="1"/>
    <col min="13329" max="13330" width="9.28571428571429" customWidth="1"/>
    <col min="13331" max="13331" width="4.71428571428571" customWidth="1"/>
    <col min="13332" max="13333" width="9.28571428571429" customWidth="1"/>
    <col min="13334" max="13334" width="8.71428571428571" customWidth="1"/>
    <col min="13335" max="13336" width="9.28571428571429" customWidth="1"/>
    <col min="13337" max="13337" width="7" customWidth="1"/>
    <col min="13338" max="13339" width="9.28571428571429" customWidth="1"/>
    <col min="13340" max="13340" width="4.71428571428571" customWidth="1"/>
    <col min="13341" max="13341" width="9.28571428571429" customWidth="1"/>
    <col min="13342" max="13342" width="10.2857142857143" customWidth="1"/>
    <col min="13343" max="13343" width="9.14285714285714" customWidth="1"/>
    <col min="13344" max="13345" width="9.28571428571429" customWidth="1"/>
    <col min="13346" max="13346" width="4.71428571428571" customWidth="1"/>
    <col min="13347" max="13348" width="9.28571428571429" customWidth="1"/>
    <col min="13349" max="13349" width="4.71428571428571" customWidth="1"/>
    <col min="13350" max="13351" width="9.28571428571429" customWidth="1"/>
    <col min="13352" max="13352" width="4" customWidth="1"/>
    <col min="13353" max="13353" width="10.5714285714286" customWidth="1"/>
    <col min="13355" max="13355" width="10.5714285714286" customWidth="1"/>
    <col min="13358" max="13358" width="10.2857142857143" customWidth="1"/>
    <col min="13359" max="13359" width="9.28571428571429" customWidth="1"/>
    <col min="13360" max="13360" width="10.2857142857143" customWidth="1"/>
    <col min="13569" max="13569" width="13.7142857142857" customWidth="1"/>
    <col min="13570" max="13571" width="9.85714285714286" customWidth="1"/>
    <col min="13572" max="13572" width="10" customWidth="1"/>
    <col min="13573" max="13574" width="9.28571428571429" customWidth="1"/>
    <col min="13575" max="13575" width="4" customWidth="1"/>
    <col min="13576" max="13577" width="9.28571428571429" customWidth="1"/>
    <col min="13578" max="13578" width="4.71428571428571" customWidth="1"/>
    <col min="13579" max="13580" width="9.28571428571429" customWidth="1"/>
    <col min="13581" max="13581" width="10" customWidth="1"/>
    <col min="13582" max="13583" width="9.28571428571429" customWidth="1"/>
    <col min="13584" max="13584" width="10" customWidth="1"/>
    <col min="13585" max="13586" width="9.28571428571429" customWidth="1"/>
    <col min="13587" max="13587" width="4.71428571428571" customWidth="1"/>
    <col min="13588" max="13589" width="9.28571428571429" customWidth="1"/>
    <col min="13590" max="13590" width="8.71428571428571" customWidth="1"/>
    <col min="13591" max="13592" width="9.28571428571429" customWidth="1"/>
    <col min="13593" max="13593" width="7" customWidth="1"/>
    <col min="13594" max="13595" width="9.28571428571429" customWidth="1"/>
    <col min="13596" max="13596" width="4.71428571428571" customWidth="1"/>
    <col min="13597" max="13597" width="9.28571428571429" customWidth="1"/>
    <col min="13598" max="13598" width="10.2857142857143" customWidth="1"/>
    <col min="13599" max="13599" width="9.14285714285714" customWidth="1"/>
    <col min="13600" max="13601" width="9.28571428571429" customWidth="1"/>
    <col min="13602" max="13602" width="4.71428571428571" customWidth="1"/>
    <col min="13603" max="13604" width="9.28571428571429" customWidth="1"/>
    <col min="13605" max="13605" width="4.71428571428571" customWidth="1"/>
    <col min="13606" max="13607" width="9.28571428571429" customWidth="1"/>
    <col min="13608" max="13608" width="4" customWidth="1"/>
    <col min="13609" max="13609" width="10.5714285714286" customWidth="1"/>
    <col min="13611" max="13611" width="10.5714285714286" customWidth="1"/>
    <col min="13614" max="13614" width="10.2857142857143" customWidth="1"/>
    <col min="13615" max="13615" width="9.28571428571429" customWidth="1"/>
    <col min="13616" max="13616" width="10.2857142857143" customWidth="1"/>
    <col min="13825" max="13825" width="13.7142857142857" customWidth="1"/>
    <col min="13826" max="13827" width="9.85714285714286" customWidth="1"/>
    <col min="13828" max="13828" width="10" customWidth="1"/>
    <col min="13829" max="13830" width="9.28571428571429" customWidth="1"/>
    <col min="13831" max="13831" width="4" customWidth="1"/>
    <col min="13832" max="13833" width="9.28571428571429" customWidth="1"/>
    <col min="13834" max="13834" width="4.71428571428571" customWidth="1"/>
    <col min="13835" max="13836" width="9.28571428571429" customWidth="1"/>
    <col min="13837" max="13837" width="10" customWidth="1"/>
    <col min="13838" max="13839" width="9.28571428571429" customWidth="1"/>
    <col min="13840" max="13840" width="10" customWidth="1"/>
    <col min="13841" max="13842" width="9.28571428571429" customWidth="1"/>
    <col min="13843" max="13843" width="4.71428571428571" customWidth="1"/>
    <col min="13844" max="13845" width="9.28571428571429" customWidth="1"/>
    <col min="13846" max="13846" width="8.71428571428571" customWidth="1"/>
    <col min="13847" max="13848" width="9.28571428571429" customWidth="1"/>
    <col min="13849" max="13849" width="7" customWidth="1"/>
    <col min="13850" max="13851" width="9.28571428571429" customWidth="1"/>
    <col min="13852" max="13852" width="4.71428571428571" customWidth="1"/>
    <col min="13853" max="13853" width="9.28571428571429" customWidth="1"/>
    <col min="13854" max="13854" width="10.2857142857143" customWidth="1"/>
    <col min="13855" max="13855" width="9.14285714285714" customWidth="1"/>
    <col min="13856" max="13857" width="9.28571428571429" customWidth="1"/>
    <col min="13858" max="13858" width="4.71428571428571" customWidth="1"/>
    <col min="13859" max="13860" width="9.28571428571429" customWidth="1"/>
    <col min="13861" max="13861" width="4.71428571428571" customWidth="1"/>
    <col min="13862" max="13863" width="9.28571428571429" customWidth="1"/>
    <col min="13864" max="13864" width="4" customWidth="1"/>
    <col min="13865" max="13865" width="10.5714285714286" customWidth="1"/>
    <col min="13867" max="13867" width="10.5714285714286" customWidth="1"/>
    <col min="13870" max="13870" width="10.2857142857143" customWidth="1"/>
    <col min="13871" max="13871" width="9.28571428571429" customWidth="1"/>
    <col min="13872" max="13872" width="10.2857142857143" customWidth="1"/>
    <col min="14081" max="14081" width="13.7142857142857" customWidth="1"/>
    <col min="14082" max="14083" width="9.85714285714286" customWidth="1"/>
    <col min="14084" max="14084" width="10" customWidth="1"/>
    <col min="14085" max="14086" width="9.28571428571429" customWidth="1"/>
    <col min="14087" max="14087" width="4" customWidth="1"/>
    <col min="14088" max="14089" width="9.28571428571429" customWidth="1"/>
    <col min="14090" max="14090" width="4.71428571428571" customWidth="1"/>
    <col min="14091" max="14092" width="9.28571428571429" customWidth="1"/>
    <col min="14093" max="14093" width="10" customWidth="1"/>
    <col min="14094" max="14095" width="9.28571428571429" customWidth="1"/>
    <col min="14096" max="14096" width="10" customWidth="1"/>
    <col min="14097" max="14098" width="9.28571428571429" customWidth="1"/>
    <col min="14099" max="14099" width="4.71428571428571" customWidth="1"/>
    <col min="14100" max="14101" width="9.28571428571429" customWidth="1"/>
    <col min="14102" max="14102" width="8.71428571428571" customWidth="1"/>
    <col min="14103" max="14104" width="9.28571428571429" customWidth="1"/>
    <col min="14105" max="14105" width="7" customWidth="1"/>
    <col min="14106" max="14107" width="9.28571428571429" customWidth="1"/>
    <col min="14108" max="14108" width="4.71428571428571" customWidth="1"/>
    <col min="14109" max="14109" width="9.28571428571429" customWidth="1"/>
    <col min="14110" max="14110" width="10.2857142857143" customWidth="1"/>
    <col min="14111" max="14111" width="9.14285714285714" customWidth="1"/>
    <col min="14112" max="14113" width="9.28571428571429" customWidth="1"/>
    <col min="14114" max="14114" width="4.71428571428571" customWidth="1"/>
    <col min="14115" max="14116" width="9.28571428571429" customWidth="1"/>
    <col min="14117" max="14117" width="4.71428571428571" customWidth="1"/>
    <col min="14118" max="14119" width="9.28571428571429" customWidth="1"/>
    <col min="14120" max="14120" width="4" customWidth="1"/>
    <col min="14121" max="14121" width="10.5714285714286" customWidth="1"/>
    <col min="14123" max="14123" width="10.5714285714286" customWidth="1"/>
    <col min="14126" max="14126" width="10.2857142857143" customWidth="1"/>
    <col min="14127" max="14127" width="9.28571428571429" customWidth="1"/>
    <col min="14128" max="14128" width="10.2857142857143" customWidth="1"/>
    <col min="14337" max="14337" width="13.7142857142857" customWidth="1"/>
    <col min="14338" max="14339" width="9.85714285714286" customWidth="1"/>
    <col min="14340" max="14340" width="10" customWidth="1"/>
    <col min="14341" max="14342" width="9.28571428571429" customWidth="1"/>
    <col min="14343" max="14343" width="4" customWidth="1"/>
    <col min="14344" max="14345" width="9.28571428571429" customWidth="1"/>
    <col min="14346" max="14346" width="4.71428571428571" customWidth="1"/>
    <col min="14347" max="14348" width="9.28571428571429" customWidth="1"/>
    <col min="14349" max="14349" width="10" customWidth="1"/>
    <col min="14350" max="14351" width="9.28571428571429" customWidth="1"/>
    <col min="14352" max="14352" width="10" customWidth="1"/>
    <col min="14353" max="14354" width="9.28571428571429" customWidth="1"/>
    <col min="14355" max="14355" width="4.71428571428571" customWidth="1"/>
    <col min="14356" max="14357" width="9.28571428571429" customWidth="1"/>
    <col min="14358" max="14358" width="8.71428571428571" customWidth="1"/>
    <col min="14359" max="14360" width="9.28571428571429" customWidth="1"/>
    <col min="14361" max="14361" width="7" customWidth="1"/>
    <col min="14362" max="14363" width="9.28571428571429" customWidth="1"/>
    <col min="14364" max="14364" width="4.71428571428571" customWidth="1"/>
    <col min="14365" max="14365" width="9.28571428571429" customWidth="1"/>
    <col min="14366" max="14366" width="10.2857142857143" customWidth="1"/>
    <col min="14367" max="14367" width="9.14285714285714" customWidth="1"/>
    <col min="14368" max="14369" width="9.28571428571429" customWidth="1"/>
    <col min="14370" max="14370" width="4.71428571428571" customWidth="1"/>
    <col min="14371" max="14372" width="9.28571428571429" customWidth="1"/>
    <col min="14373" max="14373" width="4.71428571428571" customWidth="1"/>
    <col min="14374" max="14375" width="9.28571428571429" customWidth="1"/>
    <col min="14376" max="14376" width="4" customWidth="1"/>
    <col min="14377" max="14377" width="10.5714285714286" customWidth="1"/>
    <col min="14379" max="14379" width="10.5714285714286" customWidth="1"/>
    <col min="14382" max="14382" width="10.2857142857143" customWidth="1"/>
    <col min="14383" max="14383" width="9.28571428571429" customWidth="1"/>
    <col min="14384" max="14384" width="10.2857142857143" customWidth="1"/>
    <col min="14593" max="14593" width="13.7142857142857" customWidth="1"/>
    <col min="14594" max="14595" width="9.85714285714286" customWidth="1"/>
    <col min="14596" max="14596" width="10" customWidth="1"/>
    <col min="14597" max="14598" width="9.28571428571429" customWidth="1"/>
    <col min="14599" max="14599" width="4" customWidth="1"/>
    <col min="14600" max="14601" width="9.28571428571429" customWidth="1"/>
    <col min="14602" max="14602" width="4.71428571428571" customWidth="1"/>
    <col min="14603" max="14604" width="9.28571428571429" customWidth="1"/>
    <col min="14605" max="14605" width="10" customWidth="1"/>
    <col min="14606" max="14607" width="9.28571428571429" customWidth="1"/>
    <col min="14608" max="14608" width="10" customWidth="1"/>
    <col min="14609" max="14610" width="9.28571428571429" customWidth="1"/>
    <col min="14611" max="14611" width="4.71428571428571" customWidth="1"/>
    <col min="14612" max="14613" width="9.28571428571429" customWidth="1"/>
    <col min="14614" max="14614" width="8.71428571428571" customWidth="1"/>
    <col min="14615" max="14616" width="9.28571428571429" customWidth="1"/>
    <col min="14617" max="14617" width="7" customWidth="1"/>
    <col min="14618" max="14619" width="9.28571428571429" customWidth="1"/>
    <col min="14620" max="14620" width="4.71428571428571" customWidth="1"/>
    <col min="14621" max="14621" width="9.28571428571429" customWidth="1"/>
    <col min="14622" max="14622" width="10.2857142857143" customWidth="1"/>
    <col min="14623" max="14623" width="9.14285714285714" customWidth="1"/>
    <col min="14624" max="14625" width="9.28571428571429" customWidth="1"/>
    <col min="14626" max="14626" width="4.71428571428571" customWidth="1"/>
    <col min="14627" max="14628" width="9.28571428571429" customWidth="1"/>
    <col min="14629" max="14629" width="4.71428571428571" customWidth="1"/>
    <col min="14630" max="14631" width="9.28571428571429" customWidth="1"/>
    <col min="14632" max="14632" width="4" customWidth="1"/>
    <col min="14633" max="14633" width="10.5714285714286" customWidth="1"/>
    <col min="14635" max="14635" width="10.5714285714286" customWidth="1"/>
    <col min="14638" max="14638" width="10.2857142857143" customWidth="1"/>
    <col min="14639" max="14639" width="9.28571428571429" customWidth="1"/>
    <col min="14640" max="14640" width="10.2857142857143" customWidth="1"/>
    <col min="14849" max="14849" width="13.7142857142857" customWidth="1"/>
    <col min="14850" max="14851" width="9.85714285714286" customWidth="1"/>
    <col min="14852" max="14852" width="10" customWidth="1"/>
    <col min="14853" max="14854" width="9.28571428571429" customWidth="1"/>
    <col min="14855" max="14855" width="4" customWidth="1"/>
    <col min="14856" max="14857" width="9.28571428571429" customWidth="1"/>
    <col min="14858" max="14858" width="4.71428571428571" customWidth="1"/>
    <col min="14859" max="14860" width="9.28571428571429" customWidth="1"/>
    <col min="14861" max="14861" width="10" customWidth="1"/>
    <col min="14862" max="14863" width="9.28571428571429" customWidth="1"/>
    <col min="14864" max="14864" width="10" customWidth="1"/>
    <col min="14865" max="14866" width="9.28571428571429" customWidth="1"/>
    <col min="14867" max="14867" width="4.71428571428571" customWidth="1"/>
    <col min="14868" max="14869" width="9.28571428571429" customWidth="1"/>
    <col min="14870" max="14870" width="8.71428571428571" customWidth="1"/>
    <col min="14871" max="14872" width="9.28571428571429" customWidth="1"/>
    <col min="14873" max="14873" width="7" customWidth="1"/>
    <col min="14874" max="14875" width="9.28571428571429" customWidth="1"/>
    <col min="14876" max="14876" width="4.71428571428571" customWidth="1"/>
    <col min="14877" max="14877" width="9.28571428571429" customWidth="1"/>
    <col min="14878" max="14878" width="10.2857142857143" customWidth="1"/>
    <col min="14879" max="14879" width="9.14285714285714" customWidth="1"/>
    <col min="14880" max="14881" width="9.28571428571429" customWidth="1"/>
    <col min="14882" max="14882" width="4.71428571428571" customWidth="1"/>
    <col min="14883" max="14884" width="9.28571428571429" customWidth="1"/>
    <col min="14885" max="14885" width="4.71428571428571" customWidth="1"/>
    <col min="14886" max="14887" width="9.28571428571429" customWidth="1"/>
    <col min="14888" max="14888" width="4" customWidth="1"/>
    <col min="14889" max="14889" width="10.5714285714286" customWidth="1"/>
    <col min="14891" max="14891" width="10.5714285714286" customWidth="1"/>
    <col min="14894" max="14894" width="10.2857142857143" customWidth="1"/>
    <col min="14895" max="14895" width="9.28571428571429" customWidth="1"/>
    <col min="14896" max="14896" width="10.2857142857143" customWidth="1"/>
    <col min="15105" max="15105" width="13.7142857142857" customWidth="1"/>
    <col min="15106" max="15107" width="9.85714285714286" customWidth="1"/>
    <col min="15108" max="15108" width="10" customWidth="1"/>
    <col min="15109" max="15110" width="9.28571428571429" customWidth="1"/>
    <col min="15111" max="15111" width="4" customWidth="1"/>
    <col min="15112" max="15113" width="9.28571428571429" customWidth="1"/>
    <col min="15114" max="15114" width="4.71428571428571" customWidth="1"/>
    <col min="15115" max="15116" width="9.28571428571429" customWidth="1"/>
    <col min="15117" max="15117" width="10" customWidth="1"/>
    <col min="15118" max="15119" width="9.28571428571429" customWidth="1"/>
    <col min="15120" max="15120" width="10" customWidth="1"/>
    <col min="15121" max="15122" width="9.28571428571429" customWidth="1"/>
    <col min="15123" max="15123" width="4.71428571428571" customWidth="1"/>
    <col min="15124" max="15125" width="9.28571428571429" customWidth="1"/>
    <col min="15126" max="15126" width="8.71428571428571" customWidth="1"/>
    <col min="15127" max="15128" width="9.28571428571429" customWidth="1"/>
    <col min="15129" max="15129" width="7" customWidth="1"/>
    <col min="15130" max="15131" width="9.28571428571429" customWidth="1"/>
    <col min="15132" max="15132" width="4.71428571428571" customWidth="1"/>
    <col min="15133" max="15133" width="9.28571428571429" customWidth="1"/>
    <col min="15134" max="15134" width="10.2857142857143" customWidth="1"/>
    <col min="15135" max="15135" width="9.14285714285714" customWidth="1"/>
    <col min="15136" max="15137" width="9.28571428571429" customWidth="1"/>
    <col min="15138" max="15138" width="4.71428571428571" customWidth="1"/>
    <col min="15139" max="15140" width="9.28571428571429" customWidth="1"/>
    <col min="15141" max="15141" width="4.71428571428571" customWidth="1"/>
    <col min="15142" max="15143" width="9.28571428571429" customWidth="1"/>
    <col min="15144" max="15144" width="4" customWidth="1"/>
    <col min="15145" max="15145" width="10.5714285714286" customWidth="1"/>
    <col min="15147" max="15147" width="10.5714285714286" customWidth="1"/>
    <col min="15150" max="15150" width="10.2857142857143" customWidth="1"/>
    <col min="15151" max="15151" width="9.28571428571429" customWidth="1"/>
    <col min="15152" max="15152" width="10.2857142857143" customWidth="1"/>
    <col min="15361" max="15361" width="13.7142857142857" customWidth="1"/>
    <col min="15362" max="15363" width="9.85714285714286" customWidth="1"/>
    <col min="15364" max="15364" width="10" customWidth="1"/>
    <col min="15365" max="15366" width="9.28571428571429" customWidth="1"/>
    <col min="15367" max="15367" width="4" customWidth="1"/>
    <col min="15368" max="15369" width="9.28571428571429" customWidth="1"/>
    <col min="15370" max="15370" width="4.71428571428571" customWidth="1"/>
    <col min="15371" max="15372" width="9.28571428571429" customWidth="1"/>
    <col min="15373" max="15373" width="10" customWidth="1"/>
    <col min="15374" max="15375" width="9.28571428571429" customWidth="1"/>
    <col min="15376" max="15376" width="10" customWidth="1"/>
    <col min="15377" max="15378" width="9.28571428571429" customWidth="1"/>
    <col min="15379" max="15379" width="4.71428571428571" customWidth="1"/>
    <col min="15380" max="15381" width="9.28571428571429" customWidth="1"/>
    <col min="15382" max="15382" width="8.71428571428571" customWidth="1"/>
    <col min="15383" max="15384" width="9.28571428571429" customWidth="1"/>
    <col min="15385" max="15385" width="7" customWidth="1"/>
    <col min="15386" max="15387" width="9.28571428571429" customWidth="1"/>
    <col min="15388" max="15388" width="4.71428571428571" customWidth="1"/>
    <col min="15389" max="15389" width="9.28571428571429" customWidth="1"/>
    <col min="15390" max="15390" width="10.2857142857143" customWidth="1"/>
    <col min="15391" max="15391" width="9.14285714285714" customWidth="1"/>
    <col min="15392" max="15393" width="9.28571428571429" customWidth="1"/>
    <col min="15394" max="15394" width="4.71428571428571" customWidth="1"/>
    <col min="15395" max="15396" width="9.28571428571429" customWidth="1"/>
    <col min="15397" max="15397" width="4.71428571428571" customWidth="1"/>
    <col min="15398" max="15399" width="9.28571428571429" customWidth="1"/>
    <col min="15400" max="15400" width="4" customWidth="1"/>
    <col min="15401" max="15401" width="10.5714285714286" customWidth="1"/>
    <col min="15403" max="15403" width="10.5714285714286" customWidth="1"/>
    <col min="15406" max="15406" width="10.2857142857143" customWidth="1"/>
    <col min="15407" max="15407" width="9.28571428571429" customWidth="1"/>
    <col min="15408" max="15408" width="10.2857142857143" customWidth="1"/>
    <col min="15617" max="15617" width="13.7142857142857" customWidth="1"/>
    <col min="15618" max="15619" width="9.85714285714286" customWidth="1"/>
    <col min="15620" max="15620" width="10" customWidth="1"/>
    <col min="15621" max="15622" width="9.28571428571429" customWidth="1"/>
    <col min="15623" max="15623" width="4" customWidth="1"/>
    <col min="15624" max="15625" width="9.28571428571429" customWidth="1"/>
    <col min="15626" max="15626" width="4.71428571428571" customWidth="1"/>
    <col min="15627" max="15628" width="9.28571428571429" customWidth="1"/>
    <col min="15629" max="15629" width="10" customWidth="1"/>
    <col min="15630" max="15631" width="9.28571428571429" customWidth="1"/>
    <col min="15632" max="15632" width="10" customWidth="1"/>
    <col min="15633" max="15634" width="9.28571428571429" customWidth="1"/>
    <col min="15635" max="15635" width="4.71428571428571" customWidth="1"/>
    <col min="15636" max="15637" width="9.28571428571429" customWidth="1"/>
    <col min="15638" max="15638" width="8.71428571428571" customWidth="1"/>
    <col min="15639" max="15640" width="9.28571428571429" customWidth="1"/>
    <col min="15641" max="15641" width="7" customWidth="1"/>
    <col min="15642" max="15643" width="9.28571428571429" customWidth="1"/>
    <col min="15644" max="15644" width="4.71428571428571" customWidth="1"/>
    <col min="15645" max="15645" width="9.28571428571429" customWidth="1"/>
    <col min="15646" max="15646" width="10.2857142857143" customWidth="1"/>
    <col min="15647" max="15647" width="9.14285714285714" customWidth="1"/>
    <col min="15648" max="15649" width="9.28571428571429" customWidth="1"/>
    <col min="15650" max="15650" width="4.71428571428571" customWidth="1"/>
    <col min="15651" max="15652" width="9.28571428571429" customWidth="1"/>
    <col min="15653" max="15653" width="4.71428571428571" customWidth="1"/>
    <col min="15654" max="15655" width="9.28571428571429" customWidth="1"/>
    <col min="15656" max="15656" width="4" customWidth="1"/>
    <col min="15657" max="15657" width="10.5714285714286" customWidth="1"/>
    <col min="15659" max="15659" width="10.5714285714286" customWidth="1"/>
    <col min="15662" max="15662" width="10.2857142857143" customWidth="1"/>
    <col min="15663" max="15663" width="9.28571428571429" customWidth="1"/>
    <col min="15664" max="15664" width="10.2857142857143" customWidth="1"/>
    <col min="15873" max="15873" width="13.7142857142857" customWidth="1"/>
    <col min="15874" max="15875" width="9.85714285714286" customWidth="1"/>
    <col min="15876" max="15876" width="10" customWidth="1"/>
    <col min="15877" max="15878" width="9.28571428571429" customWidth="1"/>
    <col min="15879" max="15879" width="4" customWidth="1"/>
    <col min="15880" max="15881" width="9.28571428571429" customWidth="1"/>
    <col min="15882" max="15882" width="4.71428571428571" customWidth="1"/>
    <col min="15883" max="15884" width="9.28571428571429" customWidth="1"/>
    <col min="15885" max="15885" width="10" customWidth="1"/>
    <col min="15886" max="15887" width="9.28571428571429" customWidth="1"/>
    <col min="15888" max="15888" width="10" customWidth="1"/>
    <col min="15889" max="15890" width="9.28571428571429" customWidth="1"/>
    <col min="15891" max="15891" width="4.71428571428571" customWidth="1"/>
    <col min="15892" max="15893" width="9.28571428571429" customWidth="1"/>
    <col min="15894" max="15894" width="8.71428571428571" customWidth="1"/>
    <col min="15895" max="15896" width="9.28571428571429" customWidth="1"/>
    <col min="15897" max="15897" width="7" customWidth="1"/>
    <col min="15898" max="15899" width="9.28571428571429" customWidth="1"/>
    <col min="15900" max="15900" width="4.71428571428571" customWidth="1"/>
    <col min="15901" max="15901" width="9.28571428571429" customWidth="1"/>
    <col min="15902" max="15902" width="10.2857142857143" customWidth="1"/>
    <col min="15903" max="15903" width="9.14285714285714" customWidth="1"/>
    <col min="15904" max="15905" width="9.28571428571429" customWidth="1"/>
    <col min="15906" max="15906" width="4.71428571428571" customWidth="1"/>
    <col min="15907" max="15908" width="9.28571428571429" customWidth="1"/>
    <col min="15909" max="15909" width="4.71428571428571" customWidth="1"/>
    <col min="15910" max="15911" width="9.28571428571429" customWidth="1"/>
    <col min="15912" max="15912" width="4" customWidth="1"/>
    <col min="15913" max="15913" width="10.5714285714286" customWidth="1"/>
    <col min="15915" max="15915" width="10.5714285714286" customWidth="1"/>
    <col min="15918" max="15918" width="10.2857142857143" customWidth="1"/>
    <col min="15919" max="15919" width="9.28571428571429" customWidth="1"/>
    <col min="15920" max="15920" width="10.2857142857143" customWidth="1"/>
    <col min="16129" max="16129" width="13.7142857142857" customWidth="1"/>
    <col min="16130" max="16131" width="9.85714285714286" customWidth="1"/>
    <col min="16132" max="16132" width="10" customWidth="1"/>
    <col min="16133" max="16134" width="9.28571428571429" customWidth="1"/>
    <col min="16135" max="16135" width="4" customWidth="1"/>
    <col min="16136" max="16137" width="9.28571428571429" customWidth="1"/>
    <col min="16138" max="16138" width="4.71428571428571" customWidth="1"/>
    <col min="16139" max="16140" width="9.28571428571429" customWidth="1"/>
    <col min="16141" max="16141" width="10" customWidth="1"/>
    <col min="16142" max="16143" width="9.28571428571429" customWidth="1"/>
    <col min="16144" max="16144" width="10" customWidth="1"/>
    <col min="16145" max="16146" width="9.28571428571429" customWidth="1"/>
    <col min="16147" max="16147" width="4.71428571428571" customWidth="1"/>
    <col min="16148" max="16149" width="9.28571428571429" customWidth="1"/>
    <col min="16150" max="16150" width="8.71428571428571" customWidth="1"/>
    <col min="16151" max="16152" width="9.28571428571429" customWidth="1"/>
    <col min="16153" max="16153" width="7" customWidth="1"/>
    <col min="16154" max="16155" width="9.28571428571429" customWidth="1"/>
    <col min="16156" max="16156" width="4.71428571428571" customWidth="1"/>
    <col min="16157" max="16157" width="9.28571428571429" customWidth="1"/>
    <col min="16158" max="16158" width="10.2857142857143" customWidth="1"/>
    <col min="16159" max="16159" width="9.14285714285714" customWidth="1"/>
    <col min="16160" max="16161" width="9.28571428571429" customWidth="1"/>
    <col min="16162" max="16162" width="4.71428571428571" customWidth="1"/>
    <col min="16163" max="16164" width="9.28571428571429" customWidth="1"/>
    <col min="16165" max="16165" width="4.71428571428571" customWidth="1"/>
    <col min="16166" max="16167" width="9.28571428571429" customWidth="1"/>
    <col min="16168" max="16168" width="4" customWidth="1"/>
    <col min="16169" max="16169" width="10.5714285714286" customWidth="1"/>
    <col min="16171" max="16171" width="10.5714285714286" customWidth="1"/>
    <col min="16174" max="16174" width="10.2857142857143" customWidth="1"/>
    <col min="16175" max="16175" width="9.28571428571429" customWidth="1"/>
    <col min="16176" max="16176" width="10.2857142857143" customWidth="1"/>
  </cols>
  <sheetData>
    <row r="1" ht="14.25"/>
    <row r="2" ht="15" spans="1:40">
      <c r="A2" s="1929"/>
      <c r="B2" s="3259" t="s">
        <v>16</v>
      </c>
      <c r="C2" s="3260"/>
      <c r="D2" s="3261"/>
      <c r="E2" s="3278" t="s">
        <v>17</v>
      </c>
      <c r="F2" s="3279"/>
      <c r="G2" s="3280"/>
      <c r="H2" s="3281" t="s">
        <v>18</v>
      </c>
      <c r="I2" s="3279"/>
      <c r="J2" s="3280"/>
      <c r="K2" s="3281" t="s">
        <v>19</v>
      </c>
      <c r="L2" s="3279"/>
      <c r="M2" s="3296"/>
      <c r="N2" s="3278" t="s">
        <v>20</v>
      </c>
      <c r="O2" s="3279"/>
      <c r="P2" s="3280"/>
      <c r="Q2" s="3281" t="s">
        <v>21</v>
      </c>
      <c r="R2" s="3279"/>
      <c r="S2" s="3296"/>
      <c r="T2" s="3278" t="s">
        <v>22</v>
      </c>
      <c r="U2" s="3279"/>
      <c r="V2" s="3280"/>
      <c r="W2" s="3278" t="s">
        <v>23</v>
      </c>
      <c r="X2" s="3279"/>
      <c r="Y2" s="3280"/>
      <c r="Z2" s="3278" t="s">
        <v>24</v>
      </c>
      <c r="AA2" s="3279"/>
      <c r="AB2" s="3280"/>
      <c r="AC2" s="3278" t="s">
        <v>25</v>
      </c>
      <c r="AD2" s="3279"/>
      <c r="AE2" s="3280"/>
      <c r="AF2" s="3278" t="s">
        <v>26</v>
      </c>
      <c r="AG2" s="3279"/>
      <c r="AH2" s="3280"/>
      <c r="AI2" s="3278" t="s">
        <v>27</v>
      </c>
      <c r="AJ2" s="3279"/>
      <c r="AK2" s="3280"/>
      <c r="AL2" s="3278" t="s">
        <v>28</v>
      </c>
      <c r="AM2" s="3279"/>
      <c r="AN2" s="3280"/>
    </row>
    <row r="3" ht="15.75" spans="1:48">
      <c r="A3" s="1490"/>
      <c r="B3" s="3262" t="s">
        <v>29</v>
      </c>
      <c r="C3" s="3263" t="s">
        <v>30</v>
      </c>
      <c r="D3" s="3264" t="s">
        <v>31</v>
      </c>
      <c r="E3" s="3282" t="s">
        <v>29</v>
      </c>
      <c r="F3" s="3283" t="s">
        <v>30</v>
      </c>
      <c r="G3" s="3284" t="s">
        <v>31</v>
      </c>
      <c r="H3" s="3285" t="s">
        <v>29</v>
      </c>
      <c r="I3" s="3283" t="s">
        <v>30</v>
      </c>
      <c r="J3" s="3284" t="s">
        <v>31</v>
      </c>
      <c r="K3" s="3285" t="s">
        <v>29</v>
      </c>
      <c r="L3" s="3283" t="s">
        <v>30</v>
      </c>
      <c r="M3" s="3297" t="s">
        <v>31</v>
      </c>
      <c r="N3" s="3282" t="s">
        <v>29</v>
      </c>
      <c r="O3" s="3283" t="s">
        <v>30</v>
      </c>
      <c r="P3" s="3284" t="s">
        <v>31</v>
      </c>
      <c r="Q3" s="3285" t="s">
        <v>29</v>
      </c>
      <c r="R3" s="3283" t="s">
        <v>30</v>
      </c>
      <c r="S3" s="3284" t="s">
        <v>31</v>
      </c>
      <c r="T3" s="3282" t="s">
        <v>29</v>
      </c>
      <c r="U3" s="3283" t="s">
        <v>30</v>
      </c>
      <c r="V3" s="3284" t="s">
        <v>31</v>
      </c>
      <c r="W3" s="3282" t="s">
        <v>29</v>
      </c>
      <c r="X3" s="3283" t="s">
        <v>30</v>
      </c>
      <c r="Y3" s="3284" t="s">
        <v>31</v>
      </c>
      <c r="Z3" s="3282" t="s">
        <v>29</v>
      </c>
      <c r="AA3" s="3283" t="s">
        <v>30</v>
      </c>
      <c r="AB3" s="3284" t="s">
        <v>31</v>
      </c>
      <c r="AC3" s="3282" t="s">
        <v>29</v>
      </c>
      <c r="AD3" s="3283" t="s">
        <v>30</v>
      </c>
      <c r="AE3" s="3284" t="s">
        <v>31</v>
      </c>
      <c r="AF3" s="3282" t="s">
        <v>29</v>
      </c>
      <c r="AG3" s="3283" t="s">
        <v>30</v>
      </c>
      <c r="AH3" s="3284" t="s">
        <v>31</v>
      </c>
      <c r="AI3" s="3282" t="s">
        <v>29</v>
      </c>
      <c r="AJ3" s="3283" t="s">
        <v>30</v>
      </c>
      <c r="AK3" s="3284" t="s">
        <v>31</v>
      </c>
      <c r="AL3" s="3282" t="s">
        <v>29</v>
      </c>
      <c r="AM3" s="3283" t="s">
        <v>30</v>
      </c>
      <c r="AN3" s="3284" t="s">
        <v>31</v>
      </c>
      <c r="AS3" s="3308"/>
      <c r="AT3" s="3308"/>
      <c r="AU3" s="3309"/>
      <c r="AV3" s="122"/>
    </row>
    <row r="4" spans="1:46">
      <c r="A4" s="727" t="s">
        <v>32</v>
      </c>
      <c r="B4" s="3265">
        <v>195845</v>
      </c>
      <c r="C4" s="3266">
        <f>'Stock Valuation (FIFO)'!B5</f>
        <v>195845</v>
      </c>
      <c r="D4" s="3267">
        <f>B4-C4</f>
        <v>0</v>
      </c>
      <c r="E4" s="3286">
        <v>180315</v>
      </c>
      <c r="F4" s="3287">
        <f>'Stock Valuation (FIFO)'!E5</f>
        <v>180315</v>
      </c>
      <c r="G4" s="3288">
        <f>IF(F4=0,0,(E4-F4))</f>
        <v>0</v>
      </c>
      <c r="H4" s="3286">
        <v>147410</v>
      </c>
      <c r="I4" s="3287">
        <f>'Stock Valuation (FIFO)'!H5</f>
        <v>147410</v>
      </c>
      <c r="J4" s="3288">
        <f>IF(I4=0,0,(H4-I4))</f>
        <v>0</v>
      </c>
      <c r="K4" s="3286">
        <v>164125</v>
      </c>
      <c r="L4" s="3287">
        <f>'Stock Valuation (FIFO)'!K5</f>
        <v>164125</v>
      </c>
      <c r="M4" s="3288">
        <f>IF(L4=0,0,(K4-L4))</f>
        <v>0</v>
      </c>
      <c r="N4" s="3286">
        <v>146140</v>
      </c>
      <c r="O4" s="3287">
        <f>'Stock Valuation (FIFO)'!N5</f>
        <v>146140</v>
      </c>
      <c r="P4" s="3288">
        <f>IF(O4=0,0,(N4-O4))</f>
        <v>0</v>
      </c>
      <c r="Q4" s="3286">
        <v>187620</v>
      </c>
      <c r="R4" s="3287">
        <f>' Qty Analysis'!N8</f>
        <v>187620</v>
      </c>
      <c r="S4" s="3288">
        <f>IF(R4=0,0,(Q4-R4))</f>
        <v>0</v>
      </c>
      <c r="T4" s="3286">
        <v>114680</v>
      </c>
      <c r="U4" s="3287">
        <f>'Stock Valuation (FIFO)'!T5</f>
        <v>114680</v>
      </c>
      <c r="V4" s="3288">
        <f>IF(U4=0,0,(T4-U4))</f>
        <v>0</v>
      </c>
      <c r="W4" s="3302">
        <v>139725</v>
      </c>
      <c r="X4" s="3287">
        <f>'Stock Valuation (FIFO)'!W5</f>
        <v>139725</v>
      </c>
      <c r="Y4" s="3288">
        <f>IF(X4=0,0,(W4-X4))</f>
        <v>0</v>
      </c>
      <c r="Z4" s="3286">
        <v>164310</v>
      </c>
      <c r="AA4" s="3287">
        <f>'Stock Valuation (FIFO)'!Z5</f>
        <v>164310</v>
      </c>
      <c r="AB4" s="3288">
        <f>IF(AA4=0,0,(Z4-AA4))</f>
        <v>0</v>
      </c>
      <c r="AC4" s="3286">
        <v>135475</v>
      </c>
      <c r="AD4" s="3287">
        <f>'Stock Valuation (FIFO)'!AC5</f>
        <v>135475</v>
      </c>
      <c r="AE4" s="3288">
        <f>IF(AD4=0,0,(AC4-AD4))</f>
        <v>0</v>
      </c>
      <c r="AF4" s="3286">
        <v>174670</v>
      </c>
      <c r="AG4" s="3287">
        <v>174670</v>
      </c>
      <c r="AH4" s="3288">
        <f t="shared" ref="AH4:AH18" si="0">IF(AG4=0,0,(AF4-AG4))</f>
        <v>0</v>
      </c>
      <c r="AI4" s="3286">
        <v>154290</v>
      </c>
      <c r="AJ4" s="3287">
        <f>'Stock Valuation (FIFO)'!AI5</f>
        <v>154290</v>
      </c>
      <c r="AK4" s="3288">
        <f>IF(AJ4=0,0,(AI4-AJ4))</f>
        <v>0</v>
      </c>
      <c r="AL4" s="3286">
        <v>141140</v>
      </c>
      <c r="AM4" s="3287">
        <f>'Stock Valuation (FIFO)'!AL5</f>
        <v>141140</v>
      </c>
      <c r="AN4" s="3288">
        <f>IF(AM4=0,0,(AL4-AM4))</f>
        <v>0</v>
      </c>
      <c r="AT4" s="159"/>
    </row>
    <row r="5" spans="1:48">
      <c r="A5" s="1482" t="s">
        <v>33</v>
      </c>
      <c r="B5" s="3268">
        <v>1664</v>
      </c>
      <c r="C5" s="3266">
        <f>'Stock Valuation (FIFO)'!B6</f>
        <v>1664</v>
      </c>
      <c r="D5" s="3269">
        <f t="shared" ref="D5:D18" si="1">B5-C5</f>
        <v>0</v>
      </c>
      <c r="E5" s="3289">
        <v>2120.4</v>
      </c>
      <c r="F5" s="3287">
        <f>'Stock Valuation (FIFO)'!E6</f>
        <v>2120</v>
      </c>
      <c r="G5" s="3288">
        <f>IF(F5=0,0,(E5-F5))</f>
        <v>0.400000000000091</v>
      </c>
      <c r="H5" s="3289">
        <v>2293.7</v>
      </c>
      <c r="I5" s="3287">
        <f>'Stock Valuation (FIFO)'!H6</f>
        <v>2294</v>
      </c>
      <c r="J5" s="3288">
        <f>IF(I5=0,0,(H5-I5))</f>
        <v>-0.300000000000182</v>
      </c>
      <c r="K5" s="3289">
        <v>2613.1</v>
      </c>
      <c r="L5" s="3287">
        <f>'Stock Valuation (FIFO)'!K6</f>
        <v>2613</v>
      </c>
      <c r="M5" s="3288">
        <f>IF(L5=0,0,(K5-L5))</f>
        <v>0.0999999999999091</v>
      </c>
      <c r="N5" s="3289">
        <v>2768.7</v>
      </c>
      <c r="O5" s="3287">
        <f>'Stock Valuation (FIFO)'!N6</f>
        <v>2769</v>
      </c>
      <c r="P5" s="3288">
        <f>IF(O5=0,0,(N5-O5))</f>
        <v>-0.300000000000182</v>
      </c>
      <c r="Q5" s="3289">
        <v>3082.1</v>
      </c>
      <c r="R5" s="3287">
        <f>' Qty Analysis'!N21</f>
        <v>3082</v>
      </c>
      <c r="S5" s="3288">
        <f>IF(R5=0,0,(Q5-R5))</f>
        <v>0.0999999999999091</v>
      </c>
      <c r="T5" s="3289">
        <v>2819.3</v>
      </c>
      <c r="U5" s="3287">
        <f>'Stock Valuation (FIFO)'!T6</f>
        <v>2819</v>
      </c>
      <c r="V5" s="3288">
        <f>IF(U5=0,0,(T5-U5))</f>
        <v>0.300000000000182</v>
      </c>
      <c r="W5" s="3303">
        <v>2895.3</v>
      </c>
      <c r="X5" s="3287">
        <f>'Stock Valuation (FIFO)'!W6</f>
        <v>2895</v>
      </c>
      <c r="Y5" s="3288">
        <f>IF(X5=0,0,(W5-X5))</f>
        <v>0.300000000000182</v>
      </c>
      <c r="Z5" s="3289">
        <v>2396.4</v>
      </c>
      <c r="AA5" s="3287">
        <f>'Stock Valuation (FIFO)'!Z6</f>
        <v>2396</v>
      </c>
      <c r="AB5" s="3288">
        <f>IF(AA5=0,0,(Z5-AA5))</f>
        <v>0.400000000000091</v>
      </c>
      <c r="AC5" s="3289">
        <v>2395.2</v>
      </c>
      <c r="AD5" s="3287">
        <f>'Stock Valuation (FIFO)'!AC6</f>
        <v>2395</v>
      </c>
      <c r="AE5" s="3288">
        <f>IF(AD5=0,0,(AC5-AD5))</f>
        <v>0.199999999999818</v>
      </c>
      <c r="AF5" s="3289">
        <v>2511.2</v>
      </c>
      <c r="AG5" s="3287">
        <v>2511</v>
      </c>
      <c r="AH5" s="3288">
        <f t="shared" si="0"/>
        <v>0.199999999999818</v>
      </c>
      <c r="AI5" s="3289">
        <v>3260.1</v>
      </c>
      <c r="AJ5" s="3287">
        <f>'Stock Valuation (FIFO)'!AI6</f>
        <v>3260</v>
      </c>
      <c r="AK5" s="3288">
        <f>IF(AJ5=0,0,(AI5-AJ5))</f>
        <v>0.0999999999999091</v>
      </c>
      <c r="AL5" s="3289">
        <v>2329.6</v>
      </c>
      <c r="AM5" s="3287">
        <f>'Stock Valuation (FIFO)'!AL6</f>
        <v>2330</v>
      </c>
      <c r="AN5" s="3288">
        <f>IF(AM5=0,0,(AL5-AM5))</f>
        <v>-0.400000000000091</v>
      </c>
      <c r="AT5" s="159"/>
      <c r="AU5" s="159"/>
      <c r="AV5" s="159"/>
    </row>
    <row r="6" ht="14.25" spans="1:48">
      <c r="A6" s="731" t="s">
        <v>34</v>
      </c>
      <c r="B6" s="3270">
        <v>32</v>
      </c>
      <c r="C6" s="3266">
        <f>'Stock Valuation (FIFO)'!B7</f>
        <v>32</v>
      </c>
      <c r="D6" s="3271">
        <f t="shared" si="1"/>
        <v>0</v>
      </c>
      <c r="E6" s="2402">
        <v>28.2</v>
      </c>
      <c r="F6" s="3287">
        <f>'Stock Valuation (FIFO)'!E7</f>
        <v>28</v>
      </c>
      <c r="G6" s="3288">
        <f>IF(F6=0,0,(E6-F6))</f>
        <v>0.199999999999999</v>
      </c>
      <c r="H6" s="2402">
        <v>40.1</v>
      </c>
      <c r="I6" s="3287">
        <f>'Stock Valuation (FIFO)'!H7</f>
        <v>37</v>
      </c>
      <c r="J6" s="3288">
        <f>IF(I6=0,0,(H6-I6))</f>
        <v>3.1</v>
      </c>
      <c r="K6" s="2402">
        <v>40.1</v>
      </c>
      <c r="L6" s="3287">
        <f>'Stock Valuation (FIFO)'!K7</f>
        <v>40</v>
      </c>
      <c r="M6" s="3288">
        <f>IF(L6=0,0,(K6-L6))</f>
        <v>0.100000000000001</v>
      </c>
      <c r="N6" s="2402">
        <v>38.4</v>
      </c>
      <c r="O6" s="3287">
        <f>'Stock Valuation (FIFO)'!N7</f>
        <v>38</v>
      </c>
      <c r="P6" s="3288">
        <f>IF(O6=0,0,(N6-O6))</f>
        <v>0.399999999999999</v>
      </c>
      <c r="Q6" s="2402">
        <v>25.6</v>
      </c>
      <c r="R6" s="3287">
        <f>' Qty Analysis'!N33</f>
        <v>26</v>
      </c>
      <c r="S6" s="3288">
        <f>IF(R6=0,0,(Q6-R6))</f>
        <v>-0.399999999999999</v>
      </c>
      <c r="T6" s="2402">
        <v>16.2</v>
      </c>
      <c r="U6" s="3287">
        <f>'Stock Valuation (FIFO)'!T7</f>
        <v>16</v>
      </c>
      <c r="V6" s="3288">
        <f>IF(U6=0,0,(T6-U6))</f>
        <v>0.199999999999999</v>
      </c>
      <c r="W6" s="730">
        <v>40.9</v>
      </c>
      <c r="X6" s="3287">
        <f>'Stock Valuation (FIFO)'!W7</f>
        <v>41</v>
      </c>
      <c r="Y6" s="3288">
        <f>IF(X6=0,0,(W6-X6))</f>
        <v>-0.100000000000001</v>
      </c>
      <c r="Z6" s="2402">
        <v>46</v>
      </c>
      <c r="AA6" s="3287">
        <f>'Stock Valuation (FIFO)'!Z7</f>
        <v>46</v>
      </c>
      <c r="AB6" s="3288">
        <f>IF(AA6=0,0,(Z6-AA6))</f>
        <v>0</v>
      </c>
      <c r="AC6" s="2402">
        <v>40.3</v>
      </c>
      <c r="AD6" s="3287">
        <f>'Stock Valuation (FIFO)'!AC7</f>
        <v>40</v>
      </c>
      <c r="AE6" s="3288">
        <f>IF(AD6=0,0,(AC6-AD6))</f>
        <v>0.299999999999997</v>
      </c>
      <c r="AF6" s="2402">
        <v>40.1</v>
      </c>
      <c r="AG6" s="3287">
        <v>40</v>
      </c>
      <c r="AH6" s="3288">
        <f t="shared" si="0"/>
        <v>0.100000000000001</v>
      </c>
      <c r="AI6" s="2402">
        <v>38.8</v>
      </c>
      <c r="AJ6" s="3287">
        <f>'Stock Valuation (FIFO)'!AI7</f>
        <v>38</v>
      </c>
      <c r="AK6" s="3288">
        <f>IF(AJ6=0,0,(AI6-AJ6))</f>
        <v>0.799999999999997</v>
      </c>
      <c r="AL6" s="2402">
        <v>19</v>
      </c>
      <c r="AM6" s="3287">
        <f>'Stock Valuation (FIFO)'!AL7</f>
        <v>19</v>
      </c>
      <c r="AN6" s="3288">
        <f>IF(AM6=0,0,(AL6-AM6))</f>
        <v>0</v>
      </c>
      <c r="AT6" s="159"/>
      <c r="AU6" s="159"/>
      <c r="AV6" s="3275"/>
    </row>
    <row r="7" ht="14.25" spans="1:47">
      <c r="A7" s="180" t="s">
        <v>35</v>
      </c>
      <c r="B7" s="3272">
        <f>SUM(B4:B6)</f>
        <v>197541</v>
      </c>
      <c r="C7" s="3273">
        <f>SUM(C4:C6)</f>
        <v>197541</v>
      </c>
      <c r="D7" s="3274">
        <f t="shared" si="1"/>
        <v>0</v>
      </c>
      <c r="E7" s="740">
        <f>SUM(E4:E6)</f>
        <v>182463.6</v>
      </c>
      <c r="F7" s="3290">
        <f>SUM(F4:F6)</f>
        <v>182463</v>
      </c>
      <c r="G7" s="3291">
        <f>IF(F7=0,0,(E7-F7))</f>
        <v>0.600000000005821</v>
      </c>
      <c r="H7" s="740">
        <f>SUM(H4:H6)</f>
        <v>149743.8</v>
      </c>
      <c r="I7" s="3290">
        <f>SUM(I4:I6)</f>
        <v>149741</v>
      </c>
      <c r="J7" s="3291">
        <f>IF(I7=0,0,(H7-I7))</f>
        <v>2.80000000001746</v>
      </c>
      <c r="K7" s="740">
        <f>SUM(K4:K6)</f>
        <v>166778.2</v>
      </c>
      <c r="L7" s="3290">
        <f>SUM(L4:L6)</f>
        <v>166778</v>
      </c>
      <c r="M7" s="3291">
        <f>IF(L7=0,0,(K7-L7))</f>
        <v>0.200000000011642</v>
      </c>
      <c r="N7" s="740">
        <f>SUM(N4:N6)</f>
        <v>148947.1</v>
      </c>
      <c r="O7" s="3290">
        <f>SUM(O4:O6)</f>
        <v>148947</v>
      </c>
      <c r="P7" s="3291">
        <f>IF(O7=0,0,(N7-O7))</f>
        <v>0.100000000005821</v>
      </c>
      <c r="Q7" s="740">
        <f>SUM(Q4:Q6)</f>
        <v>190727.7</v>
      </c>
      <c r="R7" s="3290">
        <f>SUM(R4:R6)</f>
        <v>190728</v>
      </c>
      <c r="S7" s="3291">
        <f>IF(R7=0,0,(Q7-R7))</f>
        <v>-0.299999999988358</v>
      </c>
      <c r="T7" s="740">
        <f>SUM(T4:T6)</f>
        <v>117515.5</v>
      </c>
      <c r="U7" s="3290">
        <f>SUM(U4:U6)</f>
        <v>117515</v>
      </c>
      <c r="V7" s="3291">
        <f>IF(U7=0,0,(T7-U7))</f>
        <v>0.5</v>
      </c>
      <c r="W7" s="740">
        <f>SUM(W4:W6)</f>
        <v>142661.2</v>
      </c>
      <c r="X7" s="3290">
        <f>SUM(X4:X6)</f>
        <v>142661</v>
      </c>
      <c r="Y7" s="3291">
        <f>IF(X7=0,0,(W7-X7))</f>
        <v>0.199999999982538</v>
      </c>
      <c r="Z7" s="740">
        <f>SUM(Z4:Z6)</f>
        <v>166752.4</v>
      </c>
      <c r="AA7" s="3290">
        <f>SUM(AA4:AA6)</f>
        <v>166752</v>
      </c>
      <c r="AB7" s="3291">
        <f>IF(AA7=0,0,(Z7-AA7))</f>
        <v>0.399999999994179</v>
      </c>
      <c r="AC7" s="740">
        <f>SUM(AC4:AC6)</f>
        <v>137910.5</v>
      </c>
      <c r="AD7" s="3290">
        <f>SUM(AD4:AD6)</f>
        <v>137910</v>
      </c>
      <c r="AE7" s="3291">
        <f>IF(AD7=0,0,(AC7-AD7))</f>
        <v>0.5</v>
      </c>
      <c r="AF7" s="740">
        <f>SUM(AF4:AF6)</f>
        <v>177221.3</v>
      </c>
      <c r="AG7" s="3290">
        <f>SUM(AG4:AG6)</f>
        <v>177221</v>
      </c>
      <c r="AH7" s="3291">
        <f t="shared" si="0"/>
        <v>0.300000000017462</v>
      </c>
      <c r="AI7" s="740">
        <f>SUM(AI4:AI6)</f>
        <v>157588.9</v>
      </c>
      <c r="AJ7" s="3290">
        <f>SUM(AJ4:AJ6)</f>
        <v>157588</v>
      </c>
      <c r="AK7" s="3291">
        <f>IF(AJ7=0,0,(AI7-AJ7))</f>
        <v>0.899999999994179</v>
      </c>
      <c r="AL7" s="740">
        <f>SUM(AL4:AL6)</f>
        <v>143488.6</v>
      </c>
      <c r="AM7" s="3290">
        <f>SUM(AM4:AM6)</f>
        <v>143489</v>
      </c>
      <c r="AN7" s="3291">
        <f>IF(AM7=0,0,(AL7-AM7))</f>
        <v>-0.399999999994179</v>
      </c>
      <c r="AT7" s="159"/>
      <c r="AU7" s="159"/>
    </row>
    <row r="8" ht="15" spans="1:48">
      <c r="A8" s="727" t="s">
        <v>36</v>
      </c>
      <c r="B8" s="3265">
        <v>49725</v>
      </c>
      <c r="C8" s="3266">
        <f>'Stock Valuation (FIFO)'!B10</f>
        <v>49725</v>
      </c>
      <c r="D8" s="3267">
        <f t="shared" si="1"/>
        <v>0</v>
      </c>
      <c r="E8" s="3286">
        <v>56270</v>
      </c>
      <c r="F8" s="3287">
        <f>'Stock Valuation (FIFO)'!E10</f>
        <v>56270</v>
      </c>
      <c r="G8" s="3288">
        <f t="shared" ref="G8:G18" si="2">IF(F8=0,0,(E8-F8))</f>
        <v>0</v>
      </c>
      <c r="H8" s="3286">
        <v>46564</v>
      </c>
      <c r="I8" s="3287">
        <f>'Stock Valuation (FIFO)'!H10</f>
        <v>46564</v>
      </c>
      <c r="J8" s="3288">
        <f t="shared" ref="J8:J10" si="3">IF(I8=0,0,(H8-I8))</f>
        <v>0</v>
      </c>
      <c r="K8" s="3286">
        <v>52761.2</v>
      </c>
      <c r="L8" s="3287">
        <f>'Stock Valuation (FIFO)'!K10</f>
        <v>52761</v>
      </c>
      <c r="M8" s="3288">
        <f t="shared" ref="M8:M10" si="4">IF(L8=0,0,(K8-L8))</f>
        <v>0.19999999999709</v>
      </c>
      <c r="N8" s="3286">
        <v>48737.1</v>
      </c>
      <c r="O8" s="3287">
        <f>'Stock Valuation (FIFO)'!N10</f>
        <v>48737</v>
      </c>
      <c r="P8" s="3288">
        <f t="shared" ref="P8:P10" si="5">IF(O8=0,0,(N8-O8))</f>
        <v>0.0999999999985448</v>
      </c>
      <c r="Q8" s="3286">
        <v>49389.9</v>
      </c>
      <c r="R8" s="3287">
        <f>' Qty Analysis'!N61</f>
        <v>49389.9</v>
      </c>
      <c r="S8" s="3288">
        <f t="shared" ref="S8:S10" si="6">IF(R8=0,0,(Q8-R8))</f>
        <v>0</v>
      </c>
      <c r="T8" s="3286">
        <v>56273.8</v>
      </c>
      <c r="U8" s="3287">
        <f>'Stock Valuation (FIFO)'!T10</f>
        <v>56274</v>
      </c>
      <c r="V8" s="3288">
        <f t="shared" ref="V8:V10" si="7">IF(U8=0,0,(T8-U8))</f>
        <v>-0.19999999999709</v>
      </c>
      <c r="W8" s="3286">
        <v>60795.6</v>
      </c>
      <c r="X8" s="3287">
        <f>'Stock Valuation (FIFO)'!W10</f>
        <v>60796</v>
      </c>
      <c r="Y8" s="3288">
        <f t="shared" ref="Y8:Y10" si="8">IF(X8=0,0,(W8-X8))</f>
        <v>-0.400000000001455</v>
      </c>
      <c r="Z8" s="3286">
        <v>57317.4</v>
      </c>
      <c r="AA8" s="3287">
        <f>'Stock Valuation (FIFO)'!Z10</f>
        <v>57318</v>
      </c>
      <c r="AB8" s="3288">
        <f t="shared" ref="AB8:AB10" si="9">IF(AA8=0,0,(Z8-AA8))</f>
        <v>-0.599999999998545</v>
      </c>
      <c r="AC8" s="3286">
        <v>54865.8</v>
      </c>
      <c r="AD8" s="3287">
        <f>'Stock Valuation (FIFO)'!AC10</f>
        <v>54866</v>
      </c>
      <c r="AE8" s="3288">
        <f t="shared" ref="AE8:AE10" si="10">IF(AD8=0,0,(AC8-AD8))</f>
        <v>-0.19999999999709</v>
      </c>
      <c r="AF8" s="3286">
        <v>47773.2</v>
      </c>
      <c r="AG8" s="3287">
        <v>47774</v>
      </c>
      <c r="AH8" s="3288">
        <f t="shared" si="0"/>
        <v>-0.80000000000291</v>
      </c>
      <c r="AI8" s="3286">
        <v>51821.9</v>
      </c>
      <c r="AJ8" s="3287">
        <f>'Stock Valuation (FIFO)'!AI10</f>
        <v>51822</v>
      </c>
      <c r="AK8" s="3288">
        <f t="shared" ref="AK8:AK10" si="11">IF(AJ8=0,0,(AI8-AJ8))</f>
        <v>-0.0999999999985448</v>
      </c>
      <c r="AL8" s="3302">
        <v>37996</v>
      </c>
      <c r="AM8" s="274">
        <v>37996</v>
      </c>
      <c r="AN8" s="3288">
        <f t="shared" ref="AN8:AN10" si="12">IF(AM8=0,0,(AL8-AM8))</f>
        <v>0</v>
      </c>
      <c r="AT8" s="159"/>
      <c r="AU8" s="159"/>
      <c r="AV8" s="3275"/>
    </row>
    <row r="9" ht="15.75" spans="1:48">
      <c r="A9" s="731" t="s">
        <v>37</v>
      </c>
      <c r="B9" s="3270">
        <v>76468</v>
      </c>
      <c r="C9" s="3266">
        <f>'Stock Valuation (FIFO)'!B11</f>
        <v>76468</v>
      </c>
      <c r="D9" s="3271">
        <f t="shared" si="1"/>
        <v>0</v>
      </c>
      <c r="E9" s="2402">
        <v>63905.6</v>
      </c>
      <c r="F9" s="3287">
        <f>'Stock Valuation (FIFO)'!E11</f>
        <v>63906</v>
      </c>
      <c r="G9" s="3288">
        <f t="shared" si="2"/>
        <v>-0.400000000001455</v>
      </c>
      <c r="H9" s="2402">
        <v>61851.2</v>
      </c>
      <c r="I9" s="3287">
        <f>'Stock Valuation (FIFO)'!H11</f>
        <v>61851</v>
      </c>
      <c r="J9" s="3288">
        <f t="shared" si="3"/>
        <v>0.19999999999709</v>
      </c>
      <c r="K9" s="2402">
        <v>66528</v>
      </c>
      <c r="L9" s="3287">
        <f>'Stock Valuation (FIFO)'!K11</f>
        <v>66528</v>
      </c>
      <c r="M9" s="3288">
        <f t="shared" si="4"/>
        <v>0</v>
      </c>
      <c r="N9" s="2402">
        <v>73740.4</v>
      </c>
      <c r="O9" s="3287">
        <f>'Stock Valuation (FIFO)'!N11</f>
        <v>73740</v>
      </c>
      <c r="P9" s="3288">
        <f t="shared" si="5"/>
        <v>0.399999999994179</v>
      </c>
      <c r="Q9" s="2402">
        <v>77585.9999999999</v>
      </c>
      <c r="R9" s="3294">
        <f>' Qty Analysis'!N71</f>
        <v>77584.9</v>
      </c>
      <c r="S9" s="3288">
        <f t="shared" si="6"/>
        <v>1.09999999993306</v>
      </c>
      <c r="T9" s="3298">
        <f>79105.0999999999-25</f>
        <v>79080.0999999999</v>
      </c>
      <c r="U9" s="3294">
        <f>'Stock Valuation (FIFO)'!T11</f>
        <v>79080</v>
      </c>
      <c r="V9" s="3288">
        <f t="shared" si="7"/>
        <v>0.0999999999039574</v>
      </c>
      <c r="W9" s="2402">
        <v>80193.3999999999</v>
      </c>
      <c r="X9" s="3294">
        <f>'Stock Valuation (FIFO)'!W11</f>
        <v>80193</v>
      </c>
      <c r="Y9" s="3288">
        <f t="shared" si="8"/>
        <v>0.399999999906868</v>
      </c>
      <c r="Z9" s="2402">
        <v>85004.1999999999</v>
      </c>
      <c r="AA9" s="3287">
        <f>'Stock Valuation (FIFO)'!Z11</f>
        <v>85004</v>
      </c>
      <c r="AB9" s="3288">
        <f t="shared" si="9"/>
        <v>0.199999999895226</v>
      </c>
      <c r="AC9" s="2402">
        <v>91727.1999999999</v>
      </c>
      <c r="AD9" s="3287">
        <f>'Stock Valuation (FIFO)'!AC11</f>
        <v>91727</v>
      </c>
      <c r="AE9" s="3288">
        <f t="shared" si="10"/>
        <v>0.199999999895226</v>
      </c>
      <c r="AF9" s="2402">
        <v>91742.1999999999</v>
      </c>
      <c r="AG9" s="3294">
        <v>91742</v>
      </c>
      <c r="AH9" s="3288">
        <f t="shared" si="0"/>
        <v>0.199999999895226</v>
      </c>
      <c r="AI9" s="2402">
        <v>86543.8999999999</v>
      </c>
      <c r="AJ9" s="3287">
        <f>'Stock Valuation (FIFO)'!AI11</f>
        <v>86544</v>
      </c>
      <c r="AK9" s="3288">
        <f t="shared" si="11"/>
        <v>-0.100000000093132</v>
      </c>
      <c r="AL9" s="730">
        <v>84657.2899999999</v>
      </c>
      <c r="AM9" s="269">
        <v>64171</v>
      </c>
      <c r="AN9" s="3288">
        <f t="shared" si="12"/>
        <v>20486.2899999999</v>
      </c>
      <c r="AT9" s="3310"/>
      <c r="AU9" s="3310"/>
      <c r="AV9" s="3310"/>
    </row>
    <row r="10" ht="15.75" spans="1:48">
      <c r="A10" s="180" t="s">
        <v>38</v>
      </c>
      <c r="B10" s="3272">
        <f>SUM(B8:B9)</f>
        <v>126193</v>
      </c>
      <c r="C10" s="3273">
        <f>SUM(C8:C9)</f>
        <v>126193</v>
      </c>
      <c r="D10" s="3274">
        <f t="shared" si="1"/>
        <v>0</v>
      </c>
      <c r="E10" s="740">
        <f>SUM(E8:E9)</f>
        <v>120175.6</v>
      </c>
      <c r="F10" s="3290">
        <f>SUM(F8:F9)</f>
        <v>120176</v>
      </c>
      <c r="G10" s="3291">
        <f t="shared" si="2"/>
        <v>-0.399999999994179</v>
      </c>
      <c r="H10" s="740">
        <f>SUM(H8:H9)</f>
        <v>108415.2</v>
      </c>
      <c r="I10" s="3290">
        <f>SUM(I8:I9)</f>
        <v>108415</v>
      </c>
      <c r="J10" s="3291">
        <f t="shared" si="3"/>
        <v>0.19999999999709</v>
      </c>
      <c r="K10" s="740">
        <f>SUM(K8:K9)</f>
        <v>119289.2</v>
      </c>
      <c r="L10" s="3290">
        <f>SUM(L8:L9)</f>
        <v>119289</v>
      </c>
      <c r="M10" s="3291">
        <f t="shared" si="4"/>
        <v>0.19999999999709</v>
      </c>
      <c r="N10" s="740">
        <f>SUM(N8:N9)</f>
        <v>122477.5</v>
      </c>
      <c r="O10" s="3290">
        <f>SUM(O8:O9)</f>
        <v>122477</v>
      </c>
      <c r="P10" s="3291">
        <f t="shared" si="5"/>
        <v>0.5</v>
      </c>
      <c r="Q10" s="740">
        <f>SUM(Q8:Q9)</f>
        <v>126975.9</v>
      </c>
      <c r="R10" s="3290">
        <f>SUM(R8:R9)</f>
        <v>126974.8</v>
      </c>
      <c r="S10" s="3291">
        <f t="shared" si="6"/>
        <v>1.09999999993306</v>
      </c>
      <c r="T10" s="740">
        <f>SUM(T8:T9)</f>
        <v>135353.9</v>
      </c>
      <c r="U10" s="3290">
        <f>SUM(U8:U9)</f>
        <v>135354</v>
      </c>
      <c r="V10" s="3291">
        <f t="shared" si="7"/>
        <v>-0.100000000093132</v>
      </c>
      <c r="W10" s="740">
        <f>SUM(W8:W9)</f>
        <v>140989</v>
      </c>
      <c r="X10" s="3290">
        <f>SUM(X8:X9)</f>
        <v>140989</v>
      </c>
      <c r="Y10" s="3291">
        <f t="shared" si="8"/>
        <v>0</v>
      </c>
      <c r="Z10" s="740">
        <f>SUM(Z8:Z9)</f>
        <v>142321.6</v>
      </c>
      <c r="AA10" s="3290">
        <f>SUM(AA8:AA9)</f>
        <v>142322</v>
      </c>
      <c r="AB10" s="3291">
        <f t="shared" si="9"/>
        <v>-0.400000000110595</v>
      </c>
      <c r="AC10" s="740">
        <f>SUM(AC8:AC9)</f>
        <v>146593</v>
      </c>
      <c r="AD10" s="3290">
        <f>SUM(AD8:AD9)</f>
        <v>146593</v>
      </c>
      <c r="AE10" s="3291">
        <f t="shared" si="10"/>
        <v>0</v>
      </c>
      <c r="AF10" s="740">
        <f>SUM(AF8:AF9)</f>
        <v>139515.4</v>
      </c>
      <c r="AG10" s="3290">
        <f>SUM(AG8:AG9)</f>
        <v>139516</v>
      </c>
      <c r="AH10" s="3291">
        <f t="shared" si="0"/>
        <v>-0.600000000093132</v>
      </c>
      <c r="AI10" s="740">
        <f>SUM(AI8:AI9)</f>
        <v>138365.8</v>
      </c>
      <c r="AJ10" s="3290">
        <f>SUM(AJ8:AJ9)</f>
        <v>138366</v>
      </c>
      <c r="AK10" s="3291">
        <f t="shared" si="11"/>
        <v>-0.200000000098953</v>
      </c>
      <c r="AL10" s="740">
        <f>SUM(AL8:AL9)</f>
        <v>122653.29</v>
      </c>
      <c r="AM10" s="3290">
        <f>SUM(AM8:AM9)</f>
        <v>102167</v>
      </c>
      <c r="AN10" s="3291">
        <f t="shared" si="12"/>
        <v>20486.2899999999</v>
      </c>
      <c r="AO10" t="s">
        <v>39</v>
      </c>
      <c r="AT10" s="3311"/>
      <c r="AU10" s="3311"/>
      <c r="AV10" s="159"/>
    </row>
    <row r="11" spans="1:48">
      <c r="A11" s="727" t="s">
        <v>40</v>
      </c>
      <c r="B11" s="3265">
        <v>206027</v>
      </c>
      <c r="C11" s="3266">
        <f>'Stock Valuation (FIFO)'!B14</f>
        <v>206027</v>
      </c>
      <c r="D11" s="3267">
        <f t="shared" si="1"/>
        <v>0</v>
      </c>
      <c r="E11" s="3286">
        <v>224044.9</v>
      </c>
      <c r="F11" s="3287">
        <f>'Stock Valuation (FIFO)'!E14</f>
        <v>224045</v>
      </c>
      <c r="G11" s="3288">
        <f t="shared" si="2"/>
        <v>-0.100000000005821</v>
      </c>
      <c r="H11" s="3286">
        <v>201846.3</v>
      </c>
      <c r="I11" s="3287">
        <f>'Stock Valuation (FIFO)'!H14</f>
        <v>168371</v>
      </c>
      <c r="J11" s="3288">
        <f t="shared" ref="J11:J18" si="13">IF(I11=0,0,(H11-I11))</f>
        <v>33475.3</v>
      </c>
      <c r="K11" s="3286">
        <v>191275.2</v>
      </c>
      <c r="L11" s="3287">
        <f>'Stock Valuation (FIFO)'!K14</f>
        <v>140447</v>
      </c>
      <c r="M11" s="3288">
        <f t="shared" ref="M11:M18" si="14">IF(L11=0,0,(K11-L11))</f>
        <v>50828.2</v>
      </c>
      <c r="N11" s="3286">
        <v>197795.1</v>
      </c>
      <c r="O11" s="3287">
        <f>'Stock Valuation (FIFO)'!N14</f>
        <v>130199</v>
      </c>
      <c r="P11" s="3288">
        <f t="shared" ref="P11:P18" si="15">IF(O11=0,0,(N11-O11))</f>
        <v>67596.1</v>
      </c>
      <c r="Q11" s="3286">
        <v>202309.3</v>
      </c>
      <c r="R11" s="3299">
        <f>'Stock Valuation (FIFO)'!Q14</f>
        <v>202593</v>
      </c>
      <c r="S11" s="3288">
        <f t="shared" ref="S11:S14" si="16">IF(R11=0,0,(Q11-R11))</f>
        <v>-283.700000000012</v>
      </c>
      <c r="T11" s="3286">
        <v>228721.4</v>
      </c>
      <c r="U11" s="3304">
        <f>'Stock Valuation (FIFO)'!T14</f>
        <v>228722</v>
      </c>
      <c r="V11" s="3305">
        <f t="shared" ref="V11:V15" si="17">IF(U11=0,0,(T11-U11))</f>
        <v>-0.600000000005821</v>
      </c>
      <c r="W11" s="3286">
        <v>237947.3</v>
      </c>
      <c r="X11" s="3304">
        <f>'Stock Valuation (FIFO)'!W14</f>
        <v>237947</v>
      </c>
      <c r="Y11" s="3288">
        <f t="shared" ref="Y11:Y18" si="18">IF(X11=0,0,(W11-X11))</f>
        <v>0.299999999988358</v>
      </c>
      <c r="Z11" s="3286">
        <v>218950.4</v>
      </c>
      <c r="AA11" s="3307">
        <f>'Stock Valuation (FIFO)'!Z14</f>
        <v>218951</v>
      </c>
      <c r="AB11" s="3288">
        <f t="shared" ref="AB11:AB18" si="19">IF(AA11=0,0,(Z11-AA11))</f>
        <v>-0.600000000005821</v>
      </c>
      <c r="AC11" s="3286">
        <v>255945.6</v>
      </c>
      <c r="AD11" s="3287">
        <f>'Stock Valuation (FIFO)'!AC14</f>
        <v>255947</v>
      </c>
      <c r="AE11" s="3288">
        <f t="shared" ref="AE11:AE18" si="20">IF(AD11=0,0,(AC11-AD11))</f>
        <v>-1.39999999999418</v>
      </c>
      <c r="AF11" s="3286">
        <v>261815</v>
      </c>
      <c r="AG11" s="3304">
        <v>261816</v>
      </c>
      <c r="AH11" s="3288">
        <f t="shared" si="0"/>
        <v>-1</v>
      </c>
      <c r="AI11" s="3286">
        <v>239651.2</v>
      </c>
      <c r="AJ11" s="3287">
        <f>'Stock Valuation (FIFO)'!AI14</f>
        <v>239651</v>
      </c>
      <c r="AK11" s="3288">
        <f t="shared" ref="AK11:AK18" si="21">IF(AJ11=0,0,(AI11-AJ11))</f>
        <v>0.200000000011642</v>
      </c>
      <c r="AL11" s="3286">
        <v>200810.4</v>
      </c>
      <c r="AM11" s="3287">
        <f>'Stock Valuation (FIFO)'!AL14</f>
        <v>200810</v>
      </c>
      <c r="AN11" s="3288">
        <f t="shared" ref="AN11:AN18" si="22">IF(AM11=0,0,(AL11-AM11))</f>
        <v>0.399999999994179</v>
      </c>
      <c r="AR11" s="159"/>
      <c r="AV11" s="3275"/>
    </row>
    <row r="12" spans="1:48">
      <c r="A12" s="1482" t="s">
        <v>41</v>
      </c>
      <c r="B12" s="3268">
        <v>244</v>
      </c>
      <c r="C12" s="3266">
        <f>'Trading PL'!B42</f>
        <v>244</v>
      </c>
      <c r="D12" s="3269">
        <f t="shared" si="1"/>
        <v>0</v>
      </c>
      <c r="E12" s="3289">
        <v>256.6</v>
      </c>
      <c r="F12" s="3287">
        <f>'Trading PL'!B35</f>
        <v>257</v>
      </c>
      <c r="G12" s="3288">
        <f t="shared" si="2"/>
        <v>-0.399999999999977</v>
      </c>
      <c r="H12" s="3289">
        <v>257</v>
      </c>
      <c r="I12" s="3287">
        <f>'Trading PL'!E35</f>
        <v>257</v>
      </c>
      <c r="J12" s="3288">
        <f t="shared" si="13"/>
        <v>0</v>
      </c>
      <c r="K12" s="3289">
        <v>197.1</v>
      </c>
      <c r="L12" s="3287">
        <f>'Trading PL'!H35</f>
        <v>257</v>
      </c>
      <c r="M12" s="3288">
        <f t="shared" si="14"/>
        <v>-59.9</v>
      </c>
      <c r="N12" s="3289">
        <v>197.1</v>
      </c>
      <c r="O12" s="3287">
        <f>'Trading PL'!K35</f>
        <v>197</v>
      </c>
      <c r="P12" s="3288">
        <f t="shared" si="15"/>
        <v>0.0999999999999943</v>
      </c>
      <c r="Q12" s="3289">
        <v>197.1</v>
      </c>
      <c r="R12" s="3300">
        <f>'Trading PL'!N35</f>
        <v>197</v>
      </c>
      <c r="S12" s="3288">
        <f t="shared" si="16"/>
        <v>0.0999999999999943</v>
      </c>
      <c r="T12" s="3289">
        <v>183.1</v>
      </c>
      <c r="U12" s="3300">
        <f>'Stock Valuation (FIFO)'!T16</f>
        <v>183</v>
      </c>
      <c r="V12" s="3305">
        <f t="shared" si="17"/>
        <v>0.0999999999999943</v>
      </c>
      <c r="W12" s="3289">
        <v>183.1</v>
      </c>
      <c r="X12" s="3300">
        <f>'Stock Valuation (FIFO)'!W16</f>
        <v>183</v>
      </c>
      <c r="Y12" s="3288">
        <f t="shared" si="18"/>
        <v>0.0999999999999943</v>
      </c>
      <c r="Z12" s="3289">
        <f>423.5-36.5</f>
        <v>387</v>
      </c>
      <c r="AA12" s="3300">
        <f>'Stock Valuation (FIFO)'!Z15</f>
        <v>387</v>
      </c>
      <c r="AB12" s="3288">
        <f t="shared" si="19"/>
        <v>0</v>
      </c>
      <c r="AC12" s="3289">
        <f>423.5-AC16</f>
        <v>387</v>
      </c>
      <c r="AD12" s="3287">
        <f>'Stock Valuation (FIFO)'!AC15</f>
        <v>387</v>
      </c>
      <c r="AE12" s="3288">
        <f t="shared" si="20"/>
        <v>0</v>
      </c>
      <c r="AF12" s="3289">
        <f>423.5-37</f>
        <v>386.5</v>
      </c>
      <c r="AG12" s="3300">
        <v>387</v>
      </c>
      <c r="AH12" s="3288">
        <f t="shared" si="0"/>
        <v>-0.5</v>
      </c>
      <c r="AI12" s="3289">
        <f>423.5-AI16</f>
        <v>386.5</v>
      </c>
      <c r="AJ12" s="3287">
        <f>'Stock Valuation (FIFO)'!AI15</f>
        <v>387</v>
      </c>
      <c r="AK12" s="3288">
        <f t="shared" si="21"/>
        <v>-0.5</v>
      </c>
      <c r="AL12" s="3289">
        <f>423.5-AL16</f>
        <v>386.5</v>
      </c>
      <c r="AM12" s="3287">
        <f>'Stock Valuation (FIFO)'!AL15</f>
        <v>387</v>
      </c>
      <c r="AN12" s="3288">
        <f t="shared" si="22"/>
        <v>-0.5</v>
      </c>
      <c r="AR12" s="159"/>
      <c r="AV12" s="3275"/>
    </row>
    <row r="13" spans="1:48">
      <c r="A13" s="729" t="s">
        <v>42</v>
      </c>
      <c r="B13" s="3270">
        <v>387</v>
      </c>
      <c r="C13" s="3266">
        <f>'Trading PL'!B41</f>
        <v>387</v>
      </c>
      <c r="D13" s="3271">
        <f t="shared" si="1"/>
        <v>0</v>
      </c>
      <c r="E13" s="2402">
        <v>387</v>
      </c>
      <c r="F13" s="3287">
        <f>'Trading PL'!B34</f>
        <v>387</v>
      </c>
      <c r="G13" s="3288">
        <f t="shared" si="2"/>
        <v>0</v>
      </c>
      <c r="H13" s="2402">
        <v>387</v>
      </c>
      <c r="I13" s="3287">
        <f>'Trading PL'!E34</f>
        <v>387</v>
      </c>
      <c r="J13" s="3288">
        <f t="shared" si="13"/>
        <v>0</v>
      </c>
      <c r="K13" s="2402">
        <v>387</v>
      </c>
      <c r="L13" s="3287">
        <f>'Trading PL'!H34</f>
        <v>387</v>
      </c>
      <c r="M13" s="3288">
        <f t="shared" si="14"/>
        <v>0</v>
      </c>
      <c r="N13" s="2402">
        <v>387</v>
      </c>
      <c r="O13" s="3287">
        <f>'Trading PL'!K34</f>
        <v>387</v>
      </c>
      <c r="P13" s="3288">
        <f t="shared" si="15"/>
        <v>0</v>
      </c>
      <c r="Q13" s="3301">
        <v>404</v>
      </c>
      <c r="R13" s="3294">
        <f>'Trading PL'!N34</f>
        <v>387</v>
      </c>
      <c r="S13" s="3288">
        <f t="shared" si="16"/>
        <v>17</v>
      </c>
      <c r="T13" s="2402">
        <v>410</v>
      </c>
      <c r="U13" s="3294">
        <f>'Stock Valuation (FIFO)'!T15</f>
        <v>387</v>
      </c>
      <c r="V13" s="3305">
        <f t="shared" si="17"/>
        <v>23</v>
      </c>
      <c r="W13" s="2402">
        <v>410</v>
      </c>
      <c r="X13" s="3294">
        <f>'Stock Valuation (FIFO)'!W15</f>
        <v>387</v>
      </c>
      <c r="Y13" s="3288">
        <f t="shared" si="18"/>
        <v>23</v>
      </c>
      <c r="Z13" s="2402">
        <v>183.1</v>
      </c>
      <c r="AA13" s="3300">
        <f>'Stock Valuation (FIFO)'!Z16</f>
        <v>183</v>
      </c>
      <c r="AB13" s="3288">
        <f t="shared" si="19"/>
        <v>0.0999999999999943</v>
      </c>
      <c r="AC13" s="2402">
        <v>179.1</v>
      </c>
      <c r="AD13" s="3287">
        <f>'Stock Valuation (FIFO)'!AC16</f>
        <v>179</v>
      </c>
      <c r="AE13" s="3288">
        <f t="shared" si="20"/>
        <v>0.0999999999999943</v>
      </c>
      <c r="AF13" s="2402">
        <v>179.1</v>
      </c>
      <c r="AG13" s="3294">
        <v>179</v>
      </c>
      <c r="AH13" s="3288">
        <f t="shared" si="0"/>
        <v>0.0999999999999943</v>
      </c>
      <c r="AI13" s="2402">
        <v>177.9</v>
      </c>
      <c r="AJ13" s="3287">
        <f>'Stock Valuation (FIFO)'!AI16</f>
        <v>178</v>
      </c>
      <c r="AK13" s="3288">
        <f t="shared" si="21"/>
        <v>-0.0999999999999943</v>
      </c>
      <c r="AL13" s="2402">
        <v>171.9</v>
      </c>
      <c r="AM13" s="3287">
        <f>'Stock Valuation (FIFO)'!AL16</f>
        <v>172</v>
      </c>
      <c r="AN13" s="3288">
        <f t="shared" si="22"/>
        <v>-0.0999999999999943</v>
      </c>
      <c r="AO13" s="3275"/>
      <c r="AP13" s="159"/>
      <c r="AR13" s="159"/>
      <c r="AV13" s="3275"/>
    </row>
    <row r="14" spans="1:48">
      <c r="A14" s="729" t="s">
        <v>43</v>
      </c>
      <c r="B14" s="3270"/>
      <c r="C14" s="3266">
        <f>'Trading PL'!B44</f>
        <v>0</v>
      </c>
      <c r="D14" s="3271">
        <f t="shared" si="1"/>
        <v>0</v>
      </c>
      <c r="E14" s="2402">
        <v>0</v>
      </c>
      <c r="F14" s="3287">
        <f>'Trading PL'!B38</f>
        <v>0</v>
      </c>
      <c r="G14" s="3288">
        <f t="shared" si="2"/>
        <v>0</v>
      </c>
      <c r="H14" s="2402">
        <v>0</v>
      </c>
      <c r="I14" s="3287">
        <f>'Trading PL'!E38</f>
        <v>0</v>
      </c>
      <c r="J14" s="3288">
        <f t="shared" si="13"/>
        <v>0</v>
      </c>
      <c r="K14" s="2402">
        <v>0</v>
      </c>
      <c r="L14" s="3287">
        <f>'Trading PL'!H38</f>
        <v>0</v>
      </c>
      <c r="M14" s="3288">
        <f t="shared" si="14"/>
        <v>0</v>
      </c>
      <c r="N14" s="2402">
        <v>0</v>
      </c>
      <c r="O14" s="3287">
        <f>'Trading PL'!K38</f>
        <v>0</v>
      </c>
      <c r="P14" s="3288">
        <f t="shared" si="15"/>
        <v>0</v>
      </c>
      <c r="Q14" s="3301"/>
      <c r="R14" s="3294"/>
      <c r="S14" s="3288">
        <f t="shared" si="16"/>
        <v>0</v>
      </c>
      <c r="T14" s="2402">
        <v>0</v>
      </c>
      <c r="U14" s="3294"/>
      <c r="V14" s="3305">
        <f t="shared" si="17"/>
        <v>0</v>
      </c>
      <c r="W14" s="2402">
        <v>0</v>
      </c>
      <c r="X14" s="3294"/>
      <c r="Y14" s="3288">
        <f t="shared" si="18"/>
        <v>0</v>
      </c>
      <c r="Z14" s="2402">
        <v>804.1</v>
      </c>
      <c r="AA14" s="3287">
        <f>'Stock Valuation (FIFO)'!Z17</f>
        <v>804</v>
      </c>
      <c r="AB14" s="3288">
        <f t="shared" si="19"/>
        <v>0.100000000000023</v>
      </c>
      <c r="AC14" s="2402">
        <v>391.2</v>
      </c>
      <c r="AD14" s="3287">
        <f>'Stock Valuation (FIFO)'!AC17</f>
        <v>391</v>
      </c>
      <c r="AE14" s="3288">
        <f t="shared" si="20"/>
        <v>0.199999999999989</v>
      </c>
      <c r="AF14" s="2402">
        <v>196.2</v>
      </c>
      <c r="AG14" s="3294">
        <v>196</v>
      </c>
      <c r="AH14" s="3288">
        <f t="shared" si="0"/>
        <v>0.199999999999989</v>
      </c>
      <c r="AI14" s="2402"/>
      <c r="AJ14" s="3287"/>
      <c r="AK14" s="3288">
        <f t="shared" si="21"/>
        <v>0</v>
      </c>
      <c r="AL14" s="2402">
        <v>0</v>
      </c>
      <c r="AM14" s="3287"/>
      <c r="AN14" s="3288">
        <f t="shared" si="22"/>
        <v>0</v>
      </c>
      <c r="AO14" s="3275"/>
      <c r="AV14" s="3275"/>
    </row>
    <row r="15" spans="1:48">
      <c r="A15" s="729" t="s">
        <v>44</v>
      </c>
      <c r="B15" s="3270">
        <v>75</v>
      </c>
      <c r="C15" s="3266">
        <f>'Trading PL'!B43</f>
        <v>75</v>
      </c>
      <c r="D15" s="3271">
        <f t="shared" si="1"/>
        <v>0</v>
      </c>
      <c r="E15" s="2402">
        <v>46.8000000000002</v>
      </c>
      <c r="F15" s="3287">
        <f>'Trading PL'!B37</f>
        <v>0</v>
      </c>
      <c r="G15" s="3288">
        <f t="shared" si="2"/>
        <v>0</v>
      </c>
      <c r="H15" s="2402">
        <v>36.1000000000001</v>
      </c>
      <c r="I15" s="3287">
        <f>'Trading PL'!E37</f>
        <v>0</v>
      </c>
      <c r="J15" s="3288">
        <f t="shared" si="13"/>
        <v>0</v>
      </c>
      <c r="K15" s="2402">
        <v>26.1000000000001</v>
      </c>
      <c r="L15" s="3287">
        <f>'Trading PL'!H37</f>
        <v>0</v>
      </c>
      <c r="M15" s="3288">
        <f t="shared" si="14"/>
        <v>0</v>
      </c>
      <c r="N15" s="2402">
        <v>129.1</v>
      </c>
      <c r="O15" s="3287">
        <f>'Trading PL'!K37</f>
        <v>0</v>
      </c>
      <c r="P15" s="3288">
        <f t="shared" si="15"/>
        <v>0</v>
      </c>
      <c r="Q15" s="3301">
        <v>153.1</v>
      </c>
      <c r="R15" s="3300">
        <f>'Trading PL'!N36</f>
        <v>153</v>
      </c>
      <c r="S15" s="3288">
        <f>IF(R15=0,0,(R15-Q15))</f>
        <v>-0.0999999999999943</v>
      </c>
      <c r="T15" s="2402">
        <v>450.1</v>
      </c>
      <c r="U15" s="3300">
        <f>'Stock Valuation (FIFO)'!T17</f>
        <v>450</v>
      </c>
      <c r="V15" s="3305">
        <f t="shared" si="17"/>
        <v>0.100000000000023</v>
      </c>
      <c r="W15" s="2402">
        <v>172.1</v>
      </c>
      <c r="X15" s="3300">
        <f>'Stock Valuation (FIFO)'!W17</f>
        <v>172</v>
      </c>
      <c r="Y15" s="3288">
        <f t="shared" si="18"/>
        <v>0.0999999999999943</v>
      </c>
      <c r="Z15" s="2402"/>
      <c r="AA15" s="3300"/>
      <c r="AB15" s="3288">
        <f t="shared" si="19"/>
        <v>0</v>
      </c>
      <c r="AC15" s="2402"/>
      <c r="AD15" s="3287">
        <f>'Stock Valuation (FIFO)'!AC18</f>
        <v>0</v>
      </c>
      <c r="AE15" s="3288">
        <f t="shared" si="20"/>
        <v>0</v>
      </c>
      <c r="AF15" s="2402"/>
      <c r="AG15" s="3300"/>
      <c r="AH15" s="3288">
        <f t="shared" si="0"/>
        <v>0</v>
      </c>
      <c r="AI15" s="2402">
        <v>446.2</v>
      </c>
      <c r="AJ15" s="3287">
        <f>'Stock Valuation (FIFO)'!AI17</f>
        <v>446</v>
      </c>
      <c r="AK15" s="3288">
        <f t="shared" si="21"/>
        <v>0.199999999999989</v>
      </c>
      <c r="AL15" s="2402">
        <v>446.2</v>
      </c>
      <c r="AM15" s="3287">
        <f>'Stock Valuation (FIFO)'!AL17</f>
        <v>446</v>
      </c>
      <c r="AN15" s="3288">
        <f t="shared" si="22"/>
        <v>0.199999999999989</v>
      </c>
      <c r="AV15" s="3275"/>
    </row>
    <row r="16" ht="14.25" spans="1:48">
      <c r="A16" s="731" t="s">
        <v>45</v>
      </c>
      <c r="B16" s="3270"/>
      <c r="C16" s="3266"/>
      <c r="D16" s="3271">
        <f t="shared" si="1"/>
        <v>0</v>
      </c>
      <c r="E16" s="2402"/>
      <c r="F16" s="3266"/>
      <c r="G16" s="3288">
        <f t="shared" si="2"/>
        <v>0</v>
      </c>
      <c r="H16" s="2402"/>
      <c r="I16" s="3294"/>
      <c r="J16" s="3288">
        <f t="shared" si="13"/>
        <v>0</v>
      </c>
      <c r="K16" s="2402"/>
      <c r="L16" s="3294"/>
      <c r="M16" s="3288">
        <f t="shared" si="14"/>
        <v>0</v>
      </c>
      <c r="N16" s="2402"/>
      <c r="O16" s="3294"/>
      <c r="P16" s="3288">
        <f t="shared" si="15"/>
        <v>0</v>
      </c>
      <c r="Q16" s="3301"/>
      <c r="R16" s="3275">
        <f>'Trading PL'!N38</f>
        <v>17</v>
      </c>
      <c r="S16" s="3288">
        <f>IF(R16=0,0,(R16-Q16))</f>
        <v>17</v>
      </c>
      <c r="T16" s="2402"/>
      <c r="U16" s="3306">
        <f>'Stock Valuation (FIFO)'!T19</f>
        <v>17</v>
      </c>
      <c r="W16" s="2402"/>
      <c r="X16" s="3294">
        <f>'Stock Valuation (FIFO)'!W19</f>
        <v>23</v>
      </c>
      <c r="Y16" s="3288">
        <f t="shared" si="18"/>
        <v>-23</v>
      </c>
      <c r="Z16" s="2402">
        <v>36.5</v>
      </c>
      <c r="AA16" s="3294">
        <f>'Stock Valuation (FIFO)'!Z19</f>
        <v>37</v>
      </c>
      <c r="AB16" s="3288">
        <f t="shared" si="19"/>
        <v>-0.5</v>
      </c>
      <c r="AC16" s="2402">
        <v>36.5</v>
      </c>
      <c r="AD16" s="3287">
        <f>'Stock Valuation (FIFO)'!AC19</f>
        <v>37</v>
      </c>
      <c r="AE16" s="3288">
        <f t="shared" si="20"/>
        <v>-0.5</v>
      </c>
      <c r="AF16" s="2402">
        <v>37</v>
      </c>
      <c r="AG16" s="3294">
        <v>37</v>
      </c>
      <c r="AH16" s="3288">
        <f t="shared" si="0"/>
        <v>0</v>
      </c>
      <c r="AI16" s="2402">
        <v>37</v>
      </c>
      <c r="AJ16" s="3287">
        <f>'Stock Valuation (FIFO)'!AI19</f>
        <v>37</v>
      </c>
      <c r="AK16" s="3288">
        <f t="shared" si="21"/>
        <v>0</v>
      </c>
      <c r="AL16" s="2402">
        <v>37</v>
      </c>
      <c r="AM16" s="3287">
        <f>'Stock Valuation (FIFO)'!AL19</f>
        <v>37</v>
      </c>
      <c r="AN16" s="3288">
        <f t="shared" si="22"/>
        <v>0</v>
      </c>
      <c r="AV16" s="3275"/>
    </row>
    <row r="17" ht="14.25" spans="1:48">
      <c r="A17" s="180" t="s">
        <v>46</v>
      </c>
      <c r="B17" s="3272">
        <f>SUM(B11:B16)</f>
        <v>206733</v>
      </c>
      <c r="C17" s="3273">
        <f>SUM(C11:C16)</f>
        <v>206733</v>
      </c>
      <c r="D17" s="3274">
        <f t="shared" si="1"/>
        <v>0</v>
      </c>
      <c r="E17" s="740">
        <f>SUM(E11:E16)</f>
        <v>224735.3</v>
      </c>
      <c r="F17" s="3290">
        <f>SUM(F11:F16)</f>
        <v>224689</v>
      </c>
      <c r="G17" s="3291">
        <f t="shared" si="2"/>
        <v>46.2999999999884</v>
      </c>
      <c r="H17" s="740">
        <f>SUM(H11:H16)</f>
        <v>202526.4</v>
      </c>
      <c r="I17" s="3290">
        <f>SUM(I11:I16)</f>
        <v>169015</v>
      </c>
      <c r="J17" s="3291">
        <f t="shared" si="13"/>
        <v>33511.4</v>
      </c>
      <c r="K17" s="740">
        <f>SUM(K11:K16)</f>
        <v>191885.4</v>
      </c>
      <c r="L17" s="3290">
        <f>SUM(L11:L16)</f>
        <v>141091</v>
      </c>
      <c r="M17" s="3291">
        <f t="shared" si="14"/>
        <v>50794.4</v>
      </c>
      <c r="N17" s="740">
        <f>SUM(N11:N16)</f>
        <v>198508.3</v>
      </c>
      <c r="O17" s="3290">
        <f>SUM(O11:O16)</f>
        <v>130783</v>
      </c>
      <c r="P17" s="3291">
        <f t="shared" si="15"/>
        <v>67725.3</v>
      </c>
      <c r="Q17" s="740">
        <f>SUM(Q11:Q16)</f>
        <v>203063.5</v>
      </c>
      <c r="R17" s="3290">
        <f>SUM(R11:R15)</f>
        <v>203330</v>
      </c>
      <c r="S17" s="3291">
        <f>IF(R17=0,0,(Q17-R17))</f>
        <v>-266.5</v>
      </c>
      <c r="T17" s="740">
        <f>SUM(T11:T16)</f>
        <v>229764.6</v>
      </c>
      <c r="U17" s="3290">
        <f>SUM(U11:U16)</f>
        <v>229759</v>
      </c>
      <c r="V17" s="3291">
        <f>IF(U17=0,0,(T17-U17))</f>
        <v>5.60000000000582</v>
      </c>
      <c r="W17" s="740">
        <f>SUM(W11:W16)</f>
        <v>238712.5</v>
      </c>
      <c r="X17" s="3290">
        <f>SUM(X11:X16)</f>
        <v>238712</v>
      </c>
      <c r="Y17" s="3291">
        <f t="shared" si="18"/>
        <v>0.5</v>
      </c>
      <c r="Z17" s="740">
        <f>SUM(Z11:Z16)</f>
        <v>220361.1</v>
      </c>
      <c r="AA17" s="3290">
        <f>SUM(AA11:AA16)</f>
        <v>220362</v>
      </c>
      <c r="AB17" s="3291">
        <f t="shared" si="19"/>
        <v>-0.899999999994179</v>
      </c>
      <c r="AC17" s="740">
        <f>SUM(AC11:AC16)</f>
        <v>256939.4</v>
      </c>
      <c r="AD17" s="3290">
        <f>SUM(AD11:AD16)</f>
        <v>256941</v>
      </c>
      <c r="AE17" s="3291">
        <f t="shared" si="20"/>
        <v>-1.59999999997672</v>
      </c>
      <c r="AF17" s="740">
        <f>SUM(AF11:AF16)</f>
        <v>262613.8</v>
      </c>
      <c r="AG17" s="3290">
        <f>SUM(AG11:AG16)</f>
        <v>262615</v>
      </c>
      <c r="AH17" s="3291">
        <f t="shared" si="0"/>
        <v>-1.20000000001164</v>
      </c>
      <c r="AI17" s="740">
        <f>SUM(AI11:AI16)</f>
        <v>240698.8</v>
      </c>
      <c r="AJ17" s="3290">
        <f>SUM(AJ11:AJ16)</f>
        <v>240699</v>
      </c>
      <c r="AK17" s="3291">
        <f t="shared" si="21"/>
        <v>-0.199999999982538</v>
      </c>
      <c r="AL17" s="740">
        <f>SUM(AL11:AL16)</f>
        <v>201852</v>
      </c>
      <c r="AM17" s="3290">
        <f>SUM(AM11:AM16)</f>
        <v>201852</v>
      </c>
      <c r="AN17" s="3291">
        <f t="shared" si="22"/>
        <v>0</v>
      </c>
      <c r="AT17" s="159"/>
      <c r="AV17" s="159"/>
    </row>
    <row r="18" ht="15.75" spans="1:48">
      <c r="A18" s="180" t="s">
        <v>47</v>
      </c>
      <c r="B18" s="3272">
        <f>B7+B10+B17</f>
        <v>530467</v>
      </c>
      <c r="C18" s="3273">
        <f>C7+C10+C17</f>
        <v>530467</v>
      </c>
      <c r="D18" s="3274">
        <f t="shared" si="1"/>
        <v>0</v>
      </c>
      <c r="E18" s="740">
        <f>E7+E10+E17</f>
        <v>527374.5</v>
      </c>
      <c r="F18" s="3290">
        <f>F7+F10+F17</f>
        <v>527328</v>
      </c>
      <c r="G18" s="3291">
        <f t="shared" si="2"/>
        <v>46.5</v>
      </c>
      <c r="H18" s="740">
        <f>H7+H10+H17</f>
        <v>460685.4</v>
      </c>
      <c r="I18" s="3290">
        <f>I7+I10+I17</f>
        <v>427171</v>
      </c>
      <c r="J18" s="3291">
        <f t="shared" si="13"/>
        <v>33514.4</v>
      </c>
      <c r="K18" s="740">
        <f>K7+K10+K17</f>
        <v>477952.8</v>
      </c>
      <c r="L18" s="3290">
        <f>L7+L10+L17</f>
        <v>427158</v>
      </c>
      <c r="M18" s="3291">
        <f t="shared" si="14"/>
        <v>50794.8</v>
      </c>
      <c r="N18" s="740">
        <f>N7+N10+N17</f>
        <v>469932.9</v>
      </c>
      <c r="O18" s="3290">
        <f>O7+O10+O17</f>
        <v>402207</v>
      </c>
      <c r="P18" s="3291">
        <f t="shared" si="15"/>
        <v>67725.9</v>
      </c>
      <c r="Q18" s="740">
        <f>Q7+Q10+Q17</f>
        <v>520767.1</v>
      </c>
      <c r="R18" s="3290">
        <f>R7+R10+R17</f>
        <v>521032.8</v>
      </c>
      <c r="S18" s="3291">
        <f>IF(R18=0,0,(Q18-R18))</f>
        <v>-265.70000000007</v>
      </c>
      <c r="T18" s="740">
        <f>T7+T10+T17</f>
        <v>482634</v>
      </c>
      <c r="U18" s="3290">
        <f>U7+U10+U17</f>
        <v>482628</v>
      </c>
      <c r="V18" s="3291">
        <f>IF(U18=0,0,(T18-U18))</f>
        <v>5.99999999988358</v>
      </c>
      <c r="W18" s="740">
        <f>W7+W10+W17</f>
        <v>522362.7</v>
      </c>
      <c r="X18" s="3290">
        <f>X7+X10+X17</f>
        <v>522362</v>
      </c>
      <c r="Y18" s="3291">
        <f t="shared" si="18"/>
        <v>0.699999999895226</v>
      </c>
      <c r="Z18" s="740">
        <f>Z7+Z10+Z17</f>
        <v>529435.1</v>
      </c>
      <c r="AA18" s="3290">
        <f>AA7+AA10+AA17</f>
        <v>529436</v>
      </c>
      <c r="AB18" s="3291">
        <f t="shared" si="19"/>
        <v>-0.900000000139698</v>
      </c>
      <c r="AC18" s="740">
        <f>AC7+AC10+AC17</f>
        <v>541442.9</v>
      </c>
      <c r="AD18" s="3290">
        <f>AD7+AD10+AD17</f>
        <v>541444</v>
      </c>
      <c r="AE18" s="3291">
        <f t="shared" si="20"/>
        <v>-1.10000000009313</v>
      </c>
      <c r="AF18" s="740">
        <f>AF7+AF10+AF17</f>
        <v>579350.5</v>
      </c>
      <c r="AG18" s="3290">
        <f>AG7+AG10+AG17</f>
        <v>579352</v>
      </c>
      <c r="AH18" s="3291">
        <f t="shared" si="0"/>
        <v>-1.5</v>
      </c>
      <c r="AI18" s="740">
        <f>AI7+AI10+AI17</f>
        <v>536653.5</v>
      </c>
      <c r="AJ18" s="3290">
        <f>AJ7+AJ10+AJ17</f>
        <v>536653</v>
      </c>
      <c r="AK18" s="3291">
        <f t="shared" si="21"/>
        <v>0.499999999883585</v>
      </c>
      <c r="AL18" s="740">
        <f>AL7+AL10+AL17</f>
        <v>467993.89</v>
      </c>
      <c r="AM18" s="3290">
        <f>AM7+AM10+AM17</f>
        <v>447508</v>
      </c>
      <c r="AN18" s="3291">
        <f t="shared" si="22"/>
        <v>20485.8899999999</v>
      </c>
      <c r="AT18" s="3312"/>
      <c r="AV18" s="159"/>
    </row>
    <row r="19" ht="14.25" spans="2:40">
      <c r="B19" s="3275"/>
      <c r="C19" s="3275"/>
      <c r="D19" s="3275"/>
      <c r="E19" s="3275"/>
      <c r="F19" s="3275"/>
      <c r="G19" s="3275"/>
      <c r="H19" s="3275"/>
      <c r="I19" s="3275"/>
      <c r="J19" s="3275"/>
      <c r="K19" s="3275"/>
      <c r="L19" s="3275"/>
      <c r="M19" s="3275"/>
      <c r="N19" s="3275"/>
      <c r="O19" s="3275"/>
      <c r="P19" s="3275"/>
      <c r="Q19" s="3275"/>
      <c r="R19" s="3275"/>
      <c r="S19" s="3275"/>
      <c r="T19" s="3275"/>
      <c r="U19" s="3275"/>
      <c r="V19" s="3275"/>
      <c r="W19" s="3275"/>
      <c r="X19" s="3275"/>
      <c r="Y19" s="3275"/>
      <c r="Z19" s="3275"/>
      <c r="AA19" s="3275"/>
      <c r="AB19" s="3275"/>
      <c r="AC19" s="3275"/>
      <c r="AD19" s="3275"/>
      <c r="AE19" s="3275"/>
      <c r="AF19" s="3275"/>
      <c r="AG19" s="3275"/>
      <c r="AH19" s="3275"/>
      <c r="AI19" s="3275"/>
      <c r="AJ19" s="3275"/>
      <c r="AK19" s="3275"/>
      <c r="AL19" s="3275"/>
      <c r="AM19" s="3275"/>
      <c r="AN19" s="3275"/>
    </row>
    <row r="20" ht="14.25" spans="1:40">
      <c r="A20" s="180" t="s">
        <v>48</v>
      </c>
      <c r="B20" s="3272">
        <f>B18-B7</f>
        <v>332926</v>
      </c>
      <c r="C20" s="3273">
        <f>C18-C7</f>
        <v>332926</v>
      </c>
      <c r="D20" s="3274">
        <f>B20-C20</f>
        <v>0</v>
      </c>
      <c r="E20" s="740">
        <f>E18-E7</f>
        <v>344910.9</v>
      </c>
      <c r="F20" s="3290">
        <f>F18-F7</f>
        <v>344865</v>
      </c>
      <c r="G20" s="3291">
        <f>IF(F20=0,0,(E20-F20))</f>
        <v>45.9000000000233</v>
      </c>
      <c r="H20" s="740">
        <f>H18-H7</f>
        <v>310941.6</v>
      </c>
      <c r="I20" s="3290">
        <f>I18-I7</f>
        <v>277430</v>
      </c>
      <c r="J20" s="3291">
        <f>IF(I20=0,0,(H20-I20))</f>
        <v>33511.6</v>
      </c>
      <c r="K20" s="740">
        <f>K18-K7</f>
        <v>311174.6</v>
      </c>
      <c r="L20" s="3290">
        <f>L18-L7</f>
        <v>260380</v>
      </c>
      <c r="M20" s="3291">
        <f>IF(L20=0,0,(K20-L20))</f>
        <v>50794.6</v>
      </c>
      <c r="N20" s="740">
        <f>N18-N7</f>
        <v>320985.8</v>
      </c>
      <c r="O20" s="3290">
        <f>O18-O7</f>
        <v>253260</v>
      </c>
      <c r="P20" s="3291">
        <f>IF(O20=0,0,(N20-O20))</f>
        <v>67725.8</v>
      </c>
      <c r="Q20" s="740">
        <f>Q18-Q7</f>
        <v>330039.4</v>
      </c>
      <c r="R20" s="3290">
        <f>R18-R7</f>
        <v>330304.8</v>
      </c>
      <c r="S20" s="3291">
        <f>IF(R20=0,0,(Q20-R20))</f>
        <v>-265.400000000081</v>
      </c>
      <c r="T20" s="740">
        <f>T18-T7</f>
        <v>365118.5</v>
      </c>
      <c r="U20" s="3290">
        <f>U18-U7</f>
        <v>365113</v>
      </c>
      <c r="V20" s="3291">
        <f>IF(U20=0,0,(T20-U20))</f>
        <v>5.49999999988358</v>
      </c>
      <c r="W20" s="740">
        <f>W18-W7</f>
        <v>379701.5</v>
      </c>
      <c r="X20" s="3290">
        <f>X18-X7</f>
        <v>379701</v>
      </c>
      <c r="Y20" s="3291">
        <f>IF(X20=0,0,(W20-X20))</f>
        <v>0.499999999883585</v>
      </c>
      <c r="Z20" s="740">
        <f>Z18-Z7</f>
        <v>362682.7</v>
      </c>
      <c r="AA20" s="3290">
        <f>AA18-AA7</f>
        <v>362684</v>
      </c>
      <c r="AB20" s="3291">
        <f>IF(AA20=0,0,(Z20-AA20))</f>
        <v>-1.30000000016298</v>
      </c>
      <c r="AC20" s="740">
        <f>AC18-AC7</f>
        <v>403532.4</v>
      </c>
      <c r="AD20" s="3290">
        <f>AD18-AD7</f>
        <v>403534</v>
      </c>
      <c r="AE20" s="3291">
        <f>IF(AD20=0,0,(AC20-AD20))</f>
        <v>-1.60000000009313</v>
      </c>
      <c r="AF20" s="740">
        <f>AF18-AF7</f>
        <v>402129.2</v>
      </c>
      <c r="AG20" s="3290">
        <f>AG18-AG7</f>
        <v>402131</v>
      </c>
      <c r="AH20" s="3291">
        <f>IF(AG20=0,0,(AF20-AG20))</f>
        <v>-1.80000000004657</v>
      </c>
      <c r="AI20" s="740">
        <f>AI18-AI7</f>
        <v>379064.6</v>
      </c>
      <c r="AJ20" s="3290">
        <f>AJ18-AJ7</f>
        <v>379065</v>
      </c>
      <c r="AK20" s="3291">
        <f>IF(AJ20=0,0,(AI20-AJ20))</f>
        <v>-0.400000000139698</v>
      </c>
      <c r="AL20" s="740">
        <f>AL18-AL7</f>
        <v>324505.29</v>
      </c>
      <c r="AM20" s="3290">
        <f>AM18-AM7</f>
        <v>304019</v>
      </c>
      <c r="AN20" s="3291">
        <f>IF(AM20=0,0,(AL20-AM20))</f>
        <v>20486.2899999999</v>
      </c>
    </row>
    <row r="21" spans="2:23">
      <c r="B21" s="159"/>
      <c r="E21" s="3275">
        <f>E20-B20</f>
        <v>11984.9</v>
      </c>
      <c r="H21" s="3275">
        <f>H20-E20</f>
        <v>-33969.3</v>
      </c>
      <c r="K21" s="3275">
        <f>K20-H20</f>
        <v>233.000000000058</v>
      </c>
      <c r="N21" s="3275">
        <f>N20-K20</f>
        <v>9811.20000000001</v>
      </c>
      <c r="Q21" s="3275">
        <f>Q20-N20</f>
        <v>9053.59999999986</v>
      </c>
      <c r="T21" s="3275">
        <f>T20-Q20</f>
        <v>35079.1</v>
      </c>
      <c r="W21" s="3275">
        <f>W20-T20</f>
        <v>14583</v>
      </c>
    </row>
    <row r="22" spans="5:23">
      <c r="E22" s="3275">
        <f>E20-$B$20</f>
        <v>11984.9</v>
      </c>
      <c r="H22" s="3275">
        <f>H20-$B$20</f>
        <v>-21984.4</v>
      </c>
      <c r="K22" s="3275">
        <f>K20-$B$20</f>
        <v>-21751.4</v>
      </c>
      <c r="N22" s="3275">
        <f>N20-$B$20</f>
        <v>-11940.2</v>
      </c>
      <c r="Q22" s="3275">
        <f>Q20-$B$20</f>
        <v>-2886.60000000009</v>
      </c>
      <c r="T22" s="3275">
        <f>T20-$B$20</f>
        <v>32192.4999999999</v>
      </c>
      <c r="W22" s="3275">
        <f>W20-$B$20</f>
        <v>46775.4999999999</v>
      </c>
    </row>
    <row r="23" ht="15" spans="1:1">
      <c r="A23" s="3276" t="s">
        <v>49</v>
      </c>
    </row>
    <row r="24" ht="15" spans="1:9">
      <c r="A24" t="s">
        <v>32</v>
      </c>
      <c r="H24" s="159">
        <f>63410+93000</f>
        <v>156410</v>
      </c>
      <c r="I24" s="3101">
        <f>H4-H24</f>
        <v>-9000</v>
      </c>
    </row>
    <row r="25" ht="15" spans="1:9">
      <c r="A25" t="s">
        <v>33</v>
      </c>
      <c r="H25" s="159">
        <v>2240</v>
      </c>
      <c r="I25" s="3101">
        <f>H5-H25</f>
        <v>53.6999999999998</v>
      </c>
    </row>
    <row r="26" ht="15.75" spans="1:9">
      <c r="A26" t="s">
        <v>34</v>
      </c>
      <c r="H26" s="159">
        <v>80</v>
      </c>
      <c r="I26" s="3101">
        <f>H6-H26</f>
        <v>-39.9</v>
      </c>
    </row>
    <row r="27" ht="15.75" spans="1:9">
      <c r="A27" s="1606" t="s">
        <v>35</v>
      </c>
      <c r="H27" s="3292">
        <f>SUM(H24:H26)</f>
        <v>158730</v>
      </c>
      <c r="I27" s="3292">
        <f>SUM(I24:I26)</f>
        <v>-8986.2</v>
      </c>
    </row>
    <row r="28" ht="15" spans="1:9">
      <c r="A28" t="s">
        <v>36</v>
      </c>
      <c r="H28" s="159">
        <v>30450</v>
      </c>
      <c r="I28" s="3101">
        <f>H8-H28</f>
        <v>16114</v>
      </c>
    </row>
    <row r="29" ht="15.75" spans="1:9">
      <c r="A29" s="1182" t="s">
        <v>37</v>
      </c>
      <c r="H29" s="159">
        <v>64627</v>
      </c>
      <c r="I29" s="3101">
        <f>H9-H29</f>
        <v>-2775.8</v>
      </c>
    </row>
    <row r="30" ht="15.75" spans="1:9">
      <c r="A30" s="1606" t="s">
        <v>38</v>
      </c>
      <c r="H30" s="3292">
        <f>SUM(H28:H29)</f>
        <v>95077</v>
      </c>
      <c r="I30" s="3292">
        <f>SUM(I28:I29)</f>
        <v>13338.2</v>
      </c>
    </row>
    <row r="31" ht="15" spans="1:9">
      <c r="A31" t="s">
        <v>40</v>
      </c>
      <c r="H31" s="159">
        <v>332260</v>
      </c>
      <c r="I31" s="3101">
        <f>H11-H31</f>
        <v>-130413.7</v>
      </c>
    </row>
    <row r="32" ht="15" spans="1:9">
      <c r="A32" t="s">
        <v>41</v>
      </c>
      <c r="H32" s="159">
        <v>108</v>
      </c>
      <c r="I32" s="3101">
        <f>H12-H32</f>
        <v>149</v>
      </c>
    </row>
    <row r="33" ht="15" spans="1:9">
      <c r="A33" s="96" t="s">
        <v>42</v>
      </c>
      <c r="H33" s="159">
        <v>1015</v>
      </c>
      <c r="I33" s="3101">
        <f>H13-H33</f>
        <v>-628</v>
      </c>
    </row>
    <row r="34" ht="15" spans="1:9">
      <c r="A34" s="96" t="s">
        <v>44</v>
      </c>
      <c r="H34" s="159"/>
      <c r="I34" s="3101"/>
    </row>
    <row r="35" ht="15" spans="1:9">
      <c r="A35" s="96" t="s">
        <v>50</v>
      </c>
      <c r="H35" s="159"/>
      <c r="I35" s="3101"/>
    </row>
    <row r="36" ht="15.75" spans="1:17">
      <c r="A36" t="s">
        <v>43</v>
      </c>
      <c r="H36" s="159"/>
      <c r="I36" s="3101"/>
      <c r="Q36">
        <v>942.6</v>
      </c>
    </row>
    <row r="37" ht="15.75" spans="1:9">
      <c r="A37" s="1606" t="s">
        <v>46</v>
      </c>
      <c r="H37" s="3292">
        <f>SUM(H31:H36)</f>
        <v>333383</v>
      </c>
      <c r="I37" s="3295">
        <f>SUM(I31:I36)</f>
        <v>-130892.7</v>
      </c>
    </row>
    <row r="38" ht="15.75" spans="1:9">
      <c r="A38" s="3277" t="s">
        <v>47</v>
      </c>
      <c r="H38" s="3293">
        <f>H27+H30+H37</f>
        <v>587190</v>
      </c>
      <c r="I38" s="3293">
        <f>I27+I30+I37</f>
        <v>-126540.7</v>
      </c>
    </row>
    <row r="39" ht="14.25" spans="8:8">
      <c r="H39" s="159"/>
    </row>
    <row r="40" ht="14.25" spans="1:9">
      <c r="A40" s="180" t="s">
        <v>48</v>
      </c>
      <c r="H40" s="159">
        <f>H38-H27</f>
        <v>428460</v>
      </c>
      <c r="I40" s="159">
        <f>I38-I27</f>
        <v>-117554.5</v>
      </c>
    </row>
  </sheetData>
  <mergeCells count="14"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S3:AT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7"/>
  <sheetViews>
    <sheetView showZeros="0" zoomScale="91" zoomScaleNormal="91" workbookViewId="0">
      <pane xSplit="1" ySplit="4" topLeftCell="B5" activePane="bottomRight" state="frozen"/>
      <selection/>
      <selection pane="topRight"/>
      <selection pane="bottomLeft"/>
      <selection pane="bottomRight" activeCell="D6" sqref="D6"/>
    </sheetView>
  </sheetViews>
  <sheetFormatPr defaultColWidth="9.14285714285714" defaultRowHeight="13.5"/>
  <cols>
    <col min="1" max="1" width="43.4285714285714" style="2668" customWidth="1"/>
    <col min="2" max="2" width="11.2857142857143" style="2668" customWidth="1"/>
    <col min="3" max="3" width="7.14285714285714" style="2668" customWidth="1"/>
    <col min="4" max="4" width="12.2857142857143" style="2668" customWidth="1"/>
    <col min="5" max="5" width="11.2857142857143" style="2668" customWidth="1"/>
    <col min="6" max="6" width="7" style="2668" customWidth="1"/>
    <col min="7" max="7" width="12.2857142857143" style="2668" customWidth="1"/>
    <col min="8" max="8" width="11.2857142857143" style="2668" customWidth="1"/>
    <col min="9" max="9" width="7" style="2668" customWidth="1"/>
    <col min="10" max="10" width="12.2857142857143" style="2668" customWidth="1"/>
    <col min="11" max="11" width="11.2857142857143" style="2668" customWidth="1"/>
    <col min="12" max="12" width="7.14285714285714" style="2668" customWidth="1"/>
    <col min="13" max="13" width="12.2857142857143" style="2668" customWidth="1"/>
    <col min="14" max="14" width="11.2857142857143" style="2668" customWidth="1"/>
    <col min="15" max="15" width="7.14285714285714" style="2668" customWidth="1"/>
    <col min="16" max="16" width="12.2857142857143" style="2668" customWidth="1"/>
    <col min="17" max="17" width="11.2857142857143" style="2668" customWidth="1"/>
    <col min="18" max="18" width="7" style="2668" customWidth="1"/>
    <col min="19" max="19" width="12.2857142857143" style="2668" customWidth="1"/>
    <col min="20" max="20" width="11.2857142857143" style="2668" customWidth="1"/>
    <col min="21" max="21" width="7.14285714285714" style="2668" customWidth="1"/>
    <col min="22" max="22" width="12.2857142857143" style="2668" customWidth="1"/>
    <col min="23" max="23" width="11.2857142857143" style="2668" customWidth="1"/>
    <col min="24" max="24" width="7" style="2668" customWidth="1"/>
    <col min="25" max="25" width="12.2857142857143" style="2668" customWidth="1"/>
    <col min="26" max="26" width="11.2857142857143" style="2668" customWidth="1"/>
    <col min="27" max="27" width="7" style="2668" customWidth="1"/>
    <col min="28" max="28" width="12.2857142857143" style="2668" customWidth="1"/>
    <col min="29" max="29" width="11.2857142857143" style="2668" customWidth="1"/>
    <col min="30" max="30" width="7" style="2668" customWidth="1"/>
    <col min="31" max="31" width="12.2857142857143" style="2668" customWidth="1"/>
    <col min="32" max="32" width="11.2857142857143" style="2668" customWidth="1"/>
    <col min="33" max="33" width="7" style="2668" customWidth="1"/>
    <col min="34" max="34" width="12.2857142857143" style="2668" customWidth="1"/>
    <col min="35" max="35" width="11.2857142857143" style="2668" customWidth="1"/>
    <col min="36" max="36" width="7.14285714285714" style="2668" customWidth="1"/>
    <col min="37" max="37" width="12.2857142857143" style="2668" customWidth="1"/>
    <col min="38" max="38" width="11.2857142857143" style="2668" customWidth="1"/>
    <col min="39" max="39" width="7.14285714285714" style="2668" customWidth="1"/>
    <col min="40" max="40" width="15.7142857142857" style="2668" customWidth="1"/>
    <col min="41" max="41" width="13.4285714285714" style="2668" customWidth="1"/>
    <col min="42" max="42" width="16.7142857142857" style="2668" customWidth="1"/>
    <col min="43" max="43" width="15" style="2668" customWidth="1"/>
    <col min="44" max="44" width="13.8571428571429" style="2668" customWidth="1"/>
    <col min="45" max="45" width="56.8571428571429" style="2668" customWidth="1"/>
    <col min="46" max="46" width="9.57142857142857" style="2668" customWidth="1"/>
    <col min="47" max="16384" width="9.14285714285714" style="2668"/>
  </cols>
  <sheetData>
    <row r="1" ht="14.25"/>
    <row r="2" ht="16.5" spans="1:40">
      <c r="A2" s="3114" t="s">
        <v>51</v>
      </c>
      <c r="B2" s="3115" t="s">
        <v>17</v>
      </c>
      <c r="C2" s="3116"/>
      <c r="D2" s="3116"/>
      <c r="E2" s="3169" t="s">
        <v>18</v>
      </c>
      <c r="F2" s="3116"/>
      <c r="G2" s="3170"/>
      <c r="H2" s="3115" t="s">
        <v>19</v>
      </c>
      <c r="I2" s="3116"/>
      <c r="J2" s="3116"/>
      <c r="K2" s="3169" t="s">
        <v>20</v>
      </c>
      <c r="L2" s="3116"/>
      <c r="M2" s="3170"/>
      <c r="N2" s="3115" t="s">
        <v>21</v>
      </c>
      <c r="O2" s="3116"/>
      <c r="P2" s="3116"/>
      <c r="Q2" s="3169" t="s">
        <v>22</v>
      </c>
      <c r="R2" s="3116"/>
      <c r="S2" s="3170"/>
      <c r="T2" s="3115" t="s">
        <v>23</v>
      </c>
      <c r="U2" s="3116"/>
      <c r="V2" s="3116"/>
      <c r="W2" s="3169" t="s">
        <v>24</v>
      </c>
      <c r="X2" s="3116"/>
      <c r="Y2" s="3170"/>
      <c r="Z2" s="3115" t="s">
        <v>25</v>
      </c>
      <c r="AA2" s="3116"/>
      <c r="AB2" s="3116"/>
      <c r="AC2" s="3169" t="s">
        <v>26</v>
      </c>
      <c r="AD2" s="3116"/>
      <c r="AE2" s="3170"/>
      <c r="AF2" s="3115" t="s">
        <v>27</v>
      </c>
      <c r="AG2" s="3116"/>
      <c r="AH2" s="3116"/>
      <c r="AI2" s="3169" t="s">
        <v>28</v>
      </c>
      <c r="AJ2" s="3116"/>
      <c r="AK2" s="3170"/>
      <c r="AL2" s="3225" t="s">
        <v>52</v>
      </c>
      <c r="AM2" s="3116"/>
      <c r="AN2" s="3170"/>
    </row>
    <row r="3" ht="13.15" customHeight="1" spans="1:43">
      <c r="A3" s="3117" t="s">
        <v>53</v>
      </c>
      <c r="B3" s="3118" t="s">
        <v>54</v>
      </c>
      <c r="C3" s="3119" t="s">
        <v>55</v>
      </c>
      <c r="D3" s="3120" t="s">
        <v>56</v>
      </c>
      <c r="E3" s="3171" t="s">
        <v>54</v>
      </c>
      <c r="F3" s="3172" t="s">
        <v>55</v>
      </c>
      <c r="G3" s="3173" t="s">
        <v>56</v>
      </c>
      <c r="H3" s="3118" t="s">
        <v>54</v>
      </c>
      <c r="I3" s="3172" t="s">
        <v>55</v>
      </c>
      <c r="J3" s="3173" t="s">
        <v>56</v>
      </c>
      <c r="K3" s="3171" t="s">
        <v>54</v>
      </c>
      <c r="L3" s="3172" t="s">
        <v>55</v>
      </c>
      <c r="M3" s="3173" t="s">
        <v>56</v>
      </c>
      <c r="N3" s="3171" t="s">
        <v>54</v>
      </c>
      <c r="O3" s="3172" t="s">
        <v>55</v>
      </c>
      <c r="P3" s="3173" t="s">
        <v>56</v>
      </c>
      <c r="Q3" s="3171" t="s">
        <v>54</v>
      </c>
      <c r="R3" s="3172" t="s">
        <v>55</v>
      </c>
      <c r="S3" s="3221" t="s">
        <v>56</v>
      </c>
      <c r="T3" s="3171" t="s">
        <v>54</v>
      </c>
      <c r="U3" s="3172" t="s">
        <v>55</v>
      </c>
      <c r="V3" s="3221" t="s">
        <v>56</v>
      </c>
      <c r="W3" s="3171" t="s">
        <v>54</v>
      </c>
      <c r="X3" s="3172" t="s">
        <v>55</v>
      </c>
      <c r="Y3" s="3173" t="s">
        <v>56</v>
      </c>
      <c r="Z3" s="3223" t="s">
        <v>54</v>
      </c>
      <c r="AA3" s="3172" t="s">
        <v>55</v>
      </c>
      <c r="AB3" s="3221" t="s">
        <v>56</v>
      </c>
      <c r="AC3" s="3223" t="s">
        <v>54</v>
      </c>
      <c r="AD3" s="3172" t="s">
        <v>55</v>
      </c>
      <c r="AE3" s="3221" t="s">
        <v>56</v>
      </c>
      <c r="AF3" s="3171" t="s">
        <v>54</v>
      </c>
      <c r="AG3" s="3172" t="s">
        <v>55</v>
      </c>
      <c r="AH3" s="3173" t="s">
        <v>56</v>
      </c>
      <c r="AI3" s="3171" t="s">
        <v>54</v>
      </c>
      <c r="AJ3" s="3172" t="s">
        <v>55</v>
      </c>
      <c r="AK3" s="3173" t="s">
        <v>56</v>
      </c>
      <c r="AL3" s="3226" t="s">
        <v>54</v>
      </c>
      <c r="AM3" s="3227" t="s">
        <v>55</v>
      </c>
      <c r="AN3" s="3228" t="s">
        <v>56</v>
      </c>
      <c r="AP3" s="2669"/>
      <c r="AQ3" s="2669"/>
    </row>
    <row r="4" ht="14.25" spans="1:42">
      <c r="A4" s="3121"/>
      <c r="B4" s="3122"/>
      <c r="C4" s="3123"/>
      <c r="D4" s="3124"/>
      <c r="E4" s="3174"/>
      <c r="F4" s="3175"/>
      <c r="G4" s="3176"/>
      <c r="H4" s="3122"/>
      <c r="I4" s="3175"/>
      <c r="J4" s="3176"/>
      <c r="K4" s="3174"/>
      <c r="L4" s="3175"/>
      <c r="M4" s="3176"/>
      <c r="N4" s="3174"/>
      <c r="O4" s="3175"/>
      <c r="P4" s="3176"/>
      <c r="Q4" s="3174"/>
      <c r="R4" s="3175"/>
      <c r="S4" s="3222"/>
      <c r="T4" s="3174"/>
      <c r="U4" s="3175"/>
      <c r="V4" s="3222"/>
      <c r="W4" s="3174"/>
      <c r="X4" s="3175"/>
      <c r="Y4" s="3176"/>
      <c r="Z4" s="3224"/>
      <c r="AA4" s="3175"/>
      <c r="AB4" s="3222"/>
      <c r="AC4" s="3224"/>
      <c r="AD4" s="3175"/>
      <c r="AE4" s="3222"/>
      <c r="AF4" s="3174"/>
      <c r="AG4" s="3175"/>
      <c r="AH4" s="3176"/>
      <c r="AI4" s="3174"/>
      <c r="AJ4" s="3175"/>
      <c r="AK4" s="3176"/>
      <c r="AL4" s="3229"/>
      <c r="AM4" s="3230"/>
      <c r="AN4" s="3231"/>
      <c r="AP4" s="2669"/>
    </row>
    <row r="5" spans="1:44">
      <c r="A5" s="3125" t="s">
        <v>57</v>
      </c>
      <c r="B5" s="3126">
        <v>41120.23</v>
      </c>
      <c r="C5" s="3127">
        <f>IF(B5=0,0,D5/B5)</f>
        <v>265.665403622499</v>
      </c>
      <c r="D5" s="3128">
        <v>10924222.5</v>
      </c>
      <c r="E5" s="3177">
        <v>72520.71</v>
      </c>
      <c r="F5" s="3127">
        <f>IF(E5=0,0,G5/E5)</f>
        <v>270.284709016224</v>
      </c>
      <c r="G5" s="3178">
        <v>19601239</v>
      </c>
      <c r="H5" s="3179">
        <v>66711.07</v>
      </c>
      <c r="I5" s="3213">
        <f>IF(H5=0,0,J5/H5)</f>
        <v>275.40071685254</v>
      </c>
      <c r="J5" s="3214">
        <v>18372276.5</v>
      </c>
      <c r="K5" s="3179">
        <v>54632.46</v>
      </c>
      <c r="L5" s="3213">
        <f>IF(K5=0,0,M5/K5)</f>
        <v>280.064727087157</v>
      </c>
      <c r="M5" s="3214">
        <v>15300625</v>
      </c>
      <c r="N5" s="3179">
        <v>43167.19</v>
      </c>
      <c r="O5" s="3127">
        <f>IF(N5=0,0,P5/N5)</f>
        <v>278.775558473924</v>
      </c>
      <c r="P5" s="3214">
        <v>12033957.5</v>
      </c>
      <c r="Q5" s="3179">
        <v>38963.1</v>
      </c>
      <c r="R5" s="3132">
        <f>IF(Q5=0,0,S5/Q5)</f>
        <v>275.564315981018</v>
      </c>
      <c r="S5" s="3214">
        <v>10736840</v>
      </c>
      <c r="T5" s="3179">
        <v>50565.14</v>
      </c>
      <c r="U5" s="3132">
        <f t="shared" ref="U5:U18" si="0">IF(T5=0,0,V5/T5)</f>
        <v>263.902848879683</v>
      </c>
      <c r="V5" s="3214">
        <v>13344284.5</v>
      </c>
      <c r="W5" s="3179">
        <v>42420.62</v>
      </c>
      <c r="X5" s="3132">
        <f t="shared" ref="X5:X11" si="1">IF(W5=0,0,Y5/W5)</f>
        <v>262.154348522016</v>
      </c>
      <c r="Y5" s="3214">
        <v>11120750</v>
      </c>
      <c r="Z5" s="3179">
        <v>29769.32</v>
      </c>
      <c r="AA5" s="3132">
        <f t="shared" ref="AA5:AA11" si="2">IF(Z5=0,0,AB5/Z5)</f>
        <v>265.795624488567</v>
      </c>
      <c r="AB5" s="3214">
        <v>7912555</v>
      </c>
      <c r="AC5" s="3179">
        <v>39918.5</v>
      </c>
      <c r="AD5" s="3132">
        <f t="shared" ref="AD5:AD11" si="3">IF(AC5=0,0,AE5/AC5)</f>
        <v>265.3748262084</v>
      </c>
      <c r="AE5" s="3214">
        <v>10593365</v>
      </c>
      <c r="AF5" s="3179">
        <v>60348.07</v>
      </c>
      <c r="AG5" s="3132">
        <f t="shared" ref="AG5:AG11" si="4">IF(AF5=0,0,AH5/AF5)</f>
        <v>268.195022641155</v>
      </c>
      <c r="AH5" s="3214">
        <v>16185052</v>
      </c>
      <c r="AI5" s="3179">
        <v>77562.79</v>
      </c>
      <c r="AJ5" s="3132">
        <f t="shared" ref="AJ5:AJ11" si="5">IF(AI5=0,0,AK5/AI5)</f>
        <v>285.651560496986</v>
      </c>
      <c r="AK5" s="3214">
        <v>22155932</v>
      </c>
      <c r="AL5" s="3232">
        <f t="shared" ref="AL5:AL10" si="6">SUM(B5,E5,H5,K5,N5,Q5,T5,W5,Z5,AC5,AF5,AI5)</f>
        <v>617699.2</v>
      </c>
      <c r="AM5" s="3233">
        <f>IF(AL5=0,0,AN5/AL5)</f>
        <v>272.432114207044</v>
      </c>
      <c r="AN5" s="3234">
        <f t="shared" ref="AN5:AN10" si="7">SUM(D5,G5,J5,M5,P5,S5,V5,Y5,AB5,AE5,AH5,AK5)</f>
        <v>168281099</v>
      </c>
      <c r="AQ5" s="2670">
        <f>AM5</f>
        <v>272.432114207044</v>
      </c>
      <c r="AR5" s="2670">
        <f>AM6</f>
        <v>260.88400431416</v>
      </c>
    </row>
    <row r="6" spans="1:44">
      <c r="A6" s="3125" t="s">
        <v>58</v>
      </c>
      <c r="B6" s="3129">
        <v>52570.56</v>
      </c>
      <c r="C6" s="2665">
        <f t="shared" ref="C6:C11" si="8">IF(B6=0,0,D6/B6)</f>
        <v>252.516446467376</v>
      </c>
      <c r="D6" s="3130">
        <v>13274931</v>
      </c>
      <c r="E6" s="3180">
        <v>53892.04</v>
      </c>
      <c r="F6" s="2665">
        <f>IF(E6=0,0,G6/E6)</f>
        <v>258.493981671505</v>
      </c>
      <c r="G6" s="3181">
        <v>13930768</v>
      </c>
      <c r="H6" s="3182">
        <v>46431.97</v>
      </c>
      <c r="I6" s="3215">
        <f t="shared" ref="I6:I11" si="9">IF(H6=0,0,J6/H6)</f>
        <v>277.119213335122</v>
      </c>
      <c r="J6" s="3207">
        <v>12867191</v>
      </c>
      <c r="K6" s="3184">
        <v>50356.34</v>
      </c>
      <c r="L6" s="3132">
        <f t="shared" ref="L6:L11" si="10">IF(K6=0,0,M6/K6)</f>
        <v>262.577949469719</v>
      </c>
      <c r="M6" s="3207">
        <v>13222464.5</v>
      </c>
      <c r="N6" s="3184">
        <v>59476.5</v>
      </c>
      <c r="O6" s="3132">
        <f t="shared" ref="O6" si="11">IF(N6=0,0,P6/N6)</f>
        <v>255.712676435231</v>
      </c>
      <c r="P6" s="3207">
        <v>15208895</v>
      </c>
      <c r="Q6" s="3184">
        <v>49063.76</v>
      </c>
      <c r="R6" s="3132">
        <f t="shared" ref="R6:R13" si="12">IF(Q6=0,0,S6/Q6)</f>
        <v>259.38175141897</v>
      </c>
      <c r="S6" s="3207">
        <v>12726244</v>
      </c>
      <c r="T6" s="3184">
        <v>36661.11</v>
      </c>
      <c r="U6" s="3132">
        <f t="shared" si="0"/>
        <v>257.845779901372</v>
      </c>
      <c r="V6" s="3207">
        <v>9452912.5</v>
      </c>
      <c r="W6" s="3184">
        <v>76513.39</v>
      </c>
      <c r="X6" s="3132">
        <f t="shared" si="1"/>
        <v>249.270271517181</v>
      </c>
      <c r="Y6" s="3207">
        <v>19072513.5</v>
      </c>
      <c r="Z6" s="3184">
        <v>46944.17</v>
      </c>
      <c r="AA6" s="3132">
        <f t="shared" si="2"/>
        <v>252.25224985339</v>
      </c>
      <c r="AB6" s="3207">
        <v>11841772.5</v>
      </c>
      <c r="AC6" s="3184">
        <v>70387</v>
      </c>
      <c r="AD6" s="3132">
        <f t="shared" si="3"/>
        <v>260.006109082643</v>
      </c>
      <c r="AE6" s="3207">
        <v>18301050</v>
      </c>
      <c r="AF6" s="3184">
        <v>58203.1</v>
      </c>
      <c r="AG6" s="3132">
        <f t="shared" si="4"/>
        <v>263.237284611988</v>
      </c>
      <c r="AH6" s="3207">
        <v>15321226</v>
      </c>
      <c r="AI6" s="3184">
        <v>70675.97</v>
      </c>
      <c r="AJ6" s="3132">
        <f t="shared" si="5"/>
        <v>281.27086193511</v>
      </c>
      <c r="AK6" s="3207">
        <v>19879091</v>
      </c>
      <c r="AL6" s="3184">
        <f t="shared" si="6"/>
        <v>671175.91</v>
      </c>
      <c r="AM6" s="3132">
        <f t="shared" ref="AM6:AM27" si="13">IF(AL6=0,0,AN6/AL6)</f>
        <v>260.88400431416</v>
      </c>
      <c r="AN6" s="3235">
        <f t="shared" si="7"/>
        <v>175099059</v>
      </c>
      <c r="AP6" s="2669">
        <f>'PAL I'!AN5+'PAL I'!AN8</f>
        <v>209386214</v>
      </c>
      <c r="AQ6" s="2670">
        <f>(AP6/(AL11))</f>
        <v>148.778148641558</v>
      </c>
      <c r="AR6" s="2670">
        <f>AQ6</f>
        <v>148.778148641558</v>
      </c>
    </row>
    <row r="7" spans="1:44">
      <c r="A7" s="3131" t="s">
        <v>59</v>
      </c>
      <c r="B7" s="3129"/>
      <c r="C7" s="3132">
        <f t="shared" si="8"/>
        <v>0</v>
      </c>
      <c r="D7" s="3130"/>
      <c r="E7" s="3180"/>
      <c r="F7" s="3183"/>
      <c r="G7" s="3181"/>
      <c r="H7" s="3184"/>
      <c r="I7" s="3215">
        <f t="shared" si="9"/>
        <v>0</v>
      </c>
      <c r="J7" s="3207"/>
      <c r="K7" s="3184"/>
      <c r="L7" s="3132">
        <f t="shared" si="10"/>
        <v>0</v>
      </c>
      <c r="M7" s="3207"/>
      <c r="N7" s="3184"/>
      <c r="O7" s="2665"/>
      <c r="P7" s="3207"/>
      <c r="Q7" s="3184"/>
      <c r="R7" s="3132">
        <f t="shared" si="12"/>
        <v>0</v>
      </c>
      <c r="S7" s="3207"/>
      <c r="T7" s="3184"/>
      <c r="U7" s="3132">
        <f t="shared" si="0"/>
        <v>0</v>
      </c>
      <c r="V7" s="3207"/>
      <c r="W7" s="3184"/>
      <c r="X7" s="3132">
        <f t="shared" si="1"/>
        <v>0</v>
      </c>
      <c r="Y7" s="3207"/>
      <c r="Z7" s="3184"/>
      <c r="AA7" s="3132">
        <f t="shared" si="2"/>
        <v>0</v>
      </c>
      <c r="AB7" s="3207"/>
      <c r="AC7" s="3184"/>
      <c r="AD7" s="3132">
        <f t="shared" si="3"/>
        <v>0</v>
      </c>
      <c r="AE7" s="3207"/>
      <c r="AF7" s="3184"/>
      <c r="AG7" s="3132">
        <f t="shared" si="4"/>
        <v>0</v>
      </c>
      <c r="AH7" s="3207"/>
      <c r="AI7" s="3184"/>
      <c r="AJ7" s="3132">
        <f t="shared" si="5"/>
        <v>0</v>
      </c>
      <c r="AK7" s="3207"/>
      <c r="AL7" s="3184">
        <f t="shared" si="6"/>
        <v>0</v>
      </c>
      <c r="AM7" s="3132">
        <f t="shared" si="13"/>
        <v>0</v>
      </c>
      <c r="AN7" s="3235">
        <f t="shared" si="7"/>
        <v>0</v>
      </c>
      <c r="AQ7" s="2670">
        <f>AQ5-AQ6</f>
        <v>123.653965565487</v>
      </c>
      <c r="AR7" s="2670">
        <f>AR5-AR6</f>
        <v>112.105855672602</v>
      </c>
    </row>
    <row r="8" spans="1:44">
      <c r="A8" s="3131" t="s">
        <v>60</v>
      </c>
      <c r="B8" s="3129">
        <v>30.08</v>
      </c>
      <c r="C8" s="3132">
        <f t="shared" si="8"/>
        <v>376.163563829787</v>
      </c>
      <c r="D8" s="3130">
        <v>11315</v>
      </c>
      <c r="E8" s="3180"/>
      <c r="F8" s="3183"/>
      <c r="G8" s="3181"/>
      <c r="H8" s="3184">
        <v>1039.9</v>
      </c>
      <c r="I8" s="3132">
        <f t="shared" si="9"/>
        <v>359.630733724397</v>
      </c>
      <c r="J8" s="3207">
        <v>373980</v>
      </c>
      <c r="K8" s="3184">
        <v>6</v>
      </c>
      <c r="L8" s="3132">
        <f t="shared" si="10"/>
        <v>390</v>
      </c>
      <c r="M8" s="3207">
        <v>2340</v>
      </c>
      <c r="N8" s="3184"/>
      <c r="O8" s="2665"/>
      <c r="P8" s="3207"/>
      <c r="Q8" s="3184"/>
      <c r="R8" s="3132">
        <f t="shared" si="12"/>
        <v>0</v>
      </c>
      <c r="S8" s="3207"/>
      <c r="T8" s="3184">
        <v>26</v>
      </c>
      <c r="U8" s="3132">
        <f t="shared" si="0"/>
        <v>360</v>
      </c>
      <c r="V8" s="3207">
        <v>9360</v>
      </c>
      <c r="W8" s="3184">
        <v>389.2</v>
      </c>
      <c r="X8" s="3132">
        <f t="shared" si="1"/>
        <v>412.846865364851</v>
      </c>
      <c r="Y8" s="3207">
        <v>160680</v>
      </c>
      <c r="Z8" s="3184"/>
      <c r="AA8" s="3132">
        <f t="shared" si="2"/>
        <v>0</v>
      </c>
      <c r="AB8" s="3207"/>
      <c r="AC8" s="3184"/>
      <c r="AD8" s="3132">
        <f t="shared" si="3"/>
        <v>0</v>
      </c>
      <c r="AE8" s="3207"/>
      <c r="AF8" s="3184">
        <v>271.7</v>
      </c>
      <c r="AG8" s="3132">
        <f t="shared" si="4"/>
        <v>336.503496503497</v>
      </c>
      <c r="AH8" s="3207">
        <v>91428</v>
      </c>
      <c r="AI8" s="3184"/>
      <c r="AJ8" s="3132">
        <f t="shared" si="5"/>
        <v>0</v>
      </c>
      <c r="AK8" s="3207"/>
      <c r="AL8" s="3184">
        <f t="shared" si="6"/>
        <v>1762.88</v>
      </c>
      <c r="AM8" s="3132">
        <f t="shared" si="13"/>
        <v>368.206003811944</v>
      </c>
      <c r="AN8" s="3235">
        <f t="shared" si="7"/>
        <v>649103</v>
      </c>
      <c r="AQ8" s="2670"/>
      <c r="AR8" s="2670"/>
    </row>
    <row r="9" spans="1:44">
      <c r="A9" s="3131" t="s">
        <v>61</v>
      </c>
      <c r="B9" s="3129"/>
      <c r="C9" s="2665">
        <f t="shared" si="8"/>
        <v>0</v>
      </c>
      <c r="D9" s="3130"/>
      <c r="E9" s="3180">
        <v>23</v>
      </c>
      <c r="F9" s="2665">
        <f t="shared" ref="F9:F14" si="14">IF(E9=0,0,G9/E9)</f>
        <v>660.869565217391</v>
      </c>
      <c r="G9" s="3181">
        <v>15200</v>
      </c>
      <c r="H9" s="3184"/>
      <c r="I9" s="2665">
        <f t="shared" si="9"/>
        <v>0</v>
      </c>
      <c r="J9" s="3207"/>
      <c r="K9" s="3184"/>
      <c r="L9" s="3132">
        <f t="shared" si="10"/>
        <v>0</v>
      </c>
      <c r="M9" s="3207"/>
      <c r="N9" s="3184">
        <v>217.8</v>
      </c>
      <c r="O9" s="2665">
        <f t="shared" ref="O9:O12" si="15">IF(N9=0,0,P9/N9)</f>
        <v>977.956841138659</v>
      </c>
      <c r="P9" s="3207">
        <v>212999</v>
      </c>
      <c r="Q9" s="3184">
        <v>236.9</v>
      </c>
      <c r="R9" s="3132">
        <f t="shared" si="12"/>
        <v>886.449978894048</v>
      </c>
      <c r="S9" s="3207">
        <v>210000</v>
      </c>
      <c r="T9" s="3184">
        <v>93.4</v>
      </c>
      <c r="U9" s="3132">
        <f t="shared" si="0"/>
        <v>1027.83725910064</v>
      </c>
      <c r="V9" s="3207">
        <v>96000</v>
      </c>
      <c r="W9" s="3184"/>
      <c r="X9" s="3132">
        <f t="shared" si="1"/>
        <v>0</v>
      </c>
      <c r="Y9" s="3207"/>
      <c r="Z9" s="3184">
        <v>196.3</v>
      </c>
      <c r="AA9" s="3132">
        <f t="shared" si="2"/>
        <v>937.340804890474</v>
      </c>
      <c r="AB9" s="3207">
        <v>184000</v>
      </c>
      <c r="AC9" s="3184"/>
      <c r="AD9" s="3132">
        <f t="shared" si="3"/>
        <v>0</v>
      </c>
      <c r="AE9" s="3207"/>
      <c r="AF9" s="3184"/>
      <c r="AG9" s="3132">
        <f t="shared" si="4"/>
        <v>0</v>
      </c>
      <c r="AH9" s="3207"/>
      <c r="AI9" s="3184">
        <v>6</v>
      </c>
      <c r="AJ9" s="3132">
        <f t="shared" si="5"/>
        <v>1257.125</v>
      </c>
      <c r="AK9" s="3207">
        <v>7542.75</v>
      </c>
      <c r="AL9" s="3184">
        <f t="shared" si="6"/>
        <v>773.4</v>
      </c>
      <c r="AM9" s="3132">
        <f t="shared" si="13"/>
        <v>938.378264804758</v>
      </c>
      <c r="AN9" s="3235">
        <f t="shared" si="7"/>
        <v>725741.75</v>
      </c>
      <c r="AP9" s="2668" t="s">
        <v>62</v>
      </c>
      <c r="AQ9" s="2670">
        <f>ROUND((AQ7*AL5),0)</f>
        <v>76380956</v>
      </c>
      <c r="AR9" s="2670">
        <f>ROUND((AR7*AL6),0)</f>
        <v>75242750</v>
      </c>
    </row>
    <row r="10" ht="14.25" spans="1:44">
      <c r="A10" s="3131" t="s">
        <v>63</v>
      </c>
      <c r="B10" s="3133">
        <v>9900</v>
      </c>
      <c r="C10" s="3134">
        <f t="shared" si="8"/>
        <v>130.795454545455</v>
      </c>
      <c r="D10" s="3135">
        <v>1294875</v>
      </c>
      <c r="E10" s="3185">
        <v>12025</v>
      </c>
      <c r="F10" s="2665">
        <f t="shared" si="14"/>
        <v>129.781704781705</v>
      </c>
      <c r="G10" s="3186">
        <v>1560625</v>
      </c>
      <c r="H10" s="3187">
        <v>8080.9</v>
      </c>
      <c r="I10" s="2665">
        <f t="shared" si="9"/>
        <v>129.431375218107</v>
      </c>
      <c r="J10" s="3208">
        <v>1045922</v>
      </c>
      <c r="K10" s="3187">
        <v>8625</v>
      </c>
      <c r="L10" s="3132">
        <f t="shared" si="10"/>
        <v>128.666666666667</v>
      </c>
      <c r="M10" s="3208">
        <v>1109750</v>
      </c>
      <c r="N10" s="3187">
        <v>7500</v>
      </c>
      <c r="O10" s="3132">
        <f t="shared" si="15"/>
        <v>126.333333333333</v>
      </c>
      <c r="P10" s="3208">
        <v>947500</v>
      </c>
      <c r="Q10" s="3187">
        <v>7750</v>
      </c>
      <c r="R10" s="3132">
        <f t="shared" si="12"/>
        <v>126.935483870968</v>
      </c>
      <c r="S10" s="3208">
        <v>983750</v>
      </c>
      <c r="T10" s="3187">
        <v>6375</v>
      </c>
      <c r="U10" s="3132">
        <f t="shared" si="0"/>
        <v>128.137254901961</v>
      </c>
      <c r="V10" s="3208">
        <v>816875</v>
      </c>
      <c r="W10" s="3187">
        <v>10250</v>
      </c>
      <c r="X10" s="3132">
        <f t="shared" si="1"/>
        <v>129.073170731707</v>
      </c>
      <c r="Y10" s="3208">
        <v>1323000</v>
      </c>
      <c r="Z10" s="3187">
        <v>10291.4</v>
      </c>
      <c r="AA10" s="3132">
        <f t="shared" si="2"/>
        <v>127.773480770352</v>
      </c>
      <c r="AB10" s="3208">
        <v>1314968</v>
      </c>
      <c r="AC10" s="3187">
        <v>9500</v>
      </c>
      <c r="AD10" s="3132">
        <f t="shared" si="3"/>
        <v>127.631578947368</v>
      </c>
      <c r="AE10" s="3208">
        <v>1212500</v>
      </c>
      <c r="AF10" s="3187">
        <v>9394</v>
      </c>
      <c r="AG10" s="3132">
        <f t="shared" si="4"/>
        <v>128.417606983181</v>
      </c>
      <c r="AH10" s="3208">
        <v>1206355</v>
      </c>
      <c r="AI10" s="3187">
        <v>16269.4</v>
      </c>
      <c r="AJ10" s="3132">
        <f t="shared" si="5"/>
        <v>120.639322286009</v>
      </c>
      <c r="AK10" s="3208">
        <v>1962729.39</v>
      </c>
      <c r="AL10" s="3205">
        <f t="shared" si="6"/>
        <v>115960.7</v>
      </c>
      <c r="AM10" s="3128">
        <f t="shared" si="13"/>
        <v>127.447052234076</v>
      </c>
      <c r="AN10" s="3236">
        <f t="shared" si="7"/>
        <v>14778849.39</v>
      </c>
      <c r="AO10" s="2669"/>
      <c r="AQ10" s="2670">
        <f>AQ9+AR9</f>
        <v>151623706</v>
      </c>
      <c r="AR10" s="2670"/>
    </row>
    <row r="11" ht="14.25" spans="1:44">
      <c r="A11" s="3136"/>
      <c r="B11" s="3137">
        <f>SUM(B5:B10)</f>
        <v>103620.87</v>
      </c>
      <c r="C11" s="3138">
        <f t="shared" si="8"/>
        <v>246.140989744633</v>
      </c>
      <c r="D11" s="3139">
        <f>SUM(D5:D10)</f>
        <v>25505343.5</v>
      </c>
      <c r="E11" s="3188">
        <f>SUM(E5:E10)</f>
        <v>138460.75</v>
      </c>
      <c r="F11" s="3189">
        <f t="shared" si="14"/>
        <v>253.558008316436</v>
      </c>
      <c r="G11" s="3190">
        <f>SUM(G5:G10)</f>
        <v>35107832</v>
      </c>
      <c r="H11" s="3191">
        <f>SUM(H5:H10)</f>
        <v>122263.84</v>
      </c>
      <c r="I11" s="3138">
        <f t="shared" si="9"/>
        <v>267.122065690068</v>
      </c>
      <c r="J11" s="3216">
        <f>SUM(J5:J10)</f>
        <v>32659369.5</v>
      </c>
      <c r="K11" s="3191">
        <f>SUM(K5:K10)</f>
        <v>113619.8</v>
      </c>
      <c r="L11" s="3217">
        <f t="shared" si="10"/>
        <v>260.82759783066</v>
      </c>
      <c r="M11" s="3216">
        <f>SUM(M5:M10)</f>
        <v>29635179.5</v>
      </c>
      <c r="N11" s="3191">
        <f>SUM(N5:N10)</f>
        <v>110361.49</v>
      </c>
      <c r="O11" s="3138">
        <f t="shared" si="15"/>
        <v>257.366509821497</v>
      </c>
      <c r="P11" s="3216">
        <f>SUM(P5:P10)</f>
        <v>28403351.5</v>
      </c>
      <c r="Q11" s="3191">
        <f>SUM(Q5:Q10)</f>
        <v>96013.76</v>
      </c>
      <c r="R11" s="3138">
        <f t="shared" si="12"/>
        <v>256.805212086268</v>
      </c>
      <c r="S11" s="3216">
        <f>SUM(S5:S10)</f>
        <v>24656834</v>
      </c>
      <c r="T11" s="3191">
        <f>SUM(T5:T10)</f>
        <v>93720.65</v>
      </c>
      <c r="U11" s="3138">
        <f t="shared" si="0"/>
        <v>253.086507615984</v>
      </c>
      <c r="V11" s="3216">
        <f>SUM(V5:V10)</f>
        <v>23719432</v>
      </c>
      <c r="W11" s="3191">
        <f>SUM(W5:W10)</f>
        <v>129573.21</v>
      </c>
      <c r="X11" s="3138">
        <f t="shared" si="1"/>
        <v>244.471395746081</v>
      </c>
      <c r="Y11" s="3216">
        <f>SUM(Y5:Y10)</f>
        <v>31676943.5</v>
      </c>
      <c r="Z11" s="3191">
        <f>SUM(Z5:Z10)</f>
        <v>87201.19</v>
      </c>
      <c r="AA11" s="3138">
        <f t="shared" si="2"/>
        <v>243.727126888979</v>
      </c>
      <c r="AB11" s="3216">
        <f>SUM(AB5:AB10)</f>
        <v>21253295.5</v>
      </c>
      <c r="AC11" s="3191">
        <f>SUM(AC5:AC10)</f>
        <v>119805.5</v>
      </c>
      <c r="AD11" s="3138">
        <f t="shared" si="3"/>
        <v>251.298270947494</v>
      </c>
      <c r="AE11" s="3216">
        <f>SUM(AE5:AE10)</f>
        <v>30106915</v>
      </c>
      <c r="AF11" s="3191">
        <f>SUM(AF5:AF10)</f>
        <v>128216.87</v>
      </c>
      <c r="AG11" s="3138">
        <f t="shared" si="4"/>
        <v>255.848243682754</v>
      </c>
      <c r="AH11" s="3216">
        <f>SUM(AH5:AH10)</f>
        <v>32804061</v>
      </c>
      <c r="AI11" s="3191">
        <f>SUM(AI5:AI10)</f>
        <v>164514.16</v>
      </c>
      <c r="AJ11" s="3138">
        <f t="shared" si="5"/>
        <v>267.486367981941</v>
      </c>
      <c r="AK11" s="3216">
        <f>SUM(AK5:AK10)</f>
        <v>44005295.14</v>
      </c>
      <c r="AL11" s="3191">
        <f>SUM(AL5:AL10)</f>
        <v>1407372.09</v>
      </c>
      <c r="AM11" s="3138">
        <f t="shared" si="13"/>
        <v>255.464673979715</v>
      </c>
      <c r="AN11" s="3216">
        <f>SUM(AN5:AN10)</f>
        <v>359533852.14</v>
      </c>
      <c r="AP11" s="2668" t="s">
        <v>64</v>
      </c>
      <c r="AQ11" s="2670">
        <f>SUM(AN7:AN10)</f>
        <v>16153694.14</v>
      </c>
      <c r="AR11" s="2670">
        <f>'PAL I'!AN26</f>
        <v>160821412</v>
      </c>
    </row>
    <row r="12" spans="1:44">
      <c r="A12" s="3131" t="s">
        <v>42</v>
      </c>
      <c r="B12" s="3140"/>
      <c r="C12" s="2665"/>
      <c r="D12" s="3141"/>
      <c r="E12" s="3192">
        <v>1908</v>
      </c>
      <c r="F12" s="3132">
        <f t="shared" si="14"/>
        <v>263.197064989518</v>
      </c>
      <c r="G12" s="3193">
        <v>502180</v>
      </c>
      <c r="H12" s="3194">
        <v>580</v>
      </c>
      <c r="I12" s="3132">
        <f t="shared" ref="I12:I14" si="16">IF(H12=0,0,J12/H12)</f>
        <v>282.413793103448</v>
      </c>
      <c r="J12" s="3218">
        <v>163800</v>
      </c>
      <c r="K12" s="3194"/>
      <c r="L12" s="2665"/>
      <c r="M12" s="3218"/>
      <c r="N12" s="3194">
        <f>405+15</f>
        <v>420</v>
      </c>
      <c r="O12" s="3132">
        <f t="shared" si="15"/>
        <v>326.714285714286</v>
      </c>
      <c r="P12" s="3218">
        <f>126000+11220</f>
        <v>137220</v>
      </c>
      <c r="Q12" s="3194"/>
      <c r="R12" s="3132">
        <f t="shared" si="12"/>
        <v>0</v>
      </c>
      <c r="S12" s="3218"/>
      <c r="T12" s="3194">
        <v>653</v>
      </c>
      <c r="U12" s="3132">
        <f t="shared" si="0"/>
        <v>250.842266462481</v>
      </c>
      <c r="V12" s="3218">
        <v>163800</v>
      </c>
      <c r="W12" s="3194"/>
      <c r="X12" s="3132">
        <f t="shared" ref="X12:X18" si="17">IF(W12=0,0,Y12/W12)</f>
        <v>0</v>
      </c>
      <c r="Y12" s="3218"/>
      <c r="Z12" s="3194">
        <v>205</v>
      </c>
      <c r="AA12" s="3132">
        <f t="shared" ref="AA12:AA18" si="18">IF(Z12=0,0,AB12/Z12)</f>
        <v>266.341463414634</v>
      </c>
      <c r="AB12" s="3218">
        <v>54600</v>
      </c>
      <c r="AC12" s="3194">
        <v>415</v>
      </c>
      <c r="AD12" s="3132">
        <f t="shared" ref="AD12:AD18" si="19">IF(AC12=0,0,AE12/AC12)</f>
        <v>303.614457831325</v>
      </c>
      <c r="AE12" s="3218">
        <v>126000</v>
      </c>
      <c r="AF12" s="3194">
        <v>1263</v>
      </c>
      <c r="AG12" s="3132">
        <f t="shared" ref="AG12:AG18" si="20">IF(AF12=0,0,AH12/AF12)</f>
        <v>266.476642913698</v>
      </c>
      <c r="AH12" s="3218">
        <v>336560</v>
      </c>
      <c r="AI12" s="3194">
        <v>90</v>
      </c>
      <c r="AJ12" s="3132">
        <f t="shared" ref="AJ12:AJ18" si="21">IF(AI12=0,0,AK12/AI12)</f>
        <v>320</v>
      </c>
      <c r="AK12" s="3218">
        <v>28800</v>
      </c>
      <c r="AL12" s="3184">
        <f t="shared" ref="AL12:AL17" si="22">SUM(B12,E12,H12,K12,N12,Q12,T12,W12,Z12,AC12,AF12,AI12)</f>
        <v>5534</v>
      </c>
      <c r="AM12" s="3132">
        <f t="shared" si="13"/>
        <v>273.393567040116</v>
      </c>
      <c r="AN12" s="3235">
        <f t="shared" ref="AN12:AN17" si="23">SUM(D12,G12,J12,M12,P12,S12,V12,Y12,AB12,AE12,AH12,AK12)</f>
        <v>1512960</v>
      </c>
      <c r="AP12" s="3167" t="s">
        <v>65</v>
      </c>
      <c r="AQ12" s="2670">
        <f>SUM(AQ10:AQ11)</f>
        <v>167777400.14</v>
      </c>
      <c r="AR12" s="2670"/>
    </row>
    <row r="13" spans="1:44">
      <c r="A13" s="3131" t="s">
        <v>41</v>
      </c>
      <c r="B13" s="3142">
        <v>887.91</v>
      </c>
      <c r="C13" s="3132">
        <f>IF(B13=0,0,D13/B13)</f>
        <v>227.277539390254</v>
      </c>
      <c r="D13" s="3143">
        <v>201802</v>
      </c>
      <c r="E13" s="3195">
        <v>195</v>
      </c>
      <c r="F13" s="3132">
        <f t="shared" si="14"/>
        <v>267.405128205128</v>
      </c>
      <c r="G13" s="3196">
        <v>52144</v>
      </c>
      <c r="H13" s="3197">
        <v>348</v>
      </c>
      <c r="I13" s="3132">
        <f t="shared" si="16"/>
        <v>239.568965517241</v>
      </c>
      <c r="J13" s="3206">
        <v>83370</v>
      </c>
      <c r="K13" s="3197">
        <v>168</v>
      </c>
      <c r="L13" s="3132">
        <f t="shared" ref="L13:L14" si="24">IF(K13=0,0,M13/K13)</f>
        <v>261.785714285714</v>
      </c>
      <c r="M13" s="3206">
        <v>43980</v>
      </c>
      <c r="N13" s="3197"/>
      <c r="O13" s="2665"/>
      <c r="P13" s="3206"/>
      <c r="Q13" s="3197">
        <v>14</v>
      </c>
      <c r="R13" s="3132">
        <f t="shared" si="12"/>
        <v>342.857142857143</v>
      </c>
      <c r="S13" s="3206">
        <v>4800</v>
      </c>
      <c r="T13" s="3197">
        <v>128</v>
      </c>
      <c r="U13" s="3132">
        <f t="shared" si="0"/>
        <v>236.25</v>
      </c>
      <c r="V13" s="3206">
        <v>30240</v>
      </c>
      <c r="W13" s="3197">
        <v>117</v>
      </c>
      <c r="X13" s="3132">
        <f t="shared" si="17"/>
        <v>226.923076923077</v>
      </c>
      <c r="Y13" s="3206">
        <v>26550</v>
      </c>
      <c r="Z13" s="3197">
        <v>381</v>
      </c>
      <c r="AA13" s="3132">
        <f t="shared" si="18"/>
        <v>220.958005249344</v>
      </c>
      <c r="AB13" s="3206">
        <v>84185</v>
      </c>
      <c r="AC13" s="3197">
        <v>828</v>
      </c>
      <c r="AD13" s="3132">
        <f t="shared" si="19"/>
        <v>216.304347826087</v>
      </c>
      <c r="AE13" s="3206">
        <v>179100</v>
      </c>
      <c r="AF13" s="3197">
        <v>55.2</v>
      </c>
      <c r="AG13" s="3132">
        <f t="shared" si="20"/>
        <v>228.079710144928</v>
      </c>
      <c r="AH13" s="3206">
        <v>12590</v>
      </c>
      <c r="AI13" s="3197">
        <v>917.5</v>
      </c>
      <c r="AJ13" s="3132">
        <f t="shared" si="21"/>
        <v>265.659073569482</v>
      </c>
      <c r="AK13" s="3206">
        <v>243742.2</v>
      </c>
      <c r="AL13" s="3184">
        <f t="shared" si="22"/>
        <v>4039.61</v>
      </c>
      <c r="AM13" s="3132">
        <f t="shared" si="13"/>
        <v>238.266367297833</v>
      </c>
      <c r="AN13" s="3235">
        <f t="shared" si="23"/>
        <v>962503.2</v>
      </c>
      <c r="AP13" s="3167" t="s">
        <v>66</v>
      </c>
      <c r="AQ13" s="2670">
        <f>ROUND((AN18-'PAL I'!AN6),0)</f>
        <v>2077971</v>
      </c>
      <c r="AR13" s="2670"/>
    </row>
    <row r="14" spans="1:43">
      <c r="A14" s="3131" t="s">
        <v>67</v>
      </c>
      <c r="B14" s="3142">
        <v>4797.6</v>
      </c>
      <c r="C14" s="3132">
        <f t="shared" ref="C14:C15" si="25">IF(B14=0,0,D14/B14)</f>
        <v>166.028847757212</v>
      </c>
      <c r="D14" s="3143">
        <v>796540</v>
      </c>
      <c r="E14" s="3195">
        <v>5704.65</v>
      </c>
      <c r="F14" s="3183">
        <f t="shared" si="14"/>
        <v>165.749169537132</v>
      </c>
      <c r="G14" s="3196">
        <v>945541</v>
      </c>
      <c r="H14" s="3197">
        <v>4826</v>
      </c>
      <c r="I14" s="3132">
        <f t="shared" si="16"/>
        <v>169.206589307915</v>
      </c>
      <c r="J14" s="3206">
        <v>816591</v>
      </c>
      <c r="K14" s="3197">
        <v>6780.8</v>
      </c>
      <c r="L14" s="3132">
        <f t="shared" si="24"/>
        <v>169.492537753657</v>
      </c>
      <c r="M14" s="3206">
        <v>1149295</v>
      </c>
      <c r="N14" s="3197">
        <v>4998.6</v>
      </c>
      <c r="O14" s="3132">
        <f>IF(N14=0,0,P14/N14)</f>
        <v>168.751850518145</v>
      </c>
      <c r="P14" s="3206">
        <v>843523</v>
      </c>
      <c r="Q14" s="3197">
        <v>5020.2</v>
      </c>
      <c r="R14" s="3132">
        <f t="shared" ref="R14:R18" si="26">IF(Q14=0,0,S14/Q14)</f>
        <v>163.752639337078</v>
      </c>
      <c r="S14" s="3206">
        <f>847407-S37</f>
        <v>822071</v>
      </c>
      <c r="T14" s="3197">
        <v>5785.2</v>
      </c>
      <c r="U14" s="3132">
        <f t="shared" si="0"/>
        <v>168.655189103229</v>
      </c>
      <c r="V14" s="3206">
        <v>975704</v>
      </c>
      <c r="W14" s="3197">
        <v>5688.5</v>
      </c>
      <c r="X14" s="3132">
        <f t="shared" si="17"/>
        <v>169.15337962556</v>
      </c>
      <c r="Y14" s="3206">
        <v>962229</v>
      </c>
      <c r="Z14" s="3197">
        <v>4737.4</v>
      </c>
      <c r="AA14" s="3132">
        <f t="shared" si="18"/>
        <v>169.27998480179</v>
      </c>
      <c r="AB14" s="3206">
        <v>801947</v>
      </c>
      <c r="AC14" s="3197">
        <v>2164.2</v>
      </c>
      <c r="AD14" s="3132">
        <f t="shared" si="19"/>
        <v>165.762868496442</v>
      </c>
      <c r="AE14" s="3206">
        <v>358744</v>
      </c>
      <c r="AF14" s="3197">
        <v>5103.1</v>
      </c>
      <c r="AG14" s="3132">
        <f t="shared" si="20"/>
        <v>167.88011208873</v>
      </c>
      <c r="AH14" s="3206">
        <f>899249-AH37</f>
        <v>856709</v>
      </c>
      <c r="AI14" s="3197">
        <v>2928.6</v>
      </c>
      <c r="AJ14" s="3132">
        <f t="shared" si="21"/>
        <v>168.102164856928</v>
      </c>
      <c r="AK14" s="3237">
        <f>543352-AK37</f>
        <v>492304</v>
      </c>
      <c r="AL14" s="3184">
        <f t="shared" si="22"/>
        <v>58534.85</v>
      </c>
      <c r="AM14" s="3132">
        <f t="shared" si="13"/>
        <v>167.783773256445</v>
      </c>
      <c r="AN14" s="3235">
        <f t="shared" si="23"/>
        <v>9821198</v>
      </c>
      <c r="AP14" s="3167" t="s">
        <v>68</v>
      </c>
      <c r="AQ14" s="2670">
        <f>ROUND((AN25),0)</f>
        <v>41330800</v>
      </c>
    </row>
    <row r="15" spans="1:43">
      <c r="A15" s="3131" t="s">
        <v>69</v>
      </c>
      <c r="B15" s="3142">
        <v>1</v>
      </c>
      <c r="C15" s="2665">
        <f t="shared" si="25"/>
        <v>720</v>
      </c>
      <c r="D15" s="3143">
        <v>720</v>
      </c>
      <c r="E15" s="3195"/>
      <c r="F15" s="3183"/>
      <c r="G15" s="3196"/>
      <c r="H15" s="3197"/>
      <c r="I15" s="2665"/>
      <c r="J15" s="3206"/>
      <c r="K15" s="3197"/>
      <c r="L15" s="2665"/>
      <c r="M15" s="3206"/>
      <c r="N15" s="3197">
        <v>282</v>
      </c>
      <c r="O15" s="2665">
        <f t="shared" ref="O15" si="27">IF(N15=0,0,P15/N15)</f>
        <v>131.170212765957</v>
      </c>
      <c r="P15" s="3206">
        <v>36990</v>
      </c>
      <c r="Q15" s="3197">
        <v>292</v>
      </c>
      <c r="R15" s="3132">
        <f t="shared" si="26"/>
        <v>144.013698630137</v>
      </c>
      <c r="S15" s="3206">
        <v>42052</v>
      </c>
      <c r="T15" s="3197"/>
      <c r="U15" s="3132">
        <f t="shared" si="0"/>
        <v>0</v>
      </c>
      <c r="V15" s="3206"/>
      <c r="W15" s="3197">
        <v>8994.5</v>
      </c>
      <c r="X15" s="3132">
        <f t="shared" si="17"/>
        <v>117.732725554506</v>
      </c>
      <c r="Y15" s="3206">
        <v>1058947</v>
      </c>
      <c r="Z15" s="3197">
        <v>110</v>
      </c>
      <c r="AA15" s="3132">
        <f t="shared" si="18"/>
        <v>153.154545454545</v>
      </c>
      <c r="AB15" s="3206">
        <v>16847</v>
      </c>
      <c r="AC15" s="3197"/>
      <c r="AD15" s="3132">
        <f t="shared" si="19"/>
        <v>0</v>
      </c>
      <c r="AE15" s="3206"/>
      <c r="AF15" s="3197"/>
      <c r="AG15" s="3132">
        <f t="shared" si="20"/>
        <v>0</v>
      </c>
      <c r="AH15" s="3206"/>
      <c r="AI15" s="3197"/>
      <c r="AJ15" s="3132">
        <f t="shared" si="21"/>
        <v>0</v>
      </c>
      <c r="AK15" s="3206"/>
      <c r="AL15" s="3184">
        <f t="shared" si="22"/>
        <v>9679.5</v>
      </c>
      <c r="AM15" s="3132">
        <f t="shared" si="13"/>
        <v>119.38178624929</v>
      </c>
      <c r="AN15" s="3235">
        <f t="shared" si="23"/>
        <v>1155556</v>
      </c>
      <c r="AO15" s="2674"/>
      <c r="AP15" s="3167" t="s">
        <v>70</v>
      </c>
      <c r="AQ15" s="2670">
        <f>AN22</f>
        <v>270339</v>
      </c>
    </row>
    <row r="16" spans="1:43">
      <c r="A16" s="3131" t="s">
        <v>71</v>
      </c>
      <c r="B16" s="3142"/>
      <c r="C16" s="2665"/>
      <c r="D16" s="3143"/>
      <c r="E16" s="3195"/>
      <c r="F16" s="3183"/>
      <c r="G16" s="3196"/>
      <c r="H16" s="3197">
        <v>51</v>
      </c>
      <c r="I16" s="3132">
        <f t="shared" ref="I16:I18" si="28">IF(H16=0,0,J16/H16)</f>
        <v>890.745098039216</v>
      </c>
      <c r="J16" s="3206">
        <v>45428</v>
      </c>
      <c r="K16" s="3197"/>
      <c r="L16" s="2665"/>
      <c r="M16" s="3206"/>
      <c r="N16" s="3197">
        <v>646.92</v>
      </c>
      <c r="O16" s="3132">
        <f t="shared" ref="O16" si="29">IF(N16=0,0,P16/N16)</f>
        <v>215.637173066221</v>
      </c>
      <c r="P16" s="3206">
        <v>139500</v>
      </c>
      <c r="Q16" s="3197">
        <v>49</v>
      </c>
      <c r="R16" s="3132">
        <f t="shared" si="26"/>
        <v>875.510204081633</v>
      </c>
      <c r="S16" s="3206">
        <v>42900</v>
      </c>
      <c r="T16" s="3197">
        <v>27</v>
      </c>
      <c r="U16" s="3132">
        <f t="shared" si="0"/>
        <v>995.296296296296</v>
      </c>
      <c r="V16" s="3206">
        <v>26873</v>
      </c>
      <c r="W16" s="3197"/>
      <c r="X16" s="3132">
        <f t="shared" si="17"/>
        <v>0</v>
      </c>
      <c r="Y16" s="3206"/>
      <c r="Z16" s="3197">
        <v>15</v>
      </c>
      <c r="AA16" s="3132">
        <f t="shared" si="18"/>
        <v>480.533333333333</v>
      </c>
      <c r="AB16" s="3206">
        <v>7208</v>
      </c>
      <c r="AC16" s="3197">
        <v>38</v>
      </c>
      <c r="AD16" s="3132">
        <f t="shared" si="19"/>
        <v>903.157894736842</v>
      </c>
      <c r="AE16" s="3206">
        <v>34320</v>
      </c>
      <c r="AF16" s="3197">
        <v>157.34</v>
      </c>
      <c r="AG16" s="3132">
        <f t="shared" si="20"/>
        <v>264.611668997076</v>
      </c>
      <c r="AH16" s="3206">
        <v>41634</v>
      </c>
      <c r="AI16" s="3197"/>
      <c r="AJ16" s="3132">
        <f t="shared" si="21"/>
        <v>0</v>
      </c>
      <c r="AK16" s="3206"/>
      <c r="AL16" s="3184">
        <f t="shared" si="22"/>
        <v>984.26</v>
      </c>
      <c r="AM16" s="3132">
        <f t="shared" si="13"/>
        <v>343.266006949383</v>
      </c>
      <c r="AN16" s="3235">
        <f t="shared" si="23"/>
        <v>337863</v>
      </c>
      <c r="AP16" s="3167" t="s">
        <v>72</v>
      </c>
      <c r="AQ16" s="2669">
        <f>AN21+AN20</f>
        <v>676652</v>
      </c>
    </row>
    <row r="17" ht="14.25" spans="1:43">
      <c r="A17" s="3131" t="s">
        <v>73</v>
      </c>
      <c r="B17" s="3144">
        <v>2058.25</v>
      </c>
      <c r="C17" s="3132">
        <f t="shared" ref="C17:C18" si="30">IF(B17=0,0,D17/B17)</f>
        <v>183.908660269647</v>
      </c>
      <c r="D17" s="3145">
        <v>378530</v>
      </c>
      <c r="E17" s="3198">
        <v>870.65</v>
      </c>
      <c r="F17" s="3183">
        <f>IF(E17=0,0,G17/E17)</f>
        <v>193.849422845001</v>
      </c>
      <c r="G17" s="3199">
        <v>168775</v>
      </c>
      <c r="H17" s="3200">
        <v>1226</v>
      </c>
      <c r="I17" s="3132">
        <f t="shared" si="28"/>
        <v>190.619902120718</v>
      </c>
      <c r="J17" s="3219">
        <v>233700</v>
      </c>
      <c r="K17" s="3200">
        <v>1580</v>
      </c>
      <c r="L17" s="3132">
        <f t="shared" ref="L17:L18" si="31">IF(K17=0,0,M17/K17)</f>
        <v>190.632911392405</v>
      </c>
      <c r="M17" s="3219">
        <v>301200</v>
      </c>
      <c r="N17" s="3200">
        <v>715</v>
      </c>
      <c r="O17" s="2665"/>
      <c r="P17" s="3219">
        <v>137160</v>
      </c>
      <c r="Q17" s="3200">
        <v>508</v>
      </c>
      <c r="R17" s="3132">
        <f t="shared" si="26"/>
        <v>189.468503937008</v>
      </c>
      <c r="S17" s="3219">
        <v>96250</v>
      </c>
      <c r="T17" s="3200">
        <v>856</v>
      </c>
      <c r="U17" s="3132">
        <f t="shared" si="0"/>
        <v>193.633177570093</v>
      </c>
      <c r="V17" s="3219">
        <v>165750</v>
      </c>
      <c r="W17" s="3200">
        <v>378</v>
      </c>
      <c r="X17" s="3132">
        <f t="shared" si="17"/>
        <v>200.899470899471</v>
      </c>
      <c r="Y17" s="3219">
        <v>75940</v>
      </c>
      <c r="Z17" s="3200">
        <v>1223</v>
      </c>
      <c r="AA17" s="3132">
        <f t="shared" si="18"/>
        <v>192.59035159444</v>
      </c>
      <c r="AB17" s="3219">
        <v>235538</v>
      </c>
      <c r="AC17" s="3200">
        <v>1005</v>
      </c>
      <c r="AD17" s="3132">
        <f t="shared" si="19"/>
        <v>189.029850746269</v>
      </c>
      <c r="AE17" s="3219">
        <v>189975</v>
      </c>
      <c r="AF17" s="3200">
        <v>250</v>
      </c>
      <c r="AG17" s="3132">
        <f t="shared" si="20"/>
        <v>190</v>
      </c>
      <c r="AH17" s="3219">
        <v>47500</v>
      </c>
      <c r="AI17" s="3200">
        <v>2040</v>
      </c>
      <c r="AJ17" s="3132">
        <f t="shared" si="21"/>
        <v>236.470588235294</v>
      </c>
      <c r="AK17" s="3219">
        <v>482400</v>
      </c>
      <c r="AL17" s="3184">
        <f t="shared" si="22"/>
        <v>12709.9</v>
      </c>
      <c r="AM17" s="3132">
        <f t="shared" si="13"/>
        <v>197.69770021794</v>
      </c>
      <c r="AN17" s="3235">
        <f t="shared" si="23"/>
        <v>2512718</v>
      </c>
      <c r="AP17" s="3167" t="s">
        <v>74</v>
      </c>
      <c r="AQ17" s="2669">
        <f>'PAL I'!AN17</f>
        <v>148503</v>
      </c>
    </row>
    <row r="18" ht="14.25" spans="1:44">
      <c r="A18" s="3146"/>
      <c r="B18" s="3147">
        <f>SUM(B12:B17)</f>
        <v>7744.76</v>
      </c>
      <c r="C18" s="3138">
        <f t="shared" si="30"/>
        <v>177.874072275965</v>
      </c>
      <c r="D18" s="3148">
        <f>SUM(D12:D17)</f>
        <v>1377592</v>
      </c>
      <c r="E18" s="3201">
        <f>SUM(E12:E17)</f>
        <v>8678.3</v>
      </c>
      <c r="F18" s="3189">
        <f>IF(E18=0,0,G18/E18)</f>
        <v>192.27728933086</v>
      </c>
      <c r="G18" s="3202">
        <f>SUM(G12:G17)</f>
        <v>1668640</v>
      </c>
      <c r="H18" s="3201">
        <f>SUM(H12:H17)</f>
        <v>7031</v>
      </c>
      <c r="I18" s="3138">
        <f t="shared" si="28"/>
        <v>190.995448727066</v>
      </c>
      <c r="J18" s="3202">
        <f>SUM(J12:J17)</f>
        <v>1342889</v>
      </c>
      <c r="K18" s="3201">
        <f>SUM(K12:K17)</f>
        <v>8528.8</v>
      </c>
      <c r="L18" s="3138">
        <f t="shared" si="31"/>
        <v>175.226878341619</v>
      </c>
      <c r="M18" s="3202">
        <f>SUM(M12:M17)</f>
        <v>1494475</v>
      </c>
      <c r="N18" s="3201">
        <f>SUM(N12:N17)</f>
        <v>7062.52</v>
      </c>
      <c r="O18" s="3138">
        <f>IF(N18=0,0,P18/N18)</f>
        <v>183.276365943034</v>
      </c>
      <c r="P18" s="3202">
        <f>SUM(P12:P17)</f>
        <v>1294393</v>
      </c>
      <c r="Q18" s="3201">
        <f>SUM(Q12:Q17)</f>
        <v>5883.2</v>
      </c>
      <c r="R18" s="3138">
        <f t="shared" si="26"/>
        <v>171.347735926027</v>
      </c>
      <c r="S18" s="3202">
        <f>SUM(S12:S17)</f>
        <v>1008073</v>
      </c>
      <c r="T18" s="3201">
        <f>SUM(T12:T17)</f>
        <v>7449.2</v>
      </c>
      <c r="U18" s="3138">
        <f t="shared" si="0"/>
        <v>182.887692638136</v>
      </c>
      <c r="V18" s="3202">
        <f>SUM(V12:V17)</f>
        <v>1362367</v>
      </c>
      <c r="W18" s="3201">
        <f>SUM(W12:W17)</f>
        <v>15178</v>
      </c>
      <c r="X18" s="3138">
        <f t="shared" si="17"/>
        <v>139.917380419028</v>
      </c>
      <c r="Y18" s="3202">
        <f>SUM(Y12:Y17)</f>
        <v>2123666</v>
      </c>
      <c r="Z18" s="3201">
        <f>SUM(Z12:Z17)</f>
        <v>6671.4</v>
      </c>
      <c r="AA18" s="3138">
        <f t="shared" si="18"/>
        <v>179.921006085679</v>
      </c>
      <c r="AB18" s="3202">
        <f>SUM(AB12:AB17)</f>
        <v>1200325</v>
      </c>
      <c r="AC18" s="3201">
        <f>SUM(AC12:AC17)</f>
        <v>4450.2</v>
      </c>
      <c r="AD18" s="3138">
        <f t="shared" si="19"/>
        <v>199.572828187497</v>
      </c>
      <c r="AE18" s="3202">
        <f>SUM(AE12:AE17)</f>
        <v>888139</v>
      </c>
      <c r="AF18" s="3201">
        <f>SUM(AF12:AF17)</f>
        <v>6828.64</v>
      </c>
      <c r="AG18" s="3138">
        <f t="shared" si="20"/>
        <v>189.641422010825</v>
      </c>
      <c r="AH18" s="3202">
        <f>SUM(AH12:AH17)</f>
        <v>1294993</v>
      </c>
      <c r="AI18" s="3201">
        <f>SUM(AI12:AI17)</f>
        <v>5976.1</v>
      </c>
      <c r="AJ18" s="3138">
        <f t="shared" si="21"/>
        <v>208.705711082479</v>
      </c>
      <c r="AK18" s="3202">
        <f>SUM(AK12:AK17)</f>
        <v>1247246.2</v>
      </c>
      <c r="AL18" s="3238">
        <f>SUM(AL12:AL17)</f>
        <v>91482.12</v>
      </c>
      <c r="AM18" s="3138">
        <f t="shared" si="13"/>
        <v>178.207481418227</v>
      </c>
      <c r="AN18" s="3239">
        <f>SUM(AN12:AN17)</f>
        <v>16302798.2</v>
      </c>
      <c r="AO18" s="2669">
        <f>AL11+AL18</f>
        <v>1498854.21</v>
      </c>
      <c r="AP18" s="3167"/>
      <c r="AQ18" s="2670">
        <f>SUM(AQ10:AQ17)</f>
        <v>380059065.28</v>
      </c>
      <c r="AR18" s="2670">
        <f>SUM(AR11:AR17)</f>
        <v>160821412</v>
      </c>
    </row>
    <row r="19" spans="1:44">
      <c r="A19" s="3149" t="s">
        <v>75</v>
      </c>
      <c r="B19" s="3150"/>
      <c r="C19" s="2665"/>
      <c r="D19" s="3151"/>
      <c r="E19" s="3203"/>
      <c r="F19" s="3183">
        <f t="shared" ref="F19:F21" si="32">IF(E19=0,0,G19/E19)</f>
        <v>0</v>
      </c>
      <c r="G19" s="3204"/>
      <c r="H19" s="3205"/>
      <c r="I19" s="2665"/>
      <c r="J19" s="3220"/>
      <c r="K19" s="3205"/>
      <c r="L19" s="2665"/>
      <c r="M19" s="3220"/>
      <c r="N19" s="3205"/>
      <c r="O19" s="2665"/>
      <c r="P19" s="3220"/>
      <c r="Q19" s="3205"/>
      <c r="R19" s="3132">
        <f t="shared" ref="R19:R27" si="33">IF(Q19=0,0,S19/Q19)</f>
        <v>0</v>
      </c>
      <c r="S19" s="3220"/>
      <c r="T19" s="3205"/>
      <c r="U19" s="2665"/>
      <c r="V19" s="3220"/>
      <c r="W19" s="3205"/>
      <c r="X19" s="2665"/>
      <c r="Y19" s="3220"/>
      <c r="Z19" s="3205"/>
      <c r="AA19" s="3132">
        <f t="shared" ref="AA19:AA27" si="34">IF(Z19=0,0,AB19/Z19)</f>
        <v>0</v>
      </c>
      <c r="AB19" s="3220"/>
      <c r="AC19" s="3205"/>
      <c r="AD19" s="2665">
        <f t="shared" ref="AD19" si="35">IF(AC19=0,0,AE19/AC19)</f>
        <v>0</v>
      </c>
      <c r="AE19" s="3220"/>
      <c r="AF19" s="3205"/>
      <c r="AG19" s="2665">
        <f t="shared" ref="AG19" si="36">IF(AF19=0,0,AH19/AF19)</f>
        <v>0</v>
      </c>
      <c r="AH19" s="3220"/>
      <c r="AI19" s="3205"/>
      <c r="AJ19" s="2665">
        <f t="shared" ref="AJ19" si="37">IF(AI19=0,0,AK19/AI19)</f>
        <v>0</v>
      </c>
      <c r="AK19" s="3220"/>
      <c r="AL19" s="3184">
        <f t="shared" ref="AL19:AL25" si="38">SUM(B19,E19,H19,K19,N19,Q19,T19,W19,Z19,AC19,AF19,AI19)</f>
        <v>0</v>
      </c>
      <c r="AM19" s="3132">
        <f t="shared" si="13"/>
        <v>0</v>
      </c>
      <c r="AN19" s="3235">
        <f t="shared" ref="AN19" si="39">SUM(D19,G19,J19,M19,P19,S19,V19,Y19,AB19,AE19,AH19,AK19)</f>
        <v>0</v>
      </c>
      <c r="AR19" s="2674">
        <f>AQ18-AR18</f>
        <v>219237653.28</v>
      </c>
    </row>
    <row r="20" spans="1:42">
      <c r="A20" s="3131" t="s">
        <v>76</v>
      </c>
      <c r="B20" s="3142"/>
      <c r="C20" s="2665"/>
      <c r="D20" s="3143"/>
      <c r="E20" s="3195"/>
      <c r="F20" s="3183">
        <f t="shared" si="32"/>
        <v>0</v>
      </c>
      <c r="G20" s="3196"/>
      <c r="H20" s="3197"/>
      <c r="I20" s="2665"/>
      <c r="J20" s="3206"/>
      <c r="K20" s="3197"/>
      <c r="L20" s="2665"/>
      <c r="M20" s="3206"/>
      <c r="N20" s="3197"/>
      <c r="O20" s="2665"/>
      <c r="P20" s="3206"/>
      <c r="Q20" s="3197"/>
      <c r="R20" s="3132">
        <f t="shared" si="33"/>
        <v>0</v>
      </c>
      <c r="S20" s="3206"/>
      <c r="T20" s="3197"/>
      <c r="U20" s="3132">
        <f t="shared" ref="U20:U27" si="40">IF(T20=0,0,V20/T20)</f>
        <v>0</v>
      </c>
      <c r="V20" s="3206"/>
      <c r="W20" s="3197"/>
      <c r="X20" s="2665"/>
      <c r="Y20" s="3206"/>
      <c r="Z20" s="3197"/>
      <c r="AA20" s="3132">
        <f t="shared" si="34"/>
        <v>0</v>
      </c>
      <c r="AB20" s="3206"/>
      <c r="AC20" s="3197"/>
      <c r="AD20" s="2665"/>
      <c r="AE20" s="3206"/>
      <c r="AF20" s="3197"/>
      <c r="AG20" s="2665"/>
      <c r="AH20" s="3206"/>
      <c r="AI20" s="3197"/>
      <c r="AJ20" s="2665"/>
      <c r="AK20" s="3206"/>
      <c r="AL20" s="3184">
        <f t="shared" si="38"/>
        <v>0</v>
      </c>
      <c r="AM20" s="3132">
        <f t="shared" si="13"/>
        <v>0</v>
      </c>
      <c r="AN20" s="3235">
        <f t="shared" ref="AN20:AN25" si="41">SUM(D20,G20,J20,M20,P20,S20,V20,Y20,AB20,AE20,AH20,AK20)</f>
        <v>0</v>
      </c>
      <c r="AO20" s="2669"/>
      <c r="AP20" s="2669"/>
    </row>
    <row r="21" spans="1:40">
      <c r="A21" s="3131" t="s">
        <v>77</v>
      </c>
      <c r="B21" s="3142">
        <v>2110</v>
      </c>
      <c r="C21" s="3132">
        <f t="shared" ref="C21:C27" si="42">IF(B21=0,0,D21/B21)</f>
        <v>10</v>
      </c>
      <c r="D21" s="3143">
        <v>21100</v>
      </c>
      <c r="E21" s="3197">
        <v>7739</v>
      </c>
      <c r="F21" s="3132">
        <f t="shared" si="32"/>
        <v>10</v>
      </c>
      <c r="G21" s="3206">
        <v>77390</v>
      </c>
      <c r="H21" s="3197">
        <v>5654</v>
      </c>
      <c r="I21" s="3132">
        <f t="shared" ref="I21" si="43">IF(H21=0,0,J21/H21)</f>
        <v>10</v>
      </c>
      <c r="J21" s="3206">
        <v>56540</v>
      </c>
      <c r="K21" s="3197">
        <v>5340.5</v>
      </c>
      <c r="L21" s="3132">
        <f t="shared" ref="L21" si="44">IF(K21=0,0,M21/K21)</f>
        <v>10</v>
      </c>
      <c r="M21" s="3206">
        <v>53405</v>
      </c>
      <c r="N21" s="3197">
        <v>5389</v>
      </c>
      <c r="O21" s="3132">
        <f t="shared" ref="O21" si="45">IF(N21=0,0,P21/N21)</f>
        <v>10</v>
      </c>
      <c r="P21" s="3206">
        <v>53890</v>
      </c>
      <c r="Q21" s="3197">
        <v>7178</v>
      </c>
      <c r="R21" s="3132">
        <f t="shared" si="33"/>
        <v>10</v>
      </c>
      <c r="S21" s="3206">
        <v>71780</v>
      </c>
      <c r="T21" s="3197">
        <v>3584</v>
      </c>
      <c r="U21" s="3132">
        <f t="shared" si="40"/>
        <v>10</v>
      </c>
      <c r="V21" s="3206">
        <v>35840</v>
      </c>
      <c r="W21" s="3197">
        <v>5507</v>
      </c>
      <c r="X21" s="3132">
        <f t="shared" ref="X21:X27" si="46">IF(W21=0,0,Y21/W21)</f>
        <v>10</v>
      </c>
      <c r="Y21" s="3206">
        <v>55070</v>
      </c>
      <c r="Z21" s="3197">
        <v>6958</v>
      </c>
      <c r="AA21" s="3132">
        <f t="shared" si="34"/>
        <v>10</v>
      </c>
      <c r="AB21" s="3206">
        <v>69580</v>
      </c>
      <c r="AC21" s="3197">
        <v>4497</v>
      </c>
      <c r="AD21" s="3132">
        <f t="shared" ref="AD21" si="47">IF(AC21=0,0,AE21/AC21)</f>
        <v>10</v>
      </c>
      <c r="AE21" s="3206">
        <v>44970</v>
      </c>
      <c r="AF21" s="3197">
        <v>7534.5</v>
      </c>
      <c r="AG21" s="3132">
        <f t="shared" ref="AG21" si="48">IF(AF21=0,0,AH21/AF21)</f>
        <v>10</v>
      </c>
      <c r="AH21" s="3206">
        <v>75345</v>
      </c>
      <c r="AI21" s="3197">
        <v>5864.6</v>
      </c>
      <c r="AJ21" s="3132">
        <f t="shared" ref="AJ21" si="49">IF(AI21=0,0,AK21/AI21)</f>
        <v>10.5279132421649</v>
      </c>
      <c r="AK21" s="3206">
        <v>61742</v>
      </c>
      <c r="AL21" s="3184">
        <f t="shared" si="38"/>
        <v>67355.6</v>
      </c>
      <c r="AM21" s="3132">
        <f t="shared" si="13"/>
        <v>10.0459649977136</v>
      </c>
      <c r="AN21" s="3235">
        <f t="shared" si="41"/>
        <v>676652</v>
      </c>
    </row>
    <row r="22" spans="1:40">
      <c r="A22" s="3131" t="s">
        <v>78</v>
      </c>
      <c r="B22" s="3129"/>
      <c r="C22" s="3132"/>
      <c r="D22" s="3130"/>
      <c r="E22" s="3184"/>
      <c r="F22" s="3132"/>
      <c r="G22" s="3207"/>
      <c r="H22" s="3184"/>
      <c r="I22" s="3132"/>
      <c r="J22" s="3207"/>
      <c r="K22" s="3184"/>
      <c r="L22" s="3132"/>
      <c r="M22" s="3207"/>
      <c r="N22" s="3184"/>
      <c r="O22" s="3132"/>
      <c r="P22" s="3207">
        <v>270339</v>
      </c>
      <c r="Q22" s="3184"/>
      <c r="R22" s="3132">
        <f t="shared" si="33"/>
        <v>0</v>
      </c>
      <c r="S22" s="3207"/>
      <c r="T22" s="3184"/>
      <c r="U22" s="3132">
        <f t="shared" si="40"/>
        <v>0</v>
      </c>
      <c r="V22" s="3207"/>
      <c r="W22" s="3184"/>
      <c r="X22" s="3132">
        <f t="shared" si="46"/>
        <v>0</v>
      </c>
      <c r="Y22" s="3207"/>
      <c r="Z22" s="3184"/>
      <c r="AA22" s="3132">
        <f t="shared" si="34"/>
        <v>0</v>
      </c>
      <c r="AB22" s="3207"/>
      <c r="AC22" s="3184"/>
      <c r="AD22" s="3132"/>
      <c r="AE22" s="3207"/>
      <c r="AF22" s="3184"/>
      <c r="AG22" s="3132"/>
      <c r="AH22" s="3207"/>
      <c r="AI22" s="3184"/>
      <c r="AJ22" s="3132"/>
      <c r="AK22" s="3207"/>
      <c r="AL22" s="3184">
        <f t="shared" si="38"/>
        <v>0</v>
      </c>
      <c r="AM22" s="3132">
        <f t="shared" si="13"/>
        <v>0</v>
      </c>
      <c r="AN22" s="3235">
        <f t="shared" si="41"/>
        <v>270339</v>
      </c>
    </row>
    <row r="23" spans="1:40">
      <c r="A23" s="3131" t="s">
        <v>79</v>
      </c>
      <c r="B23" s="3133">
        <v>10</v>
      </c>
      <c r="C23" s="3132">
        <f t="shared" si="42"/>
        <v>1000</v>
      </c>
      <c r="D23" s="3135">
        <v>10000</v>
      </c>
      <c r="E23" s="3187"/>
      <c r="F23" s="2665"/>
      <c r="G23" s="3208"/>
      <c r="H23" s="3187"/>
      <c r="I23" s="2665"/>
      <c r="J23" s="3208"/>
      <c r="K23" s="3187">
        <v>2</v>
      </c>
      <c r="L23" s="3132">
        <f t="shared" ref="L23:L24" si="50">IF(K23=0,0,M23/K23)</f>
        <v>2200</v>
      </c>
      <c r="M23" s="3208">
        <v>4400</v>
      </c>
      <c r="N23" s="3187">
        <v>4</v>
      </c>
      <c r="O23" s="3132">
        <f t="shared" ref="O23:O24" si="51">IF(N23=0,0,P23/N23)</f>
        <v>1000</v>
      </c>
      <c r="P23" s="3208">
        <v>4000</v>
      </c>
      <c r="Q23" s="3187"/>
      <c r="R23" s="3132">
        <f t="shared" si="33"/>
        <v>0</v>
      </c>
      <c r="S23" s="3208"/>
      <c r="T23" s="3187"/>
      <c r="U23" s="3132">
        <f t="shared" si="40"/>
        <v>0</v>
      </c>
      <c r="V23" s="3208"/>
      <c r="W23" s="3187"/>
      <c r="X23" s="3132">
        <f t="shared" si="46"/>
        <v>0</v>
      </c>
      <c r="Y23" s="3208"/>
      <c r="Z23" s="3187"/>
      <c r="AA23" s="3132">
        <f t="shared" si="34"/>
        <v>0</v>
      </c>
      <c r="AB23" s="3208"/>
      <c r="AC23" s="3187"/>
      <c r="AD23" s="2665"/>
      <c r="AE23" s="3208"/>
      <c r="AF23" s="3187"/>
      <c r="AG23" s="2665"/>
      <c r="AH23" s="3208"/>
      <c r="AI23" s="3187"/>
      <c r="AJ23" s="2665"/>
      <c r="AK23" s="3208"/>
      <c r="AL23" s="3187">
        <f t="shared" si="38"/>
        <v>16</v>
      </c>
      <c r="AM23" s="2665">
        <f t="shared" si="13"/>
        <v>1150</v>
      </c>
      <c r="AN23" s="3240">
        <f t="shared" si="41"/>
        <v>18400</v>
      </c>
    </row>
    <row r="24" spans="1:40">
      <c r="A24" s="3131" t="s">
        <v>80</v>
      </c>
      <c r="B24" s="3133">
        <v>211</v>
      </c>
      <c r="C24" s="3132">
        <f t="shared" si="42"/>
        <v>310.450236966825</v>
      </c>
      <c r="D24" s="3135">
        <v>65505</v>
      </c>
      <c r="E24" s="3187">
        <v>25</v>
      </c>
      <c r="F24" s="3132">
        <f t="shared" ref="F24:F27" si="52">IF(E24=0,0,G24/E24)</f>
        <v>200</v>
      </c>
      <c r="G24" s="3208">
        <v>5000</v>
      </c>
      <c r="H24" s="3187">
        <v>228</v>
      </c>
      <c r="I24" s="3132">
        <f t="shared" ref="I24" si="53">IF(H24=0,0,J24/H24)</f>
        <v>298.201754385965</v>
      </c>
      <c r="J24" s="3208">
        <v>67990</v>
      </c>
      <c r="K24" s="3187">
        <v>227</v>
      </c>
      <c r="L24" s="3132">
        <f t="shared" si="50"/>
        <v>304.669603524229</v>
      </c>
      <c r="M24" s="3208">
        <v>69160</v>
      </c>
      <c r="N24" s="3187">
        <v>367</v>
      </c>
      <c r="O24" s="3132">
        <f t="shared" si="51"/>
        <v>305.204359673024</v>
      </c>
      <c r="P24" s="3208">
        <v>112010</v>
      </c>
      <c r="Q24" s="3187">
        <v>229</v>
      </c>
      <c r="R24" s="3132">
        <f t="shared" si="33"/>
        <v>302.489082969432</v>
      </c>
      <c r="S24" s="3208">
        <v>69270</v>
      </c>
      <c r="T24" s="3187">
        <v>221</v>
      </c>
      <c r="U24" s="3132">
        <f t="shared" si="40"/>
        <v>309.864253393665</v>
      </c>
      <c r="V24" s="3208">
        <v>68480</v>
      </c>
      <c r="W24" s="3187">
        <v>285</v>
      </c>
      <c r="X24" s="3132">
        <f t="shared" si="46"/>
        <v>286.140350877193</v>
      </c>
      <c r="Y24" s="3208">
        <v>81550</v>
      </c>
      <c r="Z24" s="3187">
        <v>175</v>
      </c>
      <c r="AA24" s="3132">
        <f t="shared" si="34"/>
        <v>274.285714285714</v>
      </c>
      <c r="AB24" s="3208">
        <v>48000</v>
      </c>
      <c r="AC24" s="3187">
        <v>215</v>
      </c>
      <c r="AD24" s="3132">
        <f t="shared" ref="AD24:AD27" si="54">IF(AC24=0,0,AE24/AC24)</f>
        <v>310.697674418605</v>
      </c>
      <c r="AE24" s="3208">
        <v>66800</v>
      </c>
      <c r="AF24" s="3187">
        <v>237</v>
      </c>
      <c r="AG24" s="3132">
        <f t="shared" ref="AG24:AG27" si="55">IF(AF24=0,0,AH24/AF24)</f>
        <v>329.367088607595</v>
      </c>
      <c r="AH24" s="3208">
        <v>78060</v>
      </c>
      <c r="AI24" s="3187">
        <v>90</v>
      </c>
      <c r="AJ24" s="3132">
        <f t="shared" ref="AJ24:AJ27" si="56">IF(AI24=0,0,AK24/AI24)</f>
        <v>324.888888888889</v>
      </c>
      <c r="AK24" s="3208">
        <v>29240</v>
      </c>
      <c r="AL24" s="3187">
        <f t="shared" si="38"/>
        <v>2510</v>
      </c>
      <c r="AM24" s="2665">
        <f t="shared" si="13"/>
        <v>303.213147410359</v>
      </c>
      <c r="AN24" s="3240">
        <f t="shared" si="41"/>
        <v>761065</v>
      </c>
    </row>
    <row r="25" ht="14.25" spans="1:41">
      <c r="A25" s="3131" t="s">
        <v>32</v>
      </c>
      <c r="B25" s="3133">
        <v>40000</v>
      </c>
      <c r="C25" s="3132">
        <f t="shared" si="42"/>
        <v>99.7</v>
      </c>
      <c r="D25" s="3135">
        <v>3988000</v>
      </c>
      <c r="E25" s="3187">
        <v>14000</v>
      </c>
      <c r="F25" s="3132">
        <f t="shared" si="52"/>
        <v>95</v>
      </c>
      <c r="G25" s="3208">
        <v>1330000</v>
      </c>
      <c r="H25" s="3187">
        <v>51000</v>
      </c>
      <c r="I25" s="3132">
        <f t="shared" ref="I25:I27" si="57">IF(H25=0,0,J25/H25)</f>
        <v>94.7843137254902</v>
      </c>
      <c r="J25" s="3208">
        <v>4834000</v>
      </c>
      <c r="K25" s="3187">
        <v>55000</v>
      </c>
      <c r="L25" s="3132">
        <f t="shared" ref="L25:L27" si="58">IF(K25=0,0,M25/K25)</f>
        <v>98.6145454545454</v>
      </c>
      <c r="M25" s="3208">
        <v>5423800</v>
      </c>
      <c r="N25" s="3187">
        <v>58000</v>
      </c>
      <c r="O25" s="3132">
        <f t="shared" ref="O25:O27" si="59">IF(N25=0,0,P25/N25)</f>
        <v>99.1206896551724</v>
      </c>
      <c r="P25" s="3208">
        <v>5749000</v>
      </c>
      <c r="Q25" s="3187">
        <v>31000</v>
      </c>
      <c r="R25" s="3132">
        <f t="shared" si="33"/>
        <v>97.5806451612903</v>
      </c>
      <c r="S25" s="3208">
        <v>3025000</v>
      </c>
      <c r="T25" s="3187">
        <v>24000</v>
      </c>
      <c r="U25" s="3132">
        <f t="shared" si="40"/>
        <v>95.7916666666667</v>
      </c>
      <c r="V25" s="3208">
        <v>2299000</v>
      </c>
      <c r="W25" s="3187">
        <v>15000</v>
      </c>
      <c r="X25" s="3132">
        <f t="shared" si="46"/>
        <v>96.6666666666667</v>
      </c>
      <c r="Y25" s="3208">
        <v>1450000</v>
      </c>
      <c r="Z25" s="3187">
        <v>31000</v>
      </c>
      <c r="AA25" s="3132">
        <f t="shared" si="34"/>
        <v>92</v>
      </c>
      <c r="AB25" s="3208">
        <v>2852000</v>
      </c>
      <c r="AC25" s="3187">
        <v>38000</v>
      </c>
      <c r="AD25" s="3132">
        <f t="shared" si="54"/>
        <v>96.6052631578947</v>
      </c>
      <c r="AE25" s="3208">
        <v>3671000</v>
      </c>
      <c r="AF25" s="3187">
        <v>37000</v>
      </c>
      <c r="AG25" s="3132">
        <f t="shared" si="55"/>
        <v>100.837837837838</v>
      </c>
      <c r="AH25" s="3208">
        <v>3731000</v>
      </c>
      <c r="AI25" s="3187">
        <v>25000</v>
      </c>
      <c r="AJ25" s="3132">
        <f t="shared" si="56"/>
        <v>119.12</v>
      </c>
      <c r="AK25" s="3208">
        <v>2978000</v>
      </c>
      <c r="AL25" s="3187">
        <f t="shared" si="38"/>
        <v>419000</v>
      </c>
      <c r="AM25" s="3215">
        <f t="shared" si="13"/>
        <v>98.6415274463007</v>
      </c>
      <c r="AN25" s="3240">
        <f t="shared" si="41"/>
        <v>41330800</v>
      </c>
      <c r="AO25" s="2669">
        <f>AO18+AL25</f>
        <v>1917854.21</v>
      </c>
    </row>
    <row r="26" ht="14.25" spans="1:40">
      <c r="A26" s="3152"/>
      <c r="B26" s="3153">
        <f>SUM(B19:B25)</f>
        <v>42331</v>
      </c>
      <c r="C26" s="3138">
        <f t="shared" si="42"/>
        <v>96.4920507429543</v>
      </c>
      <c r="D26" s="3154">
        <f>SUM(D19:D25)</f>
        <v>4084605</v>
      </c>
      <c r="E26" s="3209">
        <f>SUM(E19:E25)</f>
        <v>21764</v>
      </c>
      <c r="F26" s="3138">
        <f t="shared" si="52"/>
        <v>64.895699319978</v>
      </c>
      <c r="G26" s="3210">
        <f>SUM(G19:G25)</f>
        <v>1412390</v>
      </c>
      <c r="H26" s="3209">
        <f>SUM(H19:H25)</f>
        <v>56882</v>
      </c>
      <c r="I26" s="3138">
        <f t="shared" si="57"/>
        <v>87.1722161668014</v>
      </c>
      <c r="J26" s="3210">
        <f>SUM(J19:J25)</f>
        <v>4958530</v>
      </c>
      <c r="K26" s="3209">
        <f>SUM(K19:K25)</f>
        <v>60569.5</v>
      </c>
      <c r="L26" s="3138">
        <f t="shared" si="58"/>
        <v>91.6429060830946</v>
      </c>
      <c r="M26" s="3210">
        <f>SUM(M19:M25)</f>
        <v>5550765</v>
      </c>
      <c r="N26" s="3209">
        <f>SUM(N19:N25)</f>
        <v>63760</v>
      </c>
      <c r="O26" s="3138">
        <f t="shared" si="59"/>
        <v>97.0708751568381</v>
      </c>
      <c r="P26" s="3210">
        <f>SUM(P19:P25)</f>
        <v>6189239</v>
      </c>
      <c r="Q26" s="3209">
        <f>SUM(Q19:Q25)</f>
        <v>38407</v>
      </c>
      <c r="R26" s="3138">
        <f t="shared" si="33"/>
        <v>82.4341916838076</v>
      </c>
      <c r="S26" s="3210">
        <f>SUM(S19:S25)</f>
        <v>3166050</v>
      </c>
      <c r="T26" s="3209">
        <f>SUM(T19:T25)</f>
        <v>27805</v>
      </c>
      <c r="U26" s="3138">
        <f t="shared" si="40"/>
        <v>86.4348138823952</v>
      </c>
      <c r="V26" s="3210">
        <f>SUM(V19:V25)</f>
        <v>2403320</v>
      </c>
      <c r="W26" s="3209">
        <f>SUM(W19:W25)</f>
        <v>20792</v>
      </c>
      <c r="X26" s="3138">
        <f t="shared" si="46"/>
        <v>76.3091573682185</v>
      </c>
      <c r="Y26" s="3210">
        <f>SUM(Y19:Y25)</f>
        <v>1586620</v>
      </c>
      <c r="Z26" s="3209">
        <f>SUM(Z19:Z25)</f>
        <v>38133</v>
      </c>
      <c r="AA26" s="3138">
        <f t="shared" si="34"/>
        <v>77.8742821178507</v>
      </c>
      <c r="AB26" s="3210">
        <f>SUM(AB19:AB25)</f>
        <v>2969580</v>
      </c>
      <c r="AC26" s="3209">
        <f>SUM(AC19:AC25)</f>
        <v>42712</v>
      </c>
      <c r="AD26" s="3138">
        <f t="shared" si="54"/>
        <v>88.5645720172317</v>
      </c>
      <c r="AE26" s="3210">
        <f>SUM(AE19:AE25)</f>
        <v>3782770</v>
      </c>
      <c r="AF26" s="3209">
        <f>SUM(AF19:AF25)</f>
        <v>44771.5</v>
      </c>
      <c r="AG26" s="3138">
        <f t="shared" si="55"/>
        <v>86.760662475012</v>
      </c>
      <c r="AH26" s="3210">
        <f>SUM(AH19:AH25)</f>
        <v>3884405</v>
      </c>
      <c r="AI26" s="3209">
        <f>SUM(AI19:AI25)</f>
        <v>30954.6</v>
      </c>
      <c r="AJ26" s="3138">
        <f t="shared" si="56"/>
        <v>99.1446182473687</v>
      </c>
      <c r="AK26" s="3210">
        <f>SUM(AK19:AK25)</f>
        <v>3068982</v>
      </c>
      <c r="AL26" s="3209">
        <f>SUM(AL19:AL25)</f>
        <v>488881.6</v>
      </c>
      <c r="AM26" s="3138">
        <f t="shared" si="13"/>
        <v>88.0729730879624</v>
      </c>
      <c r="AN26" s="3210">
        <f>SUM(AN19:AN25)</f>
        <v>43057256</v>
      </c>
    </row>
    <row r="27" ht="14.25" spans="1:41">
      <c r="A27" s="3155" t="s">
        <v>81</v>
      </c>
      <c r="B27" s="3156">
        <f>SUM(B11,B18,B26)</f>
        <v>153696.63</v>
      </c>
      <c r="C27" s="3138">
        <f t="shared" si="42"/>
        <v>201.484837370865</v>
      </c>
      <c r="D27" s="3157">
        <f>SUM(D11,D18,D26)</f>
        <v>30967540.5</v>
      </c>
      <c r="E27" s="3211">
        <f>SUM(E11,E18,E26)</f>
        <v>168903.05</v>
      </c>
      <c r="F27" s="3138">
        <f t="shared" si="52"/>
        <v>226.099303712988</v>
      </c>
      <c r="G27" s="3212">
        <f>SUM(G11,G18,G26)</f>
        <v>38188862</v>
      </c>
      <c r="H27" s="3211">
        <f>SUM(H11,H18,H26)</f>
        <v>186176.84</v>
      </c>
      <c r="I27" s="3138">
        <f t="shared" si="57"/>
        <v>209.267643064519</v>
      </c>
      <c r="J27" s="3212">
        <f>SUM(J11,J18,J26)</f>
        <v>38960788.5</v>
      </c>
      <c r="K27" s="3211">
        <f>SUM(K11,K18,K26)</f>
        <v>182718.1</v>
      </c>
      <c r="L27" s="3138">
        <f t="shared" si="58"/>
        <v>200.748691563671</v>
      </c>
      <c r="M27" s="3212">
        <f>SUM(M11,M18,M26)</f>
        <v>36680419.5</v>
      </c>
      <c r="N27" s="3211">
        <f>SUM(N11,N18,N26)</f>
        <v>181184.01</v>
      </c>
      <c r="O27" s="3138">
        <f t="shared" si="59"/>
        <v>198.069263948844</v>
      </c>
      <c r="P27" s="3212">
        <f>SUM(P11,P18,P26)</f>
        <v>35886983.5</v>
      </c>
      <c r="Q27" s="3211">
        <f>SUM(Q11,Q18,Q26)</f>
        <v>140303.96</v>
      </c>
      <c r="R27" s="3138">
        <f t="shared" si="33"/>
        <v>205.48926060248</v>
      </c>
      <c r="S27" s="3212">
        <f>SUM(S11,S18,S26)</f>
        <v>28830957</v>
      </c>
      <c r="T27" s="3211">
        <f>SUM(T11,T18,T26)</f>
        <v>128974.85</v>
      </c>
      <c r="U27" s="3138">
        <f t="shared" si="40"/>
        <v>213.104485099227</v>
      </c>
      <c r="V27" s="3212">
        <f>SUM(V11,V18,V26)</f>
        <v>27485119</v>
      </c>
      <c r="W27" s="3211">
        <f>SUM(W11,W18,W26)</f>
        <v>165543.21</v>
      </c>
      <c r="X27" s="3138">
        <f t="shared" si="46"/>
        <v>213.764306612153</v>
      </c>
      <c r="Y27" s="3212">
        <f>SUM(Y11,Y18,Y26)</f>
        <v>35387229.5</v>
      </c>
      <c r="Z27" s="3211">
        <f>SUM(Z11,Z18,Z26)</f>
        <v>132005.59</v>
      </c>
      <c r="AA27" s="3138">
        <f t="shared" si="34"/>
        <v>192.59184781493</v>
      </c>
      <c r="AB27" s="3212">
        <f>SUM(AB11,AB18,AB26)</f>
        <v>25423200.5</v>
      </c>
      <c r="AC27" s="3211">
        <f>SUM(AC11,AC18,AC26)</f>
        <v>166967.7</v>
      </c>
      <c r="AD27" s="3138">
        <f t="shared" si="54"/>
        <v>208.290729284766</v>
      </c>
      <c r="AE27" s="3212">
        <f>SUM(AE11,AE18,AE26)</f>
        <v>34777824</v>
      </c>
      <c r="AF27" s="3211">
        <f>SUM(AF11,AF18,AF26)</f>
        <v>179817.01</v>
      </c>
      <c r="AG27" s="3138">
        <f t="shared" si="55"/>
        <v>211.233959456895</v>
      </c>
      <c r="AH27" s="3212">
        <f>SUM(AH11,AH18,AH26)</f>
        <v>37983459</v>
      </c>
      <c r="AI27" s="3211">
        <f>SUM(AI11,AI18,AI26)</f>
        <v>201444.86</v>
      </c>
      <c r="AJ27" s="3138">
        <f t="shared" si="56"/>
        <v>239.874689977198</v>
      </c>
      <c r="AK27" s="3212">
        <f>SUM(AK11,AK18,AK26)</f>
        <v>48321523.34</v>
      </c>
      <c r="AL27" s="3241">
        <f>SUM(AL11,AL18,AL26)</f>
        <v>1987735.81</v>
      </c>
      <c r="AM27" s="3138">
        <f t="shared" si="13"/>
        <v>210.739226124824</v>
      </c>
      <c r="AN27" s="3242">
        <f>SUM(AN11,AN18,AN26)</f>
        <v>418893906.34</v>
      </c>
      <c r="AO27" s="3161">
        <f>AN27-AN21</f>
        <v>418217254.34</v>
      </c>
    </row>
    <row r="28" spans="1:40">
      <c r="A28" s="3158" t="s">
        <v>82</v>
      </c>
      <c r="D28" s="2672">
        <v>17.85</v>
      </c>
      <c r="G28" s="3164">
        <v>798.67</v>
      </c>
      <c r="J28" s="3164">
        <v>41</v>
      </c>
      <c r="M28" s="3164">
        <v>4.49</v>
      </c>
      <c r="P28" s="3164">
        <v>51.29</v>
      </c>
      <c r="S28" s="3164">
        <v>0.26</v>
      </c>
      <c r="V28" s="3164">
        <v>90.25</v>
      </c>
      <c r="Y28" s="3164">
        <v>4.57</v>
      </c>
      <c r="AB28" s="3164">
        <v>37847.24</v>
      </c>
      <c r="AE28" s="2672">
        <v>0.5</v>
      </c>
      <c r="AH28" s="2672">
        <v>50448.9</v>
      </c>
      <c r="AK28" s="3164">
        <v>59197.67</v>
      </c>
      <c r="AN28" s="3243">
        <f>SUM(D28,G28,J28,M28,P28,S28,V28,Y28,AB28,AE28,AH28,AK28)</f>
        <v>148502.69</v>
      </c>
    </row>
    <row r="29" spans="4:43">
      <c r="D29" s="3159">
        <f>ROUND((D27-D21),0)</f>
        <v>30946441</v>
      </c>
      <c r="E29" s="2669"/>
      <c r="G29" s="3159">
        <f>ROUND((G27-G21),0)</f>
        <v>38111472</v>
      </c>
      <c r="J29" s="3159">
        <f>ROUND((J27-J21),0)</f>
        <v>38904249</v>
      </c>
      <c r="M29" s="3159">
        <f>ROUND((M27-M21),0)</f>
        <v>36627015</v>
      </c>
      <c r="P29" s="3159">
        <f>ROUND((P27-P21),0)</f>
        <v>35833094</v>
      </c>
      <c r="S29" s="3159">
        <f>ROUND((S27-S21),0)</f>
        <v>28759177</v>
      </c>
      <c r="T29" s="2669"/>
      <c r="V29" s="3159">
        <f>ROUND((V27-V21),0)</f>
        <v>27449279</v>
      </c>
      <c r="Y29" s="3159">
        <f>ROUND((Y27-Y21),0)</f>
        <v>35332160</v>
      </c>
      <c r="AB29" s="3159">
        <f>ROUND((AB27-AB21),0)</f>
        <v>25353621</v>
      </c>
      <c r="AE29" s="3159">
        <f>ROUND((AE27-AE21),0)</f>
        <v>34732854</v>
      </c>
      <c r="AH29" s="3159">
        <f>ROUND((AH27-AH21),0)</f>
        <v>37908114</v>
      </c>
      <c r="AK29" s="3159">
        <f>ROUND((AK27-AK21),0)</f>
        <v>48259781</v>
      </c>
      <c r="AL29" s="3244">
        <f>AL11+AL18</f>
        <v>1498854.21</v>
      </c>
      <c r="AM29" s="3245">
        <f>AN29/AL29</f>
        <v>250.749304256883</v>
      </c>
      <c r="AN29" s="3246">
        <f>AN11+AN18</f>
        <v>375836650.34</v>
      </c>
      <c r="AO29" s="3253"/>
      <c r="AP29" s="3254" t="s">
        <v>83</v>
      </c>
      <c r="AQ29" s="3254" t="s">
        <v>84</v>
      </c>
    </row>
    <row r="30" spans="1:43">
      <c r="A30" s="3160" t="s">
        <v>85</v>
      </c>
      <c r="D30" s="2669">
        <v>33048760.79</v>
      </c>
      <c r="G30" s="2669">
        <v>40365922.73</v>
      </c>
      <c r="J30" s="2669">
        <v>41624496.69</v>
      </c>
      <c r="M30" s="2669">
        <v>39437878.59</v>
      </c>
      <c r="P30" s="2669">
        <v>38487670.5</v>
      </c>
      <c r="S30" s="2669">
        <v>30634990.31</v>
      </c>
      <c r="V30" s="2669">
        <v>29269752.51</v>
      </c>
      <c r="Y30" s="2669">
        <v>37272442.48</v>
      </c>
      <c r="AB30" s="2669">
        <v>26988536.09</v>
      </c>
      <c r="AE30" s="2669">
        <v>36691119.07</v>
      </c>
      <c r="AH30" s="2669">
        <v>40235064.96</v>
      </c>
      <c r="AK30" s="2669">
        <v>49127786.92</v>
      </c>
      <c r="AN30" s="3247">
        <f>SUM(D30,G30,J30,M30,P30,S30,V30,Y30,AB30,AE30,AH30,AK30)</f>
        <v>443184421.64</v>
      </c>
      <c r="AP30" s="2669">
        <v>209540886.78</v>
      </c>
      <c r="AQ30" s="2668">
        <v>1012982.89</v>
      </c>
    </row>
    <row r="31" spans="1:43">
      <c r="A31" s="2668" t="s">
        <v>86</v>
      </c>
      <c r="D31" s="2669">
        <v>2263250.11</v>
      </c>
      <c r="G31" s="2669">
        <v>2243080.53</v>
      </c>
      <c r="J31" s="2669">
        <v>2763631.19</v>
      </c>
      <c r="M31" s="2669">
        <v>2770897.09</v>
      </c>
      <c r="P31" s="2669">
        <v>2617607</v>
      </c>
      <c r="S31" s="2669">
        <v>1897146.91</v>
      </c>
      <c r="V31" s="2669">
        <v>1807715.81</v>
      </c>
      <c r="Y31" s="2669">
        <v>1897513.48</v>
      </c>
      <c r="AB31" s="2669">
        <v>1745590.59</v>
      </c>
      <c r="AE31" s="2669">
        <v>2045320.72</v>
      </c>
      <c r="AH31" s="2669">
        <v>2406110.46</v>
      </c>
      <c r="AK31" s="2669">
        <v>2779015.58</v>
      </c>
      <c r="AN31" s="3247">
        <f>SUM(D31,G31,J31,M31,P31,S31,V31,Y31,AB31,AE31,AH31,AK31)</f>
        <v>27236879.47</v>
      </c>
      <c r="AP31" s="3163">
        <f>AN27-AP30</f>
        <v>209353019.56</v>
      </c>
      <c r="AQ31" s="3161">
        <f>AL27-AQ30</f>
        <v>974752.92</v>
      </c>
    </row>
    <row r="32" spans="1:42">
      <c r="A32" s="2668" t="s">
        <v>87</v>
      </c>
      <c r="D32" s="2668">
        <v>0</v>
      </c>
      <c r="AL32" s="3161"/>
      <c r="AN32" s="3247">
        <f>SUM(D32,G32,J32,M32,P32,S32,V32,Y32,AB32,AE32,AH32,AK32)</f>
        <v>0</v>
      </c>
      <c r="AP32" s="3161"/>
    </row>
    <row r="33" spans="1:43">
      <c r="A33" s="3160"/>
      <c r="D33" s="3161">
        <f>D31+D32</f>
        <v>2263250.11</v>
      </c>
      <c r="G33" s="3161">
        <f>G31+G32</f>
        <v>2243080.53</v>
      </c>
      <c r="J33" s="3161">
        <f>J31+J32</f>
        <v>2763631.19</v>
      </c>
      <c r="M33" s="3161">
        <f>M31+M32</f>
        <v>2770897.09</v>
      </c>
      <c r="P33" s="3161">
        <f>P31+P32</f>
        <v>2617607</v>
      </c>
      <c r="S33" s="3161">
        <f>S31+S32</f>
        <v>1897146.91</v>
      </c>
      <c r="V33" s="3161">
        <f>V31+V32</f>
        <v>1807715.81</v>
      </c>
      <c r="Y33" s="3161">
        <f>Y31+Y32</f>
        <v>1897513.48</v>
      </c>
      <c r="AB33" s="3161">
        <f>AB31+AB32</f>
        <v>1745590.59</v>
      </c>
      <c r="AE33" s="3161">
        <f>AE31+AE32</f>
        <v>2045320.72</v>
      </c>
      <c r="AH33" s="3161">
        <f>AH31+AH32</f>
        <v>2406110.46</v>
      </c>
      <c r="AK33" s="3161">
        <f>AK31+AK32</f>
        <v>2779015.58</v>
      </c>
      <c r="AN33" s="3161">
        <f>SUM(AN31:AN32)</f>
        <v>27236879.47</v>
      </c>
      <c r="AQ33" s="2668" t="s">
        <v>88</v>
      </c>
    </row>
    <row r="34" spans="4:44">
      <c r="D34" s="3162">
        <f>D30-D33</f>
        <v>30785510.68</v>
      </c>
      <c r="G34" s="3162">
        <f>G30-G33</f>
        <v>38122842.2</v>
      </c>
      <c r="J34" s="3162">
        <f>J30-J33</f>
        <v>38860865.5</v>
      </c>
      <c r="M34" s="3162">
        <f>M30-M33</f>
        <v>36666981.5</v>
      </c>
      <c r="P34" s="3162">
        <f>P30-P33</f>
        <v>35870063.5</v>
      </c>
      <c r="S34" s="3162">
        <f>S30-S33</f>
        <v>28737843.4</v>
      </c>
      <c r="V34" s="3162">
        <f>V30-V33</f>
        <v>27462036.7</v>
      </c>
      <c r="Y34" s="3162">
        <f>Y30-Y33</f>
        <v>35374929</v>
      </c>
      <c r="AB34" s="3162">
        <f>AB30-AB33</f>
        <v>25242945.5</v>
      </c>
      <c r="AE34" s="3162">
        <f>AE30-AE33</f>
        <v>34645798.35</v>
      </c>
      <c r="AH34" s="3162">
        <f>AH30-AH33</f>
        <v>37828954.5</v>
      </c>
      <c r="AK34" s="3162">
        <f>AK30-AK33</f>
        <v>46348771.34</v>
      </c>
      <c r="AN34" s="3248">
        <f>AN30-AN33</f>
        <v>415947542.17</v>
      </c>
      <c r="AQ34" s="3161">
        <v>208748431.78</v>
      </c>
      <c r="AR34" s="3161">
        <f>AQ34-AN34</f>
        <v>-207199110.39</v>
      </c>
    </row>
    <row r="35" spans="1:46">
      <c r="A35" s="2668" t="s">
        <v>89</v>
      </c>
      <c r="D35" s="3161">
        <v>182030</v>
      </c>
      <c r="G35" s="3161">
        <v>66020</v>
      </c>
      <c r="J35" s="3161">
        <v>99922</v>
      </c>
      <c r="M35" s="3161">
        <v>13438</v>
      </c>
      <c r="P35" s="3161">
        <v>16920</v>
      </c>
      <c r="S35" s="3161">
        <v>118450</v>
      </c>
      <c r="V35" s="3161">
        <v>23083.2</v>
      </c>
      <c r="Y35" s="3161">
        <v>12300</v>
      </c>
      <c r="AB35" s="3161">
        <v>180255</v>
      </c>
      <c r="AE35" s="3161">
        <v>132026</v>
      </c>
      <c r="AH35" s="3161">
        <v>197045</v>
      </c>
      <c r="AK35" s="3161">
        <f>2023800+2</f>
        <v>2023802</v>
      </c>
      <c r="AN35" s="3247">
        <f>SUM(D35,G35,J35,M35,P35,S35,V35,Y35,AB35,AE35,AH35,AK35)</f>
        <v>3065291.2</v>
      </c>
      <c r="AO35" s="2669"/>
      <c r="AP35" s="2674"/>
      <c r="AQ35" s="3161"/>
      <c r="AR35" s="3161">
        <f>AP30-AQ34</f>
        <v>792455</v>
      </c>
      <c r="AS35" s="2668" t="s">
        <v>90</v>
      </c>
      <c r="AT35" s="2669"/>
    </row>
    <row r="36" spans="4:45">
      <c r="D36" s="3161">
        <f>D34+D35-D37</f>
        <v>30967540.68</v>
      </c>
      <c r="G36" s="3161">
        <f>G34+G35-G37</f>
        <v>38188862.2</v>
      </c>
      <c r="J36" s="3161">
        <f>J34+J35</f>
        <v>38960787.5</v>
      </c>
      <c r="M36" s="3161">
        <f>M34+M35-M37</f>
        <v>36680419.5</v>
      </c>
      <c r="P36" s="3161">
        <f>P34+P35</f>
        <v>35886983.5</v>
      </c>
      <c r="S36" s="3161">
        <f>S34+S35</f>
        <v>28856293.4</v>
      </c>
      <c r="V36" s="3161">
        <f>V34+V35</f>
        <v>27485119.9</v>
      </c>
      <c r="Y36" s="3161">
        <f>Y34+Y35</f>
        <v>35387229</v>
      </c>
      <c r="AB36" s="3161">
        <f>AB34+AB35</f>
        <v>25423200.5</v>
      </c>
      <c r="AE36" s="3161">
        <f>AE34+AE35</f>
        <v>34777824.35</v>
      </c>
      <c r="AH36" s="3161">
        <f>AH34+AH35</f>
        <v>38025999.5</v>
      </c>
      <c r="AK36" s="3161">
        <f>AK34+AK35-AK37</f>
        <v>48321525.34</v>
      </c>
      <c r="AN36" s="3161">
        <f>AN34+AN35</f>
        <v>419012833.37</v>
      </c>
      <c r="AO36" s="3161">
        <f>AN27-AN36</f>
        <v>-118927.029999971</v>
      </c>
      <c r="AQ36" s="3161"/>
      <c r="AR36" s="3163">
        <f>AN35</f>
        <v>3065291.2</v>
      </c>
      <c r="AS36" s="2668" t="s">
        <v>89</v>
      </c>
    </row>
    <row r="37" spans="1:46">
      <c r="A37" s="2668" t="s">
        <v>91</v>
      </c>
      <c r="D37" s="3163"/>
      <c r="G37" s="3163"/>
      <c r="J37" s="3163"/>
      <c r="M37" s="3163"/>
      <c r="P37" s="3163">
        <v>270339</v>
      </c>
      <c r="S37" s="3163">
        <v>25336</v>
      </c>
      <c r="V37" s="3163"/>
      <c r="Y37" s="3163">
        <f>Y36-Y27</f>
        <v>-0.5</v>
      </c>
      <c r="AB37" s="3163">
        <f>AB36-AB27</f>
        <v>0</v>
      </c>
      <c r="AE37" s="3163"/>
      <c r="AH37" s="3163">
        <v>42540</v>
      </c>
      <c r="AK37" s="3163">
        <v>51048</v>
      </c>
      <c r="AN37" s="3247">
        <f>SUM(D37,G37,J37,M37,P37,S37,V37,Y37,AB37,AE37,AH37,AK37)</f>
        <v>389262.5</v>
      </c>
      <c r="AO37" s="2669"/>
      <c r="AP37" s="3247"/>
      <c r="AQ37" s="3161"/>
      <c r="AR37" s="3255"/>
      <c r="AT37" s="2669"/>
    </row>
    <row r="38" spans="4:44">
      <c r="D38" s="3163">
        <f>D27-D36</f>
        <v>-0.179999999701977</v>
      </c>
      <c r="G38" s="3163">
        <f>G27-G36</f>
        <v>-0.199999995529652</v>
      </c>
      <c r="J38" s="3163">
        <f>J27-J36</f>
        <v>1</v>
      </c>
      <c r="M38" s="3163">
        <f>M27-M36</f>
        <v>0</v>
      </c>
      <c r="P38" s="3163">
        <f>P27-P36</f>
        <v>0</v>
      </c>
      <c r="S38" s="3163"/>
      <c r="V38" s="3163"/>
      <c r="Y38" s="3163">
        <f>Y27-Y36</f>
        <v>0.5</v>
      </c>
      <c r="AB38" s="3163">
        <f>AB27-AB36</f>
        <v>0</v>
      </c>
      <c r="AE38" s="3163"/>
      <c r="AH38" s="3163"/>
      <c r="AK38" s="3163"/>
      <c r="AN38" s="3249"/>
      <c r="AO38" s="2669"/>
      <c r="AP38" s="3247"/>
      <c r="AQ38" s="3161"/>
      <c r="AR38" s="3161">
        <f>AR35-AR36</f>
        <v>-2272836.2</v>
      </c>
    </row>
    <row r="39" spans="1:44">
      <c r="A39" s="3164" t="s">
        <v>92</v>
      </c>
      <c r="D39" s="3165">
        <f>ROUND((D27-(D21+D22+D35)),0)</f>
        <v>30764411</v>
      </c>
      <c r="G39" s="3165">
        <f>ROUND((G27-(G21+G35)),0)</f>
        <v>38045452</v>
      </c>
      <c r="J39" s="3165">
        <f>ROUND((J27-(J21+J22+J35)),0)</f>
        <v>38804327</v>
      </c>
      <c r="M39" s="3165">
        <f>ROUND((M27-(M21+M22+M35)),0)</f>
        <v>36613577</v>
      </c>
      <c r="P39" s="3165">
        <f>ROUND((P27-(P21+P22+P35)),0)</f>
        <v>35545835</v>
      </c>
      <c r="S39" s="3165">
        <f>ROUND((S27-(S21+S22+S35)),0)</f>
        <v>28640727</v>
      </c>
      <c r="V39" s="3165">
        <f>ROUND((V27-(V21+V22+V35)),0)</f>
        <v>27426196</v>
      </c>
      <c r="Y39" s="3165">
        <f>ROUND((Y27-(Y21+Y22+Y35)),0)</f>
        <v>35319860</v>
      </c>
      <c r="AB39" s="3165">
        <f>ROUND((AB27-(AB21+AB22+AB35)),0)</f>
        <v>25173366</v>
      </c>
      <c r="AE39" s="3165">
        <f>ROUND((AE27-(AE21+AE22+AE35)),0)</f>
        <v>34600828</v>
      </c>
      <c r="AH39" s="3165">
        <f>ROUND((AH27-(AH21+AH22+AH35)),0)</f>
        <v>37711069</v>
      </c>
      <c r="AK39" s="3165">
        <f>ROUND((AK27-(AK21+AK22+AK35)),0)</f>
        <v>46235979</v>
      </c>
      <c r="AN39" s="3250">
        <f>ROUND((AN27-(AN21+AN22+AN35)),0)</f>
        <v>414881624</v>
      </c>
      <c r="AP39" s="3256"/>
      <c r="AQ39" s="3161"/>
      <c r="AR39" s="3161">
        <f>AP31+AR38</f>
        <v>207080183.36</v>
      </c>
    </row>
    <row r="40" spans="40:44">
      <c r="AN40" s="2675">
        <f>ROUND((AN39-(AN5+AN6)),0)</f>
        <v>71501466</v>
      </c>
      <c r="AP40" s="2670"/>
      <c r="AR40" s="3161"/>
    </row>
    <row r="41" ht="14.25" spans="1:44">
      <c r="A41" s="3166"/>
      <c r="B41" s="3166"/>
      <c r="C41" s="3166"/>
      <c r="D41" s="3166"/>
      <c r="E41" s="3166"/>
      <c r="F41" s="3166"/>
      <c r="G41" s="3166"/>
      <c r="H41" s="3166"/>
      <c r="I41" s="3166"/>
      <c r="J41" s="3166"/>
      <c r="K41" s="3166"/>
      <c r="L41" s="3166"/>
      <c r="M41" s="3166"/>
      <c r="N41" s="3166"/>
      <c r="O41" s="3166"/>
      <c r="P41" s="3166"/>
      <c r="Q41" s="3166"/>
      <c r="R41" s="3166"/>
      <c r="S41" s="3166"/>
      <c r="T41" s="3166"/>
      <c r="U41" s="3166"/>
      <c r="V41" s="3166"/>
      <c r="W41" s="3166"/>
      <c r="X41" s="3166"/>
      <c r="Y41" s="3166"/>
      <c r="Z41" s="3166"/>
      <c r="AA41" s="3166"/>
      <c r="AB41" s="3166"/>
      <c r="AC41" s="3166"/>
      <c r="AD41" s="3166"/>
      <c r="AE41" s="3166"/>
      <c r="AF41" s="3166"/>
      <c r="AG41" s="3166"/>
      <c r="AH41" s="3166"/>
      <c r="AI41" s="3166"/>
      <c r="AJ41" s="3166"/>
      <c r="AK41" s="3166"/>
      <c r="AL41" s="3166"/>
      <c r="AM41" s="3166"/>
      <c r="AN41" s="3251">
        <f>AN36-AN27</f>
        <v>118927.029999971</v>
      </c>
      <c r="AP41" s="2670"/>
      <c r="AQ41" s="2669"/>
      <c r="AR41" s="3161"/>
    </row>
    <row r="42" spans="1:43">
      <c r="A42" s="2669" t="s">
        <v>93</v>
      </c>
      <c r="B42" s="3167">
        <f>B25+B23+B24</f>
        <v>40221</v>
      </c>
      <c r="C42" s="2669">
        <v>95.23</v>
      </c>
      <c r="D42" s="2669">
        <f>ROUND((B25*C42),0)</f>
        <v>3809200</v>
      </c>
      <c r="E42" s="3167">
        <f>E25+E23+E24</f>
        <v>14025</v>
      </c>
      <c r="F42" s="2669">
        <v>99.13</v>
      </c>
      <c r="G42" s="2669">
        <f>ROUND((E25*F42),0)</f>
        <v>1387820</v>
      </c>
      <c r="H42" s="3167">
        <f>H25+H23+H24</f>
        <v>51228</v>
      </c>
      <c r="I42" s="2669">
        <v>93.5</v>
      </c>
      <c r="J42" s="2669">
        <f>ROUND((H25*I42),0)</f>
        <v>4768500</v>
      </c>
      <c r="K42" s="3167">
        <f>K25+K23+K24</f>
        <v>55229</v>
      </c>
      <c r="L42" s="2669">
        <v>94.68</v>
      </c>
      <c r="M42" s="2669">
        <f>ROUND((K25*L42),0)</f>
        <v>5207400</v>
      </c>
      <c r="N42" s="3167">
        <f>N25+N23+N24</f>
        <v>58371</v>
      </c>
      <c r="O42" s="2669">
        <v>95.54</v>
      </c>
      <c r="P42" s="2669">
        <f>ROUND((N25*O42),0)</f>
        <v>5541320</v>
      </c>
      <c r="Q42" s="3167">
        <f>Q25+Q23+Q24</f>
        <v>31229</v>
      </c>
      <c r="R42" s="2669">
        <v>96.7</v>
      </c>
      <c r="S42" s="2669">
        <f>ROUND((Q25*R42),0)</f>
        <v>2997700</v>
      </c>
      <c r="T42" s="3167">
        <f>T25+T23+T24</f>
        <v>24221</v>
      </c>
      <c r="U42" s="2669">
        <v>98.89</v>
      </c>
      <c r="V42" s="2669">
        <f>ROUND((T25*U42),0)</f>
        <v>2373360</v>
      </c>
      <c r="W42" s="3167">
        <f>W25+W23+W24</f>
        <v>15285</v>
      </c>
      <c r="X42" s="2669">
        <v>93.12</v>
      </c>
      <c r="Y42" s="2669">
        <f>ROUND((W25*X42),0)</f>
        <v>1396800</v>
      </c>
      <c r="Z42" s="3167">
        <f>Z25+Z24+Z23</f>
        <v>31175</v>
      </c>
      <c r="AA42" s="2669">
        <v>94.15</v>
      </c>
      <c r="AB42" s="2669">
        <f>ROUND((Z25*AA42),0)</f>
        <v>2918650</v>
      </c>
      <c r="AC42" s="3167">
        <f>AC25+AC23+AC24</f>
        <v>38215</v>
      </c>
      <c r="AD42" s="2669">
        <v>95.39</v>
      </c>
      <c r="AE42" s="2669">
        <f>ROUND((AC25*AD42),0)</f>
        <v>3624820</v>
      </c>
      <c r="AF42" s="3167">
        <f>AF25+AF23+AF24</f>
        <v>37237</v>
      </c>
      <c r="AG42" s="2669">
        <v>96.32</v>
      </c>
      <c r="AH42" s="2669">
        <f>ROUND((AF25*AG42),0)</f>
        <v>3563840</v>
      </c>
      <c r="AI42" s="3167">
        <f>AI25+AI23+AI24</f>
        <v>25090</v>
      </c>
      <c r="AJ42" s="2669">
        <v>104</v>
      </c>
      <c r="AK42" s="2669">
        <f>ROUND((AI25*AJ42),0)</f>
        <v>2600000</v>
      </c>
      <c r="AL42" s="2674">
        <f>SUM(B42,E42,H42,K42,N42,Q42,T42,W42,Z42,AC42,AF42,AI42)</f>
        <v>421526</v>
      </c>
      <c r="AM42" s="2669">
        <f>AN42/AL42</f>
        <v>95.3426597647595</v>
      </c>
      <c r="AN42" s="2669">
        <f>SUM(D42,G42,J42,M42,P42,S42,V42,Y42,AB42,AE42,AH42,AK42)</f>
        <v>40189410</v>
      </c>
      <c r="AP42" s="2669"/>
      <c r="AQ42" s="2669"/>
    </row>
    <row r="43" spans="2:42">
      <c r="B43" s="3168"/>
      <c r="C43" s="3168">
        <f>C25-C42</f>
        <v>4.47</v>
      </c>
      <c r="D43" s="3168"/>
      <c r="E43" s="3168"/>
      <c r="F43" s="3168">
        <f>F25-F42</f>
        <v>-4.13</v>
      </c>
      <c r="G43" s="3168"/>
      <c r="H43" s="3168"/>
      <c r="I43" s="3168">
        <f>I25-I42</f>
        <v>1.28431372549019</v>
      </c>
      <c r="J43" s="3168"/>
      <c r="K43" s="3168"/>
      <c r="L43" s="3168">
        <f>L25-L42</f>
        <v>3.93454545454544</v>
      </c>
      <c r="M43" s="3168"/>
      <c r="N43" s="3168"/>
      <c r="O43" s="3168">
        <f>O25-O42</f>
        <v>3.58068965517241</v>
      </c>
      <c r="P43" s="3168"/>
      <c r="Q43" s="3168"/>
      <c r="R43" s="3168">
        <f>R25-R42</f>
        <v>0.880645161290317</v>
      </c>
      <c r="S43" s="3168"/>
      <c r="T43" s="3168"/>
      <c r="U43" s="3168">
        <f>U25-U42</f>
        <v>-3.09833333333333</v>
      </c>
      <c r="V43" s="3168"/>
      <c r="W43" s="3168"/>
      <c r="X43" s="3168">
        <f>X25-X42</f>
        <v>3.54666666666667</v>
      </c>
      <c r="Y43" s="3168"/>
      <c r="Z43" s="3168"/>
      <c r="AA43" s="3168">
        <f>AA25-AA42</f>
        <v>-2.15000000000001</v>
      </c>
      <c r="AB43" s="3168"/>
      <c r="AC43" s="3168"/>
      <c r="AD43" s="3168">
        <f>AD25-AD42</f>
        <v>1.21526315789474</v>
      </c>
      <c r="AE43" s="3168"/>
      <c r="AF43" s="3168"/>
      <c r="AG43" s="3168">
        <f>AG25-AG42</f>
        <v>4.51783783783785</v>
      </c>
      <c r="AH43" s="3168"/>
      <c r="AI43" s="3168"/>
      <c r="AJ43" s="3168">
        <f>AJ25-AJ42</f>
        <v>15.12</v>
      </c>
      <c r="AK43" s="3168"/>
      <c r="AL43" s="3168"/>
      <c r="AM43" s="3168">
        <f>AM25-AM42</f>
        <v>3.29886768154124</v>
      </c>
      <c r="AN43" s="3252">
        <f>AN25-AN42</f>
        <v>1141390</v>
      </c>
      <c r="AP43" s="2670"/>
    </row>
    <row r="44" spans="1:43">
      <c r="A44" s="2668" t="s">
        <v>94</v>
      </c>
      <c r="B44" s="2674">
        <f>B11-(B10)</f>
        <v>93720.87</v>
      </c>
      <c r="C44" s="2672">
        <f>D44/B44</f>
        <v>256.383007328037</v>
      </c>
      <c r="D44" s="2669">
        <f>D11-(D10+D35)</f>
        <v>24028438.5</v>
      </c>
      <c r="E44" s="2674">
        <f>E11-(E10)</f>
        <v>126435.75</v>
      </c>
      <c r="F44" s="2672">
        <f>G44/E44</f>
        <v>264.807912319103</v>
      </c>
      <c r="G44" s="2669">
        <f>G11-(G10+G35)</f>
        <v>33481187</v>
      </c>
      <c r="H44" s="2674">
        <f>H11-(H10)</f>
        <v>114182.94</v>
      </c>
      <c r="I44" s="2672">
        <f>J44/H44</f>
        <v>275.991540417509</v>
      </c>
      <c r="J44" s="2669">
        <f>J11-(J10+J35)</f>
        <v>31513525.5</v>
      </c>
      <c r="K44" s="2674">
        <f>K11-(K10)</f>
        <v>104994.8</v>
      </c>
      <c r="L44" s="2672">
        <f>M44/K44</f>
        <v>271.556224689223</v>
      </c>
      <c r="M44" s="2669">
        <f>M11-(M10+M35)</f>
        <v>28511991.5</v>
      </c>
      <c r="N44" s="2674">
        <f>N11-(N10)</f>
        <v>102861.49</v>
      </c>
      <c r="O44" s="2672">
        <f>P44/N44</f>
        <v>266.75611543251</v>
      </c>
      <c r="P44" s="2669">
        <f>P11-(P10+P35)</f>
        <v>27438931.5</v>
      </c>
      <c r="Q44" s="2674">
        <f>Q11-(Q10)</f>
        <v>88263.76</v>
      </c>
      <c r="R44" s="2672">
        <f>S44/Q44</f>
        <v>266.866424000065</v>
      </c>
      <c r="S44" s="2669">
        <f>S11-(S10+S35)</f>
        <v>23554634</v>
      </c>
      <c r="T44" s="2674">
        <f>T11-(T10)</f>
        <v>87345.65</v>
      </c>
      <c r="U44" s="2672">
        <f>V44/T44</f>
        <v>261.941765846382</v>
      </c>
      <c r="V44" s="2669">
        <f>V11-(V10+V35)</f>
        <v>22879473.8</v>
      </c>
      <c r="W44" s="2674">
        <f>W11-(W10)</f>
        <v>119323.21</v>
      </c>
      <c r="X44" s="2672">
        <f>Y44/W44</f>
        <v>254.281153683345</v>
      </c>
      <c r="Y44" s="2669">
        <f>Y11-(Y10+Y35)</f>
        <v>30341643.5</v>
      </c>
      <c r="Z44" s="2674">
        <f>Z11-(Z10)</f>
        <v>76909.79</v>
      </c>
      <c r="AA44" s="2672">
        <f>AB44/Z44</f>
        <v>256.899316718977</v>
      </c>
      <c r="AB44" s="2669">
        <f>AB11-(AB10+AB35)</f>
        <v>19758072.5</v>
      </c>
      <c r="AC44" s="2674">
        <f>AC11-(AC10)</f>
        <v>110305.5</v>
      </c>
      <c r="AD44" s="2672">
        <f>AE44/AC44</f>
        <v>260.752083984933</v>
      </c>
      <c r="AE44" s="2669">
        <f>AE11-(AE10+AE35)</f>
        <v>28762389</v>
      </c>
      <c r="AF44" s="2674">
        <f>ROUND((AF11-(AF10)),0)</f>
        <v>118823</v>
      </c>
      <c r="AG44" s="2672">
        <f>AH44/AF44</f>
        <v>264.264166028463</v>
      </c>
      <c r="AH44" s="2669">
        <f>AH11-(AH10+AH35)</f>
        <v>31400661</v>
      </c>
      <c r="AI44" s="2674">
        <f>(AI11-(AI10))</f>
        <v>148244.76</v>
      </c>
      <c r="AJ44" s="2672">
        <f>AK44/AI44</f>
        <v>269.950614106023</v>
      </c>
      <c r="AK44" s="2669">
        <f>ROUND((AK11-(AK10+AK35)),0)</f>
        <v>40018764</v>
      </c>
      <c r="AL44" s="2674">
        <f>AL11-(AL10)</f>
        <v>1291411.39</v>
      </c>
      <c r="AM44" s="2672">
        <f>AN44/AL44</f>
        <v>264.5862617024</v>
      </c>
      <c r="AN44" s="2669">
        <f>ROUND((AN11-(AN10+AN35)),0)</f>
        <v>341689712</v>
      </c>
      <c r="AO44" s="2668" t="s">
        <v>95</v>
      </c>
      <c r="AP44" s="3257">
        <f>AN42-AN44</f>
        <v>-301500302</v>
      </c>
      <c r="AQ44" s="2668" t="s">
        <v>96</v>
      </c>
    </row>
    <row r="45" spans="1:42">
      <c r="A45" s="2668" t="s">
        <v>97</v>
      </c>
      <c r="B45" s="2674">
        <f>Purchase!$I22</f>
        <v>23693</v>
      </c>
      <c r="C45" s="2669">
        <f>IF(B45=0,0,D45/B45)</f>
        <v>256.383024522011</v>
      </c>
      <c r="D45" s="2669">
        <f>ROUND((B45*C44),0)</f>
        <v>6074483</v>
      </c>
      <c r="E45" s="2674">
        <f>Purchase!$I23</f>
        <v>20429</v>
      </c>
      <c r="F45" s="2669">
        <f t="shared" ref="F45" si="60">IF(E45=0,0,G45/E45)</f>
        <v>264.807920113564</v>
      </c>
      <c r="G45" s="2669">
        <f>ROUND((E45*F44),0)</f>
        <v>5409761</v>
      </c>
      <c r="H45" s="2674">
        <f>Purchase!$I24</f>
        <v>24698</v>
      </c>
      <c r="I45" s="2669">
        <f t="shared" ref="I45" si="61">IF(H45=0,0,J45/H45)</f>
        <v>275.991537776338</v>
      </c>
      <c r="J45" s="2669">
        <f>ROUND((H45*I44),0)</f>
        <v>6816439</v>
      </c>
      <c r="K45" s="2674">
        <f>Purchase!$I25</f>
        <v>20991</v>
      </c>
      <c r="L45" s="2669">
        <f t="shared" ref="L45" si="62">IF(K45=0,0,M45/K45)</f>
        <v>271.556238387881</v>
      </c>
      <c r="M45" s="2669">
        <f>ROUND((K45*L44),0)</f>
        <v>5700237</v>
      </c>
      <c r="N45" s="2674">
        <f>Purchase!$I26</f>
        <v>25077</v>
      </c>
      <c r="O45" s="2669">
        <f t="shared" ref="O45" si="63">IF(N45=0,0,P45/N45)</f>
        <v>266.756111177573</v>
      </c>
      <c r="P45" s="2669">
        <f>ROUND((N45*O44),0)</f>
        <v>6689443</v>
      </c>
      <c r="Q45" s="2674">
        <f>Purchase!$I27</f>
        <v>23552</v>
      </c>
      <c r="R45" s="2669">
        <f t="shared" ref="R45" si="64">IF(Q45=0,0,S45/Q45)</f>
        <v>266.866423233696</v>
      </c>
      <c r="S45" s="2669">
        <f>ROUND((Q45*R44),0)</f>
        <v>6285238</v>
      </c>
      <c r="T45" s="2674">
        <f>Purchase!$I28</f>
        <v>26146</v>
      </c>
      <c r="U45" s="2669">
        <f t="shared" ref="U45:U46" si="65">IF(T45=0,0,V45/T45)</f>
        <v>261.94175017211</v>
      </c>
      <c r="V45" s="2669">
        <f>ROUND((T45*U44),0)</f>
        <v>6848729</v>
      </c>
      <c r="W45" s="2674">
        <f>Purchase!$I29</f>
        <v>21566</v>
      </c>
      <c r="X45" s="2669">
        <f t="shared" ref="X45:X46" si="66">IF(W45=0,0,Y45/W45)</f>
        <v>254.281136974868</v>
      </c>
      <c r="Y45" s="2669">
        <f>ROUND((W45*X44),0)</f>
        <v>5483827</v>
      </c>
      <c r="Z45" s="2674">
        <f>ROUND((Purchase!$I30),0)</f>
        <v>25953</v>
      </c>
      <c r="AA45" s="2669">
        <f t="shared" ref="AA45:AA46" si="67">IF(Z45=0,0,AB45/Z45)</f>
        <v>256.899317997919</v>
      </c>
      <c r="AB45" s="2669">
        <f>ROUND((Z45*AA44),0)</f>
        <v>6667308</v>
      </c>
      <c r="AC45" s="2674">
        <f>ROUND((Purchase!$I31),0)</f>
        <v>26468</v>
      </c>
      <c r="AD45" s="2669">
        <f t="shared" ref="AD45:AD46" si="68">IF(AC45=0,0,AE45/AC45)</f>
        <v>260.752077980958</v>
      </c>
      <c r="AE45" s="2669">
        <f>ROUND((AC45*AD44),0)</f>
        <v>6901586</v>
      </c>
      <c r="AF45" s="2674">
        <f>ROUND((Purchase!$I32),0)</f>
        <v>15612</v>
      </c>
      <c r="AG45" s="2669">
        <f t="shared" ref="AG45:AG46" si="69">IF(AF45=0,0,AH45/AF45)</f>
        <v>264.264155777607</v>
      </c>
      <c r="AH45" s="2669">
        <f>ROUND((AF45*AG44),0)</f>
        <v>4125692</v>
      </c>
      <c r="AI45" s="2674">
        <f>ROUND((Purchase!$I33),0)</f>
        <v>28225</v>
      </c>
      <c r="AJ45" s="2669">
        <f t="shared" ref="AJ45:AJ46" si="70">IF(AI45=0,0,AK45/AI45)</f>
        <v>269.950611160319</v>
      </c>
      <c r="AK45" s="2669">
        <f>ROUND((AI45*AJ44),0)</f>
        <v>7619356</v>
      </c>
      <c r="AL45" s="2674">
        <f>ROUND((Purchase!$I34),0)</f>
        <v>282409</v>
      </c>
      <c r="AM45" s="2669">
        <f t="shared" ref="AM45:AM46" si="71">IF(AL45=0,0,AN45/AL45)</f>
        <v>264.586263185663</v>
      </c>
      <c r="AN45" s="2669">
        <f>ROUND((AL45*AM44),0)</f>
        <v>74721542</v>
      </c>
      <c r="AP45" s="3258"/>
    </row>
    <row r="46" spans="1:40">
      <c r="A46" s="2669" t="s">
        <v>98</v>
      </c>
      <c r="B46" s="2674">
        <f>B44-B45</f>
        <v>70027.87</v>
      </c>
      <c r="C46" s="2669">
        <f>IF(B46=0,0,D46/B46)</f>
        <v>256.383001510684</v>
      </c>
      <c r="D46" s="2669">
        <f>D44-D45</f>
        <v>17953955.5</v>
      </c>
      <c r="E46" s="2674">
        <f>E44-E45</f>
        <v>106006.75</v>
      </c>
      <c r="F46" s="2669">
        <f t="shared" ref="F46" si="72">IF(E46=0,0,G46/E46)</f>
        <v>264.807910817</v>
      </c>
      <c r="G46" s="2669">
        <f>G44-G45</f>
        <v>28071426</v>
      </c>
      <c r="H46" s="2674">
        <f>H44-H45</f>
        <v>89484.94</v>
      </c>
      <c r="I46" s="2669">
        <f t="shared" ref="I46" si="73">IF(H46=0,0,J46/H46)</f>
        <v>275.991541146477</v>
      </c>
      <c r="J46" s="2669">
        <f>J44-J45</f>
        <v>24697086.5</v>
      </c>
      <c r="K46" s="2674">
        <f>K44-K45</f>
        <v>84003.8</v>
      </c>
      <c r="L46" s="2669">
        <f t="shared" ref="L46" si="74">IF(K46=0,0,M46/K46)</f>
        <v>271.556221266181</v>
      </c>
      <c r="M46" s="2669">
        <f>M44-M45</f>
        <v>22811754.5</v>
      </c>
      <c r="N46" s="2674">
        <f>N44-N45</f>
        <v>77784.49</v>
      </c>
      <c r="O46" s="2669">
        <f t="shared" ref="O46" si="75">IF(N46=0,0,P46/N46)</f>
        <v>266.756116804263</v>
      </c>
      <c r="P46" s="2669">
        <f>P44-P45</f>
        <v>20749488.5</v>
      </c>
      <c r="Q46" s="2674">
        <f>Q44-Q45</f>
        <v>64711.76</v>
      </c>
      <c r="R46" s="2669">
        <f t="shared" ref="R46" si="76">IF(Q46=0,0,S46/Q46)</f>
        <v>266.866424278987</v>
      </c>
      <c r="S46" s="2669">
        <f>S44-S45</f>
        <v>17269396</v>
      </c>
      <c r="T46" s="2674">
        <f>T44-T45</f>
        <v>61199.65</v>
      </c>
      <c r="U46" s="2669">
        <f t="shared" si="65"/>
        <v>261.941772542817</v>
      </c>
      <c r="V46" s="2669">
        <f>V44-V45</f>
        <v>16030744.8</v>
      </c>
      <c r="W46" s="2674">
        <f>W44-W45</f>
        <v>97757.21</v>
      </c>
      <c r="X46" s="2669">
        <f t="shared" si="66"/>
        <v>254.281157369364</v>
      </c>
      <c r="Y46" s="2669">
        <f>Y44-Y45</f>
        <v>24857816.5</v>
      </c>
      <c r="Z46" s="2674">
        <f>Z44-Z45</f>
        <v>50956.79</v>
      </c>
      <c r="AA46" s="2669">
        <f t="shared" si="67"/>
        <v>256.899316067594</v>
      </c>
      <c r="AB46" s="2669">
        <f>AB44-AB45</f>
        <v>13090764.5</v>
      </c>
      <c r="AC46" s="2674">
        <f>AC44-AC45</f>
        <v>83837.5</v>
      </c>
      <c r="AD46" s="2669">
        <f t="shared" si="68"/>
        <v>260.752085880423</v>
      </c>
      <c r="AE46" s="2669">
        <f>AE44-AE45</f>
        <v>21860803</v>
      </c>
      <c r="AF46" s="2674">
        <f>AF44-AF45</f>
        <v>103211</v>
      </c>
      <c r="AG46" s="2669">
        <f t="shared" si="69"/>
        <v>264.264167579037</v>
      </c>
      <c r="AH46" s="2669">
        <f>AH44-AH45</f>
        <v>27274969</v>
      </c>
      <c r="AI46" s="2674">
        <f>AI44-AI45</f>
        <v>120019.76</v>
      </c>
      <c r="AJ46" s="2669">
        <f t="shared" si="70"/>
        <v>269.950614798763</v>
      </c>
      <c r="AK46" s="2669">
        <f>AK44-AK45</f>
        <v>32399408</v>
      </c>
      <c r="AL46" s="2674">
        <f>AL44-AL45</f>
        <v>1009002.39</v>
      </c>
      <c r="AM46" s="2669">
        <f t="shared" si="71"/>
        <v>264.58626128725</v>
      </c>
      <c r="AN46" s="2669">
        <f>AN44-AN45</f>
        <v>266968170</v>
      </c>
    </row>
    <row r="47" spans="1:1">
      <c r="A47" s="2668" t="s">
        <v>99</v>
      </c>
    </row>
  </sheetData>
  <mergeCells count="53"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</mergeCells>
  <pageMargins left="0.7" right="0.7" top="0.75" bottom="0.75" header="0.3" footer="0.3"/>
  <pageSetup paperSize="9" orientation="portrait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106"/>
  <sheetViews>
    <sheetView showZeros="0" workbookViewId="0">
      <pane xSplit="4" ySplit="4" topLeftCell="G5" activePane="bottomRight" state="frozen"/>
      <selection/>
      <selection pane="topRight"/>
      <selection pane="bottomLeft"/>
      <selection pane="bottomRight" activeCell="R25" sqref="R25"/>
    </sheetView>
  </sheetViews>
  <sheetFormatPr defaultColWidth="9.14285714285714" defaultRowHeight="15"/>
  <cols>
    <col min="1" max="1" width="31.1428571428571" style="229" customWidth="1"/>
    <col min="2" max="2" width="14.2857142857143" style="229" customWidth="1"/>
    <col min="3" max="3" width="9.28571428571429" style="229" customWidth="1"/>
    <col min="4" max="4" width="16.4285714285714" style="229" customWidth="1"/>
    <col min="5" max="5" width="12.4285714285714" style="229" customWidth="1"/>
    <col min="6" max="6" width="8.71428571428571" style="229" customWidth="1"/>
    <col min="7" max="7" width="16.4285714285714" style="229" customWidth="1"/>
    <col min="8" max="8" width="10.8571428571429" style="229" customWidth="1"/>
    <col min="9" max="9" width="8.71428571428571" style="229" customWidth="1"/>
    <col min="10" max="10" width="16.2857142857143" style="229" customWidth="1"/>
    <col min="11" max="11" width="11.5714285714286" style="229" customWidth="1"/>
    <col min="12" max="12" width="8" style="229" customWidth="1"/>
    <col min="13" max="13" width="16.8571428571429" style="229" customWidth="1"/>
    <col min="14" max="14" width="11.5714285714286" style="229" customWidth="1"/>
    <col min="15" max="15" width="11.8571428571429" style="229" customWidth="1"/>
    <col min="16" max="16" width="16.8571428571429" style="229" customWidth="1"/>
    <col min="17" max="17" width="13.1428571428571" style="229" customWidth="1"/>
    <col min="18" max="18" width="9.71428571428571" style="229" customWidth="1"/>
    <col min="19" max="19" width="16.7142857142857" style="229" customWidth="1"/>
    <col min="20" max="20" width="12.1428571428571" style="229" customWidth="1"/>
    <col min="21" max="21" width="9.71428571428571" style="229" customWidth="1"/>
    <col min="22" max="22" width="16.5714285714286" style="229" customWidth="1"/>
    <col min="23" max="23" width="12.4285714285714" style="229" customWidth="1"/>
    <col min="24" max="24" width="8.71428571428571" style="229" customWidth="1"/>
    <col min="25" max="25" width="16.4285714285714" style="229" customWidth="1"/>
    <col min="26" max="26" width="12.4285714285714" style="229" customWidth="1"/>
    <col min="27" max="27" width="8.71428571428571" style="229" customWidth="1"/>
    <col min="28" max="28" width="16.4285714285714" style="229" customWidth="1"/>
    <col min="29" max="29" width="12.4285714285714" style="229" customWidth="1"/>
    <col min="30" max="30" width="8.71428571428571" style="229" customWidth="1"/>
    <col min="31" max="31" width="17.7142857142857" style="229" customWidth="1"/>
    <col min="32" max="32" width="12.1428571428571" style="229" customWidth="1"/>
    <col min="33" max="33" width="9.85714285714286" style="229" customWidth="1"/>
    <col min="34" max="34" width="17.2857142857143" style="229" customWidth="1"/>
    <col min="35" max="35" width="12.4285714285714" style="229" customWidth="1"/>
    <col min="36" max="36" width="8.71428571428571" style="229" customWidth="1"/>
    <col min="37" max="37" width="16.4285714285714" style="229" customWidth="1"/>
    <col min="38" max="38" width="12.4285714285714" style="229" customWidth="1"/>
    <col min="39" max="39" width="10.1428571428571" style="229" customWidth="1"/>
    <col min="40" max="40" width="16.4285714285714" style="229" customWidth="1"/>
    <col min="41" max="41" width="10" style="229" customWidth="1"/>
    <col min="42" max="42" width="10.4285714285714" style="229" customWidth="1"/>
    <col min="43" max="43" width="19.2857142857143" style="229" customWidth="1"/>
    <col min="44" max="44" width="11.2857142857143" style="229" hidden="1" customWidth="1"/>
    <col min="45" max="45" width="10.7142857142857" style="229" hidden="1" customWidth="1"/>
    <col min="46" max="46" width="17.1428571428571" style="229" hidden="1" customWidth="1"/>
    <col min="47" max="49" width="9.14285714285714" style="229" hidden="1" customWidth="1"/>
    <col min="50" max="51" width="9.14285714285714" style="229" customWidth="1"/>
    <col min="52" max="52" width="9.14285714285714" style="229"/>
    <col min="53" max="53" width="12.4285714285714" style="229" customWidth="1"/>
    <col min="54" max="54" width="11.2857142857143" style="229" customWidth="1"/>
    <col min="55" max="55" width="16.2857142857143" style="229" customWidth="1"/>
    <col min="56" max="16384" width="9.14285714285714" style="229"/>
  </cols>
  <sheetData>
    <row r="1" ht="15.75" spans="41:43">
      <c r="AO1" s="256"/>
      <c r="AP1" s="256"/>
      <c r="AQ1" s="256"/>
    </row>
    <row r="2" ht="16.5" spans="1:51">
      <c r="A2" s="270"/>
      <c r="B2" s="2925" t="s">
        <v>100</v>
      </c>
      <c r="C2" s="2926"/>
      <c r="D2" s="2927"/>
      <c r="E2" s="2984">
        <v>45748</v>
      </c>
      <c r="F2" s="2985"/>
      <c r="G2" s="2986"/>
      <c r="H2" s="2984">
        <v>45778</v>
      </c>
      <c r="I2" s="2985"/>
      <c r="J2" s="2986"/>
      <c r="K2" s="2984">
        <v>45809</v>
      </c>
      <c r="L2" s="2985"/>
      <c r="M2" s="2986"/>
      <c r="N2" s="2984">
        <v>45839</v>
      </c>
      <c r="O2" s="2985"/>
      <c r="P2" s="2986"/>
      <c r="Q2" s="2984">
        <v>45870</v>
      </c>
      <c r="R2" s="2985"/>
      <c r="S2" s="2986"/>
      <c r="T2" s="2984">
        <v>45901</v>
      </c>
      <c r="U2" s="2985"/>
      <c r="V2" s="2986"/>
      <c r="W2" s="2984">
        <v>45931</v>
      </c>
      <c r="X2" s="2985"/>
      <c r="Y2" s="2986"/>
      <c r="Z2" s="2984">
        <v>45962</v>
      </c>
      <c r="AA2" s="2985"/>
      <c r="AB2" s="2986"/>
      <c r="AC2" s="2984">
        <v>45992</v>
      </c>
      <c r="AD2" s="2985"/>
      <c r="AE2" s="2986"/>
      <c r="AF2" s="2984">
        <v>46023</v>
      </c>
      <c r="AG2" s="2985"/>
      <c r="AH2" s="2986"/>
      <c r="AI2" s="2984">
        <v>46054</v>
      </c>
      <c r="AJ2" s="2985"/>
      <c r="AK2" s="2986"/>
      <c r="AL2" s="2984">
        <v>46082</v>
      </c>
      <c r="AM2" s="2985"/>
      <c r="AN2" s="2986"/>
      <c r="AO2" s="3073" t="s">
        <v>101</v>
      </c>
      <c r="AP2" s="3074"/>
      <c r="AQ2" s="3075"/>
      <c r="AR2" s="2984"/>
      <c r="AS2" s="2985"/>
      <c r="AT2" s="2986"/>
      <c r="AU2" s="2984"/>
      <c r="AV2" s="2985"/>
      <c r="AW2" s="2986"/>
      <c r="AX2" s="588"/>
      <c r="AY2" s="588"/>
    </row>
    <row r="3" customHeight="1" spans="1:51">
      <c r="A3" s="2928" t="s">
        <v>102</v>
      </c>
      <c r="B3" s="2929" t="s">
        <v>103</v>
      </c>
      <c r="C3" s="2930" t="s">
        <v>104</v>
      </c>
      <c r="D3" s="2931" t="s">
        <v>105</v>
      </c>
      <c r="E3" s="2987" t="s">
        <v>103</v>
      </c>
      <c r="F3" s="2988" t="s">
        <v>104</v>
      </c>
      <c r="G3" s="2989" t="s">
        <v>105</v>
      </c>
      <c r="H3" s="2987" t="s">
        <v>103</v>
      </c>
      <c r="I3" s="2988" t="s">
        <v>104</v>
      </c>
      <c r="J3" s="2989" t="s">
        <v>105</v>
      </c>
      <c r="K3" s="2987" t="s">
        <v>103</v>
      </c>
      <c r="L3" s="2988" t="s">
        <v>104</v>
      </c>
      <c r="M3" s="2989" t="s">
        <v>105</v>
      </c>
      <c r="N3" s="2987" t="s">
        <v>103</v>
      </c>
      <c r="O3" s="2988" t="s">
        <v>104</v>
      </c>
      <c r="P3" s="2989" t="s">
        <v>105</v>
      </c>
      <c r="Q3" s="2987" t="s">
        <v>103</v>
      </c>
      <c r="R3" s="2988" t="s">
        <v>104</v>
      </c>
      <c r="S3" s="2989" t="s">
        <v>105</v>
      </c>
      <c r="T3" s="3038" t="s">
        <v>103</v>
      </c>
      <c r="U3" s="2988" t="s">
        <v>104</v>
      </c>
      <c r="V3" s="3051" t="s">
        <v>105</v>
      </c>
      <c r="W3" s="3052" t="s">
        <v>103</v>
      </c>
      <c r="X3" s="2988" t="s">
        <v>104</v>
      </c>
      <c r="Y3" s="2989" t="s">
        <v>105</v>
      </c>
      <c r="Z3" s="2987" t="s">
        <v>103</v>
      </c>
      <c r="AA3" s="2988" t="s">
        <v>104</v>
      </c>
      <c r="AB3" s="2989" t="s">
        <v>105</v>
      </c>
      <c r="AC3" s="2987" t="s">
        <v>103</v>
      </c>
      <c r="AD3" s="2988" t="s">
        <v>104</v>
      </c>
      <c r="AE3" s="2989" t="s">
        <v>105</v>
      </c>
      <c r="AF3" s="2987" t="s">
        <v>103</v>
      </c>
      <c r="AG3" s="2988" t="s">
        <v>104</v>
      </c>
      <c r="AH3" s="2989" t="s">
        <v>105</v>
      </c>
      <c r="AI3" s="2987" t="s">
        <v>103</v>
      </c>
      <c r="AJ3" s="2988" t="s">
        <v>104</v>
      </c>
      <c r="AK3" s="2989" t="s">
        <v>105</v>
      </c>
      <c r="AL3" s="2987" t="s">
        <v>103</v>
      </c>
      <c r="AM3" s="2988" t="s">
        <v>104</v>
      </c>
      <c r="AN3" s="2989" t="s">
        <v>105</v>
      </c>
      <c r="AO3" s="2987" t="s">
        <v>103</v>
      </c>
      <c r="AP3" s="2988" t="s">
        <v>104</v>
      </c>
      <c r="AQ3" s="2989" t="s">
        <v>105</v>
      </c>
      <c r="AR3" s="2987" t="s">
        <v>103</v>
      </c>
      <c r="AS3" s="2988" t="s">
        <v>104</v>
      </c>
      <c r="AT3" s="2989" t="s">
        <v>105</v>
      </c>
      <c r="AU3" s="2987" t="s">
        <v>103</v>
      </c>
      <c r="AV3" s="2988" t="s">
        <v>104</v>
      </c>
      <c r="AW3" s="2989" t="s">
        <v>105</v>
      </c>
      <c r="AX3" s="3094"/>
      <c r="AY3" s="3094"/>
    </row>
    <row r="4" ht="15.75" spans="1:57">
      <c r="A4" s="2932"/>
      <c r="B4" s="2933"/>
      <c r="C4" s="2934"/>
      <c r="D4" s="2935"/>
      <c r="E4" s="2990"/>
      <c r="F4" s="2991"/>
      <c r="G4" s="2992"/>
      <c r="H4" s="2990"/>
      <c r="I4" s="2991"/>
      <c r="J4" s="2992"/>
      <c r="K4" s="2990"/>
      <c r="L4" s="2991"/>
      <c r="M4" s="2992"/>
      <c r="N4" s="2990"/>
      <c r="O4" s="2991"/>
      <c r="P4" s="2992"/>
      <c r="Q4" s="2990"/>
      <c r="R4" s="2991"/>
      <c r="S4" s="2992"/>
      <c r="T4" s="3039"/>
      <c r="U4" s="2991"/>
      <c r="V4" s="3053"/>
      <c r="W4" s="3054"/>
      <c r="X4" s="2991"/>
      <c r="Y4" s="2992"/>
      <c r="Z4" s="2990"/>
      <c r="AA4" s="2991"/>
      <c r="AB4" s="2992"/>
      <c r="AC4" s="2990"/>
      <c r="AD4" s="2991"/>
      <c r="AE4" s="2992"/>
      <c r="AF4" s="2990"/>
      <c r="AG4" s="2991"/>
      <c r="AH4" s="2992"/>
      <c r="AI4" s="2990"/>
      <c r="AJ4" s="2991"/>
      <c r="AK4" s="2992"/>
      <c r="AL4" s="2990"/>
      <c r="AM4" s="2991"/>
      <c r="AN4" s="2992"/>
      <c r="AO4" s="2990"/>
      <c r="AP4" s="2991"/>
      <c r="AQ4" s="2992"/>
      <c r="AR4" s="2990"/>
      <c r="AS4" s="2991"/>
      <c r="AT4" s="2992"/>
      <c r="AU4" s="2990"/>
      <c r="AV4" s="2991"/>
      <c r="AW4" s="2992"/>
      <c r="AX4" s="3095" t="s">
        <v>106</v>
      </c>
      <c r="AY4" s="3094"/>
      <c r="BA4" s="588" t="s">
        <v>107</v>
      </c>
      <c r="BB4" s="588"/>
      <c r="BC4" s="588"/>
      <c r="BE4" s="588" t="s">
        <v>108</v>
      </c>
    </row>
    <row r="5" spans="1:57">
      <c r="A5" s="263" t="s">
        <v>109</v>
      </c>
      <c r="B5" s="2936">
        <v>195845</v>
      </c>
      <c r="C5" s="2937">
        <f>D5/B5</f>
        <v>100.689305317981</v>
      </c>
      <c r="D5" s="2938">
        <v>19719497</v>
      </c>
      <c r="E5" s="2993">
        <v>180315</v>
      </c>
      <c r="F5" s="516">
        <f>ROUND(IF(G5=0,0,(G5/E5)),0)</f>
        <v>100</v>
      </c>
      <c r="G5" s="336">
        <v>17959508</v>
      </c>
      <c r="H5" s="2993">
        <v>147410</v>
      </c>
      <c r="I5" s="516">
        <f>IF(J5=0,0,(J5/H5))</f>
        <v>97.4889152703344</v>
      </c>
      <c r="J5" s="659">
        <v>14370841</v>
      </c>
      <c r="K5" s="2993">
        <v>164125</v>
      </c>
      <c r="L5" s="516">
        <f>IF(M5=0,0,(M5/K5))</f>
        <v>97.3383945163747</v>
      </c>
      <c r="M5" s="336">
        <v>15975664</v>
      </c>
      <c r="N5" s="2993">
        <v>146140</v>
      </c>
      <c r="O5" s="516">
        <f>IF(P5=0,0,(P5/N5))</f>
        <v>99.4379293827836</v>
      </c>
      <c r="P5" s="336">
        <v>14531859</v>
      </c>
      <c r="Q5" s="2993">
        <v>187620</v>
      </c>
      <c r="R5" s="516">
        <f>IF(S5=0,0,(S5/Q5))</f>
        <v>101.203821554205</v>
      </c>
      <c r="S5" s="336">
        <v>18987861</v>
      </c>
      <c r="T5" s="2993">
        <v>114680</v>
      </c>
      <c r="U5" s="516">
        <f>IF(V5=0,0,(V5/T5))</f>
        <v>100.403392047436</v>
      </c>
      <c r="V5" s="336">
        <v>11514261</v>
      </c>
      <c r="W5" s="2993">
        <v>139725</v>
      </c>
      <c r="X5" s="516">
        <f>IF(Y5=0,0,(Y5/W5))</f>
        <v>98.7322526391125</v>
      </c>
      <c r="Y5" s="336">
        <v>13795364</v>
      </c>
      <c r="Z5" s="2993">
        <v>164310</v>
      </c>
      <c r="AA5" s="516">
        <f>IF(AB5=0,0,(AB5/Z5))</f>
        <v>97.31145395898</v>
      </c>
      <c r="AB5" s="336">
        <v>15989245</v>
      </c>
      <c r="AC5" s="2993">
        <v>135475</v>
      </c>
      <c r="AD5" s="516">
        <f>IF(AE5=0,0,(AE5/AC5))</f>
        <v>96.0668462816018</v>
      </c>
      <c r="AE5" s="336">
        <v>13014656</v>
      </c>
      <c r="AF5" s="2993">
        <v>174670</v>
      </c>
      <c r="AG5" s="516">
        <f>IF(AH5=0,0,(AH5/AF5))</f>
        <v>98.9561057995076</v>
      </c>
      <c r="AH5" s="336">
        <v>17284663</v>
      </c>
      <c r="AI5" s="2993">
        <v>154290</v>
      </c>
      <c r="AJ5" s="516">
        <f>IF(AK5=0,0,(AK5/AI5))</f>
        <v>103.477302482338</v>
      </c>
      <c r="AK5" s="336">
        <v>15965513</v>
      </c>
      <c r="AL5" s="2993">
        <v>141140</v>
      </c>
      <c r="AM5" s="516">
        <f>IF(AN5=0,0,(AN5/AL5))</f>
        <v>121.975067309055</v>
      </c>
      <c r="AN5" s="336">
        <v>17215561</v>
      </c>
      <c r="AO5" s="2993">
        <v>141140</v>
      </c>
      <c r="AP5" s="516">
        <f>IF(AQ5=0,0,(AQ5/AO5))</f>
        <v>121.975067309055</v>
      </c>
      <c r="AQ5" s="336">
        <v>17215561</v>
      </c>
      <c r="AR5" s="2993">
        <f>' Qty Analysis'!BE15</f>
        <v>0</v>
      </c>
      <c r="AS5" s="516"/>
      <c r="AT5" s="336">
        <f>ROUND((AS5*AR5),0)</f>
        <v>0</v>
      </c>
      <c r="AU5" s="2993">
        <f>' Qty Analysis'!BH15</f>
        <v>0</v>
      </c>
      <c r="AV5" s="516"/>
      <c r="AW5" s="336">
        <f>ROUND((AV5*AU5),0)</f>
        <v>0</v>
      </c>
      <c r="AX5" s="3096">
        <f>Z5-B5</f>
        <v>-31535</v>
      </c>
      <c r="AY5" s="3097">
        <f>AX5/B5</f>
        <v>-0.161020194541602</v>
      </c>
      <c r="BA5" s="318">
        <f>125000+40000</f>
        <v>165000</v>
      </c>
      <c r="BB5" s="368">
        <v>101</v>
      </c>
      <c r="BC5" s="568">
        <f>ROUND((BA5*BB5),0)</f>
        <v>16665000</v>
      </c>
      <c r="BE5" s="318">
        <v>163575</v>
      </c>
    </row>
    <row r="6" spans="1:57">
      <c r="A6" s="267" t="s">
        <v>110</v>
      </c>
      <c r="B6" s="2936">
        <v>1664</v>
      </c>
      <c r="C6" s="2937">
        <f>D6/B6</f>
        <v>223.625</v>
      </c>
      <c r="D6" s="2939">
        <v>372112</v>
      </c>
      <c r="E6" s="2109">
        <v>2120</v>
      </c>
      <c r="F6" s="516">
        <f>ROUND(IF(G6=0,0,(G6/E6)),0)</f>
        <v>227</v>
      </c>
      <c r="G6" s="342">
        <v>481968</v>
      </c>
      <c r="H6" s="2109">
        <v>2294</v>
      </c>
      <c r="I6" s="516">
        <f>IF(J6=0,0,(J6/H6))</f>
        <v>249.529642545772</v>
      </c>
      <c r="J6" s="342">
        <v>572421</v>
      </c>
      <c r="K6" s="2109">
        <v>2613</v>
      </c>
      <c r="L6" s="516">
        <f>IF(M6=0,0,(M6/K6))</f>
        <v>236.997321086873</v>
      </c>
      <c r="M6" s="342">
        <v>619274</v>
      </c>
      <c r="N6" s="2109">
        <v>2769</v>
      </c>
      <c r="O6" s="516">
        <f>IF(P6=0,0,(P6/N6))</f>
        <v>264.361141206212</v>
      </c>
      <c r="P6" s="342">
        <v>732016</v>
      </c>
      <c r="Q6" s="2109">
        <v>3082</v>
      </c>
      <c r="R6" s="516">
        <f>IF(S6=0,0,(S6/Q6))</f>
        <v>263.878974691759</v>
      </c>
      <c r="S6" s="342">
        <v>813275</v>
      </c>
      <c r="T6" s="2109">
        <v>2819</v>
      </c>
      <c r="U6" s="516">
        <f>IF(V6=0,0,(V6/T6))</f>
        <v>256.028378857751</v>
      </c>
      <c r="V6" s="342">
        <v>721744</v>
      </c>
      <c r="W6" s="2109">
        <v>2895</v>
      </c>
      <c r="X6" s="516">
        <f>IF(Y6=0,0,(Y6/W6))</f>
        <v>236.59896373057</v>
      </c>
      <c r="Y6" s="342">
        <v>684954</v>
      </c>
      <c r="Z6" s="2109">
        <v>2396</v>
      </c>
      <c r="AA6" s="516">
        <f>IF(AB6=0,0,(AB6/Z6))</f>
        <v>227.956594323873</v>
      </c>
      <c r="AB6" s="342">
        <v>546184</v>
      </c>
      <c r="AC6" s="2109">
        <v>2395</v>
      </c>
      <c r="AD6" s="516">
        <f>IF(AE6=0,0,(AE6/AC6))</f>
        <v>237.166597077244</v>
      </c>
      <c r="AE6" s="342">
        <v>568014</v>
      </c>
      <c r="AF6" s="2109">
        <v>2511</v>
      </c>
      <c r="AG6" s="516">
        <f>IF(AH6=0,0,(AH6/AF6))</f>
        <v>241.376344086022</v>
      </c>
      <c r="AH6" s="342">
        <v>606096</v>
      </c>
      <c r="AI6" s="2109">
        <v>3260</v>
      </c>
      <c r="AJ6" s="516">
        <f>IF(AK6=0,0,(AK6/AI6))</f>
        <v>233.591104294479</v>
      </c>
      <c r="AK6" s="342">
        <v>761507</v>
      </c>
      <c r="AL6" s="2109">
        <v>2330</v>
      </c>
      <c r="AM6" s="516">
        <f>IF(AN6=0,0,(AN6/AL6))</f>
        <v>226.925321888412</v>
      </c>
      <c r="AN6" s="342">
        <v>528736</v>
      </c>
      <c r="AO6" s="2109">
        <v>2330</v>
      </c>
      <c r="AP6" s="516">
        <f>IF(AQ6=0,0,(AQ6/AO6))</f>
        <v>226.925321888412</v>
      </c>
      <c r="AQ6" s="342">
        <v>528736</v>
      </c>
      <c r="AR6" s="2993">
        <f>' Qty Analysis'!BE27</f>
        <v>0</v>
      </c>
      <c r="AS6" s="332"/>
      <c r="AT6" s="342">
        <f>ROUND((AS6*AR6),0)</f>
        <v>0</v>
      </c>
      <c r="AU6" s="2993">
        <f>' Qty Analysis'!BH27</f>
        <v>0</v>
      </c>
      <c r="AV6" s="332"/>
      <c r="AW6" s="342">
        <f>ROUND((AV6*AU6),0)</f>
        <v>0</v>
      </c>
      <c r="AX6" s="3096">
        <f t="shared" ref="AX6:AX8" si="0">Z6-B6</f>
        <v>732</v>
      </c>
      <c r="AY6" s="3097">
        <f t="shared" ref="AY6:AY8" si="1">AX6/B6</f>
        <v>0.439903846153846</v>
      </c>
      <c r="BA6" s="318">
        <v>2730</v>
      </c>
      <c r="BB6" s="368">
        <v>215</v>
      </c>
      <c r="BC6" s="568">
        <f>ROUND((BA6*BB6),0)</f>
        <v>586950</v>
      </c>
      <c r="BE6" s="318">
        <v>2645</v>
      </c>
    </row>
    <row r="7" ht="15.75" spans="1:57">
      <c r="A7" s="260" t="s">
        <v>111</v>
      </c>
      <c r="B7" s="2936">
        <v>32</v>
      </c>
      <c r="C7" s="2937">
        <f>D7/B7</f>
        <v>996.90625</v>
      </c>
      <c r="D7" s="2940">
        <v>31901</v>
      </c>
      <c r="E7" s="2110">
        <v>28</v>
      </c>
      <c r="F7" s="482">
        <f>ROUND(IF(G7=0,0,(G7/E7)),0)</f>
        <v>1529</v>
      </c>
      <c r="G7" s="342">
        <v>42808</v>
      </c>
      <c r="H7" s="2110">
        <v>37</v>
      </c>
      <c r="I7" s="482">
        <f>IF(J7=0,0,(J7/H7))</f>
        <v>1769.89189189189</v>
      </c>
      <c r="J7" s="342">
        <v>65486</v>
      </c>
      <c r="K7" s="2110">
        <v>40</v>
      </c>
      <c r="L7" s="482">
        <f>IF(M7=0,0,(M7/K7))</f>
        <v>1466.775</v>
      </c>
      <c r="M7" s="342">
        <v>58671</v>
      </c>
      <c r="N7" s="2110">
        <v>38</v>
      </c>
      <c r="O7" s="516">
        <f>IF(P7=0,0,(P7/N7))</f>
        <v>1621.31578947368</v>
      </c>
      <c r="P7" s="342">
        <v>61610</v>
      </c>
      <c r="Q7" s="2110">
        <v>26</v>
      </c>
      <c r="R7" s="482">
        <f>IF(S7=0,0,(S7/Q7))</f>
        <v>1642.88461538462</v>
      </c>
      <c r="S7" s="342">
        <v>42715</v>
      </c>
      <c r="T7" s="2110">
        <v>16</v>
      </c>
      <c r="U7" s="482">
        <f>IF(V7=0,0,(V7/T7))</f>
        <v>1711.25</v>
      </c>
      <c r="V7" s="342">
        <v>27380</v>
      </c>
      <c r="W7" s="2110">
        <v>41</v>
      </c>
      <c r="X7" s="482">
        <f>IF(Y7=0,0,(Y7/W7))</f>
        <v>1775.90243902439</v>
      </c>
      <c r="Y7" s="342">
        <v>72812</v>
      </c>
      <c r="Z7" s="2110">
        <v>46</v>
      </c>
      <c r="AA7" s="482">
        <f>IF(AB7=0,0,(AB7/Z7))</f>
        <v>1659.04347826087</v>
      </c>
      <c r="AB7" s="342">
        <v>76316</v>
      </c>
      <c r="AC7" s="2110">
        <v>40</v>
      </c>
      <c r="AD7" s="482">
        <f>IF(AE7=0,0,(AE7/AC7))</f>
        <v>1629.45</v>
      </c>
      <c r="AE7" s="342">
        <v>65178</v>
      </c>
      <c r="AF7" s="2110">
        <v>40</v>
      </c>
      <c r="AG7" s="482">
        <f>IF(AH7=0,0,(AH7/AF7))</f>
        <v>1629.45</v>
      </c>
      <c r="AH7" s="342">
        <v>65178</v>
      </c>
      <c r="AI7" s="2110">
        <v>38</v>
      </c>
      <c r="AJ7" s="482">
        <f>IF(AK7=0,0,(AK7/AI7))</f>
        <v>1606.73684210526</v>
      </c>
      <c r="AK7" s="342">
        <v>61056</v>
      </c>
      <c r="AL7" s="2110">
        <v>19</v>
      </c>
      <c r="AM7" s="482">
        <f>IF(AN7=0,0,(AN7/AL7))</f>
        <v>1597.36842105263</v>
      </c>
      <c r="AN7" s="342">
        <v>30350</v>
      </c>
      <c r="AO7" s="2110">
        <v>19</v>
      </c>
      <c r="AP7" s="482">
        <f>IF(AQ7=0,0,(AQ7/AO7))</f>
        <v>1597.36842105263</v>
      </c>
      <c r="AQ7" s="342">
        <v>30350</v>
      </c>
      <c r="AR7" s="2993">
        <f>' Qty Analysis'!BE39</f>
        <v>0</v>
      </c>
      <c r="AS7" s="334"/>
      <c r="AT7" s="342">
        <f>ROUND((AS7*AR7),0)</f>
        <v>0</v>
      </c>
      <c r="AU7" s="2993">
        <f>' Qty Analysis'!BH39</f>
        <v>0</v>
      </c>
      <c r="AV7" s="334"/>
      <c r="AW7" s="342">
        <f>ROUND((AV7*AU7),0)</f>
        <v>0</v>
      </c>
      <c r="AX7" s="3096">
        <f t="shared" si="0"/>
        <v>14</v>
      </c>
      <c r="AY7" s="3097">
        <f t="shared" si="1"/>
        <v>0.4375</v>
      </c>
      <c r="BA7" s="318">
        <v>30</v>
      </c>
      <c r="BB7" s="368">
        <v>2280</v>
      </c>
      <c r="BC7" s="568">
        <f>ROUND((BA7*BB7),0)</f>
        <v>68400</v>
      </c>
      <c r="BE7" s="318">
        <v>45.3</v>
      </c>
    </row>
    <row r="8" ht="15.75" spans="1:57">
      <c r="A8" s="2941" t="s">
        <v>52</v>
      </c>
      <c r="B8" s="2942">
        <f>SUM(B5:B7)</f>
        <v>197541</v>
      </c>
      <c r="C8" s="2943">
        <f>D8/B8</f>
        <v>101.870042168461</v>
      </c>
      <c r="D8" s="2944">
        <f>SUM(D5:D7)</f>
        <v>20123510</v>
      </c>
      <c r="E8" s="2124">
        <f>SUM(E5:E7)</f>
        <v>182463</v>
      </c>
      <c r="F8" s="2121">
        <f>IF(G8=0,0,(G8/E8))</f>
        <v>101.304286348465</v>
      </c>
      <c r="G8" s="455">
        <f>SUM(G5:G7)</f>
        <v>18484284</v>
      </c>
      <c r="H8" s="2124">
        <f>SUM(H5:H7)</f>
        <v>149741</v>
      </c>
      <c r="I8" s="2121">
        <f>IF(J8=0,0,(J8/H8))</f>
        <v>100.231386193494</v>
      </c>
      <c r="J8" s="455">
        <f>SUM(J5:J7)</f>
        <v>15008748</v>
      </c>
      <c r="K8" s="2124">
        <f>SUM(K5:K7)</f>
        <v>166778</v>
      </c>
      <c r="L8" s="2121">
        <f>IF(M8=0,0,(M8/K8))</f>
        <v>99.8549508928036</v>
      </c>
      <c r="M8" s="455">
        <f>SUM(M5:M7)</f>
        <v>16653609</v>
      </c>
      <c r="N8" s="2124">
        <f>SUM(N5:N7)</f>
        <v>148947</v>
      </c>
      <c r="O8" s="2121">
        <f>IF(P8=0,0,(P8/N8))</f>
        <v>102.892203266934</v>
      </c>
      <c r="P8" s="455">
        <f>SUM(P5:P7)</f>
        <v>15325485</v>
      </c>
      <c r="Q8" s="2124">
        <f>SUM(Q5:Q7)</f>
        <v>190728</v>
      </c>
      <c r="R8" s="2121">
        <f>IF(S8=0,0,(S8/Q8))</f>
        <v>104.04267333585</v>
      </c>
      <c r="S8" s="455">
        <f>ROUND(SUM(S5:S7),0)</f>
        <v>19843851</v>
      </c>
      <c r="T8" s="2124">
        <f>SUM(T5:T7)</f>
        <v>117515</v>
      </c>
      <c r="U8" s="2121">
        <f>IF(V8=0,0,(V8/T8))</f>
        <v>104.355912011233</v>
      </c>
      <c r="V8" s="455">
        <f>SUM(V5:V7)</f>
        <v>12263385</v>
      </c>
      <c r="W8" s="2124">
        <f>SUM(W5:W7)</f>
        <v>142661</v>
      </c>
      <c r="X8" s="2121">
        <f>IF(Y8=0,0,(Y8/W8))</f>
        <v>102.011972438158</v>
      </c>
      <c r="Y8" s="455">
        <f>SUM(Y5:Y7)</f>
        <v>14553130</v>
      </c>
      <c r="Z8" s="2124">
        <f>SUM(Z5:Z7)</f>
        <v>166752</v>
      </c>
      <c r="AA8" s="2121">
        <f>IF(AB8=0,0,(AB8/Z8))</f>
        <v>99.619464834005</v>
      </c>
      <c r="AB8" s="455">
        <f>SUM(AB5:AB7)</f>
        <v>16611745</v>
      </c>
      <c r="AC8" s="2124">
        <f>SUM(AC5:AC7)</f>
        <v>137910</v>
      </c>
      <c r="AD8" s="2121">
        <f>IF(AE8=0,0,(AE8/AC8))</f>
        <v>98.9619897034298</v>
      </c>
      <c r="AE8" s="455">
        <f>SUM(AE5:AE7)</f>
        <v>13647848</v>
      </c>
      <c r="AF8" s="2124">
        <f>SUM(AF5:AF7)</f>
        <v>177221</v>
      </c>
      <c r="AG8" s="2121">
        <f>IF(AH8=0,0,(AH8/AF8))</f>
        <v>101.319465526095</v>
      </c>
      <c r="AH8" s="455">
        <f>SUM(AH5:AH7)</f>
        <v>17955937</v>
      </c>
      <c r="AI8" s="2124">
        <f>SUM(AI5:AI7)</f>
        <v>157588</v>
      </c>
      <c r="AJ8" s="2121">
        <f>IF(AK8=0,0,(AK8/AI8))</f>
        <v>106.531436403787</v>
      </c>
      <c r="AK8" s="455">
        <f>SUM(AK5:AK7)</f>
        <v>16788076</v>
      </c>
      <c r="AL8" s="2124">
        <f>SUM(AL5:AL7)</f>
        <v>143489</v>
      </c>
      <c r="AM8" s="2121">
        <f>IF(AN8=0,0,(AN8/AL8))</f>
        <v>123.874631504854</v>
      </c>
      <c r="AN8" s="455">
        <f>SUM(AN5:AN7)</f>
        <v>17774647</v>
      </c>
      <c r="AO8" s="2124">
        <f>SUM(AO5:AO7)</f>
        <v>143489</v>
      </c>
      <c r="AP8" s="2121">
        <f>IF(AQ8=0,0,(AQ8/AO8))</f>
        <v>123.874631504854</v>
      </c>
      <c r="AQ8" s="455">
        <f>SUM(AQ5:AQ7)</f>
        <v>17774647</v>
      </c>
      <c r="AR8" s="2124">
        <f>SUM(AR5:AR7)</f>
        <v>0</v>
      </c>
      <c r="AS8" s="2121"/>
      <c r="AT8" s="455">
        <f>SUM(AT5:AT7)</f>
        <v>0</v>
      </c>
      <c r="AU8" s="2124">
        <f>SUM(AU5:AU7)</f>
        <v>0</v>
      </c>
      <c r="AV8" s="2121"/>
      <c r="AW8" s="455">
        <f>SUM(AW5:AW7)</f>
        <v>0</v>
      </c>
      <c r="AX8" s="3098">
        <f t="shared" si="0"/>
        <v>-30789</v>
      </c>
      <c r="AY8" s="3099">
        <f t="shared" si="1"/>
        <v>-0.155861314866281</v>
      </c>
      <c r="BA8" s="3103">
        <f>SUM(BA5:BA7)</f>
        <v>167760</v>
      </c>
      <c r="BB8" s="3104">
        <f>BC8/BA8</f>
        <v>103.244814020029</v>
      </c>
      <c r="BC8" s="3105">
        <f>SUM(BC5:BC7)</f>
        <v>17320350</v>
      </c>
      <c r="BE8" s="3103">
        <f>SUM(BE5:BE7)</f>
        <v>166265.3</v>
      </c>
    </row>
    <row r="9" customHeight="1" spans="1:57">
      <c r="A9" s="263" t="s">
        <v>112</v>
      </c>
      <c r="B9" s="2945"/>
      <c r="C9" s="2946"/>
      <c r="D9" s="2947"/>
      <c r="E9" s="2993"/>
      <c r="F9" s="516"/>
      <c r="G9" s="2994"/>
      <c r="H9" s="2993"/>
      <c r="I9" s="516"/>
      <c r="J9" s="2994"/>
      <c r="K9" s="2993"/>
      <c r="L9" s="516"/>
      <c r="M9" s="2994"/>
      <c r="N9" s="2993"/>
      <c r="O9" s="516"/>
      <c r="P9" s="2994"/>
      <c r="Q9" s="2993"/>
      <c r="R9" s="516"/>
      <c r="S9" s="2994"/>
      <c r="T9" s="2993"/>
      <c r="U9" s="516"/>
      <c r="V9" s="2994"/>
      <c r="W9" s="2993"/>
      <c r="X9" s="516"/>
      <c r="Y9" s="2994"/>
      <c r="Z9" s="2993"/>
      <c r="AA9" s="516"/>
      <c r="AB9" s="2994"/>
      <c r="AC9" s="2993"/>
      <c r="AD9" s="516"/>
      <c r="AE9" s="2994"/>
      <c r="AF9" s="2993"/>
      <c r="AG9" s="516"/>
      <c r="AH9" s="2994"/>
      <c r="AI9" s="2993"/>
      <c r="AJ9" s="516"/>
      <c r="AK9" s="2994"/>
      <c r="AL9" s="2993"/>
      <c r="AM9" s="516"/>
      <c r="AN9" s="2994"/>
      <c r="AO9" s="2993"/>
      <c r="AP9" s="516"/>
      <c r="AQ9" s="2994"/>
      <c r="AR9" s="2993"/>
      <c r="AS9" s="516"/>
      <c r="AT9" s="2994"/>
      <c r="AU9" s="2993"/>
      <c r="AV9" s="516"/>
      <c r="AW9" s="2994"/>
      <c r="BA9" s="318"/>
      <c r="BB9" s="368"/>
      <c r="BE9" s="318"/>
    </row>
    <row r="10" spans="1:57">
      <c r="A10" s="267" t="s">
        <v>113</v>
      </c>
      <c r="B10" s="2948">
        <v>49725</v>
      </c>
      <c r="C10" s="2937">
        <v>154</v>
      </c>
      <c r="D10" s="342">
        <f>B10*C10</f>
        <v>7657650</v>
      </c>
      <c r="E10" s="2109">
        <v>56270</v>
      </c>
      <c r="F10" s="332">
        <v>153</v>
      </c>
      <c r="G10" s="342">
        <f>ROUND(E10*F10,0)</f>
        <v>8609310</v>
      </c>
      <c r="H10" s="2109">
        <v>46564</v>
      </c>
      <c r="I10" s="332">
        <v>153</v>
      </c>
      <c r="J10" s="342">
        <f>ROUND(H10*I10,0)</f>
        <v>7124292</v>
      </c>
      <c r="K10" s="2109">
        <v>52761</v>
      </c>
      <c r="L10" s="332">
        <v>153</v>
      </c>
      <c r="M10" s="342">
        <f>ROUND(K10*L10,0)</f>
        <v>8072433</v>
      </c>
      <c r="N10" s="2109">
        <v>48737</v>
      </c>
      <c r="O10" s="332">
        <v>147</v>
      </c>
      <c r="P10" s="342">
        <f>ROUND(N10*O10,0)</f>
        <v>7164339</v>
      </c>
      <c r="Q10" s="2109">
        <v>49390</v>
      </c>
      <c r="R10" s="332">
        <v>149</v>
      </c>
      <c r="S10" s="342">
        <f>ROUND(Q10*R10,0)</f>
        <v>7359110</v>
      </c>
      <c r="T10" s="2109">
        <f>56274</f>
        <v>56274</v>
      </c>
      <c r="U10" s="332">
        <v>150</v>
      </c>
      <c r="V10" s="342">
        <f>ROUND(T10*U10,0)</f>
        <v>8441100</v>
      </c>
      <c r="W10" s="2109">
        <v>60796</v>
      </c>
      <c r="X10" s="332">
        <v>149</v>
      </c>
      <c r="Y10" s="342">
        <f>ROUND((W10*X10),0)</f>
        <v>9058604</v>
      </c>
      <c r="Z10" s="2109">
        <v>57318</v>
      </c>
      <c r="AA10" s="332">
        <v>147</v>
      </c>
      <c r="AB10" s="342">
        <f>ROUND((Z10*AA10),0)</f>
        <v>8425746</v>
      </c>
      <c r="AC10" s="2109">
        <v>54866</v>
      </c>
      <c r="AD10" s="516">
        <f t="shared" ref="AD10:AD12" si="2">IF(AE10=0,0,(AE10/AC10))</f>
        <v>146</v>
      </c>
      <c r="AE10" s="342">
        <v>8010436</v>
      </c>
      <c r="AF10" s="2109">
        <v>47774</v>
      </c>
      <c r="AG10" s="516">
        <f t="shared" ref="AG10:AG11" si="3">IF(AH10=0,0,(AH10/AF10))</f>
        <v>147</v>
      </c>
      <c r="AH10" s="342">
        <v>7022778</v>
      </c>
      <c r="AI10" s="2109">
        <v>51822</v>
      </c>
      <c r="AJ10" s="332">
        <v>151</v>
      </c>
      <c r="AK10" s="342">
        <v>7825122</v>
      </c>
      <c r="AL10" s="2109">
        <v>37996</v>
      </c>
      <c r="AM10" s="332">
        <v>167</v>
      </c>
      <c r="AN10" s="342">
        <v>6345333</v>
      </c>
      <c r="AO10" s="3076">
        <v>37996</v>
      </c>
      <c r="AP10" s="516">
        <f t="shared" ref="AP10:AP12" si="4">IF(AQ10=0,0,(AQ10/AO10))</f>
        <v>167</v>
      </c>
      <c r="AQ10" s="342">
        <v>6345332</v>
      </c>
      <c r="AR10" s="2993">
        <f>' Qty Analysis'!BE66</f>
        <v>0</v>
      </c>
      <c r="AS10" s="332"/>
      <c r="AT10" s="342">
        <f>ROUND((AS10*AR10),0)</f>
        <v>0</v>
      </c>
      <c r="AU10" s="2993">
        <f>' Qty Analysis'!BH66</f>
        <v>0</v>
      </c>
      <c r="AV10" s="332"/>
      <c r="AW10" s="342">
        <f>ROUND((AV10*AU10),0)</f>
        <v>0</v>
      </c>
      <c r="AX10" s="3096">
        <f t="shared" ref="AX10:AX12" si="5">Z10-B10</f>
        <v>7593</v>
      </c>
      <c r="AY10" s="3097">
        <f t="shared" ref="AY10:AY12" si="6">AX10/B10</f>
        <v>0.152699849170437</v>
      </c>
      <c r="BA10" s="318">
        <v>24480</v>
      </c>
      <c r="BB10" s="368">
        <v>163</v>
      </c>
      <c r="BC10" s="568">
        <f>ROUND((BA10*BB10),0)</f>
        <v>3990240</v>
      </c>
      <c r="BE10" s="318">
        <v>24112</v>
      </c>
    </row>
    <row r="11" ht="15.75" spans="1:57">
      <c r="A11" s="267" t="s">
        <v>114</v>
      </c>
      <c r="B11" s="2948">
        <v>76468</v>
      </c>
      <c r="C11" s="2937">
        <v>154</v>
      </c>
      <c r="D11" s="342">
        <f>B11*C11</f>
        <v>11776072</v>
      </c>
      <c r="E11" s="2109">
        <v>63906</v>
      </c>
      <c r="F11" s="332">
        <f>F10</f>
        <v>153</v>
      </c>
      <c r="G11" s="342">
        <f>ROUND(E11*F11,0)</f>
        <v>9777618</v>
      </c>
      <c r="H11" s="2109">
        <v>61851</v>
      </c>
      <c r="I11" s="332">
        <f>I10</f>
        <v>153</v>
      </c>
      <c r="J11" s="342">
        <f>ROUND(H11*I11,0)</f>
        <v>9463203</v>
      </c>
      <c r="K11" s="2109">
        <v>66528</v>
      </c>
      <c r="L11" s="332">
        <f>L10</f>
        <v>153</v>
      </c>
      <c r="M11" s="342">
        <f>ROUND(K11*L11,0)</f>
        <v>10178784</v>
      </c>
      <c r="N11" s="2109">
        <v>73740</v>
      </c>
      <c r="O11" s="332">
        <v>147</v>
      </c>
      <c r="P11" s="342">
        <f>ROUND(N11*O11,0)</f>
        <v>10839780</v>
      </c>
      <c r="Q11" s="2109">
        <v>77585</v>
      </c>
      <c r="R11" s="332">
        <f>R10</f>
        <v>149</v>
      </c>
      <c r="S11" s="342">
        <f>ROUND(Q11*R11,0)</f>
        <v>11560165</v>
      </c>
      <c r="T11" s="2109">
        <v>79080</v>
      </c>
      <c r="U11" s="332">
        <f>U10</f>
        <v>150</v>
      </c>
      <c r="V11" s="342">
        <f>ROUND(T11*U11,0)</f>
        <v>11862000</v>
      </c>
      <c r="W11" s="2109">
        <v>80193</v>
      </c>
      <c r="X11" s="332">
        <v>149</v>
      </c>
      <c r="Y11" s="342">
        <f>ROUND((W11*X11),0)-1</f>
        <v>11948756</v>
      </c>
      <c r="Z11" s="2109">
        <v>85004</v>
      </c>
      <c r="AA11" s="332">
        <f>AA10</f>
        <v>147</v>
      </c>
      <c r="AB11" s="342">
        <f>ROUND((Z11*AA11),0)</f>
        <v>12495588</v>
      </c>
      <c r="AC11" s="2109">
        <v>91727</v>
      </c>
      <c r="AD11" s="516">
        <f t="shared" si="2"/>
        <v>146</v>
      </c>
      <c r="AE11" s="342">
        <v>13392142</v>
      </c>
      <c r="AF11" s="2109">
        <v>91742</v>
      </c>
      <c r="AG11" s="516">
        <f t="shared" si="3"/>
        <v>147</v>
      </c>
      <c r="AH11" s="342">
        <v>13486074</v>
      </c>
      <c r="AI11" s="2109">
        <v>86544</v>
      </c>
      <c r="AJ11" s="332">
        <f>AJ10</f>
        <v>151</v>
      </c>
      <c r="AK11" s="342">
        <v>13068144</v>
      </c>
      <c r="AL11" s="2109">
        <v>64171</v>
      </c>
      <c r="AM11" s="332">
        <v>167</v>
      </c>
      <c r="AN11" s="342">
        <v>10716557</v>
      </c>
      <c r="AO11" s="3077">
        <v>64171</v>
      </c>
      <c r="AP11" s="516">
        <f t="shared" si="4"/>
        <v>167</v>
      </c>
      <c r="AQ11" s="342">
        <v>10716557</v>
      </c>
      <c r="AR11" s="2993">
        <f>' Qty Analysis'!BE81</f>
        <v>0</v>
      </c>
      <c r="AS11" s="332"/>
      <c r="AT11" s="342">
        <f>ROUND((AS11*AR11),0)</f>
        <v>0</v>
      </c>
      <c r="AU11" s="2993">
        <f>' Qty Analysis'!BH81</f>
        <v>0</v>
      </c>
      <c r="AV11" s="332"/>
      <c r="AW11" s="342">
        <f>ROUND((AV11*AU11),0)</f>
        <v>0</v>
      </c>
      <c r="AX11" s="3096">
        <f t="shared" si="5"/>
        <v>8536</v>
      </c>
      <c r="AY11" s="3097">
        <f t="shared" si="6"/>
        <v>0.111628393576398</v>
      </c>
      <c r="BA11" s="318">
        <v>66292</v>
      </c>
      <c r="BB11" s="368">
        <v>163</v>
      </c>
      <c r="BC11" s="568">
        <f>ROUND((BA11*BB11),0)</f>
        <v>10805596</v>
      </c>
      <c r="BE11" s="318">
        <v>66292</v>
      </c>
    </row>
    <row r="12" ht="15.75" spans="1:57">
      <c r="A12" s="270" t="s">
        <v>52</v>
      </c>
      <c r="B12" s="2942">
        <f>SUM(B10:B11)</f>
        <v>126193</v>
      </c>
      <c r="C12" s="2943">
        <f>D12/B12</f>
        <v>154</v>
      </c>
      <c r="D12" s="2944">
        <f>SUM(D10:D11)</f>
        <v>19433722</v>
      </c>
      <c r="E12" s="2124">
        <f>SUM(E10:E11)</f>
        <v>120176</v>
      </c>
      <c r="F12" s="387">
        <f>G12/E12</f>
        <v>153</v>
      </c>
      <c r="G12" s="455">
        <f>SUM(G10:G11)</f>
        <v>18386928</v>
      </c>
      <c r="H12" s="2124">
        <f>SUM(H10:H11)</f>
        <v>108415</v>
      </c>
      <c r="I12" s="387"/>
      <c r="J12" s="455">
        <f>SUM(J10:J11)</f>
        <v>16587495</v>
      </c>
      <c r="K12" s="2124">
        <f>SUM(K10:K11)</f>
        <v>119289</v>
      </c>
      <c r="L12" s="387"/>
      <c r="M12" s="455">
        <f>SUM(M10:M11)</f>
        <v>18251217</v>
      </c>
      <c r="N12" s="2124">
        <f>SUM(N10:N11)</f>
        <v>122477</v>
      </c>
      <c r="O12" s="387"/>
      <c r="P12" s="455">
        <f>SUM(P10:P11)</f>
        <v>18004119</v>
      </c>
      <c r="Q12" s="2124">
        <f>SUM(Q10:Q11)</f>
        <v>126975</v>
      </c>
      <c r="R12" s="387"/>
      <c r="S12" s="455">
        <f>SUM(S10:S11)</f>
        <v>18919275</v>
      </c>
      <c r="T12" s="2124">
        <f>SUM(T10:T11)</f>
        <v>135354</v>
      </c>
      <c r="U12" s="387"/>
      <c r="V12" s="455">
        <f>SUM(V10:V11)</f>
        <v>20303100</v>
      </c>
      <c r="W12" s="2124">
        <f>SUM(W10:W11)</f>
        <v>140989</v>
      </c>
      <c r="X12" s="2121">
        <f>IF(Y12=0,0,(Y12/W12))</f>
        <v>148.999992907248</v>
      </c>
      <c r="Y12" s="455">
        <f>SUM(Y10:Y11)</f>
        <v>21007360</v>
      </c>
      <c r="Z12" s="2124">
        <f>SUM(Z10:Z11)</f>
        <v>142322</v>
      </c>
      <c r="AA12" s="387"/>
      <c r="AB12" s="455">
        <f>SUM(AB10:AB11)</f>
        <v>20921334</v>
      </c>
      <c r="AC12" s="2124">
        <f>SUM(AC10:AC11)</f>
        <v>146593</v>
      </c>
      <c r="AD12" s="2121">
        <f t="shared" si="2"/>
        <v>146</v>
      </c>
      <c r="AE12" s="455">
        <f>SUM(AE10:AE11)</f>
        <v>21402578</v>
      </c>
      <c r="AF12" s="2124">
        <f>SUM(AF10:AF11)</f>
        <v>139516</v>
      </c>
      <c r="AG12" s="387"/>
      <c r="AH12" s="455">
        <f>SUM(AH10:AH11)</f>
        <v>20508852</v>
      </c>
      <c r="AI12" s="2124">
        <f>SUM(AI10:AI11)</f>
        <v>138366</v>
      </c>
      <c r="AJ12" s="387"/>
      <c r="AK12" s="455">
        <f>SUM(AK10:AK11)</f>
        <v>20893266</v>
      </c>
      <c r="AL12" s="2124">
        <f>SUM(AL10:AL11)</f>
        <v>102167</v>
      </c>
      <c r="AM12" s="387"/>
      <c r="AN12" s="455">
        <f>SUM(AN10:AN11)</f>
        <v>17061890</v>
      </c>
      <c r="AO12" s="2124">
        <f>SUM(AO10:AO11)</f>
        <v>102167</v>
      </c>
      <c r="AP12" s="2121">
        <f t="shared" si="4"/>
        <v>167</v>
      </c>
      <c r="AQ12" s="455">
        <f>SUM(AQ10:AQ11)</f>
        <v>17061889</v>
      </c>
      <c r="AR12" s="2124">
        <f>SUM(AR10:AR11)</f>
        <v>0</v>
      </c>
      <c r="AS12" s="387"/>
      <c r="AT12" s="455">
        <f>SUM(AT10:AT11)</f>
        <v>0</v>
      </c>
      <c r="AU12" s="2124">
        <f>SUM(AU10:AU11)</f>
        <v>0</v>
      </c>
      <c r="AV12" s="387"/>
      <c r="AW12" s="455">
        <f>SUM(AW10:AW11)</f>
        <v>0</v>
      </c>
      <c r="AX12" s="3098">
        <f t="shared" si="5"/>
        <v>16129</v>
      </c>
      <c r="AY12" s="3099">
        <f t="shared" si="6"/>
        <v>0.127812160737917</v>
      </c>
      <c r="BA12" s="3103">
        <f>SUM(BA10:BA11)</f>
        <v>90772</v>
      </c>
      <c r="BB12" s="3104">
        <f>BC12/BA12</f>
        <v>163</v>
      </c>
      <c r="BC12" s="3105">
        <f>SUM(BC10:BC11)</f>
        <v>14795836</v>
      </c>
      <c r="BE12" s="3103">
        <f>SUM(BE10:BE11)</f>
        <v>90404</v>
      </c>
    </row>
    <row r="13" ht="15.75" spans="1:57">
      <c r="A13" s="2119" t="s">
        <v>115</v>
      </c>
      <c r="B13" s="2949"/>
      <c r="C13" s="2950"/>
      <c r="D13" s="2951"/>
      <c r="E13" s="2124" t="s">
        <v>116</v>
      </c>
      <c r="F13" s="2121"/>
      <c r="G13" s="2995"/>
      <c r="H13" s="2124" t="s">
        <v>116</v>
      </c>
      <c r="I13" s="2121"/>
      <c r="J13" s="2995"/>
      <c r="K13" s="2124" t="s">
        <v>116</v>
      </c>
      <c r="L13" s="2121"/>
      <c r="M13" s="2995"/>
      <c r="N13" s="2124" t="s">
        <v>116</v>
      </c>
      <c r="O13" s="2121"/>
      <c r="P13" s="2995"/>
      <c r="Q13" s="2124" t="s">
        <v>116</v>
      </c>
      <c r="R13" s="2121"/>
      <c r="S13" s="2995"/>
      <c r="T13" s="2124" t="s">
        <v>116</v>
      </c>
      <c r="U13" s="2121"/>
      <c r="V13" s="2995"/>
      <c r="W13" s="2124" t="s">
        <v>116</v>
      </c>
      <c r="X13" s="2121"/>
      <c r="Y13" s="2995"/>
      <c r="Z13" s="2124" t="s">
        <v>116</v>
      </c>
      <c r="AA13" s="2121"/>
      <c r="AB13" s="2995"/>
      <c r="AC13" s="2124" t="s">
        <v>116</v>
      </c>
      <c r="AD13" s="2121"/>
      <c r="AE13" s="2995"/>
      <c r="AF13" s="2124" t="s">
        <v>116</v>
      </c>
      <c r="AG13" s="2121"/>
      <c r="AH13" s="2995"/>
      <c r="AI13" s="2124" t="s">
        <v>116</v>
      </c>
      <c r="AJ13" s="2121"/>
      <c r="AK13" s="2995"/>
      <c r="AL13" s="2124" t="s">
        <v>116</v>
      </c>
      <c r="AM13" s="2121"/>
      <c r="AN13" s="2995"/>
      <c r="AO13" s="2124" t="s">
        <v>116</v>
      </c>
      <c r="AP13" s="2121"/>
      <c r="AQ13" s="2995"/>
      <c r="AR13" s="2124"/>
      <c r="AS13" s="2121"/>
      <c r="AT13" s="2995"/>
      <c r="AU13" s="2124"/>
      <c r="AV13" s="2121"/>
      <c r="AW13" s="2995"/>
      <c r="BA13" s="318"/>
      <c r="BB13" s="368"/>
      <c r="BE13" s="318"/>
    </row>
    <row r="14" spans="1:57">
      <c r="A14" s="263" t="s">
        <v>117</v>
      </c>
      <c r="B14" s="2952">
        <v>206027</v>
      </c>
      <c r="C14" s="2937">
        <v>220</v>
      </c>
      <c r="D14" s="2953">
        <f>B14*C14</f>
        <v>45325940</v>
      </c>
      <c r="E14" s="2183">
        <v>224045</v>
      </c>
      <c r="F14" s="2107">
        <v>219</v>
      </c>
      <c r="G14" s="342">
        <f>ROUND(E14*F14,0)+14027</f>
        <v>49079882</v>
      </c>
      <c r="H14" s="2183">
        <f>ROUND((' Qty Analysis'!E92),0)</f>
        <v>168371</v>
      </c>
      <c r="I14" s="2107">
        <v>219</v>
      </c>
      <c r="J14" s="342">
        <f>ROUND(H14*I14,0)+7262</f>
        <v>36880511</v>
      </c>
      <c r="K14" s="2183">
        <f>ROUND((' Qty Analysis'!H92),0)</f>
        <v>140447</v>
      </c>
      <c r="L14" s="2107">
        <v>219</v>
      </c>
      <c r="M14" s="342">
        <f>ROUND(K14*L14,0)</f>
        <v>30757893</v>
      </c>
      <c r="N14" s="2183">
        <f>ROUND((' Qty Analysis'!K92),0)</f>
        <v>130199</v>
      </c>
      <c r="O14" s="2107">
        <v>218</v>
      </c>
      <c r="P14" s="342">
        <f>ROUND(N14*O14,0)</f>
        <v>28383382</v>
      </c>
      <c r="Q14" s="2183">
        <v>202593</v>
      </c>
      <c r="R14" s="2107">
        <v>220</v>
      </c>
      <c r="S14" s="342">
        <f>ROUND(Q14*R14,0)</f>
        <v>44570460</v>
      </c>
      <c r="T14" s="2183">
        <v>228722</v>
      </c>
      <c r="U14" s="2107">
        <v>221</v>
      </c>
      <c r="V14" s="342">
        <f>ROUND(T14*U14,0)</f>
        <v>50547562</v>
      </c>
      <c r="W14" s="2183">
        <v>237947</v>
      </c>
      <c r="X14" s="516">
        <f t="shared" ref="X14:X17" si="7">IF(Y14=0,0,(Y14/W14))</f>
        <v>219</v>
      </c>
      <c r="Y14" s="342">
        <v>52110393</v>
      </c>
      <c r="Z14" s="2183">
        <v>218951</v>
      </c>
      <c r="AA14" s="516">
        <f t="shared" ref="AA14:AA19" si="8">IF(AB14=0,0,(AB14/Z14))</f>
        <v>217</v>
      </c>
      <c r="AB14" s="342">
        <v>47512367</v>
      </c>
      <c r="AC14" s="2183">
        <v>255947</v>
      </c>
      <c r="AD14" s="516">
        <f t="shared" ref="AD14:AD18" si="9">IF(AE14=0,0,(AE14/AC14))</f>
        <v>216</v>
      </c>
      <c r="AE14" s="342">
        <v>55284552</v>
      </c>
      <c r="AF14" s="2183">
        <v>261816</v>
      </c>
      <c r="AG14" s="516">
        <f>IF(AH14=0,0,(AH14/AF14))</f>
        <v>217</v>
      </c>
      <c r="AH14" s="342">
        <v>56814072</v>
      </c>
      <c r="AI14" s="2183">
        <v>239651</v>
      </c>
      <c r="AJ14" s="2107">
        <v>222</v>
      </c>
      <c r="AK14" s="342">
        <v>53202522</v>
      </c>
      <c r="AL14" s="2183">
        <v>200810</v>
      </c>
      <c r="AM14" s="516">
        <f t="shared" ref="AM14:AM17" si="10">IF(AN14=0,0,(AN14/AL14))</f>
        <v>238</v>
      </c>
      <c r="AN14" s="342">
        <v>47792780</v>
      </c>
      <c r="AO14" s="2183">
        <v>201852</v>
      </c>
      <c r="AP14" s="516">
        <f>IF(AQ14=0,0,(AQ14/AO14))</f>
        <v>237.916146483562</v>
      </c>
      <c r="AQ14" s="3078">
        <v>48023850</v>
      </c>
      <c r="AR14" s="2993">
        <f>' Qty Analysis'!BE101</f>
        <v>0</v>
      </c>
      <c r="AS14" s="3092"/>
      <c r="AT14" s="342">
        <f>ROUND((AS14*AR14),0)</f>
        <v>0</v>
      </c>
      <c r="AU14" s="2993">
        <f>' Qty Analysis'!BH101</f>
        <v>0</v>
      </c>
      <c r="AV14" s="3092"/>
      <c r="AW14" s="342">
        <f>ROUND((AV14*AU14),0)</f>
        <v>0</v>
      </c>
      <c r="AX14" s="3096">
        <f t="shared" ref="AX14:AX17" si="11">Z14-B14</f>
        <v>12924</v>
      </c>
      <c r="AY14" s="3097">
        <f t="shared" ref="AY14:AY17" si="12">AX14/B14</f>
        <v>0.062729642231358</v>
      </c>
      <c r="BA14" s="318">
        <v>289350</v>
      </c>
      <c r="BB14" s="368">
        <v>228</v>
      </c>
      <c r="BC14" s="568">
        <f>ROUND((BA14*BB14),0)</f>
        <v>65971800</v>
      </c>
      <c r="BE14" s="318"/>
    </row>
    <row r="15" spans="1:57">
      <c r="A15" s="267" t="s">
        <v>118</v>
      </c>
      <c r="B15" s="2948">
        <v>387</v>
      </c>
      <c r="C15" s="2937">
        <f>IF(B15=0,0,(D15/B15))</f>
        <v>213.385012919897</v>
      </c>
      <c r="D15" s="2954">
        <v>82580</v>
      </c>
      <c r="E15" s="2187">
        <v>387</v>
      </c>
      <c r="F15" s="516">
        <f>IF(E15=0,0,(G15/E15))</f>
        <v>213.385012919897</v>
      </c>
      <c r="G15" s="2996">
        <v>82580</v>
      </c>
      <c r="H15" s="2187">
        <v>387</v>
      </c>
      <c r="I15" s="516">
        <f>IF(H15=0,0,(J15/H15))</f>
        <v>215</v>
      </c>
      <c r="J15" s="2996">
        <v>83205</v>
      </c>
      <c r="K15" s="2187">
        <v>387</v>
      </c>
      <c r="L15" s="516">
        <f>IF(K15=0,0,(M15/K15))</f>
        <v>215</v>
      </c>
      <c r="M15" s="2996">
        <v>83205</v>
      </c>
      <c r="N15" s="2187">
        <v>387</v>
      </c>
      <c r="O15" s="516">
        <f>IF(N15=0,0,(P15/N15))</f>
        <v>215</v>
      </c>
      <c r="P15" s="2996">
        <v>83205</v>
      </c>
      <c r="Q15" s="2187">
        <v>387</v>
      </c>
      <c r="R15" s="516">
        <f>S15/Q15</f>
        <v>215</v>
      </c>
      <c r="S15" s="2996">
        <v>83205</v>
      </c>
      <c r="T15" s="2187">
        <v>387</v>
      </c>
      <c r="U15" s="516">
        <f>V15/T15</f>
        <v>215</v>
      </c>
      <c r="V15" s="342">
        <v>83205</v>
      </c>
      <c r="W15" s="2187">
        <v>387</v>
      </c>
      <c r="X15" s="516">
        <f t="shared" si="7"/>
        <v>220</v>
      </c>
      <c r="Y15" s="342">
        <v>85140</v>
      </c>
      <c r="Z15" s="2187">
        <v>387</v>
      </c>
      <c r="AA15" s="516">
        <f t="shared" si="8"/>
        <v>220</v>
      </c>
      <c r="AB15" s="342">
        <v>85140</v>
      </c>
      <c r="AC15" s="2187">
        <v>387</v>
      </c>
      <c r="AD15" s="516">
        <f t="shared" si="9"/>
        <v>220</v>
      </c>
      <c r="AE15" s="342">
        <v>85140</v>
      </c>
      <c r="AF15" s="2187">
        <v>387</v>
      </c>
      <c r="AG15" s="516">
        <f>IF(AH15=0,0,(AH15/AF15))</f>
        <v>210</v>
      </c>
      <c r="AH15" s="342">
        <v>81270</v>
      </c>
      <c r="AI15" s="2187">
        <v>387</v>
      </c>
      <c r="AJ15" s="516">
        <v>210</v>
      </c>
      <c r="AK15" s="342">
        <v>81270</v>
      </c>
      <c r="AL15" s="2187">
        <v>387</v>
      </c>
      <c r="AM15" s="516">
        <f t="shared" si="10"/>
        <v>214.651162790698</v>
      </c>
      <c r="AN15" s="342">
        <v>83070</v>
      </c>
      <c r="AO15" s="2187"/>
      <c r="AP15" s="516">
        <f>IF(AQ15=0,0,(AQ15/AO15))</f>
        <v>0</v>
      </c>
      <c r="AQ15" s="3078"/>
      <c r="AR15" s="3079">
        <f>' Qty Analysis'!BE122</f>
        <v>0</v>
      </c>
      <c r="AS15" s="341"/>
      <c r="AT15" s="342"/>
      <c r="AU15" s="3079">
        <f>' Qty Analysis'!BH122</f>
        <v>0</v>
      </c>
      <c r="AV15" s="341"/>
      <c r="AW15" s="342"/>
      <c r="AX15" s="3096">
        <f t="shared" si="11"/>
        <v>0</v>
      </c>
      <c r="AY15" s="3097">
        <f t="shared" si="12"/>
        <v>0</v>
      </c>
      <c r="BA15" s="318">
        <v>810</v>
      </c>
      <c r="BB15" s="368">
        <f>BC15/BA15</f>
        <v>214.814814814815</v>
      </c>
      <c r="BC15" s="568">
        <v>174000</v>
      </c>
      <c r="BE15" s="318"/>
    </row>
    <row r="16" spans="1:57">
      <c r="A16" s="267" t="s">
        <v>119</v>
      </c>
      <c r="B16" s="2948">
        <v>244</v>
      </c>
      <c r="C16" s="2937">
        <f t="shared" ref="C16:C19" si="13">IF(B16=0,0,(D16/B16))</f>
        <v>198</v>
      </c>
      <c r="D16" s="2954">
        <v>48312</v>
      </c>
      <c r="E16" s="2187">
        <v>257</v>
      </c>
      <c r="F16" s="516">
        <f t="shared" ref="F16:F21" si="14">IF(E16=0,0,(G16/E16))</f>
        <v>182.330739299611</v>
      </c>
      <c r="G16" s="2996">
        <v>46859</v>
      </c>
      <c r="H16" s="2187">
        <v>257</v>
      </c>
      <c r="I16" s="516">
        <f t="shared" ref="I16:I19" si="15">IF(H16=0,0,(J16/H16))</f>
        <v>203.424124513619</v>
      </c>
      <c r="J16" s="2996">
        <v>52280</v>
      </c>
      <c r="K16" s="2187">
        <v>257</v>
      </c>
      <c r="L16" s="516">
        <f t="shared" ref="L16:L19" si="16">IF(K16=0,0,(M16/K16))</f>
        <v>155.743190661479</v>
      </c>
      <c r="M16" s="2996">
        <v>40026</v>
      </c>
      <c r="N16" s="2187">
        <v>197</v>
      </c>
      <c r="O16" s="516">
        <f t="shared" ref="O16:O19" si="17">IF(N16=0,0,(P16/N16))</f>
        <v>200.670050761421</v>
      </c>
      <c r="P16" s="2996">
        <v>39532</v>
      </c>
      <c r="Q16" s="2187">
        <v>197</v>
      </c>
      <c r="R16" s="516">
        <f t="shared" ref="R16:R17" si="18">S16/Q16</f>
        <v>200.670050761421</v>
      </c>
      <c r="S16" s="2996">
        <v>39532</v>
      </c>
      <c r="T16" s="2184">
        <v>183</v>
      </c>
      <c r="U16" s="516">
        <f>V16/T16</f>
        <v>200.125683060109</v>
      </c>
      <c r="V16" s="3040">
        <v>36623</v>
      </c>
      <c r="W16" s="2184">
        <v>183</v>
      </c>
      <c r="X16" s="516">
        <f t="shared" si="7"/>
        <v>199.31693989071</v>
      </c>
      <c r="Y16" s="3040">
        <v>36475</v>
      </c>
      <c r="Z16" s="2184">
        <v>183</v>
      </c>
      <c r="AA16" s="516">
        <f t="shared" si="8"/>
        <v>198.109289617486</v>
      </c>
      <c r="AB16" s="3040">
        <v>36254</v>
      </c>
      <c r="AC16" s="2184">
        <v>179</v>
      </c>
      <c r="AD16" s="516">
        <f>IF(AE16=0,0,(AE16/AC16))-0.11</f>
        <v>198.001731843575</v>
      </c>
      <c r="AE16" s="3040">
        <v>35462</v>
      </c>
      <c r="AF16" s="2184">
        <v>179</v>
      </c>
      <c r="AG16" s="516">
        <f t="shared" ref="AG16:AG21" si="19">IF(AH16=0,0,(AH16/AF16))</f>
        <v>166.379888268156</v>
      </c>
      <c r="AH16" s="3040">
        <v>29782</v>
      </c>
      <c r="AI16" s="2184">
        <v>178</v>
      </c>
      <c r="AJ16" s="516">
        <v>178</v>
      </c>
      <c r="AK16" s="3040">
        <v>31686</v>
      </c>
      <c r="AL16" s="2184">
        <v>172</v>
      </c>
      <c r="AM16" s="516">
        <f t="shared" si="10"/>
        <v>240.738372093023</v>
      </c>
      <c r="AN16" s="3040">
        <v>41407</v>
      </c>
      <c r="AO16" s="2184"/>
      <c r="AP16" s="482"/>
      <c r="AQ16" s="3080"/>
      <c r="AR16" s="3079"/>
      <c r="AS16" s="346"/>
      <c r="AT16" s="331"/>
      <c r="AU16" s="3079"/>
      <c r="AV16" s="346"/>
      <c r="AW16" s="331"/>
      <c r="AX16" s="3096">
        <f t="shared" si="11"/>
        <v>-61</v>
      </c>
      <c r="AY16" s="3097">
        <f t="shared" si="12"/>
        <v>-0.25</v>
      </c>
      <c r="BA16" s="318"/>
      <c r="BB16" s="368"/>
      <c r="BC16" s="568"/>
      <c r="BE16" s="318"/>
    </row>
    <row r="17" spans="1:57">
      <c r="A17" s="267" t="s">
        <v>44</v>
      </c>
      <c r="B17" s="2948">
        <v>75</v>
      </c>
      <c r="C17" s="2937">
        <f t="shared" si="13"/>
        <v>164.226666666667</v>
      </c>
      <c r="D17" s="2954">
        <v>12317</v>
      </c>
      <c r="E17" s="2187">
        <v>47</v>
      </c>
      <c r="F17" s="516">
        <f t="shared" si="14"/>
        <v>157.978723404255</v>
      </c>
      <c r="G17" s="2996">
        <v>7425</v>
      </c>
      <c r="H17" s="2187">
        <v>36</v>
      </c>
      <c r="I17" s="516">
        <f t="shared" si="15"/>
        <v>171.472222222222</v>
      </c>
      <c r="J17" s="2996">
        <v>6173</v>
      </c>
      <c r="K17" s="2187">
        <v>36</v>
      </c>
      <c r="L17" s="516">
        <f t="shared" si="16"/>
        <v>123.972222222222</v>
      </c>
      <c r="M17" s="2996">
        <v>4463</v>
      </c>
      <c r="N17" s="2187">
        <v>129</v>
      </c>
      <c r="O17" s="516">
        <f t="shared" si="17"/>
        <v>171.131782945736</v>
      </c>
      <c r="P17" s="2996">
        <v>22076</v>
      </c>
      <c r="Q17" s="2187">
        <v>153</v>
      </c>
      <c r="R17" s="516">
        <f t="shared" si="18"/>
        <v>171.111111111111</v>
      </c>
      <c r="S17" s="2996">
        <v>26180</v>
      </c>
      <c r="T17" s="2184">
        <v>450</v>
      </c>
      <c r="U17" s="516">
        <f t="shared" ref="U17" si="20">V17/T17</f>
        <v>171.037777777778</v>
      </c>
      <c r="V17" s="3040">
        <v>76967</v>
      </c>
      <c r="W17" s="2184">
        <v>172</v>
      </c>
      <c r="X17" s="516">
        <f t="shared" si="7"/>
        <v>171.098837209302</v>
      </c>
      <c r="Y17" s="3040">
        <v>29429</v>
      </c>
      <c r="Z17" s="2184">
        <v>804</v>
      </c>
      <c r="AA17" s="516">
        <f t="shared" si="8"/>
        <v>171.021144278607</v>
      </c>
      <c r="AB17" s="3040">
        <v>137501</v>
      </c>
      <c r="AC17" s="2184">
        <v>391</v>
      </c>
      <c r="AD17" s="516">
        <f>IF(AE17=0,0,(AE17/AC17))+0.14</f>
        <v>167.999335038363</v>
      </c>
      <c r="AE17" s="3040">
        <v>65633</v>
      </c>
      <c r="AF17" s="2184">
        <v>196</v>
      </c>
      <c r="AG17" s="516">
        <f t="shared" si="19"/>
        <v>171.173469387755</v>
      </c>
      <c r="AH17" s="3040">
        <v>33550</v>
      </c>
      <c r="AI17" s="2184">
        <v>446</v>
      </c>
      <c r="AJ17" s="332">
        <v>171</v>
      </c>
      <c r="AK17" s="3040">
        <v>76300</v>
      </c>
      <c r="AL17" s="2184">
        <v>446</v>
      </c>
      <c r="AM17" s="516">
        <f t="shared" si="10"/>
        <v>228.603139013453</v>
      </c>
      <c r="AN17" s="3040">
        <v>101957</v>
      </c>
      <c r="AO17" s="2184"/>
      <c r="AP17" s="332"/>
      <c r="AQ17" s="3080"/>
      <c r="AR17" s="3079"/>
      <c r="AS17" s="346"/>
      <c r="AT17" s="331"/>
      <c r="AU17" s="3079"/>
      <c r="AV17" s="346"/>
      <c r="AW17" s="331"/>
      <c r="AX17" s="3096">
        <f t="shared" si="11"/>
        <v>729</v>
      </c>
      <c r="AY17" s="3097">
        <f t="shared" si="12"/>
        <v>9.72</v>
      </c>
      <c r="BA17" s="318"/>
      <c r="BB17" s="368"/>
      <c r="BC17" s="568"/>
      <c r="BE17" s="318"/>
    </row>
    <row r="18" spans="1:57">
      <c r="A18" s="267" t="s">
        <v>120</v>
      </c>
      <c r="B18" s="2948"/>
      <c r="C18" s="2937">
        <f t="shared" si="13"/>
        <v>0</v>
      </c>
      <c r="D18" s="2954"/>
      <c r="E18" s="2187">
        <v>0</v>
      </c>
      <c r="F18" s="516">
        <f t="shared" si="14"/>
        <v>0</v>
      </c>
      <c r="G18" s="2996">
        <v>0</v>
      </c>
      <c r="H18" s="2187">
        <v>0</v>
      </c>
      <c r="I18" s="516">
        <f t="shared" si="15"/>
        <v>0</v>
      </c>
      <c r="J18" s="2996">
        <v>0</v>
      </c>
      <c r="K18" s="2187">
        <v>0</v>
      </c>
      <c r="L18" s="516">
        <f t="shared" si="16"/>
        <v>0</v>
      </c>
      <c r="M18" s="2996">
        <v>0</v>
      </c>
      <c r="N18" s="2187">
        <v>0</v>
      </c>
      <c r="O18" s="516">
        <f t="shared" si="17"/>
        <v>0</v>
      </c>
      <c r="P18" s="2996">
        <v>0</v>
      </c>
      <c r="Q18" s="2184"/>
      <c r="R18" s="332"/>
      <c r="S18" s="3040"/>
      <c r="T18" s="2184"/>
      <c r="U18" s="332"/>
      <c r="V18" s="3040"/>
      <c r="W18" s="2184"/>
      <c r="X18" s="516"/>
      <c r="Y18" s="3040"/>
      <c r="Z18" s="2184"/>
      <c r="AA18" s="516">
        <f t="shared" si="8"/>
        <v>0</v>
      </c>
      <c r="AB18" s="3040"/>
      <c r="AC18" s="2184"/>
      <c r="AD18" s="516">
        <f t="shared" si="9"/>
        <v>0</v>
      </c>
      <c r="AE18" s="3040"/>
      <c r="AF18" s="2184"/>
      <c r="AG18" s="516">
        <f t="shared" si="19"/>
        <v>0</v>
      </c>
      <c r="AH18" s="3040"/>
      <c r="AI18" s="2184"/>
      <c r="AJ18" s="516"/>
      <c r="AK18" s="3040"/>
      <c r="AL18" s="2184"/>
      <c r="AM18" s="332"/>
      <c r="AN18" s="3040"/>
      <c r="AO18" s="2184"/>
      <c r="AP18" s="332"/>
      <c r="AQ18" s="3080"/>
      <c r="AR18" s="3079"/>
      <c r="AS18" s="346"/>
      <c r="AT18" s="331"/>
      <c r="AU18" s="3079"/>
      <c r="AV18" s="346"/>
      <c r="AW18" s="331"/>
      <c r="AX18" s="3096"/>
      <c r="AY18" s="3097"/>
      <c r="BA18" s="318"/>
      <c r="BB18" s="368"/>
      <c r="BC18" s="568"/>
      <c r="BE18" s="318"/>
    </row>
    <row r="19" ht="15.75" spans="1:57">
      <c r="A19" s="267" t="s">
        <v>121</v>
      </c>
      <c r="B19" s="2948">
        <v>0</v>
      </c>
      <c r="C19" s="2937">
        <f t="shared" si="13"/>
        <v>0</v>
      </c>
      <c r="D19" s="2940"/>
      <c r="E19" s="2187">
        <v>0</v>
      </c>
      <c r="F19" s="516">
        <f t="shared" si="14"/>
        <v>0</v>
      </c>
      <c r="G19" s="2996">
        <v>0</v>
      </c>
      <c r="H19" s="2187">
        <v>0</v>
      </c>
      <c r="I19" s="516">
        <f t="shared" si="15"/>
        <v>0</v>
      </c>
      <c r="J19" s="2996">
        <v>0</v>
      </c>
      <c r="K19" s="2187">
        <v>0</v>
      </c>
      <c r="L19" s="516">
        <f t="shared" si="16"/>
        <v>0</v>
      </c>
      <c r="M19" s="2996">
        <v>0</v>
      </c>
      <c r="N19" s="2187">
        <v>0</v>
      </c>
      <c r="O19" s="516">
        <f t="shared" si="17"/>
        <v>0</v>
      </c>
      <c r="P19" s="2996">
        <v>0</v>
      </c>
      <c r="Q19" s="2111">
        <v>17</v>
      </c>
      <c r="R19" s="333">
        <f>IF(S19=0,0,(S19/Q19))</f>
        <v>127</v>
      </c>
      <c r="S19" s="2996">
        <v>2159</v>
      </c>
      <c r="T19" s="2111">
        <v>17</v>
      </c>
      <c r="U19" s="460">
        <f>IF(V19=0,0,(V19/T19))</f>
        <v>174.941176470588</v>
      </c>
      <c r="V19" s="3055">
        <v>2974</v>
      </c>
      <c r="W19" s="2111">
        <v>23</v>
      </c>
      <c r="X19" s="460">
        <f>IF(Y19=0,0,(Y19/W19))</f>
        <v>129.347826086957</v>
      </c>
      <c r="Y19" s="3055">
        <v>2975</v>
      </c>
      <c r="Z19" s="2111">
        <v>37</v>
      </c>
      <c r="AA19" s="516">
        <f t="shared" si="8"/>
        <v>110.378378378378</v>
      </c>
      <c r="AB19" s="3055">
        <v>4084</v>
      </c>
      <c r="AC19" s="2111">
        <v>37</v>
      </c>
      <c r="AD19" s="516">
        <f>IF(AE19=0,0,(AE19/AC19))-0.3</f>
        <v>124.997297297297</v>
      </c>
      <c r="AE19" s="3055">
        <v>4636</v>
      </c>
      <c r="AF19" s="2111">
        <v>37</v>
      </c>
      <c r="AG19" s="516">
        <f t="shared" si="19"/>
        <v>125.297297297297</v>
      </c>
      <c r="AH19" s="3055">
        <v>4636</v>
      </c>
      <c r="AI19" s="2111">
        <v>37</v>
      </c>
      <c r="AJ19" s="460">
        <v>127</v>
      </c>
      <c r="AK19" s="3055">
        <v>4636</v>
      </c>
      <c r="AL19" s="2111">
        <v>37</v>
      </c>
      <c r="AM19" s="516">
        <f>IF(AN19=0,0,(AN19/AL19))</f>
        <v>125.27027027027</v>
      </c>
      <c r="AN19" s="3055">
        <v>4635</v>
      </c>
      <c r="AO19" s="2111"/>
      <c r="AP19" s="460">
        <f>IF(AQ19=0,0,(AQ19/AO19))</f>
        <v>0</v>
      </c>
      <c r="AQ19" s="3081"/>
      <c r="AR19" s="2993"/>
      <c r="AS19" s="337"/>
      <c r="AT19" s="335"/>
      <c r="AU19" s="2993"/>
      <c r="AV19" s="337"/>
      <c r="AW19" s="335"/>
      <c r="AX19" s="368"/>
      <c r="AY19" s="368"/>
      <c r="BE19" s="318"/>
    </row>
    <row r="20" ht="15.75" spans="1:57">
      <c r="A20" s="270" t="s">
        <v>52</v>
      </c>
      <c r="B20" s="2942">
        <f>SUM(B14:B19)</f>
        <v>206733</v>
      </c>
      <c r="C20" s="2943">
        <f>D20/B20</f>
        <v>219.941417190289</v>
      </c>
      <c r="D20" s="2944">
        <f>SUM(D14:D19)</f>
        <v>45469149</v>
      </c>
      <c r="E20" s="2124">
        <f>SUM(E14:E19)</f>
        <v>224736</v>
      </c>
      <c r="F20" s="2943">
        <f>G20/E20</f>
        <v>218.998051046561</v>
      </c>
      <c r="G20" s="455">
        <f>SUM(G14:G19)</f>
        <v>49216746</v>
      </c>
      <c r="H20" s="2124">
        <f>SUM(H14:H19)</f>
        <v>169051</v>
      </c>
      <c r="I20" s="387"/>
      <c r="J20" s="455">
        <f>SUM(J14:J19)</f>
        <v>37022169</v>
      </c>
      <c r="K20" s="2124">
        <f>SUM(K14:K19)</f>
        <v>141127</v>
      </c>
      <c r="L20" s="387"/>
      <c r="M20" s="455">
        <f>SUM(M14:M19)</f>
        <v>30885587</v>
      </c>
      <c r="N20" s="2124">
        <f>SUM(N14:N19)</f>
        <v>130912</v>
      </c>
      <c r="O20" s="387"/>
      <c r="P20" s="455">
        <f>SUM(P14:P19)</f>
        <v>28528195</v>
      </c>
      <c r="Q20" s="2120">
        <f>SUM(Q14:Q19)</f>
        <v>203347</v>
      </c>
      <c r="R20" s="3041">
        <f>S20/Q20</f>
        <v>219.92719833585</v>
      </c>
      <c r="S20" s="3004">
        <f>SUM(S14:S19)</f>
        <v>44721536</v>
      </c>
      <c r="T20" s="2124">
        <f>SUM(T14:T19)</f>
        <v>229759</v>
      </c>
      <c r="U20" s="387"/>
      <c r="V20" s="455">
        <f>SUM(V14:V19)</f>
        <v>50747331</v>
      </c>
      <c r="W20" s="2124">
        <f>SUM(W14:W19)</f>
        <v>238712</v>
      </c>
      <c r="X20" s="387"/>
      <c r="Y20" s="455">
        <f>SUM(Y14:Y19)</f>
        <v>52264412</v>
      </c>
      <c r="Z20" s="2124">
        <f>SUM(Z14:Z19)</f>
        <v>220362</v>
      </c>
      <c r="AA20" s="387"/>
      <c r="AB20" s="455">
        <f>SUM(AB14:AB19)</f>
        <v>47775346</v>
      </c>
      <c r="AC20" s="2124">
        <f>SUM(AC14:AC19)</f>
        <v>256941</v>
      </c>
      <c r="AD20" s="387"/>
      <c r="AE20" s="455">
        <f>SUM(AE14:AE19)</f>
        <v>55475423</v>
      </c>
      <c r="AF20" s="2124">
        <f>SUM(AF14:AF19)</f>
        <v>262615</v>
      </c>
      <c r="AG20" s="387"/>
      <c r="AH20" s="455">
        <f>SUM(AH14:AH19)</f>
        <v>56963310</v>
      </c>
      <c r="AI20" s="2124">
        <f>SUM(AI14:AI19)</f>
        <v>240699</v>
      </c>
      <c r="AJ20" s="387"/>
      <c r="AK20" s="455">
        <f>SUM(AK14:AK19)</f>
        <v>53396414</v>
      </c>
      <c r="AL20" s="2124">
        <f>SUM(AL14:AL19)</f>
        <v>201852</v>
      </c>
      <c r="AM20" s="387"/>
      <c r="AN20" s="455">
        <f>SUM(AN14:AN19)</f>
        <v>48023849</v>
      </c>
      <c r="AO20" s="2124">
        <f>SUM(AO14:AO19)</f>
        <v>201852</v>
      </c>
      <c r="AP20" s="387">
        <f>AQ20/AO20</f>
        <v>237.916146483562</v>
      </c>
      <c r="AQ20" s="455">
        <f>SUM(AQ14:AQ19)</f>
        <v>48023850</v>
      </c>
      <c r="AR20" s="2124">
        <f>SUM(AR14:AR19)</f>
        <v>0</v>
      </c>
      <c r="AS20" s="387"/>
      <c r="AT20" s="455">
        <f>SUM(AT14:AT19)</f>
        <v>0</v>
      </c>
      <c r="AU20" s="2124">
        <f>SUM(AU14:AU19)</f>
        <v>0</v>
      </c>
      <c r="AV20" s="387"/>
      <c r="AW20" s="455">
        <f>SUM(AW14:AW19)</f>
        <v>0</v>
      </c>
      <c r="AX20" s="3098">
        <f t="shared" ref="AX20" si="21">Z20-B20</f>
        <v>13629</v>
      </c>
      <c r="AY20" s="3099">
        <f t="shared" ref="AY20" si="22">AX20/B20</f>
        <v>0.0659256141980235</v>
      </c>
      <c r="BA20" s="3103">
        <f>SUM(BA14:BA15)</f>
        <v>290160</v>
      </c>
      <c r="BB20" s="3104">
        <f>BC20/BA20</f>
        <v>227.963192721257</v>
      </c>
      <c r="BC20" s="3105">
        <f>SUM(BC14:BC15)</f>
        <v>66145800</v>
      </c>
      <c r="BE20" s="318"/>
    </row>
    <row r="21" spans="1:57">
      <c r="A21" s="263" t="s">
        <v>122</v>
      </c>
      <c r="B21" s="2955">
        <f>SUM(B15:B19)</f>
        <v>706</v>
      </c>
      <c r="C21" s="2937">
        <f t="shared" ref="C21" si="23">IF(B21=0,0,(D21/B21))</f>
        <v>202.845609065156</v>
      </c>
      <c r="D21" s="2956">
        <f>SUM(D15:D19)</f>
        <v>143209</v>
      </c>
      <c r="E21" s="2108">
        <f>SUM(E15:E19)</f>
        <v>691</v>
      </c>
      <c r="F21" s="516">
        <f t="shared" si="14"/>
        <v>198.066570188133</v>
      </c>
      <c r="G21" s="2997">
        <f>SUM(G15:G19)</f>
        <v>136864</v>
      </c>
      <c r="H21" s="2108">
        <f>SUM(H15:H19)</f>
        <v>680</v>
      </c>
      <c r="I21" s="516">
        <f t="shared" ref="I21" si="24">IF(H21=0,0,(J21/H21))</f>
        <v>208.320588235294</v>
      </c>
      <c r="J21" s="2997">
        <f>SUM(J15:J19)</f>
        <v>141658</v>
      </c>
      <c r="K21" s="2108">
        <f>SUM(K15:K19)</f>
        <v>680</v>
      </c>
      <c r="L21" s="516">
        <f t="shared" ref="L21" si="25">IF(K21=0,0,(M21/K21))</f>
        <v>187.785294117647</v>
      </c>
      <c r="M21" s="2997">
        <f>SUM(M15:M19)</f>
        <v>127694</v>
      </c>
      <c r="N21" s="2108">
        <f>SUM(N15:N19)</f>
        <v>713</v>
      </c>
      <c r="O21" s="516">
        <f t="shared" ref="O21" si="26">IF(N21=0,0,(P21/N21))</f>
        <v>203.103786816269</v>
      </c>
      <c r="P21" s="2997">
        <f>SUM(P15:P19)</f>
        <v>144813</v>
      </c>
      <c r="Q21" s="2108">
        <f>SUM(Q15:Q19)</f>
        <v>754</v>
      </c>
      <c r="R21" s="516">
        <f t="shared" ref="R21" si="27">IF(Q21=0,0,(S21/Q21))</f>
        <v>200.366047745358</v>
      </c>
      <c r="S21" s="2997">
        <f>SUM(S15:S19)</f>
        <v>151076</v>
      </c>
      <c r="T21" s="2108">
        <f>SUM(T15:T19)</f>
        <v>1037</v>
      </c>
      <c r="U21" s="516">
        <f t="shared" ref="U21" si="28">IF(T21=0,0,(V21/T21))</f>
        <v>192.641272902604</v>
      </c>
      <c r="V21" s="2997">
        <f>SUM(V15:V19)</f>
        <v>199769</v>
      </c>
      <c r="W21" s="2108">
        <f>SUM(W15:W19)</f>
        <v>765</v>
      </c>
      <c r="X21" s="516">
        <f t="shared" ref="X21" si="29">IF(W21=0,0,(Y21/W21))</f>
        <v>201.332026143791</v>
      </c>
      <c r="Y21" s="2997">
        <f>SUM(Y15:Y19)</f>
        <v>154019</v>
      </c>
      <c r="Z21" s="2108">
        <f>SUM(Z15:Z19)</f>
        <v>1411</v>
      </c>
      <c r="AA21" s="516">
        <f t="shared" ref="AA21" si="30">IF(Z21=0,0,(AB21/Z21))</f>
        <v>186.377746279235</v>
      </c>
      <c r="AB21" s="3059">
        <f>SUM(AB15:AB19)</f>
        <v>262979</v>
      </c>
      <c r="AC21" s="2108">
        <f>SUM(AC15:AC19)</f>
        <v>994</v>
      </c>
      <c r="AD21" s="516">
        <v>167.859335038363</v>
      </c>
      <c r="AE21" s="3059">
        <f>SUM(AE15:AE19)</f>
        <v>190871</v>
      </c>
      <c r="AF21" s="2108">
        <f>SUM(AF15:AF19)</f>
        <v>799</v>
      </c>
      <c r="AG21" s="516">
        <f t="shared" si="19"/>
        <v>186.780976220275</v>
      </c>
      <c r="AH21" s="3059">
        <f>SUM(AH15:AH19)</f>
        <v>149238</v>
      </c>
      <c r="AI21" s="2108">
        <f>SUM(AI15:AI19)</f>
        <v>1048</v>
      </c>
      <c r="AJ21" s="516">
        <v>185</v>
      </c>
      <c r="AK21" s="3059">
        <f>SUM(AK15:AK19)</f>
        <v>193892</v>
      </c>
      <c r="AL21" s="2108">
        <f>SUM(AL15:AL19)</f>
        <v>1042</v>
      </c>
      <c r="AM21" s="516"/>
      <c r="AN21" s="3059">
        <f>SUM(AN15:AN19)</f>
        <v>231069</v>
      </c>
      <c r="AO21" s="2108"/>
      <c r="AP21" s="516" t="s">
        <v>123</v>
      </c>
      <c r="AQ21" s="3082">
        <v>19316148</v>
      </c>
      <c r="AR21" s="2993"/>
      <c r="AS21" s="516"/>
      <c r="AT21" s="2997"/>
      <c r="AU21" s="2993"/>
      <c r="AV21" s="516"/>
      <c r="AW21" s="2997"/>
      <c r="AX21" s="3100"/>
      <c r="AY21" s="3100"/>
      <c r="BA21" s="318"/>
      <c r="BE21" s="318"/>
    </row>
    <row r="22" spans="1:57">
      <c r="A22" s="267" t="s">
        <v>124</v>
      </c>
      <c r="B22" s="2957"/>
      <c r="C22" s="2958"/>
      <c r="D22" s="2959"/>
      <c r="E22" s="2109"/>
      <c r="F22" s="332"/>
      <c r="G22" s="342"/>
      <c r="H22" s="2109"/>
      <c r="I22" s="332"/>
      <c r="J22" s="342"/>
      <c r="K22" s="2109"/>
      <c r="L22" s="332"/>
      <c r="M22" s="342"/>
      <c r="N22" s="2109"/>
      <c r="O22" s="332"/>
      <c r="P22" s="342"/>
      <c r="Q22" s="2109"/>
      <c r="R22" s="332"/>
      <c r="S22" s="342"/>
      <c r="T22" s="2109"/>
      <c r="U22" s="332"/>
      <c r="V22" s="342"/>
      <c r="W22" s="2109"/>
      <c r="X22" s="332"/>
      <c r="Y22" s="342"/>
      <c r="Z22" s="2109"/>
      <c r="AA22" s="332"/>
      <c r="AB22" s="342"/>
      <c r="AC22" s="2109"/>
      <c r="AD22" s="332"/>
      <c r="AE22" s="342"/>
      <c r="AF22" s="2109"/>
      <c r="AG22" s="332"/>
      <c r="AH22" s="342"/>
      <c r="AI22" s="2109"/>
      <c r="AJ22" s="332"/>
      <c r="AK22" s="342"/>
      <c r="AL22" s="2109"/>
      <c r="AM22" s="332"/>
      <c r="AN22" s="342"/>
      <c r="AO22" s="2109"/>
      <c r="AP22" s="332" t="s">
        <v>125</v>
      </c>
      <c r="AQ22" s="3083">
        <f>-13213606-1991206</f>
        <v>-15204812</v>
      </c>
      <c r="AR22" s="2993">
        <f>' Qty Analysis'!BE44</f>
        <v>0</v>
      </c>
      <c r="AS22" s="332"/>
      <c r="AT22" s="342"/>
      <c r="AU22" s="2993">
        <f>' Qty Analysis'!BH44</f>
        <v>0</v>
      </c>
      <c r="AV22" s="332"/>
      <c r="AW22" s="342"/>
      <c r="AX22" s="368"/>
      <c r="AY22" s="368"/>
      <c r="BA22" s="318"/>
      <c r="BE22" s="318"/>
    </row>
    <row r="23" ht="15.75" spans="1:57">
      <c r="A23" s="308" t="s">
        <v>126</v>
      </c>
      <c r="B23" s="2960"/>
      <c r="C23" s="2961"/>
      <c r="D23" s="2962"/>
      <c r="E23" s="2998"/>
      <c r="F23" s="353"/>
      <c r="G23" s="2999">
        <f>ROUND((E23*F23),0)</f>
        <v>0</v>
      </c>
      <c r="H23" s="2998"/>
      <c r="I23" s="353"/>
      <c r="J23" s="2999">
        <f>ROUND((H23*I23),0)</f>
        <v>0</v>
      </c>
      <c r="K23" s="2998"/>
      <c r="L23" s="353"/>
      <c r="M23" s="2999">
        <f>ROUND((K23*L23),0)</f>
        <v>0</v>
      </c>
      <c r="N23" s="2998"/>
      <c r="O23" s="353"/>
      <c r="P23" s="2999">
        <f>ROUND((N23*O23),0)</f>
        <v>0</v>
      </c>
      <c r="Q23" s="2998"/>
      <c r="R23" s="353"/>
      <c r="S23" s="2999">
        <f>ROUND((Q23*R23),0)</f>
        <v>0</v>
      </c>
      <c r="T23" s="2998"/>
      <c r="U23" s="353"/>
      <c r="V23" s="2999">
        <f>ROUND((T23*U23),0)</f>
        <v>0</v>
      </c>
      <c r="W23" s="2998"/>
      <c r="X23" s="353"/>
      <c r="Y23" s="2999">
        <f>ROUND((W23*X23),0)</f>
        <v>0</v>
      </c>
      <c r="Z23" s="2998"/>
      <c r="AA23" s="353"/>
      <c r="AB23" s="2999">
        <f>ROUND((Z23*AA23),0)</f>
        <v>0</v>
      </c>
      <c r="AC23" s="2998"/>
      <c r="AD23" s="353"/>
      <c r="AE23" s="2999">
        <f>ROUND((AC23*AD23),0)</f>
        <v>0</v>
      </c>
      <c r="AF23" s="2998"/>
      <c r="AG23" s="353"/>
      <c r="AH23" s="2999">
        <f>ROUND((AF23*AG23),0)</f>
        <v>0</v>
      </c>
      <c r="AI23" s="2998"/>
      <c r="AJ23" s="353"/>
      <c r="AK23" s="2999">
        <f>ROUND((AI23*AJ23),0)</f>
        <v>0</v>
      </c>
      <c r="AL23" s="2998"/>
      <c r="AM23" s="353"/>
      <c r="AN23" s="2999">
        <f>ROUND((AL23*AM23),0)</f>
        <v>0</v>
      </c>
      <c r="AO23" s="2998"/>
      <c r="AP23" s="353"/>
      <c r="AQ23" s="2999"/>
      <c r="AR23" s="2998">
        <f>' Qty Analysis'!BE132</f>
        <v>0</v>
      </c>
      <c r="AS23" s="353"/>
      <c r="AT23" s="2999"/>
      <c r="AU23" s="2998">
        <f>' Qty Analysis'!BH132</f>
        <v>0</v>
      </c>
      <c r="AV23" s="353"/>
      <c r="AW23" s="2999"/>
      <c r="AX23" s="368"/>
      <c r="AY23" s="368"/>
      <c r="BA23" s="318"/>
      <c r="BE23" s="318"/>
    </row>
    <row r="24" ht="16.5" spans="1:57">
      <c r="A24" s="288" t="s">
        <v>52</v>
      </c>
      <c r="B24" s="2963"/>
      <c r="C24" s="2964"/>
      <c r="D24" s="2965"/>
      <c r="E24" s="3000"/>
      <c r="F24" s="482"/>
      <c r="G24" s="350"/>
      <c r="H24" s="3000"/>
      <c r="I24" s="482"/>
      <c r="J24" s="350"/>
      <c r="K24" s="3000"/>
      <c r="L24" s="482"/>
      <c r="M24" s="350"/>
      <c r="N24" s="3000"/>
      <c r="O24" s="482"/>
      <c r="P24" s="350"/>
      <c r="Q24" s="3000"/>
      <c r="R24" s="482"/>
      <c r="S24" s="350"/>
      <c r="T24" s="3000"/>
      <c r="U24" s="482"/>
      <c r="V24" s="350"/>
      <c r="W24" s="3000"/>
      <c r="X24" s="482"/>
      <c r="Y24" s="350"/>
      <c r="Z24" s="3000"/>
      <c r="AA24" s="482"/>
      <c r="AB24" s="350"/>
      <c r="AC24" s="3000"/>
      <c r="AD24" s="482"/>
      <c r="AE24" s="350"/>
      <c r="AF24" s="3000"/>
      <c r="AG24" s="482"/>
      <c r="AH24" s="350"/>
      <c r="AI24" s="3000"/>
      <c r="AJ24" s="482"/>
      <c r="AK24" s="350"/>
      <c r="AL24" s="3000"/>
      <c r="AM24" s="482"/>
      <c r="AN24" s="350"/>
      <c r="AO24" s="3000"/>
      <c r="AP24" s="482"/>
      <c r="AQ24" s="3084">
        <f>SUM(AQ21:AQ23)</f>
        <v>4111336</v>
      </c>
      <c r="AR24" s="3000"/>
      <c r="AS24" s="482"/>
      <c r="AT24" s="350"/>
      <c r="AU24" s="3000"/>
      <c r="AV24" s="482"/>
      <c r="AW24" s="350"/>
      <c r="AX24" s="368"/>
      <c r="AY24" s="368"/>
      <c r="BA24" s="318"/>
      <c r="BE24" s="318"/>
    </row>
    <row r="25" ht="16.5" spans="1:57">
      <c r="A25" s="270" t="s">
        <v>127</v>
      </c>
      <c r="B25" s="2966">
        <f>B20+B12+B8</f>
        <v>530467</v>
      </c>
      <c r="C25" s="2967">
        <f>D25/B25</f>
        <v>160.285900913723</v>
      </c>
      <c r="D25" s="2968">
        <f>D20+D12+D8</f>
        <v>85026381</v>
      </c>
      <c r="E25" s="3001">
        <f>E20+E12+E8</f>
        <v>527375</v>
      </c>
      <c r="F25" s="3002">
        <f>IF(E25=0,0,G25/E25)</f>
        <v>163.238602512444</v>
      </c>
      <c r="G25" s="3003">
        <f>G20+G12+G8</f>
        <v>86087958</v>
      </c>
      <c r="H25" s="2120">
        <f>H20+H12+H8</f>
        <v>427207</v>
      </c>
      <c r="I25" s="2121">
        <f>IF(H25=0,0,J25/H25)</f>
        <v>160.620991697233</v>
      </c>
      <c r="J25" s="3004">
        <f>J20+J12+J8</f>
        <v>68618412</v>
      </c>
      <c r="K25" s="2120">
        <f>K20+K12+K8</f>
        <v>427194</v>
      </c>
      <c r="L25" s="2121">
        <f>IF(K25=0,0,M25/K25)</f>
        <v>154.005938753821</v>
      </c>
      <c r="M25" s="3004">
        <f>M20+M12+M8</f>
        <v>65790413</v>
      </c>
      <c r="N25" s="2120">
        <f>N20+N12+N8</f>
        <v>402336</v>
      </c>
      <c r="O25" s="2121">
        <f>IF(N25=0,0,P25/N25)</f>
        <v>153.746617255229</v>
      </c>
      <c r="P25" s="3004">
        <f>P20+P12+P8</f>
        <v>61857799</v>
      </c>
      <c r="Q25" s="2120">
        <f>Q20+Q12+Q8</f>
        <v>521050</v>
      </c>
      <c r="R25" s="2121">
        <f>IF(Q25=0,0,S25/Q25)</f>
        <v>160.223897898474</v>
      </c>
      <c r="S25" s="3004">
        <f>S20+S12+S8</f>
        <v>83484662</v>
      </c>
      <c r="T25" s="2120">
        <f>T20+T12+T8</f>
        <v>482628</v>
      </c>
      <c r="U25" s="2121">
        <f>IF(T25=0,0,V25/T25)</f>
        <v>172.625326338298</v>
      </c>
      <c r="V25" s="3004">
        <f>V20+V12+V8</f>
        <v>83313816</v>
      </c>
      <c r="W25" s="2120">
        <f>W20+W12+W8</f>
        <v>522362</v>
      </c>
      <c r="X25" s="2121">
        <f>IF(W25=0,0,Y25/W25)</f>
        <v>168.130342559375</v>
      </c>
      <c r="Y25" s="3004">
        <f>Y20+Y12+Y8</f>
        <v>87824902</v>
      </c>
      <c r="Z25" s="2120">
        <f>Z20+Z12+Z8</f>
        <v>529436</v>
      </c>
      <c r="AA25" s="2121">
        <f>IF(Z25=0,0,AB25/Z25)</f>
        <v>161.130759902991</v>
      </c>
      <c r="AB25" s="3004">
        <f>AB20+AB12+AB8</f>
        <v>85308425</v>
      </c>
      <c r="AC25" s="2120">
        <f>AC20+AC12+AC8</f>
        <v>541444</v>
      </c>
      <c r="AD25" s="2121">
        <f>IF(AC25=0,0,AE25/AC25)</f>
        <v>167.193373645289</v>
      </c>
      <c r="AE25" s="3004">
        <f>AE20+AE12+AE8</f>
        <v>90525849</v>
      </c>
      <c r="AF25" s="2120">
        <f>AF20+AF12+AF8</f>
        <v>579352</v>
      </c>
      <c r="AG25" s="2121">
        <f>IF(AF25=0,0,AH25/AF25)</f>
        <v>164.715231845234</v>
      </c>
      <c r="AH25" s="3004">
        <f>AH20+AH12+AH8</f>
        <v>95428099</v>
      </c>
      <c r="AI25" s="2120">
        <f>AI20+AI12+AI8</f>
        <v>536653</v>
      </c>
      <c r="AJ25" s="2121">
        <f>IF(AI25=0,0,AK25/AI25)</f>
        <v>169.714426267998</v>
      </c>
      <c r="AK25" s="3004">
        <f>AK20+AK12+AK8</f>
        <v>91077756</v>
      </c>
      <c r="AL25" s="2120">
        <f>AL20+AL12+AL8</f>
        <v>447508</v>
      </c>
      <c r="AM25" s="2121">
        <f>IF(AL25=0,0,AN25/AL25)</f>
        <v>185.159563627913</v>
      </c>
      <c r="AN25" s="3004">
        <f>AN20+AN12+AN8</f>
        <v>82860386</v>
      </c>
      <c r="AO25" s="2120">
        <f>AO20+AO12+AO8</f>
        <v>447508</v>
      </c>
      <c r="AP25" s="2121">
        <f>IF(AO25=0,0,AQ25/AO25)</f>
        <v>151.182937511732</v>
      </c>
      <c r="AQ25" s="3003">
        <f>(AQ8+AQ20+AQ12)+AQ22</f>
        <v>67655574</v>
      </c>
      <c r="AR25" s="2124">
        <f>AR20+AR12+AR8</f>
        <v>0</v>
      </c>
      <c r="AS25" s="387"/>
      <c r="AT25" s="455">
        <f>AT20+AT12+AT8</f>
        <v>0</v>
      </c>
      <c r="AU25" s="2124">
        <f>AU20+AU12+AU8</f>
        <v>0</v>
      </c>
      <c r="AV25" s="387"/>
      <c r="AW25" s="455">
        <f>AW20+AW12+AW8</f>
        <v>0</v>
      </c>
      <c r="AX25" s="3098">
        <f t="shared" ref="AX25" si="31">Z25-B25</f>
        <v>-1031</v>
      </c>
      <c r="AY25" s="3099">
        <f t="shared" ref="AY25" si="32">AX25/B25</f>
        <v>-0.00194357047658007</v>
      </c>
      <c r="BA25" s="3103">
        <f>BA20+BA12+BA8</f>
        <v>548692</v>
      </c>
      <c r="BB25" s="3104">
        <f>IF(BA25=0,0,BC25/BA25)</f>
        <v>179.084050797169</v>
      </c>
      <c r="BC25" s="3106">
        <f>BC20+BC12+BC8</f>
        <v>98261986</v>
      </c>
      <c r="BE25" s="318"/>
    </row>
    <row r="26" ht="16.5" spans="1:57">
      <c r="A26" s="2969" t="s">
        <v>48</v>
      </c>
      <c r="B26" s="2970">
        <f>B25-B8</f>
        <v>332926</v>
      </c>
      <c r="C26" s="2943">
        <f>D26/B26</f>
        <v>194.94683803608</v>
      </c>
      <c r="D26" s="2971">
        <f>D25-D8</f>
        <v>64902871</v>
      </c>
      <c r="E26" s="2120">
        <f>E25-E8</f>
        <v>344912</v>
      </c>
      <c r="F26" s="460">
        <f>IF(E26=0,0,G26/E26)</f>
        <v>196.002673145614</v>
      </c>
      <c r="G26" s="3004">
        <f>G25-G8</f>
        <v>67603674</v>
      </c>
      <c r="H26" s="2120">
        <f>H25-H8</f>
        <v>277466</v>
      </c>
      <c r="I26" s="460">
        <f>IF(H26=0,0,J26/H26)</f>
        <v>193.211651157259</v>
      </c>
      <c r="J26" s="3004">
        <f>J25-J8</f>
        <v>53609664</v>
      </c>
      <c r="K26" s="2120">
        <f>K25-K8</f>
        <v>260416</v>
      </c>
      <c r="L26" s="460">
        <f>IF(K26=0,0,M26/K26)</f>
        <v>188.685810395675</v>
      </c>
      <c r="M26" s="3004">
        <f>M25-M8</f>
        <v>49136804</v>
      </c>
      <c r="N26" s="2120">
        <f>N25-N8</f>
        <v>253389</v>
      </c>
      <c r="O26" s="460">
        <f>IF(N26=0,0,P26/N26)</f>
        <v>183.639834404808</v>
      </c>
      <c r="P26" s="3004">
        <f>P25-P8</f>
        <v>46532314</v>
      </c>
      <c r="Q26" s="2120">
        <f>Q25-Q8</f>
        <v>330322</v>
      </c>
      <c r="R26" s="460">
        <f>IF(Q26=0,0,S26/Q26)</f>
        <v>192.662950091123</v>
      </c>
      <c r="S26" s="3004">
        <f>S25-S8</f>
        <v>63640811</v>
      </c>
      <c r="T26" s="2120">
        <f>T25-T8</f>
        <v>365113</v>
      </c>
      <c r="U26" s="460">
        <f>IF(T26=0,0,V26/T26)</f>
        <v>194.598469514917</v>
      </c>
      <c r="V26" s="3004">
        <f>V25-V8</f>
        <v>71050431</v>
      </c>
      <c r="W26" s="2120">
        <f>W25-W8</f>
        <v>379701</v>
      </c>
      <c r="X26" s="460">
        <f>IF(W26=0,0,Y26/W26)</f>
        <v>192.972291355567</v>
      </c>
      <c r="Y26" s="3004">
        <f>Y25-Y8</f>
        <v>73271772</v>
      </c>
      <c r="Z26" s="2120">
        <f>Z25-Z8</f>
        <v>362684</v>
      </c>
      <c r="AA26" s="460">
        <f>IF(Z26=0,0,AB26/Z26)</f>
        <v>189.411939870521</v>
      </c>
      <c r="AB26" s="3004">
        <f>AB25-AB8</f>
        <v>68696680</v>
      </c>
      <c r="AC26" s="2120">
        <f>AC25-AC8</f>
        <v>403534</v>
      </c>
      <c r="AD26" s="460">
        <f>IF(AC26=0,0,AE26/AC26)</f>
        <v>190.511830477729</v>
      </c>
      <c r="AE26" s="3004">
        <f>AE25-AE8</f>
        <v>76878001</v>
      </c>
      <c r="AF26" s="2120">
        <f>AF25-AF8</f>
        <v>402131</v>
      </c>
      <c r="AG26" s="460">
        <f>IF(AF26=0,0,AH26/AF26)</f>
        <v>192.65404059871</v>
      </c>
      <c r="AH26" s="3004">
        <f>AH25-AH8</f>
        <v>77472162</v>
      </c>
      <c r="AI26" s="2120">
        <f>AI25-AI8</f>
        <v>379065</v>
      </c>
      <c r="AJ26" s="460">
        <f>IF(AI26=0,0,AK26/AI26)</f>
        <v>195.981375225885</v>
      </c>
      <c r="AK26" s="3004">
        <f>AK25-AK8</f>
        <v>74289680</v>
      </c>
      <c r="AL26" s="2120">
        <f>AL25-AL8</f>
        <v>304019</v>
      </c>
      <c r="AM26" s="460">
        <f>IF(AL26=0,0,AN26/AL26)</f>
        <v>214.084445380058</v>
      </c>
      <c r="AN26" s="3004">
        <f>AN25-AN8</f>
        <v>65085739</v>
      </c>
      <c r="AO26" s="2120"/>
      <c r="AP26" s="3085">
        <v>0.25</v>
      </c>
      <c r="AQ26" s="3004">
        <f>ROUND(((AQ25)*25%),0)</f>
        <v>16913894</v>
      </c>
      <c r="AR26" s="318">
        <f>AR25-AR8</f>
        <v>0</v>
      </c>
      <c r="AS26" s="368" t="e">
        <f>AT26/AR26</f>
        <v>#DIV/0!</v>
      </c>
      <c r="AT26" s="368">
        <f>AT25-AT8</f>
        <v>0</v>
      </c>
      <c r="AU26" s="318">
        <f>AU25-AU8</f>
        <v>0</v>
      </c>
      <c r="AV26" s="368" t="e">
        <f>AW26/AU26</f>
        <v>#DIV/0!</v>
      </c>
      <c r="AW26" s="368">
        <f>AW25-AW8</f>
        <v>0</v>
      </c>
      <c r="AX26" s="368"/>
      <c r="AY26" s="368"/>
      <c r="BA26" s="3107">
        <f>BA25-BA8</f>
        <v>380932</v>
      </c>
      <c r="BB26" s="2965"/>
      <c r="BC26" s="3108">
        <f>BC25-BC8</f>
        <v>80941636</v>
      </c>
      <c r="BE26" s="318"/>
    </row>
    <row r="27" ht="16.5" spans="1:57">
      <c r="A27" s="2972" t="s">
        <v>128</v>
      </c>
      <c r="B27" s="2973"/>
      <c r="C27" s="2974"/>
      <c r="D27" s="2974"/>
      <c r="E27" s="3005">
        <f>B26-E26</f>
        <v>-11986</v>
      </c>
      <c r="F27" s="3006"/>
      <c r="G27" s="3006">
        <f>D26-G26</f>
        <v>-2700803</v>
      </c>
      <c r="H27" s="3005">
        <f>E26-H26</f>
        <v>67446</v>
      </c>
      <c r="I27" s="3024"/>
      <c r="J27" s="3006">
        <f>G26-J26</f>
        <v>13994010</v>
      </c>
      <c r="K27" s="3005">
        <f>H26-K26</f>
        <v>17050</v>
      </c>
      <c r="L27" s="3006"/>
      <c r="M27" s="3006">
        <f>J26-M26</f>
        <v>4472860</v>
      </c>
      <c r="N27" s="3005">
        <f>K26-N26</f>
        <v>7027</v>
      </c>
      <c r="O27" s="3006">
        <f>P27/N27</f>
        <v>370.640387078412</v>
      </c>
      <c r="P27" s="3006">
        <f>M26-P26</f>
        <v>2604490</v>
      </c>
      <c r="Q27" s="3005">
        <f>N26-Q26</f>
        <v>-76933</v>
      </c>
      <c r="R27" s="3006">
        <f>S27/Q27</f>
        <v>222.381773751186</v>
      </c>
      <c r="S27" s="3006">
        <f>P26-S26</f>
        <v>-17108497</v>
      </c>
      <c r="T27" s="3005">
        <f>Q26-T26</f>
        <v>-34791</v>
      </c>
      <c r="U27" s="3006">
        <f>V27/T27</f>
        <v>212.97519473427</v>
      </c>
      <c r="V27" s="3006">
        <f>S26-V26</f>
        <v>-7409620</v>
      </c>
      <c r="W27" s="3005">
        <f>T26-W26</f>
        <v>-14588</v>
      </c>
      <c r="X27" s="3024">
        <f>Y27/W27</f>
        <v>152.271798738689</v>
      </c>
      <c r="Y27" s="3006">
        <f>V26-Y26</f>
        <v>-2221341</v>
      </c>
      <c r="Z27" s="3005">
        <f>W26-Z26</f>
        <v>17017</v>
      </c>
      <c r="AA27" s="3006">
        <f>AB27/Z27</f>
        <v>268.854204618911</v>
      </c>
      <c r="AB27" s="3006">
        <f>Y26-AB26</f>
        <v>4575092</v>
      </c>
      <c r="AC27" s="3005">
        <f>Z26-AC26</f>
        <v>-40850</v>
      </c>
      <c r="AD27" s="3006">
        <f>AE27/AC27</f>
        <v>200.277135862913</v>
      </c>
      <c r="AE27" s="3006">
        <f>AB26-AE26</f>
        <v>-8181321</v>
      </c>
      <c r="AF27" s="3005">
        <f>AC26-AF26</f>
        <v>1403</v>
      </c>
      <c r="AG27" s="3006">
        <f>AH27/AF27</f>
        <v>-423.493228795438</v>
      </c>
      <c r="AH27" s="3006">
        <f>AE26-AH26</f>
        <v>-594161</v>
      </c>
      <c r="AI27" s="3066">
        <f>AF26-AI26</f>
        <v>23066</v>
      </c>
      <c r="AJ27" s="3006">
        <f>AK27/AI27</f>
        <v>137.972860487297</v>
      </c>
      <c r="AK27" s="3006">
        <f>AH26-AK26</f>
        <v>3182482</v>
      </c>
      <c r="AL27" s="3005">
        <f>AL26-AI26</f>
        <v>-75046</v>
      </c>
      <c r="AM27" s="3068">
        <f>AN27/AL27</f>
        <v>-122.6439916851</v>
      </c>
      <c r="AN27" s="3006">
        <f>AK26-AN26</f>
        <v>9203941</v>
      </c>
      <c r="AO27" s="3086"/>
      <c r="AP27" s="3086"/>
      <c r="AQ27" s="3087">
        <f>(AQ25)-AQ26+AQ21</f>
        <v>70057828</v>
      </c>
      <c r="AR27" s="3005">
        <f>AO26-AR26</f>
        <v>0</v>
      </c>
      <c r="AS27" s="3006" t="e">
        <f>AT27/AR27</f>
        <v>#DIV/0!</v>
      </c>
      <c r="AT27" s="3006">
        <f>AQ26-AT26</f>
        <v>16913894</v>
      </c>
      <c r="AU27" s="3005">
        <f>AR26-AU26</f>
        <v>0</v>
      </c>
      <c r="AV27" s="3006" t="e">
        <f>AW27/AU27</f>
        <v>#DIV/0!</v>
      </c>
      <c r="AW27" s="3006">
        <f>AT26-AW26</f>
        <v>0</v>
      </c>
      <c r="AX27" s="3101"/>
      <c r="AY27" s="3102"/>
      <c r="BB27" s="2196" t="s">
        <v>129</v>
      </c>
      <c r="BC27" s="3042">
        <f>AK26-BC26</f>
        <v>-6651956</v>
      </c>
      <c r="BE27" s="318"/>
    </row>
    <row r="28" ht="16.5" spans="1:57">
      <c r="A28" s="2975" t="s">
        <v>130</v>
      </c>
      <c r="B28" s="2976"/>
      <c r="C28" s="2977"/>
      <c r="D28" s="2977"/>
      <c r="E28" s="3007">
        <f>E27-E29</f>
        <v>-12001</v>
      </c>
      <c r="F28" s="3008"/>
      <c r="G28" s="3008">
        <f>G27-G29</f>
        <v>-2707148</v>
      </c>
      <c r="H28" s="3007">
        <f>H27-H29</f>
        <v>67435</v>
      </c>
      <c r="I28" s="3008"/>
      <c r="J28" s="3008">
        <f>J27-J29</f>
        <v>13998804</v>
      </c>
      <c r="K28" s="3007">
        <f>K27-K29</f>
        <v>17050</v>
      </c>
      <c r="L28" s="3008"/>
      <c r="M28" s="3008">
        <f>M27-M29</f>
        <v>4458896</v>
      </c>
      <c r="N28" s="3007">
        <f>N27-N29</f>
        <v>7060</v>
      </c>
      <c r="O28" s="3008"/>
      <c r="P28" s="3008">
        <f>P27-P29</f>
        <v>2621609</v>
      </c>
      <c r="Q28" s="3007">
        <f>Q27-Q29</f>
        <v>-76892</v>
      </c>
      <c r="R28" s="3008"/>
      <c r="S28" s="3008">
        <f>S27-S29</f>
        <v>-17102234</v>
      </c>
      <c r="T28" s="3007">
        <f>T27-T29</f>
        <v>-34508</v>
      </c>
      <c r="U28" s="3008"/>
      <c r="V28" s="3008">
        <f>V27-V29</f>
        <v>-7360927</v>
      </c>
      <c r="W28" s="3007">
        <f>W27-W29</f>
        <v>-14860</v>
      </c>
      <c r="X28" s="3008"/>
      <c r="Y28" s="3008">
        <f>Y27-Y29</f>
        <v>-2267091</v>
      </c>
      <c r="Z28" s="3007">
        <f>Z27-Z29</f>
        <v>17663</v>
      </c>
      <c r="AA28" s="3008"/>
      <c r="AB28" s="3008">
        <f>AB27-AB29</f>
        <v>4684052</v>
      </c>
      <c r="AC28" s="3007">
        <f>AC27-AC29</f>
        <v>-41267</v>
      </c>
      <c r="AD28" s="3008"/>
      <c r="AE28" s="3008">
        <f>AE27-AE29</f>
        <v>-8253429</v>
      </c>
      <c r="AF28" s="3007">
        <f>AF27-AF29</f>
        <v>1208</v>
      </c>
      <c r="AG28" s="3008"/>
      <c r="AH28" s="3008">
        <f>AH27-AH29</f>
        <v>-635794</v>
      </c>
      <c r="AI28" s="3007">
        <f>AI27-AI29</f>
        <v>23315</v>
      </c>
      <c r="AJ28" s="3008"/>
      <c r="AK28" s="3008">
        <f>AK27-AK29</f>
        <v>3227136</v>
      </c>
      <c r="AL28" s="3007">
        <f>AL27-AL29</f>
        <v>-75052</v>
      </c>
      <c r="AM28" s="3008"/>
      <c r="AN28" s="3008">
        <f>AN27-AN29</f>
        <v>9241118</v>
      </c>
      <c r="AO28" s="3086"/>
      <c r="AP28" s="3086"/>
      <c r="AQ28" s="3087">
        <f>AQ29-AQ27</f>
        <v>12802558</v>
      </c>
      <c r="AR28" s="3005"/>
      <c r="AS28" s="3006"/>
      <c r="AT28" s="3006"/>
      <c r="AU28" s="3005"/>
      <c r="AV28" s="3006"/>
      <c r="AW28" s="3006"/>
      <c r="AX28" s="3101"/>
      <c r="AY28" s="3102"/>
      <c r="BB28" s="2196"/>
      <c r="BC28" s="3042"/>
      <c r="BE28" s="318"/>
    </row>
    <row r="29" ht="16.5" spans="1:57">
      <c r="A29" s="2975" t="s">
        <v>131</v>
      </c>
      <c r="B29" s="2976"/>
      <c r="C29" s="2977"/>
      <c r="D29" s="2977"/>
      <c r="E29" s="3007">
        <f>SUM(B15:B19)-SUM(E15:E19)</f>
        <v>15</v>
      </c>
      <c r="F29" s="3008"/>
      <c r="G29" s="3008">
        <f>SUM(D15:D19)-SUM(G15:G19)</f>
        <v>6345</v>
      </c>
      <c r="H29" s="3007">
        <f>SUM(E15:E19)-SUM(H15:H19)</f>
        <v>11</v>
      </c>
      <c r="I29" s="3008"/>
      <c r="J29" s="3008">
        <f>SUM(G15:G19)-SUM(J15:J19)</f>
        <v>-4794</v>
      </c>
      <c r="K29" s="3007">
        <f>SUM(H15:H19)-SUM(K15:K19)</f>
        <v>0</v>
      </c>
      <c r="L29" s="3008"/>
      <c r="M29" s="3008">
        <f>SUM(J15:J19)-SUM(M15:M19)</f>
        <v>13964</v>
      </c>
      <c r="N29" s="3007">
        <f>SUM(K15:K19)-SUM(N15:N19)</f>
        <v>-33</v>
      </c>
      <c r="O29" s="3008"/>
      <c r="P29" s="3008">
        <f>SUM(M15:M19)-SUM(P15:P19)</f>
        <v>-17119</v>
      </c>
      <c r="Q29" s="3007">
        <f>SUM(N15:N19)-SUM(Q15:Q19)</f>
        <v>-41</v>
      </c>
      <c r="R29" s="3008"/>
      <c r="S29" s="3008">
        <f>SUM(P15:P19)-SUM(S15:S19)</f>
        <v>-6263</v>
      </c>
      <c r="T29" s="3007">
        <f>SUM(Q15:Q19)-SUM(T15:T19)</f>
        <v>-283</v>
      </c>
      <c r="U29" s="3008"/>
      <c r="V29" s="3008">
        <f>SUM(S15:S19)-SUM(V15:V19)</f>
        <v>-48693</v>
      </c>
      <c r="W29" s="3007">
        <f>SUM(T15:T19)-SUM(W15:W19)</f>
        <v>272</v>
      </c>
      <c r="X29" s="3008"/>
      <c r="Y29" s="3008">
        <f>SUM(V15:V19)-SUM(Y15:Y19)</f>
        <v>45750</v>
      </c>
      <c r="Z29" s="3007">
        <f>SUM(W15:W19)-SUM(Z15:Z19)</f>
        <v>-646</v>
      </c>
      <c r="AA29" s="3008"/>
      <c r="AB29" s="3008">
        <f>SUM(Y15:Y19)-SUM(AB15:AB19)</f>
        <v>-108960</v>
      </c>
      <c r="AC29" s="3007">
        <f>SUM(Z15:Z19)-SUM(AC15:AC19)</f>
        <v>417</v>
      </c>
      <c r="AD29" s="3008"/>
      <c r="AE29" s="3008">
        <f>SUM(AB15:AB19)-SUM(AE15:AE19)</f>
        <v>72108</v>
      </c>
      <c r="AF29" s="3007">
        <f>SUM(AC15:AC19)-SUM(AF15:AF19)</f>
        <v>195</v>
      </c>
      <c r="AG29" s="3008"/>
      <c r="AH29" s="3008">
        <f>SUM(AE15:AE19)-SUM(AH15:AH19)</f>
        <v>41633</v>
      </c>
      <c r="AI29" s="3007">
        <f>SUM(AF15:AF19)-SUM(AI15:AI19)</f>
        <v>-249</v>
      </c>
      <c r="AJ29" s="3008"/>
      <c r="AK29" s="3008">
        <f>SUM(AH15:AH19)-SUM(AK15:AK19)</f>
        <v>-44654</v>
      </c>
      <c r="AL29" s="3007">
        <f>AI21-AL21</f>
        <v>6</v>
      </c>
      <c r="AM29" s="3008"/>
      <c r="AN29" s="3008">
        <f>AK21-AN21</f>
        <v>-37177</v>
      </c>
      <c r="AO29" s="3086"/>
      <c r="AP29" s="3086"/>
      <c r="AQ29" s="3087">
        <f>AQ8+AQ12+AQ14</f>
        <v>82860386</v>
      </c>
      <c r="AR29" s="3005"/>
      <c r="AS29" s="3006"/>
      <c r="AT29" s="3006"/>
      <c r="AU29" s="3005"/>
      <c r="AV29" s="3006"/>
      <c r="AW29" s="3006"/>
      <c r="AX29" s="3101"/>
      <c r="AY29" s="3102"/>
      <c r="BB29" s="2196"/>
      <c r="BC29" s="3042"/>
      <c r="BE29" s="318"/>
    </row>
    <row r="30" ht="15.75" spans="1:57">
      <c r="A30" s="2131"/>
      <c r="B30" s="2978"/>
      <c r="C30" s="2131"/>
      <c r="D30" s="2131"/>
      <c r="E30" s="3009">
        <f>$B$26-E26</f>
        <v>-11986</v>
      </c>
      <c r="F30" s="3010"/>
      <c r="G30" s="3011">
        <f>$D$26-G26</f>
        <v>-2700803</v>
      </c>
      <c r="H30" s="3009">
        <f>$B$26-H26</f>
        <v>55460</v>
      </c>
      <c r="I30" s="3010"/>
      <c r="J30" s="3011">
        <f>$D$26-J26</f>
        <v>11293207</v>
      </c>
      <c r="K30" s="3009">
        <f>$B$26-K26</f>
        <v>72510</v>
      </c>
      <c r="L30" s="3010"/>
      <c r="M30" s="3011">
        <f>$D$26-M26</f>
        <v>15766067</v>
      </c>
      <c r="N30" s="3009">
        <f>$B$26-N26</f>
        <v>79537</v>
      </c>
      <c r="O30" s="3010"/>
      <c r="P30" s="3011">
        <f>$D$26-P26</f>
        <v>18370557</v>
      </c>
      <c r="Q30" s="3009">
        <f>$B$26-Q26</f>
        <v>2604</v>
      </c>
      <c r="R30" s="3010"/>
      <c r="S30" s="3011">
        <f>$D$26-S26</f>
        <v>1262060</v>
      </c>
      <c r="T30" s="3009">
        <f>$B$26-T26</f>
        <v>-32187</v>
      </c>
      <c r="U30" s="3010"/>
      <c r="V30" s="3011">
        <f>$D$26-V26</f>
        <v>-6147560</v>
      </c>
      <c r="W30" s="3009">
        <f>$B$26-W26</f>
        <v>-46775</v>
      </c>
      <c r="X30" s="3010"/>
      <c r="Y30" s="3011">
        <f>$D$26-Y26</f>
        <v>-8368901</v>
      </c>
      <c r="Z30" s="3009">
        <f>$B$26-Z26</f>
        <v>-29758</v>
      </c>
      <c r="AA30" s="3010"/>
      <c r="AB30" s="3011">
        <f>$D$26-AB26</f>
        <v>-3793809</v>
      </c>
      <c r="AC30" s="3009">
        <f>B26-AC26</f>
        <v>-70608</v>
      </c>
      <c r="AD30" s="3060"/>
      <c r="AE30" s="3011">
        <f>D26-AE26</f>
        <v>-11975130</v>
      </c>
      <c r="AF30" s="3009">
        <f>B26-AF26</f>
        <v>-69205</v>
      </c>
      <c r="AG30" s="3060"/>
      <c r="AH30" s="3011">
        <f>D26-AH26</f>
        <v>-12569291</v>
      </c>
      <c r="AI30" s="3009">
        <f>B26-AI26</f>
        <v>-46139</v>
      </c>
      <c r="AJ30" s="3060"/>
      <c r="AK30" s="3011">
        <f>D26-AK26</f>
        <v>-9386809</v>
      </c>
      <c r="AL30" s="3009">
        <f>B26-AL26</f>
        <v>28907</v>
      </c>
      <c r="AM30" s="3060"/>
      <c r="AN30" s="3011">
        <f>D26-AN26</f>
        <v>-182868</v>
      </c>
      <c r="AO30" s="3088">
        <f>AQ25-M25</f>
        <v>1865161</v>
      </c>
      <c r="AP30" s="3088"/>
      <c r="AQ30" s="368"/>
      <c r="AR30" s="3042">
        <f>AQ8-AQ30</f>
        <v>17774647</v>
      </c>
      <c r="AS30" s="368" t="e">
        <f>AT30/#REF!</f>
        <v>#REF!</v>
      </c>
      <c r="AT30" s="368">
        <f>AH40-AT26</f>
        <v>0</v>
      </c>
      <c r="AU30" s="318" t="e">
        <f>AI40-AU26</f>
        <v>#VALUE!</v>
      </c>
      <c r="AV30" s="368" t="e">
        <f>AW30/AU30</f>
        <v>#VALUE!</v>
      </c>
      <c r="AW30" s="368">
        <f>AK41-AW26</f>
        <v>20094482</v>
      </c>
      <c r="AX30" s="368"/>
      <c r="AY30" s="368"/>
      <c r="BB30" s="2196" t="s">
        <v>95</v>
      </c>
      <c r="BC30" s="3042">
        <f>D26-BC26</f>
        <v>-16038765</v>
      </c>
      <c r="BE30" s="318"/>
    </row>
    <row r="31" ht="15.75" spans="1:57">
      <c r="A31" s="2131" t="s">
        <v>130</v>
      </c>
      <c r="B31" s="2978"/>
      <c r="C31" s="2131"/>
      <c r="D31" s="2131"/>
      <c r="E31" s="3012">
        <f>E30-E32</f>
        <v>-12001</v>
      </c>
      <c r="F31" s="3013"/>
      <c r="G31" s="3014">
        <f>G30-G32</f>
        <v>-2707148</v>
      </c>
      <c r="H31" s="3012">
        <f>H30-H32</f>
        <v>55434</v>
      </c>
      <c r="I31" s="3013"/>
      <c r="J31" s="3014">
        <f>J30-J32</f>
        <v>11291656</v>
      </c>
      <c r="K31" s="3012">
        <f>K30-K32</f>
        <v>72484</v>
      </c>
      <c r="L31" s="3013"/>
      <c r="M31" s="3014">
        <f>M30-M32</f>
        <v>15750552</v>
      </c>
      <c r="N31" s="3012">
        <f>N30-N32</f>
        <v>79544</v>
      </c>
      <c r="O31" s="3013"/>
      <c r="P31" s="3014">
        <f>P30-P32</f>
        <v>18372161</v>
      </c>
      <c r="Q31" s="3012">
        <f>Q30-Q32</f>
        <v>2652</v>
      </c>
      <c r="R31" s="3013"/>
      <c r="S31" s="3014">
        <f>S30-S32</f>
        <v>1269927</v>
      </c>
      <c r="T31" s="3012">
        <f>T30-T32</f>
        <v>-31856</v>
      </c>
      <c r="U31" s="3013"/>
      <c r="V31" s="3014">
        <f>V30-V32</f>
        <v>-6091000</v>
      </c>
      <c r="W31" s="3012">
        <f>W30-W32</f>
        <v>-46716</v>
      </c>
      <c r="X31" s="3013"/>
      <c r="Y31" s="3014">
        <f>Y30-Y32</f>
        <v>-8358091</v>
      </c>
      <c r="Z31" s="3012">
        <f>Z30-Z32</f>
        <v>-29053</v>
      </c>
      <c r="AA31" s="3013"/>
      <c r="AB31" s="3014">
        <f>AB30-AB32</f>
        <v>-3674039</v>
      </c>
      <c r="AC31" s="3012">
        <f>AC30-AC32</f>
        <v>-70320</v>
      </c>
      <c r="AD31" s="3061"/>
      <c r="AE31" s="3014">
        <f>AE30-AE32</f>
        <v>-11927468</v>
      </c>
      <c r="AF31" s="3012">
        <f>AF30-AF32</f>
        <v>-69112</v>
      </c>
      <c r="AG31" s="3061"/>
      <c r="AH31" s="3014">
        <f>AH30-AH32</f>
        <v>-12563262</v>
      </c>
      <c r="AI31" s="3012">
        <f>AI30-AI32</f>
        <v>-45797</v>
      </c>
      <c r="AJ31" s="3061"/>
      <c r="AK31" s="3014">
        <f>AK30-AK32</f>
        <v>-9336126</v>
      </c>
      <c r="AL31" s="3012">
        <f>AL30-AL32</f>
        <v>29243</v>
      </c>
      <c r="AM31" s="3061"/>
      <c r="AN31" s="3014">
        <f>AN30-AN32</f>
        <v>-95008</v>
      </c>
      <c r="AO31" s="3088"/>
      <c r="AP31" s="3088"/>
      <c r="AQ31" s="368"/>
      <c r="AR31" s="3042"/>
      <c r="AS31" s="368"/>
      <c r="AT31" s="368"/>
      <c r="AU31" s="318"/>
      <c r="AV31" s="368"/>
      <c r="AW31" s="368"/>
      <c r="AX31" s="368"/>
      <c r="AY31" s="368"/>
      <c r="BB31" s="2196"/>
      <c r="BC31" s="3042"/>
      <c r="BE31" s="318"/>
    </row>
    <row r="32" ht="15.75" spans="1:57">
      <c r="A32" s="2131" t="s">
        <v>131</v>
      </c>
      <c r="B32" s="2978"/>
      <c r="C32" s="2131"/>
      <c r="D32" s="2131"/>
      <c r="E32" s="3012">
        <f>$B$21-E21</f>
        <v>15</v>
      </c>
      <c r="F32" s="3013"/>
      <c r="G32" s="3014">
        <f>$D$21-G21</f>
        <v>6345</v>
      </c>
      <c r="H32" s="3012">
        <f>$B$21-H21</f>
        <v>26</v>
      </c>
      <c r="I32" s="3013"/>
      <c r="J32" s="3014">
        <f>$D$21-J21</f>
        <v>1551</v>
      </c>
      <c r="K32" s="3012">
        <f>$B$21-K21</f>
        <v>26</v>
      </c>
      <c r="L32" s="3013"/>
      <c r="M32" s="3014">
        <f>$D$21-M21</f>
        <v>15515</v>
      </c>
      <c r="N32" s="3012">
        <f>$B$21-N21</f>
        <v>-7</v>
      </c>
      <c r="O32" s="3013"/>
      <c r="P32" s="3014">
        <f>$D$21-P21</f>
        <v>-1604</v>
      </c>
      <c r="Q32" s="3012">
        <f>$B$21-Q21</f>
        <v>-48</v>
      </c>
      <c r="R32" s="3013"/>
      <c r="S32" s="3014">
        <f>$D$21-S21</f>
        <v>-7867</v>
      </c>
      <c r="T32" s="3012">
        <f>$B$21-T21</f>
        <v>-331</v>
      </c>
      <c r="U32" s="3013"/>
      <c r="V32" s="3014">
        <f>$D$21-V21</f>
        <v>-56560</v>
      </c>
      <c r="W32" s="3012">
        <f>$B$21-W21</f>
        <v>-59</v>
      </c>
      <c r="X32" s="3013"/>
      <c r="Y32" s="3014">
        <f>$D$21-Y21</f>
        <v>-10810</v>
      </c>
      <c r="Z32" s="3012">
        <f>$B$21-Z21</f>
        <v>-705</v>
      </c>
      <c r="AA32" s="3013"/>
      <c r="AB32" s="3014">
        <f>$D$21-AB21</f>
        <v>-119770</v>
      </c>
      <c r="AC32" s="3012">
        <f>$B$21-AC21</f>
        <v>-288</v>
      </c>
      <c r="AD32" s="3013"/>
      <c r="AE32" s="3014">
        <f>$D$21-AE21</f>
        <v>-47662</v>
      </c>
      <c r="AF32" s="3012">
        <f>$B$21-AF21</f>
        <v>-93</v>
      </c>
      <c r="AG32" s="3013"/>
      <c r="AH32" s="3014">
        <f>$D$21-AH21</f>
        <v>-6029</v>
      </c>
      <c r="AI32" s="3012">
        <f>$B$21-AI21</f>
        <v>-342</v>
      </c>
      <c r="AJ32" s="3061"/>
      <c r="AK32" s="3014">
        <f>$D$21-AK21</f>
        <v>-50683</v>
      </c>
      <c r="AL32" s="3012">
        <f>$B$21-AL21</f>
        <v>-336</v>
      </c>
      <c r="AM32" s="3061"/>
      <c r="AN32" s="3014">
        <f>$D$21-AN21</f>
        <v>-87860</v>
      </c>
      <c r="AO32" s="3088"/>
      <c r="AP32" s="3088"/>
      <c r="AQ32" s="368"/>
      <c r="AR32" s="3042"/>
      <c r="AS32" s="368"/>
      <c r="AT32" s="368"/>
      <c r="AU32" s="318"/>
      <c r="AV32" s="368"/>
      <c r="AW32" s="368"/>
      <c r="AX32" s="368"/>
      <c r="AY32" s="368"/>
      <c r="BB32" s="2196"/>
      <c r="BC32" s="3042"/>
      <c r="BE32" s="318"/>
    </row>
    <row r="33" ht="15.75" spans="1:57">
      <c r="A33" s="2131"/>
      <c r="B33" s="2131"/>
      <c r="C33" s="2131"/>
      <c r="D33" s="2131"/>
      <c r="G33" s="3015"/>
      <c r="H33" s="3016"/>
      <c r="I33" s="2979"/>
      <c r="J33" s="3025"/>
      <c r="K33" s="3016"/>
      <c r="L33" s="2979"/>
      <c r="M33" s="3025"/>
      <c r="N33" s="3016"/>
      <c r="O33" s="2979"/>
      <c r="P33" s="3025"/>
      <c r="Q33" s="475"/>
      <c r="R33" s="323"/>
      <c r="S33" s="323"/>
      <c r="T33" s="3016"/>
      <c r="U33" s="2132"/>
      <c r="V33" s="3025"/>
      <c r="W33" s="3016"/>
      <c r="X33" s="2132"/>
      <c r="Y33" s="3025"/>
      <c r="Z33" s="3016"/>
      <c r="AA33" s="2132"/>
      <c r="AB33" s="3025"/>
      <c r="AC33" s="3016"/>
      <c r="AD33" s="2132"/>
      <c r="AE33" s="3025"/>
      <c r="AF33" s="3016"/>
      <c r="AG33" s="2132"/>
      <c r="AH33" s="3025"/>
      <c r="AI33" s="3016"/>
      <c r="AJ33" s="2132"/>
      <c r="AK33" s="3069"/>
      <c r="AL33" s="3070"/>
      <c r="AM33" s="3071"/>
      <c r="AN33" s="3072"/>
      <c r="AO33" s="3089"/>
      <c r="AP33" s="3089"/>
      <c r="AQ33" s="3090"/>
      <c r="AR33" s="475"/>
      <c r="AS33" s="323"/>
      <c r="AT33" s="323"/>
      <c r="BE33" s="318"/>
    </row>
    <row r="34" ht="15.75" spans="1:46">
      <c r="A34" s="2131" t="s">
        <v>132</v>
      </c>
      <c r="B34" s="2131"/>
      <c r="C34" s="2131"/>
      <c r="D34" s="2131"/>
      <c r="F34" s="368">
        <v>144</v>
      </c>
      <c r="G34" s="568">
        <f>E12*F34</f>
        <v>17305344</v>
      </c>
      <c r="H34" s="368" t="s">
        <v>116</v>
      </c>
      <c r="I34" s="368">
        <v>147</v>
      </c>
      <c r="J34" s="568">
        <f>H12*I34</f>
        <v>15937005</v>
      </c>
      <c r="L34" s="368">
        <v>144</v>
      </c>
      <c r="M34" s="568">
        <f>K12*L34</f>
        <v>17177616</v>
      </c>
      <c r="N34" s="475"/>
      <c r="O34" s="323">
        <v>100</v>
      </c>
      <c r="P34" s="568">
        <f>N12*O34</f>
        <v>12247700</v>
      </c>
      <c r="Q34" s="323"/>
      <c r="R34" s="323">
        <v>101</v>
      </c>
      <c r="S34" s="323"/>
      <c r="T34" s="368"/>
      <c r="U34" s="372">
        <v>103</v>
      </c>
      <c r="V34" s="323">
        <f>ROUND((V12-(T12*T34)),0)</f>
        <v>20303100</v>
      </c>
      <c r="W34" s="318"/>
      <c r="X34" s="229">
        <v>100</v>
      </c>
      <c r="Y34" s="2198"/>
      <c r="Z34" s="318"/>
      <c r="AA34" s="368">
        <v>101</v>
      </c>
      <c r="AB34" s="2198"/>
      <c r="AD34" s="229">
        <v>99</v>
      </c>
      <c r="AE34" s="2198"/>
      <c r="AG34" s="229">
        <v>99</v>
      </c>
      <c r="AH34" s="2198"/>
      <c r="AJ34" s="229">
        <v>101</v>
      </c>
      <c r="AK34" s="368"/>
      <c r="AM34" s="229">
        <v>101</v>
      </c>
      <c r="AN34" s="368"/>
      <c r="AO34" s="2196" t="s">
        <v>133</v>
      </c>
      <c r="AP34" s="2196"/>
      <c r="AQ34" s="530">
        <f>AQ8+AQ12+AQ20</f>
        <v>82860386</v>
      </c>
      <c r="AR34" s="323"/>
      <c r="AS34" s="3093">
        <v>78.57</v>
      </c>
      <c r="AT34" s="323">
        <f>AT12-(AR12*AR34)</f>
        <v>0</v>
      </c>
    </row>
    <row r="35" ht="15.75" spans="1:46">
      <c r="A35" s="2131" t="s">
        <v>134</v>
      </c>
      <c r="B35" s="2979"/>
      <c r="C35" s="2131"/>
      <c r="D35" s="2131"/>
      <c r="F35" s="368">
        <v>212</v>
      </c>
      <c r="G35" s="368">
        <f>E14*F35</f>
        <v>47497540</v>
      </c>
      <c r="H35" s="475" t="s">
        <v>116</v>
      </c>
      <c r="I35" s="368">
        <v>217</v>
      </c>
      <c r="J35" s="568">
        <f>H14*I35</f>
        <v>36536507</v>
      </c>
      <c r="L35" s="368">
        <v>214</v>
      </c>
      <c r="M35" s="568">
        <f>K14*L35</f>
        <v>30055658</v>
      </c>
      <c r="N35" s="475"/>
      <c r="O35" s="323">
        <v>99</v>
      </c>
      <c r="P35" s="568">
        <f>N14*O35</f>
        <v>12889701</v>
      </c>
      <c r="Q35" s="323"/>
      <c r="R35" s="323">
        <v>103</v>
      </c>
      <c r="S35" s="323"/>
      <c r="T35" s="368"/>
      <c r="U35" s="229">
        <v>103</v>
      </c>
      <c r="V35" s="323">
        <f>ROUND((V14-(T14*T35)),0)</f>
        <v>50547562</v>
      </c>
      <c r="W35" s="318"/>
      <c r="X35" s="229">
        <v>101</v>
      </c>
      <c r="Y35" s="2198"/>
      <c r="Z35" s="318"/>
      <c r="AA35" s="368">
        <v>100</v>
      </c>
      <c r="AB35" s="2198"/>
      <c r="AD35" s="229">
        <v>99</v>
      </c>
      <c r="AE35" s="2198"/>
      <c r="AG35" s="229">
        <v>99</v>
      </c>
      <c r="AH35" s="2198"/>
      <c r="AJ35" s="229">
        <v>100</v>
      </c>
      <c r="AM35" s="372">
        <v>101</v>
      </c>
      <c r="AO35" s="2196"/>
      <c r="AP35" s="2196"/>
      <c r="AQ35" s="3047">
        <f>V25-AQ34</f>
        <v>453430</v>
      </c>
      <c r="AR35" s="323"/>
      <c r="AS35" s="3093">
        <v>78.25</v>
      </c>
      <c r="AT35" s="323">
        <f>AT14-(AR14*AR35)</f>
        <v>0</v>
      </c>
    </row>
    <row r="36" ht="15.75" spans="1:46">
      <c r="A36" s="2131"/>
      <c r="B36" s="2131"/>
      <c r="C36" s="2131"/>
      <c r="D36" s="2131"/>
      <c r="G36" s="368"/>
      <c r="J36" s="568">
        <f>SUM(J34:J35)</f>
        <v>52473512</v>
      </c>
      <c r="M36" s="569">
        <f>SUM(M34:M35)</f>
        <v>47233274</v>
      </c>
      <c r="P36" s="569">
        <f>SUM(P34:P35)</f>
        <v>25137401</v>
      </c>
      <c r="R36" s="368">
        <f>S36/(Q12+Q14)</f>
        <v>0</v>
      </c>
      <c r="S36" s="323"/>
      <c r="U36" s="368"/>
      <c r="V36" s="323">
        <f>SUM(V34:V35)</f>
        <v>70850662</v>
      </c>
      <c r="Y36" s="2198"/>
      <c r="AB36" s="2198"/>
      <c r="AC36" s="318"/>
      <c r="AE36" s="3062"/>
      <c r="AG36" s="2981"/>
      <c r="AH36" s="3062"/>
      <c r="AJ36" s="372">
        <f>(AK15+AK19)/(AI15+AI19)</f>
        <v>202.608490566038</v>
      </c>
      <c r="AS36" s="368"/>
      <c r="AT36" s="323">
        <f>SUM(AT34:AT35)</f>
        <v>0</v>
      </c>
    </row>
    <row r="37" ht="16.5" spans="1:43">
      <c r="A37" s="2980" t="s">
        <v>135</v>
      </c>
      <c r="B37" s="2131"/>
      <c r="C37" s="2131"/>
      <c r="D37" s="2131"/>
      <c r="G37" s="3017">
        <f>G25-G38</f>
        <v>1582342</v>
      </c>
      <c r="H37" s="3018"/>
      <c r="I37" s="3026"/>
      <c r="J37" s="3017">
        <f>(J12+J14)-J36</f>
        <v>994494</v>
      </c>
      <c r="K37" s="475"/>
      <c r="L37" s="3027"/>
      <c r="M37" s="3017">
        <f>(M12+M14)-M36</f>
        <v>1775836</v>
      </c>
      <c r="N37" s="475"/>
      <c r="P37" s="3017">
        <f>(P12+P14)-P36</f>
        <v>21250100</v>
      </c>
      <c r="Q37" s="475"/>
      <c r="R37" s="2981"/>
      <c r="S37" s="3027"/>
      <c r="T37" s="475"/>
      <c r="U37" s="323"/>
      <c r="V37" s="3031"/>
      <c r="W37" s="475"/>
      <c r="X37" s="323"/>
      <c r="Y37" s="3031"/>
      <c r="Z37" s="475"/>
      <c r="AA37" s="323"/>
      <c r="AB37" s="3031"/>
      <c r="AC37" s="3063"/>
      <c r="AD37" s="3064"/>
      <c r="AE37" s="3065"/>
      <c r="AF37" s="475"/>
      <c r="AG37" s="323"/>
      <c r="AH37" s="3067"/>
      <c r="AI37" s="475" t="s">
        <v>136</v>
      </c>
      <c r="AJ37" s="323">
        <f>C8-AJ8</f>
        <v>-4.66139423532587</v>
      </c>
      <c r="AK37" s="3031">
        <f>ROUND((AI8*AJ37),0)</f>
        <v>-734580</v>
      </c>
      <c r="AO37" s="3091"/>
      <c r="AP37" s="231"/>
      <c r="AQ37" s="569">
        <f>AQ25+AE33-AB36</f>
        <v>67655574</v>
      </c>
    </row>
    <row r="38" ht="15.75" spans="1:43">
      <c r="A38" s="229" t="s">
        <v>137</v>
      </c>
      <c r="B38" s="2981"/>
      <c r="C38" s="2981"/>
      <c r="D38" s="2981"/>
      <c r="E38" s="231"/>
      <c r="F38" s="231"/>
      <c r="G38" s="2198">
        <f>G25-G14+G35</f>
        <v>84505616</v>
      </c>
      <c r="J38" s="2198">
        <f>J25-J37</f>
        <v>67623918</v>
      </c>
      <c r="M38" s="2198">
        <f>M25-M37</f>
        <v>64014577</v>
      </c>
      <c r="P38" s="2198">
        <f>P25-P37</f>
        <v>40607699</v>
      </c>
      <c r="R38" s="3042"/>
      <c r="S38" s="3031"/>
      <c r="U38" s="368"/>
      <c r="V38" s="3031"/>
      <c r="X38" s="368"/>
      <c r="Y38" s="3031"/>
      <c r="AA38" s="368"/>
      <c r="AB38" s="3031"/>
      <c r="AE38" s="3031"/>
      <c r="AG38" s="368"/>
      <c r="AH38" s="3031"/>
      <c r="AI38" s="229" t="s">
        <v>138</v>
      </c>
      <c r="AJ38" s="323">
        <f>C12-AJ12</f>
        <v>154</v>
      </c>
      <c r="AK38" s="3031">
        <f>ROUND((AI12*AJ38),0)</f>
        <v>21308364</v>
      </c>
      <c r="AQ38" s="3056">
        <f>AQ37-AQ34</f>
        <v>-15204812</v>
      </c>
    </row>
    <row r="39" ht="15.75" spans="1:37">
      <c r="A39" s="229" t="s">
        <v>139</v>
      </c>
      <c r="B39" s="231"/>
      <c r="C39" s="231"/>
      <c r="D39" s="231"/>
      <c r="E39" s="318"/>
      <c r="F39" s="368"/>
      <c r="G39" s="368"/>
      <c r="Q39" s="318"/>
      <c r="R39" s="3042"/>
      <c r="S39" s="3031"/>
      <c r="V39" s="3056"/>
      <c r="Y39" s="3056"/>
      <c r="AB39" s="3056"/>
      <c r="AH39" s="3056"/>
      <c r="AI39" s="229" t="s">
        <v>140</v>
      </c>
      <c r="AJ39" s="323">
        <f>C14-AJ14</f>
        <v>-2</v>
      </c>
      <c r="AK39" s="3031">
        <f>ROUND((AI14*AJ39),0)</f>
        <v>-479302</v>
      </c>
    </row>
    <row r="40" ht="15.75" spans="1:43">
      <c r="A40" s="2980" t="s">
        <v>141</v>
      </c>
      <c r="E40" s="318"/>
      <c r="F40" s="368"/>
      <c r="G40" s="368"/>
      <c r="Q40" s="3043"/>
      <c r="R40" s="3044"/>
      <c r="S40" s="3045"/>
      <c r="V40" s="3048"/>
      <c r="Y40" s="3048"/>
      <c r="AB40" s="3048"/>
      <c r="AH40" s="3048"/>
      <c r="AI40" s="229" t="s">
        <v>131</v>
      </c>
      <c r="AJ40" s="323"/>
      <c r="AK40" s="3031">
        <f>ROUND(((AI15+AI19)*AJ40),0)</f>
        <v>0</v>
      </c>
      <c r="AQ40" s="3056">
        <f>AQ38-AB39</f>
        <v>-15204812</v>
      </c>
    </row>
    <row r="41" ht="15.75" spans="1:37">
      <c r="A41" s="229" t="s">
        <v>137</v>
      </c>
      <c r="E41" s="318"/>
      <c r="F41" s="368"/>
      <c r="G41" s="368"/>
      <c r="Q41" s="318"/>
      <c r="R41" s="3042"/>
      <c r="S41" s="3031"/>
      <c r="V41" s="3031"/>
      <c r="Y41" s="3031"/>
      <c r="AB41" s="3031"/>
      <c r="AH41" s="3031"/>
      <c r="AJ41" s="323"/>
      <c r="AK41" s="3048">
        <f>SUM(AK37:AK40)</f>
        <v>20094482</v>
      </c>
    </row>
    <row r="42" ht="15.75" spans="1:37">
      <c r="A42" s="229" t="s">
        <v>139</v>
      </c>
      <c r="Q42" s="318"/>
      <c r="R42" s="3042"/>
      <c r="S42" s="3031"/>
      <c r="T42" s="442"/>
      <c r="U42" s="442"/>
      <c r="V42" s="3057"/>
      <c r="W42" s="442"/>
      <c r="X42" s="442"/>
      <c r="Y42" s="3057"/>
      <c r="Z42" s="442"/>
      <c r="AA42" s="442"/>
      <c r="AB42" s="3057"/>
      <c r="AF42" s="442"/>
      <c r="AG42" s="442"/>
      <c r="AH42" s="3057"/>
      <c r="AI42" s="442"/>
      <c r="AJ42" s="442"/>
      <c r="AK42" s="3057"/>
    </row>
    <row r="43" ht="15.75" spans="17:34">
      <c r="Q43" s="3046"/>
      <c r="R43" s="3047"/>
      <c r="S43" s="3048"/>
      <c r="AE43" s="231"/>
      <c r="AF43" s="629"/>
      <c r="AG43" s="374"/>
      <c r="AH43" s="374"/>
    </row>
    <row r="44" ht="15.75" spans="17:34">
      <c r="Q44" s="3049"/>
      <c r="S44" s="3050"/>
      <c r="T44" s="318"/>
      <c r="V44" s="368"/>
      <c r="W44" s="318"/>
      <c r="Y44" s="368"/>
      <c r="Z44" s="318"/>
      <c r="AB44" s="368"/>
      <c r="AC44" s="318"/>
      <c r="AE44" s="368"/>
      <c r="AF44" s="318"/>
      <c r="AH44" s="368"/>
    </row>
    <row r="45" ht="15.75" spans="17:34">
      <c r="Q45" s="3049"/>
      <c r="S45" s="3050"/>
      <c r="T45" s="318"/>
      <c r="V45" s="368"/>
      <c r="W45" s="318"/>
      <c r="Y45" s="368"/>
      <c r="Z45" s="318"/>
      <c r="AB45" s="368"/>
      <c r="AC45" s="318"/>
      <c r="AE45" s="368"/>
      <c r="AF45" s="318"/>
      <c r="AH45" s="368"/>
    </row>
    <row r="46" spans="1:34">
      <c r="A46" s="229" t="s">
        <v>142</v>
      </c>
      <c r="B46" s="318">
        <f>B12+B14</f>
        <v>332220</v>
      </c>
      <c r="C46" s="368">
        <f>D46/B46</f>
        <v>194.930052374932</v>
      </c>
      <c r="D46" s="368">
        <f>D12+D14</f>
        <v>64759662</v>
      </c>
      <c r="E46" s="318">
        <f>E12+E14</f>
        <v>344221</v>
      </c>
      <c r="F46" s="368">
        <f>G46/E46</f>
        <v>195.998530014148</v>
      </c>
      <c r="G46" s="368">
        <f>G12+G14</f>
        <v>67466810</v>
      </c>
      <c r="H46" s="318">
        <f>H12+H14</f>
        <v>276786</v>
      </c>
      <c r="I46" s="368">
        <f>J46/H46</f>
        <v>193.17453194887</v>
      </c>
      <c r="J46" s="368">
        <f>J12+J14</f>
        <v>53468006</v>
      </c>
      <c r="K46" s="318">
        <f>K12+K14</f>
        <v>259736</v>
      </c>
      <c r="L46" s="368">
        <f>M46/K46</f>
        <v>188.688167985955</v>
      </c>
      <c r="M46" s="368">
        <f>M12+M14</f>
        <v>49009110</v>
      </c>
      <c r="N46" s="318">
        <f>N12+N14</f>
        <v>252676</v>
      </c>
      <c r="O46" s="368">
        <f>P46/N46</f>
        <v>183.584911111463</v>
      </c>
      <c r="P46" s="368">
        <f>P12+P14</f>
        <v>46387501</v>
      </c>
      <c r="Q46" s="318">
        <f>Q12+Q14</f>
        <v>329568</v>
      </c>
      <c r="R46" s="368">
        <f>S46/Q46</f>
        <v>192.64532660938</v>
      </c>
      <c r="S46" s="368">
        <f>S12+S14</f>
        <v>63489735</v>
      </c>
      <c r="T46" s="318">
        <f>T12+T14</f>
        <v>364076</v>
      </c>
      <c r="U46" s="368">
        <f>V46/T46</f>
        <v>194.604044210549</v>
      </c>
      <c r="V46" s="368">
        <f>V12+V14</f>
        <v>70850662</v>
      </c>
      <c r="W46" s="318"/>
      <c r="X46" s="3058"/>
      <c r="Y46" s="368"/>
      <c r="Z46" s="318"/>
      <c r="AA46" s="3058"/>
      <c r="AB46" s="368"/>
      <c r="AC46" s="318"/>
      <c r="AD46" s="3058"/>
      <c r="AE46" s="368"/>
      <c r="AF46" s="318"/>
      <c r="AG46" s="3058"/>
      <c r="AH46" s="368"/>
    </row>
    <row r="47" ht="15.75" spans="1:34">
      <c r="A47" s="324" t="s">
        <v>143</v>
      </c>
      <c r="B47" s="2982">
        <f>B15+B19</f>
        <v>387</v>
      </c>
      <c r="C47" s="369">
        <f>D47/B47</f>
        <v>213.385012919897</v>
      </c>
      <c r="D47" s="369">
        <f>D15+D19</f>
        <v>82580</v>
      </c>
      <c r="E47" s="2982">
        <f>E15+E19</f>
        <v>387</v>
      </c>
      <c r="F47" s="369">
        <f>G47/E47</f>
        <v>213.385012919897</v>
      </c>
      <c r="G47" s="369">
        <f>G15+G19</f>
        <v>82580</v>
      </c>
      <c r="H47" s="2982">
        <f>H15+H19</f>
        <v>387</v>
      </c>
      <c r="I47" s="369">
        <f>J47/H47</f>
        <v>215</v>
      </c>
      <c r="J47" s="369">
        <f>J15+J19</f>
        <v>83205</v>
      </c>
      <c r="K47" s="2982">
        <f>K15+K19</f>
        <v>387</v>
      </c>
      <c r="L47" s="369">
        <f>M47/K47</f>
        <v>215</v>
      </c>
      <c r="M47" s="369">
        <f>M15+M19</f>
        <v>83205</v>
      </c>
      <c r="N47" s="2982">
        <f>N15+N19</f>
        <v>387</v>
      </c>
      <c r="O47" s="369">
        <f>P47/N47</f>
        <v>215</v>
      </c>
      <c r="P47" s="369">
        <f>P15+P19</f>
        <v>83205</v>
      </c>
      <c r="Q47" s="2982">
        <f>Q15+Q19</f>
        <v>404</v>
      </c>
      <c r="R47" s="369">
        <f>S47/Q47</f>
        <v>211.29702970297</v>
      </c>
      <c r="S47" s="369">
        <f>S15+S19</f>
        <v>85364</v>
      </c>
      <c r="T47" s="2982">
        <f>T15+T19</f>
        <v>404</v>
      </c>
      <c r="U47" s="369">
        <f>V47/T47</f>
        <v>213.314356435644</v>
      </c>
      <c r="V47" s="369">
        <f>V15+V19</f>
        <v>86179</v>
      </c>
      <c r="W47" s="318"/>
      <c r="X47" s="2981"/>
      <c r="Y47" s="368"/>
      <c r="Z47" s="318"/>
      <c r="AA47" s="2981"/>
      <c r="AB47" s="368"/>
      <c r="AC47" s="318"/>
      <c r="AD47" s="2981"/>
      <c r="AE47" s="368"/>
      <c r="AF47" s="318"/>
      <c r="AG47" s="2981"/>
      <c r="AH47" s="368"/>
    </row>
    <row r="48" spans="1:34">
      <c r="A48" s="229" t="s">
        <v>52</v>
      </c>
      <c r="B48" s="318">
        <f>SUM(B46:B47)</f>
        <v>332607</v>
      </c>
      <c r="C48" s="368">
        <f>D48/B48</f>
        <v>194.951525373789</v>
      </c>
      <c r="D48" s="368">
        <f>SUM(D46:D47)</f>
        <v>64842242</v>
      </c>
      <c r="E48" s="318">
        <f>SUM(E46:E47)</f>
        <v>344608</v>
      </c>
      <c r="F48" s="368">
        <f>G48/E48</f>
        <v>196.018055297614</v>
      </c>
      <c r="G48" s="368">
        <f>SUM(G46:G47)</f>
        <v>67549390</v>
      </c>
      <c r="H48" s="318">
        <f>SUM(H46:H47)</f>
        <v>277173</v>
      </c>
      <c r="I48" s="368">
        <f>J48/H48</f>
        <v>193.205005538057</v>
      </c>
      <c r="J48" s="368">
        <f>SUM(J46:J47)</f>
        <v>53551211</v>
      </c>
      <c r="K48" s="318">
        <f>SUM(K46:K47)</f>
        <v>260123</v>
      </c>
      <c r="L48" s="368">
        <f>M48/K48</f>
        <v>188.72731361702</v>
      </c>
      <c r="M48" s="368">
        <f>SUM(M46:M47)</f>
        <v>49092315</v>
      </c>
      <c r="N48" s="318">
        <f>SUM(N46:N47)</f>
        <v>253063</v>
      </c>
      <c r="O48" s="368">
        <f>P48/N48</f>
        <v>183.63295305912</v>
      </c>
      <c r="P48" s="368">
        <f>SUM(P46:P47)</f>
        <v>46470706</v>
      </c>
      <c r="Q48" s="318">
        <f>SUM(Q46:Q47)</f>
        <v>329972</v>
      </c>
      <c r="R48" s="368">
        <f>S48/Q48</f>
        <v>192.668162753203</v>
      </c>
      <c r="S48" s="368">
        <f>SUM(S46:S47)</f>
        <v>63575099</v>
      </c>
      <c r="T48" s="318">
        <f>SUM(T46:T47)</f>
        <v>364480</v>
      </c>
      <c r="U48" s="368">
        <f>V48/T48</f>
        <v>194.624783252853</v>
      </c>
      <c r="V48" s="368">
        <f>SUM(V46:V47)</f>
        <v>70936841</v>
      </c>
      <c r="W48" s="318"/>
      <c r="X48" s="2981"/>
      <c r="Y48" s="368"/>
      <c r="Z48" s="318"/>
      <c r="AA48" s="2981"/>
      <c r="AB48" s="368"/>
      <c r="AC48" s="318"/>
      <c r="AD48" s="2981"/>
      <c r="AE48" s="368"/>
      <c r="AF48" s="318"/>
      <c r="AG48" s="2981"/>
      <c r="AH48" s="368"/>
    </row>
    <row r="49" spans="5:34">
      <c r="E49" s="3019"/>
      <c r="N49" s="318"/>
      <c r="O49" s="2981"/>
      <c r="P49" s="3031"/>
      <c r="Q49" s="318"/>
      <c r="R49" s="2981"/>
      <c r="S49" s="3031"/>
      <c r="T49" s="318"/>
      <c r="U49" s="2981"/>
      <c r="V49" s="368"/>
      <c r="W49" s="318"/>
      <c r="X49" s="2981"/>
      <c r="Y49" s="368"/>
      <c r="Z49" s="318"/>
      <c r="AA49" s="2981"/>
      <c r="AB49" s="368"/>
      <c r="AC49" s="318"/>
      <c r="AD49" s="2981"/>
      <c r="AE49" s="368"/>
      <c r="AF49" s="318"/>
      <c r="AG49" s="2981"/>
      <c r="AH49" s="368"/>
    </row>
    <row r="50" spans="1:34">
      <c r="A50" s="229" t="s">
        <v>142</v>
      </c>
      <c r="E50" s="3020">
        <f>B46-E46</f>
        <v>-12001</v>
      </c>
      <c r="F50" s="3021"/>
      <c r="G50" s="3021">
        <f>D46-G46</f>
        <v>-2707148</v>
      </c>
      <c r="H50" s="3020">
        <f>E46-H46</f>
        <v>67435</v>
      </c>
      <c r="I50" s="3021"/>
      <c r="J50" s="3021">
        <f>G46-J46</f>
        <v>13998804</v>
      </c>
      <c r="K50" s="3020">
        <f>H46-K46</f>
        <v>17050</v>
      </c>
      <c r="L50" s="3021"/>
      <c r="M50" s="3021">
        <f>J46-M46</f>
        <v>4458896</v>
      </c>
      <c r="N50" s="3020">
        <f>K46-N46</f>
        <v>7060</v>
      </c>
      <c r="O50" s="3021"/>
      <c r="P50" s="3021">
        <f>M46-P46</f>
        <v>2621609</v>
      </c>
      <c r="Q50" s="3020">
        <f>N46-Q46</f>
        <v>-76892</v>
      </c>
      <c r="R50" s="3021"/>
      <c r="S50" s="3021">
        <f>P46-S46</f>
        <v>-17102234</v>
      </c>
      <c r="T50" s="318"/>
      <c r="V50" s="323"/>
      <c r="W50" s="318"/>
      <c r="Y50" s="368"/>
      <c r="Z50" s="318"/>
      <c r="AB50" s="368"/>
      <c r="AC50" s="318"/>
      <c r="AE50" s="368"/>
      <c r="AF50" s="318"/>
      <c r="AH50" s="368"/>
    </row>
    <row r="51" ht="15.75" spans="1:34">
      <c r="A51" s="324" t="s">
        <v>143</v>
      </c>
      <c r="B51" s="324"/>
      <c r="C51" s="324"/>
      <c r="D51" s="324"/>
      <c r="E51" s="3022">
        <f>B47-E47</f>
        <v>0</v>
      </c>
      <c r="F51" s="3023"/>
      <c r="G51" s="3023">
        <f>D47-G47</f>
        <v>0</v>
      </c>
      <c r="H51" s="3022">
        <f>E47-H47</f>
        <v>0</v>
      </c>
      <c r="I51" s="3023"/>
      <c r="J51" s="3023">
        <f>G47-J47</f>
        <v>-625</v>
      </c>
      <c r="K51" s="3022">
        <f>H47-K47</f>
        <v>0</v>
      </c>
      <c r="L51" s="3023"/>
      <c r="M51" s="3023">
        <f>J47-M47</f>
        <v>0</v>
      </c>
      <c r="N51" s="3022">
        <f>K47-N47</f>
        <v>0</v>
      </c>
      <c r="O51" s="3023"/>
      <c r="P51" s="3023">
        <f>M47-P47</f>
        <v>0</v>
      </c>
      <c r="Q51" s="3022">
        <f>N47-Q47</f>
        <v>-17</v>
      </c>
      <c r="R51" s="3023"/>
      <c r="S51" s="3023">
        <f>P47-S47</f>
        <v>-2159</v>
      </c>
      <c r="T51" s="318"/>
      <c r="V51" s="323"/>
      <c r="W51" s="475"/>
      <c r="X51" s="475"/>
      <c r="Y51" s="323"/>
      <c r="Z51" s="475"/>
      <c r="AA51" s="475"/>
      <c r="AB51" s="323"/>
      <c r="AC51" s="475"/>
      <c r="AD51" s="475"/>
      <c r="AE51" s="323"/>
      <c r="AF51" s="475"/>
      <c r="AG51" s="475"/>
      <c r="AH51" s="323"/>
    </row>
    <row r="52" spans="1:19">
      <c r="A52" s="229" t="s">
        <v>52</v>
      </c>
      <c r="E52" s="3020">
        <f>SUM(E50:E51)</f>
        <v>-12001</v>
      </c>
      <c r="F52" s="3021"/>
      <c r="G52" s="3021">
        <f>SUM(G50:G51)</f>
        <v>-2707148</v>
      </c>
      <c r="H52" s="3020">
        <f>SUM(H50:H51)</f>
        <v>67435</v>
      </c>
      <c r="I52" s="3021"/>
      <c r="J52" s="3021">
        <f>SUM(J50:J51)</f>
        <v>13998179</v>
      </c>
      <c r="K52" s="3020">
        <f>SUM(K50:K51)</f>
        <v>17050</v>
      </c>
      <c r="L52" s="3021"/>
      <c r="M52" s="3021">
        <f>SUM(M50:M51)</f>
        <v>4458896</v>
      </c>
      <c r="N52" s="3020">
        <f>SUM(N50:N51)</f>
        <v>7060</v>
      </c>
      <c r="O52" s="3021"/>
      <c r="P52" s="3021">
        <f>SUM(P50:P51)</f>
        <v>2621609</v>
      </c>
      <c r="Q52" s="3020">
        <f>SUM(Q50:Q51)</f>
        <v>-76909</v>
      </c>
      <c r="R52" s="3021"/>
      <c r="S52" s="3021">
        <f>SUM(S50:S51)</f>
        <v>-17104393</v>
      </c>
    </row>
    <row r="53" spans="26:32">
      <c r="Z53" s="368"/>
      <c r="AC53" s="368"/>
      <c r="AF53" s="368"/>
    </row>
    <row r="54" ht="15.75" spans="5:16">
      <c r="E54" s="318"/>
      <c r="F54" s="368"/>
      <c r="G54" s="368"/>
      <c r="H54" s="318"/>
      <c r="I54" s="368"/>
      <c r="J54" s="3028"/>
      <c r="K54" s="475">
        <f>B46-K46</f>
        <v>72484</v>
      </c>
      <c r="L54" s="368"/>
      <c r="M54" s="3032">
        <f>D46-M46</f>
        <v>15750552</v>
      </c>
      <c r="N54" s="318"/>
      <c r="O54" s="368"/>
      <c r="P54" s="368"/>
    </row>
    <row r="55" ht="16.5" spans="5:16">
      <c r="E55" s="318"/>
      <c r="F55" s="368"/>
      <c r="G55" s="368"/>
      <c r="H55" s="318"/>
      <c r="I55" s="475"/>
      <c r="J55" s="3028"/>
      <c r="K55" s="3029">
        <f>B47-K47</f>
        <v>0</v>
      </c>
      <c r="L55" s="369"/>
      <c r="M55" s="3033">
        <f>D47-M47</f>
        <v>-625</v>
      </c>
      <c r="N55" s="318"/>
      <c r="O55" s="368"/>
      <c r="P55" s="368"/>
    </row>
    <row r="56" ht="15.75" spans="5:16">
      <c r="E56" s="318"/>
      <c r="F56" s="368"/>
      <c r="G56" s="368"/>
      <c r="H56" s="318"/>
      <c r="I56" s="475"/>
      <c r="J56" s="3028"/>
      <c r="K56" s="475">
        <f>SUM(K54:K55)</f>
        <v>72484</v>
      </c>
      <c r="L56" s="368"/>
      <c r="M56" s="3032">
        <f>SUM(M54:M55)</f>
        <v>15749927</v>
      </c>
      <c r="N56" s="318"/>
      <c r="O56" s="368"/>
      <c r="P56" s="368"/>
    </row>
    <row r="57" ht="15.75" spans="1:16">
      <c r="A57" s="2983"/>
      <c r="E57" s="318"/>
      <c r="F57" s="368"/>
      <c r="G57" s="368"/>
      <c r="H57" s="318"/>
      <c r="I57" s="475"/>
      <c r="J57" s="3028"/>
      <c r="K57" s="629"/>
      <c r="L57" s="374"/>
      <c r="M57" s="3034"/>
      <c r="N57" s="629"/>
      <c r="O57" s="374"/>
      <c r="P57" s="374"/>
    </row>
    <row r="58" ht="15.75" spans="2:16">
      <c r="B58" s="2983"/>
      <c r="C58" s="2983"/>
      <c r="D58" s="2983"/>
      <c r="E58" s="318"/>
      <c r="F58" s="368"/>
      <c r="G58" s="368"/>
      <c r="H58" s="318"/>
      <c r="I58" s="475"/>
      <c r="J58" s="3030"/>
      <c r="K58" s="318"/>
      <c r="L58" s="368"/>
      <c r="M58" s="3035"/>
      <c r="N58" s="318"/>
      <c r="O58" s="368"/>
      <c r="P58" s="368"/>
    </row>
    <row r="59" ht="15.75" spans="1:16">
      <c r="A59" s="229" t="s">
        <v>116</v>
      </c>
      <c r="E59" s="318"/>
      <c r="F59" s="368"/>
      <c r="G59" s="368"/>
      <c r="H59" s="318"/>
      <c r="I59" s="475"/>
      <c r="J59" s="3030"/>
      <c r="K59" s="318"/>
      <c r="L59" s="368"/>
      <c r="M59" s="3035"/>
      <c r="N59" s="318"/>
      <c r="O59" s="368"/>
      <c r="P59" s="368"/>
    </row>
    <row r="60" ht="15.75" spans="1:16">
      <c r="A60" s="2983"/>
      <c r="E60" s="318"/>
      <c r="F60" s="368"/>
      <c r="G60" s="368"/>
      <c r="H60" s="318"/>
      <c r="I60" s="475"/>
      <c r="J60" s="3030"/>
      <c r="K60" s="629"/>
      <c r="L60" s="374"/>
      <c r="M60" s="3036"/>
      <c r="N60" s="629"/>
      <c r="O60" s="374"/>
      <c r="P60" s="374"/>
    </row>
    <row r="61" ht="15.75" spans="2:16">
      <c r="B61" s="2983"/>
      <c r="C61" s="2983"/>
      <c r="D61" s="2983"/>
      <c r="E61" s="318"/>
      <c r="F61" s="368"/>
      <c r="G61" s="368"/>
      <c r="H61" s="318"/>
      <c r="I61" s="475"/>
      <c r="J61" s="3030"/>
      <c r="K61" s="318"/>
      <c r="L61" s="368"/>
      <c r="M61" s="3035"/>
      <c r="N61" s="318"/>
      <c r="O61" s="368"/>
      <c r="P61" s="368"/>
    </row>
    <row r="62" ht="15.75" spans="5:16">
      <c r="E62" s="318"/>
      <c r="F62" s="368"/>
      <c r="G62" s="368"/>
      <c r="H62" s="318"/>
      <c r="I62" s="475"/>
      <c r="J62" s="3030"/>
      <c r="K62" s="318"/>
      <c r="L62" s="368"/>
      <c r="M62" s="3037"/>
      <c r="N62" s="318"/>
      <c r="O62" s="368"/>
      <c r="P62" s="368"/>
    </row>
    <row r="63" ht="15.75" spans="5:16">
      <c r="E63" s="318"/>
      <c r="F63" s="368"/>
      <c r="G63" s="368"/>
      <c r="H63" s="318"/>
      <c r="I63" s="475"/>
      <c r="J63" s="3030"/>
      <c r="K63" s="318"/>
      <c r="L63" s="368"/>
      <c r="M63" s="3037"/>
      <c r="N63" s="318"/>
      <c r="O63" s="368"/>
      <c r="P63" s="368"/>
    </row>
    <row r="64" ht="15.75" spans="1:16">
      <c r="A64" s="2983"/>
      <c r="E64" s="318"/>
      <c r="F64" s="374"/>
      <c r="G64" s="374"/>
      <c r="H64" s="318"/>
      <c r="I64" s="475"/>
      <c r="J64" s="3030"/>
      <c r="K64" s="629"/>
      <c r="L64" s="374"/>
      <c r="M64" s="3036"/>
      <c r="N64" s="629"/>
      <c r="O64" s="374"/>
      <c r="P64" s="374"/>
    </row>
    <row r="65" ht="15.75" spans="1:13">
      <c r="A65" s="231"/>
      <c r="B65" s="2983"/>
      <c r="C65" s="2983"/>
      <c r="D65" s="2983"/>
      <c r="E65" s="629"/>
      <c r="F65" s="231"/>
      <c r="G65" s="374"/>
      <c r="H65" s="318"/>
      <c r="I65" s="475"/>
      <c r="J65" s="475"/>
      <c r="K65" s="318"/>
      <c r="L65" s="368"/>
      <c r="M65" s="3037"/>
    </row>
    <row r="66" ht="15.75" spans="2:13">
      <c r="B66" s="231"/>
      <c r="C66" s="231"/>
      <c r="D66" s="231"/>
      <c r="E66" s="318"/>
      <c r="F66" s="368"/>
      <c r="G66" s="368"/>
      <c r="H66" s="318"/>
      <c r="I66" s="475"/>
      <c r="K66" s="318"/>
      <c r="M66" s="3037"/>
    </row>
    <row r="67" ht="15.75" spans="5:16">
      <c r="E67" s="318"/>
      <c r="G67" s="368"/>
      <c r="H67" s="318"/>
      <c r="I67" s="475"/>
      <c r="J67" s="3113"/>
      <c r="K67" s="629"/>
      <c r="L67" s="642"/>
      <c r="M67" s="3036"/>
      <c r="N67" s="629"/>
      <c r="O67" s="374"/>
      <c r="P67" s="374"/>
    </row>
    <row r="68" ht="15.75" spans="1:16">
      <c r="A68" s="2983"/>
      <c r="E68" s="318"/>
      <c r="F68" s="368"/>
      <c r="G68" s="368"/>
      <c r="J68" s="2983"/>
      <c r="K68" s="318"/>
      <c r="L68" s="368"/>
      <c r="M68" s="368"/>
      <c r="N68" s="629"/>
      <c r="O68" s="374"/>
      <c r="P68" s="374"/>
    </row>
    <row r="69" ht="15.75" spans="2:16">
      <c r="B69" s="2983"/>
      <c r="C69" s="2983"/>
      <c r="D69" s="2983"/>
      <c r="G69" s="368"/>
      <c r="N69" s="475"/>
      <c r="O69" s="323"/>
      <c r="P69" s="323"/>
    </row>
    <row r="80" spans="20:38">
      <c r="T80" s="930"/>
      <c r="W80" s="930"/>
      <c r="Z80" s="930"/>
      <c r="AC80" s="930"/>
      <c r="AF80" s="930"/>
      <c r="AI80" s="930"/>
      <c r="AL80" s="930"/>
    </row>
    <row r="81" ht="14.45" customHeight="1" spans="17:40">
      <c r="Q81" s="930"/>
      <c r="T81" s="3109"/>
      <c r="U81" s="3109"/>
      <c r="V81" s="3109"/>
      <c r="W81" s="3109"/>
      <c r="X81" s="3109"/>
      <c r="Y81" s="3109"/>
      <c r="Z81" s="3109"/>
      <c r="AA81" s="3109"/>
      <c r="AB81" s="3109"/>
      <c r="AC81" s="3109"/>
      <c r="AD81" s="3109"/>
      <c r="AE81" s="3109"/>
      <c r="AF81" s="3109"/>
      <c r="AG81" s="3109"/>
      <c r="AH81" s="3109"/>
      <c r="AI81" s="3109"/>
      <c r="AJ81" s="3109"/>
      <c r="AK81" s="3109"/>
      <c r="AL81" s="3109"/>
      <c r="AM81" s="3109"/>
      <c r="AN81" s="3109"/>
    </row>
    <row r="82" spans="5:40">
      <c r="E82" s="930"/>
      <c r="H82" s="930"/>
      <c r="K82" s="930"/>
      <c r="N82" s="930"/>
      <c r="Q82" s="3109"/>
      <c r="R82" s="3109"/>
      <c r="S82" s="3109"/>
      <c r="T82" s="3109"/>
      <c r="U82" s="3109"/>
      <c r="V82" s="3109"/>
      <c r="W82" s="3109"/>
      <c r="X82" s="3109"/>
      <c r="Y82" s="3109"/>
      <c r="Z82" s="3109"/>
      <c r="AA82" s="3109"/>
      <c r="AB82" s="3109"/>
      <c r="AC82" s="3109"/>
      <c r="AD82" s="3109"/>
      <c r="AE82" s="3109"/>
      <c r="AF82" s="3109"/>
      <c r="AG82" s="3109"/>
      <c r="AH82" s="3109"/>
      <c r="AI82" s="3109"/>
      <c r="AJ82" s="3109"/>
      <c r="AK82" s="3109"/>
      <c r="AL82" s="3109"/>
      <c r="AM82" s="3109"/>
      <c r="AN82" s="3109"/>
    </row>
    <row r="83" spans="1:40">
      <c r="A83" s="2202"/>
      <c r="E83" s="3109"/>
      <c r="F83" s="3109"/>
      <c r="G83" s="3109"/>
      <c r="H83" s="3109"/>
      <c r="I83" s="3109"/>
      <c r="J83" s="3109"/>
      <c r="K83" s="3109"/>
      <c r="L83" s="3109"/>
      <c r="M83" s="3109"/>
      <c r="N83" s="3109"/>
      <c r="O83" s="3109"/>
      <c r="P83" s="3109"/>
      <c r="Q83" s="3109"/>
      <c r="R83" s="3109"/>
      <c r="S83" s="3109"/>
      <c r="T83" s="318"/>
      <c r="U83" s="368"/>
      <c r="V83" s="368"/>
      <c r="W83" s="318"/>
      <c r="X83" s="368"/>
      <c r="Y83" s="368"/>
      <c r="Z83" s="318"/>
      <c r="AA83" s="368"/>
      <c r="AB83" s="368"/>
      <c r="AC83" s="3110"/>
      <c r="AD83" s="368"/>
      <c r="AE83" s="368"/>
      <c r="AF83" s="3110"/>
      <c r="AG83" s="368"/>
      <c r="AH83" s="368"/>
      <c r="AI83" s="3110"/>
      <c r="AJ83" s="368"/>
      <c r="AK83" s="368"/>
      <c r="AL83" s="3110"/>
      <c r="AM83" s="368"/>
      <c r="AN83" s="368"/>
    </row>
    <row r="84" spans="1:40">
      <c r="A84" s="2202"/>
      <c r="B84" s="2201"/>
      <c r="C84" s="2201"/>
      <c r="D84" s="2201"/>
      <c r="E84" s="3109"/>
      <c r="F84" s="3109"/>
      <c r="G84" s="3109"/>
      <c r="H84" s="3109"/>
      <c r="I84" s="3109"/>
      <c r="J84" s="3109"/>
      <c r="K84" s="3109"/>
      <c r="L84" s="3109"/>
      <c r="M84" s="3109"/>
      <c r="N84" s="3109"/>
      <c r="O84" s="3109"/>
      <c r="P84" s="3109"/>
      <c r="Q84" s="318"/>
      <c r="R84" s="368"/>
      <c r="S84" s="368"/>
      <c r="T84" s="318"/>
      <c r="U84" s="368"/>
      <c r="V84" s="368"/>
      <c r="W84" s="318"/>
      <c r="X84" s="368"/>
      <c r="Y84" s="368"/>
      <c r="Z84" s="318"/>
      <c r="AA84" s="368"/>
      <c r="AB84" s="368"/>
      <c r="AC84" s="3110"/>
      <c r="AD84" s="368"/>
      <c r="AE84" s="368"/>
      <c r="AF84" s="3110"/>
      <c r="AG84" s="368"/>
      <c r="AH84" s="368"/>
      <c r="AI84" s="3110"/>
      <c r="AJ84" s="368"/>
      <c r="AK84" s="368"/>
      <c r="AL84" s="3110"/>
      <c r="AM84" s="368"/>
      <c r="AN84" s="368"/>
    </row>
    <row r="85" spans="2:40">
      <c r="B85" s="2201"/>
      <c r="C85" s="2201"/>
      <c r="D85" s="2201"/>
      <c r="E85" s="3110"/>
      <c r="F85" s="368"/>
      <c r="G85" s="368"/>
      <c r="H85" s="3110"/>
      <c r="I85" s="368"/>
      <c r="J85" s="368"/>
      <c r="K85" s="318"/>
      <c r="L85" s="368"/>
      <c r="M85" s="368"/>
      <c r="N85" s="318"/>
      <c r="O85" s="368"/>
      <c r="P85" s="368"/>
      <c r="Q85" s="318"/>
      <c r="R85" s="368"/>
      <c r="S85" s="368"/>
      <c r="T85" s="318"/>
      <c r="U85" s="368"/>
      <c r="V85" s="368"/>
      <c r="W85" s="318"/>
      <c r="X85" s="368"/>
      <c r="Y85" s="368"/>
      <c r="Z85" s="318"/>
      <c r="AA85" s="368"/>
      <c r="AB85" s="368"/>
      <c r="AC85" s="318"/>
      <c r="AD85" s="368"/>
      <c r="AE85" s="368"/>
      <c r="AF85" s="318"/>
      <c r="AG85" s="368"/>
      <c r="AH85" s="368"/>
      <c r="AI85" s="318"/>
      <c r="AJ85" s="368"/>
      <c r="AK85" s="368"/>
      <c r="AL85" s="318"/>
      <c r="AM85" s="368"/>
      <c r="AN85" s="368"/>
    </row>
    <row r="86" spans="5:40">
      <c r="E86" s="3110"/>
      <c r="F86" s="368"/>
      <c r="G86" s="368"/>
      <c r="H86" s="3110"/>
      <c r="I86" s="368"/>
      <c r="J86" s="368"/>
      <c r="K86" s="318"/>
      <c r="L86" s="368"/>
      <c r="M86" s="368"/>
      <c r="N86" s="318"/>
      <c r="O86" s="368"/>
      <c r="P86" s="368"/>
      <c r="Q86" s="318"/>
      <c r="R86" s="368"/>
      <c r="S86" s="368"/>
      <c r="T86" s="318"/>
      <c r="U86" s="368"/>
      <c r="V86" s="368"/>
      <c r="W86" s="318"/>
      <c r="X86" s="368"/>
      <c r="Y86" s="368"/>
      <c r="Z86" s="318"/>
      <c r="AA86" s="368"/>
      <c r="AB86" s="368"/>
      <c r="AC86" s="318"/>
      <c r="AD86" s="368"/>
      <c r="AE86" s="368"/>
      <c r="AF86" s="318"/>
      <c r="AG86" s="368"/>
      <c r="AH86" s="368"/>
      <c r="AI86" s="318"/>
      <c r="AJ86" s="368"/>
      <c r="AK86" s="368"/>
      <c r="AL86" s="318"/>
      <c r="AM86" s="368"/>
      <c r="AN86" s="368"/>
    </row>
    <row r="87" spans="5:39">
      <c r="E87" s="318"/>
      <c r="F87" s="368"/>
      <c r="G87" s="368"/>
      <c r="H87" s="318"/>
      <c r="I87" s="368"/>
      <c r="J87" s="368"/>
      <c r="K87" s="318"/>
      <c r="L87" s="368"/>
      <c r="M87" s="368"/>
      <c r="N87" s="318"/>
      <c r="O87" s="368"/>
      <c r="P87" s="368"/>
      <c r="Q87" s="318"/>
      <c r="R87" s="368"/>
      <c r="S87" s="368"/>
      <c r="T87" s="318"/>
      <c r="U87" s="368"/>
      <c r="W87" s="318"/>
      <c r="X87" s="368"/>
      <c r="Z87" s="318"/>
      <c r="AA87" s="368"/>
      <c r="AC87" s="318"/>
      <c r="AD87" s="368"/>
      <c r="AF87" s="318"/>
      <c r="AG87" s="368"/>
      <c r="AI87" s="318"/>
      <c r="AJ87" s="368"/>
      <c r="AL87" s="318"/>
      <c r="AM87" s="368"/>
    </row>
    <row r="88" spans="5:40">
      <c r="E88" s="318"/>
      <c r="F88" s="368"/>
      <c r="G88" s="368"/>
      <c r="H88" s="318"/>
      <c r="I88" s="368"/>
      <c r="J88" s="368"/>
      <c r="K88" s="318"/>
      <c r="L88" s="368"/>
      <c r="M88" s="368"/>
      <c r="N88" s="318"/>
      <c r="O88" s="368"/>
      <c r="P88" s="368"/>
      <c r="Q88" s="318"/>
      <c r="R88" s="368"/>
      <c r="T88" s="318"/>
      <c r="U88" s="368"/>
      <c r="V88" s="368"/>
      <c r="W88" s="318"/>
      <c r="X88" s="368"/>
      <c r="Y88" s="368"/>
      <c r="Z88" s="318"/>
      <c r="AA88" s="368"/>
      <c r="AB88" s="368"/>
      <c r="AC88" s="318"/>
      <c r="AD88" s="368"/>
      <c r="AE88" s="368"/>
      <c r="AF88" s="318"/>
      <c r="AG88" s="368"/>
      <c r="AH88" s="368"/>
      <c r="AI88" s="318"/>
      <c r="AJ88" s="368"/>
      <c r="AK88" s="368"/>
      <c r="AL88" s="318"/>
      <c r="AM88" s="368"/>
      <c r="AN88" s="368"/>
    </row>
    <row r="89" spans="5:40">
      <c r="E89" s="318"/>
      <c r="F89" s="368"/>
      <c r="H89" s="318"/>
      <c r="I89" s="368"/>
      <c r="K89" s="318"/>
      <c r="L89" s="368"/>
      <c r="N89" s="318"/>
      <c r="O89" s="368"/>
      <c r="Q89" s="318"/>
      <c r="R89" s="368"/>
      <c r="S89" s="368"/>
      <c r="T89" s="318"/>
      <c r="U89" s="368"/>
      <c r="V89" s="368"/>
      <c r="W89" s="318"/>
      <c r="X89" s="368"/>
      <c r="Y89" s="368"/>
      <c r="Z89" s="318"/>
      <c r="AA89" s="368"/>
      <c r="AB89" s="368"/>
      <c r="AC89" s="318"/>
      <c r="AD89" s="368"/>
      <c r="AE89" s="368"/>
      <c r="AF89" s="318"/>
      <c r="AG89" s="368"/>
      <c r="AH89" s="368"/>
      <c r="AI89" s="318"/>
      <c r="AJ89" s="368"/>
      <c r="AK89" s="368"/>
      <c r="AL89" s="318"/>
      <c r="AM89" s="368"/>
      <c r="AN89" s="368"/>
    </row>
    <row r="90" spans="5:40">
      <c r="E90" s="318"/>
      <c r="F90" s="368"/>
      <c r="G90" s="368"/>
      <c r="H90" s="318"/>
      <c r="I90" s="368"/>
      <c r="J90" s="368"/>
      <c r="K90" s="318"/>
      <c r="L90" s="368"/>
      <c r="M90" s="368"/>
      <c r="N90" s="318"/>
      <c r="O90" s="368"/>
      <c r="P90" s="368"/>
      <c r="Q90" s="318"/>
      <c r="R90" s="368"/>
      <c r="S90" s="368"/>
      <c r="T90" s="318"/>
      <c r="U90" s="368"/>
      <c r="V90" s="368"/>
      <c r="W90" s="318"/>
      <c r="X90" s="368"/>
      <c r="Y90" s="368"/>
      <c r="Z90" s="318"/>
      <c r="AA90" s="368"/>
      <c r="AB90" s="368"/>
      <c r="AC90" s="318"/>
      <c r="AD90" s="368"/>
      <c r="AE90" s="368"/>
      <c r="AF90" s="318"/>
      <c r="AG90" s="368"/>
      <c r="AH90" s="368"/>
      <c r="AI90" s="318"/>
      <c r="AJ90" s="368"/>
      <c r="AK90" s="368"/>
      <c r="AL90" s="318"/>
      <c r="AM90" s="368"/>
      <c r="AN90" s="368"/>
    </row>
    <row r="91" spans="5:39">
      <c r="E91" s="318"/>
      <c r="F91" s="368"/>
      <c r="G91" s="368"/>
      <c r="H91" s="318"/>
      <c r="I91" s="368"/>
      <c r="J91" s="368"/>
      <c r="K91" s="318"/>
      <c r="L91" s="368"/>
      <c r="M91" s="368"/>
      <c r="N91" s="318"/>
      <c r="O91" s="368"/>
      <c r="P91" s="368"/>
      <c r="Q91" s="318"/>
      <c r="R91" s="368"/>
      <c r="S91" s="368"/>
      <c r="T91" s="318"/>
      <c r="U91" s="368"/>
      <c r="W91" s="318"/>
      <c r="X91" s="368"/>
      <c r="Z91" s="318"/>
      <c r="AA91" s="368"/>
      <c r="AC91" s="318"/>
      <c r="AD91" s="368"/>
      <c r="AF91" s="318"/>
      <c r="AG91" s="368"/>
      <c r="AI91" s="318"/>
      <c r="AJ91" s="368"/>
      <c r="AL91" s="318"/>
      <c r="AM91" s="368"/>
    </row>
    <row r="92" spans="5:40">
      <c r="E92" s="318"/>
      <c r="F92" s="368"/>
      <c r="G92" s="368"/>
      <c r="H92" s="318"/>
      <c r="I92" s="368"/>
      <c r="J92" s="368"/>
      <c r="K92" s="318"/>
      <c r="L92" s="368"/>
      <c r="M92" s="368"/>
      <c r="N92" s="318"/>
      <c r="O92" s="368"/>
      <c r="P92" s="368"/>
      <c r="Q92" s="318"/>
      <c r="R92" s="368"/>
      <c r="T92" s="318"/>
      <c r="U92" s="368"/>
      <c r="V92" s="368"/>
      <c r="W92" s="318"/>
      <c r="X92" s="368"/>
      <c r="Y92" s="368"/>
      <c r="Z92" s="318"/>
      <c r="AA92" s="368"/>
      <c r="AB92" s="368"/>
      <c r="AC92" s="318"/>
      <c r="AD92" s="368"/>
      <c r="AE92" s="368"/>
      <c r="AF92" s="318"/>
      <c r="AG92" s="368"/>
      <c r="AH92" s="368"/>
      <c r="AI92" s="318"/>
      <c r="AJ92" s="368"/>
      <c r="AK92" s="368"/>
      <c r="AL92" s="318"/>
      <c r="AM92" s="368"/>
      <c r="AN92" s="368"/>
    </row>
    <row r="93" spans="5:40">
      <c r="E93" s="318"/>
      <c r="F93" s="368"/>
      <c r="H93" s="318"/>
      <c r="I93" s="368"/>
      <c r="K93" s="318"/>
      <c r="L93" s="368"/>
      <c r="N93" s="318"/>
      <c r="O93" s="368"/>
      <c r="Q93" s="318"/>
      <c r="R93" s="368"/>
      <c r="S93" s="368"/>
      <c r="T93" s="318"/>
      <c r="U93" s="368"/>
      <c r="V93" s="368"/>
      <c r="W93" s="318"/>
      <c r="X93" s="368"/>
      <c r="Y93" s="368"/>
      <c r="Z93" s="318"/>
      <c r="AA93" s="368"/>
      <c r="AB93" s="368"/>
      <c r="AC93" s="318"/>
      <c r="AD93" s="368"/>
      <c r="AE93" s="368"/>
      <c r="AF93" s="318"/>
      <c r="AG93" s="368"/>
      <c r="AH93" s="368"/>
      <c r="AI93" s="318"/>
      <c r="AJ93" s="368"/>
      <c r="AK93" s="368"/>
      <c r="AL93" s="318"/>
      <c r="AM93" s="368"/>
      <c r="AN93" s="368"/>
    </row>
    <row r="94" spans="5:40">
      <c r="E94" s="318"/>
      <c r="F94" s="368"/>
      <c r="G94" s="368"/>
      <c r="H94" s="318"/>
      <c r="I94" s="368"/>
      <c r="J94" s="368"/>
      <c r="K94" s="318"/>
      <c r="L94" s="368"/>
      <c r="M94" s="368"/>
      <c r="N94" s="318"/>
      <c r="O94" s="368"/>
      <c r="P94" s="368"/>
      <c r="Q94" s="318"/>
      <c r="R94" s="368"/>
      <c r="S94" s="368"/>
      <c r="T94" s="318"/>
      <c r="U94" s="368"/>
      <c r="V94" s="368"/>
      <c r="W94" s="318"/>
      <c r="X94" s="368"/>
      <c r="Y94" s="368"/>
      <c r="Z94" s="318"/>
      <c r="AA94" s="368"/>
      <c r="AB94" s="368"/>
      <c r="AC94" s="318"/>
      <c r="AD94" s="368"/>
      <c r="AE94" s="368"/>
      <c r="AF94" s="318"/>
      <c r="AG94" s="368"/>
      <c r="AH94" s="368"/>
      <c r="AI94" s="318"/>
      <c r="AJ94" s="368"/>
      <c r="AK94" s="368"/>
      <c r="AL94" s="318"/>
      <c r="AM94" s="368"/>
      <c r="AN94" s="368"/>
    </row>
    <row r="95" spans="5:40">
      <c r="E95" s="318"/>
      <c r="F95" s="368"/>
      <c r="G95" s="368"/>
      <c r="H95" s="318"/>
      <c r="I95" s="368"/>
      <c r="J95" s="368"/>
      <c r="K95" s="318"/>
      <c r="L95" s="368"/>
      <c r="M95" s="368"/>
      <c r="N95" s="318"/>
      <c r="O95" s="368"/>
      <c r="P95" s="368"/>
      <c r="Q95" s="318"/>
      <c r="R95" s="368"/>
      <c r="S95" s="368"/>
      <c r="T95" s="318"/>
      <c r="U95" s="368"/>
      <c r="V95" s="368"/>
      <c r="W95" s="3110"/>
      <c r="X95" s="368"/>
      <c r="Y95" s="368"/>
      <c r="Z95" s="3110"/>
      <c r="AA95" s="368"/>
      <c r="AB95" s="368"/>
      <c r="AC95" s="318"/>
      <c r="AD95" s="368"/>
      <c r="AE95" s="368"/>
      <c r="AF95" s="318"/>
      <c r="AG95" s="368"/>
      <c r="AH95" s="368"/>
      <c r="AI95" s="318"/>
      <c r="AJ95" s="368"/>
      <c r="AK95" s="368"/>
      <c r="AL95" s="318"/>
      <c r="AM95" s="368"/>
      <c r="AN95" s="368"/>
    </row>
    <row r="96" spans="5:40">
      <c r="E96" s="318"/>
      <c r="F96" s="368"/>
      <c r="G96" s="368"/>
      <c r="H96" s="318"/>
      <c r="I96" s="368"/>
      <c r="J96" s="368"/>
      <c r="K96" s="318"/>
      <c r="L96" s="368"/>
      <c r="M96" s="368"/>
      <c r="N96" s="318"/>
      <c r="O96" s="368"/>
      <c r="P96" s="368"/>
      <c r="Q96" s="318"/>
      <c r="R96" s="368"/>
      <c r="S96" s="368"/>
      <c r="T96" s="318"/>
      <c r="U96" s="368"/>
      <c r="V96" s="368"/>
      <c r="W96" s="318"/>
      <c r="X96" s="368"/>
      <c r="Y96" s="368"/>
      <c r="Z96" s="318"/>
      <c r="AA96" s="368"/>
      <c r="AB96" s="368"/>
      <c r="AC96" s="318"/>
      <c r="AD96" s="368"/>
      <c r="AE96" s="368"/>
      <c r="AF96" s="318"/>
      <c r="AG96" s="368"/>
      <c r="AH96" s="368"/>
      <c r="AI96" s="318"/>
      <c r="AJ96" s="368"/>
      <c r="AK96" s="368"/>
      <c r="AL96" s="318"/>
      <c r="AM96" s="368"/>
      <c r="AN96" s="368"/>
    </row>
    <row r="97" spans="5:40">
      <c r="E97" s="318"/>
      <c r="F97" s="368"/>
      <c r="G97" s="368"/>
      <c r="H97" s="318"/>
      <c r="I97" s="368"/>
      <c r="J97" s="368"/>
      <c r="K97" s="318"/>
      <c r="L97" s="368"/>
      <c r="M97" s="368"/>
      <c r="N97" s="318"/>
      <c r="O97" s="368"/>
      <c r="P97" s="368"/>
      <c r="Q97" s="318"/>
      <c r="R97" s="368"/>
      <c r="S97" s="368"/>
      <c r="T97" s="318"/>
      <c r="U97" s="368"/>
      <c r="V97" s="3111"/>
      <c r="W97" s="3110"/>
      <c r="X97" s="368"/>
      <c r="Y97" s="3111"/>
      <c r="Z97" s="3110"/>
      <c r="AA97" s="368"/>
      <c r="AB97" s="3111"/>
      <c r="AC97" s="318"/>
      <c r="AD97" s="368"/>
      <c r="AE97" s="3111"/>
      <c r="AF97" s="318"/>
      <c r="AG97" s="368"/>
      <c r="AH97" s="3111"/>
      <c r="AI97" s="318"/>
      <c r="AJ97" s="368"/>
      <c r="AK97" s="3111"/>
      <c r="AL97" s="318"/>
      <c r="AM97" s="368"/>
      <c r="AN97" s="3111"/>
    </row>
    <row r="98" spans="5:40">
      <c r="E98" s="318"/>
      <c r="F98" s="368"/>
      <c r="G98" s="368"/>
      <c r="H98" s="318"/>
      <c r="I98" s="368"/>
      <c r="J98" s="368"/>
      <c r="K98" s="318"/>
      <c r="L98" s="368"/>
      <c r="M98" s="368"/>
      <c r="N98" s="318"/>
      <c r="O98" s="368"/>
      <c r="P98" s="368"/>
      <c r="Q98" s="318"/>
      <c r="R98" s="368"/>
      <c r="S98" s="3111"/>
      <c r="T98" s="318"/>
      <c r="U98" s="368"/>
      <c r="V98" s="368"/>
      <c r="W98" s="3110"/>
      <c r="X98" s="368"/>
      <c r="Y98" s="368"/>
      <c r="Z98" s="3110"/>
      <c r="AA98" s="368"/>
      <c r="AB98" s="368"/>
      <c r="AC98" s="318"/>
      <c r="AD98" s="368"/>
      <c r="AE98" s="368"/>
      <c r="AF98" s="318"/>
      <c r="AG98" s="368"/>
      <c r="AH98" s="368"/>
      <c r="AI98" s="318"/>
      <c r="AJ98" s="368"/>
      <c r="AK98" s="368"/>
      <c r="AL98" s="318"/>
      <c r="AM98" s="368"/>
      <c r="AN98" s="368"/>
    </row>
    <row r="99" spans="5:40">
      <c r="E99" s="318"/>
      <c r="F99" s="368"/>
      <c r="G99" s="3111"/>
      <c r="H99" s="318"/>
      <c r="I99" s="368"/>
      <c r="J99" s="3111"/>
      <c r="K99" s="318"/>
      <c r="L99" s="368"/>
      <c r="M99" s="3111"/>
      <c r="N99" s="318"/>
      <c r="O99" s="368"/>
      <c r="P99" s="3111"/>
      <c r="Q99" s="318"/>
      <c r="R99" s="368"/>
      <c r="S99" s="368"/>
      <c r="T99" s="318"/>
      <c r="U99" s="368"/>
      <c r="V99" s="368"/>
      <c r="W99" s="3110"/>
      <c r="X99" s="368"/>
      <c r="Y99" s="368"/>
      <c r="Z99" s="3110"/>
      <c r="AA99" s="368"/>
      <c r="AB99" s="368"/>
      <c r="AC99" s="318"/>
      <c r="AD99" s="368"/>
      <c r="AE99" s="368"/>
      <c r="AF99" s="318"/>
      <c r="AG99" s="368"/>
      <c r="AH99" s="368"/>
      <c r="AI99" s="318"/>
      <c r="AJ99" s="368"/>
      <c r="AK99" s="368"/>
      <c r="AL99" s="318"/>
      <c r="AM99" s="368"/>
      <c r="AN99" s="368"/>
    </row>
    <row r="100" spans="5:40">
      <c r="E100" s="318"/>
      <c r="F100" s="368"/>
      <c r="G100" s="368"/>
      <c r="H100" s="318"/>
      <c r="I100" s="368"/>
      <c r="J100" s="368"/>
      <c r="K100" s="318"/>
      <c r="L100" s="368"/>
      <c r="M100" s="368"/>
      <c r="N100" s="318"/>
      <c r="O100" s="368"/>
      <c r="P100" s="368"/>
      <c r="Q100" s="318"/>
      <c r="R100" s="368"/>
      <c r="S100" s="368"/>
      <c r="T100" s="318"/>
      <c r="U100" s="368"/>
      <c r="V100" s="368"/>
      <c r="W100" s="318"/>
      <c r="X100" s="368"/>
      <c r="Y100" s="368"/>
      <c r="Z100" s="318"/>
      <c r="AA100" s="368"/>
      <c r="AB100" s="368"/>
      <c r="AC100" s="318"/>
      <c r="AD100" s="368"/>
      <c r="AE100" s="368"/>
      <c r="AF100" s="318"/>
      <c r="AG100" s="368"/>
      <c r="AH100" s="368"/>
      <c r="AI100" s="318"/>
      <c r="AJ100" s="368"/>
      <c r="AK100" s="368"/>
      <c r="AL100" s="318"/>
      <c r="AM100" s="368"/>
      <c r="AN100" s="368"/>
    </row>
    <row r="101" spans="5:40">
      <c r="E101" s="318"/>
      <c r="F101" s="368"/>
      <c r="G101" s="368"/>
      <c r="H101" s="318"/>
      <c r="I101" s="368"/>
      <c r="J101" s="368"/>
      <c r="K101" s="318"/>
      <c r="L101" s="368"/>
      <c r="M101" s="368"/>
      <c r="N101" s="318"/>
      <c r="O101" s="368"/>
      <c r="P101" s="368"/>
      <c r="Q101" s="318"/>
      <c r="R101" s="368"/>
      <c r="S101" s="368"/>
      <c r="T101" s="318"/>
      <c r="U101" s="368"/>
      <c r="V101" s="368"/>
      <c r="W101" s="318"/>
      <c r="X101" s="368"/>
      <c r="Y101" s="368"/>
      <c r="Z101" s="318"/>
      <c r="AA101" s="368"/>
      <c r="AB101" s="368"/>
      <c r="AC101" s="318"/>
      <c r="AD101" s="368"/>
      <c r="AE101" s="368"/>
      <c r="AF101" s="318"/>
      <c r="AG101" s="368"/>
      <c r="AH101" s="368"/>
      <c r="AI101" s="318"/>
      <c r="AJ101" s="368"/>
      <c r="AK101" s="368"/>
      <c r="AL101" s="318"/>
      <c r="AM101" s="368"/>
      <c r="AN101" s="368"/>
    </row>
    <row r="102" spans="5:40">
      <c r="E102" s="318"/>
      <c r="F102" s="368"/>
      <c r="G102" s="368"/>
      <c r="H102" s="318"/>
      <c r="I102" s="368"/>
      <c r="J102" s="368"/>
      <c r="K102" s="318"/>
      <c r="L102" s="368"/>
      <c r="M102" s="368"/>
      <c r="N102" s="318"/>
      <c r="O102" s="368"/>
      <c r="P102" s="368"/>
      <c r="Q102" s="318"/>
      <c r="R102" s="368"/>
      <c r="S102" s="368"/>
      <c r="T102" s="318"/>
      <c r="U102" s="368"/>
      <c r="V102" s="368"/>
      <c r="W102" s="318"/>
      <c r="X102" s="368"/>
      <c r="Y102" s="368"/>
      <c r="Z102" s="318"/>
      <c r="AA102" s="368"/>
      <c r="AB102" s="368"/>
      <c r="AC102" s="318"/>
      <c r="AD102" s="368"/>
      <c r="AE102" s="368"/>
      <c r="AF102" s="318"/>
      <c r="AG102" s="368"/>
      <c r="AH102" s="368"/>
      <c r="AI102" s="318"/>
      <c r="AJ102" s="368"/>
      <c r="AK102" s="368"/>
      <c r="AL102" s="318"/>
      <c r="AM102" s="368"/>
      <c r="AN102" s="368"/>
    </row>
    <row r="103" ht="16.5" spans="5:40">
      <c r="E103" s="318"/>
      <c r="F103" s="368"/>
      <c r="G103" s="368"/>
      <c r="H103" s="318"/>
      <c r="I103" s="368"/>
      <c r="J103" s="368"/>
      <c r="K103" s="318"/>
      <c r="L103" s="368"/>
      <c r="M103" s="368"/>
      <c r="N103" s="318"/>
      <c r="O103" s="368"/>
      <c r="P103" s="368"/>
      <c r="Q103" s="318"/>
      <c r="R103" s="368"/>
      <c r="S103" s="368"/>
      <c r="T103" s="3112"/>
      <c r="U103" s="3086"/>
      <c r="V103" s="3086"/>
      <c r="W103" s="3112"/>
      <c r="X103" s="3086"/>
      <c r="Y103" s="3086"/>
      <c r="Z103" s="3112"/>
      <c r="AA103" s="3086"/>
      <c r="AB103" s="3086"/>
      <c r="AC103" s="3086"/>
      <c r="AD103" s="3086"/>
      <c r="AE103" s="3086"/>
      <c r="AF103" s="3086"/>
      <c r="AG103" s="3086"/>
      <c r="AH103" s="3086"/>
      <c r="AI103" s="3086"/>
      <c r="AJ103" s="3086"/>
      <c r="AK103" s="3086"/>
      <c r="AL103" s="3086"/>
      <c r="AM103" s="3086"/>
      <c r="AN103" s="3086"/>
    </row>
    <row r="104" ht="16.5" spans="1:19">
      <c r="A104" s="231"/>
      <c r="E104" s="318"/>
      <c r="F104" s="368"/>
      <c r="G104" s="368"/>
      <c r="H104" s="318"/>
      <c r="I104" s="368"/>
      <c r="J104" s="368"/>
      <c r="K104" s="318"/>
      <c r="L104" s="368"/>
      <c r="M104" s="368"/>
      <c r="N104" s="318"/>
      <c r="O104" s="368"/>
      <c r="P104" s="368"/>
      <c r="Q104" s="3112"/>
      <c r="R104" s="3086"/>
      <c r="S104" s="3086"/>
    </row>
    <row r="105" ht="16.5" spans="1:16">
      <c r="A105" s="2131"/>
      <c r="B105" s="231"/>
      <c r="C105" s="231"/>
      <c r="D105" s="231"/>
      <c r="E105" s="3112"/>
      <c r="F105" s="3086"/>
      <c r="G105" s="3086"/>
      <c r="H105" s="3112"/>
      <c r="I105" s="3086"/>
      <c r="J105" s="3086"/>
      <c r="K105" s="3112"/>
      <c r="L105" s="3086"/>
      <c r="M105" s="3086"/>
      <c r="N105" s="3112"/>
      <c r="O105" s="3086"/>
      <c r="P105" s="3086"/>
    </row>
    <row r="106" ht="15.75" spans="2:4">
      <c r="B106" s="2131"/>
      <c r="C106" s="2131"/>
      <c r="D106" s="2131"/>
    </row>
  </sheetData>
  <mergeCells count="72">
    <mergeCell ref="AO1:AQ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4:AY4"/>
    <mergeCell ref="BA4:BC4"/>
    <mergeCell ref="AO30:AP30"/>
    <mergeCell ref="AO33:AP33"/>
    <mergeCell ref="AO34:AP34"/>
    <mergeCell ref="AO35:AP35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</mergeCells>
  <printOptions horizontalCentered="1"/>
  <pageMargins left="0" right="0" top="0.748031496062992" bottom="0.748031496062992" header="0.31496062992126" footer="0.31496062992126"/>
  <pageSetup paperSize="9" orientation="portrait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W64"/>
  <sheetViews>
    <sheetView showZeros="0" workbookViewId="0">
      <selection activeCell="J33" sqref="J33"/>
    </sheetView>
  </sheetViews>
  <sheetFormatPr defaultColWidth="9" defaultRowHeight="13.5"/>
  <cols>
    <col min="2" max="2" width="11.2857142857143" customWidth="1"/>
    <col min="3" max="3" width="16" customWidth="1"/>
    <col min="5" max="5" width="9.57142857142857" customWidth="1"/>
    <col min="6" max="6" width="13.1428571428571" customWidth="1"/>
    <col min="8" max="8" width="13.1428571428571" customWidth="1"/>
    <col min="9" max="9" width="11.8571428571429" customWidth="1"/>
    <col min="10" max="10" width="11.5714285714286" customWidth="1"/>
    <col min="11" max="11" width="10.7142857142857" customWidth="1"/>
    <col min="12" max="12" width="15.1428571428571" customWidth="1"/>
    <col min="13" max="13" width="13.1428571428571" customWidth="1"/>
    <col min="14" max="14" width="15" customWidth="1"/>
    <col min="15" max="15" width="13.1428571428571" customWidth="1"/>
    <col min="16" max="16" width="12.5714285714286" customWidth="1"/>
    <col min="17" max="18" width="13.7142857142857" customWidth="1"/>
    <col min="19" max="19" width="13.1428571428571" customWidth="1"/>
    <col min="20" max="20" width="12.7142857142857" customWidth="1"/>
    <col min="21" max="22" width="12.2857142857143" customWidth="1"/>
    <col min="23" max="23" width="12.5714285714286" customWidth="1"/>
    <col min="25" max="25" width="11.1428571428571" customWidth="1"/>
    <col min="27" max="27" width="12.1428571428571" customWidth="1"/>
  </cols>
  <sheetData>
    <row r="2" ht="14.25"/>
    <row r="3" spans="1:14">
      <c r="A3" s="4"/>
      <c r="B3" s="5" t="s">
        <v>32</v>
      </c>
      <c r="C3" s="6"/>
      <c r="D3" s="7"/>
      <c r="E3" s="6" t="s">
        <v>33</v>
      </c>
      <c r="F3" s="6"/>
      <c r="G3" s="6"/>
      <c r="H3" s="5" t="s">
        <v>34</v>
      </c>
      <c r="I3" s="6"/>
      <c r="J3" s="7"/>
      <c r="K3" s="5" t="s">
        <v>47</v>
      </c>
      <c r="L3" s="6"/>
      <c r="M3" s="7"/>
      <c r="N3" s="2901" t="s">
        <v>89</v>
      </c>
    </row>
    <row r="4" ht="14.25" spans="1:21">
      <c r="A4" s="8" t="s">
        <v>144</v>
      </c>
      <c r="B4" s="9" t="s">
        <v>145</v>
      </c>
      <c r="C4" s="10" t="s">
        <v>146</v>
      </c>
      <c r="D4" s="11" t="s">
        <v>55</v>
      </c>
      <c r="E4" s="38" t="s">
        <v>145</v>
      </c>
      <c r="F4" s="10" t="s">
        <v>146</v>
      </c>
      <c r="G4" s="39" t="s">
        <v>55</v>
      </c>
      <c r="H4" s="9" t="s">
        <v>145</v>
      </c>
      <c r="I4" s="10" t="s">
        <v>146</v>
      </c>
      <c r="J4" s="11" t="s">
        <v>55</v>
      </c>
      <c r="K4" s="38" t="s">
        <v>145</v>
      </c>
      <c r="L4" s="39" t="s">
        <v>146</v>
      </c>
      <c r="M4" s="11" t="s">
        <v>55</v>
      </c>
      <c r="N4" s="2902"/>
      <c r="O4" s="2903" t="s">
        <v>147</v>
      </c>
      <c r="P4" s="2904" t="s">
        <v>148</v>
      </c>
      <c r="Q4" s="2903"/>
      <c r="R4" s="2903"/>
      <c r="S4" s="2903"/>
      <c r="T4" s="2903"/>
      <c r="U4" s="2903"/>
    </row>
    <row r="5" spans="1:22">
      <c r="A5" s="12" t="s">
        <v>149</v>
      </c>
      <c r="B5" s="13">
        <v>101000</v>
      </c>
      <c r="C5" s="2810">
        <v>9968910</v>
      </c>
      <c r="D5" s="15">
        <f>IF(B5=0,0,C5/B5)</f>
        <v>98.7020792079208</v>
      </c>
      <c r="E5" s="40">
        <v>1522</v>
      </c>
      <c r="F5" s="14">
        <v>357457.6</v>
      </c>
      <c r="G5" s="15">
        <f>IF(E5=0,0,F5/E5)</f>
        <v>234.860446780552</v>
      </c>
      <c r="H5" s="41">
        <v>10</v>
      </c>
      <c r="I5" s="31">
        <v>15925</v>
      </c>
      <c r="J5" s="15">
        <f>IF(H5=0,0,I5/H5)</f>
        <v>1592.5</v>
      </c>
      <c r="K5" s="2865">
        <f>B5+E5+H5</f>
        <v>102532</v>
      </c>
      <c r="L5" s="2866">
        <f>C5+F5+I5</f>
        <v>10342292.6</v>
      </c>
      <c r="M5" s="2821">
        <f>IF(K5=0,0,L5/K5)</f>
        <v>100.86892482347</v>
      </c>
      <c r="N5" s="2847">
        <v>801916</v>
      </c>
      <c r="O5" s="2905">
        <f t="shared" ref="O5:O17" si="0">C5-N5</f>
        <v>9166994</v>
      </c>
      <c r="P5" s="234">
        <f t="shared" ref="P5:P16" si="1">ROUND((O5+F5+I5),0)</f>
        <v>9540377</v>
      </c>
      <c r="Q5" s="2917"/>
      <c r="R5" s="2917"/>
      <c r="S5" s="2917"/>
      <c r="T5" s="2917"/>
      <c r="U5" s="164"/>
      <c r="V5" s="164"/>
    </row>
    <row r="6" spans="1:20">
      <c r="A6" s="16" t="s">
        <v>150</v>
      </c>
      <c r="B6" s="13">
        <v>57000</v>
      </c>
      <c r="C6" s="2810">
        <v>5411506</v>
      </c>
      <c r="D6" s="15">
        <f t="shared" ref="D6:D16" si="2">IF(B6=0,0,C6/B6)</f>
        <v>94.938701754386</v>
      </c>
      <c r="E6" s="40">
        <v>1174.4</v>
      </c>
      <c r="F6" s="14">
        <v>300480.4</v>
      </c>
      <c r="G6" s="15">
        <f t="shared" ref="G6:G16" si="3">IF(E6=0,0,F6/E6)</f>
        <v>255.858651226158</v>
      </c>
      <c r="H6" s="41">
        <v>11</v>
      </c>
      <c r="I6" s="31">
        <v>16300</v>
      </c>
      <c r="J6" s="15">
        <f t="shared" ref="J6:J16" si="4">IF(H6=0,0,I6/H6)</f>
        <v>1481.81818181818</v>
      </c>
      <c r="K6" s="2867">
        <f>B6+E6+H6</f>
        <v>58185.4</v>
      </c>
      <c r="L6" s="2868">
        <f t="shared" ref="K6:L7" si="5">C6+F6+I6</f>
        <v>5728286.4</v>
      </c>
      <c r="M6" s="15">
        <f t="shared" ref="M6:M16" si="6">IF(K6=0,0,L6/K6)</f>
        <v>98.448861741949</v>
      </c>
      <c r="N6" s="2848">
        <v>217000</v>
      </c>
      <c r="O6" s="2905">
        <f t="shared" si="0"/>
        <v>5194506</v>
      </c>
      <c r="P6" s="234">
        <f t="shared" si="1"/>
        <v>5511286</v>
      </c>
      <c r="Q6" s="250"/>
      <c r="R6" s="250"/>
      <c r="S6" s="250"/>
      <c r="T6" s="250"/>
    </row>
    <row r="7" ht="14.25" spans="1:20">
      <c r="A7" s="16" t="s">
        <v>151</v>
      </c>
      <c r="B7" s="13">
        <v>151000</v>
      </c>
      <c r="C7" s="2810">
        <v>14716058</v>
      </c>
      <c r="D7" s="15">
        <f t="shared" si="2"/>
        <v>97.4573377483444</v>
      </c>
      <c r="E7" s="40">
        <v>1663.9</v>
      </c>
      <c r="F7" s="14">
        <v>391639</v>
      </c>
      <c r="G7" s="15">
        <f t="shared" si="3"/>
        <v>235.374121040928</v>
      </c>
      <c r="H7" s="41">
        <v>4</v>
      </c>
      <c r="I7" s="31">
        <v>8740</v>
      </c>
      <c r="J7" s="15">
        <f t="shared" si="4"/>
        <v>2185</v>
      </c>
      <c r="K7" s="2869">
        <f t="shared" si="5"/>
        <v>152667.9</v>
      </c>
      <c r="L7" s="2870">
        <f t="shared" si="5"/>
        <v>15116437</v>
      </c>
      <c r="M7" s="2826">
        <f t="shared" si="6"/>
        <v>99.015162977941</v>
      </c>
      <c r="N7" s="2852">
        <v>142550</v>
      </c>
      <c r="O7" s="2905">
        <f t="shared" si="0"/>
        <v>14573508</v>
      </c>
      <c r="P7" s="234">
        <f t="shared" si="1"/>
        <v>14973887</v>
      </c>
      <c r="Q7" s="2918"/>
      <c r="R7" s="2918"/>
      <c r="S7" s="2918"/>
      <c r="T7" s="2918"/>
    </row>
    <row r="8" s="2809" customFormat="1" spans="1:20">
      <c r="A8" s="2811" t="s">
        <v>152</v>
      </c>
      <c r="B8" s="2812">
        <v>137000</v>
      </c>
      <c r="C8" s="2813">
        <v>13639925</v>
      </c>
      <c r="D8" s="2814">
        <f t="shared" si="2"/>
        <v>99.561496350365</v>
      </c>
      <c r="E8" s="2837">
        <v>1650</v>
      </c>
      <c r="F8" s="2838">
        <v>431750</v>
      </c>
      <c r="G8" s="2814">
        <f t="shared" si="3"/>
        <v>261.666666666667</v>
      </c>
      <c r="H8" s="2839">
        <v>11</v>
      </c>
      <c r="I8" s="2822">
        <v>15020</v>
      </c>
      <c r="J8" s="2814">
        <f t="shared" si="4"/>
        <v>1365.45454545455</v>
      </c>
      <c r="K8" s="2871">
        <f t="shared" ref="K8:K13" si="7">B8+E8+H8</f>
        <v>138661</v>
      </c>
      <c r="L8" s="2872">
        <f>C8+F8+I8</f>
        <v>14086695</v>
      </c>
      <c r="M8" s="2829">
        <f t="shared" si="6"/>
        <v>101.590894339432</v>
      </c>
      <c r="N8" s="2856">
        <v>1032850</v>
      </c>
      <c r="O8" s="2905">
        <f t="shared" si="0"/>
        <v>12607075</v>
      </c>
      <c r="P8" s="234">
        <f t="shared" si="1"/>
        <v>13053845</v>
      </c>
      <c r="Q8" s="2919"/>
      <c r="R8" s="2919"/>
      <c r="S8" s="2919"/>
      <c r="T8" s="2919"/>
    </row>
    <row r="9" spans="1:22">
      <c r="A9" s="16" t="s">
        <v>153</v>
      </c>
      <c r="B9" s="13">
        <v>174000</v>
      </c>
      <c r="C9" s="2810">
        <v>17622085</v>
      </c>
      <c r="D9" s="15">
        <f t="shared" si="2"/>
        <v>101.276350574713</v>
      </c>
      <c r="E9" s="40">
        <v>1596.2</v>
      </c>
      <c r="F9" s="14">
        <v>420275.9</v>
      </c>
      <c r="G9" s="15">
        <f t="shared" si="3"/>
        <v>263.297769703045</v>
      </c>
      <c r="H9" s="41">
        <v>13</v>
      </c>
      <c r="I9" s="31">
        <v>23980</v>
      </c>
      <c r="J9" s="15">
        <f t="shared" si="4"/>
        <v>1844.61538461538</v>
      </c>
      <c r="K9" s="2873">
        <f t="shared" si="7"/>
        <v>175609.2</v>
      </c>
      <c r="L9" s="2874">
        <f t="shared" ref="L9:L13" si="8">C9+F9+I9</f>
        <v>18066340.9</v>
      </c>
      <c r="M9" s="2814">
        <f t="shared" si="6"/>
        <v>102.878100350096</v>
      </c>
      <c r="N9" s="2859">
        <v>180000</v>
      </c>
      <c r="O9" s="2906">
        <f t="shared" si="0"/>
        <v>17442085</v>
      </c>
      <c r="P9" s="234">
        <f t="shared" si="1"/>
        <v>17886341</v>
      </c>
      <c r="Q9" s="2917"/>
      <c r="R9" s="2917"/>
      <c r="S9" s="2917"/>
      <c r="T9" s="2917"/>
      <c r="U9" s="164"/>
      <c r="V9" s="164"/>
    </row>
    <row r="10" ht="14.25" spans="1:20">
      <c r="A10" s="16" t="s">
        <v>154</v>
      </c>
      <c r="B10" s="13">
        <v>37000</v>
      </c>
      <c r="C10" s="2810">
        <v>3697235</v>
      </c>
      <c r="D10" s="15">
        <f t="shared" si="2"/>
        <v>99.9252702702703</v>
      </c>
      <c r="E10" s="40">
        <v>844.1</v>
      </c>
      <c r="F10" s="14">
        <v>194084</v>
      </c>
      <c r="G10" s="15">
        <f t="shared" si="3"/>
        <v>229.930103068357</v>
      </c>
      <c r="H10" s="41"/>
      <c r="I10" s="31"/>
      <c r="J10" s="15">
        <f t="shared" si="4"/>
        <v>0</v>
      </c>
      <c r="K10" s="2869">
        <f t="shared" si="7"/>
        <v>37844.1</v>
      </c>
      <c r="L10" s="2870">
        <f t="shared" si="8"/>
        <v>3891319</v>
      </c>
      <c r="M10" s="2826">
        <f t="shared" si="6"/>
        <v>102.824984607905</v>
      </c>
      <c r="N10" s="2852">
        <v>675450</v>
      </c>
      <c r="O10" s="2906">
        <f t="shared" si="0"/>
        <v>3021785</v>
      </c>
      <c r="P10" s="234">
        <f t="shared" si="1"/>
        <v>3215869</v>
      </c>
      <c r="Q10" s="2917"/>
      <c r="R10" s="2917"/>
      <c r="S10" s="2917"/>
      <c r="T10" s="2917"/>
    </row>
    <row r="11" spans="1:20">
      <c r="A11" s="16" t="s">
        <v>155</v>
      </c>
      <c r="B11" s="13">
        <v>128000</v>
      </c>
      <c r="C11" s="2810">
        <v>12619787</v>
      </c>
      <c r="D11" s="15">
        <f t="shared" si="2"/>
        <v>98.5920859375</v>
      </c>
      <c r="E11" s="40">
        <v>1196.4</v>
      </c>
      <c r="F11" s="14">
        <v>270343.2</v>
      </c>
      <c r="G11" s="15">
        <f t="shared" si="3"/>
        <v>225.963891675025</v>
      </c>
      <c r="H11" s="41">
        <v>33</v>
      </c>
      <c r="I11" s="31">
        <v>55870</v>
      </c>
      <c r="J11" s="15">
        <f t="shared" si="4"/>
        <v>1693.0303030303</v>
      </c>
      <c r="K11" s="2865">
        <f t="shared" si="7"/>
        <v>129229.4</v>
      </c>
      <c r="L11" s="2866">
        <f t="shared" si="8"/>
        <v>12946000.2</v>
      </c>
      <c r="M11" s="2821">
        <f t="shared" si="6"/>
        <v>100.178443914465</v>
      </c>
      <c r="N11" s="2847">
        <v>270400</v>
      </c>
      <c r="O11" s="2905">
        <f t="shared" si="0"/>
        <v>12349387</v>
      </c>
      <c r="P11" s="234">
        <f t="shared" si="1"/>
        <v>12675600</v>
      </c>
      <c r="Q11" s="164"/>
      <c r="R11" s="164"/>
      <c r="S11" s="164"/>
      <c r="T11" s="164"/>
    </row>
    <row r="12" spans="1:16">
      <c r="A12" s="16" t="s">
        <v>156</v>
      </c>
      <c r="B12" s="13">
        <v>120000</v>
      </c>
      <c r="C12" s="2810">
        <v>11611725</v>
      </c>
      <c r="D12" s="15">
        <f t="shared" si="2"/>
        <v>96.764375</v>
      </c>
      <c r="E12" s="40">
        <v>945.2</v>
      </c>
      <c r="F12" s="14">
        <v>214712.4</v>
      </c>
      <c r="G12" s="15">
        <f t="shared" si="3"/>
        <v>227.160812526449</v>
      </c>
      <c r="H12" s="41">
        <v>14</v>
      </c>
      <c r="I12" s="31">
        <v>22830</v>
      </c>
      <c r="J12" s="15">
        <f t="shared" si="4"/>
        <v>1630.71428571429</v>
      </c>
      <c r="K12" s="2867">
        <f t="shared" si="7"/>
        <v>120959.2</v>
      </c>
      <c r="L12" s="2868">
        <f t="shared" si="8"/>
        <v>11849267.4</v>
      </c>
      <c r="M12" s="15">
        <f t="shared" si="6"/>
        <v>97.9608611829443</v>
      </c>
      <c r="N12" s="2848">
        <v>712800</v>
      </c>
      <c r="O12" s="2905">
        <f t="shared" si="0"/>
        <v>10898925</v>
      </c>
      <c r="P12" s="234">
        <f t="shared" si="1"/>
        <v>11136467</v>
      </c>
    </row>
    <row r="13" ht="14.25" spans="1:22">
      <c r="A13" s="16" t="s">
        <v>157</v>
      </c>
      <c r="B13" s="13">
        <v>106000</v>
      </c>
      <c r="C13" s="2810">
        <v>10160896</v>
      </c>
      <c r="D13" s="15">
        <f t="shared" si="2"/>
        <v>95.8575094339623</v>
      </c>
      <c r="E13" s="40">
        <v>1571.6</v>
      </c>
      <c r="F13" s="14">
        <v>376869.2</v>
      </c>
      <c r="G13" s="15">
        <f t="shared" si="3"/>
        <v>239.799694578773</v>
      </c>
      <c r="H13" s="41">
        <v>2</v>
      </c>
      <c r="I13" s="31">
        <v>4560</v>
      </c>
      <c r="J13" s="15">
        <f t="shared" si="4"/>
        <v>2280</v>
      </c>
      <c r="K13" s="2869">
        <f t="shared" si="7"/>
        <v>107573.6</v>
      </c>
      <c r="L13" s="2870">
        <f t="shared" si="8"/>
        <v>10542325.2</v>
      </c>
      <c r="M13" s="2826">
        <f t="shared" si="6"/>
        <v>98.0010448660266</v>
      </c>
      <c r="N13" s="2852">
        <v>603750</v>
      </c>
      <c r="O13" s="2905">
        <f t="shared" si="0"/>
        <v>9557146</v>
      </c>
      <c r="P13" s="234">
        <f t="shared" si="1"/>
        <v>9938575</v>
      </c>
      <c r="Q13" s="2918"/>
      <c r="R13" s="2918"/>
      <c r="S13" s="2918"/>
      <c r="T13" s="2918"/>
      <c r="U13" s="164"/>
      <c r="V13" s="164"/>
    </row>
    <row r="14" spans="1:20">
      <c r="A14" s="16" t="s">
        <v>158</v>
      </c>
      <c r="B14" s="13">
        <v>169000</v>
      </c>
      <c r="C14" s="2810">
        <v>16731441.01</v>
      </c>
      <c r="D14" s="15">
        <f t="shared" si="2"/>
        <v>99.0026095266272</v>
      </c>
      <c r="E14" s="42">
        <v>1449</v>
      </c>
      <c r="F14" s="43">
        <v>338551</v>
      </c>
      <c r="G14" s="15">
        <f t="shared" si="3"/>
        <v>233.644582470669</v>
      </c>
      <c r="H14" s="44"/>
      <c r="I14" s="33"/>
      <c r="J14" s="15">
        <f t="shared" si="4"/>
        <v>0</v>
      </c>
      <c r="K14" s="2875">
        <f t="shared" ref="K14:K16" si="9">B14+E14+H14</f>
        <v>170449</v>
      </c>
      <c r="L14" s="2868">
        <f t="shared" ref="L14:L16" si="10">C14+F14+I14</f>
        <v>17069992.01</v>
      </c>
      <c r="M14" s="15">
        <f t="shared" si="6"/>
        <v>100.147211247939</v>
      </c>
      <c r="N14" s="2848">
        <v>330050</v>
      </c>
      <c r="O14" s="2905">
        <f t="shared" si="0"/>
        <v>16401391.01</v>
      </c>
      <c r="P14" s="234">
        <f t="shared" si="1"/>
        <v>16739942</v>
      </c>
      <c r="Q14" s="2918"/>
      <c r="R14" s="2918"/>
      <c r="S14" s="2918"/>
      <c r="T14" s="2918"/>
    </row>
    <row r="15" spans="1:22">
      <c r="A15" s="16" t="s">
        <v>159</v>
      </c>
      <c r="B15" s="13">
        <v>116000</v>
      </c>
      <c r="C15" s="2810">
        <v>12144053</v>
      </c>
      <c r="D15" s="15">
        <f t="shared" si="2"/>
        <v>104.690112068966</v>
      </c>
      <c r="E15" s="45">
        <v>1870.7</v>
      </c>
      <c r="F15" s="33">
        <v>435977.8</v>
      </c>
      <c r="G15" s="15">
        <f t="shared" si="3"/>
        <v>233.055968354092</v>
      </c>
      <c r="H15" s="44">
        <v>4</v>
      </c>
      <c r="I15" s="33">
        <v>9060</v>
      </c>
      <c r="J15" s="15">
        <f t="shared" si="4"/>
        <v>2265</v>
      </c>
      <c r="K15" s="2875">
        <f t="shared" si="9"/>
        <v>117874.7</v>
      </c>
      <c r="L15" s="2868">
        <f t="shared" si="10"/>
        <v>12589090.8</v>
      </c>
      <c r="M15" s="15">
        <f t="shared" si="6"/>
        <v>106.800617944309</v>
      </c>
      <c r="N15" s="2861">
        <v>614900</v>
      </c>
      <c r="O15" s="2905">
        <f t="shared" si="0"/>
        <v>11529153</v>
      </c>
      <c r="P15" s="234">
        <f t="shared" si="1"/>
        <v>11974191</v>
      </c>
      <c r="Q15" s="2917"/>
      <c r="R15" s="2917"/>
      <c r="S15" s="2917"/>
      <c r="T15" s="2917"/>
      <c r="V15" s="164"/>
    </row>
    <row r="16" ht="14.25" spans="1:20">
      <c r="A16" s="17" t="s">
        <v>160</v>
      </c>
      <c r="B16" s="13">
        <v>98000</v>
      </c>
      <c r="C16" s="2810">
        <f>12734951.02+3501</f>
        <v>12738452.02</v>
      </c>
      <c r="D16" s="15">
        <f t="shared" si="2"/>
        <v>129.984204285714</v>
      </c>
      <c r="E16" s="46"/>
      <c r="F16" s="35"/>
      <c r="G16" s="15">
        <f t="shared" si="3"/>
        <v>0</v>
      </c>
      <c r="H16" s="47"/>
      <c r="I16" s="35"/>
      <c r="J16" s="15">
        <f t="shared" si="4"/>
        <v>0</v>
      </c>
      <c r="K16" s="2875">
        <f t="shared" si="9"/>
        <v>98000</v>
      </c>
      <c r="L16" s="2868">
        <f t="shared" si="10"/>
        <v>12738452.02</v>
      </c>
      <c r="M16" s="15">
        <f t="shared" si="6"/>
        <v>129.984204285714</v>
      </c>
      <c r="N16" s="2863">
        <v>321250</v>
      </c>
      <c r="O16" s="2907">
        <f t="shared" si="0"/>
        <v>12417202.02</v>
      </c>
      <c r="P16" s="234">
        <f t="shared" si="1"/>
        <v>12417202</v>
      </c>
      <c r="Q16" s="97"/>
      <c r="S16" s="164"/>
      <c r="T16" s="164"/>
    </row>
    <row r="17" ht="14.25" spans="1:19">
      <c r="A17" s="18" t="s">
        <v>47</v>
      </c>
      <c r="B17" s="2815">
        <f>SUM(B5:B16)</f>
        <v>1394000</v>
      </c>
      <c r="C17" s="2816">
        <f>SUM(C5:C16)</f>
        <v>141062073.03</v>
      </c>
      <c r="D17" s="21">
        <f>IF(B17=0,0,(C17/B17))</f>
        <v>101.19230489957</v>
      </c>
      <c r="E17" s="2840">
        <f>SUM(E5:E16)</f>
        <v>15483.5</v>
      </c>
      <c r="F17" s="2836">
        <f>SUM(F5:F16)</f>
        <v>3732140.5</v>
      </c>
      <c r="G17" s="21">
        <f>IF(E17=0,0,(F17/E17))</f>
        <v>241.039848871379</v>
      </c>
      <c r="H17" s="2815">
        <f>SUM(H5:H16)</f>
        <v>102</v>
      </c>
      <c r="I17" s="2836">
        <f>SUM(I5:I16)</f>
        <v>172285</v>
      </c>
      <c r="J17" s="21">
        <f>IF(H17=0,0,(I17/H17))</f>
        <v>1689.06862745098</v>
      </c>
      <c r="K17" s="19">
        <f>SUM(K5:K16)</f>
        <v>1409585.5</v>
      </c>
      <c r="L17" s="2876">
        <f>SUM(L5:L16)</f>
        <v>144966498.53</v>
      </c>
      <c r="M17" s="21">
        <f>IF(K17=0,0,(L17/K17))</f>
        <v>102.843352552931</v>
      </c>
      <c r="N17" s="2864">
        <f>SUM(N5:N16)</f>
        <v>5902916</v>
      </c>
      <c r="O17" s="234">
        <f t="shared" si="0"/>
        <v>135159157.03</v>
      </c>
      <c r="P17" s="234">
        <f>SUM(P5:P16)</f>
        <v>139063582</v>
      </c>
      <c r="Q17" s="97"/>
      <c r="S17" s="159"/>
    </row>
    <row r="18" spans="12:18">
      <c r="L18" s="159">
        <f>L17-N17</f>
        <v>139063582.53</v>
      </c>
      <c r="M18" s="97"/>
      <c r="N18" s="2908">
        <f>N17/B17</f>
        <v>4.23451649928264</v>
      </c>
      <c r="O18" s="24"/>
      <c r="P18" s="97"/>
      <c r="R18" s="159">
        <f>P17-L18</f>
        <v>-0.530000001192093</v>
      </c>
    </row>
    <row r="19" spans="15:15">
      <c r="O19" s="97"/>
    </row>
    <row r="20" ht="14.25" spans="1:19">
      <c r="A20" s="2817" t="s">
        <v>161</v>
      </c>
      <c r="B20" s="2818"/>
      <c r="C20" s="2818"/>
      <c r="D20" s="2818"/>
      <c r="E20" s="2818"/>
      <c r="F20" s="2818"/>
      <c r="G20" s="2818"/>
      <c r="H20" s="2818"/>
      <c r="I20" s="2818"/>
      <c r="J20" s="2818"/>
      <c r="K20" s="22"/>
      <c r="L20" s="22"/>
      <c r="M20" s="1"/>
      <c r="O20" s="2909"/>
      <c r="P20" s="2909"/>
      <c r="Q20" s="2909"/>
      <c r="R20" s="2909"/>
      <c r="S20" s="2909"/>
    </row>
    <row r="21" ht="14.25" spans="1:23">
      <c r="A21" s="27" t="s">
        <v>144</v>
      </c>
      <c r="B21" s="55" t="s">
        <v>162</v>
      </c>
      <c r="C21" s="29"/>
      <c r="D21" s="29"/>
      <c r="E21" s="2841" t="s">
        <v>163</v>
      </c>
      <c r="F21" s="2842"/>
      <c r="G21" s="2842"/>
      <c r="H21" s="2843" t="s">
        <v>164</v>
      </c>
      <c r="I21" s="2877" t="s">
        <v>165</v>
      </c>
      <c r="J21" s="2878"/>
      <c r="K21" s="2879"/>
      <c r="L21" s="2877" t="s">
        <v>166</v>
      </c>
      <c r="M21" s="2878"/>
      <c r="N21" s="2879"/>
      <c r="O21" s="2910" t="s">
        <v>167</v>
      </c>
      <c r="P21" s="2911"/>
      <c r="S21" s="1"/>
      <c r="T21" s="1"/>
      <c r="U21" s="1"/>
      <c r="V21" s="1"/>
      <c r="W21" s="1"/>
    </row>
    <row r="22" spans="1:23">
      <c r="A22" s="12" t="s">
        <v>149</v>
      </c>
      <c r="B22" s="2819">
        <v>6741</v>
      </c>
      <c r="C22" s="2820">
        <v>1404660</v>
      </c>
      <c r="D22" s="2821">
        <f>IF(B22=0,0,C22/B22)</f>
        <v>208.375611927014</v>
      </c>
      <c r="E22" s="2844">
        <f>23693-B22</f>
        <v>16952</v>
      </c>
      <c r="F22" s="2845">
        <f>5524517-(C22+375)</f>
        <v>4119482</v>
      </c>
      <c r="G22" s="2846">
        <f>IF(E22=0,0,F22/E22)</f>
        <v>243.008612553091</v>
      </c>
      <c r="H22" s="2847">
        <f>28608.07+185674.5</f>
        <v>214282.57</v>
      </c>
      <c r="I22" s="2880">
        <f>ROUND((B22+E22),0)</f>
        <v>23693</v>
      </c>
      <c r="J22" s="2881">
        <f>ROUND((C22+F22+H22),0)</f>
        <v>5738425</v>
      </c>
      <c r="K22" s="2882">
        <f>IF(I22=0,0,J22/I22)</f>
        <v>242.199172751446</v>
      </c>
      <c r="L22" s="2819">
        <v>18891</v>
      </c>
      <c r="M22" s="2831">
        <v>2338463.8</v>
      </c>
      <c r="N22" s="2821">
        <f t="shared" ref="N22:N33" si="11">IF(L22=0,0,M22/L22)</f>
        <v>123.787189667037</v>
      </c>
      <c r="O22" s="672">
        <f>ROUND((I22+L22),0)</f>
        <v>42584</v>
      </c>
      <c r="P22" s="2912">
        <f>ROUND((J22+M22),0)</f>
        <v>8076889</v>
      </c>
      <c r="Q22" s="1734">
        <f>'PAL I'!D8+'PAL I'!D7</f>
        <v>8076889</v>
      </c>
      <c r="R22" s="2920"/>
      <c r="S22" s="1"/>
      <c r="T22" s="1"/>
      <c r="U22" s="2923"/>
      <c r="V22" s="2924"/>
      <c r="W22" s="54"/>
    </row>
    <row r="23" spans="1:18">
      <c r="A23" s="16" t="s">
        <v>150</v>
      </c>
      <c r="B23" s="41">
        <v>3898</v>
      </c>
      <c r="C23" s="2822">
        <v>863540</v>
      </c>
      <c r="D23" s="15">
        <f t="shared" ref="D23:D33" si="12">IF(B23=0,0,C23/B23)</f>
        <v>221.53412006157</v>
      </c>
      <c r="E23" s="52">
        <f>20429-B23</f>
        <v>16531</v>
      </c>
      <c r="F23" s="14">
        <f>4823996-C23</f>
        <v>3960456</v>
      </c>
      <c r="G23" s="59">
        <f t="shared" ref="G23:G33" si="13">IF(E23=0,0,F23/E23)</f>
        <v>239.577521021112</v>
      </c>
      <c r="H23" s="2848">
        <f>128594.51+180144</f>
        <v>308738.51</v>
      </c>
      <c r="I23" s="2883">
        <f t="shared" ref="I23:I29" si="14">ROUND((B23+E23),0)</f>
        <v>20429</v>
      </c>
      <c r="J23" s="2884">
        <f t="shared" ref="J23:J34" si="15">ROUND((C23+F23+H23),0)</f>
        <v>5132735</v>
      </c>
      <c r="K23" s="2885">
        <f t="shared" ref="K23:K34" si="16">IF(I23=0,0,J23/I23)</f>
        <v>251.247491311371</v>
      </c>
      <c r="L23" s="41">
        <v>11834</v>
      </c>
      <c r="M23" s="31">
        <v>1494262.5</v>
      </c>
      <c r="N23" s="15">
        <f t="shared" si="11"/>
        <v>126.268590501944</v>
      </c>
      <c r="O23" s="672">
        <f t="shared" ref="O23:O33" si="17">ROUND((I23+L23),0)</f>
        <v>32263</v>
      </c>
      <c r="P23" s="2912">
        <f t="shared" ref="P23:P33" si="18">ROUND((J23+M23),0)</f>
        <v>6626998</v>
      </c>
      <c r="Q23" s="1734">
        <f>'PAL I'!G7+'PAL I'!G8</f>
        <v>6626998</v>
      </c>
      <c r="R23" s="2920"/>
    </row>
    <row r="24" ht="14.25" spans="1:23">
      <c r="A24" s="2823" t="s">
        <v>151</v>
      </c>
      <c r="B24" s="2824">
        <v>7345</v>
      </c>
      <c r="C24" s="2825">
        <v>1761078</v>
      </c>
      <c r="D24" s="2826">
        <f t="shared" si="12"/>
        <v>239.765554799183</v>
      </c>
      <c r="E24" s="2849">
        <f>24698-B24</f>
        <v>17353</v>
      </c>
      <c r="F24" s="2850">
        <f>5872515-C24</f>
        <v>4111437</v>
      </c>
      <c r="G24" s="2851">
        <f t="shared" si="13"/>
        <v>236.929464645883</v>
      </c>
      <c r="H24" s="2852">
        <f>258208.06+172874</f>
        <v>431082.06</v>
      </c>
      <c r="I24" s="2886">
        <f t="shared" si="14"/>
        <v>24698</v>
      </c>
      <c r="J24" s="2887">
        <f t="shared" si="15"/>
        <v>6303597</v>
      </c>
      <c r="K24" s="2888">
        <f t="shared" si="16"/>
        <v>255.227022430966</v>
      </c>
      <c r="L24" s="2824">
        <v>18632</v>
      </c>
      <c r="M24" s="2830">
        <v>2292675</v>
      </c>
      <c r="N24" s="2826">
        <f t="shared" si="11"/>
        <v>123.050397166166</v>
      </c>
      <c r="O24" s="2913">
        <f t="shared" si="17"/>
        <v>43330</v>
      </c>
      <c r="P24" s="2914">
        <f t="shared" si="18"/>
        <v>8596272</v>
      </c>
      <c r="Q24" s="1734">
        <f>'PAL I'!J7+'PAL I'!J8</f>
        <v>8596272</v>
      </c>
      <c r="R24" s="2920"/>
      <c r="U24" s="97"/>
      <c r="W24" s="97"/>
    </row>
    <row r="25" spans="1:21">
      <c r="A25" s="2827" t="s">
        <v>152</v>
      </c>
      <c r="B25" s="2828">
        <v>4223.5</v>
      </c>
      <c r="C25" s="2820">
        <v>1008061.5</v>
      </c>
      <c r="D25" s="2829">
        <f t="shared" si="12"/>
        <v>238.67917603883</v>
      </c>
      <c r="E25" s="2853">
        <f>20990.9-B25</f>
        <v>16767.4</v>
      </c>
      <c r="F25" s="2854">
        <f>5145421.3-C25</f>
        <v>4137359.8</v>
      </c>
      <c r="G25" s="2855">
        <f t="shared" si="13"/>
        <v>246.750229612224</v>
      </c>
      <c r="H25" s="2856">
        <v>611377.53</v>
      </c>
      <c r="I25" s="2880">
        <f t="shared" si="14"/>
        <v>20991</v>
      </c>
      <c r="J25" s="2881">
        <f t="shared" si="15"/>
        <v>5756799</v>
      </c>
      <c r="K25" s="2889">
        <f t="shared" si="16"/>
        <v>274.250821780763</v>
      </c>
      <c r="L25" s="2828">
        <v>9076</v>
      </c>
      <c r="M25" s="2820">
        <v>1098736.4</v>
      </c>
      <c r="N25" s="2829">
        <f t="shared" si="11"/>
        <v>121.059541648303</v>
      </c>
      <c r="O25" s="672">
        <f t="shared" si="17"/>
        <v>30067</v>
      </c>
      <c r="P25" s="2912">
        <f t="shared" si="18"/>
        <v>6855535</v>
      </c>
      <c r="Q25" s="1734">
        <f>'PAL I'!M7+'PAL I'!M8</f>
        <v>6855535</v>
      </c>
      <c r="R25" s="2920"/>
      <c r="U25" s="97"/>
    </row>
    <row r="26" spans="1:22">
      <c r="A26" s="16" t="s">
        <v>153</v>
      </c>
      <c r="B26" s="41">
        <v>9190</v>
      </c>
      <c r="C26" s="31">
        <v>2114093.1</v>
      </c>
      <c r="D26" s="2814">
        <f t="shared" si="12"/>
        <v>230.042774755169</v>
      </c>
      <c r="E26" s="2857">
        <f>25077.12-B26</f>
        <v>15887.12</v>
      </c>
      <c r="F26" s="2838">
        <f>5997189.1-C26</f>
        <v>3883096</v>
      </c>
      <c r="G26" s="2858">
        <f t="shared" si="13"/>
        <v>244.417868059157</v>
      </c>
      <c r="H26" s="2859">
        <f>75131.09+182958.08</f>
        <v>258089.17</v>
      </c>
      <c r="I26" s="2890">
        <f t="shared" si="14"/>
        <v>25077</v>
      </c>
      <c r="J26" s="2884">
        <f t="shared" si="15"/>
        <v>6255278</v>
      </c>
      <c r="K26" s="2885">
        <f t="shared" si="16"/>
        <v>249.44283606492</v>
      </c>
      <c r="L26" s="41">
        <v>24209.7</v>
      </c>
      <c r="M26" s="31">
        <v>2949800.3</v>
      </c>
      <c r="N26" s="2814">
        <f t="shared" si="11"/>
        <v>121.843736188387</v>
      </c>
      <c r="O26" s="672">
        <f t="shared" si="17"/>
        <v>49287</v>
      </c>
      <c r="P26" s="2912">
        <f t="shared" si="18"/>
        <v>9205078</v>
      </c>
      <c r="Q26" s="1734">
        <f>'PAL I'!P7+'PAL I'!P8</f>
        <v>9205078</v>
      </c>
      <c r="R26" s="2920"/>
      <c r="U26" s="97"/>
      <c r="V26" s="97"/>
    </row>
    <row r="27" ht="14.25" spans="1:18">
      <c r="A27" s="2823" t="s">
        <v>154</v>
      </c>
      <c r="B27" s="2824">
        <v>8506</v>
      </c>
      <c r="C27" s="2830">
        <v>1883382.75</v>
      </c>
      <c r="D27" s="2826">
        <f t="shared" si="12"/>
        <v>221.418146014578</v>
      </c>
      <c r="E27" s="2849">
        <f>23551.9-B27</f>
        <v>15045.9</v>
      </c>
      <c r="F27" s="2850">
        <f>5382679.75-C27</f>
        <v>3499297</v>
      </c>
      <c r="G27" s="2851">
        <f t="shared" si="13"/>
        <v>232.57478781595</v>
      </c>
      <c r="H27" s="2852">
        <v>352825.96</v>
      </c>
      <c r="I27" s="2886">
        <f t="shared" si="14"/>
        <v>23552</v>
      </c>
      <c r="J27" s="2887">
        <f t="shared" si="15"/>
        <v>5735506</v>
      </c>
      <c r="K27" s="2888">
        <f t="shared" si="16"/>
        <v>243.525220788043</v>
      </c>
      <c r="L27" s="2824">
        <v>34618.4</v>
      </c>
      <c r="M27" s="2830">
        <v>4235333.7</v>
      </c>
      <c r="N27" s="2826">
        <f t="shared" si="11"/>
        <v>122.343427194787</v>
      </c>
      <c r="O27" s="2913">
        <f t="shared" si="17"/>
        <v>58170</v>
      </c>
      <c r="P27" s="2914">
        <f t="shared" si="18"/>
        <v>9970840</v>
      </c>
      <c r="Q27" s="1734">
        <f>'PAL I'!S7+'PAL I'!S8</f>
        <v>9970840</v>
      </c>
      <c r="R27" s="2920"/>
    </row>
    <row r="28" spans="1:18">
      <c r="A28" s="12" t="s">
        <v>155</v>
      </c>
      <c r="B28" s="2819">
        <v>10656</v>
      </c>
      <c r="C28" s="2831">
        <v>2328966</v>
      </c>
      <c r="D28" s="2821">
        <f t="shared" si="12"/>
        <v>218.559121621622</v>
      </c>
      <c r="E28" s="2844">
        <f>25744.72-B28-56.6+457.4</f>
        <v>15489.52</v>
      </c>
      <c r="F28" s="2845">
        <f>5861222.6-C28-6682+109425</f>
        <v>3634999.6</v>
      </c>
      <c r="G28" s="2846">
        <f t="shared" si="13"/>
        <v>234.674773653412</v>
      </c>
      <c r="H28" s="2847">
        <v>653532.17</v>
      </c>
      <c r="I28" s="2880">
        <f t="shared" si="14"/>
        <v>26146</v>
      </c>
      <c r="J28" s="2881">
        <f t="shared" si="15"/>
        <v>6617498</v>
      </c>
      <c r="K28" s="2889">
        <f t="shared" si="16"/>
        <v>253.097911726459</v>
      </c>
      <c r="L28" s="2819">
        <v>7140.1</v>
      </c>
      <c r="M28" s="2831">
        <v>785255.8</v>
      </c>
      <c r="N28" s="2821">
        <f t="shared" si="11"/>
        <v>109.978263609753</v>
      </c>
      <c r="O28" s="672">
        <f t="shared" si="17"/>
        <v>33286</v>
      </c>
      <c r="P28" s="2912">
        <f t="shared" si="18"/>
        <v>7402754</v>
      </c>
      <c r="Q28" s="1734">
        <f>'PAL I'!V7+'PAL I'!V8</f>
        <v>7402754</v>
      </c>
      <c r="R28" s="2920"/>
    </row>
    <row r="29" spans="1:22">
      <c r="A29" s="16" t="s">
        <v>156</v>
      </c>
      <c r="B29" s="41">
        <v>7326.5</v>
      </c>
      <c r="C29" s="31">
        <v>1589661</v>
      </c>
      <c r="D29" s="15">
        <f t="shared" si="12"/>
        <v>216.974134989422</v>
      </c>
      <c r="E29" s="52">
        <f>21566.1-B29</f>
        <v>14239.6</v>
      </c>
      <c r="F29" s="14">
        <f>4923369-C29</f>
        <v>3333708</v>
      </c>
      <c r="G29" s="2858">
        <f t="shared" si="13"/>
        <v>234.115284137195</v>
      </c>
      <c r="H29" s="2848">
        <v>250063.1</v>
      </c>
      <c r="I29" s="2883">
        <f t="shared" si="14"/>
        <v>21566</v>
      </c>
      <c r="J29" s="2884">
        <f t="shared" si="15"/>
        <v>5173432</v>
      </c>
      <c r="K29" s="2885">
        <f t="shared" si="16"/>
        <v>239.888342761755</v>
      </c>
      <c r="L29" s="41">
        <v>15516.05</v>
      </c>
      <c r="M29" s="31">
        <v>1847197.6</v>
      </c>
      <c r="N29" s="15">
        <f t="shared" si="11"/>
        <v>119.05076356418</v>
      </c>
      <c r="O29" s="672">
        <f t="shared" si="17"/>
        <v>37082</v>
      </c>
      <c r="P29" s="2912">
        <f t="shared" si="18"/>
        <v>7020630</v>
      </c>
      <c r="Q29" s="1734">
        <f>'PAL I'!Y7+'PAL I'!Y8</f>
        <v>7020630</v>
      </c>
      <c r="R29" s="2920"/>
      <c r="U29" s="97"/>
      <c r="V29" s="97"/>
    </row>
    <row r="30" ht="14.25" spans="1:18">
      <c r="A30" s="16" t="s">
        <v>157</v>
      </c>
      <c r="B30" s="2824">
        <v>9680.5</v>
      </c>
      <c r="C30" s="2830">
        <v>2127879</v>
      </c>
      <c r="D30" s="2826">
        <f t="shared" si="12"/>
        <v>219.810856877227</v>
      </c>
      <c r="E30" s="2849">
        <v>16272.7</v>
      </c>
      <c r="F30" s="2850">
        <v>3818296.2</v>
      </c>
      <c r="G30" s="2860">
        <f t="shared" si="13"/>
        <v>234.644293817252</v>
      </c>
      <c r="H30" s="2852">
        <v>245756.22</v>
      </c>
      <c r="I30" s="2891">
        <f t="shared" ref="I30:I34" si="19">B30+E30</f>
        <v>25953.2</v>
      </c>
      <c r="J30" s="2887">
        <f t="shared" si="15"/>
        <v>6191931</v>
      </c>
      <c r="K30" s="2889">
        <f t="shared" si="16"/>
        <v>238.580637455112</v>
      </c>
      <c r="L30" s="2824">
        <v>8732.9</v>
      </c>
      <c r="M30" s="2830">
        <v>960211.9</v>
      </c>
      <c r="N30" s="2826">
        <f t="shared" si="11"/>
        <v>109.953383183135</v>
      </c>
      <c r="O30" s="2913">
        <f t="shared" si="17"/>
        <v>34686</v>
      </c>
      <c r="P30" s="2914">
        <f t="shared" si="18"/>
        <v>7152143</v>
      </c>
      <c r="Q30" s="1734">
        <f>'PAL I'!AB7+'PAL I'!AB8</f>
        <v>7152143</v>
      </c>
      <c r="R30" s="2920"/>
    </row>
    <row r="31" spans="1:18">
      <c r="A31" s="16" t="s">
        <v>158</v>
      </c>
      <c r="B31" s="41">
        <v>10816.5</v>
      </c>
      <c r="C31" s="31">
        <v>2375910</v>
      </c>
      <c r="D31" s="15">
        <f t="shared" si="12"/>
        <v>219.65608098738</v>
      </c>
      <c r="E31" s="52">
        <v>15651.2</v>
      </c>
      <c r="F31" s="14">
        <v>3652413.5</v>
      </c>
      <c r="G31" s="2858">
        <f t="shared" si="13"/>
        <v>233.363160652218</v>
      </c>
      <c r="H31" s="2848">
        <v>402780.6</v>
      </c>
      <c r="I31" s="2892">
        <f t="shared" si="19"/>
        <v>26467.7</v>
      </c>
      <c r="J31" s="2893">
        <f>C31+F31+H31</f>
        <v>6431104.1</v>
      </c>
      <c r="K31" s="2894">
        <f t="shared" si="16"/>
        <v>242.979333300589</v>
      </c>
      <c r="L31" s="41">
        <v>4709.65</v>
      </c>
      <c r="M31" s="31">
        <v>570095.8</v>
      </c>
      <c r="N31" s="15">
        <f t="shared" si="11"/>
        <v>121.048443090251</v>
      </c>
      <c r="O31" s="672">
        <f t="shared" si="17"/>
        <v>31177</v>
      </c>
      <c r="P31" s="2912">
        <f t="shared" si="18"/>
        <v>7001200</v>
      </c>
      <c r="Q31" s="1734">
        <f>'PAL I'!AE7+'PAL I'!AE8</f>
        <v>7001200</v>
      </c>
      <c r="R31" s="2920"/>
    </row>
    <row r="32" spans="1:18">
      <c r="A32" s="16" t="s">
        <v>159</v>
      </c>
      <c r="B32" s="44">
        <v>5576.5</v>
      </c>
      <c r="C32" s="33">
        <v>1250109.5</v>
      </c>
      <c r="D32" s="15">
        <f t="shared" si="12"/>
        <v>224.174571864072</v>
      </c>
      <c r="E32" s="52">
        <v>10035.9</v>
      </c>
      <c r="F32" s="14">
        <f>2490942</f>
        <v>2490942</v>
      </c>
      <c r="G32" s="2858">
        <f t="shared" si="13"/>
        <v>248.203150689026</v>
      </c>
      <c r="H32" s="2861">
        <v>346634</v>
      </c>
      <c r="I32" s="2883">
        <f t="shared" si="19"/>
        <v>15612.4</v>
      </c>
      <c r="J32" s="2884">
        <f t="shared" si="15"/>
        <v>4087686</v>
      </c>
      <c r="K32" s="2885">
        <f t="shared" si="16"/>
        <v>261.823038097922</v>
      </c>
      <c r="L32" s="44">
        <v>5000</v>
      </c>
      <c r="M32" s="33">
        <v>560000</v>
      </c>
      <c r="N32" s="15">
        <f t="shared" si="11"/>
        <v>112</v>
      </c>
      <c r="O32" s="672">
        <f t="shared" si="17"/>
        <v>20612</v>
      </c>
      <c r="P32" s="2912">
        <f t="shared" si="18"/>
        <v>4647686</v>
      </c>
      <c r="Q32" s="1734">
        <f>'PAL I'!AH7+'PAL I'!AH8</f>
        <v>4647686</v>
      </c>
      <c r="R32" s="2920"/>
    </row>
    <row r="33" ht="14.25" spans="1:18">
      <c r="A33" s="17" t="s">
        <v>160</v>
      </c>
      <c r="B33" s="47">
        <v>12344</v>
      </c>
      <c r="C33" s="35">
        <f>2780989.5+26415</f>
        <v>2807404.5</v>
      </c>
      <c r="D33" s="15">
        <f t="shared" si="12"/>
        <v>227.43069507453</v>
      </c>
      <c r="E33" s="54">
        <v>15880.6</v>
      </c>
      <c r="F33" s="2862">
        <v>3861341</v>
      </c>
      <c r="G33" s="2860">
        <f t="shared" si="13"/>
        <v>243.14830673904</v>
      </c>
      <c r="H33" s="2863">
        <v>229895.4</v>
      </c>
      <c r="I33" s="2891">
        <f t="shared" si="19"/>
        <v>28224.6</v>
      </c>
      <c r="J33" s="2884">
        <f t="shared" si="15"/>
        <v>6898641</v>
      </c>
      <c r="K33" s="2889">
        <f t="shared" si="16"/>
        <v>244.41944261389</v>
      </c>
      <c r="L33" s="47">
        <v>2983.8</v>
      </c>
      <c r="M33" s="35">
        <v>372906</v>
      </c>
      <c r="N33" s="15">
        <f t="shared" si="11"/>
        <v>124.976875125679</v>
      </c>
      <c r="O33" s="672">
        <f t="shared" si="17"/>
        <v>31208</v>
      </c>
      <c r="P33" s="2912">
        <f t="shared" si="18"/>
        <v>7271547</v>
      </c>
      <c r="Q33" s="1734">
        <f>'PAL I'!AK7+'PAL I'!AK8</f>
        <v>7271547</v>
      </c>
      <c r="R33" s="2920"/>
    </row>
    <row r="34" ht="14.25" spans="1:18">
      <c r="A34" s="18" t="s">
        <v>47</v>
      </c>
      <c r="B34" s="2832">
        <f>SUM(B22:B33)</f>
        <v>96303.5</v>
      </c>
      <c r="C34" s="20">
        <f>SUM(C22:C33)</f>
        <v>21514745.35</v>
      </c>
      <c r="D34" s="21">
        <f>IF(B34=0,0,(C34/B34))</f>
        <v>223.405643097084</v>
      </c>
      <c r="E34" s="2832">
        <f>SUM(E22:E33)</f>
        <v>186105.94</v>
      </c>
      <c r="F34" s="20">
        <f>SUM(F22:F33)</f>
        <v>44502828.1</v>
      </c>
      <c r="G34" s="37">
        <f>IF(E34=0,0,(F34/E34))</f>
        <v>239.126317515712</v>
      </c>
      <c r="H34" s="2864">
        <f>SUM(H22:H33)</f>
        <v>4305057.29</v>
      </c>
      <c r="I34" s="2895">
        <f t="shared" si="19"/>
        <v>282409.44</v>
      </c>
      <c r="J34" s="2896">
        <f t="shared" si="15"/>
        <v>70322631</v>
      </c>
      <c r="K34" s="63">
        <f t="shared" si="16"/>
        <v>249.009491325786</v>
      </c>
      <c r="L34" s="2815">
        <f>SUM(L22:L33)</f>
        <v>161343.6</v>
      </c>
      <c r="M34" s="2836">
        <f>SUM(M22:M33)</f>
        <v>19504938.8</v>
      </c>
      <c r="N34" s="21">
        <f>IF(L34=0,0,(M34/L34))</f>
        <v>120.890687947957</v>
      </c>
      <c r="O34" s="722">
        <f>SUM(O22:O33)</f>
        <v>443752</v>
      </c>
      <c r="P34" s="587">
        <f>SUM(P22:P33)</f>
        <v>89827572</v>
      </c>
      <c r="Q34" s="2921">
        <f>SUM(Q22:Q33)</f>
        <v>89827572</v>
      </c>
      <c r="R34" s="2922">
        <f>SUM(R22:R33)</f>
        <v>0</v>
      </c>
    </row>
    <row r="35" ht="14.25"/>
    <row r="36" ht="14.25" spans="1:13">
      <c r="A36" s="8" t="s">
        <v>144</v>
      </c>
      <c r="B36" s="28" t="s">
        <v>41</v>
      </c>
      <c r="C36" s="29"/>
      <c r="D36" s="29"/>
      <c r="E36" s="55" t="s">
        <v>42</v>
      </c>
      <c r="F36" s="29"/>
      <c r="G36" s="29"/>
      <c r="H36" s="55" t="s">
        <v>168</v>
      </c>
      <c r="I36" s="29"/>
      <c r="J36" s="56"/>
      <c r="K36" s="55" t="s">
        <v>47</v>
      </c>
      <c r="L36" s="29"/>
      <c r="M36" s="56"/>
    </row>
    <row r="37" spans="1:13">
      <c r="A37" s="12" t="s">
        <v>149</v>
      </c>
      <c r="B37" s="30">
        <v>900.45</v>
      </c>
      <c r="C37" s="31">
        <v>162626.5</v>
      </c>
      <c r="D37" s="2833">
        <f>IF(B37=0,0,C37/B37)</f>
        <v>180.605808207008</v>
      </c>
      <c r="E37" s="41"/>
      <c r="F37" s="31"/>
      <c r="G37" s="2833">
        <f>IF(E37=0,0,F37/E37)</f>
        <v>0</v>
      </c>
      <c r="H37" s="41">
        <v>4797.6</v>
      </c>
      <c r="I37" s="31">
        <v>702370</v>
      </c>
      <c r="J37" s="2833">
        <f>IF(H37=0,0,I37/H37)</f>
        <v>146.400283475071</v>
      </c>
      <c r="K37" s="41">
        <f>SUM(B37,E37,H37)</f>
        <v>5698.05</v>
      </c>
      <c r="L37" s="65">
        <f>SUM(C37,F37,I37)</f>
        <v>864996.5</v>
      </c>
      <c r="M37" s="15">
        <f>IF(K37=0,0,L37/K37)</f>
        <v>151.80570546064</v>
      </c>
    </row>
    <row r="38" spans="1:13">
      <c r="A38" s="16" t="s">
        <v>150</v>
      </c>
      <c r="B38" s="30">
        <v>195</v>
      </c>
      <c r="C38" s="31">
        <v>40083</v>
      </c>
      <c r="D38" s="2833">
        <f t="shared" ref="D38:D48" si="20">IF(B38=0,0,C38/B38)</f>
        <v>205.553846153846</v>
      </c>
      <c r="E38" s="41">
        <f>1908</f>
        <v>1908</v>
      </c>
      <c r="F38" s="31">
        <f>412345</f>
        <v>412345</v>
      </c>
      <c r="G38" s="2833">
        <f t="shared" ref="G38:G48" si="21">IF(E38=0,0,F38/E38)</f>
        <v>216.113731656184</v>
      </c>
      <c r="H38" s="41">
        <v>5704.65</v>
      </c>
      <c r="I38" s="31">
        <v>840700</v>
      </c>
      <c r="J38" s="2833">
        <f t="shared" ref="J38:J48" si="22">IF(H38=0,0,I38/H38)</f>
        <v>147.371004356095</v>
      </c>
      <c r="K38" s="41">
        <f t="shared" ref="K38:K40" si="23">SUM(B38,E38,H38)</f>
        <v>7807.65</v>
      </c>
      <c r="L38" s="65">
        <f t="shared" ref="L38:L48" si="24">SUM(C38,F38,I38)</f>
        <v>1293128</v>
      </c>
      <c r="M38" s="15">
        <f t="shared" ref="M38:M48" si="25">IF(K38=0,0,L38/K38)</f>
        <v>165.623202884351</v>
      </c>
    </row>
    <row r="39" spans="1:13">
      <c r="A39" s="16" t="s">
        <v>151</v>
      </c>
      <c r="B39" s="30">
        <v>289</v>
      </c>
      <c r="C39" s="31">
        <v>58267</v>
      </c>
      <c r="D39" s="2833">
        <f t="shared" si="20"/>
        <v>201.615916955017</v>
      </c>
      <c r="E39" s="41">
        <f>580</f>
        <v>580</v>
      </c>
      <c r="F39" s="31">
        <f>124700</f>
        <v>124700</v>
      </c>
      <c r="G39" s="2833">
        <f t="shared" si="21"/>
        <v>215</v>
      </c>
      <c r="H39" s="41">
        <f>4825.9+0.1</f>
        <v>4826</v>
      </c>
      <c r="I39" s="31">
        <v>725655</v>
      </c>
      <c r="J39" s="15">
        <f t="shared" si="22"/>
        <v>150.363655200995</v>
      </c>
      <c r="K39" s="41">
        <f t="shared" si="23"/>
        <v>5695</v>
      </c>
      <c r="L39" s="65">
        <f t="shared" si="24"/>
        <v>908622</v>
      </c>
      <c r="M39" s="15">
        <f t="shared" si="25"/>
        <v>159.547322212467</v>
      </c>
    </row>
    <row r="40" spans="1:13">
      <c r="A40" s="2811" t="s">
        <v>152</v>
      </c>
      <c r="B40" s="2834">
        <v>168</v>
      </c>
      <c r="C40" s="2822">
        <v>33485</v>
      </c>
      <c r="D40" s="2814">
        <f t="shared" si="20"/>
        <v>199.315476190476</v>
      </c>
      <c r="E40" s="2839"/>
      <c r="F40" s="2822"/>
      <c r="G40" s="2814">
        <f t="shared" si="21"/>
        <v>0</v>
      </c>
      <c r="H40" s="2839">
        <v>6780.8</v>
      </c>
      <c r="I40" s="2822">
        <v>1013210</v>
      </c>
      <c r="J40" s="2814">
        <f t="shared" si="22"/>
        <v>149.423371873525</v>
      </c>
      <c r="K40" s="2839">
        <f t="shared" si="23"/>
        <v>6948.8</v>
      </c>
      <c r="L40" s="2897">
        <f t="shared" si="24"/>
        <v>1046695</v>
      </c>
      <c r="M40" s="2814">
        <f t="shared" si="25"/>
        <v>150.629605111674</v>
      </c>
    </row>
    <row r="41" spans="1:13">
      <c r="A41" s="16" t="s">
        <v>153</v>
      </c>
      <c r="B41" s="30"/>
      <c r="C41" s="31"/>
      <c r="D41" s="2833">
        <f t="shared" si="20"/>
        <v>0</v>
      </c>
      <c r="E41" s="41">
        <f>405</f>
        <v>405</v>
      </c>
      <c r="F41" s="31">
        <f>87075</f>
        <v>87075</v>
      </c>
      <c r="G41" s="2833">
        <f t="shared" si="21"/>
        <v>215</v>
      </c>
      <c r="H41" s="41">
        <v>4998.6</v>
      </c>
      <c r="I41" s="31">
        <v>747142</v>
      </c>
      <c r="J41" s="15">
        <f t="shared" si="22"/>
        <v>149.470251670468</v>
      </c>
      <c r="K41" s="41">
        <f t="shared" ref="K41:K48" si="26">SUM(B41,E41,H41)</f>
        <v>5403.6</v>
      </c>
      <c r="L41" s="65">
        <f t="shared" si="24"/>
        <v>834217</v>
      </c>
      <c r="M41" s="15">
        <f t="shared" si="25"/>
        <v>154.381708490636</v>
      </c>
    </row>
    <row r="42" spans="1:13">
      <c r="A42" s="16" t="s">
        <v>154</v>
      </c>
      <c r="B42" s="30"/>
      <c r="C42" s="31"/>
      <c r="D42" s="2833">
        <f t="shared" si="20"/>
        <v>0</v>
      </c>
      <c r="E42" s="41"/>
      <c r="F42" s="31"/>
      <c r="G42" s="2833">
        <f t="shared" si="21"/>
        <v>0</v>
      </c>
      <c r="H42" s="41">
        <v>5020.2</v>
      </c>
      <c r="I42" s="31">
        <f>750225-22480</f>
        <v>727745</v>
      </c>
      <c r="J42" s="15">
        <f t="shared" si="22"/>
        <v>144.963348073782</v>
      </c>
      <c r="K42" s="41">
        <f t="shared" si="26"/>
        <v>5020.2</v>
      </c>
      <c r="L42" s="65">
        <f t="shared" si="24"/>
        <v>727745</v>
      </c>
      <c r="M42" s="15">
        <f t="shared" si="25"/>
        <v>144.963348073782</v>
      </c>
    </row>
    <row r="43" spans="1:13">
      <c r="A43" s="16" t="s">
        <v>155</v>
      </c>
      <c r="B43" s="30">
        <v>128</v>
      </c>
      <c r="C43" s="31">
        <v>25344</v>
      </c>
      <c r="D43" s="2833">
        <f t="shared" si="20"/>
        <v>198</v>
      </c>
      <c r="E43" s="41">
        <v>653</v>
      </c>
      <c r="F43" s="31">
        <v>143660</v>
      </c>
      <c r="G43" s="2833">
        <f t="shared" si="21"/>
        <v>220</v>
      </c>
      <c r="H43" s="41">
        <v>5785.2</v>
      </c>
      <c r="I43" s="31">
        <v>861274</v>
      </c>
      <c r="J43" s="15">
        <f t="shared" si="22"/>
        <v>148.875406208947</v>
      </c>
      <c r="K43" s="41">
        <f t="shared" si="26"/>
        <v>6566.2</v>
      </c>
      <c r="L43" s="65">
        <f t="shared" si="24"/>
        <v>1030278</v>
      </c>
      <c r="M43" s="15">
        <f t="shared" si="25"/>
        <v>156.906277603485</v>
      </c>
    </row>
    <row r="44" spans="1:13">
      <c r="A44" s="16" t="s">
        <v>156</v>
      </c>
      <c r="B44" s="30">
        <v>117</v>
      </c>
      <c r="C44" s="31">
        <v>23166</v>
      </c>
      <c r="D44" s="2833">
        <f t="shared" si="20"/>
        <v>198</v>
      </c>
      <c r="E44" s="41"/>
      <c r="F44" s="31"/>
      <c r="G44" s="2833">
        <f t="shared" si="21"/>
        <v>0</v>
      </c>
      <c r="H44" s="41">
        <v>5688.3</v>
      </c>
      <c r="I44" s="31">
        <v>854400</v>
      </c>
      <c r="J44" s="15">
        <f t="shared" si="22"/>
        <v>150.203048362428</v>
      </c>
      <c r="K44" s="41">
        <f t="shared" si="26"/>
        <v>5805.3</v>
      </c>
      <c r="L44" s="65">
        <f t="shared" si="24"/>
        <v>877566</v>
      </c>
      <c r="M44" s="15">
        <f t="shared" si="25"/>
        <v>151.166347992352</v>
      </c>
    </row>
    <row r="45" spans="1:13">
      <c r="A45" s="16" t="s">
        <v>157</v>
      </c>
      <c r="B45" s="30">
        <v>377</v>
      </c>
      <c r="C45" s="31">
        <v>74646</v>
      </c>
      <c r="D45" s="2833">
        <f t="shared" si="20"/>
        <v>198</v>
      </c>
      <c r="E45" s="41">
        <v>220</v>
      </c>
      <c r="F45" s="31">
        <v>48810</v>
      </c>
      <c r="G45" s="2833">
        <f t="shared" si="21"/>
        <v>221.863636363636</v>
      </c>
      <c r="H45" s="41">
        <v>4737.3</v>
      </c>
      <c r="I45" s="31">
        <v>709170</v>
      </c>
      <c r="J45" s="15">
        <f t="shared" si="22"/>
        <v>149.699195744411</v>
      </c>
      <c r="K45" s="41">
        <f t="shared" si="26"/>
        <v>5334.3</v>
      </c>
      <c r="L45" s="65">
        <f t="shared" si="24"/>
        <v>832626</v>
      </c>
      <c r="M45" s="15">
        <f t="shared" si="25"/>
        <v>156.089083853552</v>
      </c>
    </row>
    <row r="46" spans="1:13">
      <c r="A46" s="16" t="s">
        <v>158</v>
      </c>
      <c r="B46" s="32">
        <v>828</v>
      </c>
      <c r="C46" s="31">
        <v>139752</v>
      </c>
      <c r="D46" s="2833">
        <f t="shared" si="20"/>
        <v>168.782608695652</v>
      </c>
      <c r="E46" s="44">
        <v>453</v>
      </c>
      <c r="F46" s="33">
        <v>105630</v>
      </c>
      <c r="G46" s="2833">
        <f t="shared" si="21"/>
        <v>233.17880794702</v>
      </c>
      <c r="H46" s="44">
        <v>2164.2</v>
      </c>
      <c r="I46" s="33">
        <v>318776</v>
      </c>
      <c r="J46" s="15">
        <f t="shared" si="22"/>
        <v>147.295074392385</v>
      </c>
      <c r="K46" s="41">
        <f t="shared" si="26"/>
        <v>3445.2</v>
      </c>
      <c r="L46" s="65">
        <f t="shared" si="24"/>
        <v>564158</v>
      </c>
      <c r="M46" s="15">
        <f t="shared" si="25"/>
        <v>163.751886682921</v>
      </c>
    </row>
    <row r="47" spans="1:13">
      <c r="A47" s="16" t="s">
        <v>159</v>
      </c>
      <c r="B47" s="32">
        <v>54</v>
      </c>
      <c r="C47" s="31">
        <v>10812</v>
      </c>
      <c r="D47" s="2833">
        <f t="shared" si="20"/>
        <v>200.222222222222</v>
      </c>
      <c r="E47" s="44">
        <v>1263</v>
      </c>
      <c r="F47" s="33">
        <v>264910</v>
      </c>
      <c r="G47" s="2833">
        <f t="shared" si="21"/>
        <v>209.746634996041</v>
      </c>
      <c r="H47" s="44">
        <v>5103.1</v>
      </c>
      <c r="I47" s="33">
        <v>807620</v>
      </c>
      <c r="J47" s="15">
        <f t="shared" si="22"/>
        <v>158.260665085928</v>
      </c>
      <c r="K47" s="41">
        <f t="shared" si="26"/>
        <v>6420.1</v>
      </c>
      <c r="L47" s="65">
        <f t="shared" si="24"/>
        <v>1083342</v>
      </c>
      <c r="M47" s="15">
        <f t="shared" si="25"/>
        <v>168.742231429417</v>
      </c>
    </row>
    <row r="48" ht="14.25" spans="1:13">
      <c r="A48" s="17" t="s">
        <v>160</v>
      </c>
      <c r="B48" s="34">
        <v>911.5</v>
      </c>
      <c r="C48" s="31">
        <v>214126.5</v>
      </c>
      <c r="D48" s="2833">
        <f t="shared" si="20"/>
        <v>234.916620954471</v>
      </c>
      <c r="E48" s="47">
        <v>90</v>
      </c>
      <c r="F48" s="35">
        <v>20700</v>
      </c>
      <c r="G48" s="2833">
        <f t="shared" si="21"/>
        <v>230</v>
      </c>
      <c r="H48" s="47">
        <v>2928.6</v>
      </c>
      <c r="I48" s="35">
        <v>470125</v>
      </c>
      <c r="J48" s="15">
        <f t="shared" si="22"/>
        <v>160.528921669057</v>
      </c>
      <c r="K48" s="41">
        <f t="shared" si="26"/>
        <v>3930.1</v>
      </c>
      <c r="L48" s="65">
        <f t="shared" si="24"/>
        <v>704951.5</v>
      </c>
      <c r="M48" s="15">
        <f t="shared" si="25"/>
        <v>179.372407826773</v>
      </c>
    </row>
    <row r="49" ht="14.25" spans="1:13">
      <c r="A49" s="18" t="s">
        <v>47</v>
      </c>
      <c r="B49" s="2835">
        <f>SUM(B37:B48)</f>
        <v>3967.95</v>
      </c>
      <c r="C49" s="2836">
        <f>SUM(C37:C48)</f>
        <v>782308</v>
      </c>
      <c r="D49" s="21">
        <f>IF(B49=0,0,(C49/B49))</f>
        <v>197.156718204614</v>
      </c>
      <c r="E49" s="2815">
        <f>SUM(E37:E48)</f>
        <v>5572</v>
      </c>
      <c r="F49" s="2836">
        <f>SUM(F37:F48)</f>
        <v>1207830</v>
      </c>
      <c r="G49" s="21">
        <f>IF(E49=0,0,(F49/E49))</f>
        <v>216.767767408471</v>
      </c>
      <c r="H49" s="2815">
        <f>SUM(H37:H48)</f>
        <v>58534.55</v>
      </c>
      <c r="I49" s="2836">
        <f>SUM(I37:I48)</f>
        <v>8778187</v>
      </c>
      <c r="J49" s="21">
        <f>IF(H49=0,0,(I49/H49))</f>
        <v>149.965909022962</v>
      </c>
      <c r="K49" s="19">
        <f>SUM(K37:K48)</f>
        <v>68074.5</v>
      </c>
      <c r="L49" s="20">
        <f>SUM(L37:L48)</f>
        <v>10768325</v>
      </c>
      <c r="M49" s="21">
        <f>IF(K49=0,0,(L49/K49))</f>
        <v>158.184415603493</v>
      </c>
    </row>
    <row r="50" ht="14.25" spans="1:13">
      <c r="A50" s="1"/>
      <c r="B50" s="1"/>
      <c r="C50" s="1"/>
      <c r="D50" s="1"/>
      <c r="E50" s="1"/>
      <c r="F50" s="1"/>
      <c r="G50" s="1"/>
      <c r="H50" s="1"/>
      <c r="I50" s="1"/>
      <c r="J50" s="54"/>
      <c r="K50" s="53">
        <f>K49+B64</f>
        <v>81155.6</v>
      </c>
      <c r="L50" s="1"/>
      <c r="M50" s="1"/>
    </row>
    <row r="51" ht="14.25" spans="1:13">
      <c r="A51" s="27" t="s">
        <v>144</v>
      </c>
      <c r="B51" s="28" t="s">
        <v>44</v>
      </c>
      <c r="C51" s="29"/>
      <c r="D51" s="29"/>
      <c r="E51" s="28" t="s">
        <v>169</v>
      </c>
      <c r="F51" s="29"/>
      <c r="G51" s="29"/>
      <c r="H51" s="55" t="s">
        <v>47</v>
      </c>
      <c r="I51" s="29"/>
      <c r="J51" s="29"/>
      <c r="K51" s="2898" t="s">
        <v>170</v>
      </c>
      <c r="L51" s="2899"/>
      <c r="M51" s="2915"/>
    </row>
    <row r="52" spans="1:13">
      <c r="A52" s="12" t="s">
        <v>149</v>
      </c>
      <c r="B52" s="30">
        <v>2030</v>
      </c>
      <c r="C52" s="31">
        <v>329505</v>
      </c>
      <c r="D52" s="2814">
        <f t="shared" ref="D52:D63" si="27">IF(B52=0,0,C52/B52)</f>
        <v>162.317733990148</v>
      </c>
      <c r="E52" s="30"/>
      <c r="F52" s="31">
        <v>375</v>
      </c>
      <c r="G52" s="2833">
        <f t="shared" ref="G52:G63" si="28">IF(E52=0,0,F52/E52)</f>
        <v>0</v>
      </c>
      <c r="H52" s="41">
        <f>B52+E52</f>
        <v>2030</v>
      </c>
      <c r="I52" s="31">
        <f>C52+F52</f>
        <v>329880</v>
      </c>
      <c r="J52" s="59">
        <f t="shared" ref="J52:J63" si="29">IF(H52=0,0,I52/H52)</f>
        <v>162.502463054187</v>
      </c>
      <c r="K52" s="2867">
        <f>K37+H52</f>
        <v>7728.05</v>
      </c>
      <c r="L52" s="2900">
        <f>ROUNDDOWN((L37+I52),0)</f>
        <v>1194876</v>
      </c>
      <c r="M52" s="15">
        <f>IF(K52=0,0,L52/K52)</f>
        <v>154.615459268509</v>
      </c>
    </row>
    <row r="53" spans="1:13">
      <c r="A53" s="16" t="s">
        <v>150</v>
      </c>
      <c r="B53" s="30">
        <v>860</v>
      </c>
      <c r="C53" s="31">
        <v>144191</v>
      </c>
      <c r="D53" s="2814">
        <f t="shared" si="27"/>
        <v>167.663953488372</v>
      </c>
      <c r="E53" s="30"/>
      <c r="F53" s="31"/>
      <c r="G53" s="2833">
        <f t="shared" si="28"/>
        <v>0</v>
      </c>
      <c r="H53" s="41">
        <f t="shared" ref="H53:H63" si="30">B53+E53</f>
        <v>860</v>
      </c>
      <c r="I53" s="31">
        <f t="shared" ref="I53:I63" si="31">C53+F53</f>
        <v>144191</v>
      </c>
      <c r="J53" s="59">
        <f t="shared" si="29"/>
        <v>167.663953488372</v>
      </c>
      <c r="K53" s="2890">
        <f>K38+H53</f>
        <v>8667.65</v>
      </c>
      <c r="L53" s="1423">
        <f>L38+I53</f>
        <v>1437319</v>
      </c>
      <c r="M53" s="15">
        <f t="shared" ref="M53:M63" si="32">IF(K53=0,0,L53/K53)</f>
        <v>165.825685162645</v>
      </c>
    </row>
    <row r="54" spans="1:13">
      <c r="A54" s="16" t="s">
        <v>151</v>
      </c>
      <c r="B54" s="30">
        <v>1216</v>
      </c>
      <c r="C54" s="31">
        <f>212310</f>
        <v>212310</v>
      </c>
      <c r="D54" s="2814">
        <f t="shared" si="27"/>
        <v>174.597039473684</v>
      </c>
      <c r="E54" s="30">
        <v>50.9</v>
      </c>
      <c r="F54" s="31">
        <v>25760</v>
      </c>
      <c r="G54" s="2833">
        <f t="shared" si="28"/>
        <v>506.090373280943</v>
      </c>
      <c r="H54" s="41">
        <f t="shared" si="30"/>
        <v>1266.9</v>
      </c>
      <c r="I54" s="31">
        <f t="shared" si="31"/>
        <v>238070</v>
      </c>
      <c r="J54" s="59">
        <f t="shared" si="29"/>
        <v>187.915384008209</v>
      </c>
      <c r="K54" s="2890">
        <f t="shared" ref="K54:K60" si="33">K39+H54</f>
        <v>6961.9</v>
      </c>
      <c r="L54" s="1423">
        <f t="shared" ref="L54:L57" si="34">L39+I54</f>
        <v>1146692</v>
      </c>
      <c r="M54" s="15">
        <f t="shared" si="32"/>
        <v>164.709633864319</v>
      </c>
    </row>
    <row r="55" spans="1:13">
      <c r="A55" s="16" t="s">
        <v>152</v>
      </c>
      <c r="B55" s="30">
        <v>1683</v>
      </c>
      <c r="C55" s="31">
        <v>286425</v>
      </c>
      <c r="D55" s="2814">
        <f t="shared" si="27"/>
        <v>170.187165775401</v>
      </c>
      <c r="E55" s="30"/>
      <c r="F55" s="31"/>
      <c r="G55" s="2833">
        <f t="shared" si="28"/>
        <v>0</v>
      </c>
      <c r="H55" s="41">
        <f t="shared" si="30"/>
        <v>1683</v>
      </c>
      <c r="I55" s="31">
        <f t="shared" si="31"/>
        <v>286425</v>
      </c>
      <c r="J55" s="59">
        <f t="shared" si="29"/>
        <v>170.187165775401</v>
      </c>
      <c r="K55" s="2890">
        <f t="shared" si="33"/>
        <v>8631.8</v>
      </c>
      <c r="L55" s="1423">
        <f t="shared" si="34"/>
        <v>1333120</v>
      </c>
      <c r="M55" s="15">
        <f t="shared" si="32"/>
        <v>154.442874023958</v>
      </c>
    </row>
    <row r="56" spans="1:13">
      <c r="A56" s="16" t="s">
        <v>153</v>
      </c>
      <c r="B56" s="30">
        <v>739</v>
      </c>
      <c r="C56" s="31">
        <v>126369</v>
      </c>
      <c r="D56" s="2814">
        <f t="shared" si="27"/>
        <v>171</v>
      </c>
      <c r="E56" s="30">
        <f>15+299</f>
        <v>314</v>
      </c>
      <c r="F56" s="31">
        <f>5775+37973</f>
        <v>43748</v>
      </c>
      <c r="G56" s="2833">
        <f t="shared" si="28"/>
        <v>139.324840764331</v>
      </c>
      <c r="H56" s="41">
        <f t="shared" si="30"/>
        <v>1053</v>
      </c>
      <c r="I56" s="31">
        <f t="shared" si="31"/>
        <v>170117</v>
      </c>
      <c r="J56" s="59">
        <f t="shared" si="29"/>
        <v>161.554605887939</v>
      </c>
      <c r="K56" s="2890">
        <f t="shared" si="33"/>
        <v>6456.6</v>
      </c>
      <c r="L56" s="1423">
        <f t="shared" si="34"/>
        <v>1004334</v>
      </c>
      <c r="M56" s="15">
        <f t="shared" si="32"/>
        <v>155.551528668339</v>
      </c>
    </row>
    <row r="57" spans="1:13">
      <c r="A57" s="16" t="s">
        <v>154</v>
      </c>
      <c r="B57" s="30">
        <v>805</v>
      </c>
      <c r="C57" s="31">
        <v>137655</v>
      </c>
      <c r="D57" s="2814">
        <f t="shared" si="27"/>
        <v>171</v>
      </c>
      <c r="E57" s="30">
        <f>49+298</f>
        <v>347</v>
      </c>
      <c r="F57" s="31">
        <f>23100+39118</f>
        <v>62218</v>
      </c>
      <c r="G57" s="2833">
        <f t="shared" si="28"/>
        <v>179.302593659942</v>
      </c>
      <c r="H57" s="41">
        <f t="shared" si="30"/>
        <v>1152</v>
      </c>
      <c r="I57" s="31">
        <f t="shared" si="31"/>
        <v>199873</v>
      </c>
      <c r="J57" s="59">
        <f t="shared" si="29"/>
        <v>173.500868055556</v>
      </c>
      <c r="K57" s="2890">
        <f t="shared" si="33"/>
        <v>6172.2</v>
      </c>
      <c r="L57" s="1423">
        <f t="shared" si="34"/>
        <v>927618</v>
      </c>
      <c r="M57" s="15">
        <f t="shared" ref="M57:M62" si="35">IF(K57=0,0,L57/K57)</f>
        <v>150.289686011471</v>
      </c>
    </row>
    <row r="58" spans="1:13">
      <c r="A58" s="16" t="s">
        <v>155</v>
      </c>
      <c r="B58" s="30">
        <v>578</v>
      </c>
      <c r="C58" s="31">
        <v>98838</v>
      </c>
      <c r="D58" s="2814">
        <f t="shared" si="27"/>
        <v>171</v>
      </c>
      <c r="E58" s="30">
        <v>27</v>
      </c>
      <c r="F58" s="31">
        <v>13832</v>
      </c>
      <c r="G58" s="2833">
        <f t="shared" si="28"/>
        <v>512.296296296296</v>
      </c>
      <c r="H58" s="41">
        <f t="shared" si="30"/>
        <v>605</v>
      </c>
      <c r="I58" s="31">
        <f t="shared" si="31"/>
        <v>112670</v>
      </c>
      <c r="J58" s="59">
        <f t="shared" si="29"/>
        <v>186.231404958678</v>
      </c>
      <c r="K58" s="2890">
        <f t="shared" si="33"/>
        <v>7171.2</v>
      </c>
      <c r="L58" s="1423">
        <f t="shared" ref="L58:L62" si="36">L43+I58</f>
        <v>1142948</v>
      </c>
      <c r="M58" s="15">
        <f t="shared" si="35"/>
        <v>159.380298973672</v>
      </c>
    </row>
    <row r="59" spans="1:13">
      <c r="A59" s="16" t="s">
        <v>156</v>
      </c>
      <c r="B59" s="30">
        <v>1010</v>
      </c>
      <c r="C59" s="31">
        <v>172710</v>
      </c>
      <c r="D59" s="2814">
        <f t="shared" si="27"/>
        <v>171</v>
      </c>
      <c r="E59" s="30">
        <v>9008</v>
      </c>
      <c r="F59" s="31">
        <v>1009481</v>
      </c>
      <c r="G59" s="2833">
        <f t="shared" si="28"/>
        <v>112.064942273535</v>
      </c>
      <c r="H59" s="41">
        <f t="shared" si="30"/>
        <v>10018</v>
      </c>
      <c r="I59" s="31">
        <f t="shared" si="31"/>
        <v>1182191</v>
      </c>
      <c r="J59" s="59">
        <f t="shared" si="29"/>
        <v>118.006687961669</v>
      </c>
      <c r="K59" s="2890">
        <f t="shared" si="33"/>
        <v>15823.3</v>
      </c>
      <c r="L59" s="1423">
        <f t="shared" si="36"/>
        <v>2059757</v>
      </c>
      <c r="M59" s="15">
        <f t="shared" si="35"/>
        <v>130.172403986526</v>
      </c>
    </row>
    <row r="60" spans="1:13">
      <c r="A60" s="16" t="s">
        <v>157</v>
      </c>
      <c r="B60" s="30">
        <v>810.1</v>
      </c>
      <c r="C60" s="31">
        <v>137265</v>
      </c>
      <c r="D60" s="2814">
        <f t="shared" si="27"/>
        <v>169.442044192075</v>
      </c>
      <c r="E60" s="30">
        <v>110</v>
      </c>
      <c r="F60" s="31">
        <v>13970</v>
      </c>
      <c r="G60" s="2833">
        <f t="shared" si="28"/>
        <v>127</v>
      </c>
      <c r="H60" s="41">
        <f t="shared" si="30"/>
        <v>920.1</v>
      </c>
      <c r="I60" s="31">
        <f t="shared" si="31"/>
        <v>151235</v>
      </c>
      <c r="J60" s="59">
        <f t="shared" si="29"/>
        <v>164.368003477883</v>
      </c>
      <c r="K60" s="2890">
        <f t="shared" si="33"/>
        <v>6254.4</v>
      </c>
      <c r="L60" s="1423">
        <f t="shared" si="36"/>
        <v>983861</v>
      </c>
      <c r="M60" s="15">
        <f t="shared" si="35"/>
        <v>157.307015860834</v>
      </c>
    </row>
    <row r="61" spans="1:13">
      <c r="A61" s="16" t="s">
        <v>158</v>
      </c>
      <c r="B61" s="30">
        <v>810</v>
      </c>
      <c r="C61" s="31">
        <v>138510</v>
      </c>
      <c r="D61" s="2814">
        <f t="shared" si="27"/>
        <v>171</v>
      </c>
      <c r="E61" s="32"/>
      <c r="F61" s="31"/>
      <c r="G61" s="2833">
        <f t="shared" si="28"/>
        <v>0</v>
      </c>
      <c r="H61" s="41">
        <f t="shared" si="30"/>
        <v>810</v>
      </c>
      <c r="I61" s="31">
        <f t="shared" si="31"/>
        <v>138510</v>
      </c>
      <c r="J61" s="59">
        <f t="shared" si="29"/>
        <v>171</v>
      </c>
      <c r="K61" s="2890">
        <f t="shared" ref="K61:K63" si="37">K46+B61</f>
        <v>4255.2</v>
      </c>
      <c r="L61" s="1423">
        <f t="shared" si="36"/>
        <v>702668</v>
      </c>
      <c r="M61" s="15">
        <f t="shared" si="35"/>
        <v>165.131603684903</v>
      </c>
    </row>
    <row r="62" spans="1:13">
      <c r="A62" s="16" t="s">
        <v>159</v>
      </c>
      <c r="B62" s="30">
        <v>500</v>
      </c>
      <c r="C62" s="31">
        <v>85500</v>
      </c>
      <c r="D62" s="2814">
        <f t="shared" si="27"/>
        <v>171</v>
      </c>
      <c r="E62" s="32"/>
      <c r="F62" s="31"/>
      <c r="G62" s="2833">
        <f t="shared" si="28"/>
        <v>0</v>
      </c>
      <c r="H62" s="41">
        <f t="shared" si="30"/>
        <v>500</v>
      </c>
      <c r="I62" s="31">
        <f t="shared" si="31"/>
        <v>85500</v>
      </c>
      <c r="J62" s="59">
        <f t="shared" si="29"/>
        <v>171</v>
      </c>
      <c r="K62" s="2890">
        <f t="shared" si="37"/>
        <v>6920.1</v>
      </c>
      <c r="L62" s="1423">
        <f t="shared" si="36"/>
        <v>1168842</v>
      </c>
      <c r="M62" s="15">
        <f t="shared" si="35"/>
        <v>168.905362639268</v>
      </c>
    </row>
    <row r="63" ht="14.25" spans="1:13">
      <c r="A63" s="17" t="s">
        <v>160</v>
      </c>
      <c r="B63" s="30">
        <v>2040</v>
      </c>
      <c r="C63" s="31">
        <v>417840</v>
      </c>
      <c r="D63" s="2814">
        <f t="shared" si="27"/>
        <v>204.823529411765</v>
      </c>
      <c r="E63" s="34"/>
      <c r="F63" s="31"/>
      <c r="G63" s="2833">
        <f t="shared" si="28"/>
        <v>0</v>
      </c>
      <c r="H63" s="41">
        <f t="shared" si="30"/>
        <v>2040</v>
      </c>
      <c r="I63" s="31">
        <f t="shared" si="31"/>
        <v>417840</v>
      </c>
      <c r="J63" s="59">
        <f t="shared" si="29"/>
        <v>204.823529411765</v>
      </c>
      <c r="K63" s="2890">
        <f t="shared" si="37"/>
        <v>5970.1</v>
      </c>
      <c r="L63" s="1423">
        <f>ROUND((L48+I63),0)</f>
        <v>1122792</v>
      </c>
      <c r="M63" s="15">
        <f t="shared" si="32"/>
        <v>188.069211570995</v>
      </c>
    </row>
    <row r="64" ht="14.25" spans="1:13">
      <c r="A64" s="18" t="s">
        <v>47</v>
      </c>
      <c r="B64" s="36">
        <f>SUM(B52:B63)</f>
        <v>13081.1</v>
      </c>
      <c r="C64" s="20">
        <f>SUM(C52:C63)</f>
        <v>2287118</v>
      </c>
      <c r="D64" s="21">
        <f>IF(B64=0,0,(C64/B64))</f>
        <v>174.841412419445</v>
      </c>
      <c r="E64" s="36">
        <f>SUM(E52:E63)</f>
        <v>9856.9</v>
      </c>
      <c r="F64" s="20">
        <f>SUM(F52:F63)</f>
        <v>1169384</v>
      </c>
      <c r="G64" s="21">
        <f>IF(E64=0,0,(F64/E64))</f>
        <v>118.636082338261</v>
      </c>
      <c r="H64" s="19">
        <f>SUM(H52:H63)</f>
        <v>22938</v>
      </c>
      <c r="I64" s="20">
        <f>SUM(I52:I63)</f>
        <v>3456502</v>
      </c>
      <c r="J64" s="37">
        <f>IF(H64=0,0,(I64/H64))</f>
        <v>150.68890051443</v>
      </c>
      <c r="K64" s="19">
        <f>SUM(K52:K63)</f>
        <v>91012.5</v>
      </c>
      <c r="L64" s="723">
        <f>SUM(L52:L63)</f>
        <v>14224827</v>
      </c>
      <c r="M64" s="2916">
        <f>L64/K64</f>
        <v>156.295311083642</v>
      </c>
    </row>
  </sheetData>
  <mergeCells count="19">
    <mergeCell ref="B3:D3"/>
    <mergeCell ref="E3:G3"/>
    <mergeCell ref="H3:J3"/>
    <mergeCell ref="K3:M3"/>
    <mergeCell ref="A20:J20"/>
    <mergeCell ref="B21:D21"/>
    <mergeCell ref="E21:G21"/>
    <mergeCell ref="I21:K21"/>
    <mergeCell ref="L21:N21"/>
    <mergeCell ref="O21:P21"/>
    <mergeCell ref="B36:D36"/>
    <mergeCell ref="E36:G36"/>
    <mergeCell ref="H36:J36"/>
    <mergeCell ref="K36:M36"/>
    <mergeCell ref="B51:D51"/>
    <mergeCell ref="E51:G51"/>
    <mergeCell ref="H51:J51"/>
    <mergeCell ref="K51:M51"/>
    <mergeCell ref="N3:N4"/>
  </mergeCells>
  <pageMargins left="0.7" right="0.7" top="0.75" bottom="0.75" header="0.3" footer="0.3"/>
  <pageSetup paperSize="9" orientation="portrait" horizontalDpi="360" verticalDpi="36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61"/>
  <sheetViews>
    <sheetView showZeros="0" topLeftCell="N22" workbookViewId="0">
      <selection activeCell="AA1" sqref="AA$1:AA$1048576"/>
    </sheetView>
  </sheetViews>
  <sheetFormatPr defaultColWidth="9" defaultRowHeight="13.5"/>
  <cols>
    <col min="1" max="1" width="33.8571428571429" customWidth="1"/>
    <col min="2" max="13" width="16.8571428571429" customWidth="1"/>
    <col min="14" max="14" width="18.1428571428571" customWidth="1"/>
    <col min="15" max="15" width="13.2857142857143" customWidth="1"/>
    <col min="16" max="16" width="10" customWidth="1"/>
    <col min="17" max="17" width="12.5714285714286" customWidth="1"/>
    <col min="18" max="18" width="35.2857142857143" customWidth="1"/>
    <col min="19" max="19" width="10.7142857142857" customWidth="1"/>
    <col min="20" max="20" width="10.1428571428571" customWidth="1"/>
    <col min="21" max="21" width="10.7142857142857" customWidth="1"/>
    <col min="22" max="25" width="10.4285714285714" customWidth="1"/>
    <col min="26" max="26" width="9.57142857142857" customWidth="1"/>
    <col min="27" max="27" width="10.4285714285714" customWidth="1"/>
    <col min="28" max="30" width="9.57142857142857" customWidth="1"/>
    <col min="31" max="31" width="11.7142857142857" customWidth="1"/>
    <col min="32" max="32" width="11" customWidth="1"/>
    <col min="33" max="33" width="9.57142857142857" customWidth="1"/>
  </cols>
  <sheetData>
    <row r="1" spans="1:13">
      <c r="A1" s="2648" t="s">
        <v>171</v>
      </c>
      <c r="B1" s="2648"/>
      <c r="C1" s="1677"/>
      <c r="D1" s="1677"/>
      <c r="E1" s="1677"/>
      <c r="F1" s="1677"/>
      <c r="G1" s="1677"/>
      <c r="H1" s="1677"/>
      <c r="I1" s="1677"/>
      <c r="J1" s="1677"/>
      <c r="K1" s="1677"/>
      <c r="L1" s="1677"/>
      <c r="M1" s="1677"/>
    </row>
    <row r="2" ht="15" customHeight="1" spans="1:33">
      <c r="A2" s="2649" t="s">
        <v>51</v>
      </c>
      <c r="B2" s="2560" t="s">
        <v>17</v>
      </c>
      <c r="C2" s="2560" t="s">
        <v>18</v>
      </c>
      <c r="D2" s="2560" t="s">
        <v>19</v>
      </c>
      <c r="E2" s="2560" t="s">
        <v>20</v>
      </c>
      <c r="F2" s="2560" t="s">
        <v>21</v>
      </c>
      <c r="G2" s="2560" t="s">
        <v>22</v>
      </c>
      <c r="H2" s="2560" t="s">
        <v>23</v>
      </c>
      <c r="I2" s="2560" t="s">
        <v>24</v>
      </c>
      <c r="J2" s="2560" t="s">
        <v>25</v>
      </c>
      <c r="K2" s="2560" t="s">
        <v>26</v>
      </c>
      <c r="L2" s="2560" t="s">
        <v>27</v>
      </c>
      <c r="M2" s="2560" t="s">
        <v>28</v>
      </c>
      <c r="N2" s="1680" t="s">
        <v>52</v>
      </c>
      <c r="O2" s="2700" t="s">
        <v>172</v>
      </c>
      <c r="P2" s="2701" t="s">
        <v>173</v>
      </c>
      <c r="S2" s="159">
        <f>'Inventory Sales'!$B$11</f>
        <v>103620.87</v>
      </c>
      <c r="T2" s="159">
        <f>'Inventory Sales'!$E$11</f>
        <v>138460.75</v>
      </c>
      <c r="U2" s="159">
        <f>'Inventory Sales'!$H$11</f>
        <v>122263.84</v>
      </c>
      <c r="V2" s="159">
        <f>'Inventory Sales'!$K$11</f>
        <v>113619.8</v>
      </c>
      <c r="W2" s="159">
        <f>'Inventory Sales'!$N$11</f>
        <v>110361.49</v>
      </c>
      <c r="X2" s="159">
        <f>'Inventory Sales'!$Q$11</f>
        <v>96013.76</v>
      </c>
      <c r="Y2" s="159">
        <f>'Inventory Sales'!$T$11</f>
        <v>93720.65</v>
      </c>
      <c r="Z2" s="159">
        <f>'Inventory Sales'!$W$11</f>
        <v>129573.21</v>
      </c>
      <c r="AA2" s="159">
        <f>'Inventory Sales'!$Z$11</f>
        <v>87201.19</v>
      </c>
      <c r="AB2" s="159">
        <f>'Inventory Sales'!$AC$11</f>
        <v>119805.5</v>
      </c>
      <c r="AC2" s="159">
        <f>'Inventory Sales'!$AF$11</f>
        <v>128216.87</v>
      </c>
      <c r="AD2" s="159">
        <f>'Inventory Sales'!$AI$11</f>
        <v>164514.16</v>
      </c>
      <c r="AE2" s="159">
        <f>SUM(S2:AD2)</f>
        <v>1407372.09</v>
      </c>
      <c r="AG2">
        <v>12</v>
      </c>
    </row>
    <row r="3" ht="16.5" spans="1:35">
      <c r="A3" s="2650" t="s">
        <v>174</v>
      </c>
      <c r="B3" s="2651" t="s">
        <v>116</v>
      </c>
      <c r="C3" s="2652" t="s">
        <v>116</v>
      </c>
      <c r="D3" s="2651" t="s">
        <v>116</v>
      </c>
      <c r="E3" s="2652" t="s">
        <v>116</v>
      </c>
      <c r="F3" s="2677" t="s">
        <v>116</v>
      </c>
      <c r="G3" s="2652" t="s">
        <v>116</v>
      </c>
      <c r="H3" s="2677" t="s">
        <v>116</v>
      </c>
      <c r="I3" s="2691" t="s">
        <v>116</v>
      </c>
      <c r="J3" s="2677"/>
      <c r="K3" s="2691"/>
      <c r="L3" s="2677"/>
      <c r="M3" s="2651"/>
      <c r="N3" s="2702" t="s">
        <v>116</v>
      </c>
      <c r="O3" s="2703">
        <v>7</v>
      </c>
      <c r="P3" s="164">
        <f>'PAL I'!AN12</f>
        <v>414881627</v>
      </c>
      <c r="R3" s="844" t="s">
        <v>175</v>
      </c>
      <c r="S3" s="2719" t="s">
        <v>17</v>
      </c>
      <c r="T3" s="2720" t="s">
        <v>18</v>
      </c>
      <c r="U3" s="2720" t="s">
        <v>19</v>
      </c>
      <c r="V3" s="2720" t="s">
        <v>20</v>
      </c>
      <c r="W3" s="2720" t="s">
        <v>21</v>
      </c>
      <c r="X3" s="2720" t="s">
        <v>22</v>
      </c>
      <c r="Y3" s="2720" t="s">
        <v>23</v>
      </c>
      <c r="Z3" s="2720" t="s">
        <v>24</v>
      </c>
      <c r="AA3" s="2720" t="s">
        <v>25</v>
      </c>
      <c r="AB3" s="2720" t="s">
        <v>26</v>
      </c>
      <c r="AC3" s="2720" t="s">
        <v>27</v>
      </c>
      <c r="AD3" s="2720" t="s">
        <v>28</v>
      </c>
      <c r="AE3" s="2791" t="s">
        <v>52</v>
      </c>
      <c r="AG3" s="193" t="s">
        <v>176</v>
      </c>
      <c r="AI3" s="2805">
        <f>N4/'PAL I'!$AN$12</f>
        <v>0.0966447955045259</v>
      </c>
    </row>
    <row r="4" ht="16.5" spans="1:34">
      <c r="A4" s="2653" t="s">
        <v>177</v>
      </c>
      <c r="B4" s="2654">
        <v>3164931</v>
      </c>
      <c r="C4" s="2654">
        <v>3100992</v>
      </c>
      <c r="D4" s="2655">
        <v>3145755</v>
      </c>
      <c r="E4" s="2654">
        <v>3504798</v>
      </c>
      <c r="F4" s="2678">
        <v>3304573</v>
      </c>
      <c r="G4" s="2679">
        <v>4259816</v>
      </c>
      <c r="H4" s="2680">
        <v>3239750</v>
      </c>
      <c r="I4" s="2692">
        <f>3265646+4660</f>
        <v>3270306</v>
      </c>
      <c r="J4" s="2682">
        <v>3311626</v>
      </c>
      <c r="K4" s="2693">
        <v>3262509</v>
      </c>
      <c r="L4" s="2682">
        <f>3252773+384</f>
        <v>3253157</v>
      </c>
      <c r="M4" s="2693">
        <v>3277937</v>
      </c>
      <c r="N4" s="2704">
        <f t="shared" ref="N4:N12" si="0">SUM(B4:M4)</f>
        <v>40096150</v>
      </c>
      <c r="O4" s="2705">
        <f>ROUND((N4/$O$3),0)</f>
        <v>5728021</v>
      </c>
      <c r="P4" s="2097">
        <f>N4/$P$3</f>
        <v>0.0966447955045259</v>
      </c>
      <c r="Q4" s="164">
        <f>(G4-F4)</f>
        <v>955243</v>
      </c>
      <c r="R4" s="2721" t="s">
        <v>178</v>
      </c>
      <c r="S4" s="2722">
        <v>260305</v>
      </c>
      <c r="T4" s="2723">
        <v>266537</v>
      </c>
      <c r="U4" s="2723">
        <v>253195</v>
      </c>
      <c r="V4" s="2723">
        <v>245019</v>
      </c>
      <c r="W4" s="2723">
        <v>230894</v>
      </c>
      <c r="X4" s="2760">
        <v>227525</v>
      </c>
      <c r="Y4" s="2723">
        <v>234148</v>
      </c>
      <c r="Z4" s="2723">
        <v>191864</v>
      </c>
      <c r="AA4" s="2776">
        <v>206054</v>
      </c>
      <c r="AB4" s="2760">
        <v>245081</v>
      </c>
      <c r="AC4" s="2792">
        <v>253196</v>
      </c>
      <c r="AD4" s="2723">
        <v>263443</v>
      </c>
      <c r="AE4" s="2793">
        <f>SUM(S4:AD4)</f>
        <v>2877261</v>
      </c>
      <c r="AF4" s="97">
        <f>AE4/$AE$2</f>
        <v>2.04442096048672</v>
      </c>
      <c r="AG4" s="164">
        <f>AE4/$AG$2</f>
        <v>239771.75</v>
      </c>
      <c r="AH4" s="829">
        <f>AE4/'PAL I'!$AN$12</f>
        <v>0.00693513718793819</v>
      </c>
    </row>
    <row r="5" ht="16.5" spans="1:34">
      <c r="A5" s="2656" t="s">
        <v>179</v>
      </c>
      <c r="B5" s="2657">
        <v>4458</v>
      </c>
      <c r="C5" s="2657">
        <v>8456</v>
      </c>
      <c r="D5" s="2658">
        <v>5760</v>
      </c>
      <c r="E5" s="2681">
        <v>5152</v>
      </c>
      <c r="F5" s="2657">
        <v>5949</v>
      </c>
      <c r="G5" s="2657">
        <f>6874+560</f>
        <v>7434</v>
      </c>
      <c r="H5" s="2658">
        <v>9762</v>
      </c>
      <c r="I5" s="2689">
        <v>8539</v>
      </c>
      <c r="J5" s="2694">
        <v>8883</v>
      </c>
      <c r="K5" s="2689">
        <v>8308</v>
      </c>
      <c r="L5" s="2658">
        <v>3175</v>
      </c>
      <c r="M5" s="2689">
        <v>5578</v>
      </c>
      <c r="N5" s="2706">
        <f t="shared" si="0"/>
        <v>81454</v>
      </c>
      <c r="O5" s="2707">
        <f>ROUND((N5/$O$3),0)</f>
        <v>11636</v>
      </c>
      <c r="P5" s="2708">
        <f t="shared" ref="P5:P9" si="1">N5/$P$3</f>
        <v>0.000196330699406942</v>
      </c>
      <c r="Q5" s="164"/>
      <c r="R5" s="2724" t="s">
        <v>180</v>
      </c>
      <c r="S5" s="2725">
        <v>641461</v>
      </c>
      <c r="T5" s="2726">
        <v>630793</v>
      </c>
      <c r="U5" s="2726">
        <v>623439</v>
      </c>
      <c r="V5" s="2726">
        <v>635423</v>
      </c>
      <c r="W5" s="2726">
        <v>657932</v>
      </c>
      <c r="X5" s="2761">
        <v>672730</v>
      </c>
      <c r="Y5" s="2726">
        <v>645098</v>
      </c>
      <c r="Z5" s="2726">
        <v>630488</v>
      </c>
      <c r="AA5" s="2777">
        <v>632107</v>
      </c>
      <c r="AB5" s="2761">
        <v>617622</v>
      </c>
      <c r="AC5" s="2794">
        <v>626838</v>
      </c>
      <c r="AD5" s="2726">
        <v>553496</v>
      </c>
      <c r="AE5" s="2795">
        <f t="shared" ref="AE5:AE19" si="2">SUM(S5:AD5)</f>
        <v>7567427</v>
      </c>
      <c r="AF5" s="97">
        <f t="shared" ref="AF5:AF52" si="3">AE5/$AE$2</f>
        <v>5.37699095624385</v>
      </c>
      <c r="AG5" s="164">
        <f t="shared" ref="AG5:AG15" si="4">AE5/$AG$2</f>
        <v>630618.916666667</v>
      </c>
      <c r="AH5" s="829">
        <f>AE5/'PAL I'!$AN$12</f>
        <v>0.0182399665531585</v>
      </c>
    </row>
    <row r="6" ht="17.25" spans="1:34">
      <c r="A6" s="2659" t="s">
        <v>181</v>
      </c>
      <c r="B6" s="2660">
        <v>125000</v>
      </c>
      <c r="C6" s="2660">
        <v>125000</v>
      </c>
      <c r="D6" s="2661">
        <v>125000</v>
      </c>
      <c r="E6" s="2660">
        <v>125000</v>
      </c>
      <c r="F6" s="2660">
        <v>125000</v>
      </c>
      <c r="G6" s="2660">
        <v>125000</v>
      </c>
      <c r="H6" s="2682">
        <v>125000</v>
      </c>
      <c r="I6" s="2695">
        <v>125000</v>
      </c>
      <c r="J6" s="2680">
        <v>125000</v>
      </c>
      <c r="K6" s="2693">
        <v>125000</v>
      </c>
      <c r="L6" s="2661">
        <v>125000</v>
      </c>
      <c r="M6" s="2693">
        <v>125000</v>
      </c>
      <c r="N6" s="2706">
        <f t="shared" si="0"/>
        <v>1500000</v>
      </c>
      <c r="O6" s="2707">
        <f>ROUND((N6/$O$3),0)</f>
        <v>214286</v>
      </c>
      <c r="P6" s="2708">
        <f t="shared" si="1"/>
        <v>0.00361548909949681</v>
      </c>
      <c r="R6" s="2727" t="s">
        <v>182</v>
      </c>
      <c r="S6" s="2728">
        <f t="shared" ref="S6:Y6" si="5">B7+B8</f>
        <v>6769519.5</v>
      </c>
      <c r="T6" s="2729">
        <f t="shared" si="5"/>
        <v>6325290</v>
      </c>
      <c r="U6" s="2729">
        <f t="shared" si="5"/>
        <v>6012211</v>
      </c>
      <c r="V6" s="2729">
        <f t="shared" si="5"/>
        <v>7034404</v>
      </c>
      <c r="W6" s="2729">
        <f t="shared" si="5"/>
        <v>6751563.75</v>
      </c>
      <c r="X6" s="2762">
        <f t="shared" si="5"/>
        <v>7111108.5</v>
      </c>
      <c r="Y6" s="2762">
        <f t="shared" si="5"/>
        <v>5407395.5</v>
      </c>
      <c r="Z6" s="2729">
        <f>INT(I7+I8)</f>
        <v>5947703</v>
      </c>
      <c r="AA6" s="2778">
        <f>INT(J7+J8)</f>
        <v>6577862</v>
      </c>
      <c r="AB6" s="2778">
        <f>INT(K7+K8)</f>
        <v>6880405</v>
      </c>
      <c r="AC6" s="2778">
        <f>INT(L7+L8)</f>
        <v>6337386</v>
      </c>
      <c r="AD6" s="2778">
        <f>INT(M7+M8)</f>
        <v>6046500</v>
      </c>
      <c r="AE6" s="2796">
        <f t="shared" si="2"/>
        <v>77201348.25</v>
      </c>
      <c r="AF6" s="234">
        <f t="shared" si="3"/>
        <v>54.8549660736842</v>
      </c>
      <c r="AG6" s="164">
        <f t="shared" si="4"/>
        <v>6433445.6875</v>
      </c>
      <c r="AH6" s="2805">
        <f>AE6/'PAL I'!$AN$12</f>
        <v>0.186080422042888</v>
      </c>
    </row>
    <row r="7" ht="16.5" spans="1:34">
      <c r="A7" s="2659" t="s">
        <v>183</v>
      </c>
      <c r="B7" s="2662">
        <f>1239242+5006840</f>
        <v>6246082</v>
      </c>
      <c r="C7" s="2662">
        <f>1126041+4390366</f>
        <v>5516407</v>
      </c>
      <c r="D7" s="2663">
        <f>1134716+4164532.5</f>
        <v>5299248.5</v>
      </c>
      <c r="E7" s="2662">
        <f>1555947+4671255</f>
        <v>6227202</v>
      </c>
      <c r="F7" s="2662">
        <f>1472853+4555197.5</f>
        <v>6028050.5</v>
      </c>
      <c r="G7" s="2662">
        <v>6168526.5</v>
      </c>
      <c r="H7" s="2683">
        <f>1077265+3719991.5</f>
        <v>4797256.5</v>
      </c>
      <c r="I7" s="2696">
        <v>5156520.5</v>
      </c>
      <c r="J7" s="2664">
        <v>5851885</v>
      </c>
      <c r="K7" s="2696">
        <v>6102673</v>
      </c>
      <c r="L7" s="2663">
        <v>5274204</v>
      </c>
      <c r="M7" s="2662">
        <v>5085664</v>
      </c>
      <c r="N7" s="2706">
        <f t="shared" si="0"/>
        <v>67753719.5</v>
      </c>
      <c r="O7" s="2707">
        <f>ROUND((N7/$O$3),0)</f>
        <v>9679103</v>
      </c>
      <c r="P7" s="2709">
        <f t="shared" si="1"/>
        <v>0.163308556201743</v>
      </c>
      <c r="R7" s="2730" t="s">
        <v>184</v>
      </c>
      <c r="S7" s="2722">
        <v>722294</v>
      </c>
      <c r="T7" s="2723">
        <v>674897</v>
      </c>
      <c r="U7" s="2723">
        <v>721644</v>
      </c>
      <c r="V7" s="2723">
        <v>815210</v>
      </c>
      <c r="W7" s="2723">
        <v>866453</v>
      </c>
      <c r="X7" s="2760">
        <v>865380</v>
      </c>
      <c r="Y7" s="2723">
        <v>824245</v>
      </c>
      <c r="Z7" s="2723">
        <v>808151</v>
      </c>
      <c r="AA7" s="2776">
        <v>854802</v>
      </c>
      <c r="AB7" s="2760">
        <v>852278</v>
      </c>
      <c r="AC7" s="2792">
        <v>830833</v>
      </c>
      <c r="AD7" s="2723">
        <v>629815</v>
      </c>
      <c r="AE7" s="2797">
        <f t="shared" si="2"/>
        <v>9466002</v>
      </c>
      <c r="AF7" s="97">
        <f t="shared" si="3"/>
        <v>6.72601230851466</v>
      </c>
      <c r="AG7" s="164">
        <f t="shared" si="4"/>
        <v>788833.5</v>
      </c>
      <c r="AH7" s="829">
        <f>AE7/'PAL I'!$AN$12</f>
        <v>0.0228161513645433</v>
      </c>
    </row>
    <row r="8" ht="16.5" spans="1:34">
      <c r="A8" s="2659" t="s">
        <v>185</v>
      </c>
      <c r="B8" s="2662">
        <f>31500+491937.5</f>
        <v>523437.5</v>
      </c>
      <c r="C8" s="2662">
        <f>58500+750383</f>
        <v>808883</v>
      </c>
      <c r="D8" s="2663">
        <f>63000+649962.5</f>
        <v>712962.5</v>
      </c>
      <c r="E8" s="2662">
        <f>67500+739702</f>
        <v>807202</v>
      </c>
      <c r="F8" s="2662">
        <f>22500+701013.25</f>
        <v>723513.25</v>
      </c>
      <c r="G8" s="2662">
        <v>942582</v>
      </c>
      <c r="H8" s="2658">
        <f>72000+538139</f>
        <v>610139</v>
      </c>
      <c r="I8" s="2696">
        <v>791183</v>
      </c>
      <c r="J8" s="2694">
        <v>725977</v>
      </c>
      <c r="K8" s="2696">
        <v>777732</v>
      </c>
      <c r="L8" s="2663">
        <v>1063182</v>
      </c>
      <c r="M8" s="2662">
        <v>960836</v>
      </c>
      <c r="N8" s="2706">
        <f t="shared" si="0"/>
        <v>9447629.25</v>
      </c>
      <c r="O8" s="2707">
        <f t="shared" ref="O8:O20" si="6">ROUND((N8/$O$3),0)</f>
        <v>1349661</v>
      </c>
      <c r="P8" s="2709">
        <f t="shared" si="1"/>
        <v>0.0227718670463081</v>
      </c>
      <c r="Q8" s="164"/>
      <c r="R8" s="2724" t="s">
        <v>186</v>
      </c>
      <c r="S8" s="2725">
        <f t="shared" ref="S8:Y8" si="7">B20+B17</f>
        <v>373275</v>
      </c>
      <c r="T8" s="2726">
        <f t="shared" si="7"/>
        <v>602228.5</v>
      </c>
      <c r="U8" s="2763">
        <f t="shared" si="7"/>
        <v>750975</v>
      </c>
      <c r="V8" s="2726">
        <f t="shared" si="7"/>
        <v>915880</v>
      </c>
      <c r="W8" s="2726">
        <f t="shared" si="7"/>
        <v>512492</v>
      </c>
      <c r="X8" s="2764">
        <f t="shared" si="7"/>
        <v>548327.7</v>
      </c>
      <c r="Y8" s="2764">
        <f t="shared" si="7"/>
        <v>699500</v>
      </c>
      <c r="Z8" s="2779">
        <f>INT(I20+I17)</f>
        <v>600012</v>
      </c>
      <c r="AA8" s="2777">
        <f>J20+J17</f>
        <v>1055638.1</v>
      </c>
      <c r="AB8" s="2777">
        <f>K20+K17</f>
        <v>847422</v>
      </c>
      <c r="AC8" s="2777">
        <f>L20+L17</f>
        <v>896541.8</v>
      </c>
      <c r="AD8" s="2726">
        <f>M20+M17</f>
        <v>1071418.8</v>
      </c>
      <c r="AE8" s="2795">
        <f t="shared" si="2"/>
        <v>8873710.9</v>
      </c>
      <c r="AF8" s="97">
        <f t="shared" si="3"/>
        <v>6.30516333459476</v>
      </c>
      <c r="AG8" s="164">
        <f t="shared" si="4"/>
        <v>739475.908333333</v>
      </c>
      <c r="AH8" s="2805">
        <f>AE8/'PAL I'!$AN$12</f>
        <v>0.0213885366873573</v>
      </c>
    </row>
    <row r="9" ht="16.5" spans="1:33">
      <c r="A9" s="2659" t="s">
        <v>187</v>
      </c>
      <c r="B9" s="2662">
        <f>18990+1250</f>
        <v>20240</v>
      </c>
      <c r="C9" s="2662">
        <f>41668+1500</f>
        <v>43168</v>
      </c>
      <c r="D9" s="2664">
        <f>32016+3200+16500</f>
        <v>51716</v>
      </c>
      <c r="E9" s="2662">
        <v>55245</v>
      </c>
      <c r="F9" s="2662">
        <v>120766</v>
      </c>
      <c r="G9" s="2662">
        <v>45900</v>
      </c>
      <c r="H9" s="2658">
        <f>132593+600</f>
        <v>133193</v>
      </c>
      <c r="I9" s="2696">
        <v>102838</v>
      </c>
      <c r="J9" s="2694">
        <f>58409-7387.72</f>
        <v>51021.28</v>
      </c>
      <c r="K9" s="2696">
        <v>53451</v>
      </c>
      <c r="L9" s="2663">
        <v>35682</v>
      </c>
      <c r="M9" s="2689">
        <v>47352.49</v>
      </c>
      <c r="N9" s="2706">
        <f t="shared" si="0"/>
        <v>760572.77</v>
      </c>
      <c r="O9" s="2707">
        <f t="shared" si="6"/>
        <v>108653</v>
      </c>
      <c r="P9" s="2708">
        <f t="shared" si="1"/>
        <v>0.00183322837287273</v>
      </c>
      <c r="Q9" s="164"/>
      <c r="R9" s="2731" t="s">
        <v>188</v>
      </c>
      <c r="S9" s="2732">
        <f t="shared" ref="S9:Y9" si="8">B11</f>
        <v>58220.07</v>
      </c>
      <c r="T9" s="2733">
        <f t="shared" si="8"/>
        <v>77587.53</v>
      </c>
      <c r="U9" s="2733">
        <f t="shared" si="8"/>
        <v>71958.95</v>
      </c>
      <c r="V9" s="2733">
        <f t="shared" si="8"/>
        <v>98443.62</v>
      </c>
      <c r="W9" s="2733">
        <f t="shared" si="8"/>
        <v>62956.34</v>
      </c>
      <c r="X9" s="2765">
        <f t="shared" si="8"/>
        <v>107294.74</v>
      </c>
      <c r="Y9" s="2765">
        <f t="shared" si="8"/>
        <v>96278</v>
      </c>
      <c r="Z9" s="2765">
        <f>INT(I11)</f>
        <v>67642</v>
      </c>
      <c r="AA9" s="2765">
        <f>J11</f>
        <v>86345</v>
      </c>
      <c r="AB9" s="2780">
        <f>K11</f>
        <v>74433</v>
      </c>
      <c r="AC9" s="2780">
        <f>L11</f>
        <v>115943.68</v>
      </c>
      <c r="AD9" s="2733">
        <f>M11</f>
        <v>87288.84</v>
      </c>
      <c r="AE9" s="2795">
        <f t="shared" si="2"/>
        <v>1004391.77</v>
      </c>
      <c r="AF9" s="97">
        <f t="shared" si="3"/>
        <v>0.713664692611603</v>
      </c>
      <c r="AG9" s="164">
        <f t="shared" si="4"/>
        <v>83699.3141666667</v>
      </c>
    </row>
    <row r="10" ht="16.5" spans="1:34">
      <c r="A10" s="2659" t="s">
        <v>189</v>
      </c>
      <c r="B10" s="2662"/>
      <c r="C10" s="2662"/>
      <c r="D10" s="2663"/>
      <c r="E10" s="2662"/>
      <c r="F10" s="2663"/>
      <c r="G10" s="2662"/>
      <c r="H10" s="2658"/>
      <c r="I10" s="2696"/>
      <c r="J10" s="2664"/>
      <c r="K10" s="2696"/>
      <c r="L10" s="2663"/>
      <c r="M10" s="2662"/>
      <c r="N10" s="2706">
        <f t="shared" si="0"/>
        <v>0</v>
      </c>
      <c r="O10" s="2707">
        <f t="shared" si="6"/>
        <v>0</v>
      </c>
      <c r="P10" s="2708">
        <f t="shared" ref="P10:P23" si="9">N10/$P$3</f>
        <v>0</v>
      </c>
      <c r="R10" s="2731" t="s">
        <v>190</v>
      </c>
      <c r="S10" s="2732">
        <f t="shared" ref="S10:AD10" si="10">B16</f>
        <v>521659</v>
      </c>
      <c r="T10" s="2733">
        <f t="shared" si="10"/>
        <v>619315</v>
      </c>
      <c r="U10" s="2733">
        <f t="shared" si="10"/>
        <v>460719</v>
      </c>
      <c r="V10" s="2733">
        <f t="shared" si="10"/>
        <v>727536</v>
      </c>
      <c r="W10" s="2733">
        <f t="shared" si="10"/>
        <v>536113</v>
      </c>
      <c r="X10" s="2765">
        <f t="shared" si="10"/>
        <v>777552</v>
      </c>
      <c r="Y10" s="2765">
        <f t="shared" si="10"/>
        <v>508329</v>
      </c>
      <c r="Z10" s="2765">
        <f t="shared" si="10"/>
        <v>540192</v>
      </c>
      <c r="AA10" s="2765">
        <f t="shared" si="10"/>
        <v>633832</v>
      </c>
      <c r="AB10" s="2780">
        <f t="shared" si="10"/>
        <v>559471</v>
      </c>
      <c r="AC10" s="2780">
        <f t="shared" si="10"/>
        <v>739172.99</v>
      </c>
      <c r="AD10" s="2780">
        <f t="shared" si="10"/>
        <v>511713</v>
      </c>
      <c r="AE10" s="2795">
        <f t="shared" si="2"/>
        <v>7135603.99</v>
      </c>
      <c r="AF10" s="97">
        <f t="shared" si="3"/>
        <v>5.07016164431682</v>
      </c>
      <c r="AG10" s="164">
        <f t="shared" si="4"/>
        <v>594633.665833333</v>
      </c>
      <c r="AH10" s="2805">
        <f>AE10/'PAL I'!$AN$12</f>
        <v>0.0171991322961139</v>
      </c>
    </row>
    <row r="11" ht="15.75" spans="1:34">
      <c r="A11" s="2659" t="s">
        <v>191</v>
      </c>
      <c r="B11" s="2662">
        <f>6835.07+51385</f>
        <v>58220.07</v>
      </c>
      <c r="C11" s="2662">
        <f>200+14067.53+63320</f>
        <v>77587.53</v>
      </c>
      <c r="D11" s="2663">
        <f>1700+20952.95+49306</f>
        <v>71958.95</v>
      </c>
      <c r="E11" s="2684">
        <f>21538.62+76200+705</f>
        <v>98443.62</v>
      </c>
      <c r="F11" s="2663">
        <f>3204+9002.34+50750</f>
        <v>62956.34</v>
      </c>
      <c r="G11" s="2662">
        <v>107294.74</v>
      </c>
      <c r="H11" s="2658">
        <f>341+31017+64920</f>
        <v>96278</v>
      </c>
      <c r="I11" s="2696">
        <f>67742.68-100</f>
        <v>67642.68</v>
      </c>
      <c r="J11" s="2664">
        <v>86345</v>
      </c>
      <c r="K11" s="2697">
        <f>75433-1000</f>
        <v>74433</v>
      </c>
      <c r="L11" s="2663">
        <v>115943.68</v>
      </c>
      <c r="M11" s="2662">
        <f>84663.84+2625</f>
        <v>87288.84</v>
      </c>
      <c r="N11" s="2706">
        <f t="shared" si="0"/>
        <v>1004392.45</v>
      </c>
      <c r="O11" s="2707">
        <f t="shared" si="6"/>
        <v>143485</v>
      </c>
      <c r="P11" s="2708">
        <f t="shared" si="9"/>
        <v>0.00242091330306126</v>
      </c>
      <c r="R11" s="2734" t="s">
        <v>192</v>
      </c>
      <c r="S11" s="2732">
        <f>B19</f>
        <v>11500</v>
      </c>
      <c r="T11" s="2733">
        <f>C19</f>
        <v>22245.76</v>
      </c>
      <c r="U11" s="2733">
        <f>D19</f>
        <v>0</v>
      </c>
      <c r="V11" s="2733">
        <f>E19</f>
        <v>0</v>
      </c>
      <c r="W11" s="2733">
        <f>F19</f>
        <v>0</v>
      </c>
      <c r="X11" s="2766"/>
      <c r="Y11" s="2766"/>
      <c r="Z11" s="2766">
        <f>I19</f>
        <v>24000</v>
      </c>
      <c r="AA11" s="2766">
        <f>J19</f>
        <v>0</v>
      </c>
      <c r="AB11" s="2781">
        <f>K19</f>
        <v>0</v>
      </c>
      <c r="AC11" s="2781">
        <f>L19</f>
        <v>0</v>
      </c>
      <c r="AD11" s="2781">
        <f>M19</f>
        <v>0</v>
      </c>
      <c r="AE11" s="2795">
        <f t="shared" si="2"/>
        <v>57745.76</v>
      </c>
      <c r="AF11" s="97">
        <f t="shared" si="3"/>
        <v>0.0410309117328027</v>
      </c>
      <c r="AG11" s="164">
        <f t="shared" si="4"/>
        <v>4812.14666666667</v>
      </c>
      <c r="AH11" s="829">
        <f>AE11/'PAL I'!$AN$12</f>
        <v>0.000139186110548106</v>
      </c>
    </row>
    <row r="12" ht="15.75" spans="1:34">
      <c r="A12" s="2659" t="s">
        <v>193</v>
      </c>
      <c r="B12" s="2660">
        <f>28177+5900</f>
        <v>34077</v>
      </c>
      <c r="C12" s="2660">
        <f>18420+29000</f>
        <v>47420</v>
      </c>
      <c r="D12" s="2661">
        <v>13596</v>
      </c>
      <c r="E12" s="2660">
        <f>406486+5900</f>
        <v>412386</v>
      </c>
      <c r="F12" s="2661">
        <v>5900</v>
      </c>
      <c r="G12" s="2660">
        <v>173051.4</v>
      </c>
      <c r="H12" s="2682">
        <f>-159630.4+5900</f>
        <v>-153730.4</v>
      </c>
      <c r="I12" s="2695">
        <v>17400</v>
      </c>
      <c r="J12" s="2682">
        <v>29500</v>
      </c>
      <c r="K12" s="2695">
        <v>5900</v>
      </c>
      <c r="L12" s="2661">
        <v>22231</v>
      </c>
      <c r="M12" s="2693"/>
      <c r="N12" s="2706">
        <f t="shared" si="0"/>
        <v>607731</v>
      </c>
      <c r="O12" s="2707">
        <f t="shared" si="6"/>
        <v>86819</v>
      </c>
      <c r="P12" s="2708">
        <f>J12/$P$3</f>
        <v>7.11046189567705e-5</v>
      </c>
      <c r="R12" s="2734" t="s">
        <v>194</v>
      </c>
      <c r="S12" s="2732">
        <f t="shared" ref="S12:AD12" si="11">B9</f>
        <v>20240</v>
      </c>
      <c r="T12" s="2733">
        <f t="shared" si="11"/>
        <v>43168</v>
      </c>
      <c r="U12" s="2733">
        <f t="shared" si="11"/>
        <v>51716</v>
      </c>
      <c r="V12" s="2733">
        <f t="shared" si="11"/>
        <v>55245</v>
      </c>
      <c r="W12" s="2733">
        <f t="shared" si="11"/>
        <v>120766</v>
      </c>
      <c r="X12" s="2767">
        <f t="shared" si="11"/>
        <v>45900</v>
      </c>
      <c r="Y12" s="2767">
        <f t="shared" si="11"/>
        <v>133193</v>
      </c>
      <c r="Z12" s="2767">
        <f t="shared" si="11"/>
        <v>102838</v>
      </c>
      <c r="AA12" s="2767">
        <f t="shared" si="11"/>
        <v>51021.28</v>
      </c>
      <c r="AB12" s="2782">
        <f t="shared" si="11"/>
        <v>53451</v>
      </c>
      <c r="AC12" s="2782">
        <f t="shared" si="11"/>
        <v>35682</v>
      </c>
      <c r="AD12" s="2782">
        <f t="shared" si="11"/>
        <v>47352.49</v>
      </c>
      <c r="AE12" s="2795">
        <f t="shared" si="2"/>
        <v>760572.77</v>
      </c>
      <c r="AF12" s="97">
        <f t="shared" si="3"/>
        <v>0.540420529442217</v>
      </c>
      <c r="AG12" s="164">
        <f t="shared" si="4"/>
        <v>63381.0641666667</v>
      </c>
      <c r="AH12" s="829">
        <f>AE12/'PAL I'!$AN$12</f>
        <v>0.00183322837287273</v>
      </c>
    </row>
    <row r="13" ht="16.5" spans="1:34">
      <c r="A13" s="2659" t="s">
        <v>195</v>
      </c>
      <c r="B13" s="2662"/>
      <c r="C13" s="2662"/>
      <c r="D13" s="2663"/>
      <c r="E13" s="2662"/>
      <c r="F13" s="2663"/>
      <c r="G13" s="2662"/>
      <c r="H13" s="2658"/>
      <c r="I13" s="2696"/>
      <c r="J13" s="2663"/>
      <c r="K13" s="2696"/>
      <c r="L13" s="2663"/>
      <c r="M13" s="2662"/>
      <c r="N13" s="2706">
        <f>SUM(B13:K13)</f>
        <v>0</v>
      </c>
      <c r="O13" s="2707">
        <f t="shared" si="6"/>
        <v>0</v>
      </c>
      <c r="P13" s="2708">
        <f>N13/$P$3</f>
        <v>0</v>
      </c>
      <c r="R13" s="2731" t="s">
        <v>196</v>
      </c>
      <c r="S13" s="2732">
        <f t="shared" ref="S13:AD13" si="12">B18</f>
        <v>270500</v>
      </c>
      <c r="T13" s="2733">
        <f t="shared" si="12"/>
        <v>740500</v>
      </c>
      <c r="U13" s="2733">
        <f t="shared" si="12"/>
        <v>505500</v>
      </c>
      <c r="V13" s="2733">
        <f t="shared" si="12"/>
        <v>505500</v>
      </c>
      <c r="W13" s="2733">
        <f t="shared" si="12"/>
        <v>513400</v>
      </c>
      <c r="X13" s="2767">
        <f t="shared" si="12"/>
        <v>513400</v>
      </c>
      <c r="Y13" s="2767">
        <f t="shared" si="12"/>
        <v>513400</v>
      </c>
      <c r="Z13" s="2767">
        <f t="shared" si="12"/>
        <v>513400</v>
      </c>
      <c r="AA13" s="2767">
        <f t="shared" si="12"/>
        <v>518400</v>
      </c>
      <c r="AB13" s="2782">
        <f t="shared" si="12"/>
        <v>518400</v>
      </c>
      <c r="AC13" s="2782">
        <f t="shared" si="12"/>
        <v>518400</v>
      </c>
      <c r="AD13" s="2782">
        <f t="shared" si="12"/>
        <v>518400</v>
      </c>
      <c r="AE13" s="2795">
        <f t="shared" si="2"/>
        <v>6149200</v>
      </c>
      <c r="AF13" s="761" t="s">
        <v>197</v>
      </c>
      <c r="AG13" s="164">
        <f t="shared" si="4"/>
        <v>512433.333333333</v>
      </c>
      <c r="AH13" s="829">
        <f>AE13/'PAL I'!$AN$12</f>
        <v>0.0148215770470838</v>
      </c>
    </row>
    <row r="14" ht="16.5" spans="1:34">
      <c r="A14" s="2659" t="s">
        <v>198</v>
      </c>
      <c r="B14" s="2662"/>
      <c r="C14" s="2662"/>
      <c r="D14" s="2663"/>
      <c r="E14" s="2662"/>
      <c r="F14" s="2663"/>
      <c r="G14" s="2662"/>
      <c r="H14" s="2658"/>
      <c r="I14" s="2696"/>
      <c r="J14" s="2663"/>
      <c r="K14" s="2696"/>
      <c r="L14" s="2663"/>
      <c r="M14" s="2662"/>
      <c r="N14" s="2706">
        <f>SUM(B14:L14)</f>
        <v>0</v>
      </c>
      <c r="O14" s="2707">
        <f t="shared" si="6"/>
        <v>0</v>
      </c>
      <c r="P14" s="2708">
        <f t="shared" si="9"/>
        <v>0</v>
      </c>
      <c r="R14" s="2731" t="s">
        <v>199</v>
      </c>
      <c r="S14" s="2732"/>
      <c r="T14" s="2733"/>
      <c r="U14" s="2733"/>
      <c r="V14" s="2733"/>
      <c r="W14" s="2733"/>
      <c r="X14" s="2765"/>
      <c r="Y14" s="2765"/>
      <c r="Z14" s="2765"/>
      <c r="AA14" s="2765"/>
      <c r="AB14" s="2780"/>
      <c r="AC14" s="2780"/>
      <c r="AD14" s="2780"/>
      <c r="AE14" s="2795">
        <f t="shared" si="2"/>
        <v>0</v>
      </c>
      <c r="AF14" s="97">
        <f t="shared" si="3"/>
        <v>0</v>
      </c>
      <c r="AG14" s="164">
        <f t="shared" si="4"/>
        <v>0</v>
      </c>
      <c r="AH14" s="829">
        <f>AE14/'PAL I'!$AN$12</f>
        <v>0</v>
      </c>
    </row>
    <row r="15" ht="17.25" spans="1:34">
      <c r="A15" s="2659" t="s">
        <v>200</v>
      </c>
      <c r="B15" s="2662">
        <v>2300</v>
      </c>
      <c r="C15" s="2662"/>
      <c r="D15" s="2663"/>
      <c r="E15" s="2662"/>
      <c r="F15" s="2663">
        <v>4600</v>
      </c>
      <c r="G15" s="2662"/>
      <c r="H15" s="2658"/>
      <c r="I15" s="2696"/>
      <c r="J15" s="2663"/>
      <c r="K15" s="2689"/>
      <c r="L15" s="2663">
        <v>2300</v>
      </c>
      <c r="M15" s="2662"/>
      <c r="N15" s="2706">
        <f t="shared" ref="N15:N20" si="13">SUM(B15:M15)</f>
        <v>9200</v>
      </c>
      <c r="O15" s="2707">
        <f t="shared" si="6"/>
        <v>1314</v>
      </c>
      <c r="P15" s="2708">
        <f t="shared" si="9"/>
        <v>2.21749998102471e-5</v>
      </c>
      <c r="R15" s="2735" t="s">
        <v>169</v>
      </c>
      <c r="S15" s="2736">
        <f t="shared" ref="S15:AD15" si="14">SUM(B5,B12,B14,B15)</f>
        <v>40835</v>
      </c>
      <c r="T15" s="2737">
        <f t="shared" si="14"/>
        <v>55876</v>
      </c>
      <c r="U15" s="2737">
        <f t="shared" si="14"/>
        <v>19356</v>
      </c>
      <c r="V15" s="2768">
        <f t="shared" si="14"/>
        <v>417538</v>
      </c>
      <c r="W15" s="2737">
        <f t="shared" si="14"/>
        <v>16449</v>
      </c>
      <c r="X15" s="2769">
        <f t="shared" si="14"/>
        <v>180485.4</v>
      </c>
      <c r="Y15" s="2769">
        <f t="shared" si="14"/>
        <v>-143968.4</v>
      </c>
      <c r="Z15" s="2769">
        <f t="shared" si="14"/>
        <v>25939</v>
      </c>
      <c r="AA15" s="2769">
        <f t="shared" si="14"/>
        <v>38383</v>
      </c>
      <c r="AB15" s="2783">
        <f t="shared" si="14"/>
        <v>14208</v>
      </c>
      <c r="AC15" s="2783">
        <f t="shared" si="14"/>
        <v>27706</v>
      </c>
      <c r="AD15" s="2783">
        <f t="shared" si="14"/>
        <v>5578</v>
      </c>
      <c r="AE15" s="2795">
        <f t="shared" si="2"/>
        <v>698385</v>
      </c>
      <c r="AF15" s="97">
        <f t="shared" si="3"/>
        <v>0.496233373506789</v>
      </c>
      <c r="AG15" s="164">
        <f t="shared" si="4"/>
        <v>58198.75</v>
      </c>
      <c r="AH15" s="829">
        <f>AE15/'PAL I'!$AN$12</f>
        <v>0.00168333556983472</v>
      </c>
    </row>
    <row r="16" ht="14.25" spans="1:33">
      <c r="A16" s="2659" t="s">
        <v>201</v>
      </c>
      <c r="B16" s="2662">
        <v>521659</v>
      </c>
      <c r="C16" s="2662">
        <v>619315</v>
      </c>
      <c r="D16" s="2663">
        <v>460719</v>
      </c>
      <c r="E16" s="2662">
        <v>727536</v>
      </c>
      <c r="F16" s="2663">
        <v>536113</v>
      </c>
      <c r="G16" s="2685">
        <v>777552</v>
      </c>
      <c r="H16" s="2658">
        <v>508329</v>
      </c>
      <c r="I16" s="2696">
        <v>540192</v>
      </c>
      <c r="J16" s="2658">
        <v>633832</v>
      </c>
      <c r="K16" s="2689">
        <v>559471</v>
      </c>
      <c r="L16" s="2658">
        <v>739172.99</v>
      </c>
      <c r="M16" s="2689">
        <v>511713</v>
      </c>
      <c r="N16" s="2706">
        <f t="shared" si="13"/>
        <v>7135603.99</v>
      </c>
      <c r="O16" s="2707">
        <f t="shared" si="6"/>
        <v>1019372</v>
      </c>
      <c r="P16" s="2708">
        <f t="shared" si="9"/>
        <v>0.0171991322961139</v>
      </c>
      <c r="R16" s="180"/>
      <c r="S16" s="2738">
        <f>SUM(S4:S15)</f>
        <v>9689808.57</v>
      </c>
      <c r="T16" s="2739">
        <f>SUM(T4:T15)</f>
        <v>10058437.79</v>
      </c>
      <c r="U16" s="2739">
        <f>SUM(U4:U15)</f>
        <v>9470713.95</v>
      </c>
      <c r="V16" s="2739">
        <f>SUM(V4:V15)</f>
        <v>11450198.62</v>
      </c>
      <c r="W16" s="2739">
        <f>SUM(W4:W15)</f>
        <v>10269019.09</v>
      </c>
      <c r="X16" s="2770">
        <f t="shared" ref="X16:AB16" si="15">SUM(X4:X15)</f>
        <v>11049703.34</v>
      </c>
      <c r="Y16" s="2770">
        <f t="shared" si="15"/>
        <v>8917618.1</v>
      </c>
      <c r="Z16" s="2770">
        <f t="shared" si="15"/>
        <v>9452229</v>
      </c>
      <c r="AA16" s="2770">
        <f t="shared" si="15"/>
        <v>10654444.38</v>
      </c>
      <c r="AB16" s="2770">
        <f t="shared" si="15"/>
        <v>10662771</v>
      </c>
      <c r="AC16" s="2770">
        <f t="shared" ref="AC16:AE16" si="16">SUM(AC4:AC15)</f>
        <v>10381699.47</v>
      </c>
      <c r="AD16" s="2770">
        <f t="shared" si="16"/>
        <v>9735005.13</v>
      </c>
      <c r="AE16" s="2798">
        <f t="shared" si="16"/>
        <v>121791648.44</v>
      </c>
      <c r="AF16" s="234">
        <f t="shared" si="3"/>
        <v>86.5383428486208</v>
      </c>
      <c r="AG16" s="2806">
        <f>SUM(AG4:AG15)</f>
        <v>10149304.0366667</v>
      </c>
    </row>
    <row r="17" ht="16.5" spans="1:33">
      <c r="A17" s="2659" t="s">
        <v>202</v>
      </c>
      <c r="B17" s="2662"/>
      <c r="C17" s="2662">
        <v>25441</v>
      </c>
      <c r="D17" s="2663">
        <v>49650</v>
      </c>
      <c r="E17" s="2662">
        <v>54816</v>
      </c>
      <c r="F17" s="2663">
        <v>2592</v>
      </c>
      <c r="G17" s="2662">
        <v>93952.7</v>
      </c>
      <c r="H17" s="2658"/>
      <c r="I17" s="2696"/>
      <c r="J17" s="2663">
        <v>147863.1</v>
      </c>
      <c r="K17" s="2696">
        <v>58172</v>
      </c>
      <c r="L17" s="2663">
        <v>37516.8</v>
      </c>
      <c r="M17" s="2689">
        <v>12000</v>
      </c>
      <c r="N17" s="2706">
        <f t="shared" si="13"/>
        <v>482003.6</v>
      </c>
      <c r="O17" s="2707">
        <f t="shared" si="6"/>
        <v>68858</v>
      </c>
      <c r="P17" s="2708">
        <f t="shared" si="9"/>
        <v>0.00116178584114548</v>
      </c>
      <c r="Q17" s="2740"/>
      <c r="R17" s="2741" t="s">
        <v>203</v>
      </c>
      <c r="S17" s="2725">
        <f>'Indirect Expns'!B42</f>
        <v>266753.8</v>
      </c>
      <c r="T17" s="2725">
        <f>'Indirect Expns'!C42</f>
        <v>-307783.57</v>
      </c>
      <c r="U17" s="2725">
        <f>'Indirect Expns'!D42</f>
        <v>45828.88</v>
      </c>
      <c r="V17" s="2725">
        <f>'Indirect Expns'!E42</f>
        <v>1788.88</v>
      </c>
      <c r="W17" s="2725">
        <f>'Indirect Expns'!F42</f>
        <v>13681.5</v>
      </c>
      <c r="X17" s="2725">
        <f>'Indirect Expns'!G42</f>
        <v>2919.32</v>
      </c>
      <c r="Y17" s="2725">
        <f>'Indirect Expns'!H42</f>
        <v>8139.44</v>
      </c>
      <c r="Z17" s="2725">
        <f>'Indirect Expns'!I42</f>
        <v>5330.06</v>
      </c>
      <c r="AA17" s="2725">
        <f>'Indirect Expns'!J42</f>
        <v>1792.7</v>
      </c>
      <c r="AB17" s="2725">
        <f>'Indirect Expns'!K42</f>
        <v>8977.19</v>
      </c>
      <c r="AC17" s="2725">
        <f>'Indirect Expns'!L42</f>
        <v>270825.54</v>
      </c>
      <c r="AD17" s="2725">
        <f>'Indirect Expns'!M42</f>
        <v>-40500</v>
      </c>
      <c r="AE17" s="2795">
        <f t="shared" si="2"/>
        <v>277753.74</v>
      </c>
      <c r="AF17" s="97">
        <f t="shared" si="3"/>
        <v>0.197356294027403</v>
      </c>
      <c r="AG17" s="164">
        <f t="shared" ref="AG17:AG19" si="17">AE17/$AG$2</f>
        <v>23146.145</v>
      </c>
    </row>
    <row r="18" ht="16.5" spans="1:33">
      <c r="A18" s="2659" t="s">
        <v>196</v>
      </c>
      <c r="B18" s="2660">
        <f>23000+78750+168750</f>
        <v>270500</v>
      </c>
      <c r="C18" s="2660">
        <f>23000+548750+168750</f>
        <v>740500</v>
      </c>
      <c r="D18" s="2661">
        <f>23000+313750+168750</f>
        <v>505500</v>
      </c>
      <c r="E18" s="2660">
        <f>23000+313750+168750</f>
        <v>505500</v>
      </c>
      <c r="F18" s="2661">
        <f>23000+317700+172700</f>
        <v>513400</v>
      </c>
      <c r="G18" s="2660">
        <v>513400</v>
      </c>
      <c r="H18" s="2682">
        <f>23000+317700+172700</f>
        <v>513400</v>
      </c>
      <c r="I18" s="2695">
        <v>513400</v>
      </c>
      <c r="J18" s="2661">
        <v>518400</v>
      </c>
      <c r="K18" s="2695">
        <v>518400</v>
      </c>
      <c r="L18" s="2661">
        <v>518400</v>
      </c>
      <c r="M18" s="2660">
        <v>518400</v>
      </c>
      <c r="N18" s="2706">
        <f t="shared" si="13"/>
        <v>6149200</v>
      </c>
      <c r="O18" s="2707">
        <f t="shared" si="6"/>
        <v>878457</v>
      </c>
      <c r="P18" s="2708">
        <f t="shared" si="9"/>
        <v>0.0148215770470838</v>
      </c>
      <c r="Q18" s="2740"/>
      <c r="R18" s="2742" t="s">
        <v>204</v>
      </c>
      <c r="S18" s="2732">
        <f>'Indirect Expns'!B43</f>
        <v>93178.04</v>
      </c>
      <c r="T18" s="2733">
        <f>'Indirect Expns'!C43</f>
        <v>67561.22</v>
      </c>
      <c r="U18" s="2733">
        <f>'Indirect Expns'!D43</f>
        <v>246851.6</v>
      </c>
      <c r="V18" s="2733">
        <f>'Indirect Expns'!E43</f>
        <v>78924.09</v>
      </c>
      <c r="W18" s="2733">
        <f>'Indirect Expns'!F43</f>
        <v>176894.54</v>
      </c>
      <c r="X18" s="2767">
        <f>'Indirect Expns'!G43</f>
        <v>75411.38</v>
      </c>
      <c r="Y18" s="2767">
        <f>'Indirect Expns'!H43</f>
        <v>240037.43</v>
      </c>
      <c r="Z18" s="2767">
        <f>INT('Indirect Expns'!I43)</f>
        <v>160177</v>
      </c>
      <c r="AA18" s="2784">
        <f>'Indirect Expns'!J43</f>
        <v>60382.97</v>
      </c>
      <c r="AB18" s="2784">
        <f>'Indirect Expns'!K43</f>
        <v>269005.98</v>
      </c>
      <c r="AC18" s="2784">
        <f>'Indirect Expns'!L43</f>
        <v>193238.52</v>
      </c>
      <c r="AD18" s="2784">
        <f>'Indirect Expns'!M43</f>
        <v>1360.14</v>
      </c>
      <c r="AE18" s="2795">
        <f t="shared" si="2"/>
        <v>1663022.91</v>
      </c>
      <c r="AF18" s="97">
        <f t="shared" si="3"/>
        <v>1.18165119360865</v>
      </c>
      <c r="AG18" s="164">
        <f t="shared" si="17"/>
        <v>138585.2425</v>
      </c>
    </row>
    <row r="19" ht="17.25" spans="1:33">
      <c r="A19" s="2659" t="s">
        <v>205</v>
      </c>
      <c r="B19" s="2660">
        <v>11500</v>
      </c>
      <c r="C19" s="2660">
        <f>24000-1754.24</f>
        <v>22245.76</v>
      </c>
      <c r="D19" s="2661"/>
      <c r="E19" s="2660"/>
      <c r="F19" s="2661"/>
      <c r="G19" s="2660"/>
      <c r="H19" s="2682"/>
      <c r="I19" s="2695">
        <v>24000</v>
      </c>
      <c r="J19" s="2661"/>
      <c r="K19" s="2693"/>
      <c r="L19" s="2661"/>
      <c r="M19" s="2660"/>
      <c r="N19" s="2706">
        <f t="shared" si="13"/>
        <v>57745.76</v>
      </c>
      <c r="O19" s="2707">
        <f t="shared" si="6"/>
        <v>8249</v>
      </c>
      <c r="P19" s="2708">
        <f t="shared" si="9"/>
        <v>0.000139186110548106</v>
      </c>
      <c r="Q19" s="2740"/>
      <c r="R19" s="2743" t="s">
        <v>206</v>
      </c>
      <c r="S19" s="2736">
        <f>'Indirect Expns'!B46</f>
        <v>492588</v>
      </c>
      <c r="T19" s="2744">
        <f>'Indirect Expns'!C46</f>
        <v>436562</v>
      </c>
      <c r="U19" s="2744">
        <f>'Indirect Expns'!D46</f>
        <v>457625</v>
      </c>
      <c r="V19" s="2744">
        <f>'Indirect Expns'!E46</f>
        <v>452620</v>
      </c>
      <c r="W19" s="2744">
        <f>'Indirect Expns'!F46</f>
        <v>439686</v>
      </c>
      <c r="X19" s="2771">
        <f>'Indirect Expns'!G46</f>
        <v>395256</v>
      </c>
      <c r="Y19" s="2771">
        <f>'Indirect Expns'!H46</f>
        <v>409245</v>
      </c>
      <c r="Z19" s="2771">
        <f>'Indirect Expns'!I46</f>
        <v>453758</v>
      </c>
      <c r="AA19" s="2785">
        <f>'Indirect Expns'!J46</f>
        <v>422762</v>
      </c>
      <c r="AB19" s="2785">
        <f>'Indirect Expns'!K46</f>
        <v>439150</v>
      </c>
      <c r="AC19" s="2785">
        <f>'Indirect Expns'!L46</f>
        <v>447870</v>
      </c>
      <c r="AD19" s="2785">
        <f>'Indirect Expns'!M46</f>
        <v>372704</v>
      </c>
      <c r="AE19" s="2795">
        <f t="shared" si="2"/>
        <v>5219826</v>
      </c>
      <c r="AF19" s="97">
        <f t="shared" si="3"/>
        <v>3.70891680820528</v>
      </c>
      <c r="AG19" s="164">
        <f t="shared" si="17"/>
        <v>434985.5</v>
      </c>
    </row>
    <row r="20" ht="14.25" spans="1:33">
      <c r="A20" s="2659" t="s">
        <v>207</v>
      </c>
      <c r="B20" s="2662">
        <v>373275</v>
      </c>
      <c r="C20" s="2662">
        <v>576787.5</v>
      </c>
      <c r="D20" s="2663">
        <v>701325</v>
      </c>
      <c r="E20" s="2662">
        <v>861064</v>
      </c>
      <c r="F20" s="2663">
        <v>509900</v>
      </c>
      <c r="G20" s="2662">
        <v>454375</v>
      </c>
      <c r="H20" s="2658">
        <f>313000+386500</f>
        <v>699500</v>
      </c>
      <c r="I20" s="2696">
        <v>600012.5</v>
      </c>
      <c r="J20" s="2663">
        <v>907775</v>
      </c>
      <c r="K20" s="2696">
        <v>789250</v>
      </c>
      <c r="L20" s="2663">
        <v>859025</v>
      </c>
      <c r="M20" s="2689">
        <v>1059418.8</v>
      </c>
      <c r="N20" s="2706">
        <f t="shared" si="13"/>
        <v>8391707.8</v>
      </c>
      <c r="O20" s="2707">
        <f t="shared" si="6"/>
        <v>1198815</v>
      </c>
      <c r="P20" s="2708">
        <f t="shared" si="9"/>
        <v>0.0202267520513749</v>
      </c>
      <c r="Q20" s="2740"/>
      <c r="R20" s="180"/>
      <c r="S20" s="2738">
        <f>SUM(S17:S19)</f>
        <v>852519.84</v>
      </c>
      <c r="T20" s="2738">
        <f>SUM(T17:T19)</f>
        <v>196339.65</v>
      </c>
      <c r="U20" s="2739">
        <f>SUM(U17:U19)</f>
        <v>750305.48</v>
      </c>
      <c r="V20" s="2739">
        <f>SUM(V17:V19)</f>
        <v>533332.97</v>
      </c>
      <c r="W20" s="2739">
        <f>SUM(W17:W19)</f>
        <v>630262.04</v>
      </c>
      <c r="X20" s="2770">
        <f t="shared" ref="X20:Y20" si="18">SUM(X17:X19)</f>
        <v>473586.7</v>
      </c>
      <c r="Y20" s="2770">
        <f t="shared" si="18"/>
        <v>657421.87</v>
      </c>
      <c r="Z20" s="2770">
        <f t="shared" ref="Z20:AA20" si="19">SUM(Z17:Z19)</f>
        <v>619265.06</v>
      </c>
      <c r="AA20" s="2770">
        <f t="shared" si="19"/>
        <v>484937.67</v>
      </c>
      <c r="AB20" s="2770">
        <f t="shared" ref="AB20:AC20" si="20">SUM(AB17:AB19)</f>
        <v>717133.17</v>
      </c>
      <c r="AC20" s="2770">
        <f t="shared" si="20"/>
        <v>911934.06</v>
      </c>
      <c r="AD20" s="2770">
        <f t="shared" ref="AD20:AE20" si="21">SUM(AD17:AD19)</f>
        <v>333564.14</v>
      </c>
      <c r="AE20" s="2798">
        <f t="shared" si="21"/>
        <v>7160602.65</v>
      </c>
      <c r="AF20" s="97">
        <f t="shared" si="3"/>
        <v>5.08792429584134</v>
      </c>
      <c r="AG20" s="2807">
        <f>SUM(AG17:AG19)</f>
        <v>596716.8875</v>
      </c>
    </row>
    <row r="21" ht="14.25" spans="1:33">
      <c r="A21" s="2653" t="s">
        <v>116</v>
      </c>
      <c r="B21" s="2657"/>
      <c r="C21" s="2657"/>
      <c r="D21" s="2665"/>
      <c r="E21" s="2657"/>
      <c r="F21" s="2658"/>
      <c r="G21" s="2657"/>
      <c r="H21" s="2658"/>
      <c r="I21" s="2689"/>
      <c r="J21" s="2658"/>
      <c r="K21" s="2689"/>
      <c r="L21" s="2658"/>
      <c r="M21" s="2657"/>
      <c r="N21" s="2710"/>
      <c r="O21" s="2711">
        <f>+N21/$O$3</f>
        <v>0</v>
      </c>
      <c r="P21" s="2712">
        <f t="shared" si="9"/>
        <v>0</v>
      </c>
      <c r="R21" s="711"/>
      <c r="S21" s="2745">
        <f>S16+S20</f>
        <v>10542328.41</v>
      </c>
      <c r="T21" s="2745">
        <f>T16+T20</f>
        <v>10254777.44</v>
      </c>
      <c r="U21" s="2745">
        <f>U16+U20</f>
        <v>10221019.43</v>
      </c>
      <c r="V21" s="2745">
        <f>V16+V20</f>
        <v>11983531.59</v>
      </c>
      <c r="W21" s="2745">
        <f>W16+W20</f>
        <v>10899281.13</v>
      </c>
      <c r="X21" s="2772">
        <f t="shared" ref="X21:Y21" si="22">X16+X20</f>
        <v>11523290.04</v>
      </c>
      <c r="Y21" s="2772">
        <f t="shared" si="22"/>
        <v>9575039.97</v>
      </c>
      <c r="Z21" s="2772">
        <f t="shared" ref="Z21:AA21" si="23">Z16+Z20</f>
        <v>10071494.06</v>
      </c>
      <c r="AA21" s="2772">
        <f t="shared" si="23"/>
        <v>11139382.05</v>
      </c>
      <c r="AB21" s="2772">
        <f t="shared" ref="AB21:AC21" si="24">AB16+AB20</f>
        <v>11379904.17</v>
      </c>
      <c r="AC21" s="2772">
        <f t="shared" si="24"/>
        <v>11293633.53</v>
      </c>
      <c r="AD21" s="2772">
        <f t="shared" ref="AD21:AE21" si="25">AD16+AD20</f>
        <v>10068569.27</v>
      </c>
      <c r="AE21" s="2799">
        <f t="shared" si="25"/>
        <v>128952251.09</v>
      </c>
      <c r="AF21" s="234">
        <f t="shared" si="3"/>
        <v>91.6262671444621</v>
      </c>
      <c r="AG21" s="2808">
        <f>AG16+AG20</f>
        <v>10746020.9241667</v>
      </c>
    </row>
    <row r="22" spans="1:32">
      <c r="A22" s="2666" t="s">
        <v>127</v>
      </c>
      <c r="B22" s="2667">
        <f>SUM(B4:B21)</f>
        <v>11355679.57</v>
      </c>
      <c r="C22" s="2667">
        <f t="shared" ref="C22" si="26">SUM(C4:C21)</f>
        <v>11712202.79</v>
      </c>
      <c r="D22" s="2667">
        <f t="shared" ref="D22:J22" si="27">SUM(D4:D21)</f>
        <v>11143190.95</v>
      </c>
      <c r="E22" s="2686">
        <f t="shared" si="27"/>
        <v>13384344.62</v>
      </c>
      <c r="F22" s="2667">
        <f t="shared" si="27"/>
        <v>11943313.09</v>
      </c>
      <c r="G22" s="2686">
        <f t="shared" si="27"/>
        <v>13668884.34</v>
      </c>
      <c r="H22" s="2667">
        <f t="shared" si="27"/>
        <v>10578877.1</v>
      </c>
      <c r="I22" s="2698">
        <f t="shared" si="27"/>
        <v>11217033.68</v>
      </c>
      <c r="J22" s="2667">
        <f t="shared" si="27"/>
        <v>12398107.38</v>
      </c>
      <c r="K22" s="2698">
        <f t="shared" ref="K22:O22" si="28">SUM(K4:K21)</f>
        <v>12335299</v>
      </c>
      <c r="L22" s="2667">
        <f t="shared" si="28"/>
        <v>12048989.47</v>
      </c>
      <c r="M22" s="2686">
        <f t="shared" si="28"/>
        <v>11691188.13</v>
      </c>
      <c r="N22" s="2713">
        <f t="shared" si="28"/>
        <v>143477110.12</v>
      </c>
      <c r="O22" s="2714">
        <f t="shared" si="28"/>
        <v>20496729</v>
      </c>
      <c r="P22" s="2097">
        <f t="shared" si="9"/>
        <v>0.345826618444109</v>
      </c>
      <c r="Q22" s="164"/>
      <c r="S22" s="2746"/>
      <c r="T22" s="2746"/>
      <c r="U22" s="2746"/>
      <c r="V22" s="2746"/>
      <c r="W22" s="2746"/>
      <c r="X22" s="2773"/>
      <c r="Y22" s="2746"/>
      <c r="Z22" s="2746"/>
      <c r="AA22" s="2786"/>
      <c r="AB22" s="2787"/>
      <c r="AC22" s="2787"/>
      <c r="AD22" s="2746"/>
      <c r="AE22" s="2800" t="s">
        <v>208</v>
      </c>
      <c r="AF22" s="234">
        <f>(AE21-AE6)/AE2</f>
        <v>36.771301070778</v>
      </c>
    </row>
    <row r="23" ht="14.25" spans="2:32">
      <c r="B23" s="2668"/>
      <c r="C23" s="2668"/>
      <c r="D23" s="2668"/>
      <c r="E23" s="2668"/>
      <c r="F23" s="2668"/>
      <c r="G23" s="2668"/>
      <c r="H23" s="2668"/>
      <c r="I23" s="2674"/>
      <c r="J23" s="2669"/>
      <c r="K23" s="2669"/>
      <c r="L23" s="2669"/>
      <c r="M23" s="2669"/>
      <c r="N23" s="2669"/>
      <c r="O23" s="2669"/>
      <c r="P23" s="2712">
        <f t="shared" si="9"/>
        <v>0</v>
      </c>
      <c r="R23" s="230" t="s">
        <v>209</v>
      </c>
      <c r="S23" s="2746"/>
      <c r="T23" s="2746"/>
      <c r="U23" s="2746"/>
      <c r="V23" s="2746"/>
      <c r="W23" s="2746"/>
      <c r="X23" s="2773"/>
      <c r="Y23" s="2746"/>
      <c r="Z23" s="2746"/>
      <c r="AA23" s="2786"/>
      <c r="AB23" s="2788"/>
      <c r="AC23" s="2788"/>
      <c r="AD23" s="2746"/>
      <c r="AE23" s="2801"/>
      <c r="AF23" s="97">
        <f t="shared" si="3"/>
        <v>0</v>
      </c>
    </row>
    <row r="24" ht="14.25" spans="1:33">
      <c r="A24" s="96" t="s">
        <v>210</v>
      </c>
      <c r="B24" s="2669">
        <f>ROUND((B22-(B25+B26+B27+B29)),0)</f>
        <v>3927909</v>
      </c>
      <c r="C24" s="2669">
        <f>ROUND((C22-(C25+C26+C27+C29)),0)</f>
        <v>4438586</v>
      </c>
      <c r="D24" s="2669">
        <f>ROUND((D22-(D25+D26+D27+D29)),0)</f>
        <v>4305682</v>
      </c>
      <c r="E24" s="2669">
        <f>ROUND((E22-(E25+E26+E27+E29)),0)</f>
        <v>5418106</v>
      </c>
      <c r="F24" s="2669">
        <f>ROUND((F22-(F25+F26+F27+F29)),0)</f>
        <v>4395283</v>
      </c>
      <c r="G24" s="2669">
        <f t="shared" ref="G24" si="29">ROUND((G22-(G25+G26+G27+G29)),0)</f>
        <v>5710287</v>
      </c>
      <c r="H24" s="2669">
        <f t="shared" ref="H24:N24" si="30">ROUND((H22-(H25+H26+H27+H29)),0)</f>
        <v>4255210</v>
      </c>
      <c r="I24" s="2669">
        <f t="shared" si="30"/>
        <v>4520254</v>
      </c>
      <c r="J24" s="2669">
        <f t="shared" si="30"/>
        <v>5062919</v>
      </c>
      <c r="K24" s="2669">
        <f t="shared" si="30"/>
        <v>4608714</v>
      </c>
      <c r="L24" s="2669">
        <f t="shared" si="30"/>
        <v>4870323</v>
      </c>
      <c r="M24" s="2669">
        <f t="shared" si="30"/>
        <v>4896140</v>
      </c>
      <c r="N24" s="2669">
        <f t="shared" si="30"/>
        <v>56409413</v>
      </c>
      <c r="O24" s="2715">
        <f>ROUND((N24/$O$3),0)</f>
        <v>8058488</v>
      </c>
      <c r="P24" s="96"/>
      <c r="Q24" s="2097"/>
      <c r="R24" s="2747" t="s">
        <v>211</v>
      </c>
      <c r="S24" s="2723">
        <f t="shared" ref="S24:AD24" si="31">B4-(S4+S5+S7+S25+S26)</f>
        <v>644797</v>
      </c>
      <c r="T24" s="2723">
        <f t="shared" si="31"/>
        <v>631736</v>
      </c>
      <c r="U24" s="2723">
        <f t="shared" si="31"/>
        <v>650057</v>
      </c>
      <c r="V24" s="2723">
        <f t="shared" si="31"/>
        <v>903646</v>
      </c>
      <c r="W24" s="2723">
        <f t="shared" si="31"/>
        <v>643794</v>
      </c>
      <c r="X24" s="2774">
        <f t="shared" si="31"/>
        <v>1588481</v>
      </c>
      <c r="Y24" s="2760">
        <f t="shared" si="31"/>
        <v>630559</v>
      </c>
      <c r="Z24" s="2760">
        <f t="shared" si="31"/>
        <v>813603</v>
      </c>
      <c r="AA24" s="2760">
        <f t="shared" si="31"/>
        <v>707863</v>
      </c>
      <c r="AB24" s="2760">
        <f t="shared" si="31"/>
        <v>636728</v>
      </c>
      <c r="AC24" s="2760">
        <f t="shared" si="31"/>
        <v>631490</v>
      </c>
      <c r="AD24" s="2760">
        <f t="shared" si="31"/>
        <v>920383</v>
      </c>
      <c r="AE24" s="2797">
        <f t="shared" ref="AE24:AE31" si="32">SUM(S24:AD24)</f>
        <v>9403137</v>
      </c>
      <c r="AF24" s="97">
        <f t="shared" si="3"/>
        <v>6.68134395076713</v>
      </c>
      <c r="AG24" s="164">
        <f t="shared" ref="AG24:AG33" si="33">AE24/$AG$2</f>
        <v>783594.75</v>
      </c>
    </row>
    <row r="25" ht="14.25" spans="1:33">
      <c r="A25" s="96" t="s">
        <v>212</v>
      </c>
      <c r="B25" s="2669">
        <f>B13</f>
        <v>0</v>
      </c>
      <c r="C25" s="2669">
        <f>C13</f>
        <v>0</v>
      </c>
      <c r="D25" s="2670">
        <f t="shared" ref="D25:N25" si="34">D13</f>
        <v>0</v>
      </c>
      <c r="E25" s="2670">
        <f t="shared" si="34"/>
        <v>0</v>
      </c>
      <c r="F25" s="2670">
        <f t="shared" si="34"/>
        <v>0</v>
      </c>
      <c r="G25" s="2670">
        <f t="shared" si="34"/>
        <v>0</v>
      </c>
      <c r="H25" s="2670">
        <f t="shared" si="34"/>
        <v>0</v>
      </c>
      <c r="I25" s="2670">
        <f t="shared" si="34"/>
        <v>0</v>
      </c>
      <c r="J25" s="2669">
        <f t="shared" si="34"/>
        <v>0</v>
      </c>
      <c r="K25" s="2669">
        <f t="shared" si="34"/>
        <v>0</v>
      </c>
      <c r="L25" s="2669">
        <f t="shared" si="34"/>
        <v>0</v>
      </c>
      <c r="M25" s="2669">
        <f t="shared" si="34"/>
        <v>0</v>
      </c>
      <c r="N25" s="2669">
        <f t="shared" si="34"/>
        <v>0</v>
      </c>
      <c r="O25" s="2716">
        <f>+N25/$O$3</f>
        <v>0</v>
      </c>
      <c r="P25" s="96"/>
      <c r="Q25" s="2748"/>
      <c r="R25" s="2749" t="s">
        <v>213</v>
      </c>
      <c r="S25" s="2726">
        <v>371074</v>
      </c>
      <c r="T25" s="2726">
        <v>372029</v>
      </c>
      <c r="U25" s="2726">
        <v>372420</v>
      </c>
      <c r="V25" s="2726">
        <v>380500</v>
      </c>
      <c r="W25" s="2726">
        <v>380500</v>
      </c>
      <c r="X25" s="2761">
        <v>380700</v>
      </c>
      <c r="Y25" s="2726">
        <v>380700</v>
      </c>
      <c r="Z25" s="2726">
        <v>301200</v>
      </c>
      <c r="AA25" s="2789">
        <v>385800</v>
      </c>
      <c r="AB25" s="2761">
        <v>385800</v>
      </c>
      <c r="AC25" s="2794">
        <v>385800</v>
      </c>
      <c r="AD25" s="2802">
        <v>385800</v>
      </c>
      <c r="AE25" s="2795">
        <f t="shared" si="32"/>
        <v>4482323</v>
      </c>
      <c r="AF25" s="97">
        <f t="shared" si="3"/>
        <v>3.18488836878952</v>
      </c>
      <c r="AG25" s="164">
        <f t="shared" si="33"/>
        <v>373526.916666667</v>
      </c>
    </row>
    <row r="26" ht="15" spans="1:33">
      <c r="A26" s="96" t="s">
        <v>214</v>
      </c>
      <c r="B26" s="2669">
        <v>533251</v>
      </c>
      <c r="C26" s="2669">
        <v>823327</v>
      </c>
      <c r="D26" s="2671">
        <v>700298</v>
      </c>
      <c r="E26" s="2670">
        <v>806835</v>
      </c>
      <c r="F26" s="2670">
        <v>671466</v>
      </c>
      <c r="G26" s="2687">
        <v>722488</v>
      </c>
      <c r="H26" s="2670">
        <v>791271</v>
      </c>
      <c r="I26" s="2670">
        <v>624076</v>
      </c>
      <c r="J26" s="2669">
        <v>632326</v>
      </c>
      <c r="K26" s="2669">
        <v>721180</v>
      </c>
      <c r="L26" s="2669">
        <v>716280</v>
      </c>
      <c r="M26" s="2669">
        <v>623548</v>
      </c>
      <c r="N26" s="2669">
        <f>SUM(B26:M26)</f>
        <v>8366346</v>
      </c>
      <c r="O26" s="2716">
        <f>ROUND((N26/$O$3),0)</f>
        <v>1195192</v>
      </c>
      <c r="P26" s="96"/>
      <c r="Q26" s="2097"/>
      <c r="R26" s="2750" t="s">
        <v>215</v>
      </c>
      <c r="S26" s="2733">
        <v>525000</v>
      </c>
      <c r="T26" s="2733">
        <v>525000</v>
      </c>
      <c r="U26" s="2733">
        <v>525000</v>
      </c>
      <c r="V26" s="2733">
        <v>525000</v>
      </c>
      <c r="W26" s="2775">
        <f>V26</f>
        <v>525000</v>
      </c>
      <c r="X26" s="2766">
        <v>525000</v>
      </c>
      <c r="Y26" s="2775">
        <v>525000</v>
      </c>
      <c r="Z26" s="2775">
        <v>525000</v>
      </c>
      <c r="AA26" s="2790">
        <v>525000</v>
      </c>
      <c r="AB26" s="2790">
        <v>525000</v>
      </c>
      <c r="AC26" s="2790">
        <v>525000</v>
      </c>
      <c r="AD26" s="2733">
        <v>525000</v>
      </c>
      <c r="AE26" s="2795">
        <f t="shared" si="32"/>
        <v>6300000</v>
      </c>
      <c r="AF26" s="97">
        <f t="shared" si="3"/>
        <v>4.47642812072534</v>
      </c>
      <c r="AG26" s="164">
        <f t="shared" si="33"/>
        <v>525000</v>
      </c>
    </row>
    <row r="27" ht="14.25" spans="1:33">
      <c r="A27" s="96" t="s">
        <v>216</v>
      </c>
      <c r="B27" s="2669">
        <f>ROUND((B7+B8),0)</f>
        <v>6769520</v>
      </c>
      <c r="C27" s="2669">
        <f t="shared" ref="C27:L27" si="35">ROUND((C7+C8),0)</f>
        <v>6325290</v>
      </c>
      <c r="D27" s="2670">
        <f t="shared" si="35"/>
        <v>6012211</v>
      </c>
      <c r="E27" s="2670">
        <f t="shared" si="35"/>
        <v>7034404</v>
      </c>
      <c r="F27" s="2670">
        <f t="shared" si="35"/>
        <v>6751564</v>
      </c>
      <c r="G27" s="2670">
        <f t="shared" si="35"/>
        <v>7111109</v>
      </c>
      <c r="H27" s="2669">
        <f t="shared" si="35"/>
        <v>5407396</v>
      </c>
      <c r="I27" s="2670">
        <f t="shared" si="35"/>
        <v>5947704</v>
      </c>
      <c r="J27" s="2670">
        <f t="shared" si="35"/>
        <v>6577862</v>
      </c>
      <c r="K27" s="2669">
        <f t="shared" si="35"/>
        <v>6880405</v>
      </c>
      <c r="L27" s="2669">
        <f t="shared" si="35"/>
        <v>6337386</v>
      </c>
      <c r="M27" s="2669">
        <f>M7+M8</f>
        <v>6046500</v>
      </c>
      <c r="N27" s="2669">
        <f>SUM(B27:M27)</f>
        <v>77201351</v>
      </c>
      <c r="O27" s="2716">
        <f t="shared" ref="O27:O31" si="36">ROUND((N27/$O$3),0)</f>
        <v>11028764</v>
      </c>
      <c r="Q27" s="2748"/>
      <c r="R27" s="2750" t="s">
        <v>181</v>
      </c>
      <c r="S27" s="2733">
        <f>B6</f>
        <v>125000</v>
      </c>
      <c r="T27" s="2733">
        <f>C6</f>
        <v>125000</v>
      </c>
      <c r="U27" s="2733">
        <f>D6</f>
        <v>125000</v>
      </c>
      <c r="V27" s="2733">
        <v>125000</v>
      </c>
      <c r="W27" s="2733">
        <f>V27</f>
        <v>125000</v>
      </c>
      <c r="X27" s="2767">
        <f t="shared" ref="X27:AD27" si="37">G6</f>
        <v>125000</v>
      </c>
      <c r="Y27" s="2767">
        <f t="shared" si="37"/>
        <v>125000</v>
      </c>
      <c r="Z27" s="2767">
        <f t="shared" si="37"/>
        <v>125000</v>
      </c>
      <c r="AA27" s="2733">
        <f t="shared" si="37"/>
        <v>125000</v>
      </c>
      <c r="AB27" s="2733">
        <f t="shared" si="37"/>
        <v>125000</v>
      </c>
      <c r="AC27" s="2733">
        <f t="shared" si="37"/>
        <v>125000</v>
      </c>
      <c r="AD27" s="2733">
        <f t="shared" si="37"/>
        <v>125000</v>
      </c>
      <c r="AE27" s="2795">
        <f t="shared" si="32"/>
        <v>1500000</v>
      </c>
      <c r="AF27" s="97">
        <f t="shared" si="3"/>
        <v>1.06581621922032</v>
      </c>
      <c r="AG27" s="164">
        <f t="shared" si="33"/>
        <v>125000</v>
      </c>
    </row>
    <row r="28" spans="1:33">
      <c r="A28" s="96" t="s">
        <v>217</v>
      </c>
      <c r="B28" s="2672">
        <f>SUM(B24:B27)</f>
        <v>11230680</v>
      </c>
      <c r="C28" s="2672">
        <f>SUM(C24:C27)</f>
        <v>11587203</v>
      </c>
      <c r="D28" s="2673">
        <f>SUM(D24:D27)</f>
        <v>11018191</v>
      </c>
      <c r="E28" s="2673">
        <f>SUM(E24:E27)</f>
        <v>13259345</v>
      </c>
      <c r="F28" s="2672">
        <f>SUM(F24:F27)</f>
        <v>11818313</v>
      </c>
      <c r="G28" s="2673">
        <f t="shared" ref="G28:M28" si="38">SUM(G24:G27)</f>
        <v>13543884</v>
      </c>
      <c r="H28" s="2672">
        <f t="shared" si="38"/>
        <v>10453877</v>
      </c>
      <c r="I28" s="2673">
        <f t="shared" si="38"/>
        <v>11092034</v>
      </c>
      <c r="J28" s="2672">
        <f t="shared" si="38"/>
        <v>12273107</v>
      </c>
      <c r="K28" s="2672">
        <f t="shared" si="38"/>
        <v>12210299</v>
      </c>
      <c r="L28" s="2672">
        <f t="shared" si="38"/>
        <v>11923989</v>
      </c>
      <c r="M28" s="2672">
        <f t="shared" si="38"/>
        <v>11566188</v>
      </c>
      <c r="N28" s="2672">
        <f>SUM(B28:M28)</f>
        <v>141977110</v>
      </c>
      <c r="O28" s="2717">
        <f t="shared" si="36"/>
        <v>20282444</v>
      </c>
      <c r="R28" s="2751" t="s">
        <v>218</v>
      </c>
      <c r="S28" s="2733">
        <f>'Indirect Expns'!B3</f>
        <v>433740</v>
      </c>
      <c r="T28" s="2733">
        <f>'Indirect Expns'!C3</f>
        <v>513190.13</v>
      </c>
      <c r="U28" s="2733">
        <f>'Indirect Expns'!D3</f>
        <v>575240.25</v>
      </c>
      <c r="V28" s="2733">
        <f>'Indirect Expns'!E3</f>
        <v>413383.32</v>
      </c>
      <c r="W28" s="2733">
        <f>'Indirect Expns'!F3</f>
        <v>449879.61</v>
      </c>
      <c r="X28" s="2767">
        <f>'Indirect Expns'!G3</f>
        <v>359223.49</v>
      </c>
      <c r="Y28" s="2767">
        <f>'Indirect Expns'!H3</f>
        <v>510924.17</v>
      </c>
      <c r="Z28" s="2767">
        <f>INT('Indirect Expns'!I3)</f>
        <v>466534</v>
      </c>
      <c r="AA28" s="2733">
        <f>'Indirect Expns'!J3</f>
        <v>547704.57</v>
      </c>
      <c r="AB28" s="2733">
        <f>'Indirect Expns'!K3</f>
        <v>349480.88</v>
      </c>
      <c r="AC28" s="2733">
        <f>'Indirect Expns'!L3</f>
        <v>599924.47</v>
      </c>
      <c r="AD28" s="2733">
        <f>'Indirect Expns'!M3</f>
        <v>656534.52</v>
      </c>
      <c r="AE28" s="2795">
        <f t="shared" si="32"/>
        <v>5875759.41</v>
      </c>
      <c r="AF28" s="97">
        <f t="shared" si="3"/>
        <v>4.17498645294295</v>
      </c>
      <c r="AG28" s="164">
        <f t="shared" si="33"/>
        <v>489646.6175</v>
      </c>
    </row>
    <row r="29" ht="14.25" spans="1:33">
      <c r="A29" s="96" t="s">
        <v>219</v>
      </c>
      <c r="B29" s="2669">
        <f>B6</f>
        <v>125000</v>
      </c>
      <c r="C29" s="2669">
        <f t="shared" ref="C29:I29" si="39">C6</f>
        <v>125000</v>
      </c>
      <c r="D29" s="2670">
        <f t="shared" si="39"/>
        <v>125000</v>
      </c>
      <c r="E29" s="2670">
        <f t="shared" si="39"/>
        <v>125000</v>
      </c>
      <c r="F29" s="2688">
        <f t="shared" si="39"/>
        <v>125000</v>
      </c>
      <c r="G29" s="2670">
        <f t="shared" si="39"/>
        <v>125000</v>
      </c>
      <c r="H29" s="2688">
        <f t="shared" si="39"/>
        <v>125000</v>
      </c>
      <c r="I29" s="2670">
        <f t="shared" si="39"/>
        <v>125000</v>
      </c>
      <c r="J29" s="2669">
        <f t="shared" ref="J29:N29" si="40">J6</f>
        <v>125000</v>
      </c>
      <c r="K29" s="2669">
        <f t="shared" si="40"/>
        <v>125000</v>
      </c>
      <c r="L29" s="2669">
        <f t="shared" si="40"/>
        <v>125000</v>
      </c>
      <c r="M29" s="2669">
        <f t="shared" si="40"/>
        <v>125000</v>
      </c>
      <c r="N29" s="2669">
        <f t="shared" si="40"/>
        <v>1500000</v>
      </c>
      <c r="O29" s="2716">
        <f t="shared" si="36"/>
        <v>214286</v>
      </c>
      <c r="R29" s="2750" t="s">
        <v>220</v>
      </c>
      <c r="S29" s="2733">
        <f>'Indirect Expns'!B52</f>
        <v>32614.21</v>
      </c>
      <c r="T29" s="2733">
        <f>'Indirect Expns'!C52</f>
        <v>61101.17</v>
      </c>
      <c r="U29" s="2733">
        <f>'Indirect Expns'!D52</f>
        <v>327067.65</v>
      </c>
      <c r="V29" s="2733">
        <f>'Indirect Expns'!E52</f>
        <v>62212.6</v>
      </c>
      <c r="W29" s="2733">
        <f>'Indirect Expns'!F52</f>
        <v>117848</v>
      </c>
      <c r="X29" s="2767">
        <f>'Indirect Expns'!G52</f>
        <v>58017.23</v>
      </c>
      <c r="Y29" s="2767">
        <f>'Indirect Expns'!H52</f>
        <v>36302.25</v>
      </c>
      <c r="Z29" s="2767">
        <f>INT('Indirect Expns'!I52)</f>
        <v>269668</v>
      </c>
      <c r="AA29" s="2733">
        <f>'Indirect Expns'!J52</f>
        <v>191554.43</v>
      </c>
      <c r="AB29" s="2733">
        <f>'Indirect Expns'!K52</f>
        <v>155623.25</v>
      </c>
      <c r="AC29" s="2733">
        <f>'Indirect Expns'!L52</f>
        <v>229687.48</v>
      </c>
      <c r="AD29" s="2733">
        <f>'Indirect Expns'!M52</f>
        <v>109039.18</v>
      </c>
      <c r="AE29" s="2795">
        <f t="shared" si="32"/>
        <v>1650735.45</v>
      </c>
      <c r="AF29" s="97">
        <f t="shared" si="3"/>
        <v>1.17292041083464</v>
      </c>
      <c r="AG29" s="164">
        <f t="shared" si="33"/>
        <v>137561.2875</v>
      </c>
    </row>
    <row r="30" ht="14.25" spans="1:33">
      <c r="A30" s="96" t="s">
        <v>52</v>
      </c>
      <c r="B30" s="2672">
        <f>SUM(B28:B29)</f>
        <v>11355680</v>
      </c>
      <c r="C30" s="2672">
        <f t="shared" ref="C30:E30" si="41">SUM(C28:C29)</f>
        <v>11712203</v>
      </c>
      <c r="D30" s="2673">
        <f t="shared" si="41"/>
        <v>11143191</v>
      </c>
      <c r="E30" s="2673">
        <f t="shared" si="41"/>
        <v>13384345</v>
      </c>
      <c r="F30" s="2672">
        <f t="shared" ref="F30:N30" si="42">SUM(F28:F29)</f>
        <v>11943313</v>
      </c>
      <c r="G30" s="2673">
        <f t="shared" si="42"/>
        <v>13668884</v>
      </c>
      <c r="H30" s="2672">
        <f t="shared" si="42"/>
        <v>10578877</v>
      </c>
      <c r="I30" s="2673">
        <f t="shared" si="42"/>
        <v>11217034</v>
      </c>
      <c r="J30" s="2672">
        <f t="shared" si="42"/>
        <v>12398107</v>
      </c>
      <c r="K30" s="2672">
        <f t="shared" si="42"/>
        <v>12335299</v>
      </c>
      <c r="L30" s="2672">
        <f t="shared" si="42"/>
        <v>12048989</v>
      </c>
      <c r="M30" s="2672">
        <f t="shared" si="42"/>
        <v>11691188</v>
      </c>
      <c r="N30" s="2672">
        <f t="shared" si="42"/>
        <v>143477110</v>
      </c>
      <c r="O30" s="2717">
        <f t="shared" si="36"/>
        <v>20496730</v>
      </c>
      <c r="R30" s="2750" t="s">
        <v>221</v>
      </c>
      <c r="S30" s="2733">
        <f>'Indirect Expns'!B48+'Indirect Expns'!B50</f>
        <v>0</v>
      </c>
      <c r="T30" s="2733">
        <f>'Indirect Expns'!C48+'Indirect Expns'!C50</f>
        <v>0</v>
      </c>
      <c r="U30" s="2733">
        <f>'Indirect Expns'!D48+'Indirect Expns'!D50</f>
        <v>0</v>
      </c>
      <c r="V30" s="2733">
        <f>'Indirect Expns'!E48+'Indirect Expns'!E50</f>
        <v>11170</v>
      </c>
      <c r="W30" s="2733">
        <f>'Indirect Expns'!F48+'Indirect Expns'!F50</f>
        <v>14192</v>
      </c>
      <c r="X30" s="2733">
        <f>'Indirect Expns'!G48+'Indirect Expns'!G50</f>
        <v>13838</v>
      </c>
      <c r="Y30" s="2733">
        <f>'Indirect Expns'!H48+'Indirect Expns'!H50</f>
        <v>13481</v>
      </c>
      <c r="Z30" s="2733">
        <f>'Indirect Expns'!I48+'Indirect Expns'!I50</f>
        <v>13122</v>
      </c>
      <c r="AA30" s="2733">
        <f>'Indirect Expns'!J48+'Indirect Expns'!J50</f>
        <v>12759</v>
      </c>
      <c r="AB30" s="2733">
        <f>'Indirect Expns'!K48+'Indirect Expns'!K50</f>
        <v>12394</v>
      </c>
      <c r="AC30" s="2733">
        <f>'Indirect Expns'!L48+'Indirect Expns'!L50</f>
        <v>12026</v>
      </c>
      <c r="AD30" s="2733">
        <f>'Indirect Expns'!M48+'Indirect Expns'!M50</f>
        <v>11655</v>
      </c>
      <c r="AE30" s="2795">
        <f t="shared" si="32"/>
        <v>114637</v>
      </c>
      <c r="AF30" s="97">
        <f t="shared" si="3"/>
        <v>0.0814546492818399</v>
      </c>
      <c r="AG30" s="164">
        <f t="shared" si="33"/>
        <v>9553.08333333333</v>
      </c>
    </row>
    <row r="31" ht="15" spans="1:33">
      <c r="A31" s="96" t="s">
        <v>216</v>
      </c>
      <c r="B31" s="2669">
        <f>B26+B27</f>
        <v>7302771</v>
      </c>
      <c r="C31" s="2669">
        <f>C26+C27</f>
        <v>7148617</v>
      </c>
      <c r="D31" s="2670">
        <f>D26+D27</f>
        <v>6712509</v>
      </c>
      <c r="E31" s="2670">
        <f>E26+E27</f>
        <v>7841239</v>
      </c>
      <c r="F31" s="2670">
        <f>F26+F27</f>
        <v>7423030</v>
      </c>
      <c r="G31" s="2670">
        <f t="shared" ref="G31:I31" si="43">G26+G27</f>
        <v>7833597</v>
      </c>
      <c r="H31" s="2670">
        <f t="shared" si="43"/>
        <v>6198667</v>
      </c>
      <c r="I31" s="2670">
        <f t="shared" si="43"/>
        <v>6571780</v>
      </c>
      <c r="J31" s="2669">
        <f t="shared" ref="J31:N31" si="44">J26+J27</f>
        <v>7210188</v>
      </c>
      <c r="K31" s="2669">
        <f t="shared" si="44"/>
        <v>7601585</v>
      </c>
      <c r="L31" s="2669">
        <f t="shared" si="44"/>
        <v>7053666</v>
      </c>
      <c r="M31" s="2669">
        <f t="shared" si="44"/>
        <v>6670048</v>
      </c>
      <c r="N31" s="2669">
        <f t="shared" si="44"/>
        <v>85567697</v>
      </c>
      <c r="O31" s="2718">
        <f t="shared" si="36"/>
        <v>12223957</v>
      </c>
      <c r="R31" s="2752" t="s">
        <v>222</v>
      </c>
      <c r="S31" s="2744">
        <f>'Indirect Expns'!B44+'Indirect Expns'!B51+1</f>
        <v>97334</v>
      </c>
      <c r="T31" s="2744">
        <f>'Indirect Expns'!C44+'Indirect Expns'!C51</f>
        <v>97333</v>
      </c>
      <c r="U31" s="2744">
        <f>'Indirect Expns'!D44+'Indirect Expns'!D51</f>
        <v>454333</v>
      </c>
      <c r="V31" s="2744">
        <f>'Indirect Expns'!E44+'Indirect Expns'!E51</f>
        <v>97333</v>
      </c>
      <c r="W31" s="2744">
        <f>'Indirect Expns'!F44+'Indirect Expns'!F51</f>
        <v>97333</v>
      </c>
      <c r="X31" s="2744">
        <f>'Indirect Expns'!G44+'Indirect Expns'!G51</f>
        <v>452333</v>
      </c>
      <c r="Y31" s="2744">
        <f>'Indirect Expns'!H44+'Indirect Expns'!H51</f>
        <v>93618</v>
      </c>
      <c r="Z31" s="2744">
        <f>'Indirect Expns'!I44+'Indirect Expns'!I51</f>
        <v>93224</v>
      </c>
      <c r="AA31" s="2744">
        <f>'Indirect Expns'!J44+'Indirect Expns'!J51</f>
        <v>446410</v>
      </c>
      <c r="AB31" s="2744">
        <f>'Indirect Expns'!K44+'Indirect Expns'!K51</f>
        <v>88051</v>
      </c>
      <c r="AC31" s="2744">
        <f>'Indirect Expns'!L44+'Indirect Expns'!L51</f>
        <v>86254</v>
      </c>
      <c r="AD31" s="2744">
        <f>'Indirect Expns'!M44+'Indirect Expns'!M51</f>
        <v>439012</v>
      </c>
      <c r="AE31" s="2795">
        <f t="shared" si="32"/>
        <v>2542568</v>
      </c>
      <c r="AF31" s="97">
        <f t="shared" si="3"/>
        <v>1.80660680858038</v>
      </c>
      <c r="AG31" s="164">
        <f t="shared" si="33"/>
        <v>211880.666666667</v>
      </c>
    </row>
    <row r="32" ht="14.25" spans="2:33">
      <c r="B32" s="2668"/>
      <c r="C32" s="2668"/>
      <c r="D32" s="2674"/>
      <c r="E32" s="2674"/>
      <c r="F32" s="2674"/>
      <c r="G32" s="2674"/>
      <c r="H32" s="2689"/>
      <c r="I32" s="2674"/>
      <c r="J32" s="2674"/>
      <c r="K32" s="2674"/>
      <c r="L32" s="2674"/>
      <c r="M32" s="2674"/>
      <c r="N32" s="2674"/>
      <c r="O32" s="2674"/>
      <c r="P32" s="159"/>
      <c r="R32" s="146"/>
      <c r="S32" s="2739">
        <f>SUM(S24:S31)</f>
        <v>2229559.21</v>
      </c>
      <c r="T32" s="2739">
        <f>SUM(T24:T31)</f>
        <v>2325389.3</v>
      </c>
      <c r="U32" s="2739">
        <f>SUM(U24:U31)</f>
        <v>3029117.9</v>
      </c>
      <c r="V32" s="2739">
        <f>SUM(V24:V31)</f>
        <v>2518244.92</v>
      </c>
      <c r="W32" s="2739">
        <f>SUM(W24:W31)</f>
        <v>2353546.61</v>
      </c>
      <c r="X32" s="2739">
        <f t="shared" ref="X32:Y32" si="45">SUM(X24:X31)</f>
        <v>3502592.72</v>
      </c>
      <c r="Y32" s="2739">
        <f t="shared" si="45"/>
        <v>2315584.42</v>
      </c>
      <c r="Z32" s="2739">
        <f t="shared" ref="Z32:AB32" si="46">SUM(Z24:Z31)</f>
        <v>2607351</v>
      </c>
      <c r="AA32" s="2739">
        <f t="shared" si="46"/>
        <v>2942091</v>
      </c>
      <c r="AB32" s="2739">
        <f t="shared" si="46"/>
        <v>2278077.13</v>
      </c>
      <c r="AC32" s="2739">
        <f t="shared" ref="AC32:AE32" si="47">SUM(AC24:AC31)</f>
        <v>2595181.95</v>
      </c>
      <c r="AD32" s="2739">
        <f t="shared" si="47"/>
        <v>3172423.7</v>
      </c>
      <c r="AE32" s="2798">
        <f t="shared" si="47"/>
        <v>31869159.86</v>
      </c>
      <c r="AF32" s="234">
        <f t="shared" si="3"/>
        <v>22.6444449811421</v>
      </c>
      <c r="AG32" s="2806">
        <f>SUM(AG24:AG31)</f>
        <v>2655763.32166667</v>
      </c>
    </row>
    <row r="33" ht="14.25" spans="1:33">
      <c r="A33" s="96" t="s">
        <v>223</v>
      </c>
      <c r="B33" s="2674">
        <v>8386.9</v>
      </c>
      <c r="C33" s="2674">
        <v>9115.9</v>
      </c>
      <c r="D33" s="2674">
        <v>8230.5</v>
      </c>
      <c r="E33" s="2674">
        <v>7433.3</v>
      </c>
      <c r="F33" s="2674">
        <v>6910.3</v>
      </c>
      <c r="G33" s="2674">
        <v>8618.4</v>
      </c>
      <c r="H33" s="2689">
        <v>6085.3</v>
      </c>
      <c r="I33" s="2674">
        <v>7778</v>
      </c>
      <c r="J33" s="2674">
        <v>9706.9</v>
      </c>
      <c r="K33" s="2674">
        <v>9658</v>
      </c>
      <c r="L33" s="2674">
        <v>8769.8</v>
      </c>
      <c r="M33" s="2674">
        <v>11284.7</v>
      </c>
      <c r="N33" s="2674">
        <f>SUM(B33:M33)</f>
        <v>101978</v>
      </c>
      <c r="O33" s="2674"/>
      <c r="P33" s="159"/>
      <c r="R33" s="2753" t="s">
        <v>224</v>
      </c>
      <c r="S33" s="2746">
        <f>S21+S32</f>
        <v>12771887.62</v>
      </c>
      <c r="T33" s="2746">
        <f>T21+T32</f>
        <v>12580166.74</v>
      </c>
      <c r="U33" s="2746">
        <f>U21+U32</f>
        <v>13250137.33</v>
      </c>
      <c r="V33" s="2746">
        <f>V21+V32</f>
        <v>14501776.51</v>
      </c>
      <c r="W33" s="2746">
        <f>W21+W32</f>
        <v>13252827.74</v>
      </c>
      <c r="X33" s="2746">
        <f t="shared" ref="X33:Y33" si="48">X21+X32</f>
        <v>15025882.76</v>
      </c>
      <c r="Y33" s="2746">
        <f t="shared" si="48"/>
        <v>11890624.39</v>
      </c>
      <c r="Z33" s="2746">
        <f t="shared" ref="Z33:AB33" si="49">Z21+Z32</f>
        <v>12678845.06</v>
      </c>
      <c r="AA33" s="2746">
        <f t="shared" si="49"/>
        <v>14081473.05</v>
      </c>
      <c r="AB33" s="2746">
        <f t="shared" si="49"/>
        <v>13657981.3</v>
      </c>
      <c r="AC33" s="2746">
        <f t="shared" ref="AC33:AE33" si="50">AC21+AC32</f>
        <v>13888815.48</v>
      </c>
      <c r="AD33" s="2746">
        <f t="shared" si="50"/>
        <v>13240992.97</v>
      </c>
      <c r="AE33" s="2746">
        <f t="shared" si="50"/>
        <v>160821410.95</v>
      </c>
      <c r="AF33" s="97">
        <f t="shared" si="3"/>
        <v>114.270712125604</v>
      </c>
      <c r="AG33" s="164">
        <f t="shared" si="33"/>
        <v>13401784.2458333</v>
      </c>
    </row>
    <row r="34" ht="14.25" spans="1:32">
      <c r="A34" s="96" t="s">
        <v>225</v>
      </c>
      <c r="B34" s="2674">
        <v>79666.8</v>
      </c>
      <c r="C34" s="2674">
        <v>74692.4</v>
      </c>
      <c r="D34" s="2674">
        <v>70683.1</v>
      </c>
      <c r="E34" s="2674">
        <v>83091</v>
      </c>
      <c r="F34" s="2674">
        <v>76318.9</v>
      </c>
      <c r="G34" s="2674">
        <v>82224.2</v>
      </c>
      <c r="H34" s="2690">
        <v>64342.8</v>
      </c>
      <c r="I34" s="2690">
        <v>70982.7</v>
      </c>
      <c r="J34" s="2699">
        <v>78244.4</v>
      </c>
      <c r="K34" s="2674">
        <v>80049.2</v>
      </c>
      <c r="L34" s="2674">
        <v>72433.1</v>
      </c>
      <c r="M34" s="2674">
        <v>69895.7</v>
      </c>
      <c r="N34" s="2674">
        <f>SUM(B34:M34)</f>
        <v>902624.3</v>
      </c>
      <c r="O34" s="2674"/>
      <c r="P34" s="159"/>
      <c r="R34" s="2754" t="s">
        <v>226</v>
      </c>
      <c r="S34" s="2746">
        <f>'PAL I'!D26</f>
        <v>12771887</v>
      </c>
      <c r="T34" s="2746">
        <f>'PAL I'!G26</f>
        <v>12580167</v>
      </c>
      <c r="U34" s="2746">
        <f>'PAL I'!J26</f>
        <v>13250137</v>
      </c>
      <c r="V34" s="2746">
        <f>'PAL I'!M26</f>
        <v>14501777</v>
      </c>
      <c r="W34" s="2746">
        <f>'PAL I'!P26</f>
        <v>13252828</v>
      </c>
      <c r="X34" s="2773">
        <f>'PAL I'!S26</f>
        <v>15025882</v>
      </c>
      <c r="Y34" s="2773">
        <f>'PAL I'!V26</f>
        <v>11890624</v>
      </c>
      <c r="Z34" s="2773">
        <f>'PAL I'!Y26</f>
        <v>12678849</v>
      </c>
      <c r="AA34" s="2773">
        <f>'PAL I'!AB26</f>
        <v>14081473</v>
      </c>
      <c r="AB34" s="2746">
        <f>'PAL I'!AE26</f>
        <v>13657981</v>
      </c>
      <c r="AC34" s="2746">
        <f>'PAL I'!AH26</f>
        <v>13888814</v>
      </c>
      <c r="AD34" s="2746">
        <f>'PAL I'!AK26</f>
        <v>13240993</v>
      </c>
      <c r="AE34" s="2746">
        <f>'PAL I'!AN26</f>
        <v>160821412</v>
      </c>
      <c r="AF34" s="234">
        <f t="shared" si="3"/>
        <v>114.270712871676</v>
      </c>
    </row>
    <row r="35" spans="1:31">
      <c r="A35" s="96" t="s">
        <v>227</v>
      </c>
      <c r="B35" s="2674">
        <f>54698+21500</f>
        <v>76198</v>
      </c>
      <c r="C35" s="2674">
        <f>49466+26500</f>
        <v>75966</v>
      </c>
      <c r="D35" s="2674">
        <f>56391+25800</f>
        <v>82191</v>
      </c>
      <c r="E35" s="2674">
        <f>61071+36761</f>
        <v>97832</v>
      </c>
      <c r="F35" s="2674">
        <f>51789+22775</f>
        <v>74564</v>
      </c>
      <c r="G35" s="2674">
        <f>56781+20225</f>
        <v>77006</v>
      </c>
      <c r="H35" s="2674">
        <f>48715+29325</f>
        <v>78040</v>
      </c>
      <c r="I35" s="2674">
        <v>78954</v>
      </c>
      <c r="J35" s="2674">
        <v>100149</v>
      </c>
      <c r="K35" s="2674">
        <v>91272</v>
      </c>
      <c r="L35" s="2674">
        <v>88473</v>
      </c>
      <c r="M35" s="2674">
        <v>64885</v>
      </c>
      <c r="N35" s="2674">
        <f>SUM(B35:M35)</f>
        <v>985530</v>
      </c>
      <c r="O35" s="2668"/>
      <c r="S35" s="2746">
        <f>S33-S34</f>
        <v>0.620000001043081</v>
      </c>
      <c r="T35" s="2746">
        <f>T33-T34</f>
        <v>-0.260000001639128</v>
      </c>
      <c r="U35" s="2746">
        <f>U33-U34</f>
        <v>0.330000000074506</v>
      </c>
      <c r="V35" s="2746">
        <f>V33-V34</f>
        <v>-0.490000000223517</v>
      </c>
      <c r="W35" s="2746">
        <f>W33-W34</f>
        <v>-0.260000001639128</v>
      </c>
      <c r="X35" s="2746">
        <f t="shared" ref="X35:Y35" si="51">X33-X34</f>
        <v>0.759999999776483</v>
      </c>
      <c r="Y35" s="2746">
        <f t="shared" si="51"/>
        <v>0.389999998733401</v>
      </c>
      <c r="Z35" s="2746">
        <f t="shared" ref="Z35:AC35" si="52">Z33-Z34</f>
        <v>-3.93999999947846</v>
      </c>
      <c r="AA35" s="2746">
        <f t="shared" si="52"/>
        <v>0.0499999988824129</v>
      </c>
      <c r="AB35" s="2746">
        <f t="shared" si="52"/>
        <v>0.300000000745058</v>
      </c>
      <c r="AC35" s="2746">
        <f t="shared" si="52"/>
        <v>1.48000000044703</v>
      </c>
      <c r="AD35" s="2746">
        <f t="shared" ref="AD35:AE35" si="53">AD33-AD34</f>
        <v>-0.0299999974668026</v>
      </c>
      <c r="AE35" s="2746">
        <f t="shared" si="53"/>
        <v>-1.05000001192093</v>
      </c>
    </row>
    <row r="36" ht="12" customHeight="1" spans="1:33">
      <c r="A36" s="96" t="s">
        <v>228</v>
      </c>
      <c r="B36" s="2675">
        <f>'Indirect Expns'!B75</f>
        <v>1416207</v>
      </c>
      <c r="C36" s="2675">
        <f>'Indirect Expns'!C75</f>
        <v>867964</v>
      </c>
      <c r="D36" s="2675">
        <f>'Indirect Expns'!D75</f>
        <v>2106946</v>
      </c>
      <c r="E36" s="2676">
        <f>'Indirect Expns'!E75</f>
        <v>1117432</v>
      </c>
      <c r="F36" s="2676">
        <f>'Indirect Expns'!F75</f>
        <v>1309515</v>
      </c>
      <c r="G36" s="2676">
        <f>'Indirect Expns'!G75</f>
        <v>1356998</v>
      </c>
      <c r="H36" s="2676">
        <f>'Indirect Expns'!H75</f>
        <v>1311747</v>
      </c>
      <c r="I36" s="2676">
        <f>'Indirect Expns'!I75</f>
        <v>1461815</v>
      </c>
      <c r="J36" s="2676">
        <f>'Indirect Expns'!J75</f>
        <v>1683366</v>
      </c>
      <c r="K36" s="2676">
        <f>'Indirect Expns'!K75</f>
        <v>1322682</v>
      </c>
      <c r="L36" s="2676">
        <f>'Indirect Expns'!L75</f>
        <v>1839825</v>
      </c>
      <c r="M36" s="2676">
        <f>'Indirect Expns'!M75</f>
        <v>1549805</v>
      </c>
      <c r="N36" s="2675">
        <f>'Indirect Expns'!N75</f>
        <v>17344303</v>
      </c>
      <c r="O36" s="2717">
        <f t="shared" ref="O36:O37" si="54">ROUND((N36/$O$3),0)</f>
        <v>2477758</v>
      </c>
      <c r="R36" s="870" t="s">
        <v>229</v>
      </c>
      <c r="S36" s="2746">
        <f>SUM(S4,S5,S7)+S24+S25+S26</f>
        <v>3164931</v>
      </c>
      <c r="T36" s="2746">
        <f t="shared" ref="T36:V36" si="55">SUM(T4,T5,T7)+T24+T25+T26</f>
        <v>3100992</v>
      </c>
      <c r="U36" s="2746">
        <f t="shared" si="55"/>
        <v>3145755</v>
      </c>
      <c r="V36" s="2746">
        <f t="shared" si="55"/>
        <v>3504798</v>
      </c>
      <c r="W36" s="2746">
        <f t="shared" ref="W36:AE36" si="56">SUM(W4:W5)+W24+W25</f>
        <v>1913120</v>
      </c>
      <c r="X36" s="2746">
        <f t="shared" si="56"/>
        <v>2869436</v>
      </c>
      <c r="Y36" s="2746">
        <f t="shared" si="56"/>
        <v>1890505</v>
      </c>
      <c r="Z36" s="2746">
        <f t="shared" si="56"/>
        <v>1937155</v>
      </c>
      <c r="AA36" s="2746">
        <f t="shared" si="56"/>
        <v>1931824</v>
      </c>
      <c r="AB36" s="2746">
        <f t="shared" si="56"/>
        <v>1885231</v>
      </c>
      <c r="AC36" s="2746">
        <f t="shared" si="56"/>
        <v>1897324</v>
      </c>
      <c r="AD36" s="2746">
        <f t="shared" si="56"/>
        <v>2123122</v>
      </c>
      <c r="AE36" s="2746">
        <f t="shared" si="56"/>
        <v>24330148</v>
      </c>
      <c r="AF36" s="97">
        <f t="shared" si="3"/>
        <v>17.2876442362872</v>
      </c>
      <c r="AG36" s="164">
        <f t="shared" ref="AG36" si="57">AE36/$AG$2</f>
        <v>2027512.33333333</v>
      </c>
    </row>
    <row r="37" spans="1:32">
      <c r="A37" s="870" t="s">
        <v>224</v>
      </c>
      <c r="B37" s="2676">
        <f>B30+B36</f>
        <v>12771887</v>
      </c>
      <c r="C37" s="2676">
        <f>C30+C36</f>
        <v>12580167</v>
      </c>
      <c r="D37" s="2676">
        <f t="shared" ref="D37:F37" si="58">D30+D36</f>
        <v>13250137</v>
      </c>
      <c r="E37" s="2676">
        <f t="shared" si="58"/>
        <v>14501777</v>
      </c>
      <c r="F37" s="2676">
        <f t="shared" si="58"/>
        <v>13252828</v>
      </c>
      <c r="G37" s="2676">
        <f t="shared" ref="G37:N37" si="59">G30+G36</f>
        <v>15025882</v>
      </c>
      <c r="H37" s="2676">
        <f t="shared" si="59"/>
        <v>11890624</v>
      </c>
      <c r="I37" s="2676">
        <f t="shared" si="59"/>
        <v>12678849</v>
      </c>
      <c r="J37" s="2676">
        <f t="shared" si="59"/>
        <v>14081473</v>
      </c>
      <c r="K37" s="2676">
        <f t="shared" si="59"/>
        <v>13657981</v>
      </c>
      <c r="L37" s="2676">
        <f t="shared" si="59"/>
        <v>13888814</v>
      </c>
      <c r="M37" s="2676">
        <f t="shared" si="59"/>
        <v>13240993</v>
      </c>
      <c r="N37" s="2676">
        <f t="shared" si="59"/>
        <v>160821413</v>
      </c>
      <c r="O37" s="2717">
        <f t="shared" si="54"/>
        <v>22974488</v>
      </c>
      <c r="S37" s="2746">
        <f t="shared" ref="S37:AE37" si="60">B4</f>
        <v>3164931</v>
      </c>
      <c r="T37" s="2746">
        <f t="shared" si="60"/>
        <v>3100992</v>
      </c>
      <c r="U37" s="2746">
        <f t="shared" si="60"/>
        <v>3145755</v>
      </c>
      <c r="V37" s="2746">
        <f t="shared" si="60"/>
        <v>3504798</v>
      </c>
      <c r="W37" s="2746">
        <f t="shared" si="60"/>
        <v>3304573</v>
      </c>
      <c r="X37" s="2746">
        <f t="shared" si="60"/>
        <v>4259816</v>
      </c>
      <c r="Y37" s="2746">
        <f t="shared" si="60"/>
        <v>3239750</v>
      </c>
      <c r="Z37" s="2746">
        <f t="shared" si="60"/>
        <v>3270306</v>
      </c>
      <c r="AA37" s="2746">
        <f t="shared" si="60"/>
        <v>3311626</v>
      </c>
      <c r="AB37" s="2746">
        <f t="shared" si="60"/>
        <v>3262509</v>
      </c>
      <c r="AC37" s="2746">
        <f t="shared" si="60"/>
        <v>3253157</v>
      </c>
      <c r="AD37" s="2746">
        <f t="shared" si="60"/>
        <v>3277937</v>
      </c>
      <c r="AE37" s="2746">
        <f t="shared" si="60"/>
        <v>40096150</v>
      </c>
      <c r="AF37" s="97">
        <f t="shared" si="3"/>
        <v>28.4900846655272</v>
      </c>
    </row>
    <row r="38" spans="2:31">
      <c r="B38" s="2668"/>
      <c r="C38" s="2668"/>
      <c r="D38" s="2668"/>
      <c r="E38" s="2668"/>
      <c r="F38" s="2668"/>
      <c r="G38" s="2668"/>
      <c r="H38" s="2668"/>
      <c r="I38" s="2668"/>
      <c r="J38" s="2668"/>
      <c r="K38" s="2668"/>
      <c r="L38" s="2668"/>
      <c r="M38" s="2668"/>
      <c r="N38" s="2668"/>
      <c r="O38" s="2669"/>
      <c r="S38" s="2746"/>
      <c r="T38" s="2746"/>
      <c r="U38" s="2746"/>
      <c r="V38" s="2746"/>
      <c r="W38" s="2746"/>
      <c r="X38" s="2773"/>
      <c r="Y38" s="2773"/>
      <c r="Z38" s="2773"/>
      <c r="AA38" s="2773"/>
      <c r="AB38" s="2746"/>
      <c r="AC38" s="2746"/>
      <c r="AD38" s="2746"/>
      <c r="AE38" s="2746"/>
    </row>
    <row r="39" spans="1:33">
      <c r="A39" s="870" t="s">
        <v>230</v>
      </c>
      <c r="B39" s="2668">
        <v>11355679.57</v>
      </c>
      <c r="C39" s="2668">
        <v>11712202.79</v>
      </c>
      <c r="D39" s="2669">
        <v>11143190.95</v>
      </c>
      <c r="E39" s="2669">
        <v>13384344.62</v>
      </c>
      <c r="F39" s="2669">
        <v>11943313.09</v>
      </c>
      <c r="G39" s="2669">
        <v>13668884.34</v>
      </c>
      <c r="H39" s="2669">
        <v>10578877.1</v>
      </c>
      <c r="I39" s="2669">
        <v>11212373.68</v>
      </c>
      <c r="J39" s="2669">
        <v>12405495.1</v>
      </c>
      <c r="K39" s="2669"/>
      <c r="L39" s="2669"/>
      <c r="M39" s="2669"/>
      <c r="N39" s="2669">
        <v>107404361.24</v>
      </c>
      <c r="O39" s="2669"/>
      <c r="R39" s="96" t="s">
        <v>231</v>
      </c>
      <c r="S39" s="2746">
        <f>S16+SUM(S24:S27)</f>
        <v>11355679.57</v>
      </c>
      <c r="T39" s="2746">
        <f t="shared" ref="T39:X39" si="61">T16+SUM(T24:T27)</f>
        <v>11712202.79</v>
      </c>
      <c r="U39" s="2746">
        <f t="shared" si="61"/>
        <v>11143190.95</v>
      </c>
      <c r="V39" s="2746">
        <f t="shared" si="61"/>
        <v>13384344.62</v>
      </c>
      <c r="W39" s="2746">
        <f t="shared" si="61"/>
        <v>11943313.09</v>
      </c>
      <c r="X39" s="2746">
        <f t="shared" si="61"/>
        <v>13668884.34</v>
      </c>
      <c r="Y39" s="2746">
        <f t="shared" ref="Y39:Z39" si="62">Y16+SUM(Y24:Y27)</f>
        <v>10578877.1</v>
      </c>
      <c r="Z39" s="2746">
        <f t="shared" si="62"/>
        <v>11217032</v>
      </c>
      <c r="AA39" s="2746">
        <f t="shared" ref="AA39:AB39" si="63">AA16+SUM(AA24:AA27)</f>
        <v>12398107.38</v>
      </c>
      <c r="AB39" s="2746">
        <f t="shared" si="63"/>
        <v>12335299</v>
      </c>
      <c r="AC39" s="2746">
        <f t="shared" ref="AC39:AE39" si="64">AC16+SUM(AC24:AC27)</f>
        <v>12048989.47</v>
      </c>
      <c r="AD39" s="2746">
        <f t="shared" si="64"/>
        <v>11691188.13</v>
      </c>
      <c r="AE39" s="2746">
        <f t="shared" si="64"/>
        <v>143477108.44</v>
      </c>
      <c r="AF39" s="97">
        <f t="shared" si="3"/>
        <v>101.946819508123</v>
      </c>
      <c r="AG39" s="164">
        <f t="shared" ref="AG39:AG40" si="65">AE39/$AG$2</f>
        <v>11956425.7033333</v>
      </c>
    </row>
    <row r="40" ht="14.25" spans="1:33">
      <c r="A40" s="96"/>
      <c r="B40" s="2669">
        <f>B22-B39</f>
        <v>0</v>
      </c>
      <c r="C40" s="2669">
        <f>C22-C39</f>
        <v>0</v>
      </c>
      <c r="D40" s="2669">
        <f>D22-D39</f>
        <v>0</v>
      </c>
      <c r="E40" s="2669">
        <f>E22-E39</f>
        <v>0</v>
      </c>
      <c r="F40" s="2669">
        <f t="shared" ref="F40:L40" si="66">F22-F39</f>
        <v>0</v>
      </c>
      <c r="G40" s="2669">
        <f t="shared" si="66"/>
        <v>0</v>
      </c>
      <c r="H40" s="2669">
        <f t="shared" si="66"/>
        <v>0</v>
      </c>
      <c r="I40" s="2669">
        <f t="shared" si="66"/>
        <v>4660</v>
      </c>
      <c r="J40" s="2669">
        <f t="shared" si="66"/>
        <v>-7387.72000000067</v>
      </c>
      <c r="K40" s="2669">
        <f t="shared" si="66"/>
        <v>12335299</v>
      </c>
      <c r="L40" s="2669">
        <f t="shared" si="66"/>
        <v>12048989.47</v>
      </c>
      <c r="M40" s="2668"/>
      <c r="N40" s="2669">
        <f>SUM(B39:M39)</f>
        <v>107404361.24</v>
      </c>
      <c r="O40" s="2668"/>
      <c r="R40" s="96" t="s">
        <v>232</v>
      </c>
      <c r="S40" s="2746">
        <f>S28+S29+S30+S31+S20</f>
        <v>1416208.05</v>
      </c>
      <c r="T40" s="2746">
        <f t="shared" ref="T40:W40" si="67">T28+T29+T30+T31+T20</f>
        <v>867963.95</v>
      </c>
      <c r="U40" s="2746">
        <f t="shared" si="67"/>
        <v>2106946.38</v>
      </c>
      <c r="V40" s="2746">
        <f t="shared" si="67"/>
        <v>1117431.89</v>
      </c>
      <c r="W40" s="2746">
        <f t="shared" si="67"/>
        <v>1309514.65</v>
      </c>
      <c r="X40" s="2746">
        <f t="shared" ref="X40:AC40" si="68">X28+X29+X30+X31+X20</f>
        <v>1356998.42</v>
      </c>
      <c r="Y40" s="2746">
        <f t="shared" si="68"/>
        <v>1311747.29</v>
      </c>
      <c r="Z40" s="2746">
        <f t="shared" si="68"/>
        <v>1461813.06</v>
      </c>
      <c r="AA40" s="2746">
        <f t="shared" si="68"/>
        <v>1683365.67</v>
      </c>
      <c r="AB40" s="2746">
        <f t="shared" si="68"/>
        <v>1322682.3</v>
      </c>
      <c r="AC40" s="2746">
        <f t="shared" si="68"/>
        <v>1839826.01</v>
      </c>
      <c r="AD40" s="2746">
        <f t="shared" ref="AD40:AE40" si="69">AD28+AD29+AD30+AD31+AD20</f>
        <v>1549804.84</v>
      </c>
      <c r="AE40" s="2746">
        <f t="shared" si="69"/>
        <v>17344302.51</v>
      </c>
      <c r="AF40" s="97">
        <f t="shared" si="3"/>
        <v>12.3238926174811</v>
      </c>
      <c r="AG40" s="164">
        <f t="shared" si="65"/>
        <v>1445358.5425</v>
      </c>
    </row>
    <row r="41" ht="14.25" spans="2:33">
      <c r="B41" s="2668"/>
      <c r="C41" s="2668"/>
      <c r="D41" s="2668"/>
      <c r="E41" s="2668"/>
      <c r="F41" s="2668"/>
      <c r="G41" s="2668"/>
      <c r="H41" s="2668"/>
      <c r="I41" s="2668"/>
      <c r="J41" s="2669"/>
      <c r="K41" s="2668"/>
      <c r="L41" s="2668"/>
      <c r="M41" s="2668"/>
      <c r="N41" s="2669">
        <f>N39-N40</f>
        <v>0</v>
      </c>
      <c r="O41" s="2668"/>
      <c r="S41" s="2746">
        <f>SUM(S39:S40)</f>
        <v>12771887.62</v>
      </c>
      <c r="T41" s="2746">
        <f t="shared" ref="T41:V41" si="70">SUM(T39:T40)</f>
        <v>12580166.74</v>
      </c>
      <c r="U41" s="2746">
        <f t="shared" si="70"/>
        <v>13250137.33</v>
      </c>
      <c r="V41" s="2746">
        <f t="shared" si="70"/>
        <v>14501776.51</v>
      </c>
      <c r="W41" s="2746">
        <f t="shared" ref="W41:X41" si="71">SUM(W39:W40)</f>
        <v>13252827.74</v>
      </c>
      <c r="X41" s="2746">
        <f t="shared" si="71"/>
        <v>15025882.76</v>
      </c>
      <c r="Y41" s="2746">
        <f t="shared" ref="Y41:Z41" si="72">SUM(Y39:Y40)</f>
        <v>11890624.39</v>
      </c>
      <c r="Z41" s="2746">
        <f t="shared" si="72"/>
        <v>12678845.06</v>
      </c>
      <c r="AA41" s="2746">
        <f t="shared" ref="AA41:AB41" si="73">SUM(AA39:AA40)</f>
        <v>14081473.05</v>
      </c>
      <c r="AB41" s="2746">
        <f t="shared" si="73"/>
        <v>13657981.3</v>
      </c>
      <c r="AC41" s="2746">
        <f t="shared" ref="AC41:AE41" si="74">SUM(AC39:AC40)</f>
        <v>13888815.48</v>
      </c>
      <c r="AD41" s="2746">
        <f t="shared" si="74"/>
        <v>13240992.97</v>
      </c>
      <c r="AE41" s="2746">
        <f t="shared" si="74"/>
        <v>160821410.95</v>
      </c>
      <c r="AF41" s="97">
        <f t="shared" si="3"/>
        <v>114.270712125604</v>
      </c>
      <c r="AG41" s="2806">
        <f>SUM(AG39:AG40)</f>
        <v>13401784.2458333</v>
      </c>
    </row>
    <row r="42" spans="2:32">
      <c r="B42" s="2668"/>
      <c r="C42" s="2668"/>
      <c r="D42" s="2668"/>
      <c r="E42" s="2668"/>
      <c r="F42" s="2668"/>
      <c r="G42" s="2668"/>
      <c r="H42" s="2668"/>
      <c r="I42" s="2668"/>
      <c r="J42" s="2668"/>
      <c r="K42" s="2668"/>
      <c r="L42" s="2668"/>
      <c r="M42" s="2668"/>
      <c r="N42" s="2669">
        <f>N22-N39</f>
        <v>36072748.88</v>
      </c>
      <c r="O42" s="2668"/>
      <c r="R42" s="2755" t="s">
        <v>233</v>
      </c>
      <c r="S42" s="2756">
        <f t="shared" ref="S42:AE42" si="75">B22</f>
        <v>11355679.57</v>
      </c>
      <c r="T42" s="2756">
        <f t="shared" si="75"/>
        <v>11712202.79</v>
      </c>
      <c r="U42" s="2756">
        <f t="shared" si="75"/>
        <v>11143190.95</v>
      </c>
      <c r="V42" s="2756">
        <f t="shared" si="75"/>
        <v>13384344.62</v>
      </c>
      <c r="W42" s="2756">
        <f t="shared" si="75"/>
        <v>11943313.09</v>
      </c>
      <c r="X42" s="2756">
        <f t="shared" si="75"/>
        <v>13668884.34</v>
      </c>
      <c r="Y42" s="2756">
        <f t="shared" si="75"/>
        <v>10578877.1</v>
      </c>
      <c r="Z42" s="2756">
        <f t="shared" si="75"/>
        <v>11217033.68</v>
      </c>
      <c r="AA42" s="2756">
        <f t="shared" si="75"/>
        <v>12398107.38</v>
      </c>
      <c r="AB42" s="2756">
        <f t="shared" si="75"/>
        <v>12335299</v>
      </c>
      <c r="AC42" s="2756">
        <f t="shared" si="75"/>
        <v>12048989.47</v>
      </c>
      <c r="AD42" s="2756">
        <f t="shared" si="75"/>
        <v>11691188.13</v>
      </c>
      <c r="AE42" s="2756">
        <f t="shared" si="75"/>
        <v>143477110.12</v>
      </c>
      <c r="AF42" s="97">
        <f t="shared" si="3"/>
        <v>101.946820701837</v>
      </c>
    </row>
    <row r="43" spans="18:32">
      <c r="R43" s="2755" t="s">
        <v>228</v>
      </c>
      <c r="S43" s="2756">
        <f>'Indirect Expns'!B65</f>
        <v>1416207.05</v>
      </c>
      <c r="T43" s="2756">
        <f>'Indirect Expns'!C65</f>
        <v>867963.95</v>
      </c>
      <c r="U43" s="2756">
        <f>'Indirect Expns'!D65</f>
        <v>2106946.38</v>
      </c>
      <c r="V43" s="2756">
        <f>'Indirect Expns'!E65</f>
        <v>1117431.89</v>
      </c>
      <c r="W43" s="2756">
        <f>'Indirect Expns'!F65</f>
        <v>1309514.65</v>
      </c>
      <c r="X43" s="2756">
        <f>'Indirect Expns'!G65</f>
        <v>1356998.42</v>
      </c>
      <c r="Y43" s="2756">
        <f>'Indirect Expns'!H65</f>
        <v>1311747.29</v>
      </c>
      <c r="Z43" s="2756">
        <f>'Indirect Expns'!I65</f>
        <v>1461814.62</v>
      </c>
      <c r="AA43" s="2756">
        <f>'Indirect Expns'!J65</f>
        <v>1683365.67</v>
      </c>
      <c r="AB43" s="2756">
        <f>'Indirect Expns'!K65</f>
        <v>1322682.3</v>
      </c>
      <c r="AC43" s="2756">
        <f>'Indirect Expns'!L65</f>
        <v>1839826.01</v>
      </c>
      <c r="AD43" s="2756">
        <f>'Indirect Expns'!M65</f>
        <v>1549804.84</v>
      </c>
      <c r="AE43" s="2756">
        <f>'Indirect Expns'!N65</f>
        <v>17344303.07</v>
      </c>
      <c r="AF43" s="97">
        <f t="shared" si="3"/>
        <v>12.3238930153859</v>
      </c>
    </row>
    <row r="44" spans="18:32">
      <c r="R44" s="2757"/>
      <c r="S44" s="2756">
        <f>SUM(S42:S43)</f>
        <v>12771886.62</v>
      </c>
      <c r="T44" s="2756">
        <f t="shared" ref="T44:AE44" si="76">SUM(T42:T43)</f>
        <v>12580166.74</v>
      </c>
      <c r="U44" s="2756">
        <f t="shared" si="76"/>
        <v>13250137.33</v>
      </c>
      <c r="V44" s="2756">
        <f t="shared" si="76"/>
        <v>14501776.51</v>
      </c>
      <c r="W44" s="2756">
        <f t="shared" ref="W44:X44" si="77">SUM(W42:W43)</f>
        <v>13252827.74</v>
      </c>
      <c r="X44" s="2756">
        <f t="shared" si="77"/>
        <v>15025882.76</v>
      </c>
      <c r="Y44" s="2756">
        <f t="shared" ref="Y44:Z44" si="78">SUM(Y42:Y43)</f>
        <v>11890624.39</v>
      </c>
      <c r="Z44" s="2756">
        <f t="shared" si="78"/>
        <v>12678848.3</v>
      </c>
      <c r="AA44" s="2756">
        <f t="shared" ref="AA44:AB44" si="79">SUM(AA42:AA43)</f>
        <v>14081473.05</v>
      </c>
      <c r="AB44" s="2756">
        <f t="shared" si="79"/>
        <v>13657981.3</v>
      </c>
      <c r="AC44" s="2756">
        <f t="shared" ref="AC44:AD44" si="80">SUM(AC42:AC43)</f>
        <v>13888815.48</v>
      </c>
      <c r="AD44" s="2756">
        <f t="shared" si="80"/>
        <v>13240992.97</v>
      </c>
      <c r="AE44" s="2756">
        <f t="shared" si="76"/>
        <v>160821413.19</v>
      </c>
      <c r="AF44" s="97">
        <f t="shared" si="3"/>
        <v>114.270713717223</v>
      </c>
    </row>
    <row r="45" spans="19:32">
      <c r="S45" s="2746"/>
      <c r="T45" s="2746"/>
      <c r="U45" s="2746"/>
      <c r="V45" s="2746"/>
      <c r="W45" s="2746"/>
      <c r="X45" s="2773"/>
      <c r="Y45" s="2773"/>
      <c r="Z45" s="2773"/>
      <c r="AA45" s="2773"/>
      <c r="AB45" s="2746"/>
      <c r="AC45" s="2746"/>
      <c r="AD45" s="2746"/>
      <c r="AE45" s="2746"/>
      <c r="AF45" s="164"/>
    </row>
    <row r="46" spans="18:35">
      <c r="R46" s="96" t="s">
        <v>234</v>
      </c>
      <c r="S46" s="2746">
        <f>ROUND((S21-(S47+S48+S49)),0)</f>
        <v>1921090</v>
      </c>
      <c r="T46" s="2746">
        <f t="shared" ref="T46:Y46" si="81">ROUND((T21-(T47+T48+T49)),0)</f>
        <v>2738517</v>
      </c>
      <c r="U46" s="2746">
        <f t="shared" si="81"/>
        <v>2484833</v>
      </c>
      <c r="V46" s="2746">
        <f t="shared" si="81"/>
        <v>3437574</v>
      </c>
      <c r="W46" s="2746">
        <f t="shared" si="81"/>
        <v>2531197</v>
      </c>
      <c r="X46" s="2746">
        <f t="shared" si="81"/>
        <v>2940897</v>
      </c>
      <c r="Y46" s="2746">
        <f t="shared" si="81"/>
        <v>2533676</v>
      </c>
      <c r="Z46" s="2746">
        <f t="shared" ref="Z46:AD46" si="82">Z21-(Z47+Z48+Z49)</f>
        <v>2585006.06</v>
      </c>
      <c r="AA46" s="2746">
        <f>ROUND((AA21-(AA47+AA48+AA49)),0)</f>
        <v>3141202</v>
      </c>
      <c r="AB46" s="2746">
        <f t="shared" si="82"/>
        <v>2822099.17</v>
      </c>
      <c r="AC46" s="2746">
        <f t="shared" si="82"/>
        <v>3066979.53</v>
      </c>
      <c r="AD46" s="2746">
        <f t="shared" si="82"/>
        <v>2774530.27</v>
      </c>
      <c r="AE46" s="2746">
        <f>ROUND((AE21-(AE47+AE48+AE49)),0)</f>
        <v>32977604</v>
      </c>
      <c r="AF46" s="234">
        <f t="shared" si="3"/>
        <v>23.4320434761499</v>
      </c>
      <c r="AG46" s="164">
        <f t="shared" ref="AG46:AG51" si="83">AE46/$AG$2</f>
        <v>2748133.66666667</v>
      </c>
      <c r="AH46" s="829">
        <f>AE46/'PAL I'!$AN$12</f>
        <v>0.0794867785263482</v>
      </c>
      <c r="AI46" s="1497">
        <f>AE46/CONSUMPTION!$AN$74</f>
        <v>0.160831554422546</v>
      </c>
    </row>
    <row r="47" spans="18:35">
      <c r="R47" s="96" t="s">
        <v>235</v>
      </c>
      <c r="S47" s="2746">
        <f>ROUND((S4+S5+S6),0)</f>
        <v>7671286</v>
      </c>
      <c r="T47" s="2746">
        <f t="shared" ref="T47:Y47" si="84">ROUND((T4+T5+T6),0)</f>
        <v>7222620</v>
      </c>
      <c r="U47" s="2746">
        <f t="shared" si="84"/>
        <v>6888845</v>
      </c>
      <c r="V47" s="2746">
        <f t="shared" si="84"/>
        <v>7914846</v>
      </c>
      <c r="W47" s="2746">
        <f t="shared" si="84"/>
        <v>7640390</v>
      </c>
      <c r="X47" s="2746">
        <f t="shared" si="84"/>
        <v>8011364</v>
      </c>
      <c r="Y47" s="2746">
        <f t="shared" si="84"/>
        <v>6286642</v>
      </c>
      <c r="Z47" s="2746">
        <f t="shared" ref="Z47:AA47" si="85">Z4+Z5+Z6</f>
        <v>6770055</v>
      </c>
      <c r="AA47" s="2746">
        <f t="shared" si="85"/>
        <v>7416023</v>
      </c>
      <c r="AB47" s="2746">
        <f t="shared" ref="AB47:AC47" si="86">AB4+AB5+AB6</f>
        <v>7743108</v>
      </c>
      <c r="AC47" s="2746">
        <f t="shared" si="86"/>
        <v>7217420</v>
      </c>
      <c r="AD47" s="2746">
        <f t="shared" ref="AD47" si="87">AD4+AD5+AD6</f>
        <v>6863439</v>
      </c>
      <c r="AE47" s="2746">
        <f>ROUND((AE4+AE5+AE6),0)</f>
        <v>87646036</v>
      </c>
      <c r="AF47" s="234">
        <f>AE47/(N34+N35)</f>
        <v>46.4188948964605</v>
      </c>
      <c r="AG47" s="164">
        <f t="shared" si="83"/>
        <v>7303836.33333333</v>
      </c>
      <c r="AH47" s="829">
        <f>AE47/'PAL I'!$AN$12</f>
        <v>0.211255525181403</v>
      </c>
      <c r="AI47" s="1497">
        <f>AE47/CONSUMPTION!$AN$74</f>
        <v>0.427449132109611</v>
      </c>
    </row>
    <row r="48" spans="18:35">
      <c r="R48" s="96" t="s">
        <v>236</v>
      </c>
      <c r="S48" s="2746">
        <v>97432</v>
      </c>
      <c r="T48" s="2746">
        <v>97300</v>
      </c>
      <c r="U48" s="2746">
        <v>97036</v>
      </c>
      <c r="V48" s="2746">
        <v>97779</v>
      </c>
      <c r="W48" s="2746">
        <v>97432</v>
      </c>
      <c r="X48" s="2746">
        <v>97442</v>
      </c>
      <c r="Y48" s="2746">
        <v>97300</v>
      </c>
      <c r="Z48" s="2746">
        <v>97168</v>
      </c>
      <c r="AA48" s="2746">
        <f>94000+3219</f>
        <v>97219</v>
      </c>
      <c r="AB48" s="2746">
        <f>94000+3564</f>
        <v>97564</v>
      </c>
      <c r="AC48" s="2803">
        <f>94000+3300</f>
        <v>97300</v>
      </c>
      <c r="AD48" s="2746">
        <v>97036</v>
      </c>
      <c r="AE48" s="2746">
        <f>SUM(S48:AD48)</f>
        <v>1168008</v>
      </c>
      <c r="AF48" s="234">
        <f>(AE48/'Trading PL'!AL4)</f>
        <v>12.8860251022021</v>
      </c>
      <c r="AG48" s="164">
        <f t="shared" si="83"/>
        <v>97334</v>
      </c>
      <c r="AH48" s="829">
        <f>AE48/'PAL I'!$AN$12</f>
        <v>0.00281528012808338</v>
      </c>
      <c r="AI48" s="1497">
        <f>AE48/CONSUMPTION!$AN$74</f>
        <v>0.00569636721388155</v>
      </c>
    </row>
    <row r="49" ht="14.25" spans="18:35">
      <c r="R49" s="96" t="s">
        <v>237</v>
      </c>
      <c r="S49" s="2746">
        <f>ROUND((S20),0)</f>
        <v>852520</v>
      </c>
      <c r="T49" s="2746">
        <f t="shared" ref="T49:Z49" si="88">ROUND((T20),0)</f>
        <v>196340</v>
      </c>
      <c r="U49" s="2746">
        <f t="shared" si="88"/>
        <v>750305</v>
      </c>
      <c r="V49" s="2746">
        <f t="shared" si="88"/>
        <v>533333</v>
      </c>
      <c r="W49" s="2746">
        <f t="shared" si="88"/>
        <v>630262</v>
      </c>
      <c r="X49" s="2746">
        <f t="shared" si="88"/>
        <v>473587</v>
      </c>
      <c r="Y49" s="2746">
        <f t="shared" si="88"/>
        <v>657422</v>
      </c>
      <c r="Z49" s="2746">
        <f t="shared" si="88"/>
        <v>619265</v>
      </c>
      <c r="AA49" s="2746">
        <f t="shared" ref="AA49:AE49" si="89">ROUND((AA20),0)</f>
        <v>484938</v>
      </c>
      <c r="AB49" s="2746">
        <f t="shared" si="89"/>
        <v>717133</v>
      </c>
      <c r="AC49" s="2746">
        <f t="shared" si="89"/>
        <v>911934</v>
      </c>
      <c r="AD49" s="2746">
        <f t="shared" si="89"/>
        <v>333564</v>
      </c>
      <c r="AE49" s="2746">
        <f t="shared" si="89"/>
        <v>7160603</v>
      </c>
      <c r="AF49" s="234"/>
      <c r="AG49" s="164">
        <f t="shared" si="83"/>
        <v>596716.916666667</v>
      </c>
      <c r="AH49" s="829">
        <f>AE49/'PAL I'!$AN$12</f>
        <v>0.0172593880615494</v>
      </c>
      <c r="AI49" s="1497">
        <f>AE49/CONSUMPTION!$AN$74</f>
        <v>0.0349222129992448</v>
      </c>
    </row>
    <row r="50" ht="14.25" spans="18:35">
      <c r="R50" s="2758" t="s">
        <v>238</v>
      </c>
      <c r="S50" s="2756">
        <f>ROUND((S32-S51),0)</f>
        <v>2104559</v>
      </c>
      <c r="T50" s="2756">
        <f t="shared" ref="T50:Y50" si="90">ROUND((T32-T51),0)</f>
        <v>2200389</v>
      </c>
      <c r="U50" s="2756">
        <f t="shared" si="90"/>
        <v>2904118</v>
      </c>
      <c r="V50" s="2756">
        <f t="shared" si="90"/>
        <v>2393245</v>
      </c>
      <c r="W50" s="2756">
        <f t="shared" si="90"/>
        <v>2228547</v>
      </c>
      <c r="X50" s="2756">
        <f t="shared" si="90"/>
        <v>3377593</v>
      </c>
      <c r="Y50" s="2756">
        <f t="shared" si="90"/>
        <v>2190584</v>
      </c>
      <c r="Z50" s="2756">
        <f t="shared" ref="Z50:AD50" si="91">Z32-Z51</f>
        <v>2482351</v>
      </c>
      <c r="AA50" s="2756">
        <f t="shared" si="91"/>
        <v>2817091</v>
      </c>
      <c r="AB50" s="2756">
        <f t="shared" si="91"/>
        <v>2153077.13</v>
      </c>
      <c r="AC50" s="2756">
        <f t="shared" si="91"/>
        <v>2470181.95</v>
      </c>
      <c r="AD50" s="2756">
        <f t="shared" si="91"/>
        <v>3047423.7</v>
      </c>
      <c r="AE50" s="2804">
        <f>ROUND((AE32-AE51),0)</f>
        <v>30369160</v>
      </c>
      <c r="AF50" s="234">
        <f t="shared" si="3"/>
        <v>21.578628861398</v>
      </c>
      <c r="AG50" s="2806">
        <f t="shared" si="83"/>
        <v>2530763.33333333</v>
      </c>
      <c r="AH50" s="829">
        <f>AE50/'PAL I'!$AN$12</f>
        <v>0.073199577960583</v>
      </c>
      <c r="AI50" s="1497">
        <f>AE50/CONSUMPTION!$AN$74</f>
        <v>0.148110190458561</v>
      </c>
    </row>
    <row r="51" ht="14.25" spans="18:35">
      <c r="R51" s="96" t="s">
        <v>219</v>
      </c>
      <c r="S51" s="2746">
        <f t="shared" ref="S51:AE51" si="92">S27</f>
        <v>125000</v>
      </c>
      <c r="T51" s="2746">
        <f t="shared" si="92"/>
        <v>125000</v>
      </c>
      <c r="U51" s="2746">
        <f t="shared" si="92"/>
        <v>125000</v>
      </c>
      <c r="V51" s="2746">
        <f t="shared" si="92"/>
        <v>125000</v>
      </c>
      <c r="W51" s="2746">
        <f t="shared" si="92"/>
        <v>125000</v>
      </c>
      <c r="X51" s="2746">
        <f t="shared" si="92"/>
        <v>125000</v>
      </c>
      <c r="Y51" s="2746">
        <f t="shared" si="92"/>
        <v>125000</v>
      </c>
      <c r="Z51" s="2746">
        <f t="shared" si="92"/>
        <v>125000</v>
      </c>
      <c r="AA51" s="2746">
        <f t="shared" si="92"/>
        <v>125000</v>
      </c>
      <c r="AB51" s="2746">
        <f t="shared" si="92"/>
        <v>125000</v>
      </c>
      <c r="AC51" s="2746">
        <f t="shared" si="92"/>
        <v>125000</v>
      </c>
      <c r="AD51" s="2746">
        <f t="shared" si="92"/>
        <v>125000</v>
      </c>
      <c r="AE51" s="2746">
        <f t="shared" si="92"/>
        <v>1500000</v>
      </c>
      <c r="AF51" s="97">
        <f t="shared" si="3"/>
        <v>1.06581621922032</v>
      </c>
      <c r="AG51" s="164">
        <f t="shared" si="83"/>
        <v>125000</v>
      </c>
      <c r="AH51" s="829">
        <f>AE51/'PAL I'!$AN$12</f>
        <v>0.00361548909949681</v>
      </c>
      <c r="AI51" s="1497">
        <f>AE51/CONSUMPTION!$AN$74</f>
        <v>0.00731548998022473</v>
      </c>
    </row>
    <row r="52" ht="14.25" spans="19:35">
      <c r="S52" s="2759">
        <f t="shared" ref="S52:AE52" si="93">SUM(S46:S51)</f>
        <v>12771887</v>
      </c>
      <c r="T52" s="2759">
        <f t="shared" si="93"/>
        <v>12580166</v>
      </c>
      <c r="U52" s="2759">
        <f t="shared" si="93"/>
        <v>13250137</v>
      </c>
      <c r="V52" s="2759">
        <f t="shared" si="93"/>
        <v>14501777</v>
      </c>
      <c r="W52" s="2759">
        <f t="shared" si="93"/>
        <v>13252828</v>
      </c>
      <c r="X52" s="2759">
        <f t="shared" si="93"/>
        <v>15025883</v>
      </c>
      <c r="Y52" s="2759">
        <f t="shared" si="93"/>
        <v>11890624</v>
      </c>
      <c r="Z52" s="2759">
        <f t="shared" si="93"/>
        <v>12678845.06</v>
      </c>
      <c r="AA52" s="2759">
        <f t="shared" si="93"/>
        <v>14081473</v>
      </c>
      <c r="AB52" s="2759">
        <f t="shared" si="93"/>
        <v>13657981.3</v>
      </c>
      <c r="AC52" s="2759">
        <f t="shared" si="93"/>
        <v>13888815.48</v>
      </c>
      <c r="AD52" s="2759">
        <f t="shared" si="93"/>
        <v>13240992.97</v>
      </c>
      <c r="AE52" s="2759">
        <f t="shared" si="93"/>
        <v>160821411</v>
      </c>
      <c r="AF52" s="97">
        <f t="shared" si="3"/>
        <v>114.270712161131</v>
      </c>
      <c r="AG52" s="2806">
        <f>SUM(AG50:AG51)</f>
        <v>2655763.33333333</v>
      </c>
      <c r="AH52" s="829">
        <f>AE52/'PAL I'!$AN$12</f>
        <v>0.387632038957464</v>
      </c>
      <c r="AI52" s="1497">
        <f>AE52/CONSUMPTION!$AN$74</f>
        <v>0.784324947184069</v>
      </c>
    </row>
    <row r="53" spans="18:18">
      <c r="R53" s="230" t="s">
        <v>239</v>
      </c>
    </row>
    <row r="54" spans="18:32">
      <c r="R54" t="s">
        <v>240</v>
      </c>
      <c r="S54" s="2746">
        <f>ROUND((S24+S25+S26),0)</f>
        <v>1540871</v>
      </c>
      <c r="T54" s="2746">
        <f t="shared" ref="T54:AE54" si="94">ROUND((T24+T25+T26),0)</f>
        <v>1528765</v>
      </c>
      <c r="U54" s="2746">
        <f t="shared" si="94"/>
        <v>1547477</v>
      </c>
      <c r="V54" s="2746">
        <f t="shared" si="94"/>
        <v>1809146</v>
      </c>
      <c r="W54" s="2746">
        <f t="shared" si="94"/>
        <v>1549294</v>
      </c>
      <c r="X54" s="2746">
        <f t="shared" si="94"/>
        <v>2494181</v>
      </c>
      <c r="Y54" s="2746">
        <f t="shared" si="94"/>
        <v>1536259</v>
      </c>
      <c r="Z54" s="2746">
        <f t="shared" si="94"/>
        <v>1639803</v>
      </c>
      <c r="AA54" s="2746">
        <f t="shared" si="94"/>
        <v>1618663</v>
      </c>
      <c r="AB54" s="2746">
        <f t="shared" si="94"/>
        <v>1547528</v>
      </c>
      <c r="AC54" s="2746">
        <f t="shared" si="94"/>
        <v>1542290</v>
      </c>
      <c r="AD54" s="2746">
        <f t="shared" si="94"/>
        <v>1831183</v>
      </c>
      <c r="AE54" s="2746">
        <f t="shared" si="94"/>
        <v>20185460</v>
      </c>
      <c r="AF54" s="1497">
        <f>AE54/$AE$59</f>
        <v>0.633385399344865</v>
      </c>
    </row>
    <row r="55" spans="18:32">
      <c r="R55" t="s">
        <v>241</v>
      </c>
      <c r="S55" s="2746">
        <f>ROUND((S28),0)</f>
        <v>433740</v>
      </c>
      <c r="T55" s="2746">
        <f t="shared" ref="T55:AE55" si="95">ROUND((T28),0)</f>
        <v>513190</v>
      </c>
      <c r="U55" s="2746">
        <f t="shared" si="95"/>
        <v>575240</v>
      </c>
      <c r="V55" s="2746">
        <f t="shared" si="95"/>
        <v>413383</v>
      </c>
      <c r="W55" s="2746">
        <f t="shared" si="95"/>
        <v>449880</v>
      </c>
      <c r="X55" s="2746">
        <f t="shared" si="95"/>
        <v>359223</v>
      </c>
      <c r="Y55" s="2746">
        <f t="shared" si="95"/>
        <v>510924</v>
      </c>
      <c r="Z55" s="2746">
        <f t="shared" si="95"/>
        <v>466534</v>
      </c>
      <c r="AA55" s="2746">
        <f t="shared" si="95"/>
        <v>547705</v>
      </c>
      <c r="AB55" s="2746">
        <f t="shared" si="95"/>
        <v>349481</v>
      </c>
      <c r="AC55" s="2746">
        <f t="shared" si="95"/>
        <v>599924</v>
      </c>
      <c r="AD55" s="2746">
        <f t="shared" si="95"/>
        <v>656535</v>
      </c>
      <c r="AE55" s="2746">
        <f t="shared" si="95"/>
        <v>5875759</v>
      </c>
      <c r="AF55" s="1497">
        <f t="shared" ref="AF55:AF58" si="96">AE55/$AE$59</f>
        <v>0.184371322757529</v>
      </c>
    </row>
    <row r="56" spans="18:32">
      <c r="R56" t="s">
        <v>242</v>
      </c>
      <c r="S56" s="2746">
        <f>ROUND((S29),)</f>
        <v>32614</v>
      </c>
      <c r="T56" s="2746">
        <f t="shared" ref="T56:AE56" si="97">ROUND((T29),)</f>
        <v>61101</v>
      </c>
      <c r="U56" s="2746">
        <f t="shared" si="97"/>
        <v>327068</v>
      </c>
      <c r="V56" s="2746">
        <f t="shared" si="97"/>
        <v>62213</v>
      </c>
      <c r="W56" s="2746">
        <f t="shared" si="97"/>
        <v>117848</v>
      </c>
      <c r="X56" s="2746">
        <f t="shared" si="97"/>
        <v>58017</v>
      </c>
      <c r="Y56" s="2746">
        <f t="shared" si="97"/>
        <v>36302</v>
      </c>
      <c r="Z56" s="2746">
        <f t="shared" si="97"/>
        <v>269668</v>
      </c>
      <c r="AA56" s="2746">
        <f t="shared" si="97"/>
        <v>191554</v>
      </c>
      <c r="AB56" s="2746">
        <f t="shared" si="97"/>
        <v>155623</v>
      </c>
      <c r="AC56" s="2746">
        <f t="shared" si="97"/>
        <v>229687</v>
      </c>
      <c r="AD56" s="2746">
        <f t="shared" si="97"/>
        <v>109039</v>
      </c>
      <c r="AE56" s="2746">
        <f t="shared" si="97"/>
        <v>1650735</v>
      </c>
      <c r="AF56" s="1497">
        <f t="shared" si="96"/>
        <v>0.0517972564007729</v>
      </c>
    </row>
    <row r="57" spans="18:32">
      <c r="R57" t="s">
        <v>243</v>
      </c>
      <c r="S57" s="2746">
        <f>ROUND((S27),0)</f>
        <v>125000</v>
      </c>
      <c r="T57" s="2746">
        <f t="shared" ref="T57:AE57" si="98">ROUND((T27),0)</f>
        <v>125000</v>
      </c>
      <c r="U57" s="2746">
        <f t="shared" si="98"/>
        <v>125000</v>
      </c>
      <c r="V57" s="2746">
        <f t="shared" si="98"/>
        <v>125000</v>
      </c>
      <c r="W57" s="2746">
        <f t="shared" si="98"/>
        <v>125000</v>
      </c>
      <c r="X57" s="2746">
        <f t="shared" si="98"/>
        <v>125000</v>
      </c>
      <c r="Y57" s="2746">
        <f t="shared" si="98"/>
        <v>125000</v>
      </c>
      <c r="Z57" s="2746">
        <f t="shared" si="98"/>
        <v>125000</v>
      </c>
      <c r="AA57" s="2746">
        <f t="shared" si="98"/>
        <v>125000</v>
      </c>
      <c r="AB57" s="2746">
        <f t="shared" si="98"/>
        <v>125000</v>
      </c>
      <c r="AC57" s="2746">
        <f t="shared" si="98"/>
        <v>125000</v>
      </c>
      <c r="AD57" s="2746">
        <f t="shared" si="98"/>
        <v>125000</v>
      </c>
      <c r="AE57" s="2746">
        <f t="shared" si="98"/>
        <v>1500000</v>
      </c>
      <c r="AF57" s="1497">
        <f t="shared" si="96"/>
        <v>0.0470674485009159</v>
      </c>
    </row>
    <row r="58" spans="18:32">
      <c r="R58" t="s">
        <v>244</v>
      </c>
      <c r="S58" s="2746">
        <f>ROUND((S30+S31),)</f>
        <v>97334</v>
      </c>
      <c r="T58" s="2746">
        <f t="shared" ref="T58:AE58" si="99">ROUND((T30+T31),)</f>
        <v>97333</v>
      </c>
      <c r="U58" s="2746">
        <f t="shared" si="99"/>
        <v>454333</v>
      </c>
      <c r="V58" s="2746">
        <f t="shared" si="99"/>
        <v>108503</v>
      </c>
      <c r="W58" s="2746">
        <f t="shared" si="99"/>
        <v>111525</v>
      </c>
      <c r="X58" s="2746">
        <f t="shared" si="99"/>
        <v>466171</v>
      </c>
      <c r="Y58" s="2746">
        <f t="shared" si="99"/>
        <v>107099</v>
      </c>
      <c r="Z58" s="2746">
        <f t="shared" si="99"/>
        <v>106346</v>
      </c>
      <c r="AA58" s="2746">
        <f t="shared" si="99"/>
        <v>459169</v>
      </c>
      <c r="AB58" s="2746">
        <f t="shared" si="99"/>
        <v>100445</v>
      </c>
      <c r="AC58" s="2746">
        <f t="shared" si="99"/>
        <v>98280</v>
      </c>
      <c r="AD58" s="2746">
        <f t="shared" si="99"/>
        <v>450667</v>
      </c>
      <c r="AE58" s="2746">
        <f t="shared" si="99"/>
        <v>2657205</v>
      </c>
      <c r="AF58" s="1497">
        <f t="shared" si="96"/>
        <v>0.0833785729959175</v>
      </c>
    </row>
    <row r="59" spans="19:31">
      <c r="S59" s="2759">
        <f>SUM(S54:S58)</f>
        <v>2229559</v>
      </c>
      <c r="T59" s="2759">
        <f t="shared" ref="T59:AA59" si="100">SUM(T54:T58)</f>
        <v>2325389</v>
      </c>
      <c r="U59" s="2759">
        <f t="shared" si="100"/>
        <v>3029118</v>
      </c>
      <c r="V59" s="2759">
        <f t="shared" si="100"/>
        <v>2518245</v>
      </c>
      <c r="W59" s="2759">
        <f t="shared" si="100"/>
        <v>2353547</v>
      </c>
      <c r="X59" s="2759">
        <f t="shared" si="100"/>
        <v>3502592</v>
      </c>
      <c r="Y59" s="2759">
        <f t="shared" si="100"/>
        <v>2315584</v>
      </c>
      <c r="Z59" s="2759">
        <f t="shared" si="100"/>
        <v>2607351</v>
      </c>
      <c r="AA59" s="2759">
        <f t="shared" si="100"/>
        <v>2942091</v>
      </c>
      <c r="AB59" s="2759">
        <f t="shared" ref="AB59" si="101">SUM(AB54:AB58)</f>
        <v>2278077</v>
      </c>
      <c r="AC59" s="2759">
        <f t="shared" ref="AC59" si="102">SUM(AC54:AC58)</f>
        <v>2595181</v>
      </c>
      <c r="AD59" s="2759">
        <f t="shared" ref="AD59:AE59" si="103">SUM(AD54:AD58)</f>
        <v>3172424</v>
      </c>
      <c r="AE59" s="2759">
        <f t="shared" si="103"/>
        <v>31869159</v>
      </c>
    </row>
    <row r="61" spans="18:31">
      <c r="R61" s="96" t="s">
        <v>245</v>
      </c>
      <c r="S61" s="2746">
        <f>S49+S58</f>
        <v>949854</v>
      </c>
      <c r="T61" s="2746">
        <f t="shared" ref="T61:AE61" si="104">T49+T58</f>
        <v>293673</v>
      </c>
      <c r="U61" s="2746">
        <f t="shared" si="104"/>
        <v>1204638</v>
      </c>
      <c r="V61" s="2746">
        <f t="shared" si="104"/>
        <v>641836</v>
      </c>
      <c r="W61" s="2746">
        <f t="shared" si="104"/>
        <v>741787</v>
      </c>
      <c r="X61" s="2746">
        <f t="shared" si="104"/>
        <v>939758</v>
      </c>
      <c r="Y61" s="2746">
        <f t="shared" si="104"/>
        <v>764521</v>
      </c>
      <c r="Z61" s="2746">
        <f t="shared" si="104"/>
        <v>725611</v>
      </c>
      <c r="AA61" s="2746">
        <f t="shared" si="104"/>
        <v>944107</v>
      </c>
      <c r="AB61" s="2746">
        <f t="shared" si="104"/>
        <v>817578</v>
      </c>
      <c r="AC61" s="2746">
        <f t="shared" si="104"/>
        <v>1010214</v>
      </c>
      <c r="AD61" s="2746">
        <f t="shared" si="104"/>
        <v>784231</v>
      </c>
      <c r="AE61" s="2746">
        <f t="shared" si="104"/>
        <v>9817808</v>
      </c>
    </row>
  </sheetData>
  <autoFilter ref="B1:B39">
    <extLst/>
  </autoFilter>
  <mergeCells count="1">
    <mergeCell ref="A1:B1"/>
  </mergeCells>
  <printOptions horizontalCentered="1"/>
  <pageMargins left="0.708661417322835" right="0.708661417322835" top="0.748031496062992" bottom="0.748031496062992" header="0.31496062992126" footer="0.31496062992126"/>
  <pageSetup paperSize="9" scale="55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V81"/>
  <sheetViews>
    <sheetView showZeros="0" workbookViewId="0">
      <pane xSplit="1" ySplit="2" topLeftCell="N3" activePane="bottomRight" state="frozen"/>
      <selection/>
      <selection pane="topRight"/>
      <selection pane="bottomLeft"/>
      <selection pane="bottomRight" activeCell="AG14" sqref="S2:AG14"/>
    </sheetView>
  </sheetViews>
  <sheetFormatPr defaultColWidth="9" defaultRowHeight="13.5"/>
  <cols>
    <col min="1" max="1" width="36.8571428571429" customWidth="1"/>
    <col min="2" max="2" width="14" customWidth="1"/>
    <col min="3" max="3" width="11.4285714285714" customWidth="1"/>
    <col min="4" max="4" width="14.4285714285714" customWidth="1"/>
    <col min="5" max="7" width="11.4285714285714" customWidth="1"/>
    <col min="8" max="8" width="11.4285714285714" style="96" customWidth="1"/>
    <col min="9" max="9" width="11.4285714285714" customWidth="1"/>
    <col min="10" max="10" width="12" customWidth="1"/>
    <col min="11" max="11" width="12.4285714285714" customWidth="1"/>
    <col min="12" max="12" width="12" customWidth="1"/>
    <col min="13" max="13" width="11.1428571428571" customWidth="1"/>
    <col min="14" max="14" width="12.5714285714286" customWidth="1"/>
    <col min="15" max="15" width="12.1428571428571" customWidth="1"/>
    <col min="16" max="16" width="10.4285714285714" customWidth="1"/>
    <col min="17" max="17" width="13.7142857142857" customWidth="1"/>
    <col min="18" max="18" width="19.4285714285714" customWidth="1"/>
    <col min="19" max="19" width="11.8571428571429" customWidth="1"/>
    <col min="20" max="20" width="8.42857142857143" customWidth="1"/>
    <col min="21" max="21" width="9.85714285714286" customWidth="1"/>
    <col min="22" max="22" width="8.42857142857143" customWidth="1"/>
    <col min="23" max="23" width="9.85714285714286" customWidth="1"/>
    <col min="24" max="31" width="5.71428571428571" customWidth="1"/>
    <col min="32" max="32" width="9.85714285714286" customWidth="1"/>
  </cols>
  <sheetData>
    <row r="1" ht="17.25" spans="1:8">
      <c r="A1" s="1676" t="s">
        <v>246</v>
      </c>
      <c r="B1" s="1676"/>
      <c r="C1" s="1677"/>
      <c r="D1" s="1677"/>
      <c r="E1" s="1677"/>
      <c r="F1" s="1677"/>
      <c r="G1" s="1677"/>
      <c r="H1" s="2578"/>
    </row>
    <row r="2" ht="14.25" spans="1:32">
      <c r="A2" s="2559" t="s">
        <v>51</v>
      </c>
      <c r="B2" s="2560" t="s">
        <v>17</v>
      </c>
      <c r="C2" s="2560" t="s">
        <v>18</v>
      </c>
      <c r="D2" s="2560" t="s">
        <v>19</v>
      </c>
      <c r="E2" s="2560" t="s">
        <v>20</v>
      </c>
      <c r="F2" s="2560" t="s">
        <v>21</v>
      </c>
      <c r="G2" s="2560" t="s">
        <v>22</v>
      </c>
      <c r="H2" s="2579" t="s">
        <v>23</v>
      </c>
      <c r="I2" s="2560" t="s">
        <v>24</v>
      </c>
      <c r="J2" s="2560" t="s">
        <v>25</v>
      </c>
      <c r="K2" s="2560" t="s">
        <v>26</v>
      </c>
      <c r="L2" s="1680" t="s">
        <v>27</v>
      </c>
      <c r="M2" s="2560" t="s">
        <v>28</v>
      </c>
      <c r="N2" s="1679" t="s">
        <v>47</v>
      </c>
      <c r="O2" s="2594" t="s">
        <v>172</v>
      </c>
      <c r="P2" s="122">
        <v>12</v>
      </c>
      <c r="Q2" s="97">
        <f>ROUND(('PAL I'!AN12),0)</f>
        <v>414881627</v>
      </c>
      <c r="R2" s="96" t="s">
        <v>247</v>
      </c>
      <c r="S2" s="912"/>
      <c r="T2" s="2603"/>
      <c r="U2" s="2603"/>
      <c r="V2" s="2603"/>
      <c r="W2" s="2603"/>
      <c r="X2" s="2603"/>
      <c r="Y2" s="2603"/>
      <c r="Z2" s="2603"/>
      <c r="AA2" s="2603"/>
      <c r="AB2" s="2603"/>
      <c r="AC2" s="2603"/>
      <c r="AD2" s="2603"/>
      <c r="AE2" s="2603"/>
      <c r="AF2" s="2614"/>
    </row>
    <row r="3" ht="14.25" spans="1:32">
      <c r="A3" s="2561" t="s">
        <v>248</v>
      </c>
      <c r="B3" s="2562">
        <f t="shared" ref="B3:M3" si="0">SUM(B4:B40)</f>
        <v>433740</v>
      </c>
      <c r="C3" s="2562">
        <f t="shared" si="0"/>
        <v>513190.13</v>
      </c>
      <c r="D3" s="2562">
        <f t="shared" si="0"/>
        <v>575240.25</v>
      </c>
      <c r="E3" s="2562">
        <f t="shared" si="0"/>
        <v>413383.32</v>
      </c>
      <c r="F3" s="2562">
        <f t="shared" si="0"/>
        <v>449879.61</v>
      </c>
      <c r="G3" s="2580">
        <f t="shared" si="0"/>
        <v>359223.49</v>
      </c>
      <c r="H3" s="2581">
        <f t="shared" si="0"/>
        <v>510924.17</v>
      </c>
      <c r="I3" s="2580">
        <f t="shared" si="0"/>
        <v>466534.31</v>
      </c>
      <c r="J3" s="2562">
        <f t="shared" si="0"/>
        <v>547704.57</v>
      </c>
      <c r="K3" s="2588">
        <f t="shared" si="0"/>
        <v>349480.88</v>
      </c>
      <c r="L3" s="2562">
        <f t="shared" si="0"/>
        <v>599924.47</v>
      </c>
      <c r="M3" s="2562">
        <f t="shared" si="0"/>
        <v>656534.52</v>
      </c>
      <c r="N3" s="2595">
        <f t="shared" ref="N3:N40" si="1">SUM(B3:M3)</f>
        <v>5875759.72</v>
      </c>
      <c r="O3" s="2596">
        <f>ROUND((N3/$P$2),0)</f>
        <v>489647</v>
      </c>
      <c r="P3" s="2597">
        <f>N3/$Q$2</f>
        <v>0.0141624968126149</v>
      </c>
      <c r="S3" s="148"/>
      <c r="T3" s="1544"/>
      <c r="U3" s="1544"/>
      <c r="V3" s="1544"/>
      <c r="W3" s="1544"/>
      <c r="X3" s="1544"/>
      <c r="Y3" s="1544"/>
      <c r="Z3" s="1544"/>
      <c r="AA3" s="1544"/>
      <c r="AB3" s="1544"/>
      <c r="AC3" s="1544"/>
      <c r="AD3" s="1544"/>
      <c r="AE3" s="1544"/>
      <c r="AF3" s="2615"/>
    </row>
    <row r="4" spans="1:32">
      <c r="A4" s="1691" t="s">
        <v>249</v>
      </c>
      <c r="B4" s="680">
        <v>76271</v>
      </c>
      <c r="C4" s="2563">
        <v>107695.83</v>
      </c>
      <c r="D4" s="2564">
        <v>125920.58</v>
      </c>
      <c r="E4" s="1791">
        <v>60475</v>
      </c>
      <c r="F4" s="1791">
        <v>57312</v>
      </c>
      <c r="G4" s="1791">
        <v>35815</v>
      </c>
      <c r="H4" s="2582">
        <v>36321</v>
      </c>
      <c r="I4" s="1791">
        <v>85424</v>
      </c>
      <c r="J4" s="2564">
        <v>77960</v>
      </c>
      <c r="K4" s="710">
        <v>74811.18</v>
      </c>
      <c r="L4" s="2396">
        <v>126808.3</v>
      </c>
      <c r="M4" s="2565">
        <v>67843</v>
      </c>
      <c r="N4" s="2598">
        <f t="shared" si="1"/>
        <v>932656.89</v>
      </c>
      <c r="O4" s="2599">
        <f>ROUND((N4/$P$2),0)</f>
        <v>77721</v>
      </c>
      <c r="P4" s="829">
        <f>IF(N4=0,0,N4/$Q$2)</f>
        <v>0.0022480072129104</v>
      </c>
      <c r="S4" s="150"/>
      <c r="T4" s="1545"/>
      <c r="U4" s="1545"/>
      <c r="V4" s="1545"/>
      <c r="W4" s="1545"/>
      <c r="X4" s="1545"/>
      <c r="Y4" s="1545"/>
      <c r="Z4" s="1545"/>
      <c r="AA4" s="1545"/>
      <c r="AB4" s="1545"/>
      <c r="AC4" s="1545"/>
      <c r="AD4" s="1545"/>
      <c r="AE4" s="1545"/>
      <c r="AF4" s="2616"/>
    </row>
    <row r="5" ht="14.25" spans="1:32">
      <c r="A5" s="1691" t="s">
        <v>250</v>
      </c>
      <c r="B5" s="680"/>
      <c r="C5" s="1791"/>
      <c r="D5" s="2565"/>
      <c r="E5" s="1791"/>
      <c r="F5" s="1791"/>
      <c r="G5" s="1791"/>
      <c r="H5" s="2583"/>
      <c r="I5" s="1791"/>
      <c r="J5" s="2564"/>
      <c r="K5" s="1724"/>
      <c r="L5" s="2396"/>
      <c r="M5" s="2565"/>
      <c r="N5" s="2598">
        <f t="shared" si="1"/>
        <v>0</v>
      </c>
      <c r="O5" s="2599">
        <f>ROUND((N5/$P$2),0)</f>
        <v>0</v>
      </c>
      <c r="P5" s="829">
        <f t="shared" ref="P5:P40" si="2">IF(N5=0,0,N5/$Q$2)</f>
        <v>0</v>
      </c>
      <c r="S5" s="152"/>
      <c r="T5" s="2604"/>
      <c r="U5" s="2604"/>
      <c r="V5" s="2604"/>
      <c r="W5" s="2604"/>
      <c r="X5" s="2604"/>
      <c r="Y5" s="2604"/>
      <c r="Z5" s="2604"/>
      <c r="AA5" s="2604"/>
      <c r="AB5" s="2604"/>
      <c r="AC5" s="2604"/>
      <c r="AD5" s="2604"/>
      <c r="AE5" s="2604"/>
      <c r="AF5" s="2617"/>
    </row>
    <row r="6" ht="14.25" spans="1:32">
      <c r="A6" s="1691" t="s">
        <v>251</v>
      </c>
      <c r="B6" s="680"/>
      <c r="C6" s="1791"/>
      <c r="D6" s="2565"/>
      <c r="E6" s="1791"/>
      <c r="F6" s="1791"/>
      <c r="G6" s="1791"/>
      <c r="H6" s="2583"/>
      <c r="I6" s="1791"/>
      <c r="J6" s="2565"/>
      <c r="K6" s="1724"/>
      <c r="L6" s="2396"/>
      <c r="M6" s="2565"/>
      <c r="N6" s="2598">
        <f t="shared" si="1"/>
        <v>0</v>
      </c>
      <c r="O6" s="2599">
        <f t="shared" ref="O6:O64" si="3">ROUND((N6/$P$2),0)</f>
        <v>0</v>
      </c>
      <c r="P6" s="829">
        <f t="shared" si="2"/>
        <v>0</v>
      </c>
      <c r="S6" s="2605"/>
      <c r="T6" s="2606"/>
      <c r="U6" s="2606"/>
      <c r="V6" s="2606"/>
      <c r="W6" s="2606"/>
      <c r="X6" s="2606"/>
      <c r="Y6" s="2606"/>
      <c r="Z6" s="2606"/>
      <c r="AA6" s="2606"/>
      <c r="AB6" s="2606"/>
      <c r="AC6" s="2606"/>
      <c r="AD6" s="2606"/>
      <c r="AE6" s="2606"/>
      <c r="AF6" s="2618"/>
    </row>
    <row r="7" spans="1:32">
      <c r="A7" s="2566" t="s">
        <v>252</v>
      </c>
      <c r="B7" s="680">
        <v>30000</v>
      </c>
      <c r="C7" s="2567">
        <v>30000</v>
      </c>
      <c r="D7" s="2564">
        <v>30000</v>
      </c>
      <c r="E7" s="1791">
        <v>30000</v>
      </c>
      <c r="F7" s="1791">
        <v>30000</v>
      </c>
      <c r="G7" s="1791">
        <v>30000</v>
      </c>
      <c r="H7" s="2582">
        <v>30000</v>
      </c>
      <c r="I7" s="1791">
        <v>30000</v>
      </c>
      <c r="J7" s="2564">
        <v>30000</v>
      </c>
      <c r="K7" s="710">
        <v>30000</v>
      </c>
      <c r="L7" s="2589">
        <v>30000</v>
      </c>
      <c r="M7" s="2565">
        <v>30000</v>
      </c>
      <c r="N7" s="2598">
        <f t="shared" si="1"/>
        <v>360000</v>
      </c>
      <c r="O7" s="2599">
        <f t="shared" si="3"/>
        <v>30000</v>
      </c>
      <c r="P7" s="829">
        <f t="shared" si="2"/>
        <v>0.000867717383879234</v>
      </c>
      <c r="S7" s="1989"/>
      <c r="T7" s="2607"/>
      <c r="U7" s="2607"/>
      <c r="V7" s="2607"/>
      <c r="W7" s="2607"/>
      <c r="X7" s="2607"/>
      <c r="Y7" s="2607"/>
      <c r="Z7" s="2607"/>
      <c r="AA7" s="2607"/>
      <c r="AB7" s="2607"/>
      <c r="AC7" s="2607"/>
      <c r="AD7" s="2607"/>
      <c r="AE7" s="2607"/>
      <c r="AF7" s="2619"/>
    </row>
    <row r="8" spans="1:32">
      <c r="A8" s="2566" t="s">
        <v>253</v>
      </c>
      <c r="B8" s="680">
        <v>320</v>
      </c>
      <c r="C8" s="1791">
        <v>310</v>
      </c>
      <c r="D8" s="2564">
        <v>300</v>
      </c>
      <c r="E8" s="1791"/>
      <c r="F8" s="1791">
        <v>600</v>
      </c>
      <c r="G8" s="1791"/>
      <c r="H8" s="2582"/>
      <c r="I8" s="1791">
        <v>620</v>
      </c>
      <c r="J8" s="2564">
        <v>300</v>
      </c>
      <c r="K8" s="710">
        <v>300</v>
      </c>
      <c r="L8" s="2396"/>
      <c r="M8" s="2565">
        <v>600</v>
      </c>
      <c r="N8" s="2598">
        <f t="shared" si="1"/>
        <v>3350</v>
      </c>
      <c r="O8" s="2599">
        <f t="shared" si="3"/>
        <v>279</v>
      </c>
      <c r="P8" s="829">
        <f t="shared" si="2"/>
        <v>8.07459232220953e-6</v>
      </c>
      <c r="S8" s="150"/>
      <c r="T8" s="1545"/>
      <c r="U8" s="1545"/>
      <c r="V8" s="1545"/>
      <c r="W8" s="1545"/>
      <c r="X8" s="1545"/>
      <c r="Y8" s="1545"/>
      <c r="Z8" s="1545"/>
      <c r="AA8" s="1545"/>
      <c r="AB8" s="1545"/>
      <c r="AC8" s="1545"/>
      <c r="AD8" s="1545"/>
      <c r="AE8" s="1545"/>
      <c r="AF8" s="2616"/>
    </row>
    <row r="9" ht="14.25" spans="1:32">
      <c r="A9" s="2566" t="s">
        <v>254</v>
      </c>
      <c r="B9" s="680"/>
      <c r="C9" s="1791"/>
      <c r="D9" s="2564"/>
      <c r="E9" s="1791"/>
      <c r="F9" s="1791"/>
      <c r="G9" s="1791"/>
      <c r="H9" s="2582"/>
      <c r="I9" s="1791"/>
      <c r="J9" s="2564"/>
      <c r="K9" s="710"/>
      <c r="L9" s="2396"/>
      <c r="M9" s="2565"/>
      <c r="N9" s="2598">
        <f t="shared" si="1"/>
        <v>0</v>
      </c>
      <c r="O9" s="2599">
        <f t="shared" si="3"/>
        <v>0</v>
      </c>
      <c r="P9" s="829"/>
      <c r="S9" s="2608"/>
      <c r="T9" s="2609"/>
      <c r="U9" s="2609"/>
      <c r="V9" s="2609"/>
      <c r="W9" s="2609"/>
      <c r="X9" s="2609"/>
      <c r="Y9" s="2609"/>
      <c r="Z9" s="2609"/>
      <c r="AA9" s="2609"/>
      <c r="AB9" s="2609"/>
      <c r="AC9" s="2609"/>
      <c r="AD9" s="2609"/>
      <c r="AE9" s="2609"/>
      <c r="AF9" s="2620"/>
    </row>
    <row r="10" ht="14.25" spans="1:32">
      <c r="A10" s="2566" t="s">
        <v>255</v>
      </c>
      <c r="B10" s="680">
        <v>43363.14</v>
      </c>
      <c r="C10" s="1791">
        <v>50130</v>
      </c>
      <c r="D10" s="2565">
        <v>41450</v>
      </c>
      <c r="E10" s="1791">
        <v>39574</v>
      </c>
      <c r="F10" s="1791">
        <v>56300</v>
      </c>
      <c r="G10" s="1791">
        <v>101950</v>
      </c>
      <c r="H10" s="2582">
        <v>36000</v>
      </c>
      <c r="I10" s="1791">
        <v>63203.39</v>
      </c>
      <c r="J10" s="2564">
        <v>69003.39</v>
      </c>
      <c r="K10" s="1724">
        <v>30000</v>
      </c>
      <c r="L10" s="2396">
        <v>58759.58</v>
      </c>
      <c r="M10" s="2565">
        <v>31500</v>
      </c>
      <c r="N10" s="2598">
        <f t="shared" si="1"/>
        <v>621233.5</v>
      </c>
      <c r="O10" s="2599">
        <f t="shared" si="3"/>
        <v>51769</v>
      </c>
      <c r="P10" s="829">
        <f t="shared" si="2"/>
        <v>0.00149737529832817</v>
      </c>
      <c r="S10" s="1994"/>
      <c r="T10" s="2610"/>
      <c r="U10" s="2610"/>
      <c r="V10" s="2610"/>
      <c r="W10" s="2610"/>
      <c r="X10" s="2610"/>
      <c r="Y10" s="2610"/>
      <c r="Z10" s="2610"/>
      <c r="AA10" s="2610"/>
      <c r="AB10" s="2610"/>
      <c r="AC10" s="2610"/>
      <c r="AD10" s="2610"/>
      <c r="AE10" s="2610"/>
      <c r="AF10" s="2621"/>
    </row>
    <row r="11" spans="1:32">
      <c r="A11" s="2566" t="s">
        <v>256</v>
      </c>
      <c r="B11" s="680">
        <v>4482</v>
      </c>
      <c r="C11" s="1791">
        <v>3552</v>
      </c>
      <c r="D11" s="2564">
        <v>10069</v>
      </c>
      <c r="E11" s="1791">
        <v>8000</v>
      </c>
      <c r="F11" s="1791">
        <v>4232</v>
      </c>
      <c r="G11" s="1791">
        <v>3552</v>
      </c>
      <c r="H11" s="2582">
        <v>3970</v>
      </c>
      <c r="I11" s="1791">
        <v>3741</v>
      </c>
      <c r="J11" s="2564">
        <v>3219</v>
      </c>
      <c r="K11" s="710">
        <v>3684</v>
      </c>
      <c r="L11" s="2589">
        <v>6300</v>
      </c>
      <c r="M11" s="2565">
        <v>3536</v>
      </c>
      <c r="N11" s="2598">
        <f t="shared" si="1"/>
        <v>58337</v>
      </c>
      <c r="O11" s="2599">
        <f t="shared" si="3"/>
        <v>4861</v>
      </c>
      <c r="P11" s="829">
        <f t="shared" si="2"/>
        <v>0.000140611191731563</v>
      </c>
      <c r="S11" s="150"/>
      <c r="T11" s="1545"/>
      <c r="U11" s="1545"/>
      <c r="V11" s="1545"/>
      <c r="W11" s="1545"/>
      <c r="X11" s="1545"/>
      <c r="Y11" s="1545"/>
      <c r="Z11" s="1545"/>
      <c r="AA11" s="1545"/>
      <c r="AB11" s="1545"/>
      <c r="AC11" s="1545"/>
      <c r="AD11" s="1545"/>
      <c r="AE11" s="1545"/>
      <c r="AF11" s="2616"/>
    </row>
    <row r="12" ht="14.25" spans="1:32">
      <c r="A12" s="2568" t="s">
        <v>257</v>
      </c>
      <c r="B12" s="680"/>
      <c r="C12" s="1791"/>
      <c r="D12" s="2565"/>
      <c r="E12" s="1791"/>
      <c r="F12" s="1791"/>
      <c r="G12" s="1791"/>
      <c r="H12" s="2582"/>
      <c r="I12" s="1791"/>
      <c r="J12" s="2565"/>
      <c r="K12" s="1724"/>
      <c r="L12" s="2589"/>
      <c r="M12" s="2565"/>
      <c r="N12" s="2598">
        <f t="shared" si="1"/>
        <v>0</v>
      </c>
      <c r="O12" s="2599">
        <f t="shared" si="3"/>
        <v>0</v>
      </c>
      <c r="P12" s="829">
        <f t="shared" si="2"/>
        <v>0</v>
      </c>
      <c r="S12" s="573"/>
      <c r="T12" s="1548"/>
      <c r="U12" s="1548"/>
      <c r="V12" s="1548"/>
      <c r="W12" s="1548"/>
      <c r="X12" s="1548"/>
      <c r="Y12" s="1548"/>
      <c r="Z12" s="1548"/>
      <c r="AA12" s="1548"/>
      <c r="AB12" s="1548"/>
      <c r="AC12" s="1548"/>
      <c r="AD12" s="1548"/>
      <c r="AE12" s="1548"/>
      <c r="AF12" s="2622"/>
    </row>
    <row r="13" ht="14.25" spans="1:32">
      <c r="A13" s="2566" t="s">
        <v>258</v>
      </c>
      <c r="B13" s="680"/>
      <c r="C13" s="1791"/>
      <c r="D13" s="2565"/>
      <c r="E13" s="1791">
        <v>8100</v>
      </c>
      <c r="F13" s="1791">
        <v>11000</v>
      </c>
      <c r="G13" s="1791"/>
      <c r="H13" s="2583"/>
      <c r="I13" s="1791"/>
      <c r="J13" s="2565"/>
      <c r="K13" s="1724">
        <v>10000</v>
      </c>
      <c r="L13" s="2589"/>
      <c r="M13" s="2565"/>
      <c r="N13" s="2598">
        <f t="shared" si="1"/>
        <v>29100</v>
      </c>
      <c r="O13" s="2599">
        <f t="shared" si="3"/>
        <v>2425</v>
      </c>
      <c r="P13" s="829">
        <f t="shared" si="2"/>
        <v>7.0140488530238e-5</v>
      </c>
      <c r="S13" s="154"/>
      <c r="T13" s="2611"/>
      <c r="U13" s="2611"/>
      <c r="V13" s="2611"/>
      <c r="W13" s="2611"/>
      <c r="X13" s="2611"/>
      <c r="Y13" s="2611"/>
      <c r="Z13" s="2611"/>
      <c r="AA13" s="2611"/>
      <c r="AB13" s="2611"/>
      <c r="AC13" s="2611"/>
      <c r="AD13" s="2611"/>
      <c r="AE13" s="2611"/>
      <c r="AF13" s="2623"/>
    </row>
    <row r="14" ht="14.25" spans="1:32">
      <c r="A14" s="2566" t="s">
        <v>259</v>
      </c>
      <c r="B14" s="680">
        <v>8236.91</v>
      </c>
      <c r="C14" s="1791">
        <v>2499</v>
      </c>
      <c r="D14" s="2565">
        <v>141</v>
      </c>
      <c r="E14" s="1791">
        <v>1711</v>
      </c>
      <c r="F14" s="1791">
        <v>10324</v>
      </c>
      <c r="G14" s="1791">
        <v>986</v>
      </c>
      <c r="H14" s="2582">
        <v>12704.64</v>
      </c>
      <c r="I14" s="1791">
        <v>1322</v>
      </c>
      <c r="J14" s="2565">
        <v>427</v>
      </c>
      <c r="K14" s="1724">
        <v>3014.42</v>
      </c>
      <c r="L14" s="2589">
        <v>2658</v>
      </c>
      <c r="M14" s="2564">
        <v>7282.33</v>
      </c>
      <c r="N14" s="2598">
        <f t="shared" si="1"/>
        <v>51306.3</v>
      </c>
      <c r="O14" s="2599">
        <f t="shared" si="3"/>
        <v>4276</v>
      </c>
      <c r="P14" s="829">
        <f t="shared" si="2"/>
        <v>0.000123664912257009</v>
      </c>
      <c r="S14" s="2612"/>
      <c r="T14" s="2613"/>
      <c r="U14" s="2613"/>
      <c r="V14" s="2613"/>
      <c r="W14" s="2613"/>
      <c r="X14" s="2613"/>
      <c r="Y14" s="2613"/>
      <c r="Z14" s="2613"/>
      <c r="AA14" s="2613"/>
      <c r="AB14" s="2613"/>
      <c r="AC14" s="2613"/>
      <c r="AD14" s="2613"/>
      <c r="AE14" s="2613"/>
      <c r="AF14" s="2624"/>
    </row>
    <row r="15" spans="1:16">
      <c r="A15" s="2566" t="s">
        <v>260</v>
      </c>
      <c r="B15" s="680">
        <v>638</v>
      </c>
      <c r="C15" s="1791"/>
      <c r="D15" s="2564">
        <v>13999.1</v>
      </c>
      <c r="E15" s="1791"/>
      <c r="F15" s="1791">
        <v>1000</v>
      </c>
      <c r="G15" s="1791" t="s">
        <v>116</v>
      </c>
      <c r="H15" s="2582"/>
      <c r="I15" s="1791"/>
      <c r="J15" s="2564">
        <v>2386</v>
      </c>
      <c r="K15" s="710">
        <v>1185</v>
      </c>
      <c r="L15" s="2589">
        <v>3100</v>
      </c>
      <c r="M15" s="2565"/>
      <c r="N15" s="2598">
        <f t="shared" si="1"/>
        <v>22308.1</v>
      </c>
      <c r="O15" s="2599">
        <f t="shared" si="3"/>
        <v>1859</v>
      </c>
      <c r="P15" s="829">
        <f t="shared" si="2"/>
        <v>5.37697949203231e-5</v>
      </c>
    </row>
    <row r="16" spans="1:16">
      <c r="A16" s="2566" t="s">
        <v>261</v>
      </c>
      <c r="B16" s="680"/>
      <c r="C16" s="1791"/>
      <c r="D16" s="2565"/>
      <c r="E16" s="1791"/>
      <c r="F16" s="1791"/>
      <c r="G16" s="1791"/>
      <c r="H16" s="2583"/>
      <c r="I16" s="1791"/>
      <c r="J16" s="2565"/>
      <c r="K16" s="1724"/>
      <c r="L16" s="2589"/>
      <c r="M16" s="2565"/>
      <c r="N16" s="2598">
        <f t="shared" si="1"/>
        <v>0</v>
      </c>
      <c r="O16" s="2599">
        <f t="shared" si="3"/>
        <v>0</v>
      </c>
      <c r="P16" s="829">
        <f t="shared" si="2"/>
        <v>0</v>
      </c>
    </row>
    <row r="17" spans="1:16">
      <c r="A17" s="2566" t="s">
        <v>262</v>
      </c>
      <c r="B17" s="680"/>
      <c r="C17" s="1791"/>
      <c r="D17" s="2565"/>
      <c r="E17" s="1791"/>
      <c r="F17" s="1791"/>
      <c r="G17" s="1791"/>
      <c r="H17" s="2583"/>
      <c r="I17" s="1791"/>
      <c r="J17" s="2565"/>
      <c r="K17" s="1724"/>
      <c r="L17" s="2589"/>
      <c r="M17" s="2565"/>
      <c r="N17" s="2598">
        <f t="shared" si="1"/>
        <v>0</v>
      </c>
      <c r="O17" s="2599">
        <f t="shared" si="3"/>
        <v>0</v>
      </c>
      <c r="P17" s="829">
        <f t="shared" si="2"/>
        <v>0</v>
      </c>
    </row>
    <row r="18" spans="1:16">
      <c r="A18" s="2566" t="s">
        <v>263</v>
      </c>
      <c r="B18" s="680"/>
      <c r="C18" s="1791"/>
      <c r="D18" s="2565"/>
      <c r="E18" s="1791"/>
      <c r="F18" s="1791"/>
      <c r="G18" s="1791"/>
      <c r="H18" s="2582"/>
      <c r="I18" s="1791"/>
      <c r="J18" s="2565"/>
      <c r="K18" s="1724"/>
      <c r="L18" s="2589"/>
      <c r="M18" s="2565"/>
      <c r="N18" s="2598">
        <f t="shared" si="1"/>
        <v>0</v>
      </c>
      <c r="O18" s="2599">
        <f t="shared" si="3"/>
        <v>0</v>
      </c>
      <c r="P18" s="829">
        <f t="shared" si="2"/>
        <v>0</v>
      </c>
    </row>
    <row r="19" spans="1:16">
      <c r="A19" s="2566" t="s">
        <v>264</v>
      </c>
      <c r="B19" s="680">
        <v>1200</v>
      </c>
      <c r="C19" s="1791"/>
      <c r="D19" s="2564"/>
      <c r="E19" s="1791"/>
      <c r="F19" s="1791"/>
      <c r="G19" s="1791"/>
      <c r="H19" s="2583"/>
      <c r="I19" s="1791"/>
      <c r="J19" s="2565"/>
      <c r="K19" s="1724"/>
      <c r="L19" s="2396"/>
      <c r="M19" s="2565"/>
      <c r="N19" s="2598">
        <f t="shared" si="1"/>
        <v>1200</v>
      </c>
      <c r="O19" s="2599">
        <f t="shared" si="3"/>
        <v>100</v>
      </c>
      <c r="P19" s="829">
        <f t="shared" si="2"/>
        <v>2.89239127959745e-6</v>
      </c>
    </row>
    <row r="20" spans="1:16">
      <c r="A20" s="2566" t="s">
        <v>265</v>
      </c>
      <c r="B20" s="680">
        <f>1170+850</f>
        <v>2020</v>
      </c>
      <c r="C20" s="1791"/>
      <c r="D20" s="2564"/>
      <c r="E20" s="1791"/>
      <c r="F20" s="1791"/>
      <c r="G20" s="1791"/>
      <c r="H20" s="2582"/>
      <c r="I20" s="1791"/>
      <c r="J20" s="2564"/>
      <c r="K20" s="1724"/>
      <c r="L20" s="2589">
        <v>4500</v>
      </c>
      <c r="M20" s="2565">
        <v>2200</v>
      </c>
      <c r="N20" s="2598">
        <f t="shared" si="1"/>
        <v>8720</v>
      </c>
      <c r="O20" s="2599">
        <f t="shared" si="3"/>
        <v>727</v>
      </c>
      <c r="P20" s="829">
        <f t="shared" si="2"/>
        <v>2.10180432984081e-5</v>
      </c>
    </row>
    <row r="21" spans="1:16">
      <c r="A21" s="2566" t="s">
        <v>266</v>
      </c>
      <c r="B21" s="680">
        <v>6390</v>
      </c>
      <c r="C21" s="1791">
        <v>7200</v>
      </c>
      <c r="D21" s="2564">
        <v>6008</v>
      </c>
      <c r="E21" s="1791">
        <v>6655</v>
      </c>
      <c r="F21" s="1791">
        <v>8970</v>
      </c>
      <c r="G21" s="1791">
        <v>6645</v>
      </c>
      <c r="H21" s="2582">
        <v>70890</v>
      </c>
      <c r="I21" s="1791">
        <v>7612</v>
      </c>
      <c r="J21" s="2564">
        <v>5735</v>
      </c>
      <c r="K21" s="710">
        <v>6575</v>
      </c>
      <c r="L21" s="2589">
        <v>5860</v>
      </c>
      <c r="M21" s="2564">
        <v>8535</v>
      </c>
      <c r="N21" s="2598">
        <f t="shared" si="1"/>
        <v>147075</v>
      </c>
      <c r="O21" s="2599">
        <f t="shared" si="3"/>
        <v>12256</v>
      </c>
      <c r="P21" s="829">
        <f t="shared" si="2"/>
        <v>0.000354498706205662</v>
      </c>
    </row>
    <row r="22" spans="1:16">
      <c r="A22" s="2566" t="s">
        <v>267</v>
      </c>
      <c r="B22" s="680">
        <f>763+14094+1274.4</f>
        <v>16131.4</v>
      </c>
      <c r="C22" s="1791">
        <f>446+3711.85</f>
        <v>4157.85</v>
      </c>
      <c r="D22" s="2565">
        <f>1471.84+5017.04+3723.7</f>
        <v>10212.58</v>
      </c>
      <c r="E22" s="1791">
        <f>1469+8694+3222.7</f>
        <v>13385.7</v>
      </c>
      <c r="F22" s="1791">
        <f>184+4084.25</f>
        <v>4268.25</v>
      </c>
      <c r="G22" s="1791">
        <v>8142.19</v>
      </c>
      <c r="H22" s="2583">
        <v>8310.5</v>
      </c>
      <c r="I22" s="1791">
        <v>22227.05</v>
      </c>
      <c r="J22" s="2583">
        <f>2910.84+3615.4</f>
        <v>6526.24</v>
      </c>
      <c r="K22" s="1724">
        <v>8484.85</v>
      </c>
      <c r="L22" s="2589">
        <v>11311.62</v>
      </c>
      <c r="M22" s="2565">
        <v>13612.64</v>
      </c>
      <c r="N22" s="2598">
        <f t="shared" si="1"/>
        <v>126770.87</v>
      </c>
      <c r="O22" s="2599">
        <f t="shared" si="3"/>
        <v>10564</v>
      </c>
      <c r="P22" s="829">
        <f t="shared" si="2"/>
        <v>0.000305559132412485</v>
      </c>
    </row>
    <row r="23" spans="1:16">
      <c r="A23" s="2566" t="s">
        <v>268</v>
      </c>
      <c r="B23" s="680">
        <v>75852</v>
      </c>
      <c r="C23" s="1791">
        <v>26649</v>
      </c>
      <c r="D23" s="2565">
        <v>37281</v>
      </c>
      <c r="E23" s="1791">
        <v>29103</v>
      </c>
      <c r="F23" s="1791">
        <v>33140</v>
      </c>
      <c r="G23" s="1791">
        <v>26554</v>
      </c>
      <c r="H23" s="2583">
        <v>27180</v>
      </c>
      <c r="I23" s="1791">
        <v>62306</v>
      </c>
      <c r="J23" s="2565">
        <v>25850</v>
      </c>
      <c r="K23" s="1724">
        <v>20379</v>
      </c>
      <c r="L23" s="2589">
        <v>50006</v>
      </c>
      <c r="M23" s="2565">
        <v>12950</v>
      </c>
      <c r="N23" s="2598">
        <f t="shared" si="1"/>
        <v>427250</v>
      </c>
      <c r="O23" s="2599">
        <f t="shared" si="3"/>
        <v>35604</v>
      </c>
      <c r="P23" s="829">
        <f t="shared" si="2"/>
        <v>0.00102981181184001</v>
      </c>
    </row>
    <row r="24" spans="1:16">
      <c r="A24" s="2566" t="s">
        <v>269</v>
      </c>
      <c r="B24" s="680">
        <v>5500</v>
      </c>
      <c r="C24" s="1791">
        <v>47500</v>
      </c>
      <c r="D24" s="2564">
        <v>5500</v>
      </c>
      <c r="E24" s="1791">
        <f>41500+1500</f>
        <v>43000</v>
      </c>
      <c r="F24" s="1791">
        <v>5500</v>
      </c>
      <c r="G24" s="1791">
        <v>17500</v>
      </c>
      <c r="H24" s="2583">
        <v>5500</v>
      </c>
      <c r="I24" s="1791">
        <v>2500</v>
      </c>
      <c r="J24" s="2564">
        <f>8500</f>
        <v>8500</v>
      </c>
      <c r="K24" s="710">
        <v>2500</v>
      </c>
      <c r="L24" s="2589">
        <v>8500</v>
      </c>
      <c r="M24" s="2565">
        <v>167500</v>
      </c>
      <c r="N24" s="2598">
        <f t="shared" si="1"/>
        <v>319500</v>
      </c>
      <c r="O24" s="2599">
        <f t="shared" si="3"/>
        <v>26625</v>
      </c>
      <c r="P24" s="829">
        <f t="shared" si="2"/>
        <v>0.00077009917819282</v>
      </c>
    </row>
    <row r="25" spans="1:18">
      <c r="A25" s="2566" t="s">
        <v>270</v>
      </c>
      <c r="B25" s="680"/>
      <c r="C25" s="1791">
        <v>1500</v>
      </c>
      <c r="D25" s="2565">
        <f>1500+10000+5000</f>
        <v>16500</v>
      </c>
      <c r="E25" s="1791"/>
      <c r="F25" s="1791">
        <f>1500+10000</f>
        <v>11500</v>
      </c>
      <c r="G25" s="1791">
        <v>1500</v>
      </c>
      <c r="H25" s="2583">
        <v>11500</v>
      </c>
      <c r="I25" s="1791">
        <v>1500</v>
      </c>
      <c r="J25" s="2565">
        <f>1500+10000+75000</f>
        <v>86500</v>
      </c>
      <c r="K25" s="1724">
        <v>27221</v>
      </c>
      <c r="L25" s="2589">
        <v>1500</v>
      </c>
      <c r="M25" s="2565">
        <v>90500</v>
      </c>
      <c r="N25" s="2598">
        <f t="shared" si="1"/>
        <v>249721</v>
      </c>
      <c r="O25" s="2599">
        <f t="shared" si="3"/>
        <v>20810</v>
      </c>
      <c r="P25" s="829">
        <f t="shared" si="2"/>
        <v>0.000601909035610295</v>
      </c>
      <c r="R25" s="710" t="s">
        <v>116</v>
      </c>
    </row>
    <row r="26" spans="1:18">
      <c r="A26" s="2566" t="s">
        <v>271</v>
      </c>
      <c r="B26" s="680">
        <v>59935</v>
      </c>
      <c r="C26" s="1791">
        <v>54000</v>
      </c>
      <c r="D26" s="2564">
        <v>614</v>
      </c>
      <c r="E26" s="1791"/>
      <c r="F26" s="1791"/>
      <c r="G26" s="1791">
        <v>500</v>
      </c>
      <c r="H26" s="2583"/>
      <c r="I26" s="1791">
        <v>1938</v>
      </c>
      <c r="J26" s="2564">
        <v>1314</v>
      </c>
      <c r="K26" s="710"/>
      <c r="L26" s="2589">
        <v>3178</v>
      </c>
      <c r="M26" s="2564">
        <v>120</v>
      </c>
      <c r="N26" s="2598">
        <f t="shared" si="1"/>
        <v>121599</v>
      </c>
      <c r="O26" s="2599">
        <f t="shared" si="3"/>
        <v>10133</v>
      </c>
      <c r="P26" s="829">
        <f t="shared" si="2"/>
        <v>0.000293093239339808</v>
      </c>
      <c r="R26" s="710" t="s">
        <v>116</v>
      </c>
    </row>
    <row r="27" spans="1:18">
      <c r="A27" s="2566" t="s">
        <v>272</v>
      </c>
      <c r="B27" s="680">
        <v>7500</v>
      </c>
      <c r="C27" s="1791"/>
      <c r="D27" s="2565">
        <v>5133</v>
      </c>
      <c r="E27" s="1791"/>
      <c r="F27" s="1791"/>
      <c r="G27" s="1791"/>
      <c r="H27" s="2582">
        <v>15060</v>
      </c>
      <c r="I27" s="1791"/>
      <c r="J27" s="2565"/>
      <c r="K27" s="710"/>
      <c r="L27" s="2589">
        <v>5160</v>
      </c>
      <c r="M27" s="2565"/>
      <c r="N27" s="2598">
        <f t="shared" si="1"/>
        <v>32853</v>
      </c>
      <c r="O27" s="2599">
        <f t="shared" si="3"/>
        <v>2738</v>
      </c>
      <c r="P27" s="829">
        <f t="shared" si="2"/>
        <v>7.91864422571791e-5</v>
      </c>
      <c r="R27" s="710" t="s">
        <v>116</v>
      </c>
    </row>
    <row r="28" spans="1:18">
      <c r="A28" s="2566" t="s">
        <v>273</v>
      </c>
      <c r="B28" s="680">
        <v>2000</v>
      </c>
      <c r="C28" s="1791">
        <f>3000+14000</f>
        <v>17000</v>
      </c>
      <c r="D28" s="2565"/>
      <c r="E28" s="1791"/>
      <c r="F28" s="1791"/>
      <c r="G28" s="1791">
        <v>2000</v>
      </c>
      <c r="H28" s="2582"/>
      <c r="I28" s="1791"/>
      <c r="J28" s="2565"/>
      <c r="K28" s="710">
        <v>2200</v>
      </c>
      <c r="L28" s="2589">
        <v>2000</v>
      </c>
      <c r="M28" s="2565"/>
      <c r="N28" s="2598">
        <f t="shared" si="1"/>
        <v>25200</v>
      </c>
      <c r="O28" s="2599">
        <f t="shared" si="3"/>
        <v>2100</v>
      </c>
      <c r="P28" s="829"/>
      <c r="R28" s="710"/>
    </row>
    <row r="29" spans="1:18">
      <c r="A29" s="2569" t="s">
        <v>274</v>
      </c>
      <c r="B29" s="680"/>
      <c r="C29" s="1791"/>
      <c r="D29" s="2565"/>
      <c r="E29" s="1791"/>
      <c r="F29" s="1791"/>
      <c r="G29" s="1791"/>
      <c r="H29" s="2582"/>
      <c r="I29" s="1791"/>
      <c r="J29" s="2565"/>
      <c r="K29" s="1724"/>
      <c r="L29" s="2396"/>
      <c r="M29" s="2565"/>
      <c r="N29" s="2598">
        <f t="shared" si="1"/>
        <v>0</v>
      </c>
      <c r="O29" s="2599">
        <f t="shared" si="3"/>
        <v>0</v>
      </c>
      <c r="P29" s="829">
        <f t="shared" si="2"/>
        <v>0</v>
      </c>
      <c r="R29" s="710"/>
    </row>
    <row r="30" spans="1:18">
      <c r="A30" s="2566" t="s">
        <v>275</v>
      </c>
      <c r="B30" s="680">
        <v>6.52</v>
      </c>
      <c r="C30" s="1791">
        <v>5.66</v>
      </c>
      <c r="D30" s="2565">
        <v>14.13</v>
      </c>
      <c r="E30" s="1791">
        <v>14.65</v>
      </c>
      <c r="F30" s="1791">
        <v>-3.07</v>
      </c>
      <c r="G30" s="1791">
        <v>1.64</v>
      </c>
      <c r="H30" s="2583">
        <v>3.28</v>
      </c>
      <c r="I30" s="1791">
        <v>7.98</v>
      </c>
      <c r="J30" s="2565">
        <v>7.85</v>
      </c>
      <c r="K30" s="1724">
        <v>7.11</v>
      </c>
      <c r="L30" s="2396">
        <v>15.27</v>
      </c>
      <c r="M30" s="2565">
        <f>91.67+1</f>
        <v>92.67</v>
      </c>
      <c r="N30" s="2598">
        <f t="shared" si="1"/>
        <v>173.69</v>
      </c>
      <c r="O30" s="2599">
        <f t="shared" si="3"/>
        <v>14</v>
      </c>
      <c r="P30" s="829">
        <f t="shared" si="2"/>
        <v>4.18649534461067e-7</v>
      </c>
      <c r="R30" s="710" t="s">
        <v>116</v>
      </c>
    </row>
    <row r="31" spans="1:18">
      <c r="A31" s="2566" t="s">
        <v>276</v>
      </c>
      <c r="B31" s="680"/>
      <c r="C31" s="1791"/>
      <c r="D31" s="2565"/>
      <c r="E31" s="1791"/>
      <c r="F31" s="1791"/>
      <c r="G31" s="1791">
        <v>3540</v>
      </c>
      <c r="H31" s="2582"/>
      <c r="I31" s="1791"/>
      <c r="J31" s="2565"/>
      <c r="K31" s="1724"/>
      <c r="L31" s="2396"/>
      <c r="M31" s="2565"/>
      <c r="N31" s="2598">
        <f t="shared" si="1"/>
        <v>3540</v>
      </c>
      <c r="O31" s="2599">
        <f t="shared" si="3"/>
        <v>295</v>
      </c>
      <c r="P31" s="829">
        <f t="shared" si="2"/>
        <v>8.53255427481246e-6</v>
      </c>
      <c r="R31" s="710" t="s">
        <v>277</v>
      </c>
    </row>
    <row r="32" spans="1:18">
      <c r="A32" s="2566" t="s">
        <v>278</v>
      </c>
      <c r="B32" s="680">
        <f>11852.31+35000</f>
        <v>46852.31</v>
      </c>
      <c r="C32" s="1791">
        <f>15000-4675.26</f>
        <v>10324.74</v>
      </c>
      <c r="D32" s="2564">
        <f>1368.97+30000+20000</f>
        <v>51368.97</v>
      </c>
      <c r="E32" s="1791">
        <v>1368.97</v>
      </c>
      <c r="F32" s="1791">
        <f>2067.97+4500+56000</f>
        <v>62567.97</v>
      </c>
      <c r="G32" s="1791">
        <f>47867.97-2999</f>
        <v>44868.97</v>
      </c>
      <c r="H32" s="2582">
        <v>16464.97</v>
      </c>
      <c r="I32" s="1791">
        <v>27379.76</v>
      </c>
      <c r="J32" s="2565">
        <f>1368.97+53000</f>
        <v>54368.97</v>
      </c>
      <c r="K32" s="710">
        <v>39011.58</v>
      </c>
      <c r="L32" s="2396">
        <v>87215.58</v>
      </c>
      <c r="M32" s="2564">
        <v>28614.58</v>
      </c>
      <c r="N32" s="2598">
        <f t="shared" si="1"/>
        <v>470407.37</v>
      </c>
      <c r="O32" s="2599">
        <f t="shared" si="3"/>
        <v>39201</v>
      </c>
      <c r="P32" s="829">
        <f t="shared" si="2"/>
        <v>0.00113383514570531</v>
      </c>
      <c r="R32" s="710" t="s">
        <v>116</v>
      </c>
    </row>
    <row r="33" spans="1:18">
      <c r="A33" s="2566" t="s">
        <v>279</v>
      </c>
      <c r="B33" s="680"/>
      <c r="C33" s="1791"/>
      <c r="D33" s="2565"/>
      <c r="E33" s="1791"/>
      <c r="F33" s="1791"/>
      <c r="G33" s="1791"/>
      <c r="H33" s="2583"/>
      <c r="I33" s="1791"/>
      <c r="J33" s="2565"/>
      <c r="K33" s="1724"/>
      <c r="L33" s="2396"/>
      <c r="M33" s="2565"/>
      <c r="N33" s="2598">
        <f t="shared" si="1"/>
        <v>0</v>
      </c>
      <c r="O33" s="2599">
        <f t="shared" si="3"/>
        <v>0</v>
      </c>
      <c r="P33" s="829">
        <f t="shared" si="2"/>
        <v>0</v>
      </c>
      <c r="R33" s="710" t="s">
        <v>116</v>
      </c>
    </row>
    <row r="34" spans="1:18">
      <c r="A34" s="2566" t="s">
        <v>280</v>
      </c>
      <c r="B34" s="680">
        <v>31572</v>
      </c>
      <c r="C34" s="1791">
        <v>13459</v>
      </c>
      <c r="D34" s="2564">
        <v>4609</v>
      </c>
      <c r="E34" s="1791">
        <v>27635.04</v>
      </c>
      <c r="F34" s="1791">
        <v>4609</v>
      </c>
      <c r="G34" s="1791">
        <v>9440.87</v>
      </c>
      <c r="H34" s="2583">
        <v>11121.5</v>
      </c>
      <c r="I34" s="1791">
        <v>15681</v>
      </c>
      <c r="J34" s="2565">
        <v>34452</v>
      </c>
      <c r="K34" s="1724">
        <v>2500</v>
      </c>
      <c r="L34" s="2396"/>
      <c r="M34" s="2565"/>
      <c r="N34" s="2598">
        <f t="shared" si="1"/>
        <v>155079.41</v>
      </c>
      <c r="O34" s="2599">
        <f t="shared" si="3"/>
        <v>12923</v>
      </c>
      <c r="P34" s="829">
        <f t="shared" si="2"/>
        <v>0.000373791944274264</v>
      </c>
      <c r="R34" s="710" t="s">
        <v>277</v>
      </c>
    </row>
    <row r="35" spans="1:18">
      <c r="A35" s="2566" t="s">
        <v>281</v>
      </c>
      <c r="B35" s="680"/>
      <c r="C35" s="1791"/>
      <c r="D35" s="2565"/>
      <c r="E35" s="1791"/>
      <c r="F35" s="1791"/>
      <c r="G35" s="1791"/>
      <c r="H35" s="2583"/>
      <c r="I35" s="1791"/>
      <c r="J35" s="2564"/>
      <c r="K35" s="1724"/>
      <c r="L35" s="2396"/>
      <c r="M35" s="2565"/>
      <c r="N35" s="2598">
        <f t="shared" si="1"/>
        <v>0</v>
      </c>
      <c r="O35" s="2599">
        <f t="shared" si="3"/>
        <v>0</v>
      </c>
      <c r="P35" s="829">
        <f t="shared" si="2"/>
        <v>0</v>
      </c>
      <c r="R35" s="710" t="s">
        <v>116</v>
      </c>
    </row>
    <row r="36" spans="1:18">
      <c r="A36" s="2566" t="s">
        <v>282</v>
      </c>
      <c r="B36" s="680">
        <v>6199.72</v>
      </c>
      <c r="C36" s="1791">
        <v>6612.72</v>
      </c>
      <c r="D36" s="2564">
        <v>6609.18</v>
      </c>
      <c r="E36" s="1791">
        <v>6603.28</v>
      </c>
      <c r="F36" s="1791">
        <v>16035.02</v>
      </c>
      <c r="G36" s="1791">
        <v>16639.18</v>
      </c>
      <c r="H36" s="2582">
        <v>15040.28</v>
      </c>
      <c r="I36" s="1791">
        <v>6597.38</v>
      </c>
      <c r="J36" s="2564">
        <v>6648.12</v>
      </c>
      <c r="K36" s="710">
        <v>6599.74</v>
      </c>
      <c r="L36" s="2396">
        <v>7400.96</v>
      </c>
      <c r="M36" s="2564">
        <v>6780.28</v>
      </c>
      <c r="N36" s="2598">
        <f t="shared" si="1"/>
        <v>107765.86</v>
      </c>
      <c r="O36" s="2599">
        <f t="shared" si="3"/>
        <v>8980</v>
      </c>
      <c r="P36" s="829">
        <f t="shared" si="2"/>
        <v>0.000259750861418599</v>
      </c>
      <c r="R36" s="710" t="s">
        <v>277</v>
      </c>
    </row>
    <row r="37" spans="1:18">
      <c r="A37" s="2566" t="s">
        <v>283</v>
      </c>
      <c r="B37" s="680">
        <v>7710</v>
      </c>
      <c r="C37" s="1791">
        <v>5351</v>
      </c>
      <c r="D37" s="2564">
        <v>6412</v>
      </c>
      <c r="E37" s="1791">
        <v>6416</v>
      </c>
      <c r="F37" s="1791">
        <v>4658</v>
      </c>
      <c r="G37" s="1791">
        <v>4008</v>
      </c>
      <c r="H37" s="2582">
        <v>4008</v>
      </c>
      <c r="I37" s="1791">
        <v>4007</v>
      </c>
      <c r="J37" s="2564">
        <v>4007</v>
      </c>
      <c r="K37" s="710">
        <v>4008</v>
      </c>
      <c r="L37" s="2589">
        <v>4006</v>
      </c>
      <c r="M37" s="2564">
        <v>4008</v>
      </c>
      <c r="N37" s="2598">
        <f t="shared" si="1"/>
        <v>58599</v>
      </c>
      <c r="O37" s="2599">
        <f t="shared" si="3"/>
        <v>4883</v>
      </c>
      <c r="P37" s="829">
        <f t="shared" si="2"/>
        <v>0.000141242697160942</v>
      </c>
      <c r="R37" s="710" t="s">
        <v>116</v>
      </c>
    </row>
    <row r="38" spans="1:16">
      <c r="A38" s="2566" t="s">
        <v>284</v>
      </c>
      <c r="B38" s="680"/>
      <c r="C38" s="1791"/>
      <c r="D38" s="2565"/>
      <c r="E38" s="1791"/>
      <c r="F38" s="1791"/>
      <c r="G38" s="1791"/>
      <c r="H38" s="2582"/>
      <c r="I38" s="1791"/>
      <c r="J38" s="2564"/>
      <c r="K38" s="1724"/>
      <c r="L38" s="2396"/>
      <c r="M38" s="2565"/>
      <c r="N38" s="2598">
        <f t="shared" si="1"/>
        <v>0</v>
      </c>
      <c r="O38" s="2599">
        <f t="shared" si="3"/>
        <v>0</v>
      </c>
      <c r="P38" s="829">
        <f t="shared" si="2"/>
        <v>0</v>
      </c>
    </row>
    <row r="39" spans="1:16">
      <c r="A39" s="2570" t="s">
        <v>285</v>
      </c>
      <c r="B39" s="680">
        <v>1560</v>
      </c>
      <c r="C39" s="1791">
        <v>2360</v>
      </c>
      <c r="D39" s="2564">
        <v>10760</v>
      </c>
      <c r="E39" s="1791">
        <v>5050</v>
      </c>
      <c r="F39" s="1791">
        <v>60</v>
      </c>
      <c r="G39" s="1791"/>
      <c r="H39" s="2582"/>
      <c r="I39" s="1791"/>
      <c r="J39" s="2564"/>
      <c r="K39" s="710"/>
      <c r="L39" s="2396"/>
      <c r="M39" s="2564"/>
      <c r="N39" s="2598">
        <f t="shared" si="1"/>
        <v>19790</v>
      </c>
      <c r="O39" s="2599">
        <f t="shared" si="3"/>
        <v>1649</v>
      </c>
      <c r="P39" s="829">
        <f t="shared" si="2"/>
        <v>4.77003528526945e-5</v>
      </c>
    </row>
    <row r="40" ht="14.25" spans="1:16">
      <c r="A40" s="2566" t="s">
        <v>286</v>
      </c>
      <c r="B40" s="680"/>
      <c r="C40" s="1791">
        <f>70000+52883.33</f>
        <v>122883.33</v>
      </c>
      <c r="D40" s="2564">
        <f>140000+52338.71</f>
        <v>192338.71</v>
      </c>
      <c r="E40" s="1791">
        <f>77000+49291.68</f>
        <v>126291.68</v>
      </c>
      <c r="F40" s="1791">
        <f>77000+50806.44</f>
        <v>127806.44</v>
      </c>
      <c r="G40" s="1791">
        <v>45580.64</v>
      </c>
      <c r="H40" s="2582">
        <v>206850</v>
      </c>
      <c r="I40" s="1791">
        <v>130467.75</v>
      </c>
      <c r="J40" s="2564">
        <f>77000+53500</f>
        <v>130500</v>
      </c>
      <c r="K40" s="710">
        <v>77000</v>
      </c>
      <c r="L40" s="2396">
        <v>181645.16</v>
      </c>
      <c r="M40" s="2564">
        <v>180860.02</v>
      </c>
      <c r="N40" s="2598">
        <f t="shared" si="1"/>
        <v>1522223.73</v>
      </c>
      <c r="O40" s="2599">
        <f t="shared" si="3"/>
        <v>126852</v>
      </c>
      <c r="P40" s="829">
        <f t="shared" si="2"/>
        <v>0.00366905553520691</v>
      </c>
    </row>
    <row r="41" ht="14.25" spans="1:18">
      <c r="A41" s="2571" t="s">
        <v>287</v>
      </c>
      <c r="B41" s="2572">
        <f>SUM(B42:B51)</f>
        <v>949852.84</v>
      </c>
      <c r="C41" s="2572">
        <f>SUM(C42:C51)</f>
        <v>293672.65</v>
      </c>
      <c r="D41" s="2573">
        <f t="shared" ref="D41:F41" si="4">SUM(D42:D51)</f>
        <v>1204638.48</v>
      </c>
      <c r="E41" s="2572">
        <f t="shared" si="4"/>
        <v>641835.97</v>
      </c>
      <c r="F41" s="2572">
        <f t="shared" si="4"/>
        <v>741787.04</v>
      </c>
      <c r="G41" s="2584">
        <f t="shared" ref="G41:M41" si="5">SUM(G42:G51)</f>
        <v>939757.7</v>
      </c>
      <c r="H41" s="2585">
        <f t="shared" si="5"/>
        <v>764520.87</v>
      </c>
      <c r="I41" s="2584">
        <f t="shared" si="5"/>
        <v>725611.56</v>
      </c>
      <c r="J41" s="2573">
        <f t="shared" si="5"/>
        <v>944106.67</v>
      </c>
      <c r="K41" s="2590">
        <f t="shared" si="5"/>
        <v>817578.17</v>
      </c>
      <c r="L41" s="2573">
        <f t="shared" si="5"/>
        <v>1010214.06</v>
      </c>
      <c r="M41" s="2573">
        <f t="shared" si="5"/>
        <v>784231.14</v>
      </c>
      <c r="N41" s="2600">
        <f t="shared" ref="N41:N64" si="6">SUM(B41:M41)</f>
        <v>9817807.15</v>
      </c>
      <c r="O41" s="2601">
        <f t="shared" si="3"/>
        <v>818151</v>
      </c>
      <c r="P41" s="2597">
        <f>N41/Q2</f>
        <v>0.0236641164878579</v>
      </c>
      <c r="R41" s="97"/>
    </row>
    <row r="42" spans="1:18">
      <c r="A42" s="2566" t="s">
        <v>288</v>
      </c>
      <c r="B42" s="1791">
        <f>263753.8+3000</f>
        <v>266753.8</v>
      </c>
      <c r="C42" s="680">
        <f>225000-532783.57</f>
        <v>-307783.57</v>
      </c>
      <c r="D42" s="2564">
        <f>270828.88-225000</f>
        <v>45828.88</v>
      </c>
      <c r="E42" s="680">
        <v>1788.88</v>
      </c>
      <c r="F42" s="680">
        <f>13681.5</f>
        <v>13681.5</v>
      </c>
      <c r="G42" s="680">
        <f>10082.5-7163.18</f>
        <v>2919.32</v>
      </c>
      <c r="H42" s="2582">
        <v>8139.44</v>
      </c>
      <c r="I42" s="680">
        <v>5330.06</v>
      </c>
      <c r="J42" s="2564">
        <f>1787.7+5</f>
        <v>1792.7</v>
      </c>
      <c r="K42" s="710">
        <v>8977.19</v>
      </c>
      <c r="L42" s="2564">
        <v>270825.54</v>
      </c>
      <c r="M42" s="2602">
        <v>-40500</v>
      </c>
      <c r="N42" s="2598">
        <f t="shared" si="6"/>
        <v>277753.74</v>
      </c>
      <c r="O42" s="2599">
        <f t="shared" si="3"/>
        <v>23146</v>
      </c>
      <c r="P42" s="829">
        <f t="shared" ref="P42:P51" si="7">IF(N42=0,0,N42/$Q$2)</f>
        <v>0.00066947707954298</v>
      </c>
      <c r="Q42" s="97"/>
      <c r="R42" s="97"/>
    </row>
    <row r="43" spans="1:17">
      <c r="A43" s="2566" t="s">
        <v>289</v>
      </c>
      <c r="B43" s="1791">
        <f>70597.29+5500+17080.75</f>
        <v>93178.04</v>
      </c>
      <c r="C43" s="680">
        <f>51332.76+4074.46+12154</f>
        <v>67561.22</v>
      </c>
      <c r="D43" s="2564">
        <f>206269.27+1829.9+38752.43</f>
        <v>246851.6</v>
      </c>
      <c r="E43" s="680">
        <f>52394.29+11528.82+15000.98</f>
        <v>78924.09</v>
      </c>
      <c r="F43" s="680">
        <f>155626.21+3590.9+17677.43</f>
        <v>176894.54</v>
      </c>
      <c r="G43" s="680">
        <f>61537.76+6871.28+7002.34</f>
        <v>75411.38</v>
      </c>
      <c r="H43" s="2582">
        <v>240037.43</v>
      </c>
      <c r="I43" s="680">
        <v>160177.5</v>
      </c>
      <c r="J43" s="2564">
        <f>33873+7367.25+19142.72</f>
        <v>60382.97</v>
      </c>
      <c r="K43" s="710">
        <v>269005.98</v>
      </c>
      <c r="L43" s="2564">
        <v>193238.52</v>
      </c>
      <c r="M43" s="2564">
        <v>1360.14</v>
      </c>
      <c r="N43" s="2598">
        <f t="shared" si="6"/>
        <v>1663023.41</v>
      </c>
      <c r="O43" s="2599">
        <f t="shared" si="3"/>
        <v>138585</v>
      </c>
      <c r="P43" s="829">
        <f t="shared" si="7"/>
        <v>0.00400842867404201</v>
      </c>
      <c r="Q43" s="97"/>
    </row>
    <row r="44" spans="1:17">
      <c r="A44" s="2566" t="s">
        <v>290</v>
      </c>
      <c r="B44" s="1791">
        <v>97333</v>
      </c>
      <c r="C44" s="680">
        <v>97333</v>
      </c>
      <c r="D44" s="2564">
        <v>97333</v>
      </c>
      <c r="E44" s="680">
        <v>97333</v>
      </c>
      <c r="F44" s="680">
        <v>97333</v>
      </c>
      <c r="G44" s="680">
        <v>95333</v>
      </c>
      <c r="H44" s="2582">
        <v>93618</v>
      </c>
      <c r="I44" s="680">
        <v>93224</v>
      </c>
      <c r="J44" s="2564">
        <v>89410</v>
      </c>
      <c r="K44" s="710">
        <v>88051</v>
      </c>
      <c r="L44" s="2564">
        <v>86254</v>
      </c>
      <c r="M44" s="2564">
        <v>82012</v>
      </c>
      <c r="N44" s="2598">
        <f t="shared" si="6"/>
        <v>1114567</v>
      </c>
      <c r="O44" s="2599">
        <f t="shared" si="3"/>
        <v>92881</v>
      </c>
      <c r="P44" s="829">
        <f t="shared" si="7"/>
        <v>0.00268646989277257</v>
      </c>
      <c r="Q44" s="97"/>
    </row>
    <row r="45" spans="1:17">
      <c r="A45" s="2566" t="s">
        <v>291</v>
      </c>
      <c r="B45" s="1791"/>
      <c r="C45" s="680"/>
      <c r="D45" s="2564"/>
      <c r="E45" s="680"/>
      <c r="F45" s="680"/>
      <c r="G45" s="680"/>
      <c r="H45" s="2582"/>
      <c r="I45" s="680"/>
      <c r="J45" s="2564"/>
      <c r="K45" s="710"/>
      <c r="L45" s="2564"/>
      <c r="M45" s="2564"/>
      <c r="N45" s="2598">
        <f t="shared" si="6"/>
        <v>0</v>
      </c>
      <c r="O45" s="2599">
        <f t="shared" si="3"/>
        <v>0</v>
      </c>
      <c r="P45" s="829">
        <f t="shared" si="7"/>
        <v>0</v>
      </c>
      <c r="Q45" s="97"/>
    </row>
    <row r="46" spans="1:17">
      <c r="A46" s="2566" t="s">
        <v>292</v>
      </c>
      <c r="B46" s="1791">
        <v>492588</v>
      </c>
      <c r="C46" s="680">
        <v>436562</v>
      </c>
      <c r="D46" s="2564">
        <v>457625</v>
      </c>
      <c r="E46" s="680">
        <v>452620</v>
      </c>
      <c r="F46" s="680">
        <v>439686</v>
      </c>
      <c r="G46" s="680">
        <v>395256</v>
      </c>
      <c r="H46" s="2582">
        <v>409245</v>
      </c>
      <c r="I46" s="680">
        <v>453758</v>
      </c>
      <c r="J46" s="2564">
        <v>422762</v>
      </c>
      <c r="K46" s="710">
        <v>439150</v>
      </c>
      <c r="L46" s="2564">
        <v>447870</v>
      </c>
      <c r="M46" s="2564">
        <v>372704</v>
      </c>
      <c r="N46" s="2598">
        <f t="shared" si="6"/>
        <v>5219826</v>
      </c>
      <c r="O46" s="2599">
        <f t="shared" si="3"/>
        <v>434986</v>
      </c>
      <c r="P46" s="829">
        <f t="shared" si="7"/>
        <v>0.0125814826695133</v>
      </c>
      <c r="Q46" s="97"/>
    </row>
    <row r="47" spans="1:17">
      <c r="A47" s="2566" t="s">
        <v>293</v>
      </c>
      <c r="B47" s="1791"/>
      <c r="C47" s="680"/>
      <c r="D47" s="2564"/>
      <c r="E47" s="680"/>
      <c r="F47" s="680"/>
      <c r="G47" s="680"/>
      <c r="H47" s="2582"/>
      <c r="I47" s="680"/>
      <c r="J47" s="2564"/>
      <c r="K47" s="710"/>
      <c r="L47" s="2564"/>
      <c r="M47" s="2564"/>
      <c r="N47" s="2598">
        <f t="shared" si="6"/>
        <v>0</v>
      </c>
      <c r="O47" s="2599">
        <f t="shared" si="3"/>
        <v>0</v>
      </c>
      <c r="P47" s="829">
        <f t="shared" si="7"/>
        <v>0</v>
      </c>
      <c r="Q47" s="97"/>
    </row>
    <row r="48" ht="11.25" customHeight="1" spans="1:17">
      <c r="A48" s="2566" t="s">
        <v>294</v>
      </c>
      <c r="B48" s="1791"/>
      <c r="C48" s="680"/>
      <c r="D48" s="2564"/>
      <c r="E48" s="680"/>
      <c r="F48" s="680"/>
      <c r="G48" s="680"/>
      <c r="H48" s="2582"/>
      <c r="I48" s="680"/>
      <c r="J48" s="2564"/>
      <c r="K48" s="710"/>
      <c r="L48" s="2564"/>
      <c r="M48" s="2564"/>
      <c r="N48" s="2598">
        <f t="shared" si="6"/>
        <v>0</v>
      </c>
      <c r="O48" s="2599">
        <f t="shared" si="3"/>
        <v>0</v>
      </c>
      <c r="P48" s="829">
        <f t="shared" si="7"/>
        <v>0</v>
      </c>
      <c r="Q48" s="97"/>
    </row>
    <row r="49" spans="1:17">
      <c r="A49" s="2566" t="s">
        <v>295</v>
      </c>
      <c r="B49" s="1791"/>
      <c r="C49" s="680"/>
      <c r="D49" s="2564"/>
      <c r="E49" s="680"/>
      <c r="F49" s="680"/>
      <c r="G49" s="680"/>
      <c r="H49" s="2582"/>
      <c r="I49" s="680"/>
      <c r="J49" s="2564"/>
      <c r="K49" s="710"/>
      <c r="L49" s="2564"/>
      <c r="M49" s="2564"/>
      <c r="N49" s="2598">
        <f t="shared" si="6"/>
        <v>0</v>
      </c>
      <c r="O49" s="2599">
        <f t="shared" si="3"/>
        <v>0</v>
      </c>
      <c r="P49" s="829">
        <f t="shared" si="7"/>
        <v>0</v>
      </c>
      <c r="Q49" s="97"/>
    </row>
    <row r="50" spans="1:17">
      <c r="A50" s="2566" t="s">
        <v>296</v>
      </c>
      <c r="B50" s="1791"/>
      <c r="C50" s="680"/>
      <c r="D50" s="2564"/>
      <c r="E50" s="1791">
        <v>11170</v>
      </c>
      <c r="F50" s="680">
        <v>14192</v>
      </c>
      <c r="G50" s="680">
        <v>13838</v>
      </c>
      <c r="H50" s="2582">
        <v>13481</v>
      </c>
      <c r="I50" s="680">
        <v>13122</v>
      </c>
      <c r="J50" s="2564">
        <v>12759</v>
      </c>
      <c r="K50" s="710">
        <v>12394</v>
      </c>
      <c r="L50" s="2564">
        <v>12026</v>
      </c>
      <c r="M50" s="2564">
        <v>11655</v>
      </c>
      <c r="N50" s="2598">
        <f t="shared" si="6"/>
        <v>114637</v>
      </c>
      <c r="O50" s="2599">
        <f t="shared" si="3"/>
        <v>9553</v>
      </c>
      <c r="P50" s="829">
        <f t="shared" si="7"/>
        <v>0.00027631254926601</v>
      </c>
      <c r="Q50" s="97"/>
    </row>
    <row r="51" ht="14.25" spans="1:17">
      <c r="A51" s="2566" t="s">
        <v>297</v>
      </c>
      <c r="B51" s="1791"/>
      <c r="C51" s="1791"/>
      <c r="D51" s="2564">
        <v>357000</v>
      </c>
      <c r="E51" s="680"/>
      <c r="F51" s="680"/>
      <c r="G51" s="680">
        <v>357000</v>
      </c>
      <c r="H51" s="2582"/>
      <c r="I51" s="680"/>
      <c r="J51" s="2564">
        <v>357000</v>
      </c>
      <c r="K51" s="710"/>
      <c r="L51" s="2564"/>
      <c r="M51" s="2564">
        <v>357000</v>
      </c>
      <c r="N51" s="2598">
        <f t="shared" si="6"/>
        <v>1428000</v>
      </c>
      <c r="O51" s="2599">
        <f t="shared" si="3"/>
        <v>119000</v>
      </c>
      <c r="P51" s="829">
        <f t="shared" si="7"/>
        <v>0.00344194562272096</v>
      </c>
      <c r="Q51" s="97"/>
    </row>
    <row r="52" ht="14.25" spans="1:16">
      <c r="A52" s="2571" t="s">
        <v>298</v>
      </c>
      <c r="B52" s="2572">
        <f>SUM(B53:B64)</f>
        <v>32614.21</v>
      </c>
      <c r="C52" s="2572">
        <f t="shared" ref="C52:M52" si="8">SUM(C53:C64)</f>
        <v>61101.17</v>
      </c>
      <c r="D52" s="2572">
        <f t="shared" si="8"/>
        <v>327067.65</v>
      </c>
      <c r="E52" s="2572">
        <f t="shared" si="8"/>
        <v>62212.6</v>
      </c>
      <c r="F52" s="2572">
        <f t="shared" si="8"/>
        <v>117848</v>
      </c>
      <c r="G52" s="2584">
        <f t="shared" si="8"/>
        <v>58017.23</v>
      </c>
      <c r="H52" s="2585">
        <f t="shared" si="8"/>
        <v>36302.25</v>
      </c>
      <c r="I52" s="2584">
        <f t="shared" si="8"/>
        <v>269668.75</v>
      </c>
      <c r="J52" s="2573">
        <f t="shared" si="8"/>
        <v>191554.43</v>
      </c>
      <c r="K52" s="2590">
        <f t="shared" si="8"/>
        <v>155623.25</v>
      </c>
      <c r="L52" s="2573">
        <f t="shared" si="8"/>
        <v>229687.48</v>
      </c>
      <c r="M52" s="2573">
        <f t="shared" si="8"/>
        <v>109039.18</v>
      </c>
      <c r="N52" s="2600">
        <f t="shared" si="6"/>
        <v>1650736.2</v>
      </c>
      <c r="O52" s="2601">
        <f t="shared" si="3"/>
        <v>137561</v>
      </c>
      <c r="P52" s="2597">
        <f>N52/Q2</f>
        <v>0.00397881249149652</v>
      </c>
    </row>
    <row r="53" spans="1:17">
      <c r="A53" s="2566" t="s">
        <v>299</v>
      </c>
      <c r="B53" s="1791"/>
      <c r="C53" s="2574"/>
      <c r="D53" s="2574"/>
      <c r="E53" s="710">
        <v>26000</v>
      </c>
      <c r="F53" s="2574"/>
      <c r="G53" s="710"/>
      <c r="H53" s="2586"/>
      <c r="I53" s="710"/>
      <c r="J53" s="680"/>
      <c r="K53" s="2591"/>
      <c r="L53" s="2574"/>
      <c r="M53" s="2564"/>
      <c r="N53" s="2598">
        <f t="shared" si="6"/>
        <v>26000</v>
      </c>
      <c r="O53" s="2599">
        <f t="shared" si="3"/>
        <v>2167</v>
      </c>
      <c r="P53" s="829">
        <f t="shared" ref="P53:P66" si="9">IF(N53=0,0,N53/$Q$2)</f>
        <v>6.26684777246113e-5</v>
      </c>
      <c r="Q53" s="97"/>
    </row>
    <row r="54" spans="1:17">
      <c r="A54" s="2566" t="s">
        <v>300</v>
      </c>
      <c r="B54" s="1791"/>
      <c r="C54" s="2564"/>
      <c r="D54" s="2564"/>
      <c r="E54" s="710">
        <v>2150</v>
      </c>
      <c r="F54" s="2564">
        <v>750</v>
      </c>
      <c r="G54" s="710"/>
      <c r="H54" s="2582"/>
      <c r="I54" s="710"/>
      <c r="J54" s="680"/>
      <c r="K54" s="680"/>
      <c r="L54" s="2564"/>
      <c r="M54" s="2564"/>
      <c r="N54" s="2598">
        <f t="shared" si="6"/>
        <v>2900</v>
      </c>
      <c r="O54" s="2599">
        <f t="shared" si="3"/>
        <v>242</v>
      </c>
      <c r="P54" s="829">
        <f t="shared" si="9"/>
        <v>6.98994559236049e-6</v>
      </c>
      <c r="Q54" s="97"/>
    </row>
    <row r="55" spans="1:17">
      <c r="A55" s="2566" t="s">
        <v>301</v>
      </c>
      <c r="B55" s="1791"/>
      <c r="C55" s="2564">
        <v>50800</v>
      </c>
      <c r="D55" s="2564">
        <v>22650</v>
      </c>
      <c r="E55" s="710"/>
      <c r="F55" s="2564"/>
      <c r="G55" s="710"/>
      <c r="H55" s="2582"/>
      <c r="I55" s="710"/>
      <c r="J55" s="680">
        <v>12000</v>
      </c>
      <c r="K55" s="680"/>
      <c r="L55" s="2564">
        <v>3450</v>
      </c>
      <c r="M55" s="2564">
        <v>38400</v>
      </c>
      <c r="N55" s="2598">
        <f t="shared" si="6"/>
        <v>127300</v>
      </c>
      <c r="O55" s="2599">
        <f t="shared" si="3"/>
        <v>10608</v>
      </c>
      <c r="P55" s="829">
        <f t="shared" si="9"/>
        <v>0.000306834508243962</v>
      </c>
      <c r="Q55" s="97"/>
    </row>
    <row r="56" spans="1:17">
      <c r="A56" s="2566" t="s">
        <v>302</v>
      </c>
      <c r="B56" s="1791">
        <v>3.21</v>
      </c>
      <c r="C56" s="2564">
        <v>8.17</v>
      </c>
      <c r="D56" s="2564">
        <v>27.65</v>
      </c>
      <c r="E56" s="710">
        <v>4.6</v>
      </c>
      <c r="F56" s="2564">
        <v>17</v>
      </c>
      <c r="G56" s="710">
        <v>86.23</v>
      </c>
      <c r="H56" s="2582">
        <v>0.25</v>
      </c>
      <c r="I56" s="710">
        <v>41000.25</v>
      </c>
      <c r="J56" s="2567">
        <v>0.95</v>
      </c>
      <c r="K56" s="680">
        <v>10.25</v>
      </c>
      <c r="L56" s="2564">
        <v>0.48</v>
      </c>
      <c r="M56" s="2564">
        <v>4757.18</v>
      </c>
      <c r="N56" s="2598">
        <f t="shared" si="6"/>
        <v>45916.22</v>
      </c>
      <c r="O56" s="2599">
        <f t="shared" si="3"/>
        <v>3826</v>
      </c>
      <c r="P56" s="829">
        <f t="shared" si="9"/>
        <v>0.000110673061933398</v>
      </c>
      <c r="Q56" s="97"/>
    </row>
    <row r="57" spans="1:17">
      <c r="A57" s="2566" t="s">
        <v>303</v>
      </c>
      <c r="B57" s="1791">
        <v>17000</v>
      </c>
      <c r="C57" s="2564"/>
      <c r="D57" s="2564">
        <f>24000+38100</f>
        <v>62100</v>
      </c>
      <c r="E57" s="710">
        <v>17000</v>
      </c>
      <c r="F57" s="2564">
        <f>62450+32000</f>
        <v>94450</v>
      </c>
      <c r="G57" s="710">
        <v>36700</v>
      </c>
      <c r="H57" s="2582"/>
      <c r="I57" s="710"/>
      <c r="J57" s="680">
        <f>900+737.48+124400+37800</f>
        <v>163837.48</v>
      </c>
      <c r="K57" s="680">
        <f>74200+2304</f>
        <v>76504</v>
      </c>
      <c r="L57" s="2564">
        <v>70847</v>
      </c>
      <c r="M57" s="2564">
        <v>6664</v>
      </c>
      <c r="N57" s="2598">
        <f t="shared" si="6"/>
        <v>545102.48</v>
      </c>
      <c r="O57" s="2599">
        <f t="shared" si="3"/>
        <v>45425</v>
      </c>
      <c r="P57" s="829">
        <f t="shared" si="9"/>
        <v>0.00131387471636578</v>
      </c>
      <c r="Q57" s="97"/>
    </row>
    <row r="58" spans="1:17">
      <c r="A58" s="2566" t="s">
        <v>304</v>
      </c>
      <c r="B58" s="1791"/>
      <c r="C58" s="2564"/>
      <c r="D58" s="2564"/>
      <c r="E58" s="710"/>
      <c r="F58" s="2564"/>
      <c r="G58" s="710"/>
      <c r="H58" s="2582"/>
      <c r="I58" s="710"/>
      <c r="J58" s="680"/>
      <c r="K58" s="680"/>
      <c r="L58" s="2564"/>
      <c r="M58" s="2564"/>
      <c r="N58" s="2598">
        <f t="shared" si="6"/>
        <v>0</v>
      </c>
      <c r="O58" s="2599">
        <f t="shared" si="3"/>
        <v>0</v>
      </c>
      <c r="P58" s="829">
        <f t="shared" si="9"/>
        <v>0</v>
      </c>
      <c r="Q58" s="97"/>
    </row>
    <row r="59" spans="1:17">
      <c r="A59" s="2566" t="s">
        <v>305</v>
      </c>
      <c r="B59" s="1791"/>
      <c r="C59" s="2564">
        <v>736</v>
      </c>
      <c r="D59" s="2564"/>
      <c r="E59" s="710"/>
      <c r="F59" s="2564"/>
      <c r="G59" s="710"/>
      <c r="H59" s="2582"/>
      <c r="I59" s="710">
        <v>7294</v>
      </c>
      <c r="J59" s="680"/>
      <c r="K59" s="680"/>
      <c r="L59" s="2564">
        <v>6000</v>
      </c>
      <c r="M59" s="2564"/>
      <c r="N59" s="2598">
        <f t="shared" si="6"/>
        <v>14030</v>
      </c>
      <c r="O59" s="2599">
        <f t="shared" si="3"/>
        <v>1169</v>
      </c>
      <c r="P59" s="829">
        <f t="shared" si="9"/>
        <v>3.38168747106268e-5</v>
      </c>
      <c r="Q59" s="97"/>
    </row>
    <row r="60" spans="1:17">
      <c r="A60" s="2566" t="s">
        <v>306</v>
      </c>
      <c r="B60" s="1791"/>
      <c r="C60" s="2575"/>
      <c r="D60" s="2564"/>
      <c r="E60" s="710"/>
      <c r="F60" s="2564"/>
      <c r="G60" s="710"/>
      <c r="H60" s="2582"/>
      <c r="I60" s="710">
        <v>110910.5</v>
      </c>
      <c r="J60" s="2592"/>
      <c r="K60" s="680"/>
      <c r="L60" s="2564">
        <v>150000</v>
      </c>
      <c r="M60" s="2564"/>
      <c r="N60" s="2598">
        <f t="shared" si="6"/>
        <v>260910.5</v>
      </c>
      <c r="O60" s="2599">
        <f t="shared" si="3"/>
        <v>21743</v>
      </c>
      <c r="P60" s="829">
        <f t="shared" si="9"/>
        <v>0.000628879379129508</v>
      </c>
      <c r="Q60" s="97"/>
    </row>
    <row r="61" spans="1:17">
      <c r="A61" s="2566" t="s">
        <v>307</v>
      </c>
      <c r="B61" s="1791">
        <v>15611</v>
      </c>
      <c r="C61" s="2564">
        <v>9873</v>
      </c>
      <c r="D61" s="2564">
        <v>55247</v>
      </c>
      <c r="E61" s="710">
        <v>17058</v>
      </c>
      <c r="F61" s="2564">
        <v>22631</v>
      </c>
      <c r="G61" s="710">
        <v>6231</v>
      </c>
      <c r="H61" s="2582">
        <v>16364</v>
      </c>
      <c r="I61" s="710">
        <v>22238</v>
      </c>
      <c r="J61" s="680">
        <v>15716</v>
      </c>
      <c r="K61" s="680">
        <f>26413-652-652</f>
        <v>25109</v>
      </c>
      <c r="L61" s="2564">
        <v>-610</v>
      </c>
      <c r="M61" s="2564">
        <v>12763</v>
      </c>
      <c r="N61" s="2598">
        <f t="shared" si="6"/>
        <v>218231</v>
      </c>
      <c r="O61" s="2599">
        <f t="shared" si="3"/>
        <v>18186</v>
      </c>
      <c r="P61" s="829">
        <f t="shared" si="9"/>
        <v>0.000526007867781525</v>
      </c>
      <c r="Q61" s="97"/>
    </row>
    <row r="62" spans="1:17">
      <c r="A62" s="2566" t="s">
        <v>308</v>
      </c>
      <c r="B62" s="1791"/>
      <c r="C62" s="2564"/>
      <c r="D62" s="2564">
        <v>6493</v>
      </c>
      <c r="E62" s="710"/>
      <c r="F62" s="2564"/>
      <c r="G62" s="710">
        <v>15000</v>
      </c>
      <c r="H62" s="2582">
        <v>19938</v>
      </c>
      <c r="I62" s="710">
        <v>87754</v>
      </c>
      <c r="J62" s="680"/>
      <c r="K62" s="680"/>
      <c r="L62" s="2564"/>
      <c r="M62" s="2564"/>
      <c r="N62" s="2598">
        <f t="shared" si="6"/>
        <v>129185</v>
      </c>
      <c r="O62" s="2599">
        <f t="shared" si="3"/>
        <v>10765</v>
      </c>
      <c r="P62" s="829">
        <f t="shared" si="9"/>
        <v>0.000311377972878997</v>
      </c>
      <c r="Q62" s="97"/>
    </row>
    <row r="63" spans="1:17">
      <c r="A63" s="2566" t="s">
        <v>309</v>
      </c>
      <c r="B63" s="773"/>
      <c r="C63" s="2576"/>
      <c r="D63" s="2576">
        <v>181000</v>
      </c>
      <c r="E63" s="773"/>
      <c r="F63" s="2576"/>
      <c r="G63" s="773"/>
      <c r="H63" s="2587"/>
      <c r="I63" s="773">
        <v>472</v>
      </c>
      <c r="J63" s="2593"/>
      <c r="K63" s="2593"/>
      <c r="L63" s="2576"/>
      <c r="M63" s="2564"/>
      <c r="N63" s="2598">
        <f t="shared" si="6"/>
        <v>181472</v>
      </c>
      <c r="O63" s="2599">
        <f t="shared" si="3"/>
        <v>15123</v>
      </c>
      <c r="P63" s="829">
        <f t="shared" si="9"/>
        <v>0.000437406691909256</v>
      </c>
      <c r="Q63" s="97">
        <f>N63-P63</f>
        <v>181471.999562593</v>
      </c>
    </row>
    <row r="64" ht="14.25" spans="1:17">
      <c r="A64" s="2566" t="s">
        <v>89</v>
      </c>
      <c r="B64" s="773"/>
      <c r="C64" s="2577">
        <v>-316</v>
      </c>
      <c r="D64" s="2576">
        <v>-450</v>
      </c>
      <c r="E64" s="773"/>
      <c r="F64" s="2576"/>
      <c r="G64" s="773"/>
      <c r="H64" s="2587"/>
      <c r="I64" s="773"/>
      <c r="J64" s="2593"/>
      <c r="K64" s="2593">
        <v>54000</v>
      </c>
      <c r="L64" s="2576"/>
      <c r="M64" s="2576">
        <v>46455</v>
      </c>
      <c r="N64" s="2598">
        <f t="shared" si="6"/>
        <v>99689</v>
      </c>
      <c r="O64" s="2599">
        <f t="shared" si="3"/>
        <v>8307</v>
      </c>
      <c r="P64" s="829">
        <f t="shared" si="9"/>
        <v>0.000240282995226491</v>
      </c>
      <c r="Q64" s="97"/>
    </row>
    <row r="65" ht="14.25" spans="1:18">
      <c r="A65" s="2625" t="s">
        <v>127</v>
      </c>
      <c r="B65" s="2626">
        <f>SUM(B52+B41+B3)</f>
        <v>1416207.05</v>
      </c>
      <c r="C65" s="2626">
        <f>SUM(C52+C41+C3)</f>
        <v>867963.95</v>
      </c>
      <c r="D65" s="2626">
        <f>SUM(D52+D41+D3)</f>
        <v>2106946.38</v>
      </c>
      <c r="E65" s="2626">
        <f t="shared" ref="E65:O65" si="10">SUM(E52+E41+E3)</f>
        <v>1117431.89</v>
      </c>
      <c r="F65" s="2626">
        <f t="shared" si="10"/>
        <v>1309514.65</v>
      </c>
      <c r="G65" s="2626">
        <f t="shared" si="10"/>
        <v>1356998.42</v>
      </c>
      <c r="H65" s="2626">
        <f t="shared" si="10"/>
        <v>1311747.29</v>
      </c>
      <c r="I65" s="2626">
        <f t="shared" si="10"/>
        <v>1461814.62</v>
      </c>
      <c r="J65" s="2626">
        <f t="shared" si="10"/>
        <v>1683365.67</v>
      </c>
      <c r="K65" s="2626">
        <f t="shared" si="10"/>
        <v>1322682.3</v>
      </c>
      <c r="L65" s="2631">
        <f t="shared" si="10"/>
        <v>1839826.01</v>
      </c>
      <c r="M65" s="2626">
        <f t="shared" si="10"/>
        <v>1549804.84</v>
      </c>
      <c r="N65" s="2632">
        <f t="shared" si="10"/>
        <v>17344303.07</v>
      </c>
      <c r="O65" s="2633">
        <f t="shared" si="10"/>
        <v>1445359</v>
      </c>
      <c r="P65" s="2597">
        <f t="shared" si="9"/>
        <v>0.0418054257919693</v>
      </c>
      <c r="Q65" s="2647"/>
      <c r="R65" s="97"/>
    </row>
    <row r="66" spans="9:16">
      <c r="I66" s="164"/>
      <c r="M66" s="2634"/>
      <c r="N66" s="2635"/>
      <c r="P66" s="2636">
        <f t="shared" si="9"/>
        <v>0</v>
      </c>
    </row>
    <row r="67" spans="1:16">
      <c r="A67" s="96" t="s">
        <v>241</v>
      </c>
      <c r="B67" s="773">
        <f>ROUND((B3),0)</f>
        <v>433740</v>
      </c>
      <c r="C67" s="773">
        <f t="shared" ref="C67:J67" si="11">ROUND((C3),0)</f>
        <v>513190</v>
      </c>
      <c r="D67" s="773">
        <f t="shared" si="11"/>
        <v>575240</v>
      </c>
      <c r="E67" s="773">
        <f t="shared" si="11"/>
        <v>413383</v>
      </c>
      <c r="F67" s="773">
        <f t="shared" si="11"/>
        <v>449880</v>
      </c>
      <c r="G67" s="773">
        <f t="shared" si="11"/>
        <v>359223</v>
      </c>
      <c r="H67" s="2630">
        <f t="shared" si="11"/>
        <v>510924</v>
      </c>
      <c r="I67" s="773">
        <f t="shared" si="11"/>
        <v>466534</v>
      </c>
      <c r="J67" s="773">
        <f t="shared" si="11"/>
        <v>547705</v>
      </c>
      <c r="K67" s="773">
        <f t="shared" ref="K67:O67" si="12">ROUND((K3),0)</f>
        <v>349481</v>
      </c>
      <c r="L67" s="773">
        <f t="shared" si="12"/>
        <v>599924</v>
      </c>
      <c r="M67" s="773">
        <f t="shared" si="12"/>
        <v>656535</v>
      </c>
      <c r="N67" s="2627">
        <f t="shared" si="12"/>
        <v>5875760</v>
      </c>
      <c r="O67" s="2637">
        <f t="shared" si="12"/>
        <v>489647</v>
      </c>
      <c r="P67" s="1512">
        <f>N67/Q2</f>
        <v>0.0141624974875062</v>
      </c>
    </row>
    <row r="68" spans="1:256">
      <c r="A68" s="97" t="str">
        <f>A52</f>
        <v>Selling Expenses</v>
      </c>
      <c r="B68" s="97">
        <f>ROUND((B52),0)</f>
        <v>32614</v>
      </c>
      <c r="C68" s="97">
        <f t="shared" ref="C68:J68" si="13">ROUND((C52),0)</f>
        <v>61101</v>
      </c>
      <c r="D68" s="97">
        <f t="shared" si="13"/>
        <v>327068</v>
      </c>
      <c r="E68" s="97">
        <f t="shared" si="13"/>
        <v>62213</v>
      </c>
      <c r="F68" s="97">
        <f t="shared" si="13"/>
        <v>117848</v>
      </c>
      <c r="G68" s="97">
        <f t="shared" si="13"/>
        <v>58017</v>
      </c>
      <c r="H68" s="761">
        <f t="shared" si="13"/>
        <v>36302</v>
      </c>
      <c r="I68" s="97">
        <f t="shared" si="13"/>
        <v>269669</v>
      </c>
      <c r="J68" s="97">
        <f t="shared" si="13"/>
        <v>191554</v>
      </c>
      <c r="K68" s="97">
        <f t="shared" ref="K68:N68" si="14">ROUND((K52),0)</f>
        <v>155623</v>
      </c>
      <c r="L68" s="97">
        <f t="shared" si="14"/>
        <v>229687</v>
      </c>
      <c r="M68" s="97">
        <f t="shared" si="14"/>
        <v>109039</v>
      </c>
      <c r="N68" s="234">
        <f t="shared" si="14"/>
        <v>1650736</v>
      </c>
      <c r="O68" s="2638">
        <f>O52</f>
        <v>137561</v>
      </c>
      <c r="P68" s="829">
        <f>N68/Q2</f>
        <v>0.00397881200943131</v>
      </c>
      <c r="Q68" s="97">
        <f t="shared" ref="Q68:BL70" si="15">Q42</f>
        <v>0</v>
      </c>
      <c r="R68" s="97">
        <f t="shared" si="15"/>
        <v>0</v>
      </c>
      <c r="AG68" s="97">
        <f t="shared" si="15"/>
        <v>0</v>
      </c>
      <c r="AH68" s="97">
        <f t="shared" si="15"/>
        <v>0</v>
      </c>
      <c r="AI68" s="97">
        <f t="shared" si="15"/>
        <v>0</v>
      </c>
      <c r="AJ68" s="97">
        <f t="shared" si="15"/>
        <v>0</v>
      </c>
      <c r="AK68" s="97">
        <f t="shared" si="15"/>
        <v>0</v>
      </c>
      <c r="AL68" s="97">
        <f t="shared" si="15"/>
        <v>0</v>
      </c>
      <c r="AM68" s="97">
        <f t="shared" si="15"/>
        <v>0</v>
      </c>
      <c r="AN68" s="97">
        <f t="shared" si="15"/>
        <v>0</v>
      </c>
      <c r="AO68" s="97">
        <f t="shared" si="15"/>
        <v>0</v>
      </c>
      <c r="AP68" s="97">
        <f t="shared" si="15"/>
        <v>0</v>
      </c>
      <c r="AQ68" s="97">
        <f t="shared" si="15"/>
        <v>0</v>
      </c>
      <c r="AR68" s="97">
        <f t="shared" si="15"/>
        <v>0</v>
      </c>
      <c r="AS68" s="97">
        <f t="shared" si="15"/>
        <v>0</v>
      </c>
      <c r="AT68" s="97">
        <f t="shared" si="15"/>
        <v>0</v>
      </c>
      <c r="AU68" s="97">
        <f t="shared" si="15"/>
        <v>0</v>
      </c>
      <c r="AV68" s="97">
        <f t="shared" si="15"/>
        <v>0</v>
      </c>
      <c r="AW68" s="97">
        <f t="shared" si="15"/>
        <v>0</v>
      </c>
      <c r="AX68" s="97">
        <f t="shared" si="15"/>
        <v>0</v>
      </c>
      <c r="AY68" s="97">
        <f t="shared" si="15"/>
        <v>0</v>
      </c>
      <c r="AZ68" s="97">
        <f t="shared" si="15"/>
        <v>0</v>
      </c>
      <c r="BA68" s="97">
        <f t="shared" si="15"/>
        <v>0</v>
      </c>
      <c r="BB68" s="97">
        <f t="shared" si="15"/>
        <v>0</v>
      </c>
      <c r="BC68" s="97">
        <f t="shared" si="15"/>
        <v>0</v>
      </c>
      <c r="BD68" s="97">
        <f t="shared" si="15"/>
        <v>0</v>
      </c>
      <c r="BE68" s="97">
        <f t="shared" si="15"/>
        <v>0</v>
      </c>
      <c r="BF68" s="97">
        <f t="shared" si="15"/>
        <v>0</v>
      </c>
      <c r="BG68" s="97">
        <f t="shared" si="15"/>
        <v>0</v>
      </c>
      <c r="BH68" s="97">
        <f t="shared" si="15"/>
        <v>0</v>
      </c>
      <c r="BI68" s="97">
        <f t="shared" si="15"/>
        <v>0</v>
      </c>
      <c r="BJ68" s="97">
        <f t="shared" si="15"/>
        <v>0</v>
      </c>
      <c r="BK68" s="97">
        <f t="shared" si="15"/>
        <v>0</v>
      </c>
      <c r="BL68" s="97">
        <f t="shared" si="15"/>
        <v>0</v>
      </c>
      <c r="BM68" s="97">
        <f t="shared" ref="BM68:DX68" si="16">BM42</f>
        <v>0</v>
      </c>
      <c r="BN68" s="97">
        <f t="shared" si="16"/>
        <v>0</v>
      </c>
      <c r="BO68" s="97">
        <f t="shared" si="16"/>
        <v>0</v>
      </c>
      <c r="BP68" s="97">
        <f t="shared" si="16"/>
        <v>0</v>
      </c>
      <c r="BQ68" s="97">
        <f t="shared" si="16"/>
        <v>0</v>
      </c>
      <c r="BR68" s="97">
        <f t="shared" si="16"/>
        <v>0</v>
      </c>
      <c r="BS68" s="97">
        <f t="shared" si="16"/>
        <v>0</v>
      </c>
      <c r="BT68" s="97">
        <f t="shared" si="16"/>
        <v>0</v>
      </c>
      <c r="BU68" s="97">
        <f t="shared" si="16"/>
        <v>0</v>
      </c>
      <c r="BV68" s="97">
        <f t="shared" si="16"/>
        <v>0</v>
      </c>
      <c r="BW68" s="97">
        <f t="shared" si="16"/>
        <v>0</v>
      </c>
      <c r="BX68" s="97">
        <f t="shared" si="16"/>
        <v>0</v>
      </c>
      <c r="BY68" s="97">
        <f t="shared" si="16"/>
        <v>0</v>
      </c>
      <c r="BZ68" s="97">
        <f t="shared" si="16"/>
        <v>0</v>
      </c>
      <c r="CA68" s="97">
        <f t="shared" si="16"/>
        <v>0</v>
      </c>
      <c r="CB68" s="97">
        <f t="shared" si="16"/>
        <v>0</v>
      </c>
      <c r="CC68" s="97">
        <f t="shared" si="16"/>
        <v>0</v>
      </c>
      <c r="CD68" s="97">
        <f t="shared" si="16"/>
        <v>0</v>
      </c>
      <c r="CE68" s="97">
        <f t="shared" si="16"/>
        <v>0</v>
      </c>
      <c r="CF68" s="97">
        <f t="shared" si="16"/>
        <v>0</v>
      </c>
      <c r="CG68" s="97">
        <f t="shared" si="16"/>
        <v>0</v>
      </c>
      <c r="CH68" s="97">
        <f t="shared" si="16"/>
        <v>0</v>
      </c>
      <c r="CI68" s="97">
        <f t="shared" si="16"/>
        <v>0</v>
      </c>
      <c r="CJ68" s="97">
        <f t="shared" si="16"/>
        <v>0</v>
      </c>
      <c r="CK68" s="97">
        <f t="shared" si="16"/>
        <v>0</v>
      </c>
      <c r="CL68" s="97">
        <f t="shared" si="16"/>
        <v>0</v>
      </c>
      <c r="CM68" s="97">
        <f t="shared" si="16"/>
        <v>0</v>
      </c>
      <c r="CN68" s="97">
        <f t="shared" si="16"/>
        <v>0</v>
      </c>
      <c r="CO68" s="97">
        <f t="shared" si="16"/>
        <v>0</v>
      </c>
      <c r="CP68" s="97">
        <f t="shared" si="16"/>
        <v>0</v>
      </c>
      <c r="CQ68" s="97">
        <f t="shared" si="16"/>
        <v>0</v>
      </c>
      <c r="CR68" s="97">
        <f t="shared" si="16"/>
        <v>0</v>
      </c>
      <c r="CS68" s="97">
        <f t="shared" si="16"/>
        <v>0</v>
      </c>
      <c r="CT68" s="97">
        <f t="shared" si="16"/>
        <v>0</v>
      </c>
      <c r="CU68" s="97">
        <f t="shared" si="16"/>
        <v>0</v>
      </c>
      <c r="CV68" s="97">
        <f t="shared" si="16"/>
        <v>0</v>
      </c>
      <c r="CW68" s="97">
        <f t="shared" si="16"/>
        <v>0</v>
      </c>
      <c r="CX68" s="97">
        <f t="shared" si="16"/>
        <v>0</v>
      </c>
      <c r="CY68" s="97">
        <f t="shared" si="16"/>
        <v>0</v>
      </c>
      <c r="CZ68" s="97">
        <f t="shared" si="16"/>
        <v>0</v>
      </c>
      <c r="DA68" s="97">
        <f t="shared" si="16"/>
        <v>0</v>
      </c>
      <c r="DB68" s="97">
        <f t="shared" si="16"/>
        <v>0</v>
      </c>
      <c r="DC68" s="97">
        <f t="shared" si="16"/>
        <v>0</v>
      </c>
      <c r="DD68" s="97">
        <f t="shared" si="16"/>
        <v>0</v>
      </c>
      <c r="DE68" s="97">
        <f t="shared" si="16"/>
        <v>0</v>
      </c>
      <c r="DF68" s="97">
        <f t="shared" si="16"/>
        <v>0</v>
      </c>
      <c r="DG68" s="97">
        <f t="shared" si="16"/>
        <v>0</v>
      </c>
      <c r="DH68" s="97">
        <f t="shared" si="16"/>
        <v>0</v>
      </c>
      <c r="DI68" s="97">
        <f t="shared" si="16"/>
        <v>0</v>
      </c>
      <c r="DJ68" s="97">
        <f t="shared" si="16"/>
        <v>0</v>
      </c>
      <c r="DK68" s="97">
        <f t="shared" si="16"/>
        <v>0</v>
      </c>
      <c r="DL68" s="97">
        <f t="shared" si="16"/>
        <v>0</v>
      </c>
      <c r="DM68" s="97">
        <f t="shared" si="16"/>
        <v>0</v>
      </c>
      <c r="DN68" s="97">
        <f t="shared" si="16"/>
        <v>0</v>
      </c>
      <c r="DO68" s="97">
        <f t="shared" si="16"/>
        <v>0</v>
      </c>
      <c r="DP68" s="97">
        <f t="shared" si="16"/>
        <v>0</v>
      </c>
      <c r="DQ68" s="97">
        <f t="shared" si="16"/>
        <v>0</v>
      </c>
      <c r="DR68" s="97">
        <f t="shared" si="16"/>
        <v>0</v>
      </c>
      <c r="DS68" s="97">
        <f t="shared" si="16"/>
        <v>0</v>
      </c>
      <c r="DT68" s="97">
        <f t="shared" si="16"/>
        <v>0</v>
      </c>
      <c r="DU68" s="97">
        <f t="shared" si="16"/>
        <v>0</v>
      </c>
      <c r="DV68" s="97">
        <f t="shared" si="16"/>
        <v>0</v>
      </c>
      <c r="DW68" s="97">
        <f t="shared" si="16"/>
        <v>0</v>
      </c>
      <c r="DX68" s="97">
        <f t="shared" si="16"/>
        <v>0</v>
      </c>
      <c r="DY68" s="97">
        <f t="shared" ref="DY68:GJ68" si="17">DY42</f>
        <v>0</v>
      </c>
      <c r="DZ68" s="97">
        <f t="shared" si="17"/>
        <v>0</v>
      </c>
      <c r="EA68" s="97">
        <f t="shared" si="17"/>
        <v>0</v>
      </c>
      <c r="EB68" s="97">
        <f t="shared" si="17"/>
        <v>0</v>
      </c>
      <c r="EC68" s="97">
        <f t="shared" si="17"/>
        <v>0</v>
      </c>
      <c r="ED68" s="97">
        <f t="shared" si="17"/>
        <v>0</v>
      </c>
      <c r="EE68" s="97">
        <f t="shared" si="17"/>
        <v>0</v>
      </c>
      <c r="EF68" s="97">
        <f t="shared" si="17"/>
        <v>0</v>
      </c>
      <c r="EG68" s="97">
        <f t="shared" si="17"/>
        <v>0</v>
      </c>
      <c r="EH68" s="97">
        <f t="shared" si="17"/>
        <v>0</v>
      </c>
      <c r="EI68" s="97">
        <f t="shared" si="17"/>
        <v>0</v>
      </c>
      <c r="EJ68" s="97">
        <f t="shared" si="17"/>
        <v>0</v>
      </c>
      <c r="EK68" s="97">
        <f t="shared" si="17"/>
        <v>0</v>
      </c>
      <c r="EL68" s="97">
        <f t="shared" si="17"/>
        <v>0</v>
      </c>
      <c r="EM68" s="97">
        <f t="shared" si="17"/>
        <v>0</v>
      </c>
      <c r="EN68" s="97">
        <f t="shared" si="17"/>
        <v>0</v>
      </c>
      <c r="EO68" s="97">
        <f t="shared" si="17"/>
        <v>0</v>
      </c>
      <c r="EP68" s="97">
        <f t="shared" si="17"/>
        <v>0</v>
      </c>
      <c r="EQ68" s="97">
        <f t="shared" si="17"/>
        <v>0</v>
      </c>
      <c r="ER68" s="97">
        <f t="shared" si="17"/>
        <v>0</v>
      </c>
      <c r="ES68" s="97">
        <f t="shared" si="17"/>
        <v>0</v>
      </c>
      <c r="ET68" s="97">
        <f t="shared" si="17"/>
        <v>0</v>
      </c>
      <c r="EU68" s="97">
        <f t="shared" si="17"/>
        <v>0</v>
      </c>
      <c r="EV68" s="97">
        <f t="shared" si="17"/>
        <v>0</v>
      </c>
      <c r="EW68" s="97">
        <f t="shared" si="17"/>
        <v>0</v>
      </c>
      <c r="EX68" s="97">
        <f t="shared" si="17"/>
        <v>0</v>
      </c>
      <c r="EY68" s="97">
        <f t="shared" si="17"/>
        <v>0</v>
      </c>
      <c r="EZ68" s="97">
        <f t="shared" si="17"/>
        <v>0</v>
      </c>
      <c r="FA68" s="97">
        <f t="shared" si="17"/>
        <v>0</v>
      </c>
      <c r="FB68" s="97">
        <f t="shared" si="17"/>
        <v>0</v>
      </c>
      <c r="FC68" s="97">
        <f t="shared" si="17"/>
        <v>0</v>
      </c>
      <c r="FD68" s="97">
        <f t="shared" si="17"/>
        <v>0</v>
      </c>
      <c r="FE68" s="97">
        <f t="shared" si="17"/>
        <v>0</v>
      </c>
      <c r="FF68" s="97">
        <f t="shared" si="17"/>
        <v>0</v>
      </c>
      <c r="FG68" s="97">
        <f t="shared" si="17"/>
        <v>0</v>
      </c>
      <c r="FH68" s="97">
        <f t="shared" si="17"/>
        <v>0</v>
      </c>
      <c r="FI68" s="97">
        <f t="shared" si="17"/>
        <v>0</v>
      </c>
      <c r="FJ68" s="97">
        <f t="shared" si="17"/>
        <v>0</v>
      </c>
      <c r="FK68" s="97">
        <f t="shared" si="17"/>
        <v>0</v>
      </c>
      <c r="FL68" s="97">
        <f t="shared" si="17"/>
        <v>0</v>
      </c>
      <c r="FM68" s="97">
        <f t="shared" si="17"/>
        <v>0</v>
      </c>
      <c r="FN68" s="97">
        <f t="shared" si="17"/>
        <v>0</v>
      </c>
      <c r="FO68" s="97">
        <f t="shared" si="17"/>
        <v>0</v>
      </c>
      <c r="FP68" s="97">
        <f t="shared" si="17"/>
        <v>0</v>
      </c>
      <c r="FQ68" s="97">
        <f t="shared" si="17"/>
        <v>0</v>
      </c>
      <c r="FR68" s="97">
        <f t="shared" si="17"/>
        <v>0</v>
      </c>
      <c r="FS68" s="97">
        <f t="shared" si="17"/>
        <v>0</v>
      </c>
      <c r="FT68" s="97">
        <f t="shared" si="17"/>
        <v>0</v>
      </c>
      <c r="FU68" s="97">
        <f t="shared" si="17"/>
        <v>0</v>
      </c>
      <c r="FV68" s="97">
        <f t="shared" si="17"/>
        <v>0</v>
      </c>
      <c r="FW68" s="97">
        <f t="shared" si="17"/>
        <v>0</v>
      </c>
      <c r="FX68" s="97">
        <f t="shared" si="17"/>
        <v>0</v>
      </c>
      <c r="FY68" s="97">
        <f t="shared" si="17"/>
        <v>0</v>
      </c>
      <c r="FZ68" s="97">
        <f t="shared" si="17"/>
        <v>0</v>
      </c>
      <c r="GA68" s="97">
        <f t="shared" si="17"/>
        <v>0</v>
      </c>
      <c r="GB68" s="97">
        <f t="shared" si="17"/>
        <v>0</v>
      </c>
      <c r="GC68" s="97">
        <f t="shared" si="17"/>
        <v>0</v>
      </c>
      <c r="GD68" s="97">
        <f t="shared" si="17"/>
        <v>0</v>
      </c>
      <c r="GE68" s="97">
        <f t="shared" si="17"/>
        <v>0</v>
      </c>
      <c r="GF68" s="97">
        <f t="shared" si="17"/>
        <v>0</v>
      </c>
      <c r="GG68" s="97">
        <f t="shared" si="17"/>
        <v>0</v>
      </c>
      <c r="GH68" s="97">
        <f t="shared" si="17"/>
        <v>0</v>
      </c>
      <c r="GI68" s="97">
        <f t="shared" si="17"/>
        <v>0</v>
      </c>
      <c r="GJ68" s="97">
        <f t="shared" si="17"/>
        <v>0</v>
      </c>
      <c r="GK68" s="97">
        <f t="shared" ref="GK68:IV68" si="18">GK42</f>
        <v>0</v>
      </c>
      <c r="GL68" s="97">
        <f t="shared" si="18"/>
        <v>0</v>
      </c>
      <c r="GM68" s="97">
        <f t="shared" si="18"/>
        <v>0</v>
      </c>
      <c r="GN68" s="97">
        <f t="shared" si="18"/>
        <v>0</v>
      </c>
      <c r="GO68" s="97">
        <f t="shared" si="18"/>
        <v>0</v>
      </c>
      <c r="GP68" s="97">
        <f t="shared" si="18"/>
        <v>0</v>
      </c>
      <c r="GQ68" s="97">
        <f t="shared" si="18"/>
        <v>0</v>
      </c>
      <c r="GR68" s="97">
        <f t="shared" si="18"/>
        <v>0</v>
      </c>
      <c r="GS68" s="97">
        <f t="shared" si="18"/>
        <v>0</v>
      </c>
      <c r="GT68" s="97">
        <f t="shared" si="18"/>
        <v>0</v>
      </c>
      <c r="GU68" s="97">
        <f t="shared" si="18"/>
        <v>0</v>
      </c>
      <c r="GV68" s="97">
        <f t="shared" si="18"/>
        <v>0</v>
      </c>
      <c r="GW68" s="97">
        <f t="shared" si="18"/>
        <v>0</v>
      </c>
      <c r="GX68" s="97">
        <f t="shared" si="18"/>
        <v>0</v>
      </c>
      <c r="GY68" s="97">
        <f t="shared" si="18"/>
        <v>0</v>
      </c>
      <c r="GZ68" s="97">
        <f t="shared" si="18"/>
        <v>0</v>
      </c>
      <c r="HA68" s="97">
        <f t="shared" si="18"/>
        <v>0</v>
      </c>
      <c r="HB68" s="97">
        <f t="shared" si="18"/>
        <v>0</v>
      </c>
      <c r="HC68" s="97">
        <f t="shared" si="18"/>
        <v>0</v>
      </c>
      <c r="HD68" s="97">
        <f t="shared" si="18"/>
        <v>0</v>
      </c>
      <c r="HE68" s="97">
        <f t="shared" si="18"/>
        <v>0</v>
      </c>
      <c r="HF68" s="97">
        <f t="shared" si="18"/>
        <v>0</v>
      </c>
      <c r="HG68" s="97">
        <f t="shared" si="18"/>
        <v>0</v>
      </c>
      <c r="HH68" s="97">
        <f t="shared" si="18"/>
        <v>0</v>
      </c>
      <c r="HI68" s="97">
        <f t="shared" si="18"/>
        <v>0</v>
      </c>
      <c r="HJ68" s="97">
        <f t="shared" si="18"/>
        <v>0</v>
      </c>
      <c r="HK68" s="97">
        <f t="shared" si="18"/>
        <v>0</v>
      </c>
      <c r="HL68" s="97">
        <f t="shared" si="18"/>
        <v>0</v>
      </c>
      <c r="HM68" s="97">
        <f t="shared" si="18"/>
        <v>0</v>
      </c>
      <c r="HN68" s="97">
        <f t="shared" si="18"/>
        <v>0</v>
      </c>
      <c r="HO68" s="97">
        <f t="shared" si="18"/>
        <v>0</v>
      </c>
      <c r="HP68" s="97">
        <f t="shared" si="18"/>
        <v>0</v>
      </c>
      <c r="HQ68" s="97">
        <f t="shared" si="18"/>
        <v>0</v>
      </c>
      <c r="HR68" s="97">
        <f t="shared" si="18"/>
        <v>0</v>
      </c>
      <c r="HS68" s="97">
        <f t="shared" si="18"/>
        <v>0</v>
      </c>
      <c r="HT68" s="97">
        <f t="shared" si="18"/>
        <v>0</v>
      </c>
      <c r="HU68" s="97">
        <f t="shared" si="18"/>
        <v>0</v>
      </c>
      <c r="HV68" s="97">
        <f t="shared" si="18"/>
        <v>0</v>
      </c>
      <c r="HW68" s="97">
        <f t="shared" si="18"/>
        <v>0</v>
      </c>
      <c r="HX68" s="97">
        <f t="shared" si="18"/>
        <v>0</v>
      </c>
      <c r="HY68" s="97">
        <f t="shared" si="18"/>
        <v>0</v>
      </c>
      <c r="HZ68" s="97">
        <f t="shared" si="18"/>
        <v>0</v>
      </c>
      <c r="IA68" s="97">
        <f t="shared" si="18"/>
        <v>0</v>
      </c>
      <c r="IB68" s="97">
        <f t="shared" si="18"/>
        <v>0</v>
      </c>
      <c r="IC68" s="97">
        <f t="shared" si="18"/>
        <v>0</v>
      </c>
      <c r="ID68" s="97">
        <f t="shared" si="18"/>
        <v>0</v>
      </c>
      <c r="IE68" s="97">
        <f t="shared" si="18"/>
        <v>0</v>
      </c>
      <c r="IF68" s="97">
        <f t="shared" si="18"/>
        <v>0</v>
      </c>
      <c r="IG68" s="97">
        <f t="shared" si="18"/>
        <v>0</v>
      </c>
      <c r="IH68" s="97">
        <f t="shared" si="18"/>
        <v>0</v>
      </c>
      <c r="II68" s="97">
        <f t="shared" si="18"/>
        <v>0</v>
      </c>
      <c r="IJ68" s="97">
        <f t="shared" si="18"/>
        <v>0</v>
      </c>
      <c r="IK68" s="97">
        <f t="shared" si="18"/>
        <v>0</v>
      </c>
      <c r="IL68" s="97">
        <f t="shared" si="18"/>
        <v>0</v>
      </c>
      <c r="IM68" s="97">
        <f t="shared" si="18"/>
        <v>0</v>
      </c>
      <c r="IN68" s="97">
        <f t="shared" si="18"/>
        <v>0</v>
      </c>
      <c r="IO68" s="97">
        <f t="shared" si="18"/>
        <v>0</v>
      </c>
      <c r="IP68" s="97">
        <f t="shared" si="18"/>
        <v>0</v>
      </c>
      <c r="IQ68" s="97">
        <f t="shared" si="18"/>
        <v>0</v>
      </c>
      <c r="IR68" s="97">
        <f t="shared" si="18"/>
        <v>0</v>
      </c>
      <c r="IS68" s="97">
        <f t="shared" si="18"/>
        <v>0</v>
      </c>
      <c r="IT68" s="97">
        <f t="shared" si="18"/>
        <v>0</v>
      </c>
      <c r="IU68" s="97">
        <f t="shared" si="18"/>
        <v>0</v>
      </c>
      <c r="IV68" s="97">
        <f t="shared" si="18"/>
        <v>0</v>
      </c>
    </row>
    <row r="69" spans="1:256">
      <c r="A69" s="773" t="s">
        <v>310</v>
      </c>
      <c r="B69" s="2627">
        <f>B67+B68</f>
        <v>466354</v>
      </c>
      <c r="C69" s="2627">
        <f>C67+C68</f>
        <v>574291</v>
      </c>
      <c r="D69" s="2627">
        <f>D67+D68</f>
        <v>902308</v>
      </c>
      <c r="E69" s="2627">
        <f>E67+E68</f>
        <v>475596</v>
      </c>
      <c r="F69" s="2627">
        <f>F67+F68</f>
        <v>567728</v>
      </c>
      <c r="G69" s="2627">
        <f t="shared" ref="G69:L69" si="19">G67+G68</f>
        <v>417240</v>
      </c>
      <c r="H69" s="2627">
        <f t="shared" si="19"/>
        <v>547226</v>
      </c>
      <c r="I69" s="2627">
        <f t="shared" si="19"/>
        <v>736203</v>
      </c>
      <c r="J69" s="2627">
        <f t="shared" si="19"/>
        <v>739259</v>
      </c>
      <c r="K69" s="2627">
        <f t="shared" si="19"/>
        <v>505104</v>
      </c>
      <c r="L69" s="2627">
        <f t="shared" si="19"/>
        <v>829611</v>
      </c>
      <c r="M69" s="2627">
        <f t="shared" ref="M69:N69" si="20">M67+M68</f>
        <v>765574</v>
      </c>
      <c r="N69" s="2627">
        <f t="shared" si="20"/>
        <v>7526496</v>
      </c>
      <c r="O69" s="2639">
        <f>O41</f>
        <v>818151</v>
      </c>
      <c r="P69" s="2640">
        <f>N69/Q2</f>
        <v>0.0181413094969375</v>
      </c>
      <c r="Q69" s="773">
        <f t="shared" ref="Q69:BL71" si="21">Q45</f>
        <v>0</v>
      </c>
      <c r="R69" s="773">
        <f t="shared" si="21"/>
        <v>0</v>
      </c>
      <c r="AG69" s="773">
        <f t="shared" si="21"/>
        <v>0</v>
      </c>
      <c r="AH69" s="773">
        <f t="shared" si="21"/>
        <v>0</v>
      </c>
      <c r="AI69" s="773">
        <f t="shared" si="21"/>
        <v>0</v>
      </c>
      <c r="AJ69" s="773">
        <f t="shared" si="21"/>
        <v>0</v>
      </c>
      <c r="AK69" s="773">
        <f t="shared" si="21"/>
        <v>0</v>
      </c>
      <c r="AL69" s="773">
        <f t="shared" si="21"/>
        <v>0</v>
      </c>
      <c r="AM69" s="773">
        <f t="shared" si="21"/>
        <v>0</v>
      </c>
      <c r="AN69" s="773">
        <f t="shared" si="21"/>
        <v>0</v>
      </c>
      <c r="AO69" s="773">
        <f t="shared" si="21"/>
        <v>0</v>
      </c>
      <c r="AP69" s="773">
        <f t="shared" si="21"/>
        <v>0</v>
      </c>
      <c r="AQ69" s="773">
        <f t="shared" si="21"/>
        <v>0</v>
      </c>
      <c r="AR69" s="773">
        <f t="shared" si="21"/>
        <v>0</v>
      </c>
      <c r="AS69" s="773">
        <f t="shared" si="21"/>
        <v>0</v>
      </c>
      <c r="AT69" s="773">
        <f t="shared" si="21"/>
        <v>0</v>
      </c>
      <c r="AU69" s="773">
        <f t="shared" si="21"/>
        <v>0</v>
      </c>
      <c r="AV69" s="773">
        <f t="shared" si="21"/>
        <v>0</v>
      </c>
      <c r="AW69" s="773">
        <f t="shared" si="21"/>
        <v>0</v>
      </c>
      <c r="AX69" s="773">
        <f t="shared" si="21"/>
        <v>0</v>
      </c>
      <c r="AY69" s="773">
        <f t="shared" si="21"/>
        <v>0</v>
      </c>
      <c r="AZ69" s="773">
        <f t="shared" si="21"/>
        <v>0</v>
      </c>
      <c r="BA69" s="773">
        <f t="shared" si="21"/>
        <v>0</v>
      </c>
      <c r="BB69" s="773">
        <f t="shared" si="21"/>
        <v>0</v>
      </c>
      <c r="BC69" s="773">
        <f t="shared" si="21"/>
        <v>0</v>
      </c>
      <c r="BD69" s="773">
        <f t="shared" si="21"/>
        <v>0</v>
      </c>
      <c r="BE69" s="773">
        <f t="shared" si="21"/>
        <v>0</v>
      </c>
      <c r="BF69" s="773">
        <f t="shared" si="21"/>
        <v>0</v>
      </c>
      <c r="BG69" s="773">
        <f t="shared" si="21"/>
        <v>0</v>
      </c>
      <c r="BH69" s="773">
        <f t="shared" si="21"/>
        <v>0</v>
      </c>
      <c r="BI69" s="773">
        <f t="shared" si="21"/>
        <v>0</v>
      </c>
      <c r="BJ69" s="773">
        <f t="shared" si="21"/>
        <v>0</v>
      </c>
      <c r="BK69" s="773">
        <f t="shared" si="21"/>
        <v>0</v>
      </c>
      <c r="BL69" s="773">
        <f t="shared" si="21"/>
        <v>0</v>
      </c>
      <c r="BM69" s="773">
        <f t="shared" ref="BM69:DX69" si="22">BM45</f>
        <v>0</v>
      </c>
      <c r="BN69" s="773">
        <f t="shared" si="22"/>
        <v>0</v>
      </c>
      <c r="BO69" s="773">
        <f t="shared" si="22"/>
        <v>0</v>
      </c>
      <c r="BP69" s="773">
        <f t="shared" si="22"/>
        <v>0</v>
      </c>
      <c r="BQ69" s="773">
        <f t="shared" si="22"/>
        <v>0</v>
      </c>
      <c r="BR69" s="773">
        <f t="shared" si="22"/>
        <v>0</v>
      </c>
      <c r="BS69" s="773">
        <f t="shared" si="22"/>
        <v>0</v>
      </c>
      <c r="BT69" s="773">
        <f t="shared" si="22"/>
        <v>0</v>
      </c>
      <c r="BU69" s="773">
        <f t="shared" si="22"/>
        <v>0</v>
      </c>
      <c r="BV69" s="773">
        <f t="shared" si="22"/>
        <v>0</v>
      </c>
      <c r="BW69" s="773">
        <f t="shared" si="22"/>
        <v>0</v>
      </c>
      <c r="BX69" s="773">
        <f t="shared" si="22"/>
        <v>0</v>
      </c>
      <c r="BY69" s="773">
        <f t="shared" si="22"/>
        <v>0</v>
      </c>
      <c r="BZ69" s="773">
        <f t="shared" si="22"/>
        <v>0</v>
      </c>
      <c r="CA69" s="773">
        <f t="shared" si="22"/>
        <v>0</v>
      </c>
      <c r="CB69" s="773">
        <f t="shared" si="22"/>
        <v>0</v>
      </c>
      <c r="CC69" s="773">
        <f t="shared" si="22"/>
        <v>0</v>
      </c>
      <c r="CD69" s="773">
        <f t="shared" si="22"/>
        <v>0</v>
      </c>
      <c r="CE69" s="773">
        <f t="shared" si="22"/>
        <v>0</v>
      </c>
      <c r="CF69" s="773">
        <f t="shared" si="22"/>
        <v>0</v>
      </c>
      <c r="CG69" s="773">
        <f t="shared" si="22"/>
        <v>0</v>
      </c>
      <c r="CH69" s="773">
        <f t="shared" si="22"/>
        <v>0</v>
      </c>
      <c r="CI69" s="773">
        <f t="shared" si="22"/>
        <v>0</v>
      </c>
      <c r="CJ69" s="773">
        <f t="shared" si="22"/>
        <v>0</v>
      </c>
      <c r="CK69" s="773">
        <f t="shared" si="22"/>
        <v>0</v>
      </c>
      <c r="CL69" s="773">
        <f t="shared" si="22"/>
        <v>0</v>
      </c>
      <c r="CM69" s="773">
        <f t="shared" si="22"/>
        <v>0</v>
      </c>
      <c r="CN69" s="773">
        <f t="shared" si="22"/>
        <v>0</v>
      </c>
      <c r="CO69" s="773">
        <f t="shared" si="22"/>
        <v>0</v>
      </c>
      <c r="CP69" s="773">
        <f t="shared" si="22"/>
        <v>0</v>
      </c>
      <c r="CQ69" s="773">
        <f t="shared" si="22"/>
        <v>0</v>
      </c>
      <c r="CR69" s="773">
        <f t="shared" si="22"/>
        <v>0</v>
      </c>
      <c r="CS69" s="773">
        <f t="shared" si="22"/>
        <v>0</v>
      </c>
      <c r="CT69" s="773">
        <f t="shared" si="22"/>
        <v>0</v>
      </c>
      <c r="CU69" s="773">
        <f t="shared" si="22"/>
        <v>0</v>
      </c>
      <c r="CV69" s="773">
        <f t="shared" si="22"/>
        <v>0</v>
      </c>
      <c r="CW69" s="773">
        <f t="shared" si="22"/>
        <v>0</v>
      </c>
      <c r="CX69" s="773">
        <f t="shared" si="22"/>
        <v>0</v>
      </c>
      <c r="CY69" s="773">
        <f t="shared" si="22"/>
        <v>0</v>
      </c>
      <c r="CZ69" s="773">
        <f t="shared" si="22"/>
        <v>0</v>
      </c>
      <c r="DA69" s="773">
        <f t="shared" si="22"/>
        <v>0</v>
      </c>
      <c r="DB69" s="773">
        <f t="shared" si="22"/>
        <v>0</v>
      </c>
      <c r="DC69" s="773">
        <f t="shared" si="22"/>
        <v>0</v>
      </c>
      <c r="DD69" s="773">
        <f t="shared" si="22"/>
        <v>0</v>
      </c>
      <c r="DE69" s="773">
        <f t="shared" si="22"/>
        <v>0</v>
      </c>
      <c r="DF69" s="773">
        <f t="shared" si="22"/>
        <v>0</v>
      </c>
      <c r="DG69" s="773">
        <f t="shared" si="22"/>
        <v>0</v>
      </c>
      <c r="DH69" s="773">
        <f t="shared" si="22"/>
        <v>0</v>
      </c>
      <c r="DI69" s="773">
        <f t="shared" si="22"/>
        <v>0</v>
      </c>
      <c r="DJ69" s="773">
        <f t="shared" si="22"/>
        <v>0</v>
      </c>
      <c r="DK69" s="773">
        <f t="shared" si="22"/>
        <v>0</v>
      </c>
      <c r="DL69" s="773">
        <f t="shared" si="22"/>
        <v>0</v>
      </c>
      <c r="DM69" s="773">
        <f t="shared" si="22"/>
        <v>0</v>
      </c>
      <c r="DN69" s="773">
        <f t="shared" si="22"/>
        <v>0</v>
      </c>
      <c r="DO69" s="773">
        <f t="shared" si="22"/>
        <v>0</v>
      </c>
      <c r="DP69" s="773">
        <f t="shared" si="22"/>
        <v>0</v>
      </c>
      <c r="DQ69" s="773">
        <f t="shared" si="22"/>
        <v>0</v>
      </c>
      <c r="DR69" s="773">
        <f t="shared" si="22"/>
        <v>0</v>
      </c>
      <c r="DS69" s="773">
        <f t="shared" si="22"/>
        <v>0</v>
      </c>
      <c r="DT69" s="773">
        <f t="shared" si="22"/>
        <v>0</v>
      </c>
      <c r="DU69" s="773">
        <f t="shared" si="22"/>
        <v>0</v>
      </c>
      <c r="DV69" s="773">
        <f t="shared" si="22"/>
        <v>0</v>
      </c>
      <c r="DW69" s="773">
        <f t="shared" si="22"/>
        <v>0</v>
      </c>
      <c r="DX69" s="773">
        <f t="shared" si="22"/>
        <v>0</v>
      </c>
      <c r="DY69" s="773">
        <f t="shared" ref="DY69:GJ69" si="23">DY45</f>
        <v>0</v>
      </c>
      <c r="DZ69" s="773">
        <f t="shared" si="23"/>
        <v>0</v>
      </c>
      <c r="EA69" s="773">
        <f t="shared" si="23"/>
        <v>0</v>
      </c>
      <c r="EB69" s="773">
        <f t="shared" si="23"/>
        <v>0</v>
      </c>
      <c r="EC69" s="773">
        <f t="shared" si="23"/>
        <v>0</v>
      </c>
      <c r="ED69" s="773">
        <f t="shared" si="23"/>
        <v>0</v>
      </c>
      <c r="EE69" s="773">
        <f t="shared" si="23"/>
        <v>0</v>
      </c>
      <c r="EF69" s="773">
        <f t="shared" si="23"/>
        <v>0</v>
      </c>
      <c r="EG69" s="773">
        <f t="shared" si="23"/>
        <v>0</v>
      </c>
      <c r="EH69" s="773">
        <f t="shared" si="23"/>
        <v>0</v>
      </c>
      <c r="EI69" s="773">
        <f t="shared" si="23"/>
        <v>0</v>
      </c>
      <c r="EJ69" s="773">
        <f t="shared" si="23"/>
        <v>0</v>
      </c>
      <c r="EK69" s="773">
        <f t="shared" si="23"/>
        <v>0</v>
      </c>
      <c r="EL69" s="773">
        <f t="shared" si="23"/>
        <v>0</v>
      </c>
      <c r="EM69" s="773">
        <f t="shared" si="23"/>
        <v>0</v>
      </c>
      <c r="EN69" s="773">
        <f t="shared" si="23"/>
        <v>0</v>
      </c>
      <c r="EO69" s="773">
        <f t="shared" si="23"/>
        <v>0</v>
      </c>
      <c r="EP69" s="773">
        <f t="shared" si="23"/>
        <v>0</v>
      </c>
      <c r="EQ69" s="773">
        <f t="shared" si="23"/>
        <v>0</v>
      </c>
      <c r="ER69" s="773">
        <f t="shared" si="23"/>
        <v>0</v>
      </c>
      <c r="ES69" s="773">
        <f t="shared" si="23"/>
        <v>0</v>
      </c>
      <c r="ET69" s="773">
        <f t="shared" si="23"/>
        <v>0</v>
      </c>
      <c r="EU69" s="773">
        <f t="shared" si="23"/>
        <v>0</v>
      </c>
      <c r="EV69" s="773">
        <f t="shared" si="23"/>
        <v>0</v>
      </c>
      <c r="EW69" s="773">
        <f t="shared" si="23"/>
        <v>0</v>
      </c>
      <c r="EX69" s="773">
        <f t="shared" si="23"/>
        <v>0</v>
      </c>
      <c r="EY69" s="773">
        <f t="shared" si="23"/>
        <v>0</v>
      </c>
      <c r="EZ69" s="773">
        <f t="shared" si="23"/>
        <v>0</v>
      </c>
      <c r="FA69" s="773">
        <f t="shared" si="23"/>
        <v>0</v>
      </c>
      <c r="FB69" s="773">
        <f t="shared" si="23"/>
        <v>0</v>
      </c>
      <c r="FC69" s="773">
        <f t="shared" si="23"/>
        <v>0</v>
      </c>
      <c r="FD69" s="773">
        <f t="shared" si="23"/>
        <v>0</v>
      </c>
      <c r="FE69" s="773">
        <f t="shared" si="23"/>
        <v>0</v>
      </c>
      <c r="FF69" s="773">
        <f t="shared" si="23"/>
        <v>0</v>
      </c>
      <c r="FG69" s="773">
        <f t="shared" si="23"/>
        <v>0</v>
      </c>
      <c r="FH69" s="773">
        <f t="shared" si="23"/>
        <v>0</v>
      </c>
      <c r="FI69" s="773">
        <f t="shared" si="23"/>
        <v>0</v>
      </c>
      <c r="FJ69" s="773">
        <f t="shared" si="23"/>
        <v>0</v>
      </c>
      <c r="FK69" s="773">
        <f t="shared" si="23"/>
        <v>0</v>
      </c>
      <c r="FL69" s="773">
        <f t="shared" si="23"/>
        <v>0</v>
      </c>
      <c r="FM69" s="773">
        <f t="shared" si="23"/>
        <v>0</v>
      </c>
      <c r="FN69" s="773">
        <f t="shared" si="23"/>
        <v>0</v>
      </c>
      <c r="FO69" s="773">
        <f t="shared" si="23"/>
        <v>0</v>
      </c>
      <c r="FP69" s="773">
        <f t="shared" si="23"/>
        <v>0</v>
      </c>
      <c r="FQ69" s="773">
        <f t="shared" si="23"/>
        <v>0</v>
      </c>
      <c r="FR69" s="773">
        <f t="shared" si="23"/>
        <v>0</v>
      </c>
      <c r="FS69" s="773">
        <f t="shared" si="23"/>
        <v>0</v>
      </c>
      <c r="FT69" s="773">
        <f t="shared" si="23"/>
        <v>0</v>
      </c>
      <c r="FU69" s="773">
        <f t="shared" si="23"/>
        <v>0</v>
      </c>
      <c r="FV69" s="773">
        <f t="shared" si="23"/>
        <v>0</v>
      </c>
      <c r="FW69" s="773">
        <f t="shared" si="23"/>
        <v>0</v>
      </c>
      <c r="FX69" s="773">
        <f t="shared" si="23"/>
        <v>0</v>
      </c>
      <c r="FY69" s="773">
        <f t="shared" si="23"/>
        <v>0</v>
      </c>
      <c r="FZ69" s="773">
        <f t="shared" si="23"/>
        <v>0</v>
      </c>
      <c r="GA69" s="773">
        <f t="shared" si="23"/>
        <v>0</v>
      </c>
      <c r="GB69" s="773">
        <f t="shared" si="23"/>
        <v>0</v>
      </c>
      <c r="GC69" s="773">
        <f t="shared" si="23"/>
        <v>0</v>
      </c>
      <c r="GD69" s="773">
        <f t="shared" si="23"/>
        <v>0</v>
      </c>
      <c r="GE69" s="773">
        <f t="shared" si="23"/>
        <v>0</v>
      </c>
      <c r="GF69" s="773">
        <f t="shared" si="23"/>
        <v>0</v>
      </c>
      <c r="GG69" s="773">
        <f t="shared" si="23"/>
        <v>0</v>
      </c>
      <c r="GH69" s="773">
        <f t="shared" si="23"/>
        <v>0</v>
      </c>
      <c r="GI69" s="773">
        <f t="shared" si="23"/>
        <v>0</v>
      </c>
      <c r="GJ69" s="773">
        <f t="shared" si="23"/>
        <v>0</v>
      </c>
      <c r="GK69" s="773">
        <f t="shared" ref="GK69:IV69" si="24">GK45</f>
        <v>0</v>
      </c>
      <c r="GL69" s="773">
        <f t="shared" si="24"/>
        <v>0</v>
      </c>
      <c r="GM69" s="773">
        <f t="shared" si="24"/>
        <v>0</v>
      </c>
      <c r="GN69" s="773">
        <f t="shared" si="24"/>
        <v>0</v>
      </c>
      <c r="GO69" s="773">
        <f t="shared" si="24"/>
        <v>0</v>
      </c>
      <c r="GP69" s="773">
        <f t="shared" si="24"/>
        <v>0</v>
      </c>
      <c r="GQ69" s="773">
        <f t="shared" si="24"/>
        <v>0</v>
      </c>
      <c r="GR69" s="773">
        <f t="shared" si="24"/>
        <v>0</v>
      </c>
      <c r="GS69" s="773">
        <f t="shared" si="24"/>
        <v>0</v>
      </c>
      <c r="GT69" s="773">
        <f t="shared" si="24"/>
        <v>0</v>
      </c>
      <c r="GU69" s="773">
        <f t="shared" si="24"/>
        <v>0</v>
      </c>
      <c r="GV69" s="773">
        <f t="shared" si="24"/>
        <v>0</v>
      </c>
      <c r="GW69" s="773">
        <f t="shared" si="24"/>
        <v>0</v>
      </c>
      <c r="GX69" s="773">
        <f t="shared" si="24"/>
        <v>0</v>
      </c>
      <c r="GY69" s="773">
        <f t="shared" si="24"/>
        <v>0</v>
      </c>
      <c r="GZ69" s="773">
        <f t="shared" si="24"/>
        <v>0</v>
      </c>
      <c r="HA69" s="773">
        <f t="shared" si="24"/>
        <v>0</v>
      </c>
      <c r="HB69" s="773">
        <f t="shared" si="24"/>
        <v>0</v>
      </c>
      <c r="HC69" s="773">
        <f t="shared" si="24"/>
        <v>0</v>
      </c>
      <c r="HD69" s="773">
        <f t="shared" si="24"/>
        <v>0</v>
      </c>
      <c r="HE69" s="773">
        <f t="shared" si="24"/>
        <v>0</v>
      </c>
      <c r="HF69" s="773">
        <f t="shared" si="24"/>
        <v>0</v>
      </c>
      <c r="HG69" s="773">
        <f t="shared" si="24"/>
        <v>0</v>
      </c>
      <c r="HH69" s="773">
        <f t="shared" si="24"/>
        <v>0</v>
      </c>
      <c r="HI69" s="773">
        <f t="shared" si="24"/>
        <v>0</v>
      </c>
      <c r="HJ69" s="773">
        <f t="shared" si="24"/>
        <v>0</v>
      </c>
      <c r="HK69" s="773">
        <f t="shared" si="24"/>
        <v>0</v>
      </c>
      <c r="HL69" s="773">
        <f t="shared" si="24"/>
        <v>0</v>
      </c>
      <c r="HM69" s="773">
        <f t="shared" si="24"/>
        <v>0</v>
      </c>
      <c r="HN69" s="773">
        <f t="shared" si="24"/>
        <v>0</v>
      </c>
      <c r="HO69" s="773">
        <f t="shared" si="24"/>
        <v>0</v>
      </c>
      <c r="HP69" s="773">
        <f t="shared" si="24"/>
        <v>0</v>
      </c>
      <c r="HQ69" s="773">
        <f t="shared" si="24"/>
        <v>0</v>
      </c>
      <c r="HR69" s="773">
        <f t="shared" si="24"/>
        <v>0</v>
      </c>
      <c r="HS69" s="773">
        <f t="shared" si="24"/>
        <v>0</v>
      </c>
      <c r="HT69" s="773">
        <f t="shared" si="24"/>
        <v>0</v>
      </c>
      <c r="HU69" s="773">
        <f t="shared" si="24"/>
        <v>0</v>
      </c>
      <c r="HV69" s="773">
        <f t="shared" si="24"/>
        <v>0</v>
      </c>
      <c r="HW69" s="773">
        <f t="shared" si="24"/>
        <v>0</v>
      </c>
      <c r="HX69" s="773">
        <f t="shared" si="24"/>
        <v>0</v>
      </c>
      <c r="HY69" s="773">
        <f t="shared" si="24"/>
        <v>0</v>
      </c>
      <c r="HZ69" s="773">
        <f t="shared" si="24"/>
        <v>0</v>
      </c>
      <c r="IA69" s="773">
        <f t="shared" si="24"/>
        <v>0</v>
      </c>
      <c r="IB69" s="773">
        <f t="shared" si="24"/>
        <v>0</v>
      </c>
      <c r="IC69" s="773">
        <f t="shared" si="24"/>
        <v>0</v>
      </c>
      <c r="ID69" s="773">
        <f t="shared" si="24"/>
        <v>0</v>
      </c>
      <c r="IE69" s="773">
        <f t="shared" si="24"/>
        <v>0</v>
      </c>
      <c r="IF69" s="773">
        <f t="shared" si="24"/>
        <v>0</v>
      </c>
      <c r="IG69" s="773">
        <f t="shared" si="24"/>
        <v>0</v>
      </c>
      <c r="IH69" s="773">
        <f t="shared" si="24"/>
        <v>0</v>
      </c>
      <c r="II69" s="773">
        <f t="shared" si="24"/>
        <v>0</v>
      </c>
      <c r="IJ69" s="773">
        <f t="shared" si="24"/>
        <v>0</v>
      </c>
      <c r="IK69" s="773">
        <f t="shared" si="24"/>
        <v>0</v>
      </c>
      <c r="IL69" s="773">
        <f t="shared" si="24"/>
        <v>0</v>
      </c>
      <c r="IM69" s="773">
        <f t="shared" si="24"/>
        <v>0</v>
      </c>
      <c r="IN69" s="773">
        <f t="shared" si="24"/>
        <v>0</v>
      </c>
      <c r="IO69" s="773">
        <f t="shared" si="24"/>
        <v>0</v>
      </c>
      <c r="IP69" s="773">
        <f t="shared" si="24"/>
        <v>0</v>
      </c>
      <c r="IQ69" s="773">
        <f t="shared" si="24"/>
        <v>0</v>
      </c>
      <c r="IR69" s="773">
        <f t="shared" si="24"/>
        <v>0</v>
      </c>
      <c r="IS69" s="773">
        <f t="shared" si="24"/>
        <v>0</v>
      </c>
      <c r="IT69" s="773">
        <f t="shared" si="24"/>
        <v>0</v>
      </c>
      <c r="IU69" s="773">
        <f t="shared" si="24"/>
        <v>0</v>
      </c>
      <c r="IV69" s="773">
        <f t="shared" si="24"/>
        <v>0</v>
      </c>
    </row>
    <row r="70" ht="15" spans="1:32">
      <c r="A70" s="229" t="s">
        <v>311</v>
      </c>
      <c r="B70" s="97">
        <f>ROUND((B42+B43+B46),0)</f>
        <v>852520</v>
      </c>
      <c r="C70" s="97">
        <f>ROUND((C42+C43+C46),0)</f>
        <v>196340</v>
      </c>
      <c r="D70" s="97">
        <f>ROUND((D42+D43+D46),0)</f>
        <v>750305</v>
      </c>
      <c r="E70" s="97">
        <f>ROUND((E42+E43+E46),0)</f>
        <v>533333</v>
      </c>
      <c r="F70" s="97">
        <f>ROUND((F42+F43+F46),0)</f>
        <v>630262</v>
      </c>
      <c r="G70" s="97">
        <f t="shared" ref="G70:K70" si="25">ROUND((G42+G43+G46),0)</f>
        <v>473587</v>
      </c>
      <c r="H70" s="761">
        <f t="shared" si="25"/>
        <v>657422</v>
      </c>
      <c r="I70" s="97">
        <f t="shared" si="25"/>
        <v>619266</v>
      </c>
      <c r="J70" s="97">
        <f t="shared" si="25"/>
        <v>484938</v>
      </c>
      <c r="K70" s="97">
        <f t="shared" si="25"/>
        <v>717133</v>
      </c>
      <c r="L70" s="97">
        <f>ROUND((L42+L43+L46),0)+L49</f>
        <v>911934</v>
      </c>
      <c r="M70" s="97">
        <f t="shared" ref="M70:O70" si="26">ROUND((M42+M43+M46),0)</f>
        <v>333564</v>
      </c>
      <c r="N70" s="234">
        <f t="shared" si="26"/>
        <v>7160603</v>
      </c>
      <c r="O70" s="2641">
        <f t="shared" si="26"/>
        <v>596717</v>
      </c>
      <c r="P70" s="1512">
        <f>N70/Q2</f>
        <v>0.0172593880615494</v>
      </c>
      <c r="S70" s="97">
        <f t="shared" si="15"/>
        <v>0</v>
      </c>
      <c r="T70" s="97">
        <f t="shared" si="15"/>
        <v>0</v>
      </c>
      <c r="U70" s="97">
        <f t="shared" si="15"/>
        <v>0</v>
      </c>
      <c r="V70" s="97">
        <f t="shared" si="15"/>
        <v>0</v>
      </c>
      <c r="W70" s="97">
        <f t="shared" si="15"/>
        <v>0</v>
      </c>
      <c r="X70" s="97">
        <f t="shared" si="15"/>
        <v>0</v>
      </c>
      <c r="Y70" s="97">
        <f t="shared" si="15"/>
        <v>0</v>
      </c>
      <c r="Z70" s="97">
        <f t="shared" si="15"/>
        <v>0</v>
      </c>
      <c r="AA70" s="97">
        <f t="shared" si="15"/>
        <v>0</v>
      </c>
      <c r="AB70" s="97">
        <f t="shared" si="15"/>
        <v>0</v>
      </c>
      <c r="AC70" s="97">
        <f t="shared" si="15"/>
        <v>0</v>
      </c>
      <c r="AD70" s="97">
        <f t="shared" si="15"/>
        <v>0</v>
      </c>
      <c r="AE70" s="97">
        <f t="shared" si="15"/>
        <v>0</v>
      </c>
      <c r="AF70" s="97">
        <f t="shared" si="15"/>
        <v>0</v>
      </c>
    </row>
    <row r="71" ht="15" spans="1:32">
      <c r="A71" s="229" t="s">
        <v>312</v>
      </c>
      <c r="B71" s="97">
        <f>ROUND((B45),0)</f>
        <v>0</v>
      </c>
      <c r="C71" s="97">
        <f>ROUND((C45),0)</f>
        <v>0</v>
      </c>
      <c r="D71" s="97">
        <f>D49</f>
        <v>0</v>
      </c>
      <c r="E71" s="97">
        <v>0</v>
      </c>
      <c r="F71" s="97">
        <f t="shared" ref="F71:M71" si="27">ROUND((F45),0)</f>
        <v>0</v>
      </c>
      <c r="G71" s="97">
        <f t="shared" si="27"/>
        <v>0</v>
      </c>
      <c r="H71" s="761">
        <f t="shared" si="27"/>
        <v>0</v>
      </c>
      <c r="I71" s="97">
        <f t="shared" si="27"/>
        <v>0</v>
      </c>
      <c r="J71" s="97">
        <f t="shared" si="27"/>
        <v>0</v>
      </c>
      <c r="K71" s="97">
        <f t="shared" si="27"/>
        <v>0</v>
      </c>
      <c r="L71" s="97">
        <f t="shared" si="27"/>
        <v>0</v>
      </c>
      <c r="M71" s="97">
        <f t="shared" si="27"/>
        <v>0</v>
      </c>
      <c r="N71" s="97">
        <f>N49</f>
        <v>0</v>
      </c>
      <c r="O71" s="2641">
        <f>ROUND((O45),0)</f>
        <v>0</v>
      </c>
      <c r="P71" s="1512">
        <f>N71/Q2</f>
        <v>0</v>
      </c>
      <c r="S71" s="773">
        <f t="shared" si="21"/>
        <v>0</v>
      </c>
      <c r="T71" s="773">
        <f t="shared" si="21"/>
        <v>0</v>
      </c>
      <c r="U71" s="773">
        <f t="shared" si="21"/>
        <v>0</v>
      </c>
      <c r="V71" s="773">
        <f t="shared" si="21"/>
        <v>0</v>
      </c>
      <c r="W71" s="773">
        <f t="shared" si="21"/>
        <v>0</v>
      </c>
      <c r="X71" s="773">
        <f t="shared" si="21"/>
        <v>0</v>
      </c>
      <c r="Y71" s="773">
        <f t="shared" si="21"/>
        <v>0</v>
      </c>
      <c r="Z71" s="773">
        <f t="shared" si="21"/>
        <v>0</v>
      </c>
      <c r="AA71" s="773">
        <f t="shared" si="21"/>
        <v>0</v>
      </c>
      <c r="AB71" s="773">
        <f t="shared" si="21"/>
        <v>0</v>
      </c>
      <c r="AC71" s="773">
        <f t="shared" si="21"/>
        <v>0</v>
      </c>
      <c r="AD71" s="773">
        <f t="shared" si="21"/>
        <v>0</v>
      </c>
      <c r="AE71" s="773">
        <f t="shared" si="21"/>
        <v>0</v>
      </c>
      <c r="AF71" s="773">
        <f t="shared" si="21"/>
        <v>0</v>
      </c>
    </row>
    <row r="72" ht="15" spans="1:16">
      <c r="A72" s="229" t="s">
        <v>313</v>
      </c>
      <c r="B72" s="773">
        <f>ROUND((B48),0)</f>
        <v>0</v>
      </c>
      <c r="C72" s="773">
        <f>ROUND((C48),0)</f>
        <v>0</v>
      </c>
      <c r="D72" s="773">
        <f>ROUND((D48),0)</f>
        <v>0</v>
      </c>
      <c r="E72" s="773">
        <f>ROUND((E48),0)</f>
        <v>0</v>
      </c>
      <c r="F72" s="773">
        <f>ROUND((F48),0)</f>
        <v>0</v>
      </c>
      <c r="G72" s="773">
        <f t="shared" ref="G72" si="28">ROUND((G48),0)</f>
        <v>0</v>
      </c>
      <c r="H72" s="2630">
        <v>0</v>
      </c>
      <c r="I72" s="773">
        <f>ROUND((I48),0)</f>
        <v>0</v>
      </c>
      <c r="J72" s="773">
        <f>ROUND((J48),0)</f>
        <v>0</v>
      </c>
      <c r="K72" s="773">
        <f>ROUND((K48),0)</f>
        <v>0</v>
      </c>
      <c r="L72" s="773">
        <f t="shared" ref="L72:O72" si="29">ROUND((L48),0)</f>
        <v>0</v>
      </c>
      <c r="M72" s="773">
        <f t="shared" si="29"/>
        <v>0</v>
      </c>
      <c r="N72" s="773">
        <f t="shared" si="29"/>
        <v>0</v>
      </c>
      <c r="O72" s="2642">
        <f t="shared" si="29"/>
        <v>0</v>
      </c>
      <c r="P72" s="1512">
        <f>N72/Q2</f>
        <v>0</v>
      </c>
    </row>
    <row r="73" ht="15" spans="1:16">
      <c r="A73" s="229" t="s">
        <v>314</v>
      </c>
      <c r="B73" s="97">
        <f>ROUND((B44+B50+B51),0)</f>
        <v>97333</v>
      </c>
      <c r="C73" s="97">
        <f>ROUND((C44+C50+C51),0)</f>
        <v>97333</v>
      </c>
      <c r="D73" s="97">
        <f>ROUND((D44+D50+D51),0)</f>
        <v>454333</v>
      </c>
      <c r="E73" s="97">
        <f>ROUND((E44+E50+E51),0)</f>
        <v>108503</v>
      </c>
      <c r="F73" s="97">
        <f>ROUND((F44+F50+F51),0)</f>
        <v>111525</v>
      </c>
      <c r="G73" s="97">
        <f t="shared" ref="G73:O73" si="30">ROUND((G44+G50+G51),0)</f>
        <v>466171</v>
      </c>
      <c r="H73" s="761">
        <f t="shared" si="30"/>
        <v>107099</v>
      </c>
      <c r="I73" s="97">
        <f t="shared" si="30"/>
        <v>106346</v>
      </c>
      <c r="J73" s="97">
        <f t="shared" si="30"/>
        <v>459169</v>
      </c>
      <c r="K73" s="97">
        <f t="shared" si="30"/>
        <v>100445</v>
      </c>
      <c r="L73" s="97">
        <f t="shared" si="30"/>
        <v>98280</v>
      </c>
      <c r="M73" s="97">
        <f t="shared" si="30"/>
        <v>450667</v>
      </c>
      <c r="N73" s="234">
        <f t="shared" si="30"/>
        <v>2657204</v>
      </c>
      <c r="O73" s="2641">
        <f t="shared" si="30"/>
        <v>221434</v>
      </c>
      <c r="P73" s="1512">
        <f>N73/Q2</f>
        <v>0.00640472806475954</v>
      </c>
    </row>
    <row r="74" ht="15.75" spans="1:16">
      <c r="A74" s="231" t="s">
        <v>315</v>
      </c>
      <c r="B74" s="234">
        <f>SUM(B70:B73)</f>
        <v>949853</v>
      </c>
      <c r="C74" s="234">
        <f>SUM(C70:C73)</f>
        <v>293673</v>
      </c>
      <c r="D74" s="234">
        <f>SUM(D70:D73)</f>
        <v>1204638</v>
      </c>
      <c r="E74" s="234">
        <f>SUM(E70:E73)</f>
        <v>641836</v>
      </c>
      <c r="F74" s="234">
        <f>SUM(F70:F73)</f>
        <v>741787</v>
      </c>
      <c r="G74" s="234">
        <f t="shared" ref="G74:L74" si="31">SUM(G70:G73)</f>
        <v>939758</v>
      </c>
      <c r="H74" s="234">
        <f t="shared" si="31"/>
        <v>764521</v>
      </c>
      <c r="I74" s="234">
        <f t="shared" si="31"/>
        <v>725612</v>
      </c>
      <c r="J74" s="234">
        <f t="shared" si="31"/>
        <v>944107</v>
      </c>
      <c r="K74" s="234">
        <f t="shared" si="31"/>
        <v>817578</v>
      </c>
      <c r="L74" s="234">
        <f t="shared" si="31"/>
        <v>1010214</v>
      </c>
      <c r="M74" s="234">
        <f t="shared" ref="M74:O74" si="32">SUM(M70:M73)</f>
        <v>784231</v>
      </c>
      <c r="N74" s="234">
        <f t="shared" si="32"/>
        <v>9817807</v>
      </c>
      <c r="O74" s="2643">
        <f t="shared" si="32"/>
        <v>818151</v>
      </c>
      <c r="P74" s="2644">
        <f>N74/Q2</f>
        <v>0.023664116126309</v>
      </c>
    </row>
    <row r="75" ht="15.75" spans="1:18">
      <c r="A75" s="231" t="s">
        <v>316</v>
      </c>
      <c r="B75" s="2628">
        <f>B69+B74</f>
        <v>1416207</v>
      </c>
      <c r="C75" s="2628">
        <f>C69+C74</f>
        <v>867964</v>
      </c>
      <c r="D75" s="2628">
        <f>D69+D74</f>
        <v>2106946</v>
      </c>
      <c r="E75" s="2628">
        <f>E69+E74</f>
        <v>1117432</v>
      </c>
      <c r="F75" s="2628">
        <f>F69+F74</f>
        <v>1309515</v>
      </c>
      <c r="G75" s="2628">
        <f t="shared" ref="G75:H75" si="33">G69+G74</f>
        <v>1356998</v>
      </c>
      <c r="H75" s="2628">
        <f t="shared" si="33"/>
        <v>1311747</v>
      </c>
      <c r="I75" s="2628">
        <f t="shared" ref="I75:N75" si="34">I69+I74</f>
        <v>1461815</v>
      </c>
      <c r="J75" s="2628">
        <f t="shared" si="34"/>
        <v>1683366</v>
      </c>
      <c r="K75" s="2628">
        <f t="shared" si="34"/>
        <v>1322682</v>
      </c>
      <c r="L75" s="2628">
        <f t="shared" si="34"/>
        <v>1839825</v>
      </c>
      <c r="M75" s="2628">
        <f t="shared" si="34"/>
        <v>1549805</v>
      </c>
      <c r="N75" s="2628">
        <f t="shared" si="34"/>
        <v>17344303</v>
      </c>
      <c r="O75" s="2645">
        <f t="shared" ref="O75" si="35">O69+O74</f>
        <v>1636302</v>
      </c>
      <c r="P75" s="2646">
        <f>N75/Q2</f>
        <v>0.0418054256232465</v>
      </c>
      <c r="R75" s="97"/>
    </row>
    <row r="76" spans="2:13">
      <c r="B76" s="1846"/>
      <c r="D76" s="97">
        <f>D65-D75</f>
        <v>0.379999999888241</v>
      </c>
      <c r="J76" s="97">
        <f>J65-J75</f>
        <v>-0.330000000074506</v>
      </c>
      <c r="K76" s="97">
        <f>K65-K75</f>
        <v>0.299999999813735</v>
      </c>
      <c r="L76" s="97">
        <f>L65-L75</f>
        <v>1.01000000024214</v>
      </c>
      <c r="M76" s="97">
        <f>M65-M75</f>
        <v>-0.159999999916181</v>
      </c>
    </row>
    <row r="78" spans="1:15">
      <c r="A78" s="2629" t="s">
        <v>230</v>
      </c>
      <c r="B78">
        <f>'P&amp;L'!B36</f>
        <v>1416207.05</v>
      </c>
      <c r="C78">
        <f>'P&amp;L'!C36</f>
        <v>867963.95</v>
      </c>
      <c r="D78">
        <f>'P&amp;L'!D36</f>
        <v>2106946.38</v>
      </c>
      <c r="E78">
        <f>'P&amp;L'!E36</f>
        <v>1117431.89</v>
      </c>
      <c r="F78">
        <f>'P&amp;L'!F36</f>
        <v>1309514.65</v>
      </c>
      <c r="G78">
        <f>'P&amp;L'!G36</f>
        <v>1341998.42</v>
      </c>
      <c r="H78">
        <f>'P&amp;L'!H36</f>
        <v>1311748.3</v>
      </c>
      <c r="I78">
        <f>'P&amp;L'!I36</f>
        <v>1579915.62</v>
      </c>
      <c r="J78">
        <f>'P&amp;L'!J36</f>
        <v>1683367.67</v>
      </c>
      <c r="K78">
        <f>'P&amp;L'!K36</f>
        <v>1322682.3</v>
      </c>
      <c r="L78">
        <f>'P&amp;L'!L36</f>
        <v>1840574.01</v>
      </c>
      <c r="M78">
        <f>'P&amp;L'!M36</f>
        <v>1549803.84</v>
      </c>
      <c r="N78">
        <f>'P&amp;L'!N36</f>
        <v>17344302.18</v>
      </c>
      <c r="O78" s="97"/>
    </row>
    <row r="79" spans="2:14">
      <c r="B79" s="97">
        <f>B65-B78</f>
        <v>0</v>
      </c>
      <c r="C79" s="97">
        <f>C65-C78</f>
        <v>0</v>
      </c>
      <c r="D79" s="97">
        <f>D65-D78</f>
        <v>0</v>
      </c>
      <c r="E79" s="97">
        <f>E65-E78</f>
        <v>0</v>
      </c>
      <c r="F79" s="97">
        <f>F65-F78</f>
        <v>0</v>
      </c>
      <c r="G79" s="97">
        <f t="shared" ref="G79:L79" si="36">G65-G78</f>
        <v>15000</v>
      </c>
      <c r="H79" s="761">
        <f t="shared" si="36"/>
        <v>-1.01000000000931</v>
      </c>
      <c r="I79" s="97">
        <f t="shared" si="36"/>
        <v>-118101</v>
      </c>
      <c r="J79" s="97">
        <f t="shared" si="36"/>
        <v>-2</v>
      </c>
      <c r="K79" s="97">
        <f t="shared" si="36"/>
        <v>0</v>
      </c>
      <c r="L79" s="97">
        <f t="shared" si="36"/>
        <v>-747.999999999767</v>
      </c>
      <c r="M79" s="97">
        <f t="shared" ref="M79:N79" si="37">M65-M78</f>
        <v>1</v>
      </c>
      <c r="N79" s="97">
        <f t="shared" si="37"/>
        <v>0.890000000596046</v>
      </c>
    </row>
    <row r="80" spans="5:15">
      <c r="E80" s="97"/>
      <c r="N80" s="97"/>
      <c r="O80" s="97"/>
    </row>
    <row r="81" spans="14:14">
      <c r="N81" s="97"/>
    </row>
  </sheetData>
  <mergeCells count="1">
    <mergeCell ref="A1:B1"/>
  </mergeCells>
  <printOptions horizontalCentered="1"/>
  <pageMargins left="0.708661417322835" right="0.708661417322835" top="0.15748031496063" bottom="0.15748031496063" header="0.31496062992126" footer="0.31496062992126"/>
  <pageSetup paperSize="9" scale="10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P113"/>
  <sheetViews>
    <sheetView showZeros="0" zoomScale="89" zoomScaleNormal="89" workbookViewId="0">
      <pane xSplit="1" ySplit="2" topLeftCell="P21" activePane="bottomRight" state="frozen"/>
      <selection/>
      <selection pane="topRight"/>
      <selection pane="bottomLeft"/>
      <selection pane="bottomRight" activeCell="AN69" sqref="AN69"/>
    </sheetView>
  </sheetViews>
  <sheetFormatPr defaultColWidth="9" defaultRowHeight="13.5"/>
  <cols>
    <col min="1" max="1" width="23.5714285714286" customWidth="1"/>
    <col min="2" max="2" width="9.57142857142857" customWidth="1"/>
    <col min="3" max="3" width="8.57142857142857" customWidth="1"/>
    <col min="4" max="4" width="14.1428571428571" customWidth="1"/>
    <col min="6" max="6" width="8" customWidth="1"/>
    <col min="7" max="7" width="12.8571428571429" customWidth="1"/>
    <col min="8" max="8" width="9.42857142857143" customWidth="1"/>
    <col min="9" max="9" width="8.85714285714286" customWidth="1"/>
    <col min="10" max="10" width="12.8571428571429" customWidth="1"/>
    <col min="11" max="11" width="9.42857142857143" customWidth="1"/>
    <col min="12" max="12" width="8.85714285714286" customWidth="1"/>
    <col min="13" max="13" width="12.8571428571429" customWidth="1"/>
    <col min="14" max="14" width="9.42857142857143" customWidth="1"/>
    <col min="15" max="15" width="7.42857142857143" customWidth="1"/>
    <col min="16" max="16" width="14.7142857142857" customWidth="1"/>
    <col min="17" max="17" width="9.57142857142857" customWidth="1"/>
    <col min="18" max="18" width="7.14285714285714" customWidth="1"/>
    <col min="19" max="19" width="13.4285714285714" customWidth="1"/>
    <col min="20" max="20" width="9.57142857142857" customWidth="1"/>
    <col min="21" max="21" width="7.14285714285714" customWidth="1"/>
    <col min="22" max="22" width="13.4285714285714" customWidth="1"/>
    <col min="23" max="23" width="9.42857142857143" customWidth="1"/>
    <col min="24" max="24" width="8.85714285714286" customWidth="1"/>
    <col min="25" max="25" width="12.5714285714286" customWidth="1"/>
    <col min="26" max="26" width="9.42857142857143" customWidth="1"/>
    <col min="27" max="27" width="7.42857142857143" customWidth="1"/>
    <col min="28" max="28" width="13.4285714285714" customWidth="1"/>
    <col min="29" max="29" width="9.42857142857143" customWidth="1"/>
    <col min="30" max="30" width="7.71428571428571" customWidth="1"/>
    <col min="31" max="31" width="12.8571428571429" customWidth="1"/>
    <col min="32" max="32" width="9.42857142857143" customWidth="1"/>
    <col min="33" max="33" width="8.85714285714286" customWidth="1"/>
    <col min="34" max="34" width="12.8571428571429" customWidth="1"/>
    <col min="35" max="35" width="10.1428571428571" customWidth="1"/>
    <col min="36" max="36" width="8" customWidth="1"/>
    <col min="37" max="37" width="13.2857142857143" customWidth="1"/>
    <col min="38" max="38" width="10.4285714285714" customWidth="1"/>
    <col min="40" max="40" width="14.7142857142857" customWidth="1"/>
    <col min="41" max="41" width="15.7142857142857" style="1431" customWidth="1"/>
    <col min="42" max="42" width="15.4285714285714" customWidth="1"/>
  </cols>
  <sheetData>
    <row r="1" ht="24.75" customHeight="1" spans="1:38">
      <c r="A1" s="2226" t="s">
        <v>317</v>
      </c>
      <c r="B1" s="2226"/>
      <c r="C1" s="2226"/>
      <c r="D1" s="2226"/>
      <c r="E1" s="2226"/>
      <c r="F1" s="2226"/>
      <c r="G1" s="2226"/>
      <c r="H1" s="2226"/>
      <c r="I1" s="2226"/>
      <c r="J1" s="2226"/>
      <c r="K1" s="2226"/>
      <c r="L1" s="2226"/>
      <c r="M1" s="2226"/>
      <c r="N1" s="2226"/>
      <c r="O1" s="2226"/>
      <c r="P1" s="2226"/>
      <c r="Q1" s="2226"/>
      <c r="R1" s="2226"/>
      <c r="S1" s="2226"/>
      <c r="T1" s="2226"/>
      <c r="U1" s="2226"/>
      <c r="V1" s="2226"/>
      <c r="W1" s="2226"/>
      <c r="X1" s="2226"/>
      <c r="Y1" s="2226"/>
      <c r="Z1" s="2226"/>
      <c r="AA1" s="2226"/>
      <c r="AB1" s="2226"/>
      <c r="AC1" s="2226"/>
      <c r="AD1" s="2226"/>
      <c r="AE1" s="2226"/>
      <c r="AF1" s="2226"/>
      <c r="AG1" s="2226"/>
      <c r="AH1" s="2226"/>
      <c r="AI1" s="2226"/>
      <c r="AJ1" s="2226"/>
      <c r="AK1" s="2226"/>
      <c r="AL1" s="2226"/>
    </row>
    <row r="2" ht="15" spans="1:41">
      <c r="A2" s="940" t="s">
        <v>51</v>
      </c>
      <c r="B2" s="941">
        <v>45748</v>
      </c>
      <c r="C2" s="942"/>
      <c r="D2" s="943"/>
      <c r="E2" s="941">
        <v>45778</v>
      </c>
      <c r="F2" s="942"/>
      <c r="G2" s="943"/>
      <c r="H2" s="942">
        <v>45809</v>
      </c>
      <c r="I2" s="942"/>
      <c r="J2" s="942"/>
      <c r="K2" s="941">
        <v>45474</v>
      </c>
      <c r="L2" s="942"/>
      <c r="M2" s="943"/>
      <c r="N2" s="942">
        <v>45870</v>
      </c>
      <c r="O2" s="942"/>
      <c r="P2" s="942"/>
      <c r="Q2" s="941">
        <v>45901</v>
      </c>
      <c r="R2" s="942"/>
      <c r="S2" s="943"/>
      <c r="T2" s="941">
        <v>45931</v>
      </c>
      <c r="U2" s="942"/>
      <c r="V2" s="943"/>
      <c r="W2" s="941">
        <v>45962</v>
      </c>
      <c r="X2" s="942"/>
      <c r="Y2" s="943"/>
      <c r="Z2" s="941">
        <v>45992</v>
      </c>
      <c r="AA2" s="942"/>
      <c r="AB2" s="943"/>
      <c r="AC2" s="941">
        <v>45658</v>
      </c>
      <c r="AD2" s="942"/>
      <c r="AE2" s="943"/>
      <c r="AF2" s="942">
        <v>45689</v>
      </c>
      <c r="AG2" s="942"/>
      <c r="AH2" s="942"/>
      <c r="AI2" s="941">
        <v>45717</v>
      </c>
      <c r="AJ2" s="942"/>
      <c r="AK2" s="943"/>
      <c r="AL2" s="2308" t="s">
        <v>52</v>
      </c>
      <c r="AM2" s="2309"/>
      <c r="AN2" s="2310"/>
      <c r="AO2" s="2357" t="s">
        <v>318</v>
      </c>
    </row>
    <row r="3" ht="15" spans="1:40">
      <c r="A3" s="945" t="s">
        <v>32</v>
      </c>
      <c r="B3" s="945"/>
      <c r="C3" s="946"/>
      <c r="D3" s="947"/>
      <c r="E3" s="945"/>
      <c r="F3" s="946"/>
      <c r="G3" s="947"/>
      <c r="H3" s="946"/>
      <c r="I3" s="946"/>
      <c r="J3" s="946"/>
      <c r="K3" s="945"/>
      <c r="L3" s="946"/>
      <c r="M3" s="947"/>
      <c r="N3" s="946"/>
      <c r="O3" s="946"/>
      <c r="P3" s="946"/>
      <c r="Q3" s="945"/>
      <c r="R3" s="946"/>
      <c r="S3" s="947"/>
      <c r="T3" s="945"/>
      <c r="U3" s="946"/>
      <c r="V3" s="947"/>
      <c r="W3" s="946"/>
      <c r="X3" s="946"/>
      <c r="Y3" s="946"/>
      <c r="Z3" s="945"/>
      <c r="AA3" s="946"/>
      <c r="AB3" s="947"/>
      <c r="AC3" s="945"/>
      <c r="AD3" s="946"/>
      <c r="AE3" s="947"/>
      <c r="AF3" s="946"/>
      <c r="AG3" s="946"/>
      <c r="AH3" s="946"/>
      <c r="AI3" s="945"/>
      <c r="AJ3" s="946"/>
      <c r="AK3" s="947"/>
      <c r="AL3" s="2311"/>
      <c r="AM3" s="2312"/>
      <c r="AN3" s="2313"/>
    </row>
    <row r="4" spans="1:40">
      <c r="A4" s="948" t="s">
        <v>319</v>
      </c>
      <c r="B4" s="949">
        <f>'Stock Valuation (FIFO)'!B5</f>
        <v>195845</v>
      </c>
      <c r="C4" s="2227">
        <f>IF(B4=0,0,(D4/B4))</f>
        <v>100.689305317981</v>
      </c>
      <c r="D4" s="963">
        <f>'Stock Valuation (FIFO)'!D5</f>
        <v>19719497</v>
      </c>
      <c r="E4" s="949">
        <f>B9</f>
        <v>180315</v>
      </c>
      <c r="F4" s="2227">
        <f>IF(E4=0,0,(G4/E4))</f>
        <v>99.6007431439426</v>
      </c>
      <c r="G4" s="963">
        <f>D9</f>
        <v>17959508</v>
      </c>
      <c r="H4" s="1041">
        <f>E9</f>
        <v>147410</v>
      </c>
      <c r="I4" s="2227">
        <f>IF(H4=0,0,(J4/H4))</f>
        <v>97.4889152703344</v>
      </c>
      <c r="J4" s="1083">
        <f>G9</f>
        <v>14370841</v>
      </c>
      <c r="K4" s="949">
        <f>H9</f>
        <v>164125</v>
      </c>
      <c r="L4" s="2227">
        <f>IF(K4=0,0,(M4/K4))</f>
        <v>97.3383945163747</v>
      </c>
      <c r="M4" s="963">
        <f>J9</f>
        <v>15975664</v>
      </c>
      <c r="N4" s="949">
        <f>K9</f>
        <v>146140</v>
      </c>
      <c r="O4" s="2227">
        <f>IF(N4=0,0,(P4/N4))</f>
        <v>99.4379293827836</v>
      </c>
      <c r="P4" s="963">
        <f>M9</f>
        <v>14531859</v>
      </c>
      <c r="Q4" s="949">
        <f>N9</f>
        <v>187620</v>
      </c>
      <c r="R4" s="2227">
        <f>IF(Q4=0,0,(S4/Q4))</f>
        <v>101.203821554205</v>
      </c>
      <c r="S4" s="963">
        <f>P9</f>
        <v>18987861</v>
      </c>
      <c r="T4" s="949">
        <f>Q9</f>
        <v>114680</v>
      </c>
      <c r="U4" s="2227">
        <f>IF(T4=0,0,(V4/T4))</f>
        <v>100.403392047436</v>
      </c>
      <c r="V4" s="951">
        <f>S9</f>
        <v>11514261</v>
      </c>
      <c r="W4" s="1154">
        <f>T9</f>
        <v>139725</v>
      </c>
      <c r="X4" s="2227">
        <f>IF(W4=0,0,(Y4/W4))</f>
        <v>98.7322526391125</v>
      </c>
      <c r="Y4" s="1079">
        <f>V9</f>
        <v>13795364</v>
      </c>
      <c r="Z4" s="1143">
        <f>W9</f>
        <v>164310</v>
      </c>
      <c r="AA4" s="2227">
        <f>IF(Z4=0,0,(AB4/Z4))</f>
        <v>97.31145395898</v>
      </c>
      <c r="AB4" s="951">
        <f>Y9</f>
        <v>15989245</v>
      </c>
      <c r="AC4" s="1143">
        <f>Z9</f>
        <v>135475</v>
      </c>
      <c r="AD4" s="2227">
        <f>IF(AC4=0,0,(AE4/AC4))</f>
        <v>96.0668462816018</v>
      </c>
      <c r="AE4" s="951">
        <f>AB9</f>
        <v>13014656</v>
      </c>
      <c r="AF4" s="1154">
        <f>AC9</f>
        <v>174670</v>
      </c>
      <c r="AG4" s="2227">
        <f>IF(AF4=0,0,(AH4/AF4))</f>
        <v>98.9561057995076</v>
      </c>
      <c r="AH4" s="951">
        <f>AE9</f>
        <v>17284663</v>
      </c>
      <c r="AI4" s="1143">
        <f t="shared" ref="AI4" si="0">AF9</f>
        <v>154290</v>
      </c>
      <c r="AJ4" s="2227">
        <f>IF(AI4=0,0,(AK4/AI4))</f>
        <v>103.477302482338</v>
      </c>
      <c r="AK4" s="951">
        <f>AH9</f>
        <v>15965513</v>
      </c>
      <c r="AL4" s="2314">
        <f>B4</f>
        <v>195845</v>
      </c>
      <c r="AM4" s="2315">
        <f>IF(AL4=0,0,(AN4/AL4))</f>
        <v>100.689305317981</v>
      </c>
      <c r="AN4" s="2316">
        <f>D4</f>
        <v>19719497</v>
      </c>
    </row>
    <row r="5" spans="1:42">
      <c r="A5" s="952" t="s">
        <v>320</v>
      </c>
      <c r="B5" s="953">
        <f>ROUND((Purchase!$B5),0)</f>
        <v>101000</v>
      </c>
      <c r="C5" s="2228">
        <f t="shared" ref="C5:C10" si="1">IF(B5=0,0,(D5/B5))</f>
        <v>90.7623168316832</v>
      </c>
      <c r="D5" s="1026">
        <f>ROUND((Purchase!$C5-Purchase!$N5),0)</f>
        <v>9166994</v>
      </c>
      <c r="E5" s="953">
        <f>ROUND((Purchase!$B6),0)</f>
        <v>57000</v>
      </c>
      <c r="F5" s="2228">
        <f t="shared" ref="F5" si="2">IF(E5=0,0,(G5/E5))</f>
        <v>91.1316842105263</v>
      </c>
      <c r="G5" s="1026">
        <f>ROUND((Purchase!$C6-Purchase!$N6),0)</f>
        <v>5194506</v>
      </c>
      <c r="H5" s="1054">
        <f>Purchase!B7</f>
        <v>151000</v>
      </c>
      <c r="I5" s="2228">
        <f t="shared" ref="I5" si="3">IF(H5=0,0,(J5/H5))</f>
        <v>96.513298013245</v>
      </c>
      <c r="J5" s="954">
        <f>Purchase!C7-Purchase!N7</f>
        <v>14573508</v>
      </c>
      <c r="K5" s="953">
        <f>Purchase!B8</f>
        <v>137000</v>
      </c>
      <c r="L5" s="2228">
        <f t="shared" ref="L5" si="4">IF(K5=0,0,(M5/K5))</f>
        <v>92.0224452554745</v>
      </c>
      <c r="M5" s="1026">
        <f>Purchase!C8-Purchase!N8</f>
        <v>12607075</v>
      </c>
      <c r="N5" s="953">
        <f>Purchase!B9</f>
        <v>174000</v>
      </c>
      <c r="O5" s="2228">
        <f t="shared" ref="O5" si="5">IF(N5=0,0,(P5/N5))</f>
        <v>100.241867816092</v>
      </c>
      <c r="P5" s="1026">
        <f>Purchase!C9-Purchase!N9</f>
        <v>17442085</v>
      </c>
      <c r="Q5" s="953">
        <f>Purchase!B10</f>
        <v>37000</v>
      </c>
      <c r="R5" s="2228">
        <f t="shared" ref="R5" si="6">IF(Q5=0,0,(S5/Q5))</f>
        <v>81.6698648648649</v>
      </c>
      <c r="S5" s="1026">
        <f>Purchase!C10-Purchase!N10</f>
        <v>3021785</v>
      </c>
      <c r="T5" s="953">
        <f>Purchase!B11</f>
        <v>128000</v>
      </c>
      <c r="U5" s="2228">
        <f t="shared" ref="U5" si="7">IF(T5=0,0,(V5/T5))</f>
        <v>96.4795859375</v>
      </c>
      <c r="V5" s="1026">
        <f>Purchase!C11-Purchase!N11</f>
        <v>12349387</v>
      </c>
      <c r="W5" s="1054">
        <f>Purchase!B12</f>
        <v>120000</v>
      </c>
      <c r="X5" s="2228">
        <f t="shared" ref="X5" si="8">IF(W5=0,0,(Y5/W5))</f>
        <v>90.824375</v>
      </c>
      <c r="Y5" s="954">
        <f>ROUND((Purchase!C12-Purchase!N12),0)</f>
        <v>10898925</v>
      </c>
      <c r="Z5" s="953">
        <f>Purchase!B13</f>
        <v>106000</v>
      </c>
      <c r="AA5" s="2228">
        <f t="shared" ref="AA5" si="9">IF(Z5=0,0,(AB5/Z5))</f>
        <v>90.1617547169811</v>
      </c>
      <c r="AB5" s="1026">
        <f>Purchase!C13-Purchase!N13</f>
        <v>9557146</v>
      </c>
      <c r="AC5" s="953">
        <f>Purchase!B14</f>
        <v>169000</v>
      </c>
      <c r="AD5" s="2228">
        <f t="shared" ref="AD5" si="10">IF(AC5=0,0,(AE5/AC5))</f>
        <v>97.049650887574</v>
      </c>
      <c r="AE5" s="1026">
        <f>ROUND((Purchase!C14-Purchase!N14),0)</f>
        <v>16401391</v>
      </c>
      <c r="AF5" s="1054">
        <f>Purchase!B15</f>
        <v>116000</v>
      </c>
      <c r="AG5" s="2228">
        <f t="shared" ref="AG5" si="11">IF(AF5=0,0,(AH5/AF5))</f>
        <v>99.38925</v>
      </c>
      <c r="AH5" s="954">
        <f>Purchase!C15-Purchase!N15</f>
        <v>11529153</v>
      </c>
      <c r="AI5" s="953">
        <f>Purchase!B16</f>
        <v>98000</v>
      </c>
      <c r="AJ5" s="2228">
        <f t="shared" ref="AJ5" si="12">IF(AI5=0,0,(AK5/AI5))</f>
        <v>126.706143061224</v>
      </c>
      <c r="AK5" s="1026">
        <f>Purchase!C16-Purchase!N16</f>
        <v>12417202.02</v>
      </c>
      <c r="AL5" s="2317">
        <f>SUM(B5,E5,H5,K5,N5,Q5,T5,W5,Z5,AC5,AF5,AI5)</f>
        <v>1394000</v>
      </c>
      <c r="AM5" s="2318">
        <f t="shared" ref="AM5" si="13">IF(AL5=0,0,(AN5/AL5))</f>
        <v>96.9577883931133</v>
      </c>
      <c r="AN5" s="2319">
        <f>SUM(D5,G5,J5,M5,P5,S5,V5,Y5,AB5,AE5,AH5,AK5)</f>
        <v>135159157.02</v>
      </c>
      <c r="AO5" s="1431">
        <f>ROUND((Purchase!C17-Purchase!N17),0)</f>
        <v>135159157</v>
      </c>
      <c r="AP5" s="242">
        <f>AN5-AO5</f>
        <v>0.0200000107288361</v>
      </c>
    </row>
    <row r="6" ht="14.25" spans="1:40">
      <c r="A6" s="956" t="s">
        <v>321</v>
      </c>
      <c r="B6" s="957"/>
      <c r="C6" s="962">
        <f t="shared" si="1"/>
        <v>0</v>
      </c>
      <c r="D6" s="2229"/>
      <c r="E6" s="957"/>
      <c r="F6" s="1081"/>
      <c r="G6" s="1115"/>
      <c r="H6" s="1043"/>
      <c r="I6" s="1081"/>
      <c r="J6" s="958"/>
      <c r="K6" s="957"/>
      <c r="L6" s="1081"/>
      <c r="M6" s="2229"/>
      <c r="N6" s="957"/>
      <c r="O6" s="1081"/>
      <c r="P6" s="2229"/>
      <c r="Q6" s="957"/>
      <c r="R6" s="1081"/>
      <c r="S6" s="2229"/>
      <c r="T6" s="957"/>
      <c r="U6" s="1081"/>
      <c r="V6" s="2229"/>
      <c r="W6" s="1043"/>
      <c r="X6" s="1081"/>
      <c r="Y6" s="958"/>
      <c r="Z6" s="957"/>
      <c r="AA6" s="1081"/>
      <c r="AB6" s="2229"/>
      <c r="AC6" s="957"/>
      <c r="AD6" s="1081"/>
      <c r="AE6" s="2229"/>
      <c r="AF6" s="1043"/>
      <c r="AG6" s="1081"/>
      <c r="AH6" s="1098"/>
      <c r="AI6" s="957"/>
      <c r="AJ6" s="1081"/>
      <c r="AK6" s="1115"/>
      <c r="AL6" s="2320">
        <f t="shared" ref="AL6:AL7" si="14">SUM(B6:AI6)</f>
        <v>0</v>
      </c>
      <c r="AM6" s="2321"/>
      <c r="AN6" s="2322"/>
    </row>
    <row r="7" spans="1:40">
      <c r="A7" s="1002" t="s">
        <v>322</v>
      </c>
      <c r="B7" s="1003"/>
      <c r="C7" s="1004">
        <f t="shared" si="1"/>
        <v>0</v>
      </c>
      <c r="D7" s="1005"/>
      <c r="E7" s="1003"/>
      <c r="F7" s="1129"/>
      <c r="G7" s="1130"/>
      <c r="H7" s="1067"/>
      <c r="I7" s="1129"/>
      <c r="J7" s="1092"/>
      <c r="K7" s="1003"/>
      <c r="L7" s="1129"/>
      <c r="M7" s="1005"/>
      <c r="N7" s="1003"/>
      <c r="O7" s="1129"/>
      <c r="P7" s="1005"/>
      <c r="Q7" s="1003"/>
      <c r="R7" s="1129"/>
      <c r="S7" s="1005"/>
      <c r="T7" s="1003"/>
      <c r="U7" s="1129"/>
      <c r="V7" s="1005"/>
      <c r="W7" s="1067"/>
      <c r="X7" s="1129"/>
      <c r="Y7" s="1092"/>
      <c r="Z7" s="1003"/>
      <c r="AA7" s="1129"/>
      <c r="AB7" s="1005"/>
      <c r="AC7" s="1003"/>
      <c r="AD7" s="1129"/>
      <c r="AE7" s="1005"/>
      <c r="AF7" s="1067"/>
      <c r="AG7" s="1129"/>
      <c r="AH7" s="1149"/>
      <c r="AI7" s="1003"/>
      <c r="AJ7" s="1129"/>
      <c r="AK7" s="1130"/>
      <c r="AL7" s="2323">
        <f t="shared" si="14"/>
        <v>0</v>
      </c>
      <c r="AM7" s="2324"/>
      <c r="AN7" s="2325"/>
    </row>
    <row r="8" spans="1:42">
      <c r="A8" s="1223" t="s">
        <v>323</v>
      </c>
      <c r="B8" s="1268">
        <f>'Inventory Sales'!B25</f>
        <v>40000</v>
      </c>
      <c r="C8" s="2230">
        <f t="shared" si="1"/>
        <v>93.342375</v>
      </c>
      <c r="D8" s="2231">
        <f>'Inventory Sales'!D42-(D16+D24)</f>
        <v>3733695</v>
      </c>
      <c r="E8" s="1268">
        <f>'Inventory Sales'!E25</f>
        <v>14000</v>
      </c>
      <c r="F8" s="2230">
        <f t="shared" ref="F8:F10" si="15">IF(E8=0,0,(G8/E8))</f>
        <v>98.7728571428571</v>
      </c>
      <c r="G8" s="2231">
        <f>'Inventory Sales'!G42-(G16+G24)</f>
        <v>1382820</v>
      </c>
      <c r="H8" s="1268">
        <f>'Inventory Sales'!H25</f>
        <v>51000</v>
      </c>
      <c r="I8" s="2230">
        <f t="shared" ref="I8:I10" si="16">IF(H8=0,0,(J8/H8))</f>
        <v>92.166862745098</v>
      </c>
      <c r="J8" s="2231">
        <f>'Inventory Sales'!J42-(J16+J24)</f>
        <v>4700510</v>
      </c>
      <c r="K8" s="1268">
        <f>'Inventory Sales'!K25</f>
        <v>55000</v>
      </c>
      <c r="L8" s="2230">
        <f t="shared" ref="L8" si="17">IF(K8=0,0,(M8/K8))</f>
        <v>93.3425454545455</v>
      </c>
      <c r="M8" s="2231">
        <f>'Inventory Sales'!M42-(M16+M24)</f>
        <v>5133840</v>
      </c>
      <c r="N8" s="1268">
        <f>'Inventory Sales'!N25</f>
        <v>58000</v>
      </c>
      <c r="O8" s="2230">
        <f t="shared" ref="O8" si="18">IF(N8=0,0,(P8/N8))</f>
        <v>93.5398275862069</v>
      </c>
      <c r="P8" s="2231">
        <f>'Inventory Sales'!P42-(P16+P24)</f>
        <v>5425310</v>
      </c>
      <c r="Q8" s="1268">
        <f>'Inventory Sales'!Q25</f>
        <v>31000</v>
      </c>
      <c r="R8" s="2230">
        <f t="shared" ref="R8" si="19">IF(Q8=0,0,(S8/Q8))</f>
        <v>94.4654838709677</v>
      </c>
      <c r="S8" s="2231">
        <f>'Inventory Sales'!S42-(S16+S24)</f>
        <v>2928430</v>
      </c>
      <c r="T8" s="1268">
        <f>'Inventory Sales'!T25</f>
        <v>24000</v>
      </c>
      <c r="U8" s="2230">
        <f t="shared" ref="U8" si="20">IF(T8=0,0,(V8/T8))</f>
        <v>96.0366666666667</v>
      </c>
      <c r="V8" s="2231">
        <f>'Inventory Sales'!V42-(V16+V24)</f>
        <v>2304880</v>
      </c>
      <c r="W8" s="1319">
        <f>'Inventory Sales'!W25</f>
        <v>15000</v>
      </c>
      <c r="X8" s="2230">
        <f t="shared" ref="X8:X10" si="21">IF(W8=0,0,(Y8/W8))</f>
        <v>87.6833333333333</v>
      </c>
      <c r="Y8" s="2272">
        <f>'Inventory Sales'!Y42-(Y16+Y24)</f>
        <v>1315250</v>
      </c>
      <c r="Z8" s="1268">
        <f>'Inventory Sales'!Z25</f>
        <v>31000</v>
      </c>
      <c r="AA8" s="2230">
        <f t="shared" ref="AA8:AA10" si="22">IF(Z8=0,0,(AB8/Z8))</f>
        <v>92.6016129032258</v>
      </c>
      <c r="AB8" s="2231">
        <f>'Inventory Sales'!AB42-(AB16+AB24)</f>
        <v>2870650</v>
      </c>
      <c r="AC8" s="1268">
        <f>'Inventory Sales'!AC25</f>
        <v>38000</v>
      </c>
      <c r="AD8" s="2230">
        <f t="shared" ref="AD8:AD10" si="23">IF(AC8=0,0,(AE8/AC8))</f>
        <v>93.6321052631579</v>
      </c>
      <c r="AE8" s="2231">
        <f>'Inventory Sales'!AE42-(AE16+AE24)</f>
        <v>3558020</v>
      </c>
      <c r="AF8" s="1319">
        <f>'Inventory Sales'!AF25</f>
        <v>37000</v>
      </c>
      <c r="AG8" s="2230">
        <f t="shared" ref="AG8:AG10" si="24">IF(AF8=0,0,(AH8/AF8))</f>
        <v>94.2102702702703</v>
      </c>
      <c r="AH8" s="2272">
        <f>'Inventory Sales'!AH42-(AH16+AH24)</f>
        <v>3485780</v>
      </c>
      <c r="AI8" s="1268">
        <f>'Inventory Sales'!AI25</f>
        <v>25000</v>
      </c>
      <c r="AJ8" s="2230">
        <f t="shared" ref="AJ8:AJ10" si="25">IF(AI8=0,0,(AK8/AI8))</f>
        <v>102.8304</v>
      </c>
      <c r="AK8" s="2231">
        <f>'Inventory Sales'!AK42-(AK16+AK24)</f>
        <v>2570760</v>
      </c>
      <c r="AL8" s="2317">
        <f>SUM(B8,E8,H8,K8,N8,Q8,T8,W8,Z8,AC8,AF8,AI8)</f>
        <v>419000</v>
      </c>
      <c r="AM8" s="2326">
        <f t="shared" ref="AM8:AM10" si="26">IF(AL8=0,0,(AN8/AL8))</f>
        <v>94.0571479713604</v>
      </c>
      <c r="AN8" s="2319">
        <f>SUM(D8,G8,J8,M8,P8,S8,V8,Y8,AB8,AE8,AH8,AK8)</f>
        <v>39409945</v>
      </c>
      <c r="AO8" s="1431">
        <f>'Inventory Sales'!AN42</f>
        <v>40189410</v>
      </c>
      <c r="AP8" s="242">
        <f>AN8-AO8</f>
        <v>-779465</v>
      </c>
    </row>
    <row r="9" ht="15" spans="1:42">
      <c r="A9" s="960" t="s">
        <v>324</v>
      </c>
      <c r="B9" s="2232">
        <f>'Stock Valuation (FIFO)'!E5</f>
        <v>180315</v>
      </c>
      <c r="C9" s="984">
        <f t="shared" si="1"/>
        <v>99.6007431439426</v>
      </c>
      <c r="D9" s="2233">
        <f>'Stock Valuation (FIFO)'!G5</f>
        <v>17959508</v>
      </c>
      <c r="E9" s="2232">
        <f>'Stock Valuation (FIFO)'!H5</f>
        <v>147410</v>
      </c>
      <c r="F9" s="984">
        <f t="shared" si="15"/>
        <v>97.4889152703344</v>
      </c>
      <c r="G9" s="2233">
        <f>'Stock Valuation (FIFO)'!J5</f>
        <v>14370841</v>
      </c>
      <c r="H9" s="2232">
        <f>'Stock Valuation (FIFO)'!K5</f>
        <v>164125</v>
      </c>
      <c r="I9" s="984">
        <f t="shared" si="16"/>
        <v>97.3383945163747</v>
      </c>
      <c r="J9" s="2233">
        <f>'Stock Valuation (FIFO)'!M5</f>
        <v>15975664</v>
      </c>
      <c r="K9" s="2232">
        <f>'Stock Valuation (FIFO)'!N5</f>
        <v>146140</v>
      </c>
      <c r="L9" s="984">
        <f t="shared" ref="L9:L10" si="27">IF(K9=0,0,(M9/K9))</f>
        <v>99.4379293827836</v>
      </c>
      <c r="M9" s="2233">
        <f>'Stock Valuation (FIFO)'!P5</f>
        <v>14531859</v>
      </c>
      <c r="N9" s="2232">
        <f>'Stock Valuation (FIFO)'!Q5</f>
        <v>187620</v>
      </c>
      <c r="O9" s="984">
        <f t="shared" ref="O9:O10" si="28">IF(N9=0,0,(P9/N9))</f>
        <v>101.203821554205</v>
      </c>
      <c r="P9" s="2233">
        <f>'Stock Valuation (FIFO)'!S5</f>
        <v>18987861</v>
      </c>
      <c r="Q9" s="2232">
        <f>'Stock Valuation (FIFO)'!T5</f>
        <v>114680</v>
      </c>
      <c r="R9" s="984">
        <f t="shared" ref="R9:R10" si="29">IF(Q9=0,0,(S9/Q9))</f>
        <v>100.403392047436</v>
      </c>
      <c r="S9" s="2233">
        <f>'Stock Valuation (FIFO)'!V5</f>
        <v>11514261</v>
      </c>
      <c r="T9" s="2232">
        <f>'Stock Valuation (FIFO)'!W5</f>
        <v>139725</v>
      </c>
      <c r="U9" s="2284">
        <f t="shared" ref="U9:U10" si="30">IF(T9=0,0,(V9/T9))</f>
        <v>98.7322526391125</v>
      </c>
      <c r="V9" s="2285">
        <f>'Stock Valuation (FIFO)'!Y5</f>
        <v>13795364</v>
      </c>
      <c r="W9" s="1047">
        <f>'Stock Valuation (FIFO)'!Z5</f>
        <v>164310</v>
      </c>
      <c r="X9" s="2284">
        <f t="shared" si="21"/>
        <v>97.31145395898</v>
      </c>
      <c r="Y9" s="2290">
        <f>'Stock Valuation (FIFO)'!AB5</f>
        <v>15989245</v>
      </c>
      <c r="Z9" s="2291">
        <f>'Stock Valuation (FIFO)'!AC5</f>
        <v>135475</v>
      </c>
      <c r="AA9" s="2284">
        <f t="shared" si="22"/>
        <v>96.0668462816018</v>
      </c>
      <c r="AB9" s="2292">
        <f>'Stock Valuation (FIFO)'!AE5</f>
        <v>13014656</v>
      </c>
      <c r="AC9" s="2291">
        <f>'Stock Valuation (FIFO)'!AF5</f>
        <v>174670</v>
      </c>
      <c r="AD9" s="2284">
        <f t="shared" si="23"/>
        <v>98.9561057995076</v>
      </c>
      <c r="AE9" s="2292">
        <f>'Stock Valuation (FIFO)'!AH5</f>
        <v>17284663</v>
      </c>
      <c r="AF9" s="2303">
        <f>'Stock Valuation (FIFO)'!AI5</f>
        <v>154290</v>
      </c>
      <c r="AG9" s="2284">
        <f t="shared" si="24"/>
        <v>103.477302482338</v>
      </c>
      <c r="AH9" s="2306">
        <f>'Stock Valuation (FIFO)'!AK5</f>
        <v>15965513</v>
      </c>
      <c r="AI9" s="2307">
        <f>'Stock Valuation (FIFO)'!AL5</f>
        <v>141140</v>
      </c>
      <c r="AJ9" s="2284">
        <f t="shared" si="25"/>
        <v>121.975067309055</v>
      </c>
      <c r="AK9" s="2327">
        <f>'Stock Valuation (FIFO)'!AN5</f>
        <v>17215561</v>
      </c>
      <c r="AL9" s="2328">
        <f>AI9</f>
        <v>141140</v>
      </c>
      <c r="AM9" s="2329">
        <f t="shared" si="26"/>
        <v>121.975067309055</v>
      </c>
      <c r="AN9" s="2330">
        <f>AK9</f>
        <v>17215561</v>
      </c>
      <c r="AO9" s="1431">
        <f>'Stock Valuation (FIFO)'!AB5</f>
        <v>15989245</v>
      </c>
      <c r="AP9" s="242">
        <f>AN9-AO9</f>
        <v>1226316</v>
      </c>
    </row>
    <row r="10" ht="14.25" spans="1:40">
      <c r="A10" s="2234" t="s">
        <v>325</v>
      </c>
      <c r="B10" s="2235">
        <f>(B4+B5+B6)-(B8+B9)</f>
        <v>76530</v>
      </c>
      <c r="C10" s="2236">
        <f t="shared" si="1"/>
        <v>93.9930484777212</v>
      </c>
      <c r="D10" s="2237">
        <f>(D4+D5)-(D8+D9)</f>
        <v>7193288</v>
      </c>
      <c r="E10" s="2235">
        <f>(E4+E5)-(E8+E9)</f>
        <v>75905</v>
      </c>
      <c r="F10" s="2236">
        <f t="shared" si="15"/>
        <v>97.4949344575456</v>
      </c>
      <c r="G10" s="2237">
        <f>(G4+G5)-(G8+G9)</f>
        <v>7400353</v>
      </c>
      <c r="H10" s="2235">
        <f>(H4+H5)-(H8+H9)</f>
        <v>83285</v>
      </c>
      <c r="I10" s="2236">
        <f t="shared" si="16"/>
        <v>99.2756798943387</v>
      </c>
      <c r="J10" s="2237">
        <f>(J4+J5)-(J8+J9)</f>
        <v>8268175</v>
      </c>
      <c r="K10" s="2235">
        <f>(K4+K5)-(K8+K9)</f>
        <v>99985</v>
      </c>
      <c r="L10" s="2236">
        <f t="shared" si="27"/>
        <v>89.183777566635</v>
      </c>
      <c r="M10" s="2237">
        <f>(M4+M5)-(M8+M9)</f>
        <v>8917040</v>
      </c>
      <c r="N10" s="2235">
        <f>(N4+N5)-(N8+N9)</f>
        <v>74520</v>
      </c>
      <c r="O10" s="2236">
        <f t="shared" si="28"/>
        <v>101.459648416532</v>
      </c>
      <c r="P10" s="2237">
        <f>(P4+P5)-(P8+P9)</f>
        <v>7560773</v>
      </c>
      <c r="Q10" s="2235">
        <f>(Q4+Q5)-(Q8+Q9)</f>
        <v>78940</v>
      </c>
      <c r="R10" s="2236">
        <f t="shared" si="29"/>
        <v>95.8570433240436</v>
      </c>
      <c r="S10" s="2237">
        <f>(S4+S5)-(S8+S9)</f>
        <v>7566955</v>
      </c>
      <c r="T10" s="2235">
        <f>(T4+T5)-(T8+T9)</f>
        <v>78955</v>
      </c>
      <c r="U10" s="2286">
        <f t="shared" si="30"/>
        <v>98.3269457285796</v>
      </c>
      <c r="V10" s="2287">
        <f>(V4+V5)-(V8+V9)</f>
        <v>7763404</v>
      </c>
      <c r="W10" s="2288">
        <f>(W4+W5)-(W8+W9)</f>
        <v>80415</v>
      </c>
      <c r="X10" s="2286">
        <f t="shared" si="21"/>
        <v>91.8957159733881</v>
      </c>
      <c r="Y10" s="2293">
        <f>(Y4+Y5)-(Y8+Y9)</f>
        <v>7389794</v>
      </c>
      <c r="Z10" s="2235">
        <f>(Z4+Z5)-(Z8+Z9)</f>
        <v>103835</v>
      </c>
      <c r="AA10" s="2286">
        <f t="shared" si="22"/>
        <v>93.0426638416719</v>
      </c>
      <c r="AB10" s="2287">
        <f>(AB4+AB5)-(AB8+AB9)</f>
        <v>9661085</v>
      </c>
      <c r="AC10" s="2235">
        <f>(AC4+AC5)-(AC8+AC9)</f>
        <v>91805</v>
      </c>
      <c r="AD10" s="2286">
        <f t="shared" si="23"/>
        <v>93.3866782854964</v>
      </c>
      <c r="AE10" s="2287">
        <f>(AE4+AE5)-(AE8+AE9)</f>
        <v>8573364</v>
      </c>
      <c r="AF10" s="2235">
        <f>(AF4+AF5)-(AF8+AF9)</f>
        <v>99380</v>
      </c>
      <c r="AG10" s="2286">
        <f t="shared" si="24"/>
        <v>94.2093278325619</v>
      </c>
      <c r="AH10" s="2287">
        <f>(AH4+AH5)-(AH8+AH9)</f>
        <v>9362523</v>
      </c>
      <c r="AI10" s="2235">
        <f>(AI4+AI5)-(AI8+AI9)</f>
        <v>86150</v>
      </c>
      <c r="AJ10" s="2286">
        <f t="shared" si="25"/>
        <v>99.7840280905397</v>
      </c>
      <c r="AK10" s="2287">
        <f>(AK4+AK5)-(AK8+AK9)</f>
        <v>8596394.02</v>
      </c>
      <c r="AL10" s="2331">
        <f>(AL4+AL5)-(AL8+AL9)</f>
        <v>1029705</v>
      </c>
      <c r="AM10" s="2332">
        <f t="shared" si="26"/>
        <v>95.4187345113406</v>
      </c>
      <c r="AN10" s="2333">
        <f>(AN4+AN5)-(AN8+AN9)</f>
        <v>98253148.02</v>
      </c>
    </row>
    <row r="11" ht="15" spans="1:40">
      <c r="A11" s="2238" t="s">
        <v>33</v>
      </c>
      <c r="B11" s="2238"/>
      <c r="C11" s="2239"/>
      <c r="D11" s="2240"/>
      <c r="E11" s="2238"/>
      <c r="F11" s="2244"/>
      <c r="G11" s="2265"/>
      <c r="H11" s="2244"/>
      <c r="I11" s="2244"/>
      <c r="J11" s="2244"/>
      <c r="K11" s="2238"/>
      <c r="L11" s="2244"/>
      <c r="M11" s="2265"/>
      <c r="N11" s="2238"/>
      <c r="O11" s="2244"/>
      <c r="P11" s="2265"/>
      <c r="Q11" s="2238"/>
      <c r="R11" s="2244"/>
      <c r="S11" s="2265"/>
      <c r="T11" s="2244"/>
      <c r="U11" s="2244"/>
      <c r="V11" s="2244"/>
      <c r="W11" s="2238"/>
      <c r="X11" s="2244"/>
      <c r="Y11" s="2239"/>
      <c r="Z11" s="2238"/>
      <c r="AA11" s="2244"/>
      <c r="AB11" s="2265"/>
      <c r="AC11" s="2238"/>
      <c r="AD11" s="2244"/>
      <c r="AE11" s="2265"/>
      <c r="AF11" s="2244"/>
      <c r="AG11" s="2244"/>
      <c r="AH11" s="2244"/>
      <c r="AI11" s="2238"/>
      <c r="AJ11" s="2244"/>
      <c r="AK11" s="2265"/>
      <c r="AL11" s="2334"/>
      <c r="AM11" s="2335"/>
      <c r="AN11" s="2336"/>
    </row>
    <row r="12" spans="1:40">
      <c r="A12" s="948" t="s">
        <v>319</v>
      </c>
      <c r="B12" s="949">
        <f>'Stock Valuation (FIFO)'!B6</f>
        <v>1664</v>
      </c>
      <c r="C12" s="2227">
        <f>IF(B12=0,0,(D12/B12))</f>
        <v>223.625</v>
      </c>
      <c r="D12" s="963">
        <f>'Stock Valuation (FIFO)'!D6</f>
        <v>372112</v>
      </c>
      <c r="E12" s="949">
        <f>B17</f>
        <v>2120</v>
      </c>
      <c r="F12" s="2227">
        <f>IF(E12=0,0,(G12/E12))</f>
        <v>227.343396226415</v>
      </c>
      <c r="G12" s="963">
        <f>D17</f>
        <v>481968</v>
      </c>
      <c r="H12" s="1041">
        <f>E17</f>
        <v>2294</v>
      </c>
      <c r="I12" s="2227">
        <f>IF(H12=0,0,(J12/H12))</f>
        <v>249.529642545772</v>
      </c>
      <c r="J12" s="1083">
        <f>G17</f>
        <v>572421</v>
      </c>
      <c r="K12" s="949">
        <f>H17</f>
        <v>2613</v>
      </c>
      <c r="L12" s="2227">
        <f>IF(K12=0,0,(M12/K12))</f>
        <v>236.997321086873</v>
      </c>
      <c r="M12" s="963">
        <f>J17</f>
        <v>619274</v>
      </c>
      <c r="N12" s="949">
        <f>K17</f>
        <v>2769</v>
      </c>
      <c r="O12" s="2227">
        <f>IF(N12=0,0,(P12/N12))</f>
        <v>264.361141206212</v>
      </c>
      <c r="P12" s="963">
        <f>M17</f>
        <v>732016</v>
      </c>
      <c r="Q12" s="949">
        <f>N17</f>
        <v>3082</v>
      </c>
      <c r="R12" s="2227">
        <f>IF(Q12=0,0,(S12/Q12))</f>
        <v>263.878974691759</v>
      </c>
      <c r="S12" s="963">
        <f>P17</f>
        <v>813275</v>
      </c>
      <c r="T12" s="949">
        <f>Q17</f>
        <v>2819</v>
      </c>
      <c r="U12" s="2227">
        <f>IF(T12=0,0,(V12/T12))</f>
        <v>256.028378857751</v>
      </c>
      <c r="V12" s="963">
        <f>S17</f>
        <v>721744</v>
      </c>
      <c r="W12" s="1041">
        <f>T17</f>
        <v>2895</v>
      </c>
      <c r="X12" s="2227">
        <f>IF(W12=0,0,(Y12/W12))</f>
        <v>236.59896373057</v>
      </c>
      <c r="Y12" s="1083">
        <f>V17</f>
        <v>684954</v>
      </c>
      <c r="Z12" s="1143">
        <f>W17</f>
        <v>2396</v>
      </c>
      <c r="AA12" s="2227">
        <f>IF(Z12=0,0,(AB12/Z12))</f>
        <v>227.956594323873</v>
      </c>
      <c r="AB12" s="951">
        <f>Y17</f>
        <v>546184</v>
      </c>
      <c r="AC12" s="1143">
        <f>Z17</f>
        <v>2395</v>
      </c>
      <c r="AD12" s="2227">
        <f>IF(AC12=0,0,(AE12/AC12))</f>
        <v>237.166597077244</v>
      </c>
      <c r="AE12" s="951">
        <f>AB17</f>
        <v>568014</v>
      </c>
      <c r="AF12" s="1143">
        <f>AC17</f>
        <v>2511</v>
      </c>
      <c r="AG12" s="2227">
        <f>IF(AF12=0,0,(AH12/AF12))</f>
        <v>241.376344086022</v>
      </c>
      <c r="AH12" s="951">
        <f>AE17</f>
        <v>606096</v>
      </c>
      <c r="AI12" s="1143">
        <f>AF17</f>
        <v>3260</v>
      </c>
      <c r="AJ12" s="2227">
        <f>IF(AI12=0,0,(AK12/AI12))</f>
        <v>233.591104294479</v>
      </c>
      <c r="AK12" s="951">
        <f>AH17</f>
        <v>761507</v>
      </c>
      <c r="AL12" s="2314">
        <f>B12</f>
        <v>1664</v>
      </c>
      <c r="AM12" s="2315">
        <f>IF(AL12=0,0,(AN12/AL12))</f>
        <v>223.625</v>
      </c>
      <c r="AN12" s="2316">
        <f>D12</f>
        <v>372112</v>
      </c>
    </row>
    <row r="13" spans="1:42">
      <c r="A13" s="952" t="s">
        <v>320</v>
      </c>
      <c r="B13" s="953">
        <f>ROUND((Purchase!$E5),0)</f>
        <v>1522</v>
      </c>
      <c r="C13" s="2228">
        <f t="shared" ref="C13:C18" si="31">IF(B13=0,0,(D13/B13))</f>
        <v>234.860709592641</v>
      </c>
      <c r="D13" s="1026">
        <f>ROUND((Purchase!$F5),0)</f>
        <v>357458</v>
      </c>
      <c r="E13" s="953">
        <f>ROUND((Purchase!$E6),)</f>
        <v>1174</v>
      </c>
      <c r="F13" s="2228">
        <f t="shared" ref="F13" si="32">IF(E13=0,0,(G13/E13))</f>
        <v>255.945485519591</v>
      </c>
      <c r="G13" s="1026">
        <f>ROUND((Purchase!$F6),0)</f>
        <v>300480</v>
      </c>
      <c r="H13" s="953">
        <f>ROUND((Purchase!$E7),0)</f>
        <v>1664</v>
      </c>
      <c r="I13" s="2228">
        <f t="shared" ref="I13" si="33">IF(H13=0,0,(J13/H13))</f>
        <v>235.359975961538</v>
      </c>
      <c r="J13" s="1026">
        <f>ROUND((Purchase!$F7),0)</f>
        <v>391639</v>
      </c>
      <c r="K13" s="953">
        <f>ROUND((Purchase!$E8),0)</f>
        <v>1650</v>
      </c>
      <c r="L13" s="2228">
        <f t="shared" ref="L13" si="34">IF(K13=0,0,(M13/K13))</f>
        <v>261.666666666667</v>
      </c>
      <c r="M13" s="1026">
        <f>ROUND((Purchase!$F8),0)</f>
        <v>431750</v>
      </c>
      <c r="N13" s="953">
        <f>ROUND((Purchase!$E9),0)</f>
        <v>1596</v>
      </c>
      <c r="O13" s="2228">
        <f t="shared" ref="O13" si="35">IF(N13=0,0,(P13/N13))</f>
        <v>263.330827067669</v>
      </c>
      <c r="P13" s="1026">
        <f>ROUND((Purchase!$F9),0)</f>
        <v>420276</v>
      </c>
      <c r="Q13" s="953">
        <f>ROUND((Purchase!$E10),0)</f>
        <v>844</v>
      </c>
      <c r="R13" s="2228">
        <f t="shared" ref="R13" si="36">IF(Q13=0,0,(S13/Q13))</f>
        <v>229.957345971564</v>
      </c>
      <c r="S13" s="1026">
        <f>ROUND((Purchase!$F10),0)</f>
        <v>194084</v>
      </c>
      <c r="T13" s="953">
        <f>ROUND((Purchase!$E11),0)</f>
        <v>1196</v>
      </c>
      <c r="U13" s="2228">
        <f t="shared" ref="U13" si="37">IF(T13=0,0,(V13/T13))</f>
        <v>226.039297658863</v>
      </c>
      <c r="V13" s="1026">
        <f>ROUND((Purchase!$F11),0)</f>
        <v>270343</v>
      </c>
      <c r="W13" s="1054">
        <f>ROUND((Purchase!$E12),0)</f>
        <v>945</v>
      </c>
      <c r="X13" s="2228">
        <f t="shared" ref="X13:X18" si="38">IF(W13=0,0,(Y13/W13))</f>
        <v>227.208465608466</v>
      </c>
      <c r="Y13" s="954">
        <f>ROUND((Purchase!$F12),)</f>
        <v>214712</v>
      </c>
      <c r="Z13" s="953">
        <f>ROUND((Purchase!E13),0)</f>
        <v>1572</v>
      </c>
      <c r="AA13" s="2228">
        <f t="shared" ref="AA13:AA18" si="39">IF(Z13=0,0,(AB13/Z13))</f>
        <v>239.738549618321</v>
      </c>
      <c r="AB13" s="1026">
        <f>ROUND((Purchase!F13),0)</f>
        <v>376869</v>
      </c>
      <c r="AC13" s="953">
        <f>ROUND((Purchase!E14),0)</f>
        <v>1449</v>
      </c>
      <c r="AD13" s="2228">
        <f t="shared" ref="AD13:AD18" si="40">IF(AC13=0,0,(AE13/AC13))</f>
        <v>233.644582470669</v>
      </c>
      <c r="AE13" s="1026">
        <f>ROUND((Purchase!F14),0)</f>
        <v>338551</v>
      </c>
      <c r="AF13" s="953">
        <f>ROUND((Purchase!E15),0)</f>
        <v>1871</v>
      </c>
      <c r="AG13" s="2228">
        <f t="shared" ref="AG13:AG18" si="41">IF(AF13=0,0,(AH13/AF13))</f>
        <v>233.018706574025</v>
      </c>
      <c r="AH13" s="1026">
        <f>ROUND((Purchase!F15),0)</f>
        <v>435978</v>
      </c>
      <c r="AI13" s="953">
        <f>Purchase!E16</f>
        <v>0</v>
      </c>
      <c r="AJ13" s="2228">
        <f t="shared" ref="AJ13:AJ18" si="42">IF(AI13=0,0,(AK13/AI13))</f>
        <v>0</v>
      </c>
      <c r="AK13" s="1026">
        <f>ROUND((Purchase!F16),0)</f>
        <v>0</v>
      </c>
      <c r="AL13" s="2317">
        <f>SUM(B13,E13,H13,K13,N13,Q13,T13,W13,Z13,AC13,AF13,AI13)</f>
        <v>15483</v>
      </c>
      <c r="AM13" s="2318">
        <f t="shared" ref="AM13" si="43">IF(AL13=0,0,(AN13/AL13))</f>
        <v>241.0476005942</v>
      </c>
      <c r="AN13" s="2319">
        <f>SUM(D13,G13,J13,M13,P13,S13,V13,Y13,AB13,AE13,AH13,AK13)</f>
        <v>3732140</v>
      </c>
      <c r="AO13" s="1431">
        <f>ROUND((Purchase!F17),0)</f>
        <v>3732141</v>
      </c>
      <c r="AP13" s="242">
        <f>AN13-AO13</f>
        <v>-1</v>
      </c>
    </row>
    <row r="14" ht="14.25" spans="1:40">
      <c r="A14" s="956" t="s">
        <v>326</v>
      </c>
      <c r="B14" s="957"/>
      <c r="C14" s="962">
        <f t="shared" si="31"/>
        <v>0</v>
      </c>
      <c r="D14" s="2229"/>
      <c r="E14" s="957"/>
      <c r="F14" s="962">
        <f t="shared" ref="F14:F18" si="44">IF(E14=0,0,(G14/E14))</f>
        <v>0</v>
      </c>
      <c r="G14" s="2229"/>
      <c r="H14" s="1043"/>
      <c r="I14" s="962">
        <f t="shared" ref="I14:I18" si="45">IF(H14=0,0,(J14/H14))</f>
        <v>0</v>
      </c>
      <c r="J14" s="958"/>
      <c r="K14" s="957"/>
      <c r="L14" s="962">
        <f t="shared" ref="L14:L18" si="46">IF(K14=0,0,(M14/K14))</f>
        <v>0</v>
      </c>
      <c r="M14" s="2229"/>
      <c r="N14" s="957"/>
      <c r="O14" s="962">
        <f t="shared" ref="O14:O18" si="47">IF(N14=0,0,(P14/N14))</f>
        <v>0</v>
      </c>
      <c r="P14" s="2229"/>
      <c r="Q14" s="957"/>
      <c r="R14" s="962">
        <f t="shared" ref="R14:R18" si="48">IF(Q14=0,0,(S14/Q14))</f>
        <v>0</v>
      </c>
      <c r="S14" s="2229"/>
      <c r="T14" s="957"/>
      <c r="U14" s="962">
        <f t="shared" ref="U14:U18" si="49">IF(T14=0,0,(V14/T14))</f>
        <v>0</v>
      </c>
      <c r="V14" s="1115"/>
      <c r="W14" s="1043"/>
      <c r="X14" s="962">
        <f t="shared" si="38"/>
        <v>0</v>
      </c>
      <c r="Y14" s="1098"/>
      <c r="Z14" s="957"/>
      <c r="AA14" s="962">
        <f t="shared" si="39"/>
        <v>0</v>
      </c>
      <c r="AB14" s="2229"/>
      <c r="AC14" s="957"/>
      <c r="AD14" s="962">
        <f t="shared" si="40"/>
        <v>0</v>
      </c>
      <c r="AE14" s="2229"/>
      <c r="AF14" s="957"/>
      <c r="AG14" s="962">
        <f t="shared" si="41"/>
        <v>0</v>
      </c>
      <c r="AH14" s="2229"/>
      <c r="AI14" s="957"/>
      <c r="AJ14" s="962">
        <f t="shared" si="42"/>
        <v>0</v>
      </c>
      <c r="AK14" s="2229"/>
      <c r="AL14" s="2320">
        <f t="shared" ref="AL14:AL15" si="50">SUM(B14:AI14)</f>
        <v>0</v>
      </c>
      <c r="AM14" s="2321"/>
      <c r="AN14" s="2322"/>
    </row>
    <row r="15" spans="1:40">
      <c r="A15" s="1002" t="s">
        <v>322</v>
      </c>
      <c r="B15" s="1003"/>
      <c r="C15" s="1004">
        <f t="shared" si="31"/>
        <v>0</v>
      </c>
      <c r="D15" s="1005"/>
      <c r="E15" s="1003"/>
      <c r="F15" s="1004">
        <f t="shared" si="44"/>
        <v>0</v>
      </c>
      <c r="G15" s="1005"/>
      <c r="H15" s="1067"/>
      <c r="I15" s="1004">
        <f t="shared" si="45"/>
        <v>0</v>
      </c>
      <c r="J15" s="1092"/>
      <c r="K15" s="1003"/>
      <c r="L15" s="1004">
        <f t="shared" si="46"/>
        <v>0</v>
      </c>
      <c r="M15" s="1005"/>
      <c r="N15" s="1003"/>
      <c r="O15" s="1004">
        <f t="shared" si="47"/>
        <v>0</v>
      </c>
      <c r="P15" s="1005"/>
      <c r="Q15" s="1003"/>
      <c r="R15" s="1004">
        <f t="shared" si="48"/>
        <v>0</v>
      </c>
      <c r="S15" s="1005"/>
      <c r="T15" s="1003"/>
      <c r="U15" s="1004">
        <f t="shared" si="49"/>
        <v>0</v>
      </c>
      <c r="V15" s="1130"/>
      <c r="W15" s="1067"/>
      <c r="X15" s="1004">
        <f t="shared" si="38"/>
        <v>0</v>
      </c>
      <c r="Y15" s="1149"/>
      <c r="Z15" s="1003"/>
      <c r="AA15" s="1004">
        <f t="shared" si="39"/>
        <v>0</v>
      </c>
      <c r="AB15" s="1005"/>
      <c r="AC15" s="1003"/>
      <c r="AD15" s="1004">
        <f t="shared" si="40"/>
        <v>0</v>
      </c>
      <c r="AE15" s="1005"/>
      <c r="AF15" s="1003"/>
      <c r="AG15" s="1004">
        <f t="shared" si="41"/>
        <v>0</v>
      </c>
      <c r="AH15" s="1005"/>
      <c r="AI15" s="1003"/>
      <c r="AJ15" s="1004">
        <f t="shared" si="42"/>
        <v>0</v>
      </c>
      <c r="AK15" s="1005"/>
      <c r="AL15" s="2323">
        <f t="shared" si="50"/>
        <v>0</v>
      </c>
      <c r="AM15" s="2324"/>
      <c r="AN15" s="2325"/>
    </row>
    <row r="16" spans="1:40">
      <c r="A16" s="1223" t="s">
        <v>323</v>
      </c>
      <c r="B16" s="1268">
        <f>'Inventory Sales'!B24</f>
        <v>211</v>
      </c>
      <c r="C16" s="2230">
        <f t="shared" si="31"/>
        <v>310.450236966825</v>
      </c>
      <c r="D16" s="2231">
        <f>'Inventory Sales'!D24</f>
        <v>65505</v>
      </c>
      <c r="E16" s="1268">
        <f>'Inventory Sales'!E24</f>
        <v>25</v>
      </c>
      <c r="F16" s="2230">
        <f t="shared" si="44"/>
        <v>200</v>
      </c>
      <c r="G16" s="2231">
        <f>'Inventory Sales'!G24</f>
        <v>5000</v>
      </c>
      <c r="H16" s="1268">
        <f>'Inventory Sales'!H24</f>
        <v>228</v>
      </c>
      <c r="I16" s="2230">
        <f t="shared" si="45"/>
        <v>298.201754385965</v>
      </c>
      <c r="J16" s="2231">
        <f>'Inventory Sales'!J24</f>
        <v>67990</v>
      </c>
      <c r="K16" s="1268">
        <f>'Inventory Sales'!K24</f>
        <v>227</v>
      </c>
      <c r="L16" s="2230">
        <f t="shared" si="46"/>
        <v>304.669603524229</v>
      </c>
      <c r="M16" s="2231">
        <f>'Inventory Sales'!M24</f>
        <v>69160</v>
      </c>
      <c r="N16" s="1268">
        <f>'Inventory Sales'!N24</f>
        <v>367</v>
      </c>
      <c r="O16" s="2230">
        <f t="shared" si="47"/>
        <v>305.204359673024</v>
      </c>
      <c r="P16" s="2231">
        <f>'Inventory Sales'!P24</f>
        <v>112010</v>
      </c>
      <c r="Q16" s="1268">
        <f>'Inventory Sales'!Q24</f>
        <v>229</v>
      </c>
      <c r="R16" s="2230">
        <f t="shared" si="48"/>
        <v>302.489082969432</v>
      </c>
      <c r="S16" s="2231">
        <f>'Inventory Sales'!S24</f>
        <v>69270</v>
      </c>
      <c r="T16" s="1268">
        <f>'Inventory Sales'!T24</f>
        <v>221</v>
      </c>
      <c r="U16" s="2230">
        <f t="shared" si="49"/>
        <v>309.864253393665</v>
      </c>
      <c r="V16" s="2231">
        <f>'Inventory Sales'!V24</f>
        <v>68480</v>
      </c>
      <c r="W16" s="1319">
        <f>'Inventory Sales'!W24</f>
        <v>285</v>
      </c>
      <c r="X16" s="2230">
        <f t="shared" si="38"/>
        <v>286.140350877193</v>
      </c>
      <c r="Y16" s="2272">
        <f>'Inventory Sales'!Y24</f>
        <v>81550</v>
      </c>
      <c r="Z16" s="1268">
        <f>'Inventory Sales'!Z24</f>
        <v>175</v>
      </c>
      <c r="AA16" s="2230">
        <f t="shared" si="39"/>
        <v>274.285714285714</v>
      </c>
      <c r="AB16" s="2231">
        <f>'Inventory Sales'!AB24</f>
        <v>48000</v>
      </c>
      <c r="AC16" s="1268">
        <f>'Inventory Sales'!AC24</f>
        <v>215</v>
      </c>
      <c r="AD16" s="2230">
        <f t="shared" si="40"/>
        <v>310.697674418605</v>
      </c>
      <c r="AE16" s="2231">
        <f>'Inventory Sales'!AE24</f>
        <v>66800</v>
      </c>
      <c r="AF16" s="1268">
        <f>'Inventory Sales'!AF24</f>
        <v>237</v>
      </c>
      <c r="AG16" s="2230">
        <f t="shared" si="41"/>
        <v>329.367088607595</v>
      </c>
      <c r="AH16" s="2231">
        <f>'Inventory Sales'!AH24</f>
        <v>78060</v>
      </c>
      <c r="AI16" s="1268">
        <f>'Inventory Sales'!AI24</f>
        <v>90</v>
      </c>
      <c r="AJ16" s="2230">
        <f t="shared" si="42"/>
        <v>324.888888888889</v>
      </c>
      <c r="AK16" s="2231">
        <f>'Inventory Sales'!AK24</f>
        <v>29240</v>
      </c>
      <c r="AL16" s="2317">
        <f>SUM(B16,E16,H16,K16,N16,Q16,T16,W16,Z16,AC16,AF16,AI16)</f>
        <v>2510</v>
      </c>
      <c r="AM16" s="2326">
        <f t="shared" ref="AM16:AM18" si="51">IF(AL16=0,0,(AN16/AL16))</f>
        <v>303.213147410359</v>
      </c>
      <c r="AN16" s="2319">
        <f>SUM(D16,G16,J16,M16,P16,S16,V16,Y16,AB16,AE16,AH16,AK16)</f>
        <v>761065</v>
      </c>
    </row>
    <row r="17" ht="14.25" spans="1:42">
      <c r="A17" s="960" t="s">
        <v>324</v>
      </c>
      <c r="B17" s="2232">
        <f>'Stock Valuation (FIFO)'!E6</f>
        <v>2120</v>
      </c>
      <c r="C17" s="984">
        <f t="shared" si="31"/>
        <v>227.343396226415</v>
      </c>
      <c r="D17" s="2233">
        <f>'Stock Valuation (FIFO)'!G6</f>
        <v>481968</v>
      </c>
      <c r="E17" s="2232">
        <f>'Stock Valuation (FIFO)'!H6</f>
        <v>2294</v>
      </c>
      <c r="F17" s="984">
        <f t="shared" si="44"/>
        <v>249.529642545772</v>
      </c>
      <c r="G17" s="2233">
        <f>'Stock Valuation (FIFO)'!J6</f>
        <v>572421</v>
      </c>
      <c r="H17" s="2232">
        <f>'Stock Valuation (FIFO)'!K6</f>
        <v>2613</v>
      </c>
      <c r="I17" s="984">
        <f t="shared" si="45"/>
        <v>236.997321086873</v>
      </c>
      <c r="J17" s="2233">
        <f>'Stock Valuation (FIFO)'!M6</f>
        <v>619274</v>
      </c>
      <c r="K17" s="2232">
        <f>'Stock Valuation (FIFO)'!N6</f>
        <v>2769</v>
      </c>
      <c r="L17" s="984">
        <f t="shared" si="46"/>
        <v>264.361141206212</v>
      </c>
      <c r="M17" s="2233">
        <f>'Stock Valuation (FIFO)'!P6</f>
        <v>732016</v>
      </c>
      <c r="N17" s="2232">
        <f>'Stock Valuation (FIFO)'!Q6</f>
        <v>3082</v>
      </c>
      <c r="O17" s="984">
        <f t="shared" si="47"/>
        <v>263.878974691759</v>
      </c>
      <c r="P17" s="2233">
        <f>'Stock Valuation (FIFO)'!S6</f>
        <v>813275</v>
      </c>
      <c r="Q17" s="2232">
        <f>'Stock Valuation (FIFO)'!T6</f>
        <v>2819</v>
      </c>
      <c r="R17" s="984">
        <f t="shared" si="48"/>
        <v>256.028378857751</v>
      </c>
      <c r="S17" s="2233">
        <f>'Stock Valuation (FIFO)'!V6</f>
        <v>721744</v>
      </c>
      <c r="T17" s="2232">
        <f>'Stock Valuation (FIFO)'!W6</f>
        <v>2895</v>
      </c>
      <c r="U17" s="984">
        <f t="shared" si="49"/>
        <v>236.59896373057</v>
      </c>
      <c r="V17" s="2233">
        <f>'Stock Valuation (FIFO)'!Y6</f>
        <v>684954</v>
      </c>
      <c r="W17" s="2289">
        <f>'Stock Valuation (FIFO)'!Z6</f>
        <v>2396</v>
      </c>
      <c r="X17" s="984">
        <f t="shared" si="38"/>
        <v>227.956594323873</v>
      </c>
      <c r="Y17" s="2290">
        <f>'Stock Valuation (FIFO)'!AB6</f>
        <v>546184</v>
      </c>
      <c r="Z17" s="2291">
        <f>'Stock Valuation (FIFO)'!AC6</f>
        <v>2395</v>
      </c>
      <c r="AA17" s="984">
        <f t="shared" si="39"/>
        <v>237.166597077244</v>
      </c>
      <c r="AB17" s="2292">
        <f>'Stock Valuation (FIFO)'!AE6</f>
        <v>568014</v>
      </c>
      <c r="AC17" s="2291">
        <f>'Stock Valuation (FIFO)'!AF6</f>
        <v>2511</v>
      </c>
      <c r="AD17" s="984">
        <f t="shared" si="40"/>
        <v>241.376344086022</v>
      </c>
      <c r="AE17" s="2292">
        <f>'Stock Valuation (FIFO)'!AH6</f>
        <v>606096</v>
      </c>
      <c r="AF17" s="2291">
        <f>'Stock Valuation (FIFO)'!AI6</f>
        <v>3260</v>
      </c>
      <c r="AG17" s="984">
        <f t="shared" si="41"/>
        <v>233.591104294479</v>
      </c>
      <c r="AH17" s="2292">
        <f>'Stock Valuation (FIFO)'!AK6</f>
        <v>761507</v>
      </c>
      <c r="AI17" s="2291">
        <f>'Stock Valuation (FIFO)'!AL6</f>
        <v>2330</v>
      </c>
      <c r="AJ17" s="984">
        <f t="shared" si="42"/>
        <v>226.925321888412</v>
      </c>
      <c r="AK17" s="2292">
        <f>'Stock Valuation (FIFO)'!AN6</f>
        <v>528736</v>
      </c>
      <c r="AL17" s="2328">
        <f>AI17</f>
        <v>2330</v>
      </c>
      <c r="AM17" s="2329">
        <f t="shared" si="51"/>
        <v>226.925321888412</v>
      </c>
      <c r="AN17" s="2330">
        <f>AK17</f>
        <v>528736</v>
      </c>
      <c r="AO17" s="1431">
        <f>'Stock Valuation (FIFO)'!AB6</f>
        <v>546184</v>
      </c>
      <c r="AP17" s="242">
        <f>AN17-AO17</f>
        <v>-17448</v>
      </c>
    </row>
    <row r="18" ht="14.25" spans="1:40">
      <c r="A18" s="2234" t="s">
        <v>327</v>
      </c>
      <c r="B18" s="2235">
        <f>(B12+B13)-(B16+B17)</f>
        <v>855</v>
      </c>
      <c r="C18" s="2236">
        <f t="shared" si="31"/>
        <v>212.978947368421</v>
      </c>
      <c r="D18" s="2237">
        <f>(D12+D13)-(D16+D17)</f>
        <v>182097</v>
      </c>
      <c r="E18" s="2235">
        <f>(E12+E13)-(E16+E17)</f>
        <v>975</v>
      </c>
      <c r="F18" s="2236">
        <f t="shared" si="44"/>
        <v>210.284102564103</v>
      </c>
      <c r="G18" s="2237">
        <f>(G12+G13)-(G16+G17)</f>
        <v>205027</v>
      </c>
      <c r="H18" s="2235">
        <f>(H12+H13)-(H16+H17)</f>
        <v>1117</v>
      </c>
      <c r="I18" s="2236">
        <f t="shared" si="45"/>
        <v>247.803043867502</v>
      </c>
      <c r="J18" s="2237">
        <f>(J12+J13)-(J16+J17)</f>
        <v>276796</v>
      </c>
      <c r="K18" s="2235">
        <f>(K12+K13)-(K16+K17)</f>
        <v>1267</v>
      </c>
      <c r="L18" s="2236">
        <f t="shared" si="46"/>
        <v>197.196527229676</v>
      </c>
      <c r="M18" s="2237">
        <f>(M12+M13)-(M16+M17)</f>
        <v>249848</v>
      </c>
      <c r="N18" s="2235">
        <f>(N12+N13)-(N16+N17)</f>
        <v>916</v>
      </c>
      <c r="O18" s="2236">
        <f t="shared" si="47"/>
        <v>247.82423580786</v>
      </c>
      <c r="P18" s="2237">
        <f>(P12+P13)-(P16+P17)</f>
        <v>227007</v>
      </c>
      <c r="Q18" s="2235">
        <f>(Q12+Q13)-(Q16+Q17)</f>
        <v>878</v>
      </c>
      <c r="R18" s="2236">
        <f t="shared" si="48"/>
        <v>246.406605922551</v>
      </c>
      <c r="S18" s="2237">
        <f>(S12+S13)-(S16+S17)</f>
        <v>216345</v>
      </c>
      <c r="T18" s="2235">
        <f>(T12+T13)-(T16+T17)</f>
        <v>899</v>
      </c>
      <c r="U18" s="2236">
        <f t="shared" si="49"/>
        <v>265.464961067853</v>
      </c>
      <c r="V18" s="2237">
        <f>(V12+V13)-(V16+V17)</f>
        <v>238653</v>
      </c>
      <c r="W18" s="2288">
        <f>(W12+W13)-(W16+W17)</f>
        <v>1159</v>
      </c>
      <c r="X18" s="2236">
        <f t="shared" si="38"/>
        <v>234.626402070751</v>
      </c>
      <c r="Y18" s="2294">
        <f>(Y12+Y13)-(Y16+Y17)</f>
        <v>271932</v>
      </c>
      <c r="Z18" s="2235">
        <f>(Z12+Z13)-(Z16+Z17)</f>
        <v>1398</v>
      </c>
      <c r="AA18" s="2236">
        <f t="shared" si="39"/>
        <v>219.627324749642</v>
      </c>
      <c r="AB18" s="2237">
        <f>(AB12+AB13)-(AB16+AB17)</f>
        <v>307039</v>
      </c>
      <c r="AC18" s="2235">
        <f>(AC12+AC13)-(AC16+AC17)</f>
        <v>1118</v>
      </c>
      <c r="AD18" s="2236">
        <f t="shared" si="40"/>
        <v>209.00626118068</v>
      </c>
      <c r="AE18" s="2237">
        <f>(AE12+AE13)-(AE16+AE17)</f>
        <v>233669</v>
      </c>
      <c r="AF18" s="2288">
        <f>(AF12+AF13)-(AF16+AF17)</f>
        <v>885</v>
      </c>
      <c r="AG18" s="2236">
        <f t="shared" si="41"/>
        <v>228.821468926554</v>
      </c>
      <c r="AH18" s="2294">
        <f>(AH12+AH13)-(AH16+AH17)</f>
        <v>202507</v>
      </c>
      <c r="AI18" s="2288">
        <f>(AI12+AI13)-(AI16+AI17)</f>
        <v>840</v>
      </c>
      <c r="AJ18" s="2236">
        <f t="shared" si="42"/>
        <v>242.29880952381</v>
      </c>
      <c r="AK18" s="2294">
        <f>(AK12+AK13)-(AK16+AK17)</f>
        <v>203531</v>
      </c>
      <c r="AL18" s="2331">
        <f>(AL12+AL13)-(AL16+AL17)</f>
        <v>12307</v>
      </c>
      <c r="AM18" s="2332">
        <f t="shared" si="51"/>
        <v>228.687007394166</v>
      </c>
      <c r="AN18" s="2333">
        <f>(AN12+AN13)-(AN16+AN17)</f>
        <v>2814451</v>
      </c>
    </row>
    <row r="19" ht="15" spans="1:40">
      <c r="A19" s="2238" t="s">
        <v>34</v>
      </c>
      <c r="B19" s="2238"/>
      <c r="C19" s="2239"/>
      <c r="D19" s="2240"/>
      <c r="E19" s="2238"/>
      <c r="F19" s="2244"/>
      <c r="G19" s="2265"/>
      <c r="H19" s="2244"/>
      <c r="I19" s="2244"/>
      <c r="J19" s="2244"/>
      <c r="K19" s="2238"/>
      <c r="L19" s="2244"/>
      <c r="M19" s="2265"/>
      <c r="N19" s="2238"/>
      <c r="O19" s="2244"/>
      <c r="P19" s="2265"/>
      <c r="Q19" s="2238"/>
      <c r="R19" s="2244"/>
      <c r="S19" s="2265"/>
      <c r="T19" s="2244"/>
      <c r="U19" s="2244"/>
      <c r="V19" s="2244"/>
      <c r="W19" s="2244"/>
      <c r="X19" s="2244"/>
      <c r="Y19" s="2244"/>
      <c r="Z19" s="2238"/>
      <c r="AA19" s="2244"/>
      <c r="AB19" s="2265"/>
      <c r="AC19" s="2238"/>
      <c r="AD19" s="2244"/>
      <c r="AE19" s="2265"/>
      <c r="AF19" s="2244"/>
      <c r="AG19" s="2244"/>
      <c r="AH19" s="2244"/>
      <c r="AI19" s="2238"/>
      <c r="AJ19" s="2244"/>
      <c r="AK19" s="2265"/>
      <c r="AL19" s="2334"/>
      <c r="AM19" s="2335"/>
      <c r="AN19" s="2336"/>
    </row>
    <row r="20" spans="1:40">
      <c r="A20" s="948" t="s">
        <v>319</v>
      </c>
      <c r="B20" s="949">
        <f>'Stock Valuation (FIFO)'!B7</f>
        <v>32</v>
      </c>
      <c r="C20" s="2227">
        <f>IF(B20=0,0,(D20/B20))</f>
        <v>996.90625</v>
      </c>
      <c r="D20" s="963">
        <f>'Stock Valuation (FIFO)'!D7</f>
        <v>31901</v>
      </c>
      <c r="E20" s="949">
        <f>B25</f>
        <v>28</v>
      </c>
      <c r="F20" s="2227">
        <f>IF(E20=0,0,(G20/E20))</f>
        <v>1528.85714285714</v>
      </c>
      <c r="G20" s="963">
        <f>D25</f>
        <v>42808</v>
      </c>
      <c r="H20" s="1041">
        <f>E25</f>
        <v>37</v>
      </c>
      <c r="I20" s="2227">
        <f>IF(H20=0,0,(J20/H20))</f>
        <v>1769.89189189189</v>
      </c>
      <c r="J20" s="2268">
        <f>G25</f>
        <v>65486</v>
      </c>
      <c r="K20" s="949">
        <f>H25</f>
        <v>40</v>
      </c>
      <c r="L20" s="2227">
        <f>IF(K20=0,0,(M20/K20))</f>
        <v>1466.775</v>
      </c>
      <c r="M20" s="2273">
        <f>J25</f>
        <v>58671</v>
      </c>
      <c r="N20" s="949">
        <f>K25</f>
        <v>38</v>
      </c>
      <c r="O20" s="2227">
        <f>IF(N20=0,0,(P20/N20))</f>
        <v>1621.31578947368</v>
      </c>
      <c r="P20" s="2273">
        <f>M25</f>
        <v>61610</v>
      </c>
      <c r="Q20" s="949">
        <f>N25</f>
        <v>26</v>
      </c>
      <c r="R20" s="2227">
        <f>IF(Q20=0,0,(S20/Q20))</f>
        <v>1642.88461538462</v>
      </c>
      <c r="S20" s="2273">
        <f>P25</f>
        <v>42715</v>
      </c>
      <c r="T20" s="949">
        <f>Q25</f>
        <v>16</v>
      </c>
      <c r="U20" s="2227">
        <f>IF(T20=0,0,(V20/T20))</f>
        <v>1711.25</v>
      </c>
      <c r="V20" s="1153">
        <f>S25</f>
        <v>27380</v>
      </c>
      <c r="W20" s="1041">
        <f>T25</f>
        <v>41</v>
      </c>
      <c r="X20" s="2227">
        <f>IF(W20=0,0,(Y20/W20))</f>
        <v>1775.90243902439</v>
      </c>
      <c r="Y20" s="1142">
        <f>V25</f>
        <v>72812</v>
      </c>
      <c r="Z20" s="1143">
        <f>W25</f>
        <v>46</v>
      </c>
      <c r="AA20" s="2227">
        <f>IF(Z20=0,0,(AB20/Z20))</f>
        <v>1659.04347826087</v>
      </c>
      <c r="AB20" s="1153">
        <f>Y25</f>
        <v>76316</v>
      </c>
      <c r="AC20" s="1143">
        <f>Z25</f>
        <v>40</v>
      </c>
      <c r="AD20" s="2227">
        <f>IF(AC20=0,0,(AE20/AC20))</f>
        <v>1629.45</v>
      </c>
      <c r="AE20" s="1153">
        <f>AB25</f>
        <v>65178</v>
      </c>
      <c r="AF20" s="1143">
        <f>AC25</f>
        <v>40</v>
      </c>
      <c r="AG20" s="2227">
        <f>IF(AF20=0,0,(AH20/AF20))</f>
        <v>1629.45</v>
      </c>
      <c r="AH20" s="951">
        <f>AE25</f>
        <v>65178</v>
      </c>
      <c r="AI20" s="1143">
        <f>AF25</f>
        <v>38</v>
      </c>
      <c r="AJ20" s="2227">
        <f>IF(AI20=0,0,(AK20/AI20))</f>
        <v>1606.73684210526</v>
      </c>
      <c r="AK20" s="951">
        <f>AH25</f>
        <v>61056</v>
      </c>
      <c r="AL20" s="2314">
        <f>B20</f>
        <v>32</v>
      </c>
      <c r="AM20" s="2315">
        <f>IF(AL20=0,0,(AN20/AL20))</f>
        <v>996.90625</v>
      </c>
      <c r="AN20" s="2316">
        <f>D20</f>
        <v>31901</v>
      </c>
    </row>
    <row r="21" spans="1:42">
      <c r="A21" s="952" t="s">
        <v>320</v>
      </c>
      <c r="B21" s="953">
        <f>Purchase!$H5</f>
        <v>10</v>
      </c>
      <c r="C21" s="2228">
        <f t="shared" ref="C21:C26" si="52">IF(B21=0,0,(D21/B21))</f>
        <v>1592.5</v>
      </c>
      <c r="D21" s="1026">
        <f>Purchase!$I5</f>
        <v>15925</v>
      </c>
      <c r="E21" s="953">
        <f>Purchase!$H6</f>
        <v>11</v>
      </c>
      <c r="F21" s="2228">
        <f t="shared" ref="F21" si="53">IF(E21=0,0,(G21/E21))</f>
        <v>1481.81818181818</v>
      </c>
      <c r="G21" s="1026">
        <f>Purchase!$I6</f>
        <v>16300</v>
      </c>
      <c r="H21" s="953">
        <f>Purchase!$H7</f>
        <v>4</v>
      </c>
      <c r="I21" s="2228">
        <f t="shared" ref="I21" si="54">IF(H21=0,0,(J21/H21))</f>
        <v>2185</v>
      </c>
      <c r="J21" s="1026">
        <f>Purchase!$I7</f>
        <v>8740</v>
      </c>
      <c r="K21" s="953">
        <f>Purchase!$H8</f>
        <v>11</v>
      </c>
      <c r="L21" s="2228">
        <f t="shared" ref="L21" si="55">IF(K21=0,0,(M21/K21))</f>
        <v>1365.45454545455</v>
      </c>
      <c r="M21" s="1026">
        <f>Purchase!$I8</f>
        <v>15020</v>
      </c>
      <c r="N21" s="953">
        <f>ROUND((Purchase!$H9),0)-1</f>
        <v>12</v>
      </c>
      <c r="O21" s="2228">
        <f t="shared" ref="O21" si="56">IF(N21=0,0,(P21/N21))</f>
        <v>1998.33333333333</v>
      </c>
      <c r="P21" s="1026">
        <f>Purchase!$I9</f>
        <v>23980</v>
      </c>
      <c r="Q21" s="953">
        <f>Purchase!$H10</f>
        <v>0</v>
      </c>
      <c r="R21" s="2228">
        <f t="shared" ref="R21" si="57">IF(Q21=0,0,(S21/Q21))</f>
        <v>0</v>
      </c>
      <c r="S21" s="1026">
        <f>Purchase!$I10</f>
        <v>0</v>
      </c>
      <c r="T21" s="953">
        <f>ROUND((Purchase!$H11),0)</f>
        <v>33</v>
      </c>
      <c r="U21" s="2228">
        <f t="shared" ref="U21" si="58">IF(T21=0,0,(V21/T21))</f>
        <v>1693.0303030303</v>
      </c>
      <c r="V21" s="1026">
        <f>Purchase!$I11</f>
        <v>55870</v>
      </c>
      <c r="W21" s="1054">
        <f>Purchase!$H12</f>
        <v>14</v>
      </c>
      <c r="X21" s="2228">
        <f t="shared" ref="X21:X26" si="59">IF(W21=0,0,(Y21/W21))</f>
        <v>1630.71428571429</v>
      </c>
      <c r="Y21" s="954">
        <f>Purchase!$I12</f>
        <v>22830</v>
      </c>
      <c r="Z21" s="953">
        <f>Purchase!H13</f>
        <v>2</v>
      </c>
      <c r="AA21" s="2228">
        <f t="shared" ref="AA21:AA26" si="60">IF(Z21=0,0,(AB21/Z21))</f>
        <v>2280</v>
      </c>
      <c r="AB21" s="1114">
        <f>Purchase!I13</f>
        <v>4560</v>
      </c>
      <c r="AC21" s="953">
        <f>Purchase!H14</f>
        <v>0</v>
      </c>
      <c r="AD21" s="2228">
        <f t="shared" ref="AD21:AD26" si="61">IF(AC21=0,0,(AE21/AC21))</f>
        <v>0</v>
      </c>
      <c r="AE21" s="1114">
        <f>Purchase!I14</f>
        <v>0</v>
      </c>
      <c r="AF21" s="953">
        <f>Purchase!H15</f>
        <v>4</v>
      </c>
      <c r="AG21" s="2228">
        <f t="shared" ref="AG21:AG26" si="62">IF(AF21=0,0,(AH21/AF21))</f>
        <v>2265</v>
      </c>
      <c r="AH21" s="1026">
        <f>Purchase!I15</f>
        <v>9060</v>
      </c>
      <c r="AI21" s="953">
        <f>Purchase!H16</f>
        <v>0</v>
      </c>
      <c r="AJ21" s="2228">
        <f t="shared" ref="AJ21:AJ26" si="63">IF(AI21=0,0,(AK21/AI21))</f>
        <v>0</v>
      </c>
      <c r="AK21" s="1026">
        <f>Purchase!I16</f>
        <v>0</v>
      </c>
      <c r="AL21" s="2317">
        <f>SUM(B21,E21,H21,K21,N21,Q21,T21,W21,Z21,AC21,AF21,AI21)</f>
        <v>101</v>
      </c>
      <c r="AM21" s="2318">
        <f t="shared" ref="AM21" si="64">IF(AL21=0,0,(AN21/AL21))</f>
        <v>1705.79207920792</v>
      </c>
      <c r="AN21" s="2319">
        <f>SUM(D21,G21,J21,M21,P21,S21,V21,Y21,AB21,AE21,AH21,AK21)</f>
        <v>172285</v>
      </c>
      <c r="AO21" s="1431">
        <f>Purchase!I17</f>
        <v>172285</v>
      </c>
      <c r="AP21" s="242">
        <f>AN21-AO21</f>
        <v>0</v>
      </c>
    </row>
    <row r="22" ht="14.25" spans="1:40">
      <c r="A22" s="956" t="s">
        <v>326</v>
      </c>
      <c r="B22" s="957"/>
      <c r="C22" s="962">
        <f t="shared" si="52"/>
        <v>0</v>
      </c>
      <c r="D22" s="2229"/>
      <c r="E22" s="957"/>
      <c r="F22" s="962">
        <f t="shared" ref="F22:F26" si="65">IF(E22=0,0,(G22/E22))</f>
        <v>0</v>
      </c>
      <c r="G22" s="2229"/>
      <c r="H22" s="1043"/>
      <c r="I22" s="962">
        <f t="shared" ref="I22:I26" si="66">IF(H22=0,0,(J22/H22))</f>
        <v>0</v>
      </c>
      <c r="J22" s="2269"/>
      <c r="K22" s="957"/>
      <c r="L22" s="962">
        <f t="shared" ref="L22:L25" si="67">IF(K22=0,0,(M22/K22))</f>
        <v>0</v>
      </c>
      <c r="M22" s="2274"/>
      <c r="N22" s="957"/>
      <c r="O22" s="962">
        <f t="shared" ref="O22:O26" si="68">IF(N22=0,0,(P22/N22))</f>
        <v>0</v>
      </c>
      <c r="P22" s="2274"/>
      <c r="Q22" s="957"/>
      <c r="R22" s="962">
        <f t="shared" ref="R22:R26" si="69">IF(Q22=0,0,(S22/Q22))</f>
        <v>0</v>
      </c>
      <c r="S22" s="2274"/>
      <c r="T22" s="957"/>
      <c r="U22" s="962">
        <f t="shared" ref="U22:U26" si="70">IF(T22=0,0,(V22/T22))</f>
        <v>0</v>
      </c>
      <c r="V22" s="1115"/>
      <c r="W22" s="1043"/>
      <c r="X22" s="962">
        <f t="shared" si="59"/>
        <v>0</v>
      </c>
      <c r="Y22" s="1098"/>
      <c r="Z22" s="957"/>
      <c r="AA22" s="962">
        <f t="shared" si="60"/>
        <v>0</v>
      </c>
      <c r="AB22" s="1115"/>
      <c r="AC22" s="957"/>
      <c r="AD22" s="962">
        <f t="shared" si="61"/>
        <v>0</v>
      </c>
      <c r="AE22" s="1115"/>
      <c r="AF22" s="957"/>
      <c r="AG22" s="962">
        <f t="shared" si="62"/>
        <v>0</v>
      </c>
      <c r="AH22" s="2229"/>
      <c r="AI22" s="957"/>
      <c r="AJ22" s="962">
        <f t="shared" si="63"/>
        <v>0</v>
      </c>
      <c r="AK22" s="2229"/>
      <c r="AL22" s="2320">
        <f t="shared" ref="AL22:AL23" si="71">SUM(B22:AI22)</f>
        <v>0</v>
      </c>
      <c r="AM22" s="2321"/>
      <c r="AN22" s="2322"/>
    </row>
    <row r="23" spans="1:40">
      <c r="A23" s="1002" t="s">
        <v>322</v>
      </c>
      <c r="B23" s="1003"/>
      <c r="C23" s="1004">
        <f t="shared" si="52"/>
        <v>0</v>
      </c>
      <c r="D23" s="1005"/>
      <c r="E23" s="1003"/>
      <c r="F23" s="1004">
        <f t="shared" si="65"/>
        <v>0</v>
      </c>
      <c r="G23" s="1005"/>
      <c r="H23" s="1067"/>
      <c r="I23" s="1004">
        <f t="shared" si="66"/>
        <v>0</v>
      </c>
      <c r="J23" s="2270"/>
      <c r="K23" s="1003"/>
      <c r="L23" s="1004">
        <f t="shared" si="67"/>
        <v>0</v>
      </c>
      <c r="M23" s="2275"/>
      <c r="N23" s="1003"/>
      <c r="O23" s="1004">
        <f t="shared" si="68"/>
        <v>0</v>
      </c>
      <c r="P23" s="2275"/>
      <c r="Q23" s="1003"/>
      <c r="R23" s="1004">
        <f t="shared" si="69"/>
        <v>0</v>
      </c>
      <c r="S23" s="2275"/>
      <c r="T23" s="1003"/>
      <c r="U23" s="1004">
        <f t="shared" si="70"/>
        <v>0</v>
      </c>
      <c r="V23" s="1130"/>
      <c r="W23" s="1067"/>
      <c r="X23" s="1004">
        <f t="shared" si="59"/>
        <v>0</v>
      </c>
      <c r="Y23" s="1149"/>
      <c r="Z23" s="1003"/>
      <c r="AA23" s="1004">
        <f t="shared" si="60"/>
        <v>0</v>
      </c>
      <c r="AB23" s="1005"/>
      <c r="AC23" s="1003"/>
      <c r="AD23" s="1004">
        <f t="shared" si="61"/>
        <v>0</v>
      </c>
      <c r="AE23" s="1005"/>
      <c r="AF23" s="1003"/>
      <c r="AG23" s="1004">
        <f t="shared" si="62"/>
        <v>0</v>
      </c>
      <c r="AH23" s="1005"/>
      <c r="AI23" s="1003"/>
      <c r="AJ23" s="1004">
        <f t="shared" si="63"/>
        <v>0</v>
      </c>
      <c r="AK23" s="1005"/>
      <c r="AL23" s="2323">
        <f t="shared" si="71"/>
        <v>0</v>
      </c>
      <c r="AM23" s="2324"/>
      <c r="AN23" s="2325"/>
    </row>
    <row r="24" spans="1:40">
      <c r="A24" s="1223" t="s">
        <v>323</v>
      </c>
      <c r="B24" s="1268">
        <f>'Inventory Sales'!B23</f>
        <v>10</v>
      </c>
      <c r="C24" s="2230">
        <f t="shared" si="52"/>
        <v>1000</v>
      </c>
      <c r="D24" s="2231">
        <f>'Inventory Sales'!D23</f>
        <v>10000</v>
      </c>
      <c r="E24" s="1268"/>
      <c r="F24" s="2230">
        <f t="shared" si="65"/>
        <v>0</v>
      </c>
      <c r="G24" s="2231"/>
      <c r="H24" s="1319"/>
      <c r="I24" s="2230">
        <f t="shared" si="66"/>
        <v>0</v>
      </c>
      <c r="J24" s="2271"/>
      <c r="K24" s="1268">
        <f>'Inventory Sales'!K23</f>
        <v>2</v>
      </c>
      <c r="L24" s="2230">
        <f t="shared" si="67"/>
        <v>2200</v>
      </c>
      <c r="M24" s="2276">
        <f>'Inventory Sales'!M23</f>
        <v>4400</v>
      </c>
      <c r="N24" s="1268">
        <f>'Inventory Sales'!N23</f>
        <v>4</v>
      </c>
      <c r="O24" s="2230">
        <f t="shared" si="68"/>
        <v>1000</v>
      </c>
      <c r="P24" s="2276">
        <f>'Inventory Sales'!P23</f>
        <v>4000</v>
      </c>
      <c r="Q24" s="1268"/>
      <c r="R24" s="2230">
        <f t="shared" si="69"/>
        <v>0</v>
      </c>
      <c r="S24" s="2276"/>
      <c r="T24" s="1268"/>
      <c r="U24" s="2230">
        <f t="shared" si="70"/>
        <v>0</v>
      </c>
      <c r="V24" s="1318"/>
      <c r="W24" s="1319"/>
      <c r="X24" s="2230">
        <f t="shared" si="59"/>
        <v>0</v>
      </c>
      <c r="Y24" s="1341"/>
      <c r="Z24" s="1268"/>
      <c r="AA24" s="2230">
        <f t="shared" si="60"/>
        <v>0</v>
      </c>
      <c r="AB24" s="2231"/>
      <c r="AC24" s="1268"/>
      <c r="AD24" s="2230">
        <f t="shared" si="61"/>
        <v>0</v>
      </c>
      <c r="AE24" s="2231"/>
      <c r="AF24" s="1268"/>
      <c r="AG24" s="2230">
        <f t="shared" si="62"/>
        <v>0</v>
      </c>
      <c r="AH24" s="2231"/>
      <c r="AI24" s="1268"/>
      <c r="AJ24" s="2230">
        <f t="shared" si="63"/>
        <v>0</v>
      </c>
      <c r="AK24" s="2231"/>
      <c r="AL24" s="2317">
        <f>SUM(B24,E24,H24,K24,N24,Q24,T24,W24,Z24,AC24,AF24,AI24)</f>
        <v>16</v>
      </c>
      <c r="AM24" s="2326">
        <f t="shared" ref="AM24:AM26" si="72">IF(AL24=0,0,(AN24/AL24))</f>
        <v>1150</v>
      </c>
      <c r="AN24" s="2319">
        <f>SUM(D24,G24,J24,M24,P24,S24,V24,Y24,AB24,AE24,AH24,AK24)</f>
        <v>18400</v>
      </c>
    </row>
    <row r="25" ht="14.25" spans="1:42">
      <c r="A25" s="960" t="s">
        <v>324</v>
      </c>
      <c r="B25" s="2232">
        <f>'Stock Valuation (FIFO)'!E7</f>
        <v>28</v>
      </c>
      <c r="C25" s="984">
        <f t="shared" si="52"/>
        <v>1528.85714285714</v>
      </c>
      <c r="D25" s="2233">
        <f>'Stock Valuation (FIFO)'!G7</f>
        <v>42808</v>
      </c>
      <c r="E25" s="2232">
        <f>'Stock Valuation (FIFO)'!H7</f>
        <v>37</v>
      </c>
      <c r="F25" s="984">
        <f t="shared" si="65"/>
        <v>1769.89189189189</v>
      </c>
      <c r="G25" s="2233">
        <f>'Stock Valuation (FIFO)'!J7</f>
        <v>65486</v>
      </c>
      <c r="H25" s="2232">
        <f>'Stock Valuation (FIFO)'!K7</f>
        <v>40</v>
      </c>
      <c r="I25" s="984">
        <f t="shared" si="66"/>
        <v>1466.775</v>
      </c>
      <c r="J25" s="2233">
        <f>'Stock Valuation (FIFO)'!M7</f>
        <v>58671</v>
      </c>
      <c r="K25" s="2232">
        <f>'Stock Valuation (FIFO)'!N7</f>
        <v>38</v>
      </c>
      <c r="L25" s="984">
        <f t="shared" si="67"/>
        <v>1621.31578947368</v>
      </c>
      <c r="M25" s="2233">
        <f>'Stock Valuation (FIFO)'!P7</f>
        <v>61610</v>
      </c>
      <c r="N25" s="2232">
        <f>'Stock Valuation (FIFO)'!Q7</f>
        <v>26</v>
      </c>
      <c r="O25" s="984">
        <f t="shared" si="68"/>
        <v>1642.88461538462</v>
      </c>
      <c r="P25" s="2233">
        <f>'Stock Valuation (FIFO)'!S7</f>
        <v>42715</v>
      </c>
      <c r="Q25" s="2232">
        <f>'Stock Valuation (FIFO)'!T7</f>
        <v>16</v>
      </c>
      <c r="R25" s="984">
        <f t="shared" si="69"/>
        <v>1711.25</v>
      </c>
      <c r="S25" s="2233">
        <f>'Stock Valuation (FIFO)'!V7</f>
        <v>27380</v>
      </c>
      <c r="T25" s="2232">
        <f>'Stock Valuation (FIFO)'!W7</f>
        <v>41</v>
      </c>
      <c r="U25" s="984">
        <f t="shared" si="70"/>
        <v>1775.90243902439</v>
      </c>
      <c r="V25" s="2233">
        <f>'Stock Valuation (FIFO)'!Y7</f>
        <v>72812</v>
      </c>
      <c r="W25" s="2289">
        <f>'Stock Valuation (FIFO)'!Z7</f>
        <v>46</v>
      </c>
      <c r="X25" s="984">
        <f t="shared" si="59"/>
        <v>1659.04347826087</v>
      </c>
      <c r="Y25" s="2290">
        <f>'Stock Valuation (FIFO)'!AB7</f>
        <v>76316</v>
      </c>
      <c r="Z25" s="2295">
        <f>'Stock Valuation (FIFO)'!AC7</f>
        <v>40</v>
      </c>
      <c r="AA25" s="984">
        <f t="shared" si="60"/>
        <v>1629.45</v>
      </c>
      <c r="AB25" s="2296">
        <f>'Stock Valuation (FIFO)'!AE7</f>
        <v>65178</v>
      </c>
      <c r="AC25" s="2295">
        <f>'Stock Valuation (FIFO)'!AF7</f>
        <v>40</v>
      </c>
      <c r="AD25" s="984">
        <f t="shared" si="61"/>
        <v>1629.45</v>
      </c>
      <c r="AE25" s="2296">
        <f>'Stock Valuation (FIFO)'!AH7</f>
        <v>65178</v>
      </c>
      <c r="AF25" s="2295">
        <f>'Stock Valuation (FIFO)'!AI7</f>
        <v>38</v>
      </c>
      <c r="AG25" s="984">
        <f t="shared" si="62"/>
        <v>1606.73684210526</v>
      </c>
      <c r="AH25" s="2296">
        <f>'Stock Valuation (FIFO)'!AK7</f>
        <v>61056</v>
      </c>
      <c r="AI25" s="2295">
        <f>'Stock Valuation (FIFO)'!AL7</f>
        <v>19</v>
      </c>
      <c r="AJ25" s="984">
        <f t="shared" si="63"/>
        <v>1597.36842105263</v>
      </c>
      <c r="AK25" s="2296">
        <f>'Stock Valuation (FIFO)'!AN7</f>
        <v>30350</v>
      </c>
      <c r="AL25" s="2328">
        <f>AI25</f>
        <v>19</v>
      </c>
      <c r="AM25" s="2329">
        <f t="shared" si="72"/>
        <v>1597.36842105263</v>
      </c>
      <c r="AN25" s="2330">
        <f>AK25</f>
        <v>30350</v>
      </c>
      <c r="AO25" s="1431">
        <f>'Stock Valuation (FIFO)'!AB7</f>
        <v>76316</v>
      </c>
      <c r="AP25" s="242">
        <f>AN25-AO25</f>
        <v>-45966</v>
      </c>
    </row>
    <row r="26" ht="14.25" spans="1:40">
      <c r="A26" s="2234" t="s">
        <v>328</v>
      </c>
      <c r="B26" s="2235">
        <f>(B20+B21)-(B24+B25)</f>
        <v>4</v>
      </c>
      <c r="C26" s="2236">
        <f t="shared" si="52"/>
        <v>-1245.5</v>
      </c>
      <c r="D26" s="2237">
        <f>(D20+D21)-(D24+D25)</f>
        <v>-4982</v>
      </c>
      <c r="E26" s="2235">
        <f>(E20+E21)-(E24+E25)</f>
        <v>2</v>
      </c>
      <c r="F26" s="2236">
        <f t="shared" si="65"/>
        <v>-3189</v>
      </c>
      <c r="G26" s="2266">
        <f>(G20+G21)-(G24+G25)</f>
        <v>-6378</v>
      </c>
      <c r="H26" s="2235">
        <f>(H20+H21)-(H24+H25)</f>
        <v>1</v>
      </c>
      <c r="I26" s="2236">
        <f t="shared" si="66"/>
        <v>15555</v>
      </c>
      <c r="J26" s="2237">
        <f>(J20+J21)-(J24+J25)</f>
        <v>15555</v>
      </c>
      <c r="K26" s="2235">
        <f>(K20+K21)-(K24+K25)</f>
        <v>11</v>
      </c>
      <c r="L26" s="2236"/>
      <c r="M26" s="2266">
        <f>(M20+M21)-(M24+M25)</f>
        <v>7681</v>
      </c>
      <c r="N26" s="2235">
        <f>(N20+N21)-(N24+N25)</f>
        <v>20</v>
      </c>
      <c r="O26" s="2236">
        <f t="shared" si="68"/>
        <v>1943.75</v>
      </c>
      <c r="P26" s="2237">
        <f>(P20+P21)-(P24+P25)</f>
        <v>38875</v>
      </c>
      <c r="Q26" s="2235">
        <f>(Q20+Q21)-(Q24+Q25)</f>
        <v>10</v>
      </c>
      <c r="R26" s="2236">
        <f t="shared" si="69"/>
        <v>1533.5</v>
      </c>
      <c r="S26" s="2237">
        <f>(S20+S21)-(S24+S25)</f>
        <v>15335</v>
      </c>
      <c r="T26" s="2235">
        <f>(T20+T21)-(T24+T25)</f>
        <v>8</v>
      </c>
      <c r="U26" s="2236">
        <f t="shared" si="70"/>
        <v>1304.75</v>
      </c>
      <c r="V26" s="2237">
        <f>(V20+V21)-(V24+V25)</f>
        <v>10438</v>
      </c>
      <c r="W26" s="2288">
        <f>(W20+W21)-(W24+W25)</f>
        <v>9</v>
      </c>
      <c r="X26" s="2236">
        <f t="shared" si="59"/>
        <v>2147.33333333333</v>
      </c>
      <c r="Y26" s="2294">
        <f>(Y20+Y21)-(Y24+Y25)</f>
        <v>19326</v>
      </c>
      <c r="Z26" s="2235">
        <f>(Z20+Z21)-(Z24+Z25)</f>
        <v>8</v>
      </c>
      <c r="AA26" s="2236">
        <f t="shared" si="60"/>
        <v>1962.25</v>
      </c>
      <c r="AB26" s="2237">
        <f>(AB20+AB21)-(AB24+AB25)</f>
        <v>15698</v>
      </c>
      <c r="AC26" s="2235">
        <f>(AC20+AC21)-(AC24+AC25)</f>
        <v>0</v>
      </c>
      <c r="AD26" s="2236">
        <f t="shared" si="61"/>
        <v>0</v>
      </c>
      <c r="AE26" s="2237">
        <f>(AE20+AE21)-(AE24+AE25)</f>
        <v>0</v>
      </c>
      <c r="AF26" s="2235">
        <f>(AF20+AF21)-(AF24+AF25)</f>
        <v>6</v>
      </c>
      <c r="AG26" s="2236">
        <f t="shared" si="62"/>
        <v>2197</v>
      </c>
      <c r="AH26" s="2237">
        <f>(AH20+AH21)-(AH24+AH25)</f>
        <v>13182</v>
      </c>
      <c r="AI26" s="2235">
        <f>(AI20+AI21)-(AI24+AI25)</f>
        <v>19</v>
      </c>
      <c r="AJ26" s="2236">
        <f t="shared" si="63"/>
        <v>1616.10526315789</v>
      </c>
      <c r="AK26" s="2237">
        <f>(AK20+AK21)-(AK24+AK25)</f>
        <v>30706</v>
      </c>
      <c r="AL26" s="2337">
        <f>(AL20+AL21)-(AL24+AL25)</f>
        <v>98</v>
      </c>
      <c r="AM26" s="2338">
        <f t="shared" si="72"/>
        <v>1586.08163265306</v>
      </c>
      <c r="AN26" s="2339">
        <f>(AN20+AN21)-(AN24+AN25)</f>
        <v>155436</v>
      </c>
    </row>
    <row r="27" ht="15" spans="1:40">
      <c r="A27" s="2238" t="s">
        <v>329</v>
      </c>
      <c r="B27" s="2238"/>
      <c r="C27" s="2239"/>
      <c r="D27" s="2240"/>
      <c r="E27" s="2238"/>
      <c r="F27" s="2244"/>
      <c r="G27" s="2265"/>
      <c r="H27" s="2244"/>
      <c r="I27" s="2244"/>
      <c r="J27" s="2244"/>
      <c r="K27" s="2238"/>
      <c r="L27" s="2244"/>
      <c r="M27" s="2265"/>
      <c r="N27" s="2238"/>
      <c r="O27" s="2244"/>
      <c r="P27" s="2265"/>
      <c r="Q27" s="2238"/>
      <c r="R27" s="2244"/>
      <c r="S27" s="2265"/>
      <c r="T27" s="2244"/>
      <c r="U27" s="2244"/>
      <c r="V27" s="2244"/>
      <c r="W27" s="2244"/>
      <c r="X27" s="2244"/>
      <c r="Y27" s="2244"/>
      <c r="Z27" s="2238"/>
      <c r="AA27" s="2244"/>
      <c r="AB27" s="2240"/>
      <c r="AC27" s="2238"/>
      <c r="AD27" s="2244"/>
      <c r="AE27" s="2265"/>
      <c r="AF27" s="2244"/>
      <c r="AG27" s="2244"/>
      <c r="AH27" s="2244"/>
      <c r="AI27" s="2238"/>
      <c r="AJ27" s="2244"/>
      <c r="AK27" s="2265"/>
      <c r="AL27" s="2334"/>
      <c r="AM27" s="2335"/>
      <c r="AN27" s="2336"/>
    </row>
    <row r="28" spans="1:42">
      <c r="A28" s="948" t="s">
        <v>319</v>
      </c>
      <c r="B28" s="1143">
        <f>B4+B12+B20</f>
        <v>197541</v>
      </c>
      <c r="C28" s="1079">
        <f>IF(B28=0,0,(D28/B28))</f>
        <v>101.870042168461</v>
      </c>
      <c r="D28" s="1158">
        <f>D4+D12+D20</f>
        <v>20123510</v>
      </c>
      <c r="E28" s="1143">
        <f>E4+E12+E20</f>
        <v>182463</v>
      </c>
      <c r="F28" s="1079">
        <f>IF(E28=0,0,(G28/E28))</f>
        <v>101.304286348465</v>
      </c>
      <c r="G28" s="1158">
        <f>G4+G12+G20</f>
        <v>18484284</v>
      </c>
      <c r="H28" s="1143">
        <f>H4+H12+H20</f>
        <v>149741</v>
      </c>
      <c r="I28" s="1079">
        <f>IF(H28=0,0,(J28/H28))</f>
        <v>100.231386193494</v>
      </c>
      <c r="J28" s="1158">
        <f>J4+J12+J20</f>
        <v>15008748</v>
      </c>
      <c r="K28" s="1143">
        <f>K4+K12+K20</f>
        <v>166778</v>
      </c>
      <c r="L28" s="1079">
        <f>IF(K28=0,0,(M28/K28))</f>
        <v>99.8549508928036</v>
      </c>
      <c r="M28" s="1158">
        <f>M4+M12+M20</f>
        <v>16653609</v>
      </c>
      <c r="N28" s="1143">
        <f>N4+N12+N20</f>
        <v>148947</v>
      </c>
      <c r="O28" s="1079">
        <f>IF(N28=0,0,(P28/N28))</f>
        <v>102.892203266934</v>
      </c>
      <c r="P28" s="1158">
        <f>P4+P12+P20</f>
        <v>15325485</v>
      </c>
      <c r="Q28" s="1143">
        <f>Q4+Q12+Q20</f>
        <v>190728</v>
      </c>
      <c r="R28" s="1079">
        <f>IF(Q28=0,0,(S28/Q28))</f>
        <v>104.04267333585</v>
      </c>
      <c r="S28" s="1158">
        <f>S4+S12+S20</f>
        <v>19843851</v>
      </c>
      <c r="T28" s="1143">
        <f>T4+T12+T20</f>
        <v>117515</v>
      </c>
      <c r="U28" s="1079">
        <f>IF(T28=0,0,(V28/T28))</f>
        <v>104.355912011233</v>
      </c>
      <c r="V28" s="1158">
        <f>V4+V12+V20</f>
        <v>12263385</v>
      </c>
      <c r="W28" s="1143">
        <f>W4+W12+W20</f>
        <v>142661</v>
      </c>
      <c r="X28" s="1079">
        <f>IF(W28=0,0,(Y28/W28))</f>
        <v>102.011972438158</v>
      </c>
      <c r="Y28" s="2297">
        <f>Y4+Y12+Y20</f>
        <v>14553130</v>
      </c>
      <c r="Z28" s="1143">
        <f>W33</f>
        <v>166752</v>
      </c>
      <c r="AA28" s="1079">
        <f>IF(Z28=0,0,(AB28/Z28))</f>
        <v>99.619464834005</v>
      </c>
      <c r="AB28" s="951">
        <f>Y33</f>
        <v>16611745</v>
      </c>
      <c r="AC28" s="1143">
        <f>Z33</f>
        <v>137910</v>
      </c>
      <c r="AD28" s="1079">
        <f>IF(AC28=0,0,(AE28/AC28))</f>
        <v>98.9619897034298</v>
      </c>
      <c r="AE28" s="951">
        <f>AB33</f>
        <v>13647848</v>
      </c>
      <c r="AF28" s="1143">
        <f>AC33</f>
        <v>177221</v>
      </c>
      <c r="AG28" s="1079">
        <f>IF(AF28=0,0,(AH28/AF28))</f>
        <v>101.319465526095</v>
      </c>
      <c r="AH28" s="951">
        <f>AE33</f>
        <v>17955937</v>
      </c>
      <c r="AI28" s="1143">
        <f>AF33</f>
        <v>157588</v>
      </c>
      <c r="AJ28" s="1079">
        <f>IF(AI28=0,0,(AK28/AI28))</f>
        <v>106.531436403787</v>
      </c>
      <c r="AK28" s="951">
        <f>AH33</f>
        <v>16788076</v>
      </c>
      <c r="AL28" s="2314">
        <f>B28</f>
        <v>197541</v>
      </c>
      <c r="AM28" s="2315">
        <f>IF(AL28=0,0,(AN28/AL28))</f>
        <v>101.870042168461</v>
      </c>
      <c r="AN28" s="2316">
        <f>D28</f>
        <v>20123510</v>
      </c>
      <c r="AP28" s="97"/>
    </row>
    <row r="29" spans="1:42">
      <c r="A29" s="952" t="s">
        <v>320</v>
      </c>
      <c r="B29" s="2241">
        <f t="shared" ref="B29:B33" si="73">B5+B13+B21</f>
        <v>102532</v>
      </c>
      <c r="C29" s="2228">
        <f t="shared" ref="C29:C34" si="74">IF(B29=0,0,(D29/B29))</f>
        <v>93.0477997113096</v>
      </c>
      <c r="D29" s="998">
        <f t="shared" ref="D29:E33" si="75">D5+D13+D21</f>
        <v>9540377</v>
      </c>
      <c r="E29" s="2241">
        <f t="shared" si="75"/>
        <v>58185</v>
      </c>
      <c r="F29" s="2228">
        <f t="shared" ref="F29:F34" si="76">IF(E29=0,0,(G29/E29))</f>
        <v>94.7200481223683</v>
      </c>
      <c r="G29" s="998">
        <f t="shared" ref="G29:H33" si="77">G5+G13+G21</f>
        <v>5511286</v>
      </c>
      <c r="H29" s="2241">
        <f t="shared" si="77"/>
        <v>152668</v>
      </c>
      <c r="I29" s="2228">
        <f t="shared" ref="I29:I34" si="78">IF(H29=0,0,(J29/H29))</f>
        <v>98.0813726517672</v>
      </c>
      <c r="J29" s="998">
        <f t="shared" ref="J29:K33" si="79">J5+J13+J21</f>
        <v>14973887</v>
      </c>
      <c r="K29" s="2241">
        <f t="shared" si="79"/>
        <v>138661</v>
      </c>
      <c r="L29" s="2228">
        <f t="shared" ref="L29:L34" si="80">IF(K29=0,0,(M29/K29))</f>
        <v>94.1421524437297</v>
      </c>
      <c r="M29" s="998">
        <f t="shared" ref="M29:N30" si="81">M5+M13+M21</f>
        <v>13053845</v>
      </c>
      <c r="N29" s="2241">
        <f t="shared" si="81"/>
        <v>175608</v>
      </c>
      <c r="O29" s="2228">
        <f t="shared" ref="O29:O34" si="82">IF(N29=0,0,(P29/N29))</f>
        <v>101.853793676826</v>
      </c>
      <c r="P29" s="998">
        <f t="shared" ref="P29:Q30" si="83">P5+P13+P21</f>
        <v>17886341</v>
      </c>
      <c r="Q29" s="2241">
        <f t="shared" si="83"/>
        <v>37844</v>
      </c>
      <c r="R29" s="2228">
        <f t="shared" ref="R29:R34" si="84">IF(Q29=0,0,(S29/Q29))</f>
        <v>84.9769844625304</v>
      </c>
      <c r="S29" s="998">
        <f t="shared" ref="S29:T30" si="85">S5+S13+S21</f>
        <v>3215869</v>
      </c>
      <c r="T29" s="2241">
        <f t="shared" si="85"/>
        <v>129229</v>
      </c>
      <c r="U29" s="2228">
        <f t="shared" ref="U29:U34" si="86">IF(T29=0,0,(V29/T29))</f>
        <v>98.0863428487414</v>
      </c>
      <c r="V29" s="998">
        <f t="shared" ref="V29:W29" si="87">V5+V13+V21</f>
        <v>12675600</v>
      </c>
      <c r="W29" s="2241">
        <f t="shared" si="87"/>
        <v>120959</v>
      </c>
      <c r="X29" s="2228">
        <f t="shared" ref="X29:X34" si="88">IF(W29=0,0,(Y29/W29))</f>
        <v>92.0681139890376</v>
      </c>
      <c r="Y29" s="1090">
        <f>Y5+Y13+Y21</f>
        <v>11136467</v>
      </c>
      <c r="Z29" s="2241">
        <f t="shared" ref="Z29" si="89">Z5+Z13+Z21</f>
        <v>107574</v>
      </c>
      <c r="AA29" s="2228">
        <f t="shared" ref="AA29:AA34" si="90">IF(Z29=0,0,(AB29/Z29))</f>
        <v>92.3882629631695</v>
      </c>
      <c r="AB29" s="1090">
        <f t="shared" ref="AB29:AC29" si="91">AB5+AB13+AB21</f>
        <v>9938575</v>
      </c>
      <c r="AC29" s="2241">
        <f t="shared" si="91"/>
        <v>170449</v>
      </c>
      <c r="AD29" s="2228">
        <f t="shared" ref="AD29:AD34" si="92">IF(AC29=0,0,(AE29/AC29))</f>
        <v>98.2108548598114</v>
      </c>
      <c r="AE29" s="998">
        <f t="shared" ref="AE29:AF29" si="93">AE5+AE13+AE21</f>
        <v>16739942</v>
      </c>
      <c r="AF29" s="2241">
        <f t="shared" si="93"/>
        <v>117875</v>
      </c>
      <c r="AG29" s="2228">
        <f t="shared" ref="AG29:AG34" si="94">IF(AF29=0,0,(AH29/AF29))</f>
        <v>101.583804878049</v>
      </c>
      <c r="AH29" s="998">
        <f t="shared" ref="AH29:AI29" si="95">AH5+AH13+AH21</f>
        <v>11974191</v>
      </c>
      <c r="AI29" s="2241">
        <f t="shared" si="95"/>
        <v>98000</v>
      </c>
      <c r="AJ29" s="2228">
        <f t="shared" ref="AJ29:AJ34" si="96">IF(AI29=0,0,(AK29/AI29))</f>
        <v>126.706143061224</v>
      </c>
      <c r="AK29" s="998">
        <f t="shared" ref="AK29" si="97">AK5+AK13+AK21</f>
        <v>12417202.02</v>
      </c>
      <c r="AL29" s="2340">
        <f t="shared" ref="AL29" si="98">AL5+AL13+AL21</f>
        <v>1409584</v>
      </c>
      <c r="AM29" s="2341">
        <f t="shared" ref="AM29" si="99">IF(AL29=0,0,(AN29/AL29))</f>
        <v>98.6557608627794</v>
      </c>
      <c r="AN29" s="2342">
        <f t="shared" ref="AN29:AO29" si="100">AN5+AN13+AN21</f>
        <v>139063582.02</v>
      </c>
      <c r="AO29" s="1431">
        <f t="shared" si="100"/>
        <v>139063583</v>
      </c>
      <c r="AP29" s="242">
        <f>AN29-AO29</f>
        <v>-0.979999989271164</v>
      </c>
    </row>
    <row r="30" ht="14.25" spans="1:40">
      <c r="A30" s="956" t="s">
        <v>326</v>
      </c>
      <c r="B30" s="969">
        <f t="shared" si="73"/>
        <v>0</v>
      </c>
      <c r="C30" s="962">
        <f t="shared" si="74"/>
        <v>0</v>
      </c>
      <c r="D30" s="1167">
        <f t="shared" si="75"/>
        <v>0</v>
      </c>
      <c r="E30" s="969">
        <f t="shared" si="75"/>
        <v>0</v>
      </c>
      <c r="F30" s="962">
        <f t="shared" si="76"/>
        <v>0</v>
      </c>
      <c r="G30" s="1167">
        <f t="shared" si="77"/>
        <v>0</v>
      </c>
      <c r="H30" s="969">
        <f t="shared" si="77"/>
        <v>0</v>
      </c>
      <c r="I30" s="962">
        <f t="shared" si="78"/>
        <v>0</v>
      </c>
      <c r="J30" s="1167">
        <f t="shared" si="79"/>
        <v>0</v>
      </c>
      <c r="K30" s="969">
        <f t="shared" si="79"/>
        <v>0</v>
      </c>
      <c r="L30" s="962">
        <f t="shared" si="80"/>
        <v>0</v>
      </c>
      <c r="M30" s="1167">
        <f t="shared" si="81"/>
        <v>0</v>
      </c>
      <c r="N30" s="969">
        <f t="shared" si="81"/>
        <v>0</v>
      </c>
      <c r="O30" s="962">
        <f t="shared" si="82"/>
        <v>0</v>
      </c>
      <c r="P30" s="1167">
        <f t="shared" si="83"/>
        <v>0</v>
      </c>
      <c r="Q30" s="969">
        <f t="shared" si="83"/>
        <v>0</v>
      </c>
      <c r="R30" s="962">
        <f t="shared" si="84"/>
        <v>0</v>
      </c>
      <c r="S30" s="1167">
        <f t="shared" si="85"/>
        <v>0</v>
      </c>
      <c r="T30" s="969">
        <f t="shared" si="85"/>
        <v>0</v>
      </c>
      <c r="U30" s="962">
        <f t="shared" si="86"/>
        <v>0</v>
      </c>
      <c r="V30" s="1167">
        <f t="shared" ref="V30:W30" si="101">V6+V14+V22</f>
        <v>0</v>
      </c>
      <c r="W30" s="969">
        <f t="shared" si="101"/>
        <v>0</v>
      </c>
      <c r="X30" s="962">
        <f t="shared" si="88"/>
        <v>0</v>
      </c>
      <c r="Y30" s="2298">
        <f t="shared" ref="Y30:Z30" si="102">Y6+Y14+Y22</f>
        <v>0</v>
      </c>
      <c r="Z30" s="969">
        <f t="shared" si="102"/>
        <v>0</v>
      </c>
      <c r="AA30" s="962">
        <f t="shared" si="90"/>
        <v>0</v>
      </c>
      <c r="AB30" s="2298">
        <f t="shared" ref="AB30:AC30" si="103">AB6+AB14+AB22</f>
        <v>0</v>
      </c>
      <c r="AC30" s="969">
        <f t="shared" si="103"/>
        <v>0</v>
      </c>
      <c r="AD30" s="962">
        <f t="shared" si="92"/>
        <v>0</v>
      </c>
      <c r="AE30" s="1167">
        <f t="shared" ref="AE30:AF30" si="104">AE6+AE14+AE22</f>
        <v>0</v>
      </c>
      <c r="AF30" s="969">
        <f t="shared" si="104"/>
        <v>0</v>
      </c>
      <c r="AG30" s="962">
        <f t="shared" si="94"/>
        <v>0</v>
      </c>
      <c r="AH30" s="1167">
        <f t="shared" ref="AH30:AI30" si="105">AH6+AH14+AH22</f>
        <v>0</v>
      </c>
      <c r="AI30" s="969">
        <f t="shared" si="105"/>
        <v>0</v>
      </c>
      <c r="AJ30" s="962">
        <f t="shared" si="96"/>
        <v>0</v>
      </c>
      <c r="AK30" s="1167">
        <f t="shared" ref="AK30" si="106">AK6+AK14+AK22</f>
        <v>0</v>
      </c>
      <c r="AL30" s="2320">
        <f t="shared" ref="AL30:AL31" si="107">SUM(B30:AI30)</f>
        <v>0</v>
      </c>
      <c r="AM30" s="2343"/>
      <c r="AN30" s="2322"/>
    </row>
    <row r="31" spans="1:40">
      <c r="A31" s="1002" t="s">
        <v>322</v>
      </c>
      <c r="B31" s="1003"/>
      <c r="C31" s="1004">
        <f t="shared" si="74"/>
        <v>0</v>
      </c>
      <c r="D31" s="1005"/>
      <c r="E31" s="1003"/>
      <c r="F31" s="1004">
        <f t="shared" si="76"/>
        <v>0</v>
      </c>
      <c r="G31" s="1005"/>
      <c r="H31" s="1003"/>
      <c r="I31" s="1004">
        <f t="shared" si="78"/>
        <v>0</v>
      </c>
      <c r="J31" s="1005"/>
      <c r="K31" s="1003"/>
      <c r="L31" s="1004">
        <f t="shared" si="80"/>
        <v>0</v>
      </c>
      <c r="M31" s="1005"/>
      <c r="N31" s="1003"/>
      <c r="O31" s="1004">
        <f t="shared" si="82"/>
        <v>0</v>
      </c>
      <c r="P31" s="1005"/>
      <c r="Q31" s="1003"/>
      <c r="R31" s="1004">
        <f t="shared" si="84"/>
        <v>0</v>
      </c>
      <c r="S31" s="1005"/>
      <c r="T31" s="1003"/>
      <c r="U31" s="1004">
        <f t="shared" si="86"/>
        <v>0</v>
      </c>
      <c r="V31" s="1005"/>
      <c r="W31" s="1003"/>
      <c r="X31" s="1004">
        <f t="shared" si="88"/>
        <v>0</v>
      </c>
      <c r="Y31" s="1092"/>
      <c r="Z31" s="1003"/>
      <c r="AA31" s="1004">
        <f t="shared" si="90"/>
        <v>0</v>
      </c>
      <c r="AB31" s="1092"/>
      <c r="AC31" s="1003"/>
      <c r="AD31" s="1004">
        <f t="shared" si="92"/>
        <v>0</v>
      </c>
      <c r="AE31" s="1005"/>
      <c r="AF31" s="1003"/>
      <c r="AG31" s="1004">
        <f t="shared" si="94"/>
        <v>0</v>
      </c>
      <c r="AH31" s="1005"/>
      <c r="AI31" s="1003"/>
      <c r="AJ31" s="1004">
        <f t="shared" si="96"/>
        <v>0</v>
      </c>
      <c r="AK31" s="1005"/>
      <c r="AL31" s="2323">
        <f t="shared" si="107"/>
        <v>0</v>
      </c>
      <c r="AM31" s="2324"/>
      <c r="AN31" s="2325"/>
    </row>
    <row r="32" spans="1:40">
      <c r="A32" s="1223" t="s">
        <v>323</v>
      </c>
      <c r="B32" s="2241">
        <f>B8+B16+B24</f>
        <v>40221</v>
      </c>
      <c r="C32" s="2230">
        <f t="shared" si="74"/>
        <v>94.7067452325899</v>
      </c>
      <c r="D32" s="2242">
        <f>D8+D16+D24</f>
        <v>3809200</v>
      </c>
      <c r="E32" s="2241">
        <f>E8+E16+E24</f>
        <v>14025</v>
      </c>
      <c r="F32" s="2230">
        <f t="shared" si="76"/>
        <v>98.9532976827094</v>
      </c>
      <c r="G32" s="2242">
        <f>G8+G16+G24</f>
        <v>1387820</v>
      </c>
      <c r="H32" s="2241">
        <f>H8+H16+H24</f>
        <v>51228</v>
      </c>
      <c r="I32" s="2230">
        <f t="shared" si="78"/>
        <v>93.0838603888498</v>
      </c>
      <c r="J32" s="2242">
        <f>J8+J16+J24</f>
        <v>4768500</v>
      </c>
      <c r="K32" s="2241">
        <f>K8+K16+K24</f>
        <v>55229</v>
      </c>
      <c r="L32" s="2272">
        <f t="shared" si="80"/>
        <v>94.2874214633616</v>
      </c>
      <c r="M32" s="955">
        <f>M8+M16+M24</f>
        <v>5207400</v>
      </c>
      <c r="N32" s="2241">
        <f>N8+N16+N24</f>
        <v>58371</v>
      </c>
      <c r="O32" s="2230">
        <f t="shared" si="82"/>
        <v>94.9327577050248</v>
      </c>
      <c r="P32" s="2242">
        <f>P8+P16+P24</f>
        <v>5541320</v>
      </c>
      <c r="Q32" s="2241">
        <f>Q8+Q16+Q24</f>
        <v>31229</v>
      </c>
      <c r="R32" s="2230">
        <f t="shared" si="84"/>
        <v>95.9909058887572</v>
      </c>
      <c r="S32" s="2242">
        <f>S8+S16+S24</f>
        <v>2997700</v>
      </c>
      <c r="T32" s="2241">
        <f>T8+T16+T24</f>
        <v>24221</v>
      </c>
      <c r="U32" s="2230">
        <f t="shared" si="86"/>
        <v>97.987696626894</v>
      </c>
      <c r="V32" s="2242">
        <f>V8+V16+V24</f>
        <v>2373360</v>
      </c>
      <c r="W32" s="2241">
        <f>W8+W16+W24</f>
        <v>15285</v>
      </c>
      <c r="X32" s="2230">
        <f t="shared" si="88"/>
        <v>91.3837095191364</v>
      </c>
      <c r="Y32" s="2299">
        <f>Y8+Y16+Y24</f>
        <v>1396800</v>
      </c>
      <c r="Z32" s="2241">
        <f>Z8+Z16+Z24</f>
        <v>31175</v>
      </c>
      <c r="AA32" s="2230">
        <f t="shared" si="90"/>
        <v>93.6214915797915</v>
      </c>
      <c r="AB32" s="2299">
        <f>AB8+AB16+AB24</f>
        <v>2918650</v>
      </c>
      <c r="AC32" s="2241">
        <f>AC8+AC16+AC24</f>
        <v>38215</v>
      </c>
      <c r="AD32" s="2230">
        <f t="shared" si="92"/>
        <v>94.853329844302</v>
      </c>
      <c r="AE32" s="2304">
        <f>AE8+AE16+AE24</f>
        <v>3624820</v>
      </c>
      <c r="AF32" s="2241">
        <f>AF8+AF16+AF24</f>
        <v>37237</v>
      </c>
      <c r="AG32" s="2230">
        <f t="shared" si="94"/>
        <v>95.7069581330397</v>
      </c>
      <c r="AH32" s="2304">
        <f>AH8+AH16+AH24</f>
        <v>3563840</v>
      </c>
      <c r="AI32" s="2241">
        <f>AI8+AI16+AI24</f>
        <v>25090</v>
      </c>
      <c r="AJ32" s="2230">
        <f t="shared" si="96"/>
        <v>103.626943005181</v>
      </c>
      <c r="AK32" s="2304">
        <f>AK8+AK16+AK24</f>
        <v>2600000</v>
      </c>
      <c r="AL32" s="2317">
        <f>SUM(B32,E32,H32,K32,N32,Q32,T32,W32,Z32,AC32,AF32,AI32)</f>
        <v>421526</v>
      </c>
      <c r="AM32" s="2326">
        <f t="shared" ref="AM32:AM34" si="108">IF(AL32=0,0,(AN32/AL32))</f>
        <v>95.3426597647595</v>
      </c>
      <c r="AN32" s="2319">
        <f>SUM(D32,G32,J32,M32,P32,S32,V32,Y32,AB32,AE32,AH32,AK32)</f>
        <v>40189410</v>
      </c>
    </row>
    <row r="33" ht="14.25" spans="1:42">
      <c r="A33" s="960" t="s">
        <v>324</v>
      </c>
      <c r="B33" s="2241">
        <f t="shared" si="73"/>
        <v>182463</v>
      </c>
      <c r="C33" s="984">
        <f t="shared" si="74"/>
        <v>101.304286348465</v>
      </c>
      <c r="D33" s="998">
        <f t="shared" si="75"/>
        <v>18484284</v>
      </c>
      <c r="E33" s="2241">
        <f t="shared" si="75"/>
        <v>149741</v>
      </c>
      <c r="F33" s="984">
        <f t="shared" si="76"/>
        <v>100.231386193494</v>
      </c>
      <c r="G33" s="998">
        <f t="shared" ref="G33" si="109">G9+G17+G25</f>
        <v>15008748</v>
      </c>
      <c r="H33" s="2241">
        <f t="shared" si="77"/>
        <v>166778</v>
      </c>
      <c r="I33" s="984">
        <f t="shared" si="78"/>
        <v>99.8549508928036</v>
      </c>
      <c r="J33" s="998">
        <f t="shared" ref="J33" si="110">J9+J17+J25</f>
        <v>16653609</v>
      </c>
      <c r="K33" s="2241">
        <f t="shared" si="79"/>
        <v>148947</v>
      </c>
      <c r="L33" s="984">
        <f t="shared" si="80"/>
        <v>102.892203266934</v>
      </c>
      <c r="M33" s="998">
        <f t="shared" ref="M33:N33" si="111">M9+M17+M25</f>
        <v>15325485</v>
      </c>
      <c r="N33" s="2241">
        <f t="shared" si="111"/>
        <v>190728</v>
      </c>
      <c r="O33" s="984">
        <f t="shared" si="82"/>
        <v>104.04267333585</v>
      </c>
      <c r="P33" s="998">
        <f t="shared" ref="P33:Q33" si="112">P9+P17+P25</f>
        <v>19843851</v>
      </c>
      <c r="Q33" s="2241">
        <f t="shared" si="112"/>
        <v>117515</v>
      </c>
      <c r="R33" s="984">
        <f t="shared" si="84"/>
        <v>104.355912011233</v>
      </c>
      <c r="S33" s="998">
        <f t="shared" ref="S33:T33" si="113">S9+S17+S25</f>
        <v>12263385</v>
      </c>
      <c r="T33" s="2241">
        <f t="shared" si="113"/>
        <v>142661</v>
      </c>
      <c r="U33" s="984">
        <f t="shared" si="86"/>
        <v>102.011972438158</v>
      </c>
      <c r="V33" s="998">
        <f t="shared" ref="V33:W33" si="114">V9+V17+V25</f>
        <v>14553130</v>
      </c>
      <c r="W33" s="2241">
        <f t="shared" si="114"/>
        <v>166752</v>
      </c>
      <c r="X33" s="984">
        <f t="shared" si="88"/>
        <v>99.619464834005</v>
      </c>
      <c r="Y33" s="1090">
        <f t="shared" ref="Y33:Z33" si="115">Y9+Y17+Y25</f>
        <v>16611745</v>
      </c>
      <c r="Z33" s="2241">
        <f t="shared" si="115"/>
        <v>137910</v>
      </c>
      <c r="AA33" s="984">
        <f t="shared" si="90"/>
        <v>98.9619897034298</v>
      </c>
      <c r="AB33" s="1090">
        <f t="shared" ref="AB33:AC33" si="116">AB9+AB17+AB25</f>
        <v>13647848</v>
      </c>
      <c r="AC33" s="2241">
        <f t="shared" si="116"/>
        <v>177221</v>
      </c>
      <c r="AD33" s="984">
        <f t="shared" si="92"/>
        <v>101.319465526095</v>
      </c>
      <c r="AE33" s="998">
        <f t="shared" ref="AE33:AF33" si="117">AE9+AE17+AE25</f>
        <v>17955937</v>
      </c>
      <c r="AF33" s="2241">
        <f t="shared" si="117"/>
        <v>157588</v>
      </c>
      <c r="AG33" s="984">
        <f t="shared" si="94"/>
        <v>106.531436403787</v>
      </c>
      <c r="AH33" s="998">
        <f t="shared" ref="AH33:AI33" si="118">AH9+AH17+AH25</f>
        <v>16788076</v>
      </c>
      <c r="AI33" s="2241">
        <f t="shared" si="118"/>
        <v>143489</v>
      </c>
      <c r="AJ33" s="984">
        <f t="shared" si="96"/>
        <v>123.874631504854</v>
      </c>
      <c r="AK33" s="998">
        <f t="shared" ref="AK33:AL33" si="119">AK9+AK17+AK25</f>
        <v>17774647</v>
      </c>
      <c r="AL33" s="2344">
        <f t="shared" si="119"/>
        <v>143489</v>
      </c>
      <c r="AM33" s="2345">
        <f t="shared" si="108"/>
        <v>123.874631504854</v>
      </c>
      <c r="AN33" s="2346">
        <f>AN9+AN17+AN25</f>
        <v>17774647</v>
      </c>
      <c r="AP33" s="97"/>
    </row>
    <row r="34" ht="14.25" spans="1:42">
      <c r="A34" s="2234" t="s">
        <v>330</v>
      </c>
      <c r="B34" s="2235">
        <f>(B28+B29)-(B32+B33)</f>
        <v>77389</v>
      </c>
      <c r="C34" s="2236">
        <f t="shared" si="74"/>
        <v>95.2383801315432</v>
      </c>
      <c r="D34" s="2243">
        <f>(D28+D29)-(D32+D33)</f>
        <v>7370403</v>
      </c>
      <c r="E34" s="2235">
        <f>(E28+E29)-(E32+E33)</f>
        <v>76882</v>
      </c>
      <c r="F34" s="2236">
        <f t="shared" si="76"/>
        <v>98.8398064566478</v>
      </c>
      <c r="G34" s="2243">
        <f>(G28+G29)-(G32+G33)</f>
        <v>7599002</v>
      </c>
      <c r="H34" s="2235">
        <f>(H28+H29)-(H32+H33)</f>
        <v>84403</v>
      </c>
      <c r="I34" s="2236">
        <f t="shared" si="78"/>
        <v>101.424428041657</v>
      </c>
      <c r="J34" s="2243">
        <f>(J28+J29)-(J32+J33)</f>
        <v>8560526</v>
      </c>
      <c r="K34" s="2235">
        <f>(K28+K29)-(K32+K33)</f>
        <v>101263</v>
      </c>
      <c r="L34" s="2236">
        <f t="shared" si="80"/>
        <v>90.6013943888686</v>
      </c>
      <c r="M34" s="2243">
        <f>(M28+M29)-(M32+M33)</f>
        <v>9174569</v>
      </c>
      <c r="N34" s="2235">
        <f>(N28+N29)-(N32+N33)</f>
        <v>75456</v>
      </c>
      <c r="O34" s="2236">
        <f t="shared" si="82"/>
        <v>103.724753498728</v>
      </c>
      <c r="P34" s="2243">
        <f>(P28+P29)-(P32+P33)</f>
        <v>7826655</v>
      </c>
      <c r="Q34" s="2235">
        <f>(Q28+Q29)-(Q32+Q33)</f>
        <v>79828</v>
      </c>
      <c r="R34" s="2236">
        <f t="shared" si="84"/>
        <v>97.692977401413</v>
      </c>
      <c r="S34" s="2243">
        <f>(S28+S29)-(S32+S33)</f>
        <v>7798635</v>
      </c>
      <c r="T34" s="2235">
        <f>(T28+T29)-(T32+T33)</f>
        <v>79862</v>
      </c>
      <c r="U34" s="2236">
        <f t="shared" si="86"/>
        <v>100.329255465678</v>
      </c>
      <c r="V34" s="2243">
        <f>(V28+V29)-(V32+V33)</f>
        <v>8012495</v>
      </c>
      <c r="W34" s="2235">
        <f>(W28+W29)-(W32+W33)</f>
        <v>81583</v>
      </c>
      <c r="X34" s="2236">
        <f t="shared" si="88"/>
        <v>94.1501538310677</v>
      </c>
      <c r="Y34" s="2294">
        <f>(Y28+Y29)-(Y32+Y33)</f>
        <v>7681052</v>
      </c>
      <c r="Z34" s="2235">
        <f>(Z28+Z29)-(Z32+Z33)</f>
        <v>105241</v>
      </c>
      <c r="AA34" s="2236">
        <f t="shared" si="90"/>
        <v>94.866278351593</v>
      </c>
      <c r="AB34" s="2294">
        <f>(AB28+AB29)-(AB32+AB33)</f>
        <v>9983822</v>
      </c>
      <c r="AC34" s="2235">
        <f>(AC28+AC29)-(AC32+AC33)</f>
        <v>92923</v>
      </c>
      <c r="AD34" s="2236">
        <f t="shared" si="92"/>
        <v>94.7777514716486</v>
      </c>
      <c r="AE34" s="2237">
        <f>(AE28+AE29)-(AE32+AE33)</f>
        <v>8807033</v>
      </c>
      <c r="AF34" s="2235">
        <f>(AF28+AF29)-(AF32+AF33)</f>
        <v>100271</v>
      </c>
      <c r="AG34" s="2236">
        <f t="shared" si="94"/>
        <v>95.5232519871149</v>
      </c>
      <c r="AH34" s="2237">
        <f>(AH28+AH29)-(AH32+AH33)</f>
        <v>9578212</v>
      </c>
      <c r="AI34" s="2235">
        <f>(AI28+AI29)-(AI32+AI33)</f>
        <v>87009</v>
      </c>
      <c r="AJ34" s="2236">
        <f t="shared" si="96"/>
        <v>101.491006907331</v>
      </c>
      <c r="AK34" s="2237">
        <f>(AK28+AK29)-(AK32+AK33)</f>
        <v>8830631.02</v>
      </c>
      <c r="AL34" s="2331">
        <f>(AL28+AL29)-(AL32+AL33)</f>
        <v>1042110</v>
      </c>
      <c r="AM34" s="2332">
        <f t="shared" si="108"/>
        <v>97.1327739106237</v>
      </c>
      <c r="AN34" s="2333">
        <f>(AN28+AN29)-(AN32+AN33)</f>
        <v>101223035.02</v>
      </c>
      <c r="AP34" s="97"/>
    </row>
    <row r="35" ht="14.25" spans="1:40">
      <c r="A35" s="2244" t="s">
        <v>331</v>
      </c>
      <c r="B35" s="2244"/>
      <c r="C35" s="2245">
        <f>C10</f>
        <v>93.9930484777212</v>
      </c>
      <c r="D35" s="2239"/>
      <c r="E35" s="2244"/>
      <c r="F35" s="2245">
        <f>F10</f>
        <v>97.4949344575456</v>
      </c>
      <c r="G35" s="2239"/>
      <c r="H35" s="2244"/>
      <c r="I35" s="2245">
        <f>I10</f>
        <v>99.2756798943387</v>
      </c>
      <c r="J35" s="2239"/>
      <c r="K35" s="2244"/>
      <c r="L35" s="2245">
        <f>L10</f>
        <v>89.183777566635</v>
      </c>
      <c r="M35" s="2239"/>
      <c r="N35" s="2244"/>
      <c r="O35" s="2245">
        <f>O10</f>
        <v>101.459648416532</v>
      </c>
      <c r="P35" s="2239"/>
      <c r="Q35" s="2244"/>
      <c r="R35" s="2245">
        <f>R10</f>
        <v>95.8570433240436</v>
      </c>
      <c r="S35" s="2239"/>
      <c r="T35" s="2244"/>
      <c r="U35" s="2245">
        <f>U10</f>
        <v>98.3269457285796</v>
      </c>
      <c r="V35" s="2244"/>
      <c r="W35" s="2244"/>
      <c r="X35" s="2245">
        <f>X10</f>
        <v>91.8957159733881</v>
      </c>
      <c r="Y35" s="2244"/>
      <c r="Z35" s="2244"/>
      <c r="AA35" s="2245">
        <f>AA10</f>
        <v>93.0426638416719</v>
      </c>
      <c r="AB35" s="2244"/>
      <c r="AC35" s="2244"/>
      <c r="AD35" s="2245">
        <f>AD10</f>
        <v>93.3866782854964</v>
      </c>
      <c r="AE35" s="2244"/>
      <c r="AF35" s="2244"/>
      <c r="AG35" s="2245">
        <f>AG10</f>
        <v>94.2093278325619</v>
      </c>
      <c r="AH35" s="2244"/>
      <c r="AI35" s="2244"/>
      <c r="AJ35" s="2245">
        <f>AJ10</f>
        <v>99.7840280905397</v>
      </c>
      <c r="AK35" s="2244"/>
      <c r="AL35" s="2244"/>
      <c r="AM35" s="2245">
        <f>AM10</f>
        <v>95.4187345113406</v>
      </c>
      <c r="AN35" s="2239"/>
    </row>
    <row r="36" spans="1:39">
      <c r="A36" s="2246" t="s">
        <v>332</v>
      </c>
      <c r="C36" s="2247">
        <f>C34-C35</f>
        <v>1.24533165382208</v>
      </c>
      <c r="F36" s="2247">
        <f>F34-F35</f>
        <v>1.34487199910224</v>
      </c>
      <c r="I36" s="2247">
        <f>I34-I35</f>
        <v>2.14874814731857</v>
      </c>
      <c r="L36" s="2247">
        <f>L34-L35</f>
        <v>1.41761682223358</v>
      </c>
      <c r="O36" s="2247">
        <f>O34-O35</f>
        <v>2.26510508219526</v>
      </c>
      <c r="R36" s="2247">
        <f>R34-R35</f>
        <v>1.83593407736946</v>
      </c>
      <c r="S36" s="765"/>
      <c r="U36" s="2247">
        <f>U34-U35</f>
        <v>2.00230973709873</v>
      </c>
      <c r="X36" s="2247">
        <f>X34-X35</f>
        <v>2.25443785767969</v>
      </c>
      <c r="AA36" s="2247">
        <f>AA34-AA35</f>
        <v>1.82361450992113</v>
      </c>
      <c r="AD36" s="2247">
        <f>AD34-AD35</f>
        <v>1.39107318615214</v>
      </c>
      <c r="AG36" s="2247">
        <f>AG34-AG35</f>
        <v>1.31392415455304</v>
      </c>
      <c r="AJ36" s="2247">
        <f>AJ34-AJ35</f>
        <v>1.70697881679168</v>
      </c>
      <c r="AM36" s="2247">
        <f>AM34-AM35</f>
        <v>1.71403939928302</v>
      </c>
    </row>
    <row r="37" spans="25:25">
      <c r="Y37" s="938"/>
    </row>
    <row r="38" ht="15" spans="1:40">
      <c r="A38" s="2238" t="s">
        <v>333</v>
      </c>
      <c r="B38" s="994"/>
      <c r="C38" s="2248"/>
      <c r="D38" s="2248"/>
      <c r="E38" s="994"/>
      <c r="F38" s="994"/>
      <c r="G38" s="994"/>
      <c r="H38" s="994"/>
      <c r="I38" s="994"/>
      <c r="J38" s="994"/>
      <c r="K38" s="994"/>
      <c r="L38" s="994"/>
      <c r="M38" s="994"/>
      <c r="N38" s="994"/>
      <c r="O38" s="994"/>
      <c r="P38" s="994"/>
      <c r="Q38" s="994"/>
      <c r="R38" s="994"/>
      <c r="S38" s="994"/>
      <c r="T38" s="994"/>
      <c r="U38" s="994"/>
      <c r="V38" s="994"/>
      <c r="W38" s="994"/>
      <c r="X38" s="994"/>
      <c r="Y38" s="2248"/>
      <c r="Z38" s="994"/>
      <c r="AA38" s="994"/>
      <c r="AB38" s="994"/>
      <c r="AC38" s="994"/>
      <c r="AD38" s="994"/>
      <c r="AE38" s="994"/>
      <c r="AF38" s="994"/>
      <c r="AG38" s="994"/>
      <c r="AH38" s="994"/>
      <c r="AI38" s="994"/>
      <c r="AJ38" s="994"/>
      <c r="AK38" s="994"/>
      <c r="AL38" s="994"/>
      <c r="AM38" s="994"/>
      <c r="AN38" s="2248"/>
    </row>
    <row r="39" spans="1:40">
      <c r="A39" s="948" t="s">
        <v>319</v>
      </c>
      <c r="B39" s="989"/>
      <c r="C39" s="2249">
        <f>IF(B39=0,0,(D39/B39))</f>
        <v>0</v>
      </c>
      <c r="D39" s="1225"/>
      <c r="E39" s="989"/>
      <c r="F39" s="2249">
        <f>IF(E39=0,0,(G39/E39))</f>
        <v>0</v>
      </c>
      <c r="G39" s="1225"/>
      <c r="H39" s="989"/>
      <c r="I39" s="2249">
        <f>IF(H39=0,0,(J39/H39))</f>
        <v>0</v>
      </c>
      <c r="J39" s="1225"/>
      <c r="K39" s="989"/>
      <c r="L39" s="2249">
        <f>IF(K39=0,0,(M39/K39))</f>
        <v>0</v>
      </c>
      <c r="M39" s="1225"/>
      <c r="N39" s="1047">
        <f>K48</f>
        <v>0</v>
      </c>
      <c r="O39" s="1085"/>
      <c r="P39" s="1093"/>
      <c r="Q39" s="949">
        <f>N48</f>
        <v>0</v>
      </c>
      <c r="R39" s="1112"/>
      <c r="S39" s="1113"/>
      <c r="T39" s="1047">
        <f>Q48</f>
        <v>0</v>
      </c>
      <c r="U39" s="1085"/>
      <c r="V39" s="1147"/>
      <c r="W39" s="989">
        <f>T48</f>
        <v>0</v>
      </c>
      <c r="X39" s="1125"/>
      <c r="Y39" s="2281"/>
      <c r="Z39" s="1143">
        <f>W48</f>
        <v>0</v>
      </c>
      <c r="AA39" s="1141"/>
      <c r="AB39" s="1153"/>
      <c r="AC39" s="1143">
        <f>Z48</f>
        <v>0</v>
      </c>
      <c r="AD39" s="1141"/>
      <c r="AE39" s="1153"/>
      <c r="AF39" s="1143">
        <f>AC48</f>
        <v>0</v>
      </c>
      <c r="AG39" s="1141"/>
      <c r="AH39" s="1153"/>
      <c r="AI39" s="989">
        <f t="shared" ref="AI39" si="120">AF48</f>
        <v>0</v>
      </c>
      <c r="AJ39" s="1141"/>
      <c r="AK39" s="1126"/>
      <c r="AL39" s="2314">
        <f>B39</f>
        <v>0</v>
      </c>
      <c r="AM39" s="2315">
        <f>IF(AL39=0,0,(AN39/AL39))</f>
        <v>0</v>
      </c>
      <c r="AN39" s="2316">
        <f>D39</f>
        <v>0</v>
      </c>
    </row>
    <row r="40" spans="1:42">
      <c r="A40" s="2250" t="s">
        <v>334</v>
      </c>
      <c r="B40" s="2241">
        <f>ROUND((Purchase!L22),0)</f>
        <v>18891</v>
      </c>
      <c r="C40" s="2228">
        <f t="shared" ref="C40:C49" si="121">IF(B40=0,0,(D40/B40))</f>
        <v>123.787200254089</v>
      </c>
      <c r="D40" s="998">
        <f>ROUND((Purchase!M22),0)</f>
        <v>2338464</v>
      </c>
      <c r="E40" s="2241">
        <f>ROUND((Purchase!L23),0)</f>
        <v>11834</v>
      </c>
      <c r="F40" s="2228">
        <f t="shared" ref="F40:F42" si="122">IF(E40=0,0,(G40/E40))</f>
        <v>126.268632753084</v>
      </c>
      <c r="G40" s="998">
        <f>ROUND((Purchase!M23),0)</f>
        <v>1494263</v>
      </c>
      <c r="H40" s="2241">
        <f>ROUND((Purchase!L24),0)</f>
        <v>18632</v>
      </c>
      <c r="I40" s="2228">
        <f t="shared" ref="I40:I42" si="123">IF(H40=0,0,(J40/H40))</f>
        <v>123.050397166166</v>
      </c>
      <c r="J40" s="998">
        <f>ROUND((Purchase!M24),0)</f>
        <v>2292675</v>
      </c>
      <c r="K40" s="2241">
        <f>ROUND((Purchase!L25),0)</f>
        <v>9076</v>
      </c>
      <c r="L40" s="2228">
        <f t="shared" ref="L40:L42" si="124">IF(K40=0,0,(M40/K40))</f>
        <v>121.059497576025</v>
      </c>
      <c r="M40" s="998">
        <f>ROUND((Purchase!M25),0)</f>
        <v>1098736</v>
      </c>
      <c r="N40" s="2241">
        <f>ROUND((Purchase!$L26),)</f>
        <v>24210</v>
      </c>
      <c r="O40" s="2228">
        <f t="shared" ref="O40:O42" si="125">IF(N40=0,0,(P40/N40))</f>
        <v>121.842213961173</v>
      </c>
      <c r="P40" s="998">
        <f>ROUND((Purchase!M26),0)</f>
        <v>2949800</v>
      </c>
      <c r="Q40" s="2241">
        <f>ROUND((Purchase!$L27),0)</f>
        <v>34618</v>
      </c>
      <c r="R40" s="2228">
        <f t="shared" ref="R40:R42" si="126">IF(Q40=0,0,(S40/Q40))</f>
        <v>122.34484950026</v>
      </c>
      <c r="S40" s="998">
        <f>ROUND((Purchase!$M27),0)</f>
        <v>4235334</v>
      </c>
      <c r="T40" s="2277">
        <f>ROUND((Purchase!$L28),0)</f>
        <v>7140</v>
      </c>
      <c r="U40" s="2228">
        <f t="shared" ref="U40:U42" si="127">IF(T40=0,0,(V40/T40))</f>
        <v>109.979831932773</v>
      </c>
      <c r="V40" s="998">
        <f>ROUND((Purchase!$M28),0)</f>
        <v>785256</v>
      </c>
      <c r="W40" s="2241">
        <f>Purchase!$L29</f>
        <v>15516.05</v>
      </c>
      <c r="X40" s="2228">
        <f t="shared" ref="X40:X42" si="128">IF(W40=0,0,(Y40/W40))</f>
        <v>119.05076356418</v>
      </c>
      <c r="Y40" s="998">
        <f>Purchase!$M29</f>
        <v>1847197.6</v>
      </c>
      <c r="Z40" s="953">
        <f>Purchase!L30</f>
        <v>8732.9</v>
      </c>
      <c r="AA40" s="2228">
        <f t="shared" ref="AA40:AA42" si="129">IF(Z40=0,0,(AB40/Z40))</f>
        <v>109.953383183135</v>
      </c>
      <c r="AB40" s="1026">
        <f>Purchase!M30</f>
        <v>960211.9</v>
      </c>
      <c r="AC40" s="953">
        <f>ROUND((Purchase!$L31),0)</f>
        <v>4710</v>
      </c>
      <c r="AD40" s="2228">
        <f t="shared" ref="AD40:AD42" si="130">IF(AC40=0,0,(AE40/AC40))</f>
        <v>121.039447983015</v>
      </c>
      <c r="AE40" s="1026">
        <f>Purchase!M31</f>
        <v>570095.8</v>
      </c>
      <c r="AF40" s="953">
        <f>ROUND((Purchase!$L32),0)</f>
        <v>5000</v>
      </c>
      <c r="AG40" s="2228">
        <f t="shared" ref="AG40:AG42" si="131">IF(AF40=0,0,(AH40/AF40))</f>
        <v>112</v>
      </c>
      <c r="AH40" s="1026">
        <f>Purchase!M32</f>
        <v>560000</v>
      </c>
      <c r="AI40" s="953">
        <f>ROUND((Purchase!$L33),0)</f>
        <v>2984</v>
      </c>
      <c r="AJ40" s="2228">
        <f t="shared" ref="AJ40:AJ42" si="132">IF(AI40=0,0,(AK40/AI40))</f>
        <v>124.968498659517</v>
      </c>
      <c r="AK40" s="1026">
        <f>ROUND((Purchase!M33),0)</f>
        <v>372906</v>
      </c>
      <c r="AL40" s="2317">
        <f>SUM(B40,E40,H40,K40,N40,Q40,T40,W40,Z40,AC40,AF40,AI40)</f>
        <v>161343.95</v>
      </c>
      <c r="AM40" s="2318">
        <f t="shared" ref="AM40" si="133">IF(AL40=0,0,(AN40/AL40))</f>
        <v>120.890428801328</v>
      </c>
      <c r="AN40" s="2319">
        <f>SUM(D40,G40,J40,M40,P40,S40,V40,Y40,AB40,AE40,AH40,AK40)</f>
        <v>19504939.3</v>
      </c>
      <c r="AO40" s="1431">
        <f>2986750+12068972</f>
        <v>15055722</v>
      </c>
      <c r="AP40" s="242">
        <f>AN40-AO40</f>
        <v>4449217.3</v>
      </c>
    </row>
    <row r="41" spans="1:42">
      <c r="A41" s="2251" t="s">
        <v>335</v>
      </c>
      <c r="B41" s="1268">
        <f>Purchase!$E22</f>
        <v>16952</v>
      </c>
      <c r="C41" s="2230">
        <f t="shared" si="121"/>
        <v>243.008612553091</v>
      </c>
      <c r="D41" s="1365">
        <f>Purchase!$F22</f>
        <v>4119482</v>
      </c>
      <c r="E41" s="1268">
        <f>Purchase!$E23</f>
        <v>16531</v>
      </c>
      <c r="F41" s="2230">
        <f t="shared" si="122"/>
        <v>239.577521021112</v>
      </c>
      <c r="G41" s="1365">
        <f>Purchase!$F23</f>
        <v>3960456</v>
      </c>
      <c r="H41" s="1268">
        <f>Purchase!$E24</f>
        <v>17353</v>
      </c>
      <c r="I41" s="2230">
        <f t="shared" si="123"/>
        <v>236.929464645883</v>
      </c>
      <c r="J41" s="1365">
        <f>Purchase!$F24</f>
        <v>4111437</v>
      </c>
      <c r="K41" s="1268">
        <f>ROUND((Purchase!$E25),0)</f>
        <v>16767</v>
      </c>
      <c r="L41" s="2230">
        <f t="shared" si="124"/>
        <v>246.756128108785</v>
      </c>
      <c r="M41" s="1365">
        <f>ROUND((Purchase!$F25),0)</f>
        <v>4137360</v>
      </c>
      <c r="N41" s="1268">
        <f>ROUND((Purchase!$E26),0)</f>
        <v>15887</v>
      </c>
      <c r="O41" s="2230">
        <f t="shared" si="125"/>
        <v>244.419714231762</v>
      </c>
      <c r="P41" s="1365">
        <f>Purchase!$F26</f>
        <v>3883096</v>
      </c>
      <c r="Q41" s="1268">
        <f>ROUND((Purchase!$E27),0)</f>
        <v>15046</v>
      </c>
      <c r="R41" s="2230">
        <f t="shared" si="126"/>
        <v>232.57324205769</v>
      </c>
      <c r="S41" s="1365">
        <f>Purchase!$F27</f>
        <v>3499297</v>
      </c>
      <c r="T41" s="1268">
        <f>ROUND((Purchase!$E28),0)</f>
        <v>15490</v>
      </c>
      <c r="U41" s="2230">
        <f t="shared" si="127"/>
        <v>234.667527437056</v>
      </c>
      <c r="V41" s="1365">
        <f>ROUND((Purchase!$F28),0)</f>
        <v>3635000</v>
      </c>
      <c r="W41" s="2241">
        <f>ROUND((Purchase!E29),0)</f>
        <v>14240</v>
      </c>
      <c r="X41" s="2228">
        <f t="shared" si="128"/>
        <v>234.108707865169</v>
      </c>
      <c r="Y41" s="998">
        <f>Purchase!F29</f>
        <v>3333708</v>
      </c>
      <c r="Z41" s="2241">
        <f>ROUND((Purchase!E30),0)</f>
        <v>16273</v>
      </c>
      <c r="AA41" s="2228">
        <f t="shared" si="129"/>
        <v>234.639955754931</v>
      </c>
      <c r="AB41" s="998">
        <f>ROUND((Purchase!F30),0)</f>
        <v>3818296</v>
      </c>
      <c r="AC41" s="2241">
        <f>ROUND((Purchase!E31),0)</f>
        <v>15651</v>
      </c>
      <c r="AD41" s="2228">
        <f t="shared" si="130"/>
        <v>233.366174685324</v>
      </c>
      <c r="AE41" s="998">
        <f>ROUND((Purchase!F31),0)</f>
        <v>3652414</v>
      </c>
      <c r="AF41" s="2241">
        <f>ROUND((Purchase!E32),0)</f>
        <v>10036</v>
      </c>
      <c r="AG41" s="2228">
        <f t="shared" si="131"/>
        <v>248.200677560781</v>
      </c>
      <c r="AH41" s="998">
        <f>ROUND((Purchase!F32),0)</f>
        <v>2490942</v>
      </c>
      <c r="AI41" s="2241">
        <f>ROUND((Purchase!E33),0)</f>
        <v>15881</v>
      </c>
      <c r="AJ41" s="2228">
        <f t="shared" si="132"/>
        <v>243.142182482211</v>
      </c>
      <c r="AK41" s="998">
        <f>ROUND((Purchase!F33),0)</f>
        <v>3861341</v>
      </c>
      <c r="AL41" s="2317">
        <f>ROUND((Purchase!E34),0)</f>
        <v>186106</v>
      </c>
      <c r="AM41" s="2318">
        <f t="shared" ref="AM41:AM43" si="134">IF(AL41=0,0,(AN41/AL41))</f>
        <v>239.126239884797</v>
      </c>
      <c r="AN41" s="2319">
        <f>ROUND((Purchase!F34),0)</f>
        <v>44502828</v>
      </c>
      <c r="AP41" s="242"/>
    </row>
    <row r="42" spans="1:42">
      <c r="A42" s="2252" t="s">
        <v>336</v>
      </c>
      <c r="B42" s="989">
        <f>ROUND((Purchase!B22),0)</f>
        <v>6741</v>
      </c>
      <c r="C42" s="2230">
        <f t="shared" si="121"/>
        <v>208.375611927014</v>
      </c>
      <c r="D42" s="2253">
        <f>ROUND((Purchase!C22),0)</f>
        <v>1404660</v>
      </c>
      <c r="E42" s="989">
        <f>ROUND((Purchase!B23),0)</f>
        <v>3898</v>
      </c>
      <c r="F42" s="2230">
        <f t="shared" si="122"/>
        <v>221.53412006157</v>
      </c>
      <c r="G42" s="2253">
        <f>ROUND((Purchase!C23),0)</f>
        <v>863540</v>
      </c>
      <c r="H42" s="989">
        <f>ROUND((Purchase!B24),0)</f>
        <v>7345</v>
      </c>
      <c r="I42" s="2230">
        <f t="shared" si="123"/>
        <v>239.765554799183</v>
      </c>
      <c r="J42" s="2253">
        <f>ROUND((Purchase!C24),0)</f>
        <v>1761078</v>
      </c>
      <c r="K42" s="989">
        <f>ROUND((Purchase!B25),0)</f>
        <v>4224</v>
      </c>
      <c r="L42" s="2230">
        <f t="shared" si="124"/>
        <v>238.651041666667</v>
      </c>
      <c r="M42" s="2253">
        <f>ROUND((Purchase!C25),0)</f>
        <v>1008062</v>
      </c>
      <c r="N42" s="1127">
        <f>ROUND((Purchase!B26),0)</f>
        <v>9190</v>
      </c>
      <c r="O42" s="2230">
        <f t="shared" si="125"/>
        <v>230.042763873776</v>
      </c>
      <c r="P42" s="2249">
        <f>ROUND((Purchase!C26),0)</f>
        <v>2114093</v>
      </c>
      <c r="Q42" s="989">
        <f>ROUND((Purchase!B27),0)</f>
        <v>8506</v>
      </c>
      <c r="R42" s="2230">
        <f t="shared" si="126"/>
        <v>221.418175405596</v>
      </c>
      <c r="S42" s="2281">
        <f>ROUND((Purchase!C27),0)</f>
        <v>1883383</v>
      </c>
      <c r="T42" s="1127">
        <f>ROUND((Purchase!B28),0)</f>
        <v>10656</v>
      </c>
      <c r="U42" s="2230">
        <f t="shared" si="127"/>
        <v>218.559121621622</v>
      </c>
      <c r="V42" s="2249">
        <f>Purchase!C28</f>
        <v>2328966</v>
      </c>
      <c r="W42" s="989">
        <f>ROUND((Purchase!B29),0)</f>
        <v>7327</v>
      </c>
      <c r="X42" s="2228">
        <f t="shared" si="128"/>
        <v>216.959328510987</v>
      </c>
      <c r="Y42" s="2281">
        <f>ROUND((Purchase!C29),0)</f>
        <v>1589661</v>
      </c>
      <c r="Z42" s="974">
        <f>ROUND((Purchase!B30),0)</f>
        <v>9681</v>
      </c>
      <c r="AA42" s="2228">
        <f t="shared" si="129"/>
        <v>219.799504183452</v>
      </c>
      <c r="AB42" s="2300">
        <f>ROUND((Purchase!C30),0)</f>
        <v>2127879</v>
      </c>
      <c r="AC42" s="974">
        <f>ROUND((Purchase!$B31),0)</f>
        <v>10817</v>
      </c>
      <c r="AD42" s="2228">
        <f t="shared" si="130"/>
        <v>219.645927706388</v>
      </c>
      <c r="AE42" s="2300">
        <f>ROUND((Purchase!C31),0)</f>
        <v>2375910</v>
      </c>
      <c r="AF42" s="974">
        <f>ROUND((Purchase!$B32),0)</f>
        <v>5577</v>
      </c>
      <c r="AG42" s="2228">
        <f t="shared" si="131"/>
        <v>224.154563385333</v>
      </c>
      <c r="AH42" s="2300">
        <f>ROUND((Purchase!C32),0)</f>
        <v>1250110</v>
      </c>
      <c r="AI42" s="974">
        <f>ROUND((Purchase!$B33),0)</f>
        <v>12344</v>
      </c>
      <c r="AJ42" s="2228">
        <f t="shared" si="132"/>
        <v>227.430735580039</v>
      </c>
      <c r="AK42" s="2300">
        <f>ROUND((Purchase!C33),0)</f>
        <v>2807405</v>
      </c>
      <c r="AL42" s="2317">
        <f t="shared" ref="AL42:AL43" si="135">SUM(B42,E42,H42,K42,N42,Q42,T42,W42,Z42,AC42,AF42,AI42)</f>
        <v>96306</v>
      </c>
      <c r="AM42" s="2318">
        <f t="shared" si="134"/>
        <v>223.399860860175</v>
      </c>
      <c r="AN42" s="2319">
        <f t="shared" ref="AN42:AN43" si="136">SUM(D42,G42,J42,M42,P42,S42,V42,Y42,AB42,AE42,AH42,AK42)</f>
        <v>21514747</v>
      </c>
      <c r="AP42" s="242"/>
    </row>
    <row r="43" spans="1:42">
      <c r="A43" s="2254" t="s">
        <v>337</v>
      </c>
      <c r="B43" s="2241"/>
      <c r="C43" s="2228">
        <f t="shared" si="121"/>
        <v>0</v>
      </c>
      <c r="D43" s="1360">
        <f>ROUND((Purchase!H22),0)</f>
        <v>214283</v>
      </c>
      <c r="E43" s="2241"/>
      <c r="F43" s="2228"/>
      <c r="G43" s="1360">
        <f>ROUND((Purchase!H23),0)</f>
        <v>308739</v>
      </c>
      <c r="H43" s="2241"/>
      <c r="I43" s="2228"/>
      <c r="J43" s="1360">
        <f>ROUND((Purchase!H24),0)</f>
        <v>431082</v>
      </c>
      <c r="K43" s="2241"/>
      <c r="L43" s="2228"/>
      <c r="M43" s="1360">
        <f>ROUND((Purchase!H25),0)</f>
        <v>611378</v>
      </c>
      <c r="N43" s="2277"/>
      <c r="O43" s="2228"/>
      <c r="P43" s="1090">
        <f>ROUND((Purchase!H26),0)</f>
        <v>258089</v>
      </c>
      <c r="Q43" s="2241"/>
      <c r="R43" s="2228"/>
      <c r="S43" s="998">
        <f>ROUND((Purchase!H27),0)</f>
        <v>352826</v>
      </c>
      <c r="T43" s="2277"/>
      <c r="U43" s="2228"/>
      <c r="V43" s="1090">
        <f>ROUND((Purchase!H28),0)</f>
        <v>653532</v>
      </c>
      <c r="W43" s="2241"/>
      <c r="X43" s="2228"/>
      <c r="Y43" s="998">
        <f>ROUND((Purchase!H29),0)</f>
        <v>250063</v>
      </c>
      <c r="Z43" s="2241"/>
      <c r="AA43" s="2228"/>
      <c r="AB43" s="998">
        <f>ROUND((Purchase!H30),0)</f>
        <v>245756</v>
      </c>
      <c r="AC43" s="2241"/>
      <c r="AD43" s="2228"/>
      <c r="AE43" s="998">
        <f>ROUND((Purchase!H31),0)</f>
        <v>402781</v>
      </c>
      <c r="AF43" s="2241"/>
      <c r="AG43" s="2228"/>
      <c r="AH43" s="998">
        <f>ROUND((Purchase!H32),0)</f>
        <v>346634</v>
      </c>
      <c r="AI43" s="2241"/>
      <c r="AJ43" s="2228"/>
      <c r="AK43" s="998">
        <f>ROUND((Purchase!H33),0)</f>
        <v>229895</v>
      </c>
      <c r="AL43" s="2317">
        <f t="shared" si="135"/>
        <v>0</v>
      </c>
      <c r="AM43" s="2318">
        <f t="shared" si="134"/>
        <v>0</v>
      </c>
      <c r="AN43" s="2319">
        <f t="shared" si="136"/>
        <v>4305058</v>
      </c>
      <c r="AP43" s="242"/>
    </row>
    <row r="44" ht="14.25" spans="1:42">
      <c r="A44" s="991"/>
      <c r="B44" s="2255"/>
      <c r="C44" s="2256">
        <f t="shared" si="121"/>
        <v>0</v>
      </c>
      <c r="D44" s="1371"/>
      <c r="E44" s="2255"/>
      <c r="F44" s="2256"/>
      <c r="G44" s="1371"/>
      <c r="H44" s="2255"/>
      <c r="I44" s="2256"/>
      <c r="J44" s="1371"/>
      <c r="K44" s="2255"/>
      <c r="L44" s="2256"/>
      <c r="M44" s="1371"/>
      <c r="N44" s="2278"/>
      <c r="O44" s="2256"/>
      <c r="P44" s="2279"/>
      <c r="Q44" s="2282"/>
      <c r="R44" s="2283"/>
      <c r="S44" s="986"/>
      <c r="T44" s="2278"/>
      <c r="U44" s="2256"/>
      <c r="V44" s="2279"/>
      <c r="W44" s="2255"/>
      <c r="X44" s="2256"/>
      <c r="Y44" s="2301"/>
      <c r="Z44" s="2255"/>
      <c r="AA44" s="2256"/>
      <c r="AB44" s="2301"/>
      <c r="AC44" s="2255"/>
      <c r="AD44" s="2256"/>
      <c r="AE44" s="2301"/>
      <c r="AF44" s="2255"/>
      <c r="AG44" s="2256"/>
      <c r="AH44" s="2301"/>
      <c r="AI44" s="2255"/>
      <c r="AJ44" s="2256"/>
      <c r="AK44" s="2301"/>
      <c r="AL44" s="2347"/>
      <c r="AM44" s="2348"/>
      <c r="AN44" s="2349"/>
      <c r="AP44" s="242"/>
    </row>
    <row r="45" ht="14.25" spans="1:40">
      <c r="A45" s="1238" t="s">
        <v>338</v>
      </c>
      <c r="B45" s="1239">
        <f>SUM(B40:B44)</f>
        <v>42584</v>
      </c>
      <c r="C45" s="1240">
        <f t="shared" si="121"/>
        <v>189.669570730791</v>
      </c>
      <c r="D45" s="1177">
        <f>SUM(D40:D44)</f>
        <v>8076889</v>
      </c>
      <c r="E45" s="1239">
        <f>SUM(E40:E44)</f>
        <v>32263</v>
      </c>
      <c r="F45" s="1240">
        <f t="shared" ref="F45" si="137">IF(E45=0,0,(G45/E45))</f>
        <v>205.405510956824</v>
      </c>
      <c r="G45" s="1177">
        <f>SUM(G40:G44)</f>
        <v>6626998</v>
      </c>
      <c r="H45" s="1239">
        <f>SUM(H40:H44)</f>
        <v>43330</v>
      </c>
      <c r="I45" s="1240">
        <f t="shared" ref="I45" si="138">IF(H45=0,0,(J45/H45))</f>
        <v>198.390768520655</v>
      </c>
      <c r="J45" s="1177">
        <f>SUM(J40:J44)</f>
        <v>8596272</v>
      </c>
      <c r="K45" s="1239">
        <f>SUM(K40:K44)</f>
        <v>30067</v>
      </c>
      <c r="L45" s="1240">
        <f t="shared" ref="L45" si="139">IF(K45=0,0,(M45/K45))</f>
        <v>228.008647354242</v>
      </c>
      <c r="M45" s="1177">
        <f>SUM(M40:M44)</f>
        <v>6855536</v>
      </c>
      <c r="N45" s="1239">
        <f>SUM(N40:N44)</f>
        <v>49287</v>
      </c>
      <c r="O45" s="1240">
        <f t="shared" ref="O45" si="140">IF(N45=0,0,(P45/N45))</f>
        <v>186.764826424818</v>
      </c>
      <c r="P45" s="1177">
        <f>SUM(P40:P44)</f>
        <v>9205078</v>
      </c>
      <c r="Q45" s="1239">
        <f>SUM(Q40:Q44)</f>
        <v>58170</v>
      </c>
      <c r="R45" s="1240">
        <f t="shared" ref="R45" si="141">IF(Q45=0,0,(S45/Q45))</f>
        <v>171.408629877944</v>
      </c>
      <c r="S45" s="1177">
        <f>SUM(S40:S44)</f>
        <v>9970840</v>
      </c>
      <c r="T45" s="1239">
        <f>SUM(T40:T44)</f>
        <v>33286</v>
      </c>
      <c r="U45" s="1240">
        <f t="shared" ref="U45" si="142">IF(T45=0,0,(V45/T45))</f>
        <v>222.398425764586</v>
      </c>
      <c r="V45" s="1177">
        <f>SUM(V40:V44)</f>
        <v>7402754</v>
      </c>
      <c r="W45" s="1239">
        <f>SUM(W40:W44)</f>
        <v>37083.05</v>
      </c>
      <c r="X45" s="1240">
        <f t="shared" ref="X45" si="143">IF(W45=0,0,(Y45/W45))</f>
        <v>189.321795267649</v>
      </c>
      <c r="Y45" s="1177">
        <f>SUM(Y40:Y44)</f>
        <v>7020629.6</v>
      </c>
      <c r="Z45" s="1239">
        <f>SUM(Z40:Z44)</f>
        <v>34686.9</v>
      </c>
      <c r="AA45" s="1240">
        <f t="shared" ref="AA45" si="144">IF(Z45=0,0,(AB45/Z45))</f>
        <v>206.19146997858</v>
      </c>
      <c r="AB45" s="1177">
        <f>SUM(AB40:AB44)</f>
        <v>7152142.9</v>
      </c>
      <c r="AC45" s="1239">
        <f>SUM(AC40:AC44)</f>
        <v>31178</v>
      </c>
      <c r="AD45" s="1240">
        <f t="shared" ref="AD45" si="145">IF(AC45=0,0,(AE45/AC45))</f>
        <v>224.555802168196</v>
      </c>
      <c r="AE45" s="1177">
        <f>SUM(AE40:AE44)</f>
        <v>7001200.8</v>
      </c>
      <c r="AF45" s="1239">
        <f>SUM(AF40:AF44)</f>
        <v>20613</v>
      </c>
      <c r="AG45" s="1240">
        <f t="shared" ref="AG45" si="146">IF(AF45=0,0,(AH45/AF45))</f>
        <v>225.473536117984</v>
      </c>
      <c r="AH45" s="1177">
        <f>SUM(AH40:AH44)</f>
        <v>4647686</v>
      </c>
      <c r="AI45" s="1239">
        <f>SUM(AI40:AI44)</f>
        <v>31209</v>
      </c>
      <c r="AJ45" s="1240">
        <f t="shared" ref="AJ45" si="147">IF(AI45=0,0,(AK45/AI45))</f>
        <v>232.995193694127</v>
      </c>
      <c r="AK45" s="1177">
        <f>SUM(AK40:AK44)</f>
        <v>7271547</v>
      </c>
      <c r="AL45" s="2350">
        <f>SUM(AL40:AL44)</f>
        <v>443755.95</v>
      </c>
      <c r="AM45" s="2351">
        <f t="shared" ref="AM45" si="148">IF(AL45=0,0,(AN45/AL45))</f>
        <v>202.425617729745</v>
      </c>
      <c r="AN45" s="2352">
        <f>SUM(AN40:AN44)</f>
        <v>89827572.3</v>
      </c>
    </row>
    <row r="46" spans="1:40">
      <c r="A46" s="1002" t="s">
        <v>322</v>
      </c>
      <c r="B46" s="1003"/>
      <c r="C46" s="1004">
        <f t="shared" si="121"/>
        <v>0</v>
      </c>
      <c r="D46" s="1005"/>
      <c r="E46" s="1003"/>
      <c r="F46" s="1004">
        <f t="shared" ref="F46:F49" si="149">IF(E46=0,0,(G46/E46))</f>
        <v>0</v>
      </c>
      <c r="G46" s="1005"/>
      <c r="H46" s="1003"/>
      <c r="I46" s="1004">
        <f t="shared" ref="I46:I49" si="150">IF(H46=0,0,(J46/H46))</f>
        <v>0</v>
      </c>
      <c r="J46" s="1005"/>
      <c r="K46" s="1003"/>
      <c r="L46" s="1004">
        <f t="shared" ref="L46:L49" si="151">IF(K46=0,0,(M46/K46))</f>
        <v>0</v>
      </c>
      <c r="M46" s="1005"/>
      <c r="N46" s="1067"/>
      <c r="O46" s="1129"/>
      <c r="P46" s="1149"/>
      <c r="Q46" s="1003"/>
      <c r="R46" s="1129"/>
      <c r="S46" s="1130"/>
      <c r="T46" s="1003"/>
      <c r="U46" s="1129"/>
      <c r="V46" s="1130"/>
      <c r="W46" s="1003"/>
      <c r="X46" s="1129"/>
      <c r="Y46" s="1005"/>
      <c r="Z46" s="1003"/>
      <c r="AA46" s="1129"/>
      <c r="AB46" s="1005"/>
      <c r="AC46" s="1003"/>
      <c r="AD46" s="1129"/>
      <c r="AE46" s="1005"/>
      <c r="AF46" s="1003"/>
      <c r="AG46" s="1129"/>
      <c r="AH46" s="1005"/>
      <c r="AI46" s="1003"/>
      <c r="AJ46" s="1129"/>
      <c r="AK46" s="1130"/>
      <c r="AL46" s="2323">
        <f t="shared" ref="AL46" si="152">SUM(B46:AI46)</f>
        <v>0</v>
      </c>
      <c r="AM46" s="2324"/>
      <c r="AN46" s="2353">
        <f>SUM(D47,G47,J47,M47,P47,S47,V47,Y47,AB47,AE47,AH47,AK47)</f>
        <v>0</v>
      </c>
    </row>
    <row r="47" spans="1:40">
      <c r="A47" s="1223" t="s">
        <v>323</v>
      </c>
      <c r="B47" s="2241"/>
      <c r="C47" s="2230">
        <f t="shared" si="121"/>
        <v>0</v>
      </c>
      <c r="D47" s="998">
        <f>D11+D19+D27</f>
        <v>0</v>
      </c>
      <c r="E47" s="2241"/>
      <c r="F47" s="2230">
        <f t="shared" si="149"/>
        <v>0</v>
      </c>
      <c r="G47" s="998">
        <f>G11+G19+G27</f>
        <v>0</v>
      </c>
      <c r="H47" s="2241"/>
      <c r="I47" s="2230">
        <f t="shared" si="150"/>
        <v>0</v>
      </c>
      <c r="J47" s="998">
        <f>J11+J19+J27</f>
        <v>0</v>
      </c>
      <c r="K47" s="2241"/>
      <c r="L47" s="2230">
        <f t="shared" si="151"/>
        <v>0</v>
      </c>
      <c r="M47" s="998">
        <f>M11+M19+M27</f>
        <v>0</v>
      </c>
      <c r="N47" s="1319"/>
      <c r="O47" s="1317"/>
      <c r="P47" s="1341"/>
      <c r="Q47" s="1268"/>
      <c r="R47" s="1317"/>
      <c r="S47" s="1318"/>
      <c r="T47" s="1268"/>
      <c r="U47" s="1317"/>
      <c r="V47" s="1318"/>
      <c r="W47" s="1268"/>
      <c r="X47" s="1317"/>
      <c r="Y47" s="2231"/>
      <c r="Z47" s="1268"/>
      <c r="AA47" s="1317"/>
      <c r="AB47" s="2231"/>
      <c r="AC47" s="1268"/>
      <c r="AD47" s="1317"/>
      <c r="AE47" s="2231"/>
      <c r="AF47" s="1268"/>
      <c r="AG47" s="1317"/>
      <c r="AH47" s="2231"/>
      <c r="AI47" s="1268"/>
      <c r="AJ47" s="1317"/>
      <c r="AK47" s="1318"/>
      <c r="AL47" s="2317"/>
      <c r="AM47" s="2326">
        <f>IF(AL47=0,0,(AN46/AL47))</f>
        <v>0</v>
      </c>
      <c r="AN47" s="2342">
        <f>AN11+AN19+AN27</f>
        <v>0</v>
      </c>
    </row>
    <row r="48" ht="15" spans="1:40">
      <c r="A48" s="960" t="s">
        <v>324</v>
      </c>
      <c r="B48" s="2241"/>
      <c r="C48" s="984">
        <f t="shared" si="121"/>
        <v>0</v>
      </c>
      <c r="D48" s="998"/>
      <c r="E48" s="2241"/>
      <c r="F48" s="984">
        <f t="shared" si="149"/>
        <v>0</v>
      </c>
      <c r="G48" s="998"/>
      <c r="H48" s="2241"/>
      <c r="I48" s="984">
        <f t="shared" si="150"/>
        <v>0</v>
      </c>
      <c r="J48" s="998"/>
      <c r="K48" s="2241"/>
      <c r="L48" s="984">
        <f t="shared" si="151"/>
        <v>0</v>
      </c>
      <c r="M48" s="998"/>
      <c r="N48" s="1460"/>
      <c r="O48" s="1469"/>
      <c r="P48" s="1473"/>
      <c r="Q48" s="1405"/>
      <c r="R48" s="1469"/>
      <c r="S48" s="1470"/>
      <c r="T48" s="1405"/>
      <c r="U48" s="1469"/>
      <c r="V48" s="1470"/>
      <c r="W48" s="1405"/>
      <c r="X48" s="1469"/>
      <c r="Y48" s="2302"/>
      <c r="Z48" s="1405"/>
      <c r="AA48" s="1469"/>
      <c r="AB48" s="2302"/>
      <c r="AC48" s="1405"/>
      <c r="AD48" s="1469"/>
      <c r="AE48" s="2302"/>
      <c r="AF48" s="1405"/>
      <c r="AG48" s="1469"/>
      <c r="AH48" s="2302"/>
      <c r="AI48" s="1405"/>
      <c r="AJ48" s="1469"/>
      <c r="AK48" s="1470"/>
      <c r="AL48" s="2328">
        <f>T48</f>
        <v>0</v>
      </c>
      <c r="AM48" s="2329">
        <f t="shared" ref="AM48:AM49" si="153">IF(AL48=0,0,(AN48/AL48))</f>
        <v>0</v>
      </c>
      <c r="AN48" s="2330">
        <f>V48</f>
        <v>0</v>
      </c>
    </row>
    <row r="49" ht="14.25" spans="1:42">
      <c r="A49" s="2234" t="s">
        <v>339</v>
      </c>
      <c r="B49" s="2235">
        <f>(B39+B45)-(B46+B47+B48)</f>
        <v>42584</v>
      </c>
      <c r="C49" s="2236">
        <f t="shared" si="121"/>
        <v>189.669570730791</v>
      </c>
      <c r="D49" s="2243">
        <f>(D39+D45)-(D46+D47+D48)</f>
        <v>8076889</v>
      </c>
      <c r="E49" s="2235">
        <f>(E39+E45)-(E46+E47+E48)</f>
        <v>32263</v>
      </c>
      <c r="F49" s="2236">
        <f t="shared" si="149"/>
        <v>205.405510956824</v>
      </c>
      <c r="G49" s="2243">
        <f>(G39+G45)-(G46+G47+G48)</f>
        <v>6626998</v>
      </c>
      <c r="H49" s="2235">
        <f>(H39+H45)-(H46+H47+H48)</f>
        <v>43330</v>
      </c>
      <c r="I49" s="2236">
        <f t="shared" si="150"/>
        <v>198.390768520655</v>
      </c>
      <c r="J49" s="2243">
        <f>(J39+J45)-(J46+J47+J48)</f>
        <v>8596272</v>
      </c>
      <c r="K49" s="2235">
        <f>(K39+K45)-(K46+K47+K48)</f>
        <v>30067</v>
      </c>
      <c r="L49" s="2236">
        <f t="shared" si="151"/>
        <v>228.008647354242</v>
      </c>
      <c r="M49" s="2243">
        <f>(M39+M45)-(M46+M47+M48)</f>
        <v>6855536</v>
      </c>
      <c r="N49" s="2235">
        <f>(N39+N45)-(N46+N47+N48)</f>
        <v>49287</v>
      </c>
      <c r="O49" s="2236">
        <f>IF(N49=0,0,(P49/N49))</f>
        <v>186.764826424818</v>
      </c>
      <c r="P49" s="2243">
        <f>(P39+P45)-(P46+P47+P48)</f>
        <v>9205078</v>
      </c>
      <c r="Q49" s="2235">
        <f>(Q39+Q45)-(Q46+Q47+Q48)</f>
        <v>58170</v>
      </c>
      <c r="R49" s="2236">
        <f>IF(Q49=0,0,(S49/Q49))</f>
        <v>171.408629877944</v>
      </c>
      <c r="S49" s="2243">
        <f>(S39+S45)-(S46+S47+S48)</f>
        <v>9970840</v>
      </c>
      <c r="T49" s="2235">
        <f>(T39+T45)-(T46+T47+T48)</f>
        <v>33286</v>
      </c>
      <c r="U49" s="2236">
        <f>IF(T49=0,0,(V49/T49))</f>
        <v>222.398425764586</v>
      </c>
      <c r="V49" s="2243">
        <f>(V39+V45)-(V46+V47+V48)</f>
        <v>7402754</v>
      </c>
      <c r="W49" s="2235">
        <f>(W39+W45)-(W46+W47+W48)</f>
        <v>37083.05</v>
      </c>
      <c r="X49" s="2236">
        <f>IF(W49=0,0,(Y49/W49))</f>
        <v>189.321795267649</v>
      </c>
      <c r="Y49" s="2237">
        <f>(Y39+Y45)-(Y46+Y47+Y48)</f>
        <v>7020629.6</v>
      </c>
      <c r="Z49" s="2235">
        <f>(Z39+Z45)-(Z46+Z47+Z48)</f>
        <v>34686.9</v>
      </c>
      <c r="AA49" s="2236">
        <f>IF(Z49=0,0,(AB49/Z49))</f>
        <v>206.19146997858</v>
      </c>
      <c r="AB49" s="2237">
        <f>(AB39+AB45)-(AB46+AB47+AB48)</f>
        <v>7152142.9</v>
      </c>
      <c r="AC49" s="2235">
        <f>(AC39+AC45)-(AC46+AC47+AC48)</f>
        <v>31178</v>
      </c>
      <c r="AD49" s="2236">
        <f>IF(AC49=0,0,(AE49/AC49))</f>
        <v>224.555802168196</v>
      </c>
      <c r="AE49" s="2237">
        <f>(AE39+AE45)-(AE46+AE47+AE48)</f>
        <v>7001200.8</v>
      </c>
      <c r="AF49" s="2235">
        <f>(AF39+AF45)-(AF46+AF47+AF48)</f>
        <v>20613</v>
      </c>
      <c r="AG49" s="2236">
        <f>IF(AF49=0,0,(AH49/AF49))</f>
        <v>225.473536117984</v>
      </c>
      <c r="AH49" s="2237">
        <f>(AH39+AH45)-(AH46+AH47+AH48)</f>
        <v>4647686</v>
      </c>
      <c r="AI49" s="2235">
        <f>(AI39+AI45)-(AI46+AI47+AI48)</f>
        <v>31209</v>
      </c>
      <c r="AJ49" s="2236">
        <f>IF(AI49=0,0,(AK49/AI49))</f>
        <v>232.995193694127</v>
      </c>
      <c r="AK49" s="2237">
        <f>(AK39+AK45)-(AK46+AK47+AK48)</f>
        <v>7271547</v>
      </c>
      <c r="AL49" s="2337">
        <f>(AL39+AL45)-(AL46+AL47+AL48)</f>
        <v>443755.95</v>
      </c>
      <c r="AM49" s="2332">
        <f t="shared" si="153"/>
        <v>202.425617729745</v>
      </c>
      <c r="AN49" s="2333">
        <f>(AN39+AN45)-(AN46+AN47+AN48)</f>
        <v>89827572.3</v>
      </c>
      <c r="AP49" s="938"/>
    </row>
    <row r="50" ht="14.25" spans="1:40">
      <c r="A50" s="2257"/>
      <c r="B50" s="2246"/>
      <c r="C50" s="2258"/>
      <c r="D50" s="2258"/>
      <c r="E50" s="2246"/>
      <c r="F50" s="2258"/>
      <c r="G50" s="2258"/>
      <c r="H50" s="2246"/>
      <c r="I50" s="2258"/>
      <c r="J50" s="2258"/>
      <c r="K50" s="2246"/>
      <c r="L50" s="2258"/>
      <c r="M50" s="2258"/>
      <c r="N50" s="2280"/>
      <c r="O50" s="2280"/>
      <c r="P50" s="2280"/>
      <c r="Q50" s="2280"/>
      <c r="R50" s="2280"/>
      <c r="S50" s="2280"/>
      <c r="T50" s="2280"/>
      <c r="U50" s="2280"/>
      <c r="V50" s="2280"/>
      <c r="W50" s="2280"/>
      <c r="X50" s="2280"/>
      <c r="Y50" s="2280"/>
      <c r="Z50" s="2280"/>
      <c r="AA50" s="2280"/>
      <c r="AB50" s="2280"/>
      <c r="AC50" s="2280"/>
      <c r="AD50" s="2280"/>
      <c r="AE50" s="2280"/>
      <c r="AF50" s="2280"/>
      <c r="AG50" s="2280"/>
      <c r="AH50" s="2280"/>
      <c r="AI50" s="2280"/>
      <c r="AJ50" s="2280"/>
      <c r="AK50" s="2280"/>
      <c r="AL50" s="2246"/>
      <c r="AM50" s="2258"/>
      <c r="AN50" s="2258"/>
    </row>
    <row r="51" ht="14.25" spans="1:42">
      <c r="A51" s="2259" t="s">
        <v>340</v>
      </c>
      <c r="B51" s="2260">
        <f>B34+B49</f>
        <v>119973</v>
      </c>
      <c r="C51" s="2261">
        <f>D51/B51</f>
        <v>128.756403524126</v>
      </c>
      <c r="D51" s="2262">
        <f>D34+D49</f>
        <v>15447292</v>
      </c>
      <c r="E51" s="2260">
        <f>E34+E49</f>
        <v>109145</v>
      </c>
      <c r="F51" s="2261">
        <f>G51/E51</f>
        <v>130.340372898438</v>
      </c>
      <c r="G51" s="2262">
        <f>G34+G49</f>
        <v>14226000</v>
      </c>
      <c r="H51" s="2260">
        <f>H34+H49</f>
        <v>127733</v>
      </c>
      <c r="I51" s="2261">
        <f>J51/H51</f>
        <v>134.317662624381</v>
      </c>
      <c r="J51" s="2262">
        <f>J34+J49</f>
        <v>17156798</v>
      </c>
      <c r="K51" s="2260">
        <f>K34+K49</f>
        <v>131330</v>
      </c>
      <c r="L51" s="2261">
        <f>M51/K51</f>
        <v>122.059735018655</v>
      </c>
      <c r="M51" s="2262">
        <f>M34+M49</f>
        <v>16030105</v>
      </c>
      <c r="N51" s="2260">
        <f>N34+N49</f>
        <v>124743</v>
      </c>
      <c r="O51" s="2261">
        <f>P51/N51</f>
        <v>136.534579094619</v>
      </c>
      <c r="P51" s="2262">
        <f>P34+P49</f>
        <v>17031733</v>
      </c>
      <c r="Q51" s="2260">
        <f>Q34+Q49</f>
        <v>137998</v>
      </c>
      <c r="R51" s="2261">
        <f>S51/Q51</f>
        <v>128.766177770692</v>
      </c>
      <c r="S51" s="2262">
        <f>S34+S49</f>
        <v>17769475</v>
      </c>
      <c r="T51" s="2260">
        <f>T34+T49</f>
        <v>113148</v>
      </c>
      <c r="U51" s="2261">
        <f>V51/T51</f>
        <v>136.239694912857</v>
      </c>
      <c r="V51" s="2262">
        <f>V34+V49</f>
        <v>15415249</v>
      </c>
      <c r="W51" s="2260">
        <f>W34+W49</f>
        <v>118666.05</v>
      </c>
      <c r="X51" s="2261">
        <f>Y51/W51</f>
        <v>123.891219097627</v>
      </c>
      <c r="Y51" s="2262">
        <f>Y34+Y49</f>
        <v>14701681.6</v>
      </c>
      <c r="Z51" s="2260">
        <f>Z34+Z49</f>
        <v>139927.9</v>
      </c>
      <c r="AA51" s="2261">
        <f>AB51/Z51</f>
        <v>122.462817636797</v>
      </c>
      <c r="AB51" s="2262">
        <f>AB34+AB49</f>
        <v>17135964.9</v>
      </c>
      <c r="AC51" s="2260">
        <f>AC34+AC49</f>
        <v>124101</v>
      </c>
      <c r="AD51" s="2261">
        <f>AE51/AC51</f>
        <v>127.382001756634</v>
      </c>
      <c r="AE51" s="2262">
        <f>AE34+AE49</f>
        <v>15808233.8</v>
      </c>
      <c r="AF51" s="2260">
        <f>AF34+AF49</f>
        <v>120884</v>
      </c>
      <c r="AG51" s="2261">
        <f>AH51/AF51</f>
        <v>117.682224281129</v>
      </c>
      <c r="AH51" s="2262">
        <f>AH34+AH49</f>
        <v>14225898</v>
      </c>
      <c r="AI51" s="2260">
        <f>AI34+AI49</f>
        <v>118218</v>
      </c>
      <c r="AJ51" s="2261">
        <f>AK51/AI51</f>
        <v>136.207498181326</v>
      </c>
      <c r="AK51" s="2262">
        <f>AK34+AK49</f>
        <v>16102178.02</v>
      </c>
      <c r="AL51" s="2260">
        <f>AL34+AL49</f>
        <v>1485865.95</v>
      </c>
      <c r="AM51" s="2261">
        <f>AN51/AL51</f>
        <v>128.578629397894</v>
      </c>
      <c r="AN51" s="2262">
        <f>AN34+AN49</f>
        <v>191050607.32</v>
      </c>
      <c r="AP51" s="97"/>
    </row>
    <row r="52" spans="1:40">
      <c r="A52" s="2257"/>
      <c r="B52" s="2246"/>
      <c r="C52" s="2258"/>
      <c r="D52" s="2258"/>
      <c r="E52" s="2246"/>
      <c r="F52" s="2258"/>
      <c r="G52" s="2258"/>
      <c r="H52" s="2246"/>
      <c r="I52" s="2258"/>
      <c r="J52" s="2258"/>
      <c r="K52" s="2246"/>
      <c r="L52" s="2258"/>
      <c r="M52" s="2258"/>
      <c r="N52" s="2280"/>
      <c r="O52" s="2280"/>
      <c r="P52" s="2280"/>
      <c r="Q52" s="2280"/>
      <c r="R52" s="2280"/>
      <c r="S52" s="2280"/>
      <c r="T52" s="2280"/>
      <c r="U52" s="2280"/>
      <c r="V52" s="2280"/>
      <c r="W52" s="2280"/>
      <c r="X52" s="2280"/>
      <c r="Y52" s="983"/>
      <c r="Z52" s="2280"/>
      <c r="AA52" s="2280"/>
      <c r="AB52" s="2280"/>
      <c r="AC52" s="2280"/>
      <c r="AD52" s="2280"/>
      <c r="AE52" s="2280"/>
      <c r="AF52" s="2280"/>
      <c r="AG52" s="2280"/>
      <c r="AH52" s="2280"/>
      <c r="AI52" s="2280"/>
      <c r="AJ52" s="2280"/>
      <c r="AK52" s="2280"/>
      <c r="AL52" s="2246"/>
      <c r="AM52" s="2258"/>
      <c r="AN52" s="2258"/>
    </row>
    <row r="53" ht="15" spans="1:40">
      <c r="A53" s="2238" t="s">
        <v>341</v>
      </c>
      <c r="B53" s="994"/>
      <c r="C53" s="2248"/>
      <c r="D53" s="2248"/>
      <c r="E53" s="994"/>
      <c r="F53" s="994"/>
      <c r="G53" s="994"/>
      <c r="H53" s="994"/>
      <c r="I53" s="994"/>
      <c r="J53" s="994"/>
      <c r="K53" s="994"/>
      <c r="L53" s="994"/>
      <c r="M53" s="994"/>
      <c r="N53" s="994"/>
      <c r="O53" s="994"/>
      <c r="P53" s="994"/>
      <c r="Q53" s="994"/>
      <c r="R53" s="994"/>
      <c r="S53" s="994"/>
      <c r="T53" s="994"/>
      <c r="U53" s="994"/>
      <c r="V53" s="994"/>
      <c r="W53" s="994"/>
      <c r="X53" s="994"/>
      <c r="Y53" s="2248"/>
      <c r="Z53" s="994"/>
      <c r="AA53" s="994"/>
      <c r="AB53" s="994"/>
      <c r="AC53" s="994"/>
      <c r="AD53" s="994"/>
      <c r="AE53" s="994"/>
      <c r="AF53" s="994"/>
      <c r="AG53" s="994"/>
      <c r="AH53" s="994"/>
      <c r="AI53" s="994"/>
      <c r="AJ53" s="994"/>
      <c r="AK53" s="994"/>
      <c r="AL53" s="994"/>
      <c r="AM53" s="994"/>
      <c r="AN53" s="2248"/>
    </row>
    <row r="54" spans="1:40">
      <c r="A54" s="948" t="s">
        <v>319</v>
      </c>
      <c r="B54" s="989">
        <f>'Stock Valuation (FIFO)'!B15</f>
        <v>387</v>
      </c>
      <c r="C54" s="2249">
        <f>IF(B54=0,0,(D54/B54))</f>
        <v>213.385012919897</v>
      </c>
      <c r="D54" s="1225">
        <f>'Stock Valuation (FIFO)'!D15</f>
        <v>82580</v>
      </c>
      <c r="E54" s="989">
        <f>B59</f>
        <v>691</v>
      </c>
      <c r="F54" s="2249">
        <f>IF(E54=0,0,(G54/E54))</f>
        <v>198.066570188133</v>
      </c>
      <c r="G54" s="1225">
        <f>D59</f>
        <v>136864</v>
      </c>
      <c r="H54" s="989">
        <f>E59</f>
        <v>680</v>
      </c>
      <c r="I54" s="2249">
        <f>IF(H54=0,0,(J54/H54))</f>
        <v>208.320588235294</v>
      </c>
      <c r="J54" s="1225">
        <f>G59</f>
        <v>141658</v>
      </c>
      <c r="K54" s="989">
        <f>H59</f>
        <v>680</v>
      </c>
      <c r="L54" s="2249">
        <f>IF(K54=0,0,(M54/K54))</f>
        <v>187.785294117647</v>
      </c>
      <c r="M54" s="1225">
        <f>J59</f>
        <v>127694</v>
      </c>
      <c r="N54" s="989">
        <f>K59</f>
        <v>713</v>
      </c>
      <c r="O54" s="2249">
        <f>IF(N54=0,0,(P54/N54))</f>
        <v>203.103786816269</v>
      </c>
      <c r="P54" s="1225">
        <f>M59</f>
        <v>144813</v>
      </c>
      <c r="Q54" s="989">
        <f>N59</f>
        <v>754</v>
      </c>
      <c r="R54" s="2249">
        <f t="shared" ref="R54:R60" si="154">IF(Q54=0,0,(S54/Q54))</f>
        <v>200.366047745358</v>
      </c>
      <c r="S54" s="1225">
        <f>P59</f>
        <v>151076</v>
      </c>
      <c r="T54" s="989">
        <f>Q59</f>
        <v>1037</v>
      </c>
      <c r="U54" s="2249">
        <f t="shared" ref="U54:U60" si="155">IF(T54=0,0,(V54/T54))</f>
        <v>192.641272902604</v>
      </c>
      <c r="V54" s="1225">
        <f>S59</f>
        <v>199769</v>
      </c>
      <c r="W54" s="989">
        <f>T59</f>
        <v>765</v>
      </c>
      <c r="X54" s="2249">
        <f t="shared" ref="X54:X60" si="156">IF(W54=0,0,(Y54/W54))</f>
        <v>201.332026143791</v>
      </c>
      <c r="Y54" s="1225">
        <f>V59</f>
        <v>154019</v>
      </c>
      <c r="Z54" s="1143">
        <f>W59</f>
        <v>1411</v>
      </c>
      <c r="AA54" s="1079">
        <f t="shared" ref="AA54:AA60" si="157">IF(Z54=0,0,(AB54/Z54))</f>
        <v>186.377746279235</v>
      </c>
      <c r="AB54" s="951">
        <f>Y59</f>
        <v>262979</v>
      </c>
      <c r="AC54" s="1143">
        <f>Z59</f>
        <v>994</v>
      </c>
      <c r="AD54" s="1079">
        <f t="shared" ref="AD54:AD60" si="158">IF(AC54=0,0,(AE54/AC54))</f>
        <v>192.023138832998</v>
      </c>
      <c r="AE54" s="951">
        <f>AB59</f>
        <v>190871</v>
      </c>
      <c r="AF54" s="1127">
        <f>AC59</f>
        <v>799</v>
      </c>
      <c r="AG54" s="2249">
        <f t="shared" ref="AG54:AG60" si="159">IF(AF54=0,0,(AH54/AF54))</f>
        <v>186.780976220275</v>
      </c>
      <c r="AH54" s="2249">
        <f>AE59</f>
        <v>149238</v>
      </c>
      <c r="AI54" s="1143">
        <f>AF59</f>
        <v>1048</v>
      </c>
      <c r="AJ54" s="1079">
        <f t="shared" ref="AJ54:AJ60" si="160">IF(AI54=0,0,(AK54/AI54))</f>
        <v>185.011450381679</v>
      </c>
      <c r="AK54" s="951">
        <f>AH59</f>
        <v>193892</v>
      </c>
      <c r="AL54" s="2354">
        <f>B54</f>
        <v>387</v>
      </c>
      <c r="AM54" s="2348">
        <f>IF(AL54=0,0,(AN54/AL54))</f>
        <v>213.385012919897</v>
      </c>
      <c r="AN54" s="2349">
        <f>D54</f>
        <v>82580</v>
      </c>
    </row>
    <row r="55" spans="1:42">
      <c r="A55" s="952" t="s">
        <v>320</v>
      </c>
      <c r="B55" s="2241">
        <f>ROUND((Purchase!$K52),0)</f>
        <v>7728</v>
      </c>
      <c r="C55" s="2228">
        <f t="shared" ref="C55:C60" si="161">IF(B55=0,0,(D55/B55))</f>
        <v>154.616459627329</v>
      </c>
      <c r="D55" s="998">
        <f>ROUND((Purchase!$L52),0)</f>
        <v>1194876</v>
      </c>
      <c r="E55" s="2241">
        <f>ROUND((Purchase!$K53),0)</f>
        <v>8668</v>
      </c>
      <c r="F55" s="2228">
        <f t="shared" ref="F55" si="162">IF(E55=0,0,(G55/E55))</f>
        <v>165.818989386248</v>
      </c>
      <c r="G55" s="998">
        <f>ROUND((Purchase!$L53),0)</f>
        <v>1437319</v>
      </c>
      <c r="H55" s="2241">
        <f>ROUND((Purchase!$K54),0)</f>
        <v>6962</v>
      </c>
      <c r="I55" s="2228">
        <f t="shared" ref="I55" si="163">IF(H55=0,0,(J55/H55))</f>
        <v>164.707268026429</v>
      </c>
      <c r="J55" s="998">
        <f>ROUND((Purchase!$L54),0)</f>
        <v>1146692</v>
      </c>
      <c r="K55" s="2241">
        <f>ROUND((Purchase!$K55),0)</f>
        <v>8632</v>
      </c>
      <c r="L55" s="2228">
        <f t="shared" ref="L55" si="164">IF(K55=0,0,(M55/K55))</f>
        <v>154.439295644115</v>
      </c>
      <c r="M55" s="998">
        <f>ROUND((Purchase!$L55),0)</f>
        <v>1333120</v>
      </c>
      <c r="N55" s="2241">
        <f>ROUND((Purchase!$K58),0)</f>
        <v>7171</v>
      </c>
      <c r="O55" s="2228">
        <f t="shared" ref="O55" si="165">IF(N55=0,0,(P55/N55))</f>
        <v>140.054943522521</v>
      </c>
      <c r="P55" s="998">
        <f>ROUND((Purchase!$L56),0)</f>
        <v>1004334</v>
      </c>
      <c r="Q55" s="2241">
        <f>ROUND((Purchase!$K57),0)</f>
        <v>6172</v>
      </c>
      <c r="R55" s="2228">
        <f t="shared" si="154"/>
        <v>150.294556059624</v>
      </c>
      <c r="S55" s="998">
        <f>ROUND((Purchase!$L57),0)</f>
        <v>927618</v>
      </c>
      <c r="T55" s="2241">
        <f>ROUND((Purchase!$K58),0)</f>
        <v>7171</v>
      </c>
      <c r="U55" s="2228">
        <f t="shared" si="155"/>
        <v>159.384744108214</v>
      </c>
      <c r="V55" s="998">
        <f>ROUND((Purchase!$L58),0)</f>
        <v>1142948</v>
      </c>
      <c r="W55" s="2241">
        <f>ROUND((Purchase!$K59),0)</f>
        <v>15823</v>
      </c>
      <c r="X55" s="2228">
        <f t="shared" si="156"/>
        <v>130.17487202174</v>
      </c>
      <c r="Y55" s="998">
        <f>ROUND((Purchase!$L59),0)</f>
        <v>2059757</v>
      </c>
      <c r="Z55" s="953">
        <f>ROUND(('Trading PL'!Z17),0)</f>
        <v>5334</v>
      </c>
      <c r="AA55" s="2228">
        <f t="shared" si="157"/>
        <v>156.097862767154</v>
      </c>
      <c r="AB55" s="1026">
        <f>ROUND(('Trading PL'!AA17),0)</f>
        <v>832626</v>
      </c>
      <c r="AC55" s="953">
        <f>ROUND(('Trading PL'!AC17),0)</f>
        <v>3445</v>
      </c>
      <c r="AD55" s="2228">
        <f t="shared" si="158"/>
        <v>163.761393323657</v>
      </c>
      <c r="AE55" s="1026">
        <f>ROUND(('Trading PL'!AD17),0)</f>
        <v>564158</v>
      </c>
      <c r="AF55" s="1054">
        <f>ROUND(('Trading PL'!AF17),0)</f>
        <v>6420</v>
      </c>
      <c r="AG55" s="2228">
        <f t="shared" si="159"/>
        <v>168.744859813084</v>
      </c>
      <c r="AH55" s="954">
        <f>ROUND(('Trading PL'!AG17),0)</f>
        <v>1083342</v>
      </c>
      <c r="AI55" s="953">
        <f>ROUND(('Trading PL'!AI17),0)</f>
        <v>3930</v>
      </c>
      <c r="AJ55" s="2228">
        <f t="shared" si="160"/>
        <v>179.377099236641</v>
      </c>
      <c r="AK55" s="1026">
        <f>ROUND(('Trading PL'!AJ17),0)</f>
        <v>704952</v>
      </c>
      <c r="AL55" s="2317">
        <f>ROUND((Purchase!K64),0)</f>
        <v>91013</v>
      </c>
      <c r="AM55" s="2318">
        <f t="shared" ref="AM55" si="166">IF(AL55=0,0,(AN55/AL55))</f>
        <v>156.29445244086</v>
      </c>
      <c r="AN55" s="2319">
        <f>ROUND((Purchase!L64),0)</f>
        <v>14224827</v>
      </c>
      <c r="AO55" s="1431">
        <v>3005402</v>
      </c>
      <c r="AP55" s="242">
        <f>AN55-AO55</f>
        <v>11219425</v>
      </c>
    </row>
    <row r="56" ht="14.25" spans="1:40">
      <c r="A56" s="956" t="s">
        <v>326</v>
      </c>
      <c r="B56" s="969"/>
      <c r="C56" s="962">
        <f t="shared" si="161"/>
        <v>0</v>
      </c>
      <c r="D56" s="1167"/>
      <c r="E56" s="969"/>
      <c r="F56" s="962">
        <f t="shared" ref="F56:F60" si="167">IF(E56=0,0,(G56/E56))</f>
        <v>0</v>
      </c>
      <c r="G56" s="1167"/>
      <c r="H56" s="969"/>
      <c r="I56" s="962">
        <f t="shared" ref="I56:I60" si="168">IF(H56=0,0,(J56/H56))</f>
        <v>0</v>
      </c>
      <c r="J56" s="1167"/>
      <c r="K56" s="969"/>
      <c r="L56" s="962">
        <f t="shared" ref="L56:L60" si="169">IF(K56=0,0,(M56/K56))</f>
        <v>0</v>
      </c>
      <c r="M56" s="1167"/>
      <c r="N56" s="969"/>
      <c r="O56" s="962">
        <f t="shared" ref="O56:O60" si="170">IF(N56=0,0,(P56/N56))</f>
        <v>0</v>
      </c>
      <c r="P56" s="1167"/>
      <c r="Q56" s="969"/>
      <c r="R56" s="962">
        <f t="shared" si="154"/>
        <v>0</v>
      </c>
      <c r="S56" s="1167"/>
      <c r="T56" s="969"/>
      <c r="U56" s="962">
        <f t="shared" si="155"/>
        <v>0</v>
      </c>
      <c r="V56" s="1167"/>
      <c r="W56" s="969"/>
      <c r="X56" s="962">
        <f t="shared" si="156"/>
        <v>0</v>
      </c>
      <c r="Y56" s="1167"/>
      <c r="Z56" s="957"/>
      <c r="AA56" s="962">
        <f t="shared" si="157"/>
        <v>0</v>
      </c>
      <c r="AB56" s="2229"/>
      <c r="AC56" s="957"/>
      <c r="AD56" s="962">
        <f t="shared" si="158"/>
        <v>0</v>
      </c>
      <c r="AE56" s="2229"/>
      <c r="AF56" s="1043"/>
      <c r="AG56" s="962">
        <f t="shared" si="159"/>
        <v>0</v>
      </c>
      <c r="AH56" s="958"/>
      <c r="AI56" s="957"/>
      <c r="AJ56" s="962">
        <f t="shared" si="160"/>
        <v>0</v>
      </c>
      <c r="AK56" s="2229"/>
      <c r="AL56" s="2320">
        <f t="shared" ref="AL56:AL57" si="171">SUM(B56:AI56)</f>
        <v>0</v>
      </c>
      <c r="AM56" s="2321"/>
      <c r="AN56" s="2322"/>
    </row>
    <row r="57" spans="1:40">
      <c r="A57" s="1002" t="s">
        <v>322</v>
      </c>
      <c r="B57" s="1003"/>
      <c r="C57" s="1004">
        <f t="shared" si="161"/>
        <v>0</v>
      </c>
      <c r="D57" s="1005"/>
      <c r="E57" s="1003"/>
      <c r="F57" s="1004">
        <f t="shared" si="167"/>
        <v>0</v>
      </c>
      <c r="G57" s="1005"/>
      <c r="H57" s="1003"/>
      <c r="I57" s="1004">
        <f t="shared" si="168"/>
        <v>0</v>
      </c>
      <c r="J57" s="1005"/>
      <c r="K57" s="1003"/>
      <c r="L57" s="1004">
        <f t="shared" si="169"/>
        <v>0</v>
      </c>
      <c r="M57" s="1005"/>
      <c r="N57" s="1003"/>
      <c r="O57" s="1004">
        <f t="shared" si="170"/>
        <v>0</v>
      </c>
      <c r="P57" s="1005"/>
      <c r="Q57" s="1003"/>
      <c r="R57" s="1004">
        <f t="shared" si="154"/>
        <v>0</v>
      </c>
      <c r="S57" s="1005"/>
      <c r="T57" s="1003"/>
      <c r="U57" s="1004">
        <f t="shared" si="155"/>
        <v>0</v>
      </c>
      <c r="V57" s="1005"/>
      <c r="W57" s="1003"/>
      <c r="X57" s="1004">
        <f t="shared" si="156"/>
        <v>0</v>
      </c>
      <c r="Y57" s="1005"/>
      <c r="Z57" s="1003"/>
      <c r="AA57" s="1004">
        <f t="shared" si="157"/>
        <v>0</v>
      </c>
      <c r="AB57" s="1005"/>
      <c r="AC57" s="1003"/>
      <c r="AD57" s="1004">
        <f t="shared" si="158"/>
        <v>0</v>
      </c>
      <c r="AE57" s="1005"/>
      <c r="AF57" s="1067"/>
      <c r="AG57" s="1004">
        <f t="shared" si="159"/>
        <v>0</v>
      </c>
      <c r="AH57" s="1092"/>
      <c r="AI57" s="1003"/>
      <c r="AJ57" s="1004">
        <f t="shared" si="160"/>
        <v>0</v>
      </c>
      <c r="AK57" s="1005"/>
      <c r="AL57" s="2323">
        <f t="shared" si="171"/>
        <v>0</v>
      </c>
      <c r="AM57" s="2324"/>
      <c r="AN57" s="2325"/>
    </row>
    <row r="58" spans="1:40">
      <c r="A58" s="1223" t="s">
        <v>323</v>
      </c>
      <c r="B58" s="2241">
        <f>B19+B27+B35</f>
        <v>0</v>
      </c>
      <c r="C58" s="2230">
        <f t="shared" si="161"/>
        <v>0</v>
      </c>
      <c r="D58" s="998">
        <f>D19+D27+D35</f>
        <v>0</v>
      </c>
      <c r="E58" s="2241">
        <f>E19+E27+E35</f>
        <v>0</v>
      </c>
      <c r="F58" s="2230">
        <f t="shared" si="167"/>
        <v>0</v>
      </c>
      <c r="G58" s="998">
        <f>G19+G27+G35</f>
        <v>0</v>
      </c>
      <c r="H58" s="2241">
        <f>H19+H27+H35</f>
        <v>0</v>
      </c>
      <c r="I58" s="2230">
        <f t="shared" si="168"/>
        <v>0</v>
      </c>
      <c r="J58" s="998">
        <f>J19+J27+J35</f>
        <v>0</v>
      </c>
      <c r="K58" s="2241">
        <f>K19+K27+K35</f>
        <v>0</v>
      </c>
      <c r="L58" s="2230">
        <f t="shared" si="169"/>
        <v>0</v>
      </c>
      <c r="M58" s="998">
        <f>M19+M27+M35</f>
        <v>0</v>
      </c>
      <c r="N58" s="2241">
        <f>N19+N27+N35</f>
        <v>0</v>
      </c>
      <c r="O58" s="2230">
        <f t="shared" si="170"/>
        <v>0</v>
      </c>
      <c r="P58" s="998">
        <f>P19+P27+P35</f>
        <v>0</v>
      </c>
      <c r="Q58" s="2241">
        <f>Q19+Q27+Q35</f>
        <v>0</v>
      </c>
      <c r="R58" s="2230">
        <f t="shared" si="154"/>
        <v>0</v>
      </c>
      <c r="S58" s="998">
        <f>S19+S27+S35</f>
        <v>0</v>
      </c>
      <c r="T58" s="2241">
        <f>T19+T27+T35</f>
        <v>0</v>
      </c>
      <c r="U58" s="2230">
        <f t="shared" si="155"/>
        <v>0</v>
      </c>
      <c r="V58" s="998">
        <f>V19+V27+V35</f>
        <v>0</v>
      </c>
      <c r="W58" s="2241">
        <f>W19+W27+W35</f>
        <v>0</v>
      </c>
      <c r="X58" s="2230">
        <f t="shared" si="156"/>
        <v>0</v>
      </c>
      <c r="Y58" s="998">
        <f>Y19+Y27+Y35</f>
        <v>0</v>
      </c>
      <c r="Z58" s="1268"/>
      <c r="AA58" s="2230">
        <f t="shared" si="157"/>
        <v>0</v>
      </c>
      <c r="AB58" s="2231"/>
      <c r="AC58" s="1268"/>
      <c r="AD58" s="2230">
        <f t="shared" si="158"/>
        <v>0</v>
      </c>
      <c r="AE58" s="2231"/>
      <c r="AF58" s="1319"/>
      <c r="AG58" s="2230">
        <f t="shared" si="159"/>
        <v>0</v>
      </c>
      <c r="AH58" s="2272"/>
      <c r="AI58" s="1268"/>
      <c r="AJ58" s="2230">
        <f t="shared" si="160"/>
        <v>0</v>
      </c>
      <c r="AK58" s="2231"/>
      <c r="AL58" s="2317">
        <f>SUM(B58,E58,H58,K58,N58,Q58,T58,W58,Z58,AC58,AF58,AI58)</f>
        <v>0</v>
      </c>
      <c r="AM58" s="2326">
        <f t="shared" ref="AM58:AM60" si="172">IF(AL58=0,0,(AN58/AL58))</f>
        <v>0</v>
      </c>
      <c r="AN58" s="2319">
        <f>SUM(D58,G58,J58,M58,P58,S58,V58,Y58,AB58,AE58,AH58,AK58)</f>
        <v>0</v>
      </c>
    </row>
    <row r="59" ht="14.25" spans="1:40">
      <c r="A59" s="960" t="s">
        <v>324</v>
      </c>
      <c r="B59" s="2241">
        <f>ROUND(('Stock Valuation (FIFO)'!E21),0)</f>
        <v>691</v>
      </c>
      <c r="C59" s="984">
        <f t="shared" si="161"/>
        <v>198.066570188133</v>
      </c>
      <c r="D59" s="998">
        <f>ROUND(('Stock Valuation (FIFO)'!G21),0)</f>
        <v>136864</v>
      </c>
      <c r="E59" s="2241">
        <f>ROUND(('Stock Valuation (FIFO)'!H21),0)</f>
        <v>680</v>
      </c>
      <c r="F59" s="984">
        <f t="shared" si="167"/>
        <v>208.320588235294</v>
      </c>
      <c r="G59" s="998">
        <f>ROUND(('Stock Valuation (FIFO)'!J21),0)</f>
        <v>141658</v>
      </c>
      <c r="H59" s="2241">
        <f>ROUND(('Stock Valuation (FIFO)'!K21),0)</f>
        <v>680</v>
      </c>
      <c r="I59" s="984">
        <f t="shared" si="168"/>
        <v>187.785294117647</v>
      </c>
      <c r="J59" s="998">
        <f>ROUND(('Stock Valuation (FIFO)'!M21),0)</f>
        <v>127694</v>
      </c>
      <c r="K59" s="2241">
        <f>ROUND(('Stock Valuation (FIFO)'!N21),0)</f>
        <v>713</v>
      </c>
      <c r="L59" s="984">
        <f t="shared" si="169"/>
        <v>203.103786816269</v>
      </c>
      <c r="M59" s="998">
        <f>ROUND(('Stock Valuation (FIFO)'!P21),0)</f>
        <v>144813</v>
      </c>
      <c r="N59" s="2241">
        <f>ROUND(('Stock Valuation (FIFO)'!Q21),0)</f>
        <v>754</v>
      </c>
      <c r="O59" s="984">
        <f t="shared" si="170"/>
        <v>200.366047745358</v>
      </c>
      <c r="P59" s="998">
        <f>ROUND(('Stock Valuation (FIFO)'!S21),0)</f>
        <v>151076</v>
      </c>
      <c r="Q59" s="2241">
        <f>ROUND(('Stock Valuation (FIFO)'!T21),0)</f>
        <v>1037</v>
      </c>
      <c r="R59" s="984">
        <f t="shared" si="154"/>
        <v>192.641272902604</v>
      </c>
      <c r="S59" s="998">
        <f>ROUND(('Stock Valuation (FIFO)'!V21),0)</f>
        <v>199769</v>
      </c>
      <c r="T59" s="2241">
        <f>ROUND(('Stock Valuation (FIFO)'!W21),0)</f>
        <v>765</v>
      </c>
      <c r="U59" s="984">
        <f t="shared" si="155"/>
        <v>201.332026143791</v>
      </c>
      <c r="V59" s="998">
        <f>ROUND(('Stock Valuation (FIFO)'!Y21),0)</f>
        <v>154019</v>
      </c>
      <c r="W59" s="2241">
        <f>'Stock Valuation (FIFO)'!Z21</f>
        <v>1411</v>
      </c>
      <c r="X59" s="984">
        <f t="shared" si="156"/>
        <v>186.377746279235</v>
      </c>
      <c r="Y59" s="998">
        <f>'Stock Valuation (FIFO)'!AB21</f>
        <v>262979</v>
      </c>
      <c r="Z59" s="2241">
        <f>'Stock Valuation (FIFO)'!AC21</f>
        <v>994</v>
      </c>
      <c r="AA59" s="984">
        <f t="shared" si="157"/>
        <v>192.023138832998</v>
      </c>
      <c r="AB59" s="998">
        <f>'Stock Valuation (FIFO)'!AE21</f>
        <v>190871</v>
      </c>
      <c r="AC59" s="2241">
        <f>'Stock Valuation (FIFO)'!AF21</f>
        <v>799</v>
      </c>
      <c r="AD59" s="984">
        <f t="shared" si="158"/>
        <v>186.780976220275</v>
      </c>
      <c r="AE59" s="998">
        <f>'Stock Valuation (FIFO)'!AH21</f>
        <v>149238</v>
      </c>
      <c r="AF59" s="2241">
        <f>'Stock Valuation (FIFO)'!AI21</f>
        <v>1048</v>
      </c>
      <c r="AG59" s="984">
        <f t="shared" si="159"/>
        <v>185.011450381679</v>
      </c>
      <c r="AH59" s="998">
        <f>'Stock Valuation (FIFO)'!AK21</f>
        <v>193892</v>
      </c>
      <c r="AI59" s="2241">
        <f>'Stock Valuation (FIFO)'!AL21</f>
        <v>1042</v>
      </c>
      <c r="AJ59" s="984">
        <f t="shared" si="160"/>
        <v>221.75527831094</v>
      </c>
      <c r="AK59" s="998">
        <f>'Stock Valuation (FIFO)'!AN21</f>
        <v>231069</v>
      </c>
      <c r="AL59" s="2328">
        <f>AI59</f>
        <v>1042</v>
      </c>
      <c r="AM59" s="2329">
        <f t="shared" si="172"/>
        <v>221.75527831094</v>
      </c>
      <c r="AN59" s="2330">
        <f>AK59</f>
        <v>231069</v>
      </c>
    </row>
    <row r="60" ht="14.25" spans="1:40">
      <c r="A60" s="2234" t="s">
        <v>342</v>
      </c>
      <c r="B60" s="2235">
        <f>(B54+B55)-(B58+B59)</f>
        <v>7424</v>
      </c>
      <c r="C60" s="2236">
        <f t="shared" si="161"/>
        <v>153.635775862069</v>
      </c>
      <c r="D60" s="2243">
        <f>(D54+D55)-(D58+D59)</f>
        <v>1140592</v>
      </c>
      <c r="E60" s="2235">
        <f>(E54+E55)-(E58+E59)</f>
        <v>8679</v>
      </c>
      <c r="F60" s="2236">
        <f t="shared" si="167"/>
        <v>165.056458117295</v>
      </c>
      <c r="G60" s="2243">
        <f>(G54+G55)-(G58+G59)</f>
        <v>1432525</v>
      </c>
      <c r="H60" s="2235">
        <f>(H54+H55)-(H58+H59)</f>
        <v>6962</v>
      </c>
      <c r="I60" s="2236">
        <f t="shared" si="168"/>
        <v>166.713013501867</v>
      </c>
      <c r="J60" s="2243">
        <f>(J54+J55)-(J58+J59)</f>
        <v>1160656</v>
      </c>
      <c r="K60" s="2235">
        <f>(K54+K55)-(K58+K59)</f>
        <v>8599</v>
      </c>
      <c r="L60" s="2236">
        <f t="shared" si="169"/>
        <v>153.041167577625</v>
      </c>
      <c r="M60" s="2243">
        <f>(M54+M55)-(M58+M59)</f>
        <v>1316001</v>
      </c>
      <c r="N60" s="2235">
        <f>(N54+N55)-(N58+N59)</f>
        <v>7130</v>
      </c>
      <c r="O60" s="2236">
        <f t="shared" si="170"/>
        <v>139.98190743338</v>
      </c>
      <c r="P60" s="2243">
        <f>(P54+P55)-(P58+P59)</f>
        <v>998071</v>
      </c>
      <c r="Q60" s="2235">
        <f>(Q54+Q55)-(Q58+Q59)</f>
        <v>5889</v>
      </c>
      <c r="R60" s="2236">
        <f t="shared" si="154"/>
        <v>149.248599083036</v>
      </c>
      <c r="S60" s="2243">
        <f>(S54+S55)-(S58+S59)</f>
        <v>878925</v>
      </c>
      <c r="T60" s="2235">
        <f>(T54+T55)-(T58+T59)</f>
        <v>7443</v>
      </c>
      <c r="U60" s="2236">
        <f t="shared" si="155"/>
        <v>159.706838640333</v>
      </c>
      <c r="V60" s="2243">
        <f>(V54+V55)-(V58+V59)</f>
        <v>1188698</v>
      </c>
      <c r="W60" s="2235">
        <f>(W54+W55)-(W58+W59)</f>
        <v>15177</v>
      </c>
      <c r="X60" s="2236">
        <f t="shared" si="156"/>
        <v>128.536403768861</v>
      </c>
      <c r="Y60" s="2243">
        <f>(Y54+Y55)-(Y58+Y59)</f>
        <v>1950797</v>
      </c>
      <c r="Z60" s="2235">
        <f>(Z54+Z55)-(Z58+Z59)</f>
        <v>5751</v>
      </c>
      <c r="AA60" s="2236">
        <f t="shared" si="157"/>
        <v>157.317683881064</v>
      </c>
      <c r="AB60" s="2237">
        <f>(AB54+AB55)-(AB58+AB59)</f>
        <v>904734</v>
      </c>
      <c r="AC60" s="2235">
        <f>(AC54+AC55)-(AC58+AC59)</f>
        <v>3640</v>
      </c>
      <c r="AD60" s="2236">
        <f t="shared" si="158"/>
        <v>166.426098901099</v>
      </c>
      <c r="AE60" s="2237">
        <f>(AE54+AE55)-(AE58+AE59)</f>
        <v>605791</v>
      </c>
      <c r="AF60" s="2288">
        <f>(AF54+AF55)-(AF58+AF59)</f>
        <v>6171</v>
      </c>
      <c r="AG60" s="2236">
        <f t="shared" si="159"/>
        <v>168.317614649165</v>
      </c>
      <c r="AH60" s="2294">
        <f>(AH54+AH55)-(AH58+AH59)</f>
        <v>1038688</v>
      </c>
      <c r="AI60" s="2235">
        <f>(AI54+AI55)-(AI58+AI59)</f>
        <v>3936</v>
      </c>
      <c r="AJ60" s="2236">
        <f t="shared" si="160"/>
        <v>169.658282520325</v>
      </c>
      <c r="AK60" s="2237">
        <f>(AK54+AK55)-(AK58+AK59)</f>
        <v>667775</v>
      </c>
      <c r="AL60" s="2331">
        <f>(AL54+AL55)-(AL58+AL59)</f>
        <v>90358</v>
      </c>
      <c r="AM60" s="2332">
        <f t="shared" si="172"/>
        <v>155.784081099626</v>
      </c>
      <c r="AN60" s="2333">
        <f>(AN54+AN55)-(AN58+AN59)</f>
        <v>14076338</v>
      </c>
    </row>
    <row r="61" spans="25:25">
      <c r="Y61" s="938"/>
    </row>
    <row r="62" ht="27.75" spans="1:42">
      <c r="A62" s="2238" t="s">
        <v>343</v>
      </c>
      <c r="B62" s="994"/>
      <c r="C62" s="2248"/>
      <c r="D62" s="2248"/>
      <c r="E62" s="994"/>
      <c r="F62" s="994"/>
      <c r="G62" s="994"/>
      <c r="H62" s="994"/>
      <c r="I62" s="994"/>
      <c r="J62" s="994"/>
      <c r="K62" s="994"/>
      <c r="L62" s="994"/>
      <c r="M62" s="994"/>
      <c r="N62" s="994"/>
      <c r="O62" s="994"/>
      <c r="P62" s="994"/>
      <c r="Q62" s="994"/>
      <c r="R62" s="994"/>
      <c r="S62" s="994"/>
      <c r="T62" s="994"/>
      <c r="U62" s="994"/>
      <c r="V62" s="994"/>
      <c r="W62" s="994"/>
      <c r="X62" s="994"/>
      <c r="Y62" s="2248"/>
      <c r="Z62" s="994"/>
      <c r="AA62" s="994"/>
      <c r="AB62" s="994"/>
      <c r="AC62" s="994"/>
      <c r="AD62" s="994"/>
      <c r="AE62" s="994"/>
      <c r="AF62" s="994"/>
      <c r="AG62" s="994"/>
      <c r="AH62" s="994"/>
      <c r="AI62" s="994"/>
      <c r="AJ62" s="994"/>
      <c r="AK62" s="994"/>
      <c r="AL62" s="994"/>
      <c r="AM62" s="994"/>
      <c r="AN62" s="2248"/>
      <c r="AP62" s="873"/>
    </row>
    <row r="63" spans="1:40">
      <c r="A63" s="948" t="s">
        <v>319</v>
      </c>
      <c r="B63" s="2263">
        <f>B28+B39</f>
        <v>197541</v>
      </c>
      <c r="C63" s="2249">
        <f>IF(B63=0,0,(D63/B63))</f>
        <v>101.870042168461</v>
      </c>
      <c r="D63" s="2264">
        <f>D28+D39</f>
        <v>20123510</v>
      </c>
      <c r="E63" s="2263">
        <f>B73</f>
        <v>183154</v>
      </c>
      <c r="F63" s="2267">
        <f>IF(E63=0,0,(G63/E63))</f>
        <v>101.669349290761</v>
      </c>
      <c r="G63" s="2264">
        <f>D73</f>
        <v>18621148</v>
      </c>
      <c r="H63" s="2263">
        <f>E73</f>
        <v>150421</v>
      </c>
      <c r="I63" s="2267">
        <f>IF(H63=0,0,(J63/H63))</f>
        <v>100.720019146263</v>
      </c>
      <c r="J63" s="2264">
        <f>G73</f>
        <v>15150406</v>
      </c>
      <c r="K63" s="2263">
        <f>H73</f>
        <v>167458</v>
      </c>
      <c r="L63" s="2267">
        <f>IF(K63=0,0,(M63/K63))</f>
        <v>100.212011370015</v>
      </c>
      <c r="M63" s="2264">
        <f>J73</f>
        <v>16781303</v>
      </c>
      <c r="N63" s="2263">
        <f>K73</f>
        <v>149660</v>
      </c>
      <c r="O63" s="2267">
        <f>IF(N63=0,0,(P63/N63))</f>
        <v>103.36962448216</v>
      </c>
      <c r="P63" s="2264">
        <f>M73</f>
        <v>15470298</v>
      </c>
      <c r="Q63" s="2263">
        <f>N73</f>
        <v>191482</v>
      </c>
      <c r="R63" s="2267">
        <f>IF(Q63=0,0,(S63/Q63))</f>
        <v>104.421966555603</v>
      </c>
      <c r="S63" s="2264">
        <f>P73</f>
        <v>19994927</v>
      </c>
      <c r="T63" s="2263">
        <f>Q73</f>
        <v>118552</v>
      </c>
      <c r="U63" s="2267">
        <f>IF(T63=0,0,(V63/T63))</f>
        <v>105.128163168905</v>
      </c>
      <c r="V63" s="2264">
        <f>S73</f>
        <v>12463154</v>
      </c>
      <c r="W63" s="2263">
        <f>T73</f>
        <v>143426</v>
      </c>
      <c r="X63" s="2267">
        <f>IF(W63=0,0,(Y63/W63))</f>
        <v>102.541721863539</v>
      </c>
      <c r="Y63" s="2264">
        <f>V73</f>
        <v>14707149</v>
      </c>
      <c r="Z63" s="1127">
        <f>W73</f>
        <v>168163</v>
      </c>
      <c r="AA63" s="2267">
        <f>IF(Z63=0,0,(AB63/Z63))</f>
        <v>100.347424819966</v>
      </c>
      <c r="AB63" s="1147">
        <f>Y73</f>
        <v>16874724</v>
      </c>
      <c r="AC63" s="1143">
        <f>Z73</f>
        <v>138904</v>
      </c>
      <c r="AD63" s="2305">
        <f>IF(AC63=0,0,(AE63/AC63))</f>
        <v>99.6279372804239</v>
      </c>
      <c r="AE63" s="1153">
        <f>AB73</f>
        <v>13838719</v>
      </c>
      <c r="AF63" s="1143">
        <f>AC73</f>
        <v>178020</v>
      </c>
      <c r="AG63" s="2305">
        <f>IF(AF63=0,0,(AH63/AF63))</f>
        <v>101.703038984384</v>
      </c>
      <c r="AH63" s="951">
        <f>AE73</f>
        <v>18105175</v>
      </c>
      <c r="AI63" s="1143">
        <f>AF73</f>
        <v>158636</v>
      </c>
      <c r="AJ63" s="2305">
        <f>IF(AI63=0,0,(AK63/AI63))</f>
        <v>107.049900400918</v>
      </c>
      <c r="AK63" s="1153">
        <f>AH73</f>
        <v>16981968</v>
      </c>
      <c r="AL63" s="2355">
        <f>AL28+AL39</f>
        <v>197541</v>
      </c>
      <c r="AM63" s="2348">
        <f>IF(AL63=0,0,(AN63/AL63))</f>
        <v>101.870042168461</v>
      </c>
      <c r="AN63" s="2356">
        <f>AN28+AN39</f>
        <v>20123510</v>
      </c>
    </row>
    <row r="64" spans="1:42">
      <c r="A64" s="952" t="s">
        <v>344</v>
      </c>
      <c r="B64" s="2241">
        <f>B5</f>
        <v>101000</v>
      </c>
      <c r="C64" s="2228">
        <f t="shared" ref="C64:C74" si="173">IF(B64=0,0,(D64/B64))</f>
        <v>90.7623168316832</v>
      </c>
      <c r="D64" s="998">
        <f>D5</f>
        <v>9166994</v>
      </c>
      <c r="E64" s="2241">
        <f>E5</f>
        <v>57000</v>
      </c>
      <c r="F64" s="2228">
        <f t="shared" ref="F64:F69" si="174">IF(E64=0,0,(G64/E64))</f>
        <v>91.1316842105263</v>
      </c>
      <c r="G64" s="998">
        <f>G5</f>
        <v>5194506</v>
      </c>
      <c r="H64" s="2241">
        <f>H5</f>
        <v>151000</v>
      </c>
      <c r="I64" s="2228">
        <f t="shared" ref="I64:I69" si="175">IF(H64=0,0,(J64/H64))</f>
        <v>96.513298013245</v>
      </c>
      <c r="J64" s="998">
        <f>J5</f>
        <v>14573508</v>
      </c>
      <c r="K64" s="2241">
        <f>K5</f>
        <v>137000</v>
      </c>
      <c r="L64" s="2228">
        <f t="shared" ref="L64:L69" si="176">IF(K64=0,0,(M64/K64))</f>
        <v>92.0224452554745</v>
      </c>
      <c r="M64" s="998">
        <f>M5</f>
        <v>12607075</v>
      </c>
      <c r="N64" s="2241">
        <f>N5</f>
        <v>174000</v>
      </c>
      <c r="O64" s="2228">
        <f t="shared" ref="O64:O69" si="177">IF(N64=0,0,(P64/N64))</f>
        <v>100.241867816092</v>
      </c>
      <c r="P64" s="998">
        <f>P5</f>
        <v>17442085</v>
      </c>
      <c r="Q64" s="2241">
        <f>Q5</f>
        <v>37000</v>
      </c>
      <c r="R64" s="2228">
        <f t="shared" ref="R64:R69" si="178">IF(Q64=0,0,(S64/Q64))</f>
        <v>81.6698648648649</v>
      </c>
      <c r="S64" s="998">
        <f>S5</f>
        <v>3021785</v>
      </c>
      <c r="T64" s="2241">
        <f>T5</f>
        <v>128000</v>
      </c>
      <c r="U64" s="2228">
        <f t="shared" ref="U64:U69" si="179">IF(T64=0,0,(V64/T64))</f>
        <v>96.4795859375</v>
      </c>
      <c r="V64" s="998">
        <f>V5</f>
        <v>12349387</v>
      </c>
      <c r="W64" s="2241">
        <f>W5</f>
        <v>120000</v>
      </c>
      <c r="X64" s="2228">
        <f t="shared" ref="X64:X69" si="180">IF(W64=0,0,(Y64/W64))</f>
        <v>90.824375</v>
      </c>
      <c r="Y64" s="998">
        <f>Y5</f>
        <v>10898925</v>
      </c>
      <c r="Z64" s="2241">
        <f>Z5</f>
        <v>106000</v>
      </c>
      <c r="AA64" s="2228">
        <f t="shared" ref="AA64:AA69" si="181">IF(Z64=0,0,(AB64/Z64))</f>
        <v>90.1617547169811</v>
      </c>
      <c r="AB64" s="1090">
        <f>AB5</f>
        <v>9557146</v>
      </c>
      <c r="AC64" s="2241">
        <f>AC5</f>
        <v>169000</v>
      </c>
      <c r="AD64" s="2228">
        <f t="shared" ref="AD64:AD69" si="182">IF(AC64=0,0,(AE64/AC64))</f>
        <v>97.049650887574</v>
      </c>
      <c r="AE64" s="998">
        <f>AE5</f>
        <v>16401391</v>
      </c>
      <c r="AF64" s="2241">
        <f>AF5</f>
        <v>116000</v>
      </c>
      <c r="AG64" s="2228">
        <f t="shared" ref="AG64:AG69" si="183">IF(AF64=0,0,(AH64/AF64))</f>
        <v>99.38925</v>
      </c>
      <c r="AH64" s="998">
        <f>AH5</f>
        <v>11529153</v>
      </c>
      <c r="AI64" s="2241">
        <f>AI5</f>
        <v>98000</v>
      </c>
      <c r="AJ64" s="2228">
        <f t="shared" ref="AJ64:AJ69" si="184">IF(AI64=0,0,(AK64/AI64))</f>
        <v>126.706143061224</v>
      </c>
      <c r="AK64" s="998">
        <f>AK5</f>
        <v>12417202.02</v>
      </c>
      <c r="AL64" s="2340">
        <f>AL5</f>
        <v>1394000</v>
      </c>
      <c r="AM64" s="2341">
        <f t="shared" ref="AM64:AM69" si="185">IF(AL64=0,0,(AN64/AL64))</f>
        <v>96.9577883931133</v>
      </c>
      <c r="AN64" s="2342">
        <f>AN5</f>
        <v>135159157.02</v>
      </c>
      <c r="AO64" s="1431">
        <f>AO5</f>
        <v>135159157</v>
      </c>
      <c r="AP64" s="242">
        <f t="shared" ref="AP64:AP69" si="186">AN64-AO64</f>
        <v>0.0200000107288361</v>
      </c>
    </row>
    <row r="65" spans="1:42">
      <c r="A65" s="991" t="s">
        <v>345</v>
      </c>
      <c r="B65" s="989">
        <f>B13</f>
        <v>1522</v>
      </c>
      <c r="C65" s="2228">
        <f t="shared" si="173"/>
        <v>234.860709592641</v>
      </c>
      <c r="D65" s="2253">
        <f>D13</f>
        <v>357458</v>
      </c>
      <c r="E65" s="989">
        <f>E13</f>
        <v>1174</v>
      </c>
      <c r="F65" s="2228">
        <f t="shared" si="174"/>
        <v>255.945485519591</v>
      </c>
      <c r="G65" s="2253">
        <f>G13</f>
        <v>300480</v>
      </c>
      <c r="H65" s="989">
        <f>H13</f>
        <v>1664</v>
      </c>
      <c r="I65" s="2228">
        <f t="shared" si="175"/>
        <v>235.359975961538</v>
      </c>
      <c r="J65" s="2253">
        <f>J13</f>
        <v>391639</v>
      </c>
      <c r="K65" s="989">
        <f>K13</f>
        <v>1650</v>
      </c>
      <c r="L65" s="2228">
        <f t="shared" si="176"/>
        <v>261.666666666667</v>
      </c>
      <c r="M65" s="2253">
        <f>M13</f>
        <v>431750</v>
      </c>
      <c r="N65" s="989">
        <f>N13</f>
        <v>1596</v>
      </c>
      <c r="O65" s="2228">
        <f t="shared" si="177"/>
        <v>263.330827067669</v>
      </c>
      <c r="P65" s="2253">
        <f>P13</f>
        <v>420276</v>
      </c>
      <c r="Q65" s="989">
        <f>Q13</f>
        <v>844</v>
      </c>
      <c r="R65" s="2228">
        <f t="shared" si="178"/>
        <v>229.957345971564</v>
      </c>
      <c r="S65" s="2253">
        <f>S13</f>
        <v>194084</v>
      </c>
      <c r="T65" s="989">
        <f>T13</f>
        <v>1196</v>
      </c>
      <c r="U65" s="2228">
        <f t="shared" si="179"/>
        <v>226.039297658863</v>
      </c>
      <c r="V65" s="2253">
        <f>V13</f>
        <v>270343</v>
      </c>
      <c r="W65" s="989">
        <f>W13</f>
        <v>945</v>
      </c>
      <c r="X65" s="2228">
        <f t="shared" si="180"/>
        <v>227.208465608466</v>
      </c>
      <c r="Y65" s="2253">
        <f>Y13</f>
        <v>214712</v>
      </c>
      <c r="Z65" s="989">
        <f>Z13</f>
        <v>1572</v>
      </c>
      <c r="AA65" s="2228">
        <f t="shared" si="181"/>
        <v>239.738549618321</v>
      </c>
      <c r="AB65" s="983">
        <f>AB13</f>
        <v>376869</v>
      </c>
      <c r="AC65" s="989">
        <f>AC13</f>
        <v>1449</v>
      </c>
      <c r="AD65" s="2228">
        <f t="shared" si="182"/>
        <v>233.644582470669</v>
      </c>
      <c r="AE65" s="2253">
        <f>AE13</f>
        <v>338551</v>
      </c>
      <c r="AF65" s="989">
        <f>AF13</f>
        <v>1871</v>
      </c>
      <c r="AG65" s="2228">
        <f t="shared" si="183"/>
        <v>233.018706574025</v>
      </c>
      <c r="AH65" s="2253">
        <f>AH13</f>
        <v>435978</v>
      </c>
      <c r="AI65" s="989">
        <f>AI13</f>
        <v>0</v>
      </c>
      <c r="AJ65" s="2228">
        <f t="shared" si="184"/>
        <v>0</v>
      </c>
      <c r="AK65" s="2253">
        <f>AK13</f>
        <v>0</v>
      </c>
      <c r="AL65" s="2481">
        <f>AL13</f>
        <v>15483</v>
      </c>
      <c r="AM65" s="2341">
        <f t="shared" si="185"/>
        <v>241.0476005942</v>
      </c>
      <c r="AN65" s="2482">
        <f>AN13</f>
        <v>3732140</v>
      </c>
      <c r="AO65" s="1431">
        <f>AO13</f>
        <v>3732141</v>
      </c>
      <c r="AP65" s="242">
        <f t="shared" si="186"/>
        <v>-1</v>
      </c>
    </row>
    <row r="66" spans="1:42">
      <c r="A66" s="991" t="s">
        <v>346</v>
      </c>
      <c r="B66" s="2241">
        <f>B21</f>
        <v>10</v>
      </c>
      <c r="C66" s="2228">
        <f t="shared" si="173"/>
        <v>1592.5</v>
      </c>
      <c r="D66" s="1360">
        <f>D21</f>
        <v>15925</v>
      </c>
      <c r="E66" s="2241">
        <f>E21</f>
        <v>11</v>
      </c>
      <c r="F66" s="2228">
        <f t="shared" si="174"/>
        <v>1481.81818181818</v>
      </c>
      <c r="G66" s="1360">
        <f>G21</f>
        <v>16300</v>
      </c>
      <c r="H66" s="2241">
        <f>H21</f>
        <v>4</v>
      </c>
      <c r="I66" s="2228">
        <f t="shared" si="175"/>
        <v>2185</v>
      </c>
      <c r="J66" s="1360">
        <f>J21</f>
        <v>8740</v>
      </c>
      <c r="K66" s="2241">
        <f>K21</f>
        <v>11</v>
      </c>
      <c r="L66" s="2228">
        <f t="shared" si="176"/>
        <v>1365.45454545455</v>
      </c>
      <c r="M66" s="1360">
        <f>M21</f>
        <v>15020</v>
      </c>
      <c r="N66" s="2241">
        <f>N21</f>
        <v>12</v>
      </c>
      <c r="O66" s="2228">
        <f t="shared" si="177"/>
        <v>1998.33333333333</v>
      </c>
      <c r="P66" s="1360">
        <f>P21</f>
        <v>23980</v>
      </c>
      <c r="Q66" s="2241">
        <f>Q21</f>
        <v>0</v>
      </c>
      <c r="R66" s="2228">
        <f t="shared" si="178"/>
        <v>0</v>
      </c>
      <c r="S66" s="1360">
        <f>S21</f>
        <v>0</v>
      </c>
      <c r="T66" s="2241">
        <f>T21</f>
        <v>33</v>
      </c>
      <c r="U66" s="2228">
        <f t="shared" si="179"/>
        <v>1693.0303030303</v>
      </c>
      <c r="V66" s="1360">
        <f>V21</f>
        <v>55870</v>
      </c>
      <c r="W66" s="2241">
        <f>W21</f>
        <v>14</v>
      </c>
      <c r="X66" s="2228">
        <f t="shared" si="180"/>
        <v>1630.71428571429</v>
      </c>
      <c r="Y66" s="1360">
        <f>Y21</f>
        <v>22830</v>
      </c>
      <c r="Z66" s="2241">
        <f>Z21</f>
        <v>2</v>
      </c>
      <c r="AA66" s="2228">
        <f t="shared" si="181"/>
        <v>2280</v>
      </c>
      <c r="AB66" s="2459">
        <f>AB21</f>
        <v>4560</v>
      </c>
      <c r="AC66" s="2241">
        <f>AC21</f>
        <v>0</v>
      </c>
      <c r="AD66" s="2228">
        <f t="shared" si="182"/>
        <v>0</v>
      </c>
      <c r="AE66" s="1360">
        <f>AE21</f>
        <v>0</v>
      </c>
      <c r="AF66" s="2241">
        <f>AF21</f>
        <v>4</v>
      </c>
      <c r="AG66" s="2228">
        <f t="shared" si="183"/>
        <v>2265</v>
      </c>
      <c r="AH66" s="1360">
        <f>AH21</f>
        <v>9060</v>
      </c>
      <c r="AI66" s="2241">
        <f>AI21</f>
        <v>0</v>
      </c>
      <c r="AJ66" s="2228">
        <f t="shared" si="184"/>
        <v>0</v>
      </c>
      <c r="AK66" s="1360">
        <f>AK21</f>
        <v>0</v>
      </c>
      <c r="AL66" s="2340">
        <f>AL21</f>
        <v>101</v>
      </c>
      <c r="AM66" s="2341">
        <f t="shared" si="185"/>
        <v>1705.79207920792</v>
      </c>
      <c r="AN66" s="2483">
        <f>AN21</f>
        <v>172285</v>
      </c>
      <c r="AO66" s="1431">
        <f>AO21</f>
        <v>172285</v>
      </c>
      <c r="AP66" s="242">
        <f t="shared" si="186"/>
        <v>0</v>
      </c>
    </row>
    <row r="67" spans="1:42">
      <c r="A67" s="991" t="s">
        <v>347</v>
      </c>
      <c r="B67" s="2241">
        <f>B40</f>
        <v>18891</v>
      </c>
      <c r="C67" s="2228">
        <f t="shared" si="173"/>
        <v>123.787200254089</v>
      </c>
      <c r="D67" s="1360">
        <f>D40</f>
        <v>2338464</v>
      </c>
      <c r="E67" s="2241">
        <f>E40</f>
        <v>11834</v>
      </c>
      <c r="F67" s="2228">
        <f t="shared" si="174"/>
        <v>126.268632753084</v>
      </c>
      <c r="G67" s="1360">
        <f>G40</f>
        <v>1494263</v>
      </c>
      <c r="H67" s="2241">
        <f>H40</f>
        <v>18632</v>
      </c>
      <c r="I67" s="2228">
        <f t="shared" si="175"/>
        <v>123.050397166166</v>
      </c>
      <c r="J67" s="1360">
        <f>J40</f>
        <v>2292675</v>
      </c>
      <c r="K67" s="2241">
        <f>K40</f>
        <v>9076</v>
      </c>
      <c r="L67" s="2228">
        <f t="shared" si="176"/>
        <v>121.059497576025</v>
      </c>
      <c r="M67" s="1360">
        <f>M40</f>
        <v>1098736</v>
      </c>
      <c r="N67" s="2241">
        <f>N40</f>
        <v>24210</v>
      </c>
      <c r="O67" s="2228">
        <f t="shared" si="177"/>
        <v>121.842213961173</v>
      </c>
      <c r="P67" s="1360">
        <f>P40</f>
        <v>2949800</v>
      </c>
      <c r="Q67" s="2241">
        <f>Q40</f>
        <v>34618</v>
      </c>
      <c r="R67" s="2228">
        <f t="shared" si="178"/>
        <v>122.34484950026</v>
      </c>
      <c r="S67" s="1360">
        <f>S40</f>
        <v>4235334</v>
      </c>
      <c r="T67" s="2241">
        <f>T40</f>
        <v>7140</v>
      </c>
      <c r="U67" s="2228">
        <f t="shared" si="179"/>
        <v>109.979831932773</v>
      </c>
      <c r="V67" s="1360">
        <f>V40</f>
        <v>785256</v>
      </c>
      <c r="W67" s="2241">
        <f>W40</f>
        <v>15516.05</v>
      </c>
      <c r="X67" s="2228">
        <f t="shared" si="180"/>
        <v>119.05076356418</v>
      </c>
      <c r="Y67" s="1360">
        <f>Y40</f>
        <v>1847197.6</v>
      </c>
      <c r="Z67" s="2241">
        <f>Z40</f>
        <v>8732.9</v>
      </c>
      <c r="AA67" s="2228">
        <f t="shared" si="181"/>
        <v>109.953383183135</v>
      </c>
      <c r="AB67" s="1360">
        <f>AB40</f>
        <v>960211.9</v>
      </c>
      <c r="AC67" s="2241">
        <f>AC40</f>
        <v>4710</v>
      </c>
      <c r="AD67" s="2228">
        <f t="shared" si="182"/>
        <v>121.039447983015</v>
      </c>
      <c r="AE67" s="1360">
        <f>AE40</f>
        <v>570095.8</v>
      </c>
      <c r="AF67" s="2241">
        <f>AF40</f>
        <v>5000</v>
      </c>
      <c r="AG67" s="2228">
        <f t="shared" si="183"/>
        <v>112</v>
      </c>
      <c r="AH67" s="1360">
        <f>AH40</f>
        <v>560000</v>
      </c>
      <c r="AI67" s="2241">
        <f>AI40</f>
        <v>2984</v>
      </c>
      <c r="AJ67" s="2228">
        <f t="shared" si="184"/>
        <v>124.968498659517</v>
      </c>
      <c r="AK67" s="1360">
        <f>AK40</f>
        <v>372906</v>
      </c>
      <c r="AL67" s="2340">
        <f>AL40</f>
        <v>161343.95</v>
      </c>
      <c r="AM67" s="2341">
        <f t="shared" si="185"/>
        <v>120.890428801328</v>
      </c>
      <c r="AN67" s="2483">
        <f>AN40</f>
        <v>19504939.3</v>
      </c>
      <c r="AP67" s="242"/>
    </row>
    <row r="68" spans="1:42">
      <c r="A68" s="991" t="s">
        <v>348</v>
      </c>
      <c r="B68" s="2241">
        <f>B41+B42</f>
        <v>23693</v>
      </c>
      <c r="C68" s="2228">
        <f t="shared" si="173"/>
        <v>242.199172751446</v>
      </c>
      <c r="D68" s="1360">
        <f>D41+D42+D43</f>
        <v>5738425</v>
      </c>
      <c r="E68" s="2241">
        <f>E41+E42</f>
        <v>20429</v>
      </c>
      <c r="F68" s="2228">
        <f t="shared" si="174"/>
        <v>251.247491311371</v>
      </c>
      <c r="G68" s="1360">
        <f>G41+G42+G43</f>
        <v>5132735</v>
      </c>
      <c r="H68" s="2241">
        <f>H41+H42</f>
        <v>24698</v>
      </c>
      <c r="I68" s="2228">
        <f t="shared" si="175"/>
        <v>255.227022430966</v>
      </c>
      <c r="J68" s="1360">
        <f>J41+J42+J43</f>
        <v>6303597</v>
      </c>
      <c r="K68" s="2241">
        <f>K41+K42</f>
        <v>20991</v>
      </c>
      <c r="L68" s="2228">
        <f t="shared" si="176"/>
        <v>274.250869420228</v>
      </c>
      <c r="M68" s="1360">
        <f>M41+M42+M43</f>
        <v>5756800</v>
      </c>
      <c r="N68" s="2241">
        <f>N41+N42</f>
        <v>25077</v>
      </c>
      <c r="O68" s="2228">
        <f t="shared" si="177"/>
        <v>249.44283606492</v>
      </c>
      <c r="P68" s="1360">
        <f>P41+P42+P43</f>
        <v>6255278</v>
      </c>
      <c r="Q68" s="2241">
        <f>Q41+Q42</f>
        <v>23552</v>
      </c>
      <c r="R68" s="2228">
        <f t="shared" si="178"/>
        <v>243.525220788043</v>
      </c>
      <c r="S68" s="1360">
        <f>S41+S42+S43</f>
        <v>5735506</v>
      </c>
      <c r="T68" s="2241">
        <f>T41+T42</f>
        <v>26146</v>
      </c>
      <c r="U68" s="2228">
        <f t="shared" si="179"/>
        <v>253.097911726459</v>
      </c>
      <c r="V68" s="1360">
        <f>V41+V42+V43</f>
        <v>6617498</v>
      </c>
      <c r="W68" s="2241">
        <f>W41+W42</f>
        <v>21567</v>
      </c>
      <c r="X68" s="2228">
        <f t="shared" si="180"/>
        <v>239.877219826587</v>
      </c>
      <c r="Y68" s="1360">
        <f>Y41+Y42+Y43</f>
        <v>5173432</v>
      </c>
      <c r="Z68" s="2241">
        <f>Z41+Z42</f>
        <v>25954</v>
      </c>
      <c r="AA68" s="2228">
        <f t="shared" si="181"/>
        <v>238.57328350158</v>
      </c>
      <c r="AB68" s="1360">
        <f>AB41+AB42+AB43</f>
        <v>6191931</v>
      </c>
      <c r="AC68" s="2241">
        <f>AC41+AC42</f>
        <v>26468</v>
      </c>
      <c r="AD68" s="2228">
        <f t="shared" si="182"/>
        <v>242.976613268853</v>
      </c>
      <c r="AE68" s="1360">
        <f>AE41+AE42+AE43</f>
        <v>6431105</v>
      </c>
      <c r="AF68" s="2241">
        <f>AF41+AF42</f>
        <v>15613</v>
      </c>
      <c r="AG68" s="2228">
        <f t="shared" si="183"/>
        <v>261.812976365849</v>
      </c>
      <c r="AH68" s="1360">
        <f>AH41+AH42+AH43</f>
        <v>4087686</v>
      </c>
      <c r="AI68" s="2241">
        <f>AI41+AI42</f>
        <v>28225</v>
      </c>
      <c r="AJ68" s="2228">
        <f t="shared" si="184"/>
        <v>244.41597874225</v>
      </c>
      <c r="AK68" s="1360">
        <f>AK41+AK42+AK43</f>
        <v>6898641</v>
      </c>
      <c r="AL68" s="2340">
        <f>AL41+AL42</f>
        <v>282412</v>
      </c>
      <c r="AM68" s="2341">
        <f t="shared" si="185"/>
        <v>249.007241193717</v>
      </c>
      <c r="AN68" s="2483">
        <f>AN41+AN42+AN43</f>
        <v>70322633</v>
      </c>
      <c r="AO68" s="1431">
        <f>AO40</f>
        <v>15055722</v>
      </c>
      <c r="AP68" s="242">
        <f t="shared" si="186"/>
        <v>55266911</v>
      </c>
    </row>
    <row r="69" ht="14.25" spans="1:42">
      <c r="A69" s="956" t="s">
        <v>349</v>
      </c>
      <c r="B69" s="961">
        <f>B55</f>
        <v>7728</v>
      </c>
      <c r="C69" s="2283">
        <f t="shared" si="173"/>
        <v>154.616459627329</v>
      </c>
      <c r="D69" s="1171">
        <f>D55</f>
        <v>1194876</v>
      </c>
      <c r="E69" s="961">
        <f>E55</f>
        <v>8668</v>
      </c>
      <c r="F69" s="2283">
        <f t="shared" si="174"/>
        <v>165.818989386248</v>
      </c>
      <c r="G69" s="1171">
        <f>G55</f>
        <v>1437319</v>
      </c>
      <c r="H69" s="961">
        <f>H55</f>
        <v>6962</v>
      </c>
      <c r="I69" s="2283">
        <f t="shared" si="175"/>
        <v>164.707268026429</v>
      </c>
      <c r="J69" s="1171">
        <f>J55</f>
        <v>1146692</v>
      </c>
      <c r="K69" s="961">
        <f>K55</f>
        <v>8632</v>
      </c>
      <c r="L69" s="2283">
        <f t="shared" si="176"/>
        <v>154.439295644115</v>
      </c>
      <c r="M69" s="1171">
        <f>M55</f>
        <v>1333120</v>
      </c>
      <c r="N69" s="961">
        <f>N55</f>
        <v>7171</v>
      </c>
      <c r="O69" s="2283">
        <f t="shared" si="177"/>
        <v>140.054943522521</v>
      </c>
      <c r="P69" s="1171">
        <f>P55</f>
        <v>1004334</v>
      </c>
      <c r="Q69" s="961">
        <f>Q55</f>
        <v>6172</v>
      </c>
      <c r="R69" s="2283">
        <f t="shared" si="178"/>
        <v>150.294556059624</v>
      </c>
      <c r="S69" s="1171">
        <f>S55</f>
        <v>927618</v>
      </c>
      <c r="T69" s="961">
        <f>T55</f>
        <v>7171</v>
      </c>
      <c r="U69" s="2283">
        <f t="shared" si="179"/>
        <v>159.384744108214</v>
      </c>
      <c r="V69" s="1171">
        <f>V55</f>
        <v>1142948</v>
      </c>
      <c r="W69" s="961">
        <f>W55</f>
        <v>15823</v>
      </c>
      <c r="X69" s="2283">
        <f t="shared" si="180"/>
        <v>130.17487202174</v>
      </c>
      <c r="Y69" s="1171">
        <f>Y55</f>
        <v>2059757</v>
      </c>
      <c r="Z69" s="961">
        <f>Z55</f>
        <v>5334</v>
      </c>
      <c r="AA69" s="2283">
        <f t="shared" si="181"/>
        <v>156.097862767154</v>
      </c>
      <c r="AB69" s="1456">
        <f>AB55</f>
        <v>832626</v>
      </c>
      <c r="AC69" s="961">
        <f>AC55</f>
        <v>3445</v>
      </c>
      <c r="AD69" s="2283">
        <f t="shared" si="182"/>
        <v>163.761393323657</v>
      </c>
      <c r="AE69" s="1171">
        <f>AE55</f>
        <v>564158</v>
      </c>
      <c r="AF69" s="961">
        <f>AF55</f>
        <v>6420</v>
      </c>
      <c r="AG69" s="2283">
        <f t="shared" si="183"/>
        <v>168.744859813084</v>
      </c>
      <c r="AH69" s="1171">
        <f>AH55</f>
        <v>1083342</v>
      </c>
      <c r="AI69" s="961">
        <f>AI55</f>
        <v>3930</v>
      </c>
      <c r="AJ69" s="2283">
        <f t="shared" si="184"/>
        <v>179.377099236641</v>
      </c>
      <c r="AK69" s="1171">
        <f>AK55</f>
        <v>704952</v>
      </c>
      <c r="AL69" s="2484">
        <f>AL55</f>
        <v>91013</v>
      </c>
      <c r="AM69" s="2485">
        <f t="shared" si="185"/>
        <v>156.29445244086</v>
      </c>
      <c r="AN69" s="2486">
        <f>AN55</f>
        <v>14224827</v>
      </c>
      <c r="AO69" s="1431">
        <f>AO55</f>
        <v>3005402</v>
      </c>
      <c r="AP69" s="242">
        <f t="shared" si="186"/>
        <v>11219425</v>
      </c>
    </row>
    <row r="70" ht="14.25" spans="1:42">
      <c r="A70" s="988"/>
      <c r="B70" s="2263">
        <f>SUM(B64:B69)</f>
        <v>152844</v>
      </c>
      <c r="C70" s="2358">
        <f>D70/B70</f>
        <v>123.080670487556</v>
      </c>
      <c r="D70" s="2359">
        <f>SUM(D64:D69)</f>
        <v>18812142</v>
      </c>
      <c r="E70" s="2263">
        <f>SUM(E64:E69)</f>
        <v>99116</v>
      </c>
      <c r="F70" s="2358">
        <f>G70/E70</f>
        <v>136.966816659268</v>
      </c>
      <c r="G70" s="2359">
        <f>SUM(G64:G69)</f>
        <v>13575603</v>
      </c>
      <c r="H70" s="2263">
        <f>SUM(H64:H69)</f>
        <v>202960</v>
      </c>
      <c r="I70" s="2358">
        <f>J70/H70</f>
        <v>121.781883129681</v>
      </c>
      <c r="J70" s="2359">
        <f>SUM(J64:J69)</f>
        <v>24716851</v>
      </c>
      <c r="K70" s="2263">
        <f>SUM(K64:K69)</f>
        <v>177360</v>
      </c>
      <c r="L70" s="2358">
        <f>M70/K70</f>
        <v>119.770528867839</v>
      </c>
      <c r="M70" s="2359">
        <f>SUM(M64:M69)</f>
        <v>21242501</v>
      </c>
      <c r="N70" s="2263">
        <f>SUM(N64:N69)</f>
        <v>232066</v>
      </c>
      <c r="O70" s="2358">
        <f>P70/N70</f>
        <v>121.067941878604</v>
      </c>
      <c r="P70" s="2359">
        <f>SUM(P64:P69)</f>
        <v>28095753</v>
      </c>
      <c r="Q70" s="2263">
        <f>SUM(Q64:Q69)</f>
        <v>102186</v>
      </c>
      <c r="R70" s="2358">
        <f>S70/Q70</f>
        <v>138.123881940775</v>
      </c>
      <c r="S70" s="2359">
        <f>SUM(S64:S69)</f>
        <v>14114327</v>
      </c>
      <c r="T70" s="2263">
        <f>SUM(T64:T69)</f>
        <v>169686</v>
      </c>
      <c r="U70" s="2358">
        <f>V70/T70</f>
        <v>125.062185448416</v>
      </c>
      <c r="V70" s="2359">
        <f>SUM(V64:V69)</f>
        <v>21221302</v>
      </c>
      <c r="W70" s="2263">
        <f>SUM(W64:W69)</f>
        <v>173865.05</v>
      </c>
      <c r="X70" s="2358">
        <f>Y70/W70</f>
        <v>116.278996842666</v>
      </c>
      <c r="Y70" s="2359">
        <f>SUM(Y64:Y69)</f>
        <v>20216853.6</v>
      </c>
      <c r="Z70" s="2263">
        <f>SUM(Z64:Z69)</f>
        <v>147594.9</v>
      </c>
      <c r="AA70" s="2358">
        <f>AB70/Z70</f>
        <v>121.436065202795</v>
      </c>
      <c r="AB70" s="2460">
        <f>SUM(AB64:AB69)</f>
        <v>17923343.9</v>
      </c>
      <c r="AC70" s="2263">
        <f>SUM(AC64:AC69)</f>
        <v>205072</v>
      </c>
      <c r="AD70" s="2358">
        <f>AE70/AC70</f>
        <v>118.520816103612</v>
      </c>
      <c r="AE70" s="2359">
        <f>SUM(AE64:AE69)</f>
        <v>24305300.8</v>
      </c>
      <c r="AF70" s="2263">
        <f>SUM(AF64:AF69)</f>
        <v>144908</v>
      </c>
      <c r="AG70" s="2358">
        <f>AH70/AF70</f>
        <v>122.182481298479</v>
      </c>
      <c r="AH70" s="2359">
        <f>SUM(AH64:AH69)</f>
        <v>17705219</v>
      </c>
      <c r="AI70" s="2263">
        <f>SUM(AI64:AI69)</f>
        <v>133139</v>
      </c>
      <c r="AJ70" s="2358">
        <f>AK70/AI70</f>
        <v>153.176011687034</v>
      </c>
      <c r="AK70" s="2359">
        <f>SUM(AK64:AK69)</f>
        <v>20393701.02</v>
      </c>
      <c r="AL70" s="2355">
        <f>SUM(AL64:AL69)</f>
        <v>1944352.95</v>
      </c>
      <c r="AM70" s="2487">
        <f>AN70/AL70</f>
        <v>125.036959632252</v>
      </c>
      <c r="AN70" s="2488">
        <f>SUM(AN64:AN69)</f>
        <v>243115981.32</v>
      </c>
      <c r="AO70" s="1434">
        <f>SUM(AO64:AO69)</f>
        <v>157124707</v>
      </c>
      <c r="AP70" s="242">
        <f>SUM(AP64:AP69)</f>
        <v>66486335.02</v>
      </c>
    </row>
    <row r="71" spans="1:40">
      <c r="A71" s="1002" t="s">
        <v>322</v>
      </c>
      <c r="B71" s="1003"/>
      <c r="C71" s="1004">
        <f t="shared" si="173"/>
        <v>0</v>
      </c>
      <c r="D71" s="1005"/>
      <c r="E71" s="1003"/>
      <c r="F71" s="1004">
        <f t="shared" ref="F71:F74" si="187">IF(E71=0,0,(G71/E71))</f>
        <v>0</v>
      </c>
      <c r="G71" s="1005"/>
      <c r="H71" s="1003"/>
      <c r="I71" s="1004">
        <f t="shared" ref="I71:I74" si="188">IF(H71=0,0,(J71/H71))</f>
        <v>0</v>
      </c>
      <c r="J71" s="1005"/>
      <c r="K71" s="1003"/>
      <c r="L71" s="1004">
        <f t="shared" ref="L71:L74" si="189">IF(K71=0,0,(M71/K71))</f>
        <v>0</v>
      </c>
      <c r="M71" s="1005"/>
      <c r="N71" s="1003"/>
      <c r="O71" s="1004">
        <f t="shared" ref="O71:O74" si="190">IF(N71=0,0,(P71/N71))</f>
        <v>0</v>
      </c>
      <c r="P71" s="1005"/>
      <c r="Q71" s="1003"/>
      <c r="R71" s="1004">
        <f t="shared" ref="R71:R74" si="191">IF(Q71=0,0,(S71/Q71))</f>
        <v>0</v>
      </c>
      <c r="S71" s="1005"/>
      <c r="T71" s="1003"/>
      <c r="U71" s="1004">
        <f t="shared" ref="U71:U74" si="192">IF(T71=0,0,(V71/T71))</f>
        <v>0</v>
      </c>
      <c r="V71" s="1005"/>
      <c r="W71" s="1003"/>
      <c r="X71" s="1004">
        <f t="shared" ref="X71:X74" si="193">IF(W71=0,0,(Y71/W71))</f>
        <v>0</v>
      </c>
      <c r="Y71" s="1005"/>
      <c r="Z71" s="1003"/>
      <c r="AA71" s="1004">
        <f t="shared" ref="AA71:AA74" si="194">IF(Z71=0,0,(AB71/Z71))</f>
        <v>0</v>
      </c>
      <c r="AB71" s="1092"/>
      <c r="AC71" s="1003"/>
      <c r="AD71" s="1004">
        <f t="shared" ref="AD71:AD74" si="195">IF(AC71=0,0,(AE71/AC71))</f>
        <v>0</v>
      </c>
      <c r="AE71" s="1005"/>
      <c r="AF71" s="1003"/>
      <c r="AG71" s="1004">
        <f t="shared" ref="AG71:AG74" si="196">IF(AF71=0,0,(AH71/AF71))</f>
        <v>0</v>
      </c>
      <c r="AH71" s="1005"/>
      <c r="AI71" s="1003"/>
      <c r="AJ71" s="1004">
        <f t="shared" ref="AJ71:AJ74" si="197">IF(AI71=0,0,(AK71/AI71))</f>
        <v>0</v>
      </c>
      <c r="AK71" s="1005"/>
      <c r="AL71" s="2489"/>
      <c r="AM71" s="2490">
        <f t="shared" ref="AM71:AM74" si="198">IF(AL71=0,0,(AN71/AL71))</f>
        <v>0</v>
      </c>
      <c r="AN71" s="2491"/>
    </row>
    <row r="72" spans="1:42">
      <c r="A72" s="1223" t="s">
        <v>350</v>
      </c>
      <c r="B72" s="2241">
        <f>B32</f>
        <v>40221</v>
      </c>
      <c r="C72" s="2230">
        <f t="shared" si="173"/>
        <v>94.7067452325899</v>
      </c>
      <c r="D72" s="998">
        <f>D32</f>
        <v>3809200</v>
      </c>
      <c r="E72" s="2241">
        <f>E32</f>
        <v>14025</v>
      </c>
      <c r="F72" s="2230">
        <f t="shared" si="187"/>
        <v>98.9532976827094</v>
      </c>
      <c r="G72" s="998">
        <f>G32</f>
        <v>1387820</v>
      </c>
      <c r="H72" s="2241">
        <f>H32</f>
        <v>51228</v>
      </c>
      <c r="I72" s="2230">
        <f t="shared" si="188"/>
        <v>93.0838603888498</v>
      </c>
      <c r="J72" s="998">
        <f>J32</f>
        <v>4768500</v>
      </c>
      <c r="K72" s="2241">
        <f>K32</f>
        <v>55229</v>
      </c>
      <c r="L72" s="2230">
        <f t="shared" si="189"/>
        <v>94.2874214633616</v>
      </c>
      <c r="M72" s="998">
        <f>M32</f>
        <v>5207400</v>
      </c>
      <c r="N72" s="2241">
        <f>N32</f>
        <v>58371</v>
      </c>
      <c r="O72" s="2230">
        <f t="shared" si="190"/>
        <v>94.9327577050248</v>
      </c>
      <c r="P72" s="998">
        <f>P32</f>
        <v>5541320</v>
      </c>
      <c r="Q72" s="2241">
        <f>Q32</f>
        <v>31229</v>
      </c>
      <c r="R72" s="2230">
        <f t="shared" si="191"/>
        <v>95.9909058887572</v>
      </c>
      <c r="S72" s="998">
        <f>S32</f>
        <v>2997700</v>
      </c>
      <c r="T72" s="2241">
        <f>T32</f>
        <v>24221</v>
      </c>
      <c r="U72" s="2230">
        <f t="shared" si="192"/>
        <v>97.987696626894</v>
      </c>
      <c r="V72" s="998">
        <f>V32</f>
        <v>2373360</v>
      </c>
      <c r="W72" s="2241">
        <f>W32</f>
        <v>15285</v>
      </c>
      <c r="X72" s="2230">
        <f t="shared" si="193"/>
        <v>91.3837095191364</v>
      </c>
      <c r="Y72" s="998">
        <f>Y32</f>
        <v>1396800</v>
      </c>
      <c r="Z72" s="2241">
        <f>Z32</f>
        <v>31175</v>
      </c>
      <c r="AA72" s="2230">
        <f t="shared" si="194"/>
        <v>93.6214915797915</v>
      </c>
      <c r="AB72" s="1090">
        <f>AB32</f>
        <v>2918650</v>
      </c>
      <c r="AC72" s="2241">
        <f>AC32</f>
        <v>38215</v>
      </c>
      <c r="AD72" s="2230">
        <f t="shared" si="195"/>
        <v>94.853329844302</v>
      </c>
      <c r="AE72" s="998">
        <f>AE32</f>
        <v>3624820</v>
      </c>
      <c r="AF72" s="2241">
        <f>AF32</f>
        <v>37237</v>
      </c>
      <c r="AG72" s="2230">
        <f t="shared" si="196"/>
        <v>95.7069581330397</v>
      </c>
      <c r="AH72" s="998">
        <f>AH32</f>
        <v>3563840</v>
      </c>
      <c r="AI72" s="2241">
        <f>AI32</f>
        <v>25090</v>
      </c>
      <c r="AJ72" s="2230">
        <f t="shared" si="197"/>
        <v>103.626943005181</v>
      </c>
      <c r="AK72" s="998">
        <f>AK32</f>
        <v>2600000</v>
      </c>
      <c r="AL72" s="2340">
        <f>AL32</f>
        <v>421526</v>
      </c>
      <c r="AM72" s="2492">
        <f t="shared" si="198"/>
        <v>95.3426597647595</v>
      </c>
      <c r="AN72" s="2342">
        <f>AN32</f>
        <v>40189410</v>
      </c>
      <c r="AP72" s="97"/>
    </row>
    <row r="73" ht="14.25" spans="1:42">
      <c r="A73" s="960" t="s">
        <v>324</v>
      </c>
      <c r="B73" s="2241">
        <f>B33+B59</f>
        <v>183154</v>
      </c>
      <c r="C73" s="984">
        <f t="shared" si="173"/>
        <v>101.669349290761</v>
      </c>
      <c r="D73" s="998">
        <f>D33+D59</f>
        <v>18621148</v>
      </c>
      <c r="E73" s="2241">
        <f>E33+E59</f>
        <v>150421</v>
      </c>
      <c r="F73" s="984">
        <f t="shared" si="187"/>
        <v>100.720019146263</v>
      </c>
      <c r="G73" s="998">
        <f>G33+G59</f>
        <v>15150406</v>
      </c>
      <c r="H73" s="2241">
        <f>H33+H59</f>
        <v>167458</v>
      </c>
      <c r="I73" s="984">
        <f t="shared" si="188"/>
        <v>100.212011370015</v>
      </c>
      <c r="J73" s="998">
        <f>J33+J59</f>
        <v>16781303</v>
      </c>
      <c r="K73" s="2241">
        <f>K33+K59</f>
        <v>149660</v>
      </c>
      <c r="L73" s="984">
        <f t="shared" si="189"/>
        <v>103.36962448216</v>
      </c>
      <c r="M73" s="998">
        <f>M33+M59</f>
        <v>15470298</v>
      </c>
      <c r="N73" s="2241">
        <f>N33+N59</f>
        <v>191482</v>
      </c>
      <c r="O73" s="984">
        <f t="shared" si="190"/>
        <v>104.421966555603</v>
      </c>
      <c r="P73" s="998">
        <f>P33+P59</f>
        <v>19994927</v>
      </c>
      <c r="Q73" s="2241">
        <f>Q33+Q59</f>
        <v>118552</v>
      </c>
      <c r="R73" s="984">
        <f t="shared" si="191"/>
        <v>105.128163168905</v>
      </c>
      <c r="S73" s="998">
        <f>S33+S59</f>
        <v>12463154</v>
      </c>
      <c r="T73" s="2241">
        <f>T33+T59</f>
        <v>143426</v>
      </c>
      <c r="U73" s="984">
        <f t="shared" si="192"/>
        <v>102.541721863539</v>
      </c>
      <c r="V73" s="998">
        <f>V33+V59</f>
        <v>14707149</v>
      </c>
      <c r="W73" s="2241">
        <f>W33+W59</f>
        <v>168163</v>
      </c>
      <c r="X73" s="984">
        <f t="shared" si="193"/>
        <v>100.347424819966</v>
      </c>
      <c r="Y73" s="998">
        <f>Y33+Y59</f>
        <v>16874724</v>
      </c>
      <c r="Z73" s="2241">
        <f>Z33+Z59</f>
        <v>138904</v>
      </c>
      <c r="AA73" s="984">
        <f t="shared" si="194"/>
        <v>99.6279372804239</v>
      </c>
      <c r="AB73" s="1090">
        <f>AB33+AB59</f>
        <v>13838719</v>
      </c>
      <c r="AC73" s="2241">
        <f>AC33+AC59</f>
        <v>178020</v>
      </c>
      <c r="AD73" s="984">
        <f t="shared" si="195"/>
        <v>101.703038984384</v>
      </c>
      <c r="AE73" s="998">
        <f>AE33+AE59</f>
        <v>18105175</v>
      </c>
      <c r="AF73" s="2241">
        <f>AF33+AF59</f>
        <v>158636</v>
      </c>
      <c r="AG73" s="984">
        <f t="shared" si="196"/>
        <v>107.049900400918</v>
      </c>
      <c r="AH73" s="998">
        <f>AH33+AH59</f>
        <v>16981968</v>
      </c>
      <c r="AI73" s="2241">
        <f>AI33+AI59</f>
        <v>144531</v>
      </c>
      <c r="AJ73" s="984">
        <f t="shared" si="197"/>
        <v>124.580304571338</v>
      </c>
      <c r="AK73" s="998">
        <f>AK33+AK59</f>
        <v>18005716</v>
      </c>
      <c r="AL73" s="2493">
        <f>AL33+AL59</f>
        <v>144531</v>
      </c>
      <c r="AM73" s="2494">
        <f t="shared" si="198"/>
        <v>124.580304571338</v>
      </c>
      <c r="AN73" s="2495">
        <f>AN33+AN59</f>
        <v>18005716</v>
      </c>
      <c r="AP73" s="97"/>
    </row>
    <row r="74" ht="14.25" spans="1:40">
      <c r="A74" s="2360" t="s">
        <v>351</v>
      </c>
      <c r="B74" s="2361">
        <f>(B63+B70)-(B72+B73)</f>
        <v>127010</v>
      </c>
      <c r="C74" s="2362">
        <f t="shared" si="173"/>
        <v>129.95279111881</v>
      </c>
      <c r="D74" s="2243">
        <f>(D63+D70)-(D72+D73)</f>
        <v>16505304</v>
      </c>
      <c r="E74" s="2361">
        <f>(E63+E70)-(E72+E73)</f>
        <v>117824</v>
      </c>
      <c r="F74" s="2362">
        <f t="shared" si="187"/>
        <v>132.897584532863</v>
      </c>
      <c r="G74" s="2243">
        <f>(G63+G70)-(G72+G73)</f>
        <v>15658525</v>
      </c>
      <c r="H74" s="2361">
        <f>(H63+H70)-(H72+H73)</f>
        <v>134695</v>
      </c>
      <c r="I74" s="2362">
        <f t="shared" si="188"/>
        <v>135.992085823527</v>
      </c>
      <c r="J74" s="2243">
        <f>(J63+J70)-(J72+J73)</f>
        <v>18317454</v>
      </c>
      <c r="K74" s="2361">
        <f>(K63+K70)-(K72+K73)</f>
        <v>139929</v>
      </c>
      <c r="L74" s="2362">
        <f t="shared" si="189"/>
        <v>123.963624409522</v>
      </c>
      <c r="M74" s="2243">
        <f>(M63+M70)-(M72+M73)</f>
        <v>17346106</v>
      </c>
      <c r="N74" s="2361">
        <f>(N63+N70)-(N72+N73)</f>
        <v>131873</v>
      </c>
      <c r="O74" s="2362">
        <f t="shared" si="190"/>
        <v>136.720966384324</v>
      </c>
      <c r="P74" s="2243">
        <f>(P63+P70)-(P72+P73)</f>
        <v>18029804</v>
      </c>
      <c r="Q74" s="2361">
        <f>(Q63+Q70)-(Q72+Q73)</f>
        <v>143887</v>
      </c>
      <c r="R74" s="2362">
        <f t="shared" si="191"/>
        <v>129.604481294349</v>
      </c>
      <c r="S74" s="2243">
        <f>(S63+S70)-(S72+S73)</f>
        <v>18648400</v>
      </c>
      <c r="T74" s="2361">
        <f>(T63+T70)-(T72+T73)</f>
        <v>120591</v>
      </c>
      <c r="U74" s="2362">
        <f t="shared" si="192"/>
        <v>137.688111053064</v>
      </c>
      <c r="V74" s="2243">
        <f>(V63+V70)-(V72+V73)</f>
        <v>16603947</v>
      </c>
      <c r="W74" s="2361">
        <f>(W63+W70)-(W72+W73)</f>
        <v>133843.05</v>
      </c>
      <c r="X74" s="2362">
        <f t="shared" si="193"/>
        <v>124.417955209479</v>
      </c>
      <c r="Y74" s="2243">
        <f>(Y63+Y70)-(Y72+Y73)</f>
        <v>16652478.6</v>
      </c>
      <c r="Z74" s="2361">
        <f>(Z63+Z70)-(Z72+Z73)</f>
        <v>145678.9</v>
      </c>
      <c r="AA74" s="2362">
        <f t="shared" si="194"/>
        <v>123.83879134178</v>
      </c>
      <c r="AB74" s="2461">
        <f>(AB63+AB70)-(AB72+AB73)</f>
        <v>18040698.9</v>
      </c>
      <c r="AC74" s="2361">
        <f>(AC63+AC70)-(AC72+AC73)</f>
        <v>127741</v>
      </c>
      <c r="AD74" s="2362">
        <f t="shared" si="195"/>
        <v>128.494569480433</v>
      </c>
      <c r="AE74" s="2243">
        <f>(AE63+AE70)-(AE72+AE73)</f>
        <v>16414024.8</v>
      </c>
      <c r="AF74" s="2361">
        <f>(AF63+AF70)-(AF72+AF73)</f>
        <v>127055</v>
      </c>
      <c r="AG74" s="2362">
        <f t="shared" si="196"/>
        <v>120.141560741411</v>
      </c>
      <c r="AH74" s="2243">
        <f>(AH63+AH70)-(AH72+AH73)</f>
        <v>15264586</v>
      </c>
      <c r="AI74" s="2361">
        <f>(AI63+AI70)-(AI72+AI73)</f>
        <v>122154</v>
      </c>
      <c r="AJ74" s="2362">
        <f t="shared" si="197"/>
        <v>137.285336706125</v>
      </c>
      <c r="AK74" s="2243">
        <f>(AK63+AK70)-(AK72+AK73)</f>
        <v>16769953.02</v>
      </c>
      <c r="AL74" s="2361">
        <f>(AL63+AL70)-(AL72+AL73)</f>
        <v>1575836.95</v>
      </c>
      <c r="AM74" s="2362">
        <f t="shared" si="198"/>
        <v>130.117754454228</v>
      </c>
      <c r="AN74" s="2243">
        <f>(AN63+AN70)-(AN72+AN73)</f>
        <v>205044365.32</v>
      </c>
    </row>
    <row r="75" ht="14.25" spans="1:39">
      <c r="A75" s="2244"/>
      <c r="B75" s="2244"/>
      <c r="C75" s="2239"/>
      <c r="D75" s="2239"/>
      <c r="E75" s="2244"/>
      <c r="F75" s="2239"/>
      <c r="G75" s="2239"/>
      <c r="H75" s="2244"/>
      <c r="I75" s="2239"/>
      <c r="J75" s="2239"/>
      <c r="K75" s="2244"/>
      <c r="L75" s="2239"/>
      <c r="M75" s="2239"/>
      <c r="N75" s="2244"/>
      <c r="O75" s="2244"/>
      <c r="P75" s="2244"/>
      <c r="Q75" s="2244"/>
      <c r="R75" s="2244"/>
      <c r="S75" s="2244"/>
      <c r="T75" s="2244"/>
      <c r="U75" s="2244"/>
      <c r="V75" s="2244"/>
      <c r="W75" s="2244"/>
      <c r="X75" s="2244"/>
      <c r="Y75" s="2239"/>
      <c r="Z75" s="2244"/>
      <c r="AA75" s="2244"/>
      <c r="AB75" s="2244"/>
      <c r="AC75" s="2244"/>
      <c r="AD75" s="2244"/>
      <c r="AE75" s="2244"/>
      <c r="AF75" s="2244"/>
      <c r="AG75" s="2244"/>
      <c r="AH75" s="2244"/>
      <c r="AI75" s="2244"/>
      <c r="AJ75" s="2244"/>
      <c r="AK75" s="2244"/>
      <c r="AL75" s="2244"/>
      <c r="AM75" s="2239"/>
    </row>
    <row r="76" ht="14.25" spans="1:40">
      <c r="A76" s="2363" t="s">
        <v>352</v>
      </c>
      <c r="B76" s="2363"/>
      <c r="C76" s="2363"/>
      <c r="D76" s="2363"/>
      <c r="E76" s="2363"/>
      <c r="F76" s="2363"/>
      <c r="G76" s="2363"/>
      <c r="H76" s="2363"/>
      <c r="I76" s="2363"/>
      <c r="J76" s="2363"/>
      <c r="K76" s="2363"/>
      <c r="L76" s="2363"/>
      <c r="M76" s="2363"/>
      <c r="N76" s="2363"/>
      <c r="O76" s="2363"/>
      <c r="P76" s="2363"/>
      <c r="Q76" s="2363"/>
      <c r="R76" s="2363"/>
      <c r="S76" s="2363"/>
      <c r="T76" s="2363"/>
      <c r="U76" s="2363"/>
      <c r="V76" s="2363"/>
      <c r="W76" s="2363"/>
      <c r="X76" s="2363"/>
      <c r="Y76" s="2462"/>
      <c r="Z76" s="2363"/>
      <c r="AA76" s="2363"/>
      <c r="AB76" s="2363"/>
      <c r="AC76" s="2363"/>
      <c r="AD76" s="2363"/>
      <c r="AE76" s="2363"/>
      <c r="AF76" s="2363"/>
      <c r="AG76" s="2363"/>
      <c r="AH76" s="2363"/>
      <c r="AI76" s="2363"/>
      <c r="AJ76" s="2363"/>
      <c r="AK76" s="2363"/>
      <c r="AL76" s="2363"/>
      <c r="AM76" s="2363"/>
      <c r="AN76" s="2363"/>
    </row>
    <row r="77" spans="1:40">
      <c r="A77" s="2364" t="s">
        <v>319</v>
      </c>
      <c r="B77" s="1989"/>
      <c r="C77" s="2000"/>
      <c r="D77" s="2096"/>
      <c r="E77" s="1990"/>
      <c r="F77" s="2000"/>
      <c r="G77" s="2082"/>
      <c r="H77" s="1989"/>
      <c r="I77" s="2000"/>
      <c r="J77" s="2096"/>
      <c r="K77" s="1989"/>
      <c r="L77" s="2000"/>
      <c r="M77" s="2096"/>
      <c r="N77" s="1990"/>
      <c r="O77" s="2000"/>
      <c r="P77" s="2000"/>
      <c r="Q77" s="2000"/>
      <c r="R77" s="2000"/>
      <c r="S77" s="2000"/>
      <c r="T77" s="2000"/>
      <c r="U77" s="2000"/>
      <c r="V77" s="2000"/>
      <c r="W77" s="2000"/>
      <c r="X77" s="2000"/>
      <c r="Y77" s="2463"/>
      <c r="Z77" s="1989"/>
      <c r="AA77" s="2000"/>
      <c r="AB77" s="2082"/>
      <c r="AC77" s="1989"/>
      <c r="AD77" s="2000"/>
      <c r="AE77" s="2096"/>
      <c r="AF77" s="1990"/>
      <c r="AG77" s="2000"/>
      <c r="AH77" s="2000"/>
      <c r="AI77" s="1990"/>
      <c r="AJ77" s="2000"/>
      <c r="AK77" s="2000"/>
      <c r="AL77" s="1989"/>
      <c r="AM77" s="2000"/>
      <c r="AN77" s="2096"/>
    </row>
    <row r="78" spans="1:40">
      <c r="A78" s="843" t="s">
        <v>353</v>
      </c>
      <c r="B78" s="676">
        <f>'Stock Valuation (FIFO)'!B12</f>
        <v>126193</v>
      </c>
      <c r="C78" s="2365">
        <f>IF(B78=0,0,D78/B78)</f>
        <v>154</v>
      </c>
      <c r="D78" s="2366">
        <f>'Stock Valuation (FIFO)'!D12</f>
        <v>19433722</v>
      </c>
      <c r="E78" s="79">
        <f>B88</f>
        <v>120176</v>
      </c>
      <c r="F78" s="2365">
        <f>IF(E78=0,0,G78/E78)</f>
        <v>153</v>
      </c>
      <c r="G78" s="216">
        <f>D88</f>
        <v>18386928</v>
      </c>
      <c r="H78" s="658">
        <f>E88</f>
        <v>108415</v>
      </c>
      <c r="I78" s="2365">
        <f>IF(H78=0,0,J78/H78)</f>
        <v>153</v>
      </c>
      <c r="J78" s="2366">
        <f>G88</f>
        <v>16587495</v>
      </c>
      <c r="K78" s="658">
        <f>H88</f>
        <v>119289</v>
      </c>
      <c r="L78" s="2365">
        <f>IF(K78=0,0,M78/K78)</f>
        <v>153</v>
      </c>
      <c r="M78" s="90">
        <f>J88</f>
        <v>18251217</v>
      </c>
      <c r="N78" s="658">
        <f>K88</f>
        <v>122477</v>
      </c>
      <c r="O78" s="2365">
        <f>IF(N78=0,0,P78/N78)</f>
        <v>147</v>
      </c>
      <c r="P78" s="90">
        <f>M88</f>
        <v>18004119</v>
      </c>
      <c r="Q78" s="658">
        <f>N88</f>
        <v>126975</v>
      </c>
      <c r="R78" s="2365">
        <f>IF(Q78=0,0,S78/Q78)</f>
        <v>149</v>
      </c>
      <c r="S78" s="90">
        <f>P88</f>
        <v>18919275</v>
      </c>
      <c r="T78" s="658">
        <f>Q88</f>
        <v>135354</v>
      </c>
      <c r="U78" s="2365">
        <f>IF(T78=0,0,V78/T78)</f>
        <v>150</v>
      </c>
      <c r="V78" s="90">
        <f>S88</f>
        <v>20303100</v>
      </c>
      <c r="W78" s="658">
        <f>T88</f>
        <v>140989</v>
      </c>
      <c r="X78" s="2365">
        <f>IF(W78=0,0,Y78/W78)</f>
        <v>148.999992907248</v>
      </c>
      <c r="Y78" s="216">
        <f>V88</f>
        <v>21007360</v>
      </c>
      <c r="Z78" s="658">
        <f>W88</f>
        <v>142322</v>
      </c>
      <c r="AA78" s="2365">
        <f>IF(Z78=0,0,AB78/Z78)</f>
        <v>147</v>
      </c>
      <c r="AB78" s="216">
        <f>Y88</f>
        <v>20921334</v>
      </c>
      <c r="AC78" s="658">
        <f>Z88</f>
        <v>146593</v>
      </c>
      <c r="AD78" s="2365">
        <f>IF(AC78=0,0,AE78/AC78)</f>
        <v>146</v>
      </c>
      <c r="AE78" s="90">
        <f>AB88</f>
        <v>21402578</v>
      </c>
      <c r="AF78" s="658">
        <f>AC88</f>
        <v>139516</v>
      </c>
      <c r="AG78" s="2365">
        <f>IF(AF78=0,0,AH78/AF78)</f>
        <v>147</v>
      </c>
      <c r="AH78" s="90">
        <f>AE88</f>
        <v>20508852</v>
      </c>
      <c r="AI78" s="658">
        <f>AF88</f>
        <v>138366</v>
      </c>
      <c r="AJ78" s="2365">
        <f>IF(AI78=0,0,AK78/AI78)</f>
        <v>151</v>
      </c>
      <c r="AK78" s="90">
        <f>AH88</f>
        <v>20893266</v>
      </c>
      <c r="AL78" s="2496">
        <f>B78</f>
        <v>126193</v>
      </c>
      <c r="AM78" s="2497">
        <f>IF(AL78=0,0,AN78/AL78)</f>
        <v>154</v>
      </c>
      <c r="AN78" s="2498">
        <f>D78</f>
        <v>19433722</v>
      </c>
    </row>
    <row r="79" ht="14.25" spans="1:40">
      <c r="A79" s="729" t="s">
        <v>354</v>
      </c>
      <c r="B79" s="2367">
        <f>'Stock Valuation (FIFO)'!B14</f>
        <v>206027</v>
      </c>
      <c r="C79" s="2368">
        <f t="shared" ref="C79:C80" si="199">IF(B79=0,0,D79/B79)</f>
        <v>220</v>
      </c>
      <c r="D79" s="2369">
        <f>'Stock Valuation (FIFO)'!D14</f>
        <v>45325940</v>
      </c>
      <c r="E79" s="2410">
        <f>B89</f>
        <v>224045</v>
      </c>
      <c r="F79" s="2368">
        <f t="shared" ref="F79:F80" si="200">IF(E79=0,0,G79/E79)</f>
        <v>219.062607958223</v>
      </c>
      <c r="G79" s="217">
        <f>D89</f>
        <v>49079882</v>
      </c>
      <c r="H79" s="694">
        <f>E89</f>
        <v>168371</v>
      </c>
      <c r="I79" s="2368">
        <f t="shared" ref="I79:I80" si="201">IF(H79=0,0,J79/H79)</f>
        <v>219.043130942977</v>
      </c>
      <c r="J79" s="2369">
        <f>G89</f>
        <v>36880511</v>
      </c>
      <c r="K79" s="694">
        <f>H89</f>
        <v>140447</v>
      </c>
      <c r="L79" s="2368">
        <f t="shared" ref="L79:L80" si="202">IF(K79=0,0,M79/K79)</f>
        <v>219</v>
      </c>
      <c r="M79" s="732">
        <f>J89</f>
        <v>30757893</v>
      </c>
      <c r="N79" s="694">
        <f>K89</f>
        <v>130199</v>
      </c>
      <c r="O79" s="2368">
        <f t="shared" ref="O79:O80" si="203">IF(N79=0,0,P79/N79)</f>
        <v>218</v>
      </c>
      <c r="P79" s="732">
        <f>M89</f>
        <v>28383382</v>
      </c>
      <c r="Q79" s="694">
        <f>N89</f>
        <v>202593</v>
      </c>
      <c r="R79" s="2368">
        <f t="shared" ref="R79:R80" si="204">IF(Q79=0,0,S79/Q79)</f>
        <v>220</v>
      </c>
      <c r="S79" s="732">
        <f>P89</f>
        <v>44570460</v>
      </c>
      <c r="T79" s="694">
        <f>Q89</f>
        <v>228722</v>
      </c>
      <c r="U79" s="2368">
        <f t="shared" ref="U79:U80" si="205">IF(T79=0,0,V79/T79)</f>
        <v>221</v>
      </c>
      <c r="V79" s="732">
        <f>S89</f>
        <v>50547562</v>
      </c>
      <c r="W79" s="694">
        <f>T89</f>
        <v>237947</v>
      </c>
      <c r="X79" s="2368">
        <f t="shared" ref="X79" si="206">IF(W79=0,0,Y79/W79)</f>
        <v>219</v>
      </c>
      <c r="Y79" s="217">
        <f>V89</f>
        <v>52110393</v>
      </c>
      <c r="Z79" s="694">
        <f>W89</f>
        <v>218951</v>
      </c>
      <c r="AA79" s="2368">
        <f t="shared" ref="AA79" si="207">IF(Z79=0,0,AB79/Z79)</f>
        <v>217</v>
      </c>
      <c r="AB79" s="217">
        <f>Y89</f>
        <v>47512367</v>
      </c>
      <c r="AC79" s="694">
        <f>Z89</f>
        <v>255947</v>
      </c>
      <c r="AD79" s="2368">
        <f t="shared" ref="AD79:AD80" si="208">IF(AC79=0,0,AE79/AC79)</f>
        <v>216</v>
      </c>
      <c r="AE79" s="732">
        <f>AB89</f>
        <v>55284552</v>
      </c>
      <c r="AF79" s="694">
        <f>AC89</f>
        <v>261816</v>
      </c>
      <c r="AG79" s="2368">
        <f t="shared" ref="AG79:AG80" si="209">IF(AF79=0,0,AH79/AF79)</f>
        <v>217</v>
      </c>
      <c r="AH79" s="732">
        <f>AE89</f>
        <v>56814072</v>
      </c>
      <c r="AI79" s="694">
        <f>AF89</f>
        <v>239651</v>
      </c>
      <c r="AJ79" s="2368">
        <f t="shared" ref="AJ79:AJ80" si="210">IF(AI79=0,0,AK79/AI79)</f>
        <v>222</v>
      </c>
      <c r="AK79" s="732">
        <f>AH89</f>
        <v>53202522</v>
      </c>
      <c r="AL79" s="2499">
        <f>B79</f>
        <v>206027</v>
      </c>
      <c r="AM79" s="2500">
        <f t="shared" ref="AM79:AM80" si="211">IF(AL79=0,0,AN79/AL79)</f>
        <v>220</v>
      </c>
      <c r="AN79" s="2501">
        <f>D79</f>
        <v>45325940</v>
      </c>
    </row>
    <row r="80" ht="14.25" spans="1:40">
      <c r="A80" s="844"/>
      <c r="B80" s="2370">
        <f>SUM(B78:B79)</f>
        <v>332220</v>
      </c>
      <c r="C80" s="2371">
        <f t="shared" si="199"/>
        <v>194.930052374932</v>
      </c>
      <c r="D80" s="2372">
        <f>SUM(D78:D79)</f>
        <v>64759662</v>
      </c>
      <c r="E80" s="2411">
        <f t="shared" ref="E80" si="212">SUM(E78:E79)</f>
        <v>344221</v>
      </c>
      <c r="F80" s="2371">
        <f t="shared" si="200"/>
        <v>195.998530014148</v>
      </c>
      <c r="G80" s="2412">
        <f t="shared" ref="G80:H80" si="213">SUM(G78:G79)</f>
        <v>67466810</v>
      </c>
      <c r="H80" s="2370">
        <f t="shared" si="213"/>
        <v>276786</v>
      </c>
      <c r="I80" s="2371">
        <f t="shared" si="201"/>
        <v>193.17453194887</v>
      </c>
      <c r="J80" s="2372">
        <f t="shared" ref="J80:K80" si="214">SUM(J78:J79)</f>
        <v>53468006</v>
      </c>
      <c r="K80" s="2370">
        <f t="shared" si="214"/>
        <v>259736</v>
      </c>
      <c r="L80" s="2371">
        <f t="shared" si="202"/>
        <v>188.688167985955</v>
      </c>
      <c r="M80" s="2372">
        <f t="shared" ref="M80:N80" si="215">SUM(M78:M79)</f>
        <v>49009110</v>
      </c>
      <c r="N80" s="2370">
        <f t="shared" si="215"/>
        <v>252676</v>
      </c>
      <c r="O80" s="2371">
        <f t="shared" si="203"/>
        <v>183.584911111463</v>
      </c>
      <c r="P80" s="2372">
        <f t="shared" ref="P80:Q80" si="216">SUM(P78:P79)</f>
        <v>46387501</v>
      </c>
      <c r="Q80" s="2370">
        <f t="shared" si="216"/>
        <v>329568</v>
      </c>
      <c r="R80" s="2371">
        <f t="shared" si="204"/>
        <v>192.64532660938</v>
      </c>
      <c r="S80" s="2372">
        <f t="shared" ref="S80:T80" si="217">SUM(S78:S79)</f>
        <v>63489735</v>
      </c>
      <c r="T80" s="2370">
        <f t="shared" si="217"/>
        <v>364076</v>
      </c>
      <c r="U80" s="2371">
        <f t="shared" si="205"/>
        <v>194.604044210549</v>
      </c>
      <c r="V80" s="2372">
        <f t="shared" ref="V80" si="218">SUM(V78:V79)</f>
        <v>70850662</v>
      </c>
      <c r="W80" s="2453">
        <f t="shared" ref="W80" si="219">SUM(W78:W79)</f>
        <v>378936</v>
      </c>
      <c r="X80" s="2371">
        <f t="shared" ref="X80:AA80" si="220">IF(W80=0,0,Y80/W80)</f>
        <v>192.955414634661</v>
      </c>
      <c r="Y80" s="2464">
        <f t="shared" ref="Y80:Z80" si="221">SUM(Y78:Y79)</f>
        <v>73117753</v>
      </c>
      <c r="Z80" s="2370">
        <f t="shared" si="221"/>
        <v>361273</v>
      </c>
      <c r="AA80" s="2371">
        <f t="shared" si="220"/>
        <v>189.423790319232</v>
      </c>
      <c r="AB80" s="2412">
        <f t="shared" ref="AB80:AC80" si="222">SUM(AB78:AB79)</f>
        <v>68433701</v>
      </c>
      <c r="AC80" s="2370">
        <f t="shared" si="222"/>
        <v>402540</v>
      </c>
      <c r="AD80" s="2371">
        <f t="shared" si="208"/>
        <v>190.508098574055</v>
      </c>
      <c r="AE80" s="2372">
        <f t="shared" ref="AE80:AF80" si="223">SUM(AE78:AE79)</f>
        <v>76687130</v>
      </c>
      <c r="AF80" s="2370">
        <f t="shared" si="223"/>
        <v>401332</v>
      </c>
      <c r="AG80" s="2371">
        <f t="shared" si="209"/>
        <v>192.665733108748</v>
      </c>
      <c r="AH80" s="2372">
        <f t="shared" ref="AH80:AI80" si="224">SUM(AH78:AH79)</f>
        <v>77322924</v>
      </c>
      <c r="AI80" s="2370">
        <f t="shared" si="224"/>
        <v>378017</v>
      </c>
      <c r="AJ80" s="2371">
        <f t="shared" si="210"/>
        <v>196.011787829648</v>
      </c>
      <c r="AK80" s="2372">
        <f t="shared" ref="AK80" si="225">SUM(AK78:AK79)</f>
        <v>74095788</v>
      </c>
      <c r="AL80" s="2502">
        <f t="shared" ref="AL80" si="226">SUM(AL78:AL79)</f>
        <v>332220</v>
      </c>
      <c r="AM80" s="2503">
        <f t="shared" si="211"/>
        <v>194.930052374932</v>
      </c>
      <c r="AN80" s="2504">
        <f t="shared" ref="AN80" si="227">SUM(AN78:AN79)</f>
        <v>64759662</v>
      </c>
    </row>
    <row r="81" ht="14.25" spans="1:40">
      <c r="A81" s="2373"/>
      <c r="B81" s="2374"/>
      <c r="C81" s="2375"/>
      <c r="D81" s="2376"/>
      <c r="E81" s="2413"/>
      <c r="F81" s="2375"/>
      <c r="G81" s="2414"/>
      <c r="H81" s="2374"/>
      <c r="I81" s="2375"/>
      <c r="J81" s="2376"/>
      <c r="K81" s="2374"/>
      <c r="L81" s="2375"/>
      <c r="M81" s="2376"/>
      <c r="N81" s="2374"/>
      <c r="O81" s="2375"/>
      <c r="P81" s="2376"/>
      <c r="Q81" s="2374"/>
      <c r="R81" s="2375"/>
      <c r="S81" s="2376"/>
      <c r="T81" s="2413"/>
      <c r="U81" s="2375"/>
      <c r="V81" s="2414"/>
      <c r="W81" s="2454"/>
      <c r="X81" s="2375"/>
      <c r="Y81" s="2465"/>
      <c r="Z81" s="2420"/>
      <c r="AA81" s="2384"/>
      <c r="AB81" s="2421"/>
      <c r="AC81" s="2374"/>
      <c r="AD81" s="2375"/>
      <c r="AE81" s="2376"/>
      <c r="AF81" s="2374"/>
      <c r="AG81" s="2375"/>
      <c r="AH81" s="2376"/>
      <c r="AI81" s="2374"/>
      <c r="AJ81" s="2375"/>
      <c r="AK81" s="2376"/>
      <c r="AL81" s="2505"/>
      <c r="AM81" s="2506"/>
      <c r="AN81" s="2507"/>
    </row>
    <row r="82" spans="1:40">
      <c r="A82" s="2364" t="s">
        <v>355</v>
      </c>
      <c r="B82" s="1989"/>
      <c r="C82" s="2000"/>
      <c r="D82" s="2096"/>
      <c r="E82" s="1990"/>
      <c r="F82" s="2000"/>
      <c r="G82" s="2082"/>
      <c r="H82" s="1989"/>
      <c r="I82" s="2000"/>
      <c r="J82" s="2096"/>
      <c r="K82" s="1989"/>
      <c r="L82" s="2000"/>
      <c r="M82" s="2096"/>
      <c r="N82" s="1990"/>
      <c r="O82" s="2000"/>
      <c r="P82" s="2000"/>
      <c r="Q82" s="2000"/>
      <c r="R82" s="2000"/>
      <c r="S82" s="2000"/>
      <c r="T82" s="2000"/>
      <c r="U82" s="2000"/>
      <c r="V82" s="2000"/>
      <c r="W82" s="2000"/>
      <c r="X82" s="2000"/>
      <c r="Y82" s="2463"/>
      <c r="Z82" s="1989"/>
      <c r="AA82" s="2000"/>
      <c r="AB82" s="2082"/>
      <c r="AC82" s="1989"/>
      <c r="AD82" s="2000"/>
      <c r="AE82" s="2096"/>
      <c r="AF82" s="1990"/>
      <c r="AG82" s="2000"/>
      <c r="AH82" s="2000"/>
      <c r="AI82" s="1990"/>
      <c r="AJ82" s="2000"/>
      <c r="AK82" s="2000"/>
      <c r="AL82" s="1989"/>
      <c r="AM82" s="2000"/>
      <c r="AN82" s="2096"/>
    </row>
    <row r="83" spans="1:40">
      <c r="A83" s="843" t="s">
        <v>353</v>
      </c>
      <c r="B83" s="676">
        <f>B40</f>
        <v>18891</v>
      </c>
      <c r="C83" s="2365">
        <f>IF(B83=0,0,D83/B83)</f>
        <v>123.787200254089</v>
      </c>
      <c r="D83" s="2366">
        <f>D40</f>
        <v>2338464</v>
      </c>
      <c r="E83" s="676">
        <f>E40</f>
        <v>11834</v>
      </c>
      <c r="F83" s="2365">
        <f>IF(E83=0,0,G83/E83)</f>
        <v>126.268632753084</v>
      </c>
      <c r="G83" s="2366">
        <f>G40</f>
        <v>1494263</v>
      </c>
      <c r="H83" s="676">
        <f>H40</f>
        <v>18632</v>
      </c>
      <c r="I83" s="2365">
        <f>IF(H83=0,0,J83/H83)</f>
        <v>123.050397166166</v>
      </c>
      <c r="J83" s="2366">
        <f>J40</f>
        <v>2292675</v>
      </c>
      <c r="K83" s="676">
        <f>K40</f>
        <v>9076</v>
      </c>
      <c r="L83" s="2365">
        <f>IF(K83=0,0,M83/K83)</f>
        <v>121.059497576025</v>
      </c>
      <c r="M83" s="2366">
        <f>M40</f>
        <v>1098736</v>
      </c>
      <c r="N83" s="676">
        <f>N40</f>
        <v>24210</v>
      </c>
      <c r="O83" s="2365">
        <f>IF(N83=0,0,P83/N83)</f>
        <v>121.842213961173</v>
      </c>
      <c r="P83" s="2366">
        <f>P40</f>
        <v>2949800</v>
      </c>
      <c r="Q83" s="676">
        <f>Q40</f>
        <v>34618</v>
      </c>
      <c r="R83" s="2365">
        <f>IF(Q83=0,0,S83/Q83)</f>
        <v>122.34484950026</v>
      </c>
      <c r="S83" s="2366">
        <f>S40</f>
        <v>4235334</v>
      </c>
      <c r="T83" s="676">
        <f>T40</f>
        <v>7140</v>
      </c>
      <c r="U83" s="2365">
        <f>IF(T83=0,0,V83/T83)</f>
        <v>109.979831932773</v>
      </c>
      <c r="V83" s="2366">
        <f>V40</f>
        <v>785256</v>
      </c>
      <c r="W83" s="658">
        <f>W40</f>
        <v>15516.05</v>
      </c>
      <c r="X83" s="2365">
        <f>IF(W83=0,0,Y83/W83)</f>
        <v>119.05076356418</v>
      </c>
      <c r="Y83" s="216">
        <f>Y40</f>
        <v>1847197.6</v>
      </c>
      <c r="Z83" s="658">
        <f>Z40</f>
        <v>8732.9</v>
      </c>
      <c r="AA83" s="2365">
        <f>IF(Z83=0,0,AB83/Z83)</f>
        <v>109.953383183135</v>
      </c>
      <c r="AB83" s="216">
        <f>AB40</f>
        <v>960211.9</v>
      </c>
      <c r="AC83" s="658">
        <f>AC40</f>
        <v>4710</v>
      </c>
      <c r="AD83" s="2365">
        <f>IF(AC83=0,0,AE83/AC83)</f>
        <v>121.039447983015</v>
      </c>
      <c r="AE83" s="216">
        <f>AE40</f>
        <v>570095.8</v>
      </c>
      <c r="AF83" s="658">
        <f>AF40</f>
        <v>5000</v>
      </c>
      <c r="AG83" s="2365">
        <f>IF(AF83=0,0,AH83/AF83)</f>
        <v>112</v>
      </c>
      <c r="AH83" s="216">
        <f>AH40</f>
        <v>560000</v>
      </c>
      <c r="AI83" s="658">
        <f>AI40</f>
        <v>2984</v>
      </c>
      <c r="AJ83" s="2365">
        <f>IF(AI83=0,0,AK83/AI83)</f>
        <v>124.968498659517</v>
      </c>
      <c r="AK83" s="216">
        <f>AK40</f>
        <v>372906</v>
      </c>
      <c r="AL83" s="2508">
        <f t="shared" ref="AL83:AL84" si="228">SUM(B83,E83,H83,K83,N83,Q83,T83,W83,Z83,AC83,AF83,AI83)</f>
        <v>161343.95</v>
      </c>
      <c r="AM83" s="2509">
        <f>IF(AL83=0,0,AN83/AL83)</f>
        <v>120.890428801328</v>
      </c>
      <c r="AN83" s="2510">
        <f>SUM(D83,G83,J83,M83,P83,S83,V83,Y83,AB83,AE83,AH83,AK83)</f>
        <v>19504939.3</v>
      </c>
    </row>
    <row r="84" spans="1:40">
      <c r="A84" s="843" t="s">
        <v>354</v>
      </c>
      <c r="B84" s="676">
        <f>B42</f>
        <v>6741</v>
      </c>
      <c r="C84" s="2365">
        <f t="shared" ref="C84:C86" si="229">IF(B84=0,0,D84/B84)</f>
        <v>208.375611927014</v>
      </c>
      <c r="D84" s="2366">
        <f>D42</f>
        <v>1404660</v>
      </c>
      <c r="E84" s="676">
        <f>E42</f>
        <v>3898</v>
      </c>
      <c r="F84" s="2365">
        <f t="shared" ref="F84" si="230">IF(E84=0,0,G84/E84)</f>
        <v>221.53412006157</v>
      </c>
      <c r="G84" s="2366">
        <f>G42</f>
        <v>863540</v>
      </c>
      <c r="H84" s="676">
        <f>H42</f>
        <v>7345</v>
      </c>
      <c r="I84" s="2365">
        <f t="shared" ref="I84" si="231">IF(H84=0,0,J84/H84)</f>
        <v>239.765554799183</v>
      </c>
      <c r="J84" s="2366">
        <f>J42</f>
        <v>1761078</v>
      </c>
      <c r="K84" s="676">
        <f>K42</f>
        <v>4224</v>
      </c>
      <c r="L84" s="2365">
        <f t="shared" ref="L84" si="232">IF(K84=0,0,M84/K84)</f>
        <v>238.651041666667</v>
      </c>
      <c r="M84" s="2366">
        <f>M42</f>
        <v>1008062</v>
      </c>
      <c r="N84" s="676">
        <f>N42</f>
        <v>9190</v>
      </c>
      <c r="O84" s="2365">
        <f t="shared" ref="O84" si="233">IF(N84=0,0,P84/N84)</f>
        <v>230.042763873776</v>
      </c>
      <c r="P84" s="2366">
        <f>P42</f>
        <v>2114093</v>
      </c>
      <c r="Q84" s="676">
        <f>Q42</f>
        <v>8506</v>
      </c>
      <c r="R84" s="2365">
        <f t="shared" ref="R84" si="234">IF(Q84=0,0,S84/Q84)</f>
        <v>221.418175405596</v>
      </c>
      <c r="S84" s="2366">
        <f>S42</f>
        <v>1883383</v>
      </c>
      <c r="T84" s="676">
        <f>T42</f>
        <v>10656</v>
      </c>
      <c r="U84" s="2365">
        <f t="shared" ref="U84" si="235">IF(T84=0,0,V84/T84)</f>
        <v>218.559121621622</v>
      </c>
      <c r="V84" s="2366">
        <f>V42</f>
        <v>2328966</v>
      </c>
      <c r="W84" s="658">
        <f>W42</f>
        <v>7327</v>
      </c>
      <c r="X84" s="2365">
        <f t="shared" ref="X84:X86" si="236">IF(W84=0,0,Y84/W84)</f>
        <v>216.959328510987</v>
      </c>
      <c r="Y84" s="216">
        <f>Y42</f>
        <v>1589661</v>
      </c>
      <c r="Z84" s="658">
        <f>Z42</f>
        <v>9681</v>
      </c>
      <c r="AA84" s="2365">
        <f t="shared" ref="AA84:AA86" si="237">IF(Z84=0,0,AB84/Z84)</f>
        <v>219.799504183452</v>
      </c>
      <c r="AB84" s="216">
        <f>AB42</f>
        <v>2127879</v>
      </c>
      <c r="AC84" s="658">
        <f>AC42</f>
        <v>10817</v>
      </c>
      <c r="AD84" s="2365">
        <f t="shared" ref="AD84" si="238">IF(AC84=0,0,AE84/AC84)</f>
        <v>219.645927706388</v>
      </c>
      <c r="AE84" s="216">
        <f>AE42</f>
        <v>2375910</v>
      </c>
      <c r="AF84" s="658">
        <f>AF42</f>
        <v>5577</v>
      </c>
      <c r="AG84" s="2365">
        <f t="shared" ref="AG84" si="239">IF(AF84=0,0,AH84/AF84)</f>
        <v>224.154563385333</v>
      </c>
      <c r="AH84" s="216">
        <f>AH42</f>
        <v>1250110</v>
      </c>
      <c r="AI84" s="658">
        <f>AI42</f>
        <v>12344</v>
      </c>
      <c r="AJ84" s="2365">
        <f t="shared" ref="AJ84" si="240">IF(AI84=0,0,AK84/AI84)</f>
        <v>227.430735580039</v>
      </c>
      <c r="AK84" s="216">
        <f>AK42</f>
        <v>2807405</v>
      </c>
      <c r="AL84" s="2511">
        <f t="shared" si="228"/>
        <v>96306</v>
      </c>
      <c r="AM84" s="2509">
        <f t="shared" ref="AM84" si="241">IF(AL84=0,0,AN84/AL84)</f>
        <v>223.399860860175</v>
      </c>
      <c r="AN84" s="2512">
        <f>SUM(D84,G84,J84,M84,P84,S84,V84,Y84,AB84,AE84,AH84,AK84)</f>
        <v>21514747</v>
      </c>
    </row>
    <row r="85" ht="14.25" spans="1:40">
      <c r="A85" s="846" t="s">
        <v>164</v>
      </c>
      <c r="B85" s="679"/>
      <c r="C85" s="2377"/>
      <c r="D85" s="2378">
        <f>D43</f>
        <v>214283</v>
      </c>
      <c r="E85" s="679"/>
      <c r="F85" s="2377"/>
      <c r="G85" s="2378">
        <f>G43</f>
        <v>308739</v>
      </c>
      <c r="H85" s="679"/>
      <c r="I85" s="2377"/>
      <c r="J85" s="2378">
        <f>J43</f>
        <v>431082</v>
      </c>
      <c r="K85" s="679"/>
      <c r="L85" s="2377"/>
      <c r="M85" s="2378">
        <f>M43</f>
        <v>611378</v>
      </c>
      <c r="N85" s="679"/>
      <c r="O85" s="2377"/>
      <c r="P85" s="2378">
        <f>P43</f>
        <v>258089</v>
      </c>
      <c r="Q85" s="679"/>
      <c r="R85" s="2377"/>
      <c r="S85" s="2378">
        <f>S43</f>
        <v>352826</v>
      </c>
      <c r="T85" s="679"/>
      <c r="U85" s="2377"/>
      <c r="V85" s="2378">
        <f>V43</f>
        <v>653532</v>
      </c>
      <c r="W85" s="2455"/>
      <c r="X85" s="2377"/>
      <c r="Y85" s="2466">
        <f>Y43</f>
        <v>250063</v>
      </c>
      <c r="Z85" s="2467"/>
      <c r="AA85" s="2377"/>
      <c r="AB85" s="2466">
        <f>AB43</f>
        <v>245756</v>
      </c>
      <c r="AC85" s="2467"/>
      <c r="AD85" s="2377"/>
      <c r="AE85" s="2466">
        <f>AE43</f>
        <v>402781</v>
      </c>
      <c r="AF85" s="2467"/>
      <c r="AG85" s="2377"/>
      <c r="AH85" s="2466">
        <f>AH43</f>
        <v>346634</v>
      </c>
      <c r="AI85" s="2467"/>
      <c r="AJ85" s="2377"/>
      <c r="AK85" s="2466">
        <f>AK43</f>
        <v>229895</v>
      </c>
      <c r="AL85" s="2513"/>
      <c r="AM85" s="2514"/>
      <c r="AN85" s="2512">
        <f>SUM(D85,G85,J85,M85,P85,S85,V85,Y85,AB85,AE85,AH85,AK85)</f>
        <v>4305058</v>
      </c>
    </row>
    <row r="86" ht="14.25" spans="1:42">
      <c r="A86" s="844"/>
      <c r="B86" s="2370">
        <f>SUM(B83:B85)</f>
        <v>25632</v>
      </c>
      <c r="C86" s="2371">
        <f t="shared" si="229"/>
        <v>154.393219413233</v>
      </c>
      <c r="D86" s="2372">
        <f>SUM(D83:D85)</f>
        <v>3957407</v>
      </c>
      <c r="E86" s="2370">
        <f>SUM(E83:E85)</f>
        <v>15732</v>
      </c>
      <c r="F86" s="2371">
        <f t="shared" ref="F86" si="242">IF(E86=0,0,G86/E86)</f>
        <v>169.497965929316</v>
      </c>
      <c r="G86" s="2372">
        <f>SUM(G83:G85)</f>
        <v>2666542</v>
      </c>
      <c r="H86" s="2370">
        <f>SUM(H83:H85)</f>
        <v>25977</v>
      </c>
      <c r="I86" s="2371">
        <f t="shared" ref="I86" si="243">IF(H86=0,0,J86/H86)</f>
        <v>172.646379489548</v>
      </c>
      <c r="J86" s="2372">
        <f>SUM(J83:J85)</f>
        <v>4484835</v>
      </c>
      <c r="K86" s="2370">
        <f>SUM(K83:K85)</f>
        <v>13300</v>
      </c>
      <c r="L86" s="2371">
        <f t="shared" ref="L86" si="244">IF(K86=0,0,M86/K86)</f>
        <v>204.374135338346</v>
      </c>
      <c r="M86" s="2372">
        <f>SUM(M83:M85)</f>
        <v>2718176</v>
      </c>
      <c r="N86" s="2370">
        <f t="shared" ref="N86" si="245">SUM(N83:N84)</f>
        <v>33400</v>
      </c>
      <c r="O86" s="2371">
        <f t="shared" ref="O86" si="246">IF(N86=0,0,P86/N86)</f>
        <v>159.340778443114</v>
      </c>
      <c r="P86" s="2372">
        <f>SUM(P83:P85)</f>
        <v>5321982</v>
      </c>
      <c r="Q86" s="2370">
        <f t="shared" ref="Q86" si="247">SUM(Q83:Q84)</f>
        <v>43124</v>
      </c>
      <c r="R86" s="2371">
        <f t="shared" ref="R86" si="248">IF(Q86=0,0,S86/Q86)</f>
        <v>150.068245060755</v>
      </c>
      <c r="S86" s="2372">
        <f>SUM(S83:S85)</f>
        <v>6471543</v>
      </c>
      <c r="T86" s="2370">
        <f t="shared" ref="T86" si="249">SUM(T83:T84)</f>
        <v>17796</v>
      </c>
      <c r="U86" s="2371">
        <f t="shared" ref="U86" si="250">IF(T86=0,0,V86/T86)</f>
        <v>211.71915037087</v>
      </c>
      <c r="V86" s="2372">
        <f>SUM(V83:V85)</f>
        <v>3767754</v>
      </c>
      <c r="W86" s="2453">
        <f t="shared" ref="W86" si="251">SUM(W83:W84)</f>
        <v>22843.05</v>
      </c>
      <c r="X86" s="2371">
        <f t="shared" si="236"/>
        <v>161.402334626943</v>
      </c>
      <c r="Y86" s="2464">
        <f>SUM(Y83:Y85)</f>
        <v>3686921.6</v>
      </c>
      <c r="Z86" s="2370">
        <f>SUM(Z83:Z85)</f>
        <v>18413.9</v>
      </c>
      <c r="AA86" s="2371">
        <f t="shared" si="237"/>
        <v>181.050559631583</v>
      </c>
      <c r="AB86" s="2412">
        <f>SUM(AB83:AB85)</f>
        <v>3333846.9</v>
      </c>
      <c r="AC86" s="2370">
        <f>SUM(AC83:AC85)</f>
        <v>15527</v>
      </c>
      <c r="AD86" s="2371">
        <f t="shared" ref="AD86" si="252">IF(AC86=0,0,AE86/AC86)</f>
        <v>215.675069234237</v>
      </c>
      <c r="AE86" s="2412">
        <f>SUM(AE83:AE85)</f>
        <v>3348786.8</v>
      </c>
      <c r="AF86" s="2370">
        <f>SUM(AF83:AF85)</f>
        <v>10577</v>
      </c>
      <c r="AG86" s="2371">
        <f t="shared" ref="AG86" si="253">IF(AF86=0,0,AH86/AF86)</f>
        <v>203.908858844663</v>
      </c>
      <c r="AH86" s="2412">
        <f>SUM(AH83:AH85)</f>
        <v>2156744</v>
      </c>
      <c r="AI86" s="2370">
        <f>SUM(AI83:AI85)</f>
        <v>15328</v>
      </c>
      <c r="AJ86" s="2371">
        <f t="shared" ref="AJ86" si="254">IF(AI86=0,0,AK86/AI86)</f>
        <v>222.482124217119</v>
      </c>
      <c r="AK86" s="2412">
        <f>SUM(AK83:AK85)</f>
        <v>3410206</v>
      </c>
      <c r="AL86" s="2502">
        <f>SUM(AL83:AL85)</f>
        <v>257649.95</v>
      </c>
      <c r="AM86" s="2503">
        <f t="shared" ref="AM86" si="255">IF(AL86=0,0,AN86/AL86)</f>
        <v>175.915983294388</v>
      </c>
      <c r="AN86" s="2504">
        <f>SUM(AN83:AN85)</f>
        <v>45324744.3</v>
      </c>
      <c r="AO86" s="1431">
        <f>Purchase!P34</f>
        <v>89827572</v>
      </c>
      <c r="AP86" s="97">
        <f>AN86-AO86</f>
        <v>-44502827.7</v>
      </c>
    </row>
    <row r="87" spans="1:40">
      <c r="A87" s="2379" t="s">
        <v>324</v>
      </c>
      <c r="B87" s="2380"/>
      <c r="C87" s="2381"/>
      <c r="D87" s="2382"/>
      <c r="E87" s="2415"/>
      <c r="F87" s="2416"/>
      <c r="G87" s="2417"/>
      <c r="H87" s="148"/>
      <c r="I87" s="2416"/>
      <c r="J87" s="583"/>
      <c r="K87" s="148"/>
      <c r="L87" s="2416"/>
      <c r="M87" s="583"/>
      <c r="N87" s="148"/>
      <c r="O87" s="2416"/>
      <c r="P87" s="583"/>
      <c r="Q87" s="148"/>
      <c r="R87" s="2416"/>
      <c r="S87" s="583"/>
      <c r="T87" s="575"/>
      <c r="U87" s="2416"/>
      <c r="V87" s="575"/>
      <c r="W87" s="575"/>
      <c r="X87" s="575"/>
      <c r="Y87" s="2468"/>
      <c r="Z87" s="2000"/>
      <c r="AA87" s="2000"/>
      <c r="AB87" s="2082"/>
      <c r="AC87" s="148"/>
      <c r="AD87" s="575"/>
      <c r="AE87" s="583"/>
      <c r="AF87" s="148"/>
      <c r="AG87" s="575"/>
      <c r="AH87" s="583"/>
      <c r="AI87" s="148"/>
      <c r="AJ87" s="575"/>
      <c r="AK87" s="583"/>
      <c r="AL87" s="2515"/>
      <c r="AM87" s="2516"/>
      <c r="AN87" s="2517"/>
    </row>
    <row r="88" spans="1:40">
      <c r="A88" s="843" t="s">
        <v>353</v>
      </c>
      <c r="B88" s="676">
        <f>'Stock Valuation (FIFO)'!E12</f>
        <v>120176</v>
      </c>
      <c r="C88" s="2365">
        <f t="shared" ref="C88:C90" si="256">IF(B88=0,0,D88/B88)</f>
        <v>153</v>
      </c>
      <c r="D88" s="2366">
        <f>'Stock Valuation (FIFO)'!G12</f>
        <v>18386928</v>
      </c>
      <c r="E88" s="2418">
        <f>'Stock Valuation (FIFO)'!H12</f>
        <v>108415</v>
      </c>
      <c r="F88" s="2365">
        <f t="shared" ref="F88:F89" si="257">IF(E88=0,0,G88/E88)</f>
        <v>153</v>
      </c>
      <c r="G88" s="2366">
        <f>'Stock Valuation (FIFO)'!J12</f>
        <v>16587495</v>
      </c>
      <c r="H88" s="676">
        <f>'Stock Valuation (FIFO)'!K12</f>
        <v>119289</v>
      </c>
      <c r="I88" s="2365">
        <f t="shared" ref="I88:I89" si="258">IF(H88=0,0,J88/H88)</f>
        <v>153</v>
      </c>
      <c r="J88" s="2366">
        <f>'Stock Valuation (FIFO)'!M12</f>
        <v>18251217</v>
      </c>
      <c r="K88" s="676">
        <f>'Stock Valuation (FIFO)'!N12</f>
        <v>122477</v>
      </c>
      <c r="L88" s="2365">
        <f t="shared" ref="L88:L89" si="259">IF(K88=0,0,M88/K88)</f>
        <v>147</v>
      </c>
      <c r="M88" s="2366">
        <f>'Stock Valuation (FIFO)'!P12</f>
        <v>18004119</v>
      </c>
      <c r="N88" s="676">
        <f>'Stock Valuation (FIFO)'!Q12</f>
        <v>126975</v>
      </c>
      <c r="O88" s="2365">
        <f t="shared" ref="O88:O89" si="260">IF(N88=0,0,P88/N88)</f>
        <v>149</v>
      </c>
      <c r="P88" s="2366">
        <f>'Stock Valuation (FIFO)'!S12</f>
        <v>18919275</v>
      </c>
      <c r="Q88" s="676">
        <f>'Stock Valuation (FIFO)'!T12</f>
        <v>135354</v>
      </c>
      <c r="R88" s="2365">
        <f t="shared" ref="R88:R89" si="261">IF(Q88=0,0,S88/Q88)</f>
        <v>150</v>
      </c>
      <c r="S88" s="2366">
        <f>'Stock Valuation (FIFO)'!V12</f>
        <v>20303100</v>
      </c>
      <c r="T88" s="676">
        <f>'Stock Valuation (FIFO)'!W12</f>
        <v>140989</v>
      </c>
      <c r="U88" s="2365">
        <f t="shared" ref="U88:U92" si="262">IF(T88=0,0,V88/T88)</f>
        <v>148.999992907248</v>
      </c>
      <c r="V88" s="2366">
        <f>'Stock Valuation (FIFO)'!Y12</f>
        <v>21007360</v>
      </c>
      <c r="W88" s="676">
        <f>'Stock Valuation (FIFO)'!Z12</f>
        <v>142322</v>
      </c>
      <c r="X88" s="2365">
        <f t="shared" ref="X88:X92" si="263">IF(W88=0,0,Y88/W88)</f>
        <v>147</v>
      </c>
      <c r="Y88" s="2366">
        <f>'Stock Valuation (FIFO)'!AB12</f>
        <v>20921334</v>
      </c>
      <c r="Z88" s="664">
        <f>'Stock Valuation (FIFO)'!AC12</f>
        <v>146593</v>
      </c>
      <c r="AA88" s="2469">
        <f t="shared" ref="AA88:AA92" si="264">IF(Z88=0,0,AB88/Z88)</f>
        <v>146</v>
      </c>
      <c r="AB88" s="215">
        <f>'Stock Valuation (FIFO)'!AE12</f>
        <v>21402578</v>
      </c>
      <c r="AC88" s="664">
        <f>'Stock Valuation (FIFO)'!AF12</f>
        <v>139516</v>
      </c>
      <c r="AD88" s="2469">
        <f t="shared" ref="AD88:AD90" si="265">IF(AC88=0,0,AE88/AC88)</f>
        <v>147</v>
      </c>
      <c r="AE88" s="253">
        <f>'Stock Valuation (FIFO)'!AH12</f>
        <v>20508852</v>
      </c>
      <c r="AF88" s="664">
        <f>'Stock Valuation (FIFO)'!AI12</f>
        <v>138366</v>
      </c>
      <c r="AG88" s="2469">
        <f t="shared" ref="AG88:AG92" si="266">IF(AF88=0,0,AH88/AF88)</f>
        <v>151</v>
      </c>
      <c r="AH88" s="253">
        <f>'Stock Valuation (FIFO)'!AK12</f>
        <v>20893266</v>
      </c>
      <c r="AI88" s="664">
        <f>'Stock Valuation (FIFO)'!AL12</f>
        <v>102167</v>
      </c>
      <c r="AJ88" s="2469">
        <f t="shared" ref="AJ88:AJ92" si="267">IF(AI88=0,0,AK88/AI88)</f>
        <v>167.000009787896</v>
      </c>
      <c r="AK88" s="253">
        <f>'Stock Valuation (FIFO)'!AN12</f>
        <v>17061890</v>
      </c>
      <c r="AL88" s="2518">
        <f>AI88</f>
        <v>102167</v>
      </c>
      <c r="AM88" s="2519">
        <f t="shared" ref="AM88:AM89" si="268">IF(AL88=0,0,(AN88/AL88))</f>
        <v>167.000009787896</v>
      </c>
      <c r="AN88" s="2520">
        <f>AK88</f>
        <v>17061890</v>
      </c>
    </row>
    <row r="89" ht="14.25" spans="1:40">
      <c r="A89" s="729" t="s">
        <v>354</v>
      </c>
      <c r="B89" s="2367">
        <f>'Stock Valuation (FIFO)'!E14</f>
        <v>224045</v>
      </c>
      <c r="C89" s="2368">
        <f t="shared" si="256"/>
        <v>219.062607958223</v>
      </c>
      <c r="D89" s="2369">
        <f>'Stock Valuation (FIFO)'!G14</f>
        <v>49079882</v>
      </c>
      <c r="E89" s="2419">
        <f>'Stock Valuation (FIFO)'!H14</f>
        <v>168371</v>
      </c>
      <c r="F89" s="2368">
        <f t="shared" si="257"/>
        <v>219.043130942977</v>
      </c>
      <c r="G89" s="2369">
        <f>'Stock Valuation (FIFO)'!J14</f>
        <v>36880511</v>
      </c>
      <c r="H89" s="2367">
        <f>'Stock Valuation (FIFO)'!K14</f>
        <v>140447</v>
      </c>
      <c r="I89" s="2368">
        <f t="shared" si="258"/>
        <v>219</v>
      </c>
      <c r="J89" s="2369">
        <f>'Stock Valuation (FIFO)'!M14</f>
        <v>30757893</v>
      </c>
      <c r="K89" s="2367">
        <f>'Stock Valuation (FIFO)'!N14</f>
        <v>130199</v>
      </c>
      <c r="L89" s="2368">
        <f t="shared" si="259"/>
        <v>218</v>
      </c>
      <c r="M89" s="2369">
        <f>'Stock Valuation (FIFO)'!P14</f>
        <v>28383382</v>
      </c>
      <c r="N89" s="2367">
        <f>'Stock Valuation (FIFO)'!Q14</f>
        <v>202593</v>
      </c>
      <c r="O89" s="2368">
        <f t="shared" si="260"/>
        <v>220</v>
      </c>
      <c r="P89" s="2369">
        <f>'Stock Valuation (FIFO)'!S14</f>
        <v>44570460</v>
      </c>
      <c r="Q89" s="2367">
        <f>'Stock Valuation (FIFO)'!T14</f>
        <v>228722</v>
      </c>
      <c r="R89" s="2368">
        <f t="shared" si="261"/>
        <v>221</v>
      </c>
      <c r="S89" s="2369">
        <f>'Stock Valuation (FIFO)'!V14</f>
        <v>50547562</v>
      </c>
      <c r="T89" s="2367">
        <f>'Stock Valuation (FIFO)'!W14</f>
        <v>237947</v>
      </c>
      <c r="U89" s="2368">
        <f t="shared" si="262"/>
        <v>219</v>
      </c>
      <c r="V89" s="2369">
        <f>'Stock Valuation (FIFO)'!Y14</f>
        <v>52110393</v>
      </c>
      <c r="W89" s="2367">
        <f>'Stock Valuation (FIFO)'!Z14</f>
        <v>218951</v>
      </c>
      <c r="X89" s="2368">
        <f t="shared" si="263"/>
        <v>217</v>
      </c>
      <c r="Y89" s="2369">
        <f>'Stock Valuation (FIFO)'!AB14</f>
        <v>47512367</v>
      </c>
      <c r="Z89" s="694">
        <f>'Stock Valuation (FIFO)'!AC14</f>
        <v>255947</v>
      </c>
      <c r="AA89" s="2368">
        <f t="shared" si="264"/>
        <v>216</v>
      </c>
      <c r="AB89" s="2470">
        <f>'Stock Valuation (FIFO)'!AE14</f>
        <v>55284552</v>
      </c>
      <c r="AC89" s="694">
        <f>'Stock Valuation (FIFO)'!AF14</f>
        <v>261816</v>
      </c>
      <c r="AD89" s="2368">
        <f t="shared" si="265"/>
        <v>217</v>
      </c>
      <c r="AE89" s="2476">
        <f>'Stock Valuation (FIFO)'!AH14</f>
        <v>56814072</v>
      </c>
      <c r="AF89" s="694">
        <f>'Stock Valuation (FIFO)'!AI14</f>
        <v>239651</v>
      </c>
      <c r="AG89" s="2368">
        <f t="shared" si="266"/>
        <v>222</v>
      </c>
      <c r="AH89" s="2476">
        <f>'Stock Valuation (FIFO)'!AK14</f>
        <v>53202522</v>
      </c>
      <c r="AI89" s="694">
        <f>'Stock Valuation (FIFO)'!AL14</f>
        <v>200810</v>
      </c>
      <c r="AJ89" s="2368">
        <f t="shared" si="267"/>
        <v>238</v>
      </c>
      <c r="AK89" s="2476">
        <f>'Stock Valuation (FIFO)'!AN14</f>
        <v>47792780</v>
      </c>
      <c r="AL89" s="2521">
        <f>AI89</f>
        <v>200810</v>
      </c>
      <c r="AM89" s="2522">
        <f t="shared" si="268"/>
        <v>238</v>
      </c>
      <c r="AN89" s="2523">
        <f>AK89</f>
        <v>47792780</v>
      </c>
    </row>
    <row r="90" ht="14.25" spans="1:40">
      <c r="A90" s="171"/>
      <c r="B90" s="2383">
        <f>SUM(B88:B89)</f>
        <v>344221</v>
      </c>
      <c r="C90" s="2384">
        <f t="shared" si="256"/>
        <v>195.998530014148</v>
      </c>
      <c r="D90" s="2385">
        <f>SUM(D88:D89)</f>
        <v>67466810</v>
      </c>
      <c r="E90" s="2420">
        <f>SUM(E88:E89)</f>
        <v>276786</v>
      </c>
      <c r="F90" s="2384">
        <f t="shared" ref="F90" si="269">IF(E90=0,0,G90/E90)</f>
        <v>193.17453194887</v>
      </c>
      <c r="G90" s="2421">
        <f>SUM(G88:G89)</f>
        <v>53468006</v>
      </c>
      <c r="H90" s="2383">
        <f>SUM(H88:H89)</f>
        <v>259736</v>
      </c>
      <c r="I90" s="2384">
        <f t="shared" ref="I90" si="270">IF(H90=0,0,J90/H90)</f>
        <v>188.688167985955</v>
      </c>
      <c r="J90" s="2385">
        <f>SUM(J88:J89)</f>
        <v>49009110</v>
      </c>
      <c r="K90" s="2383">
        <f>SUM(K88:K89)</f>
        <v>252676</v>
      </c>
      <c r="L90" s="2384">
        <f t="shared" ref="L90" si="271">IF(K90=0,0,M90/K90)</f>
        <v>183.584911111463</v>
      </c>
      <c r="M90" s="2385">
        <f>SUM(M88:M89)</f>
        <v>46387501</v>
      </c>
      <c r="N90" s="2383">
        <f>SUM(N88:N89)</f>
        <v>329568</v>
      </c>
      <c r="O90" s="2384">
        <f t="shared" ref="O90:O92" si="272">IF(N90=0,0,P90/N90)</f>
        <v>192.64532660938</v>
      </c>
      <c r="P90" s="2385">
        <f>SUM(P88:P89)</f>
        <v>63489735</v>
      </c>
      <c r="Q90" s="2383">
        <f>SUM(Q88:Q89)</f>
        <v>364076</v>
      </c>
      <c r="R90" s="2384">
        <f t="shared" ref="R90:R92" si="273">IF(Q90=0,0,S90/Q90)</f>
        <v>194.604044210549</v>
      </c>
      <c r="S90" s="2385">
        <f>SUM(S88:S89)</f>
        <v>70850662</v>
      </c>
      <c r="T90" s="2383">
        <f>SUM(T88:T89)</f>
        <v>378936</v>
      </c>
      <c r="U90" s="2384">
        <f t="shared" si="262"/>
        <v>192.955414634661</v>
      </c>
      <c r="V90" s="2385">
        <f>SUM(V88:V89)</f>
        <v>73117753</v>
      </c>
      <c r="W90" s="2383">
        <f>SUM(W88:W89)</f>
        <v>361273</v>
      </c>
      <c r="X90" s="2384">
        <f t="shared" si="263"/>
        <v>189.423790319232</v>
      </c>
      <c r="Y90" s="2385">
        <f>SUM(Y88:Y89)</f>
        <v>68433701</v>
      </c>
      <c r="Z90" s="2383">
        <f>SUM(Z88:Z89)</f>
        <v>402540</v>
      </c>
      <c r="AA90" s="2384">
        <f t="shared" si="264"/>
        <v>190.508098574055</v>
      </c>
      <c r="AB90" s="2421">
        <f>SUM(AB88:AB89)</f>
        <v>76687130</v>
      </c>
      <c r="AC90" s="2383">
        <f>SUM(AC88:AC89)</f>
        <v>401332</v>
      </c>
      <c r="AD90" s="2384">
        <f t="shared" si="265"/>
        <v>192.665733108748</v>
      </c>
      <c r="AE90" s="2385">
        <f>SUM(AE88:AE89)</f>
        <v>77322924</v>
      </c>
      <c r="AF90" s="2383">
        <f>SUM(AF88:AF89)</f>
        <v>378017</v>
      </c>
      <c r="AG90" s="2384">
        <f t="shared" si="266"/>
        <v>196.011787829648</v>
      </c>
      <c r="AH90" s="2385">
        <f>SUM(AH88:AH89)</f>
        <v>74095788</v>
      </c>
      <c r="AI90" s="2383">
        <f>SUM(AI88:AI89)</f>
        <v>302977</v>
      </c>
      <c r="AJ90" s="2384">
        <f t="shared" si="267"/>
        <v>214.058063813425</v>
      </c>
      <c r="AK90" s="2385">
        <f>SUM(AK88:AK89)</f>
        <v>64854670</v>
      </c>
      <c r="AL90" s="2524">
        <f>SUM(AL88:AL89)</f>
        <v>302977</v>
      </c>
      <c r="AM90" s="2525">
        <f t="shared" ref="AM90:AM92" si="274">IF(AL90=0,0,AN90/AL90)</f>
        <v>214.058063813425</v>
      </c>
      <c r="AN90" s="2526">
        <f>SUM(AN88:AN89)</f>
        <v>64854670</v>
      </c>
    </row>
    <row r="91" ht="14.25" spans="1:40">
      <c r="A91" s="844"/>
      <c r="B91" s="2386"/>
      <c r="C91" s="2387"/>
      <c r="D91" s="2387"/>
      <c r="E91" s="2386"/>
      <c r="F91" s="2387"/>
      <c r="G91" s="2387"/>
      <c r="H91" s="2386"/>
      <c r="I91" s="2387"/>
      <c r="J91" s="2387"/>
      <c r="K91" s="2386"/>
      <c r="L91" s="2387"/>
      <c r="M91" s="2387"/>
      <c r="N91" s="2386"/>
      <c r="O91" s="2387"/>
      <c r="P91" s="2387"/>
      <c r="Q91" s="2386"/>
      <c r="R91" s="2387"/>
      <c r="S91" s="2387"/>
      <c r="T91" s="2386"/>
      <c r="U91" s="2387"/>
      <c r="V91" s="2387"/>
      <c r="W91" s="2386"/>
      <c r="X91" s="2387"/>
      <c r="Y91" s="2387"/>
      <c r="Z91" s="2386"/>
      <c r="AA91" s="2387"/>
      <c r="AB91" s="2387"/>
      <c r="AC91" s="2386"/>
      <c r="AD91" s="2387"/>
      <c r="AE91" s="2387"/>
      <c r="AF91" s="2386"/>
      <c r="AG91" s="2387"/>
      <c r="AH91" s="2387"/>
      <c r="AI91" s="2386"/>
      <c r="AJ91" s="2387"/>
      <c r="AK91" s="2387"/>
      <c r="AL91" s="2386"/>
      <c r="AM91" s="2387"/>
      <c r="AN91" s="2527"/>
    </row>
    <row r="92" ht="14.25" spans="1:40">
      <c r="A92" s="1941" t="s">
        <v>356</v>
      </c>
      <c r="B92" s="2388">
        <f>B80-B90</f>
        <v>-12001</v>
      </c>
      <c r="C92" s="2389"/>
      <c r="D92" s="2390">
        <f>D80-D90</f>
        <v>-2707148</v>
      </c>
      <c r="E92" s="2422">
        <f t="shared" ref="E92" si="275">E80-E90</f>
        <v>67435</v>
      </c>
      <c r="F92" s="2423"/>
      <c r="G92" s="2424">
        <f t="shared" ref="G92:H92" si="276">G80-G90</f>
        <v>13998804</v>
      </c>
      <c r="H92" s="2388">
        <f t="shared" si="276"/>
        <v>17050</v>
      </c>
      <c r="I92" s="2438"/>
      <c r="J92" s="2439">
        <f t="shared" ref="J92:K92" si="277">J80-J90</f>
        <v>4458896</v>
      </c>
      <c r="K92" s="2388">
        <f t="shared" si="277"/>
        <v>7060</v>
      </c>
      <c r="L92" s="2423"/>
      <c r="M92" s="2445">
        <f t="shared" ref="M92:N92" si="278">M80-M90</f>
        <v>2621609</v>
      </c>
      <c r="N92" s="2388">
        <f t="shared" si="278"/>
        <v>-76892</v>
      </c>
      <c r="O92" s="2423">
        <f t="shared" si="272"/>
        <v>222.418899235291</v>
      </c>
      <c r="P92" s="2445">
        <f t="shared" ref="P92:Q92" si="279">P80-P90</f>
        <v>-17102234</v>
      </c>
      <c r="Q92" s="2388">
        <f t="shared" si="279"/>
        <v>-34508</v>
      </c>
      <c r="R92" s="2423">
        <f t="shared" si="273"/>
        <v>213.310739538658</v>
      </c>
      <c r="S92" s="2445">
        <f t="shared" ref="S92:T92" si="280">S80-S90</f>
        <v>-7360927</v>
      </c>
      <c r="T92" s="2388">
        <f t="shared" si="280"/>
        <v>-14860</v>
      </c>
      <c r="U92" s="2423">
        <f t="shared" si="262"/>
        <v>152.5633243607</v>
      </c>
      <c r="V92" s="2445">
        <f t="shared" ref="V92:W92" si="281">V80-V90</f>
        <v>-2267091</v>
      </c>
      <c r="W92" s="2388">
        <f t="shared" si="281"/>
        <v>17663</v>
      </c>
      <c r="X92" s="2423">
        <f t="shared" si="263"/>
        <v>265.19005831399</v>
      </c>
      <c r="Y92" s="2445">
        <f t="shared" ref="Y92" si="282">Y80-Y90</f>
        <v>4684052</v>
      </c>
      <c r="Z92" s="2388">
        <f t="shared" ref="Z92" si="283">Z80-Z90</f>
        <v>-41267</v>
      </c>
      <c r="AA92" s="2423">
        <f t="shared" si="264"/>
        <v>200.000702740689</v>
      </c>
      <c r="AB92" s="2471">
        <f t="shared" ref="AB92:AE92" si="284">AB80-AB90</f>
        <v>-8253429</v>
      </c>
      <c r="AC92" s="2388">
        <f t="shared" si="284"/>
        <v>1208</v>
      </c>
      <c r="AD92" s="2438">
        <f t="shared" ref="AD92" si="285">IF(AC92=0,0,AE92/AC92)</f>
        <v>-526.319536423841</v>
      </c>
      <c r="AE92" s="2471">
        <f t="shared" si="284"/>
        <v>-635794</v>
      </c>
      <c r="AF92" s="2477">
        <f t="shared" ref="AF92" si="286">AF80-AF90</f>
        <v>23315</v>
      </c>
      <c r="AG92" s="2423">
        <f t="shared" si="266"/>
        <v>138.414582886554</v>
      </c>
      <c r="AH92" s="2439">
        <f t="shared" ref="AH92:AI92" si="287">AH80-AH90</f>
        <v>3227136</v>
      </c>
      <c r="AI92" s="2477">
        <f t="shared" si="287"/>
        <v>75040</v>
      </c>
      <c r="AJ92" s="2423">
        <f t="shared" si="267"/>
        <v>123.149227078891</v>
      </c>
      <c r="AK92" s="2439">
        <f t="shared" ref="AK92" si="288">AK80-AK90</f>
        <v>9241118</v>
      </c>
      <c r="AL92" s="2528">
        <f t="shared" ref="AL92" si="289">AL80-AL90</f>
        <v>29243</v>
      </c>
      <c r="AM92" s="2529">
        <f t="shared" si="274"/>
        <v>-3.24891427008173</v>
      </c>
      <c r="AN92" s="2530">
        <f t="shared" ref="AN92" si="290">AN80-AN90</f>
        <v>-95008</v>
      </c>
    </row>
    <row r="93" ht="14.25" spans="1:40">
      <c r="A93" s="846"/>
      <c r="B93" s="679"/>
      <c r="C93" s="2377"/>
      <c r="D93" s="2378"/>
      <c r="E93" s="2425"/>
      <c r="F93" s="2377"/>
      <c r="G93" s="2426"/>
      <c r="H93" s="679"/>
      <c r="I93" s="2377"/>
      <c r="J93" s="2378"/>
      <c r="K93" s="679"/>
      <c r="L93" s="2377"/>
      <c r="M93" s="2446"/>
      <c r="N93" s="679"/>
      <c r="O93" s="2377"/>
      <c r="P93" s="2446"/>
      <c r="Q93" s="679"/>
      <c r="R93" s="2377"/>
      <c r="S93" s="2446"/>
      <c r="T93" s="2451"/>
      <c r="U93" s="2377"/>
      <c r="V93" s="2426"/>
      <c r="W93" s="679"/>
      <c r="X93" s="2377"/>
      <c r="Y93" s="2472"/>
      <c r="Z93" s="679"/>
      <c r="AA93" s="2377"/>
      <c r="AB93" s="2426"/>
      <c r="AC93" s="679"/>
      <c r="AD93" s="2377"/>
      <c r="AE93" s="2378"/>
      <c r="AF93" s="679"/>
      <c r="AG93" s="2377"/>
      <c r="AH93" s="2378"/>
      <c r="AI93" s="679"/>
      <c r="AJ93" s="2377"/>
      <c r="AK93" s="2378"/>
      <c r="AL93" s="2531"/>
      <c r="AM93" s="2532"/>
      <c r="AN93" s="2533"/>
    </row>
    <row r="94" spans="1:40">
      <c r="A94" s="2364" t="s">
        <v>131</v>
      </c>
      <c r="B94" s="1945"/>
      <c r="C94" s="2000"/>
      <c r="D94" s="2096"/>
      <c r="E94" s="1990"/>
      <c r="F94" s="2000"/>
      <c r="G94" s="2082"/>
      <c r="H94" s="1989"/>
      <c r="I94" s="2000"/>
      <c r="J94" s="2096"/>
      <c r="K94" s="1989"/>
      <c r="L94" s="2000"/>
      <c r="M94" s="2096"/>
      <c r="N94" s="1989"/>
      <c r="O94" s="2000"/>
      <c r="P94" s="2096"/>
      <c r="Q94" s="1989"/>
      <c r="R94" s="2000"/>
      <c r="S94" s="2096"/>
      <c r="T94" s="2000"/>
      <c r="U94" s="2000"/>
      <c r="V94" s="2082"/>
      <c r="W94" s="1989"/>
      <c r="X94" s="2000"/>
      <c r="Y94" s="2473"/>
      <c r="Z94" s="1989"/>
      <c r="AA94" s="2000"/>
      <c r="AB94" s="2082"/>
      <c r="AC94" s="1989"/>
      <c r="AD94" s="2000"/>
      <c r="AE94" s="2096"/>
      <c r="AF94" s="1989"/>
      <c r="AG94" s="2000"/>
      <c r="AH94" s="2096"/>
      <c r="AI94" s="1989"/>
      <c r="AJ94" s="2000"/>
      <c r="AK94" s="2096"/>
      <c r="AL94" s="2515"/>
      <c r="AM94" s="2534"/>
      <c r="AN94" s="2517"/>
    </row>
    <row r="95" spans="1:40">
      <c r="A95" s="843" t="s">
        <v>16</v>
      </c>
      <c r="B95" s="658">
        <f>'Stock Valuation (FIFO)'!B21</f>
        <v>706</v>
      </c>
      <c r="C95" s="2365">
        <f t="shared" ref="C95:C97" si="291">IF(B95=0,0,D95/B95)</f>
        <v>202.845609065156</v>
      </c>
      <c r="D95" s="90">
        <f>'Stock Valuation (FIFO)'!D21</f>
        <v>143209</v>
      </c>
      <c r="E95" s="79">
        <f>B96</f>
        <v>691</v>
      </c>
      <c r="F95" s="2365">
        <f t="shared" ref="F95:F97" si="292">IF(E95=0,0,G95/E95)</f>
        <v>198.066570188133</v>
      </c>
      <c r="G95" s="216">
        <f>D96</f>
        <v>136864</v>
      </c>
      <c r="H95" s="658">
        <f>E96</f>
        <v>680</v>
      </c>
      <c r="I95" s="2365">
        <f t="shared" ref="I95:I97" si="293">IF(H95=0,0,J95/H95)</f>
        <v>208.320588235294</v>
      </c>
      <c r="J95" s="90">
        <f>G96</f>
        <v>141658</v>
      </c>
      <c r="K95" s="658">
        <f>H96</f>
        <v>680</v>
      </c>
      <c r="L95" s="2365">
        <f t="shared" ref="L95:L97" si="294">IF(K95=0,0,M95/K95)</f>
        <v>187.785294117647</v>
      </c>
      <c r="M95" s="90">
        <f>J96</f>
        <v>127694</v>
      </c>
      <c r="N95" s="658">
        <f>K96</f>
        <v>713</v>
      </c>
      <c r="O95" s="2365">
        <f t="shared" ref="O95:O97" si="295">IF(N95=0,0,P95/N95)</f>
        <v>203.103786816269</v>
      </c>
      <c r="P95" s="90">
        <f>M96</f>
        <v>144813</v>
      </c>
      <c r="Q95" s="658">
        <f>N96</f>
        <v>754</v>
      </c>
      <c r="R95" s="2365">
        <f t="shared" ref="R95:R97" si="296">IF(Q95=0,0,S95/Q95)</f>
        <v>200.366047745358</v>
      </c>
      <c r="S95" s="90">
        <f>P96</f>
        <v>151076</v>
      </c>
      <c r="T95" s="658">
        <f>Q96</f>
        <v>1037</v>
      </c>
      <c r="U95" s="2365">
        <f t="shared" ref="U95:U96" si="297">IF(T95=0,0,V95/T95)</f>
        <v>192.641272902604</v>
      </c>
      <c r="V95" s="216">
        <f>S96</f>
        <v>199769</v>
      </c>
      <c r="W95" s="658">
        <f>T96</f>
        <v>765</v>
      </c>
      <c r="X95" s="2365">
        <f t="shared" ref="X95:X96" si="298">IF(W95=0,0,Y95/W95)</f>
        <v>201.332026143791</v>
      </c>
      <c r="Y95" s="90">
        <f>V96</f>
        <v>154019</v>
      </c>
      <c r="Z95" s="658">
        <f>W96</f>
        <v>1411</v>
      </c>
      <c r="AA95" s="2365">
        <f t="shared" ref="AA95" si="299">IF(Z95=0,0,AB95/Z95)</f>
        <v>186.377746279235</v>
      </c>
      <c r="AB95" s="216">
        <f>Y96</f>
        <v>262979</v>
      </c>
      <c r="AC95" s="658">
        <f>Z96</f>
        <v>994</v>
      </c>
      <c r="AD95" s="2365">
        <f t="shared" ref="AD95:AD97" si="300">IF(AC95=0,0,AE95/AC95)</f>
        <v>192.023138832998</v>
      </c>
      <c r="AE95" s="90">
        <f>AB96</f>
        <v>190871</v>
      </c>
      <c r="AF95" s="658">
        <f>AC96</f>
        <v>799</v>
      </c>
      <c r="AG95" s="2365">
        <f t="shared" ref="AG95:AG97" si="301">IF(AF95=0,0,AH95/AF95)</f>
        <v>186.780976220275</v>
      </c>
      <c r="AH95" s="90">
        <f>AE96</f>
        <v>149238</v>
      </c>
      <c r="AI95" s="658">
        <f>AF96</f>
        <v>1048</v>
      </c>
      <c r="AJ95" s="2365">
        <f t="shared" ref="AJ95:AJ96" si="302">IF(AI95=0,0,AK95/AI95)</f>
        <v>185.011450381679</v>
      </c>
      <c r="AK95" s="90">
        <f>AH96</f>
        <v>193892</v>
      </c>
      <c r="AL95" s="2496">
        <f>B95</f>
        <v>706</v>
      </c>
      <c r="AM95" s="2497">
        <f t="shared" ref="AM95:AM97" si="303">IF(AL95=0,0,AN95/AL95)</f>
        <v>202.845609065156</v>
      </c>
      <c r="AN95" s="2498">
        <f>D95</f>
        <v>143209</v>
      </c>
    </row>
    <row r="96" ht="14.25" spans="1:40">
      <c r="A96" s="1900" t="s">
        <v>357</v>
      </c>
      <c r="B96" s="668">
        <f>B59</f>
        <v>691</v>
      </c>
      <c r="C96" s="2391">
        <f t="shared" si="291"/>
        <v>198.066570188133</v>
      </c>
      <c r="D96" s="2392">
        <f>D59</f>
        <v>136864</v>
      </c>
      <c r="E96" s="668">
        <f>E59</f>
        <v>680</v>
      </c>
      <c r="F96" s="2391">
        <f t="shared" si="292"/>
        <v>208.320588235294</v>
      </c>
      <c r="G96" s="2392">
        <f>G59</f>
        <v>141658</v>
      </c>
      <c r="H96" s="668">
        <f>H59</f>
        <v>680</v>
      </c>
      <c r="I96" s="2391">
        <f t="shared" si="293"/>
        <v>187.785294117647</v>
      </c>
      <c r="J96" s="2392">
        <f>J59</f>
        <v>127694</v>
      </c>
      <c r="K96" s="668">
        <f>K59</f>
        <v>713</v>
      </c>
      <c r="L96" s="2391">
        <f t="shared" si="294"/>
        <v>203.103786816269</v>
      </c>
      <c r="M96" s="2392">
        <f>M59</f>
        <v>144813</v>
      </c>
      <c r="N96" s="668">
        <f>N59</f>
        <v>754</v>
      </c>
      <c r="O96" s="2391">
        <f t="shared" si="295"/>
        <v>200.366047745358</v>
      </c>
      <c r="P96" s="2392">
        <f>P59</f>
        <v>151076</v>
      </c>
      <c r="Q96" s="668">
        <f>Q59</f>
        <v>1037</v>
      </c>
      <c r="R96" s="2391">
        <f t="shared" si="296"/>
        <v>192.641272902604</v>
      </c>
      <c r="S96" s="2392">
        <f>S59</f>
        <v>199769</v>
      </c>
      <c r="T96" s="668">
        <f>T59</f>
        <v>765</v>
      </c>
      <c r="U96" s="2391">
        <f t="shared" si="297"/>
        <v>201.332026143791</v>
      </c>
      <c r="V96" s="2392">
        <f>V59</f>
        <v>154019</v>
      </c>
      <c r="W96" s="668">
        <f>W59</f>
        <v>1411</v>
      </c>
      <c r="X96" s="2391">
        <f t="shared" si="298"/>
        <v>186.377746279235</v>
      </c>
      <c r="Y96" s="2392">
        <f>Y59</f>
        <v>262979</v>
      </c>
      <c r="Z96" s="668">
        <f>Z59</f>
        <v>994</v>
      </c>
      <c r="AA96" s="2391">
        <f t="shared" ref="AA96:AA97" si="304">IF(Z96=0,0,AB96/Z96)</f>
        <v>192.023138832998</v>
      </c>
      <c r="AB96" s="2392">
        <f>AB59</f>
        <v>190871</v>
      </c>
      <c r="AC96" s="668">
        <f>AC59</f>
        <v>799</v>
      </c>
      <c r="AD96" s="2391">
        <f t="shared" si="300"/>
        <v>186.780976220275</v>
      </c>
      <c r="AE96" s="2392">
        <f>AE59</f>
        <v>149238</v>
      </c>
      <c r="AF96" s="668">
        <f>AF59</f>
        <v>1048</v>
      </c>
      <c r="AG96" s="2391">
        <f t="shared" si="301"/>
        <v>185.011450381679</v>
      </c>
      <c r="AH96" s="2392">
        <f>AH59</f>
        <v>193892</v>
      </c>
      <c r="AI96" s="668">
        <f>AI59</f>
        <v>1042</v>
      </c>
      <c r="AJ96" s="2391">
        <f t="shared" si="302"/>
        <v>221.75527831094</v>
      </c>
      <c r="AK96" s="2392">
        <f>AK59</f>
        <v>231069</v>
      </c>
      <c r="AL96" s="2535">
        <f>AL59</f>
        <v>1042</v>
      </c>
      <c r="AM96" s="2536">
        <f t="shared" ref="AM96" si="305">IF(AL96=0,0,(AN96/AL96))</f>
        <v>221.75527831094</v>
      </c>
      <c r="AN96" s="2537">
        <f>AN59</f>
        <v>231069</v>
      </c>
    </row>
    <row r="97" ht="14.25" spans="1:40">
      <c r="A97" s="844" t="s">
        <v>356</v>
      </c>
      <c r="B97" s="2393">
        <f>B95-B96</f>
        <v>15</v>
      </c>
      <c r="C97" s="2371">
        <f t="shared" si="291"/>
        <v>423</v>
      </c>
      <c r="D97" s="2394">
        <f>D95-D96</f>
        <v>6345</v>
      </c>
      <c r="E97" s="2427">
        <f t="shared" ref="E97" si="306">E95-E96</f>
        <v>11</v>
      </c>
      <c r="F97" s="2371">
        <f t="shared" si="292"/>
        <v>-435.818181818182</v>
      </c>
      <c r="G97" s="2428">
        <f t="shared" ref="G97:H97" si="307">G95-G96</f>
        <v>-4794</v>
      </c>
      <c r="H97" s="2393">
        <f t="shared" si="307"/>
        <v>0</v>
      </c>
      <c r="I97" s="2371">
        <f t="shared" si="293"/>
        <v>0</v>
      </c>
      <c r="J97" s="2394">
        <f t="shared" ref="J97:K97" si="308">J95-J96</f>
        <v>13964</v>
      </c>
      <c r="K97" s="2393">
        <f t="shared" si="308"/>
        <v>-33</v>
      </c>
      <c r="L97" s="2371">
        <f t="shared" si="294"/>
        <v>518.757575757576</v>
      </c>
      <c r="M97" s="2394">
        <f t="shared" ref="M97:N97" si="309">M95-M96</f>
        <v>-17119</v>
      </c>
      <c r="N97" s="2393">
        <f t="shared" si="309"/>
        <v>-41</v>
      </c>
      <c r="O97" s="2371">
        <f t="shared" si="295"/>
        <v>152.756097560976</v>
      </c>
      <c r="P97" s="2394">
        <f t="shared" ref="P97:Q97" si="310">P95-P96</f>
        <v>-6263</v>
      </c>
      <c r="Q97" s="2393">
        <f t="shared" si="310"/>
        <v>-283</v>
      </c>
      <c r="R97" s="2371">
        <f t="shared" si="296"/>
        <v>172.060070671378</v>
      </c>
      <c r="S97" s="2394">
        <f t="shared" ref="S97:T97" si="311">S95-S96</f>
        <v>-48693</v>
      </c>
      <c r="T97" s="2452">
        <f t="shared" si="311"/>
        <v>272</v>
      </c>
      <c r="U97" s="2371">
        <f t="shared" ref="U97" si="312">IF(T97=0,0,V97/T97)</f>
        <v>168.198529411765</v>
      </c>
      <c r="V97" s="2428">
        <f t="shared" ref="V97:W97" si="313">V95-V96</f>
        <v>45750</v>
      </c>
      <c r="W97" s="2393">
        <f t="shared" si="313"/>
        <v>-646</v>
      </c>
      <c r="X97" s="2371"/>
      <c r="Y97" s="2394">
        <f t="shared" ref="Y97" si="314">Y95-Y96</f>
        <v>-108960</v>
      </c>
      <c r="Z97" s="2393">
        <f t="shared" ref="Z97" si="315">Z95-Z96</f>
        <v>417</v>
      </c>
      <c r="AA97" s="2371">
        <f t="shared" si="304"/>
        <v>172.920863309353</v>
      </c>
      <c r="AB97" s="2428">
        <f t="shared" ref="AB97:AC97" si="316">AB95-AB96</f>
        <v>72108</v>
      </c>
      <c r="AC97" s="2393">
        <f t="shared" si="316"/>
        <v>195</v>
      </c>
      <c r="AD97" s="2371">
        <f t="shared" si="300"/>
        <v>213.502564102564</v>
      </c>
      <c r="AE97" s="2394">
        <f t="shared" ref="AE97:AF97" si="317">AE95-AE96</f>
        <v>41633</v>
      </c>
      <c r="AF97" s="2393">
        <f t="shared" si="317"/>
        <v>-249</v>
      </c>
      <c r="AG97" s="2371">
        <f t="shared" si="301"/>
        <v>179.333333333333</v>
      </c>
      <c r="AH97" s="2394">
        <f t="shared" ref="AH97:AI97" si="318">AH95-AH96</f>
        <v>-44654</v>
      </c>
      <c r="AI97" s="2393">
        <f t="shared" si="318"/>
        <v>6</v>
      </c>
      <c r="AJ97" s="2371"/>
      <c r="AK97" s="2394">
        <f t="shared" ref="AK97" si="319">AK95-AK96</f>
        <v>-37177</v>
      </c>
      <c r="AL97" s="2538">
        <f t="shared" ref="AL97" si="320">AL95-AL96</f>
        <v>-336</v>
      </c>
      <c r="AM97" s="2539">
        <f t="shared" si="303"/>
        <v>261.488095238095</v>
      </c>
      <c r="AN97" s="2540">
        <f t="shared" ref="AN97" si="321">AN95-AN96</f>
        <v>-87860</v>
      </c>
    </row>
    <row r="98" spans="1:40">
      <c r="A98" s="2373"/>
      <c r="B98" s="2395"/>
      <c r="C98" s="2396"/>
      <c r="D98" s="2397"/>
      <c r="E98" s="2429"/>
      <c r="F98" s="2396"/>
      <c r="G98" s="2430"/>
      <c r="H98" s="2395"/>
      <c r="I98" s="2396"/>
      <c r="J98" s="2397"/>
      <c r="K98" s="2395"/>
      <c r="L98" s="2396"/>
      <c r="M98" s="2397"/>
      <c r="N98" s="2395"/>
      <c r="O98" s="2396"/>
      <c r="P98" s="2397"/>
      <c r="Q98" s="2395"/>
      <c r="R98" s="2396"/>
      <c r="S98" s="2397"/>
      <c r="T98" s="2396"/>
      <c r="U98" s="2396"/>
      <c r="V98" s="2430"/>
      <c r="W98" s="2395"/>
      <c r="X98" s="2396"/>
      <c r="Y98" s="2474"/>
      <c r="Z98" s="2395"/>
      <c r="AA98" s="2396"/>
      <c r="AB98" s="2430"/>
      <c r="AC98" s="2395"/>
      <c r="AD98" s="2396"/>
      <c r="AE98" s="2397"/>
      <c r="AF98" s="2395"/>
      <c r="AG98" s="2396"/>
      <c r="AH98" s="2397"/>
      <c r="AI98" s="2395"/>
      <c r="AJ98" s="2396"/>
      <c r="AK98" s="2397"/>
      <c r="AL98" s="2541"/>
      <c r="AM98" s="2542"/>
      <c r="AN98" s="2543"/>
    </row>
    <row r="99" ht="14.25" spans="1:40">
      <c r="A99" s="846" t="s">
        <v>358</v>
      </c>
      <c r="B99" s="2395"/>
      <c r="C99" s="2396"/>
      <c r="D99" s="2397"/>
      <c r="E99" s="2429"/>
      <c r="F99" s="2396"/>
      <c r="G99" s="2430"/>
      <c r="H99" s="2395"/>
      <c r="I99" s="2396"/>
      <c r="J99" s="2397"/>
      <c r="K99" s="2395"/>
      <c r="L99" s="2396"/>
      <c r="M99" s="2397"/>
      <c r="N99" s="2395"/>
      <c r="O99" s="2396"/>
      <c r="P99" s="2397"/>
      <c r="Q99" s="2395"/>
      <c r="R99" s="2396"/>
      <c r="S99" s="2397"/>
      <c r="T99" s="2396"/>
      <c r="U99" s="2396"/>
      <c r="V99" s="2430"/>
      <c r="W99" s="2395"/>
      <c r="X99" s="2396"/>
      <c r="Y99" s="2474"/>
      <c r="Z99" s="2395"/>
      <c r="AA99" s="2396"/>
      <c r="AB99" s="2430"/>
      <c r="AC99" s="2395"/>
      <c r="AD99" s="2396"/>
      <c r="AE99" s="2397"/>
      <c r="AF99" s="2395"/>
      <c r="AG99" s="2396"/>
      <c r="AH99" s="2397"/>
      <c r="AI99" s="2395"/>
      <c r="AJ99" s="2396"/>
      <c r="AK99" s="2397"/>
      <c r="AL99" s="2541"/>
      <c r="AM99" s="2542"/>
      <c r="AN99" s="2543"/>
    </row>
    <row r="100" spans="1:40">
      <c r="A100" s="2364" t="s">
        <v>130</v>
      </c>
      <c r="B100" s="2398">
        <f>B92</f>
        <v>-12001</v>
      </c>
      <c r="C100" s="2399">
        <f>IF(B100=0,0,D100/B100)</f>
        <v>225.576868594284</v>
      </c>
      <c r="D100" s="2400">
        <f>D92</f>
        <v>-2707148</v>
      </c>
      <c r="E100" s="1945">
        <f>E92</f>
        <v>67435</v>
      </c>
      <c r="F100" s="2431">
        <f>IF(E100=0,0,G100/E100)</f>
        <v>207.589589975532</v>
      </c>
      <c r="G100" s="728">
        <f>G92</f>
        <v>13998804</v>
      </c>
      <c r="H100" s="2432">
        <f>H92</f>
        <v>17050</v>
      </c>
      <c r="I100" s="2440">
        <f>IF(H100=0,0,J100/H100)</f>
        <v>261.518826979472</v>
      </c>
      <c r="J100" s="728">
        <f>J92</f>
        <v>4458896</v>
      </c>
      <c r="K100" s="2441">
        <f>K92</f>
        <v>7060</v>
      </c>
      <c r="L100" s="2431">
        <f>IF(K100=0,0,M100/K100)</f>
        <v>371.332719546742</v>
      </c>
      <c r="M100" s="2447">
        <f>M92</f>
        <v>2621609</v>
      </c>
      <c r="N100" s="2441">
        <f>N92</f>
        <v>-76892</v>
      </c>
      <c r="O100" s="2431">
        <f>IF(N100=0,0,P100/N100)</f>
        <v>222.418899235291</v>
      </c>
      <c r="P100" s="2447">
        <f>P92</f>
        <v>-17102234</v>
      </c>
      <c r="Q100" s="2441">
        <f>Q92</f>
        <v>-34508</v>
      </c>
      <c r="R100" s="2431">
        <f>IF(Q100=0,0,S100/Q100)</f>
        <v>213.310739538658</v>
      </c>
      <c r="S100" s="2447">
        <f>S92</f>
        <v>-7360927</v>
      </c>
      <c r="T100" s="2441">
        <f>T92</f>
        <v>-14860</v>
      </c>
      <c r="U100" s="2431">
        <f>IF(T100=0,0,V100/T100)</f>
        <v>152.5633243607</v>
      </c>
      <c r="V100" s="2456">
        <f>V92</f>
        <v>-2267091</v>
      </c>
      <c r="W100" s="2441">
        <f>W92</f>
        <v>17663</v>
      </c>
      <c r="X100" s="2431">
        <f>IF(W100=0,0,Y100/W100)</f>
        <v>265.19005831399</v>
      </c>
      <c r="Y100" s="2447">
        <f>Y92</f>
        <v>4684052</v>
      </c>
      <c r="Z100" s="2441">
        <f>Z92</f>
        <v>-41267</v>
      </c>
      <c r="AA100" s="2431">
        <f>IF(Z100=0,0,AB100/Z100)</f>
        <v>200.000702740689</v>
      </c>
      <c r="AB100" s="2456">
        <f>AB92</f>
        <v>-8253429</v>
      </c>
      <c r="AC100" s="2441">
        <f>AC92</f>
        <v>1208</v>
      </c>
      <c r="AD100" s="2478">
        <f>IF(AC100=0,0,AE100/AC100)</f>
        <v>-526.319536423841</v>
      </c>
      <c r="AE100" s="2447">
        <f>AE92</f>
        <v>-635794</v>
      </c>
      <c r="AF100" s="2441">
        <f>AF92</f>
        <v>23315</v>
      </c>
      <c r="AG100" s="2431">
        <f>IF(AF100=0,0,AH100/AF100)</f>
        <v>138.414582886554</v>
      </c>
      <c r="AH100" s="2447">
        <f>AH92</f>
        <v>3227136</v>
      </c>
      <c r="AI100" s="2441">
        <f>AI92</f>
        <v>75040</v>
      </c>
      <c r="AJ100" s="2431">
        <f>IF(AI100=0,0,AK100/AI100)</f>
        <v>123.149227078891</v>
      </c>
      <c r="AK100" s="2447">
        <f>AK92</f>
        <v>9241118</v>
      </c>
      <c r="AL100" s="2544">
        <f>AL92</f>
        <v>29243</v>
      </c>
      <c r="AM100" s="2545">
        <f>IF(AL100=0,0,AN100/AL100)</f>
        <v>-3.24891427008173</v>
      </c>
      <c r="AN100" s="2546">
        <f>AN92</f>
        <v>-95008</v>
      </c>
    </row>
    <row r="101" ht="14.25" spans="1:40">
      <c r="A101" s="2401" t="s">
        <v>131</v>
      </c>
      <c r="B101" s="2402">
        <f>B97</f>
        <v>15</v>
      </c>
      <c r="C101" s="2403">
        <f t="shared" ref="C101:C102" si="322">IF(B101=0,0,D101/B101)</f>
        <v>423</v>
      </c>
      <c r="D101" s="2404">
        <f>D97</f>
        <v>6345</v>
      </c>
      <c r="E101" s="2402">
        <f>E97</f>
        <v>11</v>
      </c>
      <c r="F101" s="2368">
        <f t="shared" ref="F101:F102" si="323">IF(E101=0,0,G101/E101)</f>
        <v>-435.818181818182</v>
      </c>
      <c r="G101" s="2404">
        <f>G97</f>
        <v>-4794</v>
      </c>
      <c r="H101" s="2433">
        <f>H97</f>
        <v>0</v>
      </c>
      <c r="I101" s="2442">
        <f t="shared" ref="I101:I102" si="324">IF(H101=0,0,J101/H101)</f>
        <v>0</v>
      </c>
      <c r="J101" s="2404">
        <f>J97</f>
        <v>13964</v>
      </c>
      <c r="K101" s="2402">
        <f>K97</f>
        <v>-33</v>
      </c>
      <c r="L101" s="2368">
        <f t="shared" ref="L101:L102" si="325">IF(K101=0,0,M101/K101)</f>
        <v>518.757575757576</v>
      </c>
      <c r="M101" s="2448">
        <f>M97</f>
        <v>-17119</v>
      </c>
      <c r="N101" s="2402">
        <f>N97</f>
        <v>-41</v>
      </c>
      <c r="O101" s="2368">
        <f t="shared" ref="O101:O102" si="326">IF(N101=0,0,P101/N101)</f>
        <v>152.756097560976</v>
      </c>
      <c r="P101" s="2448">
        <f>P97</f>
        <v>-6263</v>
      </c>
      <c r="Q101" s="2402">
        <f>Q97</f>
        <v>-283</v>
      </c>
      <c r="R101" s="2368">
        <f t="shared" ref="R101:R102" si="327">IF(Q101=0,0,S101/Q101)</f>
        <v>172.060070671378</v>
      </c>
      <c r="S101" s="2448">
        <f>S97</f>
        <v>-48693</v>
      </c>
      <c r="T101" s="2402">
        <f>T97</f>
        <v>272</v>
      </c>
      <c r="U101" s="2368">
        <f t="shared" ref="U101:U102" si="328">IF(T101=0,0,V101/T101)</f>
        <v>168.198529411765</v>
      </c>
      <c r="V101" s="2457">
        <f>V97</f>
        <v>45750</v>
      </c>
      <c r="W101" s="2402">
        <f>W97</f>
        <v>-646</v>
      </c>
      <c r="X101" s="2368">
        <f t="shared" ref="X101:X102" si="329">IF(W101=0,0,Y101/W101)</f>
        <v>168.668730650155</v>
      </c>
      <c r="Y101" s="2448">
        <f>Y97</f>
        <v>-108960</v>
      </c>
      <c r="Z101" s="2402">
        <f>Z97</f>
        <v>417</v>
      </c>
      <c r="AA101" s="2368">
        <f t="shared" ref="AA101:AA102" si="330">IF(Z101=0,0,AB101/Z101)</f>
        <v>172.920863309353</v>
      </c>
      <c r="AB101" s="2457">
        <f>AB97</f>
        <v>72108</v>
      </c>
      <c r="AC101" s="2402">
        <f>AC97</f>
        <v>195</v>
      </c>
      <c r="AD101" s="2479">
        <f t="shared" ref="AD101:AD102" si="331">IF(AC101=0,0,AE101/AC101)</f>
        <v>213.502564102564</v>
      </c>
      <c r="AE101" s="2448">
        <f>AE97</f>
        <v>41633</v>
      </c>
      <c r="AF101" s="2402">
        <f>AF97</f>
        <v>-249</v>
      </c>
      <c r="AG101" s="2368">
        <f t="shared" ref="AG101:AG102" si="332">IF(AF101=0,0,AH101/AF101)</f>
        <v>179.333333333333</v>
      </c>
      <c r="AH101" s="2448">
        <f>AH97</f>
        <v>-44654</v>
      </c>
      <c r="AI101" s="2402">
        <f>AI97</f>
        <v>6</v>
      </c>
      <c r="AJ101" s="2368"/>
      <c r="AK101" s="2448">
        <f>AK97</f>
        <v>-37177</v>
      </c>
      <c r="AL101" s="2547">
        <f>AL97</f>
        <v>-336</v>
      </c>
      <c r="AM101" s="2548">
        <f t="shared" ref="AM101:AM102" si="333">IF(AL101=0,0,AN101/AL101)</f>
        <v>261.488095238095</v>
      </c>
      <c r="AN101" s="2549">
        <f>AN97</f>
        <v>-87860</v>
      </c>
    </row>
    <row r="102" ht="14.25" spans="1:40">
      <c r="A102" s="844" t="s">
        <v>359</v>
      </c>
      <c r="B102" s="2393">
        <f>SUM(B100:B101)</f>
        <v>-11986</v>
      </c>
      <c r="C102" s="2405">
        <f t="shared" si="322"/>
        <v>225.329801435008</v>
      </c>
      <c r="D102" s="2406">
        <f>SUM(D100:D101)</f>
        <v>-2700803</v>
      </c>
      <c r="E102" s="722">
        <f>SUM(E100:E101)</f>
        <v>67446</v>
      </c>
      <c r="F102" s="2371">
        <f t="shared" si="323"/>
        <v>207.484654390179</v>
      </c>
      <c r="G102" s="587">
        <f>SUM(G100:G101)</f>
        <v>13994010</v>
      </c>
      <c r="H102" s="2434">
        <f>SUM(H100:H101)</f>
        <v>17050</v>
      </c>
      <c r="I102" s="2443">
        <f t="shared" si="324"/>
        <v>262.337829912023</v>
      </c>
      <c r="J102" s="587">
        <f>SUM(J100:J101)</f>
        <v>4472860</v>
      </c>
      <c r="K102" s="2393">
        <f>SUM(K100:K101)</f>
        <v>7027</v>
      </c>
      <c r="L102" s="2371">
        <f t="shared" si="325"/>
        <v>370.640387078412</v>
      </c>
      <c r="M102" s="2406">
        <f>SUM(M100:M101)</f>
        <v>2604490</v>
      </c>
      <c r="N102" s="2393">
        <f>SUM(N100:N101)</f>
        <v>-76933</v>
      </c>
      <c r="O102" s="2371">
        <f t="shared" si="326"/>
        <v>222.381773751186</v>
      </c>
      <c r="P102" s="2406">
        <f>SUM(P100:P101)</f>
        <v>-17108497</v>
      </c>
      <c r="Q102" s="2393">
        <f>SUM(Q100:Q101)</f>
        <v>-34791</v>
      </c>
      <c r="R102" s="2371">
        <f t="shared" si="327"/>
        <v>212.97519473427</v>
      </c>
      <c r="S102" s="2406">
        <f>SUM(S100:S101)</f>
        <v>-7409620</v>
      </c>
      <c r="T102" s="2393">
        <f>SUM(T100:T101)</f>
        <v>-14588</v>
      </c>
      <c r="U102" s="2371">
        <f t="shared" si="328"/>
        <v>152.271798738689</v>
      </c>
      <c r="V102" s="2458">
        <f>SUM(V100:V101)</f>
        <v>-2221341</v>
      </c>
      <c r="W102" s="2393">
        <f>SUM(W100:W101)</f>
        <v>17017</v>
      </c>
      <c r="X102" s="2371">
        <f t="shared" si="329"/>
        <v>268.854204618911</v>
      </c>
      <c r="Y102" s="2406">
        <f>SUM(Y100:Y101)</f>
        <v>4575092</v>
      </c>
      <c r="Z102" s="2393">
        <f>Z92+Z97</f>
        <v>-40850</v>
      </c>
      <c r="AA102" s="2371">
        <f t="shared" si="330"/>
        <v>200.277135862913</v>
      </c>
      <c r="AB102" s="2475">
        <f>AB92+AB97</f>
        <v>-8181321</v>
      </c>
      <c r="AC102" s="722">
        <f>AC92+AC97</f>
        <v>1403</v>
      </c>
      <c r="AD102" s="2480">
        <f t="shared" si="331"/>
        <v>-423.493228795438</v>
      </c>
      <c r="AE102" s="2406">
        <f>AE92+AE97</f>
        <v>-594161</v>
      </c>
      <c r="AF102" s="722">
        <f>AF92+AF97</f>
        <v>23066</v>
      </c>
      <c r="AG102" s="2371">
        <f t="shared" si="332"/>
        <v>137.972860487297</v>
      </c>
      <c r="AH102" s="587">
        <f>AH92+AH97</f>
        <v>3182482</v>
      </c>
      <c r="AI102" s="722">
        <f>AI92+AI97</f>
        <v>75046</v>
      </c>
      <c r="AJ102" s="2371">
        <f>IF(AI102=0,0,AK102/AI102)</f>
        <v>122.6439916851</v>
      </c>
      <c r="AK102" s="587">
        <f>AK92+AK97</f>
        <v>9203941</v>
      </c>
      <c r="AL102" s="2550">
        <f>SUM(AL100:AL101)</f>
        <v>28907</v>
      </c>
      <c r="AM102" s="2551">
        <f t="shared" si="333"/>
        <v>-6.32608018818971</v>
      </c>
      <c r="AN102" s="2552">
        <f>SUM(AN100:AN101)</f>
        <v>-182868</v>
      </c>
    </row>
    <row r="103" spans="2:41">
      <c r="B103" s="159"/>
      <c r="N103" s="2449">
        <f>'Stock Valuation (FIFO)'!Q27</f>
        <v>-76933</v>
      </c>
      <c r="P103" s="2450">
        <f>'Stock Valuation (FIFO)'!S27</f>
        <v>-17108497</v>
      </c>
      <c r="Q103" s="2449">
        <f>'Stock Valuation (FIFO)'!T27</f>
        <v>-34791</v>
      </c>
      <c r="S103" s="2450">
        <f>'Stock Valuation (FIFO)'!V27</f>
        <v>-7409620</v>
      </c>
      <c r="T103" s="2449">
        <f>'Stock Valuation (FIFO)'!W27</f>
        <v>-14588</v>
      </c>
      <c r="V103" s="2450">
        <f>'Stock Valuation (FIFO)'!Y27</f>
        <v>-2221341</v>
      </c>
      <c r="W103" s="159">
        <f>'Stock Valuation (FIFO)'!Z27</f>
        <v>17017</v>
      </c>
      <c r="X103" s="159"/>
      <c r="Y103" s="97">
        <f>'Stock Valuation (FIFO)'!AB27</f>
        <v>4575092</v>
      </c>
      <c r="Z103" s="2449">
        <f>'Stock Valuation (FIFO)'!AC27</f>
        <v>-40850</v>
      </c>
      <c r="AB103" s="2450">
        <f>'Stock Valuation (FIFO)'!AE27</f>
        <v>-8181321</v>
      </c>
      <c r="AC103" s="159">
        <f>'Stock Valuation (FIFO)'!AF27</f>
        <v>1403</v>
      </c>
      <c r="AE103" s="820">
        <f>'Stock Valuation (FIFO)'!AH27</f>
        <v>-594161</v>
      </c>
      <c r="AK103" s="735" t="s">
        <v>360</v>
      </c>
      <c r="AL103" s="749">
        <f>'Stock Valuation (FIFO)'!AL30</f>
        <v>28907</v>
      </c>
      <c r="AN103" s="2553">
        <f>'Stock Valuation (FIFO)'!AN30</f>
        <v>-182868</v>
      </c>
      <c r="AO103" s="2558"/>
    </row>
    <row r="104" spans="2:40">
      <c r="B104" s="159"/>
      <c r="N104" s="159">
        <f>N102-N103</f>
        <v>0</v>
      </c>
      <c r="P104" s="97">
        <f>P102-P103</f>
        <v>0</v>
      </c>
      <c r="AE104" s="97"/>
      <c r="AL104" s="2554">
        <f>AL102-AL103</f>
        <v>0</v>
      </c>
      <c r="AM104" s="2555"/>
      <c r="AN104" s="2556">
        <f>AN102-AN103</f>
        <v>0</v>
      </c>
    </row>
    <row r="105" spans="1:40">
      <c r="A105" s="230" t="s">
        <v>361</v>
      </c>
      <c r="B105" s="159">
        <f>B28</f>
        <v>197541</v>
      </c>
      <c r="C105" s="97">
        <f t="shared" ref="C105:C108" si="334">D105/B105</f>
        <v>101.870042168461</v>
      </c>
      <c r="D105" s="938">
        <f>D28</f>
        <v>20123510</v>
      </c>
      <c r="E105" s="159">
        <f>B110</f>
        <v>182463</v>
      </c>
      <c r="F105" s="97">
        <f t="shared" ref="F105:F111" si="335">G105/E105</f>
        <v>101.304286348465</v>
      </c>
      <c r="G105" s="938">
        <f>D110</f>
        <v>18484284</v>
      </c>
      <c r="H105" s="159">
        <f t="shared" ref="H105" si="336">E110</f>
        <v>149741</v>
      </c>
      <c r="I105" s="97">
        <f t="shared" ref="I105" si="337">J105/H105</f>
        <v>100.231386193494</v>
      </c>
      <c r="J105" s="938">
        <f t="shared" ref="J105:K105" si="338">G110</f>
        <v>15008748</v>
      </c>
      <c r="K105" s="159">
        <f t="shared" si="338"/>
        <v>166778</v>
      </c>
      <c r="L105" s="97">
        <f t="shared" ref="L105" si="339">M105/K105</f>
        <v>99.8549508928036</v>
      </c>
      <c r="M105" s="938">
        <f t="shared" ref="M105:N105" si="340">J110</f>
        <v>16653609</v>
      </c>
      <c r="N105" s="159">
        <f t="shared" si="340"/>
        <v>148947</v>
      </c>
      <c r="O105" s="97">
        <f t="shared" ref="O105" si="341">P105/N105</f>
        <v>102.892203266934</v>
      </c>
      <c r="P105" s="938">
        <f t="shared" ref="P105:Q105" si="342">M110</f>
        <v>15325485</v>
      </c>
      <c r="Q105" s="159">
        <f t="shared" si="342"/>
        <v>190728</v>
      </c>
      <c r="R105" s="97">
        <f t="shared" ref="R105" si="343">S105/Q105</f>
        <v>104.04267333585</v>
      </c>
      <c r="S105" s="938">
        <f t="shared" ref="S105:T105" si="344">P110</f>
        <v>19843851</v>
      </c>
      <c r="T105" s="159">
        <f t="shared" si="344"/>
        <v>117515</v>
      </c>
      <c r="U105" s="97">
        <f t="shared" ref="U105" si="345">V105/T105</f>
        <v>104.355912011233</v>
      </c>
      <c r="V105" s="938">
        <f t="shared" ref="V105:W105" si="346">S110</f>
        <v>12263385</v>
      </c>
      <c r="W105" s="159">
        <f t="shared" si="346"/>
        <v>142661</v>
      </c>
      <c r="X105" s="97">
        <f t="shared" ref="X105" si="347">Y105/W105</f>
        <v>102.011972438158</v>
      </c>
      <c r="Y105" s="938">
        <f t="shared" ref="Y105:Z105" si="348">V110</f>
        <v>14553130</v>
      </c>
      <c r="Z105" s="159">
        <f t="shared" si="348"/>
        <v>166752</v>
      </c>
      <c r="AA105" s="97">
        <f t="shared" ref="AA105" si="349">AB105/Z105</f>
        <v>99.619464834005</v>
      </c>
      <c r="AB105" s="938">
        <f t="shared" ref="AB105:AC105" si="350">Y110</f>
        <v>16611745</v>
      </c>
      <c r="AC105" s="159">
        <f t="shared" si="350"/>
        <v>137910</v>
      </c>
      <c r="AD105" s="97">
        <f t="shared" ref="AD105" si="351">AE105/AC105</f>
        <v>98.9619897034298</v>
      </c>
      <c r="AE105" s="938">
        <f t="shared" ref="AE105:AF105" si="352">AB110</f>
        <v>13647848</v>
      </c>
      <c r="AF105" s="159">
        <f t="shared" si="352"/>
        <v>177221</v>
      </c>
      <c r="AG105" s="97">
        <f t="shared" ref="AG105" si="353">AH105/AF105</f>
        <v>101.319465526095</v>
      </c>
      <c r="AH105" s="938">
        <f t="shared" ref="AH105:AI105" si="354">AE110</f>
        <v>17955937</v>
      </c>
      <c r="AI105" s="159">
        <f t="shared" si="354"/>
        <v>157588</v>
      </c>
      <c r="AJ105" s="97">
        <f t="shared" ref="AJ105" si="355">AK105/AI105</f>
        <v>106.531436403787</v>
      </c>
      <c r="AK105" s="938">
        <f t="shared" ref="AK105" si="356">AH110</f>
        <v>16788076</v>
      </c>
      <c r="AL105" s="2557">
        <f>AL28</f>
        <v>197541</v>
      </c>
      <c r="AM105" s="97">
        <f>IF(AL105=0,0,AN105/AL105)</f>
        <v>101.870042168461</v>
      </c>
      <c r="AN105" s="938">
        <f>AN28</f>
        <v>20123510</v>
      </c>
    </row>
    <row r="106" spans="1:40">
      <c r="A106" s="230" t="s">
        <v>362</v>
      </c>
      <c r="B106" s="159">
        <f>B29</f>
        <v>102532</v>
      </c>
      <c r="C106" s="97">
        <f t="shared" si="334"/>
        <v>93.0477997113096</v>
      </c>
      <c r="D106" s="938">
        <f>D29</f>
        <v>9540377</v>
      </c>
      <c r="E106" s="159">
        <f>E29</f>
        <v>58185</v>
      </c>
      <c r="F106" s="97">
        <f t="shared" si="335"/>
        <v>94.7200481223683</v>
      </c>
      <c r="G106" s="938">
        <f>G29</f>
        <v>5511286</v>
      </c>
      <c r="H106" s="159">
        <f>H29</f>
        <v>152668</v>
      </c>
      <c r="I106" s="97">
        <f t="shared" ref="I106:I107" si="357">J106/H106</f>
        <v>98.0813726517672</v>
      </c>
      <c r="J106" s="938">
        <f>J29</f>
        <v>14973887</v>
      </c>
      <c r="K106" s="159">
        <f>K29</f>
        <v>138661</v>
      </c>
      <c r="L106" s="97">
        <f t="shared" ref="L106:L107" si="358">M106/K106</f>
        <v>94.1421524437297</v>
      </c>
      <c r="M106" s="938">
        <f>M29</f>
        <v>13053845</v>
      </c>
      <c r="N106" s="159">
        <f>N29</f>
        <v>175608</v>
      </c>
      <c r="O106" s="97">
        <f t="shared" ref="O106:O107" si="359">P106/N106</f>
        <v>101.853793676826</v>
      </c>
      <c r="P106" s="938">
        <f>P29</f>
        <v>17886341</v>
      </c>
      <c r="Q106" s="159">
        <f>Q29</f>
        <v>37844</v>
      </c>
      <c r="R106" s="97">
        <f t="shared" ref="R106:R107" si="360">S106/Q106</f>
        <v>84.9769844625304</v>
      </c>
      <c r="S106" s="938">
        <f>S29</f>
        <v>3215869</v>
      </c>
      <c r="T106" s="159">
        <f>T29</f>
        <v>129229</v>
      </c>
      <c r="U106" s="97">
        <f t="shared" ref="U106:U107" si="361">V106/T106</f>
        <v>98.0863428487414</v>
      </c>
      <c r="V106" s="938">
        <f>V29</f>
        <v>12675600</v>
      </c>
      <c r="W106" s="159">
        <f>W29</f>
        <v>120959</v>
      </c>
      <c r="X106" s="97">
        <f t="shared" ref="X106:X107" si="362">Y106/W106</f>
        <v>92.0681139890376</v>
      </c>
      <c r="Y106" s="938">
        <f>Y29</f>
        <v>11136467</v>
      </c>
      <c r="Z106" s="159">
        <f>Z29</f>
        <v>107574</v>
      </c>
      <c r="AA106" s="97">
        <f t="shared" ref="AA106:AA107" si="363">AB106/Z106</f>
        <v>92.3882629631695</v>
      </c>
      <c r="AB106" s="938">
        <f>AB29</f>
        <v>9938575</v>
      </c>
      <c r="AC106" s="159">
        <f>AC29</f>
        <v>170449</v>
      </c>
      <c r="AD106" s="97">
        <f t="shared" ref="AD106:AD107" si="364">AE106/AC106</f>
        <v>98.2108548598114</v>
      </c>
      <c r="AE106" s="938">
        <f>AE29</f>
        <v>16739942</v>
      </c>
      <c r="AF106" s="159">
        <f>AF29</f>
        <v>117875</v>
      </c>
      <c r="AG106" s="97">
        <f t="shared" ref="AG106:AG107" si="365">AH106/AF106</f>
        <v>101.583804878049</v>
      </c>
      <c r="AH106" s="938">
        <f>AH29</f>
        <v>11974191</v>
      </c>
      <c r="AI106" s="159">
        <f>AI29</f>
        <v>98000</v>
      </c>
      <c r="AJ106" s="97">
        <f t="shared" ref="AJ106:AJ107" si="366">AK106/AI106</f>
        <v>126.706143061224</v>
      </c>
      <c r="AK106" s="938">
        <f>AK29</f>
        <v>12417202.02</v>
      </c>
      <c r="AL106" s="159">
        <f>AL29</f>
        <v>1409584</v>
      </c>
      <c r="AM106" s="97">
        <f t="shared" ref="AM106:AM107" si="367">AN106/AL106</f>
        <v>98.6557608627794</v>
      </c>
      <c r="AN106" s="938">
        <f>AN29</f>
        <v>139063582.02</v>
      </c>
    </row>
    <row r="107" ht="14.25" spans="1:40">
      <c r="A107" s="2407" t="s">
        <v>363</v>
      </c>
      <c r="B107" s="1960">
        <f>B67+B68</f>
        <v>42584</v>
      </c>
      <c r="C107" s="830">
        <f t="shared" si="334"/>
        <v>189.669570730791</v>
      </c>
      <c r="D107" s="2408">
        <f>D67+D68</f>
        <v>8076889</v>
      </c>
      <c r="E107" s="1960">
        <f>E67+E68</f>
        <v>32263</v>
      </c>
      <c r="F107" s="830">
        <f t="shared" si="335"/>
        <v>205.405510956824</v>
      </c>
      <c r="G107" s="2408">
        <f>G67+G68</f>
        <v>6626998</v>
      </c>
      <c r="H107" s="1960">
        <f>H67+H68</f>
        <v>43330</v>
      </c>
      <c r="I107" s="830">
        <f t="shared" si="357"/>
        <v>198.390768520655</v>
      </c>
      <c r="J107" s="2408">
        <f>J67+J68</f>
        <v>8596272</v>
      </c>
      <c r="K107" s="1960">
        <f>K67+K68</f>
        <v>30067</v>
      </c>
      <c r="L107" s="830">
        <f t="shared" si="358"/>
        <v>228.008647354242</v>
      </c>
      <c r="M107" s="2408">
        <f>M67+M68</f>
        <v>6855536</v>
      </c>
      <c r="N107" s="1960">
        <f>N67+N68</f>
        <v>49287</v>
      </c>
      <c r="O107" s="830">
        <f t="shared" si="359"/>
        <v>186.764826424818</v>
      </c>
      <c r="P107" s="2408">
        <f>P67+P68</f>
        <v>9205078</v>
      </c>
      <c r="Q107" s="1960">
        <f>Q67+Q68</f>
        <v>58170</v>
      </c>
      <c r="R107" s="830">
        <f t="shared" si="360"/>
        <v>171.408629877944</v>
      </c>
      <c r="S107" s="2408">
        <f>S67+S68</f>
        <v>9970840</v>
      </c>
      <c r="T107" s="1960">
        <f>T67+T68</f>
        <v>33286</v>
      </c>
      <c r="U107" s="830">
        <f t="shared" si="361"/>
        <v>222.398425764586</v>
      </c>
      <c r="V107" s="2408">
        <f>V67+V68</f>
        <v>7402754</v>
      </c>
      <c r="W107" s="1960">
        <f>W67+W68</f>
        <v>37083.05</v>
      </c>
      <c r="X107" s="830">
        <f t="shared" si="362"/>
        <v>189.321795267649</v>
      </c>
      <c r="Y107" s="2408">
        <f>Y67+Y68</f>
        <v>7020629.6</v>
      </c>
      <c r="Z107" s="1960">
        <f>Z67+Z68</f>
        <v>34686.9</v>
      </c>
      <c r="AA107" s="830">
        <f t="shared" si="363"/>
        <v>206.19146997858</v>
      </c>
      <c r="AB107" s="2408">
        <f>AB67+AB68</f>
        <v>7152142.9</v>
      </c>
      <c r="AC107" s="1960">
        <f>AC67+AC68</f>
        <v>31178</v>
      </c>
      <c r="AD107" s="830">
        <f t="shared" si="364"/>
        <v>224.555802168196</v>
      </c>
      <c r="AE107" s="2408">
        <f>AE67+AE68</f>
        <v>7001200.8</v>
      </c>
      <c r="AF107" s="1960">
        <f>AF67+AF68</f>
        <v>20613</v>
      </c>
      <c r="AG107" s="830">
        <f t="shared" si="365"/>
        <v>225.473536117984</v>
      </c>
      <c r="AH107" s="2408">
        <f>AH67+AH68</f>
        <v>4647686</v>
      </c>
      <c r="AI107" s="1960">
        <f>AI67+AI68</f>
        <v>31209</v>
      </c>
      <c r="AJ107" s="830">
        <f t="shared" si="366"/>
        <v>232.995193694127</v>
      </c>
      <c r="AK107" s="2408">
        <f>AK67+AK68</f>
        <v>7271547</v>
      </c>
      <c r="AL107" s="1960">
        <f>AL67+AL68</f>
        <v>443755.95</v>
      </c>
      <c r="AM107" s="830">
        <f t="shared" si="367"/>
        <v>202.425617729745</v>
      </c>
      <c r="AN107" s="2408">
        <f>AN67+AN68</f>
        <v>89827572.3</v>
      </c>
    </row>
    <row r="108" spans="1:40">
      <c r="A108" s="230"/>
      <c r="B108" s="232">
        <f>SUM(B105:B107)</f>
        <v>342657</v>
      </c>
      <c r="C108" s="234">
        <f t="shared" si="334"/>
        <v>110.141558468089</v>
      </c>
      <c r="D108" s="2409">
        <f>SUM(D105:D107)</f>
        <v>37740776</v>
      </c>
      <c r="E108" s="232">
        <f>SUM(E105:E107)</f>
        <v>272911</v>
      </c>
      <c r="F108" s="234">
        <f t="shared" si="335"/>
        <v>112.207159110479</v>
      </c>
      <c r="G108" s="2409">
        <f>SUM(G105:G107)</f>
        <v>30622568</v>
      </c>
      <c r="H108" s="2435">
        <f>SUM(H106:H107)</f>
        <v>195998</v>
      </c>
      <c r="I108" s="234">
        <f t="shared" ref="I108:I111" si="368">J108/H108</f>
        <v>120.257140378983</v>
      </c>
      <c r="J108" s="2409">
        <f>SUM(J106:J107)</f>
        <v>23570159</v>
      </c>
      <c r="K108" s="2435">
        <f>SUM(K106:K107)</f>
        <v>168728</v>
      </c>
      <c r="L108" s="234">
        <f t="shared" ref="L108:L111" si="369">M108/K108</f>
        <v>117.996900336636</v>
      </c>
      <c r="M108" s="2409">
        <f>SUM(M106:M107)</f>
        <v>19909381</v>
      </c>
      <c r="N108" s="2435">
        <f>SUM(N106:N107)</f>
        <v>224895</v>
      </c>
      <c r="O108" s="234">
        <f t="shared" ref="O108:O111" si="370">P108/N108</f>
        <v>120.462522510505</v>
      </c>
      <c r="P108" s="2409">
        <f>SUM(P106:P107)</f>
        <v>27091419</v>
      </c>
      <c r="Q108" s="2435">
        <f>SUM(Q106:Q107)</f>
        <v>96014</v>
      </c>
      <c r="R108" s="234">
        <f t="shared" ref="R108:R111" si="371">S108/Q108</f>
        <v>137.341523111213</v>
      </c>
      <c r="S108" s="2409">
        <f>SUM(S106:S107)</f>
        <v>13186709</v>
      </c>
      <c r="T108" s="2435">
        <f>SUM(T106:T107)</f>
        <v>162515</v>
      </c>
      <c r="U108" s="234">
        <f t="shared" ref="U108:U110" si="372">V108/T108</f>
        <v>123.547697135649</v>
      </c>
      <c r="V108" s="2409">
        <f>SUM(V106:V107)</f>
        <v>20078354</v>
      </c>
      <c r="W108" s="2435">
        <f>SUM(W106:W107)</f>
        <v>158042.05</v>
      </c>
      <c r="X108" s="234">
        <f t="shared" ref="X108:X111" si="373">Y108/W108</f>
        <v>114.887756771062</v>
      </c>
      <c r="Y108" s="2409">
        <f>SUM(Y106:Y107)</f>
        <v>18157096.6</v>
      </c>
      <c r="Z108" s="2435">
        <f>SUM(Z106:Z107)</f>
        <v>142260.9</v>
      </c>
      <c r="AA108" s="234">
        <f t="shared" ref="AA108:AA111" si="374">AB108/Z108</f>
        <v>120.136438754429</v>
      </c>
      <c r="AB108" s="2409">
        <f>SUM(AB106:AB107)</f>
        <v>17090717.9</v>
      </c>
      <c r="AC108" s="2435">
        <f>SUM(AC106:AC107)</f>
        <v>201627</v>
      </c>
      <c r="AD108" s="234">
        <f t="shared" ref="AD108:AD111" si="375">AE108/AC108</f>
        <v>117.747835359352</v>
      </c>
      <c r="AE108" s="2409">
        <f>SUM(AE106:AE107)</f>
        <v>23741142.8</v>
      </c>
      <c r="AF108" s="2435">
        <f>SUM(AF106:AF107)</f>
        <v>138488</v>
      </c>
      <c r="AG108" s="234">
        <f t="shared" ref="AG108:AG111" si="376">AH108/AF108</f>
        <v>120.023951533707</v>
      </c>
      <c r="AH108" s="2409">
        <f>SUM(AH106:AH107)</f>
        <v>16621877</v>
      </c>
      <c r="AI108" s="2435">
        <f>SUM(AI106:AI107)</f>
        <v>129209</v>
      </c>
      <c r="AJ108" s="97">
        <f t="shared" ref="AJ108" si="377">IF(AI108=0,0,AK108/AI108)</f>
        <v>152.379083655163</v>
      </c>
      <c r="AK108" s="2409">
        <f>SUM(AK106:AK107)</f>
        <v>19688749.02</v>
      </c>
      <c r="AL108" s="2435">
        <f>SUM(AL106:AL107)</f>
        <v>1853339.95</v>
      </c>
      <c r="AM108" s="234">
        <f t="shared" ref="AM108:AM109" si="378">AN108/AL108</f>
        <v>123.501980475843</v>
      </c>
      <c r="AN108" s="2409">
        <f>SUM(AN106:AN107)</f>
        <v>228891154.32</v>
      </c>
    </row>
    <row r="109" spans="1:40">
      <c r="A109" s="230" t="s">
        <v>364</v>
      </c>
      <c r="B109" s="159">
        <f>B32</f>
        <v>40221</v>
      </c>
      <c r="C109" s="97">
        <f t="shared" ref="C109:C111" si="379">D109/B109</f>
        <v>94.7067452325899</v>
      </c>
      <c r="D109" s="938">
        <f>D32</f>
        <v>3809200</v>
      </c>
      <c r="E109" s="159">
        <f>E32</f>
        <v>14025</v>
      </c>
      <c r="F109" s="97">
        <f t="shared" si="335"/>
        <v>98.9532976827094</v>
      </c>
      <c r="G109" s="938">
        <f>G32</f>
        <v>1387820</v>
      </c>
      <c r="H109" s="159">
        <f>H32</f>
        <v>51228</v>
      </c>
      <c r="I109" s="97">
        <f t="shared" si="368"/>
        <v>93.0838603888498</v>
      </c>
      <c r="J109" s="938">
        <f>J32</f>
        <v>4768500</v>
      </c>
      <c r="K109" s="159">
        <f>K32</f>
        <v>55229</v>
      </c>
      <c r="L109" s="97">
        <f t="shared" si="369"/>
        <v>94.2874214633616</v>
      </c>
      <c r="M109" s="938">
        <f>M32</f>
        <v>5207400</v>
      </c>
      <c r="N109" s="159">
        <f>N32</f>
        <v>58371</v>
      </c>
      <c r="O109" s="97">
        <f t="shared" si="370"/>
        <v>94.9327577050248</v>
      </c>
      <c r="P109" s="938">
        <f>P32</f>
        <v>5541320</v>
      </c>
      <c r="Q109" s="159">
        <f>Q32</f>
        <v>31229</v>
      </c>
      <c r="R109" s="97">
        <f t="shared" si="371"/>
        <v>95.9909058887572</v>
      </c>
      <c r="S109" s="938">
        <f>S32</f>
        <v>2997700</v>
      </c>
      <c r="T109" s="159">
        <f>T32</f>
        <v>24221</v>
      </c>
      <c r="U109" s="97">
        <f t="shared" si="372"/>
        <v>97.987696626894</v>
      </c>
      <c r="V109" s="938">
        <f>V32</f>
        <v>2373360</v>
      </c>
      <c r="W109" s="159">
        <f>W32</f>
        <v>15285</v>
      </c>
      <c r="X109" s="97">
        <f t="shared" si="373"/>
        <v>91.3837095191364</v>
      </c>
      <c r="Y109" s="938">
        <f>Y32</f>
        <v>1396800</v>
      </c>
      <c r="Z109" s="159">
        <f>Z32</f>
        <v>31175</v>
      </c>
      <c r="AA109" s="97">
        <f t="shared" si="374"/>
        <v>93.6214915797915</v>
      </c>
      <c r="AB109" s="938">
        <f>AB32</f>
        <v>2918650</v>
      </c>
      <c r="AC109" s="159">
        <f>AC32</f>
        <v>38215</v>
      </c>
      <c r="AD109" s="97">
        <f t="shared" si="375"/>
        <v>94.853329844302</v>
      </c>
      <c r="AE109" s="938">
        <f>AE32</f>
        <v>3624820</v>
      </c>
      <c r="AF109" s="159">
        <f>AF32</f>
        <v>37237</v>
      </c>
      <c r="AG109" s="97">
        <f t="shared" si="376"/>
        <v>95.7069581330397</v>
      </c>
      <c r="AH109" s="938">
        <f>AH32</f>
        <v>3563840</v>
      </c>
      <c r="AI109" s="159">
        <f>AI32</f>
        <v>25090</v>
      </c>
      <c r="AJ109" s="97">
        <f t="shared" ref="AJ109" si="380">AK109/AI109</f>
        <v>103.626943005181</v>
      </c>
      <c r="AK109" s="938">
        <f>AK32</f>
        <v>2600000</v>
      </c>
      <c r="AL109" s="159">
        <f>AL32</f>
        <v>421526</v>
      </c>
      <c r="AM109" s="97">
        <f t="shared" si="378"/>
        <v>95.3426597647595</v>
      </c>
      <c r="AN109" s="938">
        <f>AN32</f>
        <v>40189410</v>
      </c>
    </row>
    <row r="110" ht="14.25" spans="1:40">
      <c r="A110" s="2407" t="s">
        <v>324</v>
      </c>
      <c r="B110" s="1960">
        <f>B33</f>
        <v>182463</v>
      </c>
      <c r="C110" s="830">
        <f t="shared" si="379"/>
        <v>101.304286348465</v>
      </c>
      <c r="D110" s="2408">
        <f>D33</f>
        <v>18484284</v>
      </c>
      <c r="E110" s="1960">
        <f>E33</f>
        <v>149741</v>
      </c>
      <c r="F110" s="830">
        <f t="shared" si="335"/>
        <v>100.231386193494</v>
      </c>
      <c r="G110" s="2408">
        <f>G33</f>
        <v>15008748</v>
      </c>
      <c r="H110" s="2436">
        <f>H33</f>
        <v>166778</v>
      </c>
      <c r="I110" s="830">
        <f t="shared" si="368"/>
        <v>99.8549508928036</v>
      </c>
      <c r="J110" s="2408">
        <f>J33</f>
        <v>16653609</v>
      </c>
      <c r="K110" s="2436">
        <f>K33</f>
        <v>148947</v>
      </c>
      <c r="L110" s="830">
        <f t="shared" si="369"/>
        <v>102.892203266934</v>
      </c>
      <c r="M110" s="2408">
        <f>M33</f>
        <v>15325485</v>
      </c>
      <c r="N110" s="2436">
        <f>N33</f>
        <v>190728</v>
      </c>
      <c r="O110" s="830">
        <f t="shared" si="370"/>
        <v>104.04267333585</v>
      </c>
      <c r="P110" s="2408">
        <f>P33</f>
        <v>19843851</v>
      </c>
      <c r="Q110" s="2436">
        <f>Q33</f>
        <v>117515</v>
      </c>
      <c r="R110" s="830">
        <f t="shared" si="371"/>
        <v>104.355912011233</v>
      </c>
      <c r="S110" s="2408">
        <f>S33</f>
        <v>12263385</v>
      </c>
      <c r="T110" s="2436">
        <f>T33</f>
        <v>142661</v>
      </c>
      <c r="U110" s="830">
        <f t="shared" si="372"/>
        <v>102.011972438158</v>
      </c>
      <c r="V110" s="2408">
        <f>V33</f>
        <v>14553130</v>
      </c>
      <c r="W110" s="2436">
        <f>W33</f>
        <v>166752</v>
      </c>
      <c r="X110" s="830">
        <f t="shared" si="373"/>
        <v>99.619464834005</v>
      </c>
      <c r="Y110" s="2408">
        <f>Y33</f>
        <v>16611745</v>
      </c>
      <c r="Z110" s="2436">
        <f>Z33</f>
        <v>137910</v>
      </c>
      <c r="AA110" s="830">
        <f t="shared" si="374"/>
        <v>98.9619897034298</v>
      </c>
      <c r="AB110" s="2408">
        <f>AB33</f>
        <v>13647848</v>
      </c>
      <c r="AC110" s="2436">
        <f>AC33</f>
        <v>177221</v>
      </c>
      <c r="AD110" s="830">
        <f t="shared" si="375"/>
        <v>101.319465526095</v>
      </c>
      <c r="AE110" s="2408">
        <f>AE33</f>
        <v>17955937</v>
      </c>
      <c r="AF110" s="2436">
        <f>AF33</f>
        <v>157588</v>
      </c>
      <c r="AG110" s="830">
        <f t="shared" si="376"/>
        <v>106.531436403787</v>
      </c>
      <c r="AH110" s="2408">
        <f>AH33</f>
        <v>16788076</v>
      </c>
      <c r="AI110" s="2436">
        <f>AI33</f>
        <v>143489</v>
      </c>
      <c r="AJ110" s="830">
        <f t="shared" ref="AJ110:AJ111" si="381">IF(AI110=0,0,AK110/AI110)</f>
        <v>123.874631504854</v>
      </c>
      <c r="AK110" s="2408">
        <f>AK33</f>
        <v>17774647</v>
      </c>
      <c r="AL110" s="1960">
        <f>AL33</f>
        <v>143489</v>
      </c>
      <c r="AM110" s="830">
        <f t="shared" ref="AM110" si="382">AN110/AL110</f>
        <v>123.874631504854</v>
      </c>
      <c r="AN110" s="2408">
        <f>AN33</f>
        <v>17774647</v>
      </c>
    </row>
    <row r="111" spans="1:40">
      <c r="A111" s="230" t="s">
        <v>365</v>
      </c>
      <c r="B111" s="232">
        <f>B108-(B110+110)</f>
        <v>160084</v>
      </c>
      <c r="C111" s="234">
        <f t="shared" si="379"/>
        <v>120.289235651283</v>
      </c>
      <c r="D111" s="234">
        <f>D108-(D110+110)</f>
        <v>19256382</v>
      </c>
      <c r="E111" s="232">
        <f>E108-(E110+110)</f>
        <v>123060</v>
      </c>
      <c r="F111" s="234">
        <f t="shared" si="335"/>
        <v>126.878839590444</v>
      </c>
      <c r="G111" s="234">
        <f>G108-(G110+110)</f>
        <v>15613710</v>
      </c>
      <c r="H111" s="232">
        <f>H105+H108-(H109+H110)</f>
        <v>127733</v>
      </c>
      <c r="I111" s="234">
        <f t="shared" si="368"/>
        <v>134.317662624381</v>
      </c>
      <c r="J111" s="234">
        <f>J105+J108-(J109+J110)</f>
        <v>17156798</v>
      </c>
      <c r="K111" s="232">
        <f>K105+K108-(K109+K110)</f>
        <v>131330</v>
      </c>
      <c r="L111" s="234">
        <f t="shared" si="369"/>
        <v>122.059735018655</v>
      </c>
      <c r="M111" s="234">
        <f>M105+M108-(M109+M110)</f>
        <v>16030105</v>
      </c>
      <c r="N111" s="232">
        <f>N105+N108-(N109+N110)</f>
        <v>124743</v>
      </c>
      <c r="O111" s="234">
        <f t="shared" si="370"/>
        <v>136.534579094619</v>
      </c>
      <c r="P111" s="234">
        <f>P105+P108-(P109+P110)</f>
        <v>17031733</v>
      </c>
      <c r="Q111" s="232">
        <f>Q105+Q108-(Q109+Q110)</f>
        <v>137998</v>
      </c>
      <c r="R111" s="234">
        <f t="shared" si="371"/>
        <v>56.5126668502442</v>
      </c>
      <c r="S111" s="159">
        <f>S34</f>
        <v>7798635</v>
      </c>
      <c r="T111" s="97">
        <f t="shared" ref="T111:T112" si="383">U111/S111</f>
        <v>1.28649764305777e-5</v>
      </c>
      <c r="U111" s="938">
        <f>U34</f>
        <v>100.329255465678</v>
      </c>
      <c r="V111" s="234">
        <f>V105+V108-(V109+V110)</f>
        <v>15415249</v>
      </c>
      <c r="W111" s="232">
        <f>W105+W108-(W109+W110)</f>
        <v>118666.05</v>
      </c>
      <c r="X111" s="234">
        <f t="shared" si="373"/>
        <v>123.891219097627</v>
      </c>
      <c r="Y111" s="234">
        <f>Y105+Y108-(Y109+Y110)</f>
        <v>14701681.6</v>
      </c>
      <c r="Z111" s="232">
        <f>Z105+Z108-(Z109+Z110)</f>
        <v>139927.9</v>
      </c>
      <c r="AA111" s="234">
        <f t="shared" si="374"/>
        <v>122.462817636797</v>
      </c>
      <c r="AB111" s="234">
        <f>AB105+AB108-(AB109+AB110)</f>
        <v>17135964.9</v>
      </c>
      <c r="AC111" s="232">
        <f>AC105+AC108-(AC109+AC110)</f>
        <v>124101</v>
      </c>
      <c r="AD111" s="234">
        <f t="shared" si="375"/>
        <v>127.382001756634</v>
      </c>
      <c r="AE111" s="234">
        <f>AE105+AE108-(AE109+AE110)</f>
        <v>15808233.8</v>
      </c>
      <c r="AF111" s="232">
        <f>AF105+AF108-(AF109+AF110)</f>
        <v>120884</v>
      </c>
      <c r="AG111" s="234">
        <f t="shared" si="376"/>
        <v>117.682224281129</v>
      </c>
      <c r="AH111" s="234">
        <f>AH105+AH108-(AH109+AH110)</f>
        <v>14225898</v>
      </c>
      <c r="AI111" s="232">
        <f>AI105+AI108-(AI109+AI110)</f>
        <v>118218</v>
      </c>
      <c r="AJ111" s="97">
        <f t="shared" si="381"/>
        <v>136.207498181326</v>
      </c>
      <c r="AK111" s="234">
        <f>AK105+AK108-(AK109+AK110)</f>
        <v>16102178.02</v>
      </c>
      <c r="AL111" s="232">
        <f>AL105+AL108-(AL109+AL110)</f>
        <v>1485865.95</v>
      </c>
      <c r="AM111" s="234">
        <f t="shared" ref="AM111" si="384">AN111/AL111</f>
        <v>128.578629397894</v>
      </c>
      <c r="AN111" s="234">
        <f>AN105+AN108-(AN109+AN110)</f>
        <v>191050607.32</v>
      </c>
    </row>
    <row r="112" ht="14.25" spans="1:21">
      <c r="A112" s="230" t="s">
        <v>366</v>
      </c>
      <c r="B112" s="159">
        <f>'PAL II'!D11</f>
        <v>167922</v>
      </c>
      <c r="D112" s="97">
        <f>'PAL II'!E10</f>
        <v>18484284</v>
      </c>
      <c r="S112" s="1960">
        <f>S72+S73</f>
        <v>15460854</v>
      </c>
      <c r="T112" s="830">
        <f t="shared" si="383"/>
        <v>1.29701385505893e-5</v>
      </c>
      <c r="U112" s="2408">
        <f>U72+U73</f>
        <v>200.529418490433</v>
      </c>
    </row>
    <row r="113" spans="1:40">
      <c r="A113" s="230" t="s">
        <v>367</v>
      </c>
      <c r="B113" s="159">
        <f>B69</f>
        <v>7728</v>
      </c>
      <c r="D113" s="97">
        <f>D69</f>
        <v>1194876</v>
      </c>
      <c r="H113" s="2437"/>
      <c r="I113" s="2444"/>
      <c r="J113" s="2444"/>
      <c r="K113" s="1242"/>
      <c r="L113" s="1242"/>
      <c r="M113" s="1242"/>
      <c r="N113" s="1242"/>
      <c r="O113" s="1242"/>
      <c r="P113" s="1242"/>
      <c r="Q113" s="2437"/>
      <c r="R113" s="2444"/>
      <c r="S113" s="2444"/>
      <c r="T113" s="1242"/>
      <c r="U113" s="1242"/>
      <c r="V113" s="1242"/>
      <c r="W113" s="1242"/>
      <c r="X113" s="1242"/>
      <c r="Y113" s="1242"/>
      <c r="Z113" s="2437"/>
      <c r="AA113" s="2444"/>
      <c r="AB113" s="2444"/>
      <c r="AC113" s="1242"/>
      <c r="AD113" s="1242"/>
      <c r="AE113" s="1242"/>
      <c r="AF113" s="1242"/>
      <c r="AG113" s="1242"/>
      <c r="AH113" s="1242"/>
      <c r="AI113" s="2437"/>
      <c r="AJ113" s="2444"/>
      <c r="AK113" s="2444"/>
      <c r="AL113" s="2437"/>
      <c r="AM113" s="2444"/>
      <c r="AN113" s="2444"/>
    </row>
  </sheetData>
  <mergeCells count="14">
    <mergeCell ref="A1:AL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</mergeCells>
  <pageMargins left="0.7" right="0.7" top="0.75" bottom="0.75" header="0.3" footer="0.3"/>
  <pageSetup paperSize="9" scale="32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B1:AX66"/>
  <sheetViews>
    <sheetView showZeros="0" tabSelected="1" workbookViewId="0">
      <pane xSplit="2" ySplit="3" topLeftCell="C4" activePane="bottomRight" state="frozen"/>
      <selection/>
      <selection pane="topRight"/>
      <selection pane="bottomLeft"/>
      <selection pane="bottomRight" activeCell="AK36" sqref="AK36"/>
    </sheetView>
  </sheetViews>
  <sheetFormatPr defaultColWidth="9.14285714285714" defaultRowHeight="15"/>
  <cols>
    <col min="1" max="1" width="3.57142857142857" style="229" customWidth="1"/>
    <col min="2" max="2" width="22.8571428571429" style="229" customWidth="1"/>
    <col min="3" max="3" width="9.85714285714286" style="229" customWidth="1"/>
    <col min="4" max="4" width="16.5714285714286" style="229" customWidth="1"/>
    <col min="5" max="5" width="8.42857142857143" style="229" customWidth="1"/>
    <col min="6" max="6" width="10" style="229" customWidth="1"/>
    <col min="7" max="7" width="16.5714285714286" style="229" customWidth="1"/>
    <col min="8" max="8" width="9" style="229" customWidth="1"/>
    <col min="9" max="9" width="9.85714285714286" style="229" customWidth="1"/>
    <col min="10" max="10" width="16.4285714285714" style="229" customWidth="1"/>
    <col min="11" max="11" width="8.42857142857143" style="229" customWidth="1"/>
    <col min="12" max="12" width="9.85714285714286" style="229" customWidth="1"/>
    <col min="13" max="13" width="16.5714285714286" style="229" customWidth="1"/>
    <col min="14" max="14" width="11.1428571428571" style="229" customWidth="1"/>
    <col min="15" max="15" width="10.4285714285714" style="229" customWidth="1"/>
    <col min="16" max="16" width="17.8571428571429" style="229" customWidth="1"/>
    <col min="17" max="17" width="8.42857142857143" style="229" customWidth="1"/>
    <col min="18" max="18" width="10" style="229" customWidth="1"/>
    <col min="19" max="19" width="15.7142857142857" style="229" customWidth="1"/>
    <col min="20" max="20" width="8.42857142857143" style="229" customWidth="1"/>
    <col min="21" max="21" width="10.7142857142857" style="229" customWidth="1"/>
    <col min="22" max="22" width="16.5714285714286" style="229" customWidth="1"/>
    <col min="23" max="23" width="9.28571428571429" style="229" customWidth="1"/>
    <col min="24" max="24" width="9.85714285714286" style="229" customWidth="1"/>
    <col min="25" max="25" width="16.2857142857143" style="229" customWidth="1"/>
    <col min="26" max="26" width="9.28571428571429" style="229" customWidth="1"/>
    <col min="27" max="27" width="9.85714285714286" style="229" customWidth="1"/>
    <col min="28" max="28" width="16.5714285714286" style="229" customWidth="1"/>
    <col min="29" max="29" width="8.42857142857143" style="229" customWidth="1"/>
    <col min="30" max="30" width="10.7142857142857" style="229" customWidth="1"/>
    <col min="31" max="31" width="15.1428571428571" style="229" customWidth="1"/>
    <col min="32" max="32" width="9.28571428571429" style="229" customWidth="1"/>
    <col min="33" max="33" width="10.7142857142857" style="229" customWidth="1"/>
    <col min="34" max="34" width="16.2857142857143" style="229" customWidth="1"/>
    <col min="35" max="35" width="8.42857142857143" style="229" customWidth="1"/>
    <col min="36" max="36" width="9.85714285714286" style="229" customWidth="1"/>
    <col min="37" max="37" width="16.5714285714286" style="229" customWidth="1"/>
    <col min="38" max="38" width="8.42857142857143" style="229" customWidth="1"/>
    <col min="39" max="39" width="12.1428571428571" style="229" customWidth="1"/>
    <col min="40" max="40" width="17.8571428571429" style="229" customWidth="1"/>
    <col min="41" max="41" width="10" style="229" customWidth="1"/>
    <col min="42" max="42" width="8.85714285714286" style="229" customWidth="1"/>
    <col min="43" max="43" width="24.4285714285714" style="229" customWidth="1"/>
    <col min="44" max="44" width="18.4285714285714" style="229" customWidth="1"/>
    <col min="45" max="45" width="16.2857142857143" style="229" customWidth="1"/>
    <col min="46" max="46" width="19" style="229" customWidth="1"/>
    <col min="47" max="47" width="11.1428571428571" style="229" customWidth="1"/>
    <col min="48" max="48" width="18.2857142857143" style="229" customWidth="1"/>
    <col min="49" max="49" width="11.8571428571429" style="229" customWidth="1"/>
    <col min="50" max="16384" width="9.14285714285714" style="229"/>
  </cols>
  <sheetData>
    <row r="1" ht="15.75" spans="2:43"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6"/>
      <c r="AL1" s="256"/>
      <c r="AM1" s="256"/>
      <c r="AN1" s="256"/>
      <c r="AO1" s="256"/>
      <c r="AQ1" s="2199" t="s">
        <v>368</v>
      </c>
    </row>
    <row r="2" spans="2:46">
      <c r="B2" s="632"/>
      <c r="C2" s="258">
        <v>45748</v>
      </c>
      <c r="D2" s="259"/>
      <c r="E2" s="325"/>
      <c r="F2" s="258">
        <v>45778</v>
      </c>
      <c r="G2" s="259"/>
      <c r="H2" s="325"/>
      <c r="I2" s="258">
        <v>45809</v>
      </c>
      <c r="J2" s="259"/>
      <c r="K2" s="325"/>
      <c r="L2" s="258">
        <v>45839</v>
      </c>
      <c r="M2" s="259"/>
      <c r="N2" s="325"/>
      <c r="O2" s="258">
        <v>45870</v>
      </c>
      <c r="P2" s="259"/>
      <c r="Q2" s="325"/>
      <c r="R2" s="258">
        <v>45901</v>
      </c>
      <c r="S2" s="259"/>
      <c r="T2" s="325"/>
      <c r="U2" s="258">
        <v>45931</v>
      </c>
      <c r="V2" s="259"/>
      <c r="W2" s="325"/>
      <c r="X2" s="258">
        <v>45962</v>
      </c>
      <c r="Y2" s="259"/>
      <c r="Z2" s="325"/>
      <c r="AA2" s="258">
        <v>45992</v>
      </c>
      <c r="AB2" s="259"/>
      <c r="AC2" s="325"/>
      <c r="AD2" s="258">
        <v>46023</v>
      </c>
      <c r="AE2" s="259"/>
      <c r="AF2" s="325"/>
      <c r="AG2" s="258">
        <v>46054</v>
      </c>
      <c r="AH2" s="259"/>
      <c r="AI2" s="325"/>
      <c r="AJ2" s="258">
        <v>46082</v>
      </c>
      <c r="AK2" s="259"/>
      <c r="AL2" s="325"/>
      <c r="AM2" s="2181" t="s">
        <v>369</v>
      </c>
      <c r="AN2" s="2182"/>
      <c r="AO2" s="2200"/>
      <c r="AQ2" s="2201" t="s">
        <v>370</v>
      </c>
      <c r="AR2" s="2202"/>
      <c r="AS2" s="2202"/>
      <c r="AT2" s="2202"/>
    </row>
    <row r="3" ht="15.75" spans="2:46">
      <c r="B3" s="2104"/>
      <c r="C3" s="376" t="s">
        <v>371</v>
      </c>
      <c r="D3" s="375" t="s">
        <v>146</v>
      </c>
      <c r="E3" s="422" t="s">
        <v>55</v>
      </c>
      <c r="F3" s="376" t="s">
        <v>371</v>
      </c>
      <c r="G3" s="375" t="s">
        <v>146</v>
      </c>
      <c r="H3" s="422" t="s">
        <v>55</v>
      </c>
      <c r="I3" s="376" t="s">
        <v>371</v>
      </c>
      <c r="J3" s="375" t="s">
        <v>146</v>
      </c>
      <c r="K3" s="422" t="s">
        <v>55</v>
      </c>
      <c r="L3" s="376" t="s">
        <v>371</v>
      </c>
      <c r="M3" s="375" t="s">
        <v>146</v>
      </c>
      <c r="N3" s="422" t="s">
        <v>55</v>
      </c>
      <c r="O3" s="376" t="s">
        <v>371</v>
      </c>
      <c r="P3" s="375" t="s">
        <v>146</v>
      </c>
      <c r="Q3" s="375" t="s">
        <v>55</v>
      </c>
      <c r="R3" s="376" t="s">
        <v>371</v>
      </c>
      <c r="S3" s="375" t="s">
        <v>146</v>
      </c>
      <c r="T3" s="375" t="s">
        <v>55</v>
      </c>
      <c r="U3" s="459" t="s">
        <v>371</v>
      </c>
      <c r="V3" s="262" t="s">
        <v>146</v>
      </c>
      <c r="W3" s="422" t="s">
        <v>55</v>
      </c>
      <c r="X3" s="377" t="s">
        <v>371</v>
      </c>
      <c r="Y3" s="375" t="s">
        <v>146</v>
      </c>
      <c r="Z3" s="375" t="s">
        <v>55</v>
      </c>
      <c r="AA3" s="376" t="s">
        <v>371</v>
      </c>
      <c r="AB3" s="375" t="s">
        <v>146</v>
      </c>
      <c r="AC3" s="422" t="s">
        <v>55</v>
      </c>
      <c r="AD3" s="376" t="s">
        <v>371</v>
      </c>
      <c r="AE3" s="375" t="s">
        <v>146</v>
      </c>
      <c r="AF3" s="422" t="s">
        <v>55</v>
      </c>
      <c r="AG3" s="376" t="s">
        <v>371</v>
      </c>
      <c r="AH3" s="375" t="s">
        <v>146</v>
      </c>
      <c r="AI3" s="422" t="s">
        <v>55</v>
      </c>
      <c r="AJ3" s="377" t="s">
        <v>371</v>
      </c>
      <c r="AK3" s="375" t="s">
        <v>146</v>
      </c>
      <c r="AL3" s="375" t="s">
        <v>55</v>
      </c>
      <c r="AM3" s="376" t="s">
        <v>371</v>
      </c>
      <c r="AN3" s="375" t="s">
        <v>146</v>
      </c>
      <c r="AO3" s="422" t="s">
        <v>55</v>
      </c>
      <c r="AQ3" s="2203" t="s">
        <v>369</v>
      </c>
      <c r="AR3" s="2203"/>
      <c r="AS3" s="2203" t="s">
        <v>372</v>
      </c>
      <c r="AT3" s="2221"/>
    </row>
    <row r="4" ht="15.75" spans="2:48">
      <c r="B4" s="2105" t="s">
        <v>373</v>
      </c>
      <c r="C4" s="2106">
        <f>'Stock Valuation (FIFO)'!B25</f>
        <v>530467</v>
      </c>
      <c r="D4" s="2107">
        <f>'Stock Valuation (FIFO)'!D25</f>
        <v>85026381</v>
      </c>
      <c r="E4" s="2134">
        <f t="shared" ref="E4:E9" si="0">IF(C4=0,0,D4/C4)</f>
        <v>160.285900913723</v>
      </c>
      <c r="F4" s="2106">
        <f>C10</f>
        <v>527375</v>
      </c>
      <c r="G4" s="2107">
        <f>D10</f>
        <v>86087958</v>
      </c>
      <c r="H4" s="2134">
        <f t="shared" ref="H4:H9" si="1">IF(F4=0,0,G4/F4)</f>
        <v>163.238602512444</v>
      </c>
      <c r="I4" s="2106">
        <f>F10</f>
        <v>427207</v>
      </c>
      <c r="J4" s="2107">
        <f>G10</f>
        <v>68618412</v>
      </c>
      <c r="K4" s="2134">
        <f t="shared" ref="K4:K9" si="2">IF(I4=0,0,J4/I4)</f>
        <v>160.620991697233</v>
      </c>
      <c r="L4" s="2106">
        <f>I10</f>
        <v>427194</v>
      </c>
      <c r="M4" s="2107">
        <f>J10</f>
        <v>65790413</v>
      </c>
      <c r="N4" s="2134">
        <f t="shared" ref="N4:N9" si="3">IF(L4=0,0,M4/L4)</f>
        <v>154.005938753821</v>
      </c>
      <c r="O4" s="2106">
        <f>L10</f>
        <v>402336</v>
      </c>
      <c r="P4" s="2107">
        <f>M10</f>
        <v>61857799</v>
      </c>
      <c r="Q4" s="2134">
        <f t="shared" ref="Q4:Q9" si="4">IF(O4=0,0,P4/O4)</f>
        <v>153.746617255229</v>
      </c>
      <c r="R4" s="2106">
        <f>O10</f>
        <v>521050</v>
      </c>
      <c r="S4" s="2107">
        <f>P10</f>
        <v>83484662</v>
      </c>
      <c r="T4" s="2134">
        <f t="shared" ref="T4:T9" si="5">IF(R4=0,0,S4/R4)</f>
        <v>160.223897898474</v>
      </c>
      <c r="U4" s="2106">
        <f>R10</f>
        <v>482628</v>
      </c>
      <c r="V4" s="2167">
        <f>S10</f>
        <v>83313816</v>
      </c>
      <c r="W4" s="2134">
        <f>IF(U4=0,0,V4/U4)</f>
        <v>172.625326338298</v>
      </c>
      <c r="X4" s="2106">
        <f>U10</f>
        <v>522362</v>
      </c>
      <c r="Y4" s="2107">
        <f>V10</f>
        <v>87824902</v>
      </c>
      <c r="Z4" s="2134">
        <f>IF(X4=0,0,Y4/X4)</f>
        <v>168.130342559375</v>
      </c>
      <c r="AA4" s="2106">
        <f>X10</f>
        <v>529436</v>
      </c>
      <c r="AB4" s="2107">
        <f>Y10</f>
        <v>85308425</v>
      </c>
      <c r="AC4" s="2134">
        <f>IF(AA4=0,0,AB4/AA4)</f>
        <v>161.130759902991</v>
      </c>
      <c r="AD4" s="2106">
        <f>AA10</f>
        <v>541444</v>
      </c>
      <c r="AE4" s="274">
        <f>AB10</f>
        <v>90525849</v>
      </c>
      <c r="AF4" s="2134">
        <f>IF(AD4=0,0,AE4/AD4)</f>
        <v>167.193373645289</v>
      </c>
      <c r="AG4" s="2106">
        <f>AD10</f>
        <v>579352</v>
      </c>
      <c r="AH4" s="2107">
        <f>AE10</f>
        <v>95428099</v>
      </c>
      <c r="AI4" s="2134">
        <f>IF(AG4=0,0,AH4/AG4)</f>
        <v>164.715231845234</v>
      </c>
      <c r="AJ4" s="2106">
        <f>AG10</f>
        <v>536653</v>
      </c>
      <c r="AK4" s="274">
        <f>AH10</f>
        <v>91077756</v>
      </c>
      <c r="AL4" s="2134">
        <f>IF(AJ4=0,0,AK4/AJ4)</f>
        <v>169.714426267998</v>
      </c>
      <c r="AM4" s="2183">
        <f>+C4</f>
        <v>530467</v>
      </c>
      <c r="AN4" s="343">
        <f>D4</f>
        <v>85026381</v>
      </c>
      <c r="AO4" s="2134">
        <f t="shared" ref="AO4:AO9" si="6">IF(AM4=0,0,AN4/AM4)</f>
        <v>160.285900913723</v>
      </c>
      <c r="AQ4" s="374">
        <v>85026381</v>
      </c>
      <c r="AR4" s="374">
        <f t="shared" ref="AR4:AR5" si="7">AN4-AQ4</f>
        <v>0</v>
      </c>
      <c r="AS4" s="374"/>
      <c r="AT4" s="368"/>
      <c r="AV4" s="2222"/>
    </row>
    <row r="5" ht="15.75" spans="2:46">
      <c r="B5" s="634" t="s">
        <v>374</v>
      </c>
      <c r="C5" s="2108">
        <f>Purchase!K5</f>
        <v>102532</v>
      </c>
      <c r="D5" s="346">
        <f>ROUND((Purchase!L5-Purchase!N5),0)</f>
        <v>9540377</v>
      </c>
      <c r="E5" s="508">
        <f t="shared" si="0"/>
        <v>93.0477997113096</v>
      </c>
      <c r="F5" s="2108">
        <f>ROUND((Purchase!K6),0)</f>
        <v>58185</v>
      </c>
      <c r="G5" s="346">
        <f>ROUND((Purchase!L6-Purchase!N6),0)</f>
        <v>5511286</v>
      </c>
      <c r="H5" s="508">
        <f t="shared" si="1"/>
        <v>94.7200481223683</v>
      </c>
      <c r="I5" s="2108">
        <f>ROUND((Purchase!K7),0)</f>
        <v>152668</v>
      </c>
      <c r="J5" s="346">
        <f>ROUND((Purchase!L7-Purchase!N7),0)</f>
        <v>14973887</v>
      </c>
      <c r="K5" s="508">
        <f t="shared" si="2"/>
        <v>98.0813726517672</v>
      </c>
      <c r="L5" s="2108">
        <f>ROUND((Purchase!K8),0)</f>
        <v>138661</v>
      </c>
      <c r="M5" s="346">
        <f>ROUND((Purchase!L8-Purchase!N8),0)</f>
        <v>13053845</v>
      </c>
      <c r="N5" s="508">
        <f t="shared" si="3"/>
        <v>94.1421524437297</v>
      </c>
      <c r="O5" s="2108">
        <f>ROUND((Purchase!K9),0)</f>
        <v>175609</v>
      </c>
      <c r="P5" s="346">
        <f>ROUND((Purchase!L9-Purchase!N9),0)</f>
        <v>17886341</v>
      </c>
      <c r="Q5" s="508">
        <f t="shared" si="4"/>
        <v>101.853213673559</v>
      </c>
      <c r="R5" s="2108">
        <f>ROUND((Purchase!K10),0)</f>
        <v>37844</v>
      </c>
      <c r="S5" s="346">
        <f>ROUND((Purchase!L10-Purchase!N10),0)</f>
        <v>3215869</v>
      </c>
      <c r="T5" s="508">
        <f t="shared" si="5"/>
        <v>84.9769844625304</v>
      </c>
      <c r="U5" s="2108">
        <f>ROUND((Purchase!K11),0)</f>
        <v>129229</v>
      </c>
      <c r="V5" s="346">
        <f>ROUND((Purchase!L11-Purchase!N11),0)</f>
        <v>12675600</v>
      </c>
      <c r="W5" s="508">
        <f>IF(U5=0,0,V5/U5)</f>
        <v>98.0863428487414</v>
      </c>
      <c r="X5" s="2108">
        <f>ROUND((Purchase!K12),0)</f>
        <v>120959</v>
      </c>
      <c r="Y5" s="346">
        <f>ROUND((Purchase!L12-Purchase!N12),0)</f>
        <v>11136467</v>
      </c>
      <c r="Z5" s="508">
        <f>IF(X5=0,0,Y5/X5)</f>
        <v>92.0681139890376</v>
      </c>
      <c r="AA5" s="2108">
        <f>ROUND((Purchase!K13),0)</f>
        <v>107574</v>
      </c>
      <c r="AB5" s="346">
        <f>ROUND((Purchase!L13-Purchase!N13),0)</f>
        <v>9938575</v>
      </c>
      <c r="AC5" s="508">
        <f>IF(AA5=0,0,AB5/AA5)</f>
        <v>92.3882629631695</v>
      </c>
      <c r="AD5" s="2108">
        <f>ROUND((Purchase!K14),0)</f>
        <v>170449</v>
      </c>
      <c r="AE5" s="346">
        <f>ROUND((Purchase!L14-Purchase!N14),0)</f>
        <v>16739942</v>
      </c>
      <c r="AF5" s="508">
        <f>IF(AD5=0,0,AE5/AD5)</f>
        <v>98.2108548598114</v>
      </c>
      <c r="AG5" s="2108">
        <f>ROUND((Purchase!K15),0)</f>
        <v>117875</v>
      </c>
      <c r="AH5" s="346">
        <f>ROUND((Purchase!L15-Purchase!N15),0)</f>
        <v>11974191</v>
      </c>
      <c r="AI5" s="508">
        <f>IF(AG5=0,0,AH5/AG5)</f>
        <v>101.583804878049</v>
      </c>
      <c r="AJ5" s="2108">
        <f>ROUND((Purchase!K16),0)</f>
        <v>98000</v>
      </c>
      <c r="AK5" s="346">
        <f>ROUND((Purchase!L16-Purchase!N16),0)</f>
        <v>12417202</v>
      </c>
      <c r="AL5" s="508">
        <f>IF(AJ5=0,0,AK5/AJ5)</f>
        <v>126.706142857143</v>
      </c>
      <c r="AM5" s="2184">
        <f>SUM(C5,F5,I5,L5,O5,R5,U5,X5,AA5,AD5,AG5,AJ5)</f>
        <v>1409585</v>
      </c>
      <c r="AN5" s="346">
        <f>SUM(D5,G5,J5,M5,P5,S5,V5,Y5,AB5,AE5,AH5,AK5)</f>
        <v>139063582</v>
      </c>
      <c r="AO5" s="508">
        <f t="shared" si="6"/>
        <v>98.6556908593664</v>
      </c>
      <c r="AQ5" s="374">
        <f>144962998-5902916+3500</f>
        <v>139063582</v>
      </c>
      <c r="AR5" s="2204">
        <f t="shared" si="7"/>
        <v>0</v>
      </c>
      <c r="AS5" s="374"/>
      <c r="AT5" s="368"/>
    </row>
    <row r="6" ht="15.75" spans="2:46">
      <c r="B6" s="633" t="s">
        <v>375</v>
      </c>
      <c r="C6" s="2109">
        <f>ROUND((Purchase!K52),0)</f>
        <v>7728</v>
      </c>
      <c r="D6" s="332">
        <f>ROUND((Purchase!L52),0)</f>
        <v>1194876</v>
      </c>
      <c r="E6" s="508">
        <f t="shared" si="0"/>
        <v>154.616459627329</v>
      </c>
      <c r="F6" s="2109">
        <f>ROUND((Purchase!K53),0)</f>
        <v>8668</v>
      </c>
      <c r="G6" s="332">
        <f>ROUND((Purchase!$L53),0)</f>
        <v>1437319</v>
      </c>
      <c r="H6" s="508">
        <f t="shared" si="1"/>
        <v>165.818989386248</v>
      </c>
      <c r="I6" s="2109">
        <f>ROUND((Purchase!K54),0)</f>
        <v>6962</v>
      </c>
      <c r="J6" s="332">
        <f>ROUND((Purchase!$L54),0)</f>
        <v>1146692</v>
      </c>
      <c r="K6" s="508">
        <f t="shared" si="2"/>
        <v>164.707268026429</v>
      </c>
      <c r="L6" s="2109">
        <f>ROUND((Purchase!K55),0)</f>
        <v>8632</v>
      </c>
      <c r="M6" s="332">
        <f>ROUND((Purchase!$L55),0)</f>
        <v>1333120</v>
      </c>
      <c r="N6" s="508">
        <f t="shared" si="3"/>
        <v>154.439295644115</v>
      </c>
      <c r="O6" s="2109">
        <f>ROUND((Purchase!K56),0)</f>
        <v>6457</v>
      </c>
      <c r="P6" s="332">
        <f>ROUND((Purchase!$L56),0)</f>
        <v>1004334</v>
      </c>
      <c r="Q6" s="508">
        <f t="shared" si="4"/>
        <v>155.541892519746</v>
      </c>
      <c r="R6" s="2109">
        <f>ROUND((Purchase!K57),0)</f>
        <v>6172</v>
      </c>
      <c r="S6" s="332">
        <f>ROUND((Purchase!$L57),0)</f>
        <v>927618</v>
      </c>
      <c r="T6" s="508">
        <f t="shared" si="5"/>
        <v>150.294556059624</v>
      </c>
      <c r="U6" s="2109">
        <f>ROUND((Purchase!K58),0)</f>
        <v>7171</v>
      </c>
      <c r="V6" s="332">
        <f>ROUND((Purchase!$L58),0)</f>
        <v>1142948</v>
      </c>
      <c r="W6" s="508">
        <f>IF(U6=0,0,V6/U6)</f>
        <v>159.384744108214</v>
      </c>
      <c r="X6" s="2109">
        <f>ROUND((Purchase!K59),0)</f>
        <v>15823</v>
      </c>
      <c r="Y6" s="332">
        <f>ROUND((Purchase!L59),0)</f>
        <v>2059757</v>
      </c>
      <c r="Z6" s="508">
        <f>IF(X6=0,0,Y6/X6)</f>
        <v>130.17487202174</v>
      </c>
      <c r="AA6" s="2109">
        <f>ROUND((Purchase!K60),0)</f>
        <v>6254</v>
      </c>
      <c r="AB6" s="332">
        <f>ROUND((Purchase!L60),0)</f>
        <v>983861</v>
      </c>
      <c r="AC6" s="508">
        <f>IF(AA6=0,0,AB6/AA6)</f>
        <v>157.317077070675</v>
      </c>
      <c r="AD6" s="2109">
        <f>ROUND((Purchase!K61),0)</f>
        <v>4255</v>
      </c>
      <c r="AE6" s="332">
        <f>ROUND((Purchase!L61),0)</f>
        <v>702668</v>
      </c>
      <c r="AF6" s="508">
        <f>IF(AD6=0,0,AE6/AD6)</f>
        <v>165.139365452409</v>
      </c>
      <c r="AG6" s="2109">
        <f>ROUND((Purchase!K62),0)</f>
        <v>6920</v>
      </c>
      <c r="AH6" s="332">
        <f>ROUND((Purchase!L62),0)</f>
        <v>1168842</v>
      </c>
      <c r="AI6" s="508">
        <f>IF(AG6=0,0,AH6/AG6)</f>
        <v>168.907803468208</v>
      </c>
      <c r="AJ6" s="2109">
        <f>ROUND((Purchase!K63),0)</f>
        <v>5970</v>
      </c>
      <c r="AK6" s="332">
        <f>ROUND((Purchase!L63),0)</f>
        <v>1122792</v>
      </c>
      <c r="AL6" s="508">
        <f>IF(AJ6=0,0,AK6/AJ6)</f>
        <v>188.072361809045</v>
      </c>
      <c r="AM6" s="2184">
        <f>SUM(C6,F6,I6,L6,O6,R6,U6,X6,AA6,AD6,AG6,AJ6)</f>
        <v>91012</v>
      </c>
      <c r="AN6" s="346">
        <f>ROUND((SUM(D6,G6,J6,M6,P6,S6,V6,Y6,AB6,AE6,AH6,AK6)),0)</f>
        <v>14224827</v>
      </c>
      <c r="AO6" s="508">
        <f t="shared" si="6"/>
        <v>156.296169735859</v>
      </c>
      <c r="AQ6" s="374">
        <v>14224827</v>
      </c>
      <c r="AR6" s="2204">
        <f t="shared" ref="AR6:AR8" si="8">AN6-AQ6</f>
        <v>0</v>
      </c>
      <c r="AS6" s="374"/>
      <c r="AT6" s="368" t="s">
        <v>376</v>
      </c>
    </row>
    <row r="7" ht="15.75" spans="2:46">
      <c r="B7" s="634" t="s">
        <v>377</v>
      </c>
      <c r="C7" s="2108">
        <f>ROUND((Purchase!$L22),0)</f>
        <v>18891</v>
      </c>
      <c r="D7" s="333">
        <f>ROUND((Purchase!$M22),0)</f>
        <v>2338464</v>
      </c>
      <c r="E7" s="508">
        <f t="shared" si="0"/>
        <v>123.787200254089</v>
      </c>
      <c r="F7" s="2108">
        <f>ROUND((Purchase!$L23),0)</f>
        <v>11834</v>
      </c>
      <c r="G7" s="333">
        <f>ROUND((Purchase!$M23),0)</f>
        <v>1494263</v>
      </c>
      <c r="H7" s="508">
        <f t="shared" si="1"/>
        <v>126.268632753084</v>
      </c>
      <c r="I7" s="2108">
        <f>ROUND((Purchase!$L24),0)</f>
        <v>18632</v>
      </c>
      <c r="J7" s="333">
        <f>ROUND((Purchase!$M24),0)</f>
        <v>2292675</v>
      </c>
      <c r="K7" s="508">
        <f t="shared" si="2"/>
        <v>123.050397166166</v>
      </c>
      <c r="L7" s="2108">
        <f>ROUND((Purchase!$L25),0)</f>
        <v>9076</v>
      </c>
      <c r="M7" s="333">
        <f>ROUND((Purchase!$M25),0)</f>
        <v>1098736</v>
      </c>
      <c r="N7" s="508">
        <f t="shared" si="3"/>
        <v>121.059497576025</v>
      </c>
      <c r="O7" s="2108">
        <f>ROUND((Purchase!$L26),0)</f>
        <v>24210</v>
      </c>
      <c r="P7" s="333">
        <f>ROUND((Purchase!$M26),0)</f>
        <v>2949800</v>
      </c>
      <c r="Q7" s="508">
        <f t="shared" si="4"/>
        <v>121.842213961173</v>
      </c>
      <c r="R7" s="2108">
        <f>ROUND((Purchase!$L27),0)</f>
        <v>34618</v>
      </c>
      <c r="S7" s="333">
        <f>ROUND((Purchase!$M27),0)</f>
        <v>4235334</v>
      </c>
      <c r="T7" s="508">
        <f t="shared" si="5"/>
        <v>122.34484950026</v>
      </c>
      <c r="U7" s="2108">
        <f>ROUND((Purchase!$L28),0)</f>
        <v>7140</v>
      </c>
      <c r="V7" s="333">
        <f>ROUND((Purchase!$M28),0)</f>
        <v>785256</v>
      </c>
      <c r="W7" s="508">
        <f t="shared" ref="W7:W9" si="9">IF(U7=0,0,V7/U7)</f>
        <v>109.979831932773</v>
      </c>
      <c r="X7" s="2108">
        <f>ROUND((Purchase!$L29),0)</f>
        <v>15516</v>
      </c>
      <c r="Y7" s="333">
        <f>ROUND((Purchase!$M29),0)</f>
        <v>1847198</v>
      </c>
      <c r="Z7" s="508">
        <f t="shared" ref="Z7:Z9" si="10">IF(X7=0,0,Y7/X7)</f>
        <v>119.051172982728</v>
      </c>
      <c r="AA7" s="2108">
        <f>ROUND((Purchase!$L30),0)</f>
        <v>8733</v>
      </c>
      <c r="AB7" s="333">
        <f>ROUND((Purchase!$M30),0)</f>
        <v>960212</v>
      </c>
      <c r="AC7" s="508">
        <f t="shared" ref="AC7:AC9" si="11">IF(AA7=0,0,AB7/AA7)</f>
        <v>109.952135577694</v>
      </c>
      <c r="AD7" s="2108">
        <f>ROUND((Purchase!$L31),0)</f>
        <v>4710</v>
      </c>
      <c r="AE7" s="333">
        <f>ROUND((Purchase!$M31),0)</f>
        <v>570096</v>
      </c>
      <c r="AF7" s="508">
        <f t="shared" ref="AF7:AF9" si="12">IF(AD7=0,0,AE7/AD7)</f>
        <v>121.03949044586</v>
      </c>
      <c r="AG7" s="2108">
        <f>ROUND((Purchase!$L32),0)</f>
        <v>5000</v>
      </c>
      <c r="AH7" s="333">
        <f>ROUND((Purchase!$M32),0)</f>
        <v>560000</v>
      </c>
      <c r="AI7" s="508">
        <f t="shared" ref="AI7:AI9" si="13">IF(AG7=0,0,AH7/AG7)</f>
        <v>112</v>
      </c>
      <c r="AJ7" s="2108">
        <f>ROUND((Purchase!$L33),0)</f>
        <v>2984</v>
      </c>
      <c r="AK7" s="333">
        <f>ROUND((Purchase!$M33),0)</f>
        <v>372906</v>
      </c>
      <c r="AL7" s="508">
        <f t="shared" ref="AL7:AL9" si="14">IF(AJ7=0,0,AK7/AJ7)</f>
        <v>124.968498659517</v>
      </c>
      <c r="AM7" s="2108">
        <f>ROUND((Purchase!$L34),0)</f>
        <v>161344</v>
      </c>
      <c r="AN7" s="333">
        <f>ROUND((Purchase!$M34),0)</f>
        <v>19504939</v>
      </c>
      <c r="AO7" s="508">
        <f t="shared" si="6"/>
        <v>120.890389478382</v>
      </c>
      <c r="AQ7" s="374">
        <v>19504939</v>
      </c>
      <c r="AR7" s="2204">
        <f t="shared" si="8"/>
        <v>0</v>
      </c>
      <c r="AS7" s="374"/>
      <c r="AT7" s="368"/>
    </row>
    <row r="8" ht="16.5" spans="2:47">
      <c r="B8" s="2104" t="s">
        <v>378</v>
      </c>
      <c r="C8" s="2110">
        <f>Purchase!$I22</f>
        <v>23693</v>
      </c>
      <c r="D8" s="334">
        <f>Purchase!$J22</f>
        <v>5738425</v>
      </c>
      <c r="E8" s="473">
        <f t="shared" si="0"/>
        <v>242.199172751446</v>
      </c>
      <c r="F8" s="2110">
        <f>Purchase!$I23</f>
        <v>20429</v>
      </c>
      <c r="G8" s="334">
        <f>Purchase!$J23</f>
        <v>5132735</v>
      </c>
      <c r="H8" s="473">
        <f t="shared" si="1"/>
        <v>251.247491311371</v>
      </c>
      <c r="I8" s="2110">
        <f>Purchase!$I24</f>
        <v>24698</v>
      </c>
      <c r="J8" s="334">
        <f>Purchase!$J24</f>
        <v>6303597</v>
      </c>
      <c r="K8" s="473">
        <f t="shared" si="2"/>
        <v>255.227022430966</v>
      </c>
      <c r="L8" s="2110">
        <f>Purchase!$I25</f>
        <v>20991</v>
      </c>
      <c r="M8" s="334">
        <f>Purchase!$J25</f>
        <v>5756799</v>
      </c>
      <c r="N8" s="473">
        <f t="shared" si="3"/>
        <v>274.250821780763</v>
      </c>
      <c r="O8" s="2110">
        <f>Purchase!$I26</f>
        <v>25077</v>
      </c>
      <c r="P8" s="334">
        <f>Purchase!$J26</f>
        <v>6255278</v>
      </c>
      <c r="Q8" s="473">
        <f t="shared" si="4"/>
        <v>249.44283606492</v>
      </c>
      <c r="R8" s="2110">
        <f>Purchase!$I27</f>
        <v>23552</v>
      </c>
      <c r="S8" s="334">
        <f>Purchase!$J27</f>
        <v>5735506</v>
      </c>
      <c r="T8" s="473">
        <f t="shared" si="5"/>
        <v>243.525220788043</v>
      </c>
      <c r="U8" s="2110">
        <f>Purchase!$I28</f>
        <v>26146</v>
      </c>
      <c r="V8" s="334">
        <f>Purchase!$J28</f>
        <v>6617498</v>
      </c>
      <c r="W8" s="473">
        <f t="shared" si="9"/>
        <v>253.097911726459</v>
      </c>
      <c r="X8" s="2110">
        <f>Purchase!$I29</f>
        <v>21566</v>
      </c>
      <c r="Y8" s="334">
        <f>Purchase!$J29</f>
        <v>5173432</v>
      </c>
      <c r="Z8" s="473">
        <f t="shared" si="10"/>
        <v>239.888342761755</v>
      </c>
      <c r="AA8" s="2110">
        <f>ROUND((Purchase!$I30),0)</f>
        <v>25953</v>
      </c>
      <c r="AB8" s="334">
        <f>Purchase!$J30</f>
        <v>6191931</v>
      </c>
      <c r="AC8" s="473">
        <f t="shared" si="11"/>
        <v>238.582476014334</v>
      </c>
      <c r="AD8" s="2110">
        <f>ROUND((Purchase!$I31),0)</f>
        <v>26468</v>
      </c>
      <c r="AE8" s="334">
        <f>ROUND((Purchase!$J31),0)</f>
        <v>6431104</v>
      </c>
      <c r="AF8" s="473">
        <f t="shared" si="12"/>
        <v>242.976575487381</v>
      </c>
      <c r="AG8" s="2110">
        <f>ROUND((Purchase!$I32),0)</f>
        <v>15612</v>
      </c>
      <c r="AH8" s="334">
        <f>ROUND((Purchase!$J32),0)</f>
        <v>4087686</v>
      </c>
      <c r="AI8" s="473">
        <f t="shared" si="13"/>
        <v>261.829746348962</v>
      </c>
      <c r="AJ8" s="2110">
        <f>ROUND((Purchase!$I33),0)</f>
        <v>28225</v>
      </c>
      <c r="AK8" s="334">
        <f>ROUND((Purchase!$J33),0)</f>
        <v>6898641</v>
      </c>
      <c r="AL8" s="473">
        <f t="shared" si="14"/>
        <v>244.41597874225</v>
      </c>
      <c r="AM8" s="2111">
        <f>SUM(C8,F8,I8,L8,O8,R8,U8,X8,AA8,AD8,AG8,AJ8)</f>
        <v>282410</v>
      </c>
      <c r="AN8" s="337">
        <f>ROUND((SUM(D8,G8,J8,M8,P8,S8,V8,Y8,AB8,AE8,AH8,AK8)),0)</f>
        <v>70322632</v>
      </c>
      <c r="AO8" s="473">
        <f t="shared" si="6"/>
        <v>249.009001097695</v>
      </c>
      <c r="AQ8" s="2205">
        <f>89827571-AQ7</f>
        <v>70322632</v>
      </c>
      <c r="AR8" s="2206">
        <f t="shared" si="8"/>
        <v>0</v>
      </c>
      <c r="AS8" s="2205"/>
      <c r="AT8" s="368"/>
      <c r="AU8" s="368"/>
    </row>
    <row r="9" ht="15.75" spans="2:49">
      <c r="B9" s="2105"/>
      <c r="C9" s="2106">
        <f>SUM(C4:C8)</f>
        <v>683311</v>
      </c>
      <c r="D9" s="328">
        <f>SUM(D4:D8)</f>
        <v>103838523</v>
      </c>
      <c r="E9" s="2135">
        <f t="shared" si="0"/>
        <v>151.963780767469</v>
      </c>
      <c r="F9" s="2106">
        <f>SUM(F4:F8)</f>
        <v>626491</v>
      </c>
      <c r="G9" s="328">
        <f>SUM(G4:G8)</f>
        <v>99663561</v>
      </c>
      <c r="H9" s="2135">
        <f t="shared" si="1"/>
        <v>159.082191124853</v>
      </c>
      <c r="I9" s="2106">
        <f>SUM(I4:I8)</f>
        <v>630167</v>
      </c>
      <c r="J9" s="328">
        <f>SUM(J4:J8)</f>
        <v>93335263</v>
      </c>
      <c r="K9" s="2135">
        <f t="shared" si="2"/>
        <v>148.111949689527</v>
      </c>
      <c r="L9" s="2106">
        <f>SUM(L4:L8)</f>
        <v>604554</v>
      </c>
      <c r="M9" s="328">
        <f>SUM(M4:M8)</f>
        <v>87032913</v>
      </c>
      <c r="N9" s="2135">
        <f t="shared" si="3"/>
        <v>143.962182038329</v>
      </c>
      <c r="O9" s="2106">
        <f>SUM(O4:O8)</f>
        <v>633689</v>
      </c>
      <c r="P9" s="328">
        <f>SUM(P4:P8)</f>
        <v>89953552</v>
      </c>
      <c r="Q9" s="508">
        <f t="shared" si="4"/>
        <v>141.952206839633</v>
      </c>
      <c r="R9" s="2106">
        <f>SUM(R4:R8)</f>
        <v>623236</v>
      </c>
      <c r="S9" s="328">
        <f>SUM(S4:S8)</f>
        <v>97598989</v>
      </c>
      <c r="T9" s="508">
        <f t="shared" si="5"/>
        <v>156.600371287923</v>
      </c>
      <c r="U9" s="2106">
        <f>SUM(U4:U8)</f>
        <v>652314</v>
      </c>
      <c r="V9" s="328">
        <f>SUM(V4:V8)</f>
        <v>104535118</v>
      </c>
      <c r="W9" s="2135">
        <f t="shared" si="9"/>
        <v>160.252758640777</v>
      </c>
      <c r="X9" s="2106">
        <f>SUM(X4:X8)</f>
        <v>696226</v>
      </c>
      <c r="Y9" s="328">
        <f>SUM(Y4:Y8)</f>
        <v>108041756</v>
      </c>
      <c r="Z9" s="2135">
        <f t="shared" si="10"/>
        <v>155.182018482504</v>
      </c>
      <c r="AA9" s="2106">
        <f>SUM(AA4:AA8)</f>
        <v>677950</v>
      </c>
      <c r="AB9" s="328">
        <f>SUM(AB4:AB8)</f>
        <v>103383004</v>
      </c>
      <c r="AC9" s="2135">
        <f t="shared" si="11"/>
        <v>152.493552621875</v>
      </c>
      <c r="AD9" s="2106">
        <f>SUM(AD4:AD8)</f>
        <v>747326</v>
      </c>
      <c r="AE9" s="328">
        <f>SUM(AE4:AE8)</f>
        <v>114969659</v>
      </c>
      <c r="AF9" s="2135">
        <f t="shared" si="12"/>
        <v>153.841374447028</v>
      </c>
      <c r="AG9" s="2106">
        <f>SUM(AG4:AG8)</f>
        <v>724759</v>
      </c>
      <c r="AH9" s="328">
        <f>SUM(AH4:AH8)</f>
        <v>113218818</v>
      </c>
      <c r="AI9" s="508">
        <f t="shared" si="13"/>
        <v>156.215815188221</v>
      </c>
      <c r="AJ9" s="2106">
        <f>SUM(AJ4:AJ8)</f>
        <v>671832</v>
      </c>
      <c r="AK9" s="328">
        <f>SUM(AK4:AK8)</f>
        <v>111889297</v>
      </c>
      <c r="AL9" s="2135">
        <f t="shared" si="14"/>
        <v>166.543565951012</v>
      </c>
      <c r="AM9" s="2106">
        <f>SUM(AM4:AM8)</f>
        <v>2474818</v>
      </c>
      <c r="AN9" s="328">
        <f>SUM(AN4:AN8)</f>
        <v>328142361</v>
      </c>
      <c r="AO9" s="2135">
        <f t="shared" si="6"/>
        <v>132.59252235922</v>
      </c>
      <c r="AQ9" s="374">
        <f>SUM(AQ4:AQ8)</f>
        <v>328142361</v>
      </c>
      <c r="AR9" s="2204">
        <f t="shared" ref="AR9:AR13" si="15">AN9-AQ9</f>
        <v>0</v>
      </c>
      <c r="AS9" s="374"/>
      <c r="AT9" s="368"/>
      <c r="AU9" s="368">
        <f>AT8/(AM9-AM4)</f>
        <v>0</v>
      </c>
      <c r="AV9" s="368"/>
      <c r="AW9" s="368"/>
    </row>
    <row r="10" ht="16.5" spans="2:46">
      <c r="B10" s="2104" t="s">
        <v>379</v>
      </c>
      <c r="C10" s="2111">
        <f>ROUND(('Stock Valuation (FIFO)'!$E25),0)</f>
        <v>527375</v>
      </c>
      <c r="D10" s="337">
        <f>ROUND(('Stock Valuation (FIFO)'!$G25),0)</f>
        <v>86087958</v>
      </c>
      <c r="E10" s="473">
        <f>IF(C10=0,0,(D10/C10))</f>
        <v>163.238602512444</v>
      </c>
      <c r="F10" s="2111">
        <f>ROUND(('Stock Valuation (FIFO)'!$H25),0)</f>
        <v>427207</v>
      </c>
      <c r="G10" s="337">
        <f>ROUND(('Stock Valuation (FIFO)'!J25),0)</f>
        <v>68618412</v>
      </c>
      <c r="H10" s="473">
        <f>IF(F10=0,0,(G10/F10))</f>
        <v>160.620991697233</v>
      </c>
      <c r="I10" s="2149">
        <f>'Stock Valuation (FIFO)'!K25</f>
        <v>427194</v>
      </c>
      <c r="J10" s="2150">
        <f>'Stock Valuation (FIFO)'!M25</f>
        <v>65790413</v>
      </c>
      <c r="K10" s="473">
        <f>IF(I10=0,0,(J10/I10))</f>
        <v>154.005938753821</v>
      </c>
      <c r="L10" s="2111">
        <f>'Stock Valuation (FIFO)'!N25</f>
        <v>402336</v>
      </c>
      <c r="M10" s="337">
        <f>'Stock Valuation (FIFO)'!P25</f>
        <v>61857799</v>
      </c>
      <c r="N10" s="473">
        <f>IF(L10=0,0,(M10/L10))</f>
        <v>153.746617255229</v>
      </c>
      <c r="O10" s="2111">
        <f>'Stock Valuation (FIFO)'!Q25</f>
        <v>521050</v>
      </c>
      <c r="P10" s="337">
        <f>'Stock Valuation (FIFO)'!S25</f>
        <v>83484662</v>
      </c>
      <c r="Q10" s="473">
        <f>IF(O10=0,0,(P10/O10))</f>
        <v>160.223897898474</v>
      </c>
      <c r="R10" s="2111">
        <f>ROUND('Stock Valuation (FIFO)'!T25,0)</f>
        <v>482628</v>
      </c>
      <c r="S10" s="337">
        <f>ROUND('Stock Valuation (FIFO)'!V25,0)</f>
        <v>83313816</v>
      </c>
      <c r="T10" s="473">
        <f>IF(R10=0,0,(S10/R10))</f>
        <v>172.625326338298</v>
      </c>
      <c r="U10" s="2111">
        <f>'Stock Valuation (FIFO)'!W25</f>
        <v>522362</v>
      </c>
      <c r="V10" s="337">
        <f>'Stock Valuation (FIFO)'!Y25</f>
        <v>87824902</v>
      </c>
      <c r="W10" s="473">
        <f>IF(U10=0,0,(V10/U10))</f>
        <v>168.130342559375</v>
      </c>
      <c r="X10" s="2111">
        <f>'Stock Valuation (FIFO)'!Z25</f>
        <v>529436</v>
      </c>
      <c r="Y10" s="337">
        <f>'Stock Valuation (FIFO)'!AB25</f>
        <v>85308425</v>
      </c>
      <c r="Z10" s="473">
        <f>IF(X10=0,0,(Y10/X10))</f>
        <v>161.130759902991</v>
      </c>
      <c r="AA10" s="2111">
        <f>'Stock Valuation (FIFO)'!AC25</f>
        <v>541444</v>
      </c>
      <c r="AB10" s="337">
        <f>'Stock Valuation (FIFO)'!AE25</f>
        <v>90525849</v>
      </c>
      <c r="AC10" s="473">
        <f>IF(AA10=0,0,(AB10/AA10))</f>
        <v>167.193373645289</v>
      </c>
      <c r="AD10" s="2111">
        <f>'Stock Valuation (FIFO)'!AF25</f>
        <v>579352</v>
      </c>
      <c r="AE10" s="337">
        <f>'Stock Valuation (FIFO)'!AH25</f>
        <v>95428099</v>
      </c>
      <c r="AF10" s="473">
        <f>IF(AD10=0,0,(AE10/AD10))</f>
        <v>164.715231845234</v>
      </c>
      <c r="AG10" s="2111">
        <f>'Stock Valuation (FIFO)'!AI25</f>
        <v>536653</v>
      </c>
      <c r="AH10" s="337">
        <f>'Stock Valuation (FIFO)'!AK25</f>
        <v>91077756</v>
      </c>
      <c r="AI10" s="473">
        <f>IF(AG10=0,0,(AH10/AG10))</f>
        <v>169.714426267998</v>
      </c>
      <c r="AJ10" s="2111">
        <f>'Stock Valuation (FIFO)'!AL25</f>
        <v>447508</v>
      </c>
      <c r="AK10" s="337">
        <f>'Stock Valuation (FIFO)'!AN25</f>
        <v>82860386</v>
      </c>
      <c r="AL10" s="473">
        <f>IF(AJ10=0,0,(AK10/AJ10))</f>
        <v>185.159563627913</v>
      </c>
      <c r="AM10" s="2111">
        <f>AJ10</f>
        <v>447508</v>
      </c>
      <c r="AN10" s="337">
        <f>AK10</f>
        <v>82860386</v>
      </c>
      <c r="AO10" s="473">
        <f>IF(AM10=0,0,(AN10/AM10))</f>
        <v>185.159563627913</v>
      </c>
      <c r="AQ10" s="2207">
        <v>82860386</v>
      </c>
      <c r="AR10" s="2206">
        <f t="shared" si="15"/>
        <v>0</v>
      </c>
      <c r="AS10" s="2205"/>
      <c r="AT10" s="368"/>
    </row>
    <row r="11" ht="15.75" spans="2:46">
      <c r="B11" s="2105"/>
      <c r="C11" s="2106">
        <f>C9-C10</f>
        <v>155936</v>
      </c>
      <c r="D11" s="328">
        <f>D9-D10</f>
        <v>17750565</v>
      </c>
      <c r="E11" s="508">
        <f>IF(C11=0,0,D11/C11)</f>
        <v>113.832373537862</v>
      </c>
      <c r="F11" s="2106">
        <f>F9-F10</f>
        <v>199284</v>
      </c>
      <c r="G11" s="328">
        <f>G9-G10</f>
        <v>31045149</v>
      </c>
      <c r="H11" s="508">
        <f>IF(F11=0,0,G11/F11)</f>
        <v>155.783449750105</v>
      </c>
      <c r="I11" s="2106">
        <f>I9-I10</f>
        <v>202973</v>
      </c>
      <c r="J11" s="328">
        <f>J9-J10</f>
        <v>27544850</v>
      </c>
      <c r="K11" s="508">
        <f>IF(I11=0,0,J11/I11)</f>
        <v>135.706965951136</v>
      </c>
      <c r="L11" s="2106">
        <f>L9-L10</f>
        <v>202218</v>
      </c>
      <c r="M11" s="328">
        <f>M9-M10</f>
        <v>25175114</v>
      </c>
      <c r="N11" s="508">
        <f>IF(L11=0,0,M11/L11)</f>
        <v>124.494921322533</v>
      </c>
      <c r="O11" s="2106">
        <f>O9-O10</f>
        <v>112639</v>
      </c>
      <c r="P11" s="328">
        <f>P9-P10</f>
        <v>6468890</v>
      </c>
      <c r="Q11" s="508">
        <f>IF(O11=0,0,P11/O11)</f>
        <v>57.4302861353528</v>
      </c>
      <c r="R11" s="2106">
        <f>R9-R10</f>
        <v>140608</v>
      </c>
      <c r="S11" s="328">
        <f>S9-S10</f>
        <v>14285173</v>
      </c>
      <c r="T11" s="508">
        <f>IF(R11=0,0,S11/R11)</f>
        <v>101.595734239873</v>
      </c>
      <c r="U11" s="2106">
        <f>U9-U10</f>
        <v>129952</v>
      </c>
      <c r="V11" s="328">
        <f>V9-V10</f>
        <v>16710216</v>
      </c>
      <c r="W11" s="508">
        <f>IF(U11=0,0,V11/U11)</f>
        <v>128.587601575967</v>
      </c>
      <c r="X11" s="2106">
        <f>X9-X10</f>
        <v>166790</v>
      </c>
      <c r="Y11" s="328">
        <f>Y9-Y10</f>
        <v>22733331</v>
      </c>
      <c r="Z11" s="508">
        <f>IF(X11=0,0,Y11/X11)</f>
        <v>136.299124647761</v>
      </c>
      <c r="AA11" s="2106">
        <f>AA9-AA10</f>
        <v>136506</v>
      </c>
      <c r="AB11" s="328">
        <f>AB9-AB10</f>
        <v>12857155</v>
      </c>
      <c r="AC11" s="508">
        <f>IF(AA11=0,0,AB11/AA11)</f>
        <v>94.1874716129694</v>
      </c>
      <c r="AD11" s="2106">
        <f>AD9-AD10</f>
        <v>167974</v>
      </c>
      <c r="AE11" s="328">
        <f>AE9-AE10</f>
        <v>19541560</v>
      </c>
      <c r="AF11" s="508">
        <f>IF(AD11=0,0,AE11/AD11)</f>
        <v>116.336814030743</v>
      </c>
      <c r="AG11" s="2106">
        <f>AG9-AG10</f>
        <v>188106</v>
      </c>
      <c r="AH11" s="328">
        <f>AH9-AH10</f>
        <v>22141062</v>
      </c>
      <c r="AI11" s="508">
        <f>IF(AG11=0,0,AH11/AG11)</f>
        <v>117.70524066218</v>
      </c>
      <c r="AJ11" s="2106">
        <f>AJ9-AJ10</f>
        <v>224324</v>
      </c>
      <c r="AK11" s="328">
        <f>AK9-AK10</f>
        <v>29028911</v>
      </c>
      <c r="AL11" s="508">
        <f>IF(AJ11=0,0,AK11/AJ11)</f>
        <v>129.406175888447</v>
      </c>
      <c r="AM11" s="2185">
        <f>AM9-AM10</f>
        <v>2027310</v>
      </c>
      <c r="AN11" s="343">
        <f>AN9-AN10</f>
        <v>245281975</v>
      </c>
      <c r="AO11" s="508">
        <f>IF(AM11=0,0,AN11/AM11)</f>
        <v>120.988884285087</v>
      </c>
      <c r="AP11" s="368"/>
      <c r="AQ11" s="374">
        <f>AQ9-AQ10</f>
        <v>245281975</v>
      </c>
      <c r="AR11" s="2204">
        <f t="shared" si="15"/>
        <v>0</v>
      </c>
      <c r="AS11" s="374"/>
      <c r="AT11" s="469"/>
    </row>
    <row r="12" ht="16.5" spans="2:48">
      <c r="B12" s="2104" t="s">
        <v>380</v>
      </c>
      <c r="C12" s="2111">
        <f>ROUND(('Inventory Sales'!B27-C15),0)</f>
        <v>151587</v>
      </c>
      <c r="D12" s="337">
        <f>'Inventory Sales'!D39</f>
        <v>30764411</v>
      </c>
      <c r="E12" s="473">
        <f>IF(C12=0,0,(D12/C12))</f>
        <v>202.948874243834</v>
      </c>
      <c r="F12" s="2111">
        <f>ROUND(('Inventory Sales'!E27-F15),0)</f>
        <v>161164</v>
      </c>
      <c r="G12" s="337">
        <f>'Inventory Sales'!G39</f>
        <v>38045452</v>
      </c>
      <c r="H12" s="473">
        <f>IF(F12=0,0,(G12/F12))</f>
        <v>236.066689831476</v>
      </c>
      <c r="I12" s="2111">
        <f>ROUND(('Inventory Sales'!H27-I15),0)</f>
        <v>180523</v>
      </c>
      <c r="J12" s="337">
        <f>'Inventory Sales'!J39</f>
        <v>38804327</v>
      </c>
      <c r="K12" s="473">
        <f>IF(I12=0,0,(J12/I12))</f>
        <v>214.955030660913</v>
      </c>
      <c r="L12" s="2111">
        <f>ROUND(('Inventory Sales'!K27-L15),0)</f>
        <v>177378</v>
      </c>
      <c r="M12" s="337">
        <f>'Inventory Sales'!M39</f>
        <v>36613577</v>
      </c>
      <c r="N12" s="473">
        <f>IF(L12=0,0,(M12/L12))</f>
        <v>206.415547587638</v>
      </c>
      <c r="O12" s="2111">
        <f>ROUND(('Inventory Sales'!N27-O15),0)</f>
        <v>175795</v>
      </c>
      <c r="P12" s="337">
        <f>'Inventory Sales'!P39</f>
        <v>35545835</v>
      </c>
      <c r="Q12" s="473">
        <f>IF(O12=0,0,(P12/O12))</f>
        <v>202.200489206178</v>
      </c>
      <c r="R12" s="2111">
        <f>ROUND(('Inventory Sales'!Q27-R15),0)</f>
        <v>133126</v>
      </c>
      <c r="S12" s="337">
        <f>'Inventory Sales'!S39</f>
        <v>28640727</v>
      </c>
      <c r="T12" s="473">
        <f>IF(R12=0,0,(S12/R12))</f>
        <v>215.139995192524</v>
      </c>
      <c r="U12" s="2111">
        <f>ROUND(('Inventory Sales'!T27-U15),0)</f>
        <v>125391</v>
      </c>
      <c r="V12" s="337">
        <f>'Inventory Sales'!V39</f>
        <v>27426196</v>
      </c>
      <c r="W12" s="473">
        <f>IF(U12=0,0,(V12/U12))</f>
        <v>218.725394964551</v>
      </c>
      <c r="X12" s="2111">
        <f>ROUND(('Inventory Sales'!W27-X15),0)</f>
        <v>160036</v>
      </c>
      <c r="Y12" s="337">
        <f>'Inventory Sales'!Y39</f>
        <v>35319860</v>
      </c>
      <c r="Z12" s="473">
        <f>IF(X12=0,0,(Y12/X12))</f>
        <v>220.699467619786</v>
      </c>
      <c r="AA12" s="2111">
        <f>ROUND(('Inventory Sales'!Z27-AA15),0)</f>
        <v>125048</v>
      </c>
      <c r="AB12" s="337">
        <f>'Inventory Sales'!AB39</f>
        <v>25173366</v>
      </c>
      <c r="AC12" s="473">
        <f>IF(AA12=0,0,(AB12/AA12))</f>
        <v>201.30962510396</v>
      </c>
      <c r="AD12" s="2111">
        <f>ROUND(('Inventory Sales'!AC27-AD15),0)</f>
        <v>162471</v>
      </c>
      <c r="AE12" s="337">
        <f>'Inventory Sales'!AE39</f>
        <v>34600828</v>
      </c>
      <c r="AF12" s="473">
        <f>IF(AD12=0,0,(AE12/AD12))</f>
        <v>212.966178579562</v>
      </c>
      <c r="AG12" s="2111">
        <f>ROUND(('Inventory Sales'!AF27-AG15),0)</f>
        <v>172283</v>
      </c>
      <c r="AH12" s="337">
        <f>ROUND(('Inventory Sales'!AH39),0)</f>
        <v>37711069</v>
      </c>
      <c r="AI12" s="473">
        <f>IF(AG12=0,0,(AH12/AG12))</f>
        <v>218.890250343911</v>
      </c>
      <c r="AJ12" s="2111">
        <f>ROUND(('Inventory Sales'!AI27-AJ15),0)</f>
        <v>195580</v>
      </c>
      <c r="AK12" s="337">
        <f>'Inventory Sales'!AK39</f>
        <v>46235979</v>
      </c>
      <c r="AL12" s="473">
        <f>IF(AJ12=0,0,(AK12/AJ12))</f>
        <v>236.404432968606</v>
      </c>
      <c r="AM12" s="2111">
        <f>SUM(C12,F12,I12,L12,O12,R12,U12,X12,AA12,AD12,AG12,AJ12)</f>
        <v>1920382</v>
      </c>
      <c r="AN12" s="337">
        <f>ROUND((SUM(D12,G12,J12,M12,P12,S12,V12,Y12,AB12,AE12,AH12,AK12)),0)</f>
        <v>414881627</v>
      </c>
      <c r="AO12" s="473">
        <f>IF(AM12=0,0,(AN12/AM12))</f>
        <v>216.041197532574</v>
      </c>
      <c r="AQ12" s="2205">
        <f>415558279-AQ15</f>
        <v>414881627</v>
      </c>
      <c r="AR12" s="2206">
        <f t="shared" si="15"/>
        <v>0</v>
      </c>
      <c r="AS12" s="2205"/>
      <c r="AT12" s="530"/>
      <c r="AV12" s="368"/>
    </row>
    <row r="13" ht="15.75" spans="2:46">
      <c r="B13" s="2105"/>
      <c r="C13" s="2106">
        <f>C11-C12</f>
        <v>4349</v>
      </c>
      <c r="D13" s="328">
        <f>D12-D11</f>
        <v>13013846</v>
      </c>
      <c r="E13" s="2134">
        <f>E12-E11</f>
        <v>89.1165007059719</v>
      </c>
      <c r="F13" s="2106">
        <f>F11-F12</f>
        <v>38120</v>
      </c>
      <c r="G13" s="328">
        <f>G12-G11</f>
        <v>7000303</v>
      </c>
      <c r="H13" s="2134">
        <f>H12-H11</f>
        <v>80.2832400813706</v>
      </c>
      <c r="I13" s="2151">
        <f>I11-I12</f>
        <v>22450</v>
      </c>
      <c r="J13" s="328">
        <f>J12-J11</f>
        <v>11259477</v>
      </c>
      <c r="K13" s="2134">
        <f>K12-K11</f>
        <v>79.2480647097767</v>
      </c>
      <c r="L13" s="2151">
        <f>L11-L12</f>
        <v>24840</v>
      </c>
      <c r="M13" s="340">
        <f>M12-M11</f>
        <v>11438463</v>
      </c>
      <c r="N13" s="2134">
        <f>N12-N11</f>
        <v>81.9206262651046</v>
      </c>
      <c r="O13" s="2151">
        <f>O11-O12</f>
        <v>-63156</v>
      </c>
      <c r="P13" s="340">
        <f>P12-P11</f>
        <v>29076945</v>
      </c>
      <c r="Q13" s="2134">
        <f>Q12-Q11</f>
        <v>144.770203070825</v>
      </c>
      <c r="R13" s="2151">
        <f>R11-R12</f>
        <v>7482</v>
      </c>
      <c r="S13" s="328">
        <f>S12-S11</f>
        <v>14355554</v>
      </c>
      <c r="T13" s="2134">
        <f>T12-T11</f>
        <v>113.544260952652</v>
      </c>
      <c r="U13" s="2151">
        <f>U11-U12</f>
        <v>4561</v>
      </c>
      <c r="V13" s="340">
        <f>V12-V11</f>
        <v>10715980</v>
      </c>
      <c r="W13" s="2134">
        <f>W12-W11</f>
        <v>90.1377933885844</v>
      </c>
      <c r="X13" s="2151">
        <f>X11-X12</f>
        <v>6754</v>
      </c>
      <c r="Y13" s="340">
        <f>Y12-Y11</f>
        <v>12586529</v>
      </c>
      <c r="Z13" s="2134">
        <f>Z12-Z11</f>
        <v>84.4003429720249</v>
      </c>
      <c r="AA13" s="2151">
        <f>AA11-AA12</f>
        <v>11458</v>
      </c>
      <c r="AB13" s="340">
        <f>AB12-AB11</f>
        <v>12316211</v>
      </c>
      <c r="AC13" s="2134">
        <f>AC12-AC11</f>
        <v>107.122153490991</v>
      </c>
      <c r="AD13" s="2151">
        <f>AD11-AD12</f>
        <v>5503</v>
      </c>
      <c r="AE13" s="340">
        <f>AE12-AE11</f>
        <v>15059268</v>
      </c>
      <c r="AF13" s="2134">
        <f>AF12-AF11</f>
        <v>96.629364548819</v>
      </c>
      <c r="AG13" s="2151">
        <f>AG11-AG12</f>
        <v>15823</v>
      </c>
      <c r="AH13" s="340">
        <f>AH12-AH11</f>
        <v>15570007</v>
      </c>
      <c r="AI13" s="2134">
        <f>AI12-AI11</f>
        <v>101.185009681731</v>
      </c>
      <c r="AJ13" s="2151">
        <f>AJ11-AJ12</f>
        <v>28744</v>
      </c>
      <c r="AK13" s="340">
        <f>AK12-AK11</f>
        <v>17207068</v>
      </c>
      <c r="AL13" s="2134">
        <f>AL12-AL11</f>
        <v>106.998257080159</v>
      </c>
      <c r="AM13" s="2186">
        <f>AM11-AM12</f>
        <v>106928</v>
      </c>
      <c r="AN13" s="343">
        <f>AN12-AN11</f>
        <v>169599652</v>
      </c>
      <c r="AO13" s="2134">
        <f>AO12-AO11</f>
        <v>95.0523132474871</v>
      </c>
      <c r="AQ13" s="374">
        <f>AQ12-AQ11</f>
        <v>169599652</v>
      </c>
      <c r="AR13" s="2204">
        <f t="shared" si="15"/>
        <v>0</v>
      </c>
      <c r="AS13" s="374">
        <f>AS12-AS11</f>
        <v>0</v>
      </c>
      <c r="AT13" s="368"/>
    </row>
    <row r="14" ht="15.75" spans="2:46">
      <c r="B14" s="633"/>
      <c r="C14" s="2112"/>
      <c r="D14" s="341"/>
      <c r="E14" s="345"/>
      <c r="F14" s="2112"/>
      <c r="G14" s="341"/>
      <c r="H14" s="342"/>
      <c r="I14" s="2152"/>
      <c r="J14" s="341"/>
      <c r="K14" s="342"/>
      <c r="L14" s="2152"/>
      <c r="M14" s="341"/>
      <c r="N14" s="342"/>
      <c r="O14" s="2152"/>
      <c r="P14" s="341"/>
      <c r="Q14" s="342"/>
      <c r="R14" s="2152"/>
      <c r="S14" s="341"/>
      <c r="T14" s="342"/>
      <c r="U14" s="2152"/>
      <c r="V14" s="341"/>
      <c r="W14" s="342"/>
      <c r="X14" s="2152"/>
      <c r="Y14" s="341"/>
      <c r="Z14" s="342"/>
      <c r="AA14" s="2152"/>
      <c r="AB14" s="341"/>
      <c r="AC14" s="342"/>
      <c r="AD14" s="2152"/>
      <c r="AE14" s="341"/>
      <c r="AF14" s="342"/>
      <c r="AG14" s="2152"/>
      <c r="AH14" s="341"/>
      <c r="AI14" s="342"/>
      <c r="AJ14" s="2152">
        <f>-IF(AJ13=0,0,AJ13/AJ11)</f>
        <v>-0.128136088871454</v>
      </c>
      <c r="AK14" s="341"/>
      <c r="AL14" s="342"/>
      <c r="AM14" s="2152">
        <f>-IF(AM13=0,0,AM13/AM11)</f>
        <v>-0.0527437836344713</v>
      </c>
      <c r="AN14" s="341"/>
      <c r="AO14" s="345"/>
      <c r="AQ14" s="231"/>
      <c r="AR14" s="2204">
        <f t="shared" ref="AR14:AR28" si="16">AN14-AQ14</f>
        <v>0</v>
      </c>
      <c r="AS14" s="374"/>
      <c r="AT14" s="368"/>
    </row>
    <row r="15" ht="15.75" spans="2:46">
      <c r="B15" s="633" t="s">
        <v>381</v>
      </c>
      <c r="C15" s="2112">
        <f>'Inventory Sales'!B21</f>
        <v>2110</v>
      </c>
      <c r="D15" s="341">
        <f>'Inventory Sales'!D21</f>
        <v>21100</v>
      </c>
      <c r="E15" s="345"/>
      <c r="F15" s="2112">
        <f>'Inventory Sales'!E21</f>
        <v>7739</v>
      </c>
      <c r="G15" s="341">
        <f>'Inventory Sales'!G21</f>
        <v>77390</v>
      </c>
      <c r="H15" s="342"/>
      <c r="I15" s="2153">
        <f>'Inventory Sales'!H21</f>
        <v>5654</v>
      </c>
      <c r="J15" s="341">
        <f>'Inventory Sales'!J21</f>
        <v>56540</v>
      </c>
      <c r="K15" s="342"/>
      <c r="L15" s="2153">
        <f>'Inventory Sales'!K21</f>
        <v>5340.5</v>
      </c>
      <c r="M15" s="341">
        <f>'Inventory Sales'!M21</f>
        <v>53405</v>
      </c>
      <c r="N15" s="342"/>
      <c r="O15" s="2153">
        <f>'Inventory Sales'!N21</f>
        <v>5389</v>
      </c>
      <c r="P15" s="341">
        <f>'Inventory Sales'!P21</f>
        <v>53890</v>
      </c>
      <c r="Q15" s="342"/>
      <c r="R15" s="2153">
        <f>'Inventory Sales'!Q21</f>
        <v>7178</v>
      </c>
      <c r="S15" s="341">
        <f>'Inventory Sales'!S21</f>
        <v>71780</v>
      </c>
      <c r="T15" s="342"/>
      <c r="U15" s="2153">
        <f>'Inventory Sales'!T21</f>
        <v>3584</v>
      </c>
      <c r="V15" s="341">
        <f>'Inventory Sales'!V21</f>
        <v>35840</v>
      </c>
      <c r="W15" s="342"/>
      <c r="X15" s="2153">
        <f>'Inventory Sales'!W21</f>
        <v>5507</v>
      </c>
      <c r="Y15" s="341">
        <f>'Inventory Sales'!Y21</f>
        <v>55070</v>
      </c>
      <c r="Z15" s="342"/>
      <c r="AA15" s="2153">
        <f>'Inventory Sales'!Z21</f>
        <v>6958</v>
      </c>
      <c r="AB15" s="341">
        <f>'Inventory Sales'!AB21</f>
        <v>69580</v>
      </c>
      <c r="AC15" s="342"/>
      <c r="AD15" s="2153">
        <f>'Inventory Sales'!AC21</f>
        <v>4497</v>
      </c>
      <c r="AE15" s="341">
        <f>'Inventory Sales'!AE21</f>
        <v>44970</v>
      </c>
      <c r="AF15" s="342"/>
      <c r="AG15" s="2153">
        <f>'Inventory Sales'!AF21</f>
        <v>7534.5</v>
      </c>
      <c r="AH15" s="341">
        <f>'Inventory Sales'!AH21</f>
        <v>75345</v>
      </c>
      <c r="AI15" s="342"/>
      <c r="AJ15" s="2153">
        <f>'Inventory Sales'!AI21</f>
        <v>5864.6</v>
      </c>
      <c r="AK15" s="341">
        <f>'Inventory Sales'!AK21</f>
        <v>61742</v>
      </c>
      <c r="AL15" s="342"/>
      <c r="AM15" s="2187">
        <f>SUM(C15,F15,I15,L15,O15,R15,U15,X15,AA15,AD15,AG15,AJ15)</f>
        <v>67355.6</v>
      </c>
      <c r="AN15" s="332">
        <f>SUM(D15,G15,J15,M15,P15,S15,V15,Y15,AB15,AE15,AH15,AK15)</f>
        <v>676652</v>
      </c>
      <c r="AO15" s="345"/>
      <c r="AQ15" s="374">
        <f>AN15</f>
        <v>676652</v>
      </c>
      <c r="AR15" s="2204">
        <f t="shared" si="16"/>
        <v>0</v>
      </c>
      <c r="AS15" s="374"/>
      <c r="AT15" s="368"/>
    </row>
    <row r="16" ht="15.75" spans="2:46">
      <c r="B16" s="2113" t="s">
        <v>382</v>
      </c>
      <c r="C16" s="2114"/>
      <c r="D16" s="349"/>
      <c r="E16" s="2135"/>
      <c r="F16" s="2114"/>
      <c r="G16" s="349"/>
      <c r="H16" s="350"/>
      <c r="I16" s="2154"/>
      <c r="J16" s="349"/>
      <c r="K16" s="350"/>
      <c r="L16" s="2154"/>
      <c r="M16" s="349"/>
      <c r="N16" s="350"/>
      <c r="O16" s="2154"/>
      <c r="P16" s="349"/>
      <c r="Q16" s="350"/>
      <c r="R16" s="2154"/>
      <c r="S16" s="349"/>
      <c r="T16" s="350"/>
      <c r="U16" s="2154"/>
      <c r="V16" s="349"/>
      <c r="W16" s="350"/>
      <c r="X16" s="2154"/>
      <c r="Y16" s="349"/>
      <c r="Z16" s="350"/>
      <c r="AA16" s="2154"/>
      <c r="AB16" s="349"/>
      <c r="AC16" s="350"/>
      <c r="AD16" s="2154"/>
      <c r="AE16" s="349"/>
      <c r="AF16" s="350"/>
      <c r="AG16" s="2154"/>
      <c r="AH16" s="349"/>
      <c r="AI16" s="350"/>
      <c r="AJ16" s="2154"/>
      <c r="AK16" s="349"/>
      <c r="AL16" s="350"/>
      <c r="AM16" s="2118"/>
      <c r="AN16" s="349"/>
      <c r="AO16" s="2135"/>
      <c r="AQ16" s="231"/>
      <c r="AR16" s="2204">
        <f t="shared" si="16"/>
        <v>0</v>
      </c>
      <c r="AS16" s="374"/>
      <c r="AT16" s="368"/>
    </row>
    <row r="17" ht="16.5" spans="2:46">
      <c r="B17" s="2104" t="s">
        <v>383</v>
      </c>
      <c r="C17" s="2111"/>
      <c r="D17" s="337">
        <f>ROUND(('Inventory Sales'!D28),0)</f>
        <v>18</v>
      </c>
      <c r="E17" s="508">
        <f>IF(D17=0,0,D17/C$12)</f>
        <v>0.000118743691741376</v>
      </c>
      <c r="F17" s="2111"/>
      <c r="G17" s="337">
        <f>ROUND(('Inventory Sales'!G28),0)</f>
        <v>799</v>
      </c>
      <c r="H17" s="508">
        <f>IF(G17=0,0,G17/F$12)</f>
        <v>0.00495768285721377</v>
      </c>
      <c r="I17" s="2111"/>
      <c r="J17" s="337">
        <f>ROUND(('Inventory Sales'!J28),0)</f>
        <v>41</v>
      </c>
      <c r="K17" s="508">
        <f>IF(J17=0,0,J17/I$12)</f>
        <v>0.000227117874176698</v>
      </c>
      <c r="L17" s="2111"/>
      <c r="M17" s="337">
        <f>ROUND(('Inventory Sales'!M28),0)</f>
        <v>4</v>
      </c>
      <c r="N17" s="508">
        <f>IF(M17=0,0,M17/L$12)</f>
        <v>2.25507109111615e-5</v>
      </c>
      <c r="O17" s="2111"/>
      <c r="P17" s="337">
        <f>ROUND(('Inventory Sales'!P28),0)</f>
        <v>51</v>
      </c>
      <c r="Q17" s="508">
        <f>IF(P17=0,0,P17/O$12)</f>
        <v>0.000290110640234364</v>
      </c>
      <c r="R17" s="2111"/>
      <c r="S17" s="337">
        <f>ROUND(('Inventory Sales'!S28),0)</f>
        <v>0</v>
      </c>
      <c r="T17" s="508">
        <f>IF(S17=0,0,S17/R$12)</f>
        <v>0</v>
      </c>
      <c r="U17" s="2111"/>
      <c r="V17" s="337">
        <f>ROUND(('Inventory Sales'!V28),0)</f>
        <v>90</v>
      </c>
      <c r="W17" s="508">
        <f>IF(V17=0,0,V17/U$12)</f>
        <v>0.000717754862789195</v>
      </c>
      <c r="X17" s="2111"/>
      <c r="Y17" s="337">
        <f>ROUND(('Inventory Sales'!Y28),0)</f>
        <v>5</v>
      </c>
      <c r="Z17" s="508">
        <f>IF(Y17=0,0,Y17/X$12)</f>
        <v>3.12429703316754e-5</v>
      </c>
      <c r="AA17" s="2111"/>
      <c r="AB17" s="337">
        <f>ROUND(('Inventory Sales'!AB28),0)</f>
        <v>37847</v>
      </c>
      <c r="AC17" s="508">
        <f>IF(AB17=0,0,AB17/AA$12)</f>
        <v>0.302659778645</v>
      </c>
      <c r="AD17" s="2111"/>
      <c r="AE17" s="337">
        <f>ROUND(('Inventory Sales'!AE28),0)</f>
        <v>1</v>
      </c>
      <c r="AF17" s="508">
        <f>IF(AE17=0,0,AE17/AD$12)</f>
        <v>6.15494457472411e-6</v>
      </c>
      <c r="AG17" s="2111"/>
      <c r="AH17" s="337">
        <f>ROUND(('Inventory Sales'!AH28),0)</f>
        <v>50449</v>
      </c>
      <c r="AI17" s="508">
        <f>IF(AH17=0,0,AH17/AG$12)</f>
        <v>0.292826338060052</v>
      </c>
      <c r="AJ17" s="2111"/>
      <c r="AK17" s="337">
        <f>ROUND(('Inventory Sales'!AK28),0)</f>
        <v>59198</v>
      </c>
      <c r="AL17" s="508">
        <f>IF(AK17=0,0,AK17/AJ$12)</f>
        <v>0.302679210553226</v>
      </c>
      <c r="AM17" s="2111"/>
      <c r="AN17" s="337">
        <f>ROUND((SUM(D17,G17,J17,M17,P17,S17,V17,Y17,AB17,AE17,AH17,AK17)),0)</f>
        <v>148503</v>
      </c>
      <c r="AO17" s="508">
        <f>IF(AN17=0,0,AN17/AM$12)</f>
        <v>0.077329927066594</v>
      </c>
      <c r="AQ17" s="2205">
        <v>148503</v>
      </c>
      <c r="AR17" s="2206">
        <f t="shared" si="16"/>
        <v>0</v>
      </c>
      <c r="AS17" s="2205"/>
      <c r="AT17" s="368"/>
    </row>
    <row r="18" ht="16.5" spans="2:47">
      <c r="B18" s="2115"/>
      <c r="C18" s="471"/>
      <c r="D18" s="347">
        <f>SUM(D13:D17)</f>
        <v>13034964</v>
      </c>
      <c r="E18" s="2136"/>
      <c r="F18" s="471"/>
      <c r="G18" s="347">
        <f>SUM(G13:G17)</f>
        <v>7078492</v>
      </c>
      <c r="H18" s="348"/>
      <c r="I18" s="2155"/>
      <c r="J18" s="347">
        <f>SUM(J13:J17)</f>
        <v>11316058</v>
      </c>
      <c r="K18" s="348"/>
      <c r="L18" s="2155"/>
      <c r="M18" s="347">
        <f>SUM(M13:M17)</f>
        <v>11491872</v>
      </c>
      <c r="N18" s="348"/>
      <c r="O18" s="2155"/>
      <c r="P18" s="347">
        <f>SUM(P13:P17)</f>
        <v>29130886</v>
      </c>
      <c r="Q18" s="348"/>
      <c r="R18" s="2155"/>
      <c r="S18" s="347">
        <f>SUM(S13:S17)</f>
        <v>14427334</v>
      </c>
      <c r="T18" s="348"/>
      <c r="U18" s="2155"/>
      <c r="V18" s="347">
        <f>SUM(V13:V17)</f>
        <v>10751910</v>
      </c>
      <c r="W18" s="348"/>
      <c r="X18" s="2155"/>
      <c r="Y18" s="347">
        <f>SUM(Y13:Y17)</f>
        <v>12641604</v>
      </c>
      <c r="Z18" s="348"/>
      <c r="AA18" s="2155"/>
      <c r="AB18" s="347">
        <f>SUM(AB13:AB17)</f>
        <v>12423638</v>
      </c>
      <c r="AC18" s="348"/>
      <c r="AD18" s="2155"/>
      <c r="AE18" s="347">
        <f>SUM(AE13:AE17)</f>
        <v>15104239</v>
      </c>
      <c r="AF18" s="348"/>
      <c r="AG18" s="2155"/>
      <c r="AH18" s="347">
        <f>SUM(AH13:AH17)</f>
        <v>15695801</v>
      </c>
      <c r="AI18" s="348"/>
      <c r="AJ18" s="2155"/>
      <c r="AK18" s="347">
        <f>SUM(AK13:AK17)</f>
        <v>17328008</v>
      </c>
      <c r="AL18" s="348"/>
      <c r="AM18" s="2188"/>
      <c r="AN18" s="450">
        <f>SUM(AN13:AN17)</f>
        <v>170424807</v>
      </c>
      <c r="AO18" s="2136"/>
      <c r="AQ18" s="2208">
        <f>SUM(AQ13:AQ17)</f>
        <v>170424807</v>
      </c>
      <c r="AR18" s="2209">
        <f t="shared" si="16"/>
        <v>0</v>
      </c>
      <c r="AS18" s="2223">
        <f>AS13+AS17</f>
        <v>0</v>
      </c>
      <c r="AT18" s="641"/>
      <c r="AU18" s="540"/>
    </row>
    <row r="19" ht="16.5" spans="2:46">
      <c r="B19" s="2105" t="s">
        <v>217</v>
      </c>
      <c r="C19" s="2116"/>
      <c r="D19" s="513">
        <f>'Direct Expns'!B24</f>
        <v>3927909</v>
      </c>
      <c r="E19" s="2137">
        <f>IF(D19=0,0,D19/C$12)</f>
        <v>25.9119119713432</v>
      </c>
      <c r="F19" s="2116"/>
      <c r="G19" s="513">
        <f>'Direct Expns'!C24</f>
        <v>4438586</v>
      </c>
      <c r="H19" s="2137">
        <f>IF(G19=0,0,G19/F$12)</f>
        <v>27.5408031570326</v>
      </c>
      <c r="I19" s="2156"/>
      <c r="J19" s="513">
        <f>'Direct Expns'!D24</f>
        <v>4305682</v>
      </c>
      <c r="K19" s="2137">
        <f>IF(J19=0,0,J19/I$12)</f>
        <v>23.8511547005091</v>
      </c>
      <c r="L19" s="2156"/>
      <c r="M19" s="513">
        <f>'Direct Expns'!E24</f>
        <v>5418106</v>
      </c>
      <c r="N19" s="2137">
        <f>IF(M19=0,0,M19/L$12)</f>
        <v>30.5455355230074</v>
      </c>
      <c r="O19" s="2156"/>
      <c r="P19" s="513">
        <f>'Direct Expns'!F24</f>
        <v>4395283</v>
      </c>
      <c r="Q19" s="2137">
        <f>IF(P19=0,0,P19/O$12)</f>
        <v>25.0023208851219</v>
      </c>
      <c r="R19" s="2156"/>
      <c r="S19" s="513">
        <f>'Direct Expns'!G24</f>
        <v>5710287</v>
      </c>
      <c r="T19" s="2137">
        <f>IF(S19=0,0,S19/R$12)</f>
        <v>42.893852440545</v>
      </c>
      <c r="U19" s="2156"/>
      <c r="V19" s="513">
        <f>'Direct Expns'!H24</f>
        <v>4255210</v>
      </c>
      <c r="W19" s="2168">
        <f>IF(V19=0,0,V19/U$12)</f>
        <v>33.9355296632135</v>
      </c>
      <c r="X19" s="2169">
        <f>IF(W19=0,0,W19/V$12)</f>
        <v>1.2373400111052e-6</v>
      </c>
      <c r="Y19" s="2175">
        <f>'Direct Expns'!I24</f>
        <v>4520254</v>
      </c>
      <c r="Z19" s="2137">
        <f>IF(Y19=0,0,Y19/X$12)</f>
        <v>28.2452323227274</v>
      </c>
      <c r="AA19" s="2137">
        <f>IF(Z19=0,0,Z19/Y$12)</f>
        <v>7.99698309187165e-7</v>
      </c>
      <c r="AB19" s="513">
        <f>'Direct Expns'!J24</f>
        <v>5062919</v>
      </c>
      <c r="AC19" s="2137">
        <f>IF(AB19=0,0,AB19/AA$12)</f>
        <v>40.4878046830017</v>
      </c>
      <c r="AD19" s="2156"/>
      <c r="AE19" s="513">
        <f>'Direct Expns'!K24</f>
        <v>4608714</v>
      </c>
      <c r="AF19" s="2137">
        <f>IF(AE19=0,0,AE19/AD$12)</f>
        <v>28.366379230755</v>
      </c>
      <c r="AG19" s="2156"/>
      <c r="AH19" s="513">
        <f>'Direct Expns'!L24</f>
        <v>4870323</v>
      </c>
      <c r="AI19" s="2137">
        <f>IF(AH19=0,0,AH19/AG$12)</f>
        <v>28.2693185050179</v>
      </c>
      <c r="AJ19" s="2156"/>
      <c r="AK19" s="513">
        <f>'Direct Expns'!M24</f>
        <v>4896140</v>
      </c>
      <c r="AL19" s="2137">
        <f>IF(AK19=0,0,AK19/AJ$12)</f>
        <v>25.0339503016668</v>
      </c>
      <c r="AM19" s="2106"/>
      <c r="AN19" s="513">
        <f>SUM(D19,G19,J19,M19,P19,S19,V19,Y19,AB19,AE19,AH19,AK19)</f>
        <v>56409413</v>
      </c>
      <c r="AO19" s="2137">
        <f>IF(AN19=0,0,AN19/AM$12)</f>
        <v>29.3740583904661</v>
      </c>
      <c r="AQ19" s="373">
        <f>143477110-(AQ21+AQ22+AQ24)</f>
        <v>56409413</v>
      </c>
      <c r="AR19" s="2210">
        <f t="shared" si="16"/>
        <v>0</v>
      </c>
      <c r="AS19" s="374"/>
      <c r="AT19" s="368"/>
    </row>
    <row r="20" ht="15.75" spans="2:46">
      <c r="B20" s="2105" t="s">
        <v>384</v>
      </c>
      <c r="C20" s="2116"/>
      <c r="D20" s="2117"/>
      <c r="E20" s="2138"/>
      <c r="F20" s="2116"/>
      <c r="G20" s="516"/>
      <c r="H20" s="2138"/>
      <c r="I20" s="2157"/>
      <c r="J20" s="2117"/>
      <c r="K20" s="2138"/>
      <c r="L20" s="2157"/>
      <c r="M20" s="2117"/>
      <c r="N20" s="2138"/>
      <c r="O20" s="2157"/>
      <c r="P20" s="2117"/>
      <c r="Q20" s="2138"/>
      <c r="R20" s="2157"/>
      <c r="S20" s="516"/>
      <c r="T20" s="2138"/>
      <c r="U20" s="2157"/>
      <c r="V20" s="2170"/>
      <c r="W20" s="340"/>
      <c r="X20" s="2117"/>
      <c r="Y20" s="2176"/>
      <c r="Z20" s="2138"/>
      <c r="AA20" s="2157"/>
      <c r="AB20" s="2117"/>
      <c r="AC20" s="2138"/>
      <c r="AD20" s="2157"/>
      <c r="AE20" s="2117"/>
      <c r="AF20" s="2138"/>
      <c r="AG20" s="2157"/>
      <c r="AH20" s="2117"/>
      <c r="AI20" s="2138"/>
      <c r="AJ20" s="2157"/>
      <c r="AK20" s="2117"/>
      <c r="AL20" s="2138"/>
      <c r="AM20" s="2189"/>
      <c r="AN20" s="332">
        <f>SUM(D20,G20,J20,M20,P20,S20,V20,Y20,AB20,AE20,AH20,AK20)</f>
        <v>0</v>
      </c>
      <c r="AO20" s="2138"/>
      <c r="AQ20" s="373"/>
      <c r="AR20" s="2210">
        <f t="shared" si="16"/>
        <v>0</v>
      </c>
      <c r="AS20" s="374"/>
      <c r="AT20" s="368"/>
    </row>
    <row r="21" ht="15.75" spans="2:46">
      <c r="B21" s="633" t="s">
        <v>214</v>
      </c>
      <c r="C21" s="2112">
        <f>ROUND(('Direct Expns'!B33),0)</f>
        <v>8387</v>
      </c>
      <c r="D21" s="332">
        <f>'Direct Expns'!B26</f>
        <v>533251</v>
      </c>
      <c r="E21" s="345">
        <f>IF(C21=0,0,(D21/C21))</f>
        <v>63.5806605460832</v>
      </c>
      <c r="F21" s="2112">
        <f>ROUND(('Direct Expns'!C33),0)</f>
        <v>9116</v>
      </c>
      <c r="G21" s="332">
        <f>'Direct Expns'!C26</f>
        <v>823327</v>
      </c>
      <c r="H21" s="345">
        <f>IF(F21=0,0,(G21/F21))</f>
        <v>90.3166959192628</v>
      </c>
      <c r="I21" s="2112">
        <f>'Direct Expns'!D33</f>
        <v>8230.5</v>
      </c>
      <c r="J21" s="332">
        <f>'Direct Expns'!D26</f>
        <v>700298</v>
      </c>
      <c r="K21" s="345">
        <f>IF(I21=0,0,(J21/I21))</f>
        <v>85.0857177571229</v>
      </c>
      <c r="L21" s="2112">
        <f>ROUND('Direct Expns'!E33,0)</f>
        <v>7433</v>
      </c>
      <c r="M21" s="332">
        <f>'Direct Expns'!E26</f>
        <v>806835</v>
      </c>
      <c r="N21" s="345">
        <f>IF(L21=0,0,(M21/L21))</f>
        <v>108.547692721647</v>
      </c>
      <c r="O21" s="2112">
        <f>ROUND('Direct Expns'!F33,0)</f>
        <v>6910</v>
      </c>
      <c r="P21" s="332">
        <f>'Direct Expns'!F26</f>
        <v>671466</v>
      </c>
      <c r="Q21" s="345">
        <f>IF(O21=0,0,(P21/O21))</f>
        <v>97.1730824891462</v>
      </c>
      <c r="R21" s="2112">
        <f>ROUND('Direct Expns'!G33,0)</f>
        <v>8618</v>
      </c>
      <c r="S21" s="332">
        <f>'Direct Expns'!G26</f>
        <v>722488</v>
      </c>
      <c r="T21" s="345">
        <f>IF(R21=0,0,(S21/R21))</f>
        <v>83.8347644465073</v>
      </c>
      <c r="U21" s="2112">
        <f>ROUND(('Direct Expns'!H33),0)</f>
        <v>6085</v>
      </c>
      <c r="V21" s="332">
        <f>'Direct Expns'!H26</f>
        <v>791271</v>
      </c>
      <c r="W21" s="344">
        <f>IF(U21=0,0,(V21/U21))</f>
        <v>130.036318816763</v>
      </c>
      <c r="X21" s="287">
        <f>ROUND(('Direct Expns'!I33),0)</f>
        <v>7778</v>
      </c>
      <c r="Y21" s="2177">
        <f>'Direct Expns'!I26</f>
        <v>624076</v>
      </c>
      <c r="Z21" s="345">
        <f>IF(X21=0,0,(Y21/X21))</f>
        <v>80.23605039856</v>
      </c>
      <c r="AA21" s="2112"/>
      <c r="AB21" s="332">
        <f>'Direct Expns'!J26</f>
        <v>632326</v>
      </c>
      <c r="AC21" s="345">
        <f>IF(AA21=0,0,(AB21/AA21))</f>
        <v>0</v>
      </c>
      <c r="AD21" s="2112"/>
      <c r="AE21" s="332">
        <f>'Direct Expns'!K26</f>
        <v>721180</v>
      </c>
      <c r="AF21" s="345">
        <f>IF(AD21=0,0,(AE21/AD21))</f>
        <v>0</v>
      </c>
      <c r="AG21" s="2109">
        <f>ROUND(('Direct Expns'!L33),0)</f>
        <v>8770</v>
      </c>
      <c r="AH21" s="332">
        <f>'Direct Expns'!L26</f>
        <v>716280</v>
      </c>
      <c r="AI21" s="345">
        <f>IF(AG21=0,0,(AH21/AG21))</f>
        <v>81.6738882554162</v>
      </c>
      <c r="AJ21" s="2109">
        <f>ROUND(('Direct Expns'!M33),0)</f>
        <v>11285</v>
      </c>
      <c r="AK21" s="332">
        <f>'Direct Expns'!M26</f>
        <v>623548</v>
      </c>
      <c r="AL21" s="345">
        <f>IF(AJ21=0,0,(AK21/AJ21))</f>
        <v>55.2545857332743</v>
      </c>
      <c r="AM21" s="2184">
        <f>SUM(C21,F21,I21,L21,O21,R21,U21,X21,AA21,AD21,AG21,AJ21)</f>
        <v>82612.5</v>
      </c>
      <c r="AN21" s="332">
        <f>SUM(D21,G21,J21,M21,P21,S21,V21,Y21,AB21,AE21,AH21,AK21)</f>
        <v>8366346</v>
      </c>
      <c r="AO21" s="345">
        <f>IF(AM21=0,0,(AN21/AM21))</f>
        <v>101.272156150704</v>
      </c>
      <c r="AP21" s="2211">
        <f>(AN21+AN22)/(AM21+AM22)</f>
        <v>86.849870320529</v>
      </c>
      <c r="AQ21" s="374">
        <f>'Direct Expns'!N26</f>
        <v>8366346</v>
      </c>
      <c r="AR21" s="2210">
        <f t="shared" si="16"/>
        <v>0</v>
      </c>
      <c r="AS21" s="374"/>
      <c r="AT21" s="368"/>
    </row>
    <row r="22" ht="16.5" spans="2:46">
      <c r="B22" s="2113" t="s">
        <v>385</v>
      </c>
      <c r="C22" s="2118">
        <f>ROUND(('Direct Expns'!B34),0)</f>
        <v>79667</v>
      </c>
      <c r="D22" s="332">
        <f>'Direct Expns'!B27</f>
        <v>6769520</v>
      </c>
      <c r="E22" s="2139">
        <f>IF(C22=0,0,(D22/C22))</f>
        <v>84.9726988590006</v>
      </c>
      <c r="F22" s="2118">
        <f>ROUND(('Direct Expns'!C34),0)</f>
        <v>74692</v>
      </c>
      <c r="G22" s="332">
        <f>'Direct Expns'!C27</f>
        <v>6325290</v>
      </c>
      <c r="H22" s="2139">
        <f>IF(F22=0,0,(G22/F22))</f>
        <v>84.6849729556044</v>
      </c>
      <c r="I22" s="2118">
        <f>ROUND(('Direct Expns'!D34),0)</f>
        <v>70683</v>
      </c>
      <c r="J22" s="332">
        <f>'Direct Expns'!D27</f>
        <v>6012211</v>
      </c>
      <c r="K22" s="2139">
        <f>IF(I22=0,0,(J22/I22))</f>
        <v>85.0587977307132</v>
      </c>
      <c r="L22" s="2118">
        <f>ROUND('Direct Expns'!E34,0)</f>
        <v>83091</v>
      </c>
      <c r="M22" s="332">
        <f>'Direct Expns'!E27</f>
        <v>7034404</v>
      </c>
      <c r="N22" s="2139">
        <f>IF(L22=0,0,(M22/L22))</f>
        <v>84.6590364780782</v>
      </c>
      <c r="O22" s="2118">
        <f>ROUND(('Direct Expns'!F34),0)</f>
        <v>76319</v>
      </c>
      <c r="P22" s="332">
        <f>'Direct Expns'!F27</f>
        <v>6751564</v>
      </c>
      <c r="Q22" s="2139">
        <f>IF(O22=0,0,(P22/O22))</f>
        <v>88.4650480221177</v>
      </c>
      <c r="R22" s="2118">
        <f>ROUND(('Direct Expns'!G34),0)</f>
        <v>82224</v>
      </c>
      <c r="S22" s="332">
        <f>'Direct Expns'!G27</f>
        <v>7111109</v>
      </c>
      <c r="T22" s="2139">
        <f>IF(R22=0,0,(S22/R22))</f>
        <v>86.4845908737108</v>
      </c>
      <c r="U22" s="2118">
        <f>ROUND(('Direct Expns'!H34),0)</f>
        <v>64343</v>
      </c>
      <c r="V22" s="332">
        <f>'Direct Expns'!H27</f>
        <v>5407396</v>
      </c>
      <c r="W22" s="2171">
        <f>IF(U22=0,0,(V22/U22))</f>
        <v>84.0401597687394</v>
      </c>
      <c r="X22" s="2172">
        <f>ROUND(('Direct Expns'!I34),0)</f>
        <v>70983</v>
      </c>
      <c r="Y22" s="2177">
        <f>'Direct Expns'!I27</f>
        <v>5947704</v>
      </c>
      <c r="Z22" s="2139">
        <f>IF(X22=0,0,(Y22/X22))</f>
        <v>83.790541397236</v>
      </c>
      <c r="AA22" s="2118">
        <f>'Direct Expns'!J34</f>
        <v>78244.4</v>
      </c>
      <c r="AB22" s="332">
        <f>'Direct Expns'!J27</f>
        <v>6577862</v>
      </c>
      <c r="AC22" s="2139">
        <f>IF(AA22=0,0,(AB22/AA22))</f>
        <v>84.0681505641298</v>
      </c>
      <c r="AD22" s="2118">
        <f>ROUND('Direct Expns'!K34,0)</f>
        <v>80049</v>
      </c>
      <c r="AE22" s="332">
        <f>'Direct Expns'!K27</f>
        <v>6880405</v>
      </c>
      <c r="AF22" s="2139">
        <f>IF(AD22=0,0,(AE22/AD22))</f>
        <v>85.9524166448051</v>
      </c>
      <c r="AG22" s="2118">
        <f>ROUND(('Direct Expns'!L34),0)</f>
        <v>72433</v>
      </c>
      <c r="AH22" s="332">
        <f>'Direct Expns'!L27</f>
        <v>6337386</v>
      </c>
      <c r="AI22" s="2139">
        <f>IF(AG22=0,0,(AH22/AG22))</f>
        <v>87.4930763602225</v>
      </c>
      <c r="AJ22" s="2118">
        <f>ROUND(('Direct Expns'!M34),0)</f>
        <v>69896</v>
      </c>
      <c r="AK22" s="332">
        <f>'Direct Expns'!M27</f>
        <v>6046500</v>
      </c>
      <c r="AL22" s="2139">
        <f>IF(AJ22=0,0,(AK22/AJ22))</f>
        <v>86.5070962572966</v>
      </c>
      <c r="AM22" s="2184">
        <f>SUM(C22,F22,I22,L22,O22,R22,U22,X22,AA22,AD22,AG22,AJ22)</f>
        <v>902624.4</v>
      </c>
      <c r="AN22" s="482">
        <f>SUM(D22,G22,J22,M22,P22,S22,V22,Y22,AB22,AE22,AH22,AK22)</f>
        <v>77201351</v>
      </c>
      <c r="AO22" s="2139">
        <f>IF(AM22=0,0,(AN22/AM22))</f>
        <v>85.5298737769553</v>
      </c>
      <c r="AP22" s="2211"/>
      <c r="AQ22" s="2205">
        <f>'Direct Expns'!N27</f>
        <v>77201351</v>
      </c>
      <c r="AR22" s="2212">
        <f t="shared" si="16"/>
        <v>0</v>
      </c>
      <c r="AS22" s="2205"/>
      <c r="AT22" s="368"/>
    </row>
    <row r="23" ht="16.5" spans="2:48">
      <c r="B23" s="2119" t="s">
        <v>386</v>
      </c>
      <c r="C23" s="2120"/>
      <c r="D23" s="2121">
        <f>SUM(D19:D22)</f>
        <v>11230680</v>
      </c>
      <c r="E23" s="370">
        <f>D23/C12</f>
        <v>74.0873557758911</v>
      </c>
      <c r="F23" s="2120"/>
      <c r="G23" s="2121">
        <f>SUM(G19:G22)</f>
        <v>11587203</v>
      </c>
      <c r="H23" s="455"/>
      <c r="I23" s="2120"/>
      <c r="J23" s="2121">
        <f>SUM(J19:J22)</f>
        <v>11018191</v>
      </c>
      <c r="K23" s="455"/>
      <c r="L23" s="2120"/>
      <c r="M23" s="2121">
        <f>SUM(M19:M22)</f>
        <v>13259345</v>
      </c>
      <c r="N23" s="455"/>
      <c r="O23" s="2120"/>
      <c r="P23" s="2121">
        <f>SUM(P19:P22)</f>
        <v>11818313</v>
      </c>
      <c r="Q23" s="455"/>
      <c r="R23" s="2120"/>
      <c r="S23" s="2121">
        <f>SUM(S19:S22)</f>
        <v>13543884</v>
      </c>
      <c r="T23" s="455"/>
      <c r="U23" s="2120"/>
      <c r="V23" s="2121">
        <f>SUM(V19:V22)</f>
        <v>10453877</v>
      </c>
      <c r="W23" s="387"/>
      <c r="X23" s="272"/>
      <c r="Y23" s="2178">
        <f>SUM(Y19:Y22)</f>
        <v>11092034</v>
      </c>
      <c r="Z23" s="455"/>
      <c r="AA23" s="2120"/>
      <c r="AB23" s="2121">
        <f>SUM(AB19:AB22)</f>
        <v>12273107</v>
      </c>
      <c r="AC23" s="455"/>
      <c r="AD23" s="2120"/>
      <c r="AE23" s="2121">
        <f>SUM(AE19:AE22)</f>
        <v>12210299</v>
      </c>
      <c r="AF23" s="455"/>
      <c r="AG23" s="2120"/>
      <c r="AH23" s="2121">
        <f>SUM(AH19:AH22)</f>
        <v>11923989</v>
      </c>
      <c r="AI23" s="455"/>
      <c r="AJ23" s="2120"/>
      <c r="AK23" s="2121">
        <f>SUM(AK19:AK22)</f>
        <v>11566188</v>
      </c>
      <c r="AL23" s="455"/>
      <c r="AM23" s="2190"/>
      <c r="AN23" s="2121">
        <f>SUM(AN19:AN22)</f>
        <v>141977110</v>
      </c>
      <c r="AO23" s="370"/>
      <c r="AQ23" s="2213">
        <f>SUM(AQ19:AQ22)</f>
        <v>141977110</v>
      </c>
      <c r="AR23" s="2212">
        <f t="shared" si="16"/>
        <v>0</v>
      </c>
      <c r="AS23" s="2214"/>
      <c r="AT23" s="641"/>
      <c r="AV23" s="368"/>
    </row>
    <row r="24" ht="15.75" spans="2:50">
      <c r="B24" s="2113" t="s">
        <v>387</v>
      </c>
      <c r="C24" s="2118"/>
      <c r="D24" s="516">
        <f>'Direct Expns'!B29</f>
        <v>125000</v>
      </c>
      <c r="E24" s="2135">
        <f>IF(D24=0,0,D24/C$12)</f>
        <v>0.824608970426224</v>
      </c>
      <c r="F24" s="2118"/>
      <c r="G24" s="516">
        <f>'Direct Expns'!C29</f>
        <v>125000</v>
      </c>
      <c r="H24" s="2135">
        <f>IF(G24=0,0,G24/F$12)</f>
        <v>0.775607455759351</v>
      </c>
      <c r="I24" s="2118"/>
      <c r="J24" s="516">
        <f>'Direct Expns'!D29</f>
        <v>125000</v>
      </c>
      <c r="K24" s="2135"/>
      <c r="L24" s="2118"/>
      <c r="M24" s="516">
        <f>'Direct Expns'!E29</f>
        <v>125000</v>
      </c>
      <c r="N24" s="2135"/>
      <c r="O24" s="2118"/>
      <c r="P24" s="516">
        <f>'Direct Expns'!F29</f>
        <v>125000</v>
      </c>
      <c r="Q24" s="2135"/>
      <c r="R24" s="2118"/>
      <c r="S24" s="516">
        <f>'Direct Expns'!G29</f>
        <v>125000</v>
      </c>
      <c r="T24" s="2135"/>
      <c r="U24" s="2118"/>
      <c r="V24" s="516">
        <f>'Direct Expns'!H29</f>
        <v>125000</v>
      </c>
      <c r="W24" s="2173"/>
      <c r="X24" s="2172"/>
      <c r="Y24" s="2179">
        <f>'Direct Expns'!I29</f>
        <v>125000</v>
      </c>
      <c r="Z24" s="2135"/>
      <c r="AA24" s="2118"/>
      <c r="AB24" s="516">
        <f>'Direct Expns'!J29</f>
        <v>125000</v>
      </c>
      <c r="AC24" s="2135"/>
      <c r="AD24" s="2118"/>
      <c r="AE24" s="516">
        <f>'Direct Expns'!K29</f>
        <v>125000</v>
      </c>
      <c r="AF24" s="2135"/>
      <c r="AG24" s="2118"/>
      <c r="AH24" s="516">
        <f>'Direct Expns'!L29</f>
        <v>125000</v>
      </c>
      <c r="AI24" s="2135"/>
      <c r="AJ24" s="2118"/>
      <c r="AK24" s="516">
        <f>'Direct Expns'!M29</f>
        <v>125000</v>
      </c>
      <c r="AL24" s="2135"/>
      <c r="AM24" s="2118"/>
      <c r="AN24" s="516">
        <f>SUM(D24,G24,J24,M24,P24,S24,V24,Y24,AB24,AE24,AH24,AK24)</f>
        <v>1500000</v>
      </c>
      <c r="AO24" s="2135">
        <f>IF(AN24=0,0,AN24/AM$12)</f>
        <v>0.781094594721259</v>
      </c>
      <c r="AQ24" s="374">
        <f>AN24</f>
        <v>1500000</v>
      </c>
      <c r="AR24" s="2210">
        <f t="shared" si="16"/>
        <v>0</v>
      </c>
      <c r="AS24" s="374"/>
      <c r="AT24" s="2224"/>
      <c r="AU24" s="2225"/>
      <c r="AV24" s="2224">
        <f>AT24-AU24</f>
        <v>0</v>
      </c>
      <c r="AW24" s="368"/>
      <c r="AX24" s="368"/>
    </row>
    <row r="25" ht="16.5" spans="2:48">
      <c r="B25" s="2104" t="s">
        <v>388</v>
      </c>
      <c r="C25" s="2111"/>
      <c r="D25" s="460">
        <f>'Indirect Expns'!B75</f>
        <v>1416207</v>
      </c>
      <c r="E25" s="508">
        <f>IF(D25=0,0,D25/C$12)</f>
        <v>9.34253596944329</v>
      </c>
      <c r="F25" s="2111"/>
      <c r="G25" s="460">
        <f>'Indirect Expns'!C75</f>
        <v>867964</v>
      </c>
      <c r="H25" s="508">
        <f>IF(G25=0,0,G25/F$12)</f>
        <v>5.38559479784567</v>
      </c>
      <c r="I25" s="2111"/>
      <c r="J25" s="460">
        <f>'Indirect Expns'!D75</f>
        <v>2106946</v>
      </c>
      <c r="K25" s="508"/>
      <c r="L25" s="2111"/>
      <c r="M25" s="460">
        <f>'Indirect Expns'!E75</f>
        <v>1117432</v>
      </c>
      <c r="N25" s="508"/>
      <c r="O25" s="2111"/>
      <c r="P25" s="460">
        <f>'Indirect Expns'!F75</f>
        <v>1309515</v>
      </c>
      <c r="Q25" s="508"/>
      <c r="R25" s="2111"/>
      <c r="S25" s="460">
        <f>'Indirect Expns'!G75</f>
        <v>1356998</v>
      </c>
      <c r="T25" s="508"/>
      <c r="U25" s="2111"/>
      <c r="V25" s="460">
        <f>'Indirect Expns'!H75</f>
        <v>1311747</v>
      </c>
      <c r="W25" s="330"/>
      <c r="X25" s="269"/>
      <c r="Y25" s="2180">
        <f>'Indirect Expns'!I75</f>
        <v>1461815</v>
      </c>
      <c r="Z25" s="508"/>
      <c r="AA25" s="2111"/>
      <c r="AB25" s="460">
        <f>'Indirect Expns'!J75</f>
        <v>1683366</v>
      </c>
      <c r="AC25" s="508"/>
      <c r="AD25" s="2111"/>
      <c r="AE25" s="460">
        <f>'Indirect Expns'!K75</f>
        <v>1322682</v>
      </c>
      <c r="AF25" s="508"/>
      <c r="AG25" s="2111"/>
      <c r="AH25" s="460">
        <f>'Indirect Expns'!L75</f>
        <v>1839825</v>
      </c>
      <c r="AI25" s="508"/>
      <c r="AJ25" s="2111"/>
      <c r="AK25" s="460">
        <f>'Indirect Expns'!M75</f>
        <v>1549805</v>
      </c>
      <c r="AL25" s="508"/>
      <c r="AM25" s="2184"/>
      <c r="AN25" s="334">
        <f>SUM(D25,G25,J25,M25,P25,S25,V25,Y25,AB25,AE25,AH25,AK25)</f>
        <v>17344302</v>
      </c>
      <c r="AO25" s="508">
        <f>IF(AN25=0,0,AN25/AM$12)</f>
        <v>9.03169369427541</v>
      </c>
      <c r="AP25" s="372"/>
      <c r="AQ25" s="2205">
        <v>17344302</v>
      </c>
      <c r="AS25" s="2212"/>
      <c r="AT25" s="2224"/>
      <c r="AU25" s="2225" t="s">
        <v>389</v>
      </c>
      <c r="AV25" s="2225"/>
    </row>
    <row r="26" ht="16.5" spans="2:48">
      <c r="B26" s="2122" t="s">
        <v>224</v>
      </c>
      <c r="C26" s="2123">
        <f>C19+C25</f>
        <v>0</v>
      </c>
      <c r="D26" s="443">
        <f>D23+D24+D25</f>
        <v>12771887</v>
      </c>
      <c r="E26" s="370">
        <f>IF(C12=0,0,(D26/C12))</f>
        <v>84.2545007157606</v>
      </c>
      <c r="F26" s="2123">
        <f>F19+F25</f>
        <v>0</v>
      </c>
      <c r="G26" s="443">
        <f>G23+G24+G25</f>
        <v>12580167</v>
      </c>
      <c r="H26" s="455">
        <f>IF(F12=0,0,(G26/F12))</f>
        <v>78.0581705591819</v>
      </c>
      <c r="I26" s="2123">
        <f>I19+I25</f>
        <v>0</v>
      </c>
      <c r="J26" s="443">
        <f>J23+J24+J25</f>
        <v>13250137</v>
      </c>
      <c r="K26" s="455">
        <f>IF(I12=0,0,(J26/I12))</f>
        <v>73.3986084875611</v>
      </c>
      <c r="L26" s="2123">
        <f>L19+L25</f>
        <v>0</v>
      </c>
      <c r="M26" s="443">
        <f>M23+M24+M25</f>
        <v>14501777</v>
      </c>
      <c r="N26" s="455">
        <f>IF(L12=0,0,(M26/L12))</f>
        <v>81.7563452062826</v>
      </c>
      <c r="O26" s="2123">
        <f>O19+O25</f>
        <v>0</v>
      </c>
      <c r="P26" s="443">
        <f>P23+P24+P25</f>
        <v>13252828</v>
      </c>
      <c r="Q26" s="455">
        <f>IF(O12=0,0,(P26/O12))</f>
        <v>75.3879689410962</v>
      </c>
      <c r="R26" s="2123">
        <f>R19+R25</f>
        <v>0</v>
      </c>
      <c r="S26" s="443">
        <f>S23+S24+S25</f>
        <v>15025882</v>
      </c>
      <c r="T26" s="455">
        <f>IF(R12=0,0,(S26/R12))</f>
        <v>112.869627270405</v>
      </c>
      <c r="U26" s="2123">
        <f>U19+U25</f>
        <v>0</v>
      </c>
      <c r="V26" s="443">
        <f>V23+V24+V25</f>
        <v>11890624</v>
      </c>
      <c r="W26" s="387">
        <f>IF(U12=0,0,(V26/U12))</f>
        <v>94.828368862199</v>
      </c>
      <c r="X26" s="2174">
        <f>X19+X25</f>
        <v>1.2373400111052e-6</v>
      </c>
      <c r="Y26" s="369">
        <f>Y23+Y24+Y25</f>
        <v>12678849</v>
      </c>
      <c r="Z26" s="455">
        <f>IF(X12=0,0,(Y26/X12))</f>
        <v>79.2249806293584</v>
      </c>
      <c r="AA26" s="2123">
        <f>AA19+AA25</f>
        <v>7.99698309187165e-7</v>
      </c>
      <c r="AB26" s="443">
        <f>AB23+AB24+AB25</f>
        <v>14081473</v>
      </c>
      <c r="AC26" s="455">
        <f>IF(AA12=0,0,(AB26/AA12))</f>
        <v>112.608542319749</v>
      </c>
      <c r="AD26" s="2123">
        <f>AD19+AD25</f>
        <v>0</v>
      </c>
      <c r="AE26" s="443">
        <f>AE23+AE24+AE25</f>
        <v>13657981</v>
      </c>
      <c r="AF26" s="455">
        <f>IF(AD12=0,0,(AE26/AD12))</f>
        <v>84.0641160576349</v>
      </c>
      <c r="AG26" s="2123">
        <f>AG19+AG25</f>
        <v>0</v>
      </c>
      <c r="AH26" s="443">
        <f>AH23+AH24+AH25</f>
        <v>13888814</v>
      </c>
      <c r="AI26" s="455">
        <f>IF(AG12=0,0,(AH26/AG12))</f>
        <v>80.6162767075103</v>
      </c>
      <c r="AJ26" s="2123">
        <f>AJ19+AJ25</f>
        <v>0</v>
      </c>
      <c r="AK26" s="443">
        <f>AK23+AK24+AK25</f>
        <v>13240993</v>
      </c>
      <c r="AL26" s="455">
        <f>IF(AJ12=0,0,(AK26/AJ12))</f>
        <v>67.7011606503733</v>
      </c>
      <c r="AM26" s="2124">
        <f>AM19+AM25</f>
        <v>0</v>
      </c>
      <c r="AN26" s="443">
        <f>AN23+AN24+AN25</f>
        <v>160821412</v>
      </c>
      <c r="AO26" s="370">
        <f>IF(AM12=0,0,(AN26/AM12))</f>
        <v>83.7444904190937</v>
      </c>
      <c r="AQ26" s="2214">
        <f>AQ23+AQ24+AQ25</f>
        <v>160821412</v>
      </c>
      <c r="AR26" s="2215">
        <f>AN26-AQ26</f>
        <v>0</v>
      </c>
      <c r="AS26" s="2214"/>
      <c r="AT26" s="470"/>
      <c r="AV26" s="368"/>
    </row>
    <row r="27" ht="16.5" spans="3:46">
      <c r="C27" s="318"/>
      <c r="D27" s="368"/>
      <c r="E27" s="369"/>
      <c r="F27" s="318"/>
      <c r="G27" s="368"/>
      <c r="H27" s="369"/>
      <c r="I27" s="318"/>
      <c r="J27" s="368"/>
      <c r="K27" s="369"/>
      <c r="L27" s="318"/>
      <c r="M27" s="368"/>
      <c r="N27" s="369"/>
      <c r="O27" s="318"/>
      <c r="P27" s="368"/>
      <c r="Q27" s="369"/>
      <c r="R27" s="318"/>
      <c r="S27" s="368"/>
      <c r="T27" s="369"/>
      <c r="U27" s="318"/>
      <c r="V27" s="368"/>
      <c r="W27" s="369"/>
      <c r="X27" s="318"/>
      <c r="Y27" s="368"/>
      <c r="Z27" s="369"/>
      <c r="AA27" s="318"/>
      <c r="AB27" s="368"/>
      <c r="AC27" s="369"/>
      <c r="AD27" s="318"/>
      <c r="AE27" s="368"/>
      <c r="AF27" s="369"/>
      <c r="AG27" s="318"/>
      <c r="AH27" s="368"/>
      <c r="AI27" s="369"/>
      <c r="AJ27" s="318"/>
      <c r="AK27" s="368"/>
      <c r="AL27" s="369"/>
      <c r="AM27" s="318"/>
      <c r="AN27" s="368"/>
      <c r="AO27" s="2133"/>
      <c r="AQ27" s="231"/>
      <c r="AR27" s="2210">
        <f t="shared" si="16"/>
        <v>0</v>
      </c>
      <c r="AS27" s="374"/>
      <c r="AT27" s="368"/>
    </row>
    <row r="28" ht="16.5" spans="2:46">
      <c r="B28" s="319" t="s">
        <v>390</v>
      </c>
      <c r="C28" s="2124"/>
      <c r="D28" s="338">
        <f>D18-D26</f>
        <v>263077</v>
      </c>
      <c r="E28" s="370">
        <f>IF(C12=0,0,(D28/C12))</f>
        <v>1.73548523290256</v>
      </c>
      <c r="F28" s="2124"/>
      <c r="G28" s="2140">
        <f>G18-G26</f>
        <v>-5501675</v>
      </c>
      <c r="H28" s="370">
        <f>IF(F12=0,0,(G28/F12))</f>
        <v>-34.1371211933186</v>
      </c>
      <c r="I28" s="2158"/>
      <c r="J28" s="338">
        <f>J18-J26</f>
        <v>-1934079</v>
      </c>
      <c r="K28" s="370">
        <f>IF(I12=0,0,(J28/I12))</f>
        <v>-10.7137539260925</v>
      </c>
      <c r="L28" s="2158"/>
      <c r="M28" s="338">
        <f>M18-M26</f>
        <v>-3009905</v>
      </c>
      <c r="N28" s="370">
        <f>IF(L12=0,0,(M28/L12))</f>
        <v>-16.9688743812649</v>
      </c>
      <c r="O28" s="2158"/>
      <c r="P28" s="338">
        <f>P18-P26</f>
        <v>15878058</v>
      </c>
      <c r="Q28" s="370">
        <f>IF(O12=0,0,(P28/O12))</f>
        <v>90.3214425893797</v>
      </c>
      <c r="R28" s="2158"/>
      <c r="S28" s="338">
        <f>S18-S26</f>
        <v>-598548</v>
      </c>
      <c r="T28" s="370">
        <f>IF(R12=0,0,(S28/R12))</f>
        <v>-4.49610143773568</v>
      </c>
      <c r="U28" s="2158"/>
      <c r="V28" s="338">
        <f>V18-V26</f>
        <v>-1138714</v>
      </c>
      <c r="W28" s="370">
        <f>IF(U12=0,0,(V28/U12))</f>
        <v>-9.08130567584595</v>
      </c>
      <c r="X28" s="2158"/>
      <c r="Y28" s="338">
        <f>Y18-Y26</f>
        <v>-37245</v>
      </c>
      <c r="Z28" s="370">
        <f>IF(X12=0,0,(Y28/X12))</f>
        <v>-0.23272888600065</v>
      </c>
      <c r="AA28" s="2158"/>
      <c r="AB28" s="338">
        <f>AB18-AB26</f>
        <v>-1657835</v>
      </c>
      <c r="AC28" s="370">
        <f>IF(AA12=0,0,(AB28/AA12))</f>
        <v>-13.2575890857911</v>
      </c>
      <c r="AD28" s="2158"/>
      <c r="AE28" s="338">
        <f>AE18-AE26</f>
        <v>1446258</v>
      </c>
      <c r="AF28" s="370">
        <f>IF(AD12=0,0,(AE28/AD12))</f>
        <v>8.90163783075133</v>
      </c>
      <c r="AG28" s="2158"/>
      <c r="AH28" s="338">
        <f>AH18-AH26</f>
        <v>1806987</v>
      </c>
      <c r="AI28" s="370">
        <f>IF(AG12=0,0,(AH28/AG12))</f>
        <v>10.4884811618093</v>
      </c>
      <c r="AJ28" s="2158"/>
      <c r="AK28" s="338">
        <f>AK18-AK26</f>
        <v>4087015</v>
      </c>
      <c r="AL28" s="370">
        <f>IF(AJ12=0,0,(AK28/AJ12))</f>
        <v>20.8968964106759</v>
      </c>
      <c r="AM28" s="2158"/>
      <c r="AN28" s="2191">
        <f>AN18-AN26</f>
        <v>9603395</v>
      </c>
      <c r="AO28" s="370">
        <f>IF(AM12=0,0,(AN28/AM12))</f>
        <v>5.00077328364877</v>
      </c>
      <c r="AQ28" s="2216">
        <f>AQ18-AQ26</f>
        <v>9603395</v>
      </c>
      <c r="AR28" s="2204">
        <f t="shared" si="16"/>
        <v>0</v>
      </c>
      <c r="AS28" s="373">
        <f>AS18-AS26</f>
        <v>0</v>
      </c>
      <c r="AT28" s="470"/>
    </row>
    <row r="29" spans="2:46"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23"/>
      <c r="AI29" s="323"/>
      <c r="AJ29" s="323"/>
      <c r="AK29" s="323"/>
      <c r="AL29" s="323"/>
      <c r="AM29" s="323"/>
      <c r="AN29" s="368"/>
      <c r="AO29" s="323"/>
      <c r="AQ29" s="323">
        <f>AQ28-AN31</f>
        <v>0</v>
      </c>
      <c r="AR29" s="323"/>
      <c r="AS29" s="323"/>
      <c r="AT29" s="932"/>
    </row>
    <row r="30" ht="15.75" spans="4:44">
      <c r="D30" s="323"/>
      <c r="E30" s="323">
        <f>D30/C12</f>
        <v>0</v>
      </c>
      <c r="G30" s="323"/>
      <c r="H30" s="323">
        <f>G30/F12</f>
        <v>0</v>
      </c>
      <c r="J30" s="323"/>
      <c r="K30" s="323">
        <f>J30/I12</f>
        <v>0</v>
      </c>
      <c r="M30" s="323"/>
      <c r="N30" s="323">
        <f>M30/L12</f>
        <v>0</v>
      </c>
      <c r="P30" s="323"/>
      <c r="Q30" s="323">
        <f>P30/O12</f>
        <v>0</v>
      </c>
      <c r="R30" s="368"/>
      <c r="S30" s="323"/>
      <c r="T30" s="323">
        <f>S30/R12</f>
        <v>0</v>
      </c>
      <c r="V30" s="323"/>
      <c r="W30" s="323">
        <f>V30/U12</f>
        <v>0</v>
      </c>
      <c r="Y30" s="323"/>
      <c r="Z30" s="323">
        <f>Y30/X12</f>
        <v>0</v>
      </c>
      <c r="AB30" s="323"/>
      <c r="AC30" s="323">
        <f>AB30/AA12</f>
        <v>0</v>
      </c>
      <c r="AE30" s="323"/>
      <c r="AF30" s="323">
        <f>AE30/AD12</f>
        <v>0</v>
      </c>
      <c r="AH30" s="323"/>
      <c r="AI30" s="323">
        <f>AH30/AG12</f>
        <v>0</v>
      </c>
      <c r="AK30" s="323"/>
      <c r="AL30" s="323">
        <f>AK30/AJ12</f>
        <v>0</v>
      </c>
      <c r="AN30" s="2192">
        <f>SUM(D30,G30,J30,M30,P30,S30,V30,Y30,AB30,AE30,AH30,AK30)</f>
        <v>0</v>
      </c>
      <c r="AR30" s="2217"/>
    </row>
    <row r="31" ht="16.5" spans="2:45">
      <c r="B31" s="2125" t="s">
        <v>391</v>
      </c>
      <c r="C31" s="2126">
        <f>D31/D12</f>
        <v>0.0085513420035898</v>
      </c>
      <c r="D31" s="2127">
        <f>SUM(D28+D29-D30)</f>
        <v>263077</v>
      </c>
      <c r="E31" s="2127"/>
      <c r="F31" s="2141">
        <f>G31/G12</f>
        <v>-0.1446079547169</v>
      </c>
      <c r="G31" s="2127">
        <f>SUM(G28+G29-G30)</f>
        <v>-5501675</v>
      </c>
      <c r="H31" s="2127"/>
      <c r="I31" s="2126">
        <f>J31/J12</f>
        <v>-0.0498418385145553</v>
      </c>
      <c r="J31" s="2127">
        <f>SUM(J28+J29-J30)</f>
        <v>-1934079</v>
      </c>
      <c r="K31" s="2127"/>
      <c r="L31" s="2159"/>
      <c r="M31" s="2127">
        <f>SUM(M28+M29-M30)</f>
        <v>-3009905</v>
      </c>
      <c r="N31" s="2127"/>
      <c r="O31" s="2159"/>
      <c r="P31" s="2127">
        <f>SUM(P28+P29-P30)</f>
        <v>15878058</v>
      </c>
      <c r="Q31" s="2127"/>
      <c r="R31" s="2159"/>
      <c r="S31" s="2127">
        <f>SUM(S28+S29-S30)</f>
        <v>-598548</v>
      </c>
      <c r="T31" s="2127"/>
      <c r="U31" s="2159"/>
      <c r="V31" s="2127">
        <f>SUM(V28+V29-V30)</f>
        <v>-1138714</v>
      </c>
      <c r="W31" s="2127"/>
      <c r="X31" s="2159"/>
      <c r="Y31" s="2127">
        <f>SUM(Y28+Y29-Y30)</f>
        <v>-37245</v>
      </c>
      <c r="Z31" s="2127"/>
      <c r="AA31" s="2159"/>
      <c r="AB31" s="2127">
        <f>SUM(AB28+AB29-AB30)</f>
        <v>-1657835</v>
      </c>
      <c r="AC31" s="2127"/>
      <c r="AD31" s="2159"/>
      <c r="AE31" s="2127">
        <f>SUM(AE28+AE29-AE30)</f>
        <v>1446258</v>
      </c>
      <c r="AF31" s="2127"/>
      <c r="AG31" s="2159"/>
      <c r="AH31" s="2127">
        <f>SUM(AH28+AH29-AH30)</f>
        <v>1806987</v>
      </c>
      <c r="AI31" s="2127"/>
      <c r="AJ31" s="2159"/>
      <c r="AK31" s="2127">
        <f>SUM(AK28+AK29-AK30)</f>
        <v>4087015</v>
      </c>
      <c r="AL31" s="2127"/>
      <c r="AM31" s="2141">
        <f>AN31/AN12</f>
        <v>0.0231473132937748</v>
      </c>
      <c r="AN31" s="2193">
        <f>SUM(AN28+AN29)</f>
        <v>9603395</v>
      </c>
      <c r="AO31" s="2218"/>
      <c r="AQ31" s="368">
        <v>5695475.6</v>
      </c>
      <c r="AR31" s="368"/>
      <c r="AS31" s="368"/>
    </row>
    <row r="32" spans="4:45">
      <c r="D32" s="323"/>
      <c r="E32" s="323"/>
      <c r="F32" s="323"/>
      <c r="G32" s="323">
        <f>D31+G31</f>
        <v>-5238598</v>
      </c>
      <c r="H32" s="323"/>
      <c r="I32" s="323"/>
      <c r="J32" s="323">
        <f>G32+J31</f>
        <v>-7172677</v>
      </c>
      <c r="K32" s="323"/>
      <c r="L32" s="323"/>
      <c r="M32" s="323">
        <f>J32+M31</f>
        <v>-10182582</v>
      </c>
      <c r="N32" s="323"/>
      <c r="O32" s="323"/>
      <c r="P32" s="323">
        <f>M32+P31</f>
        <v>5695476</v>
      </c>
      <c r="Q32" s="323"/>
      <c r="R32" s="323"/>
      <c r="S32" s="323">
        <f>P32+S31</f>
        <v>5096928</v>
      </c>
      <c r="T32" s="323"/>
      <c r="U32" s="323"/>
      <c r="V32" s="323">
        <f>S32+V31</f>
        <v>3958214</v>
      </c>
      <c r="W32" s="323"/>
      <c r="X32" s="323"/>
      <c r="Y32" s="323">
        <f>V32+Y31</f>
        <v>3920969</v>
      </c>
      <c r="Z32" s="323"/>
      <c r="AA32" s="323"/>
      <c r="AB32" s="323">
        <f>Y32+AB31</f>
        <v>2263134</v>
      </c>
      <c r="AC32" s="323"/>
      <c r="AD32" s="323"/>
      <c r="AE32" s="323">
        <f>AB32+AE31</f>
        <v>3709392</v>
      </c>
      <c r="AF32" s="368"/>
      <c r="AG32" s="323"/>
      <c r="AH32" s="323">
        <f>AE32+AH31</f>
        <v>5516379</v>
      </c>
      <c r="AI32" s="323"/>
      <c r="AJ32" s="323"/>
      <c r="AK32" s="323">
        <f>AH32+AK31</f>
        <v>9603394</v>
      </c>
      <c r="AL32" s="323"/>
      <c r="AM32" s="323"/>
      <c r="AN32" s="323">
        <f>AN31-AK32</f>
        <v>1</v>
      </c>
      <c r="AQ32" s="442">
        <f>AQ31-AQ28</f>
        <v>-3907919.4</v>
      </c>
      <c r="AR32" s="442"/>
      <c r="AS32" s="442"/>
    </row>
    <row r="33" spans="2:45">
      <c r="B33" s="229" t="s">
        <v>392</v>
      </c>
      <c r="C33" s="318">
        <f>C21+C22</f>
        <v>88054</v>
      </c>
      <c r="D33" s="323">
        <f>D21+D22</f>
        <v>7302771</v>
      </c>
      <c r="E33" s="323">
        <f>D33/C33</f>
        <v>82.9351420719104</v>
      </c>
      <c r="F33" s="318">
        <f>F21+F22</f>
        <v>83808</v>
      </c>
      <c r="G33" s="323">
        <f>G21+G22</f>
        <v>7148617</v>
      </c>
      <c r="H33" s="323">
        <f>G33/F33</f>
        <v>85.2975491599847</v>
      </c>
      <c r="I33" s="318">
        <f>I21+I22</f>
        <v>78913.5</v>
      </c>
      <c r="J33" s="323">
        <f>J21+J22</f>
        <v>6712509</v>
      </c>
      <c r="K33" s="323">
        <f>J33/I33</f>
        <v>85.0616054287289</v>
      </c>
      <c r="L33" s="318">
        <f>L21+L22</f>
        <v>90524</v>
      </c>
      <c r="M33" s="323">
        <f>M21+M22</f>
        <v>7841239</v>
      </c>
      <c r="N33" s="323">
        <f>M33/L33</f>
        <v>86.6205536653263</v>
      </c>
      <c r="O33" s="318">
        <f>O21+O22</f>
        <v>83229</v>
      </c>
      <c r="P33" s="323">
        <f>P21+P22</f>
        <v>7423030</v>
      </c>
      <c r="Q33" s="323">
        <f>P33/O33</f>
        <v>89.1880234053034</v>
      </c>
      <c r="R33" s="318">
        <f>R21+R22</f>
        <v>90842</v>
      </c>
      <c r="S33" s="323">
        <f>S21+S22</f>
        <v>7833597</v>
      </c>
      <c r="T33" s="323">
        <f>S33/R33</f>
        <v>86.2332071068449</v>
      </c>
      <c r="U33" s="318">
        <f>U21+U22</f>
        <v>70428</v>
      </c>
      <c r="V33" s="323">
        <f>V21+V22</f>
        <v>6198667</v>
      </c>
      <c r="W33" s="323">
        <f>V33/U33</f>
        <v>88.01424149486</v>
      </c>
      <c r="X33" s="318">
        <f>X21+X22</f>
        <v>78761</v>
      </c>
      <c r="Y33" s="323">
        <f>Y21+Y22</f>
        <v>6571780</v>
      </c>
      <c r="Z33" s="323">
        <f>Y33/X33</f>
        <v>83.4395195591727</v>
      </c>
      <c r="AA33" s="318">
        <f>AA21+AA22</f>
        <v>78244.4</v>
      </c>
      <c r="AB33" s="323">
        <f>AB21+AB22</f>
        <v>7210188</v>
      </c>
      <c r="AC33" s="323">
        <f>AB33/AA33</f>
        <v>92.1495723655623</v>
      </c>
      <c r="AD33" s="318">
        <f>AD21+AD22</f>
        <v>80049</v>
      </c>
      <c r="AE33" s="323">
        <f>AE21+AE22</f>
        <v>7601585</v>
      </c>
      <c r="AF33" s="368">
        <f>AE33/AD33</f>
        <v>94.9616484902997</v>
      </c>
      <c r="AG33" s="318">
        <f>AG21+AG22</f>
        <v>81203</v>
      </c>
      <c r="AH33" s="323">
        <f>AH21+AH22</f>
        <v>7053666</v>
      </c>
      <c r="AI33" s="323">
        <f>AH33/AG33</f>
        <v>86.8645985985739</v>
      </c>
      <c r="AJ33" s="318">
        <f>AJ21+AJ22</f>
        <v>81181</v>
      </c>
      <c r="AK33" s="323">
        <f>AK21+AK22</f>
        <v>6670048</v>
      </c>
      <c r="AL33" s="323">
        <f>AK33/AJ33</f>
        <v>82.1626735319841</v>
      </c>
      <c r="AM33" s="318">
        <f>AM21+AM22</f>
        <v>985236.9</v>
      </c>
      <c r="AN33" s="323">
        <f>AN21+AN22</f>
        <v>85567697</v>
      </c>
      <c r="AO33" s="323">
        <f>AN33/AM33</f>
        <v>86.849870320529</v>
      </c>
      <c r="AP33" s="568"/>
      <c r="AQ33" s="568"/>
      <c r="AR33" s="568"/>
      <c r="AS33" s="568"/>
    </row>
    <row r="34" ht="15.75" spans="4:45">
      <c r="D34" s="323"/>
      <c r="E34" s="323"/>
      <c r="F34" s="372"/>
      <c r="G34" s="372"/>
      <c r="H34" s="372"/>
      <c r="I34" s="372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323"/>
      <c r="AK34" s="323"/>
      <c r="AL34" s="323"/>
      <c r="AN34" s="568"/>
      <c r="AO34" s="568"/>
      <c r="AP34" s="568"/>
      <c r="AQ34" s="568"/>
      <c r="AR34" s="568"/>
      <c r="AS34" s="568"/>
    </row>
    <row r="35" spans="2:45">
      <c r="B35" s="257" t="s">
        <v>393</v>
      </c>
      <c r="C35" s="392"/>
      <c r="D35" s="2128">
        <f>D18-(D23+D24)</f>
        <v>1679284</v>
      </c>
      <c r="E35" s="2134"/>
      <c r="F35" s="2142"/>
      <c r="G35" s="2128">
        <f>G18-(G23+G24)</f>
        <v>-4633711</v>
      </c>
      <c r="H35" s="2143"/>
      <c r="I35" s="2160"/>
      <c r="J35" s="2128">
        <f>J18-(J23+J24)</f>
        <v>172867</v>
      </c>
      <c r="K35" s="2134"/>
      <c r="L35" s="2161"/>
      <c r="M35" s="2128">
        <f>M18-(M23+M24)</f>
        <v>-1892473</v>
      </c>
      <c r="N35" s="457"/>
      <c r="O35" s="2164"/>
      <c r="P35" s="2128">
        <f>P18-(P23+P24)</f>
        <v>17187573</v>
      </c>
      <c r="Q35" s="2134"/>
      <c r="R35" s="2164"/>
      <c r="S35" s="2128">
        <f>S18-(S23+S24)</f>
        <v>758450</v>
      </c>
      <c r="T35" s="2134"/>
      <c r="U35" s="2161"/>
      <c r="V35" s="520"/>
      <c r="W35" s="520"/>
      <c r="X35" s="520"/>
      <c r="Y35" s="520"/>
      <c r="Z35" s="520"/>
      <c r="AA35" s="520"/>
      <c r="AB35" s="520"/>
      <c r="AC35" s="520"/>
      <c r="AD35" s="520"/>
      <c r="AE35" s="520"/>
      <c r="AF35" s="520"/>
      <c r="AG35" s="520"/>
      <c r="AH35" s="520"/>
      <c r="AI35" s="520"/>
      <c r="AJ35" s="520"/>
      <c r="AK35" s="520">
        <f>AK18-(AK23+AK24)</f>
        <v>5636820</v>
      </c>
      <c r="AL35" s="457"/>
      <c r="AM35" s="392"/>
      <c r="AN35" s="2128">
        <f>AN18-(AN23+AN24)</f>
        <v>26947697</v>
      </c>
      <c r="AO35" s="2219"/>
      <c r="AP35" s="568"/>
      <c r="AQ35" s="568"/>
      <c r="AR35" s="568"/>
      <c r="AS35" s="568"/>
    </row>
    <row r="36" ht="15.75" spans="2:45">
      <c r="B36" s="260" t="s">
        <v>394</v>
      </c>
      <c r="C36" s="384"/>
      <c r="D36" s="2129">
        <f>D35-D25</f>
        <v>263077</v>
      </c>
      <c r="E36" s="473"/>
      <c r="F36" s="2144"/>
      <c r="G36" s="2145">
        <f>G35-G25</f>
        <v>-5501675</v>
      </c>
      <c r="H36" s="2146"/>
      <c r="I36" s="2162"/>
      <c r="J36" s="2129">
        <f>J35-J25</f>
        <v>-1934079</v>
      </c>
      <c r="K36" s="473"/>
      <c r="L36" s="2163"/>
      <c r="M36" s="2129">
        <f>M35-M25</f>
        <v>-3009905</v>
      </c>
      <c r="N36" s="484"/>
      <c r="O36" s="2165"/>
      <c r="P36" s="2129">
        <f>P35-P25</f>
        <v>15878058</v>
      </c>
      <c r="Q36" s="473"/>
      <c r="R36" s="2165"/>
      <c r="S36" s="2129">
        <f>S35-S25</f>
        <v>-598548</v>
      </c>
      <c r="T36" s="473"/>
      <c r="U36" s="2163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6"/>
      <c r="AI36" s="456"/>
      <c r="AJ36" s="456"/>
      <c r="AK36" s="456"/>
      <c r="AL36" s="484"/>
      <c r="AM36" s="2194"/>
      <c r="AN36" s="2129">
        <f>AN35-AN25</f>
        <v>9603395</v>
      </c>
      <c r="AO36" s="2220"/>
      <c r="AP36" s="568"/>
      <c r="AQ36" s="568"/>
      <c r="AR36" s="568"/>
      <c r="AS36" s="568"/>
    </row>
    <row r="37" spans="2:45">
      <c r="B37" s="2130"/>
      <c r="D37" s="323"/>
      <c r="E37" s="323"/>
      <c r="F37" s="372"/>
      <c r="G37" s="372"/>
      <c r="H37" s="372"/>
      <c r="I37" s="372"/>
      <c r="J37" s="323"/>
      <c r="K37" s="323"/>
      <c r="L37" s="323"/>
      <c r="M37" s="2166">
        <f>'Stock Valuation (FIFO)'!P49</f>
        <v>0</v>
      </c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3"/>
      <c r="AE37" s="323"/>
      <c r="AF37" s="323"/>
      <c r="AG37" s="323"/>
      <c r="AH37" s="323"/>
      <c r="AI37" s="323"/>
      <c r="AJ37" s="323"/>
      <c r="AK37" s="323"/>
      <c r="AL37" s="323"/>
      <c r="AN37" s="2195"/>
      <c r="AO37" s="568"/>
      <c r="AP37" s="568"/>
      <c r="AQ37" s="568"/>
      <c r="AR37" s="568"/>
      <c r="AS37" s="568"/>
    </row>
    <row r="38" spans="2:45">
      <c r="B38" s="2130" t="s">
        <v>395</v>
      </c>
      <c r="D38" s="323">
        <f>ROUND(((D4+D10)/2),0)</f>
        <v>85557170</v>
      </c>
      <c r="E38" s="323"/>
      <c r="F38" s="372"/>
      <c r="G38" s="323">
        <f>ROUND(((G4+G10)/2),0)</f>
        <v>77353185</v>
      </c>
      <c r="H38" s="372"/>
      <c r="I38" s="372"/>
      <c r="J38" s="323">
        <f>ROUND(((J4+J10)/2),0)</f>
        <v>67204413</v>
      </c>
      <c r="K38" s="323"/>
      <c r="L38" s="323"/>
      <c r="M38" s="323">
        <f>ROUND(((M4+M10)/2),0)</f>
        <v>63824106</v>
      </c>
      <c r="N38" s="323"/>
      <c r="O38" s="323"/>
      <c r="P38" s="323">
        <f>ROUND(((P4+P10)/2),0)</f>
        <v>72671231</v>
      </c>
      <c r="Q38" s="323"/>
      <c r="R38" s="323"/>
      <c r="S38" s="323">
        <f>ROUND(((S4+S10)/2),0)</f>
        <v>83399239</v>
      </c>
      <c r="T38" s="323"/>
      <c r="U38" s="323"/>
      <c r="V38" s="323">
        <f>ROUND(((V4+V10)/2),0)</f>
        <v>85569359</v>
      </c>
      <c r="W38" s="323"/>
      <c r="X38" s="323"/>
      <c r="Y38" s="323">
        <f>ROUND(((Y4+Y10)/2),0)</f>
        <v>86566664</v>
      </c>
      <c r="Z38" s="323"/>
      <c r="AA38" s="323"/>
      <c r="AB38" s="323">
        <f>ROUND(((AB4+AB10)/2),0)</f>
        <v>87917137</v>
      </c>
      <c r="AC38" s="323"/>
      <c r="AD38" s="323"/>
      <c r="AE38" s="323">
        <f>ROUND(((AE4+AE10)/2),0)</f>
        <v>92976974</v>
      </c>
      <c r="AF38" s="323"/>
      <c r="AG38" s="323"/>
      <c r="AH38" s="323">
        <f>ROUND(((AH4+AH10)/2),0)</f>
        <v>93252928</v>
      </c>
      <c r="AI38" s="323"/>
      <c r="AJ38" s="323"/>
      <c r="AK38" s="323">
        <f>ROUND(((AK4+AK10)/2),0)</f>
        <v>86969071</v>
      </c>
      <c r="AL38" s="323"/>
      <c r="AM38" s="2196"/>
      <c r="AN38" s="323">
        <f>ROUND(((AN4+AN10)/2),0)</f>
        <v>83943384</v>
      </c>
      <c r="AO38" s="568"/>
      <c r="AP38" s="568"/>
      <c r="AQ38" s="568"/>
      <c r="AR38" s="568"/>
      <c r="AS38" s="568"/>
    </row>
    <row r="39" spans="2:45">
      <c r="B39" s="229" t="s">
        <v>396</v>
      </c>
      <c r="D39" s="323"/>
      <c r="E39" s="323"/>
      <c r="F39" s="372"/>
      <c r="G39" s="372"/>
      <c r="H39" s="372"/>
      <c r="I39" s="372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323"/>
      <c r="AK39" s="323"/>
      <c r="AL39" s="323"/>
      <c r="AN39" s="568"/>
      <c r="AO39" s="568"/>
      <c r="AP39" s="568"/>
      <c r="AQ39" s="568"/>
      <c r="AR39" s="568"/>
      <c r="AS39" s="568"/>
    </row>
    <row r="40" spans="4:45">
      <c r="D40" s="323"/>
      <c r="E40" s="323"/>
      <c r="F40" s="372"/>
      <c r="G40" s="372"/>
      <c r="H40" s="372"/>
      <c r="I40" s="372"/>
      <c r="J40" s="323"/>
      <c r="K40" s="323"/>
      <c r="L40" s="323"/>
      <c r="M40" s="323"/>
      <c r="N40" s="323"/>
      <c r="O40" s="323"/>
      <c r="P40" s="323">
        <f>ROUND(('Stock Valuation (FIFO)'!S36),0)</f>
        <v>0</v>
      </c>
      <c r="Q40" s="323"/>
      <c r="R40" s="323"/>
      <c r="S40" s="323"/>
      <c r="T40" s="323"/>
      <c r="U40" s="323"/>
      <c r="V40" s="323"/>
      <c r="W40" s="323"/>
      <c r="X40" s="323"/>
      <c r="Y40" s="323"/>
      <c r="Z40" s="323"/>
      <c r="AA40" s="323"/>
      <c r="AB40" s="323"/>
      <c r="AC40" s="323"/>
      <c r="AD40" s="323"/>
      <c r="AE40" s="323"/>
      <c r="AF40" s="323"/>
      <c r="AG40" s="323"/>
      <c r="AH40" s="323"/>
      <c r="AI40" s="323"/>
      <c r="AJ40" s="323"/>
      <c r="AK40" s="323"/>
      <c r="AL40" s="323"/>
      <c r="AN40" s="568"/>
      <c r="AO40" s="568"/>
      <c r="AP40" s="568"/>
      <c r="AQ40" s="568"/>
      <c r="AR40" s="568"/>
      <c r="AS40" s="568"/>
    </row>
    <row r="41" ht="15.75" spans="2:45">
      <c r="B41" s="2131" t="s">
        <v>397</v>
      </c>
      <c r="C41" s="2131"/>
      <c r="D41" s="2132">
        <f>ROUND((D31-(C10*E41)),0)</f>
        <v>-1294104</v>
      </c>
      <c r="E41" s="2132">
        <f>(E10-E4)</f>
        <v>2.95270159872052</v>
      </c>
      <c r="F41" s="2147"/>
      <c r="G41" s="2132">
        <f>ROUND((G31-(F10*H41)),0)</f>
        <v>-4383413</v>
      </c>
      <c r="H41" s="2132">
        <f>(H10-H4)</f>
        <v>-2.6176108152103</v>
      </c>
      <c r="I41" s="2147"/>
      <c r="J41" s="2132">
        <f>ROUND((J31-(I10*K41)),0)</f>
        <v>891832</v>
      </c>
      <c r="K41" s="2132">
        <f>(K10-K4)</f>
        <v>-6.61505294341197</v>
      </c>
      <c r="L41" s="2132"/>
      <c r="M41" s="2132">
        <f>ROUND((M31-(L10*N41)),0)</f>
        <v>-2905571</v>
      </c>
      <c r="N41" s="2132">
        <f>(N10-N4)</f>
        <v>-0.259321498591987</v>
      </c>
      <c r="O41" s="2132"/>
      <c r="P41" s="2132">
        <f>ROUND((P31-(O10*Q41)),0)</f>
        <v>12503071</v>
      </c>
      <c r="Q41" s="2132">
        <f>(Q10-Q4)</f>
        <v>6.47728064324477</v>
      </c>
      <c r="R41" s="2132"/>
      <c r="S41" s="2132">
        <f>ROUND((S31-(R10*T41)),0)</f>
        <v>-6583825</v>
      </c>
      <c r="T41" s="2132">
        <f>(T10-T4)</f>
        <v>12.4014284398236</v>
      </c>
      <c r="U41" s="2132"/>
      <c r="V41" s="2132">
        <f>ROUND((V31-(U10*W41)),0)</f>
        <v>1209295</v>
      </c>
      <c r="W41" s="2132">
        <f>(W10-W4)</f>
        <v>-4.49498377892328</v>
      </c>
      <c r="X41" s="2132"/>
      <c r="Y41" s="2132">
        <f>ROUND((Y31-(X10*Z41)),0)</f>
        <v>3668586</v>
      </c>
      <c r="Z41" s="2132">
        <f>(Z10-Z4)</f>
        <v>-6.99958265638341</v>
      </c>
      <c r="AA41" s="2132"/>
      <c r="AB41" s="2132"/>
      <c r="AC41" s="2132"/>
      <c r="AD41" s="2132"/>
      <c r="AE41" s="2132"/>
      <c r="AF41" s="2132"/>
      <c r="AG41" s="2132"/>
      <c r="AH41" s="2132"/>
      <c r="AI41" s="2132"/>
      <c r="AJ41" s="2132"/>
      <c r="AK41" s="2132"/>
      <c r="AL41" s="2132"/>
      <c r="AM41" s="2131"/>
      <c r="AN41" s="2132">
        <f>ROUND((AN31-(AM10*AO41)),0)</f>
        <v>-1527768</v>
      </c>
      <c r="AO41" s="2132">
        <f>(AO10-AO4)</f>
        <v>24.8736627141896</v>
      </c>
      <c r="AP41" s="568"/>
      <c r="AQ41" s="568"/>
      <c r="AR41" s="568"/>
      <c r="AS41" s="568"/>
    </row>
    <row r="42" spans="4:45">
      <c r="D42" s="323"/>
      <c r="E42" s="323"/>
      <c r="F42" s="372"/>
      <c r="G42" s="372"/>
      <c r="H42" s="372"/>
      <c r="I42" s="372"/>
      <c r="J42" s="323"/>
      <c r="K42" s="323"/>
      <c r="L42" s="323"/>
      <c r="M42" s="323"/>
      <c r="N42" s="323"/>
      <c r="O42" s="323"/>
      <c r="P42" s="323"/>
      <c r="Q42" s="323"/>
      <c r="R42" s="323"/>
      <c r="S42" s="323"/>
      <c r="T42" s="323"/>
      <c r="U42" s="323"/>
      <c r="V42" s="323"/>
      <c r="W42" s="323"/>
      <c r="X42" s="323"/>
      <c r="Y42" s="323">
        <v>1876283</v>
      </c>
      <c r="Z42" s="323"/>
      <c r="AA42" s="323"/>
      <c r="AB42" s="323"/>
      <c r="AC42" s="323"/>
      <c r="AD42" s="323"/>
      <c r="AE42" s="323"/>
      <c r="AF42" s="323"/>
      <c r="AG42" s="323"/>
      <c r="AH42" s="323"/>
      <c r="AI42" s="323"/>
      <c r="AJ42" s="323"/>
      <c r="AK42" s="323"/>
      <c r="AL42" s="323"/>
      <c r="AN42" s="568"/>
      <c r="AO42" s="568"/>
      <c r="AP42" s="568"/>
      <c r="AQ42" s="568"/>
      <c r="AR42" s="568"/>
      <c r="AS42" s="568"/>
    </row>
    <row r="43" spans="4:45">
      <c r="D43" s="323"/>
      <c r="E43" s="323"/>
      <c r="F43" s="372"/>
      <c r="G43" s="372"/>
      <c r="H43" s="372"/>
      <c r="I43" s="372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23"/>
      <c r="AI43" s="323"/>
      <c r="AJ43" s="323"/>
      <c r="AK43" s="323"/>
      <c r="AL43" s="323"/>
      <c r="AN43" s="568"/>
      <c r="AO43" s="568"/>
      <c r="AP43" s="568"/>
      <c r="AQ43" s="568"/>
      <c r="AR43" s="568"/>
      <c r="AS43" s="568"/>
    </row>
    <row r="44" spans="4:45">
      <c r="D44" s="323"/>
      <c r="E44" s="323"/>
      <c r="F44" s="372"/>
      <c r="G44" s="372"/>
      <c r="H44" s="372"/>
      <c r="I44" s="372"/>
      <c r="J44" s="323"/>
      <c r="K44" s="323"/>
      <c r="L44" s="323"/>
      <c r="M44" s="323"/>
      <c r="N44" s="323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3"/>
      <c r="AE44" s="323"/>
      <c r="AF44" s="323"/>
      <c r="AG44" s="323"/>
      <c r="AH44" s="323"/>
      <c r="AI44" s="323"/>
      <c r="AJ44" s="323"/>
      <c r="AK44" s="323"/>
      <c r="AL44" s="323"/>
      <c r="AN44" s="568"/>
      <c r="AO44" s="568"/>
      <c r="AP44" s="568"/>
      <c r="AQ44" s="568"/>
      <c r="AR44" s="568"/>
      <c r="AS44" s="568"/>
    </row>
    <row r="45" spans="4:45">
      <c r="D45" s="323"/>
      <c r="E45" s="323"/>
      <c r="F45" s="372"/>
      <c r="G45" s="372"/>
      <c r="H45" s="372"/>
      <c r="I45" s="372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N45" s="568"/>
      <c r="AO45" s="568"/>
      <c r="AP45" s="568"/>
      <c r="AQ45" s="568"/>
      <c r="AR45" s="568"/>
      <c r="AS45" s="568"/>
    </row>
    <row r="46" ht="15.75" spans="2:45">
      <c r="B46" s="231" t="s">
        <v>398</v>
      </c>
      <c r="C46" s="231"/>
      <c r="D46" s="323">
        <f>'Stock Valuation (FIFO)'!G37</f>
        <v>1582342</v>
      </c>
      <c r="E46" s="323"/>
      <c r="F46" s="372"/>
      <c r="G46" s="368">
        <f>'Stock Valuation (FIFO)'!J37</f>
        <v>994494</v>
      </c>
      <c r="H46" s="372"/>
      <c r="I46" s="372"/>
      <c r="J46" s="323">
        <f>'Stock Valuation (FIFO)'!M37</f>
        <v>1775836</v>
      </c>
      <c r="K46" s="373"/>
      <c r="L46" s="231"/>
      <c r="M46" s="373"/>
      <c r="N46" s="373"/>
      <c r="O46" s="231"/>
      <c r="P46" s="373"/>
      <c r="Q46" s="373"/>
      <c r="R46" s="231"/>
      <c r="S46" s="231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  <c r="AJ46" s="231"/>
      <c r="AK46" s="231"/>
      <c r="AL46" s="231"/>
      <c r="AN46" s="568">
        <f>J46</f>
        <v>1775836</v>
      </c>
      <c r="AO46" s="568"/>
      <c r="AP46" s="568"/>
      <c r="AQ46" s="568"/>
      <c r="AR46" s="568"/>
      <c r="AS46" s="568"/>
    </row>
    <row r="47" ht="15.75" spans="2:45">
      <c r="B47" s="324" t="s">
        <v>399</v>
      </c>
      <c r="C47" s="324"/>
      <c r="D47" s="2133">
        <v>5657183</v>
      </c>
      <c r="E47" s="324"/>
      <c r="F47" s="2148"/>
      <c r="G47" s="369">
        <f>D47</f>
        <v>5657183</v>
      </c>
      <c r="H47" s="369"/>
      <c r="I47" s="369"/>
      <c r="J47" s="2133">
        <f>G47</f>
        <v>5657183</v>
      </c>
      <c r="K47" s="324"/>
      <c r="L47" s="324"/>
      <c r="M47" s="2133">
        <f>J47</f>
        <v>5657183</v>
      </c>
      <c r="N47" s="324"/>
      <c r="O47" s="324"/>
      <c r="P47" s="324"/>
      <c r="Q47" s="324"/>
      <c r="R47" s="324"/>
      <c r="S47" s="324"/>
      <c r="T47" s="324"/>
      <c r="U47" s="324"/>
      <c r="V47" s="324"/>
      <c r="W47" s="324"/>
      <c r="X47" s="324"/>
      <c r="Y47" s="324"/>
      <c r="Z47" s="324"/>
      <c r="AA47" s="324"/>
      <c r="AB47" s="324"/>
      <c r="AC47" s="324"/>
      <c r="AD47" s="324"/>
      <c r="AE47" s="324"/>
      <c r="AF47" s="324"/>
      <c r="AG47" s="324"/>
      <c r="AH47" s="324"/>
      <c r="AI47" s="324"/>
      <c r="AJ47" s="324"/>
      <c r="AK47" s="324"/>
      <c r="AL47" s="324"/>
      <c r="AM47" s="324"/>
      <c r="AN47" s="2197">
        <f>J47</f>
        <v>5657183</v>
      </c>
      <c r="AO47" s="568"/>
      <c r="AP47" s="568"/>
      <c r="AQ47" s="568"/>
      <c r="AR47" s="568"/>
      <c r="AS47" s="568"/>
    </row>
    <row r="48" ht="15.75" spans="4:45">
      <c r="D48" s="323">
        <f>D46-D47</f>
        <v>-4074841</v>
      </c>
      <c r="F48" s="372"/>
      <c r="G48" s="323">
        <f>G46-G47</f>
        <v>-4662689</v>
      </c>
      <c r="H48" s="372"/>
      <c r="I48" s="372"/>
      <c r="J48" s="323">
        <f>J46-J47</f>
        <v>-3881347</v>
      </c>
      <c r="M48" s="323">
        <f>M46-M47</f>
        <v>-5657183</v>
      </c>
      <c r="AN48" s="568">
        <f>AN46-AN47</f>
        <v>-3881347</v>
      </c>
      <c r="AO48" s="568"/>
      <c r="AP48" s="568"/>
      <c r="AQ48" s="2198"/>
      <c r="AR48" s="2198"/>
      <c r="AS48" s="2198"/>
    </row>
    <row r="49" ht="15.75" spans="6:45">
      <c r="F49" s="372"/>
      <c r="G49" s="372"/>
      <c r="H49" s="372"/>
      <c r="I49" s="372"/>
      <c r="AM49" s="323"/>
      <c r="AN49" s="2198"/>
      <c r="AO49" s="568"/>
      <c r="AP49" s="568"/>
      <c r="AQ49" s="568"/>
      <c r="AR49" s="568"/>
      <c r="AS49" s="568"/>
    </row>
    <row r="50" ht="15.75" spans="41:45">
      <c r="AO50" s="568"/>
      <c r="AP50" s="568"/>
      <c r="AQ50" s="2198"/>
      <c r="AR50" s="2198"/>
      <c r="AS50" s="2198"/>
    </row>
    <row r="51" ht="15.75" spans="2:40">
      <c r="B51" s="229" t="s">
        <v>400</v>
      </c>
      <c r="D51" s="368">
        <f>D11-(D6+'PAL II'!E64)</f>
        <v>12746489</v>
      </c>
      <c r="F51" s="372"/>
      <c r="G51" s="368">
        <f>G11-(G6+'PAL II'!G64)</f>
        <v>28220010</v>
      </c>
      <c r="H51" s="372"/>
      <c r="I51" s="372"/>
      <c r="J51" s="368">
        <f>J11-(J6+'PAL II'!I64)</f>
        <v>25010338</v>
      </c>
      <c r="M51" s="368">
        <f>M11-(M6+'PAL II'!M64)</f>
        <v>19073494</v>
      </c>
      <c r="P51" s="368">
        <f>P11-(P6+'PAL II'!Q64)</f>
        <v>257156</v>
      </c>
      <c r="S51" s="368">
        <f>S11-(S6+'PAL II'!U64)</f>
        <v>7816235</v>
      </c>
      <c r="V51" s="368">
        <f>V11-(V6+'PAL II'!V64)</f>
        <v>15567268</v>
      </c>
      <c r="Y51" s="368">
        <f>Y11-(Y6+'PAL II'!Y64)</f>
        <v>17675874</v>
      </c>
      <c r="AB51" s="368">
        <f>AB11-(AB6+'PAL II'!AB64)</f>
        <v>11873294</v>
      </c>
      <c r="AE51" s="368">
        <f>AE11-(AE6+'PAL II'!AG64)</f>
        <v>17442092</v>
      </c>
      <c r="AH51" s="368">
        <f>AH11-(AH6+'PAL II'!AK64)</f>
        <v>18053570</v>
      </c>
      <c r="AM51" s="231"/>
      <c r="AN51" s="368">
        <f>AN11-(AN6+'PAL II'!AO64)</f>
        <v>227432328</v>
      </c>
    </row>
    <row r="52" spans="6:40">
      <c r="F52" s="372"/>
      <c r="G52" s="372"/>
      <c r="H52" s="372"/>
      <c r="I52" s="372"/>
      <c r="AN52" s="368">
        <f>'PAL II'!AO64+AN6</f>
        <v>17849647</v>
      </c>
    </row>
    <row r="53" spans="4:40">
      <c r="D53" s="368"/>
      <c r="AN53" s="368">
        <f>AN11-AN52</f>
        <v>227432328</v>
      </c>
    </row>
    <row r="54" spans="4:4">
      <c r="D54" s="368"/>
    </row>
    <row r="61" spans="2:2">
      <c r="B61" s="229" t="s">
        <v>401</v>
      </c>
    </row>
    <row r="62" spans="2:40">
      <c r="B62" s="229" t="s">
        <v>341</v>
      </c>
      <c r="D62" s="368">
        <f>'Trading PL'!C19</f>
        <v>1201222</v>
      </c>
      <c r="E62" s="368"/>
      <c r="F62" s="368"/>
      <c r="G62" s="368">
        <f>'Trading PL'!F19</f>
        <v>1432525</v>
      </c>
      <c r="H62" s="368"/>
      <c r="I62" s="368"/>
      <c r="J62" s="368">
        <f>'Trading PL'!I19</f>
        <v>1160656</v>
      </c>
      <c r="K62" s="368"/>
      <c r="L62" s="368"/>
      <c r="M62" s="368">
        <f>'Trading PL'!L19</f>
        <v>1316001</v>
      </c>
      <c r="N62" s="368"/>
      <c r="O62" s="368"/>
      <c r="P62" s="368">
        <f>'Trading PL'!O19</f>
        <v>998071</v>
      </c>
      <c r="Q62" s="368"/>
      <c r="R62" s="368"/>
      <c r="S62" s="368">
        <f>'Trading PL'!R19</f>
        <v>878925</v>
      </c>
      <c r="T62" s="368"/>
      <c r="U62" s="368"/>
      <c r="V62" s="368">
        <f>'Trading PL'!U19</f>
        <v>1188698</v>
      </c>
      <c r="W62" s="368"/>
      <c r="X62" s="368"/>
      <c r="Y62" s="368">
        <f>'Trading PL'!X19</f>
        <v>768606</v>
      </c>
      <c r="Z62" s="368"/>
      <c r="AA62" s="368"/>
      <c r="AB62" s="368">
        <f>'Trading PL'!AA19</f>
        <v>904734</v>
      </c>
      <c r="AC62" s="368"/>
      <c r="AD62" s="368"/>
      <c r="AE62" s="368">
        <f>'Trading PL'!AD19</f>
        <v>755029</v>
      </c>
      <c r="AF62" s="368"/>
      <c r="AG62" s="368"/>
      <c r="AH62" s="368">
        <f>'Trading PL'!AG19</f>
        <v>1083342</v>
      </c>
      <c r="AI62" s="368"/>
      <c r="AJ62" s="368"/>
      <c r="AK62" s="368"/>
      <c r="AL62" s="368"/>
      <c r="AM62" s="368"/>
      <c r="AN62" s="368">
        <f>'Trading PL'!AM19</f>
        <v>12201890</v>
      </c>
    </row>
    <row r="63" spans="2:40">
      <c r="B63" s="229" t="s">
        <v>402</v>
      </c>
      <c r="D63" s="368">
        <f>'PAL II'!E11-'PAL II'!E64</f>
        <v>16642168</v>
      </c>
      <c r="E63" s="368"/>
      <c r="F63" s="368"/>
      <c r="G63" s="368">
        <f>'PAL II'!I11-'PAL II'!G64</f>
        <v>15663319</v>
      </c>
      <c r="H63" s="368"/>
      <c r="I63" s="368"/>
      <c r="J63" s="368">
        <f>'PAL II'!M11-'PAL II'!I64</f>
        <v>21684170</v>
      </c>
      <c r="K63" s="368"/>
      <c r="L63" s="368"/>
      <c r="M63" s="368">
        <f>'PAL II'!Q11-'PAL II'!M64</f>
        <v>17802124</v>
      </c>
      <c r="N63" s="368"/>
      <c r="O63" s="368"/>
      <c r="P63" s="368">
        <f>'PAL II'!U11-'PAL II'!Q64</f>
        <v>18369987</v>
      </c>
      <c r="Q63" s="368"/>
      <c r="R63" s="368"/>
      <c r="S63" s="368">
        <f>'PAL II'!Y11-'PAL II'!U64</f>
        <v>16153473</v>
      </c>
      <c r="T63" s="368"/>
      <c r="U63" s="368"/>
      <c r="V63" s="368">
        <f>'PAL II'!AC11-'PAL II'!V64</f>
        <v>18931557</v>
      </c>
      <c r="W63" s="368"/>
      <c r="X63" s="368"/>
      <c r="Y63" s="368">
        <f>'PAL II'!AG11-'PAL II'!Y64</f>
        <v>15160539</v>
      </c>
      <c r="Z63" s="368"/>
      <c r="AA63" s="368"/>
      <c r="AB63" s="368">
        <f>'PAL II'!AK11-'PAL II'!AB64</f>
        <v>21038476</v>
      </c>
      <c r="AC63" s="368"/>
      <c r="AD63" s="368"/>
      <c r="AE63" s="368">
        <f>'PAL II'!AO11-'PAL II'!AG64</f>
        <v>11737721</v>
      </c>
      <c r="AF63" s="368"/>
      <c r="AG63" s="368"/>
      <c r="AH63" s="368">
        <f>'PAL II'!AS11-'PAL II'!AK64</f>
        <v>11392244</v>
      </c>
      <c r="AI63" s="368"/>
      <c r="AJ63" s="368"/>
      <c r="AK63" s="368"/>
      <c r="AL63" s="368"/>
      <c r="AM63" s="368"/>
      <c r="AN63" s="368">
        <f>'PAL II'!BA11-'PAL II'!AO64</f>
        <v>245966822</v>
      </c>
    </row>
    <row r="64" spans="4:40">
      <c r="D64" s="368">
        <f>SUM(D51:D63)</f>
        <v>30589879</v>
      </c>
      <c r="G64" s="368">
        <f>SUM(G51:G63)</f>
        <v>45315854</v>
      </c>
      <c r="J64" s="368">
        <f>SUM(J51:J63)</f>
        <v>47855164</v>
      </c>
      <c r="M64" s="368">
        <f>SUM(M51:M63)</f>
        <v>38191619</v>
      </c>
      <c r="P64" s="368">
        <f>SUM(P51:P63)</f>
        <v>19625214</v>
      </c>
      <c r="S64" s="368">
        <f>SUM(S51:S63)</f>
        <v>24848633</v>
      </c>
      <c r="V64" s="368">
        <f>SUM(V51:V63)</f>
        <v>35687523</v>
      </c>
      <c r="Y64" s="368">
        <f>SUM(Y51:Y63)</f>
        <v>33605019</v>
      </c>
      <c r="AB64" s="368">
        <f>SUM(AB51:AB63)</f>
        <v>33816504</v>
      </c>
      <c r="AE64" s="368">
        <f>SUM(AE51:AE63)</f>
        <v>29934842</v>
      </c>
      <c r="AH64" s="368">
        <f>SUM(AH51:AH63)</f>
        <v>30529156</v>
      </c>
      <c r="AN64" s="368">
        <f>SUM(AN51:AN63)</f>
        <v>730883015</v>
      </c>
    </row>
    <row r="65" spans="40:40">
      <c r="AN65" s="368">
        <f>AN11</f>
        <v>245281975</v>
      </c>
    </row>
    <row r="66" spans="40:40">
      <c r="AN66" s="368">
        <f>AN64-AN65</f>
        <v>485601040</v>
      </c>
    </row>
  </sheetData>
  <mergeCells count="15">
    <mergeCell ref="B1:AO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1:AP22"/>
  </mergeCells>
  <printOptions horizontalCentered="1"/>
  <pageMargins left="0.7" right="0.7" top="0.75" bottom="0.75" header="0.3" footer="0.3"/>
  <pageSetup paperSize="9" orientation="portrait" horizontalDpi="360" verticalDpi="36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Q74"/>
  <sheetViews>
    <sheetView zoomScale="126" zoomScaleNormal="126" workbookViewId="0">
      <pane xSplit="1" ySplit="2" topLeftCell="AA3" activePane="bottomRight" state="frozen"/>
      <selection/>
      <selection pane="topRight"/>
      <selection pane="bottomLeft"/>
      <selection pane="bottomRight" activeCell="AJ66" sqref="AJ66"/>
    </sheetView>
  </sheetViews>
  <sheetFormatPr defaultColWidth="9" defaultRowHeight="13.5"/>
  <cols>
    <col min="1" max="1" width="30.2857142857143" customWidth="1"/>
    <col min="2" max="2" width="11.2857142857143" style="159" customWidth="1"/>
    <col min="3" max="3" width="15.1428571428571" style="159" customWidth="1"/>
    <col min="4" max="4" width="8.14285714285714" style="159" customWidth="1"/>
    <col min="5" max="5" width="11.2857142857143" customWidth="1"/>
    <col min="6" max="6" width="15.1428571428571" customWidth="1"/>
    <col min="7" max="7" width="8.14285714285714" customWidth="1"/>
    <col min="8" max="8" width="11.2857142857143" customWidth="1"/>
    <col min="9" max="9" width="15.1428571428571" customWidth="1"/>
    <col min="10" max="10" width="8.14285714285714" customWidth="1"/>
    <col min="11" max="11" width="11.2857142857143" customWidth="1"/>
    <col min="12" max="12" width="15.1428571428571" customWidth="1"/>
    <col min="13" max="13" width="8.14285714285714" customWidth="1"/>
    <col min="14" max="14" width="11.2857142857143" customWidth="1"/>
    <col min="15" max="15" width="15.1428571428571" customWidth="1"/>
    <col min="16" max="16" width="8.14285714285714" customWidth="1"/>
    <col min="17" max="17" width="11.2857142857143" customWidth="1"/>
    <col min="18" max="18" width="15.1428571428571" customWidth="1"/>
    <col min="19" max="19" width="8.14285714285714" customWidth="1"/>
    <col min="20" max="20" width="11.2857142857143" customWidth="1"/>
    <col min="21" max="21" width="16.2857142857143" customWidth="1"/>
    <col min="22" max="22" width="8" customWidth="1"/>
    <col min="23" max="23" width="11.2857142857143" customWidth="1"/>
    <col min="24" max="24" width="16.2857142857143" customWidth="1"/>
    <col min="25" max="25" width="8" customWidth="1"/>
    <col min="26" max="26" width="11.2857142857143" customWidth="1"/>
    <col min="27" max="27" width="15.7142857142857" customWidth="1"/>
    <col min="28" max="28" width="8" customWidth="1"/>
    <col min="29" max="29" width="11" customWidth="1"/>
    <col min="30" max="30" width="15.2857142857143" customWidth="1"/>
    <col min="31" max="31" width="8.57142857142857" customWidth="1"/>
    <col min="32" max="32" width="11.2857142857143" customWidth="1"/>
    <col min="33" max="33" width="15.7142857142857" customWidth="1"/>
    <col min="34" max="34" width="8.14285714285714" customWidth="1"/>
    <col min="35" max="35" width="11.2857142857143" customWidth="1"/>
    <col min="36" max="36" width="15.7142857142857" customWidth="1"/>
    <col min="37" max="37" width="8.14285714285714" customWidth="1"/>
    <col min="38" max="38" width="14.1428571428571" customWidth="1"/>
    <col min="39" max="39" width="16.2857142857143" customWidth="1"/>
    <col min="40" max="40" width="8.14285714285714" customWidth="1"/>
    <col min="42" max="42" width="16.2857142857143" customWidth="1"/>
    <col min="43" max="43" width="15.4285714285714" customWidth="1"/>
  </cols>
  <sheetData>
    <row r="1" spans="1:40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</row>
    <row r="2" ht="14.25" spans="2:40">
      <c r="B2" s="105" t="s">
        <v>17</v>
      </c>
      <c r="C2" s="105"/>
      <c r="D2" s="105"/>
      <c r="E2" s="105" t="s">
        <v>18</v>
      </c>
      <c r="F2" s="105"/>
      <c r="G2" s="105"/>
      <c r="H2" s="105" t="s">
        <v>19</v>
      </c>
      <c r="I2" s="105"/>
      <c r="J2" s="105"/>
      <c r="K2" s="105" t="s">
        <v>20</v>
      </c>
      <c r="L2" s="105"/>
      <c r="M2" s="105"/>
      <c r="N2" s="105" t="s">
        <v>21</v>
      </c>
      <c r="O2" s="105"/>
      <c r="P2" s="105"/>
      <c r="Q2" s="105" t="s">
        <v>22</v>
      </c>
      <c r="R2" s="105"/>
      <c r="S2" s="105"/>
      <c r="T2" s="105" t="s">
        <v>23</v>
      </c>
      <c r="U2" s="105"/>
      <c r="V2" s="105"/>
      <c r="W2" s="105" t="s">
        <v>24</v>
      </c>
      <c r="X2" s="105"/>
      <c r="Y2" s="105"/>
      <c r="Z2" s="105" t="s">
        <v>25</v>
      </c>
      <c r="AA2" s="105"/>
      <c r="AB2" s="105"/>
      <c r="AC2" s="105" t="s">
        <v>26</v>
      </c>
      <c r="AD2" s="105"/>
      <c r="AE2" s="105"/>
      <c r="AF2" s="105" t="s">
        <v>27</v>
      </c>
      <c r="AG2" s="105"/>
      <c r="AH2" s="105"/>
      <c r="AI2" s="105" t="s">
        <v>28</v>
      </c>
      <c r="AJ2" s="105"/>
      <c r="AK2" s="105"/>
      <c r="AL2" s="105" t="s">
        <v>52</v>
      </c>
      <c r="AM2" s="105"/>
      <c r="AN2" s="105"/>
    </row>
    <row r="3" spans="1:43">
      <c r="A3" s="1877" t="s">
        <v>403</v>
      </c>
      <c r="B3" s="1878">
        <f>ROUND(('Inventory Sales'!B11-'Inventory Sales'!B10),0)-(B5)</f>
        <v>86980</v>
      </c>
      <c r="C3" s="1879">
        <f>ROUND(('Inventory Sales'!D11-('Inventory Sales'!D35)),0)-(C4+C5)</f>
        <v>22300161</v>
      </c>
      <c r="D3" s="1195">
        <f t="shared" ref="D3:D8" si="0">IF(B3=0,0,C3/B3)</f>
        <v>256.382628190389</v>
      </c>
      <c r="E3" s="1878">
        <f>ROUND(('Inventory Sales'!E11-'Inventory Sales'!E10),0)-(E5)</f>
        <v>122538</v>
      </c>
      <c r="F3" s="1879">
        <f>ROUND(('Inventory Sales'!G11-('Inventory Sales'!G35)),0)-(F4+F5)</f>
        <v>32448966</v>
      </c>
      <c r="G3" s="1195">
        <f t="shared" ref="G3:G8" si="1">IF(E3=0,0,F3/E3)</f>
        <v>264.807374039074</v>
      </c>
      <c r="H3" s="1878">
        <f>ROUND(('Inventory Sales'!H11-'Inventory Sales'!H10),0)-(H5)</f>
        <v>106838</v>
      </c>
      <c r="I3" s="1879">
        <f>ROUND(('Inventory Sales'!J11-('Inventory Sales'!J35)),0)-(I4+I5)</f>
        <v>29486368</v>
      </c>
      <c r="J3" s="1195">
        <f t="shared" ref="J3:J8" si="2">IF(H3=0,0,I3/H3)</f>
        <v>275.991388831689</v>
      </c>
      <c r="K3" s="1878">
        <f>ROUND(('Inventory Sales'!K11-'Inventory Sales'!K10),0)-(K5)</f>
        <v>100771</v>
      </c>
      <c r="L3" s="1879">
        <f>ROUND(('Inventory Sales'!M11-('Inventory Sales'!M35)),0)-(L4+L5)</f>
        <v>27364939</v>
      </c>
      <c r="M3" s="1224">
        <f t="shared" ref="M3:M8" si="3">IF(K3=0,0,L3/K3)</f>
        <v>271.555695587024</v>
      </c>
      <c r="N3" s="1878">
        <f>ROUND(('Inventory Sales'!N11-'Inventory Sales'!N10),0)-(N5)</f>
        <v>77784</v>
      </c>
      <c r="O3" s="1879">
        <f>ROUND(('Inventory Sales'!P11-('Inventory Sales'!P35)),0)-(O4+O5)</f>
        <v>20749489</v>
      </c>
      <c r="P3" s="1282">
        <f t="shared" ref="P3:P8" si="4">IF(N3=0,0,O3/N3)</f>
        <v>266.757803661421</v>
      </c>
      <c r="Q3" s="1878">
        <f>ROUND(('Inventory Sales'!Q46),0)</f>
        <v>64712</v>
      </c>
      <c r="R3" s="1879">
        <f>'Inventory Sales'!S46</f>
        <v>17269396</v>
      </c>
      <c r="S3" s="1282">
        <f t="shared" ref="S3:S8" si="5">IF(Q3=0,0,R3/Q3)</f>
        <v>266.865434540734</v>
      </c>
      <c r="T3" s="1878">
        <f>ROUND(('Inventory Sales'!T46),0)</f>
        <v>61200</v>
      </c>
      <c r="U3" s="1896">
        <f>ROUND(('Inventory Sales'!V46),0)</f>
        <v>16030745</v>
      </c>
      <c r="V3" s="1195">
        <f t="shared" ref="V3:V8" si="6">IF(T3=0,0,U3/T3)</f>
        <v>261.940277777778</v>
      </c>
      <c r="W3" s="2039">
        <f>ROUND(('Inventory Sales'!W46),0)</f>
        <v>97757</v>
      </c>
      <c r="X3" s="1896">
        <f>ROUND(('Inventory Sales'!Y46),0)</f>
        <v>24857817</v>
      </c>
      <c r="Y3" s="1224">
        <f t="shared" ref="Y3:Y8" si="7">IF(W3=0,0,X3/W3)</f>
        <v>254.281708726741</v>
      </c>
      <c r="Z3" s="2047">
        <f>ROUND(('Inventory Sales'!Z46),0)</f>
        <v>50957</v>
      </c>
      <c r="AA3" s="1896">
        <f>ROUND(('Inventory Sales'!AB46),0)</f>
        <v>13090765</v>
      </c>
      <c r="AB3" s="1282">
        <f t="shared" ref="AB3:AB8" si="8">IF(Z3=0,0,AA3/Z3)</f>
        <v>256.898267166434</v>
      </c>
      <c r="AC3" s="1878">
        <f>ROUND(('Inventory Sales'!AC46),0)</f>
        <v>83838</v>
      </c>
      <c r="AD3" s="1879">
        <f>ROUND(('Inventory Sales'!AE46),0)</f>
        <v>21860803</v>
      </c>
      <c r="AE3" s="1195">
        <f t="shared" ref="AE3:AE8" si="9">IF(AC3=0,0,AD3/AC3)</f>
        <v>260.750530785563</v>
      </c>
      <c r="AF3" s="2047">
        <f>ROUND(('Inventory Sales'!AF46),0)</f>
        <v>103211</v>
      </c>
      <c r="AG3" s="1879">
        <f>ROUND(('Inventory Sales'!AH46),0)</f>
        <v>27274969</v>
      </c>
      <c r="AH3" s="1282">
        <f t="shared" ref="AH3:AH8" si="10">IF(AF3=0,0,AG3/AF3)</f>
        <v>264.264167579037</v>
      </c>
      <c r="AI3" s="1878">
        <f>ROUND(('Inventory Sales'!AI46),0)</f>
        <v>120020</v>
      </c>
      <c r="AJ3" s="1896">
        <f>ROUND(('Inventory Sales'!AK46),0)</f>
        <v>32399408</v>
      </c>
      <c r="AK3" s="1195">
        <f t="shared" ref="AK3:AK8" si="11">IF(AI3=0,0,AJ3/AI3)</f>
        <v>269.950074987502</v>
      </c>
      <c r="AL3" s="1878">
        <f>ROUND(('Inventory Sales'!AL46),0)</f>
        <v>1009002</v>
      </c>
      <c r="AM3" s="2038">
        <f>ROUND(('Inventory Sales'!AN46),0)</f>
        <v>266968170</v>
      </c>
      <c r="AN3" s="1195">
        <f t="shared" ref="AN3:AN8" si="12">IF(AL3=0,0,AM3/AL3)</f>
        <v>264.586363555275</v>
      </c>
      <c r="AP3" s="873"/>
      <c r="AQ3" s="873"/>
    </row>
    <row r="4" spans="1:43">
      <c r="A4" s="1880" t="s">
        <v>404</v>
      </c>
      <c r="B4" s="822">
        <f>ROUND((' Qty Analysis'!B63),0)</f>
        <v>9900</v>
      </c>
      <c r="C4" s="1881">
        <f>'Inventory Sales'!D10</f>
        <v>1294875</v>
      </c>
      <c r="D4" s="955">
        <f t="shared" si="0"/>
        <v>130.795454545455</v>
      </c>
      <c r="E4" s="822">
        <f>ROUND((' Qty Analysis'!E63),0)</f>
        <v>12025</v>
      </c>
      <c r="F4" s="1881">
        <f>'Inventory Sales'!G10</f>
        <v>1560625</v>
      </c>
      <c r="G4" s="955">
        <f t="shared" si="1"/>
        <v>129.781704781705</v>
      </c>
      <c r="H4" s="822">
        <f>ROUND((' Qty Analysis'!H63),0)</f>
        <v>8081</v>
      </c>
      <c r="I4" s="1881">
        <f>'Inventory Sales'!J10</f>
        <v>1045922</v>
      </c>
      <c r="J4" s="955">
        <f t="shared" si="2"/>
        <v>129.429773542878</v>
      </c>
      <c r="K4" s="822">
        <f>ROUND((' Qty Analysis'!K63),0)</f>
        <v>8625</v>
      </c>
      <c r="L4" s="1881">
        <f>'Inventory Sales'!M10</f>
        <v>1109750</v>
      </c>
      <c r="M4" s="2018">
        <f t="shared" si="3"/>
        <v>128.666666666667</v>
      </c>
      <c r="N4" s="822">
        <f>ROUND((' Qty Analysis'!N63),0)</f>
        <v>7500</v>
      </c>
      <c r="O4" s="1881">
        <f>'Inventory Sales'!P10</f>
        <v>947500</v>
      </c>
      <c r="P4" s="1080">
        <f t="shared" si="4"/>
        <v>126.333333333333</v>
      </c>
      <c r="Q4" s="822">
        <f>'Inventory Sales'!Q10</f>
        <v>7750</v>
      </c>
      <c r="R4" s="1881">
        <f>'Inventory Sales'!S10</f>
        <v>983750</v>
      </c>
      <c r="S4" s="1080">
        <f t="shared" si="5"/>
        <v>126.935483870968</v>
      </c>
      <c r="T4" s="822">
        <f>'Inventory Sales'!T10</f>
        <v>6375</v>
      </c>
      <c r="U4" s="1898">
        <f>'Inventory Sales'!V10</f>
        <v>816875</v>
      </c>
      <c r="V4" s="955">
        <f t="shared" si="6"/>
        <v>128.137254901961</v>
      </c>
      <c r="W4" s="79">
        <f>'Inventory Sales'!W10</f>
        <v>10250</v>
      </c>
      <c r="X4" s="1957">
        <f>'Inventory Sales'!Y10</f>
        <v>1323000</v>
      </c>
      <c r="Y4" s="2018">
        <f t="shared" si="7"/>
        <v>129.073170731707</v>
      </c>
      <c r="Z4" s="2048">
        <f>ROUND(('Inventory Sales'!Z10),0)</f>
        <v>10291</v>
      </c>
      <c r="AA4" s="1957">
        <f>'Inventory Sales'!AB10</f>
        <v>1314968</v>
      </c>
      <c r="AB4" s="1080">
        <f t="shared" si="8"/>
        <v>127.778447186862</v>
      </c>
      <c r="AC4" s="822">
        <f>'Inventory Sales'!AC10</f>
        <v>9500</v>
      </c>
      <c r="AD4" s="2051">
        <f>'Inventory Sales'!AE10</f>
        <v>1212500</v>
      </c>
      <c r="AE4" s="955">
        <f t="shared" si="9"/>
        <v>127.631578947368</v>
      </c>
      <c r="AF4" s="2048">
        <f>'Inventory Sales'!AF10</f>
        <v>9394</v>
      </c>
      <c r="AG4" s="2059">
        <f>'Inventory Sales'!AH10</f>
        <v>1206355</v>
      </c>
      <c r="AH4" s="1080">
        <f t="shared" si="10"/>
        <v>128.417606983181</v>
      </c>
      <c r="AI4" s="822">
        <f>ROUND(('Inventory Sales'!AI10),0)</f>
        <v>16269</v>
      </c>
      <c r="AJ4" s="1957">
        <f>ROUND(('Inventory Sales'!AK10),0)</f>
        <v>1962729</v>
      </c>
      <c r="AK4" s="955">
        <f t="shared" si="11"/>
        <v>120.642264429283</v>
      </c>
      <c r="AL4" s="822">
        <f>ROUND(('Inventory Sales'!AL10),0)</f>
        <v>115961</v>
      </c>
      <c r="AM4" s="2071">
        <f>ROUND(('Inventory Sales'!AN10),0)</f>
        <v>14778849</v>
      </c>
      <c r="AN4" s="955">
        <f t="shared" si="12"/>
        <v>127.446719155578</v>
      </c>
      <c r="AP4" s="873"/>
      <c r="AQ4" s="873"/>
    </row>
    <row r="5" spans="1:43">
      <c r="A5" s="1880" t="s">
        <v>405</v>
      </c>
      <c r="B5" s="1882">
        <f>ROUND((' Qty Analysis'!B95),0)</f>
        <v>6741</v>
      </c>
      <c r="C5" s="1881">
        <f>ROUND((B5*'Inventory Sales'!C44),0)</f>
        <v>1728278</v>
      </c>
      <c r="D5" s="955">
        <f t="shared" si="0"/>
        <v>256.383029224151</v>
      </c>
      <c r="E5" s="1882">
        <f>ROUND((' Qty Analysis'!E95),0)</f>
        <v>3898</v>
      </c>
      <c r="F5" s="1881">
        <f>ROUND((E5*'Inventory Sales'!F44),0)</f>
        <v>1032221</v>
      </c>
      <c r="G5" s="955">
        <f t="shared" si="1"/>
        <v>264.807850179579</v>
      </c>
      <c r="H5" s="1882">
        <f>ROUND((' Qty Analysis'!H95),0)</f>
        <v>7345</v>
      </c>
      <c r="I5" s="1881">
        <f>ROUND((H5*'Inventory Sales'!I44),0)</f>
        <v>2027158</v>
      </c>
      <c r="J5" s="955">
        <f t="shared" si="2"/>
        <v>275.991558883594</v>
      </c>
      <c r="K5" s="1882">
        <f>ROUND((' Qty Analysis'!K95),0)</f>
        <v>4224</v>
      </c>
      <c r="L5" s="1881">
        <f>ROUND((K5*'Inventory Sales'!L44),0)</f>
        <v>1147053</v>
      </c>
      <c r="M5" s="2018">
        <f t="shared" si="3"/>
        <v>271.556107954545</v>
      </c>
      <c r="N5" s="1882">
        <f>ROUND((' Qty Analysis'!N95),0)</f>
        <v>25077</v>
      </c>
      <c r="O5" s="1881">
        <f>ROUND((N5*'Inventory Sales'!O44),0)</f>
        <v>6689443</v>
      </c>
      <c r="P5" s="1080">
        <f t="shared" si="4"/>
        <v>266.756111177573</v>
      </c>
      <c r="Q5" s="1882">
        <f>ROUND(('Inventory Sales'!Q45),0)</f>
        <v>23552</v>
      </c>
      <c r="R5" s="1881">
        <f>ROUND(('Inventory Sales'!S45),0)</f>
        <v>6285238</v>
      </c>
      <c r="S5" s="1080">
        <f t="shared" si="5"/>
        <v>266.866423233696</v>
      </c>
      <c r="T5" s="1882">
        <f>ROUND(('Inventory Sales'!T45),0)</f>
        <v>26146</v>
      </c>
      <c r="U5" s="1898">
        <f>ROUND(('Inventory Sales'!V45),0)</f>
        <v>6848729</v>
      </c>
      <c r="V5" s="955">
        <f t="shared" si="6"/>
        <v>261.94175017211</v>
      </c>
      <c r="W5" s="2040">
        <f>ROUND(('Inventory Sales'!W45),0)</f>
        <v>21566</v>
      </c>
      <c r="X5" s="1898">
        <f>ROUND(('Inventory Sales'!Y45),0)</f>
        <v>5483827</v>
      </c>
      <c r="Y5" s="2018">
        <f t="shared" si="7"/>
        <v>254.281136974868</v>
      </c>
      <c r="Z5" s="2049">
        <f>ROUND(('Inventory Sales'!Z45),0)</f>
        <v>25953</v>
      </c>
      <c r="AA5" s="1898">
        <f>ROUND(('Inventory Sales'!AB45),0)</f>
        <v>6667308</v>
      </c>
      <c r="AB5" s="1080">
        <f t="shared" si="8"/>
        <v>256.899317997919</v>
      </c>
      <c r="AC5" s="1882">
        <f>ROUND(('Inventory Sales'!AC45),0)</f>
        <v>26468</v>
      </c>
      <c r="AD5" s="1881">
        <f>ROUND(('Inventory Sales'!AE45),0)</f>
        <v>6901586</v>
      </c>
      <c r="AE5" s="955">
        <f t="shared" si="9"/>
        <v>260.752077980958</v>
      </c>
      <c r="AF5" s="2049">
        <f>ROUND(('Inventory Sales'!AF45),0)</f>
        <v>15612</v>
      </c>
      <c r="AG5" s="1881">
        <f>ROUND(('Inventory Sales'!AH45),0)</f>
        <v>4125692</v>
      </c>
      <c r="AH5" s="1080">
        <f t="shared" si="10"/>
        <v>264.264155777607</v>
      </c>
      <c r="AI5" s="1882">
        <f>ROUND(('Inventory Sales'!AI45),0)</f>
        <v>28225</v>
      </c>
      <c r="AJ5" s="1898">
        <f>ROUND(('Inventory Sales'!AK45),0)</f>
        <v>7619356</v>
      </c>
      <c r="AK5" s="955">
        <f t="shared" si="11"/>
        <v>269.950611160319</v>
      </c>
      <c r="AL5" s="1882">
        <f>'Inventory Sales'!AL45</f>
        <v>282409</v>
      </c>
      <c r="AM5" s="2071">
        <f>'Inventory Sales'!AN45</f>
        <v>74721542</v>
      </c>
      <c r="AN5" s="955">
        <f t="shared" si="12"/>
        <v>264.586263185663</v>
      </c>
      <c r="AP5" s="873"/>
      <c r="AQ5" s="873"/>
    </row>
    <row r="6" spans="1:43">
      <c r="A6" s="1880" t="s">
        <v>364</v>
      </c>
      <c r="B6" s="822">
        <f>ROUND(('Inventory Sales'!B23+'Inventory Sales'!B24+'Inventory Sales'!B25),0)</f>
        <v>40221</v>
      </c>
      <c r="C6" s="1881">
        <f>ROUND(('Inventory Sales'!D23+'Inventory Sales'!D24+'Inventory Sales'!D25),0)</f>
        <v>4063505</v>
      </c>
      <c r="D6" s="955">
        <f t="shared" si="0"/>
        <v>101.029437358594</v>
      </c>
      <c r="E6" s="822">
        <f>ROUND(('Inventory Sales'!E23+'Inventory Sales'!E24+'Inventory Sales'!E25),0)</f>
        <v>14025</v>
      </c>
      <c r="F6" s="1881">
        <f>ROUND(('Inventory Sales'!G23+'Inventory Sales'!G24+'Inventory Sales'!G25),0)</f>
        <v>1335000</v>
      </c>
      <c r="G6" s="955">
        <f t="shared" si="1"/>
        <v>95.1871657754011</v>
      </c>
      <c r="H6" s="822">
        <f>ROUND(('Inventory Sales'!H23+'Inventory Sales'!H24+'Inventory Sales'!H25),0)</f>
        <v>51228</v>
      </c>
      <c r="I6" s="1881">
        <f>ROUND(('Inventory Sales'!J23+'Inventory Sales'!J24+'Inventory Sales'!J25),0)</f>
        <v>4901990</v>
      </c>
      <c r="J6" s="955">
        <f t="shared" si="2"/>
        <v>95.6896619036464</v>
      </c>
      <c r="K6" s="822">
        <f>ROUND(('Inventory Sales'!K23+'Inventory Sales'!K24+'Inventory Sales'!K25),0)</f>
        <v>55229</v>
      </c>
      <c r="L6" s="1881">
        <f>ROUND(('Inventory Sales'!M23+'Inventory Sales'!M24+'Inventory Sales'!M25),0)</f>
        <v>5497360</v>
      </c>
      <c r="M6" s="2018">
        <f t="shared" si="3"/>
        <v>99.537561788191</v>
      </c>
      <c r="N6" s="822">
        <f>ROUND(('Inventory Sales'!N23+'Inventory Sales'!N24+'Inventory Sales'!N25),0)</f>
        <v>58371</v>
      </c>
      <c r="O6" s="1881">
        <f>ROUND(('Inventory Sales'!P23+'Inventory Sales'!P24+'Inventory Sales'!P25),0)</f>
        <v>5865010</v>
      </c>
      <c r="P6" s="1080">
        <f t="shared" si="4"/>
        <v>100.478148395607</v>
      </c>
      <c r="Q6" s="822">
        <f>ROUND(('Inventory Sales'!Q23+'Inventory Sales'!Q24+'Inventory Sales'!Q25),0)</f>
        <v>31229</v>
      </c>
      <c r="R6" s="1881">
        <f>ROUND(('Inventory Sales'!S23+'Inventory Sales'!S24+'Inventory Sales'!S25),0)</f>
        <v>3094270</v>
      </c>
      <c r="S6" s="1080">
        <f t="shared" si="5"/>
        <v>99.0832239264786</v>
      </c>
      <c r="T6" s="822">
        <f>ROUND(('Inventory Sales'!T23+'Inventory Sales'!T24+'Inventory Sales'!T25),0)</f>
        <v>24221</v>
      </c>
      <c r="U6" s="1898">
        <f>ROUND(('Inventory Sales'!V23+'Inventory Sales'!V24+'Inventory Sales'!V25),0)</f>
        <v>2367480</v>
      </c>
      <c r="V6" s="955">
        <f t="shared" si="6"/>
        <v>97.744932083729</v>
      </c>
      <c r="W6" s="822">
        <f>ROUND(('Inventory Sales'!W23+'Inventory Sales'!W24+'Inventory Sales'!W25),0)</f>
        <v>15285</v>
      </c>
      <c r="X6" s="1898">
        <f>ROUND(('Inventory Sales'!Y23+'Inventory Sales'!Y24+'Inventory Sales'!Y25),0)</f>
        <v>1531550</v>
      </c>
      <c r="Y6" s="2018">
        <f t="shared" si="7"/>
        <v>100.199542034675</v>
      </c>
      <c r="Z6" s="822">
        <f>ROUND(('Inventory Sales'!Z23+'Inventory Sales'!Z24+'Inventory Sales'!Z25),0)</f>
        <v>31175</v>
      </c>
      <c r="AA6" s="1898">
        <f>ROUND(('Inventory Sales'!AB23+'Inventory Sales'!AB24+'Inventory Sales'!AB25),0)</f>
        <v>2900000</v>
      </c>
      <c r="AB6" s="1080">
        <f t="shared" si="8"/>
        <v>93.0232558139535</v>
      </c>
      <c r="AC6" s="822">
        <f>ROUND(('Inventory Sales'!AC23+'Inventory Sales'!AC24+'Inventory Sales'!AC25),0)</f>
        <v>38215</v>
      </c>
      <c r="AD6" s="1881">
        <f>ROUND(('Inventory Sales'!AE23+'Inventory Sales'!AE24+'Inventory Sales'!AE25),0)</f>
        <v>3737800</v>
      </c>
      <c r="AE6" s="955">
        <f t="shared" si="9"/>
        <v>97.8097605652231</v>
      </c>
      <c r="AF6" s="2048">
        <f>ROUND(('Inventory Sales'!AF23+'Inventory Sales'!AF24+'Inventory Sales'!AF25),0)</f>
        <v>37237</v>
      </c>
      <c r="AG6" s="2060">
        <f>ROUND(('Inventory Sales'!AH23+'Inventory Sales'!AH24+'Inventory Sales'!AH25),0)</f>
        <v>3809060</v>
      </c>
      <c r="AH6" s="1080">
        <f t="shared" si="10"/>
        <v>102.292343636705</v>
      </c>
      <c r="AI6" s="822">
        <f>ROUND(('Inventory Sales'!AI23+'Inventory Sales'!AI24+'Inventory Sales'!AI25),0)</f>
        <v>25090</v>
      </c>
      <c r="AJ6" s="1898">
        <f>ROUND(('Inventory Sales'!AK23+'Inventory Sales'!AK24+'Inventory Sales'!AK25),0)</f>
        <v>3007240</v>
      </c>
      <c r="AK6" s="955">
        <f t="shared" si="11"/>
        <v>119.858110801116</v>
      </c>
      <c r="AL6" s="822">
        <f>SUM('Inventory Sales'!AL23+'Inventory Sales'!AL24+'Inventory Sales'!AL25)</f>
        <v>421526</v>
      </c>
      <c r="AM6" s="2071">
        <f>ROUND(('Inventory Sales'!AN23+'Inventory Sales'!AN24+'Inventory Sales'!AN25),0)</f>
        <v>42110265</v>
      </c>
      <c r="AN6" s="955">
        <f t="shared" si="12"/>
        <v>99.8995672864782</v>
      </c>
      <c r="AP6" s="873"/>
      <c r="AQ6" s="873"/>
    </row>
    <row r="7" ht="14.25" spans="1:43">
      <c r="A7" s="1883" t="s">
        <v>406</v>
      </c>
      <c r="B7" s="1884">
        <f>ROUND(('Inventory Sales'!B18),0)</f>
        <v>7745</v>
      </c>
      <c r="C7" s="1885">
        <f>ROUND(('Inventory Sales'!D18),0)</f>
        <v>1377592</v>
      </c>
      <c r="D7" s="1193">
        <f t="shared" si="0"/>
        <v>177.868560361524</v>
      </c>
      <c r="E7" s="1884">
        <f>ROUND(('Inventory Sales'!E18),0)</f>
        <v>8678</v>
      </c>
      <c r="F7" s="1885">
        <f>ROUND(('Inventory Sales'!G18),0)</f>
        <v>1668640</v>
      </c>
      <c r="G7" s="1193">
        <f t="shared" si="1"/>
        <v>192.283936390873</v>
      </c>
      <c r="H7" s="1884">
        <f>ROUND(('Inventory Sales'!H18),0)</f>
        <v>7031</v>
      </c>
      <c r="I7" s="1885">
        <f>ROUND(('Inventory Sales'!J18),0)</f>
        <v>1342889</v>
      </c>
      <c r="J7" s="1193">
        <f t="shared" si="2"/>
        <v>190.995448727066</v>
      </c>
      <c r="K7" s="1884">
        <f>ROUND(('Inventory Sales'!K18),0)</f>
        <v>8529</v>
      </c>
      <c r="L7" s="1885">
        <f>ROUND(('Inventory Sales'!M18),0)</f>
        <v>1494475</v>
      </c>
      <c r="M7" s="2019">
        <f t="shared" si="3"/>
        <v>175.222769375073</v>
      </c>
      <c r="N7" s="1884">
        <f>ROUND(('Inventory Sales'!N18),0)</f>
        <v>7063</v>
      </c>
      <c r="O7" s="1885">
        <f>ROUND(('Inventory Sales'!P18),0)</f>
        <v>1294393</v>
      </c>
      <c r="P7" s="1281">
        <f t="shared" si="4"/>
        <v>183.263910519609</v>
      </c>
      <c r="Q7" s="1884">
        <f>ROUND(('Inventory Sales'!Q18),0)</f>
        <v>5883</v>
      </c>
      <c r="R7" s="1885">
        <f>ROUND(('Inventory Sales'!S18),0)</f>
        <v>1008073</v>
      </c>
      <c r="S7" s="1281">
        <f t="shared" si="5"/>
        <v>171.353561108278</v>
      </c>
      <c r="T7" s="1884">
        <f>ROUND(('Inventory Sales'!T18),0)</f>
        <v>7449</v>
      </c>
      <c r="U7" s="2041">
        <f>ROUND(('Inventory Sales'!V18),0)</f>
        <v>1362367</v>
      </c>
      <c r="V7" s="1193">
        <f t="shared" si="6"/>
        <v>182.892603033964</v>
      </c>
      <c r="W7" s="1884">
        <f>ROUND(('Inventory Sales'!W18),0)</f>
        <v>15178</v>
      </c>
      <c r="X7" s="2041">
        <f>ROUND(('Inventory Sales'!Y18),0)</f>
        <v>2123666</v>
      </c>
      <c r="Y7" s="2019">
        <f t="shared" si="7"/>
        <v>139.917380419028</v>
      </c>
      <c r="Z7" s="1884">
        <f>ROUND(('Inventory Sales'!Z18),0)</f>
        <v>6671</v>
      </c>
      <c r="AA7" s="2041">
        <f>ROUND(('Inventory Sales'!AB18),0)</f>
        <v>1200325</v>
      </c>
      <c r="AB7" s="1281">
        <f t="shared" si="8"/>
        <v>179.931794333683</v>
      </c>
      <c r="AC7" s="1884">
        <f>ROUND(('Inventory Sales'!AC18),0)</f>
        <v>4450</v>
      </c>
      <c r="AD7" s="1885">
        <f>ROUND(('Inventory Sales'!AE18),0)</f>
        <v>888139</v>
      </c>
      <c r="AE7" s="1193">
        <f t="shared" si="9"/>
        <v>199.581797752809</v>
      </c>
      <c r="AF7" s="2052">
        <f>ROUND(('Inventory Sales'!AF18),0)</f>
        <v>6829</v>
      </c>
      <c r="AG7" s="1885">
        <f>ROUND(('Inventory Sales'!AH18),0)</f>
        <v>1294993</v>
      </c>
      <c r="AH7" s="1281">
        <f t="shared" si="10"/>
        <v>189.631424805975</v>
      </c>
      <c r="AI7" s="1884">
        <f>ROUND(('Inventory Sales'!AI18),0)</f>
        <v>5976</v>
      </c>
      <c r="AJ7" s="2041">
        <f>ROUND(('Inventory Sales'!AK18),0)</f>
        <v>1247246</v>
      </c>
      <c r="AK7" s="1193">
        <f t="shared" si="11"/>
        <v>208.709170013387</v>
      </c>
      <c r="AL7" s="1884">
        <f>ROUND(('Inventory Sales'!AL18),0)</f>
        <v>91482</v>
      </c>
      <c r="AM7" s="2072">
        <f>ROUND(('Inventory Sales'!AN18),0)</f>
        <v>16302798</v>
      </c>
      <c r="AN7" s="1193">
        <f t="shared" si="12"/>
        <v>178.20771299272</v>
      </c>
      <c r="AP7" s="873"/>
      <c r="AQ7" s="873"/>
    </row>
    <row r="8" ht="14.25" spans="1:42">
      <c r="A8" s="1886" t="s">
        <v>407</v>
      </c>
      <c r="B8" s="825">
        <f>SUM(B3:B7)</f>
        <v>151587</v>
      </c>
      <c r="C8" s="1887">
        <f>SUM(C3:C7)</f>
        <v>30764411</v>
      </c>
      <c r="D8" s="1169">
        <f t="shared" si="0"/>
        <v>202.948874243834</v>
      </c>
      <c r="E8" s="825">
        <f>SUM(E3:E7)</f>
        <v>161164</v>
      </c>
      <c r="F8" s="1887">
        <f>SUM(F3:F7)</f>
        <v>38045452</v>
      </c>
      <c r="G8" s="1169">
        <f t="shared" si="1"/>
        <v>236.066689831476</v>
      </c>
      <c r="H8" s="825">
        <f>SUM(H3:H7)</f>
        <v>180523</v>
      </c>
      <c r="I8" s="1887">
        <f>SUM(I3:I7)</f>
        <v>38804327</v>
      </c>
      <c r="J8" s="1169">
        <f t="shared" si="2"/>
        <v>214.955030660913</v>
      </c>
      <c r="K8" s="754">
        <f>SUM(K3:K7)</f>
        <v>177378</v>
      </c>
      <c r="L8" s="1887">
        <f>SUM(L3:L7)</f>
        <v>36613577</v>
      </c>
      <c r="M8" s="2020">
        <f t="shared" si="3"/>
        <v>206.415547587638</v>
      </c>
      <c r="N8" s="2021">
        <f>SUM(N3:N7)</f>
        <v>175795</v>
      </c>
      <c r="O8" s="2022">
        <f>SUM(O3:O7)</f>
        <v>35545835</v>
      </c>
      <c r="P8" s="2023">
        <f t="shared" si="4"/>
        <v>202.200489206178</v>
      </c>
      <c r="Q8" s="825">
        <f>SUM(Q3:Q7)</f>
        <v>133126</v>
      </c>
      <c r="R8" s="2022">
        <f>SUM(R3:R7)</f>
        <v>28640727</v>
      </c>
      <c r="S8" s="2023">
        <f t="shared" si="5"/>
        <v>215.139995192524</v>
      </c>
      <c r="T8" s="825">
        <f>SUM(T3:T7)</f>
        <v>125391</v>
      </c>
      <c r="U8" s="2042">
        <f>SUM(U3:U7)</f>
        <v>27426196</v>
      </c>
      <c r="V8" s="1169">
        <f t="shared" si="6"/>
        <v>218.725394964551</v>
      </c>
      <c r="W8" s="754">
        <f>SUM(W3:W7)</f>
        <v>160036</v>
      </c>
      <c r="X8" s="2042">
        <f>SUM(X3:X7)</f>
        <v>35319860</v>
      </c>
      <c r="Y8" s="2020">
        <f t="shared" si="7"/>
        <v>220.699467619786</v>
      </c>
      <c r="Z8" s="2021">
        <f>SUM(Z3:Z7)</f>
        <v>125047</v>
      </c>
      <c r="AA8" s="2022">
        <f>SUM(AA3:AA7)</f>
        <v>25173366</v>
      </c>
      <c r="AB8" s="2023">
        <f t="shared" si="8"/>
        <v>201.311234975649</v>
      </c>
      <c r="AC8" s="752">
        <f>SUM(AC3:AC7)</f>
        <v>162471</v>
      </c>
      <c r="AD8" s="1887">
        <f>SUM(AD3:AD7)</f>
        <v>34600828</v>
      </c>
      <c r="AE8" s="1169">
        <f t="shared" si="9"/>
        <v>212.966178579562</v>
      </c>
      <c r="AF8" s="825">
        <f>SUM(AF3:AF7)</f>
        <v>172283</v>
      </c>
      <c r="AG8" s="2061">
        <f>SUM(AG3:AG7)</f>
        <v>37711069</v>
      </c>
      <c r="AH8" s="1169">
        <f t="shared" si="10"/>
        <v>218.890250343911</v>
      </c>
      <c r="AI8" s="825">
        <f>SUM(AI3:AI7)</f>
        <v>195580</v>
      </c>
      <c r="AJ8" s="2062">
        <f>SUM(AJ3:AJ7)</f>
        <v>46235979</v>
      </c>
      <c r="AK8" s="2073">
        <f t="shared" si="11"/>
        <v>236.404432968606</v>
      </c>
      <c r="AL8" s="825">
        <f>SUM(AL3:AL7)</f>
        <v>1920380</v>
      </c>
      <c r="AM8" s="2022">
        <f>SUM(AM3:AM7)</f>
        <v>414881624</v>
      </c>
      <c r="AN8" s="1169">
        <f t="shared" si="12"/>
        <v>216.041420968767</v>
      </c>
      <c r="AP8" s="872"/>
    </row>
    <row r="9" ht="14.25" spans="1:40">
      <c r="A9" s="1888" t="s">
        <v>408</v>
      </c>
      <c r="B9" s="1889">
        <f>'PAL I'!C12</f>
        <v>151587</v>
      </c>
      <c r="C9" s="1890">
        <f>'PAL I'!D12</f>
        <v>30764411</v>
      </c>
      <c r="D9" s="1891">
        <f>IF(C9=0,0,C9/B9)</f>
        <v>202.948874243834</v>
      </c>
      <c r="E9" s="1889">
        <f>'PAL I'!F12</f>
        <v>161164</v>
      </c>
      <c r="F9" s="1964">
        <f>'PAL I'!G12</f>
        <v>38045452</v>
      </c>
      <c r="G9" s="1891">
        <f>IF(F9=0,0,F9/E9)</f>
        <v>236.066689831476</v>
      </c>
      <c r="H9" s="1889">
        <f>'PAL I'!I12</f>
        <v>180523</v>
      </c>
      <c r="I9" s="1890">
        <f>'PAL I'!J12</f>
        <v>38804327</v>
      </c>
      <c r="J9" s="1891">
        <f>IF(I9=0,0,I9/H9)</f>
        <v>214.955030660913</v>
      </c>
      <c r="K9" s="2001">
        <f>'PAL I'!L12</f>
        <v>177378</v>
      </c>
      <c r="L9" s="1913">
        <f>'PAL I'!M12</f>
        <v>36613577</v>
      </c>
      <c r="M9" s="1891">
        <f>IF(L9=0,0,L9/K9)</f>
        <v>206.415547587638</v>
      </c>
      <c r="N9" s="2001">
        <f>'PAL I'!O12</f>
        <v>175795</v>
      </c>
      <c r="O9" s="1913">
        <f>'PAL I'!P12</f>
        <v>35545835</v>
      </c>
      <c r="P9" s="2024">
        <f>IF(O9=0,0,O9/N9)</f>
        <v>202.200489206178</v>
      </c>
      <c r="Q9" s="1889">
        <f>'PAL I'!R12</f>
        <v>133126</v>
      </c>
      <c r="R9" s="1913">
        <f>'PAL I'!S12</f>
        <v>28640727</v>
      </c>
      <c r="S9" s="2024">
        <f>IF(R9=0,0,R9/Q9)</f>
        <v>215.139995192524</v>
      </c>
      <c r="T9" s="1889">
        <f>'PAL I'!U12</f>
        <v>125391</v>
      </c>
      <c r="U9" s="2043">
        <f>'PAL I'!V12</f>
        <v>27426196</v>
      </c>
      <c r="V9" s="1891">
        <f>IF(U9=0,0,U9/T9)</f>
        <v>218.725394964551</v>
      </c>
      <c r="W9" s="2001">
        <f>'PAL I'!X12</f>
        <v>160036</v>
      </c>
      <c r="X9" s="1964">
        <f>'PAL I'!Y12</f>
        <v>35319860</v>
      </c>
      <c r="Y9" s="1891">
        <f>IF(X9=0,0,X9/W9)</f>
        <v>220.699467619786</v>
      </c>
      <c r="Z9" s="2001">
        <f>'PAL I'!AA12</f>
        <v>125048</v>
      </c>
      <c r="AA9" s="1913">
        <f>'PAL I'!AB12</f>
        <v>25173366</v>
      </c>
      <c r="AB9" s="2024">
        <f>IF(AA9=0,0,AA9/Z9)</f>
        <v>201.30962510396</v>
      </c>
      <c r="AC9" s="1889">
        <f>'PAL I'!AD12</f>
        <v>162471</v>
      </c>
      <c r="AD9" s="1964">
        <f>'PAL I'!AE12</f>
        <v>34600828</v>
      </c>
      <c r="AE9" s="2053"/>
      <c r="AF9" s="1889">
        <f>'PAL I'!AG12</f>
        <v>172283</v>
      </c>
      <c r="AG9" s="2063">
        <f>'PAL I'!AH12</f>
        <v>37711069</v>
      </c>
      <c r="AH9" s="2053"/>
      <c r="AI9" s="1889">
        <f>'PAL I'!AJ12</f>
        <v>195580</v>
      </c>
      <c r="AJ9" s="2064">
        <f>'PAL I'!AK12</f>
        <v>46235979</v>
      </c>
      <c r="AK9" s="2074"/>
      <c r="AL9" s="1889">
        <f>'PAL I'!AM12</f>
        <v>1920382</v>
      </c>
      <c r="AM9" s="1913">
        <f>'PAL I'!AN12</f>
        <v>414881627</v>
      </c>
      <c r="AN9" s="2053"/>
    </row>
    <row r="10" ht="14.25" spans="18:39">
      <c r="R10" s="873">
        <f>R8-R9</f>
        <v>0</v>
      </c>
      <c r="AL10" s="159">
        <f>AL8-AL9</f>
        <v>-2</v>
      </c>
      <c r="AM10" s="97">
        <f>AM8-AM9</f>
        <v>-3</v>
      </c>
    </row>
    <row r="11" ht="14.25" spans="1:40">
      <c r="A11" s="180"/>
      <c r="B11" s="1892" t="s">
        <v>17</v>
      </c>
      <c r="C11" s="1893"/>
      <c r="D11" s="1894"/>
      <c r="E11" s="1965" t="s">
        <v>18</v>
      </c>
      <c r="F11" s="1966"/>
      <c r="G11" s="1967"/>
      <c r="H11" s="1968" t="s">
        <v>19</v>
      </c>
      <c r="I11" s="1966"/>
      <c r="J11" s="1967"/>
      <c r="K11" s="1968" t="s">
        <v>20</v>
      </c>
      <c r="L11" s="1966"/>
      <c r="M11" s="1967"/>
      <c r="N11" s="1968" t="s">
        <v>21</v>
      </c>
      <c r="O11" s="1966"/>
      <c r="P11" s="1967"/>
      <c r="Q11" s="1968" t="s">
        <v>22</v>
      </c>
      <c r="R11" s="1966"/>
      <c r="S11" s="1967"/>
      <c r="T11" s="1968" t="s">
        <v>23</v>
      </c>
      <c r="U11" s="1966"/>
      <c r="V11" s="1967"/>
      <c r="W11" s="1968" t="s">
        <v>24</v>
      </c>
      <c r="X11" s="1966"/>
      <c r="Y11" s="1967"/>
      <c r="Z11" s="1968" t="s">
        <v>25</v>
      </c>
      <c r="AA11" s="1966"/>
      <c r="AB11" s="1967"/>
      <c r="AC11" s="1968" t="s">
        <v>26</v>
      </c>
      <c r="AD11" s="1966"/>
      <c r="AE11" s="1967"/>
      <c r="AF11" s="1968" t="s">
        <v>27</v>
      </c>
      <c r="AG11" s="1966"/>
      <c r="AH11" s="1967"/>
      <c r="AI11" s="1968" t="s">
        <v>28</v>
      </c>
      <c r="AJ11" s="1966"/>
      <c r="AK11" s="1967"/>
      <c r="AL11" s="1968" t="s">
        <v>409</v>
      </c>
      <c r="AM11" s="1966"/>
      <c r="AN11" s="1967"/>
    </row>
    <row r="12" spans="1:40">
      <c r="A12" s="839" t="s">
        <v>410</v>
      </c>
      <c r="B12" s="1895">
        <f>'Stock Valuation (FIFO)'!$B$8</f>
        <v>197541</v>
      </c>
      <c r="C12" s="1896">
        <f>'Stock Valuation (FIFO)'!D8</f>
        <v>20123510</v>
      </c>
      <c r="D12" s="1896">
        <f t="shared" ref="D12:D21" si="13">IF(C12=0,0,C12/B12)</f>
        <v>101.870042168461</v>
      </c>
      <c r="E12" s="1969">
        <f>B14</f>
        <v>182463</v>
      </c>
      <c r="F12" s="1970">
        <f>C14</f>
        <v>18484284</v>
      </c>
      <c r="G12" s="1971">
        <f t="shared" ref="G12:G21" si="14">IF(F12=0,0,F12/E12)</f>
        <v>101.304286348465</v>
      </c>
      <c r="H12" s="1969">
        <f>E14</f>
        <v>149741</v>
      </c>
      <c r="I12" s="1970">
        <f>F14</f>
        <v>15008748</v>
      </c>
      <c r="J12" s="1971">
        <f t="shared" ref="J12:J21" si="15">IF(I12=0,0,I12/H12)</f>
        <v>100.231386193494</v>
      </c>
      <c r="K12" s="1969">
        <f>H14</f>
        <v>166778</v>
      </c>
      <c r="L12" s="1970">
        <f>I14</f>
        <v>16653609</v>
      </c>
      <c r="M12" s="1971">
        <f t="shared" ref="M12:M25" si="16">IF(L12=0,0,L12/K12)</f>
        <v>99.8549508928036</v>
      </c>
      <c r="N12" s="1969">
        <f>K14</f>
        <v>148947</v>
      </c>
      <c r="O12" s="1970">
        <f>L14</f>
        <v>15325485</v>
      </c>
      <c r="P12" s="1971">
        <f t="shared" ref="P12:P25" si="17">IF(O12=0,0,O12/N12)</f>
        <v>102.892203266934</v>
      </c>
      <c r="Q12" s="1969">
        <f>N14</f>
        <v>190728</v>
      </c>
      <c r="R12" s="1970">
        <f>O14</f>
        <v>19843851</v>
      </c>
      <c r="S12" s="1971">
        <f t="shared" ref="S12:S22" si="18">IF(R12=0,0,R12/Q12)</f>
        <v>104.04267333585</v>
      </c>
      <c r="T12" s="1969">
        <f>Q14</f>
        <v>117515</v>
      </c>
      <c r="U12" s="1970">
        <f>R14</f>
        <v>12263385</v>
      </c>
      <c r="V12" s="1971">
        <f t="shared" ref="V12:V25" si="19">IF(U12=0,0,U12/T12)</f>
        <v>104.355912011233</v>
      </c>
      <c r="W12" s="1969">
        <f>T14</f>
        <v>142661</v>
      </c>
      <c r="X12" s="1970">
        <f>U14</f>
        <v>14553130</v>
      </c>
      <c r="Y12" s="1971">
        <f t="shared" ref="Y12:Y25" si="20">IF(X12=0,0,X12/W12)</f>
        <v>102.011972438158</v>
      </c>
      <c r="Z12" s="1969">
        <f>W14</f>
        <v>166752</v>
      </c>
      <c r="AA12" s="1970">
        <f>X14</f>
        <v>16611745</v>
      </c>
      <c r="AB12" s="1971">
        <f t="shared" ref="AB12:AB25" si="21">IF(AA12=0,0,AA12/Z12)</f>
        <v>99.619464834005</v>
      </c>
      <c r="AC12" s="1969">
        <f>Z14</f>
        <v>137910</v>
      </c>
      <c r="AD12" s="1970">
        <f>AA14</f>
        <v>13647848</v>
      </c>
      <c r="AE12" s="1971">
        <f t="shared" ref="AE12:AE25" si="22">IF(AD12=0,0,AD12/AC12)</f>
        <v>98.9619897034298</v>
      </c>
      <c r="AF12" s="1969">
        <f>AC14</f>
        <v>177221</v>
      </c>
      <c r="AG12" s="1970">
        <f>AD14</f>
        <v>17955937</v>
      </c>
      <c r="AH12" s="1971">
        <f t="shared" ref="AH12:AH25" si="23">IF(AG12=0,0,AG12/AF12)</f>
        <v>101.319465526095</v>
      </c>
      <c r="AI12" s="2065">
        <f>AF14</f>
        <v>157588</v>
      </c>
      <c r="AJ12" s="1970">
        <f>AG14</f>
        <v>16788076</v>
      </c>
      <c r="AK12" s="1971">
        <f t="shared" ref="AK12:AK25" si="24">IF(AJ12=0,0,AJ12/AI12)</f>
        <v>106.531436403787</v>
      </c>
      <c r="AL12" s="2075">
        <f>B12</f>
        <v>197541</v>
      </c>
      <c r="AM12" s="2076">
        <f>C12</f>
        <v>20123510</v>
      </c>
      <c r="AN12" s="1971">
        <f t="shared" ref="AN12:AN25" si="25">IF(AM12=0,0,AM12/AL12)</f>
        <v>101.870042168461</v>
      </c>
    </row>
    <row r="13" spans="1:40">
      <c r="A13" s="843" t="s">
        <v>411</v>
      </c>
      <c r="B13" s="1897">
        <f>ROUND((Purchase!$K5),0)</f>
        <v>102532</v>
      </c>
      <c r="C13" s="1898">
        <f>ROUND((Purchase!$P5),0)</f>
        <v>9540377</v>
      </c>
      <c r="D13" s="1899">
        <f t="shared" si="13"/>
        <v>93.0477997113096</v>
      </c>
      <c r="E13" s="1972">
        <f>ROUND((Purchase!$K6),0)</f>
        <v>58185</v>
      </c>
      <c r="F13" s="1881">
        <f>ROUND((Purchase!$P6),0)</f>
        <v>5511286</v>
      </c>
      <c r="G13" s="1973">
        <f t="shared" si="14"/>
        <v>94.7200481223683</v>
      </c>
      <c r="H13" s="1972">
        <f>ROUND((Purchase!$K7),0)</f>
        <v>152668</v>
      </c>
      <c r="I13" s="1881">
        <f>ROUND((Purchase!$P7),0)</f>
        <v>14973887</v>
      </c>
      <c r="J13" s="1973">
        <f t="shared" si="15"/>
        <v>98.0813726517672</v>
      </c>
      <c r="K13" s="1972">
        <f>ROUND((Purchase!$K8),0)</f>
        <v>138661</v>
      </c>
      <c r="L13" s="1881">
        <f>ROUND((Purchase!$P8),0)</f>
        <v>13053845</v>
      </c>
      <c r="M13" s="1973">
        <f t="shared" si="16"/>
        <v>94.1421524437297</v>
      </c>
      <c r="N13" s="1972">
        <f>ROUND((Purchase!$K9),0)</f>
        <v>175609</v>
      </c>
      <c r="O13" s="1881">
        <f>ROUND((Purchase!$P9),0)</f>
        <v>17886341</v>
      </c>
      <c r="P13" s="1973">
        <f t="shared" si="17"/>
        <v>101.853213673559</v>
      </c>
      <c r="Q13" s="1972">
        <f>ROUND((Purchase!$K10),0)</f>
        <v>37844</v>
      </c>
      <c r="R13" s="1881">
        <f>ROUND((Purchase!$P10),0)</f>
        <v>3215869</v>
      </c>
      <c r="S13" s="1973">
        <f t="shared" si="18"/>
        <v>84.9769844625304</v>
      </c>
      <c r="T13" s="1972">
        <f>ROUND((Purchase!$K11),0)</f>
        <v>129229</v>
      </c>
      <c r="U13" s="1881">
        <f>ROUND((Purchase!$P11),0)</f>
        <v>12675600</v>
      </c>
      <c r="V13" s="1973">
        <f t="shared" si="19"/>
        <v>98.0863428487414</v>
      </c>
      <c r="W13" s="1972">
        <f>ROUND((Purchase!$K12),0)</f>
        <v>120959</v>
      </c>
      <c r="X13" s="1881">
        <f>ROUND((Purchase!$P12),0)</f>
        <v>11136467</v>
      </c>
      <c r="Y13" s="1973">
        <f t="shared" si="20"/>
        <v>92.0681139890376</v>
      </c>
      <c r="Z13" s="1972">
        <f>ROUND((Purchase!$K13),0)</f>
        <v>107574</v>
      </c>
      <c r="AA13" s="1881">
        <f>ROUND((Purchase!$P13),0)</f>
        <v>9938575</v>
      </c>
      <c r="AB13" s="1973">
        <f t="shared" si="21"/>
        <v>92.3882629631695</v>
      </c>
      <c r="AC13" s="1972">
        <f>ROUND((Purchase!$K14),0)</f>
        <v>170449</v>
      </c>
      <c r="AD13" s="1881">
        <f>ROUND((Purchase!$P14),0)</f>
        <v>16739942</v>
      </c>
      <c r="AE13" s="1973">
        <f t="shared" si="22"/>
        <v>98.2108548598114</v>
      </c>
      <c r="AF13" s="1972">
        <f>ROUND((Purchase!$K15),0)</f>
        <v>117875</v>
      </c>
      <c r="AG13" s="1881">
        <f>ROUND((Purchase!$P15),0)</f>
        <v>11974191</v>
      </c>
      <c r="AH13" s="1973">
        <f t="shared" si="23"/>
        <v>101.583804878049</v>
      </c>
      <c r="AI13" s="2066">
        <f>ROUND((Purchase!$K16),0)</f>
        <v>98000</v>
      </c>
      <c r="AJ13" s="2067">
        <f>ROUND((Purchase!$P16),0)</f>
        <v>12417202</v>
      </c>
      <c r="AK13" s="1973">
        <f t="shared" si="24"/>
        <v>126.706142857143</v>
      </c>
      <c r="AL13" s="2077">
        <f>ROUND((Purchase!$K17),0)</f>
        <v>1409586</v>
      </c>
      <c r="AM13" s="1881">
        <f>ROUND((Purchase!$P17),0)</f>
        <v>139063582</v>
      </c>
      <c r="AN13" s="1973">
        <f t="shared" si="25"/>
        <v>98.6556208702413</v>
      </c>
    </row>
    <row r="14" ht="14.25" spans="1:40">
      <c r="A14" s="1900" t="s">
        <v>412</v>
      </c>
      <c r="B14" s="1901">
        <f>'Stock Valuation (FIFO)'!E8</f>
        <v>182463</v>
      </c>
      <c r="C14" s="1902">
        <f>'Stock Valuation (FIFO)'!G8</f>
        <v>18484284</v>
      </c>
      <c r="D14" s="1902">
        <f t="shared" si="13"/>
        <v>101.304286348465</v>
      </c>
      <c r="E14" s="1974">
        <f>'Stock Valuation (FIFO)'!H8</f>
        <v>149741</v>
      </c>
      <c r="F14" s="1975">
        <f>'Stock Valuation (FIFO)'!J8</f>
        <v>15008748</v>
      </c>
      <c r="G14" s="1976">
        <f t="shared" si="14"/>
        <v>100.231386193494</v>
      </c>
      <c r="H14" s="1974">
        <f>'Stock Valuation (FIFO)'!K8</f>
        <v>166778</v>
      </c>
      <c r="I14" s="1975">
        <f>'Stock Valuation (FIFO)'!M8</f>
        <v>16653609</v>
      </c>
      <c r="J14" s="1976">
        <f t="shared" si="15"/>
        <v>99.8549508928036</v>
      </c>
      <c r="K14" s="1974">
        <f>'Stock Valuation (FIFO)'!N8</f>
        <v>148947</v>
      </c>
      <c r="L14" s="1975">
        <f>'Stock Valuation (FIFO)'!P8</f>
        <v>15325485</v>
      </c>
      <c r="M14" s="1976">
        <f t="shared" si="16"/>
        <v>102.892203266934</v>
      </c>
      <c r="N14" s="1974">
        <f>'Stock Valuation (FIFO)'!Q8</f>
        <v>190728</v>
      </c>
      <c r="O14" s="1975">
        <f>'Stock Valuation (FIFO)'!S8</f>
        <v>19843851</v>
      </c>
      <c r="P14" s="1976">
        <f t="shared" si="17"/>
        <v>104.04267333585</v>
      </c>
      <c r="Q14" s="1974">
        <f>'Stock Valuation (FIFO)'!T8</f>
        <v>117515</v>
      </c>
      <c r="R14" s="1975">
        <f>'Stock Valuation (FIFO)'!V8</f>
        <v>12263385</v>
      </c>
      <c r="S14" s="1976">
        <f t="shared" si="18"/>
        <v>104.355912011233</v>
      </c>
      <c r="T14" s="1974">
        <f>'Stock Valuation (FIFO)'!W8</f>
        <v>142661</v>
      </c>
      <c r="U14" s="1975">
        <f>'Stock Valuation (FIFO)'!Y8</f>
        <v>14553130</v>
      </c>
      <c r="V14" s="1976">
        <f t="shared" si="19"/>
        <v>102.011972438158</v>
      </c>
      <c r="W14" s="1974">
        <f>'Stock Valuation (FIFO)'!Z8</f>
        <v>166752</v>
      </c>
      <c r="X14" s="1975">
        <f>'Stock Valuation (FIFO)'!AB8</f>
        <v>16611745</v>
      </c>
      <c r="Y14" s="1976">
        <f t="shared" si="20"/>
        <v>99.619464834005</v>
      </c>
      <c r="Z14" s="1974">
        <f>'Stock Valuation (FIFO)'!AC8</f>
        <v>137910</v>
      </c>
      <c r="AA14" s="1975">
        <f>'Stock Valuation (FIFO)'!AE8</f>
        <v>13647848</v>
      </c>
      <c r="AB14" s="1976">
        <f t="shared" si="21"/>
        <v>98.9619897034298</v>
      </c>
      <c r="AC14" s="1974">
        <f>'Stock Valuation (FIFO)'!AF8</f>
        <v>177221</v>
      </c>
      <c r="AD14" s="1975">
        <f>'Stock Valuation (FIFO)'!AH8</f>
        <v>17955937</v>
      </c>
      <c r="AE14" s="1976">
        <f t="shared" si="22"/>
        <v>101.319465526095</v>
      </c>
      <c r="AF14" s="1974">
        <f>'Stock Valuation (FIFO)'!AI8</f>
        <v>157588</v>
      </c>
      <c r="AG14" s="1975">
        <f>'Stock Valuation (FIFO)'!AK8</f>
        <v>16788076</v>
      </c>
      <c r="AH14" s="1976">
        <f t="shared" si="23"/>
        <v>106.531436403787</v>
      </c>
      <c r="AI14" s="2068">
        <f>'Stock Valuation (FIFO)'!AL8</f>
        <v>143489</v>
      </c>
      <c r="AJ14" s="2069">
        <f>'Stock Valuation (FIFO)'!AN8</f>
        <v>17774647</v>
      </c>
      <c r="AK14" s="1976">
        <f t="shared" si="24"/>
        <v>123.874631504854</v>
      </c>
      <c r="AL14" s="2078">
        <f>AI14</f>
        <v>143489</v>
      </c>
      <c r="AM14" s="1975">
        <f>AJ14</f>
        <v>17774647</v>
      </c>
      <c r="AN14" s="1976">
        <f t="shared" si="25"/>
        <v>123.874631504854</v>
      </c>
    </row>
    <row r="15" spans="1:40">
      <c r="A15" s="1903" t="s">
        <v>365</v>
      </c>
      <c r="B15" s="1904">
        <f>B12+B13-B14</f>
        <v>117610</v>
      </c>
      <c r="C15" s="1905">
        <f>C12+C13-C14</f>
        <v>11179603</v>
      </c>
      <c r="D15" s="1905">
        <f t="shared" si="13"/>
        <v>95.0565683190205</v>
      </c>
      <c r="E15" s="1904">
        <f>E12+E13-E14</f>
        <v>90907</v>
      </c>
      <c r="F15" s="1977">
        <f>F12+F13-F14</f>
        <v>8986822</v>
      </c>
      <c r="G15" s="1978">
        <f t="shared" si="14"/>
        <v>98.8573157182615</v>
      </c>
      <c r="H15" s="1904">
        <f>H12+H13-H14</f>
        <v>135631</v>
      </c>
      <c r="I15" s="1977">
        <f>I12+I13-I14</f>
        <v>13329026</v>
      </c>
      <c r="J15" s="1978">
        <f t="shared" si="15"/>
        <v>98.2741851051751</v>
      </c>
      <c r="K15" s="1904">
        <f>K12+K13-K14</f>
        <v>156492</v>
      </c>
      <c r="L15" s="1977">
        <f>L12+L13-L14</f>
        <v>14381969</v>
      </c>
      <c r="M15" s="1978">
        <f t="shared" si="16"/>
        <v>91.9022633744856</v>
      </c>
      <c r="N15" s="1904">
        <f>N12+N13-N14</f>
        <v>133828</v>
      </c>
      <c r="O15" s="1977">
        <f>O12+O13-O14</f>
        <v>13367975</v>
      </c>
      <c r="P15" s="1978">
        <f t="shared" si="17"/>
        <v>99.8892234808859</v>
      </c>
      <c r="Q15" s="1904">
        <f>Q12+Q13-Q14</f>
        <v>111057</v>
      </c>
      <c r="R15" s="1977">
        <f>R12+R13-R14</f>
        <v>10796335</v>
      </c>
      <c r="S15" s="1978">
        <f t="shared" si="18"/>
        <v>97.2143583925372</v>
      </c>
      <c r="T15" s="1904">
        <f>T12+T13-T14</f>
        <v>104083</v>
      </c>
      <c r="U15" s="1977">
        <f>U12+U13-U14</f>
        <v>10385855</v>
      </c>
      <c r="V15" s="1978">
        <f t="shared" si="19"/>
        <v>99.7843547937704</v>
      </c>
      <c r="W15" s="1904">
        <f>W12+W13-W14</f>
        <v>96868</v>
      </c>
      <c r="X15" s="1977">
        <f>X12+X13-X14</f>
        <v>9077852</v>
      </c>
      <c r="Y15" s="1978">
        <f t="shared" si="20"/>
        <v>93.7136309204278</v>
      </c>
      <c r="Z15" s="1904">
        <f>Z12+Z13-Z14</f>
        <v>136416</v>
      </c>
      <c r="AA15" s="1977">
        <f>AA12+AA13-AA14</f>
        <v>12902472</v>
      </c>
      <c r="AB15" s="1978">
        <f t="shared" si="21"/>
        <v>94.5818085855032</v>
      </c>
      <c r="AC15" s="1904">
        <f>AC12+AC13-AC14</f>
        <v>131138</v>
      </c>
      <c r="AD15" s="1977">
        <f>AD12+AD13-AD14</f>
        <v>12431853</v>
      </c>
      <c r="AE15" s="1978">
        <f t="shared" si="22"/>
        <v>94.7997758086901</v>
      </c>
      <c r="AF15" s="1904">
        <f>AF12+AF13-AF14</f>
        <v>137508</v>
      </c>
      <c r="AG15" s="1977">
        <f>AG12+AG13-AG14</f>
        <v>13142052</v>
      </c>
      <c r="AH15" s="1978">
        <f t="shared" si="23"/>
        <v>95.5729993891265</v>
      </c>
      <c r="AI15" s="1904">
        <f>AI12+AI13-AI14</f>
        <v>112099</v>
      </c>
      <c r="AJ15" s="1977">
        <f>AJ12+AJ13-AJ14</f>
        <v>11430631</v>
      </c>
      <c r="AK15" s="1978">
        <f t="shared" si="24"/>
        <v>101.969071981017</v>
      </c>
      <c r="AL15" s="1904">
        <f>AL12+AL13-AL14</f>
        <v>1463638</v>
      </c>
      <c r="AM15" s="1977">
        <f>AM12+AM13-AM14</f>
        <v>141412445</v>
      </c>
      <c r="AN15" s="1978">
        <f t="shared" si="25"/>
        <v>96.6170904280977</v>
      </c>
    </row>
    <row r="16" spans="1:40">
      <c r="A16" s="843" t="s">
        <v>413</v>
      </c>
      <c r="B16" s="1897">
        <f>'Inventory Sales'!B$42</f>
        <v>40221</v>
      </c>
      <c r="C16" s="1898">
        <f>'Inventory Sales'!D$42</f>
        <v>3809200</v>
      </c>
      <c r="D16" s="1898">
        <f t="shared" si="13"/>
        <v>94.7067452325899</v>
      </c>
      <c r="E16" s="1972">
        <f>'Inventory Sales'!E$42</f>
        <v>14025</v>
      </c>
      <c r="F16" s="1881">
        <f>'Inventory Sales'!G$42</f>
        <v>1387820</v>
      </c>
      <c r="G16" s="1979">
        <f t="shared" si="14"/>
        <v>98.9532976827094</v>
      </c>
      <c r="H16" s="1972">
        <f>'Inventory Sales'!H$42</f>
        <v>51228</v>
      </c>
      <c r="I16" s="1881">
        <f>'Inventory Sales'!J$42</f>
        <v>4768500</v>
      </c>
      <c r="J16" s="1979">
        <f t="shared" si="15"/>
        <v>93.0838603888498</v>
      </c>
      <c r="K16" s="1972">
        <f>'Inventory Sales'!K$42</f>
        <v>55229</v>
      </c>
      <c r="L16" s="1979">
        <f>'Inventory Sales'!M$42</f>
        <v>5207400</v>
      </c>
      <c r="M16" s="1979">
        <f t="shared" si="16"/>
        <v>94.2874214633616</v>
      </c>
      <c r="N16" s="1972">
        <f>'Inventory Sales'!N$42</f>
        <v>58371</v>
      </c>
      <c r="O16" s="1881">
        <f>'Inventory Sales'!P$42</f>
        <v>5541320</v>
      </c>
      <c r="P16" s="1979">
        <f t="shared" si="17"/>
        <v>94.9327577050248</v>
      </c>
      <c r="Q16" s="1972">
        <f>'Inventory Sales'!Q$42</f>
        <v>31229</v>
      </c>
      <c r="R16" s="1881">
        <f>'Inventory Sales'!S$42</f>
        <v>2997700</v>
      </c>
      <c r="S16" s="1979">
        <f t="shared" si="18"/>
        <v>95.9909058887572</v>
      </c>
      <c r="T16" s="1972">
        <f>'Inventory Sales'!T$42</f>
        <v>24221</v>
      </c>
      <c r="U16" s="1881">
        <f>'Inventory Sales'!V$42</f>
        <v>2373360</v>
      </c>
      <c r="V16" s="1979">
        <f t="shared" si="19"/>
        <v>97.987696626894</v>
      </c>
      <c r="W16" s="1972">
        <f>'Inventory Sales'!W$42</f>
        <v>15285</v>
      </c>
      <c r="X16" s="1881">
        <f>'Inventory Sales'!Y$42</f>
        <v>1396800</v>
      </c>
      <c r="Y16" s="1979">
        <f t="shared" si="20"/>
        <v>91.3837095191364</v>
      </c>
      <c r="Z16" s="1972">
        <f>'Inventory Sales'!Z$42</f>
        <v>31175</v>
      </c>
      <c r="AA16" s="1881">
        <f>'Inventory Sales'!AB$42</f>
        <v>2918650</v>
      </c>
      <c r="AB16" s="1979">
        <f t="shared" si="21"/>
        <v>93.6214915797915</v>
      </c>
      <c r="AC16" s="1972">
        <f>'Inventory Sales'!AC$42</f>
        <v>38215</v>
      </c>
      <c r="AD16" s="1881">
        <f>'Inventory Sales'!AE$42</f>
        <v>3624820</v>
      </c>
      <c r="AE16" s="1979">
        <f t="shared" si="22"/>
        <v>94.853329844302</v>
      </c>
      <c r="AF16" s="1972">
        <f>'Inventory Sales'!AF$42</f>
        <v>37237</v>
      </c>
      <c r="AG16" s="1881">
        <f>'Inventory Sales'!AH$42</f>
        <v>3563840</v>
      </c>
      <c r="AH16" s="1979">
        <f t="shared" si="23"/>
        <v>95.7069581330397</v>
      </c>
      <c r="AI16" s="2066">
        <f>'Inventory Sales'!AI$42</f>
        <v>25090</v>
      </c>
      <c r="AJ16" s="2067">
        <f>'Inventory Sales'!AK$42</f>
        <v>2600000</v>
      </c>
      <c r="AK16" s="1979">
        <f t="shared" si="24"/>
        <v>103.626943005181</v>
      </c>
      <c r="AL16" s="1972">
        <f>'Inventory Sales'!AL$42</f>
        <v>421526</v>
      </c>
      <c r="AM16" s="2067">
        <f>'Inventory Sales'!AN$42</f>
        <v>40189410</v>
      </c>
      <c r="AN16" s="1979">
        <f t="shared" si="25"/>
        <v>95.3426597647595</v>
      </c>
    </row>
    <row r="17" spans="1:40">
      <c r="A17" s="1906" t="s">
        <v>402</v>
      </c>
      <c r="B17" s="1907">
        <f>B15-B16</f>
        <v>77389</v>
      </c>
      <c r="C17" s="1908">
        <f>C15-C16</f>
        <v>7370403</v>
      </c>
      <c r="D17" s="1909">
        <f t="shared" si="13"/>
        <v>95.2383801315432</v>
      </c>
      <c r="E17" s="1907">
        <f>E15-E16</f>
        <v>76882</v>
      </c>
      <c r="F17" s="1908">
        <f>F15-F16</f>
        <v>7599002</v>
      </c>
      <c r="G17" s="1980">
        <f t="shared" si="14"/>
        <v>98.8398064566478</v>
      </c>
      <c r="H17" s="1907">
        <f>H15-H16</f>
        <v>84403</v>
      </c>
      <c r="I17" s="1908">
        <f>I15-I16</f>
        <v>8560526</v>
      </c>
      <c r="J17" s="1980">
        <f t="shared" si="15"/>
        <v>101.424428041657</v>
      </c>
      <c r="K17" s="1907">
        <f>K15-K16</f>
        <v>101263</v>
      </c>
      <c r="L17" s="1908">
        <f>L15-L16</f>
        <v>9174569</v>
      </c>
      <c r="M17" s="1980">
        <f t="shared" si="16"/>
        <v>90.6013943888686</v>
      </c>
      <c r="N17" s="1907">
        <f>N15-N16</f>
        <v>75457</v>
      </c>
      <c r="O17" s="1908">
        <f>O15-O16</f>
        <v>7826655</v>
      </c>
      <c r="P17" s="1980">
        <f t="shared" si="17"/>
        <v>103.723378878036</v>
      </c>
      <c r="Q17" s="1907">
        <f>Q15-Q16</f>
        <v>79828</v>
      </c>
      <c r="R17" s="1908">
        <f>R15-R16</f>
        <v>7798635</v>
      </c>
      <c r="S17" s="1980">
        <f t="shared" si="18"/>
        <v>97.692977401413</v>
      </c>
      <c r="T17" s="2025">
        <f>T12+T13-(T14+T16)</f>
        <v>79862</v>
      </c>
      <c r="U17" s="2044">
        <f>U12+U13-(U14+U16)</f>
        <v>8012495</v>
      </c>
      <c r="V17" s="1980">
        <f t="shared" si="19"/>
        <v>100.329255465678</v>
      </c>
      <c r="W17" s="2025">
        <f>W12+W13-(W14+W16)</f>
        <v>81583</v>
      </c>
      <c r="X17" s="2044">
        <f>X12+X13-(X14+X16)</f>
        <v>7681052</v>
      </c>
      <c r="Y17" s="1980">
        <f t="shared" si="20"/>
        <v>94.1501538310677</v>
      </c>
      <c r="Z17" s="2025">
        <f>Z12+Z13-(Z14+Z16)</f>
        <v>105241</v>
      </c>
      <c r="AA17" s="2044">
        <f>AA12+AA13-(AA14+AA16)</f>
        <v>9983822</v>
      </c>
      <c r="AB17" s="1980">
        <f t="shared" si="21"/>
        <v>94.866278351593</v>
      </c>
      <c r="AC17" s="2025">
        <f>AC12+AC13-(AC14+AC16)</f>
        <v>92923</v>
      </c>
      <c r="AD17" s="2044">
        <f>AD12+AD13-(AD14+AD16)</f>
        <v>8807033</v>
      </c>
      <c r="AE17" s="1980">
        <f t="shared" si="22"/>
        <v>94.7777514716486</v>
      </c>
      <c r="AF17" s="2025">
        <f>AF12+AF13-(AF14+AF16)</f>
        <v>100271</v>
      </c>
      <c r="AG17" s="2044">
        <f>AG12+AG13-(AG14+AG16)</f>
        <v>9578212</v>
      </c>
      <c r="AH17" s="1980">
        <f t="shared" si="23"/>
        <v>95.5232519871149</v>
      </c>
      <c r="AI17" s="2025">
        <f>AI12+AI13-(AI14+AI16)</f>
        <v>87009</v>
      </c>
      <c r="AJ17" s="2044">
        <f>AJ12+AJ13-(AJ14+AJ16)</f>
        <v>8830631</v>
      </c>
      <c r="AK17" s="1980">
        <f t="shared" si="24"/>
        <v>101.49100667747</v>
      </c>
      <c r="AL17" s="1907">
        <f>AL15-AL16</f>
        <v>1042112</v>
      </c>
      <c r="AM17" s="1908">
        <f>AM15-AM16</f>
        <v>101223035</v>
      </c>
      <c r="AN17" s="1980">
        <f t="shared" si="25"/>
        <v>97.1325874762022</v>
      </c>
    </row>
    <row r="18" spans="1:40">
      <c r="A18" s="1906" t="s">
        <v>414</v>
      </c>
      <c r="B18" s="1910">
        <f>Purchase!$L22</f>
        <v>18891</v>
      </c>
      <c r="C18" s="1909">
        <f>ROUND((Purchase!$M22),0)</f>
        <v>2338464</v>
      </c>
      <c r="D18" s="1909">
        <f t="shared" si="13"/>
        <v>123.787200254089</v>
      </c>
      <c r="E18" s="1910">
        <f>Purchase!$L23</f>
        <v>11834</v>
      </c>
      <c r="F18" s="1909">
        <f>ROUND((Purchase!$M23),0)</f>
        <v>1494263</v>
      </c>
      <c r="G18" s="1980">
        <f t="shared" si="14"/>
        <v>126.268632753084</v>
      </c>
      <c r="H18" s="1910">
        <f>Purchase!$L24</f>
        <v>18632</v>
      </c>
      <c r="I18" s="1909">
        <f>ROUND((Purchase!$M24),0)</f>
        <v>2292675</v>
      </c>
      <c r="J18" s="1980">
        <f t="shared" si="15"/>
        <v>123.050397166166</v>
      </c>
      <c r="K18" s="1910">
        <f>Purchase!$L25</f>
        <v>9076</v>
      </c>
      <c r="L18" s="1909">
        <f>ROUND((Purchase!$M25),0)</f>
        <v>1098736</v>
      </c>
      <c r="M18" s="1980">
        <f t="shared" si="16"/>
        <v>121.059497576025</v>
      </c>
      <c r="N18" s="1910">
        <f>ROUND((Purchase!$L26),0)</f>
        <v>24210</v>
      </c>
      <c r="O18" s="1909">
        <f>ROUND((Purchase!$M26),0)</f>
        <v>2949800</v>
      </c>
      <c r="P18" s="1980">
        <f t="shared" si="17"/>
        <v>121.842213961173</v>
      </c>
      <c r="Q18" s="1910">
        <f>ROUND((Purchase!$L27),0)</f>
        <v>34618</v>
      </c>
      <c r="R18" s="1909">
        <f>ROUND((Purchase!$M27),0)</f>
        <v>4235334</v>
      </c>
      <c r="S18" s="1980">
        <f t="shared" si="18"/>
        <v>122.34484950026</v>
      </c>
      <c r="T18" s="1910">
        <f>ROUND((Purchase!$L28),0)</f>
        <v>7140</v>
      </c>
      <c r="U18" s="1909">
        <f>ROUND((Purchase!$M28),0)</f>
        <v>785256</v>
      </c>
      <c r="V18" s="1980">
        <f t="shared" si="19"/>
        <v>109.979831932773</v>
      </c>
      <c r="W18" s="1910">
        <f>ROUND((Purchase!$L29),0)</f>
        <v>15516</v>
      </c>
      <c r="X18" s="1909">
        <f>ROUND((Purchase!$M29),0)</f>
        <v>1847198</v>
      </c>
      <c r="Y18" s="1980">
        <f t="shared" si="20"/>
        <v>119.051172982728</v>
      </c>
      <c r="Z18" s="1910">
        <f>ROUND((Purchase!$L30),0)</f>
        <v>8733</v>
      </c>
      <c r="AA18" s="1909">
        <f>ROUND((Purchase!$M30),0)</f>
        <v>960212</v>
      </c>
      <c r="AB18" s="1980">
        <f t="shared" si="21"/>
        <v>109.952135577694</v>
      </c>
      <c r="AC18" s="1910">
        <f>ROUND((Purchase!$L31),0)</f>
        <v>4710</v>
      </c>
      <c r="AD18" s="1909">
        <f>ROUND((Purchase!$M31),0)</f>
        <v>570096</v>
      </c>
      <c r="AE18" s="1980">
        <f t="shared" si="22"/>
        <v>121.03949044586</v>
      </c>
      <c r="AF18" s="1910">
        <f>ROUND((Purchase!$L32),0)</f>
        <v>5000</v>
      </c>
      <c r="AG18" s="1909">
        <f>ROUND((Purchase!$M32),0)</f>
        <v>560000</v>
      </c>
      <c r="AH18" s="1980">
        <f t="shared" si="23"/>
        <v>112</v>
      </c>
      <c r="AI18" s="1910">
        <f>ROUND((Purchase!$L33),0)</f>
        <v>2984</v>
      </c>
      <c r="AJ18" s="1909">
        <f>ROUND((Purchase!$M33),0)</f>
        <v>372906</v>
      </c>
      <c r="AK18" s="1980">
        <f t="shared" si="24"/>
        <v>124.968498659517</v>
      </c>
      <c r="AL18" s="1910">
        <f>ROUND((Purchase!$L34),0)</f>
        <v>161344</v>
      </c>
      <c r="AM18" s="1909">
        <f>ROUND((Purchase!$M34),0)</f>
        <v>19504939</v>
      </c>
      <c r="AN18" s="1980">
        <f t="shared" si="25"/>
        <v>120.890389478382</v>
      </c>
    </row>
    <row r="19" spans="1:40">
      <c r="A19" s="843" t="s">
        <v>415</v>
      </c>
      <c r="B19" s="1897">
        <f>Purchase!$I22</f>
        <v>23693</v>
      </c>
      <c r="C19" s="1898">
        <f>Purchase!$J22</f>
        <v>5738425</v>
      </c>
      <c r="D19" s="1899">
        <f t="shared" si="13"/>
        <v>242.199172751446</v>
      </c>
      <c r="E19" s="1897">
        <f>Purchase!$I23</f>
        <v>20429</v>
      </c>
      <c r="F19" s="1898">
        <f>Purchase!$J23</f>
        <v>5132735</v>
      </c>
      <c r="G19" s="1973">
        <f t="shared" si="14"/>
        <v>251.247491311371</v>
      </c>
      <c r="H19" s="1897">
        <f>Purchase!$I24</f>
        <v>24698</v>
      </c>
      <c r="I19" s="1898">
        <f>Purchase!$J24</f>
        <v>6303597</v>
      </c>
      <c r="J19" s="1973">
        <f t="shared" si="15"/>
        <v>255.227022430966</v>
      </c>
      <c r="K19" s="1897">
        <f>Purchase!$I25</f>
        <v>20991</v>
      </c>
      <c r="L19" s="1898">
        <f>Purchase!$J25</f>
        <v>5756799</v>
      </c>
      <c r="M19" s="1973">
        <f t="shared" si="16"/>
        <v>274.250821780763</v>
      </c>
      <c r="N19" s="1897">
        <f>Purchase!$I26</f>
        <v>25077</v>
      </c>
      <c r="O19" s="1898">
        <f>Purchase!$J26</f>
        <v>6255278</v>
      </c>
      <c r="P19" s="1973">
        <f t="shared" si="17"/>
        <v>249.44283606492</v>
      </c>
      <c r="Q19" s="1897">
        <f>Purchase!$I27</f>
        <v>23552</v>
      </c>
      <c r="R19" s="1898">
        <f>Purchase!$J27</f>
        <v>5735506</v>
      </c>
      <c r="S19" s="1973">
        <f t="shared" si="18"/>
        <v>243.525220788043</v>
      </c>
      <c r="T19" s="1897">
        <f>Purchase!$I28</f>
        <v>26146</v>
      </c>
      <c r="U19" s="1898">
        <f>Purchase!$J28</f>
        <v>6617498</v>
      </c>
      <c r="V19" s="1973">
        <f t="shared" si="19"/>
        <v>253.097911726459</v>
      </c>
      <c r="W19" s="1897">
        <f>Purchase!$I29</f>
        <v>21566</v>
      </c>
      <c r="X19" s="1898">
        <f>Purchase!$J29</f>
        <v>5173432</v>
      </c>
      <c r="Y19" s="1973">
        <f t="shared" si="20"/>
        <v>239.888342761755</v>
      </c>
      <c r="Z19" s="1897">
        <f>ROUND((Purchase!$I30),0)</f>
        <v>25953</v>
      </c>
      <c r="AA19" s="1898">
        <f>Purchase!$J30</f>
        <v>6191931</v>
      </c>
      <c r="AB19" s="1973">
        <f t="shared" si="21"/>
        <v>238.582476014334</v>
      </c>
      <c r="AC19" s="1897">
        <f>ROUND((Purchase!$I31),0)</f>
        <v>26468</v>
      </c>
      <c r="AD19" s="1898">
        <f>ROUND((Purchase!$J31),0)</f>
        <v>6431104</v>
      </c>
      <c r="AE19" s="1973">
        <f t="shared" si="22"/>
        <v>242.976575487381</v>
      </c>
      <c r="AF19" s="1897">
        <f>ROUND((Purchase!$I32),0)</f>
        <v>15612</v>
      </c>
      <c r="AG19" s="1898">
        <f>ROUND((Purchase!$J32),0)</f>
        <v>4087686</v>
      </c>
      <c r="AH19" s="1973">
        <f t="shared" si="23"/>
        <v>261.829746348962</v>
      </c>
      <c r="AI19" s="2066">
        <f>ROUND((Purchase!$I33),0)</f>
        <v>28225</v>
      </c>
      <c r="AJ19" s="2067">
        <f>ROUND((Purchase!$J33),0)</f>
        <v>6898641</v>
      </c>
      <c r="AK19" s="1973">
        <f t="shared" si="24"/>
        <v>244.41597874225</v>
      </c>
      <c r="AL19" s="2077">
        <f>ROUND((Purchase!I34),0)</f>
        <v>282409</v>
      </c>
      <c r="AM19" s="2067">
        <f>Purchase!J34</f>
        <v>70322631</v>
      </c>
      <c r="AN19" s="1973">
        <f t="shared" si="25"/>
        <v>249.00987928855</v>
      </c>
    </row>
    <row r="20" ht="14.25" spans="1:40">
      <c r="A20" s="1900" t="s">
        <v>416</v>
      </c>
      <c r="B20" s="1901">
        <f>ROUND((Purchase!$K52),0)</f>
        <v>7728</v>
      </c>
      <c r="C20" s="1902">
        <f>ROUND((Purchase!$L52),0)</f>
        <v>1194876</v>
      </c>
      <c r="D20" s="1902">
        <f t="shared" si="13"/>
        <v>154.616459627329</v>
      </c>
      <c r="E20" s="1974">
        <f>ROUND((Purchase!$K53),0)</f>
        <v>8668</v>
      </c>
      <c r="F20" s="1975">
        <f>ROUND((Purchase!$L53),0)</f>
        <v>1437319</v>
      </c>
      <c r="G20" s="1976">
        <f t="shared" si="14"/>
        <v>165.818989386248</v>
      </c>
      <c r="H20" s="1974">
        <f>ROUND((Purchase!$K54),0)</f>
        <v>6962</v>
      </c>
      <c r="I20" s="1975">
        <f>ROUND((Purchase!$L54),0)</f>
        <v>1146692</v>
      </c>
      <c r="J20" s="1976">
        <f t="shared" si="15"/>
        <v>164.707268026429</v>
      </c>
      <c r="K20" s="1974">
        <f>ROUND((Purchase!$K55),0)</f>
        <v>8632</v>
      </c>
      <c r="L20" s="1975">
        <f>ROUND((Purchase!$L55),0)</f>
        <v>1333120</v>
      </c>
      <c r="M20" s="1976">
        <f t="shared" si="16"/>
        <v>154.439295644115</v>
      </c>
      <c r="N20" s="1974">
        <f>ROUND((Purchase!$K56),0)</f>
        <v>6457</v>
      </c>
      <c r="O20" s="1975">
        <f>ROUND((Purchase!$L56),0)</f>
        <v>1004334</v>
      </c>
      <c r="P20" s="1976">
        <f t="shared" si="17"/>
        <v>155.541892519746</v>
      </c>
      <c r="Q20" s="1974">
        <f>ROUND((Purchase!$K57),0)</f>
        <v>6172</v>
      </c>
      <c r="R20" s="1975">
        <f>ROUND((Purchase!$L57),0)</f>
        <v>927618</v>
      </c>
      <c r="S20" s="1976">
        <f t="shared" si="18"/>
        <v>150.294556059624</v>
      </c>
      <c r="T20" s="1974">
        <f>ROUND((Purchase!$K58),0)</f>
        <v>7171</v>
      </c>
      <c r="U20" s="1975">
        <f>ROUND((Purchase!$L58),0)</f>
        <v>1142948</v>
      </c>
      <c r="V20" s="1976">
        <f t="shared" si="19"/>
        <v>159.384744108214</v>
      </c>
      <c r="W20" s="1974">
        <f>ROUND((Purchase!$K59),0)</f>
        <v>15823</v>
      </c>
      <c r="X20" s="1975">
        <f>ROUND((Purchase!$L59),0)</f>
        <v>2059757</v>
      </c>
      <c r="Y20" s="1976">
        <f t="shared" si="20"/>
        <v>130.17487202174</v>
      </c>
      <c r="Z20" s="1974">
        <f>ROUND((Purchase!$K60),0)</f>
        <v>6254</v>
      </c>
      <c r="AA20" s="1975">
        <f>ROUND((Purchase!$L60),0)</f>
        <v>983861</v>
      </c>
      <c r="AB20" s="1976">
        <f t="shared" si="21"/>
        <v>157.317077070675</v>
      </c>
      <c r="AC20" s="1974">
        <f>ROUND((Purchase!$K61),0)</f>
        <v>4255</v>
      </c>
      <c r="AD20" s="1975">
        <f>ROUND((Purchase!$L61),0)</f>
        <v>702668</v>
      </c>
      <c r="AE20" s="1976">
        <f t="shared" si="22"/>
        <v>165.139365452409</v>
      </c>
      <c r="AF20" s="1974">
        <f>ROUND((Purchase!$K62),0)</f>
        <v>6920</v>
      </c>
      <c r="AG20" s="1975">
        <f>ROUND((Purchase!$L62),0)</f>
        <v>1168842</v>
      </c>
      <c r="AH20" s="1976">
        <f t="shared" si="23"/>
        <v>168.907803468208</v>
      </c>
      <c r="AI20" s="2068">
        <f>ROUND((Purchase!$K63),0)</f>
        <v>5970</v>
      </c>
      <c r="AJ20" s="2069">
        <f>ROUND((Purchase!$L63),0)</f>
        <v>1122792</v>
      </c>
      <c r="AK20" s="1976">
        <f t="shared" si="24"/>
        <v>188.072361809045</v>
      </c>
      <c r="AL20" s="2078">
        <f>ROUND((Purchase!$K64),0)</f>
        <v>91013</v>
      </c>
      <c r="AM20" s="2069">
        <f>ROUND((Purchase!$L64),0)</f>
        <v>14224827</v>
      </c>
      <c r="AN20" s="1976">
        <f t="shared" si="25"/>
        <v>156.29445244086</v>
      </c>
    </row>
    <row r="21" ht="14.25" spans="1:40">
      <c r="A21" s="1911" t="s">
        <v>417</v>
      </c>
      <c r="B21" s="1912">
        <f>SUM(B16:B20)</f>
        <v>167922</v>
      </c>
      <c r="C21" s="1913">
        <f>SUM(C16:C20)</f>
        <v>20451368</v>
      </c>
      <c r="D21" s="1913">
        <f t="shared" si="13"/>
        <v>121.790879098629</v>
      </c>
      <c r="E21" s="1981">
        <f>SUM(E16:E20)</f>
        <v>131838</v>
      </c>
      <c r="F21" s="1890">
        <f>SUM(F16:F20)</f>
        <v>17051139</v>
      </c>
      <c r="G21" s="1982">
        <f t="shared" si="14"/>
        <v>129.334023574387</v>
      </c>
      <c r="H21" s="1981">
        <f>SUM(H16:H20)</f>
        <v>185923</v>
      </c>
      <c r="I21" s="1890">
        <f>SUM(I16:I20)</f>
        <v>23071990</v>
      </c>
      <c r="J21" s="1982">
        <f t="shared" si="15"/>
        <v>124.094329372912</v>
      </c>
      <c r="K21" s="1981">
        <f>SUM(K16:K20)</f>
        <v>195191</v>
      </c>
      <c r="L21" s="1982">
        <f>SUM(L16:L20)</f>
        <v>22570624</v>
      </c>
      <c r="M21" s="1982">
        <f t="shared" si="16"/>
        <v>115.633528185213</v>
      </c>
      <c r="N21" s="1981">
        <f>SUM(N16:N20)</f>
        <v>189572</v>
      </c>
      <c r="O21" s="1890">
        <f>SUM(O16:O20)</f>
        <v>23577387</v>
      </c>
      <c r="P21" s="1982">
        <f t="shared" si="17"/>
        <v>124.37167408689</v>
      </c>
      <c r="Q21" s="1981">
        <f>SUM(Q16:Q20)</f>
        <v>175399</v>
      </c>
      <c r="R21" s="1890">
        <f>SUM(R16:R20)</f>
        <v>21694793</v>
      </c>
      <c r="S21" s="1982">
        <f t="shared" si="18"/>
        <v>123.688236534986</v>
      </c>
      <c r="T21" s="1981">
        <f>SUM(T16:T20)</f>
        <v>144540</v>
      </c>
      <c r="U21" s="1890">
        <f>SUM(U16:U20)</f>
        <v>18931557</v>
      </c>
      <c r="V21" s="1982">
        <f t="shared" si="19"/>
        <v>130.97797841428</v>
      </c>
      <c r="W21" s="1981">
        <f>SUM(W16:W20)</f>
        <v>149773</v>
      </c>
      <c r="X21" s="1890">
        <f>SUM(X16:X20)</f>
        <v>18158239</v>
      </c>
      <c r="Y21" s="1982">
        <f t="shared" si="20"/>
        <v>121.238400779847</v>
      </c>
      <c r="Z21" s="1981">
        <f>SUM(Z16:Z20)</f>
        <v>177356</v>
      </c>
      <c r="AA21" s="1890">
        <f>SUM(AA16:AA20)</f>
        <v>21038476</v>
      </c>
      <c r="AB21" s="1982">
        <f t="shared" si="21"/>
        <v>118.62286023591</v>
      </c>
      <c r="AC21" s="1981">
        <f>SUM(AC16:AC20)</f>
        <v>166571</v>
      </c>
      <c r="AD21" s="1890">
        <f>SUM(AD16:AD20)</f>
        <v>20135721</v>
      </c>
      <c r="AE21" s="1982">
        <f t="shared" si="22"/>
        <v>120.883713251406</v>
      </c>
      <c r="AF21" s="1981">
        <f>SUM(AF16:AF20)</f>
        <v>165040</v>
      </c>
      <c r="AG21" s="1890">
        <f>SUM(AG16:AG20)</f>
        <v>18958580</v>
      </c>
      <c r="AH21" s="1982">
        <f t="shared" si="23"/>
        <v>114.8726369365</v>
      </c>
      <c r="AI21" s="1981">
        <f>SUM(AI16:AI20)</f>
        <v>149278</v>
      </c>
      <c r="AJ21" s="1890">
        <f>SUM(AJ16:AJ20)</f>
        <v>19824970</v>
      </c>
      <c r="AK21" s="1982">
        <f t="shared" si="24"/>
        <v>132.805704792401</v>
      </c>
      <c r="AL21" s="1981">
        <f>SUM(AL16:AL20)</f>
        <v>1998404</v>
      </c>
      <c r="AM21" s="1890">
        <f>SUM(AM16:AM20)</f>
        <v>245464842</v>
      </c>
      <c r="AN21" s="1982">
        <f t="shared" si="25"/>
        <v>122.830439690873</v>
      </c>
    </row>
    <row r="22" spans="1:40">
      <c r="A22" s="1914" t="s">
        <v>418</v>
      </c>
      <c r="B22" s="1915">
        <f>'Stock Valuation (FIFO)'!E$28</f>
        <v>-12001</v>
      </c>
      <c r="C22" s="1916">
        <f>'Stock Valuation (FIFO)'!G$28</f>
        <v>-2707148</v>
      </c>
      <c r="D22" s="1917"/>
      <c r="E22" s="1915">
        <f>'Stock Valuation (FIFO)'!H$28</f>
        <v>67435</v>
      </c>
      <c r="F22" s="1916">
        <f>'Stock Valuation (FIFO)'!J$28</f>
        <v>13998804</v>
      </c>
      <c r="G22" s="1983"/>
      <c r="H22" s="1915">
        <f>'Stock Valuation (FIFO)'!K$28</f>
        <v>17050</v>
      </c>
      <c r="I22" s="1916">
        <f>'Stock Valuation (FIFO)'!M$28</f>
        <v>4458896</v>
      </c>
      <c r="J22" s="1983"/>
      <c r="K22" s="1915">
        <f>'Stock Valuation (FIFO)'!N$28</f>
        <v>7060</v>
      </c>
      <c r="L22" s="1916">
        <f>'Stock Valuation (FIFO)'!P$28</f>
        <v>2621609</v>
      </c>
      <c r="M22" s="1983">
        <f t="shared" si="16"/>
        <v>371.332719546742</v>
      </c>
      <c r="N22" s="1915">
        <f>'Stock Valuation (FIFO)'!Q$28</f>
        <v>-76892</v>
      </c>
      <c r="O22" s="1916">
        <f>'Stock Valuation (FIFO)'!S$28</f>
        <v>-17102234</v>
      </c>
      <c r="P22" s="1983">
        <f t="shared" si="17"/>
        <v>222.418899235291</v>
      </c>
      <c r="Q22" s="1915">
        <f>'Stock Valuation (FIFO)'!T$28</f>
        <v>-34508</v>
      </c>
      <c r="R22" s="1916">
        <f>'Stock Valuation (FIFO)'!V$28</f>
        <v>-7360927</v>
      </c>
      <c r="S22" s="1983">
        <f t="shared" si="18"/>
        <v>213.310739538658</v>
      </c>
      <c r="T22" s="1915">
        <f>'Stock Valuation (FIFO)'!W$28</f>
        <v>-14860</v>
      </c>
      <c r="U22" s="1916">
        <f>'Stock Valuation (FIFO)'!Y$28</f>
        <v>-2267091</v>
      </c>
      <c r="V22" s="1983">
        <f t="shared" si="19"/>
        <v>152.5633243607</v>
      </c>
      <c r="W22" s="2045">
        <f>'Stock Valuation (FIFO)'!$Z$28</f>
        <v>17663</v>
      </c>
      <c r="X22" s="1935">
        <f>'Stock Valuation (FIFO)'!$AB$28</f>
        <v>4684052</v>
      </c>
      <c r="Y22" s="1983">
        <f t="shared" si="20"/>
        <v>265.19005831399</v>
      </c>
      <c r="Z22" s="2045">
        <f>'Stock Valuation (FIFO)'!$AC$28</f>
        <v>-41267</v>
      </c>
      <c r="AA22" s="1935">
        <f>'Stock Valuation (FIFO)'!$AE$28</f>
        <v>-8253429</v>
      </c>
      <c r="AB22" s="1983">
        <f t="shared" si="21"/>
        <v>200.000702740689</v>
      </c>
      <c r="AC22" s="2045">
        <f>'Stock Valuation (FIFO)'!$AF$28</f>
        <v>1208</v>
      </c>
      <c r="AD22" s="1935">
        <f>'Stock Valuation (FIFO)'!$AH$28</f>
        <v>-635794</v>
      </c>
      <c r="AE22" s="1983">
        <f t="shared" si="22"/>
        <v>-526.319536423841</v>
      </c>
      <c r="AF22" s="2045">
        <f>'Stock Valuation (FIFO)'!$AI$28</f>
        <v>23315</v>
      </c>
      <c r="AG22" s="1935">
        <f>'Stock Valuation (FIFO)'!$AK$28</f>
        <v>3227136</v>
      </c>
      <c r="AH22" s="1983">
        <f t="shared" si="23"/>
        <v>138.414582886554</v>
      </c>
      <c r="AI22" s="2045">
        <f>'Stock Valuation (FIFO)'!AL28</f>
        <v>-75052</v>
      </c>
      <c r="AJ22" s="1935">
        <f>'Stock Valuation (FIFO)'!AN28</f>
        <v>9241118</v>
      </c>
      <c r="AK22" s="1983"/>
      <c r="AL22" s="1915">
        <f>'Stock Valuation (FIFO)'!AL31</f>
        <v>29243</v>
      </c>
      <c r="AM22" s="1916">
        <f>'Stock Valuation (FIFO)'!AN31</f>
        <v>-95008</v>
      </c>
      <c r="AN22" s="1983">
        <f t="shared" si="25"/>
        <v>-3.24891427008173</v>
      </c>
    </row>
    <row r="23" ht="14.25" spans="1:40">
      <c r="A23" s="1918" t="s">
        <v>419</v>
      </c>
      <c r="B23" s="1919">
        <f>'Stock Valuation (FIFO)'!E29</f>
        <v>15</v>
      </c>
      <c r="C23" s="1920">
        <f>'Stock Valuation (FIFO)'!G29</f>
        <v>6345</v>
      </c>
      <c r="D23" s="1920"/>
      <c r="E23" s="1919">
        <f>'Stock Valuation (FIFO)'!H29</f>
        <v>11</v>
      </c>
      <c r="F23" s="1984">
        <f>'Stock Valuation (FIFO)'!J29</f>
        <v>-4794</v>
      </c>
      <c r="G23" s="1985"/>
      <c r="H23" s="1919">
        <f>'Stock Valuation (FIFO)'!K29</f>
        <v>0</v>
      </c>
      <c r="I23" s="1920">
        <f>'Stock Valuation (FIFO)'!M29</f>
        <v>13964</v>
      </c>
      <c r="J23" s="1985"/>
      <c r="K23" s="2002">
        <f>'Stock Valuation (FIFO)'!N29</f>
        <v>-33</v>
      </c>
      <c r="L23" s="1984">
        <f>'Stock Valuation (FIFO)'!P29</f>
        <v>-17119</v>
      </c>
      <c r="M23" s="1985"/>
      <c r="N23" s="2002">
        <f>'Stock Valuation (FIFO)'!Q29</f>
        <v>-41</v>
      </c>
      <c r="O23" s="1984">
        <f>'Stock Valuation (FIFO)'!S29</f>
        <v>-6263</v>
      </c>
      <c r="P23" s="1985"/>
      <c r="Q23" s="2002">
        <f>'Stock Valuation (FIFO)'!T29</f>
        <v>-283</v>
      </c>
      <c r="R23" s="1984">
        <f>'Stock Valuation (FIFO)'!V29</f>
        <v>-48693</v>
      </c>
      <c r="S23" s="1985"/>
      <c r="T23" s="2002">
        <f>'Stock Valuation (FIFO)'!W29</f>
        <v>272</v>
      </c>
      <c r="U23" s="1984">
        <f>'Stock Valuation (FIFO)'!Y29</f>
        <v>45750</v>
      </c>
      <c r="V23" s="1985"/>
      <c r="W23" s="2046">
        <f>'Stock Valuation (FIFO)'!Z29</f>
        <v>-646</v>
      </c>
      <c r="X23" s="1939">
        <f>'Stock Valuation (FIFO)'!AB29</f>
        <v>-108960</v>
      </c>
      <c r="Y23" s="1985"/>
      <c r="Z23" s="2046">
        <f>'Stock Valuation (FIFO)'!AC29</f>
        <v>417</v>
      </c>
      <c r="AA23" s="1939">
        <f>'Stock Valuation (FIFO)'!AE29</f>
        <v>72108</v>
      </c>
      <c r="AB23" s="1985"/>
      <c r="AC23" s="2046">
        <f>'Stock Valuation (FIFO)'!AF29</f>
        <v>195</v>
      </c>
      <c r="AD23" s="1939">
        <f>'Stock Valuation (FIFO)'!AH29</f>
        <v>41633</v>
      </c>
      <c r="AE23" s="1985"/>
      <c r="AF23" s="2046">
        <f>'Stock Valuation (FIFO)'!AI29</f>
        <v>-249</v>
      </c>
      <c r="AG23" s="1939">
        <f>'Stock Valuation (FIFO)'!AK29</f>
        <v>-44654</v>
      </c>
      <c r="AH23" s="1985"/>
      <c r="AI23" s="2046">
        <f>'Stock Valuation (FIFO)'!AL29</f>
        <v>6</v>
      </c>
      <c r="AJ23" s="1939">
        <f>'Stock Valuation (FIFO)'!AN29</f>
        <v>-37177</v>
      </c>
      <c r="AK23" s="1985"/>
      <c r="AL23" s="2079">
        <f>'Stock Valuation (FIFO)'!AL32</f>
        <v>-336</v>
      </c>
      <c r="AM23" s="2080">
        <f>'Stock Valuation (FIFO)'!AN32</f>
        <v>-87860</v>
      </c>
      <c r="AN23" s="1985"/>
    </row>
    <row r="24" ht="14.25" spans="1:40">
      <c r="A24" s="1921" t="s">
        <v>420</v>
      </c>
      <c r="B24" s="1922">
        <f>SUM(B22:B23)</f>
        <v>-11986</v>
      </c>
      <c r="C24" s="1923">
        <f>SUM(C22:C23)</f>
        <v>-2700803</v>
      </c>
      <c r="D24" s="1924"/>
      <c r="E24" s="1922">
        <f>SUM(E22:E23)</f>
        <v>67446</v>
      </c>
      <c r="F24" s="1986">
        <f>SUM(F22:F23)</f>
        <v>13994010</v>
      </c>
      <c r="G24" s="1987"/>
      <c r="H24" s="1922">
        <f>SUM(H22:H23)</f>
        <v>17050</v>
      </c>
      <c r="I24" s="1986">
        <f>SUM(I22:I23)</f>
        <v>4472860</v>
      </c>
      <c r="J24" s="1987"/>
      <c r="K24" s="1922">
        <f>SUM(K22:K23)</f>
        <v>7027</v>
      </c>
      <c r="L24" s="1923">
        <f>SUM(L22:L23)</f>
        <v>2604490</v>
      </c>
      <c r="M24" s="1987"/>
      <c r="N24" s="1922">
        <f>SUM(N22:N23)</f>
        <v>-76933</v>
      </c>
      <c r="O24" s="1923">
        <f>SUM(O22:O23)</f>
        <v>-17108497</v>
      </c>
      <c r="P24" s="1987"/>
      <c r="Q24" s="1922">
        <f>SUM(Q22:Q23)</f>
        <v>-34791</v>
      </c>
      <c r="R24" s="1923">
        <f>SUM(R22:R23)</f>
        <v>-7409620</v>
      </c>
      <c r="S24" s="1987"/>
      <c r="T24" s="1922">
        <f>SUM(T22:T23)</f>
        <v>-14588</v>
      </c>
      <c r="U24" s="1923">
        <f>SUM(U22:U23)</f>
        <v>-2221341</v>
      </c>
      <c r="V24" s="1987"/>
      <c r="W24" s="1922">
        <f>SUM(W22:W23)</f>
        <v>17017</v>
      </c>
      <c r="X24" s="1986">
        <f>SUM(X22:X23)</f>
        <v>4575092</v>
      </c>
      <c r="Y24" s="1987"/>
      <c r="Z24" s="1922">
        <f>SUM(Z22:Z23)</f>
        <v>-40850</v>
      </c>
      <c r="AA24" s="1986">
        <f>SUM(AA22:AA23)</f>
        <v>-8181321</v>
      </c>
      <c r="AB24" s="1982"/>
      <c r="AC24" s="2054">
        <f>SUM(AC22:AC23)</f>
        <v>1403</v>
      </c>
      <c r="AD24" s="2055">
        <f>SUM(AD22:AD23)</f>
        <v>-594161</v>
      </c>
      <c r="AE24" s="1987"/>
      <c r="AF24" s="2054">
        <f>SUM(AF22:AF23)</f>
        <v>23066</v>
      </c>
      <c r="AG24" s="2055">
        <f>SUM(AG22:AG23)</f>
        <v>3182482</v>
      </c>
      <c r="AH24" s="1987"/>
      <c r="AI24" s="2054">
        <f>SUM(AI22:AI23)</f>
        <v>-75046</v>
      </c>
      <c r="AJ24" s="2055">
        <f>SUM(AJ22:AJ23)</f>
        <v>9203941</v>
      </c>
      <c r="AK24" s="1987"/>
      <c r="AL24" s="2054">
        <f>SUM(AL22:AL23)</f>
        <v>28907</v>
      </c>
      <c r="AM24" s="2081">
        <f>SUM(AM22:AM23)</f>
        <v>-182868</v>
      </c>
      <c r="AN24" s="1987"/>
    </row>
    <row r="25" ht="14.25" spans="1:40">
      <c r="A25" s="844" t="s">
        <v>421</v>
      </c>
      <c r="B25" s="1925">
        <f>SUM(B21,B24)</f>
        <v>155936</v>
      </c>
      <c r="C25" s="1430">
        <f>C21+C24</f>
        <v>17750565</v>
      </c>
      <c r="D25" s="1902">
        <f>IF(C25=0,0,C25/B25)</f>
        <v>113.832373537862</v>
      </c>
      <c r="E25" s="1925">
        <f>SUM(E21,E24)</f>
        <v>199284</v>
      </c>
      <c r="F25" s="1430">
        <f>F21+F24</f>
        <v>31045149</v>
      </c>
      <c r="G25" s="1976">
        <f>IF(F25=0,0,F25/E25)</f>
        <v>155.783449750105</v>
      </c>
      <c r="H25" s="1925">
        <f>SUM(H21,H24)</f>
        <v>202973</v>
      </c>
      <c r="I25" s="1430">
        <f>I21+I24</f>
        <v>27544850</v>
      </c>
      <c r="J25" s="1976">
        <f>IF(I25=0,0,I25/H25)</f>
        <v>135.706965951136</v>
      </c>
      <c r="K25" s="1925">
        <f>SUM(K21,K24)</f>
        <v>202218</v>
      </c>
      <c r="L25" s="1430">
        <f>L21+L24</f>
        <v>25175114</v>
      </c>
      <c r="M25" s="1976">
        <f t="shared" si="16"/>
        <v>124.494921322533</v>
      </c>
      <c r="N25" s="1925">
        <f>SUM(N21,N24)</f>
        <v>112639</v>
      </c>
      <c r="O25" s="1430">
        <f>O21+O24</f>
        <v>6468890</v>
      </c>
      <c r="P25" s="1976">
        <f t="shared" si="17"/>
        <v>57.4302861353528</v>
      </c>
      <c r="Q25" s="1925">
        <f>SUM(Q21,Q24)</f>
        <v>140608</v>
      </c>
      <c r="R25" s="1430">
        <f>R21+R24</f>
        <v>14285173</v>
      </c>
      <c r="S25" s="1976">
        <f t="shared" ref="S25" si="26">IF(R25=0,0,R25/Q25)</f>
        <v>101.595734239873</v>
      </c>
      <c r="T25" s="1925">
        <f>SUM(T21,T24)</f>
        <v>129952</v>
      </c>
      <c r="U25" s="1430">
        <f>U21+U24</f>
        <v>16710216</v>
      </c>
      <c r="V25" s="1976">
        <f t="shared" si="19"/>
        <v>128.587601575967</v>
      </c>
      <c r="W25" s="1925">
        <f>SUM(W21,W24)</f>
        <v>166790</v>
      </c>
      <c r="X25" s="1430">
        <f>X21+X24</f>
        <v>22733331</v>
      </c>
      <c r="Y25" s="1976">
        <f t="shared" si="20"/>
        <v>136.299124647761</v>
      </c>
      <c r="Z25" s="1925">
        <f>SUM(Z21,Z24)</f>
        <v>136506</v>
      </c>
      <c r="AA25" s="1430">
        <f>AA21+AA24</f>
        <v>12857155</v>
      </c>
      <c r="AB25" s="2050">
        <f t="shared" si="21"/>
        <v>94.1874716129694</v>
      </c>
      <c r="AC25" s="1925">
        <f>SUM(AC21,AC24)</f>
        <v>167974</v>
      </c>
      <c r="AD25" s="1430">
        <f>AD21+AD24</f>
        <v>19541560</v>
      </c>
      <c r="AE25" s="2056">
        <f t="shared" si="22"/>
        <v>116.336814030743</v>
      </c>
      <c r="AF25" s="1925">
        <f>SUM(AF21,AF24)</f>
        <v>188106</v>
      </c>
      <c r="AG25" s="1430">
        <f>AG21+AG24</f>
        <v>22141062</v>
      </c>
      <c r="AH25" s="2056">
        <f t="shared" si="23"/>
        <v>117.70524066218</v>
      </c>
      <c r="AI25" s="1925">
        <f>SUM(AI21-AI24)</f>
        <v>224324</v>
      </c>
      <c r="AJ25" s="1430">
        <f>AJ21+AJ24</f>
        <v>29028911</v>
      </c>
      <c r="AK25" s="2056">
        <f t="shared" si="24"/>
        <v>129.406175888447</v>
      </c>
      <c r="AL25" s="1925">
        <f>SUM(AL21,AL24)</f>
        <v>2027311</v>
      </c>
      <c r="AM25" s="1430">
        <f>AM21+AM24</f>
        <v>245281974</v>
      </c>
      <c r="AN25" s="2056">
        <f t="shared" si="25"/>
        <v>120.988824112334</v>
      </c>
    </row>
    <row r="26" spans="1:39">
      <c r="A26" s="96" t="s">
        <v>422</v>
      </c>
      <c r="B26" s="1926">
        <f>'PAL I'!C$11</f>
        <v>155936</v>
      </c>
      <c r="C26" s="1927">
        <f>'PAL I'!D$11</f>
        <v>17750565</v>
      </c>
      <c r="D26" s="1926"/>
      <c r="E26" s="1926">
        <f>'PAL I'!F$11</f>
        <v>199284</v>
      </c>
      <c r="F26" s="1927">
        <f>'PAL I'!G$11</f>
        <v>31045149</v>
      </c>
      <c r="G26" s="1926"/>
      <c r="H26" s="1926">
        <f>'PAL I'!I$11</f>
        <v>202973</v>
      </c>
      <c r="I26" s="1927">
        <f>'PAL I'!J$11</f>
        <v>27544850</v>
      </c>
      <c r="J26" s="1926"/>
      <c r="K26" s="1926">
        <f>'PAL I'!L$11</f>
        <v>202218</v>
      </c>
      <c r="L26" s="1927">
        <f>'PAL I'!M$11</f>
        <v>25175114</v>
      </c>
      <c r="M26" s="1926"/>
      <c r="N26" s="1926">
        <f>'PAL I'!O$11</f>
        <v>112639</v>
      </c>
      <c r="O26" s="1927">
        <f>'PAL I'!P$11</f>
        <v>6468890</v>
      </c>
      <c r="P26" s="1926"/>
      <c r="Q26" s="1926">
        <f>'PAL I'!R$11</f>
        <v>140608</v>
      </c>
      <c r="R26" s="1927">
        <f>'PAL I'!S$11</f>
        <v>14285173</v>
      </c>
      <c r="S26" s="1926"/>
      <c r="T26" s="1926">
        <f>'PAL I'!U$11</f>
        <v>129952</v>
      </c>
      <c r="U26" s="1927">
        <f>'PAL I'!V$11</f>
        <v>16710216</v>
      </c>
      <c r="V26" s="1926"/>
      <c r="W26" s="1926">
        <f>'PAL I'!X$11</f>
        <v>166790</v>
      </c>
      <c r="X26" s="1927">
        <f>'PAL I'!Y$11</f>
        <v>22733331</v>
      </c>
      <c r="Y26" s="1926"/>
      <c r="Z26" s="1926">
        <f>'PAL I'!AA$11</f>
        <v>136506</v>
      </c>
      <c r="AA26" s="1927">
        <f>'PAL I'!AB$11</f>
        <v>12857155</v>
      </c>
      <c r="AB26" s="1926"/>
      <c r="AC26" s="1926">
        <f>'PAL I'!AD$11</f>
        <v>167974</v>
      </c>
      <c r="AD26" s="1927">
        <f>'PAL I'!AE$11</f>
        <v>19541560</v>
      </c>
      <c r="AE26" s="1926"/>
      <c r="AF26" s="1926">
        <f>'PAL I'!AG$11</f>
        <v>188106</v>
      </c>
      <c r="AG26" s="1927">
        <f>'PAL I'!AH$11</f>
        <v>22141062</v>
      </c>
      <c r="AH26" s="1926"/>
      <c r="AI26" s="1926">
        <f>'PAL I'!AJ11</f>
        <v>224324</v>
      </c>
      <c r="AJ26" s="1927">
        <f>'PAL I'!AK11</f>
        <v>29028911</v>
      </c>
      <c r="AK26" s="1926"/>
      <c r="AL26" s="1926">
        <f>'PAL I'!AM$11</f>
        <v>2027310</v>
      </c>
      <c r="AM26" s="1927">
        <f>'PAL I'!AN$11</f>
        <v>245281975</v>
      </c>
    </row>
    <row r="27" ht="14.25" spans="2:40">
      <c r="B27" s="1928">
        <f>B25-B26</f>
        <v>0</v>
      </c>
      <c r="C27" s="1431"/>
      <c r="D27" s="1431"/>
      <c r="E27" s="1431"/>
      <c r="F27" s="1988"/>
      <c r="G27" s="1988"/>
      <c r="Q27" s="2026">
        <f>Q25-Q26</f>
        <v>0</v>
      </c>
      <c r="R27" s="1748">
        <f>R25-R26</f>
        <v>0</v>
      </c>
      <c r="T27" s="2026">
        <f>T25-T26</f>
        <v>0</v>
      </c>
      <c r="U27" s="1748">
        <f>U25-U26</f>
        <v>0</v>
      </c>
      <c r="W27" s="2026">
        <f>W25-W26</f>
        <v>0</v>
      </c>
      <c r="X27" s="1431">
        <f>X25-X26</f>
        <v>0</v>
      </c>
      <c r="Z27" s="2026">
        <f>Z25-Z26</f>
        <v>0</v>
      </c>
      <c r="AA27" s="1431">
        <f>AA25-AA26</f>
        <v>0</v>
      </c>
      <c r="AC27" s="2026">
        <f>AC25-AC26</f>
        <v>0</v>
      </c>
      <c r="AD27" s="1431">
        <f>AD25-AD26</f>
        <v>0</v>
      </c>
      <c r="AF27" s="2026">
        <f>AF25-AF26</f>
        <v>0</v>
      </c>
      <c r="AG27" s="1431">
        <f>AG25-AG26</f>
        <v>0</v>
      </c>
      <c r="AI27" s="2026">
        <f>AI25-AI26</f>
        <v>0</v>
      </c>
      <c r="AJ27" s="1431">
        <f>AJ25-AJ26</f>
        <v>0</v>
      </c>
      <c r="AL27" s="2026">
        <f>AL25-AL26</f>
        <v>1</v>
      </c>
      <c r="AM27" s="1431">
        <f>AM25-AM26</f>
        <v>-1</v>
      </c>
      <c r="AN27" s="873">
        <f>AM25-AM26</f>
        <v>-1</v>
      </c>
    </row>
    <row r="28" spans="1:40">
      <c r="A28" s="1929" t="str">
        <f>'Direct Expns'!R46</f>
        <v>Variable-Yarn Cost</v>
      </c>
      <c r="B28" s="1930"/>
      <c r="C28" s="1879">
        <f>ROUND(('Direct Expns'!S46),0)</f>
        <v>1921090</v>
      </c>
      <c r="D28" s="728">
        <f>(C28/B17)+D15</f>
        <v>119.880380488709</v>
      </c>
      <c r="E28" s="1989"/>
      <c r="F28" s="1879">
        <f>ROUND(('Direct Expns'!T46),0)</f>
        <v>2738517</v>
      </c>
      <c r="G28" s="728">
        <f>(F28/E17)+G15</f>
        <v>134.477057660459</v>
      </c>
      <c r="H28" s="1990"/>
      <c r="I28" s="1879">
        <f>ROUND(('Direct Expns'!U46),0)</f>
        <v>2484833</v>
      </c>
      <c r="J28" s="728">
        <f>(I28/H17)+J15</f>
        <v>127.714287945122</v>
      </c>
      <c r="K28" s="2003"/>
      <c r="L28" s="1971">
        <f>ROUND(('Direct Expns'!V46),0)</f>
        <v>3437574</v>
      </c>
      <c r="M28" s="728">
        <f>(L28/K17)+M15</f>
        <v>125.849252896819</v>
      </c>
      <c r="N28" s="2003"/>
      <c r="O28" s="1971">
        <f>ROUND(('Direct Expns'!W46),0)</f>
        <v>2531197</v>
      </c>
      <c r="P28" s="728">
        <f>(O28/N17)+P15</f>
        <v>133.434116598821</v>
      </c>
      <c r="Q28" s="2027"/>
      <c r="R28" s="2028">
        <f>'Direct Expns'!X46</f>
        <v>2940897</v>
      </c>
      <c r="S28" s="728">
        <f>(R28/Q17)+S15</f>
        <v>134.054777794251</v>
      </c>
      <c r="T28" s="2027"/>
      <c r="U28" s="2028">
        <f>'Direct Expns'!Y46</f>
        <v>2533676</v>
      </c>
      <c r="V28" s="728">
        <f>(U28/T17)+V15</f>
        <v>131.510031586237</v>
      </c>
      <c r="W28" s="2027"/>
      <c r="X28" s="2028">
        <f>'Direct Expns'!Z46</f>
        <v>2585006.06</v>
      </c>
      <c r="Y28" s="728">
        <f>(X28/W17)+Y15</f>
        <v>125.399227919803</v>
      </c>
      <c r="Z28" s="2027"/>
      <c r="AA28" s="2028">
        <f>'Direct Expns'!AA46</f>
        <v>3141202</v>
      </c>
      <c r="AB28" s="728">
        <f>(AA28/Z17)+AB15</f>
        <v>124.429510526762</v>
      </c>
      <c r="AC28" s="2027"/>
      <c r="AD28" s="2057">
        <f>ROUND(('Direct Expns'!AB46),0)</f>
        <v>2822099</v>
      </c>
      <c r="AE28" s="728">
        <f>(AD28/AC17)+AE15</f>
        <v>125.170071645028</v>
      </c>
      <c r="AF28" s="2027"/>
      <c r="AG28" s="2057">
        <f>ROUND(('Direct Expns'!AC46),0)</f>
        <v>3066980</v>
      </c>
      <c r="AH28" s="728">
        <f>(AG28/AF17)+AH15</f>
        <v>126.159908864448</v>
      </c>
      <c r="AI28" s="2027"/>
      <c r="AJ28" s="2057">
        <f>ROUND(('Direct Expns'!AD46),0)</f>
        <v>2774530</v>
      </c>
      <c r="AK28" s="728">
        <f>(AJ28/AI17)+AK15</f>
        <v>133.85692266313</v>
      </c>
      <c r="AL28" s="2082"/>
      <c r="AM28" s="2083">
        <f>ROUND(('Direct Expns'!AE46),0)</f>
        <v>32977604</v>
      </c>
      <c r="AN28" s="728">
        <f>(AM28/AL17)+AN15</f>
        <v>128.262061410103</v>
      </c>
    </row>
    <row r="29" spans="1:40">
      <c r="A29" s="1482" t="str">
        <f>'Direct Expns'!R47</f>
        <v>Variable-Fabric Cost</v>
      </c>
      <c r="B29" s="80"/>
      <c r="C29" s="1881">
        <f>ROUND(('Direct Expns'!S47),0)</f>
        <v>7671286</v>
      </c>
      <c r="D29" s="90">
        <f>(C29/B17)+D28</f>
        <v>219.006690429398</v>
      </c>
      <c r="E29" s="150"/>
      <c r="F29" s="1881">
        <f>ROUND(('Direct Expns'!T47),0)</f>
        <v>7222620</v>
      </c>
      <c r="G29" s="90">
        <f>(F29/E17)+G28</f>
        <v>228.421283877258</v>
      </c>
      <c r="H29" s="1991"/>
      <c r="I29" s="1881">
        <f>ROUND(('Direct Expns'!U47),0)</f>
        <v>6888845</v>
      </c>
      <c r="J29" s="90">
        <f>(I29/H17)+J28</f>
        <v>209.332773070058</v>
      </c>
      <c r="K29" s="2004"/>
      <c r="L29" s="1979">
        <f>ROUND(('Direct Expns'!V47),0)</f>
        <v>7914846</v>
      </c>
      <c r="M29" s="90">
        <f>(L29/K17)+M28</f>
        <v>204.010535892582</v>
      </c>
      <c r="N29" s="2004"/>
      <c r="O29" s="1979">
        <f>ROUND(('Direct Expns'!W47),0)</f>
        <v>7640390</v>
      </c>
      <c r="P29" s="90">
        <f>(O29/N17)+P28</f>
        <v>234.689003488042</v>
      </c>
      <c r="Q29" s="2029"/>
      <c r="R29" s="1898">
        <f>'Direct Expns'!X47</f>
        <v>8011364</v>
      </c>
      <c r="S29" s="2030">
        <f>(R29/Q17)+S28</f>
        <v>234.412597105771</v>
      </c>
      <c r="T29" s="2029"/>
      <c r="U29" s="1898">
        <f>'Direct Expns'!Y47</f>
        <v>6286642</v>
      </c>
      <c r="V29" s="2030">
        <f>(U29/T17)+V28</f>
        <v>210.228846542036</v>
      </c>
      <c r="W29" s="2029"/>
      <c r="X29" s="1898">
        <f>'Direct Expns'!Z47</f>
        <v>6770055</v>
      </c>
      <c r="Y29" s="2030">
        <f>(X29/W17)+Y28</f>
        <v>208.382876474036</v>
      </c>
      <c r="Z29" s="2029"/>
      <c r="AA29" s="1898">
        <f>'Direct Expns'!AA47</f>
        <v>7416023</v>
      </c>
      <c r="AB29" s="2030">
        <f>(AA29/Z17)+AB28</f>
        <v>194.896562341169</v>
      </c>
      <c r="AC29" s="2029"/>
      <c r="AD29" s="1898">
        <f>ROUND(('Direct Expns'!AB47),0)</f>
        <v>7743108</v>
      </c>
      <c r="AE29" s="2030">
        <f>(AD29/AC17)+AE28</f>
        <v>208.498289631963</v>
      </c>
      <c r="AF29" s="2029"/>
      <c r="AG29" s="1898">
        <f>ROUND(('Direct Expns'!AC47),0)</f>
        <v>7217420</v>
      </c>
      <c r="AH29" s="2030">
        <f>(AG29/AF17)+AH28</f>
        <v>198.139045404425</v>
      </c>
      <c r="AI29" s="2029"/>
      <c r="AJ29" s="1898">
        <f>ROUND(('Direct Expns'!AD47),0)</f>
        <v>6863439</v>
      </c>
      <c r="AK29" s="2030">
        <f>(AJ29/AI17)+AK28</f>
        <v>212.73886591038</v>
      </c>
      <c r="AL29" s="717"/>
      <c r="AM29" s="2084">
        <f>ROUND(('Direct Expns'!AE47),0)</f>
        <v>87646036</v>
      </c>
      <c r="AN29" s="90">
        <f>(AM29/AL17)+AN28</f>
        <v>212.366299726139</v>
      </c>
    </row>
    <row r="30" spans="1:40">
      <c r="A30" s="1482" t="str">
        <f>'Direct Expns'!R48</f>
        <v>Variable-Trading</v>
      </c>
      <c r="B30" s="80"/>
      <c r="C30" s="1881">
        <f>ROUND(('Direct Expns'!S48),0)</f>
        <v>97432</v>
      </c>
      <c r="D30" s="90">
        <f>C30/B5</f>
        <v>14.4536418928942</v>
      </c>
      <c r="E30" s="150"/>
      <c r="F30" s="1881">
        <f>ROUND(('Direct Expns'!T48),0)</f>
        <v>97300</v>
      </c>
      <c r="G30" s="90">
        <f>F30/E5</f>
        <v>24.9615187275526</v>
      </c>
      <c r="H30" s="1991"/>
      <c r="I30" s="1881">
        <f>ROUND(('Direct Expns'!U48),0)</f>
        <v>97036</v>
      </c>
      <c r="J30" s="90">
        <f>I30/H5</f>
        <v>13.2111640571818</v>
      </c>
      <c r="K30" s="2004"/>
      <c r="L30" s="1979">
        <f>ROUND(('Direct Expns'!V48),0)</f>
        <v>97779</v>
      </c>
      <c r="M30" s="90">
        <f>L30/K5</f>
        <v>23.1484375</v>
      </c>
      <c r="N30" s="2004"/>
      <c r="O30" s="1979">
        <f>ROUND(('Direct Expns'!W48),0)</f>
        <v>97432</v>
      </c>
      <c r="P30" s="90">
        <f>O30/N5</f>
        <v>3.88531323523547</v>
      </c>
      <c r="Q30" s="2029"/>
      <c r="R30" s="1898">
        <f>'Direct Expns'!X48</f>
        <v>97442</v>
      </c>
      <c r="S30" s="90">
        <f>R30/Q5</f>
        <v>4.13731317934783</v>
      </c>
      <c r="T30" s="2029"/>
      <c r="U30" s="1898">
        <f>'Direct Expns'!Y48</f>
        <v>97300</v>
      </c>
      <c r="V30" s="90">
        <f>U30/T5</f>
        <v>3.7214105408093</v>
      </c>
      <c r="W30" s="2029"/>
      <c r="X30" s="1898">
        <f>'Direct Expns'!Z48</f>
        <v>97168</v>
      </c>
      <c r="Y30" s="90">
        <f>X30/W5</f>
        <v>4.50561068348326</v>
      </c>
      <c r="Z30" s="2029"/>
      <c r="AA30" s="1898">
        <f>'Direct Expns'!AA48</f>
        <v>97219</v>
      </c>
      <c r="AB30" s="90">
        <f>AA30/Z5</f>
        <v>3.74596385774284</v>
      </c>
      <c r="AC30" s="2029"/>
      <c r="AD30" s="1899">
        <f>ROUND(('Direct Expns'!AB48),0)</f>
        <v>97564</v>
      </c>
      <c r="AE30" s="90">
        <f>AD30/AC5</f>
        <v>3.68611153090524</v>
      </c>
      <c r="AF30" s="2029"/>
      <c r="AG30" s="1899">
        <f>ROUND(('Direct Expns'!AC48),0)</f>
        <v>97300</v>
      </c>
      <c r="AH30" s="90">
        <f>AG30/AF5</f>
        <v>6.23238534460671</v>
      </c>
      <c r="AI30" s="2029"/>
      <c r="AJ30" s="1899">
        <f>ROUND(('Direct Expns'!AD48),0)</f>
        <v>97036</v>
      </c>
      <c r="AK30" s="90">
        <f>AJ30/AI5</f>
        <v>3.43794508414526</v>
      </c>
      <c r="AL30" s="717"/>
      <c r="AM30" s="2084">
        <f>ROUND(('Direct Expns'!AE48),0)</f>
        <v>1168008</v>
      </c>
      <c r="AN30" s="90">
        <f>AM30/AL5</f>
        <v>4.13587385671137</v>
      </c>
    </row>
    <row r="31" ht="14.25" spans="1:42">
      <c r="A31" s="731" t="str">
        <f>'Direct Expns'!R49</f>
        <v>Variable-Finance</v>
      </c>
      <c r="B31" s="161"/>
      <c r="C31" s="1885">
        <f>ROUND(('Direct Expns'!S49),0)</f>
        <v>852520</v>
      </c>
      <c r="D31" s="732">
        <f>C31/B21</f>
        <v>5.07688093281404</v>
      </c>
      <c r="E31" s="152"/>
      <c r="F31" s="1885">
        <f>ROUND(('Direct Expns'!T49),0)</f>
        <v>196340</v>
      </c>
      <c r="G31" s="732">
        <f>F31/E21</f>
        <v>1.4892519607397</v>
      </c>
      <c r="H31" s="1992"/>
      <c r="I31" s="1885">
        <f>ROUND(('Direct Expns'!U49),0)</f>
        <v>750305</v>
      </c>
      <c r="J31" s="732">
        <f>I31/H21</f>
        <v>4.03556848802999</v>
      </c>
      <c r="K31" s="2005"/>
      <c r="L31" s="2006">
        <f>ROUND(('Direct Expns'!V49),0)</f>
        <v>533333</v>
      </c>
      <c r="M31" s="732">
        <f>L31/K21</f>
        <v>2.73236470943845</v>
      </c>
      <c r="N31" s="2005"/>
      <c r="O31" s="2006">
        <f>ROUND(('Direct Expns'!W49),0)</f>
        <v>630262</v>
      </c>
      <c r="P31" s="732">
        <f>O31/N21</f>
        <v>3.3246576498639</v>
      </c>
      <c r="Q31" s="2031"/>
      <c r="R31" s="1973">
        <f>'Direct Expns'!X49</f>
        <v>473587</v>
      </c>
      <c r="S31" s="732">
        <f>R31/Q21</f>
        <v>2.70005530248177</v>
      </c>
      <c r="T31" s="2031"/>
      <c r="U31" s="1973">
        <f>'Direct Expns'!Y49</f>
        <v>657422</v>
      </c>
      <c r="V31" s="732">
        <f>U31/T21</f>
        <v>4.54837415248374</v>
      </c>
      <c r="W31" s="2031"/>
      <c r="X31" s="1973">
        <f>'Direct Expns'!Z49</f>
        <v>619265</v>
      </c>
      <c r="Y31" s="732">
        <f>X31/W21</f>
        <v>4.13469049828741</v>
      </c>
      <c r="Z31" s="2031"/>
      <c r="AA31" s="1973">
        <f>'Direct Expns'!AA49</f>
        <v>484938</v>
      </c>
      <c r="AB31" s="732">
        <f>AA31/Z21</f>
        <v>2.73426328965471</v>
      </c>
      <c r="AC31" s="2031"/>
      <c r="AD31" s="2058">
        <f>ROUND(('Direct Expns'!AB49),0)</f>
        <v>717133</v>
      </c>
      <c r="AE31" s="732">
        <f>AD31/AC21</f>
        <v>4.30526922453488</v>
      </c>
      <c r="AF31" s="2031"/>
      <c r="AG31" s="2058">
        <f>ROUND(('Direct Expns'!AC49),0)</f>
        <v>911934</v>
      </c>
      <c r="AH31" s="732">
        <f>AG31/AF21</f>
        <v>5.52553320407174</v>
      </c>
      <c r="AI31" s="2031"/>
      <c r="AJ31" s="2058">
        <f>ROUND(('Direct Expns'!AD49),0)</f>
        <v>333564</v>
      </c>
      <c r="AK31" s="732">
        <f>AJ31/AI21</f>
        <v>2.23451546778494</v>
      </c>
      <c r="AL31" s="2085"/>
      <c r="AM31" s="2086">
        <f>ROUND(('Direct Expns'!AE49),0)</f>
        <v>7160603</v>
      </c>
      <c r="AN31" s="732">
        <f>AM31/AL21</f>
        <v>3.58316086236817</v>
      </c>
      <c r="AP31" s="873">
        <f>AM31/6</f>
        <v>1193433.83333333</v>
      </c>
    </row>
    <row r="32" ht="14.25" spans="1:40">
      <c r="A32" s="844" t="s">
        <v>423</v>
      </c>
      <c r="B32" s="1931"/>
      <c r="C32" s="1932">
        <f>SUM(C28:C31)</f>
        <v>10542328</v>
      </c>
      <c r="D32" s="587">
        <f>C32/B21</f>
        <v>62.7811007491573</v>
      </c>
      <c r="E32" s="154"/>
      <c r="F32" s="1932">
        <f>SUM(F28:F31)</f>
        <v>10254777</v>
      </c>
      <c r="G32" s="587">
        <f>F32/E21</f>
        <v>77.7831657033632</v>
      </c>
      <c r="H32" s="1993"/>
      <c r="I32" s="2007">
        <f>SUM(I28:I31)</f>
        <v>10221019</v>
      </c>
      <c r="J32" s="587">
        <f>I32/H21</f>
        <v>54.9744733034643</v>
      </c>
      <c r="K32" s="2008"/>
      <c r="L32" s="2007">
        <f>SUM(L28:L31)</f>
        <v>11983532</v>
      </c>
      <c r="M32" s="587">
        <f>L32/K21</f>
        <v>61.3938757422217</v>
      </c>
      <c r="N32" s="2008"/>
      <c r="O32" s="2007">
        <f>SUM(O28:O31)</f>
        <v>10899281</v>
      </c>
      <c r="P32" s="587">
        <f>O32/N21</f>
        <v>57.4941499799548</v>
      </c>
      <c r="Q32" s="2032"/>
      <c r="R32" s="2007">
        <f>SUM(R28:R31)</f>
        <v>11523290</v>
      </c>
      <c r="S32" s="587">
        <f>R32/Q21</f>
        <v>65.6975809440191</v>
      </c>
      <c r="T32" s="2032"/>
      <c r="U32" s="2007">
        <f>SUM(U28:U31)</f>
        <v>9575040</v>
      </c>
      <c r="V32" s="587">
        <f>U32/T21</f>
        <v>66.2449149024492</v>
      </c>
      <c r="W32" s="2032"/>
      <c r="X32" s="2007">
        <f>SUM(X28:X31)</f>
        <v>10071494.06</v>
      </c>
      <c r="Y32" s="587">
        <f>X32/W21</f>
        <v>67.2450579209871</v>
      </c>
      <c r="Z32" s="2032"/>
      <c r="AA32" s="2007">
        <f>SUM(AA28:AA31)</f>
        <v>11139382</v>
      </c>
      <c r="AB32" s="587">
        <f>AA32/Z21</f>
        <v>62.808035814971</v>
      </c>
      <c r="AC32" s="2032"/>
      <c r="AD32" s="2007">
        <f>SUM(AD28:AD31)</f>
        <v>11379904</v>
      </c>
      <c r="AE32" s="587">
        <f>AD32/AC21</f>
        <v>68.3186388987279</v>
      </c>
      <c r="AF32" s="2032"/>
      <c r="AG32" s="2007">
        <f>SUM(AG28:AG31)</f>
        <v>11293634</v>
      </c>
      <c r="AH32" s="587">
        <f>AG32/AF21</f>
        <v>68.4296776539021</v>
      </c>
      <c r="AI32" s="2032"/>
      <c r="AJ32" s="2007">
        <f>SUM(AJ28:AJ31)</f>
        <v>10068569</v>
      </c>
      <c r="AK32" s="587">
        <f>AJ32/AI21</f>
        <v>67.4484451828133</v>
      </c>
      <c r="AL32" s="1478"/>
      <c r="AM32" s="2007">
        <f>SUM(AM28:AM31)</f>
        <v>128952251</v>
      </c>
      <c r="AN32" s="587">
        <f>AM32/AL21</f>
        <v>64.5276185395946</v>
      </c>
    </row>
    <row r="33" spans="1:40">
      <c r="A33" s="1933" t="str">
        <f>'Direct Expns'!R50</f>
        <v>Fixed Cost</v>
      </c>
      <c r="B33" s="1934"/>
      <c r="C33" s="1935">
        <f>ROUND(('Direct Expns'!S50),0)</f>
        <v>2104559</v>
      </c>
      <c r="D33" s="1936">
        <f>C33/B21</f>
        <v>12.532955777087</v>
      </c>
      <c r="E33" s="1994"/>
      <c r="F33" s="1995">
        <f>ROUND(('Direct Expns'!T50),0)</f>
        <v>2200389</v>
      </c>
      <c r="G33" s="1936">
        <f>F33/E21</f>
        <v>16.6900969371501</v>
      </c>
      <c r="H33" s="1996"/>
      <c r="I33" s="1995">
        <f>ROUND(('Direct Expns'!U50),0)</f>
        <v>2904118</v>
      </c>
      <c r="J33" s="1936">
        <f>I33/H21</f>
        <v>15.6200039801423</v>
      </c>
      <c r="K33" s="2009"/>
      <c r="L33" s="1980">
        <f>ROUND(('Direct Expns'!V50),0)</f>
        <v>2393245</v>
      </c>
      <c r="M33" s="1936">
        <f>L33/K21</f>
        <v>12.2610417488511</v>
      </c>
      <c r="N33" s="2009"/>
      <c r="O33" s="1980">
        <f>ROUND(('Direct Expns'!W50),0)</f>
        <v>2228547</v>
      </c>
      <c r="P33" s="1936">
        <f>O33/N21</f>
        <v>11.7556759437048</v>
      </c>
      <c r="Q33" s="2033"/>
      <c r="R33" s="1980">
        <f>ROUND(('Direct Expns'!X50),0)</f>
        <v>3377593</v>
      </c>
      <c r="S33" s="1936">
        <f>R33/Q21</f>
        <v>19.2566263205605</v>
      </c>
      <c r="T33" s="2033"/>
      <c r="U33" s="1980">
        <f>ROUND(('Direct Expns'!Y50),0)</f>
        <v>2190584</v>
      </c>
      <c r="V33" s="1936">
        <f>U33/T21</f>
        <v>15.1555555555556</v>
      </c>
      <c r="W33" s="2033"/>
      <c r="X33" s="1980">
        <f>ROUND(('Direct Expns'!Z50),0)</f>
        <v>2482351</v>
      </c>
      <c r="Y33" s="1936">
        <f>X33/W21</f>
        <v>16.5740887876987</v>
      </c>
      <c r="Z33" s="2033"/>
      <c r="AA33" s="1980">
        <f>ROUND(('Direct Expns'!AA50),0)</f>
        <v>2817091</v>
      </c>
      <c r="AB33" s="1936">
        <f>AA33/Z21</f>
        <v>15.883821240894</v>
      </c>
      <c r="AC33" s="2033"/>
      <c r="AD33" s="1980">
        <f>ROUND(('Direct Expns'!AB50),0)</f>
        <v>2153077</v>
      </c>
      <c r="AE33" s="1936">
        <f>AD33/AC21</f>
        <v>12.9258814559557</v>
      </c>
      <c r="AF33" s="2033"/>
      <c r="AG33" s="1980">
        <f>ROUND(('Direct Expns'!AC50),0)</f>
        <v>2470182</v>
      </c>
      <c r="AH33" s="1936">
        <f>AG33/AF21</f>
        <v>14.9671715947649</v>
      </c>
      <c r="AI33" s="2033"/>
      <c r="AJ33" s="1995">
        <f>ROUND(('Direct Expns'!AD50),0)</f>
        <v>3047424</v>
      </c>
      <c r="AK33" s="1936">
        <f>AJ33/AI21</f>
        <v>20.4144214150779</v>
      </c>
      <c r="AL33" s="2087"/>
      <c r="AM33" s="1980">
        <f>ROUND(('Direct Expns'!AE50),0)</f>
        <v>30369160</v>
      </c>
      <c r="AN33" s="1936">
        <f>AM33/AL21</f>
        <v>15.1967069721638</v>
      </c>
    </row>
    <row r="34" ht="14.25" spans="1:42">
      <c r="A34" s="1937" t="str">
        <f>'Direct Expns'!R51</f>
        <v>Deprn</v>
      </c>
      <c r="B34" s="1938"/>
      <c r="C34" s="1939">
        <f>ROUND(('Direct Expns'!S51),0)</f>
        <v>125000</v>
      </c>
      <c r="D34" s="1940">
        <f>C34/B21</f>
        <v>0.744393230190207</v>
      </c>
      <c r="E34" s="1997"/>
      <c r="F34" s="1998">
        <f>ROUND(('Direct Expns'!T51),0)</f>
        <v>125000</v>
      </c>
      <c r="G34" s="1940">
        <f>F34/E21</f>
        <v>0.948133315129174</v>
      </c>
      <c r="H34" s="1999"/>
      <c r="I34" s="1998">
        <f>ROUND(('Direct Expns'!U51),0)</f>
        <v>125000</v>
      </c>
      <c r="J34" s="1940">
        <f>I34/H21</f>
        <v>0.672321337327819</v>
      </c>
      <c r="K34" s="2010"/>
      <c r="L34" s="2011">
        <f>ROUND(('Direct Expns'!V51),0)</f>
        <v>125000</v>
      </c>
      <c r="M34" s="1940">
        <f>L34/K21</f>
        <v>0.640398379023623</v>
      </c>
      <c r="N34" s="2010"/>
      <c r="O34" s="2011">
        <f>ROUND(('Direct Expns'!W51),0)</f>
        <v>125000</v>
      </c>
      <c r="P34" s="1940">
        <f>O34/N21</f>
        <v>0.659380077226595</v>
      </c>
      <c r="Q34" s="2034"/>
      <c r="R34" s="2011">
        <f>ROUND(('Direct Expns'!X51),0)</f>
        <v>125000</v>
      </c>
      <c r="S34" s="1940">
        <f>R34/Q21</f>
        <v>0.712660847553293</v>
      </c>
      <c r="T34" s="2034"/>
      <c r="U34" s="2011">
        <f>ROUND(('Direct Expns'!Y51),0)</f>
        <v>125000</v>
      </c>
      <c r="V34" s="1940">
        <f>U34/T21</f>
        <v>0.864812508648125</v>
      </c>
      <c r="W34" s="2034"/>
      <c r="X34" s="2011">
        <f>ROUND(('Direct Expns'!Z51),0)</f>
        <v>125000</v>
      </c>
      <c r="Y34" s="1940">
        <f>X34/W21</f>
        <v>0.834596355818472</v>
      </c>
      <c r="Z34" s="2034"/>
      <c r="AA34" s="2011">
        <f>ROUND(('Direct Expns'!AA51),0)</f>
        <v>125000</v>
      </c>
      <c r="AB34" s="1940">
        <f>AA34/Z21</f>
        <v>0.704797131193757</v>
      </c>
      <c r="AC34" s="2034"/>
      <c r="AD34" s="2011">
        <f>ROUND(('Direct Expns'!AB51),0)</f>
        <v>125000</v>
      </c>
      <c r="AE34" s="1940">
        <f>AD34/AC21</f>
        <v>0.750430747248921</v>
      </c>
      <c r="AF34" s="2034"/>
      <c r="AG34" s="2011">
        <f>ROUND(('Direct Expns'!AC51),0)</f>
        <v>125000</v>
      </c>
      <c r="AH34" s="1940">
        <f>AG34/AF21</f>
        <v>0.757392147358216</v>
      </c>
      <c r="AI34" s="2034"/>
      <c r="AJ34" s="1998">
        <f>'Direct Expns'!AD51</f>
        <v>125000</v>
      </c>
      <c r="AK34" s="1940">
        <f>AJ34/AI21</f>
        <v>0.837363844638862</v>
      </c>
      <c r="AL34" s="2088"/>
      <c r="AM34" s="2011">
        <f>ROUND(('Direct Expns'!AE51),0)</f>
        <v>1500000</v>
      </c>
      <c r="AN34" s="1940">
        <f>AM34/AL21</f>
        <v>0.750598977984432</v>
      </c>
      <c r="AP34" s="873">
        <f>((AM33+AM34)/6)+AP31</f>
        <v>6504960.5</v>
      </c>
    </row>
    <row r="35" ht="14.25" spans="1:40">
      <c r="A35" s="1941">
        <f>'Direct Expns'!R52</f>
        <v>0</v>
      </c>
      <c r="B35" s="1942"/>
      <c r="C35" s="1943">
        <f>SUM(C32:C34)</f>
        <v>12771887</v>
      </c>
      <c r="D35" s="1944"/>
      <c r="E35" s="154"/>
      <c r="F35" s="1932">
        <f>SUM(F32:F34)</f>
        <v>12580166</v>
      </c>
      <c r="G35" s="1944"/>
      <c r="H35" s="1993"/>
      <c r="I35" s="2007">
        <f>SUM(I32:I34)</f>
        <v>13250137</v>
      </c>
      <c r="J35" s="1944"/>
      <c r="K35" s="2008"/>
      <c r="L35" s="2007">
        <f>SUM(L32:L34)</f>
        <v>14501777</v>
      </c>
      <c r="M35" s="1944"/>
      <c r="N35" s="2008"/>
      <c r="O35" s="2007">
        <f>SUM(O32:O34)</f>
        <v>13252828</v>
      </c>
      <c r="P35" s="1944"/>
      <c r="Q35" s="2032"/>
      <c r="R35" s="2007">
        <f>SUM(R32:R34)</f>
        <v>15025883</v>
      </c>
      <c r="S35" s="2035"/>
      <c r="T35" s="2032"/>
      <c r="U35" s="2007">
        <f>SUM(U32:U34)</f>
        <v>11890624</v>
      </c>
      <c r="V35" s="2007"/>
      <c r="W35" s="2032"/>
      <c r="X35" s="2007">
        <f>SUM(X32:X34)</f>
        <v>12678845.06</v>
      </c>
      <c r="Y35" s="2035"/>
      <c r="Z35" s="2032"/>
      <c r="AA35" s="2007">
        <f>SUM(AA32:AA34)</f>
        <v>14081473</v>
      </c>
      <c r="AB35" s="2035"/>
      <c r="AC35" s="2032"/>
      <c r="AD35" s="2007">
        <f>SUM(AD32:AD34)</f>
        <v>13657981</v>
      </c>
      <c r="AE35" s="2035"/>
      <c r="AF35" s="2032"/>
      <c r="AG35" s="2007">
        <f>SUM(AG32:AG34)</f>
        <v>13888816</v>
      </c>
      <c r="AH35" s="2035"/>
      <c r="AI35" s="2032"/>
      <c r="AJ35" s="2007">
        <f>SUM(AJ32:AJ34)</f>
        <v>13240993</v>
      </c>
      <c r="AK35" s="2035"/>
      <c r="AL35" s="1478"/>
      <c r="AM35" s="2007">
        <f>SUM(AM32:AM34)</f>
        <v>160821411</v>
      </c>
      <c r="AN35" s="1944"/>
    </row>
    <row r="36" spans="1:39">
      <c r="A36" s="96" t="s">
        <v>424</v>
      </c>
      <c r="C36" s="1431">
        <f>'Direct Expns'!B37</f>
        <v>12771887</v>
      </c>
      <c r="F36" s="1431">
        <f>'Direct Expns'!C37</f>
        <v>12580167</v>
      </c>
      <c r="I36" s="1431">
        <f>'Direct Expns'!D37</f>
        <v>13250137</v>
      </c>
      <c r="L36" s="1431">
        <f>'Direct Expns'!E37</f>
        <v>14501777</v>
      </c>
      <c r="M36" s="1431"/>
      <c r="O36" s="1431">
        <f>'Direct Expns'!F37</f>
        <v>13252828</v>
      </c>
      <c r="R36" s="1431">
        <f>'Direct Expns'!G37</f>
        <v>15025882</v>
      </c>
      <c r="S36" s="1431"/>
      <c r="T36" s="1431"/>
      <c r="U36" s="1431">
        <f>'Direct Expns'!H37</f>
        <v>11890624</v>
      </c>
      <c r="V36" s="1431"/>
      <c r="W36" s="1431"/>
      <c r="X36" s="1431">
        <f>'Direct Expns'!I37</f>
        <v>12678849</v>
      </c>
      <c r="Y36" s="1431"/>
      <c r="Z36" s="1431"/>
      <c r="AA36" s="1431">
        <f>'Direct Expns'!J37</f>
        <v>14081473</v>
      </c>
      <c r="AB36" s="1431"/>
      <c r="AC36" s="1431"/>
      <c r="AD36" s="1431">
        <f>'Direct Expns'!K37</f>
        <v>13657981</v>
      </c>
      <c r="AE36" s="1431"/>
      <c r="AF36" s="1431"/>
      <c r="AG36" s="1431">
        <f>'Direct Expns'!L37</f>
        <v>13888814</v>
      </c>
      <c r="AH36" s="1431"/>
      <c r="AI36" s="1431"/>
      <c r="AJ36" s="1431">
        <f>'Direct Expns'!M37</f>
        <v>13240993</v>
      </c>
      <c r="AK36" s="1431"/>
      <c r="AM36" s="1431">
        <f>ROUND(('Direct Expns'!AE44),0)</f>
        <v>160821413</v>
      </c>
    </row>
    <row r="37" spans="1:40">
      <c r="A37" s="230"/>
      <c r="B37" s="232"/>
      <c r="C37" s="232"/>
      <c r="D37" s="234"/>
      <c r="E37" s="1435"/>
      <c r="F37" s="230"/>
      <c r="G37" s="230"/>
      <c r="H37" s="1435"/>
      <c r="I37" s="230"/>
      <c r="J37" s="230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435"/>
      <c r="Y37" s="1435"/>
      <c r="Z37" s="1435"/>
      <c r="AA37" s="1435">
        <f>AA35-AA36</f>
        <v>0</v>
      </c>
      <c r="AB37" s="1435"/>
      <c r="AC37" s="1435"/>
      <c r="AD37" s="1435">
        <f>AD35-AD36</f>
        <v>0</v>
      </c>
      <c r="AE37" s="1435"/>
      <c r="AF37" s="1435"/>
      <c r="AG37" s="1435">
        <f>AG35-AG36</f>
        <v>2</v>
      </c>
      <c r="AH37" s="1435"/>
      <c r="AI37" s="1435"/>
      <c r="AJ37" s="1435"/>
      <c r="AK37" s="1435"/>
      <c r="AL37" s="230"/>
      <c r="AM37" s="1435">
        <f>AM35-AM36</f>
        <v>-2</v>
      </c>
      <c r="AN37" s="1435"/>
    </row>
    <row r="38" ht="14.25" spans="1:40">
      <c r="A38" t="str">
        <f>'Direct Expns'!R53</f>
        <v>Fixed  Expns Break up</v>
      </c>
      <c r="E38" s="1927">
        <f>ROUND(('Direct Expns'!S53),0)</f>
        <v>0</v>
      </c>
      <c r="H38" s="1927">
        <f>ROUND(('Direct Expns'!T53),0)</f>
        <v>0</v>
      </c>
      <c r="K38" s="1927">
        <f>ROUND(('Direct Expns'!U53),0)</f>
        <v>0</v>
      </c>
      <c r="L38" s="1927"/>
      <c r="M38" s="1927"/>
      <c r="N38" s="1927">
        <f>ROUND(('Direct Expns'!V53),0)</f>
        <v>0</v>
      </c>
      <c r="O38" s="1927"/>
      <c r="P38" s="1927"/>
      <c r="Q38" s="1927">
        <f>ROUND(('Direct Expns'!W53),0)</f>
        <v>0</v>
      </c>
      <c r="R38" s="1927"/>
      <c r="S38" s="1927"/>
      <c r="T38" s="1927"/>
      <c r="U38" s="1927"/>
      <c r="V38" s="1927"/>
      <c r="W38" s="1927"/>
      <c r="X38" s="1927"/>
      <c r="Y38" s="1927"/>
      <c r="Z38" s="1927"/>
      <c r="AA38" s="1927"/>
      <c r="AB38" s="1927"/>
      <c r="AC38" s="1927"/>
      <c r="AD38" s="1927"/>
      <c r="AE38" s="1927"/>
      <c r="AF38" s="1927"/>
      <c r="AG38" s="1927"/>
      <c r="AH38" s="1927"/>
      <c r="AI38" s="1927"/>
      <c r="AJ38" s="1927"/>
      <c r="AK38" s="1927"/>
      <c r="AN38" s="1927">
        <f>ROUND(('Direct Expns'!AE53),0)</f>
        <v>0</v>
      </c>
    </row>
    <row r="39" spans="1:40">
      <c r="A39" s="1929" t="str">
        <f>'Direct Expns'!R54</f>
        <v>Salaries</v>
      </c>
      <c r="B39" s="1945"/>
      <c r="C39" s="1879">
        <f>ROUND(('Direct Expns'!S54),0)</f>
        <v>1540871</v>
      </c>
      <c r="D39" s="1946">
        <f>C39/B25</f>
        <v>9.88143212600041</v>
      </c>
      <c r="E39" s="1990"/>
      <c r="F39" s="1879">
        <f>ROUND(('Direct Expns'!T54),0)</f>
        <v>1528765</v>
      </c>
      <c r="G39" s="1946">
        <f>F39/E25</f>
        <v>7.67128821179824</v>
      </c>
      <c r="H39" s="1989"/>
      <c r="I39" s="1971">
        <f>ROUND(('Direct Expns'!U54),0)</f>
        <v>1547477</v>
      </c>
      <c r="J39" s="1946">
        <f>I39/H25</f>
        <v>7.62405344553216</v>
      </c>
      <c r="K39" s="2012"/>
      <c r="L39" s="1879">
        <f>ROUND(('Direct Expns'!V54),0)</f>
        <v>1809146</v>
      </c>
      <c r="M39" s="1946">
        <f>L39/K25</f>
        <v>8.94651316895627</v>
      </c>
      <c r="N39" s="2003"/>
      <c r="O39" s="1971">
        <f>ROUND(('Direct Expns'!W54),0)</f>
        <v>1549294</v>
      </c>
      <c r="P39" s="1946">
        <f>O39/N25</f>
        <v>13.7545077637408</v>
      </c>
      <c r="Q39" s="2027"/>
      <c r="R39" s="2028">
        <f>'Direct Expns'!X54</f>
        <v>2494181</v>
      </c>
      <c r="S39" s="1946">
        <f>R39/Q25</f>
        <v>17.7385426149295</v>
      </c>
      <c r="T39" s="2027"/>
      <c r="U39" s="2028">
        <f>'Direct Expns'!Y54</f>
        <v>1536259</v>
      </c>
      <c r="V39" s="1946">
        <f>U39/T25</f>
        <v>11.8217418739227</v>
      </c>
      <c r="W39" s="2027"/>
      <c r="X39" s="2028">
        <f>'Direct Expns'!Z54</f>
        <v>1639803</v>
      </c>
      <c r="Y39" s="1946">
        <f>X39/W25</f>
        <v>9.83154265843276</v>
      </c>
      <c r="Z39" s="2027"/>
      <c r="AA39" s="2028">
        <f>'Direct Expns'!AA54</f>
        <v>1618663</v>
      </c>
      <c r="AB39" s="1946">
        <f>AA39/Z25</f>
        <v>11.8578157736656</v>
      </c>
      <c r="AC39" s="2027"/>
      <c r="AD39" s="2057">
        <f>'Direct Expns'!AB54</f>
        <v>1547528</v>
      </c>
      <c r="AE39" s="1946">
        <f>AD39/AC25</f>
        <v>9.21290199673759</v>
      </c>
      <c r="AF39" s="2027"/>
      <c r="AG39" s="2057">
        <f>'Direct Expns'!AC54</f>
        <v>1542290</v>
      </c>
      <c r="AH39" s="1946">
        <f>AG39/AF25</f>
        <v>8.19904734564554</v>
      </c>
      <c r="AI39" s="2027"/>
      <c r="AJ39" s="2070">
        <f>'Direct Expns'!AD54</f>
        <v>1831183</v>
      </c>
      <c r="AK39" s="1946">
        <f>AJ39/AI25</f>
        <v>8.16311674185553</v>
      </c>
      <c r="AL39" s="2027"/>
      <c r="AM39" s="2083">
        <f>ROUND(('Direct Expns'!AE54),0)</f>
        <v>20185460</v>
      </c>
      <c r="AN39" s="1946">
        <f>AM39/AL25</f>
        <v>9.95676539021393</v>
      </c>
    </row>
    <row r="40" spans="1:40">
      <c r="A40" s="1482" t="str">
        <f>'Direct Expns'!R55</f>
        <v>Admn</v>
      </c>
      <c r="B40" s="658"/>
      <c r="C40" s="1881">
        <f>ROUND(('Direct Expns'!S55),0)</f>
        <v>433740</v>
      </c>
      <c r="D40" s="90">
        <f>C40/B25</f>
        <v>2.78152575415555</v>
      </c>
      <c r="E40" s="1991"/>
      <c r="F40" s="1881">
        <f>ROUND(('Direct Expns'!T55),0)</f>
        <v>513190</v>
      </c>
      <c r="G40" s="90">
        <f>F40/E25</f>
        <v>2.57516910539732</v>
      </c>
      <c r="H40" s="150"/>
      <c r="I40" s="1979">
        <f>ROUND(('Direct Expns'!U55),0)</f>
        <v>575240</v>
      </c>
      <c r="J40" s="90">
        <f>I40/H25</f>
        <v>2.83407152675479</v>
      </c>
      <c r="K40" s="2013"/>
      <c r="L40" s="1881">
        <f>ROUND(('Direct Expns'!V55),0)</f>
        <v>413383</v>
      </c>
      <c r="M40" s="90">
        <f>L40/K25</f>
        <v>2.04424433037613</v>
      </c>
      <c r="N40" s="2004"/>
      <c r="O40" s="1979">
        <f>ROUND(('Direct Expns'!W55),0)</f>
        <v>449880</v>
      </c>
      <c r="P40" s="90">
        <f>O40/N25</f>
        <v>3.99399852626533</v>
      </c>
      <c r="Q40" s="2029"/>
      <c r="R40" s="1898">
        <f>'Direct Expns'!X55</f>
        <v>359223</v>
      </c>
      <c r="S40" s="2030">
        <f>R40/Q25</f>
        <v>2.55478351160674</v>
      </c>
      <c r="T40" s="2029"/>
      <c r="U40" s="1898">
        <f>'Direct Expns'!Y55</f>
        <v>510924</v>
      </c>
      <c r="V40" s="90">
        <f>U40/T25</f>
        <v>3.9316362964787</v>
      </c>
      <c r="W40" s="2029"/>
      <c r="X40" s="1898">
        <f>'Direct Expns'!Z55</f>
        <v>466534</v>
      </c>
      <c r="Y40" s="90">
        <f>X40/W25</f>
        <v>2.79713412075064</v>
      </c>
      <c r="Z40" s="2029"/>
      <c r="AA40" s="1898">
        <f>'Direct Expns'!AA55</f>
        <v>547705</v>
      </c>
      <c r="AB40" s="90">
        <f>AA40/Z25</f>
        <v>4.01231447701933</v>
      </c>
      <c r="AC40" s="2029"/>
      <c r="AD40" s="1881">
        <f>'Direct Expns'!AB55</f>
        <v>349481</v>
      </c>
      <c r="AE40" s="90">
        <f>AD40/AC25</f>
        <v>2.08056603998238</v>
      </c>
      <c r="AF40" s="2029"/>
      <c r="AG40" s="1881">
        <f>'Direct Expns'!AC55</f>
        <v>599924</v>
      </c>
      <c r="AH40" s="90">
        <f>AG40/AF25</f>
        <v>3.18928689143355</v>
      </c>
      <c r="AI40" s="2029"/>
      <c r="AJ40" s="1898">
        <f>'Direct Expns'!AD55</f>
        <v>656535</v>
      </c>
      <c r="AK40" s="90">
        <f>AJ40/AI25</f>
        <v>2.92672652056846</v>
      </c>
      <c r="AL40" s="2029"/>
      <c r="AM40" s="2084">
        <f>ROUND(('Direct Expns'!AE55),0)</f>
        <v>5875759</v>
      </c>
      <c r="AN40" s="90">
        <f>AM40/AL25</f>
        <v>2.89830174058149</v>
      </c>
    </row>
    <row r="41" spans="1:40">
      <c r="A41" s="1482" t="str">
        <f>'Direct Expns'!R56</f>
        <v>Selling</v>
      </c>
      <c r="B41" s="658"/>
      <c r="C41" s="1881">
        <f>ROUND(('Direct Expns'!S56),0)</f>
        <v>32614</v>
      </c>
      <c r="D41" s="90">
        <f>C41/B25</f>
        <v>0.209149907654422</v>
      </c>
      <c r="E41" s="1991"/>
      <c r="F41" s="1881">
        <f>ROUND(('Direct Expns'!T56),0)</f>
        <v>61101</v>
      </c>
      <c r="G41" s="90">
        <f>F41/E25</f>
        <v>0.306602637442043</v>
      </c>
      <c r="H41" s="150"/>
      <c r="I41" s="1979">
        <f>ROUND(('Direct Expns'!U56),0)</f>
        <v>327068</v>
      </c>
      <c r="J41" s="90">
        <f>I41/H25</f>
        <v>1.61138673616688</v>
      </c>
      <c r="K41" s="2013"/>
      <c r="L41" s="1881">
        <f>ROUND(('Direct Expns'!V56),0)</f>
        <v>62213</v>
      </c>
      <c r="M41" s="90">
        <f>L41/K25</f>
        <v>0.307653126823527</v>
      </c>
      <c r="N41" s="2004"/>
      <c r="O41" s="1979">
        <f>ROUND(('Direct Expns'!W56),0)</f>
        <v>117848</v>
      </c>
      <c r="P41" s="90">
        <f>O41/N25</f>
        <v>1.04624508385195</v>
      </c>
      <c r="Q41" s="2029"/>
      <c r="R41" s="1898">
        <f>'Direct Expns'!X56</f>
        <v>58017</v>
      </c>
      <c r="S41" s="2030">
        <f>R41/Q25</f>
        <v>0.412615213928084</v>
      </c>
      <c r="T41" s="2029"/>
      <c r="U41" s="1898">
        <f>'Direct Expns'!Y56</f>
        <v>36302</v>
      </c>
      <c r="V41" s="90">
        <f>U41/T25</f>
        <v>0.279349298202413</v>
      </c>
      <c r="W41" s="2029"/>
      <c r="X41" s="1898">
        <f>'Direct Expns'!Z56</f>
        <v>269668</v>
      </c>
      <c r="Y41" s="90">
        <f>X41/W25</f>
        <v>1.61681155944601</v>
      </c>
      <c r="Z41" s="2029"/>
      <c r="AA41" s="1898">
        <f>'Direct Expns'!AA56</f>
        <v>191554</v>
      </c>
      <c r="AB41" s="90">
        <f>AA41/Z25</f>
        <v>1.40326432537764</v>
      </c>
      <c r="AC41" s="2029"/>
      <c r="AD41" s="1881">
        <f>'Direct Expns'!AB56</f>
        <v>155623</v>
      </c>
      <c r="AE41" s="90">
        <f>AD41/AC25</f>
        <v>0.926470763332421</v>
      </c>
      <c r="AF41" s="2029"/>
      <c r="AG41" s="1881">
        <f>'Direct Expns'!AC56</f>
        <v>229687</v>
      </c>
      <c r="AH41" s="90">
        <f>AG41/AF25</f>
        <v>1.22105089683476</v>
      </c>
      <c r="AI41" s="2029"/>
      <c r="AJ41" s="1898">
        <f>'Direct Expns'!AD56</f>
        <v>109039</v>
      </c>
      <c r="AK41" s="90">
        <f>AJ41/AI25</f>
        <v>0.486078172643141</v>
      </c>
      <c r="AL41" s="2029"/>
      <c r="AM41" s="2084">
        <f>ROUND(('Direct Expns'!AE56),0)</f>
        <v>1650735</v>
      </c>
      <c r="AN41" s="90">
        <f>AM41/AL25</f>
        <v>0.814248529209381</v>
      </c>
    </row>
    <row r="42" spans="1:40">
      <c r="A42" s="843" t="s">
        <v>219</v>
      </c>
      <c r="B42" s="658"/>
      <c r="C42" s="1881">
        <f>ROUND(('Direct Expns'!S57),0)</f>
        <v>125000</v>
      </c>
      <c r="D42" s="90">
        <f>C42/B25</f>
        <v>0.801610917299405</v>
      </c>
      <c r="E42" s="1991"/>
      <c r="F42" s="1881">
        <f>ROUND(('Direct Expns'!T57),0)</f>
        <v>125000</v>
      </c>
      <c r="G42" s="90">
        <f>F42/E25</f>
        <v>0.627245539029726</v>
      </c>
      <c r="H42" s="150"/>
      <c r="I42" s="1979">
        <f>ROUND(('Direct Expns'!U57),0)</f>
        <v>125000</v>
      </c>
      <c r="J42" s="90">
        <f>I42/H25</f>
        <v>0.615845457277569</v>
      </c>
      <c r="K42" s="2013"/>
      <c r="L42" s="1881">
        <f>ROUND(('Direct Expns'!V57),0)</f>
        <v>125000</v>
      </c>
      <c r="M42" s="90">
        <f>L42/K25</f>
        <v>0.618144774451335</v>
      </c>
      <c r="N42" s="2004"/>
      <c r="O42" s="1979">
        <f>ROUND(('Direct Expns'!W57),0)</f>
        <v>125000</v>
      </c>
      <c r="P42" s="90">
        <f>O42/N25</f>
        <v>1.10973996573123</v>
      </c>
      <c r="Q42" s="2029"/>
      <c r="R42" s="1898">
        <f>'Direct Expns'!X57</f>
        <v>125000</v>
      </c>
      <c r="S42" s="2030">
        <f>R42/Q25</f>
        <v>0.888996358670915</v>
      </c>
      <c r="T42" s="2029"/>
      <c r="U42" s="1898">
        <f>'Direct Expns'!Y57</f>
        <v>125000</v>
      </c>
      <c r="V42" s="90">
        <f>U42/T25</f>
        <v>0.961893622260527</v>
      </c>
      <c r="W42" s="2029"/>
      <c r="X42" s="1898">
        <f>'Direct Expns'!Z57</f>
        <v>125000</v>
      </c>
      <c r="Y42" s="90">
        <f>X42/W25</f>
        <v>0.749445410396307</v>
      </c>
      <c r="Z42" s="2029"/>
      <c r="AA42" s="1898">
        <f>'Direct Expns'!AA57</f>
        <v>125000</v>
      </c>
      <c r="AB42" s="90">
        <f>AA42/Z25</f>
        <v>0.915710664732686</v>
      </c>
      <c r="AC42" s="2029"/>
      <c r="AD42" s="1881">
        <f>'Direct Expns'!AB57</f>
        <v>125000</v>
      </c>
      <c r="AE42" s="90">
        <f>AD42/AC25</f>
        <v>0.744162787098003</v>
      </c>
      <c r="AF42" s="2029"/>
      <c r="AG42" s="1881">
        <f>'Direct Expns'!AC57</f>
        <v>125000</v>
      </c>
      <c r="AH42" s="90">
        <f>AG42/AF25</f>
        <v>0.664518941447907</v>
      </c>
      <c r="AI42" s="2029"/>
      <c r="AJ42" s="1898">
        <f>'Direct Expns'!AD57</f>
        <v>125000</v>
      </c>
      <c r="AK42" s="90">
        <f>AJ42/AI25</f>
        <v>0.557229721295983</v>
      </c>
      <c r="AL42" s="2029"/>
      <c r="AM42" s="2084">
        <f>ROUND(('Direct Expns'!AE57),0)</f>
        <v>1500000</v>
      </c>
      <c r="AN42" s="90">
        <f>AM42/AL25</f>
        <v>0.739896345454644</v>
      </c>
    </row>
    <row r="43" ht="14.25" spans="1:40">
      <c r="A43" s="729" t="s">
        <v>425</v>
      </c>
      <c r="B43" s="694"/>
      <c r="C43" s="1885">
        <f>ROUND(('Direct Expns'!S58),0)</f>
        <v>97334</v>
      </c>
      <c r="D43" s="253">
        <f>C43/B25</f>
        <v>0.624191976195362</v>
      </c>
      <c r="E43" s="1992"/>
      <c r="F43" s="1885">
        <f>ROUND(('Direct Expns'!T58),0)</f>
        <v>97333</v>
      </c>
      <c r="G43" s="253">
        <f>F43/E25</f>
        <v>0.488413520403043</v>
      </c>
      <c r="H43" s="152"/>
      <c r="I43" s="2006">
        <f>ROUND(('Direct Expns'!U58),0)</f>
        <v>454333</v>
      </c>
      <c r="J43" s="253">
        <f>I43/H25</f>
        <v>2.23839131313032</v>
      </c>
      <c r="K43" s="2014"/>
      <c r="L43" s="1885">
        <f>ROUND(('Direct Expns'!V58),0)</f>
        <v>108503</v>
      </c>
      <c r="M43" s="253">
        <f>L43/K25</f>
        <v>0.536564499698345</v>
      </c>
      <c r="N43" s="2005"/>
      <c r="O43" s="2006">
        <f>ROUND(('Direct Expns'!W58),0)</f>
        <v>111525</v>
      </c>
      <c r="P43" s="253">
        <f>O43/N25</f>
        <v>0.990109997425403</v>
      </c>
      <c r="Q43" s="2031"/>
      <c r="R43" s="1973">
        <f>'Direct Expns'!X58</f>
        <v>466171</v>
      </c>
      <c r="S43" s="253">
        <f>R43/Q25</f>
        <v>3.31539457214383</v>
      </c>
      <c r="T43" s="2031"/>
      <c r="U43" s="1973">
        <f>'Direct Expns'!Y58</f>
        <v>107099</v>
      </c>
      <c r="V43" s="253">
        <f>U43/T25</f>
        <v>0.824142760403841</v>
      </c>
      <c r="W43" s="2031"/>
      <c r="X43" s="1973">
        <f>'Direct Expns'!Z58</f>
        <v>106346</v>
      </c>
      <c r="Y43" s="253">
        <f>X43/W25</f>
        <v>0.637604172912045</v>
      </c>
      <c r="Z43" s="2031"/>
      <c r="AA43" s="1973">
        <f>'Direct Expns'!AA58</f>
        <v>459169</v>
      </c>
      <c r="AB43" s="253">
        <f>AA43/Z25</f>
        <v>3.36372760171714</v>
      </c>
      <c r="AC43" s="2031"/>
      <c r="AD43" s="1881">
        <f>'Direct Expns'!AB58</f>
        <v>100445</v>
      </c>
      <c r="AE43" s="253">
        <f>AD43/AC25</f>
        <v>0.597979449200472</v>
      </c>
      <c r="AF43" s="2031"/>
      <c r="AG43" s="1881">
        <f>'Direct Expns'!AC58</f>
        <v>98280</v>
      </c>
      <c r="AH43" s="253">
        <f>AG43/AF25</f>
        <v>0.522471372524002</v>
      </c>
      <c r="AI43" s="2031"/>
      <c r="AJ43" s="1899">
        <f>'Direct Expns'!AD58</f>
        <v>450667</v>
      </c>
      <c r="AK43" s="253">
        <f>AJ43/AI25</f>
        <v>2.00900037445837</v>
      </c>
      <c r="AL43" s="2031"/>
      <c r="AM43" s="2086">
        <f>ROUND(('Direct Expns'!AE58),0)</f>
        <v>2657205</v>
      </c>
      <c r="AN43" s="253">
        <f>AM43/AL25</f>
        <v>1.31070417908254</v>
      </c>
    </row>
    <row r="44" ht="14.25" spans="1:40">
      <c r="A44" s="844"/>
      <c r="B44" s="722"/>
      <c r="C44" s="1947">
        <f>SUM(C39:C43)</f>
        <v>2229559</v>
      </c>
      <c r="D44" s="587">
        <f>C44/B25</f>
        <v>14.2979106813052</v>
      </c>
      <c r="E44" s="1993"/>
      <c r="F44" s="1947">
        <f>SUM(F39:F43)</f>
        <v>2325389</v>
      </c>
      <c r="G44" s="587">
        <f>F44/E25</f>
        <v>11.6687190140704</v>
      </c>
      <c r="H44" s="154"/>
      <c r="I44" s="2015">
        <f>SUM(I39:I43)</f>
        <v>3029118</v>
      </c>
      <c r="J44" s="587">
        <f>I44/H25</f>
        <v>14.9237484788617</v>
      </c>
      <c r="K44" s="1993"/>
      <c r="L44" s="1947">
        <f>SUM(L39:L43)</f>
        <v>2518245</v>
      </c>
      <c r="M44" s="587">
        <f>L44/K25</f>
        <v>12.4531199003056</v>
      </c>
      <c r="N44" s="154"/>
      <c r="O44" s="2015">
        <f>SUM(O39:O43)</f>
        <v>2353547</v>
      </c>
      <c r="P44" s="587">
        <f>O44/N25</f>
        <v>20.8946013370147</v>
      </c>
      <c r="Q44" s="2036"/>
      <c r="R44" s="2015">
        <f>SUM(R39:R43)</f>
        <v>3502592</v>
      </c>
      <c r="S44" s="587">
        <f>R44/Q25</f>
        <v>24.910332271279</v>
      </c>
      <c r="T44" s="2036"/>
      <c r="U44" s="2015">
        <f>SUM(U39:U43)</f>
        <v>2315584</v>
      </c>
      <c r="V44" s="587">
        <f>U44/T25</f>
        <v>17.8187638512682</v>
      </c>
      <c r="W44" s="2036"/>
      <c r="X44" s="2015">
        <f>SUM(X39:X43)</f>
        <v>2607351</v>
      </c>
      <c r="Y44" s="587">
        <f>X44/W25</f>
        <v>15.6325379219378</v>
      </c>
      <c r="Z44" s="2036"/>
      <c r="AA44" s="2015">
        <f>SUM(AA39:AA43)</f>
        <v>2942091</v>
      </c>
      <c r="AB44" s="587">
        <f>AA44/Z25</f>
        <v>21.5528328425124</v>
      </c>
      <c r="AC44" s="2036"/>
      <c r="AD44" s="2015">
        <f>SUM(AD39:AD43)</f>
        <v>2278077</v>
      </c>
      <c r="AE44" s="587">
        <f>AD44/AC25</f>
        <v>13.5620810363509</v>
      </c>
      <c r="AF44" s="2036"/>
      <c r="AG44" s="2015">
        <f>SUM(AG39:AG43)</f>
        <v>2595181</v>
      </c>
      <c r="AH44" s="587">
        <f>AG44/AF25</f>
        <v>13.7963754478858</v>
      </c>
      <c r="AI44" s="2036"/>
      <c r="AJ44" s="2015">
        <f>SUM(AJ39:AJ43)</f>
        <v>3172424</v>
      </c>
      <c r="AK44" s="587">
        <f>AJ44/AI25</f>
        <v>14.1421515308215</v>
      </c>
      <c r="AL44" s="2036"/>
      <c r="AM44" s="2015">
        <f>SUM(AM39:AM43)</f>
        <v>31869159</v>
      </c>
      <c r="AN44" s="587">
        <f>AM44/AL25</f>
        <v>15.719916184542</v>
      </c>
    </row>
    <row r="46" spans="1:39">
      <c r="A46" t="s">
        <v>426</v>
      </c>
      <c r="C46" s="1431">
        <f>'Inventory Sales'!D21</f>
        <v>21100</v>
      </c>
      <c r="F46" s="1431">
        <f>'Inventory Sales'!G21</f>
        <v>77390</v>
      </c>
      <c r="I46" s="1431">
        <f>'Inventory Sales'!J21</f>
        <v>56540</v>
      </c>
      <c r="L46" s="1431">
        <f>'Inventory Sales'!M21</f>
        <v>53405</v>
      </c>
      <c r="O46" s="1431">
        <f>'Inventory Sales'!P21</f>
        <v>53890</v>
      </c>
      <c r="R46" s="1431">
        <f>'Inventory Sales'!S21</f>
        <v>71780</v>
      </c>
      <c r="U46" s="1431">
        <f>'Inventory Sales'!V21</f>
        <v>35840</v>
      </c>
      <c r="X46" s="1431">
        <f>'Inventory Sales'!Y21</f>
        <v>55070</v>
      </c>
      <c r="AA46" s="1431">
        <f>'Inventory Sales'!AB21</f>
        <v>69580</v>
      </c>
      <c r="AD46" s="1431">
        <f>'Inventory Sales'!AE21</f>
        <v>44970</v>
      </c>
      <c r="AG46" s="1431">
        <f>'Inventory Sales'!AH21</f>
        <v>75345</v>
      </c>
      <c r="AJ46" s="1431">
        <f>'Inventory Sales'!AK21</f>
        <v>61742</v>
      </c>
      <c r="AM46" s="2089">
        <f>'Inventory Sales'!AN21</f>
        <v>676652</v>
      </c>
    </row>
    <row r="47" spans="1:39">
      <c r="A47" t="s">
        <v>82</v>
      </c>
      <c r="C47" s="1519">
        <f>ROUND(('Inventory Sales'!D28),0)</f>
        <v>18</v>
      </c>
      <c r="F47" s="1519">
        <f>ROUND(('Inventory Sales'!G28),0)</f>
        <v>799</v>
      </c>
      <c r="I47" s="1519">
        <f>ROUND(('Inventory Sales'!J28),0)</f>
        <v>41</v>
      </c>
      <c r="L47" s="1519">
        <f>ROUND(('Inventory Sales'!M28),0)</f>
        <v>4</v>
      </c>
      <c r="O47" s="1519">
        <f>ROUND(('Inventory Sales'!P28),0)</f>
        <v>51</v>
      </c>
      <c r="R47" s="1519">
        <f>ROUND(('Inventory Sales'!S28),0)</f>
        <v>0</v>
      </c>
      <c r="U47" s="1519">
        <f>ROUND(('Inventory Sales'!V28),0)</f>
        <v>90</v>
      </c>
      <c r="X47" s="1431">
        <f>ROUND(('Inventory Sales'!Y28),0)</f>
        <v>5</v>
      </c>
      <c r="AA47" s="1431">
        <f>ROUND(('Inventory Sales'!AB28),0)</f>
        <v>37847</v>
      </c>
      <c r="AD47" s="1519">
        <f>ROUND(('Inventory Sales'!AE28),0)</f>
        <v>1</v>
      </c>
      <c r="AG47" s="1431">
        <f>ROUND(('Inventory Sales'!AH28),0)</f>
        <v>50449</v>
      </c>
      <c r="AJ47" s="1431">
        <f>ROUND(('Inventory Sales'!AK28),0)</f>
        <v>59198</v>
      </c>
      <c r="AM47" s="1519">
        <f>ROUND(('Inventory Sales'!AN28),0)</f>
        <v>148503</v>
      </c>
    </row>
    <row r="48" ht="14.25" spans="3:39">
      <c r="C48" s="1431">
        <f>(C3+C4)-(C17+C18+C22+C28+C29)</f>
        <v>7000941</v>
      </c>
      <c r="AM48" s="1519">
        <f>(AM3+AM4)-(AM17+AM18+AM22+AM28+AM29+AM34)</f>
        <v>38990413</v>
      </c>
    </row>
    <row r="49" spans="1:40">
      <c r="A49" s="1948" t="s">
        <v>427</v>
      </c>
      <c r="B49" s="1949"/>
      <c r="C49" s="1950">
        <f>'PAL I'!D13</f>
        <v>13013846</v>
      </c>
      <c r="D49" s="1951"/>
      <c r="E49" s="1951"/>
      <c r="F49" s="1950">
        <f>'PAL I'!G13</f>
        <v>7000303</v>
      </c>
      <c r="G49" s="1950"/>
      <c r="H49" s="1950"/>
      <c r="I49" s="1950">
        <f>'PAL I'!J13</f>
        <v>11259477</v>
      </c>
      <c r="J49" s="1950"/>
      <c r="K49" s="1950"/>
      <c r="L49" s="1950">
        <f>'PAL I'!M13</f>
        <v>11438463</v>
      </c>
      <c r="M49" s="1950"/>
      <c r="N49" s="1950"/>
      <c r="O49" s="1950">
        <f>'PAL I'!P13</f>
        <v>29076945</v>
      </c>
      <c r="P49" s="1950"/>
      <c r="Q49" s="1950"/>
      <c r="R49" s="1950">
        <f>'PAL I'!S13</f>
        <v>14355554</v>
      </c>
      <c r="S49" s="1950"/>
      <c r="T49" s="1950"/>
      <c r="U49" s="1950">
        <f>'PAL I'!V13</f>
        <v>10715980</v>
      </c>
      <c r="V49" s="1950"/>
      <c r="W49" s="1950"/>
      <c r="X49" s="1950">
        <f>'PAL I'!Y13</f>
        <v>12586529</v>
      </c>
      <c r="Y49" s="1950"/>
      <c r="Z49" s="1950"/>
      <c r="AA49" s="1950">
        <f>'PAL I'!AB13</f>
        <v>12316211</v>
      </c>
      <c r="AB49" s="1950"/>
      <c r="AC49" s="1950"/>
      <c r="AD49" s="1950">
        <f>'PAL I'!AE13</f>
        <v>15059268</v>
      </c>
      <c r="AE49" s="1950"/>
      <c r="AF49" s="1950"/>
      <c r="AG49" s="1950">
        <f>'PAL I'!AH13</f>
        <v>15570007</v>
      </c>
      <c r="AH49" s="1950"/>
      <c r="AI49" s="1950"/>
      <c r="AJ49" s="1950">
        <f>'PAL I'!AK13</f>
        <v>17207068</v>
      </c>
      <c r="AK49" s="1950"/>
      <c r="AL49" s="1950"/>
      <c r="AM49" s="2090">
        <f>'PAL I'!AN13</f>
        <v>169599652</v>
      </c>
      <c r="AN49" s="2091"/>
    </row>
    <row r="50" spans="1:40">
      <c r="A50" s="1952"/>
      <c r="B50" s="1953"/>
      <c r="C50" s="1954"/>
      <c r="D50" s="1955"/>
      <c r="E50" s="1955"/>
      <c r="F50" s="1955"/>
      <c r="G50" s="1955"/>
      <c r="H50" s="1955"/>
      <c r="I50" s="1955"/>
      <c r="J50" s="1955"/>
      <c r="K50" s="1955"/>
      <c r="L50" s="1955"/>
      <c r="M50" s="1955"/>
      <c r="N50" s="1955"/>
      <c r="O50" s="1955"/>
      <c r="P50" s="1955"/>
      <c r="Q50" s="2037"/>
      <c r="R50" s="1955"/>
      <c r="S50" s="2037"/>
      <c r="T50" s="2037"/>
      <c r="U50" s="2037"/>
      <c r="V50" s="2037"/>
      <c r="W50" s="2037"/>
      <c r="X50" s="2037"/>
      <c r="Y50" s="2037"/>
      <c r="Z50" s="2037"/>
      <c r="AA50" s="2037"/>
      <c r="AB50" s="2037"/>
      <c r="AC50" s="2037"/>
      <c r="AD50" s="2037"/>
      <c r="AE50" s="2037"/>
      <c r="AF50" s="2037"/>
      <c r="AG50" s="2037"/>
      <c r="AH50" s="2037"/>
      <c r="AI50" s="2037"/>
      <c r="AJ50" s="2037"/>
      <c r="AK50" s="2037"/>
      <c r="AL50" s="2037"/>
      <c r="AM50" s="2092"/>
      <c r="AN50" s="2093"/>
    </row>
    <row r="51" spans="1:40">
      <c r="A51" s="1956" t="s">
        <v>428</v>
      </c>
      <c r="B51" s="80"/>
      <c r="C51" s="1957">
        <f>'PAL I'!D31</f>
        <v>263077</v>
      </c>
      <c r="D51" s="80"/>
      <c r="E51" s="165"/>
      <c r="F51" s="1957">
        <f>'PAL I'!G31</f>
        <v>-5501675</v>
      </c>
      <c r="G51" s="165"/>
      <c r="H51" s="165"/>
      <c r="I51" s="1957">
        <f>'PAL I'!J31</f>
        <v>-1934079</v>
      </c>
      <c r="J51" s="165"/>
      <c r="K51" s="165"/>
      <c r="L51" s="1957">
        <f>'PAL I'!M31</f>
        <v>-3009905</v>
      </c>
      <c r="M51" s="165"/>
      <c r="N51" s="165"/>
      <c r="O51" s="1957">
        <f>'PAL I'!P31</f>
        <v>15878058</v>
      </c>
      <c r="P51" s="165"/>
      <c r="Q51" s="165"/>
      <c r="R51" s="1898">
        <f>'PAL I'!S31</f>
        <v>-598548</v>
      </c>
      <c r="S51" s="165"/>
      <c r="T51" s="165"/>
      <c r="U51" s="1898">
        <f>'PAL I'!V31</f>
        <v>-1138714</v>
      </c>
      <c r="V51" s="165"/>
      <c r="W51" s="165"/>
      <c r="X51" s="1898">
        <f>'PAL I'!Y31</f>
        <v>-37245</v>
      </c>
      <c r="Y51" s="165"/>
      <c r="Z51" s="165"/>
      <c r="AA51" s="1898">
        <f>'PAL I'!AB28</f>
        <v>-1657835</v>
      </c>
      <c r="AB51" s="165"/>
      <c r="AC51" s="165"/>
      <c r="AD51" s="1898">
        <f>'PAL I'!AE28</f>
        <v>1446258</v>
      </c>
      <c r="AE51" s="165"/>
      <c r="AF51" s="165"/>
      <c r="AG51" s="1898">
        <f>'PAL I'!AH28</f>
        <v>1806987</v>
      </c>
      <c r="AH51" s="165"/>
      <c r="AI51" s="165"/>
      <c r="AJ51" s="1898">
        <f>'PAL I'!AK28</f>
        <v>4087015</v>
      </c>
      <c r="AK51" s="165"/>
      <c r="AL51" s="165"/>
      <c r="AM51" s="2094">
        <f>'PAL I'!AN31</f>
        <v>9603395</v>
      </c>
      <c r="AN51" s="94"/>
    </row>
    <row r="52" ht="14.25" spans="1:40">
      <c r="A52" s="1958" t="s">
        <v>429</v>
      </c>
      <c r="B52" s="1959"/>
      <c r="C52" s="1902">
        <f>(C8+C46+C47)-(C25+C35)</f>
        <v>263077</v>
      </c>
      <c r="D52" s="1902"/>
      <c r="E52" s="1902"/>
      <c r="F52" s="1902">
        <f>(F8+F46+F47)-(F25+F35)</f>
        <v>-5501674</v>
      </c>
      <c r="G52" s="1902"/>
      <c r="H52" s="1902"/>
      <c r="I52" s="1902">
        <f>(I8+I46+I47)-(I25+I35)</f>
        <v>-1934079</v>
      </c>
      <c r="J52" s="1902"/>
      <c r="K52" s="1902"/>
      <c r="L52" s="1902">
        <f>(L8+L46+L47)-(L25+L35)</f>
        <v>-3009905</v>
      </c>
      <c r="M52" s="1902"/>
      <c r="N52" s="1902"/>
      <c r="O52" s="1902">
        <f>(O8+O46+O47)-(O25+O35)</f>
        <v>15878058</v>
      </c>
      <c r="P52" s="1902"/>
      <c r="Q52" s="1902"/>
      <c r="R52" s="1902">
        <f>(R8+R46+R47)-(R25+R35)</f>
        <v>-598549</v>
      </c>
      <c r="S52" s="1902"/>
      <c r="T52" s="1902"/>
      <c r="U52" s="1902">
        <f>(U8+U46+U47)-(U25+U35)</f>
        <v>-1138714</v>
      </c>
      <c r="V52" s="1902"/>
      <c r="W52" s="1902"/>
      <c r="X52" s="1902">
        <f>(X8+X46+X47)-(X25+X35)</f>
        <v>-37241.0600000024</v>
      </c>
      <c r="Y52" s="1902"/>
      <c r="Z52" s="1902"/>
      <c r="AA52" s="1902">
        <f>(AA8+AA46+AA47)-(AA25+AA35)</f>
        <v>-1657835</v>
      </c>
      <c r="AB52" s="1902"/>
      <c r="AC52" s="1902"/>
      <c r="AD52" s="1902">
        <f>(AD8+AD46+AD47)-(AD25+AD35)</f>
        <v>1446258</v>
      </c>
      <c r="AE52" s="1902"/>
      <c r="AF52" s="1902"/>
      <c r="AG52" s="1902">
        <f>(AG8+AG46+AG47)-(AG25+AG35)</f>
        <v>1806985</v>
      </c>
      <c r="AH52" s="1902"/>
      <c r="AI52" s="1902"/>
      <c r="AJ52" s="1902">
        <f>(AJ8+AJ46+AJ47)-(AJ25+AJ35)</f>
        <v>4087015</v>
      </c>
      <c r="AK52" s="1902"/>
      <c r="AL52" s="1902"/>
      <c r="AM52" s="2095">
        <f>(AM8+AM46+AM47)-(AM25+AM35)</f>
        <v>9603394</v>
      </c>
      <c r="AN52" s="580"/>
    </row>
    <row r="53" spans="3:39">
      <c r="C53" s="97">
        <f>C51-C52</f>
        <v>0</v>
      </c>
      <c r="D53" s="97"/>
      <c r="E53" s="97"/>
      <c r="F53" s="97">
        <f>F51-F52</f>
        <v>-1</v>
      </c>
      <c r="G53" s="97"/>
      <c r="H53" s="97"/>
      <c r="I53" s="97">
        <f>I51-I52</f>
        <v>0</v>
      </c>
      <c r="J53" s="97"/>
      <c r="K53" s="97"/>
      <c r="L53" s="97">
        <f>L51-L52</f>
        <v>0</v>
      </c>
      <c r="M53" s="97"/>
      <c r="N53" s="97"/>
      <c r="O53" s="97">
        <f>O51-O52</f>
        <v>0</v>
      </c>
      <c r="P53" s="97"/>
      <c r="Q53" s="97"/>
      <c r="R53" s="97">
        <f>R51-R52</f>
        <v>1</v>
      </c>
      <c r="S53" s="97"/>
      <c r="T53" s="97"/>
      <c r="U53" s="1711">
        <f>U51-U52</f>
        <v>0</v>
      </c>
      <c r="V53" s="97"/>
      <c r="W53" s="97"/>
      <c r="X53" s="1711">
        <f>X51-X52</f>
        <v>-3.93999999761581</v>
      </c>
      <c r="Y53" s="97"/>
      <c r="Z53" s="97"/>
      <c r="AA53" s="1711">
        <f>AA51-AA52</f>
        <v>0</v>
      </c>
      <c r="AB53" s="97"/>
      <c r="AC53" s="97"/>
      <c r="AD53" s="1711">
        <f>AD51-AD52</f>
        <v>0</v>
      </c>
      <c r="AE53" s="97"/>
      <c r="AF53" s="97"/>
      <c r="AG53" s="1711">
        <f>AG51-AG52</f>
        <v>2</v>
      </c>
      <c r="AH53" s="97"/>
      <c r="AI53" s="97"/>
      <c r="AJ53" s="1711">
        <f>AJ51-AJ52</f>
        <v>0</v>
      </c>
      <c r="AK53" s="97"/>
      <c r="AL53" s="97"/>
      <c r="AM53" s="1519">
        <f>AM51-AM52</f>
        <v>1</v>
      </c>
    </row>
    <row r="54" ht="14.25" spans="2:42">
      <c r="B54" s="1960"/>
      <c r="F54" s="159"/>
      <c r="I54" s="159"/>
      <c r="L54" s="159"/>
      <c r="O54" s="159"/>
      <c r="AM54" s="1519"/>
      <c r="AP54" t="s">
        <v>430</v>
      </c>
    </row>
    <row r="55" spans="1:40">
      <c r="A55" s="1961" t="s">
        <v>431</v>
      </c>
      <c r="B55" s="1927">
        <f>SUM(B53:B54)</f>
        <v>0</v>
      </c>
      <c r="C55" s="1896">
        <f>C17+C18+C28+C29+C22+C34</f>
        <v>16719095</v>
      </c>
      <c r="D55" s="1930"/>
      <c r="E55" s="2000"/>
      <c r="F55" s="1896">
        <f>F17+F18+F28+F29+F22+F34</f>
        <v>33178206</v>
      </c>
      <c r="G55" s="2000"/>
      <c r="H55" s="2000"/>
      <c r="I55" s="1896">
        <f>I17+I18+I28+I29+I22+I34</f>
        <v>24810775</v>
      </c>
      <c r="J55" s="2000"/>
      <c r="K55" s="2000"/>
      <c r="L55" s="1896">
        <f>L17+L18+L28+L29+L22+L34</f>
        <v>24372334</v>
      </c>
      <c r="M55" s="2000"/>
      <c r="N55" s="2000"/>
      <c r="O55" s="1896">
        <f>O17+O18+O28+O29+O22+O34</f>
        <v>3970808</v>
      </c>
      <c r="P55" s="2000"/>
      <c r="Q55" s="2000"/>
      <c r="R55" s="2038">
        <f>R17+R18+R28+R29+R22+R34</f>
        <v>15750303</v>
      </c>
      <c r="S55" s="2000"/>
      <c r="T55" s="2000"/>
      <c r="U55" s="2038">
        <f>U17+U18+U28+U29+U22+U34</f>
        <v>15475978</v>
      </c>
      <c r="V55" s="2000"/>
      <c r="W55" s="2000"/>
      <c r="X55" s="2038">
        <f>X17+X18+X28+X29+X22+X34</f>
        <v>23692363.06</v>
      </c>
      <c r="Y55" s="2000"/>
      <c r="Z55" s="2000"/>
      <c r="AA55" s="2038">
        <f>AA17+AA18+AA28+AA29+AA22+AA34</f>
        <v>13372830</v>
      </c>
      <c r="AB55" s="2000"/>
      <c r="AC55" s="2000"/>
      <c r="AD55" s="2038">
        <f>AD17+AD18+AD28+AD29+AD22+AD34</f>
        <v>19431542</v>
      </c>
      <c r="AE55" s="2000"/>
      <c r="AF55" s="2000"/>
      <c r="AG55" s="2038">
        <f>AG17+AG18+AG28+AG29+AG22+AG34</f>
        <v>23774748</v>
      </c>
      <c r="AH55" s="2000"/>
      <c r="AI55" s="2000"/>
      <c r="AJ55" s="2038">
        <f>AJ17+AJ18+AJ28+AJ29+AJ22+AJ34</f>
        <v>28207624</v>
      </c>
      <c r="AK55" s="2000"/>
      <c r="AL55" s="2000"/>
      <c r="AM55" s="1896">
        <f>AM17+AM18+AM28+AM29+AM22+AM34</f>
        <v>242756606</v>
      </c>
      <c r="AN55" s="2096"/>
    </row>
    <row r="56" ht="14.25" spans="1:40">
      <c r="A56" s="1962" t="s">
        <v>432</v>
      </c>
      <c r="B56" s="1959"/>
      <c r="C56" s="1902">
        <f>C20+C23+C30</f>
        <v>1298653</v>
      </c>
      <c r="D56" s="1959"/>
      <c r="E56" s="574"/>
      <c r="F56" s="1902">
        <f>F20+F23+F30</f>
        <v>1529825</v>
      </c>
      <c r="G56" s="574"/>
      <c r="H56" s="574"/>
      <c r="I56" s="1902">
        <f>I20+I23+I30</f>
        <v>1257692</v>
      </c>
      <c r="J56" s="574"/>
      <c r="K56" s="574"/>
      <c r="L56" s="1902">
        <f>L20+L23+L30</f>
        <v>1413780</v>
      </c>
      <c r="M56" s="574"/>
      <c r="N56" s="574"/>
      <c r="O56" s="1902">
        <f>O20+O23+O30</f>
        <v>1095503</v>
      </c>
      <c r="P56" s="574"/>
      <c r="Q56" s="574"/>
      <c r="R56" s="1902">
        <f>R20+R23+R30</f>
        <v>976367</v>
      </c>
      <c r="S56" s="574"/>
      <c r="T56" s="574"/>
      <c r="U56" s="1902">
        <f>U20+U23+U30</f>
        <v>1285998</v>
      </c>
      <c r="V56" s="574"/>
      <c r="W56" s="574"/>
      <c r="X56" s="1902">
        <f>X20+X23+X30</f>
        <v>2047965</v>
      </c>
      <c r="Y56" s="574"/>
      <c r="Z56" s="574"/>
      <c r="AA56" s="1902">
        <f>AA20+AA23+AA30</f>
        <v>1153188</v>
      </c>
      <c r="AB56" s="574"/>
      <c r="AC56" s="574"/>
      <c r="AD56" s="1902">
        <f>AD20+AD23+AD30</f>
        <v>841865</v>
      </c>
      <c r="AE56" s="574"/>
      <c r="AF56" s="574"/>
      <c r="AG56" s="1902">
        <f>AG20+AG23+AG30</f>
        <v>1221488</v>
      </c>
      <c r="AH56" s="574"/>
      <c r="AI56" s="574"/>
      <c r="AJ56" s="1902">
        <f>AJ20+AJ23+AJ30</f>
        <v>1182651</v>
      </c>
      <c r="AK56" s="574"/>
      <c r="AL56" s="574"/>
      <c r="AM56" s="1902">
        <f>AM20+AM23+AM30</f>
        <v>15304975</v>
      </c>
      <c r="AN56" s="580"/>
    </row>
    <row r="57" spans="1:39">
      <c r="A57" s="96"/>
      <c r="C57" s="1927">
        <f>SUM(C55:C56)</f>
        <v>18017748</v>
      </c>
      <c r="F57" s="1927">
        <f>SUM(F55:F56)</f>
        <v>34708031</v>
      </c>
      <c r="I57" s="1927">
        <f>SUM(I55:I56)</f>
        <v>26068467</v>
      </c>
      <c r="L57" s="1927">
        <f>SUM(L55:L56)</f>
        <v>25786114</v>
      </c>
      <c r="O57" s="1927">
        <f>SUM(O55:O56)</f>
        <v>5066311</v>
      </c>
      <c r="R57" s="1927">
        <f>SUM(R55:R56)</f>
        <v>16726670</v>
      </c>
      <c r="U57" s="1927">
        <f>SUM(U55:U56)</f>
        <v>16761976</v>
      </c>
      <c r="X57" s="1927">
        <f>SUM(X55:X56)</f>
        <v>25740328.06</v>
      </c>
      <c r="AA57" s="1927">
        <f>SUM(AA55:AA56)</f>
        <v>14526018</v>
      </c>
      <c r="AD57" s="1927">
        <f>SUM(AD55:AD56)</f>
        <v>20273407</v>
      </c>
      <c r="AG57" s="1927">
        <f>SUM(AG55:AG56)</f>
        <v>24996236</v>
      </c>
      <c r="AJ57" s="1927">
        <f>SUM(AJ55:AJ56)</f>
        <v>29390275</v>
      </c>
      <c r="AM57" s="1927">
        <f>SUM(AM55:AM56)</f>
        <v>258061581</v>
      </c>
    </row>
    <row r="58" spans="1:39">
      <c r="A58" s="96"/>
      <c r="C58" s="1431"/>
      <c r="F58" s="1431"/>
      <c r="I58" s="1431"/>
      <c r="L58" s="1431"/>
      <c r="O58" s="1431"/>
      <c r="R58" s="1431"/>
      <c r="AM58" s="1431"/>
    </row>
    <row r="59" spans="1:39">
      <c r="A59" s="230" t="s">
        <v>433</v>
      </c>
      <c r="AM59" s="97"/>
    </row>
    <row r="60" spans="1:39">
      <c r="A60" s="96" t="s">
        <v>434</v>
      </c>
      <c r="C60" s="1706">
        <f>(C3+C4)-(C55)</f>
        <v>6875941</v>
      </c>
      <c r="F60" s="1706">
        <f>(F3+F4)-(F55)</f>
        <v>831385</v>
      </c>
      <c r="G60" s="1706"/>
      <c r="H60" s="1706"/>
      <c r="I60" s="1706">
        <f>(I3+I4)-(I55)</f>
        <v>5721515</v>
      </c>
      <c r="J60" s="1706"/>
      <c r="K60" s="1706"/>
      <c r="L60" s="1706">
        <f>(L3+L4)-(L55)</f>
        <v>4102355</v>
      </c>
      <c r="M60" s="1706"/>
      <c r="N60" s="1706"/>
      <c r="O60" s="1706">
        <f>(O3+O4)-(O55)</f>
        <v>17726181</v>
      </c>
      <c r="P60" s="1706"/>
      <c r="Q60" s="1706"/>
      <c r="R60" s="1706">
        <f>(R3+R4)-(R55)</f>
        <v>2502843</v>
      </c>
      <c r="U60" s="1706">
        <f>(U3+U4)-(U55)</f>
        <v>1371642</v>
      </c>
      <c r="X60" s="1706">
        <f>(X3+X4)-(X55)</f>
        <v>2488453.94</v>
      </c>
      <c r="AA60" s="1706">
        <f>(AA3+AA4)-(AA55)</f>
        <v>1032903</v>
      </c>
      <c r="AD60" s="1706">
        <f>(AD3+AD4)-(AD55)</f>
        <v>3641761</v>
      </c>
      <c r="AG60" s="1706">
        <f>(AG3+AG4)-(AG55)</f>
        <v>4706576</v>
      </c>
      <c r="AJ60" s="1706">
        <f>(AJ3+AJ4)-(AJ55)</f>
        <v>6154513</v>
      </c>
      <c r="AM60" s="1706">
        <f>(AM3+AM4)-(AM55)</f>
        <v>38990413</v>
      </c>
    </row>
    <row r="61" ht="14.25" spans="1:39">
      <c r="A61" s="828" t="s">
        <v>435</v>
      </c>
      <c r="B61" s="1960"/>
      <c r="C61" s="1735">
        <f>C5-C19</f>
        <v>-4010147</v>
      </c>
      <c r="D61" s="1960"/>
      <c r="E61" s="712"/>
      <c r="F61" s="1735">
        <f>F5-F19</f>
        <v>-4100514</v>
      </c>
      <c r="G61" s="1735"/>
      <c r="H61" s="1735"/>
      <c r="I61" s="1735">
        <f>I5-I19</f>
        <v>-4276439</v>
      </c>
      <c r="J61" s="1735"/>
      <c r="K61" s="1735"/>
      <c r="L61" s="2016">
        <f>L5-L19</f>
        <v>-4609746</v>
      </c>
      <c r="M61" s="1735"/>
      <c r="N61" s="1735"/>
      <c r="O61" s="1735">
        <f>O5-O19</f>
        <v>434165</v>
      </c>
      <c r="P61" s="1735"/>
      <c r="Q61" s="1735"/>
      <c r="R61" s="1735">
        <f>R5-R19</f>
        <v>549732</v>
      </c>
      <c r="S61" s="712"/>
      <c r="T61" s="712"/>
      <c r="U61" s="1735">
        <f>U5-U19</f>
        <v>231231</v>
      </c>
      <c r="V61" s="712"/>
      <c r="W61" s="712"/>
      <c r="X61" s="1735">
        <f>X5-X19</f>
        <v>310395</v>
      </c>
      <c r="Y61" s="712"/>
      <c r="Z61" s="712"/>
      <c r="AA61" s="1735">
        <f>AA5-AA19</f>
        <v>475377</v>
      </c>
      <c r="AB61" s="712"/>
      <c r="AC61" s="712"/>
      <c r="AD61" s="1735">
        <f>AD5-AD19</f>
        <v>470482</v>
      </c>
      <c r="AE61" s="712"/>
      <c r="AF61" s="712"/>
      <c r="AG61" s="1735">
        <f>AG5-AG19</f>
        <v>38006</v>
      </c>
      <c r="AH61" s="712"/>
      <c r="AI61" s="712"/>
      <c r="AJ61" s="1735">
        <f>AJ5-AJ19</f>
        <v>720715</v>
      </c>
      <c r="AK61" s="712"/>
      <c r="AL61" s="712"/>
      <c r="AM61" s="1735">
        <f>AM5-AM19</f>
        <v>4398911</v>
      </c>
    </row>
    <row r="62" spans="1:41">
      <c r="A62" s="230" t="s">
        <v>436</v>
      </c>
      <c r="B62" s="232"/>
      <c r="C62" s="1711">
        <f>SUM(C60:C61)</f>
        <v>2865794</v>
      </c>
      <c r="D62" s="1963">
        <f>C62/(C3+C4+C5)</f>
        <v>0.113168205393654</v>
      </c>
      <c r="F62" s="1711">
        <f>SUM(F60:F61)</f>
        <v>-3269129</v>
      </c>
      <c r="G62" s="1963">
        <f>F62/(F3+F4+F5)</f>
        <v>-0.0932922361434962</v>
      </c>
      <c r="H62" s="1706"/>
      <c r="I62" s="1711">
        <f>SUM(I60:I61)</f>
        <v>1445076</v>
      </c>
      <c r="J62" s="1963">
        <f>I62/(I3+I4+I5)</f>
        <v>0.0443826934658106</v>
      </c>
      <c r="K62" s="1706"/>
      <c r="L62" s="1711">
        <f>SUM(L60:L61)</f>
        <v>-507391</v>
      </c>
      <c r="M62" s="1963">
        <f>L62/(L3+L4+L5)</f>
        <v>-0.0171290061198967</v>
      </c>
      <c r="N62" s="1706"/>
      <c r="O62" s="1711">
        <f>SUM(O60:O61)</f>
        <v>18160346</v>
      </c>
      <c r="P62" s="1963">
        <f>O62/(O3+O4+O5)</f>
        <v>0.639754443249507</v>
      </c>
      <c r="Q62" s="1706"/>
      <c r="R62" s="1711">
        <f>SUM(R60:R61)</f>
        <v>3052575</v>
      </c>
      <c r="S62" s="1963">
        <f>R62/(R3+R4+R5)</f>
        <v>0.124400001238875</v>
      </c>
      <c r="U62" s="1711">
        <f>SUM(U60:U61)</f>
        <v>1602873</v>
      </c>
      <c r="V62" s="1963">
        <f>U62/(U3+U4+U5)</f>
        <v>0.0676421924744609</v>
      </c>
      <c r="X62" s="1711">
        <f>SUM(X60:X61)</f>
        <v>2798848.94</v>
      </c>
      <c r="Y62" s="1963">
        <f>X62/(X3+X4+X5)</f>
        <v>0.0883903491856721</v>
      </c>
      <c r="AA62" s="1711">
        <f>SUM(AA60:AA61)</f>
        <v>1508280</v>
      </c>
      <c r="AB62" s="1963">
        <f>AA62/(AA3+AA4+AA5)</f>
        <v>0.0715739128491232</v>
      </c>
      <c r="AD62" s="1711">
        <f>SUM(AD60:AD61)</f>
        <v>4112243</v>
      </c>
      <c r="AE62" s="1963">
        <f>AD62/(AD3+AD4+AD5)</f>
        <v>0.137189598933961</v>
      </c>
      <c r="AG62" s="1711">
        <f>SUM(AG60:AG61)</f>
        <v>4744582</v>
      </c>
      <c r="AH62" s="1963">
        <f>AG62/(AG3+AG4+AG5)</f>
        <v>0.14550800968724</v>
      </c>
      <c r="AJ62" s="1711">
        <f>SUM(AJ60:AJ61)</f>
        <v>6875228</v>
      </c>
      <c r="AK62" s="1963">
        <f>AJ62/(AJ3+AJ4+AJ5)</f>
        <v>0.163768067991293</v>
      </c>
      <c r="AM62" s="1711">
        <f>SUM(AM60:AM61)</f>
        <v>43389324</v>
      </c>
      <c r="AN62" s="1963">
        <f>AM62/(AM3+AM4+AM5)</f>
        <v>0.121719917959329</v>
      </c>
      <c r="AO62" s="2097">
        <f>AM62/$AM$66</f>
        <v>0.920569016838825</v>
      </c>
    </row>
    <row r="63" spans="1:41">
      <c r="A63" s="96" t="s">
        <v>437</v>
      </c>
      <c r="C63" s="1706">
        <f>C6-C16</f>
        <v>254305</v>
      </c>
      <c r="D63" s="1963">
        <f>C63/C6</f>
        <v>0.062582671855947</v>
      </c>
      <c r="F63" s="1706">
        <f>F6-F16</f>
        <v>-52820</v>
      </c>
      <c r="G63" s="1963">
        <f>F63/F6</f>
        <v>-0.0395655430711611</v>
      </c>
      <c r="H63" s="1706"/>
      <c r="I63" s="1706">
        <f>I6-I16</f>
        <v>133490</v>
      </c>
      <c r="J63" s="1963">
        <f>I63/I6</f>
        <v>0.0272317976984857</v>
      </c>
      <c r="K63" s="1706"/>
      <c r="L63" s="2017">
        <f>L6-L16</f>
        <v>289960</v>
      </c>
      <c r="M63" s="1963">
        <f>L63/L6</f>
        <v>0.0527453177525212</v>
      </c>
      <c r="N63" s="1706"/>
      <c r="O63" s="1706">
        <f>O6-O16</f>
        <v>323690</v>
      </c>
      <c r="P63" s="1963">
        <f>O63/O6</f>
        <v>0.0551900167263142</v>
      </c>
      <c r="Q63" s="1706"/>
      <c r="R63" s="1706">
        <f>R6-R16</f>
        <v>96570</v>
      </c>
      <c r="S63" s="1963">
        <f>R63/R6</f>
        <v>0.0312092997702204</v>
      </c>
      <c r="U63" s="1706">
        <f>U6-U16</f>
        <v>-5880</v>
      </c>
      <c r="V63" s="1963">
        <f>U63/U6</f>
        <v>-0.00248365350499265</v>
      </c>
      <c r="X63" s="1706">
        <f>X6-X16</f>
        <v>134750</v>
      </c>
      <c r="Y63" s="1963">
        <f>X63/X6</f>
        <v>0.0879827625608044</v>
      </c>
      <c r="AA63" s="1706">
        <f>AA6-AA16</f>
        <v>-18650</v>
      </c>
      <c r="AB63" s="1963">
        <f>AA63/AA6</f>
        <v>-0.00643103448275862</v>
      </c>
      <c r="AD63" s="1706">
        <f>AD6-AD16</f>
        <v>112980</v>
      </c>
      <c r="AE63" s="1963">
        <f>AD63/AD6</f>
        <v>0.0302263363475841</v>
      </c>
      <c r="AG63" s="1706">
        <f>AG6-AG16</f>
        <v>245220</v>
      </c>
      <c r="AH63" s="1963">
        <f>AG63/AG6</f>
        <v>0.0643780880322179</v>
      </c>
      <c r="AJ63" s="1706">
        <f>AJ6-AJ16</f>
        <v>407240</v>
      </c>
      <c r="AK63" s="1963">
        <f>AJ63/AJ6</f>
        <v>0.135419853420412</v>
      </c>
      <c r="AM63" s="1706">
        <f>AM6-AM16</f>
        <v>1920855</v>
      </c>
      <c r="AN63" s="1963">
        <f>AM63/AM6</f>
        <v>0.0456148874864597</v>
      </c>
      <c r="AO63" s="2097">
        <f>AM63/$AM$66</f>
        <v>0.0407537946163886</v>
      </c>
    </row>
    <row r="64" spans="1:41">
      <c r="A64" s="96" t="s">
        <v>438</v>
      </c>
      <c r="C64" s="1706">
        <f>C7-(C56)</f>
        <v>78939</v>
      </c>
      <c r="D64" s="1963">
        <f>C64/C7</f>
        <v>0.0573021620334613</v>
      </c>
      <c r="F64" s="1706">
        <f>F7-(F56)</f>
        <v>138815</v>
      </c>
      <c r="G64" s="1963">
        <f>F64/F7</f>
        <v>0.083190502445105</v>
      </c>
      <c r="H64" s="1706"/>
      <c r="I64" s="1706">
        <f>I7-(I56)</f>
        <v>85197</v>
      </c>
      <c r="J64" s="1963">
        <f>I64/I7</f>
        <v>0.063443069382503</v>
      </c>
      <c r="K64" s="1706"/>
      <c r="L64" s="2017">
        <f>L7-(L56)</f>
        <v>80695</v>
      </c>
      <c r="M64" s="1963">
        <f>L64/L7</f>
        <v>0.0539955502768531</v>
      </c>
      <c r="N64" s="1706"/>
      <c r="O64" s="1706">
        <f>O7-(O56)</f>
        <v>198890</v>
      </c>
      <c r="P64" s="1963">
        <f>O64/O7</f>
        <v>0.153655033672154</v>
      </c>
      <c r="Q64" s="1706"/>
      <c r="R64" s="1706">
        <f>R7-(R56)</f>
        <v>31706</v>
      </c>
      <c r="S64" s="1963">
        <f>R64/R7</f>
        <v>0.0314520872992333</v>
      </c>
      <c r="U64" s="1706">
        <f>U7-(U56)</f>
        <v>76369</v>
      </c>
      <c r="V64" s="1963">
        <f>U64/U7</f>
        <v>0.0560561141014132</v>
      </c>
      <c r="X64" s="1706">
        <f>X7-(X56)</f>
        <v>75701</v>
      </c>
      <c r="Y64" s="1963">
        <f>X64/X7</f>
        <v>0.0356463775377107</v>
      </c>
      <c r="AA64" s="1706">
        <f>AA7-(AA56)</f>
        <v>47137</v>
      </c>
      <c r="AB64" s="1963">
        <f>AA64/AA7</f>
        <v>0.0392701976548018</v>
      </c>
      <c r="AD64" s="1706">
        <f>AD7-(AD56)</f>
        <v>46274</v>
      </c>
      <c r="AE64" s="1963">
        <f>AD64/AD7</f>
        <v>0.052102204722459</v>
      </c>
      <c r="AG64" s="1706">
        <f>AG7-(AG56)</f>
        <v>73505</v>
      </c>
      <c r="AH64" s="1963">
        <f>AG64/AG7</f>
        <v>0.0567609245764263</v>
      </c>
      <c r="AJ64" s="1706">
        <f>AJ7-(AJ56)</f>
        <v>64595</v>
      </c>
      <c r="AK64" s="1963">
        <f>AJ64/AJ7</f>
        <v>0.0517901039570381</v>
      </c>
      <c r="AM64" s="1706">
        <f>AM7-(AM56)</f>
        <v>997823</v>
      </c>
      <c r="AN64" s="1963">
        <f>AM64/AM7</f>
        <v>0.0612056286289016</v>
      </c>
      <c r="AO64" s="2097">
        <f>AM64/$AM$66</f>
        <v>0.0211702984376794</v>
      </c>
    </row>
    <row r="65" ht="14.25" spans="1:41">
      <c r="A65" s="828" t="s">
        <v>439</v>
      </c>
      <c r="B65" s="1960"/>
      <c r="C65" s="1735">
        <f>C46+C47</f>
        <v>21118</v>
      </c>
      <c r="D65" s="2098"/>
      <c r="E65" s="712"/>
      <c r="F65" s="1735">
        <f>F46+F47</f>
        <v>78189</v>
      </c>
      <c r="G65" s="2098"/>
      <c r="H65" s="1735"/>
      <c r="I65" s="1735">
        <f>I46+I47</f>
        <v>56581</v>
      </c>
      <c r="J65" s="2098"/>
      <c r="K65" s="1735"/>
      <c r="L65" s="2016">
        <f>L46+L47</f>
        <v>53409</v>
      </c>
      <c r="M65" s="2098"/>
      <c r="N65" s="1735"/>
      <c r="O65" s="1735">
        <f>O46+O47</f>
        <v>53941</v>
      </c>
      <c r="P65" s="2098"/>
      <c r="Q65" s="1735"/>
      <c r="R65" s="1735">
        <f>R46+R47</f>
        <v>71780</v>
      </c>
      <c r="S65" s="2098"/>
      <c r="T65" s="712"/>
      <c r="U65" s="1735">
        <f>U46+U47</f>
        <v>35930</v>
      </c>
      <c r="V65" s="2098"/>
      <c r="W65" s="712"/>
      <c r="X65" s="1735">
        <f>X46+X47</f>
        <v>55075</v>
      </c>
      <c r="Y65" s="2098"/>
      <c r="Z65" s="712"/>
      <c r="AA65" s="1735">
        <f>AA46+AA47</f>
        <v>107427</v>
      </c>
      <c r="AB65" s="2098"/>
      <c r="AC65" s="712"/>
      <c r="AD65" s="1735">
        <f>AD46+AD47</f>
        <v>44971</v>
      </c>
      <c r="AE65" s="2098"/>
      <c r="AF65" s="712"/>
      <c r="AG65" s="1735">
        <f>AG46+AG47</f>
        <v>125794</v>
      </c>
      <c r="AH65" s="2098"/>
      <c r="AI65" s="712"/>
      <c r="AJ65" s="1735">
        <f>AJ46+AJ47</f>
        <v>120940</v>
      </c>
      <c r="AK65" s="2098"/>
      <c r="AL65" s="712"/>
      <c r="AM65" s="1735">
        <f>AM46+AM47</f>
        <v>825155</v>
      </c>
      <c r="AN65" s="2098"/>
      <c r="AO65" s="2097">
        <f>AM65/$AM$66</f>
        <v>0.0175068901071066</v>
      </c>
    </row>
    <row r="66" spans="1:40">
      <c r="A66" s="230" t="s">
        <v>393</v>
      </c>
      <c r="B66" s="232"/>
      <c r="C66" s="2099">
        <f>SUM(C62:C65)</f>
        <v>3220156</v>
      </c>
      <c r="D66" s="1963">
        <f>C66/$AM$8</f>
        <v>0.00776162600057697</v>
      </c>
      <c r="E66" s="230"/>
      <c r="F66" s="2099">
        <f>SUM(F62:F65)</f>
        <v>-3104945</v>
      </c>
      <c r="G66" s="1963">
        <f>F66/$AM$8</f>
        <v>-0.00748392992214088</v>
      </c>
      <c r="H66" s="1711"/>
      <c r="I66" s="2099">
        <f>SUM(I62:I65)</f>
        <v>1720344</v>
      </c>
      <c r="J66" s="1963">
        <f>I66/$AM$8</f>
        <v>0.00414659001624039</v>
      </c>
      <c r="K66" s="1711"/>
      <c r="L66" s="2099">
        <f>SUM(L62:L65)</f>
        <v>-83327</v>
      </c>
      <c r="M66" s="1963">
        <f>L66/$AM$8</f>
        <v>-0.000200845241581488</v>
      </c>
      <c r="N66" s="1711"/>
      <c r="O66" s="2099">
        <f>SUM(O62:O65)</f>
        <v>18736867</v>
      </c>
      <c r="P66" s="1963">
        <f>O66/$AM$8</f>
        <v>0.0451619592580461</v>
      </c>
      <c r="Q66" s="1711"/>
      <c r="R66" s="2099">
        <f>SUM(R62:R65)</f>
        <v>3252631</v>
      </c>
      <c r="S66" s="1963">
        <f>R66/$AM$8</f>
        <v>0.00783990134014709</v>
      </c>
      <c r="T66" s="230"/>
      <c r="U66" s="2099">
        <f>SUM(U62:U65)</f>
        <v>1709292</v>
      </c>
      <c r="V66" s="1963">
        <f>U66/$AM$8</f>
        <v>0.00411995109236267</v>
      </c>
      <c r="W66" s="230"/>
      <c r="X66" s="2099">
        <f>SUM(X62:X65)</f>
        <v>3064374.94</v>
      </c>
      <c r="Y66" s="1963">
        <f>X66/$AM$8</f>
        <v>0.00738614284830315</v>
      </c>
      <c r="Z66" s="230"/>
      <c r="AA66" s="2099">
        <f>SUM(AA62:AA65)</f>
        <v>1644194</v>
      </c>
      <c r="AB66" s="1963">
        <f>AA66/$AM$8</f>
        <v>0.00396304368496205</v>
      </c>
      <c r="AC66" s="230"/>
      <c r="AD66" s="2099">
        <f>SUM(AD62:AD65)</f>
        <v>4316468</v>
      </c>
      <c r="AE66" s="1963">
        <f>AD66/$AM$8</f>
        <v>0.0104040954101163</v>
      </c>
      <c r="AF66" s="230"/>
      <c r="AG66" s="2099">
        <f>SUM(AG62:AG65)</f>
        <v>5189101</v>
      </c>
      <c r="AH66" s="1963">
        <f>AG66/$AM$8</f>
        <v>0.0125074254915662</v>
      </c>
      <c r="AI66" s="230"/>
      <c r="AJ66" s="2099">
        <f>SUM(AJ62:AJ65)</f>
        <v>7468003</v>
      </c>
      <c r="AK66" s="1963">
        <f>AJ66/$AM$8</f>
        <v>0.0180003224244996</v>
      </c>
      <c r="AL66" s="230"/>
      <c r="AM66" s="2099">
        <f>SUM(AM62:AM65)</f>
        <v>47133157</v>
      </c>
      <c r="AN66" s="1963">
        <f>AM66/$AM$8</f>
        <v>0.113606277727066</v>
      </c>
    </row>
    <row r="67" ht="14.25" spans="1:40">
      <c r="A67" s="828" t="s">
        <v>440</v>
      </c>
      <c r="B67" s="2100"/>
      <c r="C67" s="2101">
        <f>C39+C40+C41</f>
        <v>2007225</v>
      </c>
      <c r="D67" s="2098"/>
      <c r="E67" s="828"/>
      <c r="F67" s="2101">
        <f>F39+F40+F41</f>
        <v>2103056</v>
      </c>
      <c r="G67" s="2098"/>
      <c r="H67" s="2101"/>
      <c r="I67" s="2101">
        <f>I39+I40+I41</f>
        <v>2449785</v>
      </c>
      <c r="J67" s="2098"/>
      <c r="K67" s="2101"/>
      <c r="L67" s="2101">
        <f>L39+L40+L41</f>
        <v>2284742</v>
      </c>
      <c r="M67" s="2098"/>
      <c r="N67" s="2101"/>
      <c r="O67" s="2101">
        <f>O39+O40+O41</f>
        <v>2117022</v>
      </c>
      <c r="P67" s="2098"/>
      <c r="Q67" s="2101"/>
      <c r="R67" s="2101">
        <f>R39+R40+R41</f>
        <v>2911421</v>
      </c>
      <c r="S67" s="2098"/>
      <c r="T67" s="828"/>
      <c r="U67" s="2101">
        <f>U39+U40+U41</f>
        <v>2083485</v>
      </c>
      <c r="V67" s="2098"/>
      <c r="W67" s="828"/>
      <c r="X67" s="2101">
        <f>X39+X40+X41</f>
        <v>2376005</v>
      </c>
      <c r="Y67" s="2098"/>
      <c r="Z67" s="828"/>
      <c r="AA67" s="2101">
        <f>AA39+AA40+AA41</f>
        <v>2357922</v>
      </c>
      <c r="AB67" s="2098"/>
      <c r="AC67" s="828"/>
      <c r="AD67" s="2101">
        <f>AD39+AD40+AD41</f>
        <v>2052632</v>
      </c>
      <c r="AE67" s="2098"/>
      <c r="AF67" s="828"/>
      <c r="AG67" s="2101">
        <f>AG39+AG40+AG41</f>
        <v>2371901</v>
      </c>
      <c r="AH67" s="2098"/>
      <c r="AI67" s="828"/>
      <c r="AJ67" s="2101">
        <f>AJ39+AJ40+AJ41</f>
        <v>2596757</v>
      </c>
      <c r="AK67" s="2098"/>
      <c r="AL67" s="828"/>
      <c r="AM67" s="2101">
        <f>AM39+AM40+AM41</f>
        <v>27711954</v>
      </c>
      <c r="AN67" s="2098"/>
    </row>
    <row r="68" spans="1:40">
      <c r="A68" s="96" t="s">
        <v>441</v>
      </c>
      <c r="C68" s="1711">
        <f>C66-C67</f>
        <v>1212931</v>
      </c>
      <c r="D68" s="1963">
        <f>C68/$AM$8</f>
        <v>0.00292355922710137</v>
      </c>
      <c r="F68" s="1711">
        <f>F66-F67</f>
        <v>-5208001</v>
      </c>
      <c r="G68" s="1963">
        <f>F68/$AM$8</f>
        <v>-0.0125529806545493</v>
      </c>
      <c r="H68" s="1706"/>
      <c r="I68" s="1711">
        <f>I66-I67</f>
        <v>-729441</v>
      </c>
      <c r="J68" s="1963">
        <f>I68/$AM$8</f>
        <v>-0.00175819066886414</v>
      </c>
      <c r="K68" s="1706"/>
      <c r="L68" s="2103">
        <f>L66-L67</f>
        <v>-2368069</v>
      </c>
      <c r="M68" s="1963">
        <f>L68/$AM$8</f>
        <v>-0.00570781847884398</v>
      </c>
      <c r="N68" s="1706"/>
      <c r="O68" s="1711">
        <f>O66-O67</f>
        <v>16619845</v>
      </c>
      <c r="P68" s="1963">
        <f>O68/$AM$8</f>
        <v>0.0400592459115519</v>
      </c>
      <c r="Q68" s="1706"/>
      <c r="R68" s="1711">
        <f>R66-R67</f>
        <v>341210</v>
      </c>
      <c r="S68" s="1963">
        <f>R68/$AM$8</f>
        <v>0.000822427363039825</v>
      </c>
      <c r="U68" s="1711">
        <f>U66-U67</f>
        <v>-374193</v>
      </c>
      <c r="V68" s="1963">
        <f>U68/$AM$8</f>
        <v>-0.000901927148260488</v>
      </c>
      <c r="X68" s="1711">
        <f>X66-X67</f>
        <v>688369.939999998</v>
      </c>
      <c r="Y68" s="1963">
        <f>X68/$AM$8</f>
        <v>0.00165919602165845</v>
      </c>
      <c r="AA68" s="1711">
        <f>AA66-AA67</f>
        <v>-713728</v>
      </c>
      <c r="AB68" s="1963">
        <f>AA68/$AM$8</f>
        <v>-0.00172031721511001</v>
      </c>
      <c r="AD68" s="1711">
        <f>AD66-AD67</f>
        <v>2263836</v>
      </c>
      <c r="AE68" s="1963">
        <f>AD68/$AM$8</f>
        <v>0.0054565829601554</v>
      </c>
      <c r="AG68" s="1711">
        <f>AG66-AG67</f>
        <v>2817200</v>
      </c>
      <c r="AH68" s="1963">
        <f>AG68/$AM$8</f>
        <v>0.00679037064316929</v>
      </c>
      <c r="AJ68" s="1711">
        <f>AJ66-AJ67</f>
        <v>4871246</v>
      </c>
      <c r="AK68" s="1963">
        <f>AJ68/$AM$8</f>
        <v>0.0117412912942126</v>
      </c>
      <c r="AM68" s="1711">
        <f>AM66-AM67</f>
        <v>19421203</v>
      </c>
      <c r="AN68" s="1963">
        <f>AM68/$AM$8</f>
        <v>0.0468114321689022</v>
      </c>
    </row>
    <row r="69" spans="1:40">
      <c r="A69" s="96" t="s">
        <v>442</v>
      </c>
      <c r="C69" s="1711">
        <f>C68+C42</f>
        <v>1337931</v>
      </c>
      <c r="D69" s="1963">
        <f>C69/$AM$8</f>
        <v>0.00322484998757139</v>
      </c>
      <c r="F69" s="1711">
        <f>F68+F42</f>
        <v>-5083001</v>
      </c>
      <c r="G69" s="1963">
        <f>F69/$AM$8</f>
        <v>-0.0122516898940793</v>
      </c>
      <c r="H69" s="1706"/>
      <c r="I69" s="1711">
        <f>I68+I42</f>
        <v>-604441</v>
      </c>
      <c r="J69" s="1963">
        <f>I69/$AM$8</f>
        <v>-0.00145689990839411</v>
      </c>
      <c r="K69" s="1706"/>
      <c r="L69" s="1711">
        <f>L68+L42</f>
        <v>-2243069</v>
      </c>
      <c r="M69" s="1963">
        <f>L69/$AM$8</f>
        <v>-0.00540652771837395</v>
      </c>
      <c r="N69" s="1706"/>
      <c r="O69" s="1711">
        <f>O68+O42</f>
        <v>16744845</v>
      </c>
      <c r="P69" s="1963">
        <f>O69/$AM$8</f>
        <v>0.0403605366720219</v>
      </c>
      <c r="Q69" s="1706"/>
      <c r="R69" s="1711">
        <f>R68+R42</f>
        <v>466210</v>
      </c>
      <c r="S69" s="1963">
        <f>R69/$AM$8</f>
        <v>0.00112371812350985</v>
      </c>
      <c r="U69" s="1711">
        <f>U68+U42</f>
        <v>-249193</v>
      </c>
      <c r="V69" s="1963">
        <f>U69/$AM$8</f>
        <v>-0.00060063638779046</v>
      </c>
      <c r="X69" s="1711">
        <f>X68+X42</f>
        <v>813369.939999998</v>
      </c>
      <c r="Y69" s="1963">
        <f>X69/$AM$8</f>
        <v>0.00196048678212848</v>
      </c>
      <c r="AA69" s="1711">
        <f>AA68+AA42</f>
        <v>-588728</v>
      </c>
      <c r="AB69" s="1963">
        <f>AA69/$AM$8</f>
        <v>-0.00141902645463999</v>
      </c>
      <c r="AD69" s="1711">
        <f>AD68+AD42</f>
        <v>2388836</v>
      </c>
      <c r="AE69" s="1963">
        <f>AD69/$AM$8</f>
        <v>0.00575787372062543</v>
      </c>
      <c r="AG69" s="1711">
        <f>AG68+AG42</f>
        <v>2942200</v>
      </c>
      <c r="AH69" s="1963">
        <f>AG69/$AM$8</f>
        <v>0.00709166140363932</v>
      </c>
      <c r="AJ69" s="1711">
        <f>AJ68+AJ42</f>
        <v>4996246</v>
      </c>
      <c r="AK69" s="1963">
        <f>AJ69/$AM$8</f>
        <v>0.0120425820546827</v>
      </c>
      <c r="AM69" s="1711">
        <f>AM68+AM42</f>
        <v>20921203</v>
      </c>
      <c r="AN69" s="1963">
        <f>AM69/$AM$8</f>
        <v>0.0504269212945426</v>
      </c>
    </row>
    <row r="70" spans="1:40">
      <c r="A70" s="96" t="s">
        <v>443</v>
      </c>
      <c r="C70" s="1711">
        <f>C31+C43</f>
        <v>949854</v>
      </c>
      <c r="D70" s="2102"/>
      <c r="F70" s="1711">
        <f>F31+F43</f>
        <v>293673</v>
      </c>
      <c r="G70" s="2102"/>
      <c r="H70" s="1706"/>
      <c r="I70" s="1711">
        <f>I31+I43</f>
        <v>1204638</v>
      </c>
      <c r="J70" s="2102"/>
      <c r="K70" s="1706"/>
      <c r="L70" s="1711">
        <f>L31+L43</f>
        <v>641836</v>
      </c>
      <c r="M70" s="2102"/>
      <c r="N70" s="1706"/>
      <c r="O70" s="1711">
        <f>O31+O43</f>
        <v>741787</v>
      </c>
      <c r="P70" s="2102"/>
      <c r="Q70" s="1706"/>
      <c r="R70" s="1711">
        <f>R31+R43</f>
        <v>939758</v>
      </c>
      <c r="S70" s="2102"/>
      <c r="U70" s="1711">
        <f>U31+U43</f>
        <v>764521</v>
      </c>
      <c r="V70" s="2102"/>
      <c r="X70" s="1711">
        <f>X31+X43</f>
        <v>725611</v>
      </c>
      <c r="Y70" s="2102"/>
      <c r="AA70" s="1711">
        <f>AA31+AA43</f>
        <v>944107</v>
      </c>
      <c r="AB70" s="2102"/>
      <c r="AD70" s="1711">
        <f>AD31+AD43</f>
        <v>817578</v>
      </c>
      <c r="AE70" s="2102"/>
      <c r="AG70" s="1711">
        <f>AG31+AG43</f>
        <v>1010214</v>
      </c>
      <c r="AH70" s="2102"/>
      <c r="AJ70" s="1711">
        <f>AJ31+AJ43</f>
        <v>784231</v>
      </c>
      <c r="AK70" s="2102"/>
      <c r="AM70" s="1711">
        <f>AM31+AM43</f>
        <v>9817808</v>
      </c>
      <c r="AN70" s="2102"/>
    </row>
    <row r="71" ht="14.25" spans="1:40">
      <c r="A71" s="828" t="s">
        <v>219</v>
      </c>
      <c r="B71" s="2100"/>
      <c r="C71" s="2101">
        <f>C42</f>
        <v>125000</v>
      </c>
      <c r="D71" s="2098"/>
      <c r="E71" s="828"/>
      <c r="F71" s="2101">
        <f>F42</f>
        <v>125000</v>
      </c>
      <c r="G71" s="2098"/>
      <c r="H71" s="2101"/>
      <c r="I71" s="2101">
        <f>I42</f>
        <v>125000</v>
      </c>
      <c r="J71" s="2098"/>
      <c r="K71" s="2101"/>
      <c r="L71" s="2101">
        <f>L42</f>
        <v>125000</v>
      </c>
      <c r="M71" s="2098"/>
      <c r="N71" s="2101"/>
      <c r="O71" s="2101">
        <f>O42</f>
        <v>125000</v>
      </c>
      <c r="P71" s="2098"/>
      <c r="Q71" s="2101"/>
      <c r="R71" s="2101">
        <f>R42</f>
        <v>125000</v>
      </c>
      <c r="S71" s="2098"/>
      <c r="T71" s="828"/>
      <c r="U71" s="2101">
        <f>U42</f>
        <v>125000</v>
      </c>
      <c r="V71" s="2098"/>
      <c r="W71" s="828"/>
      <c r="X71" s="2101">
        <f>X42</f>
        <v>125000</v>
      </c>
      <c r="Y71" s="2098"/>
      <c r="Z71" s="828"/>
      <c r="AA71" s="2101">
        <f>AA42</f>
        <v>125000</v>
      </c>
      <c r="AB71" s="2098"/>
      <c r="AC71" s="828"/>
      <c r="AD71" s="2101">
        <f>AD42</f>
        <v>125000</v>
      </c>
      <c r="AE71" s="2098"/>
      <c r="AF71" s="828"/>
      <c r="AG71" s="2101">
        <f>AG42</f>
        <v>125000</v>
      </c>
      <c r="AH71" s="2098"/>
      <c r="AI71" s="828"/>
      <c r="AJ71" s="2101">
        <f>AJ42</f>
        <v>125000</v>
      </c>
      <c r="AK71" s="2098"/>
      <c r="AL71" s="828"/>
      <c r="AM71" s="2101">
        <f>AM42</f>
        <v>1500000</v>
      </c>
      <c r="AN71" s="2098"/>
    </row>
    <row r="72" spans="1:40">
      <c r="A72" s="96" t="s">
        <v>394</v>
      </c>
      <c r="C72" s="1711">
        <f>C69-(C70+C71)</f>
        <v>263077</v>
      </c>
      <c r="D72" s="1963">
        <f>C72/$AM$8</f>
        <v>0.000634101355137387</v>
      </c>
      <c r="F72" s="1711">
        <f>F69-(F70+F71)</f>
        <v>-5501674</v>
      </c>
      <c r="G72" s="1963">
        <f>F72/$AM$8</f>
        <v>-0.0132608283465454</v>
      </c>
      <c r="H72" s="1706"/>
      <c r="I72" s="1711">
        <f>I69-(I70+I71)</f>
        <v>-1934079</v>
      </c>
      <c r="J72" s="1963">
        <f>I72/$AM$8</f>
        <v>-0.00466176106175288</v>
      </c>
      <c r="K72" s="1706"/>
      <c r="L72" s="1711">
        <f>L69-(L70+L71)</f>
        <v>-3009905</v>
      </c>
      <c r="M72" s="1963">
        <f>L72/$AM$8</f>
        <v>-0.0072548525311403</v>
      </c>
      <c r="N72" s="1706"/>
      <c r="O72" s="1711">
        <f>O69-(O70+O71)</f>
        <v>15878058</v>
      </c>
      <c r="P72" s="1963">
        <f>O72/$AM$8</f>
        <v>0.0382712973568576</v>
      </c>
      <c r="Q72" s="1706"/>
      <c r="R72" s="2103">
        <f>R69-(R70+R71)</f>
        <v>-598548</v>
      </c>
      <c r="S72" s="1963">
        <f>R72/$AM$8</f>
        <v>-0.00144269585678251</v>
      </c>
      <c r="U72" s="2103">
        <f>U69-(U70+U71)</f>
        <v>-1138714</v>
      </c>
      <c r="V72" s="1963">
        <f>U72/$AM$8</f>
        <v>-0.00274467205614294</v>
      </c>
      <c r="X72" s="2103">
        <f>X69-(X70+X71)</f>
        <v>-37241.0600000024</v>
      </c>
      <c r="Y72" s="1963">
        <f>X72/$AM$8</f>
        <v>-8.97630983048851e-5</v>
      </c>
      <c r="AA72" s="2103">
        <f>AA69-(AA70+AA71)</f>
        <v>-1657835</v>
      </c>
      <c r="AB72" s="1963">
        <f>AA72/$AM$8</f>
        <v>-0.00399592294307062</v>
      </c>
      <c r="AD72" s="2103">
        <f>AD69-(AD70+AD71)</f>
        <v>1446258</v>
      </c>
      <c r="AE72" s="1963">
        <f>AD72/$AM$8</f>
        <v>0.00348595338124689</v>
      </c>
      <c r="AG72" s="2103">
        <f>AG69-(AG70+AG71)</f>
        <v>1806986</v>
      </c>
      <c r="AH72" s="1963">
        <f>AG72/$AM$8</f>
        <v>0.00435542548878954</v>
      </c>
      <c r="AJ72" s="2103">
        <f>AJ69-(AJ70+AJ71)</f>
        <v>4087015</v>
      </c>
      <c r="AK72" s="1963">
        <f>AJ72/$AM$8</f>
        <v>0.00985103885921928</v>
      </c>
      <c r="AM72" s="1711">
        <f>AM69-(AM70+AM71)</f>
        <v>9603395</v>
      </c>
      <c r="AN72" s="1963">
        <f>AM72/$AM$8</f>
        <v>0.0231473134611525</v>
      </c>
    </row>
    <row r="73" spans="1:39">
      <c r="A73" s="96" t="s">
        <v>444</v>
      </c>
      <c r="C73" s="2017">
        <f>'PAL I'!D31</f>
        <v>263077</v>
      </c>
      <c r="F73" s="2017">
        <f>'PAL I'!G31</f>
        <v>-5501675</v>
      </c>
      <c r="G73" s="1706"/>
      <c r="H73" s="1706"/>
      <c r="I73" s="2017">
        <f>'PAL I'!J31</f>
        <v>-1934079</v>
      </c>
      <c r="J73" s="1706"/>
      <c r="K73" s="1706"/>
      <c r="L73" s="2017">
        <f>'PAL I'!M31</f>
        <v>-3009905</v>
      </c>
      <c r="M73" s="1706"/>
      <c r="N73" s="1706"/>
      <c r="O73" s="2017">
        <f>'PAL I'!P31</f>
        <v>15878058</v>
      </c>
      <c r="P73" s="1706"/>
      <c r="Q73" s="1706"/>
      <c r="R73" s="2017">
        <f>'PAL I'!S31</f>
        <v>-598548</v>
      </c>
      <c r="U73" s="2017">
        <f>'PAL I'!V31</f>
        <v>-1138714</v>
      </c>
      <c r="X73" s="2017">
        <f>'PAL I'!Y31</f>
        <v>-37245</v>
      </c>
      <c r="AA73" s="2017">
        <f>'PAL I'!AB31</f>
        <v>-1657835</v>
      </c>
      <c r="AD73" s="2017">
        <f>'PAL I'!AE31</f>
        <v>1446258</v>
      </c>
      <c r="AG73" s="2017">
        <f>'PAL I'!AH31</f>
        <v>1806987</v>
      </c>
      <c r="AJ73" s="2017">
        <f>'PAL I'!AK31</f>
        <v>4087015</v>
      </c>
      <c r="AM73" s="2017">
        <f>'PAL I'!AN31</f>
        <v>9603395</v>
      </c>
    </row>
    <row r="74" spans="3:39">
      <c r="C74" s="2017">
        <f>C72-C73</f>
        <v>0</v>
      </c>
      <c r="F74" s="1431">
        <f>F72-F73</f>
        <v>1</v>
      </c>
      <c r="I74" s="1431">
        <f>I72-I73</f>
        <v>0</v>
      </c>
      <c r="L74" s="1431">
        <f>L72-L73</f>
        <v>0</v>
      </c>
      <c r="O74" s="1431">
        <f>O72-O73</f>
        <v>0</v>
      </c>
      <c r="R74" s="1431">
        <f>R72-R73</f>
        <v>0</v>
      </c>
      <c r="U74" s="2017">
        <f>U72-U73</f>
        <v>0</v>
      </c>
      <c r="AM74" s="2017">
        <f>AM72-AM73</f>
        <v>0</v>
      </c>
    </row>
  </sheetData>
  <mergeCells count="27">
    <mergeCell ref="A1:AN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B11:D11"/>
    <mergeCell ref="E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56"/>
  <sheetViews>
    <sheetView workbookViewId="0">
      <pane xSplit="1" ySplit="2" topLeftCell="I3" activePane="bottomRight" state="frozen"/>
      <selection/>
      <selection pane="topRight"/>
      <selection pane="bottomLeft"/>
      <selection pane="bottomRight" activeCell="M32" sqref="M32"/>
    </sheetView>
  </sheetViews>
  <sheetFormatPr defaultColWidth="9" defaultRowHeight="13.5"/>
  <cols>
    <col min="1" max="1" width="34.1428571428571" customWidth="1"/>
    <col min="2" max="2" width="14.5714285714286" customWidth="1"/>
    <col min="3" max="9" width="14.1428571428571" customWidth="1"/>
    <col min="10" max="13" width="14.5714285714286" customWidth="1"/>
    <col min="14" max="14" width="8.85714285714286" customWidth="1"/>
    <col min="15" max="15" width="14.5714285714286" customWidth="1"/>
    <col min="16" max="16" width="18" customWidth="1"/>
    <col min="17" max="17" width="14" customWidth="1"/>
    <col min="21" max="21" width="13.8571428571429" customWidth="1"/>
    <col min="22" max="22" width="34.1428571428571" customWidth="1"/>
    <col min="23" max="23" width="15.5714285714286" customWidth="1"/>
  </cols>
  <sheetData>
    <row r="1" ht="17.25" spans="2:4">
      <c r="B1" s="1676"/>
      <c r="C1" s="1677"/>
      <c r="D1" s="1677"/>
    </row>
    <row r="2" ht="17.25" spans="1:23">
      <c r="A2" s="1749" t="s">
        <v>445</v>
      </c>
      <c r="B2" s="1750" t="s">
        <v>17</v>
      </c>
      <c r="C2" s="1751" t="s">
        <v>18</v>
      </c>
      <c r="D2" s="1752" t="s">
        <v>19</v>
      </c>
      <c r="E2" s="1750" t="s">
        <v>20</v>
      </c>
      <c r="F2" s="1795" t="s">
        <v>21</v>
      </c>
      <c r="G2" s="1796" t="s">
        <v>22</v>
      </c>
      <c r="H2" s="1796" t="s">
        <v>23</v>
      </c>
      <c r="I2" s="1796" t="s">
        <v>24</v>
      </c>
      <c r="J2" s="1833" t="s">
        <v>25</v>
      </c>
      <c r="K2" s="1796" t="s">
        <v>26</v>
      </c>
      <c r="L2" s="1796" t="s">
        <v>27</v>
      </c>
      <c r="M2" s="1796" t="s">
        <v>28</v>
      </c>
      <c r="O2" s="1523" t="s">
        <v>446</v>
      </c>
      <c r="V2" s="1848" t="s">
        <v>445</v>
      </c>
      <c r="W2" s="1849" t="s">
        <v>447</v>
      </c>
    </row>
    <row r="3" ht="17.25" spans="1:23">
      <c r="A3" s="1753" t="s">
        <v>448</v>
      </c>
      <c r="B3" s="1754" t="s">
        <v>449</v>
      </c>
      <c r="C3" s="1754" t="s">
        <v>449</v>
      </c>
      <c r="D3" s="1755"/>
      <c r="E3" s="1797"/>
      <c r="F3" s="1798"/>
      <c r="G3" s="1799"/>
      <c r="H3" s="1800"/>
      <c r="I3" s="1834"/>
      <c r="J3" s="1677"/>
      <c r="K3" s="1799"/>
      <c r="L3" s="1799"/>
      <c r="M3" s="1799"/>
      <c r="O3" s="1526"/>
      <c r="V3" s="1850" t="s">
        <v>448</v>
      </c>
      <c r="W3" s="1606"/>
    </row>
    <row r="4" spans="1:23">
      <c r="A4" s="1756" t="s">
        <v>450</v>
      </c>
      <c r="B4" s="1757">
        <f>B5+B7+B8</f>
        <v>25777834.01</v>
      </c>
      <c r="C4" s="1757">
        <f t="shared" ref="C4:H4" si="0">C5+C7+C8</f>
        <v>25777834.01</v>
      </c>
      <c r="D4" s="1758">
        <f t="shared" si="0"/>
        <v>25777834.01</v>
      </c>
      <c r="E4" s="1757">
        <f t="shared" si="0"/>
        <v>25777834.01</v>
      </c>
      <c r="F4" s="1757">
        <f t="shared" si="0"/>
        <v>25777834.01</v>
      </c>
      <c r="G4" s="1801">
        <f t="shared" si="0"/>
        <v>25777834.01</v>
      </c>
      <c r="H4" s="1801">
        <f t="shared" si="0"/>
        <v>25777834.01</v>
      </c>
      <c r="I4" s="1801">
        <f t="shared" ref="I4:M4" si="1">I5+I7+I8</f>
        <v>25777834.01</v>
      </c>
      <c r="J4" s="1835">
        <f t="shared" si="1"/>
        <v>25777834.01</v>
      </c>
      <c r="K4" s="1801">
        <f t="shared" si="1"/>
        <v>25777834.01</v>
      </c>
      <c r="L4" s="1801">
        <f t="shared" si="1"/>
        <v>25777834.01</v>
      </c>
      <c r="M4" s="1809">
        <f t="shared" si="1"/>
        <v>25777834.01</v>
      </c>
      <c r="O4" s="1801">
        <f>SUM(O5:O8)</f>
        <v>25777834.01</v>
      </c>
      <c r="Q4" s="1591">
        <f>ROUND((O4+Q13),0)</f>
        <v>80777834</v>
      </c>
      <c r="R4" s="97">
        <f>Q4/Q11</f>
        <v>0.731255745544815</v>
      </c>
      <c r="S4" s="1497" t="e">
        <v>#REF!</v>
      </c>
      <c r="V4" s="1851" t="s">
        <v>450</v>
      </c>
      <c r="W4" s="1852">
        <v>25777834.01</v>
      </c>
    </row>
    <row r="5" spans="1:23">
      <c r="A5" s="1631" t="s">
        <v>451</v>
      </c>
      <c r="B5" s="1759">
        <v>55000000</v>
      </c>
      <c r="C5" s="1760">
        <f>B5</f>
        <v>55000000</v>
      </c>
      <c r="D5" s="1761">
        <f>C5</f>
        <v>55000000</v>
      </c>
      <c r="E5" s="1770">
        <f>D5</f>
        <v>55000000</v>
      </c>
      <c r="F5" s="1802">
        <f>E5</f>
        <v>55000000</v>
      </c>
      <c r="G5" s="1803">
        <v>55000000</v>
      </c>
      <c r="H5" s="1802">
        <v>55000000</v>
      </c>
      <c r="I5" s="1803">
        <v>55000000</v>
      </c>
      <c r="J5" s="1802">
        <v>55000000</v>
      </c>
      <c r="K5" s="1803">
        <v>55000000</v>
      </c>
      <c r="L5" s="1803">
        <v>55000000</v>
      </c>
      <c r="M5" s="1803">
        <v>55000000</v>
      </c>
      <c r="O5" s="1803">
        <v>55000000</v>
      </c>
      <c r="Q5" s="1591">
        <f>ROUND((O4+O13),0)</f>
        <v>55633124</v>
      </c>
      <c r="R5" s="97">
        <f>Q5/Q11</f>
        <v>0.503628774789965</v>
      </c>
      <c r="S5" s="1497"/>
      <c r="T5" s="1846" t="e">
        <v>#REF!</v>
      </c>
      <c r="U5" s="1431"/>
      <c r="V5" s="1853" t="s">
        <v>451</v>
      </c>
      <c r="W5" s="1563">
        <v>55000000</v>
      </c>
    </row>
    <row r="6" spans="1:23">
      <c r="A6" s="1631" t="s">
        <v>452</v>
      </c>
      <c r="B6" s="1762"/>
      <c r="C6" s="1760"/>
      <c r="D6" s="1761"/>
      <c r="E6" s="1770"/>
      <c r="F6" s="1802"/>
      <c r="G6" s="1803"/>
      <c r="H6" s="1802"/>
      <c r="I6" s="1803"/>
      <c r="J6" s="1802"/>
      <c r="K6" s="1803"/>
      <c r="L6" s="1803"/>
      <c r="M6" s="1803"/>
      <c r="O6" s="1803"/>
      <c r="R6" s="97"/>
      <c r="S6" s="1497"/>
      <c r="V6" s="1853" t="s">
        <v>452</v>
      </c>
      <c r="W6" s="1563"/>
    </row>
    <row r="7" spans="1:23">
      <c r="A7" s="1631" t="s">
        <v>453</v>
      </c>
      <c r="B7" s="1759">
        <v>20065000</v>
      </c>
      <c r="C7" s="1760">
        <f>B7</f>
        <v>20065000</v>
      </c>
      <c r="D7" s="1763">
        <f>C7</f>
        <v>20065000</v>
      </c>
      <c r="E7" s="1760">
        <f>D7</f>
        <v>20065000</v>
      </c>
      <c r="F7" s="1804">
        <f>E7</f>
        <v>20065000</v>
      </c>
      <c r="G7" s="1805">
        <v>20065000</v>
      </c>
      <c r="H7" s="1804">
        <v>20065000</v>
      </c>
      <c r="I7" s="1805">
        <f>H7</f>
        <v>20065000</v>
      </c>
      <c r="J7" s="1804">
        <v>20065000</v>
      </c>
      <c r="K7" s="1805">
        <v>20065000</v>
      </c>
      <c r="L7" s="1805">
        <v>20065000</v>
      </c>
      <c r="M7" s="1803">
        <v>20065000</v>
      </c>
      <c r="O7" s="1805">
        <v>20065000</v>
      </c>
      <c r="R7" s="97"/>
      <c r="S7" s="1497"/>
      <c r="V7" s="1853" t="s">
        <v>453</v>
      </c>
      <c r="W7" s="1563">
        <v>20065000</v>
      </c>
    </row>
    <row r="8" ht="14.25" spans="1:23">
      <c r="A8" s="1764" t="s">
        <v>454</v>
      </c>
      <c r="B8" s="1765">
        <v>-49287165.99</v>
      </c>
      <c r="C8" s="1765">
        <f>B8</f>
        <v>-49287165.99</v>
      </c>
      <c r="D8" s="1766">
        <f t="shared" ref="D8:F8" si="2">C8</f>
        <v>-49287165.99</v>
      </c>
      <c r="E8" s="1765">
        <f t="shared" si="2"/>
        <v>-49287165.99</v>
      </c>
      <c r="F8" s="1790">
        <f t="shared" si="2"/>
        <v>-49287165.99</v>
      </c>
      <c r="G8" s="1789">
        <v>-49287165.99</v>
      </c>
      <c r="H8" s="1790">
        <v>-49287165.99</v>
      </c>
      <c r="I8" s="1789">
        <f>H8</f>
        <v>-49287165.99</v>
      </c>
      <c r="J8" s="1790">
        <v>-49287165.99</v>
      </c>
      <c r="K8" s="1789">
        <f>-49287165.99</f>
        <v>-49287165.99</v>
      </c>
      <c r="L8" s="1789">
        <f>-49287165.99</f>
        <v>-49287165.99</v>
      </c>
      <c r="M8" s="1815">
        <v>-49287165.99</v>
      </c>
      <c r="O8" s="1789">
        <f>-49287165.99</f>
        <v>-49287165.99</v>
      </c>
      <c r="R8" s="97"/>
      <c r="S8" s="1497"/>
      <c r="V8" s="1854" t="s">
        <v>454</v>
      </c>
      <c r="W8" s="1855">
        <v>-49287165.99</v>
      </c>
    </row>
    <row r="9" ht="14.25" spans="1:23">
      <c r="A9" s="1767"/>
      <c r="B9" s="1687"/>
      <c r="C9" s="1682"/>
      <c r="E9" s="1687"/>
      <c r="F9" s="1806"/>
      <c r="G9" s="1807"/>
      <c r="H9" s="1807"/>
      <c r="I9" s="1807"/>
      <c r="J9" s="1836"/>
      <c r="K9" s="1837"/>
      <c r="L9" s="1807"/>
      <c r="M9" s="1807"/>
      <c r="O9" s="1807"/>
      <c r="R9" s="97"/>
      <c r="S9" s="1497"/>
      <c r="V9" s="1856"/>
      <c r="W9" s="1857"/>
    </row>
    <row r="10" ht="15" spans="1:23">
      <c r="A10" s="1756" t="s">
        <v>455</v>
      </c>
      <c r="B10" s="1768">
        <f t="shared" ref="B10:G10" si="3">SUM(B11:B16)</f>
        <v>114012857.29</v>
      </c>
      <c r="C10" s="1768">
        <f t="shared" si="3"/>
        <v>103450988.43</v>
      </c>
      <c r="D10" s="1769">
        <f t="shared" si="3"/>
        <v>116116304.44</v>
      </c>
      <c r="E10" s="1768">
        <f t="shared" si="3"/>
        <v>98890117.54</v>
      </c>
      <c r="F10" s="1808">
        <f t="shared" si="3"/>
        <v>108053907.03</v>
      </c>
      <c r="G10" s="1809">
        <f t="shared" si="3"/>
        <v>104915257.6</v>
      </c>
      <c r="H10" s="1809">
        <f t="shared" ref="H10:M10" si="4">SUM(H11:H16)</f>
        <v>118861921.45</v>
      </c>
      <c r="I10" s="1809">
        <f t="shared" si="4"/>
        <v>115863925.8</v>
      </c>
      <c r="J10" s="1809">
        <f t="shared" si="4"/>
        <v>112755933.17</v>
      </c>
      <c r="K10" s="1809">
        <f t="shared" si="4"/>
        <v>116802021</v>
      </c>
      <c r="L10" s="1809">
        <f t="shared" si="4"/>
        <v>106354491.9</v>
      </c>
      <c r="M10" s="1809">
        <f t="shared" si="4"/>
        <v>84686712.08</v>
      </c>
      <c r="O10" s="1809">
        <f>SUM(O11:O16)</f>
        <v>84686712.08</v>
      </c>
      <c r="Q10" s="1847">
        <f>O10-Q13</f>
        <v>29686712.08</v>
      </c>
      <c r="R10" s="97">
        <f>(Q10/Q11)</f>
        <v>0.268744254455185</v>
      </c>
      <c r="S10" s="1497">
        <f>R10*(1-0.25)</f>
        <v>0.201558190841389</v>
      </c>
      <c r="V10" s="1851" t="s">
        <v>455</v>
      </c>
      <c r="W10" s="1858">
        <f>SUM(W11:W16)</f>
        <v>106473491.9</v>
      </c>
    </row>
    <row r="11" ht="15" spans="1:23">
      <c r="A11" s="1631" t="s">
        <v>456</v>
      </c>
      <c r="B11" s="1770">
        <v>60503147.66</v>
      </c>
      <c r="C11" s="1760">
        <v>60461564.43</v>
      </c>
      <c r="D11" s="1761">
        <v>65094864.44</v>
      </c>
      <c r="E11" s="1770">
        <v>50029914.72</v>
      </c>
      <c r="F11" s="1810">
        <v>54832936.21</v>
      </c>
      <c r="G11" s="1803">
        <v>57630233.6</v>
      </c>
      <c r="H11" s="1803">
        <v>64734803.2</v>
      </c>
      <c r="I11" s="1803">
        <v>61695501.88</v>
      </c>
      <c r="J11" s="1803">
        <v>58902875.25</v>
      </c>
      <c r="K11" s="1803">
        <v>63040316.47</v>
      </c>
      <c r="L11" s="1803">
        <v>53031978.74</v>
      </c>
      <c r="M11" s="1803">
        <v>40177663.27</v>
      </c>
      <c r="O11" s="1803">
        <v>40177663.27</v>
      </c>
      <c r="Q11" s="1591">
        <f>Q4+Q10</f>
        <v>110464546.08</v>
      </c>
      <c r="R11" s="97">
        <f>Q10/Q11</f>
        <v>0.268744254455185</v>
      </c>
      <c r="S11" s="1497">
        <f>R11*(1-0.25)</f>
        <v>0.201558190841389</v>
      </c>
      <c r="U11" s="1859">
        <f>ROUND((Q4*S11),0)</f>
        <v>16281434</v>
      </c>
      <c r="V11" s="1853" t="s">
        <v>456</v>
      </c>
      <c r="W11" s="1563">
        <v>53031978.74</v>
      </c>
    </row>
    <row r="12" spans="1:23">
      <c r="A12" s="1631" t="s">
        <v>457</v>
      </c>
      <c r="B12" s="1770"/>
      <c r="C12" s="1760"/>
      <c r="D12" s="1761"/>
      <c r="E12" s="1770"/>
      <c r="F12" s="1810"/>
      <c r="G12" s="1803"/>
      <c r="H12" s="1803"/>
      <c r="I12" s="1803"/>
      <c r="J12" s="1803"/>
      <c r="K12" s="1803"/>
      <c r="L12" s="1803"/>
      <c r="M12" s="1803"/>
      <c r="O12" s="1803"/>
      <c r="R12" s="97"/>
      <c r="V12" s="1853" t="s">
        <v>457</v>
      </c>
      <c r="W12" s="1563"/>
    </row>
    <row r="13" spans="1:23">
      <c r="A13" s="1631" t="s">
        <v>458</v>
      </c>
      <c r="B13" s="1770">
        <f>88540090-B5</f>
        <v>33540090</v>
      </c>
      <c r="C13" s="1760">
        <f>88540090-C5</f>
        <v>33540090</v>
      </c>
      <c r="D13" s="1761">
        <f>88857390-D5</f>
        <v>33857390</v>
      </c>
      <c r="E13" s="1770">
        <f>88540090-E5</f>
        <v>33540090</v>
      </c>
      <c r="F13" s="1810">
        <f>88540090-F5</f>
        <v>33540090</v>
      </c>
      <c r="G13" s="1803">
        <v>33555590</v>
      </c>
      <c r="H13" s="1811">
        <v>32936746</v>
      </c>
      <c r="I13" s="1803">
        <f>32936392+119000</f>
        <v>33055392</v>
      </c>
      <c r="J13" s="1803">
        <v>32650259</v>
      </c>
      <c r="K13" s="1803">
        <f>87449036-K5+119000</f>
        <v>32568036</v>
      </c>
      <c r="L13" s="1803">
        <f>86729290-(L5)+119000</f>
        <v>31848290</v>
      </c>
      <c r="M13" s="1803">
        <f>84855290-M5</f>
        <v>29855290</v>
      </c>
      <c r="O13" s="1803">
        <f>84855290-O5</f>
        <v>29855290</v>
      </c>
      <c r="Q13" s="1836">
        <v>55000000</v>
      </c>
      <c r="V13" s="1853" t="s">
        <v>458</v>
      </c>
      <c r="W13" s="1563">
        <v>31967290</v>
      </c>
    </row>
    <row r="14" spans="1:23">
      <c r="A14" s="1631" t="s">
        <v>459</v>
      </c>
      <c r="B14" s="1770"/>
      <c r="C14" s="1760"/>
      <c r="D14" s="1761"/>
      <c r="E14" s="1770"/>
      <c r="F14" s="1810"/>
      <c r="G14" s="1803"/>
      <c r="H14" s="1803"/>
      <c r="I14" s="1803"/>
      <c r="J14" s="1803"/>
      <c r="K14" s="1803"/>
      <c r="L14" s="1803"/>
      <c r="M14" s="1803"/>
      <c r="O14" s="1803"/>
      <c r="V14" s="1853" t="s">
        <v>459</v>
      </c>
      <c r="W14" s="1563"/>
    </row>
    <row r="15" spans="1:23">
      <c r="A15" s="1631" t="s">
        <v>460</v>
      </c>
      <c r="B15" s="1770">
        <v>19969619.63</v>
      </c>
      <c r="C15" s="1760">
        <v>9449334</v>
      </c>
      <c r="D15" s="1761">
        <v>15304050</v>
      </c>
      <c r="E15" s="1770">
        <v>13508329.82</v>
      </c>
      <c r="F15" s="1812">
        <v>17914292.82</v>
      </c>
      <c r="G15" s="1813">
        <v>12008395</v>
      </c>
      <c r="H15" s="1803">
        <v>19515239.25</v>
      </c>
      <c r="I15" s="1803">
        <v>19484163.92</v>
      </c>
      <c r="J15" s="1803">
        <v>19620558.92</v>
      </c>
      <c r="K15" s="1803">
        <v>19658421.53</v>
      </c>
      <c r="L15" s="1803">
        <v>19986337.16</v>
      </c>
      <c r="M15" s="1803">
        <v>13213604.81</v>
      </c>
      <c r="O15" s="1803">
        <v>13213604.81</v>
      </c>
      <c r="V15" s="1853" t="s">
        <v>460</v>
      </c>
      <c r="W15" s="1563">
        <v>19986337.16</v>
      </c>
    </row>
    <row r="16" ht="14.25" spans="1:23">
      <c r="A16" s="1764" t="s">
        <v>461</v>
      </c>
      <c r="B16" s="1771"/>
      <c r="C16" s="1772"/>
      <c r="D16" s="1773">
        <v>1860000</v>
      </c>
      <c r="E16" s="1771">
        <v>1811783</v>
      </c>
      <c r="F16" s="1814">
        <v>1766588</v>
      </c>
      <c r="G16" s="1789">
        <v>1721039</v>
      </c>
      <c r="H16" s="1815">
        <v>1675133</v>
      </c>
      <c r="I16" s="1815">
        <v>1628868</v>
      </c>
      <c r="J16" s="1815">
        <v>1582240</v>
      </c>
      <c r="K16" s="1815">
        <v>1535247</v>
      </c>
      <c r="L16" s="1815">
        <v>1487886</v>
      </c>
      <c r="M16" s="1815">
        <v>1440154</v>
      </c>
      <c r="O16" s="1832">
        <v>1440154</v>
      </c>
      <c r="V16" s="1860" t="s">
        <v>461</v>
      </c>
      <c r="W16" s="1861">
        <v>1487886</v>
      </c>
    </row>
    <row r="17" ht="14.25" spans="1:23">
      <c r="A17" s="1767"/>
      <c r="B17" s="1687"/>
      <c r="C17" s="1682"/>
      <c r="D17" s="1774"/>
      <c r="E17" s="1687"/>
      <c r="F17" s="1806"/>
      <c r="G17" s="1807"/>
      <c r="H17" s="1807"/>
      <c r="I17" s="1807"/>
      <c r="J17" s="1807"/>
      <c r="K17" s="1807"/>
      <c r="L17" s="1807"/>
      <c r="M17" s="1807"/>
      <c r="O17" s="1843"/>
      <c r="V17" s="1862"/>
      <c r="W17" s="924"/>
    </row>
    <row r="18" spans="1:23">
      <c r="A18" s="1756" t="s">
        <v>462</v>
      </c>
      <c r="B18" s="1768">
        <f>SUM(B20:B25)</f>
        <v>19814209.08</v>
      </c>
      <c r="C18" s="1768">
        <f t="shared" ref="C18:D18" si="5">SUM(C20:C25)</f>
        <v>23658400.45</v>
      </c>
      <c r="D18" s="1769">
        <f t="shared" si="5"/>
        <v>19059023.58</v>
      </c>
      <c r="E18" s="1768">
        <f t="shared" ref="E18:L18" si="6">SUM(E20:E24)</f>
        <v>21608913.41</v>
      </c>
      <c r="F18" s="1808">
        <f t="shared" si="6"/>
        <v>17039367.43</v>
      </c>
      <c r="G18" s="1809">
        <f t="shared" si="6"/>
        <v>16259171.01</v>
      </c>
      <c r="H18" s="1809">
        <f t="shared" si="6"/>
        <v>13558516.58</v>
      </c>
      <c r="I18" s="1809">
        <f t="shared" si="6"/>
        <v>14544279.45</v>
      </c>
      <c r="J18" s="1809">
        <f t="shared" si="6"/>
        <v>21202877.36</v>
      </c>
      <c r="K18" s="1809">
        <f t="shared" si="6"/>
        <v>19678676.09</v>
      </c>
      <c r="L18" s="1809">
        <f t="shared" si="6"/>
        <v>8843329.68</v>
      </c>
      <c r="M18" s="1809">
        <f>SUM(M20:M25)</f>
        <v>4847342.09</v>
      </c>
      <c r="O18" s="1809">
        <f>SUM(O20:O25)</f>
        <v>4847342.09</v>
      </c>
      <c r="V18" s="1863" t="s">
        <v>462</v>
      </c>
      <c r="W18" s="1864">
        <f>SUM(W19:W25)</f>
        <v>8843329.68</v>
      </c>
    </row>
    <row r="19" spans="1:23">
      <c r="A19" s="1631" t="s">
        <v>463</v>
      </c>
      <c r="B19" s="1770"/>
      <c r="C19" s="1760"/>
      <c r="D19" s="1761"/>
      <c r="E19" s="1770"/>
      <c r="F19" s="1810"/>
      <c r="G19" s="1803"/>
      <c r="H19" s="1803"/>
      <c r="I19" s="1803"/>
      <c r="J19" s="1803"/>
      <c r="K19" s="1803"/>
      <c r="L19" s="1803"/>
      <c r="M19" s="1803"/>
      <c r="O19" s="1803"/>
      <c r="V19" s="1853" t="s">
        <v>463</v>
      </c>
      <c r="W19" s="1563"/>
    </row>
    <row r="20" spans="1:23">
      <c r="A20" s="1631" t="s">
        <v>464</v>
      </c>
      <c r="B20" s="1770">
        <v>409023</v>
      </c>
      <c r="C20" s="1760">
        <v>394443</v>
      </c>
      <c r="D20" s="1761">
        <v>402882</v>
      </c>
      <c r="E20" s="1770">
        <v>417463</v>
      </c>
      <c r="F20" s="1810">
        <v>432432</v>
      </c>
      <c r="G20" s="1803">
        <v>432177</v>
      </c>
      <c r="H20" s="1803">
        <v>459703</v>
      </c>
      <c r="I20" s="1803">
        <v>403580</v>
      </c>
      <c r="J20" s="1803">
        <v>417602</v>
      </c>
      <c r="K20" s="1803">
        <v>416537</v>
      </c>
      <c r="L20" s="1803">
        <v>414940</v>
      </c>
      <c r="M20" s="1803">
        <v>404431</v>
      </c>
      <c r="O20" s="1803">
        <v>404431</v>
      </c>
      <c r="V20" s="1853" t="s">
        <v>464</v>
      </c>
      <c r="W20" s="1563">
        <v>414940</v>
      </c>
    </row>
    <row r="21" spans="1:23">
      <c r="A21" s="1631" t="s">
        <v>465</v>
      </c>
      <c r="B21" s="1770">
        <v>-443015.17</v>
      </c>
      <c r="C21" s="1760">
        <v>-346027.97</v>
      </c>
      <c r="D21" s="1761">
        <v>-1494766.94</v>
      </c>
      <c r="E21" s="1770">
        <v>-2476082.82</v>
      </c>
      <c r="F21" s="1810">
        <v>-4414453.63</v>
      </c>
      <c r="G21" s="1803">
        <v>-4636550.83</v>
      </c>
      <c r="H21" s="1803">
        <v>-6242746.61</v>
      </c>
      <c r="I21" s="1803">
        <v>-7717523.07</v>
      </c>
      <c r="J21" s="1803">
        <v>-8850462.41</v>
      </c>
      <c r="K21" s="1803">
        <v>-10856541.88</v>
      </c>
      <c r="L21" s="1803">
        <v>-11647101.16</v>
      </c>
      <c r="M21" s="1803">
        <v>-12158955.58</v>
      </c>
      <c r="O21" s="1803">
        <v>-12158955.58</v>
      </c>
      <c r="V21" s="1853" t="s">
        <v>465</v>
      </c>
      <c r="W21" s="1563">
        <v>-11647101.16</v>
      </c>
    </row>
    <row r="22" spans="1:23">
      <c r="A22" s="1631" t="s">
        <v>466</v>
      </c>
      <c r="B22" s="1770">
        <v>11096297</v>
      </c>
      <c r="C22" s="1760">
        <v>11298049</v>
      </c>
      <c r="D22" s="1761">
        <v>11627429</v>
      </c>
      <c r="E22" s="1770">
        <v>11933744</v>
      </c>
      <c r="F22" s="1810">
        <v>11744219</v>
      </c>
      <c r="G22" s="1803">
        <v>10738532</v>
      </c>
      <c r="H22" s="1803">
        <v>10504882</v>
      </c>
      <c r="I22" s="1803">
        <v>10652555</v>
      </c>
      <c r="J22" s="1803">
        <v>11092061</v>
      </c>
      <c r="K22" s="1803">
        <v>11148037</v>
      </c>
      <c r="L22" s="1803">
        <v>11199367</v>
      </c>
      <c r="M22" s="1803">
        <v>9897181</v>
      </c>
      <c r="O22" s="1803">
        <v>9897181</v>
      </c>
      <c r="V22" s="1853" t="s">
        <v>466</v>
      </c>
      <c r="W22" s="1563">
        <v>11199367</v>
      </c>
    </row>
    <row r="23" spans="1:23">
      <c r="A23" s="1631" t="s">
        <v>467</v>
      </c>
      <c r="B23" s="1770">
        <v>7039934.25</v>
      </c>
      <c r="C23" s="1760">
        <v>10449966.42</v>
      </c>
      <c r="D23" s="1761">
        <v>6798479.52</v>
      </c>
      <c r="E23" s="1770">
        <v>10008789.23</v>
      </c>
      <c r="F23" s="1810">
        <v>7552170.06</v>
      </c>
      <c r="G23" s="1803">
        <v>8000012.84</v>
      </c>
      <c r="H23" s="1803">
        <v>7111678.19</v>
      </c>
      <c r="I23" s="1803">
        <v>9480667.52</v>
      </c>
      <c r="J23" s="1803">
        <v>16818676.77</v>
      </c>
      <c r="K23" s="1803">
        <v>17245643.97</v>
      </c>
      <c r="L23" s="1803">
        <v>7001123.84</v>
      </c>
      <c r="M23" s="1803">
        <v>4728385.67</v>
      </c>
      <c r="O23" s="1803">
        <v>4728385.67</v>
      </c>
      <c r="V23" s="1853" t="s">
        <v>467</v>
      </c>
      <c r="W23" s="1563">
        <v>7001123.84</v>
      </c>
    </row>
    <row r="24" spans="1:23">
      <c r="A24" s="1631" t="s">
        <v>468</v>
      </c>
      <c r="B24" s="1770">
        <v>1711970</v>
      </c>
      <c r="C24" s="1760">
        <v>1861970</v>
      </c>
      <c r="D24" s="1761">
        <v>1725000</v>
      </c>
      <c r="E24" s="1770">
        <v>1725000</v>
      </c>
      <c r="F24" s="1810">
        <v>1725000</v>
      </c>
      <c r="G24" s="1803">
        <v>1725000</v>
      </c>
      <c r="H24" s="1803">
        <v>1725000</v>
      </c>
      <c r="I24" s="1803">
        <v>1725000</v>
      </c>
      <c r="J24" s="1803">
        <v>1725000</v>
      </c>
      <c r="K24" s="1803">
        <v>1725000</v>
      </c>
      <c r="L24" s="1803">
        <v>1875000</v>
      </c>
      <c r="M24" s="1803">
        <v>1976300</v>
      </c>
      <c r="O24" s="1803">
        <v>1976300</v>
      </c>
      <c r="V24" s="1853" t="s">
        <v>468</v>
      </c>
      <c r="W24" s="1563">
        <v>1875000</v>
      </c>
    </row>
    <row r="25" ht="14.25" spans="1:23">
      <c r="A25" s="1764" t="s">
        <v>469</v>
      </c>
      <c r="B25" s="1771"/>
      <c r="C25" s="1772"/>
      <c r="D25" s="1773"/>
      <c r="E25" s="1771"/>
      <c r="F25" s="1814"/>
      <c r="G25" s="1815"/>
      <c r="H25" s="1815"/>
      <c r="I25" s="1815"/>
      <c r="J25" s="1815"/>
      <c r="K25" s="1815"/>
      <c r="L25" s="1815"/>
      <c r="M25" s="1815"/>
      <c r="O25" s="1815"/>
      <c r="V25" s="1865" t="s">
        <v>469</v>
      </c>
      <c r="W25" s="1534"/>
    </row>
    <row r="26" ht="14.25" spans="1:23">
      <c r="A26" s="1767"/>
      <c r="B26" s="1687"/>
      <c r="C26" s="1682"/>
      <c r="D26" s="1774"/>
      <c r="E26" s="1687"/>
      <c r="F26" s="1806"/>
      <c r="G26" s="1807"/>
      <c r="H26" s="1807"/>
      <c r="I26" s="1807"/>
      <c r="J26" s="1807"/>
      <c r="K26" s="1807"/>
      <c r="L26" s="1807"/>
      <c r="M26" s="1807"/>
      <c r="O26" s="1807"/>
      <c r="V26" s="1866"/>
      <c r="W26" s="924"/>
    </row>
    <row r="27" spans="1:23">
      <c r="A27" s="1756" t="s">
        <v>470</v>
      </c>
      <c r="B27" s="1768">
        <f t="shared" ref="B27:M27" si="7">B28+B29</f>
        <v>263189.98</v>
      </c>
      <c r="C27" s="1768">
        <f t="shared" si="7"/>
        <v>2092541.2</v>
      </c>
      <c r="D27" s="1769">
        <f t="shared" si="7"/>
        <v>3964663.31</v>
      </c>
      <c r="E27" s="1768">
        <f t="shared" si="7"/>
        <v>4553459.56</v>
      </c>
      <c r="F27" s="1808">
        <f t="shared" si="7"/>
        <v>5695475.6</v>
      </c>
      <c r="G27" s="1809">
        <f t="shared" si="7"/>
        <v>5108928.88</v>
      </c>
      <c r="H27" s="1809">
        <f t="shared" si="7"/>
        <v>3973213.26</v>
      </c>
      <c r="I27" s="1809">
        <f t="shared" si="7"/>
        <v>3822527.43</v>
      </c>
      <c r="J27" s="1809">
        <f t="shared" si="7"/>
        <v>2263127.5</v>
      </c>
      <c r="K27" s="1809">
        <f t="shared" si="7"/>
        <v>3589371.14</v>
      </c>
      <c r="L27" s="1809">
        <f t="shared" si="7"/>
        <v>5277356.76</v>
      </c>
      <c r="M27" s="1809">
        <f t="shared" si="7"/>
        <v>9603395.08</v>
      </c>
      <c r="O27" s="1809">
        <f>O28+O29</f>
        <v>9603395.08</v>
      </c>
      <c r="V27" s="1863" t="s">
        <v>470</v>
      </c>
      <c r="W27" s="1864">
        <f>SUM(W28:W29)</f>
        <v>5277356.76</v>
      </c>
    </row>
    <row r="28" spans="1:23">
      <c r="A28" s="1638" t="s">
        <v>471</v>
      </c>
      <c r="B28" s="1770">
        <v>112.54</v>
      </c>
      <c r="C28" s="1760">
        <f>B27</f>
        <v>263189.98</v>
      </c>
      <c r="D28" s="1761">
        <f>C27</f>
        <v>2092541.2</v>
      </c>
      <c r="E28" s="1770">
        <f>D27</f>
        <v>3964663.31</v>
      </c>
      <c r="F28" s="1810">
        <f t="shared" ref="F28:M28" si="8">E27</f>
        <v>4553459.56</v>
      </c>
      <c r="G28" s="1803">
        <f t="shared" si="8"/>
        <v>5695475.6</v>
      </c>
      <c r="H28" s="1803">
        <f t="shared" si="8"/>
        <v>5108928.88</v>
      </c>
      <c r="I28" s="1803">
        <f t="shared" si="8"/>
        <v>3973213.26</v>
      </c>
      <c r="J28" s="1803">
        <f t="shared" si="8"/>
        <v>3822527.43</v>
      </c>
      <c r="K28" s="1803">
        <f t="shared" si="8"/>
        <v>2263127.5</v>
      </c>
      <c r="L28" s="1803">
        <f t="shared" si="8"/>
        <v>3589371.14</v>
      </c>
      <c r="M28" s="1803">
        <f t="shared" si="8"/>
        <v>5277356.76</v>
      </c>
      <c r="O28" s="1803">
        <v>0</v>
      </c>
      <c r="P28" s="97">
        <v>195070720.23</v>
      </c>
      <c r="V28" s="663" t="s">
        <v>471</v>
      </c>
      <c r="W28" s="1563">
        <v>0</v>
      </c>
    </row>
    <row r="29" ht="14.25" spans="1:23">
      <c r="A29" s="1775" t="s">
        <v>472</v>
      </c>
      <c r="B29" s="1771">
        <v>263077.44</v>
      </c>
      <c r="C29" s="1772">
        <v>1829351.22</v>
      </c>
      <c r="D29" s="1773">
        <v>1872122.11</v>
      </c>
      <c r="E29" s="1771">
        <v>588796.25</v>
      </c>
      <c r="F29" s="1814">
        <f>1142128.58-112.54</f>
        <v>1142016.04</v>
      </c>
      <c r="G29" s="1815">
        <f>-586546.72</f>
        <v>-586546.72</v>
      </c>
      <c r="H29" s="1815">
        <f>-1138714.62+2999</f>
        <v>-1135715.62</v>
      </c>
      <c r="I29" s="1815">
        <f>-31685.83-119000</f>
        <v>-150685.83</v>
      </c>
      <c r="J29" s="1815">
        <f>-1658501.83+103100-3998.1</f>
        <v>-1559399.93</v>
      </c>
      <c r="K29" s="1815">
        <f>1445895.64-652-119000</f>
        <v>1326243.64</v>
      </c>
      <c r="L29" s="1815">
        <f>1806985.62-119000</f>
        <v>1687985.62</v>
      </c>
      <c r="M29" s="1815">
        <f>4087018.32+239020</f>
        <v>4326038.32</v>
      </c>
      <c r="O29" s="1815">
        <v>9603395.08</v>
      </c>
      <c r="P29" s="1591">
        <f>P28-O30</f>
        <v>70155436.97</v>
      </c>
      <c r="V29" s="1867" t="s">
        <v>472</v>
      </c>
      <c r="W29" s="1534">
        <v>5277356.76</v>
      </c>
    </row>
    <row r="30" ht="14.25" spans="1:23">
      <c r="A30" s="1776" t="s">
        <v>52</v>
      </c>
      <c r="B30" s="1777">
        <f>B4+B10+B18+B27</f>
        <v>159868090.36</v>
      </c>
      <c r="C30" s="1777">
        <f t="shared" ref="C30:M30" si="9">C4+C10+C18+C27</f>
        <v>154979764.09</v>
      </c>
      <c r="D30" s="1778">
        <f t="shared" si="9"/>
        <v>164917825.34</v>
      </c>
      <c r="E30" s="1777">
        <f t="shared" si="9"/>
        <v>150830324.52</v>
      </c>
      <c r="F30" s="1777">
        <f t="shared" si="9"/>
        <v>156566584.07</v>
      </c>
      <c r="G30" s="1777">
        <f t="shared" si="9"/>
        <v>152061191.5</v>
      </c>
      <c r="H30" s="1777">
        <f t="shared" si="9"/>
        <v>162171485.3</v>
      </c>
      <c r="I30" s="1777">
        <f t="shared" si="9"/>
        <v>160008566.69</v>
      </c>
      <c r="J30" s="1777">
        <f t="shared" si="9"/>
        <v>161999772.04</v>
      </c>
      <c r="K30" s="1777">
        <f t="shared" si="9"/>
        <v>165847902.24</v>
      </c>
      <c r="L30" s="1777">
        <f t="shared" si="9"/>
        <v>146253012.35</v>
      </c>
      <c r="M30" s="1777">
        <f t="shared" si="9"/>
        <v>124915283.26</v>
      </c>
      <c r="O30" s="1777">
        <f>O4+O10+O18+O27</f>
        <v>124915283.26</v>
      </c>
      <c r="P30" s="1591">
        <f>K30-O30</f>
        <v>40932618.98</v>
      </c>
      <c r="V30" s="1868" t="s">
        <v>52</v>
      </c>
      <c r="W30" s="1869">
        <v>146372012.35</v>
      </c>
    </row>
    <row r="31" ht="16.5" spans="1:23">
      <c r="A31" s="1779" t="s">
        <v>473</v>
      </c>
      <c r="B31" s="1780" t="s">
        <v>449</v>
      </c>
      <c r="C31" s="1780" t="s">
        <v>449</v>
      </c>
      <c r="D31" s="1781"/>
      <c r="E31" s="1683"/>
      <c r="F31" s="1816"/>
      <c r="G31" s="1817"/>
      <c r="H31" s="1817"/>
      <c r="I31" s="1817"/>
      <c r="J31" s="1817"/>
      <c r="K31" s="1817"/>
      <c r="L31" s="1817"/>
      <c r="M31" s="1817"/>
      <c r="O31" s="1817"/>
      <c r="V31" s="1779" t="s">
        <v>473</v>
      </c>
      <c r="W31" s="1549"/>
    </row>
    <row r="32" ht="16.5" spans="1:23">
      <c r="A32" s="1779"/>
      <c r="B32" s="1780"/>
      <c r="C32" s="1780"/>
      <c r="D32" s="1781"/>
      <c r="E32" s="1683"/>
      <c r="F32" s="1781"/>
      <c r="G32" s="1817"/>
      <c r="H32" s="1781"/>
      <c r="I32" s="1817"/>
      <c r="J32" s="1816"/>
      <c r="K32" s="1817"/>
      <c r="L32" s="1817"/>
      <c r="M32" s="1817"/>
      <c r="O32" s="1817"/>
      <c r="V32" s="1779"/>
      <c r="W32" s="1549"/>
    </row>
    <row r="33" ht="17.25" spans="1:23">
      <c r="A33" s="1779" t="s">
        <v>450</v>
      </c>
      <c r="B33" s="1781"/>
      <c r="C33" s="1781"/>
      <c r="D33" s="1781"/>
      <c r="E33" s="1781"/>
      <c r="F33" s="1781"/>
      <c r="G33" s="1817"/>
      <c r="H33" s="1781"/>
      <c r="I33" s="1817"/>
      <c r="J33" s="1816"/>
      <c r="K33" s="1817"/>
      <c r="L33" s="1817"/>
      <c r="M33" s="1817"/>
      <c r="O33" s="1817"/>
      <c r="V33" s="1779" t="s">
        <v>450</v>
      </c>
      <c r="W33" s="1549"/>
    </row>
    <row r="34" spans="1:23">
      <c r="A34" s="1756" t="s">
        <v>474</v>
      </c>
      <c r="B34" s="1768">
        <f>SUM(B35:B41)</f>
        <v>3508648.8</v>
      </c>
      <c r="C34" s="1768">
        <f t="shared" ref="C34:M34" si="10">SUM(C35:C41)</f>
        <v>3408711.8</v>
      </c>
      <c r="D34" s="1769">
        <f t="shared" si="10"/>
        <v>5344934.8</v>
      </c>
      <c r="E34" s="1768">
        <f t="shared" si="10"/>
        <v>5344934.8</v>
      </c>
      <c r="F34" s="1818">
        <f t="shared" si="10"/>
        <v>4949595.8</v>
      </c>
      <c r="G34" s="1809">
        <f t="shared" si="10"/>
        <v>4824483.26</v>
      </c>
      <c r="H34" s="1818">
        <f t="shared" si="10"/>
        <v>4699483.26</v>
      </c>
      <c r="I34" s="1809">
        <f t="shared" si="10"/>
        <v>4574483.26</v>
      </c>
      <c r="J34" s="1808">
        <f t="shared" si="10"/>
        <v>4449483.26</v>
      </c>
      <c r="K34" s="1809">
        <f t="shared" si="10"/>
        <v>4324483.26</v>
      </c>
      <c r="L34" s="1809">
        <f t="shared" si="10"/>
        <v>4199483.26</v>
      </c>
      <c r="M34" s="1809">
        <f t="shared" si="10"/>
        <v>4074483.26</v>
      </c>
      <c r="O34" s="1809">
        <f>SUM(O35:O41)</f>
        <v>4074483.26</v>
      </c>
      <c r="V34" s="1863" t="s">
        <v>474</v>
      </c>
      <c r="W34" s="1864">
        <f>SUM(W35:W41)</f>
        <v>4199483.26</v>
      </c>
    </row>
    <row r="35" spans="1:23">
      <c r="A35" s="1631" t="s">
        <v>475</v>
      </c>
      <c r="B35" s="1759">
        <v>1408648.35</v>
      </c>
      <c r="C35" s="1759">
        <v>1408648.35</v>
      </c>
      <c r="D35" s="1782">
        <v>3469871.35</v>
      </c>
      <c r="E35" s="1759">
        <v>3469871.35</v>
      </c>
      <c r="F35" s="1819">
        <v>3199532.35</v>
      </c>
      <c r="G35" s="1813">
        <v>3199532.35</v>
      </c>
      <c r="H35" s="1820">
        <v>3199532.35</v>
      </c>
      <c r="I35" s="1838">
        <v>3199532.35</v>
      </c>
      <c r="J35" s="1839">
        <v>3199532.35</v>
      </c>
      <c r="K35" s="1838">
        <v>3199532.35</v>
      </c>
      <c r="L35" s="1830">
        <v>3199532.35</v>
      </c>
      <c r="M35" s="1830">
        <v>3199532.35</v>
      </c>
      <c r="O35" s="1830">
        <v>3199532.35</v>
      </c>
      <c r="V35" s="1853" t="s">
        <v>475</v>
      </c>
      <c r="W35" s="1563">
        <v>3199532.35</v>
      </c>
    </row>
    <row r="36" spans="1:23">
      <c r="A36" s="1631" t="s">
        <v>476</v>
      </c>
      <c r="B36" s="1759">
        <v>6781</v>
      </c>
      <c r="C36" s="1759">
        <v>6781</v>
      </c>
      <c r="D36" s="1782">
        <v>6781</v>
      </c>
      <c r="E36" s="1821">
        <v>6781</v>
      </c>
      <c r="F36" s="1819">
        <v>6781</v>
      </c>
      <c r="G36" s="1813">
        <v>6781</v>
      </c>
      <c r="H36" s="1819">
        <v>6781</v>
      </c>
      <c r="I36" s="1813">
        <v>6781</v>
      </c>
      <c r="J36" s="1840">
        <v>6781</v>
      </c>
      <c r="K36" s="1838">
        <v>6781</v>
      </c>
      <c r="L36" s="1830">
        <v>6781</v>
      </c>
      <c r="M36" s="1830">
        <v>6781</v>
      </c>
      <c r="O36" s="1830">
        <v>6781</v>
      </c>
      <c r="V36" s="1853" t="s">
        <v>476</v>
      </c>
      <c r="W36" s="1563">
        <v>6781</v>
      </c>
    </row>
    <row r="37" spans="1:23">
      <c r="A37" s="1631" t="s">
        <v>477</v>
      </c>
      <c r="B37" s="1759">
        <v>192463.42</v>
      </c>
      <c r="C37" s="1759">
        <v>217526.42</v>
      </c>
      <c r="D37" s="1782">
        <v>217526.42</v>
      </c>
      <c r="E37" s="1759">
        <v>217526.42</v>
      </c>
      <c r="F37" s="1819">
        <v>217526.42</v>
      </c>
      <c r="G37" s="1813">
        <v>217525.88</v>
      </c>
      <c r="H37" s="1819">
        <v>217525.88</v>
      </c>
      <c r="I37" s="1813">
        <v>217525.88</v>
      </c>
      <c r="J37" s="1840">
        <v>217525.88</v>
      </c>
      <c r="K37" s="1838">
        <v>217525.88</v>
      </c>
      <c r="L37" s="1830">
        <v>217525.88</v>
      </c>
      <c r="M37" s="1830">
        <v>217525.88</v>
      </c>
      <c r="O37" s="1830">
        <v>217525.88</v>
      </c>
      <c r="V37" s="1853" t="s">
        <v>477</v>
      </c>
      <c r="W37" s="1563">
        <v>217525.88</v>
      </c>
    </row>
    <row r="38" spans="1:23">
      <c r="A38" s="1631" t="s">
        <v>478</v>
      </c>
      <c r="B38" s="1759">
        <v>1455357</v>
      </c>
      <c r="C38" s="1759">
        <v>1455357</v>
      </c>
      <c r="D38" s="1782">
        <v>1455357</v>
      </c>
      <c r="E38" s="1759">
        <v>1580357</v>
      </c>
      <c r="F38" s="1819">
        <v>1580357</v>
      </c>
      <c r="G38" s="1813">
        <v>1580245</v>
      </c>
      <c r="H38" s="1819">
        <v>1580245</v>
      </c>
      <c r="I38" s="1813">
        <v>1580245</v>
      </c>
      <c r="J38" s="1840">
        <v>1580245</v>
      </c>
      <c r="K38" s="1838">
        <v>1580245</v>
      </c>
      <c r="L38" s="1830">
        <v>1580245</v>
      </c>
      <c r="M38" s="1830">
        <v>1580245</v>
      </c>
      <c r="O38" s="1830">
        <v>1580245</v>
      </c>
      <c r="V38" s="1853" t="s">
        <v>478</v>
      </c>
      <c r="W38" s="1563">
        <v>1580245</v>
      </c>
    </row>
    <row r="39" spans="1:23">
      <c r="A39" s="1638" t="s">
        <v>479</v>
      </c>
      <c r="B39" s="1759">
        <v>-125000</v>
      </c>
      <c r="C39" s="1759">
        <v>-250000</v>
      </c>
      <c r="D39" s="1782">
        <v>-375000</v>
      </c>
      <c r="E39" s="1759">
        <v>-500000</v>
      </c>
      <c r="F39" s="1822">
        <v>-625000</v>
      </c>
      <c r="G39" s="1813">
        <v>-750000</v>
      </c>
      <c r="H39" s="1819">
        <v>-875000</v>
      </c>
      <c r="I39" s="1813">
        <v>-1000000</v>
      </c>
      <c r="J39" s="1812">
        <v>-1125000</v>
      </c>
      <c r="K39" s="1813">
        <v>-1250000</v>
      </c>
      <c r="L39" s="1803">
        <v>-1375000</v>
      </c>
      <c r="M39" s="1803">
        <v>-1500000</v>
      </c>
      <c r="O39" s="1803">
        <v>-1500000</v>
      </c>
      <c r="V39" s="663" t="s">
        <v>479</v>
      </c>
      <c r="W39" s="1563">
        <v>-1375000</v>
      </c>
    </row>
    <row r="40" spans="1:23">
      <c r="A40" s="1638" t="s">
        <v>480</v>
      </c>
      <c r="B40" s="1759">
        <v>11970</v>
      </c>
      <c r="C40" s="1759">
        <v>11970</v>
      </c>
      <c r="D40" s="1782">
        <v>11970</v>
      </c>
      <c r="E40" s="1759">
        <v>11970</v>
      </c>
      <c r="F40" s="1819">
        <v>11970</v>
      </c>
      <c r="G40" s="1813">
        <v>11970</v>
      </c>
      <c r="H40" s="1819">
        <v>11970</v>
      </c>
      <c r="I40" s="1813">
        <v>11970</v>
      </c>
      <c r="J40" s="1839">
        <v>11970</v>
      </c>
      <c r="K40" s="1838">
        <v>11970</v>
      </c>
      <c r="L40" s="1830">
        <v>11970</v>
      </c>
      <c r="M40" s="1830">
        <v>11970</v>
      </c>
      <c r="O40" s="1830">
        <v>11970</v>
      </c>
      <c r="V40" s="663" t="s">
        <v>480</v>
      </c>
      <c r="W40" s="1563">
        <v>11970</v>
      </c>
    </row>
    <row r="41" ht="14.25" spans="1:23">
      <c r="A41" s="1775" t="s">
        <v>481</v>
      </c>
      <c r="B41" s="1765">
        <v>558429.03</v>
      </c>
      <c r="C41" s="1765">
        <v>558429.03</v>
      </c>
      <c r="D41" s="1766">
        <v>558429.03</v>
      </c>
      <c r="E41" s="1765">
        <v>558429.03</v>
      </c>
      <c r="F41" s="1790">
        <v>558429.03</v>
      </c>
      <c r="G41" s="1789">
        <v>558429.03</v>
      </c>
      <c r="H41" s="1790">
        <v>558429.03</v>
      </c>
      <c r="I41" s="1789">
        <v>558429.03</v>
      </c>
      <c r="J41" s="1841">
        <v>558429.03</v>
      </c>
      <c r="K41" s="1842">
        <v>558429.03</v>
      </c>
      <c r="L41" s="1815">
        <v>558429.03</v>
      </c>
      <c r="M41" s="1844">
        <v>558429.03</v>
      </c>
      <c r="O41" s="1845">
        <v>558429.03</v>
      </c>
      <c r="V41" s="1867" t="s">
        <v>481</v>
      </c>
      <c r="W41" s="1534">
        <v>558429.03</v>
      </c>
    </row>
    <row r="42" ht="14.25" spans="1:23">
      <c r="A42" s="1783"/>
      <c r="B42" s="1784"/>
      <c r="C42" s="1785"/>
      <c r="D42" s="1786"/>
      <c r="E42" s="1784"/>
      <c r="F42" s="1823"/>
      <c r="G42" s="1824"/>
      <c r="H42" s="1824"/>
      <c r="I42" s="1824"/>
      <c r="J42" s="1824"/>
      <c r="K42" s="1824"/>
      <c r="L42" s="1807"/>
      <c r="M42" s="1807"/>
      <c r="O42" s="1843"/>
      <c r="V42" s="1870"/>
      <c r="W42" s="1871"/>
    </row>
    <row r="43" spans="1:23">
      <c r="A43" s="1756" t="s">
        <v>482</v>
      </c>
      <c r="B43" s="1769">
        <f>B44</f>
        <v>2140104.73</v>
      </c>
      <c r="C43" s="1787">
        <f t="shared" ref="C43:O43" si="11">C44</f>
        <v>2140104.73</v>
      </c>
      <c r="D43" s="1788">
        <f t="shared" si="11"/>
        <v>2140104.73</v>
      </c>
      <c r="E43" s="1825">
        <f t="shared" si="11"/>
        <v>2140104.73</v>
      </c>
      <c r="F43" s="1826">
        <f t="shared" si="11"/>
        <v>2140104.73</v>
      </c>
      <c r="G43" s="1827">
        <f t="shared" si="11"/>
        <v>2140104.73</v>
      </c>
      <c r="H43" s="1827">
        <f t="shared" si="11"/>
        <v>2140104.73</v>
      </c>
      <c r="I43" s="1827">
        <f t="shared" si="11"/>
        <v>2140104.73</v>
      </c>
      <c r="J43" s="1809">
        <f t="shared" si="11"/>
        <v>2140104.73</v>
      </c>
      <c r="K43" s="1809">
        <f t="shared" si="11"/>
        <v>2140104.73</v>
      </c>
      <c r="L43" s="1809">
        <f t="shared" si="11"/>
        <v>2140104.73</v>
      </c>
      <c r="M43" s="1809">
        <f t="shared" si="11"/>
        <v>2140104.73</v>
      </c>
      <c r="O43" s="1809">
        <f t="shared" si="11"/>
        <v>2140104.73</v>
      </c>
      <c r="V43" s="1863" t="s">
        <v>482</v>
      </c>
      <c r="W43" s="1864">
        <f>W44</f>
        <v>2140104.73</v>
      </c>
    </row>
    <row r="44" ht="14.25" spans="1:23">
      <c r="A44" s="1775" t="s">
        <v>483</v>
      </c>
      <c r="B44" s="1766">
        <v>2140104.73</v>
      </c>
      <c r="C44" s="1789">
        <v>2140104.73</v>
      </c>
      <c r="D44" s="1790">
        <v>2140104.73</v>
      </c>
      <c r="E44" s="1765">
        <v>2140104.73</v>
      </c>
      <c r="F44" s="1790">
        <v>2140104.73</v>
      </c>
      <c r="G44" s="1789">
        <v>2140104.73</v>
      </c>
      <c r="H44" s="1828">
        <v>2140104.73</v>
      </c>
      <c r="I44" s="1828">
        <v>2140104.73</v>
      </c>
      <c r="J44" s="1815">
        <v>2140104.73</v>
      </c>
      <c r="K44" s="1815">
        <v>2140104.73</v>
      </c>
      <c r="L44" s="1815">
        <v>2140104.73</v>
      </c>
      <c r="M44" s="1815">
        <v>2140104.73</v>
      </c>
      <c r="O44" s="1815">
        <v>2140104.73</v>
      </c>
      <c r="V44" s="1867" t="s">
        <v>483</v>
      </c>
      <c r="W44" s="1872">
        <v>2140104.73</v>
      </c>
    </row>
    <row r="45" ht="14.25" spans="1:23">
      <c r="A45" s="1783"/>
      <c r="B45" s="1687"/>
      <c r="C45" s="1682"/>
      <c r="D45" s="1774"/>
      <c r="E45" s="1687"/>
      <c r="F45" s="1806"/>
      <c r="G45" s="1807"/>
      <c r="H45" s="1807"/>
      <c r="I45" s="1807"/>
      <c r="J45" s="1807"/>
      <c r="K45" s="1807"/>
      <c r="L45" s="1807"/>
      <c r="M45" s="1807"/>
      <c r="O45" s="1807"/>
      <c r="V45" s="1870"/>
      <c r="W45" s="1871"/>
    </row>
    <row r="46" spans="1:23">
      <c r="A46" s="1756" t="s">
        <v>484</v>
      </c>
      <c r="B46" s="1768">
        <f t="shared" ref="B46:M46" si="12">SUM(B47:B54)</f>
        <v>154219336.83</v>
      </c>
      <c r="C46" s="1768">
        <f t="shared" si="12"/>
        <v>149430947.56</v>
      </c>
      <c r="D46" s="1769">
        <f t="shared" si="12"/>
        <v>157432785.81</v>
      </c>
      <c r="E46" s="1768">
        <f t="shared" si="12"/>
        <v>143345284.99</v>
      </c>
      <c r="F46" s="1808">
        <f t="shared" si="12"/>
        <v>149476996.08</v>
      </c>
      <c r="G46" s="1809">
        <f t="shared" si="12"/>
        <v>145096603.51</v>
      </c>
      <c r="H46" s="1809">
        <f t="shared" si="12"/>
        <v>155331897.31</v>
      </c>
      <c r="I46" s="1809">
        <f t="shared" si="12"/>
        <v>153293978.7</v>
      </c>
      <c r="J46" s="1809">
        <f t="shared" si="12"/>
        <v>155410184.05</v>
      </c>
      <c r="K46" s="1809">
        <f t="shared" si="12"/>
        <v>159383314.25</v>
      </c>
      <c r="L46" s="1809">
        <f t="shared" si="12"/>
        <v>140032424.36</v>
      </c>
      <c r="M46" s="1809">
        <f t="shared" si="12"/>
        <v>118700695.27</v>
      </c>
      <c r="O46" s="1809">
        <f>SUM(O47:O54)</f>
        <v>118700695.27</v>
      </c>
      <c r="V46" s="1863" t="s">
        <v>484</v>
      </c>
      <c r="W46" s="1873">
        <f>SUM(W47:W54)</f>
        <v>140032424.36</v>
      </c>
    </row>
    <row r="47" spans="1:23">
      <c r="A47" s="1631" t="s">
        <v>485</v>
      </c>
      <c r="B47" s="1791">
        <v>33752769</v>
      </c>
      <c r="C47" s="1760">
        <v>33752769</v>
      </c>
      <c r="D47" s="1761">
        <v>33752769</v>
      </c>
      <c r="E47" s="1632">
        <v>19836665</v>
      </c>
      <c r="F47" s="1829">
        <v>19836665</v>
      </c>
      <c r="G47" s="1830">
        <v>19836665</v>
      </c>
      <c r="H47" s="1830">
        <v>19836665</v>
      </c>
      <c r="I47" s="1830">
        <v>19836665</v>
      </c>
      <c r="J47" s="1830">
        <v>19836665</v>
      </c>
      <c r="K47" s="1830">
        <v>19836665</v>
      </c>
      <c r="L47" s="1830">
        <v>19836665</v>
      </c>
      <c r="M47" s="1830">
        <v>19836665</v>
      </c>
      <c r="O47" s="1830">
        <v>19836665</v>
      </c>
      <c r="V47" s="1853" t="s">
        <v>485</v>
      </c>
      <c r="W47" s="1874">
        <v>19836665</v>
      </c>
    </row>
    <row r="48" spans="1:23">
      <c r="A48" s="1631" t="s">
        <v>324</v>
      </c>
      <c r="B48" s="1632">
        <v>86087958</v>
      </c>
      <c r="C48" s="1760">
        <v>75949437</v>
      </c>
      <c r="D48" s="1761">
        <v>76927641</v>
      </c>
      <c r="E48" s="1632">
        <v>76593728</v>
      </c>
      <c r="F48" s="1829">
        <v>83484662</v>
      </c>
      <c r="G48" s="1830">
        <v>83313816</v>
      </c>
      <c r="H48" s="1830">
        <v>87824902</v>
      </c>
      <c r="I48" s="1830">
        <v>85308426</v>
      </c>
      <c r="J48" s="1830">
        <v>90525848</v>
      </c>
      <c r="K48" s="1830">
        <v>95427736</v>
      </c>
      <c r="L48" s="1830">
        <v>91077756</v>
      </c>
      <c r="M48" s="1830">
        <v>82860386</v>
      </c>
      <c r="O48" s="1830">
        <v>82860386</v>
      </c>
      <c r="V48" s="1853" t="s">
        <v>324</v>
      </c>
      <c r="W48" s="1874">
        <v>91077756</v>
      </c>
    </row>
    <row r="49" spans="1:23">
      <c r="A49" s="1631" t="s">
        <v>486</v>
      </c>
      <c r="B49" s="1632">
        <v>5637958.34</v>
      </c>
      <c r="C49" s="1760">
        <v>5637958.34</v>
      </c>
      <c r="D49" s="1761">
        <v>5637958.34</v>
      </c>
      <c r="E49" s="1632">
        <v>5637237.27</v>
      </c>
      <c r="F49" s="1829">
        <v>5637237.27</v>
      </c>
      <c r="G49" s="1830">
        <v>5637237.27</v>
      </c>
      <c r="H49" s="1830">
        <v>5637237.27</v>
      </c>
      <c r="I49" s="1830">
        <v>5667237.27</v>
      </c>
      <c r="J49" s="1830">
        <f>5667237.27-3998.1</f>
        <v>5663239.17</v>
      </c>
      <c r="K49" s="1830">
        <v>5667237.27</v>
      </c>
      <c r="L49" s="1830">
        <v>5667237.27</v>
      </c>
      <c r="M49" s="1830">
        <v>5667237.27</v>
      </c>
      <c r="O49" s="1830">
        <v>5667237.27</v>
      </c>
      <c r="V49" s="1853" t="s">
        <v>486</v>
      </c>
      <c r="W49" s="1874">
        <v>5667237.27</v>
      </c>
    </row>
    <row r="50" spans="1:23">
      <c r="A50" s="1631" t="s">
        <v>487</v>
      </c>
      <c r="B50" s="1632">
        <v>333479</v>
      </c>
      <c r="C50" s="1760">
        <v>337198</v>
      </c>
      <c r="D50" s="1761">
        <v>361000</v>
      </c>
      <c r="E50" s="1632">
        <v>368915</v>
      </c>
      <c r="F50" s="1829">
        <v>374335</v>
      </c>
      <c r="G50" s="1830">
        <v>382218</v>
      </c>
      <c r="H50" s="1830">
        <v>390733</v>
      </c>
      <c r="I50" s="1830">
        <v>399038</v>
      </c>
      <c r="J50" s="1830">
        <v>404213</v>
      </c>
      <c r="K50" s="1830">
        <v>16734061</v>
      </c>
      <c r="L50" s="1830">
        <v>292959</v>
      </c>
      <c r="M50" s="1830">
        <v>312959</v>
      </c>
      <c r="O50" s="1830">
        <v>312959</v>
      </c>
      <c r="V50" s="1853" t="s">
        <v>487</v>
      </c>
      <c r="W50" s="1874">
        <v>292959</v>
      </c>
    </row>
    <row r="51" spans="1:23">
      <c r="A51" s="1631" t="s">
        <v>488</v>
      </c>
      <c r="B51" s="1632">
        <v>31417020.16</v>
      </c>
      <c r="C51" s="1760">
        <v>36791373.89</v>
      </c>
      <c r="D51" s="1761">
        <v>43776589.14</v>
      </c>
      <c r="E51" s="1632">
        <v>43938526.39</v>
      </c>
      <c r="F51" s="1829">
        <v>42908010.48</v>
      </c>
      <c r="G51" s="1830">
        <v>38862341.91</v>
      </c>
      <c r="H51" s="1830">
        <v>44634165.71</v>
      </c>
      <c r="I51" s="1830">
        <v>45080266.1</v>
      </c>
      <c r="J51" s="1830">
        <v>42027355.55</v>
      </c>
      <c r="K51" s="1830">
        <v>41006101.65</v>
      </c>
      <c r="L51" s="1830">
        <v>42483748.76</v>
      </c>
      <c r="M51" s="1830">
        <v>29198162.67</v>
      </c>
      <c r="O51" s="1830">
        <v>29198162.67</v>
      </c>
      <c r="V51" s="1853" t="s">
        <v>488</v>
      </c>
      <c r="W51" s="1874">
        <v>42483748.76</v>
      </c>
    </row>
    <row r="52" spans="1:23">
      <c r="A52" s="1631" t="s">
        <v>489</v>
      </c>
      <c r="B52" s="1632">
        <v>48093</v>
      </c>
      <c r="C52" s="1760">
        <v>20152</v>
      </c>
      <c r="D52" s="1761">
        <v>34769</v>
      </c>
      <c r="E52" s="1632">
        <v>28154</v>
      </c>
      <c r="F52" s="1829">
        <v>294027</v>
      </c>
      <c r="G52" s="1830">
        <v>122266</v>
      </c>
      <c r="H52" s="1830">
        <v>66135</v>
      </c>
      <c r="I52" s="1830">
        <v>60287</v>
      </c>
      <c r="J52" s="1830">
        <v>10804</v>
      </c>
      <c r="K52" s="1830">
        <f>96294-652</f>
        <v>95642</v>
      </c>
      <c r="L52" s="1830">
        <v>58187</v>
      </c>
      <c r="M52" s="1830">
        <v>209414</v>
      </c>
      <c r="O52" s="1830">
        <v>209414</v>
      </c>
      <c r="V52" s="1853" t="s">
        <v>489</v>
      </c>
      <c r="W52" s="1874">
        <v>58187</v>
      </c>
    </row>
    <row r="53" spans="1:23">
      <c r="A53" s="1631" t="s">
        <v>490</v>
      </c>
      <c r="B53" s="1770"/>
      <c r="C53" s="1760"/>
      <c r="D53" s="1761"/>
      <c r="E53" s="1770"/>
      <c r="F53" s="1810"/>
      <c r="G53" s="1803"/>
      <c r="H53" s="1803"/>
      <c r="I53" s="1803"/>
      <c r="J53" s="1803"/>
      <c r="K53" s="1803"/>
      <c r="L53" s="1803"/>
      <c r="M53" s="1803"/>
      <c r="O53" s="1830"/>
      <c r="V53" s="1853" t="s">
        <v>490</v>
      </c>
      <c r="W53" s="1874"/>
    </row>
    <row r="54" ht="14.25" spans="1:23">
      <c r="A54" s="1639" t="s">
        <v>491</v>
      </c>
      <c r="B54" s="1693">
        <v>-3057940.67</v>
      </c>
      <c r="C54" s="1692">
        <v>-3057940.67</v>
      </c>
      <c r="D54" s="1792">
        <v>-3057940.67</v>
      </c>
      <c r="E54" s="1693">
        <v>-3057940.67</v>
      </c>
      <c r="F54" s="1831">
        <v>-3057940.67</v>
      </c>
      <c r="G54" s="1832">
        <v>-3057940.67</v>
      </c>
      <c r="H54" s="1832">
        <v>-3057940.67</v>
      </c>
      <c r="I54" s="1832">
        <v>-3057940.67</v>
      </c>
      <c r="J54" s="1832">
        <v>-3057940.67</v>
      </c>
      <c r="K54" s="1832">
        <v>-19384128.67</v>
      </c>
      <c r="L54" s="1832">
        <v>-19384128.67</v>
      </c>
      <c r="M54" s="1832">
        <v>-19384128.67</v>
      </c>
      <c r="O54" s="1832">
        <v>-19384128.67</v>
      </c>
      <c r="V54" s="1865" t="s">
        <v>491</v>
      </c>
      <c r="W54" s="1875">
        <v>-19384128.67</v>
      </c>
    </row>
    <row r="55" ht="14.25" spans="1:23">
      <c r="A55" s="1793" t="s">
        <v>52</v>
      </c>
      <c r="B55" s="1794">
        <f>B34+B43+B46</f>
        <v>159868090.36</v>
      </c>
      <c r="C55" s="1794">
        <f t="shared" ref="C55:M55" si="13">C34+C43+C46</f>
        <v>154979764.09</v>
      </c>
      <c r="D55" s="1794">
        <f t="shared" si="13"/>
        <v>164917825.34</v>
      </c>
      <c r="E55" s="1794">
        <f t="shared" si="13"/>
        <v>150830324.52</v>
      </c>
      <c r="F55" s="1794">
        <f t="shared" si="13"/>
        <v>156566696.61</v>
      </c>
      <c r="G55" s="1794">
        <f t="shared" si="13"/>
        <v>152061191.5</v>
      </c>
      <c r="H55" s="1794">
        <f t="shared" si="13"/>
        <v>162171485.3</v>
      </c>
      <c r="I55" s="1794">
        <f t="shared" si="13"/>
        <v>160008566.69</v>
      </c>
      <c r="J55" s="1794">
        <f t="shared" si="13"/>
        <v>161999772.04</v>
      </c>
      <c r="K55" s="1794">
        <f t="shared" si="13"/>
        <v>165847902.24</v>
      </c>
      <c r="L55" s="1794">
        <f t="shared" si="13"/>
        <v>146372012.35</v>
      </c>
      <c r="M55" s="1794">
        <f t="shared" si="13"/>
        <v>124915283.26</v>
      </c>
      <c r="O55" s="1794">
        <f>O34+O43+O46</f>
        <v>124915283.26</v>
      </c>
      <c r="V55" s="1876" t="s">
        <v>52</v>
      </c>
      <c r="W55" s="863">
        <v>146372012.35</v>
      </c>
    </row>
    <row r="56" spans="2:15">
      <c r="B56" s="1591">
        <f t="shared" ref="B56:O56" si="14">B30-B55</f>
        <v>0</v>
      </c>
      <c r="C56" s="1591">
        <f t="shared" si="14"/>
        <v>0</v>
      </c>
      <c r="D56" s="1591">
        <f t="shared" si="14"/>
        <v>0</v>
      </c>
      <c r="E56" s="1591">
        <f t="shared" si="14"/>
        <v>0</v>
      </c>
      <c r="F56" s="1591">
        <f t="shared" si="14"/>
        <v>-112.540000021458</v>
      </c>
      <c r="G56" s="1591">
        <f t="shared" si="14"/>
        <v>0</v>
      </c>
      <c r="H56" s="1591">
        <f t="shared" si="14"/>
        <v>0</v>
      </c>
      <c r="I56" s="1591">
        <f t="shared" si="14"/>
        <v>0</v>
      </c>
      <c r="J56" s="1591">
        <f t="shared" si="14"/>
        <v>0</v>
      </c>
      <c r="K56" s="1591">
        <f t="shared" si="14"/>
        <v>0</v>
      </c>
      <c r="L56" s="1591">
        <f t="shared" si="14"/>
        <v>-119000.00000003</v>
      </c>
      <c r="M56" s="1591">
        <f t="shared" si="14"/>
        <v>0</v>
      </c>
      <c r="O56" s="1591">
        <f t="shared" si="14"/>
        <v>0</v>
      </c>
    </row>
  </sheetData>
  <mergeCells count="1">
    <mergeCell ref="O2:O3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R100"/>
  <sheetViews>
    <sheetView workbookViewId="0">
      <pane xSplit="1" ySplit="2" topLeftCell="B30" activePane="bottomRight" state="frozen"/>
      <selection/>
      <selection pane="topRight"/>
      <selection pane="bottomLeft"/>
      <selection pane="bottomRight" activeCell="O46" sqref="O46"/>
    </sheetView>
  </sheetViews>
  <sheetFormatPr defaultColWidth="9" defaultRowHeight="13.5"/>
  <cols>
    <col min="1" max="1" width="31.7142857142857" customWidth="1"/>
    <col min="2" max="2" width="14.5714285714286" customWidth="1"/>
    <col min="3" max="5" width="13.4285714285714" customWidth="1"/>
    <col min="6" max="6" width="14.5714285714286" customWidth="1"/>
    <col min="7" max="9" width="13.4285714285714" customWidth="1"/>
    <col min="10" max="10" width="14.5714285714286" customWidth="1"/>
    <col min="11" max="11" width="13.2857142857143" customWidth="1"/>
    <col min="12" max="12" width="14.4285714285714" customWidth="1"/>
    <col min="13" max="13" width="14.5714285714286" customWidth="1"/>
    <col min="14" max="14" width="16.4285714285714" customWidth="1"/>
    <col min="15" max="15" width="15.5714285714286" customWidth="1"/>
    <col min="16" max="16" width="13.5714285714286" customWidth="1"/>
    <col min="17" max="17" width="12.1428571428571" customWidth="1"/>
    <col min="18" max="18" width="16.7142857142857" customWidth="1"/>
  </cols>
  <sheetData>
    <row r="1" ht="17.25" spans="1:4">
      <c r="A1" s="1676" t="s">
        <v>470</v>
      </c>
      <c r="B1" s="1676"/>
      <c r="C1" s="1677"/>
      <c r="D1" s="1677"/>
    </row>
    <row r="2" ht="14.25" spans="1:14">
      <c r="A2" s="1678" t="s">
        <v>51</v>
      </c>
      <c r="B2" s="1679" t="s">
        <v>492</v>
      </c>
      <c r="C2" s="1680" t="s">
        <v>493</v>
      </c>
      <c r="D2" s="1679" t="s">
        <v>494</v>
      </c>
      <c r="E2" s="1679" t="s">
        <v>495</v>
      </c>
      <c r="F2" s="1679" t="s">
        <v>496</v>
      </c>
      <c r="G2" s="1679" t="s">
        <v>497</v>
      </c>
      <c r="H2" s="1679" t="s">
        <v>498</v>
      </c>
      <c r="I2" s="1679" t="s">
        <v>499</v>
      </c>
      <c r="J2" s="1714" t="s">
        <v>500</v>
      </c>
      <c r="K2" s="1714" t="s">
        <v>501</v>
      </c>
      <c r="L2" s="1714" t="s">
        <v>502</v>
      </c>
      <c r="M2" s="1714" t="s">
        <v>503</v>
      </c>
      <c r="N2" s="1715" t="s">
        <v>504</v>
      </c>
    </row>
    <row r="3" spans="1:14">
      <c r="A3" s="1681" t="s">
        <v>505</v>
      </c>
      <c r="B3" s="1682"/>
      <c r="C3" s="1682" t="s">
        <v>449</v>
      </c>
      <c r="D3" s="1683"/>
      <c r="E3" s="1683"/>
      <c r="F3" s="1683"/>
      <c r="G3" s="1683"/>
      <c r="H3" s="1683"/>
      <c r="I3" s="1683"/>
      <c r="J3" s="1683"/>
      <c r="K3" s="1683"/>
      <c r="L3" s="1683"/>
      <c r="M3" s="1683"/>
      <c r="N3" s="1716"/>
    </row>
    <row r="4" ht="15" spans="1:14">
      <c r="A4" s="1684" t="s">
        <v>506</v>
      </c>
      <c r="B4" s="1685">
        <f>SUM(B5:B14)</f>
        <v>30785510.68</v>
      </c>
      <c r="C4" s="1685">
        <f t="shared" ref="C4:I4" si="0">SUM(C5:C14)</f>
        <v>38122842.2</v>
      </c>
      <c r="D4" s="1685">
        <f t="shared" si="0"/>
        <v>38860865.5</v>
      </c>
      <c r="E4" s="1685">
        <f t="shared" si="0"/>
        <v>36666981.5</v>
      </c>
      <c r="F4" s="1685">
        <f t="shared" si="0"/>
        <v>35599724.5</v>
      </c>
      <c r="G4" s="1685">
        <f t="shared" si="0"/>
        <v>28712507.4</v>
      </c>
      <c r="H4" s="1685">
        <f t="shared" si="0"/>
        <v>27462036.7</v>
      </c>
      <c r="I4" s="1685">
        <f t="shared" si="0"/>
        <v>35374929</v>
      </c>
      <c r="J4" s="1685">
        <f t="shared" ref="J4:K4" si="1">SUM(J5:J14)</f>
        <v>25242945.5</v>
      </c>
      <c r="K4" s="1685">
        <f t="shared" si="1"/>
        <v>34645798.35</v>
      </c>
      <c r="L4" s="1685">
        <f t="shared" ref="L4:N4" si="2">SUM(L5:L14)</f>
        <v>37786414.5</v>
      </c>
      <c r="M4" s="1685">
        <f t="shared" si="2"/>
        <v>46297723.34</v>
      </c>
      <c r="N4" s="1717">
        <f t="shared" si="2"/>
        <v>415558279.17</v>
      </c>
    </row>
    <row r="5" spans="1:14">
      <c r="A5" s="1686" t="s">
        <v>507</v>
      </c>
      <c r="B5" s="1687"/>
      <c r="C5" s="1682"/>
      <c r="D5" s="1687"/>
      <c r="E5" s="1687"/>
      <c r="F5" s="1687"/>
      <c r="G5" s="1687"/>
      <c r="H5" s="1687"/>
      <c r="I5" s="1687"/>
      <c r="J5" s="1687"/>
      <c r="K5" s="1687"/>
      <c r="L5" s="1687"/>
      <c r="M5" s="1687"/>
      <c r="N5" s="1718"/>
    </row>
    <row r="6" spans="1:14">
      <c r="A6" s="1686" t="s">
        <v>508</v>
      </c>
      <c r="B6" s="1687"/>
      <c r="C6" s="1682">
        <v>1514142</v>
      </c>
      <c r="D6" s="1687"/>
      <c r="E6" s="1687">
        <v>162000</v>
      </c>
      <c r="F6" s="1687">
        <v>3225624</v>
      </c>
      <c r="G6" s="1687">
        <v>1704096</v>
      </c>
      <c r="H6" s="1687"/>
      <c r="I6" s="1687">
        <v>6797700</v>
      </c>
      <c r="J6" s="1687"/>
      <c r="K6" s="1687">
        <v>4480000</v>
      </c>
      <c r="L6" s="1687">
        <v>1988112</v>
      </c>
      <c r="M6" s="1687"/>
      <c r="N6" s="1718">
        <v>19871674</v>
      </c>
    </row>
    <row r="7" spans="1:14">
      <c r="A7" s="1686" t="s">
        <v>509</v>
      </c>
      <c r="B7" s="1687"/>
      <c r="C7" s="1682"/>
      <c r="D7" s="1687"/>
      <c r="E7" s="1687"/>
      <c r="F7" s="1687"/>
      <c r="G7" s="1687"/>
      <c r="H7" s="1687"/>
      <c r="I7" s="1687"/>
      <c r="J7" s="1687"/>
      <c r="K7" s="1687"/>
      <c r="L7" s="1687"/>
      <c r="M7" s="1687"/>
      <c r="N7" s="1718"/>
    </row>
    <row r="8" spans="1:14">
      <c r="A8" s="1686" t="s">
        <v>510</v>
      </c>
      <c r="B8" s="1687"/>
      <c r="C8" s="1682"/>
      <c r="D8" s="1687"/>
      <c r="E8" s="1687"/>
      <c r="F8" s="1687"/>
      <c r="G8" s="1687"/>
      <c r="H8" s="1687"/>
      <c r="I8" s="1687"/>
      <c r="J8" s="1687"/>
      <c r="K8" s="1687"/>
      <c r="L8" s="1687"/>
      <c r="M8" s="1687"/>
      <c r="N8" s="1718"/>
    </row>
    <row r="9" spans="1:14">
      <c r="A9" s="1686" t="s">
        <v>511</v>
      </c>
      <c r="B9" s="1687"/>
      <c r="C9" s="1682"/>
      <c r="D9" s="1687"/>
      <c r="E9" s="1687"/>
      <c r="F9" s="1687"/>
      <c r="G9" s="1687"/>
      <c r="H9" s="1687"/>
      <c r="I9" s="1687"/>
      <c r="J9" s="1687"/>
      <c r="K9" s="1687"/>
      <c r="L9" s="1687"/>
      <c r="M9" s="1687"/>
      <c r="N9" s="1718"/>
    </row>
    <row r="10" spans="1:14">
      <c r="A10" s="1686" t="s">
        <v>512</v>
      </c>
      <c r="B10" s="1687"/>
      <c r="C10" s="1682"/>
      <c r="D10" s="1687"/>
      <c r="E10" s="1687"/>
      <c r="F10" s="1687"/>
      <c r="G10" s="1687"/>
      <c r="H10" s="1687"/>
      <c r="I10" s="1687"/>
      <c r="J10" s="1687"/>
      <c r="K10" s="1687"/>
      <c r="L10" s="1687"/>
      <c r="M10" s="1687"/>
      <c r="N10" s="1718"/>
    </row>
    <row r="11" spans="1:14">
      <c r="A11" s="1686" t="s">
        <v>99</v>
      </c>
      <c r="B11" s="1687">
        <v>1373497</v>
      </c>
      <c r="C11" s="1682">
        <v>1668640.15</v>
      </c>
      <c r="D11" s="1687">
        <v>1342889</v>
      </c>
      <c r="E11" s="1687">
        <v>1494475</v>
      </c>
      <c r="F11" s="1687">
        <v>1154893</v>
      </c>
      <c r="G11" s="1687">
        <v>1008073.4</v>
      </c>
      <c r="H11" s="1687">
        <v>1362367.9</v>
      </c>
      <c r="I11" s="1687">
        <v>2123665.5</v>
      </c>
      <c r="J11" s="1687">
        <v>1181325</v>
      </c>
      <c r="K11" s="1687">
        <v>888139.35</v>
      </c>
      <c r="L11" s="1687">
        <v>1253359</v>
      </c>
      <c r="M11" s="1687">
        <v>1247246.2</v>
      </c>
      <c r="N11" s="1718">
        <v>16102665.28</v>
      </c>
    </row>
    <row r="12" spans="1:14">
      <c r="A12" s="1688" t="s">
        <v>513</v>
      </c>
      <c r="B12" s="1687">
        <v>-182030</v>
      </c>
      <c r="C12" s="1682">
        <v>-66020</v>
      </c>
      <c r="D12" s="1687">
        <v>-99922</v>
      </c>
      <c r="E12" s="1687">
        <v>-13438</v>
      </c>
      <c r="F12" s="1687">
        <v>-16920</v>
      </c>
      <c r="G12" s="1687">
        <v>-118450</v>
      </c>
      <c r="H12" s="1687">
        <v>-23083.2</v>
      </c>
      <c r="I12" s="1687">
        <v>-12300</v>
      </c>
      <c r="J12" s="1687">
        <v>-180255</v>
      </c>
      <c r="K12" s="1687">
        <v>-132026</v>
      </c>
      <c r="L12" s="1687">
        <v>-197045</v>
      </c>
      <c r="M12" s="1687">
        <v>-2023800</v>
      </c>
      <c r="N12" s="1718">
        <v>-3065289.2</v>
      </c>
    </row>
    <row r="13" spans="1:14">
      <c r="A13" s="1688" t="s">
        <v>514</v>
      </c>
      <c r="B13" s="1687">
        <v>25933774</v>
      </c>
      <c r="C13" s="1682">
        <v>27067814.05</v>
      </c>
      <c r="D13" s="1687">
        <v>24114353.5</v>
      </c>
      <c r="E13" s="1687">
        <v>27845324.5</v>
      </c>
      <c r="F13" s="1687">
        <v>26381943.5</v>
      </c>
      <c r="G13" s="1687">
        <v>22684378</v>
      </c>
      <c r="H13" s="1687">
        <v>24052062</v>
      </c>
      <c r="I13" s="1687">
        <v>25171170.5</v>
      </c>
      <c r="J13" s="1687">
        <v>21928086.5</v>
      </c>
      <c r="K13" s="1687">
        <v>25429350</v>
      </c>
      <c r="L13" s="1687">
        <v>30515494.5</v>
      </c>
      <c r="M13" s="1687">
        <v>36596365.14</v>
      </c>
      <c r="N13" s="1718">
        <v>317720116.19</v>
      </c>
    </row>
    <row r="14" spans="1:14">
      <c r="A14" s="1688" t="s">
        <v>515</v>
      </c>
      <c r="B14" s="1689">
        <v>3660269.68</v>
      </c>
      <c r="C14" s="1690">
        <v>7938266</v>
      </c>
      <c r="D14" s="1689">
        <v>13503545</v>
      </c>
      <c r="E14" s="1689">
        <v>7178620</v>
      </c>
      <c r="F14" s="1689">
        <v>4854184</v>
      </c>
      <c r="G14" s="1689">
        <v>3434410</v>
      </c>
      <c r="H14" s="1689">
        <v>2070690</v>
      </c>
      <c r="I14" s="1689">
        <v>1294693</v>
      </c>
      <c r="J14" s="1689">
        <v>2313789</v>
      </c>
      <c r="K14" s="1689">
        <v>3980335</v>
      </c>
      <c r="L14" s="1689">
        <v>4226494</v>
      </c>
      <c r="M14" s="1689">
        <v>10477912</v>
      </c>
      <c r="N14" s="1719">
        <v>64929112.9</v>
      </c>
    </row>
    <row r="15" spans="1:14">
      <c r="A15" s="1684" t="s">
        <v>516</v>
      </c>
      <c r="B15" s="1687"/>
      <c r="C15" s="1682"/>
      <c r="D15" s="1687"/>
      <c r="E15" s="1687"/>
      <c r="F15" s="1687"/>
      <c r="G15" s="1687"/>
      <c r="H15" s="1687"/>
      <c r="I15" s="1687"/>
      <c r="J15" s="1687"/>
      <c r="K15" s="1687"/>
      <c r="L15" s="1687"/>
      <c r="M15" s="1687"/>
      <c r="N15" s="1718"/>
    </row>
    <row r="16" spans="1:14">
      <c r="A16" s="1688" t="s">
        <v>517</v>
      </c>
      <c r="B16" s="1687"/>
      <c r="C16" s="1682"/>
      <c r="D16" s="1687"/>
      <c r="E16" s="1687"/>
      <c r="F16" s="1687"/>
      <c r="G16" s="1689"/>
      <c r="H16" s="1687"/>
      <c r="I16" s="1687"/>
      <c r="J16" s="1687"/>
      <c r="K16" s="1687"/>
      <c r="L16" s="1687"/>
      <c r="M16" s="1687"/>
      <c r="N16" s="1719"/>
    </row>
    <row r="17" ht="15" spans="1:16">
      <c r="A17" s="1691" t="s">
        <v>449</v>
      </c>
      <c r="B17" s="1692">
        <f>B4</f>
        <v>30785510.68</v>
      </c>
      <c r="C17" s="1692">
        <f t="shared" ref="C17:I17" si="3">C4</f>
        <v>38122842.2</v>
      </c>
      <c r="D17" s="1692">
        <f t="shared" si="3"/>
        <v>38860865.5</v>
      </c>
      <c r="E17" s="1692">
        <f t="shared" si="3"/>
        <v>36666981.5</v>
      </c>
      <c r="F17" s="1692">
        <f t="shared" si="3"/>
        <v>35599724.5</v>
      </c>
      <c r="G17" s="1692">
        <f t="shared" si="3"/>
        <v>28712507.4</v>
      </c>
      <c r="H17" s="1692">
        <f t="shared" si="3"/>
        <v>27462036.7</v>
      </c>
      <c r="I17" s="1692">
        <f t="shared" si="3"/>
        <v>35374929</v>
      </c>
      <c r="J17" s="1692">
        <f t="shared" ref="J17:K17" si="4">J4</f>
        <v>25242945.5</v>
      </c>
      <c r="K17" s="1692">
        <f t="shared" si="4"/>
        <v>34645798.35</v>
      </c>
      <c r="L17" s="1692">
        <f t="shared" ref="L17:N17" si="5">L4</f>
        <v>37786414.5</v>
      </c>
      <c r="M17" s="1692">
        <f t="shared" si="5"/>
        <v>46297723.34</v>
      </c>
      <c r="N17" s="1720">
        <f t="shared" si="5"/>
        <v>415558279.17</v>
      </c>
      <c r="P17" s="1721"/>
    </row>
    <row r="18" ht="15" spans="1:14">
      <c r="A18" s="1684" t="s">
        <v>518</v>
      </c>
      <c r="B18" s="1685">
        <f>SUM(B22:B23)</f>
        <v>29106244.04</v>
      </c>
      <c r="C18" s="1685">
        <f t="shared" ref="C18:I18" si="6">SUM(C22:C23)</f>
        <v>35426325.7</v>
      </c>
      <c r="D18" s="1685">
        <f t="shared" si="6"/>
        <v>34881838.01</v>
      </c>
      <c r="E18" s="1685">
        <f t="shared" si="6"/>
        <v>34960757.85</v>
      </c>
      <c r="F18" s="1685">
        <f t="shared" si="6"/>
        <v>33148132.56</v>
      </c>
      <c r="G18" s="1685">
        <f t="shared" si="6"/>
        <v>27954056.96</v>
      </c>
      <c r="H18" s="1685">
        <f t="shared" si="6"/>
        <v>27289093.27</v>
      </c>
      <c r="I18" s="1685">
        <f t="shared" si="6"/>
        <v>33945703.78</v>
      </c>
      <c r="J18" s="1685">
        <f t="shared" ref="J18:K18" si="7">SUM(J22:J23)</f>
        <v>25258972.62</v>
      </c>
      <c r="K18" s="1685">
        <f t="shared" si="7"/>
        <v>31877220.91</v>
      </c>
      <c r="L18" s="1685">
        <f t="shared" ref="L18:M18" si="8">SUM(L22:L23)</f>
        <v>34189303.77</v>
      </c>
      <c r="M18" s="1685">
        <f t="shared" si="8"/>
        <v>40720098.85</v>
      </c>
      <c r="N18" s="1717">
        <f>N22+N23</f>
        <v>388759084.6</v>
      </c>
    </row>
    <row r="19" spans="1:15">
      <c r="A19" s="1686" t="s">
        <v>319</v>
      </c>
      <c r="B19" s="1687">
        <v>85026381</v>
      </c>
      <c r="C19" s="1682">
        <v>86087958</v>
      </c>
      <c r="D19" s="1687">
        <v>75949437</v>
      </c>
      <c r="E19" s="1687">
        <f>D21</f>
        <v>76927641</v>
      </c>
      <c r="F19" s="1687">
        <f>E21</f>
        <v>76593728</v>
      </c>
      <c r="G19" s="1682">
        <v>83484662</v>
      </c>
      <c r="H19" s="1685">
        <f t="shared" ref="H19:M19" si="9">G21</f>
        <v>83313816</v>
      </c>
      <c r="I19" s="1687">
        <f t="shared" si="9"/>
        <v>87824902</v>
      </c>
      <c r="J19" s="1687">
        <f t="shared" si="9"/>
        <v>85308426</v>
      </c>
      <c r="K19" s="1687">
        <f t="shared" si="9"/>
        <v>90525848</v>
      </c>
      <c r="L19" s="1687">
        <f t="shared" si="9"/>
        <v>95427736</v>
      </c>
      <c r="M19" s="1687">
        <f t="shared" si="9"/>
        <v>91077756</v>
      </c>
      <c r="N19" s="1718">
        <f>B19</f>
        <v>85026381</v>
      </c>
      <c r="O19" s="1722">
        <f>O50+O57+O62</f>
        <v>85026381</v>
      </c>
    </row>
    <row r="20" spans="1:17">
      <c r="A20" s="1691" t="s">
        <v>519</v>
      </c>
      <c r="B20" s="1687">
        <v>18812141.47</v>
      </c>
      <c r="C20" s="1682">
        <v>13575601.91</v>
      </c>
      <c r="D20" s="1687">
        <v>24716851.06</v>
      </c>
      <c r="E20" s="1687">
        <v>21242500.23</v>
      </c>
      <c r="F20" s="1687">
        <v>28095753.47</v>
      </c>
      <c r="G20" s="1687">
        <v>14114326.62</v>
      </c>
      <c r="H20" s="1687">
        <v>21221302.17</v>
      </c>
      <c r="I20" s="1687">
        <v>20216854.1</v>
      </c>
      <c r="J20" s="1687">
        <v>18070899.52</v>
      </c>
      <c r="K20" s="1687">
        <v>24443809.91</v>
      </c>
      <c r="L20" s="1687">
        <v>17790718.3</v>
      </c>
      <c r="M20" s="1687">
        <v>20811540.72</v>
      </c>
      <c r="N20" s="1723">
        <v>243115979.48</v>
      </c>
      <c r="O20" s="1722">
        <f>ROUND((O51+O54+O55+O63),0)</f>
        <v>243115979</v>
      </c>
      <c r="P20" s="1724"/>
      <c r="Q20" s="773"/>
    </row>
    <row r="21" ht="14.25" spans="1:15">
      <c r="A21" s="1686" t="s">
        <v>520</v>
      </c>
      <c r="B21" s="1687">
        <v>86087958</v>
      </c>
      <c r="C21" s="1682">
        <v>75949437</v>
      </c>
      <c r="D21" s="1687">
        <v>76927641</v>
      </c>
      <c r="E21" s="1687">
        <v>76593728</v>
      </c>
      <c r="F21" s="1687">
        <v>83484662</v>
      </c>
      <c r="G21" s="1687">
        <v>83313816</v>
      </c>
      <c r="H21" s="1687">
        <v>87824902</v>
      </c>
      <c r="I21" s="1687">
        <v>85308426</v>
      </c>
      <c r="J21" s="1687">
        <v>90525848</v>
      </c>
      <c r="K21" s="1687">
        <v>95427736</v>
      </c>
      <c r="L21" s="1687">
        <v>91077756</v>
      </c>
      <c r="M21" s="1687">
        <v>82860386</v>
      </c>
      <c r="N21" s="1719">
        <v>82860386</v>
      </c>
      <c r="O21" s="1725">
        <f>O52+O58+O64</f>
        <v>85308425</v>
      </c>
    </row>
    <row r="22" ht="15" spans="1:15">
      <c r="A22" s="1691" t="s">
        <v>449</v>
      </c>
      <c r="B22" s="1693">
        <v>17750564.47</v>
      </c>
      <c r="C22" s="1692">
        <v>23714122.91</v>
      </c>
      <c r="D22" s="1693">
        <v>23738647.06</v>
      </c>
      <c r="E22" s="1693">
        <f t="shared" ref="E22:J22" si="10">E19+E20-E21</f>
        <v>21576413.23</v>
      </c>
      <c r="F22" s="1693">
        <f t="shared" si="10"/>
        <v>21204819.47</v>
      </c>
      <c r="G22" s="1693">
        <f t="shared" si="10"/>
        <v>14285172.62</v>
      </c>
      <c r="H22" s="1693">
        <f t="shared" si="10"/>
        <v>16710216.17</v>
      </c>
      <c r="I22" s="1693">
        <f t="shared" si="10"/>
        <v>22733330.1</v>
      </c>
      <c r="J22" s="1693">
        <f t="shared" si="10"/>
        <v>12853477.52</v>
      </c>
      <c r="K22" s="1693">
        <f t="shared" ref="K22:L22" si="11">K19+K20-K21</f>
        <v>19541921.91</v>
      </c>
      <c r="L22" s="1693">
        <f t="shared" si="11"/>
        <v>22140698.3</v>
      </c>
      <c r="M22" s="1693">
        <f t="shared" ref="M22:O22" si="12">M19+M20-M21</f>
        <v>29028910.72</v>
      </c>
      <c r="N22" s="1717">
        <f t="shared" si="12"/>
        <v>245281974.48</v>
      </c>
      <c r="O22" s="1726">
        <f t="shared" si="12"/>
        <v>242833935</v>
      </c>
    </row>
    <row r="23" ht="15" spans="1:14">
      <c r="A23" s="1694" t="s">
        <v>521</v>
      </c>
      <c r="B23" s="1689">
        <v>11355679.57</v>
      </c>
      <c r="C23" s="1690">
        <v>11712202.79</v>
      </c>
      <c r="D23" s="1689">
        <v>11143190.95</v>
      </c>
      <c r="E23" s="1689">
        <f t="shared" ref="E23:J23" si="13">E24+E25</f>
        <v>13384344.62</v>
      </c>
      <c r="F23" s="1689">
        <f t="shared" si="13"/>
        <v>11943313.09</v>
      </c>
      <c r="G23" s="1689">
        <f t="shared" si="13"/>
        <v>13668884.34</v>
      </c>
      <c r="H23" s="1689">
        <f t="shared" si="13"/>
        <v>10578877.1</v>
      </c>
      <c r="I23" s="1689">
        <f t="shared" si="13"/>
        <v>11212373.68</v>
      </c>
      <c r="J23" s="1689">
        <f t="shared" si="13"/>
        <v>12405495.1</v>
      </c>
      <c r="K23" s="1689">
        <f t="shared" ref="K23:L23" si="14">K24+K25</f>
        <v>12335299</v>
      </c>
      <c r="L23" s="1689">
        <f t="shared" si="14"/>
        <v>12048605.47</v>
      </c>
      <c r="M23" s="1689">
        <f t="shared" ref="M23" si="15">M24+M25</f>
        <v>11691188.13</v>
      </c>
      <c r="N23" s="1727">
        <f>SUM(N24:N26)</f>
        <v>143477110.12</v>
      </c>
    </row>
    <row r="24" spans="1:15">
      <c r="A24" s="1695" t="s">
        <v>174</v>
      </c>
      <c r="B24" s="1687">
        <v>11230679.57</v>
      </c>
      <c r="C24" s="1682">
        <v>11587202.79</v>
      </c>
      <c r="D24" s="1687">
        <v>11018190.95</v>
      </c>
      <c r="E24" s="1687">
        <v>13259344.62</v>
      </c>
      <c r="F24" s="1687">
        <f>11943313.09-F25</f>
        <v>11818313.09</v>
      </c>
      <c r="G24" s="1687">
        <f>13668884.34-G25</f>
        <v>13543884.34</v>
      </c>
      <c r="H24" s="1687">
        <f>10578877.1-H25</f>
        <v>10453877.1</v>
      </c>
      <c r="I24" s="1687">
        <f>11212373.68-I25</f>
        <v>11087373.68</v>
      </c>
      <c r="J24" s="1687">
        <v>12280495.1</v>
      </c>
      <c r="K24" s="1687">
        <f>12335299-K25</f>
        <v>12210299</v>
      </c>
      <c r="L24" s="1687">
        <f>12048605.47-L25</f>
        <v>11923605.47</v>
      </c>
      <c r="M24" s="1687">
        <f>11691188.13-M25</f>
        <v>11566188.13</v>
      </c>
      <c r="N24" s="1728">
        <f>143477110.12-N25</f>
        <v>141977110.12</v>
      </c>
      <c r="O24" s="1722">
        <f>'Direct Expns'!AE42-O25</f>
        <v>141977110.12</v>
      </c>
    </row>
    <row r="25" spans="1:15">
      <c r="A25" s="1696" t="s">
        <v>181</v>
      </c>
      <c r="B25" s="1687">
        <v>125000</v>
      </c>
      <c r="C25" s="1682">
        <v>125000</v>
      </c>
      <c r="D25" s="1687">
        <v>125000</v>
      </c>
      <c r="E25" s="1687">
        <v>125000</v>
      </c>
      <c r="F25" s="1687">
        <v>125000</v>
      </c>
      <c r="G25" s="1687">
        <v>125000</v>
      </c>
      <c r="H25" s="1687">
        <v>125000</v>
      </c>
      <c r="I25" s="1687">
        <v>125000</v>
      </c>
      <c r="J25" s="1687">
        <v>125000</v>
      </c>
      <c r="K25" s="1687">
        <v>125000</v>
      </c>
      <c r="L25" s="1687">
        <v>125000</v>
      </c>
      <c r="M25" s="1687">
        <v>125000</v>
      </c>
      <c r="N25" s="1723">
        <f>SUM(B25:M25)</f>
        <v>1500000</v>
      </c>
      <c r="O25" s="1722">
        <f>'Direct Expns'!AE57</f>
        <v>1500000</v>
      </c>
    </row>
    <row r="26" spans="1:15">
      <c r="A26" s="1696" t="s">
        <v>522</v>
      </c>
      <c r="B26" s="1687"/>
      <c r="C26" s="1690"/>
      <c r="D26" s="1687"/>
      <c r="E26" s="1687"/>
      <c r="F26" s="1687"/>
      <c r="G26" s="1687"/>
      <c r="H26" s="1687"/>
      <c r="I26" s="1687"/>
      <c r="J26" s="1687"/>
      <c r="K26" s="1687"/>
      <c r="L26" s="1687"/>
      <c r="M26" s="1687"/>
      <c r="N26" s="1719">
        <f t="shared" ref="N26" si="16">SUM(B26:E26)</f>
        <v>0</v>
      </c>
      <c r="O26" s="1722"/>
    </row>
    <row r="27" ht="15" spans="1:15">
      <c r="A27" s="622" t="s">
        <v>523</v>
      </c>
      <c r="B27" s="1697">
        <v>1679266.64</v>
      </c>
      <c r="C27" s="1698">
        <v>2696516.5</v>
      </c>
      <c r="D27" s="1697">
        <v>3979027.49</v>
      </c>
      <c r="E27" s="1697">
        <f t="shared" ref="E27:J27" si="17">E4-E18</f>
        <v>1706223.65</v>
      </c>
      <c r="F27" s="1697">
        <f t="shared" si="17"/>
        <v>2451591.94</v>
      </c>
      <c r="G27" s="1697">
        <f t="shared" si="17"/>
        <v>758450.439999994</v>
      </c>
      <c r="H27" s="1697">
        <f t="shared" si="17"/>
        <v>172943.429999996</v>
      </c>
      <c r="I27" s="1697">
        <f t="shared" si="17"/>
        <v>1429225.22000001</v>
      </c>
      <c r="J27" s="1697">
        <f t="shared" si="17"/>
        <v>-16027.1199999973</v>
      </c>
      <c r="K27" s="1697">
        <f t="shared" ref="K27:L27" si="18">K4-K18</f>
        <v>2768577.44000001</v>
      </c>
      <c r="L27" s="1697">
        <f t="shared" si="18"/>
        <v>3597110.73</v>
      </c>
      <c r="M27" s="1697">
        <f t="shared" ref="M27:N27" si="19">M4-M18</f>
        <v>5577624.49</v>
      </c>
      <c r="N27" s="1717">
        <f t="shared" si="19"/>
        <v>26799194.5699999</v>
      </c>
      <c r="O27" s="1722"/>
    </row>
    <row r="28" spans="1:14">
      <c r="A28" s="1681" t="s">
        <v>524</v>
      </c>
      <c r="B28" s="1682" t="s">
        <v>449</v>
      </c>
      <c r="C28" s="1682" t="s">
        <v>449</v>
      </c>
      <c r="D28" s="1683"/>
      <c r="E28" s="1683"/>
      <c r="F28" s="1683"/>
      <c r="G28" s="1683"/>
      <c r="H28" s="1683"/>
      <c r="I28" s="1683"/>
      <c r="J28" s="1683"/>
      <c r="K28" s="1683"/>
      <c r="L28" s="1683"/>
      <c r="M28" s="1683"/>
      <c r="N28" s="1718"/>
    </row>
    <row r="29" ht="15" spans="1:14">
      <c r="A29" s="1684" t="s">
        <v>525</v>
      </c>
      <c r="B29" s="1685">
        <v>17.85</v>
      </c>
      <c r="C29" s="1699">
        <v>798.67</v>
      </c>
      <c r="D29" s="1685">
        <v>41</v>
      </c>
      <c r="E29" s="1685">
        <f>E31</f>
        <v>4.49</v>
      </c>
      <c r="F29" s="1685">
        <f>F31+F30</f>
        <v>51.29</v>
      </c>
      <c r="G29" s="1685">
        <v>0.26</v>
      </c>
      <c r="H29" s="1685">
        <f t="shared" ref="H29:N29" si="20">SUM(H30:H34)</f>
        <v>90.25</v>
      </c>
      <c r="I29" s="1685">
        <f t="shared" si="20"/>
        <v>4.57</v>
      </c>
      <c r="J29" s="1685">
        <f t="shared" si="20"/>
        <v>40892.96</v>
      </c>
      <c r="K29" s="1685">
        <f t="shared" si="20"/>
        <v>0.5</v>
      </c>
      <c r="L29" s="1685">
        <f t="shared" si="20"/>
        <v>50448.9</v>
      </c>
      <c r="M29" s="1685">
        <f t="shared" si="20"/>
        <v>59197.67</v>
      </c>
      <c r="N29" s="1729">
        <f t="shared" si="20"/>
        <v>148502.69</v>
      </c>
    </row>
    <row r="30" spans="1:14">
      <c r="A30" s="1686" t="s">
        <v>82</v>
      </c>
      <c r="B30" s="1687">
        <v>11</v>
      </c>
      <c r="C30" s="1682"/>
      <c r="D30" s="1687">
        <v>2</v>
      </c>
      <c r="E30" s="1687"/>
      <c r="F30" s="1687">
        <v>11</v>
      </c>
      <c r="G30" s="1687"/>
      <c r="H30" s="1687">
        <v>85</v>
      </c>
      <c r="I30" s="1687">
        <v>1</v>
      </c>
      <c r="J30" s="1687">
        <v>40846.72</v>
      </c>
      <c r="K30" s="1687"/>
      <c r="L30" s="1687">
        <v>43905</v>
      </c>
      <c r="M30" s="1687">
        <v>59168</v>
      </c>
      <c r="N30" s="1718">
        <v>140984</v>
      </c>
    </row>
    <row r="31" spans="1:14">
      <c r="A31" s="1688" t="s">
        <v>526</v>
      </c>
      <c r="B31" s="1687">
        <v>6.85</v>
      </c>
      <c r="C31" s="1682">
        <v>798.67</v>
      </c>
      <c r="D31" s="1687">
        <v>39</v>
      </c>
      <c r="E31" s="1687">
        <v>4.49</v>
      </c>
      <c r="F31" s="1687">
        <v>40.29</v>
      </c>
      <c r="G31" s="1687">
        <v>0.26</v>
      </c>
      <c r="H31" s="1687">
        <v>5.25</v>
      </c>
      <c r="I31" s="1687">
        <v>3.57</v>
      </c>
      <c r="J31" s="1687">
        <v>46.24</v>
      </c>
      <c r="K31" s="1687">
        <v>0.5</v>
      </c>
      <c r="L31" s="1687">
        <v>3.9</v>
      </c>
      <c r="M31" s="1687">
        <v>29.67</v>
      </c>
      <c r="N31" s="1718">
        <v>978.69</v>
      </c>
    </row>
    <row r="32" spans="1:14">
      <c r="A32" s="1688" t="s">
        <v>527</v>
      </c>
      <c r="B32" s="1687"/>
      <c r="C32" s="1682"/>
      <c r="D32" s="1687"/>
      <c r="E32" s="1687"/>
      <c r="F32" s="1687"/>
      <c r="G32" s="1687"/>
      <c r="H32" s="1687"/>
      <c r="I32" s="1687"/>
      <c r="J32" s="1687"/>
      <c r="K32" s="1687"/>
      <c r="L32" s="1687"/>
      <c r="M32" s="1687"/>
      <c r="N32" s="1718"/>
    </row>
    <row r="33" spans="1:14">
      <c r="A33" s="1688" t="s">
        <v>528</v>
      </c>
      <c r="B33" s="1687"/>
      <c r="C33" s="1682"/>
      <c r="D33" s="1687"/>
      <c r="E33" s="1687"/>
      <c r="F33" s="1687"/>
      <c r="G33" s="1687"/>
      <c r="H33" s="1687"/>
      <c r="I33" s="1687"/>
      <c r="J33" s="1687"/>
      <c r="K33" s="1687"/>
      <c r="L33" s="1687"/>
      <c r="M33" s="1687"/>
      <c r="N33" s="1718"/>
    </row>
    <row r="34" spans="1:14">
      <c r="A34" s="1688" t="s">
        <v>529</v>
      </c>
      <c r="B34" s="1687"/>
      <c r="C34" s="1682"/>
      <c r="D34" s="1687"/>
      <c r="E34" s="1687"/>
      <c r="F34" s="1687"/>
      <c r="G34" s="1687"/>
      <c r="H34" s="1687"/>
      <c r="I34" s="1689"/>
      <c r="J34" s="1689"/>
      <c r="K34" s="1689"/>
      <c r="L34" s="1689">
        <v>6540</v>
      </c>
      <c r="M34" s="1689"/>
      <c r="N34" s="1719">
        <v>6540</v>
      </c>
    </row>
    <row r="35" ht="15" spans="1:14">
      <c r="A35" s="1691" t="s">
        <v>449</v>
      </c>
      <c r="B35" s="1692">
        <v>1679284.49</v>
      </c>
      <c r="C35" s="1693">
        <v>2697315.17</v>
      </c>
      <c r="D35" s="1692">
        <v>3979068.49</v>
      </c>
      <c r="E35" s="1692">
        <f t="shared" ref="E35:J35" si="21">E27+E29</f>
        <v>1706228.14</v>
      </c>
      <c r="F35" s="1692">
        <f t="shared" si="21"/>
        <v>2451643.23</v>
      </c>
      <c r="G35" s="1692">
        <f t="shared" si="21"/>
        <v>758450.699999994</v>
      </c>
      <c r="H35" s="1692">
        <f t="shared" si="21"/>
        <v>173033.679999996</v>
      </c>
      <c r="I35" s="1692">
        <f t="shared" si="21"/>
        <v>1429229.79000001</v>
      </c>
      <c r="J35" s="1692">
        <f t="shared" si="21"/>
        <v>24865.8400000027</v>
      </c>
      <c r="K35" s="1692">
        <f t="shared" ref="K35:L35" si="22">K27+K29</f>
        <v>2768577.94000001</v>
      </c>
      <c r="L35" s="1692">
        <f t="shared" si="22"/>
        <v>3647559.63</v>
      </c>
      <c r="M35" s="1692">
        <f t="shared" ref="M35" si="23">M27+M29</f>
        <v>5636822.16</v>
      </c>
      <c r="N35" s="1717">
        <f>SUM(N27:N29)</f>
        <v>26947697.2599999</v>
      </c>
    </row>
    <row r="36" spans="1:16">
      <c r="A36" s="1684" t="s">
        <v>246</v>
      </c>
      <c r="B36" s="1685">
        <f t="shared" ref="B36:I36" si="24">SUM(B37:B44)</f>
        <v>1416207.05</v>
      </c>
      <c r="C36" s="1685">
        <f t="shared" si="24"/>
        <v>867963.95</v>
      </c>
      <c r="D36" s="1685">
        <f t="shared" si="24"/>
        <v>2106946.38</v>
      </c>
      <c r="E36" s="1685">
        <f t="shared" si="24"/>
        <v>1117431.89</v>
      </c>
      <c r="F36" s="1685">
        <f t="shared" si="24"/>
        <v>1309514.65</v>
      </c>
      <c r="G36" s="1685">
        <f t="shared" si="24"/>
        <v>1341998.42</v>
      </c>
      <c r="H36" s="1685">
        <f t="shared" si="24"/>
        <v>1311748.3</v>
      </c>
      <c r="I36" s="1685">
        <f t="shared" si="24"/>
        <v>1579915.62</v>
      </c>
      <c r="J36" s="1685">
        <f t="shared" ref="J36:K36" si="25">SUM(J37:J44)</f>
        <v>1683367.67</v>
      </c>
      <c r="K36" s="1685">
        <f t="shared" si="25"/>
        <v>1322682.3</v>
      </c>
      <c r="L36" s="1685">
        <f t="shared" ref="L36:O36" si="26">SUM(L37:L44)</f>
        <v>1840574.01</v>
      </c>
      <c r="M36" s="1685">
        <f t="shared" si="26"/>
        <v>1549803.84</v>
      </c>
      <c r="N36" s="1730">
        <f t="shared" si="26"/>
        <v>17344302.18</v>
      </c>
      <c r="O36" s="1722">
        <f t="shared" si="26"/>
        <v>17344303.07</v>
      </c>
      <c r="P36" s="873">
        <f>N36-O36</f>
        <v>-0.890000000596046</v>
      </c>
    </row>
    <row r="37" spans="1:16">
      <c r="A37" s="1686" t="s">
        <v>248</v>
      </c>
      <c r="B37" s="1687">
        <v>433740</v>
      </c>
      <c r="C37" s="1682">
        <v>513190.13</v>
      </c>
      <c r="D37" s="1687">
        <v>575240.25</v>
      </c>
      <c r="E37" s="1687">
        <v>413383.32</v>
      </c>
      <c r="F37" s="1687">
        <v>449879.61</v>
      </c>
      <c r="G37" s="1687">
        <f>362222.49-2999</f>
        <v>359223.49</v>
      </c>
      <c r="H37" s="1687">
        <v>510925.18</v>
      </c>
      <c r="I37" s="1687">
        <v>466535.31</v>
      </c>
      <c r="J37" s="1687">
        <v>547706.57</v>
      </c>
      <c r="K37" s="1687">
        <v>349480.88</v>
      </c>
      <c r="L37" s="1687">
        <v>599924.47</v>
      </c>
      <c r="M37" s="1687">
        <v>656533.52</v>
      </c>
      <c r="N37" s="1723">
        <v>5875758.73</v>
      </c>
      <c r="O37" s="1722">
        <f>'Indirect Expns'!N3</f>
        <v>5875759.72</v>
      </c>
      <c r="P37" s="873">
        <f t="shared" ref="P37:P39" si="27">N37-O37</f>
        <v>-0.990000000223517</v>
      </c>
    </row>
    <row r="38" spans="1:17">
      <c r="A38" s="1686" t="s">
        <v>287</v>
      </c>
      <c r="B38" s="1700">
        <v>949852.84</v>
      </c>
      <c r="C38" s="1701">
        <v>293672.65</v>
      </c>
      <c r="D38" s="1700">
        <v>1204638.48</v>
      </c>
      <c r="E38" s="1700">
        <f>636284.15+5551.82</f>
        <v>641835.97</v>
      </c>
      <c r="F38" s="1700">
        <v>741787.04</v>
      </c>
      <c r="G38" s="1700">
        <f>939757.7</f>
        <v>939757.7</v>
      </c>
      <c r="H38" s="1700">
        <f>764520.87</f>
        <v>764520.87</v>
      </c>
      <c r="I38" s="1700">
        <f>725611.56+119000</f>
        <v>844611.56</v>
      </c>
      <c r="J38" s="1700">
        <v>944106.67</v>
      </c>
      <c r="K38" s="1700">
        <v>817578.17</v>
      </c>
      <c r="L38" s="1700">
        <v>1010214.06</v>
      </c>
      <c r="M38" s="1700">
        <v>784231.14</v>
      </c>
      <c r="N38" s="1723">
        <v>9817807.25</v>
      </c>
      <c r="O38" s="1722">
        <f>'Indirect Expns'!N41</f>
        <v>9817807.15</v>
      </c>
      <c r="P38" s="873">
        <f t="shared" si="27"/>
        <v>0.099999999627471</v>
      </c>
      <c r="Q38">
        <v>6499677.11</v>
      </c>
    </row>
    <row r="39" spans="1:17">
      <c r="A39" s="1686" t="s">
        <v>298</v>
      </c>
      <c r="B39" s="1687">
        <v>32614.21</v>
      </c>
      <c r="C39" s="1682">
        <f>61417.17-316</f>
        <v>61101.17</v>
      </c>
      <c r="D39" s="1687">
        <f>146517.65-450+181000</f>
        <v>327067.65</v>
      </c>
      <c r="E39" s="1687">
        <v>62212.6</v>
      </c>
      <c r="F39" s="1687">
        <v>117848</v>
      </c>
      <c r="G39" s="1687">
        <v>43017.23</v>
      </c>
      <c r="H39" s="1687">
        <v>36302.25</v>
      </c>
      <c r="I39" s="1687">
        <f>268296.75+472</f>
        <v>268768.75</v>
      </c>
      <c r="J39" s="1687">
        <v>191554.43</v>
      </c>
      <c r="K39" s="1687">
        <v>101623.25</v>
      </c>
      <c r="L39" s="1687">
        <v>230435.48</v>
      </c>
      <c r="M39" s="1687">
        <v>62584.18</v>
      </c>
      <c r="N39" s="1723">
        <v>1369575.2</v>
      </c>
      <c r="O39" s="1722">
        <f>'Indirect Expns'!N52</f>
        <v>1650736.2</v>
      </c>
      <c r="P39" s="873">
        <f t="shared" si="27"/>
        <v>-281161</v>
      </c>
      <c r="Q39">
        <f>Q38-O38</f>
        <v>-3318130.04</v>
      </c>
    </row>
    <row r="40" spans="1:15">
      <c r="A40" s="1686" t="s">
        <v>530</v>
      </c>
      <c r="B40" s="1687"/>
      <c r="C40" s="1682"/>
      <c r="D40" s="1687"/>
      <c r="E40" s="1687"/>
      <c r="F40" s="1687"/>
      <c r="G40" s="1687"/>
      <c r="H40" s="1687"/>
      <c r="I40" s="1687"/>
      <c r="J40" s="1687"/>
      <c r="K40" s="1687"/>
      <c r="L40" s="1687"/>
      <c r="M40" s="1687"/>
      <c r="N40" s="1718"/>
      <c r="O40" s="1722"/>
    </row>
    <row r="41" spans="1:15">
      <c r="A41" s="1686" t="s">
        <v>531</v>
      </c>
      <c r="B41" s="1687"/>
      <c r="C41" s="1682"/>
      <c r="D41" s="1687"/>
      <c r="E41" s="1687"/>
      <c r="F41" s="1687"/>
      <c r="G41" s="1687"/>
      <c r="H41" s="1687"/>
      <c r="I41" s="1687"/>
      <c r="J41" s="1687"/>
      <c r="K41" s="1687"/>
      <c r="L41" s="1687"/>
      <c r="M41" s="1687"/>
      <c r="N41" s="1718"/>
      <c r="O41" s="1722"/>
    </row>
    <row r="42" spans="1:15">
      <c r="A42" s="1688" t="s">
        <v>532</v>
      </c>
      <c r="B42" s="1687"/>
      <c r="C42" s="1682"/>
      <c r="D42" s="1687"/>
      <c r="E42" s="1687"/>
      <c r="F42" s="1687"/>
      <c r="G42" s="1687"/>
      <c r="H42" s="1687"/>
      <c r="I42" s="1687"/>
      <c r="J42" s="1687"/>
      <c r="K42" s="1687"/>
      <c r="L42" s="1687"/>
      <c r="M42" s="1687"/>
      <c r="N42" s="1718"/>
      <c r="O42" s="1722"/>
    </row>
    <row r="43" spans="1:16">
      <c r="A43" s="1688" t="s">
        <v>89</v>
      </c>
      <c r="B43" s="1687"/>
      <c r="C43" s="1682"/>
      <c r="D43" s="1687"/>
      <c r="E43" s="1687"/>
      <c r="F43" s="1687"/>
      <c r="G43" s="1687"/>
      <c r="H43" s="1687"/>
      <c r="I43" s="1687"/>
      <c r="J43" s="1687"/>
      <c r="K43" s="1687"/>
      <c r="L43" s="1687"/>
      <c r="M43" s="1687"/>
      <c r="N43" s="1723">
        <v>-766</v>
      </c>
      <c r="O43" s="1722"/>
      <c r="P43" s="873">
        <f t="shared" ref="P43:P45" si="28">N43-O43</f>
        <v>-766</v>
      </c>
    </row>
    <row r="44" spans="1:16">
      <c r="A44" s="1688" t="s">
        <v>533</v>
      </c>
      <c r="B44" s="1687"/>
      <c r="C44" s="1682"/>
      <c r="D44" s="1687"/>
      <c r="E44" s="1687"/>
      <c r="F44" s="1687"/>
      <c r="G44" s="1687"/>
      <c r="H44" s="1687"/>
      <c r="I44" s="1687"/>
      <c r="J44" s="1687"/>
      <c r="K44" s="1687">
        <v>54000</v>
      </c>
      <c r="L44" s="1687"/>
      <c r="M44" s="1687">
        <v>46455</v>
      </c>
      <c r="N44" s="1731">
        <v>281927</v>
      </c>
      <c r="O44" s="1722"/>
      <c r="P44" s="873">
        <f t="shared" si="28"/>
        <v>281927</v>
      </c>
    </row>
    <row r="45" ht="15.75" spans="1:18">
      <c r="A45" s="622" t="s">
        <v>534</v>
      </c>
      <c r="B45" s="1702">
        <v>263077.44</v>
      </c>
      <c r="C45" s="1703">
        <v>1829351.22</v>
      </c>
      <c r="D45" s="1702">
        <v>1848758.11</v>
      </c>
      <c r="E45" s="1702">
        <f t="shared" ref="E45:J45" si="29">E35-E36</f>
        <v>588796.249999998</v>
      </c>
      <c r="F45" s="1702">
        <f t="shared" si="29"/>
        <v>1142128.58</v>
      </c>
      <c r="G45" s="1702">
        <f t="shared" si="29"/>
        <v>-583547.720000006</v>
      </c>
      <c r="H45" s="1702">
        <f t="shared" si="29"/>
        <v>-1138714.62</v>
      </c>
      <c r="I45" s="1702">
        <f t="shared" si="29"/>
        <v>-150685.829999994</v>
      </c>
      <c r="J45" s="1702">
        <f t="shared" si="29"/>
        <v>-1658501.83</v>
      </c>
      <c r="K45" s="1702">
        <f t="shared" ref="K45:L45" si="30">K35-K36</f>
        <v>1445895.64000001</v>
      </c>
      <c r="L45" s="1702">
        <f t="shared" si="30"/>
        <v>1806985.62</v>
      </c>
      <c r="M45" s="1702">
        <f t="shared" ref="M45:N45" si="31">M35-M36</f>
        <v>4087018.32</v>
      </c>
      <c r="N45" s="1732">
        <f t="shared" si="31"/>
        <v>9603395.07999993</v>
      </c>
      <c r="O45" s="1722">
        <f>N45+P36</f>
        <v>9603394.18999993</v>
      </c>
      <c r="P45" s="873">
        <f t="shared" si="28"/>
        <v>0.890000000596046</v>
      </c>
      <c r="Q45">
        <v>5515356.76</v>
      </c>
      <c r="R45" s="1591">
        <f>N45-Q45</f>
        <v>4088038.31999994</v>
      </c>
    </row>
    <row r="46" spans="1:14">
      <c r="A46" s="622" t="s">
        <v>523</v>
      </c>
      <c r="B46" s="1704">
        <f>B27</f>
        <v>1679266.64</v>
      </c>
      <c r="C46" s="1704">
        <f t="shared" ref="C46:I46" si="32">C27</f>
        <v>2696516.5</v>
      </c>
      <c r="D46" s="1704">
        <f t="shared" si="32"/>
        <v>3979027.49</v>
      </c>
      <c r="E46" s="1704">
        <f t="shared" si="32"/>
        <v>1706223.65</v>
      </c>
      <c r="F46" s="1704">
        <f t="shared" si="32"/>
        <v>2451591.94</v>
      </c>
      <c r="G46" s="1704">
        <f t="shared" si="32"/>
        <v>758450.439999994</v>
      </c>
      <c r="H46" s="1704">
        <f t="shared" si="32"/>
        <v>172943.429999996</v>
      </c>
      <c r="I46" s="1704">
        <f t="shared" si="32"/>
        <v>1429225.22000001</v>
      </c>
      <c r="J46" s="1704">
        <f t="shared" ref="J46:K46" si="33">J27</f>
        <v>-16027.1199999973</v>
      </c>
      <c r="K46" s="1704">
        <f t="shared" si="33"/>
        <v>2768577.44000001</v>
      </c>
      <c r="L46" s="1704">
        <f t="shared" ref="L46:N46" si="34">L27</f>
        <v>3597110.73</v>
      </c>
      <c r="M46" s="1704">
        <f t="shared" si="34"/>
        <v>5577624.49</v>
      </c>
      <c r="N46" s="1706">
        <f t="shared" si="34"/>
        <v>26799194.5699999</v>
      </c>
    </row>
    <row r="47" spans="1:14">
      <c r="A47" s="622" t="s">
        <v>535</v>
      </c>
      <c r="B47" s="1704">
        <f>B27-(B25+B37+B39)</f>
        <v>1087912.43</v>
      </c>
      <c r="C47" s="1704">
        <f t="shared" ref="C47:N47" si="35">C27-(C25+C37+C39)</f>
        <v>1997225.2</v>
      </c>
      <c r="D47" s="1704">
        <f t="shared" si="35"/>
        <v>2951719.59</v>
      </c>
      <c r="E47" s="1704">
        <f t="shared" si="35"/>
        <v>1105627.73</v>
      </c>
      <c r="F47" s="1704">
        <f t="shared" si="35"/>
        <v>1758864.33</v>
      </c>
      <c r="G47" s="1704">
        <f t="shared" si="35"/>
        <v>231209.719999994</v>
      </c>
      <c r="H47" s="1704">
        <f t="shared" si="35"/>
        <v>-499284.000000004</v>
      </c>
      <c r="I47" s="1704">
        <f t="shared" si="35"/>
        <v>568921.160000006</v>
      </c>
      <c r="J47" s="1704">
        <f t="shared" ref="J47:K47" si="36">J27-(J25+J37+J39)</f>
        <v>-880288.119999997</v>
      </c>
      <c r="K47" s="1704">
        <f t="shared" si="36"/>
        <v>2192473.31000001</v>
      </c>
      <c r="L47" s="1704">
        <f t="shared" ref="L47:M47" si="37">L27-(L25+L37+L39)</f>
        <v>2641750.78</v>
      </c>
      <c r="M47" s="1704">
        <f t="shared" si="37"/>
        <v>4733506.79</v>
      </c>
      <c r="N47" s="1704">
        <f t="shared" si="35"/>
        <v>18053860.6399999</v>
      </c>
    </row>
    <row r="48" spans="1:14">
      <c r="A48" s="622"/>
      <c r="B48" s="1704"/>
      <c r="C48" s="1705"/>
      <c r="D48" s="1704"/>
      <c r="E48" s="1704"/>
      <c r="F48" s="1706"/>
      <c r="G48" s="1706"/>
      <c r="H48" s="1706"/>
      <c r="I48" s="1706"/>
      <c r="J48" s="1706"/>
      <c r="K48" s="1706"/>
      <c r="L48" s="1706"/>
      <c r="M48" s="1706"/>
      <c r="N48" s="1706"/>
    </row>
    <row r="49" spans="2:14">
      <c r="B49" s="1706"/>
      <c r="C49" s="1706"/>
      <c r="D49" s="1706"/>
      <c r="E49" s="1706"/>
      <c r="F49" s="1706"/>
      <c r="G49" s="1706"/>
      <c r="H49" s="1706"/>
      <c r="I49" s="1706"/>
      <c r="J49" s="1706"/>
      <c r="K49" s="1706"/>
      <c r="L49" s="1706"/>
      <c r="M49" s="1706"/>
      <c r="N49" s="1706"/>
    </row>
    <row r="50" spans="1:15">
      <c r="A50" s="1688" t="s">
        <v>536</v>
      </c>
      <c r="B50" s="1707">
        <f>'Stock Valuation (FIFO)'!D8</f>
        <v>20123510</v>
      </c>
      <c r="C50" s="1707">
        <f t="shared" ref="C50:M50" si="38">B52</f>
        <v>18484284</v>
      </c>
      <c r="D50" s="1707">
        <f t="shared" si="38"/>
        <v>15008748</v>
      </c>
      <c r="E50" s="1707">
        <f t="shared" si="38"/>
        <v>16653609</v>
      </c>
      <c r="F50" s="1707">
        <f t="shared" si="38"/>
        <v>15325485</v>
      </c>
      <c r="G50" s="1707">
        <f t="shared" si="38"/>
        <v>19843851</v>
      </c>
      <c r="H50" s="1707">
        <f t="shared" si="38"/>
        <v>12263385</v>
      </c>
      <c r="I50" s="1707">
        <f t="shared" si="38"/>
        <v>14553130</v>
      </c>
      <c r="J50" s="1707">
        <f t="shared" si="38"/>
        <v>16611745</v>
      </c>
      <c r="K50" s="1707">
        <f t="shared" si="38"/>
        <v>13647848</v>
      </c>
      <c r="L50" s="1707">
        <f t="shared" si="38"/>
        <v>17955937</v>
      </c>
      <c r="M50" s="1707">
        <f t="shared" si="38"/>
        <v>16788076</v>
      </c>
      <c r="N50" s="1706">
        <f>B50</f>
        <v>20123510</v>
      </c>
      <c r="O50" s="1733">
        <f>'Stock Valuation (FIFO)'!D8</f>
        <v>20123510</v>
      </c>
    </row>
    <row r="51" spans="1:15">
      <c r="A51" s="1688" t="s">
        <v>537</v>
      </c>
      <c r="B51" s="1707">
        <f>Purchase!$P5</f>
        <v>9540377</v>
      </c>
      <c r="C51" s="1707">
        <f>Purchase!$P6</f>
        <v>5511286</v>
      </c>
      <c r="D51" s="1707">
        <f>Purchase!$P7</f>
        <v>14973887</v>
      </c>
      <c r="E51" s="1707">
        <f>Purchase!$P8</f>
        <v>13053845</v>
      </c>
      <c r="F51" s="1707">
        <f>Purchase!$P9</f>
        <v>17886341</v>
      </c>
      <c r="G51" s="1707">
        <f>Purchase!$P10</f>
        <v>3215869</v>
      </c>
      <c r="H51" s="1707">
        <f>Purchase!$P11</f>
        <v>12675600</v>
      </c>
      <c r="I51" s="1707">
        <f>Purchase!$P12</f>
        <v>11136467</v>
      </c>
      <c r="J51" s="1707">
        <f>Purchase!$P13</f>
        <v>9938575</v>
      </c>
      <c r="K51" s="1707">
        <f>Purchase!$P14</f>
        <v>16739942</v>
      </c>
      <c r="L51" s="1707">
        <f>Purchase!$P15</f>
        <v>11974191</v>
      </c>
      <c r="M51" s="1707">
        <f>Purchase!$P16</f>
        <v>12417202</v>
      </c>
      <c r="N51" s="1706">
        <f>SUM(B51:M51)</f>
        <v>139063582</v>
      </c>
      <c r="O51" s="1734">
        <f>Purchase!P17</f>
        <v>139063582</v>
      </c>
    </row>
    <row r="52" ht="14.25" spans="1:15">
      <c r="A52" s="1708" t="s">
        <v>538</v>
      </c>
      <c r="B52" s="1709">
        <f>'Stock Valuation (FIFO)'!G$8</f>
        <v>18484284</v>
      </c>
      <c r="C52" s="1709">
        <f>'Stock Valuation (FIFO)'!J$8</f>
        <v>15008748</v>
      </c>
      <c r="D52" s="1709">
        <f>'Stock Valuation (FIFO)'!M$8</f>
        <v>16653609</v>
      </c>
      <c r="E52" s="1709">
        <f>'Stock Valuation (FIFO)'!P$8</f>
        <v>15325485</v>
      </c>
      <c r="F52" s="1709">
        <f>'Stock Valuation (FIFO)'!S$8</f>
        <v>19843851</v>
      </c>
      <c r="G52" s="1709">
        <f>'Stock Valuation (FIFO)'!V$8</f>
        <v>12263385</v>
      </c>
      <c r="H52" s="1709">
        <f>'Stock Valuation (FIFO)'!Y$8</f>
        <v>14553130</v>
      </c>
      <c r="I52" s="1709">
        <f>'Stock Valuation (FIFO)'!AB$8</f>
        <v>16611745</v>
      </c>
      <c r="J52" s="1709">
        <f>'Stock Valuation (FIFO)'!AE$8</f>
        <v>13647848</v>
      </c>
      <c r="K52" s="1709">
        <f>'Stock Valuation (FIFO)'!AH8</f>
        <v>17955937</v>
      </c>
      <c r="L52" s="1709">
        <f>'Stock Valuation (FIFO)'!AK$8</f>
        <v>16788076</v>
      </c>
      <c r="M52" s="1709">
        <f>'Stock Valuation (FIFO)'!AN$8</f>
        <v>17774647</v>
      </c>
      <c r="N52" s="1735">
        <f>L52</f>
        <v>16788076</v>
      </c>
      <c r="O52" s="1736">
        <f>'Stock Valuation (FIFO)'!AB8</f>
        <v>16611745</v>
      </c>
    </row>
    <row r="53" spans="1:15">
      <c r="A53" s="1710" t="s">
        <v>539</v>
      </c>
      <c r="B53" s="1711">
        <f t="shared" ref="B53:I53" si="39">B50+B51-B52-B69</f>
        <v>7370403</v>
      </c>
      <c r="C53" s="1711">
        <f t="shared" si="39"/>
        <v>7599002</v>
      </c>
      <c r="D53" s="1711">
        <f t="shared" si="39"/>
        <v>8560526</v>
      </c>
      <c r="E53" s="1711">
        <f t="shared" si="39"/>
        <v>9174569</v>
      </c>
      <c r="F53" s="1711">
        <f t="shared" si="39"/>
        <v>7826655</v>
      </c>
      <c r="G53" s="1711">
        <f t="shared" si="39"/>
        <v>7798635</v>
      </c>
      <c r="H53" s="1711">
        <f t="shared" si="39"/>
        <v>8012495</v>
      </c>
      <c r="I53" s="1711">
        <f t="shared" si="39"/>
        <v>7681052</v>
      </c>
      <c r="J53" s="1711">
        <f t="shared" ref="J53:K53" si="40">J50+J51-J52-J69</f>
        <v>12871297</v>
      </c>
      <c r="K53" s="1711">
        <f t="shared" si="40"/>
        <v>12431758.85</v>
      </c>
      <c r="L53" s="1711">
        <f t="shared" ref="L53:N53" si="41">L50+L51-L52-L69</f>
        <v>10223402</v>
      </c>
      <c r="M53" s="1711">
        <f t="shared" si="41"/>
        <v>11392416</v>
      </c>
      <c r="N53" s="1711">
        <f t="shared" si="41"/>
        <v>102209606</v>
      </c>
      <c r="O53" s="1737"/>
    </row>
    <row r="54" spans="1:15">
      <c r="A54" s="1688" t="s">
        <v>540</v>
      </c>
      <c r="B54" s="1706">
        <f>ROUND((Purchase!$M22),0)</f>
        <v>2338464</v>
      </c>
      <c r="C54" s="1706">
        <f>ROUND((Purchase!$M23),0)</f>
        <v>1494263</v>
      </c>
      <c r="D54" s="1706">
        <f>ROUND((Purchase!$M24),0)</f>
        <v>2292675</v>
      </c>
      <c r="E54" s="1706">
        <f>ROUND((Purchase!$M25),0)</f>
        <v>1098736</v>
      </c>
      <c r="F54" s="1706">
        <f>ROUND((Purchase!$M26),0)</f>
        <v>2949800</v>
      </c>
      <c r="G54" s="1706">
        <f>ROUND((Purchase!$M27),0)</f>
        <v>4235334</v>
      </c>
      <c r="H54" s="1706">
        <f>ROUND((Purchase!$M28),0)</f>
        <v>785256</v>
      </c>
      <c r="I54" s="1706">
        <f>ROUND((Purchase!$M29),0)</f>
        <v>1847198</v>
      </c>
      <c r="J54" s="1706">
        <f>ROUND((Purchase!$M30),0)</f>
        <v>960212</v>
      </c>
      <c r="K54" s="1706">
        <f>ROUND((Purchase!$M31),0)</f>
        <v>570096</v>
      </c>
      <c r="L54" s="1706">
        <f>ROUND((Purchase!$M32),0)</f>
        <v>560000</v>
      </c>
      <c r="M54" s="1706">
        <f>ROUND((Purchase!$M33),0)</f>
        <v>372906</v>
      </c>
      <c r="N54" s="1706">
        <f>ROUND((Purchase!$M34),0)</f>
        <v>19504939</v>
      </c>
      <c r="O54" s="1734">
        <f>Purchase!M34</f>
        <v>19504938.8</v>
      </c>
    </row>
    <row r="55" spans="1:15">
      <c r="A55" s="1688" t="s">
        <v>541</v>
      </c>
      <c r="B55" s="1706">
        <f>ROUND((Purchase!$J22),0)</f>
        <v>5738425</v>
      </c>
      <c r="C55" s="1706">
        <f>ROUND((Purchase!$J23),0)</f>
        <v>5132735</v>
      </c>
      <c r="D55" s="1706">
        <f>ROUND((Purchase!$J24),0)</f>
        <v>6303597</v>
      </c>
      <c r="E55" s="1706">
        <f>ROUND((Purchase!$J25),0)</f>
        <v>5756799</v>
      </c>
      <c r="F55" s="1706">
        <f>ROUND((Purchase!$J26),0)</f>
        <v>6255278</v>
      </c>
      <c r="G55" s="1706">
        <f>ROUND((Purchase!$J27),0)</f>
        <v>5735506</v>
      </c>
      <c r="H55" s="1706">
        <f>ROUND((Purchase!$J28),0)</f>
        <v>6617498</v>
      </c>
      <c r="I55" s="1706">
        <f>ROUND((Purchase!$J29),0)</f>
        <v>5173432</v>
      </c>
      <c r="J55" s="1706">
        <f>ROUND((Purchase!$J30),0)</f>
        <v>6191931</v>
      </c>
      <c r="K55" s="1706">
        <f>ROUND((Purchase!$J31),0)</f>
        <v>6431104</v>
      </c>
      <c r="L55" s="1706">
        <f>ROUND((Purchase!$J32),0)</f>
        <v>4087686</v>
      </c>
      <c r="M55" s="1706">
        <f>ROUND((Purchase!$J33),0)</f>
        <v>6898641</v>
      </c>
      <c r="N55" s="1706">
        <f>ROUND((Purchase!$J34),0)</f>
        <v>70322631</v>
      </c>
      <c r="O55" s="1734">
        <f>Purchase!J34</f>
        <v>70322631</v>
      </c>
    </row>
    <row r="56" spans="1:15">
      <c r="A56" s="1688"/>
      <c r="B56" s="1706"/>
      <c r="C56" s="1706"/>
      <c r="D56" s="1706"/>
      <c r="E56" s="1706"/>
      <c r="F56" s="1706"/>
      <c r="G56" s="1706"/>
      <c r="H56" s="1706"/>
      <c r="I56" s="1706"/>
      <c r="J56" s="1706"/>
      <c r="K56" s="1706"/>
      <c r="L56" s="1706"/>
      <c r="M56" s="1706"/>
      <c r="N56" s="1706"/>
      <c r="O56" s="1737"/>
    </row>
    <row r="57" spans="1:15">
      <c r="A57" s="1688" t="s">
        <v>542</v>
      </c>
      <c r="B57" s="1707">
        <f>'Stock Valuation (FIFO)'!D26-B62</f>
        <v>64759662</v>
      </c>
      <c r="C57" s="1707">
        <f t="shared" ref="C57:M57" si="42">B58</f>
        <v>67466810</v>
      </c>
      <c r="D57" s="1707">
        <f t="shared" si="42"/>
        <v>53468006</v>
      </c>
      <c r="E57" s="1707">
        <f t="shared" si="42"/>
        <v>49009110</v>
      </c>
      <c r="F57" s="1707">
        <f t="shared" si="42"/>
        <v>46387501</v>
      </c>
      <c r="G57" s="1707">
        <f t="shared" si="42"/>
        <v>63489735</v>
      </c>
      <c r="H57" s="1707">
        <f t="shared" si="42"/>
        <v>70850662</v>
      </c>
      <c r="I57" s="1707">
        <f t="shared" si="42"/>
        <v>73117753</v>
      </c>
      <c r="J57" s="1707">
        <f t="shared" si="42"/>
        <v>68433701</v>
      </c>
      <c r="K57" s="1707">
        <f t="shared" si="42"/>
        <v>76878001</v>
      </c>
      <c r="L57" s="1707">
        <f t="shared" si="42"/>
        <v>22.6524954393662</v>
      </c>
      <c r="M57" s="1707">
        <f t="shared" si="42"/>
        <v>76687130</v>
      </c>
      <c r="N57" s="1706">
        <f>B57</f>
        <v>64759662</v>
      </c>
      <c r="O57" s="1733">
        <f>'Stock Valuation (FIFO)'!D26-O62</f>
        <v>64759662</v>
      </c>
    </row>
    <row r="58" ht="14.25" spans="1:15">
      <c r="A58" s="1708" t="s">
        <v>543</v>
      </c>
      <c r="B58" s="1709">
        <f>'Stock Valuation (FIFO)'!G$26-B64</f>
        <v>67466810</v>
      </c>
      <c r="C58" s="1709">
        <f>'Stock Valuation (FIFO)'!J$26-C64</f>
        <v>53468006</v>
      </c>
      <c r="D58" s="1709">
        <f>'Stock Valuation (FIFO)'!M$26-D64</f>
        <v>49009110</v>
      </c>
      <c r="E58" s="1709">
        <f>'Stock Valuation (FIFO)'!P$26-E64</f>
        <v>46387501</v>
      </c>
      <c r="F58" s="1709">
        <f>'Stock Valuation (FIFO)'!S$26-F64</f>
        <v>63489735</v>
      </c>
      <c r="G58" s="1709">
        <f>'Stock Valuation (FIFO)'!V$26-G64</f>
        <v>70850662</v>
      </c>
      <c r="H58" s="1709">
        <f>'Stock Valuation (FIFO)'!Y$26-H64</f>
        <v>73117753</v>
      </c>
      <c r="I58" s="1709">
        <f>'Stock Valuation (FIFO)'!AB$26-I64</f>
        <v>68433701</v>
      </c>
      <c r="J58" s="1709">
        <f>'Stock Valuation (FIFO)'!AE26</f>
        <v>76878001</v>
      </c>
      <c r="K58" s="1709">
        <f>'Stock Valuation (FIFO)'!AD$26-K64</f>
        <v>22.6524954393662</v>
      </c>
      <c r="L58" s="1709">
        <f>'Stock Valuation (FIFO)'!AE$26-L64</f>
        <v>76687130</v>
      </c>
      <c r="M58" s="1709">
        <f>'Stock Valuation (FIFO)'!AF$26-M64</f>
        <v>401332</v>
      </c>
      <c r="N58" s="1735">
        <f>I58</f>
        <v>68433701</v>
      </c>
      <c r="O58" s="1736">
        <f>'Stock Valuation (FIFO)'!AB26-O64</f>
        <v>68433701</v>
      </c>
    </row>
    <row r="59" spans="1:15">
      <c r="A59" s="1688" t="s">
        <v>544</v>
      </c>
      <c r="B59" s="1706">
        <f>B57-B58</f>
        <v>-2707148</v>
      </c>
      <c r="C59" s="1706">
        <f t="shared" ref="C59:N59" si="43">C57-C58</f>
        <v>13998804</v>
      </c>
      <c r="D59" s="1706">
        <f t="shared" si="43"/>
        <v>4458896</v>
      </c>
      <c r="E59" s="1706">
        <f t="shared" si="43"/>
        <v>2621609</v>
      </c>
      <c r="F59" s="1706">
        <f t="shared" si="43"/>
        <v>-17102234</v>
      </c>
      <c r="G59" s="1706">
        <f t="shared" si="43"/>
        <v>-7360927</v>
      </c>
      <c r="H59" s="1706">
        <f t="shared" si="43"/>
        <v>-2267091</v>
      </c>
      <c r="I59" s="1706">
        <f t="shared" si="43"/>
        <v>4684052</v>
      </c>
      <c r="J59" s="1706">
        <f t="shared" ref="J59:K59" si="44">J57-J58</f>
        <v>-8444300</v>
      </c>
      <c r="K59" s="1706">
        <f t="shared" si="44"/>
        <v>76877978.3475046</v>
      </c>
      <c r="L59" s="1706">
        <f t="shared" ref="L59:M59" si="45">L57-L58</f>
        <v>-76687107.3475046</v>
      </c>
      <c r="M59" s="1706">
        <f t="shared" si="45"/>
        <v>76285798</v>
      </c>
      <c r="N59" s="1706">
        <f t="shared" si="43"/>
        <v>-3674039</v>
      </c>
      <c r="O59" s="1737"/>
    </row>
    <row r="60" ht="15" spans="1:15">
      <c r="A60" s="1712" t="s">
        <v>545</v>
      </c>
      <c r="B60" s="1713">
        <f t="shared" ref="B60:I60" si="46">B53+B70</f>
        <v>12740144</v>
      </c>
      <c r="C60" s="1713">
        <f t="shared" si="46"/>
        <v>28224804</v>
      </c>
      <c r="D60" s="1713">
        <f t="shared" si="46"/>
        <v>21615694</v>
      </c>
      <c r="E60" s="1713">
        <f t="shared" si="46"/>
        <v>18651713</v>
      </c>
      <c r="F60" s="1713">
        <f t="shared" si="46"/>
        <v>-70501</v>
      </c>
      <c r="G60" s="1713">
        <f t="shared" si="46"/>
        <v>10408548</v>
      </c>
      <c r="H60" s="1713">
        <f t="shared" si="46"/>
        <v>13148158</v>
      </c>
      <c r="I60" s="1713">
        <f t="shared" si="46"/>
        <v>19385734</v>
      </c>
      <c r="J60" s="1713">
        <f t="shared" ref="J60:K60" si="47">J53+J70</f>
        <v>11579140</v>
      </c>
      <c r="K60" s="1713">
        <f t="shared" si="47"/>
        <v>96310937.1975045</v>
      </c>
      <c r="L60" s="1713">
        <f t="shared" ref="L60:N60" si="48">L53+L70</f>
        <v>-61816019.3475046</v>
      </c>
      <c r="M60" s="1713">
        <f t="shared" si="48"/>
        <v>94949761</v>
      </c>
      <c r="N60" s="1713">
        <f t="shared" si="48"/>
        <v>188363137</v>
      </c>
      <c r="O60" s="1737"/>
    </row>
    <row r="61" spans="1:15">
      <c r="A61" s="1688"/>
      <c r="B61" s="1706"/>
      <c r="C61" s="1706"/>
      <c r="D61" s="1706"/>
      <c r="E61" s="1706"/>
      <c r="F61" s="1706"/>
      <c r="G61" s="1706"/>
      <c r="H61" s="1706"/>
      <c r="I61" s="1706"/>
      <c r="J61" s="1706"/>
      <c r="K61" s="1706"/>
      <c r="L61" s="1706"/>
      <c r="M61" s="1706"/>
      <c r="N61" s="1706"/>
      <c r="O61" s="1737"/>
    </row>
    <row r="62" spans="1:15">
      <c r="A62" s="1688" t="s">
        <v>546</v>
      </c>
      <c r="B62" s="1707">
        <f>'Stock Valuation (FIFO)'!D21</f>
        <v>143209</v>
      </c>
      <c r="C62" s="1707">
        <f t="shared" ref="C62:M62" si="49">B64</f>
        <v>136864</v>
      </c>
      <c r="D62" s="1707">
        <f t="shared" si="49"/>
        <v>141658</v>
      </c>
      <c r="E62" s="1707">
        <f t="shared" si="49"/>
        <v>127694</v>
      </c>
      <c r="F62" s="1707">
        <f t="shared" si="49"/>
        <v>144813</v>
      </c>
      <c r="G62" s="1707">
        <f t="shared" si="49"/>
        <v>151076</v>
      </c>
      <c r="H62" s="1707">
        <f t="shared" si="49"/>
        <v>199769</v>
      </c>
      <c r="I62" s="1707">
        <f t="shared" si="49"/>
        <v>154019</v>
      </c>
      <c r="J62" s="1707">
        <f t="shared" si="49"/>
        <v>262979</v>
      </c>
      <c r="K62" s="1707">
        <f t="shared" si="49"/>
        <v>994</v>
      </c>
      <c r="L62" s="1707">
        <f t="shared" si="49"/>
        <v>167.859335038363</v>
      </c>
      <c r="M62" s="1707">
        <f t="shared" si="49"/>
        <v>190871</v>
      </c>
      <c r="N62" s="1706">
        <f>B62</f>
        <v>143209</v>
      </c>
      <c r="O62" s="1733">
        <f>'Stock Valuation (FIFO)'!D21</f>
        <v>143209</v>
      </c>
    </row>
    <row r="63" spans="1:15">
      <c r="A63" s="1688" t="s">
        <v>547</v>
      </c>
      <c r="B63" s="1707">
        <f>ROUND((Purchase!$L52),0)</f>
        <v>1194876</v>
      </c>
      <c r="C63" s="1707">
        <v>1437319</v>
      </c>
      <c r="D63" s="1707">
        <v>1146692</v>
      </c>
      <c r="E63" s="1707">
        <v>1333120</v>
      </c>
      <c r="F63" s="1707">
        <v>1004334</v>
      </c>
      <c r="G63" s="1707">
        <v>1004334</v>
      </c>
      <c r="H63" s="1707">
        <v>1004334</v>
      </c>
      <c r="I63" s="1707">
        <v>1004334</v>
      </c>
      <c r="J63" s="1707">
        <v>1004334</v>
      </c>
      <c r="K63" s="1707">
        <v>1004334</v>
      </c>
      <c r="L63" s="1707">
        <v>1004334</v>
      </c>
      <c r="M63" s="1707">
        <v>1004334</v>
      </c>
      <c r="N63" s="1706">
        <f>ROUND((Purchase!L64),0)</f>
        <v>14224827</v>
      </c>
      <c r="O63" s="1733">
        <f>Purchase!L64</f>
        <v>14224827</v>
      </c>
    </row>
    <row r="64" ht="14.25" spans="1:15">
      <c r="A64" s="1708" t="s">
        <v>548</v>
      </c>
      <c r="B64" s="1709">
        <f>'Stock Valuation (FIFO)'!G$21</f>
        <v>136864</v>
      </c>
      <c r="C64" s="1709">
        <f>'Stock Valuation (FIFO)'!J$21</f>
        <v>141658</v>
      </c>
      <c r="D64" s="1709">
        <f>'Stock Valuation (FIFO)'!M$21</f>
        <v>127694</v>
      </c>
      <c r="E64" s="1709">
        <f>'Stock Valuation (FIFO)'!P$21</f>
        <v>144813</v>
      </c>
      <c r="F64" s="1709">
        <f>'Stock Valuation (FIFO)'!S$21</f>
        <v>151076</v>
      </c>
      <c r="G64" s="1709">
        <f>'Stock Valuation (FIFO)'!V$21</f>
        <v>199769</v>
      </c>
      <c r="H64" s="1709">
        <f>'Stock Valuation (FIFO)'!Y$21</f>
        <v>154019</v>
      </c>
      <c r="I64" s="1709">
        <f>'Stock Valuation (FIFO)'!AB$21</f>
        <v>262979</v>
      </c>
      <c r="J64" s="1709">
        <f>'Stock Valuation (FIFO)'!AC$21</f>
        <v>994</v>
      </c>
      <c r="K64" s="1709">
        <f>'Stock Valuation (FIFO)'!AD$21</f>
        <v>167.859335038363</v>
      </c>
      <c r="L64" s="1709">
        <f>'Stock Valuation (FIFO)'!AE$21</f>
        <v>190871</v>
      </c>
      <c r="M64" s="1709">
        <f>'Stock Valuation (FIFO)'!AF$21</f>
        <v>799</v>
      </c>
      <c r="N64" s="1735">
        <f>I64</f>
        <v>262979</v>
      </c>
      <c r="O64" s="1736">
        <f>'Stock Valuation (FIFO)'!AB21</f>
        <v>262979</v>
      </c>
    </row>
    <row r="65" ht="15" spans="1:15">
      <c r="A65" s="1712" t="s">
        <v>549</v>
      </c>
      <c r="B65" s="1713">
        <f>B62+B63-B64</f>
        <v>1201221</v>
      </c>
      <c r="C65" s="1713">
        <f t="shared" ref="C65:I65" si="50">C62+C63-C64</f>
        <v>1432525</v>
      </c>
      <c r="D65" s="1713">
        <f t="shared" si="50"/>
        <v>1160656</v>
      </c>
      <c r="E65" s="1713">
        <f t="shared" si="50"/>
        <v>1316001</v>
      </c>
      <c r="F65" s="1713">
        <f t="shared" si="50"/>
        <v>998071</v>
      </c>
      <c r="G65" s="1713">
        <f t="shared" si="50"/>
        <v>955641</v>
      </c>
      <c r="H65" s="1713">
        <f t="shared" si="50"/>
        <v>1050084</v>
      </c>
      <c r="I65" s="1713">
        <f t="shared" si="50"/>
        <v>895374</v>
      </c>
      <c r="J65" s="1713">
        <f t="shared" ref="J65:K65" si="51">J62+J63-J64</f>
        <v>1266319</v>
      </c>
      <c r="K65" s="1713">
        <f t="shared" si="51"/>
        <v>1005160.14066496</v>
      </c>
      <c r="L65" s="1713">
        <f t="shared" ref="L65:M65" si="52">L62+L63-L64</f>
        <v>813630.859335038</v>
      </c>
      <c r="M65" s="1713">
        <f t="shared" si="52"/>
        <v>1194406</v>
      </c>
      <c r="N65" s="1706">
        <f>N62+N63-N64-N78</f>
        <v>14105057</v>
      </c>
      <c r="O65" s="1737"/>
    </row>
    <row r="66" spans="1:15">
      <c r="A66" s="1712" t="s">
        <v>550</v>
      </c>
      <c r="B66" s="1706">
        <f t="shared" ref="B66:I66" si="53">B62-B64</f>
        <v>6345</v>
      </c>
      <c r="C66" s="1706">
        <f t="shared" si="53"/>
        <v>-4794</v>
      </c>
      <c r="D66" s="1706">
        <f t="shared" si="53"/>
        <v>13964</v>
      </c>
      <c r="E66" s="1706">
        <f t="shared" si="53"/>
        <v>-17119</v>
      </c>
      <c r="F66" s="1706">
        <f t="shared" si="53"/>
        <v>-6263</v>
      </c>
      <c r="G66" s="1706">
        <f t="shared" si="53"/>
        <v>-48693</v>
      </c>
      <c r="H66" s="1706">
        <f t="shared" si="53"/>
        <v>45750</v>
      </c>
      <c r="I66" s="1706">
        <f t="shared" si="53"/>
        <v>-108960</v>
      </c>
      <c r="J66" s="1706">
        <f t="shared" ref="J66:K66" si="54">J62-J64</f>
        <v>261985</v>
      </c>
      <c r="K66" s="1706">
        <f t="shared" si="54"/>
        <v>826.140664961637</v>
      </c>
      <c r="L66" s="1706">
        <f t="shared" ref="L66:N66" si="55">L62-L64</f>
        <v>-190703.140664962</v>
      </c>
      <c r="M66" s="1706">
        <f t="shared" si="55"/>
        <v>190072</v>
      </c>
      <c r="N66" s="1706">
        <f t="shared" si="55"/>
        <v>-119770</v>
      </c>
      <c r="O66" s="1737"/>
    </row>
    <row r="67" ht="15" spans="1:15">
      <c r="A67" s="1712" t="s">
        <v>421</v>
      </c>
      <c r="B67" s="1713">
        <f>B60+B65</f>
        <v>13941365</v>
      </c>
      <c r="C67" s="1713">
        <f t="shared" ref="C67:I67" si="56">C53+C70+C59+C65+C69-C66</f>
        <v>45048747</v>
      </c>
      <c r="D67" s="1713">
        <f t="shared" si="56"/>
        <v>31989782</v>
      </c>
      <c r="E67" s="1713">
        <f t="shared" si="56"/>
        <v>27813842</v>
      </c>
      <c r="F67" s="1713">
        <f t="shared" si="56"/>
        <v>-10627081</v>
      </c>
      <c r="G67" s="1713">
        <f t="shared" si="56"/>
        <v>7049655</v>
      </c>
      <c r="H67" s="1713">
        <f t="shared" si="56"/>
        <v>14258761</v>
      </c>
      <c r="I67" s="1713">
        <f t="shared" si="56"/>
        <v>26470920</v>
      </c>
      <c r="J67" s="1713">
        <f t="shared" ref="J67:K67" si="57">J53+J70+J59+J65+J69-J66</f>
        <v>4170349</v>
      </c>
      <c r="K67" s="1713">
        <f t="shared" si="57"/>
        <v>174193343.695009</v>
      </c>
      <c r="L67" s="1713">
        <f t="shared" ref="L67:N67" si="58">L53+L70+L59+L65+L69-L66</f>
        <v>-134580142.695009</v>
      </c>
      <c r="M67" s="1713">
        <f t="shared" si="58"/>
        <v>172278108</v>
      </c>
      <c r="N67" s="1713">
        <f t="shared" si="58"/>
        <v>239103335</v>
      </c>
      <c r="O67" s="1737"/>
    </row>
    <row r="68" ht="15" spans="1:15">
      <c r="A68" s="1738" t="s">
        <v>551</v>
      </c>
      <c r="B68" s="1739">
        <f>B22</f>
        <v>17750564.47</v>
      </c>
      <c r="C68" s="1739">
        <f t="shared" ref="C68:N68" si="59">C22</f>
        <v>23714122.91</v>
      </c>
      <c r="D68" s="1739">
        <f t="shared" si="59"/>
        <v>23738647.06</v>
      </c>
      <c r="E68" s="1739">
        <f t="shared" si="59"/>
        <v>21576413.23</v>
      </c>
      <c r="F68" s="1739">
        <f t="shared" si="59"/>
        <v>21204819.47</v>
      </c>
      <c r="G68" s="1739">
        <f t="shared" si="59"/>
        <v>14285172.62</v>
      </c>
      <c r="H68" s="1739">
        <f t="shared" si="59"/>
        <v>16710216.17</v>
      </c>
      <c r="I68" s="1739">
        <f t="shared" si="59"/>
        <v>22733330.1</v>
      </c>
      <c r="J68" s="1739">
        <f t="shared" ref="J68:K68" si="60">J22</f>
        <v>12853477.52</v>
      </c>
      <c r="K68" s="1739">
        <f t="shared" si="60"/>
        <v>19541921.91</v>
      </c>
      <c r="L68" s="1739">
        <f t="shared" ref="L68:M68" si="61">L22</f>
        <v>22140698.3</v>
      </c>
      <c r="M68" s="1739">
        <f t="shared" si="61"/>
        <v>29028910.72</v>
      </c>
      <c r="N68" s="1739">
        <f t="shared" si="59"/>
        <v>245281974.48</v>
      </c>
      <c r="O68" s="1737"/>
    </row>
    <row r="69" ht="15" spans="1:15">
      <c r="A69" s="1688" t="s">
        <v>552</v>
      </c>
      <c r="B69" s="1713">
        <f>'Inventory Sales'!D$42</f>
        <v>3809200</v>
      </c>
      <c r="C69" s="1713">
        <f>'Inventory Sales'!G$42</f>
        <v>1387820</v>
      </c>
      <c r="D69" s="1713">
        <f>'Inventory Sales'!J$42</f>
        <v>4768500</v>
      </c>
      <c r="E69" s="1713">
        <f>'Inventory Sales'!M$42</f>
        <v>5207400</v>
      </c>
      <c r="F69" s="1713">
        <f>'Inventory Sales'!P$42</f>
        <v>5541320</v>
      </c>
      <c r="G69" s="1713">
        <f>'Inventory Sales'!S$42</f>
        <v>2997700</v>
      </c>
      <c r="H69" s="1713">
        <f>'Inventory Sales'!V$42</f>
        <v>2373360</v>
      </c>
      <c r="I69" s="1713">
        <f>'Inventory Sales'!Y$42</f>
        <v>1396800</v>
      </c>
      <c r="J69" s="1713">
        <f>'Inventory Sales'!Z$42</f>
        <v>31175</v>
      </c>
      <c r="K69" s="1713">
        <f>'Inventory Sales'!AA$42</f>
        <v>94.15</v>
      </c>
      <c r="L69" s="1713">
        <f>'Inventory Sales'!AB$42</f>
        <v>2918650</v>
      </c>
      <c r="M69" s="1713">
        <f>'Inventory Sales'!AC$42</f>
        <v>38215</v>
      </c>
      <c r="N69" s="1713">
        <f>'Inventory Sales'!AN$42</f>
        <v>40189410</v>
      </c>
      <c r="O69" s="1737"/>
    </row>
    <row r="70" ht="15" spans="1:15">
      <c r="A70" s="1688" t="s">
        <v>553</v>
      </c>
      <c r="B70" s="1713">
        <f>B57+B54+B55-B58</f>
        <v>5369741</v>
      </c>
      <c r="C70" s="1713">
        <f t="shared" ref="C70:I70" si="62">C57+C54+C55-C58</f>
        <v>20625802</v>
      </c>
      <c r="D70" s="1713">
        <f t="shared" si="62"/>
        <v>13055168</v>
      </c>
      <c r="E70" s="1713">
        <f t="shared" si="62"/>
        <v>9477144</v>
      </c>
      <c r="F70" s="1713">
        <f t="shared" si="62"/>
        <v>-7897156</v>
      </c>
      <c r="G70" s="1713">
        <f t="shared" si="62"/>
        <v>2609913</v>
      </c>
      <c r="H70" s="1713">
        <f t="shared" si="62"/>
        <v>5135663</v>
      </c>
      <c r="I70" s="1713">
        <f t="shared" si="62"/>
        <v>11704682</v>
      </c>
      <c r="J70" s="1713">
        <f t="shared" ref="J70:K70" si="63">J57+J54+J55-J58</f>
        <v>-1292157</v>
      </c>
      <c r="K70" s="1713">
        <f t="shared" si="63"/>
        <v>83879178.3475046</v>
      </c>
      <c r="L70" s="1713">
        <f t="shared" ref="L70:N70" si="64">L57+L54+L55-L58</f>
        <v>-72039421.3475046</v>
      </c>
      <c r="M70" s="1713">
        <f t="shared" si="64"/>
        <v>83557345</v>
      </c>
      <c r="N70" s="1713">
        <f t="shared" si="64"/>
        <v>86153531</v>
      </c>
      <c r="O70" s="1737"/>
    </row>
    <row r="71" ht="15" spans="1:15">
      <c r="A71" s="1740" t="s">
        <v>554</v>
      </c>
      <c r="B71" s="1711">
        <f t="shared" ref="B71:I71" si="65">B65</f>
        <v>1201221</v>
      </c>
      <c r="C71" s="1711">
        <f t="shared" si="65"/>
        <v>1432525</v>
      </c>
      <c r="D71" s="1711">
        <f t="shared" si="65"/>
        <v>1160656</v>
      </c>
      <c r="E71" s="1711">
        <f t="shared" si="65"/>
        <v>1316001</v>
      </c>
      <c r="F71" s="1711">
        <f t="shared" si="65"/>
        <v>998071</v>
      </c>
      <c r="G71" s="1711">
        <f t="shared" si="65"/>
        <v>955641</v>
      </c>
      <c r="H71" s="1711">
        <f t="shared" si="65"/>
        <v>1050084</v>
      </c>
      <c r="I71" s="1711">
        <f t="shared" si="65"/>
        <v>895374</v>
      </c>
      <c r="J71" s="1711">
        <f t="shared" ref="J71:K71" si="66">J65</f>
        <v>1266319</v>
      </c>
      <c r="K71" s="1711">
        <f t="shared" si="66"/>
        <v>1005160.14066496</v>
      </c>
      <c r="L71" s="1711">
        <f t="shared" ref="L71:N71" si="67">L65</f>
        <v>813630.859335038</v>
      </c>
      <c r="M71" s="1711">
        <f t="shared" si="67"/>
        <v>1194406</v>
      </c>
      <c r="N71" s="1711">
        <f t="shared" si="67"/>
        <v>14105057</v>
      </c>
      <c r="O71" s="1737"/>
    </row>
    <row r="72" spans="1:15">
      <c r="A72" s="1738" t="s">
        <v>555</v>
      </c>
      <c r="B72" s="1741">
        <f>B68-(B69+B70+B71)</f>
        <v>7370402.47</v>
      </c>
      <c r="C72" s="1741">
        <f t="shared" ref="C72:I72" si="68">C68-(C69+C70+C71)</f>
        <v>267975.91</v>
      </c>
      <c r="D72" s="1741">
        <f t="shared" si="68"/>
        <v>4754323.06</v>
      </c>
      <c r="E72" s="1741">
        <f t="shared" si="68"/>
        <v>5575868.23</v>
      </c>
      <c r="F72" s="1741">
        <f t="shared" si="68"/>
        <v>22562584.47</v>
      </c>
      <c r="G72" s="1741">
        <f t="shared" si="68"/>
        <v>7721918.62</v>
      </c>
      <c r="H72" s="1741">
        <f t="shared" si="68"/>
        <v>8151109.17</v>
      </c>
      <c r="I72" s="1741">
        <f t="shared" si="68"/>
        <v>8736474.09999999</v>
      </c>
      <c r="J72" s="1741">
        <f t="shared" ref="J72:K72" si="69">J68-(J69+J70+J71)</f>
        <v>12848140.52</v>
      </c>
      <c r="K72" s="1741">
        <f t="shared" si="69"/>
        <v>-65342510.7281695</v>
      </c>
      <c r="L72" s="1741">
        <f t="shared" ref="L72:N72" si="70">L68-(L69+L70+L71)</f>
        <v>90447838.7881695</v>
      </c>
      <c r="M72" s="1741">
        <f t="shared" si="70"/>
        <v>-55761055.28</v>
      </c>
      <c r="N72" s="1741">
        <f t="shared" si="70"/>
        <v>104833976.48</v>
      </c>
      <c r="O72" s="1737"/>
    </row>
    <row r="73" ht="15" spans="2:15">
      <c r="B73" s="1713">
        <f t="shared" ref="B73:I73" si="71">B68-B72</f>
        <v>10380162</v>
      </c>
      <c r="C73" s="1713">
        <f t="shared" si="71"/>
        <v>23446147</v>
      </c>
      <c r="D73" s="1713">
        <f t="shared" si="71"/>
        <v>18984324</v>
      </c>
      <c r="E73" s="1713">
        <f t="shared" si="71"/>
        <v>16000545</v>
      </c>
      <c r="F73" s="1713">
        <f t="shared" si="71"/>
        <v>-1357765</v>
      </c>
      <c r="G73" s="1713">
        <f t="shared" si="71"/>
        <v>6563254</v>
      </c>
      <c r="H73" s="1713">
        <f t="shared" si="71"/>
        <v>8559107</v>
      </c>
      <c r="I73" s="1713">
        <f t="shared" si="71"/>
        <v>13996856</v>
      </c>
      <c r="J73" s="1713">
        <f t="shared" ref="J73:K73" si="72">J68-J72</f>
        <v>5337</v>
      </c>
      <c r="K73" s="1713">
        <f t="shared" si="72"/>
        <v>84884432.6381695</v>
      </c>
      <c r="L73" s="1713">
        <f t="shared" ref="L73:N73" si="73">L68-L72</f>
        <v>-68307140.4881695</v>
      </c>
      <c r="M73" s="1713">
        <f t="shared" si="73"/>
        <v>84789966</v>
      </c>
      <c r="N73" s="1713">
        <f t="shared" si="73"/>
        <v>140447998</v>
      </c>
      <c r="O73" s="1737"/>
    </row>
    <row r="74" ht="15" spans="1:14">
      <c r="A74" s="1712"/>
      <c r="B74" s="1713"/>
      <c r="C74" s="1713"/>
      <c r="D74" s="1713"/>
      <c r="E74" s="1713"/>
      <c r="F74" s="1706"/>
      <c r="G74" s="1706"/>
      <c r="H74" s="1706"/>
      <c r="I74" s="1706"/>
      <c r="J74" s="1706"/>
      <c r="K74" s="1706"/>
      <c r="L74" s="1706"/>
      <c r="M74" s="1706"/>
      <c r="N74" s="1706"/>
    </row>
    <row r="75" ht="15" spans="1:14">
      <c r="A75" s="1712"/>
      <c r="B75" s="1713"/>
      <c r="C75" s="1713"/>
      <c r="D75" s="1713"/>
      <c r="E75" s="1713"/>
      <c r="F75" s="1706"/>
      <c r="G75" s="1706"/>
      <c r="H75" s="1706"/>
      <c r="I75" s="1706"/>
      <c r="J75" s="1706"/>
      <c r="K75" s="1706"/>
      <c r="L75" s="1706"/>
      <c r="M75" s="1706"/>
      <c r="N75" s="1706"/>
    </row>
    <row r="76" spans="2:14">
      <c r="B76" s="1706">
        <f t="shared" ref="B76:I76" si="74">B67-B68</f>
        <v>-3809199.47</v>
      </c>
      <c r="C76" s="1706">
        <f t="shared" si="74"/>
        <v>21334624.09</v>
      </c>
      <c r="D76" s="1706">
        <f t="shared" si="74"/>
        <v>8251134.94</v>
      </c>
      <c r="E76" s="1706">
        <f t="shared" si="74"/>
        <v>6237428.77</v>
      </c>
      <c r="F76" s="1706">
        <f t="shared" si="74"/>
        <v>-31831900.47</v>
      </c>
      <c r="G76" s="1706">
        <f t="shared" si="74"/>
        <v>-7235517.62</v>
      </c>
      <c r="H76" s="1706">
        <f t="shared" si="74"/>
        <v>-2451455.17</v>
      </c>
      <c r="I76" s="1706">
        <f t="shared" si="74"/>
        <v>3737589.90000001</v>
      </c>
      <c r="J76" s="1706">
        <f t="shared" ref="J76:K76" si="75">J67-J68</f>
        <v>-8683128.52</v>
      </c>
      <c r="K76" s="1706">
        <f t="shared" si="75"/>
        <v>154651421.785009</v>
      </c>
      <c r="L76" s="1706">
        <f t="shared" ref="L76:N76" si="76">L67-L68</f>
        <v>-156720840.995009</v>
      </c>
      <c r="M76" s="1706">
        <f t="shared" si="76"/>
        <v>143249197.28</v>
      </c>
      <c r="N76" s="1706">
        <f t="shared" si="76"/>
        <v>-6178639.48000002</v>
      </c>
    </row>
    <row r="77" ht="15" spans="1:14">
      <c r="A77" s="1688" t="s">
        <v>556</v>
      </c>
      <c r="B77" s="1713">
        <f>B59+B66</f>
        <v>-2700803</v>
      </c>
      <c r="C77" s="1713">
        <f t="shared" ref="C77:I77" si="77">C59+(C62-C64)</f>
        <v>13994010</v>
      </c>
      <c r="D77" s="1713">
        <f t="shared" si="77"/>
        <v>4472860</v>
      </c>
      <c r="E77" s="1713">
        <f t="shared" si="77"/>
        <v>2604490</v>
      </c>
      <c r="F77" s="1713">
        <f t="shared" si="77"/>
        <v>-17108497</v>
      </c>
      <c r="G77" s="1713">
        <f t="shared" si="77"/>
        <v>-7409620</v>
      </c>
      <c r="H77" s="1713">
        <f t="shared" si="77"/>
        <v>-2221341</v>
      </c>
      <c r="I77" s="1713">
        <f t="shared" si="77"/>
        <v>4575092</v>
      </c>
      <c r="J77" s="1713">
        <f t="shared" ref="J77:K77" si="78">J59+(J62-J64)</f>
        <v>-8182315</v>
      </c>
      <c r="K77" s="1713">
        <f t="shared" si="78"/>
        <v>76878804.4881695</v>
      </c>
      <c r="L77" s="1713">
        <f t="shared" ref="L77:N77" si="79">L59+(L62-L64)</f>
        <v>-76877810.4881695</v>
      </c>
      <c r="M77" s="1713">
        <f t="shared" si="79"/>
        <v>76475870</v>
      </c>
      <c r="N77" s="1713">
        <f t="shared" si="79"/>
        <v>-3793809</v>
      </c>
    </row>
    <row r="78" spans="2:14">
      <c r="B78" s="1706"/>
      <c r="C78" s="1706"/>
      <c r="D78" s="1706"/>
      <c r="E78" s="1706"/>
      <c r="F78" s="1706"/>
      <c r="G78" s="1706"/>
      <c r="H78" s="1706"/>
      <c r="I78" s="1706"/>
      <c r="J78" s="1706"/>
      <c r="K78" s="1706"/>
      <c r="L78" s="1706"/>
      <c r="M78" s="1706"/>
      <c r="N78" s="1706"/>
    </row>
    <row r="79" ht="15" spans="1:14">
      <c r="A79" s="1688" t="s">
        <v>557</v>
      </c>
      <c r="B79" s="1713">
        <f t="shared" ref="B79:I79" si="80">B53+B70+B59+B65</f>
        <v>11234217</v>
      </c>
      <c r="C79" s="1713">
        <f t="shared" si="80"/>
        <v>43656133</v>
      </c>
      <c r="D79" s="1713">
        <f t="shared" si="80"/>
        <v>27235246</v>
      </c>
      <c r="E79" s="1713">
        <f t="shared" si="80"/>
        <v>22589323</v>
      </c>
      <c r="F79" s="1713">
        <f t="shared" si="80"/>
        <v>-16174664</v>
      </c>
      <c r="G79" s="1713">
        <f t="shared" si="80"/>
        <v>4003262</v>
      </c>
      <c r="H79" s="1713">
        <f t="shared" si="80"/>
        <v>11931151</v>
      </c>
      <c r="I79" s="1713">
        <f t="shared" si="80"/>
        <v>24965160</v>
      </c>
      <c r="J79" s="1713">
        <f t="shared" ref="J79:K79" si="81">J53+J70+J59+J65</f>
        <v>4401159</v>
      </c>
      <c r="K79" s="1713">
        <f t="shared" si="81"/>
        <v>174194075.685674</v>
      </c>
      <c r="L79" s="1713">
        <f t="shared" ref="L79:N79" si="82">L53+L70+L59+L65</f>
        <v>-137689495.835674</v>
      </c>
      <c r="M79" s="1713">
        <f t="shared" si="82"/>
        <v>172429965</v>
      </c>
      <c r="N79" s="1713">
        <f t="shared" si="82"/>
        <v>198794155</v>
      </c>
    </row>
    <row r="80" ht="15" spans="1:14">
      <c r="A80" s="1688"/>
      <c r="B80" s="1713"/>
      <c r="C80" s="1713"/>
      <c r="D80" s="1713"/>
      <c r="E80" s="1713"/>
      <c r="F80" s="1706"/>
      <c r="G80" s="1706"/>
      <c r="H80" s="1706"/>
      <c r="I80" s="1706"/>
      <c r="J80" s="1706"/>
      <c r="K80" s="1706"/>
      <c r="L80" s="1706"/>
      <c r="M80" s="1706"/>
      <c r="N80" s="1706"/>
    </row>
    <row r="81" ht="15" spans="1:14">
      <c r="A81" s="1688"/>
      <c r="B81" s="1713"/>
      <c r="C81" s="1713"/>
      <c r="D81" s="1713"/>
      <c r="E81" s="1713"/>
      <c r="F81" s="1706"/>
      <c r="G81" s="1706"/>
      <c r="H81" s="1706"/>
      <c r="I81" s="1706"/>
      <c r="J81" s="1706"/>
      <c r="K81" s="1706"/>
      <c r="L81" s="1706"/>
      <c r="M81" s="1706"/>
      <c r="N81" s="1706"/>
    </row>
    <row r="82" ht="15" spans="1:14">
      <c r="A82" s="1688"/>
      <c r="B82" s="1713"/>
      <c r="C82" s="1713"/>
      <c r="D82" s="1713"/>
      <c r="E82" s="1713"/>
      <c r="F82" s="1706"/>
      <c r="G82" s="1706"/>
      <c r="H82" s="1706"/>
      <c r="I82" s="1706"/>
      <c r="J82" s="1706"/>
      <c r="K82" s="1706"/>
      <c r="L82" s="1706"/>
      <c r="M82" s="1706"/>
      <c r="N82" s="1706"/>
    </row>
    <row r="83" ht="15" spans="1:14">
      <c r="A83" s="1688"/>
      <c r="B83" s="1713"/>
      <c r="C83" s="1713"/>
      <c r="D83" s="1713"/>
      <c r="E83" s="1713"/>
      <c r="F83" s="1706"/>
      <c r="G83" s="1706"/>
      <c r="H83" s="1706"/>
      <c r="I83" s="1706"/>
      <c r="J83" s="1706"/>
      <c r="K83" s="1706"/>
      <c r="L83" s="1706"/>
      <c r="M83" s="1706"/>
      <c r="N83" s="1706"/>
    </row>
    <row r="84" ht="15" spans="1:14">
      <c r="A84" s="1688"/>
      <c r="B84" s="1742"/>
      <c r="C84" s="1742"/>
      <c r="D84" s="1742"/>
      <c r="E84" s="1742"/>
      <c r="F84" s="1748"/>
      <c r="G84" s="1748"/>
      <c r="H84" s="1748"/>
      <c r="I84" s="1748"/>
      <c r="J84" s="1748"/>
      <c r="K84" s="1748"/>
      <c r="L84" s="1748"/>
      <c r="M84" s="1748"/>
      <c r="N84" s="1748"/>
    </row>
    <row r="85" ht="15" spans="1:5">
      <c r="A85" s="1688"/>
      <c r="B85" s="1743"/>
      <c r="C85" s="1743"/>
      <c r="D85" s="1743"/>
      <c r="E85" s="1743"/>
    </row>
    <row r="86" ht="15" spans="1:5">
      <c r="A86" s="1688"/>
      <c r="B86" s="1743"/>
      <c r="C86" s="1743"/>
      <c r="D86" s="1743"/>
      <c r="E86" s="1743"/>
    </row>
    <row r="87" ht="15" spans="1:5">
      <c r="A87" s="1688"/>
      <c r="B87" s="1743"/>
      <c r="C87" s="1743"/>
      <c r="D87" s="1743"/>
      <c r="E87" s="1743"/>
    </row>
    <row r="88" ht="15" spans="1:5">
      <c r="A88" s="1688"/>
      <c r="B88" s="1743"/>
      <c r="C88" s="1743"/>
      <c r="D88" s="1743"/>
      <c r="E88" s="1743"/>
    </row>
    <row r="89" ht="15" spans="2:4">
      <c r="B89" s="1743"/>
      <c r="C89" s="1743"/>
      <c r="D89" s="1743"/>
    </row>
    <row r="90" spans="1:5">
      <c r="A90" s="1688" t="s">
        <v>558</v>
      </c>
      <c r="B90" s="97">
        <f>14731601+10601713</f>
        <v>25333314</v>
      </c>
      <c r="C90" s="97">
        <f>27009615+8032196</f>
        <v>35041811</v>
      </c>
      <c r="D90" s="97">
        <f>22010758+10548689</f>
        <v>32559447</v>
      </c>
      <c r="E90" s="97">
        <v>29621742</v>
      </c>
    </row>
    <row r="91" spans="1:5">
      <c r="A91" s="1688" t="s">
        <v>559</v>
      </c>
      <c r="B91" s="97">
        <v>4053505</v>
      </c>
      <c r="C91" s="97">
        <f>1335000</f>
        <v>1335000</v>
      </c>
      <c r="D91" s="97">
        <v>4901990</v>
      </c>
      <c r="E91" s="97">
        <v>5497360</v>
      </c>
    </row>
    <row r="92" spans="1:5">
      <c r="A92" s="1688" t="s">
        <v>99</v>
      </c>
      <c r="B92" s="97">
        <v>1377592</v>
      </c>
      <c r="C92" s="97">
        <v>1668641</v>
      </c>
      <c r="D92" s="97">
        <v>1342889</v>
      </c>
      <c r="E92" s="97">
        <v>1494475</v>
      </c>
    </row>
    <row r="93" ht="14.25" spans="1:5">
      <c r="A93" s="1688" t="s">
        <v>381</v>
      </c>
      <c r="B93" s="830">
        <v>21100</v>
      </c>
      <c r="C93" s="830">
        <v>77390</v>
      </c>
      <c r="D93" s="830">
        <v>56540</v>
      </c>
      <c r="E93" s="830">
        <v>53405</v>
      </c>
    </row>
    <row r="94" ht="15" spans="1:5">
      <c r="A94" s="1744"/>
      <c r="B94" s="1745">
        <f>SUM(B90:B93)</f>
        <v>30785511</v>
      </c>
      <c r="C94" s="1745">
        <f>SUM(C90:C93)</f>
        <v>38122842</v>
      </c>
      <c r="D94" s="1745">
        <f>SUM(D90:D93)</f>
        <v>38860866</v>
      </c>
      <c r="E94" s="1745">
        <f>SUM(E90:E93)</f>
        <v>36666982</v>
      </c>
    </row>
    <row r="95" spans="1:5">
      <c r="A95" s="1688" t="s">
        <v>560</v>
      </c>
      <c r="B95" s="773">
        <f>ROUND((B4),0)</f>
        <v>30785511</v>
      </c>
      <c r="C95" s="773">
        <f>ROUND((C4),0)</f>
        <v>38122842</v>
      </c>
      <c r="D95" s="773">
        <f>ROUND((D4),0)</f>
        <v>38860866</v>
      </c>
      <c r="E95" s="773">
        <f>ROUND((E4),0)</f>
        <v>36666982</v>
      </c>
    </row>
    <row r="96" spans="1:5">
      <c r="A96" s="1688" t="s">
        <v>31</v>
      </c>
      <c r="B96" s="97">
        <f>B94-B95</f>
        <v>0</v>
      </c>
      <c r="C96" s="97">
        <f t="shared" ref="C96:E96" si="83">C94-C95</f>
        <v>0</v>
      </c>
      <c r="D96" s="97">
        <f t="shared" si="83"/>
        <v>0</v>
      </c>
      <c r="E96" s="97">
        <f t="shared" si="83"/>
        <v>0</v>
      </c>
    </row>
    <row r="98" spans="1:5">
      <c r="A98" s="1746" t="s">
        <v>561</v>
      </c>
      <c r="B98" s="1747">
        <f>B23+B36</f>
        <v>12771886.62</v>
      </c>
      <c r="C98" s="1747">
        <f>C23+C36</f>
        <v>12580166.74</v>
      </c>
      <c r="D98" s="1747">
        <f>D23+D36</f>
        <v>13250137.33</v>
      </c>
      <c r="E98" s="1747">
        <f>E23+E36</f>
        <v>14501776.51</v>
      </c>
    </row>
    <row r="99" spans="1:5">
      <c r="A99" s="1746" t="s">
        <v>562</v>
      </c>
      <c r="B99" s="1747">
        <v>12771886.41</v>
      </c>
      <c r="C99" s="1747">
        <v>12580166.74</v>
      </c>
      <c r="D99" s="1747">
        <v>13273501.33</v>
      </c>
      <c r="E99" s="1747">
        <v>14496258.69</v>
      </c>
    </row>
    <row r="100" spans="1:5">
      <c r="A100" s="1744"/>
      <c r="B100" s="1747">
        <f>B98-B99</f>
        <v>0.21000000089407</v>
      </c>
      <c r="C100" s="1747">
        <f t="shared" ref="C100:E100" si="84">C98-C99</f>
        <v>0</v>
      </c>
      <c r="D100" s="1747">
        <f t="shared" si="84"/>
        <v>-23364.0000000019</v>
      </c>
      <c r="E100" s="1747">
        <f t="shared" si="84"/>
        <v>5517.8200000003</v>
      </c>
    </row>
  </sheetData>
  <mergeCells count="1">
    <mergeCell ref="A1:B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56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B1"/>
    </sheetView>
  </sheetViews>
  <sheetFormatPr defaultColWidth="8.85714285714286" defaultRowHeight="13.5"/>
  <cols>
    <col min="1" max="1" width="35" style="1622" customWidth="1"/>
    <col min="2" max="2" width="15" style="1622" customWidth="1"/>
    <col min="3" max="3" width="14.8571428571429" style="1622" customWidth="1"/>
    <col min="4" max="4" width="14.2857142857143" style="1622" customWidth="1"/>
    <col min="5" max="5" width="15.1428571428571" style="1622" customWidth="1"/>
    <col min="6" max="6" width="13.2857142857143" style="1622" customWidth="1"/>
    <col min="7" max="7" width="14.5714285714286" style="1622" customWidth="1"/>
    <col min="8" max="9" width="13.4285714285714" style="1622" customWidth="1"/>
    <col min="10" max="10" width="14.5714285714286" style="1622" customWidth="1"/>
    <col min="11" max="11" width="14.7142857142857" style="1622" customWidth="1"/>
    <col min="12" max="12" width="14.8571428571429" style="1622" customWidth="1"/>
    <col min="13" max="13" width="13.4285714285714" style="1622" customWidth="1"/>
    <col min="14" max="16384" width="8.85714285714286" style="1622"/>
  </cols>
  <sheetData>
    <row r="1" ht="17.25" spans="1:5">
      <c r="A1" s="1623" t="s">
        <v>563</v>
      </c>
      <c r="B1" s="1623"/>
      <c r="C1" s="1624"/>
      <c r="D1" s="1624"/>
      <c r="E1" s="1624"/>
    </row>
    <row r="2" spans="1:13">
      <c r="A2" s="1625" t="s">
        <v>449</v>
      </c>
      <c r="B2" s="1626">
        <v>45748</v>
      </c>
      <c r="C2" s="1626">
        <v>45778</v>
      </c>
      <c r="D2" s="1626">
        <v>45809</v>
      </c>
      <c r="E2" s="1626">
        <v>45839</v>
      </c>
      <c r="F2" s="1626">
        <v>45870</v>
      </c>
      <c r="G2" s="1626">
        <v>45901</v>
      </c>
      <c r="H2" s="1626">
        <v>45931</v>
      </c>
      <c r="I2" s="1626">
        <v>45962</v>
      </c>
      <c r="J2" s="1626">
        <v>45992</v>
      </c>
      <c r="K2" s="1626">
        <v>46023</v>
      </c>
      <c r="L2" s="1626">
        <v>46054</v>
      </c>
      <c r="M2" s="1666">
        <v>46082</v>
      </c>
    </row>
    <row r="3" ht="16.5" spans="1:13">
      <c r="A3" s="1627" t="s">
        <v>564</v>
      </c>
      <c r="B3" s="1628" t="s">
        <v>449</v>
      </c>
      <c r="C3" s="1628" t="s">
        <v>449</v>
      </c>
      <c r="D3" s="1628" t="s">
        <v>449</v>
      </c>
      <c r="E3" s="1628" t="s">
        <v>449</v>
      </c>
      <c r="F3" s="1628" t="s">
        <v>449</v>
      </c>
      <c r="G3" s="1628" t="s">
        <v>449</v>
      </c>
      <c r="H3" s="1663"/>
      <c r="I3" s="1663"/>
      <c r="J3" s="1663"/>
      <c r="K3" s="1663"/>
      <c r="L3" s="1663"/>
      <c r="M3" s="1667"/>
    </row>
    <row r="4" spans="1:13">
      <c r="A4" s="1629" t="s">
        <v>462</v>
      </c>
      <c r="B4" s="1630">
        <f>SUM(B5:B8)</f>
        <v>3102041</v>
      </c>
      <c r="C4" s="1630">
        <f t="shared" ref="C4:M4" si="0">SUM(C5:C8)</f>
        <v>5170381</v>
      </c>
      <c r="D4" s="1630">
        <f t="shared" si="0"/>
        <v>6238140.24</v>
      </c>
      <c r="E4" s="1630">
        <f t="shared" si="0"/>
        <v>8147511.8</v>
      </c>
      <c r="F4" s="1630">
        <f t="shared" si="0"/>
        <v>6538835</v>
      </c>
      <c r="G4" s="1630">
        <f t="shared" si="0"/>
        <v>3086531</v>
      </c>
      <c r="H4" s="1630">
        <f t="shared" si="0"/>
        <v>6541343</v>
      </c>
      <c r="I4" s="1630">
        <f t="shared" si="0"/>
        <v>11129286</v>
      </c>
      <c r="J4" s="1630">
        <f t="shared" si="0"/>
        <v>3042403.5</v>
      </c>
      <c r="K4" s="1630">
        <f t="shared" si="0"/>
        <v>2104384.33</v>
      </c>
      <c r="L4" s="1630">
        <f t="shared" si="0"/>
        <v>4291797.22</v>
      </c>
      <c r="M4" s="1668">
        <f t="shared" si="0"/>
        <v>4035222.6</v>
      </c>
    </row>
    <row r="5" spans="1:13">
      <c r="A5" s="1631" t="s">
        <v>465</v>
      </c>
      <c r="B5" s="1632">
        <v>125</v>
      </c>
      <c r="C5" s="1633">
        <v>125</v>
      </c>
      <c r="D5" s="1632">
        <v>135.32</v>
      </c>
      <c r="E5" s="1633">
        <v>625</v>
      </c>
      <c r="F5" s="1632">
        <v>128</v>
      </c>
      <c r="G5" s="1633">
        <v>125</v>
      </c>
      <c r="H5" s="1634"/>
      <c r="I5" s="1635"/>
      <c r="J5" s="1632">
        <v>176.5</v>
      </c>
      <c r="K5" s="1633">
        <v>115.2</v>
      </c>
      <c r="L5" s="1632">
        <v>83.22</v>
      </c>
      <c r="M5" s="660">
        <v>304.6</v>
      </c>
    </row>
    <row r="6" spans="1:13">
      <c r="A6" s="1631" t="s">
        <v>466</v>
      </c>
      <c r="B6" s="1634"/>
      <c r="C6" s="1635"/>
      <c r="D6" s="1634"/>
      <c r="E6" s="1635"/>
      <c r="F6" s="1634"/>
      <c r="G6" s="1633">
        <v>6970</v>
      </c>
      <c r="H6" s="1634"/>
      <c r="I6" s="1635"/>
      <c r="J6" s="1634"/>
      <c r="K6" s="1635"/>
      <c r="L6" s="1634"/>
      <c r="M6" s="660">
        <v>100000</v>
      </c>
    </row>
    <row r="7" spans="1:13">
      <c r="A7" s="1631" t="s">
        <v>467</v>
      </c>
      <c r="B7" s="1632">
        <v>3101916</v>
      </c>
      <c r="C7" s="1633">
        <v>5020256</v>
      </c>
      <c r="D7" s="1632">
        <v>6238004.92</v>
      </c>
      <c r="E7" s="1633">
        <v>8146886.8</v>
      </c>
      <c r="F7" s="1632">
        <v>6538707</v>
      </c>
      <c r="G7" s="1633">
        <v>3079436</v>
      </c>
      <c r="H7" s="1632">
        <v>6541343</v>
      </c>
      <c r="I7" s="1633">
        <v>11129286</v>
      </c>
      <c r="J7" s="1632">
        <v>3042227</v>
      </c>
      <c r="K7" s="1633">
        <v>2104269.13</v>
      </c>
      <c r="L7" s="1632">
        <v>4141714</v>
      </c>
      <c r="M7" s="660">
        <v>3434918</v>
      </c>
    </row>
    <row r="8" spans="1:13">
      <c r="A8" s="1636" t="s">
        <v>468</v>
      </c>
      <c r="B8" s="1634"/>
      <c r="C8" s="1633">
        <v>150000</v>
      </c>
      <c r="D8" s="1634"/>
      <c r="E8" s="1635"/>
      <c r="F8" s="1634"/>
      <c r="G8" s="1635"/>
      <c r="H8" s="1634"/>
      <c r="I8" s="1635"/>
      <c r="J8" s="1634"/>
      <c r="K8" s="1635"/>
      <c r="L8" s="1632">
        <v>150000</v>
      </c>
      <c r="M8" s="660">
        <v>500000</v>
      </c>
    </row>
    <row r="9" spans="1:13">
      <c r="A9" s="1629" t="s">
        <v>484</v>
      </c>
      <c r="B9" s="1630">
        <f>SUM(B10:B12)</f>
        <v>28417679.38</v>
      </c>
      <c r="C9" s="1630">
        <f t="shared" ref="C9:M9" si="1">SUM(C10:C12)</f>
        <v>34988640.5</v>
      </c>
      <c r="D9" s="1630">
        <f t="shared" si="1"/>
        <v>34549570.71</v>
      </c>
      <c r="E9" s="1630">
        <f t="shared" si="1"/>
        <v>50188503.4</v>
      </c>
      <c r="F9" s="1630">
        <f t="shared" si="1"/>
        <v>35691265.7</v>
      </c>
      <c r="G9" s="1630">
        <f t="shared" si="1"/>
        <v>35371212.6</v>
      </c>
      <c r="H9" s="1630">
        <f t="shared" si="1"/>
        <v>22032569.11</v>
      </c>
      <c r="I9" s="1630">
        <f t="shared" si="1"/>
        <v>34712680.19</v>
      </c>
      <c r="J9" s="1630">
        <f t="shared" si="1"/>
        <v>28647422.16</v>
      </c>
      <c r="K9" s="1630">
        <f t="shared" si="1"/>
        <v>32074603.78</v>
      </c>
      <c r="L9" s="1630">
        <f t="shared" si="1"/>
        <v>52241278.98</v>
      </c>
      <c r="M9" s="1668">
        <f t="shared" si="1"/>
        <v>58658170.66</v>
      </c>
    </row>
    <row r="10" spans="1:13">
      <c r="A10" s="1631" t="s">
        <v>486</v>
      </c>
      <c r="B10" s="1634"/>
      <c r="C10" s="1635"/>
      <c r="D10" s="1634"/>
      <c r="E10" s="1633">
        <v>721.07</v>
      </c>
      <c r="F10" s="1634"/>
      <c r="G10" s="1635"/>
      <c r="H10" s="1634"/>
      <c r="I10" s="1635"/>
      <c r="J10" s="1634"/>
      <c r="K10" s="165"/>
      <c r="L10" s="165"/>
      <c r="M10" s="1669"/>
    </row>
    <row r="11" spans="1:13">
      <c r="A11" s="1636" t="s">
        <v>487</v>
      </c>
      <c r="B11" s="1634"/>
      <c r="C11" s="1635"/>
      <c r="D11" s="1634"/>
      <c r="E11" s="1633">
        <v>13916104</v>
      </c>
      <c r="F11" s="1634"/>
      <c r="G11" s="1635"/>
      <c r="H11" s="1634"/>
      <c r="I11" s="1635"/>
      <c r="J11" s="1634"/>
      <c r="K11" s="1635"/>
      <c r="L11" s="1632">
        <v>16445123</v>
      </c>
      <c r="M11" s="1669"/>
    </row>
    <row r="12" spans="1:13">
      <c r="A12" s="1631" t="s">
        <v>488</v>
      </c>
      <c r="B12" s="1632">
        <v>28417679.38</v>
      </c>
      <c r="C12" s="1633">
        <v>34988640.5</v>
      </c>
      <c r="D12" s="1632">
        <v>34549570.71</v>
      </c>
      <c r="E12" s="1633">
        <v>36271678.33</v>
      </c>
      <c r="F12" s="1632">
        <v>35691265.7</v>
      </c>
      <c r="G12" s="1633">
        <v>35371212.6</v>
      </c>
      <c r="H12" s="1632">
        <v>22032569.11</v>
      </c>
      <c r="I12" s="1633">
        <v>34712680.19</v>
      </c>
      <c r="J12" s="1632">
        <v>28647422.16</v>
      </c>
      <c r="K12" s="1633">
        <v>32074603.78</v>
      </c>
      <c r="L12" s="1632">
        <v>35796155.98</v>
      </c>
      <c r="M12" s="660">
        <v>58658170.66</v>
      </c>
    </row>
    <row r="13" spans="1:13">
      <c r="A13" s="1629" t="s">
        <v>521</v>
      </c>
      <c r="B13" s="1637">
        <f>SUM(B14)</f>
        <v>0</v>
      </c>
      <c r="C13" s="1637">
        <f t="shared" ref="C13:M13" si="2">SUM(C14)</f>
        <v>0</v>
      </c>
      <c r="D13" s="1637">
        <f t="shared" si="2"/>
        <v>2</v>
      </c>
      <c r="E13" s="1637">
        <f t="shared" si="2"/>
        <v>0</v>
      </c>
      <c r="F13" s="1637">
        <f t="shared" si="2"/>
        <v>0</v>
      </c>
      <c r="G13" s="1637">
        <f t="shared" si="2"/>
        <v>0</v>
      </c>
      <c r="H13" s="1637">
        <f t="shared" si="2"/>
        <v>159630.4</v>
      </c>
      <c r="I13" s="1637">
        <f t="shared" si="2"/>
        <v>0</v>
      </c>
      <c r="J13" s="1637">
        <f t="shared" si="2"/>
        <v>0</v>
      </c>
      <c r="K13" s="1637">
        <f t="shared" si="2"/>
        <v>0</v>
      </c>
      <c r="L13" s="1637">
        <f t="shared" si="2"/>
        <v>0</v>
      </c>
      <c r="M13" s="1670">
        <f t="shared" si="2"/>
        <v>0</v>
      </c>
    </row>
    <row r="14" spans="1:13">
      <c r="A14" s="1636" t="s">
        <v>174</v>
      </c>
      <c r="B14" s="1634"/>
      <c r="C14" s="1635"/>
      <c r="D14" s="775">
        <v>2</v>
      </c>
      <c r="E14" s="1635"/>
      <c r="F14" s="1634"/>
      <c r="G14" s="1635"/>
      <c r="H14" s="1632">
        <v>159630.4</v>
      </c>
      <c r="I14" s="1635"/>
      <c r="J14" s="1634"/>
      <c r="K14" s="1635"/>
      <c r="L14" s="1634"/>
      <c r="M14" s="1669"/>
    </row>
    <row r="15" spans="1:13">
      <c r="A15" s="1629" t="s">
        <v>525</v>
      </c>
      <c r="B15" s="1637">
        <f>SUM(B16:B17)</f>
        <v>0</v>
      </c>
      <c r="C15" s="1637">
        <f t="shared" ref="C15:M15" si="3">SUM(C16:C17)</f>
        <v>0</v>
      </c>
      <c r="D15" s="1637">
        <f t="shared" si="3"/>
        <v>2</v>
      </c>
      <c r="E15" s="1637">
        <f t="shared" si="3"/>
        <v>0</v>
      </c>
      <c r="F15" s="1637">
        <f t="shared" si="3"/>
        <v>11</v>
      </c>
      <c r="G15" s="1637">
        <f t="shared" si="3"/>
        <v>0</v>
      </c>
      <c r="H15" s="1637">
        <f t="shared" si="3"/>
        <v>0</v>
      </c>
      <c r="I15" s="1637">
        <f t="shared" si="3"/>
        <v>1</v>
      </c>
      <c r="J15" s="1637">
        <f t="shared" si="3"/>
        <v>1</v>
      </c>
      <c r="K15" s="1637">
        <f t="shared" si="3"/>
        <v>0</v>
      </c>
      <c r="L15" s="1637">
        <f t="shared" si="3"/>
        <v>13745</v>
      </c>
      <c r="M15" s="1670">
        <f t="shared" si="3"/>
        <v>52081</v>
      </c>
    </row>
    <row r="16" spans="1:13">
      <c r="A16" s="1631" t="s">
        <v>82</v>
      </c>
      <c r="B16" s="1634"/>
      <c r="C16" s="1635"/>
      <c r="D16" s="1632">
        <v>2</v>
      </c>
      <c r="E16" s="1635"/>
      <c r="F16" s="1632">
        <v>11</v>
      </c>
      <c r="G16" s="1635"/>
      <c r="H16" s="1634"/>
      <c r="I16" s="1633">
        <v>1</v>
      </c>
      <c r="J16" s="1632">
        <v>1</v>
      </c>
      <c r="K16" s="1635"/>
      <c r="L16" s="1632">
        <v>7205</v>
      </c>
      <c r="M16" s="660">
        <v>52081</v>
      </c>
    </row>
    <row r="17" spans="1:13">
      <c r="A17" s="1638" t="s">
        <v>529</v>
      </c>
      <c r="B17" s="1634"/>
      <c r="C17" s="1635"/>
      <c r="D17" s="1634"/>
      <c r="E17" s="1635"/>
      <c r="F17" s="1634"/>
      <c r="G17" s="1635"/>
      <c r="H17" s="1634"/>
      <c r="I17" s="1635"/>
      <c r="J17" s="1634"/>
      <c r="K17" s="1635"/>
      <c r="L17" s="1632">
        <v>6540</v>
      </c>
      <c r="M17" s="1669"/>
    </row>
    <row r="18" spans="1:13">
      <c r="A18" s="1629" t="s">
        <v>246</v>
      </c>
      <c r="B18" s="1630">
        <f>SUM(B19:B20)</f>
        <v>9.6</v>
      </c>
      <c r="C18" s="1630">
        <f t="shared" ref="C18:M18" si="4">SUM(C19:C20)</f>
        <v>280268.3</v>
      </c>
      <c r="D18" s="1630">
        <f t="shared" si="4"/>
        <v>10728.54</v>
      </c>
      <c r="E18" s="1630">
        <f t="shared" si="4"/>
        <v>10131.15</v>
      </c>
      <c r="F18" s="1630">
        <f t="shared" si="4"/>
        <v>5395.7</v>
      </c>
      <c r="G18" s="1630">
        <f t="shared" si="4"/>
        <v>2092.83</v>
      </c>
      <c r="H18" s="1630">
        <f t="shared" si="4"/>
        <v>1933.45</v>
      </c>
      <c r="I18" s="1630">
        <f t="shared" si="4"/>
        <v>3040.76</v>
      </c>
      <c r="J18" s="1630">
        <f t="shared" si="4"/>
        <v>1287.01</v>
      </c>
      <c r="K18" s="1630">
        <f t="shared" si="4"/>
        <v>10496.01</v>
      </c>
      <c r="L18" s="1630">
        <f t="shared" si="4"/>
        <v>15.07</v>
      </c>
      <c r="M18" s="1668">
        <f t="shared" si="4"/>
        <v>11136.39</v>
      </c>
    </row>
    <row r="19" spans="1:13">
      <c r="A19" s="1636" t="s">
        <v>248</v>
      </c>
      <c r="B19" s="1632">
        <v>9.6</v>
      </c>
      <c r="C19" s="1633">
        <v>9.62</v>
      </c>
      <c r="D19" s="1632">
        <v>9.54</v>
      </c>
      <c r="E19" s="1633">
        <v>7.15</v>
      </c>
      <c r="F19" s="1632">
        <v>10.7</v>
      </c>
      <c r="G19" s="1633">
        <v>716.83</v>
      </c>
      <c r="H19" s="1632">
        <v>7.45</v>
      </c>
      <c r="I19" s="1633">
        <v>6.76</v>
      </c>
      <c r="J19" s="1632">
        <v>7.01</v>
      </c>
      <c r="K19" s="1633">
        <v>9139.14</v>
      </c>
      <c r="L19" s="1632">
        <v>15.07</v>
      </c>
      <c r="M19" s="660">
        <v>16.39</v>
      </c>
    </row>
    <row r="20" ht="14.25" spans="1:13">
      <c r="A20" s="1639" t="s">
        <v>287</v>
      </c>
      <c r="B20" s="1640"/>
      <c r="C20" s="1641">
        <v>280258.68</v>
      </c>
      <c r="D20" s="1642">
        <v>10719</v>
      </c>
      <c r="E20" s="1641">
        <v>10124</v>
      </c>
      <c r="F20" s="1642">
        <v>5385</v>
      </c>
      <c r="G20" s="1641">
        <v>1376</v>
      </c>
      <c r="H20" s="1642">
        <v>1926</v>
      </c>
      <c r="I20" s="1641">
        <v>3034</v>
      </c>
      <c r="J20" s="1642">
        <v>1280</v>
      </c>
      <c r="K20" s="1641">
        <v>1356.87</v>
      </c>
      <c r="L20" s="1640"/>
      <c r="M20" s="696">
        <v>11120</v>
      </c>
    </row>
    <row r="21" ht="14.25" spans="1:13">
      <c r="A21" s="1643" t="s">
        <v>52</v>
      </c>
      <c r="B21" s="1644">
        <f>SUM(B4,B9,B13,B15,B18)</f>
        <v>31519729.98</v>
      </c>
      <c r="C21" s="1644">
        <f t="shared" ref="C21:M21" si="5">SUM(C4,C9,C13,C15,C18)</f>
        <v>40439289.8</v>
      </c>
      <c r="D21" s="1644">
        <f t="shared" si="5"/>
        <v>40798443.49</v>
      </c>
      <c r="E21" s="1644">
        <f t="shared" si="5"/>
        <v>58346146.35</v>
      </c>
      <c r="F21" s="1644">
        <f t="shared" si="5"/>
        <v>42235507.4</v>
      </c>
      <c r="G21" s="1644">
        <f t="shared" si="5"/>
        <v>38459836.43</v>
      </c>
      <c r="H21" s="1644">
        <f t="shared" si="5"/>
        <v>28735475.96</v>
      </c>
      <c r="I21" s="1644">
        <f t="shared" si="5"/>
        <v>45845007.95</v>
      </c>
      <c r="J21" s="1644">
        <f t="shared" si="5"/>
        <v>31691113.67</v>
      </c>
      <c r="K21" s="1644">
        <f t="shared" si="5"/>
        <v>34189484.12</v>
      </c>
      <c r="L21" s="1644">
        <f t="shared" si="5"/>
        <v>56546836.27</v>
      </c>
      <c r="M21" s="1671">
        <f t="shared" si="5"/>
        <v>62756610.65</v>
      </c>
    </row>
    <row r="22" ht="16.5" spans="1:13">
      <c r="A22" s="1645" t="s">
        <v>565</v>
      </c>
      <c r="B22" s="1646" t="s">
        <v>449</v>
      </c>
      <c r="C22" s="1646" t="s">
        <v>449</v>
      </c>
      <c r="D22" s="1646" t="s">
        <v>449</v>
      </c>
      <c r="E22" s="1646" t="s">
        <v>449</v>
      </c>
      <c r="F22" s="1646" t="s">
        <v>449</v>
      </c>
      <c r="G22" s="1646" t="s">
        <v>449</v>
      </c>
      <c r="H22" s="1664"/>
      <c r="I22" s="1664"/>
      <c r="J22" s="1664"/>
      <c r="K22" s="1664"/>
      <c r="L22" s="1664"/>
      <c r="M22" s="1672"/>
    </row>
    <row r="23" spans="1:13">
      <c r="A23" s="1629" t="s">
        <v>455</v>
      </c>
      <c r="B23" s="1630">
        <f>SUM(B24:B26)</f>
        <v>3397497</v>
      </c>
      <c r="C23" s="1630">
        <f t="shared" ref="C23:M23" si="6">SUM(C24:C26)</f>
        <v>12064975.63</v>
      </c>
      <c r="D23" s="1630">
        <f t="shared" si="6"/>
        <v>4668542</v>
      </c>
      <c r="E23" s="1630">
        <f t="shared" si="6"/>
        <v>5315909</v>
      </c>
      <c r="F23" s="1630">
        <f t="shared" si="6"/>
        <v>2214303</v>
      </c>
      <c r="G23" s="1630">
        <f t="shared" si="6"/>
        <v>8784499</v>
      </c>
      <c r="H23" s="1630">
        <f t="shared" si="6"/>
        <v>3810526</v>
      </c>
      <c r="I23" s="1630">
        <f t="shared" si="6"/>
        <v>6617992</v>
      </c>
      <c r="J23" s="1630">
        <f t="shared" si="6"/>
        <v>3181534</v>
      </c>
      <c r="K23" s="1630">
        <f t="shared" si="6"/>
        <v>10895826.25</v>
      </c>
      <c r="L23" s="1630">
        <f t="shared" si="6"/>
        <v>7301131.77</v>
      </c>
      <c r="M23" s="1668">
        <f t="shared" si="6"/>
        <v>9082775.35</v>
      </c>
    </row>
    <row r="24" spans="1:13">
      <c r="A24" s="1636" t="s">
        <v>458</v>
      </c>
      <c r="B24" s="1634"/>
      <c r="C24" s="1633">
        <v>84800</v>
      </c>
      <c r="D24" s="1632">
        <v>84800</v>
      </c>
      <c r="E24" s="1633">
        <v>402100</v>
      </c>
      <c r="F24" s="1632">
        <v>84800</v>
      </c>
      <c r="G24" s="1633">
        <v>384800</v>
      </c>
      <c r="H24" s="1632">
        <v>700300</v>
      </c>
      <c r="I24" s="1633">
        <v>81456</v>
      </c>
      <c r="J24" s="1632">
        <v>681102</v>
      </c>
      <c r="K24" s="1633">
        <v>277669</v>
      </c>
      <c r="L24" s="1632">
        <v>794575</v>
      </c>
      <c r="M24" s="660">
        <v>2262311</v>
      </c>
    </row>
    <row r="25" spans="1:13">
      <c r="A25" s="1631" t="s">
        <v>460</v>
      </c>
      <c r="B25" s="1632">
        <v>3397497</v>
      </c>
      <c r="C25" s="1633">
        <v>11980175.63</v>
      </c>
      <c r="D25" s="1632">
        <v>4583742</v>
      </c>
      <c r="E25" s="1633">
        <v>4865592</v>
      </c>
      <c r="F25" s="1632">
        <v>2084308</v>
      </c>
      <c r="G25" s="1633">
        <v>8354150</v>
      </c>
      <c r="H25" s="1632">
        <v>3064320</v>
      </c>
      <c r="I25" s="1633">
        <v>6490271</v>
      </c>
      <c r="J25" s="1632">
        <v>2453804</v>
      </c>
      <c r="K25" s="1633">
        <v>10571164.25</v>
      </c>
      <c r="L25" s="1632">
        <v>6459195.77</v>
      </c>
      <c r="M25" s="660">
        <v>6772732.35</v>
      </c>
    </row>
    <row r="26" spans="1:13">
      <c r="A26" s="1631" t="s">
        <v>566</v>
      </c>
      <c r="B26" s="1634"/>
      <c r="C26" s="1635"/>
      <c r="D26" s="1634"/>
      <c r="E26" s="1633">
        <v>48217</v>
      </c>
      <c r="F26" s="1632">
        <v>45195</v>
      </c>
      <c r="G26" s="1633">
        <v>45549</v>
      </c>
      <c r="H26" s="1632">
        <v>45906</v>
      </c>
      <c r="I26" s="1633">
        <v>46265</v>
      </c>
      <c r="J26" s="1632">
        <v>46628</v>
      </c>
      <c r="K26" s="1633">
        <v>46993</v>
      </c>
      <c r="L26" s="1632">
        <v>47361</v>
      </c>
      <c r="M26" s="660">
        <v>47732</v>
      </c>
    </row>
    <row r="27" spans="1:13">
      <c r="A27" s="1629" t="s">
        <v>462</v>
      </c>
      <c r="B27" s="1630">
        <f>SUM(B28:B32)</f>
        <v>25772656.12</v>
      </c>
      <c r="C27" s="1630">
        <f t="shared" ref="C27:M27" si="7">SUM(C28:C32)</f>
        <v>27627324.4</v>
      </c>
      <c r="D27" s="1630">
        <f t="shared" si="7"/>
        <v>39789873.37</v>
      </c>
      <c r="E27" s="1630">
        <f t="shared" si="7"/>
        <v>36823570.81</v>
      </c>
      <c r="F27" s="1630">
        <f t="shared" si="7"/>
        <v>43847674.84</v>
      </c>
      <c r="G27" s="1630">
        <f t="shared" si="7"/>
        <v>28816030.93</v>
      </c>
      <c r="H27" s="1630">
        <f t="shared" si="7"/>
        <v>31301915.11</v>
      </c>
      <c r="I27" s="1630">
        <f t="shared" si="7"/>
        <v>35420578.1</v>
      </c>
      <c r="J27" s="1630">
        <f t="shared" si="7"/>
        <v>25111074.61</v>
      </c>
      <c r="K27" s="1630">
        <f t="shared" si="7"/>
        <v>26519574.47</v>
      </c>
      <c r="L27" s="1630">
        <f t="shared" si="7"/>
        <v>38294792.56</v>
      </c>
      <c r="M27" s="1668">
        <f t="shared" si="7"/>
        <v>39671750.78</v>
      </c>
    </row>
    <row r="28" spans="1:13">
      <c r="A28" s="1631" t="s">
        <v>464</v>
      </c>
      <c r="B28" s="1632">
        <v>404670</v>
      </c>
      <c r="C28" s="1633">
        <v>409023</v>
      </c>
      <c r="D28" s="1632">
        <v>394443</v>
      </c>
      <c r="E28" s="1633">
        <v>402551</v>
      </c>
      <c r="F28" s="1632">
        <v>417463</v>
      </c>
      <c r="G28" s="1633">
        <v>432432</v>
      </c>
      <c r="H28" s="1632">
        <v>391659</v>
      </c>
      <c r="I28" s="1633">
        <v>459703</v>
      </c>
      <c r="J28" s="1632">
        <v>403580</v>
      </c>
      <c r="K28" s="1633">
        <v>417602</v>
      </c>
      <c r="L28" s="1632">
        <v>416537</v>
      </c>
      <c r="M28" s="660">
        <v>414940</v>
      </c>
    </row>
    <row r="29" spans="1:13">
      <c r="A29" s="1631" t="s">
        <v>465</v>
      </c>
      <c r="B29" s="1632">
        <v>397021.86</v>
      </c>
      <c r="C29" s="1633">
        <v>283843</v>
      </c>
      <c r="D29" s="1632">
        <v>345053.32</v>
      </c>
      <c r="E29" s="1633">
        <v>379604.73</v>
      </c>
      <c r="F29" s="1632">
        <v>332176</v>
      </c>
      <c r="G29" s="1633">
        <v>338509</v>
      </c>
      <c r="H29" s="1632">
        <v>357362</v>
      </c>
      <c r="I29" s="1633">
        <v>369717</v>
      </c>
      <c r="J29" s="1632">
        <v>319935.5</v>
      </c>
      <c r="K29" s="1633">
        <v>383267.2</v>
      </c>
      <c r="L29" s="1632">
        <v>333082.22</v>
      </c>
      <c r="M29" s="660">
        <v>345081.6</v>
      </c>
    </row>
    <row r="30" spans="1:13">
      <c r="A30" s="1631" t="s">
        <v>466</v>
      </c>
      <c r="B30" s="1632">
        <v>1503205.36</v>
      </c>
      <c r="C30" s="1633">
        <v>2940010.35</v>
      </c>
      <c r="D30" s="1632">
        <v>2744564.99</v>
      </c>
      <c r="E30" s="1633">
        <v>2945867.09</v>
      </c>
      <c r="F30" s="1632">
        <v>3430312.05</v>
      </c>
      <c r="G30" s="1633">
        <v>4259971.68</v>
      </c>
      <c r="H30" s="1632">
        <v>3134421.11</v>
      </c>
      <c r="I30" s="1633">
        <v>3166878.14</v>
      </c>
      <c r="J30" s="1632">
        <v>2855865.19</v>
      </c>
      <c r="K30" s="1633">
        <v>3193220.58</v>
      </c>
      <c r="L30" s="1632">
        <v>3239524.81</v>
      </c>
      <c r="M30" s="660">
        <v>4519605.75</v>
      </c>
    </row>
    <row r="31" spans="1:13">
      <c r="A31" s="1631" t="s">
        <v>467</v>
      </c>
      <c r="B31" s="1632">
        <v>23467758.9</v>
      </c>
      <c r="C31" s="1633">
        <v>23994448.05</v>
      </c>
      <c r="D31" s="1632">
        <v>36221824.06</v>
      </c>
      <c r="E31" s="1633">
        <v>33095547.99</v>
      </c>
      <c r="F31" s="1632">
        <v>39667723.79</v>
      </c>
      <c r="G31" s="1633">
        <v>23785118.25</v>
      </c>
      <c r="H31" s="1632">
        <v>27418473</v>
      </c>
      <c r="I31" s="1633">
        <v>31424279.96</v>
      </c>
      <c r="J31" s="1632">
        <v>21531693.92</v>
      </c>
      <c r="K31" s="1633">
        <v>22525484.69</v>
      </c>
      <c r="L31" s="1632">
        <v>34305648.53</v>
      </c>
      <c r="M31" s="660">
        <v>34353623.43</v>
      </c>
    </row>
    <row r="32" spans="1:13">
      <c r="A32" s="1636" t="s">
        <v>468</v>
      </c>
      <c r="B32" s="1634"/>
      <c r="C32" s="1635"/>
      <c r="D32" s="1632">
        <v>83988</v>
      </c>
      <c r="E32" s="1635"/>
      <c r="F32" s="1634"/>
      <c r="G32" s="1635"/>
      <c r="H32" s="1634"/>
      <c r="I32" s="1635"/>
      <c r="J32" s="1634"/>
      <c r="K32" s="1635"/>
      <c r="L32" s="1634"/>
      <c r="M32" s="660">
        <v>38500</v>
      </c>
    </row>
    <row r="33" spans="1:13">
      <c r="A33" s="1629" t="s">
        <v>484</v>
      </c>
      <c r="B33" s="1630">
        <f>SUM(B34:B36)</f>
        <v>69120</v>
      </c>
      <c r="C33" s="1630">
        <f t="shared" ref="C33:M33" si="8">SUM(C34:C36)</f>
        <v>95021.75</v>
      </c>
      <c r="D33" s="1630">
        <f t="shared" si="8"/>
        <v>302200</v>
      </c>
      <c r="E33" s="1630">
        <f t="shared" si="8"/>
        <v>66740</v>
      </c>
      <c r="F33" s="1630">
        <f t="shared" si="8"/>
        <v>82260</v>
      </c>
      <c r="G33" s="1630">
        <f t="shared" si="8"/>
        <v>2177325</v>
      </c>
      <c r="H33" s="1630">
        <f t="shared" si="8"/>
        <v>119975</v>
      </c>
      <c r="I33" s="1630">
        <f t="shared" si="8"/>
        <v>99440</v>
      </c>
      <c r="J33" s="1630">
        <f t="shared" si="8"/>
        <v>65700</v>
      </c>
      <c r="K33" s="1630">
        <f t="shared" si="8"/>
        <v>176070</v>
      </c>
      <c r="L33" s="1630">
        <f t="shared" si="8"/>
        <v>65320</v>
      </c>
      <c r="M33" s="1668">
        <f t="shared" si="8"/>
        <v>471675.6</v>
      </c>
    </row>
    <row r="34" spans="1:13">
      <c r="A34" s="1631" t="s">
        <v>486</v>
      </c>
      <c r="B34" s="1634"/>
      <c r="C34" s="1635"/>
      <c r="D34" s="1634"/>
      <c r="E34" s="1635"/>
      <c r="F34" s="1634"/>
      <c r="G34" s="1635"/>
      <c r="H34" s="1634"/>
      <c r="I34" s="1633">
        <v>30000</v>
      </c>
      <c r="J34" s="1634"/>
      <c r="K34" s="1635"/>
      <c r="L34" s="165"/>
      <c r="M34" s="1669"/>
    </row>
    <row r="35" spans="1:13">
      <c r="A35" s="1636" t="s">
        <v>487</v>
      </c>
      <c r="B35" s="1632">
        <v>69120</v>
      </c>
      <c r="C35" s="1633">
        <v>81020</v>
      </c>
      <c r="D35" s="1632">
        <v>76300</v>
      </c>
      <c r="E35" s="1633">
        <v>66740</v>
      </c>
      <c r="F35" s="1632">
        <v>82260</v>
      </c>
      <c r="G35" s="1633">
        <v>85300</v>
      </c>
      <c r="H35" s="1632">
        <v>61740</v>
      </c>
      <c r="I35" s="1633">
        <v>69440</v>
      </c>
      <c r="J35" s="1632">
        <v>65700</v>
      </c>
      <c r="K35" s="1633">
        <v>80520</v>
      </c>
      <c r="L35" s="1632">
        <v>65320</v>
      </c>
      <c r="M35" s="660">
        <v>466560</v>
      </c>
    </row>
    <row r="36" spans="1:13">
      <c r="A36" s="1631" t="s">
        <v>488</v>
      </c>
      <c r="B36" s="1634"/>
      <c r="C36" s="1633">
        <v>14001.75</v>
      </c>
      <c r="D36" s="1632">
        <v>225900</v>
      </c>
      <c r="E36" s="1635"/>
      <c r="F36" s="1634"/>
      <c r="G36" s="1633">
        <v>2092025</v>
      </c>
      <c r="H36" s="1632">
        <v>58235</v>
      </c>
      <c r="I36" s="1635"/>
      <c r="J36" s="1634"/>
      <c r="K36" s="1633">
        <v>95550</v>
      </c>
      <c r="L36" s="1634"/>
      <c r="M36" s="660">
        <v>5115.6</v>
      </c>
    </row>
    <row r="37" spans="1:13">
      <c r="A37" s="1629" t="s">
        <v>521</v>
      </c>
      <c r="B37" s="1630">
        <f>SUM(B38)</f>
        <v>75457</v>
      </c>
      <c r="C37" s="1630">
        <f t="shared" ref="C37:M37" si="9">SUM(C38)</f>
        <v>99003</v>
      </c>
      <c r="D37" s="1630">
        <f t="shared" si="9"/>
        <v>64286</v>
      </c>
      <c r="E37" s="1630">
        <f t="shared" si="9"/>
        <v>504640</v>
      </c>
      <c r="F37" s="1630">
        <f t="shared" si="9"/>
        <v>62028</v>
      </c>
      <c r="G37" s="1630">
        <f t="shared" si="9"/>
        <v>1144144.4</v>
      </c>
      <c r="H37" s="1630">
        <f t="shared" si="9"/>
        <v>70399</v>
      </c>
      <c r="I37" s="1630">
        <f t="shared" si="9"/>
        <v>87574</v>
      </c>
      <c r="J37" s="1630">
        <f t="shared" si="9"/>
        <v>94053</v>
      </c>
      <c r="K37" s="1630">
        <f t="shared" si="9"/>
        <v>69407</v>
      </c>
      <c r="L37" s="1630">
        <f t="shared" si="9"/>
        <v>74536</v>
      </c>
      <c r="M37" s="1668">
        <f t="shared" si="9"/>
        <v>64050</v>
      </c>
    </row>
    <row r="38" spans="1:13">
      <c r="A38" s="1636" t="s">
        <v>174</v>
      </c>
      <c r="B38" s="1632">
        <v>75457</v>
      </c>
      <c r="C38" s="1633">
        <v>99003</v>
      </c>
      <c r="D38" s="1632">
        <v>64286</v>
      </c>
      <c r="E38" s="1633">
        <v>504640</v>
      </c>
      <c r="F38" s="1632">
        <v>62028</v>
      </c>
      <c r="G38" s="1633">
        <v>1144144.4</v>
      </c>
      <c r="H38" s="1632">
        <v>70399</v>
      </c>
      <c r="I38" s="1633">
        <v>87574</v>
      </c>
      <c r="J38" s="1632">
        <v>94053</v>
      </c>
      <c r="K38" s="1633">
        <v>69407</v>
      </c>
      <c r="L38" s="1632">
        <v>74536</v>
      </c>
      <c r="M38" s="660">
        <v>64050</v>
      </c>
    </row>
    <row r="39" spans="1:13">
      <c r="A39" s="1629" t="s">
        <v>246</v>
      </c>
      <c r="B39" s="1630">
        <f>SUM(B40:B42)</f>
        <v>942706.63</v>
      </c>
      <c r="C39" s="1630">
        <f t="shared" ref="C39:M39" si="10">SUM(C40:C42)</f>
        <v>539322.79</v>
      </c>
      <c r="D39" s="1630">
        <f t="shared" si="10"/>
        <v>592223.13</v>
      </c>
      <c r="E39" s="1630">
        <f t="shared" si="10"/>
        <v>576951.82</v>
      </c>
      <c r="F39" s="1630">
        <f t="shared" si="10"/>
        <v>566390.05</v>
      </c>
      <c r="G39" s="1630">
        <f t="shared" si="10"/>
        <v>506895.49</v>
      </c>
      <c r="H39" s="1630">
        <f t="shared" si="10"/>
        <v>593361.45</v>
      </c>
      <c r="I39" s="1630">
        <f t="shared" si="10"/>
        <v>586870.53</v>
      </c>
      <c r="J39" s="1630">
        <f t="shared" si="10"/>
        <v>494708.43</v>
      </c>
      <c r="K39" s="1630">
        <f t="shared" si="10"/>
        <v>580557.62</v>
      </c>
      <c r="L39" s="1630">
        <f t="shared" si="10"/>
        <v>840053.21</v>
      </c>
      <c r="M39" s="1668">
        <f t="shared" si="10"/>
        <v>461588.45</v>
      </c>
    </row>
    <row r="40" spans="1:13">
      <c r="A40" s="1636" t="s">
        <v>248</v>
      </c>
      <c r="B40" s="1632">
        <v>148064.25</v>
      </c>
      <c r="C40" s="1633">
        <v>42466.34</v>
      </c>
      <c r="D40" s="1632">
        <v>42716.85</v>
      </c>
      <c r="E40" s="1633">
        <v>43218.29</v>
      </c>
      <c r="F40" s="1632">
        <v>59254.69</v>
      </c>
      <c r="G40" s="1633">
        <v>38001.89</v>
      </c>
      <c r="H40" s="1632">
        <v>119683.65</v>
      </c>
      <c r="I40" s="1633">
        <v>32288.7</v>
      </c>
      <c r="J40" s="1632">
        <v>28065.06</v>
      </c>
      <c r="K40" s="1633">
        <v>36766.7</v>
      </c>
      <c r="L40" s="1632">
        <v>42129.55</v>
      </c>
      <c r="M40" s="660">
        <v>36004.09</v>
      </c>
    </row>
    <row r="41" spans="1:13">
      <c r="A41" s="1631" t="s">
        <v>287</v>
      </c>
      <c r="B41" s="1632">
        <v>779031.38</v>
      </c>
      <c r="C41" s="1633">
        <v>486247.45</v>
      </c>
      <c r="D41" s="1632">
        <v>494259.28</v>
      </c>
      <c r="E41" s="1633">
        <v>490675.53</v>
      </c>
      <c r="F41" s="1632">
        <v>484254.36</v>
      </c>
      <c r="G41" s="1633">
        <v>447662.6</v>
      </c>
      <c r="H41" s="1632">
        <v>457313.8</v>
      </c>
      <c r="I41" s="1633">
        <v>504015.83</v>
      </c>
      <c r="J41" s="1632">
        <v>450027.37</v>
      </c>
      <c r="K41" s="1633">
        <v>516762.92</v>
      </c>
      <c r="L41" s="1632">
        <v>766586.66</v>
      </c>
      <c r="M41" s="660">
        <v>410619.36</v>
      </c>
    </row>
    <row r="42" spans="1:13">
      <c r="A42" s="1631" t="s">
        <v>298</v>
      </c>
      <c r="B42" s="1632">
        <v>15611</v>
      </c>
      <c r="C42" s="1633">
        <v>10609</v>
      </c>
      <c r="D42" s="1632">
        <v>55247</v>
      </c>
      <c r="E42" s="1633">
        <v>43058</v>
      </c>
      <c r="F42" s="1632">
        <v>22881</v>
      </c>
      <c r="G42" s="1633">
        <v>21231</v>
      </c>
      <c r="H42" s="1632">
        <v>16364</v>
      </c>
      <c r="I42" s="1633">
        <v>50566</v>
      </c>
      <c r="J42" s="1632">
        <v>16616</v>
      </c>
      <c r="K42" s="1633">
        <v>27028</v>
      </c>
      <c r="L42" s="1632">
        <v>31337</v>
      </c>
      <c r="M42" s="660">
        <v>14965</v>
      </c>
    </row>
    <row r="43" spans="1:13">
      <c r="A43" s="1647" t="s">
        <v>52</v>
      </c>
      <c r="B43" s="1648">
        <f>SUM(B23,B27,B33,B37,B39)</f>
        <v>30257436.75</v>
      </c>
      <c r="C43" s="1648">
        <f t="shared" ref="C43:M43" si="11">SUM(C23,C27,C33,C37,C39)</f>
        <v>40425647.57</v>
      </c>
      <c r="D43" s="1648">
        <f t="shared" si="11"/>
        <v>45417124.5</v>
      </c>
      <c r="E43" s="1648">
        <f t="shared" si="11"/>
        <v>43287811.63</v>
      </c>
      <c r="F43" s="1648">
        <f t="shared" si="11"/>
        <v>46772655.89</v>
      </c>
      <c r="G43" s="1648">
        <f t="shared" si="11"/>
        <v>41428894.82</v>
      </c>
      <c r="H43" s="1648">
        <f t="shared" si="11"/>
        <v>35896176.56</v>
      </c>
      <c r="I43" s="1648">
        <f t="shared" si="11"/>
        <v>42812454.63</v>
      </c>
      <c r="J43" s="1648">
        <f t="shared" si="11"/>
        <v>28947070.04</v>
      </c>
      <c r="K43" s="1648">
        <f t="shared" si="11"/>
        <v>38241435.34</v>
      </c>
      <c r="L43" s="1648">
        <f t="shared" si="11"/>
        <v>46575833.54</v>
      </c>
      <c r="M43" s="1673">
        <f t="shared" si="11"/>
        <v>49751840.18</v>
      </c>
    </row>
    <row r="44" ht="14.25" spans="1:13">
      <c r="A44" s="1649" t="s">
        <v>567</v>
      </c>
      <c r="B44" s="1650">
        <f>B21-B43</f>
        <v>1262293.23</v>
      </c>
      <c r="C44" s="1650">
        <f t="shared" ref="C44:M44" si="12">C21-C43</f>
        <v>13642.2299999967</v>
      </c>
      <c r="D44" s="1650">
        <f t="shared" si="12"/>
        <v>-4618681.01000001</v>
      </c>
      <c r="E44" s="1650">
        <f t="shared" si="12"/>
        <v>15058334.72</v>
      </c>
      <c r="F44" s="1650">
        <f t="shared" si="12"/>
        <v>-4537148.48999999</v>
      </c>
      <c r="G44" s="1650">
        <f t="shared" si="12"/>
        <v>-2969058.39</v>
      </c>
      <c r="H44" s="1650">
        <f t="shared" si="12"/>
        <v>-7160700.60000001</v>
      </c>
      <c r="I44" s="1650">
        <f t="shared" si="12"/>
        <v>3032553.31999999</v>
      </c>
      <c r="J44" s="1650">
        <f t="shared" si="12"/>
        <v>2744043.63</v>
      </c>
      <c r="K44" s="1650">
        <f t="shared" si="12"/>
        <v>-4051951.22</v>
      </c>
      <c r="L44" s="1650">
        <f t="shared" si="12"/>
        <v>9971002.73</v>
      </c>
      <c r="M44" s="1674">
        <f t="shared" si="12"/>
        <v>13004770.47</v>
      </c>
    </row>
    <row r="45" ht="14.25" spans="1:13">
      <c r="A45" s="1651"/>
      <c r="B45" s="1652"/>
      <c r="C45" s="1652"/>
      <c r="D45" s="1652"/>
      <c r="E45" s="1652"/>
      <c r="F45" s="1652"/>
      <c r="G45" s="1652"/>
      <c r="H45" s="1652"/>
      <c r="I45" s="1652"/>
      <c r="J45" s="1652"/>
      <c r="K45" s="1652"/>
      <c r="L45" s="1652"/>
      <c r="M45" s="1675"/>
    </row>
    <row r="46" ht="15" spans="1:13">
      <c r="A46" s="1653" t="s">
        <v>568</v>
      </c>
      <c r="B46" s="1654">
        <f>B21-(B49+B52)</f>
        <v>31519729.98</v>
      </c>
      <c r="C46" s="1654">
        <f>C21-(C49+C52)</f>
        <v>40439289.8</v>
      </c>
      <c r="D46" s="1654">
        <f>D21-(D49+D52)</f>
        <v>40798443.49</v>
      </c>
      <c r="E46" s="1654">
        <f>E21-(E49+E52)</f>
        <v>44429321.28</v>
      </c>
      <c r="F46" s="1654">
        <f t="shared" ref="F46:M46" si="13">F21-(F49+F52)</f>
        <v>42235507.4</v>
      </c>
      <c r="G46" s="1654">
        <f t="shared" si="13"/>
        <v>38459836.43</v>
      </c>
      <c r="H46" s="1654">
        <f t="shared" si="13"/>
        <v>28735475.96</v>
      </c>
      <c r="I46" s="1654">
        <f t="shared" si="13"/>
        <v>45845007.95</v>
      </c>
      <c r="J46" s="1654">
        <f t="shared" si="13"/>
        <v>31691113.67</v>
      </c>
      <c r="K46" s="1654">
        <f t="shared" si="13"/>
        <v>34189484.12</v>
      </c>
      <c r="L46" s="1654">
        <f t="shared" si="13"/>
        <v>40101713.27</v>
      </c>
      <c r="M46" s="1654">
        <f t="shared" si="13"/>
        <v>62756610.65</v>
      </c>
    </row>
    <row r="47" ht="15.75" spans="1:13">
      <c r="A47" s="1655" t="s">
        <v>569</v>
      </c>
      <c r="B47" s="1656">
        <f>B42-(B50+B53)</f>
        <v>-3381886</v>
      </c>
      <c r="C47" s="1656">
        <f>C42-(C50+C53)</f>
        <v>-12054366.63</v>
      </c>
      <c r="D47" s="1656">
        <f>D42-(D50+D53)</f>
        <v>-4613295</v>
      </c>
      <c r="E47" s="1656">
        <f>E42-(E50+E53)</f>
        <v>-5272851</v>
      </c>
      <c r="F47" s="1656">
        <f t="shared" ref="F47:M47" si="14">F42-(F50+F53)</f>
        <v>-2191422</v>
      </c>
      <c r="G47" s="1656">
        <f t="shared" si="14"/>
        <v>-8763268</v>
      </c>
      <c r="H47" s="1656">
        <f t="shared" si="14"/>
        <v>-3794162</v>
      </c>
      <c r="I47" s="1656">
        <f t="shared" si="14"/>
        <v>-6597426</v>
      </c>
      <c r="J47" s="1656">
        <f t="shared" si="14"/>
        <v>-3164918</v>
      </c>
      <c r="K47" s="1656">
        <f t="shared" si="14"/>
        <v>-10868798.25</v>
      </c>
      <c r="L47" s="1656">
        <f t="shared" si="14"/>
        <v>-7269794.77</v>
      </c>
      <c r="M47" s="1656">
        <f t="shared" si="14"/>
        <v>-9067810.35</v>
      </c>
    </row>
    <row r="48" ht="15.75" spans="1:13">
      <c r="A48" s="1598" t="s">
        <v>116</v>
      </c>
      <c r="B48" s="1657">
        <f>B46-B47</f>
        <v>34901615.98</v>
      </c>
      <c r="C48" s="1657">
        <f>C46-C47</f>
        <v>52493656.43</v>
      </c>
      <c r="D48" s="1657">
        <f>D46-D47</f>
        <v>45411738.49</v>
      </c>
      <c r="E48" s="1657">
        <f>E46-E47</f>
        <v>49702172.28</v>
      </c>
      <c r="F48" s="1657">
        <f t="shared" ref="F48:M48" si="15">F46-F47</f>
        <v>44426929.4</v>
      </c>
      <c r="G48" s="1657">
        <f t="shared" si="15"/>
        <v>47223104.43</v>
      </c>
      <c r="H48" s="1657">
        <f t="shared" si="15"/>
        <v>32529637.96</v>
      </c>
      <c r="I48" s="1657">
        <f t="shared" si="15"/>
        <v>52442433.95</v>
      </c>
      <c r="J48" s="1657">
        <f t="shared" si="15"/>
        <v>34856031.67</v>
      </c>
      <c r="K48" s="1657">
        <f t="shared" si="15"/>
        <v>45058282.37</v>
      </c>
      <c r="L48" s="1665">
        <f t="shared" si="15"/>
        <v>47371508.04</v>
      </c>
      <c r="M48" s="1657">
        <f t="shared" si="15"/>
        <v>71824421</v>
      </c>
    </row>
    <row r="49" ht="15" spans="1:13">
      <c r="A49" s="1658" t="s">
        <v>570</v>
      </c>
      <c r="B49" s="1659">
        <f>B11</f>
        <v>0</v>
      </c>
      <c r="C49" s="1659">
        <f t="shared" ref="C49:M49" si="16">C11</f>
        <v>0</v>
      </c>
      <c r="D49" s="1659">
        <f t="shared" si="16"/>
        <v>0</v>
      </c>
      <c r="E49" s="1659">
        <f t="shared" si="16"/>
        <v>13916104</v>
      </c>
      <c r="F49" s="1659">
        <f t="shared" si="16"/>
        <v>0</v>
      </c>
      <c r="G49" s="1659">
        <f t="shared" si="16"/>
        <v>0</v>
      </c>
      <c r="H49" s="1659">
        <f t="shared" si="16"/>
        <v>0</v>
      </c>
      <c r="I49" s="1659">
        <f t="shared" si="16"/>
        <v>0</v>
      </c>
      <c r="J49" s="1659">
        <f t="shared" si="16"/>
        <v>0</v>
      </c>
      <c r="K49" s="1659">
        <f t="shared" si="16"/>
        <v>0</v>
      </c>
      <c r="L49" s="1659">
        <f t="shared" si="16"/>
        <v>16445123</v>
      </c>
      <c r="M49" s="1659">
        <f t="shared" si="16"/>
        <v>0</v>
      </c>
    </row>
    <row r="50" ht="15.75" spans="1:13">
      <c r="A50" s="1655" t="s">
        <v>571</v>
      </c>
      <c r="B50" s="1656">
        <f>B23</f>
        <v>3397497</v>
      </c>
      <c r="C50" s="1656">
        <f t="shared" ref="C50:M50" si="17">C23</f>
        <v>12064975.63</v>
      </c>
      <c r="D50" s="1656">
        <f t="shared" si="17"/>
        <v>4668542</v>
      </c>
      <c r="E50" s="1656">
        <f t="shared" si="17"/>
        <v>5315909</v>
      </c>
      <c r="F50" s="1656">
        <f t="shared" si="17"/>
        <v>2214303</v>
      </c>
      <c r="G50" s="1656">
        <f t="shared" si="17"/>
        <v>8784499</v>
      </c>
      <c r="H50" s="1656">
        <f t="shared" si="17"/>
        <v>3810526</v>
      </c>
      <c r="I50" s="1656">
        <f t="shared" si="17"/>
        <v>6617992</v>
      </c>
      <c r="J50" s="1656">
        <f t="shared" si="17"/>
        <v>3181534</v>
      </c>
      <c r="K50" s="1656">
        <f t="shared" si="17"/>
        <v>10895826.25</v>
      </c>
      <c r="L50" s="1656">
        <f t="shared" si="17"/>
        <v>7301131.77</v>
      </c>
      <c r="M50" s="1656">
        <f t="shared" si="17"/>
        <v>9082775.35</v>
      </c>
    </row>
    <row r="51" ht="15.75" spans="1:13">
      <c r="A51" s="1598"/>
      <c r="B51" s="1657">
        <f>B49-B50</f>
        <v>-3397497</v>
      </c>
      <c r="C51" s="1657">
        <f>C49-C50</f>
        <v>-12064975.63</v>
      </c>
      <c r="D51" s="1657">
        <f>D49-D50</f>
        <v>-4668542</v>
      </c>
      <c r="E51" s="1657">
        <f>E49-E50</f>
        <v>8600195</v>
      </c>
      <c r="F51" s="1657">
        <f t="shared" ref="F51:M51" si="18">F49-F50</f>
        <v>-2214303</v>
      </c>
      <c r="G51" s="1657">
        <f t="shared" si="18"/>
        <v>-8784499</v>
      </c>
      <c r="H51" s="1657">
        <f t="shared" si="18"/>
        <v>-3810526</v>
      </c>
      <c r="I51" s="1657">
        <f t="shared" si="18"/>
        <v>-6617992</v>
      </c>
      <c r="J51" s="1657">
        <f t="shared" si="18"/>
        <v>-3181534</v>
      </c>
      <c r="K51" s="1657">
        <f t="shared" si="18"/>
        <v>-10895826.25</v>
      </c>
      <c r="L51" s="1657">
        <f t="shared" si="18"/>
        <v>9143991.23</v>
      </c>
      <c r="M51" s="1657">
        <f t="shared" si="18"/>
        <v>-9082775.35</v>
      </c>
    </row>
    <row r="52" ht="15" spans="1:13">
      <c r="A52" s="1658" t="s">
        <v>572</v>
      </c>
      <c r="B52" s="1659">
        <f>B10</f>
        <v>0</v>
      </c>
      <c r="C52" s="1659">
        <f t="shared" ref="C52:M52" si="19">C10</f>
        <v>0</v>
      </c>
      <c r="D52" s="1659">
        <f t="shared" si="19"/>
        <v>0</v>
      </c>
      <c r="E52" s="1659">
        <f t="shared" si="19"/>
        <v>721.07</v>
      </c>
      <c r="F52" s="1659">
        <f t="shared" si="19"/>
        <v>0</v>
      </c>
      <c r="G52" s="1659">
        <f t="shared" si="19"/>
        <v>0</v>
      </c>
      <c r="H52" s="1659">
        <f t="shared" si="19"/>
        <v>0</v>
      </c>
      <c r="I52" s="1659">
        <f t="shared" si="19"/>
        <v>0</v>
      </c>
      <c r="J52" s="1659">
        <f t="shared" si="19"/>
        <v>0</v>
      </c>
      <c r="K52" s="1659">
        <f t="shared" si="19"/>
        <v>0</v>
      </c>
      <c r="L52" s="1659">
        <f t="shared" si="19"/>
        <v>0</v>
      </c>
      <c r="M52" s="1659">
        <f t="shared" si="19"/>
        <v>0</v>
      </c>
    </row>
    <row r="53" ht="15.75" spans="1:13">
      <c r="A53" s="1655" t="s">
        <v>573</v>
      </c>
      <c r="B53" s="1656">
        <f>B34</f>
        <v>0</v>
      </c>
      <c r="C53" s="1656">
        <f t="shared" ref="C53:M53" si="20">C34</f>
        <v>0</v>
      </c>
      <c r="D53" s="1656">
        <f t="shared" si="20"/>
        <v>0</v>
      </c>
      <c r="E53" s="1656">
        <f t="shared" si="20"/>
        <v>0</v>
      </c>
      <c r="F53" s="1656">
        <f t="shared" si="20"/>
        <v>0</v>
      </c>
      <c r="G53" s="1656">
        <f t="shared" si="20"/>
        <v>0</v>
      </c>
      <c r="H53" s="1656">
        <f t="shared" si="20"/>
        <v>0</v>
      </c>
      <c r="I53" s="1656">
        <f t="shared" si="20"/>
        <v>30000</v>
      </c>
      <c r="J53" s="1656">
        <f t="shared" si="20"/>
        <v>0</v>
      </c>
      <c r="K53" s="1656">
        <f t="shared" si="20"/>
        <v>0</v>
      </c>
      <c r="L53" s="1656">
        <f t="shared" si="20"/>
        <v>0</v>
      </c>
      <c r="M53" s="1656">
        <f t="shared" si="20"/>
        <v>0</v>
      </c>
    </row>
    <row r="54" ht="15.75" spans="1:13">
      <c r="A54" s="1598"/>
      <c r="B54" s="1657">
        <f>B52-B53</f>
        <v>0</v>
      </c>
      <c r="C54" s="1657">
        <f>C52-C53</f>
        <v>0</v>
      </c>
      <c r="D54" s="1657">
        <f>D52-D53</f>
        <v>0</v>
      </c>
      <c r="E54" s="1657">
        <f>E52-E53</f>
        <v>721.07</v>
      </c>
      <c r="F54" s="1657">
        <f t="shared" ref="F54:M54" si="21">F52-F53</f>
        <v>0</v>
      </c>
      <c r="G54" s="1657">
        <f t="shared" si="21"/>
        <v>0</v>
      </c>
      <c r="H54" s="1657">
        <f t="shared" si="21"/>
        <v>0</v>
      </c>
      <c r="I54" s="1657">
        <f t="shared" si="21"/>
        <v>-30000</v>
      </c>
      <c r="J54" s="1657">
        <f t="shared" si="21"/>
        <v>0</v>
      </c>
      <c r="K54" s="1657">
        <f t="shared" si="21"/>
        <v>0</v>
      </c>
      <c r="L54" s="1657">
        <f t="shared" si="21"/>
        <v>0</v>
      </c>
      <c r="M54" s="1657">
        <f t="shared" si="21"/>
        <v>0</v>
      </c>
    </row>
    <row r="55" ht="14.25" spans="1:13">
      <c r="A55" s="726"/>
      <c r="B55" s="1660"/>
      <c r="C55" s="1660"/>
      <c r="D55" s="1660"/>
      <c r="E55" s="1660"/>
      <c r="F55" s="1660"/>
      <c r="G55" s="1660"/>
      <c r="H55" s="1660"/>
      <c r="I55" s="1660"/>
      <c r="J55" s="1660"/>
      <c r="K55" s="1660"/>
      <c r="L55" s="1660"/>
      <c r="M55" s="1660"/>
    </row>
    <row r="56" ht="15.75" spans="1:13">
      <c r="A56" s="1661"/>
      <c r="B56" s="1662">
        <f>B48+B51+B54</f>
        <v>31504118.98</v>
      </c>
      <c r="C56" s="1662">
        <f t="shared" ref="C56:M56" si="22">C48+C51+C54</f>
        <v>40428680.8</v>
      </c>
      <c r="D56" s="1662">
        <f t="shared" si="22"/>
        <v>40743196.49</v>
      </c>
      <c r="E56" s="1662">
        <f t="shared" si="22"/>
        <v>58303088.35</v>
      </c>
      <c r="F56" s="1662">
        <f t="shared" si="22"/>
        <v>42212626.4</v>
      </c>
      <c r="G56" s="1662">
        <f t="shared" si="22"/>
        <v>38438605.43</v>
      </c>
      <c r="H56" s="1662">
        <f t="shared" si="22"/>
        <v>28719111.96</v>
      </c>
      <c r="I56" s="1662">
        <f t="shared" si="22"/>
        <v>45794441.95</v>
      </c>
      <c r="J56" s="1662">
        <f t="shared" si="22"/>
        <v>31674497.67</v>
      </c>
      <c r="K56" s="1662">
        <f t="shared" si="22"/>
        <v>34162456.12</v>
      </c>
      <c r="L56" s="1662">
        <f t="shared" si="22"/>
        <v>56515499.27</v>
      </c>
      <c r="M56" s="1662">
        <f t="shared" si="22"/>
        <v>62741645.65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B1:AA27"/>
  <sheetViews>
    <sheetView topLeftCell="G1" workbookViewId="0">
      <selection activeCell="I24" sqref="I24"/>
    </sheetView>
  </sheetViews>
  <sheetFormatPr defaultColWidth="9" defaultRowHeight="13.5"/>
  <cols>
    <col min="3" max="3" width="13.1428571428571" customWidth="1"/>
    <col min="4" max="5" width="12.1428571428571" customWidth="1"/>
    <col min="6" max="7" width="12.2857142857143" customWidth="1"/>
    <col min="8" max="8" width="12.8571428571429" customWidth="1"/>
    <col min="9" max="9" width="14.4285714285714" customWidth="1"/>
    <col min="10" max="10" width="12.7142857142857" customWidth="1"/>
    <col min="11" max="11" width="5.71428571428571" customWidth="1"/>
    <col min="12" max="13" width="12" customWidth="1"/>
    <col min="14" max="14" width="13.1428571428571" customWidth="1"/>
    <col min="18" max="18" width="10" customWidth="1"/>
    <col min="19" max="19" width="11.8571428571429" customWidth="1"/>
    <col min="20" max="20" width="12.2857142857143" customWidth="1"/>
    <col min="21" max="21" width="12.4285714285714" customWidth="1"/>
    <col min="22" max="22" width="12.2857142857143" customWidth="1"/>
  </cols>
  <sheetData>
    <row r="1" ht="15.75" spans="2:20">
      <c r="B1" s="1513" t="s">
        <v>574</v>
      </c>
      <c r="C1" s="1514"/>
      <c r="D1" s="1514"/>
      <c r="E1" s="1514"/>
      <c r="F1" s="1514"/>
      <c r="G1" s="1514"/>
      <c r="H1" s="1514"/>
      <c r="I1" s="1514"/>
      <c r="J1" s="1514"/>
      <c r="K1" s="1514"/>
      <c r="L1" s="1514"/>
      <c r="M1" s="1514"/>
      <c r="N1" s="1514"/>
      <c r="O1" s="1514"/>
      <c r="P1" s="1571"/>
      <c r="S1">
        <v>10</v>
      </c>
      <c r="T1" t="s">
        <v>575</v>
      </c>
    </row>
    <row r="2" ht="15.75" spans="2:25">
      <c r="B2" s="1515" t="s">
        <v>576</v>
      </c>
      <c r="C2" s="1516">
        <v>20065000</v>
      </c>
      <c r="D2" s="1517">
        <f>C2/$F$2</f>
        <v>10</v>
      </c>
      <c r="E2" s="157" t="s">
        <v>577</v>
      </c>
      <c r="F2" s="1536">
        <v>2006500</v>
      </c>
      <c r="G2" s="1536"/>
      <c r="I2" s="1519">
        <f>C2</f>
        <v>20065000</v>
      </c>
      <c r="N2" s="885">
        <f>C2</f>
        <v>20065000</v>
      </c>
      <c r="O2" s="1519">
        <f>D2</f>
        <v>10</v>
      </c>
      <c r="P2" s="1572"/>
      <c r="R2" s="572"/>
      <c r="S2" s="158" t="s">
        <v>578</v>
      </c>
      <c r="T2" s="222" t="s">
        <v>579</v>
      </c>
      <c r="X2" s="122" t="s">
        <v>580</v>
      </c>
      <c r="Y2" s="122" t="s">
        <v>581</v>
      </c>
    </row>
    <row r="3" ht="15" spans="2:25">
      <c r="B3" s="1182" t="s">
        <v>582</v>
      </c>
      <c r="C3" s="1518">
        <v>55000000</v>
      </c>
      <c r="D3" s="1519">
        <f>C3/$F$2</f>
        <v>27.4109145277847</v>
      </c>
      <c r="E3" s="1537" t="s">
        <v>583</v>
      </c>
      <c r="F3" s="1538">
        <v>3600000</v>
      </c>
      <c r="G3" s="1539"/>
      <c r="I3" s="1549"/>
      <c r="J3" s="885"/>
      <c r="K3" s="885"/>
      <c r="N3" s="885">
        <f>C3</f>
        <v>55000000</v>
      </c>
      <c r="O3" s="1519">
        <f>D3</f>
        <v>27.4109145277847</v>
      </c>
      <c r="P3" s="1572"/>
      <c r="R3" s="148" t="s">
        <v>584</v>
      </c>
      <c r="S3" s="1592">
        <f>965300*$S$1</f>
        <v>9653000</v>
      </c>
      <c r="T3" s="1593">
        <f>17700000+55000000</f>
        <v>72700000</v>
      </c>
      <c r="U3" t="s">
        <v>585</v>
      </c>
      <c r="V3" s="1493">
        <f t="shared" ref="V3:V8" si="0">S3+T3</f>
        <v>82353000</v>
      </c>
      <c r="W3" s="1496">
        <f t="shared" ref="W3:W8" si="1">V3/$V$9</f>
        <v>0.758133411890339</v>
      </c>
      <c r="X3">
        <v>17700</v>
      </c>
      <c r="Y3" s="1602">
        <f>ROUND((X3*8%),0)</f>
        <v>1416</v>
      </c>
    </row>
    <row r="4" ht="15.75" spans="2:25">
      <c r="B4" s="711" t="s">
        <v>579</v>
      </c>
      <c r="C4" s="1520">
        <f>34061000</f>
        <v>34061000</v>
      </c>
      <c r="D4" s="1521">
        <f>C4/$F$2</f>
        <v>16.975330176925</v>
      </c>
      <c r="E4" s="1540"/>
      <c r="F4" s="1541"/>
      <c r="G4" s="1539"/>
      <c r="I4" s="1519"/>
      <c r="N4" s="1573">
        <f>C4-F3</f>
        <v>30461000</v>
      </c>
      <c r="O4" s="1521">
        <f>D4</f>
        <v>16.975330176925</v>
      </c>
      <c r="P4" s="1572"/>
      <c r="R4" s="150" t="s">
        <v>586</v>
      </c>
      <c r="S4" s="1594">
        <f>604950*S1</f>
        <v>6049500</v>
      </c>
      <c r="T4" s="1595">
        <f>7750000+1011000</f>
        <v>8761000</v>
      </c>
      <c r="U4" t="s">
        <v>587</v>
      </c>
      <c r="V4" s="1493">
        <f t="shared" si="0"/>
        <v>14810500</v>
      </c>
      <c r="W4" s="1496">
        <f t="shared" si="1"/>
        <v>0.136343969215473</v>
      </c>
      <c r="X4">
        <v>7750</v>
      </c>
      <c r="Y4" s="1602">
        <f>ROUND((X4*8%),0)</f>
        <v>620</v>
      </c>
    </row>
    <row r="5" ht="15" spans="2:25">
      <c r="B5" s="1515" t="s">
        <v>588</v>
      </c>
      <c r="C5" s="1516">
        <f>SUM(C2:C4)</f>
        <v>109126000</v>
      </c>
      <c r="D5" s="1517">
        <f>C5/$F$2</f>
        <v>54.3862447047097</v>
      </c>
      <c r="F5" s="885"/>
      <c r="G5" s="885"/>
      <c r="I5" t="s">
        <v>589</v>
      </c>
      <c r="J5" s="1550">
        <f>-'Balance Sheet'!B4</f>
        <v>-25777834.01</v>
      </c>
      <c r="K5" s="1550"/>
      <c r="N5" s="1574">
        <f>SUM(N2:N4)</f>
        <v>105526000</v>
      </c>
      <c r="O5" s="1517">
        <f>N5/F2</f>
        <v>52.5920757538002</v>
      </c>
      <c r="P5" s="1572"/>
      <c r="R5" s="150" t="s">
        <v>590</v>
      </c>
      <c r="S5" s="1594">
        <f>125000*S1</f>
        <v>1250000</v>
      </c>
      <c r="T5" s="1595">
        <v>4000000</v>
      </c>
      <c r="V5" s="1493">
        <f t="shared" si="0"/>
        <v>5250000</v>
      </c>
      <c r="W5" s="1496">
        <f t="shared" si="1"/>
        <v>0.0483309704858874</v>
      </c>
      <c r="X5">
        <v>4000</v>
      </c>
      <c r="Y5" s="1602">
        <f>ROUND((X5*8%),0)</f>
        <v>320</v>
      </c>
    </row>
    <row r="6" ht="14.25" spans="2:23">
      <c r="B6" s="1522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575"/>
      <c r="R6" s="150" t="s">
        <v>591</v>
      </c>
      <c r="S6" s="1594">
        <f>200000*S1</f>
        <v>2000000</v>
      </c>
      <c r="T6" s="1595"/>
      <c r="V6" s="1493">
        <f t="shared" si="0"/>
        <v>2000000</v>
      </c>
      <c r="W6" s="1496">
        <f t="shared" si="1"/>
        <v>0.018411798280338</v>
      </c>
    </row>
    <row r="7" ht="15" spans="2:23">
      <c r="B7" s="1523" t="s">
        <v>592</v>
      </c>
      <c r="C7" s="1524" t="s">
        <v>593</v>
      </c>
      <c r="D7" s="1525" t="s">
        <v>594</v>
      </c>
      <c r="E7" s="1542"/>
      <c r="F7" s="1542"/>
      <c r="G7" s="1542"/>
      <c r="H7" s="1542"/>
      <c r="I7" s="1551"/>
      <c r="J7" s="1552" t="s">
        <v>595</v>
      </c>
      <c r="K7" s="1523"/>
      <c r="L7" s="1553" t="s">
        <v>596</v>
      </c>
      <c r="M7" s="1576" t="s">
        <v>597</v>
      </c>
      <c r="N7" s="1552" t="s">
        <v>598</v>
      </c>
      <c r="O7" s="1577"/>
      <c r="P7" s="1578"/>
      <c r="R7" s="150" t="s">
        <v>599</v>
      </c>
      <c r="S7" s="1594">
        <f>110000*S1</f>
        <v>1100000</v>
      </c>
      <c r="T7" s="1595"/>
      <c r="V7" s="1493">
        <f t="shared" si="0"/>
        <v>1100000</v>
      </c>
      <c r="W7" s="1496">
        <f t="shared" si="1"/>
        <v>0.0101264890541859</v>
      </c>
    </row>
    <row r="8" ht="30.75" spans="2:23">
      <c r="B8" s="1526"/>
      <c r="C8" s="1527"/>
      <c r="D8" s="1528" t="s">
        <v>600</v>
      </c>
      <c r="E8" s="1543" t="s">
        <v>601</v>
      </c>
      <c r="F8" s="1543" t="s">
        <v>602</v>
      </c>
      <c r="G8" s="1543" t="s">
        <v>603</v>
      </c>
      <c r="H8" s="1543" t="s">
        <v>604</v>
      </c>
      <c r="I8" s="1554" t="s">
        <v>52</v>
      </c>
      <c r="J8" s="1555"/>
      <c r="K8" s="1526"/>
      <c r="L8" s="1556"/>
      <c r="M8" s="1579" t="s">
        <v>605</v>
      </c>
      <c r="N8" s="1555"/>
      <c r="O8" s="1580"/>
      <c r="P8" s="1581"/>
      <c r="R8" s="152" t="s">
        <v>606</v>
      </c>
      <c r="S8" s="1596">
        <f>1250*S1</f>
        <v>12500</v>
      </c>
      <c r="T8" s="1597">
        <f>3600000-500000</f>
        <v>3100000</v>
      </c>
      <c r="V8" s="1493">
        <f t="shared" si="0"/>
        <v>3112500</v>
      </c>
      <c r="W8" s="1496">
        <f t="shared" si="1"/>
        <v>0.0286533610737761</v>
      </c>
    </row>
    <row r="9" ht="15.75" spans="2:25">
      <c r="B9" s="1529">
        <v>45748</v>
      </c>
      <c r="C9" s="922">
        <f>'Balance Sheet'!B$30</f>
        <v>159868090.36</v>
      </c>
      <c r="D9" s="1530">
        <f>'Balance Sheet'!B$11+'Balance Sheet'!B$15</f>
        <v>80472767.29</v>
      </c>
      <c r="E9" s="1544">
        <f>'Balance Sheet'!B$18</f>
        <v>19814209.08</v>
      </c>
      <c r="F9" s="1544">
        <f>1800000+100000+1700000</f>
        <v>3600000</v>
      </c>
      <c r="G9" s="1544">
        <f>T19</f>
        <v>2900000</v>
      </c>
      <c r="H9" s="1544">
        <f>IF(C9=0,0,(ROUND((3169036),-3)))</f>
        <v>3169000</v>
      </c>
      <c r="I9" s="1557">
        <f>SUM(D9:H9)</f>
        <v>109955976.37</v>
      </c>
      <c r="J9" s="1558">
        <f>IF(C9=0,0,C9-I9)</f>
        <v>49912113.99</v>
      </c>
      <c r="K9" s="1559">
        <f>($N$5-J9)/$N$5</f>
        <v>0.527015958247257</v>
      </c>
      <c r="L9" s="1560">
        <f>'Balance Sheet'!B29</f>
        <v>263077.44</v>
      </c>
      <c r="M9" s="1558">
        <f>L9</f>
        <v>263077.44</v>
      </c>
      <c r="N9" s="1582">
        <f>IF(J9=0,0,$J$5+J9+M9)</f>
        <v>24397357.42</v>
      </c>
      <c r="O9" s="1583">
        <f>N9/$F$2</f>
        <v>12.1591614353352</v>
      </c>
      <c r="P9" s="1584">
        <f>IF(C9=0,0,((O9-$O$5)/$O$5))</f>
        <v>-0.768802404904952</v>
      </c>
      <c r="R9" s="1598"/>
      <c r="S9" s="1599">
        <f>SUM(S3:S8)</f>
        <v>20065000</v>
      </c>
      <c r="T9" s="1600">
        <f>SUM(T3:T8)</f>
        <v>88561000</v>
      </c>
      <c r="V9" s="1618">
        <f>SUM(V3:V8)</f>
        <v>108626000</v>
      </c>
      <c r="W9" s="927">
        <f>SUM(W3:W8)</f>
        <v>1</v>
      </c>
      <c r="X9" s="1602">
        <f>SUM(X3:X8)</f>
        <v>29450</v>
      </c>
      <c r="Y9" s="1602">
        <f>ROUND((X9*8%),0)</f>
        <v>2356</v>
      </c>
    </row>
    <row r="10" ht="15" spans="2:20">
      <c r="B10" s="1531">
        <v>45778</v>
      </c>
      <c r="C10" s="922">
        <f>'Balance Sheet'!C$30</f>
        <v>154979764.09</v>
      </c>
      <c r="D10" s="1532">
        <f>'Balance Sheet'!C$11+'Balance Sheet'!C$15</f>
        <v>69910898.43</v>
      </c>
      <c r="E10" s="1545">
        <f>'Balance Sheet'!C$18</f>
        <v>23658400.45</v>
      </c>
      <c r="F10" s="1545">
        <f>IF(C10=0,0,F9)</f>
        <v>3600000</v>
      </c>
      <c r="G10" s="1545">
        <f t="shared" ref="G10:G20" si="2">IF(C10=0,0,G9)</f>
        <v>2900000</v>
      </c>
      <c r="H10" s="1545">
        <f>IF(C10=0,0,ROUND((3022884),-3))</f>
        <v>3023000</v>
      </c>
      <c r="I10" s="1561">
        <f t="shared" ref="I10:I20" si="3">SUM(D10:H10)</f>
        <v>103092298.88</v>
      </c>
      <c r="J10" s="1562">
        <f t="shared" ref="J10:J20" si="4">C10-I10</f>
        <v>51887465.21</v>
      </c>
      <c r="K10" s="1559">
        <f>IF(J10=0,0,($N$5-J10)/$N$5)</f>
        <v>0.508296863237496</v>
      </c>
      <c r="L10" s="1563">
        <f>'Balance Sheet'!C29</f>
        <v>1829351.22</v>
      </c>
      <c r="M10" s="1585">
        <f t="shared" ref="M10:M11" si="5">M9+L10</f>
        <v>2092428.66</v>
      </c>
      <c r="N10" s="1582">
        <f t="shared" ref="N10:N20" si="6">IF(J10=0,0,$J$5+J10+M10)</f>
        <v>28202059.86</v>
      </c>
      <c r="O10" s="1586">
        <f t="shared" ref="O10:O20" si="7">N10/$F$2</f>
        <v>14.0553500423623</v>
      </c>
      <c r="P10" s="1584">
        <f t="shared" ref="P10:P20" si="8">IF(C10=0,0,((O10-$O$5)/$O$5))</f>
        <v>-0.732747760172849</v>
      </c>
      <c r="R10" s="1601">
        <v>45467</v>
      </c>
      <c r="T10" s="1602">
        <f>S9+T9</f>
        <v>108626000</v>
      </c>
    </row>
    <row r="11" ht="15.75" spans="2:16">
      <c r="B11" s="1529">
        <v>45809</v>
      </c>
      <c r="C11" s="922">
        <f>'Balance Sheet'!D$30</f>
        <v>164917825.34</v>
      </c>
      <c r="D11" s="1530">
        <f>'Balance Sheet'!D$11+'Balance Sheet'!D$15</f>
        <v>80398914.44</v>
      </c>
      <c r="E11" s="1544">
        <f>'Balance Sheet'!D$18</f>
        <v>19059023.58</v>
      </c>
      <c r="F11" s="1545">
        <f t="shared" ref="F11:F20" si="9">IF(C11=0,0,F10)</f>
        <v>3600000</v>
      </c>
      <c r="G11" s="1545">
        <f t="shared" si="2"/>
        <v>2900000</v>
      </c>
      <c r="H11" s="1545">
        <v>2913000</v>
      </c>
      <c r="I11" s="1561">
        <f t="shared" si="3"/>
        <v>108870938.02</v>
      </c>
      <c r="J11" s="1562">
        <f t="shared" si="4"/>
        <v>56046887.32</v>
      </c>
      <c r="K11" s="1559">
        <f t="shared" ref="K11:K20" si="10">IF(J11=0,0,($N$5-J11)/$N$5)</f>
        <v>0.468880775164415</v>
      </c>
      <c r="L11" s="1563">
        <f>'Balance Sheet'!D29</f>
        <v>1872122.11</v>
      </c>
      <c r="M11" s="1585">
        <f t="shared" si="5"/>
        <v>3964550.77</v>
      </c>
      <c r="N11" s="1582">
        <f t="shared" si="6"/>
        <v>34233604.08</v>
      </c>
      <c r="O11" s="1586">
        <f t="shared" si="7"/>
        <v>17.0613526439073</v>
      </c>
      <c r="P11" s="1584">
        <f t="shared" si="8"/>
        <v>-0.675590810984971</v>
      </c>
    </row>
    <row r="12" ht="15.75" spans="2:27">
      <c r="B12" s="1531">
        <v>45839</v>
      </c>
      <c r="C12" s="922">
        <f>'Balance Sheet'!E$30</f>
        <v>150830324.52</v>
      </c>
      <c r="D12" s="1530">
        <f>'Balance Sheet'!E$11+'Balance Sheet'!E$15</f>
        <v>63538244.54</v>
      </c>
      <c r="E12" s="1544">
        <f>'Balance Sheet'!E$18</f>
        <v>21608913.41</v>
      </c>
      <c r="F12" s="1545">
        <f t="shared" si="9"/>
        <v>3600000</v>
      </c>
      <c r="G12" s="1545">
        <f t="shared" si="2"/>
        <v>2900000</v>
      </c>
      <c r="H12" s="1545">
        <v>2778000</v>
      </c>
      <c r="I12" s="1561">
        <f t="shared" si="3"/>
        <v>94425157.95</v>
      </c>
      <c r="J12" s="1562">
        <f t="shared" si="4"/>
        <v>56405166.57</v>
      </c>
      <c r="K12" s="1559">
        <f t="shared" si="10"/>
        <v>0.465485600041696</v>
      </c>
      <c r="L12" s="1564">
        <f>'Balance Sheet'!E29</f>
        <v>588796.25</v>
      </c>
      <c r="M12" s="1585">
        <f>IF(L12=0,0,M11+L12)</f>
        <v>4553347.02</v>
      </c>
      <c r="N12" s="1582">
        <f t="shared" si="6"/>
        <v>35180679.58</v>
      </c>
      <c r="O12" s="1586">
        <f t="shared" si="7"/>
        <v>17.5333563817593</v>
      </c>
      <c r="P12" s="1584">
        <f t="shared" si="8"/>
        <v>-0.666616003828441</v>
      </c>
      <c r="R12" s="1603" t="s">
        <v>607</v>
      </c>
      <c r="S12" s="1604"/>
      <c r="T12" s="1605"/>
      <c r="Y12" s="255">
        <v>45748</v>
      </c>
      <c r="Z12" s="255">
        <v>45931</v>
      </c>
      <c r="AA12" s="255">
        <v>45962</v>
      </c>
    </row>
    <row r="13" ht="15.75" spans="2:27">
      <c r="B13" s="1529">
        <v>45870</v>
      </c>
      <c r="C13" s="922">
        <f>'Balance Sheet'!F$30</f>
        <v>156566584.07</v>
      </c>
      <c r="D13" s="1530">
        <f>'Balance Sheet'!F$11+'Balance Sheet'!F$15</f>
        <v>72747229.03</v>
      </c>
      <c r="E13" s="1544">
        <f>'Balance Sheet'!F$18</f>
        <v>17039367.43</v>
      </c>
      <c r="F13" s="1545">
        <f t="shared" si="9"/>
        <v>3600000</v>
      </c>
      <c r="G13" s="1545">
        <f t="shared" si="2"/>
        <v>2900000</v>
      </c>
      <c r="H13" s="1545">
        <v>2247000</v>
      </c>
      <c r="I13" s="1561">
        <f t="shared" si="3"/>
        <v>98533596.46</v>
      </c>
      <c r="J13" s="1562">
        <f t="shared" si="4"/>
        <v>58032987.61</v>
      </c>
      <c r="K13" s="1559">
        <f t="shared" si="10"/>
        <v>0.450059818338609</v>
      </c>
      <c r="L13" s="1564">
        <f>'Balance Sheet'!F29</f>
        <v>1142016.04</v>
      </c>
      <c r="M13" s="1585">
        <f t="shared" ref="M13:M20" si="11">IF(L13=0,0,M12+L13)</f>
        <v>5695363.06</v>
      </c>
      <c r="N13" s="1582">
        <f t="shared" si="6"/>
        <v>37950516.66</v>
      </c>
      <c r="O13" s="1586">
        <f t="shared" si="7"/>
        <v>18.9137885173187</v>
      </c>
      <c r="P13" s="1584">
        <f t="shared" si="8"/>
        <v>-0.640368092602771</v>
      </c>
      <c r="R13" s="1606"/>
      <c r="S13" s="1607" t="s">
        <v>608</v>
      </c>
      <c r="T13" s="1607" t="s">
        <v>609</v>
      </c>
      <c r="V13" s="122" t="s">
        <v>610</v>
      </c>
      <c r="X13" s="1619" t="s">
        <v>611</v>
      </c>
      <c r="Y13">
        <v>18</v>
      </c>
      <c r="Z13">
        <v>15</v>
      </c>
      <c r="AA13">
        <v>12</v>
      </c>
    </row>
    <row r="14" ht="15" spans="2:27">
      <c r="B14" s="1531">
        <v>45901</v>
      </c>
      <c r="C14" s="922">
        <f>'Balance Sheet'!G$30</f>
        <v>152061191.5</v>
      </c>
      <c r="D14" s="1530">
        <f>'Balance Sheet'!G$11+'Balance Sheet'!G$15</f>
        <v>69638628.6</v>
      </c>
      <c r="E14" s="1544">
        <f>'Balance Sheet'!G$18</f>
        <v>16259171.01</v>
      </c>
      <c r="F14" s="1545">
        <f>IF(C14=0,0,F13)-300000</f>
        <v>3300000</v>
      </c>
      <c r="G14" s="1545">
        <f t="shared" si="2"/>
        <v>2900000</v>
      </c>
      <c r="H14" s="1545">
        <v>2075000</v>
      </c>
      <c r="I14" s="1561">
        <f t="shared" si="3"/>
        <v>94172799.61</v>
      </c>
      <c r="J14" s="1562">
        <f t="shared" si="4"/>
        <v>57888391.89</v>
      </c>
      <c r="K14" s="1559">
        <f t="shared" si="10"/>
        <v>0.451430056194682</v>
      </c>
      <c r="L14" s="1564">
        <f>'Balance Sheet'!G29</f>
        <v>-586546.72</v>
      </c>
      <c r="M14" s="1585">
        <f t="shared" si="11"/>
        <v>5108816.34</v>
      </c>
      <c r="N14" s="1582">
        <f t="shared" si="6"/>
        <v>37219374.22</v>
      </c>
      <c r="O14" s="1586">
        <f t="shared" si="7"/>
        <v>18.5494015549464</v>
      </c>
      <c r="P14" s="1584">
        <f t="shared" si="8"/>
        <v>-0.647296645186968</v>
      </c>
      <c r="R14" s="1608" t="s">
        <v>612</v>
      </c>
      <c r="S14" s="1609">
        <v>4655606</v>
      </c>
      <c r="T14" s="1609">
        <v>4631518</v>
      </c>
      <c r="U14" t="s">
        <v>613</v>
      </c>
      <c r="V14" s="1620">
        <v>6231518</v>
      </c>
      <c r="X14" s="1619" t="s">
        <v>614</v>
      </c>
      <c r="Y14">
        <v>1</v>
      </c>
      <c r="Z14">
        <v>1</v>
      </c>
      <c r="AA14">
        <v>1</v>
      </c>
    </row>
    <row r="15" ht="15" spans="2:27">
      <c r="B15" s="1529">
        <v>45931</v>
      </c>
      <c r="C15" s="922">
        <f>'Balance Sheet'!H$30</f>
        <v>162171485.3</v>
      </c>
      <c r="D15" s="1530">
        <f>'Balance Sheet'!H$11+'Balance Sheet'!H$15</f>
        <v>84250042.45</v>
      </c>
      <c r="E15" s="1544">
        <f>'Balance Sheet'!H$18</f>
        <v>13558516.58</v>
      </c>
      <c r="F15" s="1545">
        <f t="shared" si="9"/>
        <v>3300000</v>
      </c>
      <c r="G15" s="1545">
        <f t="shared" si="2"/>
        <v>2900000</v>
      </c>
      <c r="H15" s="1545">
        <v>1898000</v>
      </c>
      <c r="I15" s="1561">
        <f t="shared" si="3"/>
        <v>105906559.03</v>
      </c>
      <c r="J15" s="1562">
        <f t="shared" si="4"/>
        <v>56264926.27</v>
      </c>
      <c r="K15" s="1559">
        <f t="shared" si="10"/>
        <v>0.466814564467525</v>
      </c>
      <c r="L15" s="1565">
        <f>'Balance Sheet'!H29</f>
        <v>-1135715.62</v>
      </c>
      <c r="M15" s="1585">
        <f t="shared" si="11"/>
        <v>3973100.72</v>
      </c>
      <c r="N15" s="1582">
        <f t="shared" si="6"/>
        <v>34460192.98</v>
      </c>
      <c r="O15" s="1586">
        <f t="shared" si="7"/>
        <v>17.1742800797408</v>
      </c>
      <c r="P15" s="1584">
        <f t="shared" si="8"/>
        <v>-0.673443578075545</v>
      </c>
      <c r="R15" s="1610" t="s">
        <v>615</v>
      </c>
      <c r="S15" s="1611">
        <v>1371060</v>
      </c>
      <c r="T15" s="1611">
        <v>1381046</v>
      </c>
      <c r="V15" s="1620">
        <v>1546385</v>
      </c>
      <c r="X15" s="1619" t="s">
        <v>616</v>
      </c>
      <c r="Y15">
        <v>17</v>
      </c>
      <c r="Z15">
        <v>17</v>
      </c>
      <c r="AA15">
        <v>17</v>
      </c>
    </row>
    <row r="16" ht="15" spans="2:27">
      <c r="B16" s="1531">
        <v>45962</v>
      </c>
      <c r="C16" s="922">
        <f>'Balance Sheet'!I$30</f>
        <v>160008566.69</v>
      </c>
      <c r="D16" s="1530">
        <f>'Balance Sheet'!I$11+'Balance Sheet'!I$15</f>
        <v>81179665.8</v>
      </c>
      <c r="E16" s="1544">
        <f>'Balance Sheet'!I$18</f>
        <v>14544279.45</v>
      </c>
      <c r="F16" s="1545">
        <f t="shared" si="9"/>
        <v>3300000</v>
      </c>
      <c r="G16" s="1545">
        <f t="shared" si="2"/>
        <v>2900000</v>
      </c>
      <c r="H16" s="1545">
        <v>1768000</v>
      </c>
      <c r="I16" s="1561">
        <f t="shared" si="3"/>
        <v>103691945.25</v>
      </c>
      <c r="J16" s="1562">
        <f t="shared" si="4"/>
        <v>56316621.44</v>
      </c>
      <c r="K16" s="1559">
        <f t="shared" si="10"/>
        <v>0.466324683585088</v>
      </c>
      <c r="L16" s="1564">
        <f>'Balance Sheet'!I29</f>
        <v>-150685.83</v>
      </c>
      <c r="M16" s="1585">
        <f t="shared" si="11"/>
        <v>3822414.89</v>
      </c>
      <c r="N16" s="1582">
        <f t="shared" si="6"/>
        <v>34361202.32</v>
      </c>
      <c r="O16" s="1586">
        <f t="shared" si="7"/>
        <v>17.1249450884625</v>
      </c>
      <c r="P16" s="1584">
        <f t="shared" si="8"/>
        <v>-0.674381646987472</v>
      </c>
      <c r="R16" s="1612" t="s">
        <v>52</v>
      </c>
      <c r="S16" s="1613">
        <f>SUM(S14:S15)</f>
        <v>6026666</v>
      </c>
      <c r="T16" s="1613">
        <f>SUM(T14:T15)</f>
        <v>6012564</v>
      </c>
      <c r="V16" s="1621">
        <f>SUM(V14:V15)</f>
        <v>7777903</v>
      </c>
      <c r="Y16">
        <f>SUM(Y13:Y15)</f>
        <v>36</v>
      </c>
      <c r="Z16">
        <f>SUM(Z13:Z15)</f>
        <v>33</v>
      </c>
      <c r="AA16">
        <f>SUM(AA13:AA15)</f>
        <v>30</v>
      </c>
    </row>
    <row r="17" ht="15" spans="2:22">
      <c r="B17" s="1529">
        <v>45992</v>
      </c>
      <c r="C17" s="922">
        <f>'Balance Sheet'!J$30</f>
        <v>161999772.04</v>
      </c>
      <c r="D17" s="1530">
        <f>'Balance Sheet'!J$11+'Balance Sheet'!J$15</f>
        <v>78523434.17</v>
      </c>
      <c r="E17" s="1544">
        <f>'Balance Sheet'!J$18</f>
        <v>21202877.36</v>
      </c>
      <c r="F17" s="1545">
        <f t="shared" si="9"/>
        <v>3300000</v>
      </c>
      <c r="G17" s="1545">
        <f t="shared" si="2"/>
        <v>2900000</v>
      </c>
      <c r="H17" s="1545">
        <v>1610000</v>
      </c>
      <c r="I17" s="1561">
        <f t="shared" si="3"/>
        <v>107536311.53</v>
      </c>
      <c r="J17" s="1562">
        <f t="shared" si="4"/>
        <v>54463460.51</v>
      </c>
      <c r="K17" s="1559">
        <f t="shared" si="10"/>
        <v>0.483885862157193</v>
      </c>
      <c r="L17" s="1564">
        <f>'Balance Sheet'!J29</f>
        <v>-1559399.93</v>
      </c>
      <c r="M17" s="1585">
        <f t="shared" si="11"/>
        <v>2263014.96</v>
      </c>
      <c r="N17" s="1582">
        <f t="shared" si="6"/>
        <v>30948641.46</v>
      </c>
      <c r="O17" s="1586">
        <f t="shared" si="7"/>
        <v>15.4241921056566</v>
      </c>
      <c r="P17" s="1584">
        <f t="shared" si="8"/>
        <v>-0.706720225726361</v>
      </c>
      <c r="R17" s="1610" t="s">
        <v>617</v>
      </c>
      <c r="S17" s="1611">
        <v>3129311</v>
      </c>
      <c r="T17" s="1614">
        <v>3129111</v>
      </c>
      <c r="U17" t="s">
        <v>618</v>
      </c>
      <c r="V17" s="1620">
        <v>2716357</v>
      </c>
    </row>
    <row r="18" ht="15.75" spans="2:22">
      <c r="B18" s="1531">
        <v>46023</v>
      </c>
      <c r="C18" s="922">
        <f>'Balance Sheet'!K$30</f>
        <v>165847902.24</v>
      </c>
      <c r="D18" s="1530">
        <f>'Balance Sheet'!K11+'Balance Sheet'!K$15</f>
        <v>82698738</v>
      </c>
      <c r="E18" s="1544">
        <f>'Balance Sheet'!K$18</f>
        <v>19678676.09</v>
      </c>
      <c r="F18" s="1545">
        <f t="shared" si="9"/>
        <v>3300000</v>
      </c>
      <c r="G18" s="1545">
        <f t="shared" si="2"/>
        <v>2900000</v>
      </c>
      <c r="H18" s="1546">
        <v>1455000</v>
      </c>
      <c r="I18" s="1557">
        <f t="shared" si="3"/>
        <v>110032414.09</v>
      </c>
      <c r="J18" s="1558">
        <f t="shared" si="4"/>
        <v>55815488.15</v>
      </c>
      <c r="K18" s="1559">
        <f t="shared" si="10"/>
        <v>0.471073591816235</v>
      </c>
      <c r="L18" s="1564">
        <f>'Balance Sheet'!K29</f>
        <v>1326243.64</v>
      </c>
      <c r="M18" s="1585">
        <f t="shared" si="11"/>
        <v>3589258.6</v>
      </c>
      <c r="N18" s="1582">
        <f t="shared" si="6"/>
        <v>33626912.74</v>
      </c>
      <c r="O18" s="1583">
        <f t="shared" si="7"/>
        <v>16.7589896536257</v>
      </c>
      <c r="P18" s="1584">
        <f t="shared" si="8"/>
        <v>-0.681340022932737</v>
      </c>
      <c r="R18" s="1615" t="s">
        <v>619</v>
      </c>
      <c r="S18" s="1616">
        <f>S16-S17</f>
        <v>2897355</v>
      </c>
      <c r="T18" s="1616">
        <f>T16-T17</f>
        <v>2883453</v>
      </c>
      <c r="V18" s="1602">
        <f>V16-V17</f>
        <v>5061546</v>
      </c>
    </row>
    <row r="19" ht="15" spans="2:20">
      <c r="B19" s="1529">
        <v>46054</v>
      </c>
      <c r="C19" s="922">
        <f>'Balance Sheet'!L$30</f>
        <v>146253012.35</v>
      </c>
      <c r="D19" s="1530">
        <f>'Balance Sheet'!L$11+'Balance Sheet'!L$15</f>
        <v>73018315.9</v>
      </c>
      <c r="E19" s="1544">
        <f>'Balance Sheet'!L$18</f>
        <v>8843329.68</v>
      </c>
      <c r="F19" s="1545">
        <v>1800000</v>
      </c>
      <c r="G19" s="1545">
        <f t="shared" si="2"/>
        <v>2900000</v>
      </c>
      <c r="H19" s="1545">
        <f>2241833+1000000</f>
        <v>3241833</v>
      </c>
      <c r="I19" s="1561">
        <f t="shared" si="3"/>
        <v>89803478.58</v>
      </c>
      <c r="J19" s="1562">
        <f t="shared" si="4"/>
        <v>56449533.77</v>
      </c>
      <c r="K19" s="1559">
        <f t="shared" si="10"/>
        <v>0.465065161476793</v>
      </c>
      <c r="L19" s="1564">
        <f>'Balance Sheet'!L29</f>
        <v>1687985.62</v>
      </c>
      <c r="M19" s="1585">
        <f t="shared" si="11"/>
        <v>5277244.22</v>
      </c>
      <c r="N19" s="1582">
        <f t="shared" si="6"/>
        <v>35948943.98</v>
      </c>
      <c r="O19" s="1586">
        <f t="shared" si="7"/>
        <v>17.9162441963618</v>
      </c>
      <c r="P19" s="1584">
        <f t="shared" si="8"/>
        <v>-0.659335671019465</v>
      </c>
      <c r="R19" t="s">
        <v>620</v>
      </c>
      <c r="S19" s="1493">
        <f>ROUNDUP((S18),-5)</f>
        <v>2900000</v>
      </c>
      <c r="T19" s="1617">
        <f>ROUNDUP((T18),-5)</f>
        <v>2900000</v>
      </c>
    </row>
    <row r="20" ht="15.75" spans="2:19">
      <c r="B20" s="1533">
        <v>46082</v>
      </c>
      <c r="C20" s="1534">
        <f>'Balance Sheet'!M$30</f>
        <v>124915283.26</v>
      </c>
      <c r="D20" s="1535">
        <f>'Balance Sheet'!M$11+'Balance Sheet'!M$15</f>
        <v>53391268.08</v>
      </c>
      <c r="E20" s="1547">
        <f>'Balance Sheet'!M$18</f>
        <v>4847342.09</v>
      </c>
      <c r="F20" s="1548">
        <f t="shared" si="9"/>
        <v>1800000</v>
      </c>
      <c r="G20" s="1548">
        <f t="shared" si="2"/>
        <v>2900000</v>
      </c>
      <c r="H20" s="1548">
        <v>2247012</v>
      </c>
      <c r="I20" s="1566">
        <f t="shared" si="3"/>
        <v>65185622.17</v>
      </c>
      <c r="J20" s="1567">
        <f t="shared" si="4"/>
        <v>59729661.09</v>
      </c>
      <c r="K20" s="1568">
        <f t="shared" si="10"/>
        <v>0.433981567670527</v>
      </c>
      <c r="L20" s="1569">
        <f>'Balance Sheet'!M29</f>
        <v>4326038.32</v>
      </c>
      <c r="M20" s="1587">
        <f t="shared" si="11"/>
        <v>9603282.54</v>
      </c>
      <c r="N20" s="1588">
        <f t="shared" si="6"/>
        <v>43555109.62</v>
      </c>
      <c r="O20" s="1589">
        <f t="shared" si="7"/>
        <v>21.7070070371293</v>
      </c>
      <c r="P20" s="1590">
        <f t="shared" si="8"/>
        <v>-0.587257077687016</v>
      </c>
      <c r="R20" s="157" t="s">
        <v>621</v>
      </c>
      <c r="S20" s="241">
        <v>200000</v>
      </c>
    </row>
    <row r="21" ht="15" spans="10:19">
      <c r="J21" s="885"/>
      <c r="L21" s="1570">
        <f>M18+J5</f>
        <v>-22188575.41</v>
      </c>
      <c r="M21" s="885"/>
      <c r="R21">
        <v>11</v>
      </c>
      <c r="S21" s="241">
        <f>R21*S20</f>
        <v>2200000</v>
      </c>
    </row>
    <row r="22" ht="15" spans="13:14">
      <c r="M22" s="1570"/>
      <c r="N22" s="1591"/>
    </row>
    <row r="27" spans="14:14">
      <c r="N27" t="s">
        <v>622</v>
      </c>
    </row>
  </sheetData>
  <mergeCells count="12">
    <mergeCell ref="B1:P1"/>
    <mergeCell ref="B6:P6"/>
    <mergeCell ref="D7:I7"/>
    <mergeCell ref="R12:T12"/>
    <mergeCell ref="B7:B8"/>
    <mergeCell ref="C7:C8"/>
    <mergeCell ref="E3:E4"/>
    <mergeCell ref="F3:F4"/>
    <mergeCell ref="J7:J8"/>
    <mergeCell ref="K7:K8"/>
    <mergeCell ref="L7:L8"/>
    <mergeCell ref="N7:P8"/>
  </mergeCells>
  <pageMargins left="0.7" right="0.7" top="0.75" bottom="0.75" header="0.3" footer="0.3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R40"/>
  <sheetViews>
    <sheetView workbookViewId="0">
      <selection activeCell="O34" sqref="O34"/>
    </sheetView>
  </sheetViews>
  <sheetFormatPr defaultColWidth="9" defaultRowHeight="13.5"/>
  <cols>
    <col min="1" max="1" width="15.4285714285714" customWidth="1"/>
    <col min="2" max="2" width="16.8571428571429" customWidth="1"/>
    <col min="3" max="3" width="12.8571428571429" customWidth="1"/>
    <col min="4" max="10" width="12.5714285714286" customWidth="1"/>
    <col min="11" max="11" width="12.8571428571429" customWidth="1"/>
    <col min="12" max="12" width="12.5714285714286" customWidth="1"/>
    <col min="13" max="13" width="12.8571428571429" customWidth="1"/>
    <col min="14" max="14" width="12.5714285714286" customWidth="1"/>
    <col min="15" max="15" width="12.8571428571429" customWidth="1"/>
    <col min="16" max="16" width="28.7142857142857" customWidth="1"/>
    <col min="17" max="17" width="48.5714285714286" customWidth="1"/>
    <col min="18" max="18" width="15.2857142857143" customWidth="1"/>
  </cols>
  <sheetData>
    <row r="1" ht="14.25" spans="2:15"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ht="15.75" spans="2:15">
      <c r="B2" s="180"/>
      <c r="C2" s="1479" t="s">
        <v>17</v>
      </c>
      <c r="D2" s="1479" t="s">
        <v>18</v>
      </c>
      <c r="E2" s="1479" t="s">
        <v>19</v>
      </c>
      <c r="F2" s="1479" t="s">
        <v>20</v>
      </c>
      <c r="G2" s="1479" t="s">
        <v>21</v>
      </c>
      <c r="H2" s="1479" t="s">
        <v>22</v>
      </c>
      <c r="I2" s="1479" t="s">
        <v>23</v>
      </c>
      <c r="J2" s="1498" t="s">
        <v>24</v>
      </c>
      <c r="K2" s="1498" t="s">
        <v>25</v>
      </c>
      <c r="L2" s="1498" t="s">
        <v>26</v>
      </c>
      <c r="M2" s="1498" t="s">
        <v>27</v>
      </c>
      <c r="N2" s="1498" t="s">
        <v>28</v>
      </c>
      <c r="O2" s="1499" t="s">
        <v>623</v>
      </c>
    </row>
    <row r="3" ht="15.75" spans="2:15">
      <c r="B3" s="174" t="s">
        <v>624</v>
      </c>
      <c r="C3" s="1480"/>
      <c r="D3" s="1480"/>
      <c r="E3" s="1480"/>
      <c r="F3" s="1480"/>
      <c r="G3" s="1480"/>
      <c r="H3" s="1480"/>
      <c r="I3" s="1480"/>
      <c r="J3" s="1480"/>
      <c r="K3" s="1480"/>
      <c r="L3" s="1480"/>
      <c r="M3" s="1480"/>
      <c r="N3" s="1480"/>
      <c r="O3" s="1500"/>
    </row>
    <row r="4" spans="2:18">
      <c r="B4" s="727" t="s">
        <v>625</v>
      </c>
      <c r="C4" s="1481">
        <f>(MTY!C8-B28)/B28</f>
        <v>-0.105054972610783</v>
      </c>
      <c r="D4" s="1481">
        <f>(MTY!F8-MTY!C8)/MTY!C8</f>
        <v>0.236670905222271</v>
      </c>
      <c r="E4" s="1481">
        <f>(MTY!I8-MTY!F8)/MTY!F8</f>
        <v>0.0199465365794576</v>
      </c>
      <c r="F4" s="1481">
        <f>(MTY!L8-MTY!I8)/MTY!I8</f>
        <v>-0.0564563328208218</v>
      </c>
      <c r="G4" s="1481">
        <f>(MTY!O8-MTY!L8)/MTY!L8</f>
        <v>-0.0291624606904701</v>
      </c>
      <c r="H4" s="1481">
        <f>(MTY!R8-MTY!O8)/MTY!O8</f>
        <v>-0.194259271163555</v>
      </c>
      <c r="I4" s="1481">
        <f>(MTY!U8-MTY!R8)/MTY!R8</f>
        <v>-0.0424057322287943</v>
      </c>
      <c r="J4" s="1481">
        <f>(MTY!X8-MTY!U8)/MTY!U8</f>
        <v>0.287814759290716</v>
      </c>
      <c r="K4" s="1481">
        <f>(MTY!AA8-MTY!X8)/MTY!X8</f>
        <v>-0.287274468245344</v>
      </c>
      <c r="L4" s="1481">
        <f>(MTY!AD8-MTY!AA8)/MTY!AA8</f>
        <v>0.374501447283609</v>
      </c>
      <c r="M4" s="1481">
        <f>(MTY!AG8-MTY!AD8)/MTY!AD8</f>
        <v>0.0898892072756178</v>
      </c>
      <c r="N4" s="1481">
        <f>(MTY!AJ8-MTY!AG8)/MTY!AG8</f>
        <v>0.226058561214481</v>
      </c>
      <c r="O4" s="1501">
        <f>((MTY!AM8-(C30))/(C30))</f>
        <v>0.0867146290775098</v>
      </c>
      <c r="P4" t="s">
        <v>626</v>
      </c>
      <c r="Q4" t="s">
        <v>627</v>
      </c>
      <c r="R4" s="1492">
        <v>314808653</v>
      </c>
    </row>
    <row r="5" spans="2:17">
      <c r="B5" s="1482" t="s">
        <v>628</v>
      </c>
      <c r="C5" s="1483">
        <f>MTY!C66/MTY!C8</f>
        <v>0.104671466000113</v>
      </c>
      <c r="D5" s="1483">
        <f>MTY!F66/MTY!F8</f>
        <v>-0.081611463046884</v>
      </c>
      <c r="E5" s="1483">
        <f>MTY!I66/MTY!I8</f>
        <v>0.0443338187517078</v>
      </c>
      <c r="F5" s="1483">
        <f>MTY!L66/MTY!L8</f>
        <v>-0.00227584974830512</v>
      </c>
      <c r="G5" s="1483">
        <f>MTY!O66/MTY!O8</f>
        <v>0.527118493629422</v>
      </c>
      <c r="H5" s="1483">
        <f>MTY!R66/MTY!R8</f>
        <v>0.11356663537207</v>
      </c>
      <c r="I5" s="1483">
        <f>MTY!U66/MTY!U8</f>
        <v>0.0623233349604881</v>
      </c>
      <c r="J5" s="1483">
        <f>MTY!X66/MTY!X8</f>
        <v>0.0867606762880713</v>
      </c>
      <c r="K5" s="1483">
        <f>MTY!AA66/MTY!AA8</f>
        <v>0.0653148252005711</v>
      </c>
      <c r="L5" s="1483">
        <f>MTY!AD66/MTY!AD8</f>
        <v>0.124750425047632</v>
      </c>
      <c r="M5" s="1483">
        <f>MTY!AG66/MTY!AG8</f>
        <v>0.137601535506723</v>
      </c>
      <c r="N5" s="1483">
        <f>MTY!AJ66/MTY!AJ8</f>
        <v>0.16151930080252</v>
      </c>
      <c r="O5" s="1502">
        <f>MTY!AM66/MTY!AM8</f>
        <v>0.113606277727066</v>
      </c>
      <c r="P5" t="s">
        <v>629</v>
      </c>
      <c r="Q5" t="s">
        <v>630</v>
      </c>
    </row>
    <row r="6" spans="2:17">
      <c r="B6" s="1482" t="s">
        <v>442</v>
      </c>
      <c r="C6" s="1483">
        <f>MTY!C69/MTY!C8</f>
        <v>0.0434895698149397</v>
      </c>
      <c r="D6" s="1483">
        <f>MTY!F69/MTY!F8</f>
        <v>-0.13360338050393</v>
      </c>
      <c r="E6" s="1483">
        <f>MTY!I69/MTY!I8</f>
        <v>-0.0155766391722243</v>
      </c>
      <c r="F6" s="1483">
        <f>MTY!L69/MTY!L8</f>
        <v>-0.0612633122407024</v>
      </c>
      <c r="G6" s="1483">
        <f>MTY!O69/MTY!O8</f>
        <v>0.47107755381186</v>
      </c>
      <c r="H6" s="1483">
        <f>MTY!R69/MTY!R8</f>
        <v>0.0162778689242071</v>
      </c>
      <c r="I6" s="1483">
        <f>MTY!U69/MTY!U8</f>
        <v>-0.00908594833931764</v>
      </c>
      <c r="J6" s="1483">
        <f>MTY!X69/MTY!X8</f>
        <v>0.0230286852779144</v>
      </c>
      <c r="K6" s="1483">
        <f>MTY!AA69/MTY!AA8</f>
        <v>-0.0233869399904645</v>
      </c>
      <c r="L6" s="1483">
        <f>MTY!AD69/MTY!AD8</f>
        <v>0.0690398507226474</v>
      </c>
      <c r="M6" s="1483">
        <f>MTY!AG69/MTY!AG8</f>
        <v>0.0780195332038983</v>
      </c>
      <c r="N6" s="1483">
        <f>MTY!AJ69/MTY!AJ8</f>
        <v>0.108059699568598</v>
      </c>
      <c r="O6" s="1502">
        <f>MTY!AM69/MTY!AM8</f>
        <v>0.0504269212945426</v>
      </c>
      <c r="P6" t="s">
        <v>631</v>
      </c>
      <c r="Q6" t="s">
        <v>632</v>
      </c>
    </row>
    <row r="7" ht="14.25" spans="2:17">
      <c r="B7" s="731" t="s">
        <v>633</v>
      </c>
      <c r="C7" s="1484">
        <f>MTY!C72/MTY!C8</f>
        <v>0.0085513420035898</v>
      </c>
      <c r="D7" s="1484">
        <f>MTY!F72/MTY!F8</f>
        <v>-0.14460792843255</v>
      </c>
      <c r="E7" s="1484">
        <f>MTY!I72/MTY!I8</f>
        <v>-0.0498418385145553</v>
      </c>
      <c r="F7" s="1484">
        <f>MTY!L72/MTY!L8</f>
        <v>-0.0822073461983788</v>
      </c>
      <c r="G7" s="1484">
        <f>MTY!O72/MTY!O8</f>
        <v>0.446692502792521</v>
      </c>
      <c r="H7" s="1484">
        <f>MTY!R72/MTY!R8</f>
        <v>-0.0208984918574169</v>
      </c>
      <c r="I7" s="1484">
        <f>MTY!U72/MTY!U8</f>
        <v>-0.0415192103199438</v>
      </c>
      <c r="J7" s="1484">
        <f>MTY!X72/MTY!X8</f>
        <v>-0.0010543943265914</v>
      </c>
      <c r="K7" s="1484">
        <f>MTY!AA72/MTY!AA8</f>
        <v>-0.0658567074423023</v>
      </c>
      <c r="L7" s="1484">
        <f>MTY!AD72/MTY!AD8</f>
        <v>0.0417983639004246</v>
      </c>
      <c r="M7" s="1484">
        <f>MTY!AG72/MTY!AG8</f>
        <v>0.0479165944619602</v>
      </c>
      <c r="N7" s="1484">
        <f>MTY!AJ72/MTY!AJ8</f>
        <v>0.0883946893392265</v>
      </c>
      <c r="O7" s="1503">
        <f>MTY!AM72/MTY!AM8</f>
        <v>0.0231473134611525</v>
      </c>
      <c r="P7" t="s">
        <v>634</v>
      </c>
      <c r="Q7" t="s">
        <v>635</v>
      </c>
    </row>
    <row r="8" ht="15.75" spans="2:15">
      <c r="B8" s="174" t="s">
        <v>636</v>
      </c>
      <c r="C8" s="1480"/>
      <c r="D8" s="1480"/>
      <c r="E8" s="1480"/>
      <c r="F8" s="1480"/>
      <c r="G8" s="1480"/>
      <c r="H8" s="1480"/>
      <c r="I8" s="1480"/>
      <c r="J8" s="1480"/>
      <c r="K8" s="1480"/>
      <c r="L8" s="1480"/>
      <c r="M8" s="1480"/>
      <c r="N8" s="1480"/>
      <c r="O8" s="1500"/>
    </row>
    <row r="9" spans="2:17">
      <c r="B9" s="727" t="s">
        <v>637</v>
      </c>
      <c r="C9" s="1485">
        <f>(C10+C11)-C12</f>
        <v>166</v>
      </c>
      <c r="D9" s="1485">
        <f t="shared" ref="D9:O9" si="0">(D10+D11)-D12</f>
        <v>90</v>
      </c>
      <c r="E9" s="1485">
        <f t="shared" si="0"/>
        <v>106</v>
      </c>
      <c r="F9" s="1485">
        <f t="shared" si="0"/>
        <v>106</v>
      </c>
      <c r="G9" s="1485">
        <f t="shared" si="0"/>
        <v>474</v>
      </c>
      <c r="H9" s="1485">
        <f>(H10+H11)-H12</f>
        <v>183</v>
      </c>
      <c r="I9" s="1485">
        <f t="shared" si="0"/>
        <v>200</v>
      </c>
      <c r="J9" s="1485">
        <f t="shared" si="0"/>
        <v>131</v>
      </c>
      <c r="K9" s="1485">
        <f t="shared" si="0"/>
        <v>219</v>
      </c>
      <c r="L9" s="1485">
        <f t="shared" si="0"/>
        <v>164</v>
      </c>
      <c r="M9" s="1485">
        <f t="shared" si="0"/>
        <v>131</v>
      </c>
      <c r="N9" s="1485">
        <f t="shared" si="0"/>
        <v>109</v>
      </c>
      <c r="O9" s="1504">
        <f t="shared" si="0"/>
        <v>98.0111220949135</v>
      </c>
      <c r="P9" t="s">
        <v>638</v>
      </c>
      <c r="Q9" t="s">
        <v>639</v>
      </c>
    </row>
    <row r="10" spans="2:17">
      <c r="B10" s="1482" t="s">
        <v>640</v>
      </c>
      <c r="C10" s="165">
        <f>ROUND(((((('Stock Valuation (FIFO)'!D25+'Stock Valuation (FIFO)'!G25)/2)/MTY!C57)*'KPI''s'!C25)),0)</f>
        <v>142</v>
      </c>
      <c r="D10" s="165">
        <f>ROUND(((((('Stock Valuation (FIFO)'!J25+'Stock Valuation (FIFO)'!G25)/2)/MTY!F57)*'KPI''s'!G25)),0)</f>
        <v>69</v>
      </c>
      <c r="E10" s="165">
        <f>ROUND(((((('Stock Valuation (FIFO)'!M25+'Stock Valuation (FIFO)'!J25)/2)/MTY!I57)*'KPI''s'!E25)),0)</f>
        <v>77</v>
      </c>
      <c r="F10" s="165">
        <f>ROUND(((((('Stock Valuation (FIFO)'!P25+'Stock Valuation (FIFO)'!M25)/2)/MTY!L57)*'KPI''s'!F25)),0)</f>
        <v>77</v>
      </c>
      <c r="G10" s="165">
        <f>ROUND(((((('Stock Valuation (FIFO)'!S25+'Stock Valuation (FIFO)'!P25)/2)/MTY!O57)*'KPI''s'!G25)),0)</f>
        <v>445</v>
      </c>
      <c r="H10" s="165">
        <f>ROUND(((((('Stock Valuation (FIFO)'!V25+'Stock Valuation (FIFO)'!S25)/2)/MTY!R57)*'KPI''s'!H25)),0)</f>
        <v>150</v>
      </c>
      <c r="I10" s="165">
        <f>ROUND(((((('Stock Valuation (FIFO)'!Y25+'Stock Valuation (FIFO)'!V25)/2)/MTY!U57)*'KPI''s'!I25)),0)</f>
        <v>158</v>
      </c>
      <c r="J10" s="165">
        <f>ROUND(((((('Stock Valuation (FIFO)'!AB25+'Stock Valuation (FIFO)'!Y25)/2)/MTY!X57)*'KPI''s'!J25)),0)</f>
        <v>101</v>
      </c>
      <c r="K10" s="165">
        <f>ROUND(((((('Stock Valuation (FIFO)'!AE25+'Stock Valuation (FIFO)'!AB25)/2)/MTY!AA57)*'KPI''s'!K25)),0)</f>
        <v>188</v>
      </c>
      <c r="L10" s="165">
        <f>ROUND(((((('Stock Valuation (FIFO)'!AH25+'Stock Valuation (FIFO)'!AE25)/2)/MTY!AD57)*'KPI''s'!L25)),0)</f>
        <v>142</v>
      </c>
      <c r="M10" s="165">
        <f>ROUND(((((('Stock Valuation (FIFO)'!AK25+'Stock Valuation (FIFO)'!AH25)/2)/MTY!AG57)*'KPI''s'!M25)),0)</f>
        <v>104</v>
      </c>
      <c r="N10" s="165">
        <f>ROUND(((((('Stock Valuation (FIFO)'!AN25+'Stock Valuation (FIFO)'!AK25)/2)/MTY!AJ57)*'KPI''s'!N25)),0)</f>
        <v>92</v>
      </c>
      <c r="O10" s="1505">
        <f>ROUND(((((B24+'Balance Sheet'!H23)/2)/MTY!AM57)*'KPI''s'!O25),0)</f>
        <v>65</v>
      </c>
      <c r="P10" t="s">
        <v>641</v>
      </c>
      <c r="Q10" t="s">
        <v>642</v>
      </c>
    </row>
    <row r="11" spans="2:17">
      <c r="B11" s="1482" t="s">
        <v>643</v>
      </c>
      <c r="C11" s="1486">
        <f>ROUND(((('Balance Sheet'!B51/MTY!C8)*'KPI''s'!C25)),0)</f>
        <v>31</v>
      </c>
      <c r="D11" s="1486">
        <f>ROUND(((('Balance Sheet'!C51/MTY!F8)*'KPI''s'!D25)),0)</f>
        <v>30</v>
      </c>
      <c r="E11" s="1486">
        <f>ROUND(((('Balance Sheet'!D51/MTY!I8)*'KPI''s'!E25)),0)</f>
        <v>34</v>
      </c>
      <c r="F11" s="1486">
        <f>ROUND(((('Balance Sheet'!E51/MTY!L8)*'KPI''s'!F25)),0)</f>
        <v>37</v>
      </c>
      <c r="G11" s="1486">
        <f>ROUND(((('Balance Sheet'!F51/MTY!O8)*'KPI''s'!G25)),0)</f>
        <v>37</v>
      </c>
      <c r="H11" s="1486">
        <f>ROUND(((('Balance Sheet'!G51/MTY!R8)*'KPI''s'!H25)),0)</f>
        <v>41</v>
      </c>
      <c r="I11" s="1486">
        <f>ROUND(((('Balance Sheet'!H51/MTY!U8)*'KPI''s'!I25)),0)</f>
        <v>50</v>
      </c>
      <c r="J11" s="1486">
        <f>ROUND(((('Balance Sheet'!I51/MTY!X8)*'KPI''s'!J25)),0)</f>
        <v>38</v>
      </c>
      <c r="K11" s="1486">
        <f>ROUND(((('Balance Sheet'!J51/MTY!AA8)*'KPI''s'!K25)),0)</f>
        <v>52</v>
      </c>
      <c r="L11" s="1486">
        <f>ROUND(((('Balance Sheet'!K51/MTY!AD8)*'KPI''s'!L25)),0)</f>
        <v>37</v>
      </c>
      <c r="M11" s="1486">
        <f>ROUND(((('Balance Sheet'!L51/MTY!AG8)*'KPI''s'!M25)),0)</f>
        <v>32</v>
      </c>
      <c r="N11" s="1486">
        <f>ROUND(((('Balance Sheet'!M51/MTY!AJ8)*'KPI''s'!N25)),0)</f>
        <v>20</v>
      </c>
      <c r="O11" s="1505">
        <f>('Balance Sheet'!H51/MTY!AM8)*'KPI''s'!O25</f>
        <v>39.2677562507565</v>
      </c>
      <c r="P11" t="s">
        <v>644</v>
      </c>
      <c r="Q11" t="s">
        <v>645</v>
      </c>
    </row>
    <row r="12" spans="2:17">
      <c r="B12" s="1482" t="s">
        <v>646</v>
      </c>
      <c r="C12" s="1486">
        <f>ROUND(((('Balance Sheet'!B23/MTY!C8)*'KPI''s'!C25)),0)</f>
        <v>7</v>
      </c>
      <c r="D12" s="1486">
        <f>ROUND(((('Balance Sheet'!C23/MTY!F8)*'KPI''s'!D25)),0)</f>
        <v>9</v>
      </c>
      <c r="E12" s="1486">
        <f>ROUND(((('Balance Sheet'!D23/MTY!I8)*'KPI''s'!E25)),0)</f>
        <v>5</v>
      </c>
      <c r="F12" s="1486">
        <f>ROUND(((('Balance Sheet'!E23/MTY!L8)*'KPI''s'!F25)),0)</f>
        <v>8</v>
      </c>
      <c r="G12" s="1486">
        <f>ROUND(((('Balance Sheet'!F23/MTY!R8)*'KPI''s'!G25)),0)</f>
        <v>8</v>
      </c>
      <c r="H12" s="1486">
        <f>ROUND(((('Balance Sheet'!G23/MTY!R8)*'KPI''s'!H25)),0)</f>
        <v>8</v>
      </c>
      <c r="I12" s="1486">
        <f>ROUND(((('Balance Sheet'!H23/MTY!U8)*'KPI''s'!I25)),0)</f>
        <v>8</v>
      </c>
      <c r="J12" s="1486">
        <f>ROUND(((('Balance Sheet'!I23/MTY!X8)*'KPI''s'!J25)),0)</f>
        <v>8</v>
      </c>
      <c r="K12" s="1486">
        <f>ROUND(((('Balance Sheet'!J23/MTY!AA8)*'KPI''s'!K25)),0)</f>
        <v>21</v>
      </c>
      <c r="L12" s="1486">
        <f>ROUND(((('Balance Sheet'!K23/MTY!AD8)*'KPI''s'!L25)),0)</f>
        <v>15</v>
      </c>
      <c r="M12" s="1486">
        <f>ROUND(((('Balance Sheet'!L23/MTY!AG8)*'KPI''s'!M25)),0)</f>
        <v>5</v>
      </c>
      <c r="N12" s="1486">
        <f>ROUND(((('Balance Sheet'!M23/MTY!AJ8)*'KPI''s'!N25)),0)</f>
        <v>3</v>
      </c>
      <c r="O12" s="1505">
        <f>('Balance Sheet'!H23/MTY!AM8)*O25</f>
        <v>6.25663415584297</v>
      </c>
      <c r="P12" t="s">
        <v>647</v>
      </c>
      <c r="Q12" t="s">
        <v>648</v>
      </c>
    </row>
    <row r="13" spans="2:17">
      <c r="B13" s="1482" t="s">
        <v>649</v>
      </c>
      <c r="C13" s="80">
        <f>'Balance Sheet'!B46/'Balance Sheet'!B18</f>
        <v>7.78326988512832</v>
      </c>
      <c r="D13" s="80">
        <f>'Balance Sheet'!C46/'Balance Sheet'!C18</f>
        <v>6.31618979803007</v>
      </c>
      <c r="E13" s="80">
        <f>'Balance Sheet'!D46/'Balance Sheet'!D18</f>
        <v>8.26027551459696</v>
      </c>
      <c r="F13" s="80">
        <f>'Balance Sheet'!E46/'Balance Sheet'!E18</f>
        <v>6.63361837174394</v>
      </c>
      <c r="G13" s="80">
        <f>'Balance Sheet'!F46/'Balance Sheet'!F18</f>
        <v>8.77244983970629</v>
      </c>
      <c r="H13" s="80">
        <f>'Balance Sheet'!G46/'Balance Sheet'!G18</f>
        <v>8.92398532623589</v>
      </c>
      <c r="I13" s="80">
        <f>'Balance Sheet'!H46/'Balance Sheet'!H18</f>
        <v>11.456407962736</v>
      </c>
      <c r="J13" s="80">
        <f>'Balance Sheet'!I46/'Balance Sheet'!I18</f>
        <v>10.539812524023</v>
      </c>
      <c r="K13" s="80">
        <f>'Balance Sheet'!J46/'Balance Sheet'!J18</f>
        <v>7.32967424238311</v>
      </c>
      <c r="L13" s="80">
        <f>'Balance Sheet'!K46/'Balance Sheet'!K18</f>
        <v>8.09929049703669</v>
      </c>
      <c r="M13" s="80">
        <f>'Balance Sheet'!L46/'Balance Sheet'!L18</f>
        <v>15.8348076377494</v>
      </c>
      <c r="N13" s="80">
        <f>'Balance Sheet'!M46/'Balance Sheet'!M18</f>
        <v>24.4877900230887</v>
      </c>
      <c r="O13" s="1506">
        <f>'Balance Sheet'!G46/'Balance Sheet'!G18</f>
        <v>8.92398532623589</v>
      </c>
      <c r="P13" t="s">
        <v>650</v>
      </c>
      <c r="Q13" t="s">
        <v>651</v>
      </c>
    </row>
    <row r="14" ht="14.25" spans="2:17">
      <c r="B14" s="731" t="s">
        <v>652</v>
      </c>
      <c r="C14" s="161">
        <f>(('Balance Sheet'!B46-('Balance Sheet'!B48+'Balance Sheet'!B47))/'Balance Sheet'!B18)</f>
        <v>1.73504830251847</v>
      </c>
      <c r="D14" s="161">
        <f>(('Balance Sheet'!C46-('Balance Sheet'!C48+'Balance Sheet'!C47))/'Balance Sheet'!C18)</f>
        <v>1.67926574934613</v>
      </c>
      <c r="E14" s="161">
        <f>(('Balance Sheet'!D46-('Balance Sheet'!D48+'Balance Sheet'!D47))/'Balance Sheet'!D18)</f>
        <v>2.45303100726842</v>
      </c>
      <c r="F14" s="161">
        <f>(('Balance Sheet'!E46-('Balance Sheet'!E48+'Balance Sheet'!E47))/'Balance Sheet'!E18)</f>
        <v>2.17108982297505</v>
      </c>
      <c r="G14" s="161">
        <f>(('Balance Sheet'!F46-('Balance Sheet'!F48+'Balance Sheet'!F47))/'Balance Sheet'!F18)</f>
        <v>2.70876658242236</v>
      </c>
      <c r="H14" s="161">
        <f>(('Balance Sheet'!G46-('Balance Sheet'!G48+'Balance Sheet'!G47))/'Balance Sheet'!G18)</f>
        <v>2.57984386068648</v>
      </c>
      <c r="I14" s="161">
        <f>(('Balance Sheet'!H46-('Balance Sheet'!H48+'Balance Sheet'!H47))/'Balance Sheet'!H18)</f>
        <v>3.51589571239068</v>
      </c>
      <c r="J14" s="161">
        <f>(('Balance Sheet'!I46-('Balance Sheet'!I48+'Balance Sheet'!I47))/'Balance Sheet'!I18)</f>
        <v>3.31050347770924</v>
      </c>
      <c r="K14" s="161">
        <f>(('Balance Sheet'!J46-('Balance Sheet'!J48+'Balance Sheet'!J47))/'Balance Sheet'!J18)</f>
        <v>2.12460178329306</v>
      </c>
      <c r="L14" s="161">
        <f>(('Balance Sheet'!K46-('Balance Sheet'!K48+'Balance Sheet'!K47))/'Balance Sheet'!K18)</f>
        <v>2.24196551882978</v>
      </c>
      <c r="M14" s="161">
        <f>(('Balance Sheet'!L46-('Balance Sheet'!L48+'Balance Sheet'!L47))/'Balance Sheet'!L18)</f>
        <v>3.29265157057901</v>
      </c>
      <c r="N14" s="161">
        <f>(('Balance Sheet'!M46-('Balance Sheet'!M48+'Balance Sheet'!M47))/'Balance Sheet'!M18)</f>
        <v>3.30152978124141</v>
      </c>
      <c r="O14" s="224">
        <f>('Balance Sheet'!G46-('Balance Sheet'!G47+'Balance Sheet'!G48))/'Balance Sheet'!G18</f>
        <v>2.57984386068648</v>
      </c>
      <c r="P14" t="s">
        <v>653</v>
      </c>
      <c r="Q14" t="s">
        <v>654</v>
      </c>
    </row>
    <row r="15" ht="15.75" spans="2:15">
      <c r="B15" s="174" t="s">
        <v>655</v>
      </c>
      <c r="C15" s="1480"/>
      <c r="D15" s="1480"/>
      <c r="E15" s="1480"/>
      <c r="F15" s="1480"/>
      <c r="G15" s="1480"/>
      <c r="H15" s="1480"/>
      <c r="I15" s="1480"/>
      <c r="J15" s="1480"/>
      <c r="K15" s="1480"/>
      <c r="L15" s="1480"/>
      <c r="M15" s="1480"/>
      <c r="N15" s="1480"/>
      <c r="O15" s="1500"/>
    </row>
    <row r="16" spans="2:17">
      <c r="B16" s="727" t="s">
        <v>656</v>
      </c>
      <c r="C16" s="176">
        <f>'Balance Sheet'!B10/'Balance Sheet'!B4</f>
        <v>4.42290291906492</v>
      </c>
      <c r="D16" s="176">
        <f>'Balance Sheet'!C10/'Balance Sheet'!C4</f>
        <v>4.01317614155899</v>
      </c>
      <c r="E16" s="176">
        <f>'Balance Sheet'!D10/'Balance Sheet'!D4</f>
        <v>4.50450198395082</v>
      </c>
      <c r="F16" s="176">
        <f>'Balance Sheet'!E10/'Balance Sheet'!E4</f>
        <v>3.83624619126795</v>
      </c>
      <c r="G16" s="176">
        <f>'Balance Sheet'!F10/'Balance Sheet'!F4</f>
        <v>4.19173724945558</v>
      </c>
      <c r="H16" s="176">
        <f>'Balance Sheet'!G10/'Balance Sheet'!G4</f>
        <v>4.06997956303467</v>
      </c>
      <c r="I16" s="176">
        <f>'Balance Sheet'!H10/'Balance Sheet'!H4</f>
        <v>4.61101275630411</v>
      </c>
      <c r="J16" s="176">
        <f>'Balance Sheet'!I10/'Balance Sheet'!I4</f>
        <v>4.49471145461845</v>
      </c>
      <c r="K16" s="176">
        <f>'Balance Sheet'!J10/'Balance Sheet'!J4</f>
        <v>4.37414303801703</v>
      </c>
      <c r="L16" s="176">
        <f>'Balance Sheet'!K10/'Balance Sheet'!K4</f>
        <v>4.53110299937105</v>
      </c>
      <c r="M16" s="176">
        <f>'Balance Sheet'!L10/'Balance Sheet'!L4</f>
        <v>4.12581180632717</v>
      </c>
      <c r="N16" s="176">
        <f>'Balance Sheet'!M10/'Balance Sheet'!M4</f>
        <v>3.28525321588879</v>
      </c>
      <c r="O16" s="253">
        <f>'Balance Sheet'!H10/'Balance Sheet'!H4</f>
        <v>4.61101275630411</v>
      </c>
      <c r="P16" t="s">
        <v>657</v>
      </c>
      <c r="Q16" t="s">
        <v>658</v>
      </c>
    </row>
    <row r="17" spans="2:17">
      <c r="B17" s="1482" t="s">
        <v>659</v>
      </c>
      <c r="C17" s="1487">
        <f>MTY!C69/('Balance Sheet'!B10+'Direct Expns'!S61)</f>
        <v>0.0116379562119494</v>
      </c>
      <c r="D17" s="1487">
        <f>MTY!F69/('Balance Sheet'!F10+'Direct Expns'!T61)</f>
        <v>-0.0469138396869832</v>
      </c>
      <c r="E17" s="1487">
        <f>MTY!I69/('Balance Sheet'!D10+'Direct Expns'!U61)</f>
        <v>-0.00515202987147092</v>
      </c>
      <c r="F17" s="1487">
        <f>MTY!L69/('Balance Sheet'!E10+'Direct Expns'!V61)</f>
        <v>-0.0225361697447097</v>
      </c>
      <c r="G17" s="1487">
        <f>MTY!O69/('Balance Sheet'!F10+'Direct Expns'!W61)</f>
        <v>0.153910916689246</v>
      </c>
      <c r="H17" s="1487">
        <f>MTY!R69/('Balance Sheet'!G10+'Direct Expns'!X61)</f>
        <v>0.0044042315553728</v>
      </c>
      <c r="I17" s="1487">
        <f>MTY!U69/('Balance Sheet'!H10+'Direct Expns'!Y61)</f>
        <v>-0.00208309295918546</v>
      </c>
      <c r="J17" s="1487">
        <f>MTY!X69/('Balance Sheet'!I10+'Direct Expns'!Z61)</f>
        <v>0.00697635450250796</v>
      </c>
      <c r="K17" s="1487">
        <f>MTY!AA69/('Balance Sheet'!J10+'Direct Expns'!AA61)</f>
        <v>-0.00517790494286331</v>
      </c>
      <c r="L17" s="1487">
        <f>MTY!AB69/('Balance Sheet'!K10+'Direct Expns'!AB61)</f>
        <v>-1.20645408308184e-11</v>
      </c>
      <c r="M17" s="1487">
        <f>MTY!AC69/('Balance Sheet'!L10+'Direct Expns'!AC61)</f>
        <v>0</v>
      </c>
      <c r="N17" s="1487">
        <f>MTY!AD69/('Balance Sheet'!M10+'Direct Expns'!AD61)</f>
        <v>0.0279491007577168</v>
      </c>
      <c r="O17" s="1507">
        <f>MTY!AM69/(MTY!AM70+'Balance Sheet'!H10)</f>
        <v>0.162583517150844</v>
      </c>
      <c r="P17" t="s">
        <v>660</v>
      </c>
      <c r="Q17" t="s">
        <v>661</v>
      </c>
    </row>
    <row r="18" ht="14.25" spans="2:17">
      <c r="B18" s="731" t="s">
        <v>662</v>
      </c>
      <c r="C18" s="1488">
        <f>MTY!C69/'Direct Expns'!S61</f>
        <v>1.40856489523653</v>
      </c>
      <c r="D18" s="1488">
        <f>MTY!F69/'Direct Expns'!T61</f>
        <v>-17.3083701940594</v>
      </c>
      <c r="E18" s="1488">
        <f>MTY!I69/'Direct Expns'!U61</f>
        <v>-0.501761525039057</v>
      </c>
      <c r="F18" s="1488">
        <f>MTY!L69/'Direct Expns'!V61</f>
        <v>-3.49476969194623</v>
      </c>
      <c r="G18" s="1488">
        <f>MTY!O69/'Direct Expns'!W61</f>
        <v>22.5736565887512</v>
      </c>
      <c r="H18" s="1488">
        <f>MTY!R69/'Direct Expns'!X61</f>
        <v>0.496095803387681</v>
      </c>
      <c r="I18" s="1488">
        <f>MTY!U69/'Direct Expns'!Y61</f>
        <v>-0.325946573083015</v>
      </c>
      <c r="J18" s="1488">
        <f>MTY!X69/'Direct Expns'!Z61</f>
        <v>1.12094488644742</v>
      </c>
      <c r="K18" s="1488">
        <f>MTY!AA69/'Direct Expns'!AA61</f>
        <v>-0.62358186095432</v>
      </c>
      <c r="L18" s="1488">
        <f>MTY!AB69/'Direct Expns'!AB61</f>
        <v>-1.73564657395378e-9</v>
      </c>
      <c r="M18" s="1488">
        <f>MTY!AC69/'Direct Expns'!AC61</f>
        <v>0</v>
      </c>
      <c r="N18" s="1488">
        <f>MTY!AD69/'Direct Expns'!AD61</f>
        <v>3.04608718604595</v>
      </c>
      <c r="O18" s="1508">
        <f>MTY!AM69/MTY!AM70</f>
        <v>2.13094440225354</v>
      </c>
      <c r="P18" t="s">
        <v>663</v>
      </c>
      <c r="Q18" t="s">
        <v>664</v>
      </c>
    </row>
    <row r="19" ht="15.75" spans="2:15">
      <c r="B19" s="174" t="s">
        <v>665</v>
      </c>
      <c r="C19" s="1480"/>
      <c r="D19" s="1480"/>
      <c r="E19" s="1480"/>
      <c r="F19" s="1480"/>
      <c r="G19" s="1480"/>
      <c r="H19" s="1480"/>
      <c r="I19" s="1480"/>
      <c r="J19" s="1480"/>
      <c r="K19" s="1480"/>
      <c r="L19" s="1480"/>
      <c r="M19" s="1480"/>
      <c r="N19" s="1480"/>
      <c r="O19" s="1500"/>
    </row>
    <row r="20" spans="2:17">
      <c r="B20" s="727" t="s">
        <v>666</v>
      </c>
      <c r="C20" s="1489">
        <f>MTY!C$72/'KPI''s'!$B$31</f>
        <v>0.131112384749564</v>
      </c>
      <c r="D20" s="1489">
        <f>MTY!F$72/'KPI''s'!$B$31</f>
        <v>-2.74192574134064</v>
      </c>
      <c r="E20" s="1489">
        <f>MTY!I$72/'KPI''s'!$B$31</f>
        <v>-0.963906802890605</v>
      </c>
      <c r="F20" s="1489">
        <f>MTY!L$72/'KPI''s'!$B$31</f>
        <v>-1.50007724894094</v>
      </c>
      <c r="G20" s="1489">
        <f>MTY!O$72/'KPI''s'!$B$31</f>
        <v>7.91331074009469</v>
      </c>
      <c r="H20" s="1489">
        <f>MTY!R$72/'KPI''s'!$B$31</f>
        <v>-0.29830451034139</v>
      </c>
      <c r="I20" s="1489">
        <f>MTY!U$72/'KPI''s'!$B$31</f>
        <v>-0.56751258410167</v>
      </c>
      <c r="J20" s="1489">
        <f>MTY!X$72/'KPI''s'!$B$31</f>
        <v>-0.0185602093197121</v>
      </c>
      <c r="K20" s="1489">
        <f>MTY!AA$72/'KPI''s'!$B$31</f>
        <v>-0.82623224520309</v>
      </c>
      <c r="L20" s="1489">
        <f>MTY!AD$72/'KPI''s'!$B$31</f>
        <v>0.720786444056815</v>
      </c>
      <c r="M20" s="1489">
        <f>MTY!AG$72/'KPI''s'!$B$31</f>
        <v>0.900566159980065</v>
      </c>
      <c r="N20" s="1489">
        <f>MTY!AJ$72/'KPI''s'!$B$31</f>
        <v>2.03688761525044</v>
      </c>
      <c r="O20" s="1509">
        <f>MTY!AM72/'KPI''s'!B31</f>
        <v>4.78614253675554</v>
      </c>
      <c r="P20" t="s">
        <v>667</v>
      </c>
      <c r="Q20" t="s">
        <v>668</v>
      </c>
    </row>
    <row r="21" spans="2:17">
      <c r="B21" s="1482" t="s">
        <v>669</v>
      </c>
      <c r="C21" s="1487">
        <f>10/C20</f>
        <v>76.2704455349574</v>
      </c>
      <c r="D21" s="1487">
        <f t="shared" ref="D21:J21" si="1">10/D20</f>
        <v>-3.64707178215212</v>
      </c>
      <c r="E21" s="1487">
        <f t="shared" si="1"/>
        <v>-10.3744469589919</v>
      </c>
      <c r="F21" s="1487">
        <f t="shared" si="1"/>
        <v>-6.66632335572053</v>
      </c>
      <c r="G21" s="1487">
        <f t="shared" si="1"/>
        <v>1.26369358267869</v>
      </c>
      <c r="H21" s="1487">
        <f t="shared" si="1"/>
        <v>-33.522791822878</v>
      </c>
      <c r="I21" s="1487">
        <f t="shared" si="1"/>
        <v>-17.6207546407614</v>
      </c>
      <c r="J21" s="1487">
        <f t="shared" si="1"/>
        <v>-538.787027007253</v>
      </c>
      <c r="K21" s="1487">
        <f t="shared" ref="K21:L21" si="2">10/K20</f>
        <v>-12.1031345097673</v>
      </c>
      <c r="L21" s="1487">
        <f t="shared" si="2"/>
        <v>13.873734838459</v>
      </c>
      <c r="M21" s="1487">
        <f t="shared" ref="M21:N21" si="3">10/M20</f>
        <v>11.1041258759061</v>
      </c>
      <c r="N21" s="1487">
        <f t="shared" si="3"/>
        <v>4.90945102966346</v>
      </c>
      <c r="O21" s="1507">
        <f t="shared" ref="O21" si="4">10/O20</f>
        <v>2.08936527134414</v>
      </c>
      <c r="P21" t="s">
        <v>670</v>
      </c>
      <c r="Q21" t="s">
        <v>671</v>
      </c>
    </row>
    <row r="22" ht="14.25" spans="2:17">
      <c r="B22" s="1490" t="s">
        <v>672</v>
      </c>
      <c r="C22" s="1491">
        <f>'Balance Sheet'!B4+'Balance Sheet'!B10-('Balance Sheet'!B52+'Balance Sheet'!B53)</f>
        <v>139742598.3</v>
      </c>
      <c r="D22" s="1491">
        <f>'Balance Sheet'!C4+'Balance Sheet'!C10-('Balance Sheet'!C52+'Balance Sheet'!C53)</f>
        <v>129208670.44</v>
      </c>
      <c r="E22" s="1491">
        <f>'Balance Sheet'!D4+'Balance Sheet'!D10-('Balance Sheet'!D52+'Balance Sheet'!D53)</f>
        <v>141859369.45</v>
      </c>
      <c r="F22" s="1491">
        <f>'Balance Sheet'!E4+'Balance Sheet'!E10-('Balance Sheet'!E52+'Balance Sheet'!E53)</f>
        <v>124639797.55</v>
      </c>
      <c r="G22" s="1491">
        <f>'Balance Sheet'!F4+'Balance Sheet'!F10-('Balance Sheet'!F52+'Balance Sheet'!F53)</f>
        <v>133537714.04</v>
      </c>
      <c r="H22" s="1491">
        <f>'Balance Sheet'!G4+'Balance Sheet'!G10-('Balance Sheet'!G52+'Balance Sheet'!G53)</f>
        <v>130570825.61</v>
      </c>
      <c r="I22" s="1491">
        <f>'Balance Sheet'!H4+'Balance Sheet'!H10-('Balance Sheet'!H52+'Balance Sheet'!H53)</f>
        <v>144573620.46</v>
      </c>
      <c r="J22" s="1491">
        <f>'Balance Sheet'!I4+'Balance Sheet'!I10-('Balance Sheet'!I52+'Balance Sheet'!I53)</f>
        <v>141581472.81</v>
      </c>
      <c r="K22" s="1491">
        <f>'Balance Sheet'!J4+'Balance Sheet'!J10-('Balance Sheet'!J52+'Balance Sheet'!J53)</f>
        <v>138522963.18</v>
      </c>
      <c r="L22" s="1491">
        <f>'Balance Sheet'!K4+'Balance Sheet'!K10-('Balance Sheet'!K52+'Balance Sheet'!K53)</f>
        <v>142484213.01</v>
      </c>
      <c r="M22" s="1510">
        <f>'Balance Sheet'!L4+'Balance Sheet'!L10-('Balance Sheet'!L52+'Balance Sheet'!L53)</f>
        <v>132074138.91</v>
      </c>
      <c r="N22" s="1510">
        <f>'Balance Sheet'!M4+'Balance Sheet'!M10-('Balance Sheet'!M52+'Balance Sheet'!M53)</f>
        <v>110255132.09</v>
      </c>
      <c r="O22" s="1511">
        <f>L22</f>
        <v>142484213.01</v>
      </c>
      <c r="P22" t="s">
        <v>673</v>
      </c>
      <c r="Q22" s="96" t="s">
        <v>674</v>
      </c>
    </row>
    <row r="24" spans="1:6">
      <c r="A24" t="s">
        <v>361</v>
      </c>
      <c r="B24" s="1431">
        <f>'Stock Valuation (FIFO)'!D25</f>
        <v>85026381</v>
      </c>
      <c r="C24" s="1492"/>
      <c r="D24" s="1493"/>
      <c r="E24" s="1493"/>
      <c r="F24" s="1493"/>
    </row>
    <row r="25" spans="1:15">
      <c r="A25" t="s">
        <v>675</v>
      </c>
      <c r="C25" s="122">
        <v>30</v>
      </c>
      <c r="D25" s="1494">
        <v>31</v>
      </c>
      <c r="E25" s="1494">
        <v>30</v>
      </c>
      <c r="F25" s="1494">
        <v>31</v>
      </c>
      <c r="G25" s="1494">
        <v>31</v>
      </c>
      <c r="H25" s="1494">
        <v>30</v>
      </c>
      <c r="I25" s="1494">
        <v>31</v>
      </c>
      <c r="J25" s="122">
        <v>30</v>
      </c>
      <c r="K25" s="122">
        <v>31</v>
      </c>
      <c r="L25" s="122">
        <v>31</v>
      </c>
      <c r="M25" s="122">
        <v>28</v>
      </c>
      <c r="N25" s="122">
        <v>31</v>
      </c>
      <c r="O25">
        <f>SUM(C25:N25)</f>
        <v>365</v>
      </c>
    </row>
    <row r="26" spans="1:15">
      <c r="A26" t="s">
        <v>676</v>
      </c>
      <c r="C26" s="1492">
        <f>'Balance Sheet'!B4+'Balance Sheet'!B10</f>
        <v>139790691.3</v>
      </c>
      <c r="D26" s="1492">
        <f>'Balance Sheet'!C4+'Balance Sheet'!C10</f>
        <v>129228822.44</v>
      </c>
      <c r="E26" s="1492">
        <f>'Balance Sheet'!D4+'Balance Sheet'!D10</f>
        <v>141894138.45</v>
      </c>
      <c r="F26" s="1492">
        <f>'Balance Sheet'!E4+'Balance Sheet'!E10</f>
        <v>124667951.55</v>
      </c>
      <c r="G26" s="1492">
        <f>'Balance Sheet'!F4+'Balance Sheet'!F10</f>
        <v>133831741.04</v>
      </c>
      <c r="H26" s="1492">
        <f>'Balance Sheet'!G4+'Balance Sheet'!G10</f>
        <v>130693091.61</v>
      </c>
      <c r="I26" s="1492">
        <f>'Balance Sheet'!H4+'Balance Sheet'!H10</f>
        <v>144639755.46</v>
      </c>
      <c r="J26" s="1492">
        <f>'Balance Sheet'!I4+'Balance Sheet'!I10</f>
        <v>141641759.81</v>
      </c>
      <c r="K26" s="1492">
        <f>'Balance Sheet'!J4+'Balance Sheet'!J10</f>
        <v>138533767.18</v>
      </c>
      <c r="L26" s="241">
        <f>'Balance Sheet'!K4+'Balance Sheet'!K10</f>
        <v>142579855.01</v>
      </c>
      <c r="M26" s="241">
        <f>'Balance Sheet'!L4+'Balance Sheet'!L10</f>
        <v>132132325.91</v>
      </c>
      <c r="N26" s="241">
        <f>'Balance Sheet'!M4+'Balance Sheet'!M10</f>
        <v>110464546.09</v>
      </c>
      <c r="O26" s="1493">
        <f>H26</f>
        <v>130693091.61</v>
      </c>
    </row>
    <row r="27" spans="3:8">
      <c r="C27" s="1492"/>
      <c r="D27" s="1492"/>
      <c r="E27" s="1492"/>
      <c r="F27" s="1492"/>
      <c r="G27" s="1492"/>
      <c r="H27" s="1492"/>
    </row>
    <row r="28" spans="1:2">
      <c r="A28" t="s">
        <v>677</v>
      </c>
      <c r="B28" s="1492">
        <v>34375755</v>
      </c>
    </row>
    <row r="29" spans="1:3">
      <c r="A29" t="s">
        <v>678</v>
      </c>
      <c r="B29" s="1492">
        <v>109016560</v>
      </c>
      <c r="C29" s="1495">
        <v>12</v>
      </c>
    </row>
    <row r="30" spans="1:3">
      <c r="A30" t="s">
        <v>679</v>
      </c>
      <c r="B30" s="1492">
        <v>381776055</v>
      </c>
      <c r="C30" s="1493">
        <f>ROUND(((B30/12)*C29),0)</f>
        <v>381776055</v>
      </c>
    </row>
    <row r="31" spans="1:2">
      <c r="A31" t="s">
        <v>578</v>
      </c>
      <c r="B31" s="1492">
        <v>2006500</v>
      </c>
    </row>
    <row r="32" spans="1:15">
      <c r="A32" t="s">
        <v>680</v>
      </c>
      <c r="B32" t="s">
        <v>681</v>
      </c>
      <c r="O32" s="219">
        <v>0.05</v>
      </c>
    </row>
    <row r="33" spans="1:15">
      <c r="A33" t="s">
        <v>682</v>
      </c>
      <c r="B33" t="s">
        <v>683</v>
      </c>
      <c r="O33" s="122">
        <v>1</v>
      </c>
    </row>
    <row r="34" spans="1:15">
      <c r="A34" t="s">
        <v>684</v>
      </c>
      <c r="B34" s="96" t="s">
        <v>685</v>
      </c>
      <c r="O34" s="829">
        <v>0.095</v>
      </c>
    </row>
    <row r="35" spans="1:15">
      <c r="A35" t="s">
        <v>136</v>
      </c>
      <c r="B35" t="s">
        <v>686</v>
      </c>
      <c r="O35" s="829">
        <v>0.095</v>
      </c>
    </row>
    <row r="36" spans="1:15">
      <c r="A36" t="s">
        <v>687</v>
      </c>
      <c r="B36" t="s">
        <v>688</v>
      </c>
      <c r="D36" t="s">
        <v>689</v>
      </c>
      <c r="O36" s="1512">
        <f>(O32+(O33*(O35-O32)))</f>
        <v>0.095</v>
      </c>
    </row>
    <row r="37" spans="1:15">
      <c r="A37" t="s">
        <v>690</v>
      </c>
      <c r="B37" t="s">
        <v>690</v>
      </c>
      <c r="D37" t="s">
        <v>691</v>
      </c>
      <c r="G37" s="1497"/>
      <c r="O37" s="829">
        <f>('Balance Sheet'!O4/('Balance Sheet'!O4+'Balance Sheet'!O10)*O36)+(O34*(1-0.25)*('Balance Sheet'!O10/('Balance Sheet'!O4+'Balance Sheet'!O10)))</f>
        <v>0.0767922629197127</v>
      </c>
    </row>
    <row r="38" spans="1:17">
      <c r="A38" s="96" t="s">
        <v>692</v>
      </c>
      <c r="B38" s="96" t="s">
        <v>693</v>
      </c>
      <c r="E38" s="1496"/>
      <c r="O38" s="1493">
        <f>MTY!AM72+MTY!AM71+-MTY!AM24</f>
        <v>11286263</v>
      </c>
      <c r="Q38" s="1496" t="e">
        <f>Q9/V3</f>
        <v>#VALUE!</v>
      </c>
    </row>
    <row r="39" spans="1:17">
      <c r="A39" s="96" t="s">
        <v>694</v>
      </c>
      <c r="B39" s="1496"/>
      <c r="D39" s="1496"/>
      <c r="E39" s="1496"/>
      <c r="Q39" s="1496" t="e">
        <f>Q10/V3</f>
        <v>#VALUE!</v>
      </c>
    </row>
    <row r="40" spans="2:4">
      <c r="B40" s="1496"/>
      <c r="D40" s="1496"/>
    </row>
  </sheetData>
  <mergeCells count="5">
    <mergeCell ref="B1:O1"/>
    <mergeCell ref="B3:O3"/>
    <mergeCell ref="B8:O8"/>
    <mergeCell ref="B15:O15"/>
    <mergeCell ref="B19:O19"/>
  </mergeCells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70"/>
  <sheetViews>
    <sheetView showZeros="0" zoomScale="96" zoomScaleNormal="96" workbookViewId="0">
      <selection activeCell="S23" sqref="S23"/>
    </sheetView>
  </sheetViews>
  <sheetFormatPr defaultColWidth="9" defaultRowHeight="13.5"/>
  <cols>
    <col min="1" max="1" width="33.8571428571429" customWidth="1"/>
    <col min="2" max="2" width="10.2857142857143" customWidth="1"/>
    <col min="3" max="3" width="15.1428571428571" style="938" customWidth="1"/>
    <col min="4" max="4" width="7.57142857142857" customWidth="1"/>
    <col min="5" max="5" width="10.2857142857143" customWidth="1"/>
    <col min="6" max="6" width="15.1428571428571" style="97" customWidth="1"/>
    <col min="7" max="7" width="8.14285714285714" customWidth="1"/>
    <col min="8" max="8" width="10.7142857142857" customWidth="1"/>
    <col min="9" max="9" width="14" customWidth="1"/>
    <col min="10" max="10" width="7.85714285714286" customWidth="1"/>
    <col min="11" max="11" width="10.2857142857143" customWidth="1"/>
    <col min="12" max="12" width="14" customWidth="1"/>
    <col min="13" max="13" width="7" customWidth="1"/>
    <col min="14" max="14" width="10.2857142857143" customWidth="1"/>
    <col min="15" max="15" width="14.1428571428571" customWidth="1"/>
    <col min="16" max="16" width="7" customWidth="1"/>
    <col min="17" max="19" width="10" customWidth="1"/>
    <col min="20" max="22" width="10.5714285714286" customWidth="1"/>
    <col min="23" max="25" width="10.7142857142857" customWidth="1"/>
    <col min="26" max="31" width="10.2857142857143" customWidth="1"/>
    <col min="32" max="37" width="10.7142857142857" customWidth="1"/>
    <col min="38" max="38" width="9.85714285714286" customWidth="1"/>
    <col min="39" max="39" width="15.1428571428571" customWidth="1"/>
    <col min="40" max="40" width="7.42857142857143" customWidth="1"/>
    <col min="41" max="41" width="10" customWidth="1"/>
    <col min="42" max="42" width="12" customWidth="1"/>
    <col min="43" max="57" width="10" customWidth="1"/>
  </cols>
  <sheetData>
    <row r="1" ht="18" spans="1:48">
      <c r="A1" s="939" t="s">
        <v>317</v>
      </c>
      <c r="B1" s="939"/>
      <c r="C1" s="939"/>
      <c r="D1" s="939"/>
      <c r="E1" s="939"/>
      <c r="F1" s="939"/>
      <c r="G1" s="939"/>
      <c r="H1" s="939"/>
      <c r="I1" s="939"/>
      <c r="J1" s="939"/>
      <c r="K1" s="939"/>
      <c r="L1" s="939"/>
      <c r="M1" s="939"/>
      <c r="N1" s="939"/>
      <c r="O1" s="939"/>
      <c r="P1" s="939"/>
      <c r="Q1" s="939"/>
      <c r="R1" s="939"/>
      <c r="S1" s="939"/>
      <c r="T1" s="939"/>
      <c r="U1" s="939"/>
      <c r="V1" s="939"/>
      <c r="W1" s="939"/>
      <c r="X1" s="939"/>
      <c r="Y1" s="939"/>
      <c r="Z1" s="939"/>
      <c r="AA1" s="939"/>
      <c r="AB1" s="939"/>
      <c r="AC1" s="939"/>
      <c r="AD1" s="939"/>
      <c r="AE1" s="939"/>
      <c r="AF1" s="939"/>
      <c r="AG1" s="939"/>
      <c r="AH1" s="939"/>
      <c r="AI1" s="939"/>
      <c r="AJ1" s="939"/>
      <c r="AK1" s="939"/>
      <c r="AL1" s="939"/>
      <c r="AM1" s="939"/>
      <c r="AN1" s="939"/>
      <c r="AO1" s="939"/>
      <c r="AP1" s="939"/>
      <c r="AQ1" s="939"/>
      <c r="AR1" s="939"/>
      <c r="AS1" s="939"/>
      <c r="AT1" s="939"/>
      <c r="AU1" s="939"/>
      <c r="AV1" s="939"/>
    </row>
    <row r="2" ht="15" spans="1:40">
      <c r="A2" s="940" t="s">
        <v>51</v>
      </c>
      <c r="B2" s="941">
        <v>45748</v>
      </c>
      <c r="C2" s="942"/>
      <c r="D2" s="943"/>
      <c r="E2" s="941">
        <v>45778</v>
      </c>
      <c r="F2" s="942"/>
      <c r="G2" s="943"/>
      <c r="H2" s="942">
        <v>45809</v>
      </c>
      <c r="I2" s="942"/>
      <c r="J2" s="942"/>
      <c r="K2" s="941">
        <v>45839</v>
      </c>
      <c r="L2" s="942"/>
      <c r="M2" s="943"/>
      <c r="N2" s="942">
        <v>45870</v>
      </c>
      <c r="O2" s="942"/>
      <c r="P2" s="942"/>
      <c r="Q2" s="941">
        <v>45901</v>
      </c>
      <c r="R2" s="942"/>
      <c r="S2" s="943"/>
      <c r="T2" s="942">
        <v>45931</v>
      </c>
      <c r="U2" s="942"/>
      <c r="V2" s="942"/>
      <c r="W2" s="941">
        <v>45962</v>
      </c>
      <c r="X2" s="942"/>
      <c r="Y2" s="943"/>
      <c r="Z2" s="942">
        <v>45992</v>
      </c>
      <c r="AA2" s="942"/>
      <c r="AB2" s="942"/>
      <c r="AC2" s="941">
        <v>46023</v>
      </c>
      <c r="AD2" s="942"/>
      <c r="AE2" s="943"/>
      <c r="AF2" s="942">
        <v>46054</v>
      </c>
      <c r="AG2" s="942"/>
      <c r="AH2" s="942"/>
      <c r="AI2" s="941">
        <v>46082</v>
      </c>
      <c r="AJ2" s="942"/>
      <c r="AK2" s="943"/>
      <c r="AL2" s="940" t="s">
        <v>52</v>
      </c>
      <c r="AM2" s="1155"/>
      <c r="AN2" s="1156"/>
    </row>
    <row r="3" ht="15" spans="1:40">
      <c r="A3" s="944" t="s">
        <v>32</v>
      </c>
      <c r="B3" s="945"/>
      <c r="C3" s="946"/>
      <c r="D3" s="947"/>
      <c r="E3" s="945"/>
      <c r="F3" s="946"/>
      <c r="G3" s="947"/>
      <c r="H3" s="946"/>
      <c r="I3" s="946"/>
      <c r="J3" s="946"/>
      <c r="K3" s="945"/>
      <c r="L3" s="946"/>
      <c r="M3" s="947"/>
      <c r="N3" s="946"/>
      <c r="O3" s="946"/>
      <c r="P3" s="946"/>
      <c r="Q3" s="945"/>
      <c r="R3" s="946"/>
      <c r="S3" s="947"/>
      <c r="T3" s="946"/>
      <c r="U3" s="946"/>
      <c r="V3" s="946"/>
      <c r="W3" s="945"/>
      <c r="X3" s="946"/>
      <c r="Y3" s="947"/>
      <c r="Z3" s="946"/>
      <c r="AA3" s="946"/>
      <c r="AB3" s="946"/>
      <c r="AC3" s="945"/>
      <c r="AD3" s="946"/>
      <c r="AE3" s="947"/>
      <c r="AF3" s="946"/>
      <c r="AG3" s="946"/>
      <c r="AH3" s="946"/>
      <c r="AI3" s="945"/>
      <c r="AJ3" s="946"/>
      <c r="AK3" s="947"/>
      <c r="AL3" s="1013"/>
      <c r="AM3" s="726"/>
      <c r="AN3" s="947"/>
    </row>
    <row r="4" spans="1:40">
      <c r="A4" s="948" t="s">
        <v>319</v>
      </c>
      <c r="B4" s="949">
        <v>195845</v>
      </c>
      <c r="C4" s="950">
        <f>'Stock Valuation (FIFO)'!D5</f>
        <v>19719497</v>
      </c>
      <c r="D4" s="951">
        <f t="shared" ref="D4:D9" si="0">IF(B4=0,0,C4/B4)</f>
        <v>100.689305317981</v>
      </c>
      <c r="E4" s="949">
        <f>B8</f>
        <v>180315</v>
      </c>
      <c r="F4" s="1040">
        <f>C8</f>
        <v>17959508</v>
      </c>
      <c r="G4" s="951">
        <f t="shared" ref="G4:G9" si="1">IF(E4=0,0,F4/E4)</f>
        <v>99.6007431439426</v>
      </c>
      <c r="H4" s="1041">
        <f>E8</f>
        <v>147410</v>
      </c>
      <c r="I4" s="1040">
        <f>F8</f>
        <v>14370841</v>
      </c>
      <c r="J4" s="1079">
        <f t="shared" ref="J4:J9" si="2">IF(H4=0,0,I4/H4)</f>
        <v>97.4889152703344</v>
      </c>
      <c r="K4" s="949">
        <f>H8</f>
        <v>164125</v>
      </c>
      <c r="L4" s="1040">
        <f>I8</f>
        <v>15975664</v>
      </c>
      <c r="M4" s="951">
        <f t="shared" ref="M4:M9" si="3">IF(K4=0,0,L4/K4)</f>
        <v>97.3383945163747</v>
      </c>
      <c r="N4" s="1041">
        <f>K8</f>
        <v>146140</v>
      </c>
      <c r="O4" s="1040">
        <f>L8</f>
        <v>14531859</v>
      </c>
      <c r="P4" s="951">
        <f>IF(N4=0,0,O4/N4)</f>
        <v>99.4379293827836</v>
      </c>
      <c r="Q4" s="949">
        <f>N8</f>
        <v>187620</v>
      </c>
      <c r="R4" s="1112"/>
      <c r="S4" s="1113"/>
      <c r="T4" s="1041">
        <f>Q8</f>
        <v>114680</v>
      </c>
      <c r="U4" s="1141"/>
      <c r="V4" s="1142"/>
      <c r="W4" s="1143">
        <f>T8</f>
        <v>114680</v>
      </c>
      <c r="X4" s="1141"/>
      <c r="Y4" s="1153"/>
      <c r="Z4" s="1154">
        <f>W8</f>
        <v>114680</v>
      </c>
      <c r="AA4" s="1141"/>
      <c r="AB4" s="1142"/>
      <c r="AC4" s="1143">
        <f>Z8</f>
        <v>114680</v>
      </c>
      <c r="AD4" s="1141"/>
      <c r="AE4" s="1153"/>
      <c r="AF4" s="1154">
        <f>AC8</f>
        <v>114680</v>
      </c>
      <c r="AG4" s="1141"/>
      <c r="AH4" s="1142"/>
      <c r="AI4" s="1143">
        <f>AF8</f>
        <v>114680</v>
      </c>
      <c r="AJ4" s="1142"/>
      <c r="AK4" s="1153"/>
      <c r="AL4" s="948">
        <f>B4</f>
        <v>195845</v>
      </c>
      <c r="AM4" s="1157">
        <f>C4</f>
        <v>19719497</v>
      </c>
      <c r="AN4" s="1158">
        <f t="shared" ref="AN4:AN9" si="4">IF(AL4=0,0,AM4/AL4)</f>
        <v>100.689305317981</v>
      </c>
    </row>
    <row r="5" spans="1:40">
      <c r="A5" s="952" t="s">
        <v>320</v>
      </c>
      <c r="B5" s="953">
        <f>Purchase!$B5</f>
        <v>101000</v>
      </c>
      <c r="C5" s="954">
        <f>Purchase!$C5-Purchase!$N5</f>
        <v>9166994</v>
      </c>
      <c r="D5" s="955">
        <f t="shared" si="0"/>
        <v>90.7623168316832</v>
      </c>
      <c r="E5" s="953">
        <f>Purchase!$B6</f>
        <v>57000</v>
      </c>
      <c r="F5" s="954">
        <f>Purchase!C6-Purchase!N6</f>
        <v>5194506</v>
      </c>
      <c r="G5" s="955">
        <f t="shared" si="1"/>
        <v>91.1316842105263</v>
      </c>
      <c r="H5" s="953">
        <f>Purchase!$B7</f>
        <v>151000</v>
      </c>
      <c r="I5" s="954">
        <f>Purchase!$C7-Purchase!$N7</f>
        <v>14573508</v>
      </c>
      <c r="J5" s="1080">
        <f t="shared" si="2"/>
        <v>96.513298013245</v>
      </c>
      <c r="K5" s="953">
        <f>Purchase!$B8</f>
        <v>137000</v>
      </c>
      <c r="L5" s="954">
        <f>Purchase!$C8-Purchase!$N8</f>
        <v>12607075</v>
      </c>
      <c r="M5" s="955">
        <f t="shared" si="3"/>
        <v>92.0224452554745</v>
      </c>
      <c r="N5" s="953">
        <f>Purchase!$B9</f>
        <v>174000</v>
      </c>
      <c r="O5" s="954">
        <f>Purchase!$C9-Purchase!$N9</f>
        <v>17442085</v>
      </c>
      <c r="P5" s="955">
        <f>IF(N5=0,0,O5/N5)</f>
        <v>100.241867816092</v>
      </c>
      <c r="Q5" s="953">
        <v>37000</v>
      </c>
      <c r="R5" s="1105"/>
      <c r="S5" s="1114"/>
      <c r="T5" s="1054"/>
      <c r="U5" s="1105"/>
      <c r="V5" s="1106"/>
      <c r="W5" s="953"/>
      <c r="X5" s="1105"/>
      <c r="Y5" s="1114"/>
      <c r="Z5" s="1054"/>
      <c r="AA5" s="1105"/>
      <c r="AB5" s="1106"/>
      <c r="AC5" s="953"/>
      <c r="AD5" s="1105"/>
      <c r="AE5" s="1114"/>
      <c r="AF5" s="1054"/>
      <c r="AG5" s="1105"/>
      <c r="AH5" s="1106"/>
      <c r="AI5" s="953"/>
      <c r="AJ5" s="1106"/>
      <c r="AK5" s="1114"/>
      <c r="AL5" s="952">
        <f t="shared" ref="AL5:AM7" si="5">SUM(B5,E5,H5,K5,N5,Q5,T5,W5,Z5,AC5,AF5,AI5)</f>
        <v>657000</v>
      </c>
      <c r="AM5" s="1159">
        <f t="shared" si="5"/>
        <v>58984168</v>
      </c>
      <c r="AN5" s="955">
        <f t="shared" si="4"/>
        <v>89.7780334855403</v>
      </c>
    </row>
    <row r="6" ht="14.25" spans="1:40">
      <c r="A6" s="956" t="s">
        <v>326</v>
      </c>
      <c r="B6" s="957"/>
      <c r="C6" s="958"/>
      <c r="D6" s="959">
        <f t="shared" si="0"/>
        <v>0</v>
      </c>
      <c r="E6" s="957"/>
      <c r="F6" s="1042"/>
      <c r="G6" s="959">
        <f t="shared" si="1"/>
        <v>0</v>
      </c>
      <c r="H6" s="1043"/>
      <c r="I6" s="1081"/>
      <c r="J6" s="1082">
        <f t="shared" si="2"/>
        <v>0</v>
      </c>
      <c r="K6" s="957"/>
      <c r="L6" s="1081"/>
      <c r="M6" s="959">
        <f t="shared" si="3"/>
        <v>0</v>
      </c>
      <c r="N6" s="1043"/>
      <c r="O6" s="1081"/>
      <c r="P6" s="1098"/>
      <c r="Q6" s="957"/>
      <c r="R6" s="1081"/>
      <c r="S6" s="1115"/>
      <c r="T6" s="1043"/>
      <c r="U6" s="1081"/>
      <c r="V6" s="1098"/>
      <c r="W6" s="957"/>
      <c r="X6" s="1081"/>
      <c r="Y6" s="1115"/>
      <c r="Z6" s="1043"/>
      <c r="AA6" s="1081"/>
      <c r="AB6" s="1098"/>
      <c r="AC6" s="957"/>
      <c r="AD6" s="1081"/>
      <c r="AE6" s="1115"/>
      <c r="AF6" s="1043"/>
      <c r="AG6" s="1081"/>
      <c r="AH6" s="1098"/>
      <c r="AI6" s="957"/>
      <c r="AJ6" s="1098"/>
      <c r="AK6" s="1115"/>
      <c r="AL6" s="956">
        <f t="shared" si="5"/>
        <v>0</v>
      </c>
      <c r="AM6" s="1160">
        <f t="shared" si="5"/>
        <v>0</v>
      </c>
      <c r="AN6" s="959">
        <f t="shared" si="4"/>
        <v>0</v>
      </c>
    </row>
    <row r="7" ht="14.25" spans="1:40">
      <c r="A7" s="960" t="s">
        <v>323</v>
      </c>
      <c r="B7" s="961">
        <v>40000</v>
      </c>
      <c r="C7" s="962">
        <f>'Inventory Sales'!D25</f>
        <v>3988000</v>
      </c>
      <c r="D7" s="963">
        <f t="shared" si="0"/>
        <v>99.7</v>
      </c>
      <c r="E7" s="961">
        <v>14000</v>
      </c>
      <c r="F7" s="1021">
        <f>'Inventory Sales'!G$42</f>
        <v>1387820</v>
      </c>
      <c r="G7" s="963">
        <f t="shared" si="1"/>
        <v>99.13</v>
      </c>
      <c r="H7" s="1044">
        <v>51000</v>
      </c>
      <c r="I7" s="1021">
        <f>'Inventory Sales'!J$42</f>
        <v>4768500</v>
      </c>
      <c r="J7" s="1083">
        <f t="shared" si="2"/>
        <v>93.5</v>
      </c>
      <c r="K7" s="961">
        <v>55000</v>
      </c>
      <c r="L7" s="1021">
        <f>'Inventory Sales'!M$42</f>
        <v>5207400</v>
      </c>
      <c r="M7" s="963">
        <f t="shared" si="3"/>
        <v>94.68</v>
      </c>
      <c r="N7" s="1044">
        <v>58000</v>
      </c>
      <c r="O7" s="1021">
        <f>'Inventory Sales'!P$42</f>
        <v>5541320</v>
      </c>
      <c r="P7" s="963">
        <f>IF(N7=0,0,O7/N7)</f>
        <v>95.54</v>
      </c>
      <c r="Q7" s="961">
        <v>31000</v>
      </c>
      <c r="R7" s="1109"/>
      <c r="S7" s="1116"/>
      <c r="T7" s="1044"/>
      <c r="U7" s="1109"/>
      <c r="V7" s="1110"/>
      <c r="W7" s="961"/>
      <c r="X7" s="1109"/>
      <c r="Y7" s="1116"/>
      <c r="Z7" s="1044"/>
      <c r="AA7" s="1109"/>
      <c r="AB7" s="1110"/>
      <c r="AC7" s="961"/>
      <c r="AD7" s="1109"/>
      <c r="AE7" s="1116"/>
      <c r="AF7" s="1044"/>
      <c r="AG7" s="1109"/>
      <c r="AH7" s="1110"/>
      <c r="AI7" s="961"/>
      <c r="AJ7" s="1110"/>
      <c r="AK7" s="1116"/>
      <c r="AL7" s="952">
        <f t="shared" si="5"/>
        <v>249000</v>
      </c>
      <c r="AM7" s="1161">
        <f t="shared" si="5"/>
        <v>20893040</v>
      </c>
      <c r="AN7" s="1162">
        <f t="shared" si="4"/>
        <v>83.9077911646586</v>
      </c>
    </row>
    <row r="8" ht="15" spans="1:42">
      <c r="A8" s="964" t="s">
        <v>324</v>
      </c>
      <c r="B8" s="965">
        <f>'Stock Valuation (FIFO)'!E5</f>
        <v>180315</v>
      </c>
      <c r="C8" s="966">
        <f>'Stock Valuation (FIFO)'!G5</f>
        <v>17959508</v>
      </c>
      <c r="D8" s="967">
        <f t="shared" si="0"/>
        <v>99.6007431439426</v>
      </c>
      <c r="E8" s="965">
        <f>'Stock Valuation (FIFO)'!H5</f>
        <v>147410</v>
      </c>
      <c r="F8" s="1045">
        <f>'Stock Valuation (FIFO)'!J5</f>
        <v>14370841</v>
      </c>
      <c r="G8" s="967">
        <f t="shared" si="1"/>
        <v>97.4889152703344</v>
      </c>
      <c r="H8" s="965">
        <f>'Stock Valuation (FIFO)'!K5</f>
        <v>164125</v>
      </c>
      <c r="I8" s="966">
        <f>'Stock Valuation (FIFO)'!M5</f>
        <v>15975664</v>
      </c>
      <c r="J8" s="1084">
        <f t="shared" si="2"/>
        <v>97.3383945163747</v>
      </c>
      <c r="K8" s="965">
        <f>'Stock Valuation (FIFO)'!N5</f>
        <v>146140</v>
      </c>
      <c r="L8" s="966">
        <f>'Stock Valuation (FIFO)'!P5</f>
        <v>14531859</v>
      </c>
      <c r="M8" s="967">
        <f t="shared" si="3"/>
        <v>99.4379293827836</v>
      </c>
      <c r="N8" s="1077">
        <f>'Stock Valuation (FIFO)'!Q5</f>
        <v>187620</v>
      </c>
      <c r="O8" s="966">
        <f>'Stock Valuation (FIFO)'!S5</f>
        <v>18987861</v>
      </c>
      <c r="P8" s="967">
        <f>IF(N8=0,0,O8/N8)</f>
        <v>101.203821554205</v>
      </c>
      <c r="Q8" s="965">
        <f>(Q4+Q5+Q6)-(Q13+Q7)</f>
        <v>114680</v>
      </c>
      <c r="R8" s="1091"/>
      <c r="S8" s="1117"/>
      <c r="T8" s="1077">
        <f>(T4+T5+T6)-(T13+T7)</f>
        <v>114680</v>
      </c>
      <c r="U8" s="1091"/>
      <c r="V8" s="1144"/>
      <c r="W8" s="965">
        <f>(W4+W5+W6)-(W13+W7)</f>
        <v>114680</v>
      </c>
      <c r="X8" s="1091"/>
      <c r="Y8" s="1117"/>
      <c r="Z8" s="1077">
        <f>(Z4+Z5+Z6)-(Z13+Z7)</f>
        <v>114680</v>
      </c>
      <c r="AA8" s="1091"/>
      <c r="AB8" s="1144"/>
      <c r="AC8" s="965">
        <f>(AC4+AC5+AC6)-(AC13+AC7)</f>
        <v>114680</v>
      </c>
      <c r="AD8" s="1091"/>
      <c r="AE8" s="1117"/>
      <c r="AF8" s="1077">
        <f>(AF4+AF5+AF6)-(AF13+AF7)</f>
        <v>114680</v>
      </c>
      <c r="AG8" s="1091"/>
      <c r="AH8" s="1144"/>
      <c r="AI8" s="965">
        <f>(AI4+AI5+AI6)-(AI13+AI7)</f>
        <v>114680</v>
      </c>
      <c r="AJ8" s="1144"/>
      <c r="AK8" s="1117"/>
      <c r="AL8" s="1163">
        <f>N8</f>
        <v>187620</v>
      </c>
      <c r="AM8" s="1164">
        <f>O8</f>
        <v>18987861</v>
      </c>
      <c r="AN8" s="1165">
        <f t="shared" si="4"/>
        <v>101.203821554205</v>
      </c>
      <c r="AP8" s="97">
        <f>AM8+AM21+AM33+AM7</f>
        <v>40736891</v>
      </c>
    </row>
    <row r="9" spans="1:40">
      <c r="A9" s="968" t="s">
        <v>322</v>
      </c>
      <c r="B9" s="969"/>
      <c r="C9" s="970"/>
      <c r="D9" s="971">
        <f t="shared" si="0"/>
        <v>0</v>
      </c>
      <c r="E9" s="969"/>
      <c r="F9" s="1046"/>
      <c r="G9" s="971">
        <f t="shared" si="1"/>
        <v>0</v>
      </c>
      <c r="H9" s="1047"/>
      <c r="I9" s="1085"/>
      <c r="J9" s="1086">
        <f t="shared" si="2"/>
        <v>0</v>
      </c>
      <c r="K9" s="969"/>
      <c r="L9" s="1085"/>
      <c r="M9" s="971">
        <f t="shared" si="3"/>
        <v>0</v>
      </c>
      <c r="N9" s="1047"/>
      <c r="O9" s="1085"/>
      <c r="P9" s="1093"/>
      <c r="Q9" s="969"/>
      <c r="R9" s="1085"/>
      <c r="S9" s="1024"/>
      <c r="T9" s="1047"/>
      <c r="U9" s="1085"/>
      <c r="V9" s="1093"/>
      <c r="W9" s="969"/>
      <c r="X9" s="1085"/>
      <c r="Y9" s="1024"/>
      <c r="Z9" s="1047"/>
      <c r="AA9" s="1085"/>
      <c r="AB9" s="1093"/>
      <c r="AC9" s="969"/>
      <c r="AD9" s="1085"/>
      <c r="AE9" s="1024"/>
      <c r="AF9" s="1047"/>
      <c r="AG9" s="1085"/>
      <c r="AH9" s="1093"/>
      <c r="AI9" s="969"/>
      <c r="AJ9" s="1093"/>
      <c r="AK9" s="1024"/>
      <c r="AL9" s="968">
        <f>SUM(B9,E9,H9,K9,N9,Q9,T9,W9,Z9,AC9,AF9,AI9)</f>
        <v>0</v>
      </c>
      <c r="AM9" s="1161">
        <f>SUM(C9,F9,I9,L9,O9,R9,U9,X9,AA9,AD9,AG9,AJ9)</f>
        <v>0</v>
      </c>
      <c r="AN9" s="971">
        <f t="shared" si="4"/>
        <v>0</v>
      </c>
    </row>
    <row r="10" spans="1:40">
      <c r="A10" s="952" t="s">
        <v>695</v>
      </c>
      <c r="B10" s="953">
        <f>(B4+B5)-(B7+B8)</f>
        <v>76530</v>
      </c>
      <c r="C10" s="972">
        <f>(C4+C5)-(C7+C8)</f>
        <v>6938983</v>
      </c>
      <c r="D10" s="955">
        <f>IF(B10=0,0,C13/B10)</f>
        <v>377.453168692016</v>
      </c>
      <c r="E10" s="953">
        <f>(E4+E5)-(E7+E8)</f>
        <v>75905</v>
      </c>
      <c r="F10" s="972">
        <f>(F4+F5)-(F7+F8)</f>
        <v>7395353</v>
      </c>
      <c r="G10" s="955">
        <f>IF(E10=0,0,F13/E10)</f>
        <v>305.039378170081</v>
      </c>
      <c r="H10" s="953">
        <f>(H4+H5)-(H7+H8)</f>
        <v>83285</v>
      </c>
      <c r="I10" s="972">
        <f>(I4+I5)-(I7+I8)</f>
        <v>8200185</v>
      </c>
      <c r="J10" s="1080">
        <f>IF(H10=0,0,I13/H10)</f>
        <v>347.533757579396</v>
      </c>
      <c r="K10" s="953">
        <f>(K4+K5)-(K7+K8)</f>
        <v>99985</v>
      </c>
      <c r="L10" s="972">
        <f>(L4+L5)-(L7+L8)</f>
        <v>8843480</v>
      </c>
      <c r="M10" s="955">
        <f>IF(K10=0,0,L13/K10)</f>
        <v>285.870270540581</v>
      </c>
      <c r="N10" s="953">
        <f>(N4+N5)-(N7+N8)</f>
        <v>74520</v>
      </c>
      <c r="O10" s="972">
        <f>(O4+O5)-(O7+O8)</f>
        <v>7444763</v>
      </c>
      <c r="P10" s="955">
        <f>IF(N10=0,0,O13/N10)</f>
        <v>429.06527106817</v>
      </c>
      <c r="Q10" s="1118">
        <v>78940</v>
      </c>
      <c r="R10" s="1119"/>
      <c r="S10" s="1120"/>
      <c r="T10" s="1121"/>
      <c r="U10" s="1119"/>
      <c r="V10" s="1145"/>
      <c r="W10" s="1118"/>
      <c r="X10" s="1119"/>
      <c r="Y10" s="1120"/>
      <c r="Z10" s="1121"/>
      <c r="AA10" s="1119"/>
      <c r="AB10" s="1145"/>
      <c r="AC10" s="1118"/>
      <c r="AD10" s="1119"/>
      <c r="AE10" s="1120"/>
      <c r="AF10" s="1121"/>
      <c r="AG10" s="1119"/>
      <c r="AH10" s="1145"/>
      <c r="AI10" s="1118"/>
      <c r="AJ10" s="1145"/>
      <c r="AK10" s="1120"/>
      <c r="AL10" s="953">
        <f>(AL4+AL5)-(AL7+AL8)</f>
        <v>416225</v>
      </c>
      <c r="AM10" s="972">
        <f>(AM4+AM5)-(AM7+AM8)</f>
        <v>38822764</v>
      </c>
      <c r="AN10" s="955">
        <f>IF(AL10=0,0,AM13/AL10)</f>
        <v>93.2735035137245</v>
      </c>
    </row>
    <row r="11" spans="1:40">
      <c r="A11" s="973" t="s">
        <v>696</v>
      </c>
      <c r="B11" s="974"/>
      <c r="C11" s="975"/>
      <c r="D11" s="955">
        <f>IF(B11=0,0,C11/B11)</f>
        <v>0</v>
      </c>
      <c r="E11" s="974"/>
      <c r="F11" s="1048"/>
      <c r="G11" s="955">
        <f>IF(E11=0,0,F11/E11)</f>
        <v>0</v>
      </c>
      <c r="H11" s="1049"/>
      <c r="I11" s="1048"/>
      <c r="J11" s="1080">
        <f>IF(H11=0,0,I11/H11)</f>
        <v>0</v>
      </c>
      <c r="K11" s="974"/>
      <c r="L11" s="1048"/>
      <c r="M11" s="955">
        <f>IF(K11=0,0,L11/K11)</f>
        <v>0</v>
      </c>
      <c r="N11" s="1049"/>
      <c r="O11" s="1099"/>
      <c r="P11" s="1100"/>
      <c r="Q11" s="974"/>
      <c r="R11" s="1099"/>
      <c r="S11" s="1122"/>
      <c r="T11" s="1049"/>
      <c r="U11" s="1099"/>
      <c r="V11" s="1100"/>
      <c r="W11" s="974"/>
      <c r="X11" s="1099"/>
      <c r="Y11" s="1122"/>
      <c r="Z11" s="1049"/>
      <c r="AA11" s="1099"/>
      <c r="AB11" s="1100"/>
      <c r="AC11" s="974"/>
      <c r="AD11" s="1099"/>
      <c r="AE11" s="1122"/>
      <c r="AF11" s="1049"/>
      <c r="AG11" s="1099"/>
      <c r="AH11" s="1100"/>
      <c r="AI11" s="974"/>
      <c r="AJ11" s="1100"/>
      <c r="AK11" s="1122"/>
      <c r="AL11" s="952">
        <f>SUM(B11,E11,H11,K11,N11,Q11,T11,W11,Z11,AC11,AF11,AI11)</f>
        <v>0</v>
      </c>
      <c r="AM11" s="1159">
        <f>SUM(C11,F11,I11,L11,O11,R11,U11,X11,AA11,AD11,AG11,AJ11)</f>
        <v>0</v>
      </c>
      <c r="AN11" s="955">
        <f>IF(AL11=0,0,AM11/AL11)</f>
        <v>0</v>
      </c>
    </row>
    <row r="12" ht="14.25" spans="1:40">
      <c r="A12" s="973" t="s">
        <v>697</v>
      </c>
      <c r="B12" s="974"/>
      <c r="C12" s="976"/>
      <c r="D12" s="977">
        <f>IF(B12=0,0,C12/B12)</f>
        <v>0</v>
      </c>
      <c r="E12" s="974"/>
      <c r="F12" s="1050"/>
      <c r="G12" s="977">
        <f>IF(E12=0,0,F12/E12)</f>
        <v>0</v>
      </c>
      <c r="H12" s="1049"/>
      <c r="I12" s="1050"/>
      <c r="J12" s="970">
        <f>IF(H12=0,0,I12/H12)</f>
        <v>0</v>
      </c>
      <c r="K12" s="974"/>
      <c r="L12" s="1050"/>
      <c r="M12" s="977">
        <f>IF(K12=0,0,L12/K12)</f>
        <v>0</v>
      </c>
      <c r="N12" s="1049"/>
      <c r="O12" s="1099"/>
      <c r="P12" s="1100"/>
      <c r="Q12" s="974"/>
      <c r="R12" s="1099"/>
      <c r="S12" s="1122"/>
      <c r="T12" s="1049"/>
      <c r="U12" s="1099"/>
      <c r="V12" s="1100"/>
      <c r="W12" s="974"/>
      <c r="X12" s="1099"/>
      <c r="Y12" s="1122"/>
      <c r="Z12" s="1049"/>
      <c r="AA12" s="1099"/>
      <c r="AB12" s="1100"/>
      <c r="AC12" s="974"/>
      <c r="AD12" s="1099"/>
      <c r="AE12" s="1122"/>
      <c r="AF12" s="1049"/>
      <c r="AG12" s="1099"/>
      <c r="AH12" s="1100"/>
      <c r="AI12" s="974"/>
      <c r="AJ12" s="1100"/>
      <c r="AK12" s="1122"/>
      <c r="AL12" s="952">
        <f>SUM(B12,E12,H12,K12,N12,Q12,T12,W12,Z12,AC12,AF12,AI12)</f>
        <v>0</v>
      </c>
      <c r="AM12" s="1166">
        <f>SUM(C12,F12,I12,L12,O12,R12,U12,X12,AA12,AD12,AG12,AJ12)</f>
        <v>0</v>
      </c>
      <c r="AN12" s="1167">
        <f>IF(AL12=0,0,AM12/AL12)</f>
        <v>0</v>
      </c>
    </row>
    <row r="13" ht="14.25" spans="1:40">
      <c r="A13" s="978"/>
      <c r="B13" s="979">
        <f>SUM(B10:B12)</f>
        <v>76530</v>
      </c>
      <c r="C13" s="980">
        <f>ROUND((SUM(C4:C9)-SUM(C7:C8)),0)</f>
        <v>28886491</v>
      </c>
      <c r="D13" s="981">
        <f>IF(B13=0,0,C13/B13)</f>
        <v>377.453168692016</v>
      </c>
      <c r="E13" s="1051">
        <f>SUM(E10:E12)</f>
        <v>75905</v>
      </c>
      <c r="F13" s="980">
        <f>ROUND((SUM(F4:F9)-SUM(F7:F8)),0)</f>
        <v>23154014</v>
      </c>
      <c r="G13" s="981">
        <f>IF(E13=0,0,F13/E13)</f>
        <v>305.039378170081</v>
      </c>
      <c r="H13" s="1052">
        <f>SUM(H9:H12)</f>
        <v>83285</v>
      </c>
      <c r="I13" s="980">
        <f>ROUND((SUM(I4:I9)-SUM(I7:I8)),0)</f>
        <v>28944349</v>
      </c>
      <c r="J13" s="1087">
        <f>IF(H13=0,0,I13/H13)</f>
        <v>347.533757579396</v>
      </c>
      <c r="K13" s="979">
        <f>SUM(K9:K12)</f>
        <v>99985</v>
      </c>
      <c r="L13" s="980">
        <f>ROUND((SUM(L4:L9)-SUM(L7:L8)),0)</f>
        <v>28582739</v>
      </c>
      <c r="M13" s="981">
        <f>IF(K13=0,0,L13/K13)</f>
        <v>285.870270540581</v>
      </c>
      <c r="N13" s="1052">
        <f>SUM(N9:N12)</f>
        <v>74520</v>
      </c>
      <c r="O13" s="980">
        <f>ROUND((SUM(O4:O9)-SUM(O7:O8)),0)</f>
        <v>31973944</v>
      </c>
      <c r="P13" s="981">
        <f>IF(N13=0,0,O13/N13)</f>
        <v>429.06527106817</v>
      </c>
      <c r="Q13" s="979">
        <f>SUM(Q9:Q12)</f>
        <v>78940</v>
      </c>
      <c r="R13" s="1123"/>
      <c r="S13" s="1124"/>
      <c r="T13" s="1052">
        <f>SUM(T9:T12)</f>
        <v>0</v>
      </c>
      <c r="U13" s="1123"/>
      <c r="V13" s="1146"/>
      <c r="W13" s="979">
        <f>SUM(W9:W12)</f>
        <v>0</v>
      </c>
      <c r="X13" s="1123"/>
      <c r="Y13" s="1124"/>
      <c r="Z13" s="1052">
        <f>SUM(Z9:Z12)</f>
        <v>0</v>
      </c>
      <c r="AA13" s="1123"/>
      <c r="AB13" s="1146"/>
      <c r="AC13" s="979">
        <f>SUM(AC10:AC12)</f>
        <v>0</v>
      </c>
      <c r="AD13" s="1123"/>
      <c r="AE13" s="1124"/>
      <c r="AF13" s="1052">
        <f>SUM(AF10:AF12)</f>
        <v>0</v>
      </c>
      <c r="AG13" s="1123"/>
      <c r="AH13" s="1146"/>
      <c r="AI13" s="979">
        <f>SUM(AI10:AI12)</f>
        <v>0</v>
      </c>
      <c r="AJ13" s="1146"/>
      <c r="AK13" s="1124"/>
      <c r="AL13" s="964">
        <f>SUM(AL10:AL12)</f>
        <v>416225</v>
      </c>
      <c r="AM13" s="1168">
        <f>SUM(AM10:AM12)</f>
        <v>38822764</v>
      </c>
      <c r="AN13" s="1169">
        <f>IF(AL13=0,0,AM13/AL13)</f>
        <v>93.2735035137245</v>
      </c>
    </row>
    <row r="14" spans="1:40">
      <c r="A14" s="982" t="s">
        <v>698</v>
      </c>
      <c r="C14" s="938">
        <f>'Inventory Sales'!D42</f>
        <v>3809200</v>
      </c>
      <c r="D14" s="983">
        <f>IF(B7=0,0,C14/B7)</f>
        <v>95.23</v>
      </c>
      <c r="F14" s="938">
        <f>'Inventory Sales'!G42</f>
        <v>1387820</v>
      </c>
      <c r="G14" s="983">
        <f>IF(E7=0,0,F14/E7)</f>
        <v>99.13</v>
      </c>
      <c r="I14" s="938">
        <f>'Inventory Sales'!J42</f>
        <v>4768500</v>
      </c>
      <c r="J14" s="983">
        <f>IF(H7=0,0,I14/H7)</f>
        <v>93.5</v>
      </c>
      <c r="L14" s="938">
        <f>'Inventory Sales'!M42</f>
        <v>5207400</v>
      </c>
      <c r="M14" s="983">
        <f>IF(K7=0,0,L14/K7)</f>
        <v>94.68</v>
      </c>
      <c r="O14" s="938">
        <f>'Inventory Sales'!P42</f>
        <v>5541320</v>
      </c>
      <c r="P14" s="983">
        <f>IF(N7=0,0,O14/N7)</f>
        <v>95.54</v>
      </c>
      <c r="AM14" s="938">
        <f>'Inventory Sales'!AN42</f>
        <v>40189410</v>
      </c>
      <c r="AN14" s="983">
        <f>IF(AL7=0,0,AM14/AL7)</f>
        <v>161.403253012048</v>
      </c>
    </row>
    <row r="15" ht="14.25"/>
    <row r="16" ht="15" spans="1:40">
      <c r="A16" s="944" t="s">
        <v>33</v>
      </c>
      <c r="B16" s="945"/>
      <c r="C16" s="946"/>
      <c r="D16" s="947"/>
      <c r="E16" s="945"/>
      <c r="F16" s="946"/>
      <c r="G16" s="947"/>
      <c r="H16" s="946"/>
      <c r="I16" s="946"/>
      <c r="J16" s="946"/>
      <c r="K16" s="945"/>
      <c r="L16" s="946"/>
      <c r="M16" s="947"/>
      <c r="N16" s="946"/>
      <c r="O16" s="946"/>
      <c r="P16" s="946"/>
      <c r="Q16" s="945"/>
      <c r="R16" s="946"/>
      <c r="S16" s="947"/>
      <c r="T16" s="946"/>
      <c r="U16" s="946"/>
      <c r="V16" s="946"/>
      <c r="W16" s="945"/>
      <c r="X16" s="946"/>
      <c r="Y16" s="947"/>
      <c r="Z16" s="946"/>
      <c r="AA16" s="946"/>
      <c r="AB16" s="946"/>
      <c r="AC16" s="945"/>
      <c r="AD16" s="946"/>
      <c r="AE16" s="947"/>
      <c r="AF16" s="946"/>
      <c r="AG16" s="946"/>
      <c r="AH16" s="946"/>
      <c r="AI16" s="945"/>
      <c r="AJ16" s="946"/>
      <c r="AK16" s="947"/>
      <c r="AL16" s="945"/>
      <c r="AM16" s="180"/>
      <c r="AN16" s="1170"/>
    </row>
    <row r="17" spans="1:40">
      <c r="A17" s="968" t="s">
        <v>319</v>
      </c>
      <c r="B17" s="969">
        <v>1664</v>
      </c>
      <c r="C17" s="984">
        <f>'Stock Valuation (FIFO)'!D6</f>
        <v>372112</v>
      </c>
      <c r="D17" s="971">
        <f t="shared" ref="D17:D25" si="6">IF(B17=0,0,C17/B17)</f>
        <v>223.625</v>
      </c>
      <c r="E17" s="969">
        <f>B21</f>
        <v>2120</v>
      </c>
      <c r="F17" s="1053">
        <f>C21</f>
        <v>481968</v>
      </c>
      <c r="G17" s="971">
        <f t="shared" ref="G17:G25" si="7">IF(E17=0,0,F17/E17)</f>
        <v>227.343396226415</v>
      </c>
      <c r="H17" s="1047">
        <f>E21</f>
        <v>2294</v>
      </c>
      <c r="I17" s="1053">
        <f>F21</f>
        <v>572421</v>
      </c>
      <c r="J17" s="1086">
        <f t="shared" ref="J17:J25" si="8">IF(H17=0,0,I17/H17)</f>
        <v>249.529642545772</v>
      </c>
      <c r="K17" s="969">
        <f>H21</f>
        <v>2613</v>
      </c>
      <c r="L17" s="1053">
        <f>I21</f>
        <v>619274</v>
      </c>
      <c r="M17" s="971">
        <f t="shared" ref="M17:M25" si="9">IF(K17=0,0,L17/K17)</f>
        <v>236.997321086873</v>
      </c>
      <c r="N17" s="1047">
        <f>K21</f>
        <v>2769</v>
      </c>
      <c r="O17" s="1053">
        <f>L21</f>
        <v>732016</v>
      </c>
      <c r="P17" s="971">
        <f t="shared" ref="P17:P22" si="10">IF(N17=0,0,O17/N17)</f>
        <v>264.361141206212</v>
      </c>
      <c r="Q17" s="969">
        <f>N21</f>
        <v>3082</v>
      </c>
      <c r="R17" s="1085"/>
      <c r="S17" s="1024"/>
      <c r="T17" s="1047">
        <f>Q21</f>
        <v>2819</v>
      </c>
      <c r="U17" s="1085"/>
      <c r="V17" s="1093"/>
      <c r="W17" s="969">
        <f>T21</f>
        <v>2819</v>
      </c>
      <c r="X17" s="1085"/>
      <c r="Y17" s="1024"/>
      <c r="Z17" s="1047">
        <f>W21</f>
        <v>2819</v>
      </c>
      <c r="AA17" s="1085"/>
      <c r="AB17" s="1093"/>
      <c r="AC17" s="969">
        <f>Z21</f>
        <v>2819.2</v>
      </c>
      <c r="AD17" s="1085"/>
      <c r="AE17" s="1024"/>
      <c r="AF17" s="1047">
        <f>AC21</f>
        <v>2819.2</v>
      </c>
      <c r="AG17" s="1085"/>
      <c r="AH17" s="1093"/>
      <c r="AI17" s="969">
        <f>AF21</f>
        <v>2819.2</v>
      </c>
      <c r="AJ17" s="1093"/>
      <c r="AK17" s="1024"/>
      <c r="AL17" s="968">
        <f>B17</f>
        <v>1664</v>
      </c>
      <c r="AM17" s="1161">
        <f>C17</f>
        <v>372112</v>
      </c>
      <c r="AN17" s="971">
        <f t="shared" ref="AN17:AN25" si="11">IF(AL17=0,0,AM17/AL17)</f>
        <v>223.625</v>
      </c>
    </row>
    <row r="18" spans="1:40">
      <c r="A18" s="952" t="s">
        <v>320</v>
      </c>
      <c r="B18" s="953">
        <v>1521.6</v>
      </c>
      <c r="C18" s="985">
        <f>ROUND((Purchase!$F5),0)</f>
        <v>357458</v>
      </c>
      <c r="D18" s="955">
        <f t="shared" si="6"/>
        <v>234.922450052576</v>
      </c>
      <c r="E18" s="953">
        <v>1174.4</v>
      </c>
      <c r="F18" s="985">
        <f>Purchase!$F6</f>
        <v>300480.4</v>
      </c>
      <c r="G18" s="955">
        <f t="shared" si="7"/>
        <v>255.858651226158</v>
      </c>
      <c r="H18" s="1054">
        <v>1663.9</v>
      </c>
      <c r="I18" s="985">
        <f>Purchase!$F7</f>
        <v>391639</v>
      </c>
      <c r="J18" s="1080">
        <f t="shared" si="8"/>
        <v>235.374121040928</v>
      </c>
      <c r="K18" s="953">
        <v>1650</v>
      </c>
      <c r="L18" s="985">
        <f>Purchase!$F8</f>
        <v>431750</v>
      </c>
      <c r="M18" s="955">
        <f t="shared" si="9"/>
        <v>261.666666666667</v>
      </c>
      <c r="N18" s="1054">
        <v>1596.3</v>
      </c>
      <c r="O18" s="985">
        <f>Purchase!$F9</f>
        <v>420275.9</v>
      </c>
      <c r="P18" s="955">
        <f t="shared" si="10"/>
        <v>263.281275449477</v>
      </c>
      <c r="Q18" s="953">
        <v>844.1</v>
      </c>
      <c r="R18" s="1105"/>
      <c r="S18" s="1114"/>
      <c r="T18" s="1054"/>
      <c r="U18" s="1105"/>
      <c r="V18" s="1106"/>
      <c r="W18" s="953"/>
      <c r="X18" s="1105"/>
      <c r="Y18" s="1114"/>
      <c r="Z18" s="1054"/>
      <c r="AA18" s="1105"/>
      <c r="AB18" s="1106"/>
      <c r="AC18" s="953"/>
      <c r="AD18" s="1105"/>
      <c r="AE18" s="1114"/>
      <c r="AF18" s="1054"/>
      <c r="AG18" s="1105"/>
      <c r="AH18" s="1106"/>
      <c r="AI18" s="953"/>
      <c r="AJ18" s="1106"/>
      <c r="AK18" s="1114"/>
      <c r="AL18" s="952">
        <f t="shared" ref="AL18:AM20" si="12">SUM(B18,E18,H18,K18,N18,Q18,T18,W18,Z18,AC18,AF18,AI18)</f>
        <v>8450.3</v>
      </c>
      <c r="AM18" s="1159">
        <f t="shared" si="12"/>
        <v>1901603.3</v>
      </c>
      <c r="AN18" s="955">
        <f t="shared" si="11"/>
        <v>225.033821284451</v>
      </c>
    </row>
    <row r="19" ht="14.25" spans="1:40">
      <c r="A19" s="956" t="s">
        <v>322</v>
      </c>
      <c r="B19" s="957"/>
      <c r="C19" s="976"/>
      <c r="D19" s="986">
        <f t="shared" si="6"/>
        <v>0</v>
      </c>
      <c r="E19" s="957"/>
      <c r="F19" s="1055"/>
      <c r="G19" s="986">
        <f t="shared" si="7"/>
        <v>0</v>
      </c>
      <c r="H19" s="1043"/>
      <c r="I19" s="1081"/>
      <c r="J19" s="1088">
        <f t="shared" si="8"/>
        <v>0</v>
      </c>
      <c r="K19" s="957"/>
      <c r="L19" s="1081"/>
      <c r="M19" s="986">
        <f t="shared" si="9"/>
        <v>0</v>
      </c>
      <c r="N19" s="1043"/>
      <c r="O19" s="1081"/>
      <c r="P19" s="986">
        <f t="shared" si="10"/>
        <v>0</v>
      </c>
      <c r="Q19" s="957"/>
      <c r="R19" s="1081"/>
      <c r="S19" s="1115"/>
      <c r="T19" s="1043"/>
      <c r="U19" s="1081"/>
      <c r="V19" s="1098"/>
      <c r="W19" s="957"/>
      <c r="X19" s="1081"/>
      <c r="Y19" s="1115"/>
      <c r="Z19" s="1043"/>
      <c r="AA19" s="1081"/>
      <c r="AB19" s="1098"/>
      <c r="AC19" s="957"/>
      <c r="AD19" s="1081"/>
      <c r="AE19" s="1115"/>
      <c r="AF19" s="1043"/>
      <c r="AG19" s="1081"/>
      <c r="AH19" s="1098"/>
      <c r="AI19" s="957"/>
      <c r="AJ19" s="1098"/>
      <c r="AK19" s="1115"/>
      <c r="AL19" s="956">
        <f t="shared" si="12"/>
        <v>0</v>
      </c>
      <c r="AM19" s="1166">
        <f t="shared" si="12"/>
        <v>0</v>
      </c>
      <c r="AN19" s="959">
        <f t="shared" si="11"/>
        <v>0</v>
      </c>
    </row>
    <row r="20" ht="14.25" spans="1:40">
      <c r="A20" s="960" t="s">
        <v>323</v>
      </c>
      <c r="B20" s="961">
        <f>SUM('Inventory Sales'!B24)</f>
        <v>211</v>
      </c>
      <c r="C20" s="962">
        <f>SUM('Inventory Sales'!D24)</f>
        <v>65505</v>
      </c>
      <c r="D20" s="987">
        <f t="shared" si="6"/>
        <v>310.450236966825</v>
      </c>
      <c r="E20" s="961">
        <v>25</v>
      </c>
      <c r="F20" s="1021">
        <f>'Inventory Sales'!G24</f>
        <v>5000</v>
      </c>
      <c r="G20" s="987">
        <f t="shared" si="7"/>
        <v>200</v>
      </c>
      <c r="H20" s="1044">
        <v>228</v>
      </c>
      <c r="I20" s="962">
        <f>'Inventory Sales'!$J24</f>
        <v>67990</v>
      </c>
      <c r="J20" s="999">
        <f t="shared" si="8"/>
        <v>298.201754385965</v>
      </c>
      <c r="K20" s="961">
        <v>227</v>
      </c>
      <c r="L20" s="962">
        <f>'Inventory Sales'!$M24</f>
        <v>69160</v>
      </c>
      <c r="M20" s="987">
        <f t="shared" si="9"/>
        <v>304.669603524229</v>
      </c>
      <c r="N20" s="1044">
        <v>367</v>
      </c>
      <c r="O20" s="962">
        <f>'Inventory Sales'!$P24</f>
        <v>112010</v>
      </c>
      <c r="P20" s="987">
        <f t="shared" si="10"/>
        <v>305.204359673024</v>
      </c>
      <c r="Q20" s="961">
        <v>229</v>
      </c>
      <c r="R20" s="1109"/>
      <c r="S20" s="1116"/>
      <c r="T20" s="1044"/>
      <c r="U20" s="1109"/>
      <c r="V20" s="1110"/>
      <c r="W20" s="961"/>
      <c r="X20" s="1109"/>
      <c r="Y20" s="1116"/>
      <c r="Z20" s="1044"/>
      <c r="AA20" s="1109"/>
      <c r="AB20" s="1110"/>
      <c r="AC20" s="961"/>
      <c r="AD20" s="1109"/>
      <c r="AE20" s="1116"/>
      <c r="AF20" s="1044"/>
      <c r="AG20" s="1109"/>
      <c r="AH20" s="1110"/>
      <c r="AI20" s="961"/>
      <c r="AJ20" s="1110"/>
      <c r="AK20" s="1116"/>
      <c r="AL20" s="952">
        <f t="shared" si="12"/>
        <v>1287</v>
      </c>
      <c r="AM20" s="1161">
        <f t="shared" si="12"/>
        <v>319665</v>
      </c>
      <c r="AN20" s="1171">
        <f t="shared" si="11"/>
        <v>248.379953379953</v>
      </c>
    </row>
    <row r="21" ht="15" spans="1:40">
      <c r="A21" s="964" t="s">
        <v>324</v>
      </c>
      <c r="B21" s="965">
        <f>'Stock Valuation (FIFO)'!E6</f>
        <v>2120</v>
      </c>
      <c r="C21" s="966">
        <f>'Stock Valuation (FIFO)'!G6</f>
        <v>481968</v>
      </c>
      <c r="D21" s="967">
        <f t="shared" si="6"/>
        <v>227.343396226415</v>
      </c>
      <c r="E21" s="965">
        <f>'Stock Valuation (FIFO)'!H6</f>
        <v>2294</v>
      </c>
      <c r="F21" s="1045">
        <f>'Stock Valuation (FIFO)'!J6</f>
        <v>572421</v>
      </c>
      <c r="G21" s="967">
        <f t="shared" si="7"/>
        <v>249.529642545772</v>
      </c>
      <c r="H21" s="965">
        <f>'Stock Valuation (FIFO)'!K6</f>
        <v>2613</v>
      </c>
      <c r="I21" s="966">
        <f>'Stock Valuation (FIFO)'!M6</f>
        <v>619274</v>
      </c>
      <c r="J21" s="1084">
        <f t="shared" si="8"/>
        <v>236.997321086873</v>
      </c>
      <c r="K21" s="965">
        <f>'Stock Valuation (FIFO)'!N6</f>
        <v>2769</v>
      </c>
      <c r="L21" s="966">
        <f>'Stock Valuation (FIFO)'!P6</f>
        <v>732016</v>
      </c>
      <c r="M21" s="967">
        <f t="shared" si="9"/>
        <v>264.361141206212</v>
      </c>
      <c r="N21" s="1077">
        <f>'Stock Valuation (FIFO)'!Q6</f>
        <v>3082</v>
      </c>
      <c r="O21" s="966">
        <f>'Stock Valuation (FIFO)'!S6</f>
        <v>813275</v>
      </c>
      <c r="P21" s="967">
        <f t="shared" si="10"/>
        <v>263.878974691759</v>
      </c>
      <c r="Q21" s="965">
        <f>'Stock Valuation (FIFO)'!T6</f>
        <v>2819</v>
      </c>
      <c r="R21" s="1091"/>
      <c r="S21" s="1117"/>
      <c r="T21" s="1077">
        <f>(T17+T18)-(T25+T20)</f>
        <v>2819</v>
      </c>
      <c r="U21" s="1091"/>
      <c r="V21" s="1144"/>
      <c r="W21" s="965">
        <f>(W17+W18)-(W25+W20)</f>
        <v>2819</v>
      </c>
      <c r="X21" s="1091"/>
      <c r="Y21" s="1117"/>
      <c r="Z21" s="1077">
        <f>(Z17+Z18)-(Z25+Z20)+0.2</f>
        <v>2819.2</v>
      </c>
      <c r="AA21" s="1091"/>
      <c r="AB21" s="1144"/>
      <c r="AC21" s="965">
        <f>(AC17+AC18)-(AC25)-AC20</f>
        <v>2819.2</v>
      </c>
      <c r="AD21" s="1091"/>
      <c r="AE21" s="1117"/>
      <c r="AF21" s="1077">
        <f>(AF17+AF18)-(AF25+AF20)</f>
        <v>2819.2</v>
      </c>
      <c r="AG21" s="1091"/>
      <c r="AH21" s="1144"/>
      <c r="AI21" s="965">
        <f>(AI17+AI18)-(AI25+AI20)</f>
        <v>2819.2</v>
      </c>
      <c r="AJ21" s="1144"/>
      <c r="AK21" s="1117"/>
      <c r="AL21" s="1172">
        <f>N21</f>
        <v>3082</v>
      </c>
      <c r="AM21" s="1173">
        <f>O21</f>
        <v>813275</v>
      </c>
      <c r="AN21" s="1165">
        <f t="shared" si="11"/>
        <v>263.878974691759</v>
      </c>
    </row>
    <row r="22" spans="1:40">
      <c r="A22" s="988" t="s">
        <v>699</v>
      </c>
      <c r="B22" s="989">
        <f>(B17+B18)-(B20+B21)</f>
        <v>854.6</v>
      </c>
      <c r="C22" s="990">
        <f>(C17+C18)-(C20+C21)</f>
        <v>182097</v>
      </c>
      <c r="D22" s="971">
        <f t="shared" si="6"/>
        <v>213.078633278727</v>
      </c>
      <c r="E22" s="989">
        <f>(E17+E18)-(E20+E21)</f>
        <v>975.4</v>
      </c>
      <c r="F22" s="990">
        <f>(F17+F18)-(F20+F21)</f>
        <v>205027.4</v>
      </c>
      <c r="G22" s="971">
        <f t="shared" si="7"/>
        <v>210.19827762969</v>
      </c>
      <c r="H22" s="989">
        <f>(H17+H18)-(H20+H21)</f>
        <v>1116.9</v>
      </c>
      <c r="I22" s="990">
        <f>(I17+I18)-(I20+I21)</f>
        <v>276796</v>
      </c>
      <c r="J22" s="1086">
        <f t="shared" si="8"/>
        <v>247.825230548841</v>
      </c>
      <c r="K22" s="989">
        <f>(K17+K18)-(K20+K21)</f>
        <v>1267</v>
      </c>
      <c r="L22" s="990">
        <f>(L17+L18)-(L20+L21)</f>
        <v>249848</v>
      </c>
      <c r="M22" s="971">
        <f t="shared" si="9"/>
        <v>197.196527229676</v>
      </c>
      <c r="N22" s="989">
        <f>(N17+N18)-(N20+N21)</f>
        <v>916.3</v>
      </c>
      <c r="O22" s="990">
        <f>(O17+O18)-(O20+O21)</f>
        <v>227006.9</v>
      </c>
      <c r="P22" s="971">
        <f t="shared" si="10"/>
        <v>247.742988104332</v>
      </c>
      <c r="Q22" s="989">
        <f>(Q17+Q18)-(Q20+Q21)</f>
        <v>878.1</v>
      </c>
      <c r="R22" s="1125"/>
      <c r="S22" s="1126"/>
      <c r="T22" s="1127"/>
      <c r="U22" s="1125"/>
      <c r="V22" s="1147"/>
      <c r="W22" s="989"/>
      <c r="X22" s="1125"/>
      <c r="Y22" s="1126"/>
      <c r="Z22" s="1127"/>
      <c r="AA22" s="1125"/>
      <c r="AB22" s="1147"/>
      <c r="AC22" s="989"/>
      <c r="AD22" s="1125"/>
      <c r="AE22" s="1126"/>
      <c r="AF22" s="1127"/>
      <c r="AG22" s="1125"/>
      <c r="AH22" s="1147"/>
      <c r="AI22" s="989"/>
      <c r="AJ22" s="1147"/>
      <c r="AK22" s="1126"/>
      <c r="AL22" s="989">
        <f>(AL17+AL18)-(AL20+AL21)</f>
        <v>5745.3</v>
      </c>
      <c r="AM22" s="990">
        <f>(AM17+AM18)-(AM20+AM21)</f>
        <v>1140775.3</v>
      </c>
      <c r="AN22" s="971">
        <f t="shared" si="11"/>
        <v>198.55800393365</v>
      </c>
    </row>
    <row r="23" spans="1:40">
      <c r="A23" s="991" t="s">
        <v>700</v>
      </c>
      <c r="B23" s="974"/>
      <c r="C23" s="992"/>
      <c r="D23" s="955">
        <f t="shared" si="6"/>
        <v>0</v>
      </c>
      <c r="E23" s="974"/>
      <c r="F23" s="992"/>
      <c r="G23" s="955">
        <f t="shared" si="7"/>
        <v>0</v>
      </c>
      <c r="H23" s="1049"/>
      <c r="I23" s="992"/>
      <c r="J23" s="1080">
        <f t="shared" si="8"/>
        <v>0</v>
      </c>
      <c r="K23" s="974"/>
      <c r="L23" s="992"/>
      <c r="M23" s="955">
        <f t="shared" si="9"/>
        <v>0</v>
      </c>
      <c r="N23" s="1049"/>
      <c r="O23" s="1099"/>
      <c r="P23" s="1100"/>
      <c r="Q23" s="974"/>
      <c r="R23" s="1099"/>
      <c r="S23" s="1122"/>
      <c r="T23" s="1049"/>
      <c r="U23" s="1099"/>
      <c r="V23" s="1100"/>
      <c r="W23" s="974"/>
      <c r="X23" s="1099"/>
      <c r="Y23" s="1122"/>
      <c r="Z23" s="1049"/>
      <c r="AA23" s="1099"/>
      <c r="AB23" s="1100"/>
      <c r="AC23" s="974"/>
      <c r="AD23" s="1099"/>
      <c r="AE23" s="1122"/>
      <c r="AF23" s="1049"/>
      <c r="AG23" s="1099"/>
      <c r="AH23" s="1100"/>
      <c r="AI23" s="974"/>
      <c r="AJ23" s="1100"/>
      <c r="AK23" s="1122"/>
      <c r="AL23" s="952">
        <f>SUM(B23,E23,H23,K23,N23,Q23,T23,W23,Z23,AC23,AF23,AI23)</f>
        <v>0</v>
      </c>
      <c r="AM23" s="1159">
        <f>SUM(C23,F23,I23,L23,O23,R23,U23,X23,AA23,AD23,AG23,AJ23)</f>
        <v>0</v>
      </c>
      <c r="AN23" s="955">
        <f t="shared" si="11"/>
        <v>0</v>
      </c>
    </row>
    <row r="24" ht="14.25" spans="1:40">
      <c r="A24" s="991" t="s">
        <v>701</v>
      </c>
      <c r="B24" s="974"/>
      <c r="C24" s="992"/>
      <c r="D24" s="986">
        <f t="shared" si="6"/>
        <v>0</v>
      </c>
      <c r="E24" s="974"/>
      <c r="F24" s="992"/>
      <c r="G24" s="986">
        <f t="shared" si="7"/>
        <v>0</v>
      </c>
      <c r="H24" s="1049"/>
      <c r="I24" s="992"/>
      <c r="J24" s="1088">
        <f t="shared" si="8"/>
        <v>0</v>
      </c>
      <c r="K24" s="974"/>
      <c r="L24" s="992"/>
      <c r="M24" s="986">
        <f t="shared" si="9"/>
        <v>0</v>
      </c>
      <c r="N24" s="1049"/>
      <c r="O24" s="1099"/>
      <c r="P24" s="1100"/>
      <c r="Q24" s="974"/>
      <c r="R24" s="1099"/>
      <c r="S24" s="1122"/>
      <c r="T24" s="1049"/>
      <c r="U24" s="1099"/>
      <c r="V24" s="1100"/>
      <c r="W24" s="974"/>
      <c r="X24" s="1099"/>
      <c r="Y24" s="1122"/>
      <c r="Z24" s="1049"/>
      <c r="AA24" s="1099"/>
      <c r="AB24" s="1100"/>
      <c r="AC24" s="974"/>
      <c r="AD24" s="1099"/>
      <c r="AE24" s="1122"/>
      <c r="AF24" s="1049"/>
      <c r="AG24" s="1099"/>
      <c r="AH24" s="1100"/>
      <c r="AI24" s="974"/>
      <c r="AJ24" s="1100"/>
      <c r="AK24" s="1122"/>
      <c r="AL24" s="952">
        <f>SUM(B24,E24,H24,K24,N24,Q24,T24,W24,Z24,AC24,AF24,AI24)</f>
        <v>0</v>
      </c>
      <c r="AM24" s="1159">
        <f>SUM(C24,F24,I24,L24,O24,R24,U24,X24,AA24,AD24,AG24,AJ24)</f>
        <v>0</v>
      </c>
      <c r="AN24" s="959">
        <f t="shared" si="11"/>
        <v>0</v>
      </c>
    </row>
    <row r="25" ht="14.25" spans="1:40">
      <c r="A25" s="964" t="s">
        <v>702</v>
      </c>
      <c r="B25" s="979">
        <f>SUM(B22:B24)</f>
        <v>854.6</v>
      </c>
      <c r="C25" s="980">
        <f>ROUND((SUM(C17:C19)-SUM(C20:C21)),0)</f>
        <v>182097</v>
      </c>
      <c r="D25" s="981">
        <f t="shared" si="6"/>
        <v>213.078633278727</v>
      </c>
      <c r="E25" s="979">
        <f>SUM(E22:E24)</f>
        <v>975.4</v>
      </c>
      <c r="F25" s="980">
        <f>(SUM(F17:F19)-SUM(F20:F21))</f>
        <v>205027.4</v>
      </c>
      <c r="G25" s="981">
        <f t="shared" si="7"/>
        <v>210.19827762969</v>
      </c>
      <c r="H25" s="1052">
        <f>SUM(H22:H24)</f>
        <v>1116.9</v>
      </c>
      <c r="I25" s="980">
        <f>ROUND((SUM(I17:I19)-SUM(I20:I21)),0)</f>
        <v>276796</v>
      </c>
      <c r="J25" s="1087">
        <f t="shared" si="8"/>
        <v>247.825230548841</v>
      </c>
      <c r="K25" s="979">
        <f>SUM(K22:K24)</f>
        <v>1267</v>
      </c>
      <c r="L25" s="980">
        <f>ROUND((SUM(L17:L19)-SUM(L20:L21)),0)</f>
        <v>249848</v>
      </c>
      <c r="M25" s="981">
        <f t="shared" si="9"/>
        <v>197.196527229676</v>
      </c>
      <c r="N25" s="1052">
        <f>SUM(N22:N24)</f>
        <v>916.3</v>
      </c>
      <c r="O25" s="980">
        <f>ROUND((SUM(O17:O19)-SUM(O20:O21)),0)</f>
        <v>227007</v>
      </c>
      <c r="P25" s="981">
        <f>IF(N25=0,0,O25/N25)</f>
        <v>247.743097238896</v>
      </c>
      <c r="Q25" s="1052">
        <f>SUM(Q22:Q24)</f>
        <v>878.1</v>
      </c>
      <c r="R25" s="1123"/>
      <c r="S25" s="1124"/>
      <c r="T25" s="1052">
        <f>SUM(T22:T24)</f>
        <v>0</v>
      </c>
      <c r="U25" s="1123"/>
      <c r="V25" s="1146"/>
      <c r="W25" s="979">
        <f>SUM(W22:W24)</f>
        <v>0</v>
      </c>
      <c r="X25" s="1123"/>
      <c r="Y25" s="1124"/>
      <c r="Z25" s="1052">
        <f>SUM(Z22:Z24)</f>
        <v>0</v>
      </c>
      <c r="AA25" s="1123"/>
      <c r="AB25" s="1146"/>
      <c r="AC25" s="979">
        <f>SUM(AC22:AC24)</f>
        <v>0</v>
      </c>
      <c r="AD25" s="1123"/>
      <c r="AE25" s="1124"/>
      <c r="AF25" s="1052">
        <f>SUM(AF22:AF24)</f>
        <v>0</v>
      </c>
      <c r="AG25" s="1123"/>
      <c r="AH25" s="1146"/>
      <c r="AI25" s="979">
        <f>SUM(AI22:AI24)</f>
        <v>0</v>
      </c>
      <c r="AJ25" s="1146"/>
      <c r="AK25" s="1124"/>
      <c r="AL25" s="964">
        <f>SUM(AL22:AL24)</f>
        <v>5745.3</v>
      </c>
      <c r="AM25" s="1168">
        <f>SUM(AM22:AM24)</f>
        <v>1140775.3</v>
      </c>
      <c r="AN25" s="1169">
        <f t="shared" si="11"/>
        <v>198.55800393365</v>
      </c>
    </row>
    <row r="28" ht="15" spans="1:40">
      <c r="A28" s="993" t="s">
        <v>34</v>
      </c>
      <c r="B28" s="994"/>
      <c r="C28" s="994"/>
      <c r="D28" s="994"/>
      <c r="E28" s="994"/>
      <c r="F28" s="994"/>
      <c r="G28" s="994"/>
      <c r="H28" s="994"/>
      <c r="I28" s="994"/>
      <c r="J28" s="994"/>
      <c r="K28" s="994"/>
      <c r="L28" s="994"/>
      <c r="M28" s="994"/>
      <c r="N28" s="994"/>
      <c r="O28" s="994"/>
      <c r="P28" s="994"/>
      <c r="Q28" s="994"/>
      <c r="R28" s="994"/>
      <c r="S28" s="994"/>
      <c r="T28" s="994"/>
      <c r="U28" s="994"/>
      <c r="V28" s="994"/>
      <c r="W28" s="994"/>
      <c r="X28" s="994"/>
      <c r="Y28" s="994"/>
      <c r="Z28" s="994"/>
      <c r="AA28" s="994"/>
      <c r="AB28" s="994"/>
      <c r="AC28" s="994"/>
      <c r="AD28" s="994"/>
      <c r="AE28" s="994"/>
      <c r="AF28" s="994"/>
      <c r="AG28" s="994"/>
      <c r="AH28" s="994"/>
      <c r="AI28" s="994"/>
      <c r="AJ28" s="994"/>
      <c r="AK28" s="994"/>
      <c r="AL28" s="994"/>
      <c r="AM28" s="712"/>
      <c r="AN28" s="994"/>
    </row>
    <row r="29" spans="1:40">
      <c r="A29" s="968" t="s">
        <v>319</v>
      </c>
      <c r="B29" s="969">
        <v>32</v>
      </c>
      <c r="C29" s="984">
        <f>'Stock Valuation (FIFO)'!D7</f>
        <v>31901</v>
      </c>
      <c r="D29" s="971">
        <f t="shared" ref="D29:D37" si="13">IF(B29=0,0,C29/B29)</f>
        <v>996.90625</v>
      </c>
      <c r="E29" s="969">
        <f>B33</f>
        <v>28</v>
      </c>
      <c r="F29" s="1053">
        <f>C33</f>
        <v>32808</v>
      </c>
      <c r="G29" s="971">
        <f>IF(E29=0,0,F29/E29)</f>
        <v>1171.71428571429</v>
      </c>
      <c r="H29" s="1047">
        <f>E33</f>
        <v>37</v>
      </c>
      <c r="I29" s="1053">
        <f>F33</f>
        <v>65486</v>
      </c>
      <c r="J29" s="1086">
        <f>IF(H29=0,0,I29/H29)</f>
        <v>1769.89189189189</v>
      </c>
      <c r="K29" s="969">
        <f>H33</f>
        <v>40</v>
      </c>
      <c r="L29" s="1053">
        <f>I33</f>
        <v>58671</v>
      </c>
      <c r="M29" s="971">
        <f t="shared" ref="M29:M37" si="14">IF(K29=0,0,L29/K29)</f>
        <v>1466.775</v>
      </c>
      <c r="N29" s="1047">
        <f>K33</f>
        <v>38</v>
      </c>
      <c r="O29" s="1053">
        <f>L33</f>
        <v>61610</v>
      </c>
      <c r="P29" s="971">
        <f t="shared" ref="P29:P34" si="15">IF(N29=0,0,O29/N29)</f>
        <v>1621.31578947368</v>
      </c>
      <c r="Q29" s="969">
        <f>N33</f>
        <v>26</v>
      </c>
      <c r="R29" s="1085"/>
      <c r="S29" s="1024"/>
      <c r="T29" s="1047">
        <f>Q33</f>
        <v>26</v>
      </c>
      <c r="U29" s="1085"/>
      <c r="V29" s="1093"/>
      <c r="W29" s="969">
        <f>T33</f>
        <v>26</v>
      </c>
      <c r="X29" s="1085"/>
      <c r="Y29" s="1024"/>
      <c r="Z29" s="1047">
        <f>W33</f>
        <v>26</v>
      </c>
      <c r="AA29" s="1085"/>
      <c r="AB29" s="1093"/>
      <c r="AC29" s="969">
        <f>Z33</f>
        <v>26.1</v>
      </c>
      <c r="AD29" s="1085"/>
      <c r="AE29" s="1024"/>
      <c r="AF29" s="1047">
        <f>AC33</f>
        <v>26.1</v>
      </c>
      <c r="AG29" s="1085"/>
      <c r="AH29" s="1093"/>
      <c r="AI29" s="969">
        <f>AF33</f>
        <v>26.1</v>
      </c>
      <c r="AJ29" s="1093"/>
      <c r="AK29" s="1024"/>
      <c r="AL29" s="968">
        <f>B29</f>
        <v>32</v>
      </c>
      <c r="AM29" s="968">
        <f>C29</f>
        <v>31901</v>
      </c>
      <c r="AN29" s="971">
        <f t="shared" ref="AN29:AN37" si="16">IF(AL29=0,0,AM29/AL29)</f>
        <v>996.90625</v>
      </c>
    </row>
    <row r="30" spans="1:40">
      <c r="A30" s="952" t="s">
        <v>320</v>
      </c>
      <c r="B30" s="953">
        <v>10</v>
      </c>
      <c r="C30" s="985">
        <f>Purchase!$I5</f>
        <v>15925</v>
      </c>
      <c r="D30" s="955">
        <f t="shared" si="13"/>
        <v>1592.5</v>
      </c>
      <c r="E30" s="953">
        <v>11</v>
      </c>
      <c r="F30" s="985">
        <f>Purchase!$I6</f>
        <v>16300</v>
      </c>
      <c r="G30" s="955">
        <f>IF(E30=0,0,F30/E30)</f>
        <v>1481.81818181818</v>
      </c>
      <c r="H30" s="1054">
        <v>4</v>
      </c>
      <c r="I30" s="985">
        <f>Purchase!$I7</f>
        <v>8740</v>
      </c>
      <c r="J30" s="1080">
        <f>IF(H30=0,0,I30/H30)</f>
        <v>2185</v>
      </c>
      <c r="K30" s="953">
        <v>11</v>
      </c>
      <c r="L30" s="985">
        <f>Purchase!$I8</f>
        <v>15020</v>
      </c>
      <c r="M30" s="955">
        <f t="shared" si="14"/>
        <v>1365.45454545455</v>
      </c>
      <c r="N30" s="1054">
        <v>13</v>
      </c>
      <c r="O30" s="985">
        <f>Purchase!$I9</f>
        <v>23980</v>
      </c>
      <c r="P30" s="955">
        <f t="shared" si="15"/>
        <v>1844.61538461538</v>
      </c>
      <c r="Q30" s="953"/>
      <c r="R30" s="1105"/>
      <c r="S30" s="1114"/>
      <c r="T30" s="1054"/>
      <c r="U30" s="1105"/>
      <c r="V30" s="1106"/>
      <c r="W30" s="953"/>
      <c r="X30" s="1105"/>
      <c r="Y30" s="1114"/>
      <c r="Z30" s="1054"/>
      <c r="AA30" s="1105"/>
      <c r="AB30" s="1106"/>
      <c r="AC30" s="953"/>
      <c r="AD30" s="1105"/>
      <c r="AE30" s="1114"/>
      <c r="AF30" s="1054"/>
      <c r="AG30" s="1105"/>
      <c r="AH30" s="1106"/>
      <c r="AI30" s="953"/>
      <c r="AJ30" s="1106"/>
      <c r="AK30" s="1114"/>
      <c r="AL30" s="952">
        <f t="shared" ref="AL30:AM32" si="17">SUM(B30,E30,H30,K30,N30,Q30,T30,W30,Z30,AC30,AF30,AI30)</f>
        <v>49</v>
      </c>
      <c r="AM30" s="1159">
        <f t="shared" si="17"/>
        <v>79965</v>
      </c>
      <c r="AN30" s="955">
        <f t="shared" si="16"/>
        <v>1631.9387755102</v>
      </c>
    </row>
    <row r="31" spans="1:40">
      <c r="A31" s="995" t="s">
        <v>322</v>
      </c>
      <c r="B31" s="996"/>
      <c r="C31" s="997"/>
      <c r="D31" s="998">
        <f t="shared" si="13"/>
        <v>0</v>
      </c>
      <c r="E31" s="996"/>
      <c r="F31" s="1056"/>
      <c r="G31" s="998">
        <f>IF(E31=0,0,F31/E31)</f>
        <v>0</v>
      </c>
      <c r="H31" s="1057"/>
      <c r="I31" s="1089"/>
      <c r="J31" s="1090">
        <f>IF(H31=0,0,I31/H31)</f>
        <v>0</v>
      </c>
      <c r="K31" s="996"/>
      <c r="L31" s="1089"/>
      <c r="M31" s="998">
        <f t="shared" si="14"/>
        <v>0</v>
      </c>
      <c r="N31" s="1057"/>
      <c r="O31" s="1089"/>
      <c r="P31" s="998">
        <f t="shared" si="15"/>
        <v>0</v>
      </c>
      <c r="Q31" s="996"/>
      <c r="R31" s="1089"/>
      <c r="S31" s="1128"/>
      <c r="T31" s="1057"/>
      <c r="U31" s="1089"/>
      <c r="V31" s="1148"/>
      <c r="W31" s="996"/>
      <c r="X31" s="1089"/>
      <c r="Y31" s="1128"/>
      <c r="Z31" s="1057"/>
      <c r="AA31" s="1089"/>
      <c r="AB31" s="1148"/>
      <c r="AC31" s="996"/>
      <c r="AD31" s="1089"/>
      <c r="AE31" s="1128"/>
      <c r="AF31" s="1057"/>
      <c r="AG31" s="1089"/>
      <c r="AH31" s="1148"/>
      <c r="AI31" s="996"/>
      <c r="AJ31" s="1148"/>
      <c r="AK31" s="1128"/>
      <c r="AL31" s="995">
        <f t="shared" si="17"/>
        <v>0</v>
      </c>
      <c r="AM31" s="1174">
        <f t="shared" si="17"/>
        <v>0</v>
      </c>
      <c r="AN31" s="955">
        <f t="shared" si="16"/>
        <v>0</v>
      </c>
    </row>
    <row r="32" ht="14.25" spans="1:40">
      <c r="A32" s="960" t="s">
        <v>703</v>
      </c>
      <c r="B32" s="960">
        <f>'Inventory Sales'!B23</f>
        <v>10</v>
      </c>
      <c r="C32" s="999">
        <f>'Inventory Sales'!D23</f>
        <v>10000</v>
      </c>
      <c r="D32" s="971">
        <f t="shared" si="13"/>
        <v>1000</v>
      </c>
      <c r="E32" s="960"/>
      <c r="F32" s="1058"/>
      <c r="G32" s="1059"/>
      <c r="H32" s="1044"/>
      <c r="I32" s="962"/>
      <c r="J32" s="999"/>
      <c r="K32" s="961">
        <v>2</v>
      </c>
      <c r="L32" s="999">
        <f>'Inventory Sales'!M23</f>
        <v>4400</v>
      </c>
      <c r="M32" s="971">
        <f t="shared" si="14"/>
        <v>2200</v>
      </c>
      <c r="N32" s="1044">
        <v>4</v>
      </c>
      <c r="O32" s="999">
        <f>'Inventory Sales'!P23</f>
        <v>4000</v>
      </c>
      <c r="P32" s="971">
        <f t="shared" si="15"/>
        <v>1000</v>
      </c>
      <c r="Q32" s="961"/>
      <c r="R32" s="1109"/>
      <c r="S32" s="1116"/>
      <c r="T32" s="1044"/>
      <c r="U32" s="1109"/>
      <c r="V32" s="1110"/>
      <c r="W32" s="961"/>
      <c r="X32" s="1109"/>
      <c r="Y32" s="1116"/>
      <c r="Z32" s="1044"/>
      <c r="AA32" s="1109"/>
      <c r="AB32" s="1110"/>
      <c r="AC32" s="961"/>
      <c r="AD32" s="1109"/>
      <c r="AE32" s="1116"/>
      <c r="AF32" s="1044"/>
      <c r="AG32" s="1109"/>
      <c r="AH32" s="1110"/>
      <c r="AI32" s="961"/>
      <c r="AJ32" s="1110"/>
      <c r="AK32" s="1116"/>
      <c r="AL32" s="968">
        <f t="shared" si="17"/>
        <v>16</v>
      </c>
      <c r="AM32" s="1161">
        <f t="shared" si="17"/>
        <v>18400</v>
      </c>
      <c r="AN32" s="971">
        <f t="shared" si="16"/>
        <v>1150</v>
      </c>
    </row>
    <row r="33" ht="15" spans="1:40">
      <c r="A33" s="964" t="s">
        <v>324</v>
      </c>
      <c r="B33" s="1000">
        <f>'Stock Valuation (FIFO)'!E7</f>
        <v>28</v>
      </c>
      <c r="C33" s="1001">
        <f>'Stock Valuation (FIFO)'!G7-C32</f>
        <v>32808</v>
      </c>
      <c r="D33" s="967">
        <f t="shared" si="13"/>
        <v>1171.71428571429</v>
      </c>
      <c r="E33" s="1000">
        <f>'Stock Valuation (FIFO)'!H7</f>
        <v>37</v>
      </c>
      <c r="F33" s="1060">
        <f>'Stock Valuation (FIFO)'!J7</f>
        <v>65486</v>
      </c>
      <c r="G33" s="1061">
        <f>IF(E33=0,0,F33/E33)</f>
        <v>1769.89189189189</v>
      </c>
      <c r="H33" s="1000">
        <f>'Stock Valuation (FIFO)'!K7</f>
        <v>40</v>
      </c>
      <c r="I33" s="1091">
        <f>'Stock Valuation (FIFO)'!M7</f>
        <v>58671</v>
      </c>
      <c r="J33" s="1084">
        <f>IF(H33=0,0,I33/H33)</f>
        <v>1466.775</v>
      </c>
      <c r="K33" s="1000">
        <f>'Stock Valuation (FIFO)'!N7</f>
        <v>38</v>
      </c>
      <c r="L33" s="966">
        <f>'Stock Valuation (FIFO)'!P7</f>
        <v>61610</v>
      </c>
      <c r="M33" s="967">
        <f t="shared" si="14"/>
        <v>1621.31578947368</v>
      </c>
      <c r="N33" s="1077">
        <f>'Stock Valuation (FIFO)'!Q7</f>
        <v>26</v>
      </c>
      <c r="O33" s="966">
        <f>'Stock Valuation (FIFO)'!S7</f>
        <v>42715</v>
      </c>
      <c r="P33" s="967">
        <f t="shared" si="15"/>
        <v>1642.88461538462</v>
      </c>
      <c r="Q33" s="965">
        <f>(Q29+Q30)-(Q37)</f>
        <v>26</v>
      </c>
      <c r="R33" s="1091"/>
      <c r="S33" s="1117"/>
      <c r="T33" s="1077">
        <f>(T29+T30)-(T37)</f>
        <v>26</v>
      </c>
      <c r="U33" s="1091"/>
      <c r="V33" s="1144"/>
      <c r="W33" s="965">
        <f>(W29+W30)-(W37)</f>
        <v>26</v>
      </c>
      <c r="X33" s="1091"/>
      <c r="Y33" s="1117"/>
      <c r="Z33" s="1077">
        <f>(Z29+Z30)-(Z37)+0.1</f>
        <v>26.1</v>
      </c>
      <c r="AA33" s="1091"/>
      <c r="AB33" s="1144"/>
      <c r="AC33" s="965">
        <f>(AC29+AC30)-(AC37)</f>
        <v>26.1</v>
      </c>
      <c r="AD33" s="1091"/>
      <c r="AE33" s="1117"/>
      <c r="AF33" s="1077">
        <f>(AF29+AF30)-(AF37)</f>
        <v>26.1</v>
      </c>
      <c r="AG33" s="1091"/>
      <c r="AH33" s="1144"/>
      <c r="AI33" s="965">
        <f>(AI29+AI30)-(AI37)</f>
        <v>26.1</v>
      </c>
      <c r="AJ33" s="1144"/>
      <c r="AK33" s="1117"/>
      <c r="AL33" s="1172">
        <f>N33</f>
        <v>26</v>
      </c>
      <c r="AM33" s="1173">
        <f>O33</f>
        <v>42715</v>
      </c>
      <c r="AN33" s="1175">
        <f t="shared" si="16"/>
        <v>1642.88461538462</v>
      </c>
    </row>
    <row r="34" spans="1:40">
      <c r="A34" s="988" t="s">
        <v>704</v>
      </c>
      <c r="B34" s="989">
        <f>(B29+B30)-(B32+B33)</f>
        <v>4</v>
      </c>
      <c r="C34" s="990">
        <f>(C29+C30)-(C32+C33)</f>
        <v>5018</v>
      </c>
      <c r="D34" s="971">
        <f t="shared" si="13"/>
        <v>1254.5</v>
      </c>
      <c r="E34" s="989">
        <f>(E29+E30)-(E32+E33)</f>
        <v>2</v>
      </c>
      <c r="F34" s="990">
        <f>(F29+F30)-(F32+F33)</f>
        <v>-16378</v>
      </c>
      <c r="G34" s="1062">
        <f>IF(E34=0,0,F34/E34)</f>
        <v>-8189</v>
      </c>
      <c r="H34" s="989">
        <f>(H29+H30)-(H32+H33)</f>
        <v>1</v>
      </c>
      <c r="I34" s="990">
        <f>(I29+I30)-(I32+I33)</f>
        <v>15555</v>
      </c>
      <c r="J34" s="1086">
        <f>IF(H34=0,0,I34/H34)</f>
        <v>15555</v>
      </c>
      <c r="K34" s="989">
        <f>(K29+K30)-(K32+K33)</f>
        <v>11</v>
      </c>
      <c r="L34" s="990">
        <f>(L29+L30)-(L32+L33)</f>
        <v>7681</v>
      </c>
      <c r="M34" s="971">
        <f t="shared" si="14"/>
        <v>698.272727272727</v>
      </c>
      <c r="N34" s="989">
        <f>(N29+N30)-(N32+N33)</f>
        <v>21</v>
      </c>
      <c r="O34" s="990">
        <f>(O29+O30)-(O32+O33)</f>
        <v>38875</v>
      </c>
      <c r="P34" s="971">
        <f t="shared" si="15"/>
        <v>1851.19047619048</v>
      </c>
      <c r="Q34" s="989"/>
      <c r="R34" s="1125"/>
      <c r="S34" s="1126"/>
      <c r="T34" s="1127"/>
      <c r="U34" s="1125"/>
      <c r="V34" s="1147"/>
      <c r="W34" s="989"/>
      <c r="X34" s="1125"/>
      <c r="Y34" s="1126"/>
      <c r="Z34" s="1127"/>
      <c r="AA34" s="1125"/>
      <c r="AB34" s="1147"/>
      <c r="AC34" s="989"/>
      <c r="AD34" s="1125"/>
      <c r="AE34" s="1126"/>
      <c r="AF34" s="1127"/>
      <c r="AG34" s="1125"/>
      <c r="AH34" s="1147"/>
      <c r="AI34" s="989"/>
      <c r="AJ34" s="1147"/>
      <c r="AK34" s="1126"/>
      <c r="AL34" s="1003">
        <f>(AL29+AL30)-(AL32+AL33)</f>
        <v>39</v>
      </c>
      <c r="AM34" s="1176">
        <f>(AM29+AM30)-(AM32+AM33)</f>
        <v>50751</v>
      </c>
      <c r="AN34" s="971">
        <f t="shared" si="16"/>
        <v>1301.30769230769</v>
      </c>
    </row>
    <row r="35" spans="1:40">
      <c r="A35" s="991" t="s">
        <v>700</v>
      </c>
      <c r="B35" s="974"/>
      <c r="C35" s="992"/>
      <c r="D35" s="955">
        <f t="shared" si="13"/>
        <v>0</v>
      </c>
      <c r="E35" s="974"/>
      <c r="F35" s="992"/>
      <c r="G35" s="1063">
        <f>IF(E35=0,0,F35/E35)</f>
        <v>0</v>
      </c>
      <c r="H35" s="1049"/>
      <c r="I35" s="992"/>
      <c r="J35" s="1080">
        <f>IF(H35=0,0,I35/H35)</f>
        <v>0</v>
      </c>
      <c r="K35" s="974">
        <v>0</v>
      </c>
      <c r="L35" s="992"/>
      <c r="M35" s="955">
        <f t="shared" si="14"/>
        <v>0</v>
      </c>
      <c r="N35" s="1049"/>
      <c r="O35" s="1099"/>
      <c r="P35" s="1100"/>
      <c r="Q35" s="974"/>
      <c r="R35" s="1099"/>
      <c r="S35" s="1122"/>
      <c r="T35" s="1049"/>
      <c r="U35" s="1099"/>
      <c r="V35" s="1100"/>
      <c r="W35" s="974"/>
      <c r="X35" s="1099"/>
      <c r="Y35" s="1122"/>
      <c r="Z35" s="1049"/>
      <c r="AA35" s="1099"/>
      <c r="AB35" s="1100"/>
      <c r="AC35" s="974"/>
      <c r="AD35" s="1099"/>
      <c r="AE35" s="1122"/>
      <c r="AF35" s="1049"/>
      <c r="AG35" s="1099"/>
      <c r="AH35" s="1100"/>
      <c r="AI35" s="974"/>
      <c r="AJ35" s="1100"/>
      <c r="AK35" s="1122"/>
      <c r="AL35" s="968">
        <f>SUM(B35,E35,H35,K35,N35,Q35,T35,W35,Z35,AC35,AF35,AI35)</f>
        <v>0</v>
      </c>
      <c r="AM35" s="1161">
        <f>SUM(C35,F35,I35,L35,O35,R35,U35,X35,AA35,AD35,AG35,AJ35)</f>
        <v>0</v>
      </c>
      <c r="AN35" s="955">
        <f t="shared" si="16"/>
        <v>0</v>
      </c>
    </row>
    <row r="36" ht="14.25" spans="1:40">
      <c r="A36" s="991" t="s">
        <v>705</v>
      </c>
      <c r="B36" s="974"/>
      <c r="C36" s="992"/>
      <c r="D36" s="986">
        <f t="shared" si="13"/>
        <v>0</v>
      </c>
      <c r="E36" s="974"/>
      <c r="F36" s="992"/>
      <c r="G36" s="1064">
        <f>IF(E36=0,0,F36/E36)</f>
        <v>0</v>
      </c>
      <c r="H36" s="1049"/>
      <c r="I36" s="992"/>
      <c r="J36" s="1088">
        <f>IF(H36=0,0,I36/H36)</f>
        <v>0</v>
      </c>
      <c r="K36" s="974"/>
      <c r="L36" s="992"/>
      <c r="M36" s="986">
        <f t="shared" si="14"/>
        <v>0</v>
      </c>
      <c r="N36" s="1049"/>
      <c r="O36" s="1099"/>
      <c r="P36" s="1100"/>
      <c r="Q36" s="974"/>
      <c r="R36" s="1099"/>
      <c r="S36" s="1122"/>
      <c r="T36" s="1049"/>
      <c r="U36" s="1099"/>
      <c r="V36" s="1100"/>
      <c r="W36" s="974"/>
      <c r="X36" s="1099"/>
      <c r="Y36" s="1122"/>
      <c r="Z36" s="1049"/>
      <c r="AA36" s="1099"/>
      <c r="AB36" s="1100"/>
      <c r="AC36" s="974"/>
      <c r="AD36" s="1099"/>
      <c r="AE36" s="1122"/>
      <c r="AF36" s="1049"/>
      <c r="AG36" s="1099"/>
      <c r="AH36" s="1100"/>
      <c r="AI36" s="974"/>
      <c r="AJ36" s="1100"/>
      <c r="AK36" s="1122"/>
      <c r="AL36" s="968">
        <f>SUM(B36,E36,H36,K36,N36,Q36,T36,W36,Z36,AC36,AF36,AI36)</f>
        <v>0</v>
      </c>
      <c r="AM36" s="1161">
        <f>SUM(C36,F36,I36,L36,O36,R36,U36,X36,AA36,AD36,AG36,AJ36)</f>
        <v>0</v>
      </c>
      <c r="AN36" s="986">
        <f t="shared" si="16"/>
        <v>0</v>
      </c>
    </row>
    <row r="37" ht="14.25" spans="1:40">
      <c r="A37" s="1002" t="s">
        <v>702</v>
      </c>
      <c r="B37" s="1003">
        <f>SUM(B34:B36)</f>
        <v>4</v>
      </c>
      <c r="C37" s="1004">
        <f>ROUND((SUM(C29:C31)-SUM(C33)),0)</f>
        <v>15018</v>
      </c>
      <c r="D37" s="1005">
        <f t="shared" si="13"/>
        <v>3754.5</v>
      </c>
      <c r="E37" s="1003">
        <f>SUM(E34:E36)</f>
        <v>2</v>
      </c>
      <c r="F37" s="1065">
        <f>ROUND((SUM(F29:F31)-SUM(F33)),0)</f>
        <v>-16378</v>
      </c>
      <c r="G37" s="1066">
        <f>IF(E37=0,0,F37/E37)</f>
        <v>-8189</v>
      </c>
      <c r="H37" s="1067">
        <f>SUM(H34:H36)</f>
        <v>1</v>
      </c>
      <c r="I37" s="1004">
        <f>ROUND((SUM(I29:I31)-SUM(I33)),0)</f>
        <v>15555</v>
      </c>
      <c r="J37" s="1092">
        <f>IF(H37=0,0,I37/H37)</f>
        <v>15555</v>
      </c>
      <c r="K37" s="1003">
        <f>SUM(K34:K36)</f>
        <v>11</v>
      </c>
      <c r="L37" s="1004">
        <f>ROUND((SUM(L29:L31)-SUM(L33)),0)</f>
        <v>12081</v>
      </c>
      <c r="M37" s="1005">
        <f t="shared" si="14"/>
        <v>1098.27272727273</v>
      </c>
      <c r="N37" s="1067">
        <f>SUM(N34:N36)</f>
        <v>21</v>
      </c>
      <c r="O37" s="1004">
        <f>ROUND((SUM(O29:O31)-SUM(O33)),0)</f>
        <v>42875</v>
      </c>
      <c r="P37" s="1005">
        <f>IF(N37=0,0,O37/N37)</f>
        <v>2041.66666666667</v>
      </c>
      <c r="Q37" s="1003">
        <f>SUM(Q34:Q36)</f>
        <v>0</v>
      </c>
      <c r="R37" s="1129"/>
      <c r="S37" s="1130"/>
      <c r="T37" s="1067">
        <f>SUM(T34:T36)</f>
        <v>0</v>
      </c>
      <c r="U37" s="1129"/>
      <c r="V37" s="1149"/>
      <c r="W37" s="1003">
        <f>SUM(W34:W36)</f>
        <v>0</v>
      </c>
      <c r="X37" s="1129"/>
      <c r="Y37" s="1130"/>
      <c r="Z37" s="1067">
        <f>SUM(Z34:Z36)</f>
        <v>0</v>
      </c>
      <c r="AA37" s="1129"/>
      <c r="AB37" s="1149"/>
      <c r="AC37" s="1003">
        <f>SUM(AC34:AC36)</f>
        <v>0</v>
      </c>
      <c r="AD37" s="1129"/>
      <c r="AE37" s="1130"/>
      <c r="AF37" s="1067">
        <f>SUM(AF34:AF36)</f>
        <v>0</v>
      </c>
      <c r="AG37" s="1129"/>
      <c r="AH37" s="1149"/>
      <c r="AI37" s="1003">
        <f>SUM(AI34:AI36)</f>
        <v>0</v>
      </c>
      <c r="AJ37" s="1149"/>
      <c r="AK37" s="1130"/>
      <c r="AL37" s="964">
        <f>SUM(AL34:AL36)</f>
        <v>39</v>
      </c>
      <c r="AM37" s="1168">
        <f>SUM(AM34:AM36)</f>
        <v>50751</v>
      </c>
      <c r="AN37" s="1005">
        <f t="shared" si="16"/>
        <v>1301.30769230769</v>
      </c>
    </row>
    <row r="38" spans="1:40">
      <c r="A38" s="1006"/>
      <c r="B38" s="1006"/>
      <c r="C38" s="983"/>
      <c r="D38" s="983"/>
      <c r="E38" s="1006"/>
      <c r="F38" s="1068"/>
      <c r="G38" s="1068"/>
      <c r="H38" s="1006"/>
      <c r="I38" s="983"/>
      <c r="J38" s="983"/>
      <c r="K38" s="1006"/>
      <c r="L38" s="983"/>
      <c r="M38" s="983"/>
      <c r="N38" s="1006"/>
      <c r="O38" s="983"/>
      <c r="P38" s="983"/>
      <c r="Q38" s="1006"/>
      <c r="R38" s="1006"/>
      <c r="S38" s="1006"/>
      <c r="T38" s="1006"/>
      <c r="U38" s="1006"/>
      <c r="V38" s="1006"/>
      <c r="W38" s="1006"/>
      <c r="X38" s="1006"/>
      <c r="Y38" s="1006"/>
      <c r="Z38" s="1006"/>
      <c r="AA38" s="1006"/>
      <c r="AB38" s="1006"/>
      <c r="AC38" s="1006"/>
      <c r="AD38" s="1006"/>
      <c r="AE38" s="1006"/>
      <c r="AF38" s="1006"/>
      <c r="AG38" s="1006"/>
      <c r="AH38" s="1006"/>
      <c r="AI38" s="1006"/>
      <c r="AJ38" s="1006"/>
      <c r="AK38" s="1006"/>
      <c r="AL38" s="1006"/>
      <c r="AM38" s="983"/>
      <c r="AN38" s="983"/>
    </row>
    <row r="40" ht="15" spans="1:40">
      <c r="A40" s="1007" t="s">
        <v>706</v>
      </c>
      <c r="B40" s="1008"/>
      <c r="C40" s="1009"/>
      <c r="D40" s="1010">
        <f>IF(B40=0,0,C40/B40)</f>
        <v>0</v>
      </c>
      <c r="E40" s="1008"/>
      <c r="F40" s="1069"/>
      <c r="G40" s="1008"/>
      <c r="H40" s="1008"/>
      <c r="I40" s="1008"/>
      <c r="J40" s="1008"/>
      <c r="K40" s="1008"/>
      <c r="L40" s="1008"/>
      <c r="M40" s="1008"/>
      <c r="N40" s="1008"/>
      <c r="O40" s="1008"/>
      <c r="P40" s="1008"/>
      <c r="Q40" s="1008"/>
      <c r="R40" s="1008"/>
      <c r="S40" s="1008"/>
      <c r="T40" s="1008"/>
      <c r="U40" s="1008"/>
      <c r="V40" s="1008"/>
      <c r="W40" s="1008"/>
      <c r="X40" s="1008"/>
      <c r="Y40" s="1008"/>
      <c r="Z40" s="1008"/>
      <c r="AA40" s="1008"/>
      <c r="AB40" s="1008"/>
      <c r="AC40" s="1008"/>
      <c r="AD40" s="1008"/>
      <c r="AE40" s="1008"/>
      <c r="AF40" s="1008"/>
      <c r="AG40" s="1008"/>
      <c r="AH40" s="1008"/>
      <c r="AI40" s="1008"/>
      <c r="AJ40" s="1008"/>
      <c r="AK40" s="1008"/>
      <c r="AL40" s="1008"/>
      <c r="AM40" s="1008"/>
      <c r="AN40" s="1010">
        <f>IF(AL40=0,0,AM40/AL40)</f>
        <v>0</v>
      </c>
    </row>
    <row r="41" ht="15" spans="1:40">
      <c r="A41" s="964" t="s">
        <v>707</v>
      </c>
      <c r="B41" s="1011">
        <f>B8+B21+B33</f>
        <v>182463</v>
      </c>
      <c r="C41" s="1012">
        <f>C8+C21+C33</f>
        <v>18474284</v>
      </c>
      <c r="D41" s="967">
        <f>IF(B41=0,0,C41/B41)</f>
        <v>101.249480716638</v>
      </c>
      <c r="E41" s="1011">
        <f>SUM(E8+E21+E33)</f>
        <v>149741</v>
      </c>
      <c r="F41" s="1012">
        <f>F8+F21+F33</f>
        <v>15008748</v>
      </c>
      <c r="G41" s="967">
        <f>IF(E41=0,0,F41/E41)</f>
        <v>100.231386193494</v>
      </c>
      <c r="H41" s="1070">
        <f>H8+H21+H33</f>
        <v>166778</v>
      </c>
      <c r="I41" s="1012">
        <f>I8+I21+I33</f>
        <v>16653609</v>
      </c>
      <c r="J41" s="1084">
        <f>IF(H41=0,0,I41/H41)</f>
        <v>99.8549508928036</v>
      </c>
      <c r="K41" s="1011">
        <f>K8+K21+K33</f>
        <v>148947</v>
      </c>
      <c r="L41" s="1012">
        <f>L8+L21+L33</f>
        <v>15325485</v>
      </c>
      <c r="M41" s="967">
        <f>IF(K41=0,0,L41/K41)</f>
        <v>102.892203266934</v>
      </c>
      <c r="N41" s="1070">
        <f>N8+N21+N33</f>
        <v>190728</v>
      </c>
      <c r="O41" s="1012">
        <f>O8+O21+O33</f>
        <v>19843851</v>
      </c>
      <c r="P41" s="967">
        <f>IF(N41=0,0,O41/N41)</f>
        <v>104.04267333585</v>
      </c>
      <c r="Q41" s="1011">
        <f>Q8+Q21+Q33</f>
        <v>117525</v>
      </c>
      <c r="R41" s="1131"/>
      <c r="S41" s="1132"/>
      <c r="T41" s="1070">
        <f>T8+T21+T33</f>
        <v>117525</v>
      </c>
      <c r="U41" s="1131"/>
      <c r="V41" s="1150"/>
      <c r="W41" s="1011">
        <f>W8+W21+W33</f>
        <v>117525</v>
      </c>
      <c r="X41" s="1131"/>
      <c r="Y41" s="1132"/>
      <c r="Z41" s="1070">
        <f>Z8+Z21+Z33</f>
        <v>117525.3</v>
      </c>
      <c r="AA41" s="1131"/>
      <c r="AB41" s="1150"/>
      <c r="AC41" s="1011">
        <f>AC8+AC21+AC33</f>
        <v>117525.3</v>
      </c>
      <c r="AD41" s="1131"/>
      <c r="AE41" s="1132"/>
      <c r="AF41" s="1070">
        <f>AF8+AF21+AF33</f>
        <v>117525.3</v>
      </c>
      <c r="AG41" s="1131"/>
      <c r="AH41" s="1150"/>
      <c r="AI41" s="1011">
        <f>AI8+AI21+AI33</f>
        <v>117525.3</v>
      </c>
      <c r="AJ41" s="1150"/>
      <c r="AK41" s="1132"/>
      <c r="AL41" s="1011">
        <f>AL8+AL21+AL33</f>
        <v>190728</v>
      </c>
      <c r="AM41" s="1012">
        <f>AM8+AM21+AM33</f>
        <v>19843851</v>
      </c>
      <c r="AN41" s="1177">
        <f>IF(AL41=0,0,AM41/AL41)</f>
        <v>104.04267333585</v>
      </c>
    </row>
    <row r="42" ht="15" spans="1:40">
      <c r="A42" s="1013" t="s">
        <v>708</v>
      </c>
      <c r="B42" s="946"/>
      <c r="C42" s="946"/>
      <c r="D42" s="946"/>
      <c r="E42" s="946"/>
      <c r="F42" s="946"/>
      <c r="G42" s="946"/>
      <c r="H42" s="946"/>
      <c r="I42" s="946"/>
      <c r="J42" s="946"/>
      <c r="K42" s="946"/>
      <c r="L42" s="946"/>
      <c r="M42" s="946"/>
      <c r="N42" s="946"/>
      <c r="O42" s="946"/>
      <c r="P42" s="946"/>
      <c r="Q42" s="946"/>
      <c r="R42" s="946"/>
      <c r="S42" s="946"/>
      <c r="T42" s="946"/>
      <c r="U42" s="946"/>
      <c r="V42" s="946"/>
      <c r="W42" s="946"/>
      <c r="X42" s="946"/>
      <c r="Y42" s="946"/>
      <c r="Z42" s="946"/>
      <c r="AA42" s="946"/>
      <c r="AB42" s="946"/>
      <c r="AC42" s="946"/>
      <c r="AD42" s="946"/>
      <c r="AE42" s="946"/>
      <c r="AF42" s="946"/>
      <c r="AG42" s="946"/>
      <c r="AH42" s="946"/>
      <c r="AI42" s="946"/>
      <c r="AJ42" s="946"/>
      <c r="AK42" s="946"/>
      <c r="AL42" s="946"/>
      <c r="AM42" s="726"/>
      <c r="AN42" s="946"/>
    </row>
    <row r="43" spans="1:40">
      <c r="A43" s="1014" t="s">
        <v>339</v>
      </c>
      <c r="B43" s="969">
        <f>B10+B25+B37</f>
        <v>77388.6</v>
      </c>
      <c r="C43" s="1015">
        <f>C10+C22+C34</f>
        <v>7126098</v>
      </c>
      <c r="D43" s="971">
        <f>IF(B43=0,0,C43/B43)</f>
        <v>92.0820120792985</v>
      </c>
      <c r="E43" s="1071">
        <f>SUM(E10+E22+E34)</f>
        <v>76882.4</v>
      </c>
      <c r="F43" s="1015">
        <f>F10+F22+F34</f>
        <v>7584002.4</v>
      </c>
      <c r="G43" s="971">
        <f>IF(E43=0,0,F43/E43)</f>
        <v>98.6441942499194</v>
      </c>
      <c r="H43" s="1072">
        <f>SUM(H10+H22+H34)</f>
        <v>84402.9</v>
      </c>
      <c r="I43" s="1015">
        <f>I10+I22+I34</f>
        <v>8492536</v>
      </c>
      <c r="J43" s="1086">
        <f>IF(H43=0,0,I43/H43)</f>
        <v>100.619007166815</v>
      </c>
      <c r="K43" s="969">
        <f>K10+K22+K34</f>
        <v>101263</v>
      </c>
      <c r="L43" s="1015">
        <f>L10+L22+L34</f>
        <v>9101009</v>
      </c>
      <c r="M43" s="971">
        <f>IF(K43=0,0,L43/K43)</f>
        <v>89.8749691397648</v>
      </c>
      <c r="N43" s="1072">
        <f>SUM(N10+N22+N34)</f>
        <v>75457.3</v>
      </c>
      <c r="O43" s="1015">
        <f>O10+O22+O34</f>
        <v>7710644.9</v>
      </c>
      <c r="P43" s="971">
        <f>IF(N43=0,0,O43/N43)</f>
        <v>102.185539371274</v>
      </c>
      <c r="Q43" s="1071">
        <f>SUM(Q10+Q22+Q34)</f>
        <v>79818.1</v>
      </c>
      <c r="R43" s="1133"/>
      <c r="S43" s="1134"/>
      <c r="T43" s="1072">
        <f>SUM(T10+T22+T34)</f>
        <v>0</v>
      </c>
      <c r="U43" s="1133"/>
      <c r="V43" s="1151"/>
      <c r="W43" s="1071">
        <f>SUM(W10+W22+W34)</f>
        <v>0</v>
      </c>
      <c r="X43" s="1133"/>
      <c r="Y43" s="1134"/>
      <c r="Z43" s="1072">
        <f>SUM(Z10+Z22+Z34)</f>
        <v>0</v>
      </c>
      <c r="AA43" s="1133"/>
      <c r="AB43" s="1151"/>
      <c r="AC43" s="1071">
        <f>SUM(AC10+AC22+AC34)</f>
        <v>0</v>
      </c>
      <c r="AD43" s="1133"/>
      <c r="AE43" s="1134"/>
      <c r="AF43" s="1072">
        <f>SUM(AF10+AF22+AF34)</f>
        <v>0</v>
      </c>
      <c r="AG43" s="1133"/>
      <c r="AH43" s="1151"/>
      <c r="AI43" s="1071">
        <f>SUM(AI10+AI22+AI34)</f>
        <v>0</v>
      </c>
      <c r="AJ43" s="1151"/>
      <c r="AK43" s="1134"/>
      <c r="AL43" s="1178">
        <f>SUM(AL10+AL22+AL34)</f>
        <v>422009.3</v>
      </c>
      <c r="AM43" s="1161">
        <f>SUM(C43,F43,I43,L43,O43,R43,U43,X43,AA43,AD43,AG43,AJ43)</f>
        <v>40014290.3</v>
      </c>
      <c r="AN43" s="971">
        <f>IF(AL43=0,0,AM43/AL43)</f>
        <v>94.8185035258702</v>
      </c>
    </row>
    <row r="44" spans="1:40">
      <c r="A44" s="1016" t="s">
        <v>696</v>
      </c>
      <c r="B44" s="1017">
        <f>SUM(B11+B23+B35)</f>
        <v>0</v>
      </c>
      <c r="C44" s="1018">
        <f>SUM(C11+C23+C35)</f>
        <v>0</v>
      </c>
      <c r="D44" s="955">
        <f>IF(B44=0,0,C44/B44)</f>
        <v>0</v>
      </c>
      <c r="E44" s="1017">
        <f>SUM(E11+E23+E35)</f>
        <v>0</v>
      </c>
      <c r="F44" s="1018">
        <f>SUM(F11+F23+F35)</f>
        <v>0</v>
      </c>
      <c r="G44" s="955">
        <f>IF(E44=0,0,F44/E44)</f>
        <v>0</v>
      </c>
      <c r="H44" s="1073">
        <f>SUM(H11+H23+H35)</f>
        <v>0</v>
      </c>
      <c r="I44" s="1018">
        <f>SUM(I11+I23+I35)</f>
        <v>0</v>
      </c>
      <c r="J44" s="1080">
        <f>IF(H44=0,0,I44/H44)</f>
        <v>0</v>
      </c>
      <c r="K44" s="1017">
        <f>SUM(K11+K23+K35)</f>
        <v>0</v>
      </c>
      <c r="L44" s="1018">
        <f>SUM(L11+L23+L35)</f>
        <v>0</v>
      </c>
      <c r="M44" s="955">
        <f>IF(K44=0,0,L44/K44)</f>
        <v>0</v>
      </c>
      <c r="N44" s="1073">
        <f>SUM(N11+N23+N35)</f>
        <v>0</v>
      </c>
      <c r="O44" s="1101"/>
      <c r="P44" s="1102"/>
      <c r="Q44" s="1017">
        <f>SUM(Q11+Q23+Q35)</f>
        <v>0</v>
      </c>
      <c r="R44" s="1101"/>
      <c r="S44" s="1135"/>
      <c r="T44" s="1073">
        <f>SUM(T11+T23+T35)</f>
        <v>0</v>
      </c>
      <c r="U44" s="1101"/>
      <c r="V44" s="1102"/>
      <c r="W44" s="1017">
        <f>SUM(W11+W23+W35)</f>
        <v>0</v>
      </c>
      <c r="X44" s="1101"/>
      <c r="Y44" s="1135"/>
      <c r="Z44" s="1073">
        <f>SUM(Z11+Z23+Z35)</f>
        <v>0</v>
      </c>
      <c r="AA44" s="1101"/>
      <c r="AB44" s="1102"/>
      <c r="AC44" s="1017">
        <f>SUM(AC11+AC23+AC35)</f>
        <v>0</v>
      </c>
      <c r="AD44" s="1101"/>
      <c r="AE44" s="1135"/>
      <c r="AF44" s="1073">
        <f>SUM(AF11+AF23+AF35)</f>
        <v>0</v>
      </c>
      <c r="AG44" s="1101"/>
      <c r="AH44" s="1102"/>
      <c r="AI44" s="1017">
        <f>SUM(AI11+AI23+AI35)</f>
        <v>0</v>
      </c>
      <c r="AJ44" s="1102"/>
      <c r="AK44" s="1135"/>
      <c r="AL44" s="1179">
        <f>SUM(AL11+AL23+AL35)</f>
        <v>0</v>
      </c>
      <c r="AM44" s="1179"/>
      <c r="AN44" s="955">
        <f>IF(AL44=0,0,AM44/AL44)</f>
        <v>0</v>
      </c>
    </row>
    <row r="45" ht="14.25" spans="1:40">
      <c r="A45" s="1019" t="s">
        <v>697</v>
      </c>
      <c r="B45" s="1020">
        <f>SUM(B12+B24+B36)</f>
        <v>0</v>
      </c>
      <c r="C45" s="1021">
        <f>SUM(C12+C24+C36)</f>
        <v>0</v>
      </c>
      <c r="D45" s="986">
        <f>IF(B45=0,0,C45/B45)</f>
        <v>0</v>
      </c>
      <c r="E45" s="1020">
        <f>SUM(E12+E24+E36)</f>
        <v>0</v>
      </c>
      <c r="F45" s="1021">
        <f>SUM(F12+F24+F36)</f>
        <v>0</v>
      </c>
      <c r="G45" s="986">
        <f>IF(E45=0,0,F45/E45)</f>
        <v>0</v>
      </c>
      <c r="H45" s="1074">
        <f>SUM(H12+H24+H36)</f>
        <v>0</v>
      </c>
      <c r="I45" s="1021">
        <f>SUM(I12+I24+I36)</f>
        <v>0</v>
      </c>
      <c r="J45" s="1088">
        <f>IF(H45=0,0,I45/H45)</f>
        <v>0</v>
      </c>
      <c r="K45" s="1020">
        <f>SUM(K12+K24+K36)</f>
        <v>0</v>
      </c>
      <c r="L45" s="1021">
        <f>SUM(L12+L24+L36)</f>
        <v>0</v>
      </c>
      <c r="M45" s="986">
        <f>IF(K45=0,0,L45/K45)</f>
        <v>0</v>
      </c>
      <c r="N45" s="1074">
        <f>SUM(N12+N24+N36)</f>
        <v>0</v>
      </c>
      <c r="O45" s="1103"/>
      <c r="P45" s="1104"/>
      <c r="Q45" s="1020">
        <f>SUM(Q12+Q24+Q36)</f>
        <v>0</v>
      </c>
      <c r="R45" s="1103"/>
      <c r="S45" s="1136"/>
      <c r="T45" s="1074">
        <f>SUM(T12+T24+T36)</f>
        <v>0</v>
      </c>
      <c r="U45" s="1103"/>
      <c r="V45" s="1104"/>
      <c r="W45" s="1020">
        <f>SUM(W12+W24+W36)</f>
        <v>0</v>
      </c>
      <c r="X45" s="1103"/>
      <c r="Y45" s="1136"/>
      <c r="Z45" s="1074">
        <f>SUM(Z12+Z24+Z36)</f>
        <v>0</v>
      </c>
      <c r="AA45" s="1103"/>
      <c r="AB45" s="1104"/>
      <c r="AC45" s="1020">
        <f>SUM(AC12+AC24+AC36)</f>
        <v>0</v>
      </c>
      <c r="AD45" s="1103"/>
      <c r="AE45" s="1136"/>
      <c r="AF45" s="1074">
        <f>SUM(AF12+AF24+AF36)</f>
        <v>0</v>
      </c>
      <c r="AG45" s="1103"/>
      <c r="AH45" s="1104"/>
      <c r="AI45" s="1020">
        <f>SUM(AI12+AI24+AI36)</f>
        <v>0</v>
      </c>
      <c r="AJ45" s="1104"/>
      <c r="AK45" s="1136"/>
      <c r="AL45" s="1180">
        <f>SUM(AL12+AL24+AL36)</f>
        <v>0</v>
      </c>
      <c r="AM45" s="1180"/>
      <c r="AN45" s="986">
        <f>IF(AL45=0,0,AM45/AL45)</f>
        <v>0</v>
      </c>
    </row>
    <row r="46" ht="15" spans="1:40">
      <c r="A46" s="1022"/>
      <c r="B46" s="979">
        <f>SUM(B43:B45)</f>
        <v>77388.6</v>
      </c>
      <c r="C46" s="980">
        <f>SUM(C43:C45)</f>
        <v>7126098</v>
      </c>
      <c r="D46" s="981">
        <f>IF(B46=0,0,C46/B46)</f>
        <v>92.0820120792985</v>
      </c>
      <c r="E46" s="979">
        <f>SUM(E43:E45)</f>
        <v>76882.4</v>
      </c>
      <c r="F46" s="980">
        <f>SUM(F43:F45)</f>
        <v>7584002.4</v>
      </c>
      <c r="G46" s="981">
        <f>IF(E46=0,0,F46/E46)</f>
        <v>98.6441942499194</v>
      </c>
      <c r="H46" s="1052">
        <f>SUM(H43:H45)</f>
        <v>84402.9</v>
      </c>
      <c r="I46" s="980">
        <f>SUM(I43:I45)</f>
        <v>8492536</v>
      </c>
      <c r="J46" s="1087">
        <f>IF(H46=0,0,I46/H46)</f>
        <v>100.619007166815</v>
      </c>
      <c r="K46" s="979">
        <f>SUM(K43:K45)</f>
        <v>101263</v>
      </c>
      <c r="L46" s="980">
        <f>SUM(L43:L45)</f>
        <v>9101009</v>
      </c>
      <c r="M46" s="981">
        <f>IF(K46=0,0,L46/K46)</f>
        <v>89.8749691397648</v>
      </c>
      <c r="N46" s="1052">
        <f>SUM(N43:N45)</f>
        <v>75457.3</v>
      </c>
      <c r="O46" s="980">
        <f>SUM(O43:O45)</f>
        <v>7710644.9</v>
      </c>
      <c r="P46" s="981">
        <f>IF(N46=0,0,O46/N46)</f>
        <v>102.185539371274</v>
      </c>
      <c r="Q46" s="979">
        <f>SUM(Q43:Q45)</f>
        <v>79818.1</v>
      </c>
      <c r="R46" s="1123"/>
      <c r="S46" s="1124"/>
      <c r="T46" s="1052">
        <f>SUM(T43:T45)</f>
        <v>0</v>
      </c>
      <c r="U46" s="1123"/>
      <c r="V46" s="1146"/>
      <c r="W46" s="979">
        <f>SUM(W43:W45)</f>
        <v>0</v>
      </c>
      <c r="X46" s="1123"/>
      <c r="Y46" s="1124"/>
      <c r="Z46" s="1052">
        <f>SUM(Z43:Z45)</f>
        <v>0</v>
      </c>
      <c r="AA46" s="1123"/>
      <c r="AB46" s="1146"/>
      <c r="AC46" s="979">
        <f>SUM(AC43:AC45)</f>
        <v>0</v>
      </c>
      <c r="AD46" s="1123"/>
      <c r="AE46" s="1124"/>
      <c r="AF46" s="1052">
        <f>SUM(AF43:AF45)</f>
        <v>0</v>
      </c>
      <c r="AG46" s="1123"/>
      <c r="AH46" s="1146"/>
      <c r="AI46" s="979">
        <f>SUM(AI43:AI45)</f>
        <v>0</v>
      </c>
      <c r="AJ46" s="1146"/>
      <c r="AK46" s="1124"/>
      <c r="AL46" s="979">
        <f>SUM(AL43:AL45)</f>
        <v>422009.3</v>
      </c>
      <c r="AM46" s="980">
        <f>SUM(AM43:AM45)</f>
        <v>40014290.3</v>
      </c>
      <c r="AN46" s="981">
        <f>IF(AL46=0,0,AM46/AL46)</f>
        <v>94.8185035258702</v>
      </c>
    </row>
    <row r="47" spans="1:40">
      <c r="A47" s="1023" t="s">
        <v>709</v>
      </c>
      <c r="B47" s="969"/>
      <c r="C47" s="984"/>
      <c r="D47" s="1024"/>
      <c r="E47" s="969"/>
      <c r="F47" s="984"/>
      <c r="G47" s="1024"/>
      <c r="H47" s="1047"/>
      <c r="I47" s="984"/>
      <c r="J47" s="1093"/>
      <c r="K47" s="969"/>
      <c r="L47" s="984"/>
      <c r="M47" s="1024"/>
      <c r="N47" s="1047"/>
      <c r="O47" s="1085"/>
      <c r="P47" s="1093"/>
      <c r="Q47" s="969"/>
      <c r="R47" s="1085"/>
      <c r="S47" s="1024"/>
      <c r="T47" s="1047"/>
      <c r="U47" s="1085"/>
      <c r="V47" s="1093"/>
      <c r="W47" s="969"/>
      <c r="X47" s="1085"/>
      <c r="Y47" s="1024"/>
      <c r="Z47" s="1047"/>
      <c r="AA47" s="1085"/>
      <c r="AB47" s="1093"/>
      <c r="AC47" s="969"/>
      <c r="AD47" s="1085"/>
      <c r="AE47" s="1024"/>
      <c r="AF47" s="1047"/>
      <c r="AG47" s="1085"/>
      <c r="AH47" s="1093"/>
      <c r="AI47" s="969"/>
      <c r="AJ47" s="1093"/>
      <c r="AK47" s="1024"/>
      <c r="AL47" s="968">
        <f>SUM(B47:AI47)</f>
        <v>0</v>
      </c>
      <c r="AM47" s="968"/>
      <c r="AN47" s="1024"/>
    </row>
    <row r="48" spans="1:40">
      <c r="A48" s="1025" t="s">
        <v>710</v>
      </c>
      <c r="B48" s="953">
        <f>95089.3-B49</f>
        <v>76198</v>
      </c>
      <c r="C48" s="985">
        <f>IF(B48=0,0,ROUND(((B48*D48)),0))</f>
        <v>7016465</v>
      </c>
      <c r="D48" s="1026">
        <f>D43</f>
        <v>92.0820120792985</v>
      </c>
      <c r="E48" s="953">
        <f>87799.5-E49</f>
        <v>75966</v>
      </c>
      <c r="F48" s="985">
        <f>IF(E48=0,0,ROUND(((E48*G48)),0))</f>
        <v>7493605</v>
      </c>
      <c r="G48" s="1026">
        <f>G43</f>
        <v>98.6441942499194</v>
      </c>
      <c r="H48" s="1054">
        <f>100823-H49</f>
        <v>82191</v>
      </c>
      <c r="I48" s="985">
        <f>IF(H48=0,0,ROUND(((H48*J48)),0))</f>
        <v>8269977</v>
      </c>
      <c r="J48" s="954">
        <f>J43</f>
        <v>100.619007166815</v>
      </c>
      <c r="K48" s="953">
        <f>106908-K49</f>
        <v>97832</v>
      </c>
      <c r="L48" s="985">
        <f>IF(K48=0,0,ROUND(((K48*M48)),0))</f>
        <v>8792648</v>
      </c>
      <c r="M48" s="1026">
        <f>M43</f>
        <v>89.8749691397648</v>
      </c>
      <c r="N48" s="1054">
        <f>98773.7-N49</f>
        <v>74564</v>
      </c>
      <c r="O48" s="985">
        <f>IF(N48=0,0,ROUND(((N48*P48)),0))</f>
        <v>7619363</v>
      </c>
      <c r="P48" s="1026">
        <f>P43</f>
        <v>102.185539371274</v>
      </c>
      <c r="Q48" s="953"/>
      <c r="R48" s="1105"/>
      <c r="S48" s="1114"/>
      <c r="T48" s="1054"/>
      <c r="U48" s="1105"/>
      <c r="V48" s="1106"/>
      <c r="W48" s="953"/>
      <c r="X48" s="1105"/>
      <c r="Y48" s="1114"/>
      <c r="Z48" s="1054"/>
      <c r="AA48" s="1105"/>
      <c r="AB48" s="1106"/>
      <c r="AC48" s="953"/>
      <c r="AD48" s="1105"/>
      <c r="AE48" s="1114"/>
      <c r="AF48" s="1054"/>
      <c r="AG48" s="1105"/>
      <c r="AH48" s="1106"/>
      <c r="AI48" s="953"/>
      <c r="AJ48" s="1106"/>
      <c r="AK48" s="1114"/>
      <c r="AL48" s="952">
        <f t="shared" ref="AL48:AM50" si="18">SUM(B48,E48,H48,K48,N48,Q48,T48,W48,Z48,AC48,AF48,AI48)</f>
        <v>406751</v>
      </c>
      <c r="AM48" s="1159">
        <f t="shared" si="18"/>
        <v>39192058</v>
      </c>
      <c r="AN48" s="1026">
        <f>AN43</f>
        <v>94.8185035258702</v>
      </c>
    </row>
    <row r="49" spans="1:40">
      <c r="A49" s="1025" t="s">
        <v>711</v>
      </c>
      <c r="B49" s="953">
        <v>18891.3</v>
      </c>
      <c r="C49" s="985">
        <f>ROUND((Purchase!$M22),0)</f>
        <v>2338464</v>
      </c>
      <c r="D49" s="955">
        <f>IF(B49=0,0,C49/B49)</f>
        <v>123.785234473011</v>
      </c>
      <c r="E49" s="953">
        <v>11833.5</v>
      </c>
      <c r="F49" s="985">
        <f>ROUND((Purchase!$M23),0)</f>
        <v>1494263</v>
      </c>
      <c r="G49" s="955">
        <f>IF(E49=0,0,F49/E49)</f>
        <v>126.273967972282</v>
      </c>
      <c r="H49" s="1054">
        <v>18632</v>
      </c>
      <c r="I49" s="985">
        <f>ROUND((Purchase!$M24),0)</f>
        <v>2292675</v>
      </c>
      <c r="J49" s="1080">
        <f>IF(H49=0,0,I49/H49)</f>
        <v>123.050397166166</v>
      </c>
      <c r="K49" s="953">
        <v>9076</v>
      </c>
      <c r="L49" s="985">
        <f>ROUND((Purchase!$M25),0)</f>
        <v>1098736</v>
      </c>
      <c r="M49" s="955">
        <f>IF(K49=0,0,L49/K49)</f>
        <v>121.059497576025</v>
      </c>
      <c r="N49" s="1054">
        <v>24209.7</v>
      </c>
      <c r="O49" s="985">
        <f>ROUND((Purchase!$M26),0)</f>
        <v>2949800</v>
      </c>
      <c r="P49" s="955">
        <f>IF(N49=0,0,O49/N49)</f>
        <v>121.84372379666</v>
      </c>
      <c r="Q49" s="953"/>
      <c r="R49" s="1105"/>
      <c r="S49" s="1114"/>
      <c r="T49" s="1054"/>
      <c r="U49" s="1105"/>
      <c r="V49" s="1106"/>
      <c r="W49" s="953"/>
      <c r="X49" s="1105"/>
      <c r="Y49" s="1114"/>
      <c r="Z49" s="1054"/>
      <c r="AA49" s="1105"/>
      <c r="AB49" s="1106"/>
      <c r="AC49" s="953"/>
      <c r="AD49" s="1105"/>
      <c r="AE49" s="1114"/>
      <c r="AF49" s="1054"/>
      <c r="AG49" s="1105"/>
      <c r="AH49" s="1106"/>
      <c r="AI49" s="953"/>
      <c r="AJ49" s="1106"/>
      <c r="AK49" s="1114"/>
      <c r="AL49" s="952">
        <f t="shared" si="18"/>
        <v>82642.5</v>
      </c>
      <c r="AM49" s="1159">
        <f t="shared" si="18"/>
        <v>10173938</v>
      </c>
      <c r="AN49" s="955">
        <f>IF(AL49=0,0,AM49/AL49)</f>
        <v>123.107819826361</v>
      </c>
    </row>
    <row r="50" spans="1:40">
      <c r="A50" s="1025" t="s">
        <v>712</v>
      </c>
      <c r="B50" s="953"/>
      <c r="C50" s="985"/>
      <c r="D50" s="1026"/>
      <c r="E50" s="953"/>
      <c r="F50" s="985"/>
      <c r="G50" s="1026"/>
      <c r="H50" s="1054"/>
      <c r="I50" s="985"/>
      <c r="J50" s="954"/>
      <c r="K50" s="953"/>
      <c r="L50" s="985"/>
      <c r="M50" s="1026"/>
      <c r="N50" s="1054"/>
      <c r="O50" s="1105"/>
      <c r="P50" s="1106"/>
      <c r="Q50" s="953"/>
      <c r="R50" s="1105"/>
      <c r="S50" s="1114"/>
      <c r="T50" s="1054"/>
      <c r="U50" s="1105"/>
      <c r="V50" s="1106"/>
      <c r="W50" s="953"/>
      <c r="X50" s="1105"/>
      <c r="Y50" s="1114"/>
      <c r="Z50" s="1054"/>
      <c r="AA50" s="1105"/>
      <c r="AB50" s="1106"/>
      <c r="AC50" s="953"/>
      <c r="AD50" s="1105"/>
      <c r="AE50" s="1114"/>
      <c r="AF50" s="1054"/>
      <c r="AG50" s="1105"/>
      <c r="AH50" s="1106"/>
      <c r="AI50" s="953"/>
      <c r="AJ50" s="1106"/>
      <c r="AK50" s="1114"/>
      <c r="AL50" s="952">
        <f t="shared" si="18"/>
        <v>0</v>
      </c>
      <c r="AM50" s="1159">
        <f t="shared" si="18"/>
        <v>0</v>
      </c>
      <c r="AN50" s="1026"/>
    </row>
    <row r="51" spans="1:40">
      <c r="A51" s="1025" t="s">
        <v>52</v>
      </c>
      <c r="B51" s="953">
        <f>SUM(B48:B50)</f>
        <v>95089.3</v>
      </c>
      <c r="C51" s="985">
        <f>SUM(C48:C50)</f>
        <v>9354929</v>
      </c>
      <c r="D51" s="955">
        <f>IF(B51=0,0,C51/B51)</f>
        <v>98.3804592104474</v>
      </c>
      <c r="E51" s="953">
        <f>SUM(E48:E50)</f>
        <v>87799.5</v>
      </c>
      <c r="F51" s="985">
        <f>SUM(F48:F50)</f>
        <v>8987868</v>
      </c>
      <c r="G51" s="955">
        <f>IF(E51=0,0,F51/E51)</f>
        <v>102.368100046128</v>
      </c>
      <c r="H51" s="1054">
        <f>SUM(H48:H50)</f>
        <v>100823</v>
      </c>
      <c r="I51" s="985">
        <f>SUM(I48:I50)</f>
        <v>10562652</v>
      </c>
      <c r="J51" s="1080">
        <f>IF(H51=0,0,I51/H51)</f>
        <v>104.764309730915</v>
      </c>
      <c r="K51" s="953">
        <f>SUM(K48:K50)</f>
        <v>106908</v>
      </c>
      <c r="L51" s="985">
        <f>SUM(L48:L50)</f>
        <v>9891384</v>
      </c>
      <c r="M51" s="955">
        <f>IF(K51=0,0,L51/K51)</f>
        <v>92.5223930856437</v>
      </c>
      <c r="N51" s="1054">
        <f>SUM(N48:N50)</f>
        <v>98773.7</v>
      </c>
      <c r="O51" s="985">
        <f>SUM(O48:O50)</f>
        <v>10569163</v>
      </c>
      <c r="P51" s="955">
        <f>IF(N51=0,0,O51/N51)</f>
        <v>107.003817817901</v>
      </c>
      <c r="Q51" s="953">
        <f>SUM(Q48:Q50)</f>
        <v>0</v>
      </c>
      <c r="R51" s="1105"/>
      <c r="S51" s="1114"/>
      <c r="T51" s="1054">
        <f>SUM(T48:T50)</f>
        <v>0</v>
      </c>
      <c r="U51" s="1105"/>
      <c r="V51" s="1106"/>
      <c r="W51" s="953">
        <f>SUM(W48:W50)</f>
        <v>0</v>
      </c>
      <c r="X51" s="1105"/>
      <c r="Y51" s="1114"/>
      <c r="Z51" s="1054">
        <f>SUM(Z48:Z50)</f>
        <v>0</v>
      </c>
      <c r="AA51" s="1105"/>
      <c r="AB51" s="1106"/>
      <c r="AC51" s="953">
        <f>SUM(AC48:AC50)</f>
        <v>0</v>
      </c>
      <c r="AD51" s="1105"/>
      <c r="AE51" s="1114"/>
      <c r="AF51" s="1054">
        <f>SUM(AF48:AF50)</f>
        <v>0</v>
      </c>
      <c r="AG51" s="1105"/>
      <c r="AH51" s="1106"/>
      <c r="AI51" s="953">
        <f>SUM(AI48:AI50)</f>
        <v>0</v>
      </c>
      <c r="AJ51" s="1105"/>
      <c r="AK51" s="1114"/>
      <c r="AL51" s="952">
        <f>SUM(AL48:AL50)</f>
        <v>489393.5</v>
      </c>
      <c r="AM51" s="985">
        <f>SUM(AM48:AM50)</f>
        <v>49365996</v>
      </c>
      <c r="AN51" s="955">
        <f>IF(AL51=0,0,AM51/AL51)</f>
        <v>100.871785179002</v>
      </c>
    </row>
    <row r="52" spans="1:40">
      <c r="A52" s="1025" t="s">
        <v>713</v>
      </c>
      <c r="B52" s="953">
        <f>B43-B48</f>
        <v>1190.60000000001</v>
      </c>
      <c r="C52" s="985">
        <f>ROUND((B52*D51),0)</f>
        <v>117132</v>
      </c>
      <c r="D52" s="955">
        <f>IF(B52=0,0,C52/B52)</f>
        <v>98.3806484125646</v>
      </c>
      <c r="E52" s="953">
        <f>E43-E48</f>
        <v>916.399999999994</v>
      </c>
      <c r="F52" s="985">
        <f>ROUND((E52*G51),0)</f>
        <v>93810</v>
      </c>
      <c r="G52" s="955">
        <f>IF(E52=0,0,F52/E52)</f>
        <v>102.367961588826</v>
      </c>
      <c r="H52" s="1054">
        <f>H43-H48</f>
        <v>2211.89999999999</v>
      </c>
      <c r="I52" s="985">
        <f>ROUND((H52*J51),0)</f>
        <v>231728</v>
      </c>
      <c r="J52" s="1080">
        <f>IF(H52=0,0,I52/H52)</f>
        <v>104.764229847643</v>
      </c>
      <c r="K52" s="953">
        <f>K43-K48</f>
        <v>3431</v>
      </c>
      <c r="L52" s="985">
        <f>ROUND((K52*M51),0)</f>
        <v>317444</v>
      </c>
      <c r="M52" s="955">
        <f>IF(K52=0,0,L52/K52)</f>
        <v>92.5222967064996</v>
      </c>
      <c r="N52" s="1054">
        <f>N43-N48</f>
        <v>893.300000000003</v>
      </c>
      <c r="O52" s="985">
        <f>ROUND((N52*P51),0)</f>
        <v>95587</v>
      </c>
      <c r="P52" s="955">
        <f>IF(N52=0,0,O52/N52)</f>
        <v>107.004365834546</v>
      </c>
      <c r="Q52" s="953">
        <f>Q43-Q48</f>
        <v>79818.1</v>
      </c>
      <c r="R52" s="1105"/>
      <c r="S52" s="1114"/>
      <c r="T52" s="1054">
        <f>T43-T48</f>
        <v>0</v>
      </c>
      <c r="U52" s="1105"/>
      <c r="V52" s="1106"/>
      <c r="W52" s="953">
        <f>W43-W48</f>
        <v>0</v>
      </c>
      <c r="X52" s="1105"/>
      <c r="Y52" s="1114"/>
      <c r="Z52" s="1054">
        <f>Z43-Z48</f>
        <v>0</v>
      </c>
      <c r="AA52" s="1105"/>
      <c r="AB52" s="1106"/>
      <c r="AC52" s="953">
        <f>AC43-AC48</f>
        <v>0</v>
      </c>
      <c r="AD52" s="1105"/>
      <c r="AE52" s="1114"/>
      <c r="AF52" s="1054">
        <f>AF43-AF48</f>
        <v>0</v>
      </c>
      <c r="AG52" s="1105"/>
      <c r="AH52" s="1106"/>
      <c r="AI52" s="953">
        <f>AI43-AI48</f>
        <v>0</v>
      </c>
      <c r="AJ52" s="1106"/>
      <c r="AK52" s="1114"/>
      <c r="AL52" s="952">
        <f>AL43-AL48</f>
        <v>15258.3</v>
      </c>
      <c r="AM52" s="985">
        <f>ROUND((AL52*AN51),0)</f>
        <v>1539132</v>
      </c>
      <c r="AN52" s="955">
        <f>IF(AL52=0,0,AM52/AL52)</f>
        <v>100.871787813846</v>
      </c>
    </row>
    <row r="53" ht="14.25" spans="1:40">
      <c r="A53" s="1027" t="s">
        <v>714</v>
      </c>
      <c r="B53" s="1028">
        <f>IF(B52=0,0,B52/B43)</f>
        <v>0.0153846949033838</v>
      </c>
      <c r="C53" s="1029">
        <f>C52/C51</f>
        <v>0.0125208860484136</v>
      </c>
      <c r="D53" s="1030"/>
      <c r="E53" s="1028">
        <f>IF(E52=0,0,E52/E43)</f>
        <v>0.0119195030332039</v>
      </c>
      <c r="F53" s="1029">
        <f>F52/F51</f>
        <v>0.0104374029525133</v>
      </c>
      <c r="G53" s="1030"/>
      <c r="H53" s="1075">
        <f>IF(H52=0,0,H52/H43)</f>
        <v>0.026206445513128</v>
      </c>
      <c r="I53" s="1029">
        <f>I52/I51</f>
        <v>0.0219384298564414</v>
      </c>
      <c r="J53" s="1094"/>
      <c r="K53" s="1028">
        <f>IF(K52=0,0,K52/K43)</f>
        <v>0.0338820694626863</v>
      </c>
      <c r="L53" s="1029">
        <f>L52/L51</f>
        <v>0.032092981123774</v>
      </c>
      <c r="M53" s="1030"/>
      <c r="N53" s="1107">
        <f>IF(N52=0,0,N52/N43)</f>
        <v>0.0118384834866872</v>
      </c>
      <c r="O53" s="1029">
        <f>O52/O51</f>
        <v>0.00904395173014173</v>
      </c>
      <c r="P53" s="1108"/>
      <c r="Q53" s="1137">
        <f>IF(Q52=0,0,Q52/Q43)</f>
        <v>1</v>
      </c>
      <c r="R53" s="1138"/>
      <c r="S53" s="1139"/>
      <c r="T53" s="1107">
        <f>IF(T52=0,0,T52/T43)</f>
        <v>0</v>
      </c>
      <c r="U53" s="1138"/>
      <c r="V53" s="1108"/>
      <c r="W53" s="1137">
        <f>IF(W52=0,0,W52/W43)</f>
        <v>0</v>
      </c>
      <c r="X53" s="1138"/>
      <c r="Y53" s="1139"/>
      <c r="Z53" s="1107">
        <f>IF(Z52=0,0,Z52/Z43)</f>
        <v>0</v>
      </c>
      <c r="AA53" s="1138"/>
      <c r="AB53" s="1108"/>
      <c r="AC53" s="1137">
        <f>IF(AC52=0,0,AC52/AC43)</f>
        <v>0</v>
      </c>
      <c r="AD53" s="1138"/>
      <c r="AE53" s="1139"/>
      <c r="AF53" s="1107">
        <f>IF(AF52=0,0,AF52/AF43)</f>
        <v>0</v>
      </c>
      <c r="AG53" s="1138"/>
      <c r="AH53" s="1108"/>
      <c r="AI53" s="1137">
        <f>IF(AI52=0,0,AI52/AI43)</f>
        <v>0</v>
      </c>
      <c r="AJ53" s="1108"/>
      <c r="AK53" s="1139"/>
      <c r="AL53" s="1181">
        <f>IF(AL52=0,0,AL52/AL43)</f>
        <v>0.0361563121950156</v>
      </c>
      <c r="AM53" s="1029">
        <f>AM52/AM51</f>
        <v>0.0311779792713997</v>
      </c>
      <c r="AN53" s="1030"/>
    </row>
    <row r="54" ht="14.25" spans="1:40">
      <c r="A54" s="1019" t="s">
        <v>51</v>
      </c>
      <c r="B54" s="961"/>
      <c r="C54" s="962"/>
      <c r="D54" s="987"/>
      <c r="E54" s="961"/>
      <c r="F54" s="962"/>
      <c r="G54" s="987"/>
      <c r="H54" s="1044"/>
      <c r="I54" s="962"/>
      <c r="J54" s="999"/>
      <c r="K54" s="961"/>
      <c r="L54" s="962"/>
      <c r="M54" s="987"/>
      <c r="N54" s="1044"/>
      <c r="O54" s="1109"/>
      <c r="P54" s="1110"/>
      <c r="Q54" s="961"/>
      <c r="R54" s="1109"/>
      <c r="S54" s="1116"/>
      <c r="T54" s="1044"/>
      <c r="U54" s="1109"/>
      <c r="V54" s="1110"/>
      <c r="W54" s="961"/>
      <c r="X54" s="1109"/>
      <c r="Y54" s="1116"/>
      <c r="Z54" s="1044"/>
      <c r="AA54" s="1109"/>
      <c r="AB54" s="1110"/>
      <c r="AC54" s="961"/>
      <c r="AD54" s="1109"/>
      <c r="AE54" s="1116"/>
      <c r="AF54" s="1044"/>
      <c r="AG54" s="1109"/>
      <c r="AH54" s="1110"/>
      <c r="AI54" s="961"/>
      <c r="AJ54" s="1110"/>
      <c r="AK54" s="1116"/>
      <c r="AL54" s="960"/>
      <c r="AM54" s="960"/>
      <c r="AN54" s="1169"/>
    </row>
    <row r="55" ht="15" spans="1:40">
      <c r="A55" s="944" t="s">
        <v>715</v>
      </c>
      <c r="B55" s="945"/>
      <c r="C55" s="946"/>
      <c r="D55" s="947"/>
      <c r="E55" s="945"/>
      <c r="F55" s="946"/>
      <c r="G55" s="947"/>
      <c r="H55" s="946"/>
      <c r="I55" s="946"/>
      <c r="J55" s="946"/>
      <c r="K55" s="945"/>
      <c r="L55" s="946"/>
      <c r="M55" s="947"/>
      <c r="N55" s="946"/>
      <c r="O55" s="946"/>
      <c r="P55" s="946"/>
      <c r="Q55" s="945"/>
      <c r="R55" s="946"/>
      <c r="S55" s="947"/>
      <c r="T55" s="946"/>
      <c r="U55" s="946"/>
      <c r="V55" s="946"/>
      <c r="W55" s="945"/>
      <c r="X55" s="946"/>
      <c r="Y55" s="947"/>
      <c r="Z55" s="946"/>
      <c r="AA55" s="946"/>
      <c r="AB55" s="946"/>
      <c r="AC55" s="945"/>
      <c r="AD55" s="946"/>
      <c r="AE55" s="947"/>
      <c r="AF55" s="946"/>
      <c r="AG55" s="946"/>
      <c r="AH55" s="946"/>
      <c r="AI55" s="945"/>
      <c r="AJ55" s="946"/>
      <c r="AK55" s="947"/>
      <c r="AL55" s="945"/>
      <c r="AM55" s="1182"/>
      <c r="AN55" s="1170"/>
    </row>
    <row r="56" spans="1:40">
      <c r="A56" s="948" t="s">
        <v>716</v>
      </c>
      <c r="B56" s="949">
        <v>49725</v>
      </c>
      <c r="C56" s="950">
        <f>'Stock Valuation (FIFO)'!D10</f>
        <v>7657650</v>
      </c>
      <c r="D56" s="955">
        <f t="shared" ref="D56:D65" si="19">IF(B56=0,0,C56/B56)</f>
        <v>154</v>
      </c>
      <c r="E56" s="949">
        <f>B61</f>
        <v>56270</v>
      </c>
      <c r="F56" s="1040">
        <f>C61</f>
        <v>8609310</v>
      </c>
      <c r="G56" s="955">
        <f t="shared" ref="G56:G65" si="20">IF(E56=0,0,F56/E56)</f>
        <v>153</v>
      </c>
      <c r="H56" s="1041">
        <f>E61</f>
        <v>46564</v>
      </c>
      <c r="I56" s="1040">
        <f>F61</f>
        <v>7124292</v>
      </c>
      <c r="J56" s="1080">
        <f t="shared" ref="J56:J65" si="21">IF(H56=0,0,I56/H56)</f>
        <v>153</v>
      </c>
      <c r="K56" s="949">
        <f>H61</f>
        <v>52761.2</v>
      </c>
      <c r="L56" s="1040">
        <f>I61</f>
        <v>8072433</v>
      </c>
      <c r="M56" s="955">
        <f t="shared" ref="M56:M65" si="22">IF(K56=0,0,L56/K56)</f>
        <v>152.999420028354</v>
      </c>
      <c r="N56" s="1041">
        <f>K61</f>
        <v>48737.1</v>
      </c>
      <c r="O56" s="1040">
        <f>L61</f>
        <v>7164339</v>
      </c>
      <c r="P56" s="955">
        <f t="shared" ref="P56:P63" si="23">IF(N56=0,0,O56/N56)</f>
        <v>146.999698381726</v>
      </c>
      <c r="Q56" s="949">
        <f>N61</f>
        <v>49389.9</v>
      </c>
      <c r="R56" s="1112"/>
      <c r="S56" s="1113"/>
      <c r="T56" s="1041">
        <f>Q61</f>
        <v>49389.9</v>
      </c>
      <c r="U56" s="1112"/>
      <c r="V56" s="1152"/>
      <c r="W56" s="949">
        <f>T61</f>
        <v>49389.9</v>
      </c>
      <c r="X56" s="1112"/>
      <c r="Y56" s="1113"/>
      <c r="Z56" s="1041">
        <f>W61</f>
        <v>49389.9</v>
      </c>
      <c r="AA56" s="1112"/>
      <c r="AB56" s="1152"/>
      <c r="AC56" s="949">
        <f>Z61</f>
        <v>49389.9</v>
      </c>
      <c r="AD56" s="1112"/>
      <c r="AE56" s="1113"/>
      <c r="AF56" s="1041">
        <f>AC61</f>
        <v>49389.9</v>
      </c>
      <c r="AG56" s="1112"/>
      <c r="AH56" s="1152"/>
      <c r="AI56" s="949">
        <f>AF61</f>
        <v>49389.9</v>
      </c>
      <c r="AJ56" s="1152"/>
      <c r="AK56" s="1113"/>
      <c r="AL56" s="948">
        <f>B56</f>
        <v>49725</v>
      </c>
      <c r="AM56" s="1183">
        <f>C56</f>
        <v>7657650</v>
      </c>
      <c r="AN56" s="955">
        <f t="shared" ref="AN56:AN65" si="24">IF(AL56=0,0,AM56/AL56)</f>
        <v>154</v>
      </c>
    </row>
    <row r="57" spans="1:40">
      <c r="A57" s="952" t="s">
        <v>717</v>
      </c>
      <c r="B57" s="953">
        <f>B51-B58</f>
        <v>76198</v>
      </c>
      <c r="C57" s="985">
        <f>C48</f>
        <v>7016465</v>
      </c>
      <c r="D57" s="955">
        <f t="shared" si="19"/>
        <v>92.0820100265099</v>
      </c>
      <c r="E57" s="953">
        <f>E51-E58</f>
        <v>75966</v>
      </c>
      <c r="F57" s="985">
        <f>F48</f>
        <v>7493605</v>
      </c>
      <c r="G57" s="955">
        <f t="shared" si="20"/>
        <v>98.6441960877235</v>
      </c>
      <c r="H57" s="1054">
        <f>H51-H58</f>
        <v>82191</v>
      </c>
      <c r="I57" s="985">
        <f>I48</f>
        <v>8269977</v>
      </c>
      <c r="J57" s="1080">
        <f t="shared" si="21"/>
        <v>100.619009380589</v>
      </c>
      <c r="K57" s="953">
        <f>K51-K58</f>
        <v>97832</v>
      </c>
      <c r="L57" s="985">
        <f>L48</f>
        <v>8792648</v>
      </c>
      <c r="M57" s="955">
        <f t="shared" si="22"/>
        <v>89.8749693351868</v>
      </c>
      <c r="N57" s="1054">
        <f>N51-N58</f>
        <v>74564</v>
      </c>
      <c r="O57" s="985">
        <f>O48</f>
        <v>7619363</v>
      </c>
      <c r="P57" s="955">
        <f t="shared" si="23"/>
        <v>102.185545303364</v>
      </c>
      <c r="Q57" s="953">
        <f>Q51-Q58</f>
        <v>0</v>
      </c>
      <c r="R57" s="1105"/>
      <c r="S57" s="1114"/>
      <c r="T57" s="1054">
        <f>T51-T58</f>
        <v>0</v>
      </c>
      <c r="U57" s="1105"/>
      <c r="V57" s="1106"/>
      <c r="W57" s="953">
        <f>W51-W58</f>
        <v>0</v>
      </c>
      <c r="X57" s="1105"/>
      <c r="Y57" s="1114"/>
      <c r="Z57" s="1054">
        <f>Z51-Z58</f>
        <v>0</v>
      </c>
      <c r="AA57" s="1105"/>
      <c r="AB57" s="1106"/>
      <c r="AC57" s="953">
        <f>AC51-AC58</f>
        <v>0</v>
      </c>
      <c r="AD57" s="1105"/>
      <c r="AE57" s="1114"/>
      <c r="AF57" s="1054">
        <f>AF51-AF58</f>
        <v>0</v>
      </c>
      <c r="AG57" s="1105"/>
      <c r="AH57" s="1106"/>
      <c r="AI57" s="953">
        <f>AI51-AI58</f>
        <v>0</v>
      </c>
      <c r="AJ57" s="1106"/>
      <c r="AK57" s="1114"/>
      <c r="AL57" s="953">
        <f>AL51-AL58</f>
        <v>406751</v>
      </c>
      <c r="AM57" s="985">
        <f>AM48</f>
        <v>39192058</v>
      </c>
      <c r="AN57" s="955">
        <f t="shared" si="24"/>
        <v>96.3539315207584</v>
      </c>
    </row>
    <row r="58" spans="1:40">
      <c r="A58" s="952" t="s">
        <v>718</v>
      </c>
      <c r="B58" s="953">
        <f>B49</f>
        <v>18891.3</v>
      </c>
      <c r="C58" s="1031">
        <f>C49</f>
        <v>2338464</v>
      </c>
      <c r="D58" s="955">
        <f t="shared" si="19"/>
        <v>123.785234473011</v>
      </c>
      <c r="E58" s="953">
        <f>E49</f>
        <v>11833.5</v>
      </c>
      <c r="F58" s="1031">
        <f>F49</f>
        <v>1494263</v>
      </c>
      <c r="G58" s="955">
        <f t="shared" si="20"/>
        <v>126.273967972282</v>
      </c>
      <c r="H58" s="1054">
        <f>H49</f>
        <v>18632</v>
      </c>
      <c r="I58" s="1031">
        <f>I49</f>
        <v>2292675</v>
      </c>
      <c r="J58" s="1080">
        <f t="shared" si="21"/>
        <v>123.050397166166</v>
      </c>
      <c r="K58" s="953">
        <f>K49</f>
        <v>9076</v>
      </c>
      <c r="L58" s="1031">
        <f>L49</f>
        <v>1098736</v>
      </c>
      <c r="M58" s="955">
        <f t="shared" si="22"/>
        <v>121.059497576025</v>
      </c>
      <c r="N58" s="1054">
        <f>N49</f>
        <v>24209.7</v>
      </c>
      <c r="O58" s="1031">
        <f>O49</f>
        <v>2949800</v>
      </c>
      <c r="P58" s="955">
        <f t="shared" si="23"/>
        <v>121.84372379666</v>
      </c>
      <c r="Q58" s="953">
        <f>Q49</f>
        <v>0</v>
      </c>
      <c r="R58" s="1105"/>
      <c r="S58" s="1114"/>
      <c r="T58" s="1054">
        <f>T49</f>
        <v>0</v>
      </c>
      <c r="U58" s="1105"/>
      <c r="V58" s="1106"/>
      <c r="W58" s="953">
        <f>W49</f>
        <v>0</v>
      </c>
      <c r="X58" s="1105"/>
      <c r="Y58" s="1114"/>
      <c r="Z58" s="1054">
        <f>Z49</f>
        <v>0</v>
      </c>
      <c r="AA58" s="1105"/>
      <c r="AB58" s="1106"/>
      <c r="AC58" s="953">
        <f>AC49</f>
        <v>0</v>
      </c>
      <c r="AD58" s="1105"/>
      <c r="AE58" s="1114"/>
      <c r="AF58" s="1054">
        <f>AF49</f>
        <v>0</v>
      </c>
      <c r="AG58" s="1105"/>
      <c r="AH58" s="1106"/>
      <c r="AI58" s="953">
        <f>AI49</f>
        <v>0</v>
      </c>
      <c r="AJ58" s="1106"/>
      <c r="AK58" s="1114"/>
      <c r="AL58" s="953">
        <f>AL49</f>
        <v>82642.5</v>
      </c>
      <c r="AM58" s="1031">
        <f>AM49</f>
        <v>10173938</v>
      </c>
      <c r="AN58" s="955">
        <f t="shared" si="24"/>
        <v>123.107819826361</v>
      </c>
    </row>
    <row r="59" ht="14.25" spans="1:40">
      <c r="A59" s="1032" t="s">
        <v>719</v>
      </c>
      <c r="B59" s="1033">
        <v>773</v>
      </c>
      <c r="C59" s="1034">
        <f>ROUND((B59*D56),0)</f>
        <v>119042</v>
      </c>
      <c r="D59" s="1035">
        <f t="shared" si="19"/>
        <v>154</v>
      </c>
      <c r="E59" s="1033">
        <v>283</v>
      </c>
      <c r="F59" s="1034">
        <f>ROUND((E59*G56),0)</f>
        <v>43299</v>
      </c>
      <c r="G59" s="1035">
        <f t="shared" si="20"/>
        <v>153</v>
      </c>
      <c r="H59" s="1076">
        <v>215.8</v>
      </c>
      <c r="I59" s="1034">
        <f>ROUND((H59*J56),0)</f>
        <v>33017</v>
      </c>
      <c r="J59" s="1095">
        <f t="shared" si="21"/>
        <v>152.998146431881</v>
      </c>
      <c r="K59" s="1033">
        <v>225.4</v>
      </c>
      <c r="L59" s="1034">
        <f>ROUND((K59*M56),0)</f>
        <v>34486</v>
      </c>
      <c r="M59" s="1035">
        <f t="shared" si="22"/>
        <v>152.999112688554</v>
      </c>
      <c r="N59" s="1076">
        <v>199.3</v>
      </c>
      <c r="O59" s="1034">
        <f>ROUND((N59*P56),0)</f>
        <v>29297</v>
      </c>
      <c r="P59" s="1035">
        <f t="shared" si="23"/>
        <v>146.999498243853</v>
      </c>
      <c r="Q59" s="1033"/>
      <c r="R59" s="1097"/>
      <c r="S59" s="1140"/>
      <c r="T59" s="1076"/>
      <c r="U59" s="1097"/>
      <c r="V59" s="1111"/>
      <c r="W59" s="1033"/>
      <c r="X59" s="1097"/>
      <c r="Y59" s="1140"/>
      <c r="Z59" s="1076"/>
      <c r="AA59" s="1097"/>
      <c r="AB59" s="1111"/>
      <c r="AC59" s="1033"/>
      <c r="AD59" s="1097"/>
      <c r="AE59" s="1140"/>
      <c r="AF59" s="1076"/>
      <c r="AG59" s="1097"/>
      <c r="AH59" s="1111"/>
      <c r="AI59" s="1033"/>
      <c r="AJ59" s="1111"/>
      <c r="AK59" s="1140"/>
      <c r="AL59" s="1032">
        <f>SUM(B59,E59,H59,K59,N59,Q59,T59,W59,Z59,AC59,AF59,AI59)</f>
        <v>1696.5</v>
      </c>
      <c r="AM59" s="1184">
        <f>SUM(C59,F59,I59,L59,O59,R59,U59,X59,AA59,AD59,AG59,AJ59)</f>
        <v>259141</v>
      </c>
      <c r="AN59" s="1185">
        <f t="shared" si="24"/>
        <v>152.750368405541</v>
      </c>
    </row>
    <row r="60" ht="15" spans="1:40">
      <c r="A60" s="968" t="s">
        <v>52</v>
      </c>
      <c r="B60" s="1036">
        <f>SUM(B56:B59)</f>
        <v>145587.3</v>
      </c>
      <c r="C60" s="1037">
        <f>SUM(C56:C59)</f>
        <v>17131621</v>
      </c>
      <c r="D60" s="1038">
        <f t="shared" si="19"/>
        <v>117.672496158662</v>
      </c>
      <c r="E60" s="969">
        <f>SUM(E56:E59)</f>
        <v>144352.5</v>
      </c>
      <c r="F60" s="1037">
        <f>SUM(F56:F59)</f>
        <v>17640477</v>
      </c>
      <c r="G60" s="1038">
        <f t="shared" si="20"/>
        <v>122.204166883151</v>
      </c>
      <c r="H60" s="1047">
        <f>SUM(H56:H59)</f>
        <v>147602.8</v>
      </c>
      <c r="I60" s="1037">
        <f>SUM(I56:I59)</f>
        <v>17719961</v>
      </c>
      <c r="J60" s="1096">
        <f t="shared" si="21"/>
        <v>120.05165891162</v>
      </c>
      <c r="K60" s="969">
        <f>SUM(K56:K59)</f>
        <v>159894.6</v>
      </c>
      <c r="L60" s="1037">
        <f>SUM(L56:L59)</f>
        <v>17998303</v>
      </c>
      <c r="M60" s="1038">
        <f t="shared" si="22"/>
        <v>112.563544985259</v>
      </c>
      <c r="N60" s="1047">
        <f>SUM(N56:N59)</f>
        <v>147710.1</v>
      </c>
      <c r="O60" s="1037">
        <f>SUM(O56:O59)</f>
        <v>17762799</v>
      </c>
      <c r="P60" s="1038">
        <f t="shared" si="23"/>
        <v>120.254464657461</v>
      </c>
      <c r="Q60" s="969">
        <f>SUM(Q56:Q59)</f>
        <v>49389.9</v>
      </c>
      <c r="R60" s="1085"/>
      <c r="S60" s="1024"/>
      <c r="T60" s="1047">
        <f>SUM(T56:T59)</f>
        <v>49389.9</v>
      </c>
      <c r="U60" s="1085"/>
      <c r="V60" s="1093"/>
      <c r="W60" s="969">
        <f>SUM(W56:W59)</f>
        <v>49389.9</v>
      </c>
      <c r="X60" s="1085"/>
      <c r="Y60" s="1024"/>
      <c r="Z60" s="1047">
        <f>SUM(Z56:Z59)</f>
        <v>49389.9</v>
      </c>
      <c r="AA60" s="1085"/>
      <c r="AB60" s="1093"/>
      <c r="AC60" s="969">
        <f>SUM(AC56:AC59)</f>
        <v>49389.9</v>
      </c>
      <c r="AD60" s="1085"/>
      <c r="AE60" s="1024"/>
      <c r="AF60" s="1047">
        <f>SUM(AF56:AF59)</f>
        <v>49389.9</v>
      </c>
      <c r="AG60" s="1085"/>
      <c r="AH60" s="1093"/>
      <c r="AI60" s="969">
        <f>SUM(AI56:AI59)</f>
        <v>49389.9</v>
      </c>
      <c r="AJ60" s="1093"/>
      <c r="AK60" s="1024"/>
      <c r="AL60" s="968">
        <f>SUM(AL56:AL59)</f>
        <v>540815</v>
      </c>
      <c r="AM60" s="1037">
        <f>SUM(AM56:AM59)</f>
        <v>57282787</v>
      </c>
      <c r="AN60" s="1038">
        <f t="shared" si="24"/>
        <v>105.919375387147</v>
      </c>
    </row>
    <row r="61" ht="15" spans="1:40">
      <c r="A61" s="964" t="s">
        <v>720</v>
      </c>
      <c r="B61" s="965">
        <f>B60-B65</f>
        <v>56270</v>
      </c>
      <c r="C61" s="966">
        <f>'Stock Valuation (FIFO)'!G10</f>
        <v>8609310</v>
      </c>
      <c r="D61" s="986">
        <f t="shared" si="19"/>
        <v>153</v>
      </c>
      <c r="E61" s="965">
        <f>E60-E65</f>
        <v>46564</v>
      </c>
      <c r="F61" s="1045">
        <f>'Stock Valuation (FIFO)'!J10</f>
        <v>7124292</v>
      </c>
      <c r="G61" s="971">
        <f t="shared" si="20"/>
        <v>153</v>
      </c>
      <c r="H61" s="1077">
        <f>H60-H65</f>
        <v>52761.2</v>
      </c>
      <c r="I61" s="966">
        <f>'Stock Valuation (FIFO)'!M10</f>
        <v>8072433</v>
      </c>
      <c r="J61" s="1086">
        <f t="shared" si="21"/>
        <v>152.999420028354</v>
      </c>
      <c r="K61" s="965">
        <f>K60-K65</f>
        <v>48737.1</v>
      </c>
      <c r="L61" s="966">
        <f>'Stock Valuation (FIFO)'!P10</f>
        <v>7164339</v>
      </c>
      <c r="M61" s="971">
        <f t="shared" si="22"/>
        <v>146.999698381726</v>
      </c>
      <c r="N61" s="1077">
        <f>N60-N65</f>
        <v>49389.9</v>
      </c>
      <c r="O61" s="966">
        <f>'Stock Valuation (FIFO)'!S10</f>
        <v>7359110</v>
      </c>
      <c r="P61" s="971">
        <f t="shared" si="23"/>
        <v>149.000301681113</v>
      </c>
      <c r="Q61" s="965">
        <f>Q60-Q65</f>
        <v>49389.9</v>
      </c>
      <c r="R61" s="1091"/>
      <c r="S61" s="1117"/>
      <c r="T61" s="1077">
        <f>T60-T65</f>
        <v>49389.9</v>
      </c>
      <c r="U61" s="1091"/>
      <c r="V61" s="1144"/>
      <c r="W61" s="965">
        <f>W60-W65</f>
        <v>49389.9</v>
      </c>
      <c r="X61" s="1091"/>
      <c r="Y61" s="1117"/>
      <c r="Z61" s="1077">
        <f>Z60-Z65</f>
        <v>49389.9</v>
      </c>
      <c r="AA61" s="1091"/>
      <c r="AB61" s="1144"/>
      <c r="AC61" s="965">
        <f>AC60-AC65</f>
        <v>49389.9</v>
      </c>
      <c r="AD61" s="1091"/>
      <c r="AE61" s="1117"/>
      <c r="AF61" s="1077">
        <f>AF60-AF65</f>
        <v>49389.9</v>
      </c>
      <c r="AG61" s="1091"/>
      <c r="AH61" s="1144"/>
      <c r="AI61" s="965">
        <f>AI60-AI65</f>
        <v>49389.9</v>
      </c>
      <c r="AJ61" s="1091"/>
      <c r="AK61" s="1117"/>
      <c r="AL61" s="1163">
        <f>K61</f>
        <v>48737.1</v>
      </c>
      <c r="AM61" s="1164">
        <f>L61</f>
        <v>7164339</v>
      </c>
      <c r="AN61" s="1186">
        <f t="shared" si="24"/>
        <v>146.999698381726</v>
      </c>
    </row>
    <row r="62" spans="1:40">
      <c r="A62" s="952" t="s">
        <v>721</v>
      </c>
      <c r="B62" s="953">
        <v>79417.3</v>
      </c>
      <c r="C62" s="985">
        <f>C60-(C61+C64+C63)</f>
        <v>7227436</v>
      </c>
      <c r="D62" s="971">
        <f t="shared" si="19"/>
        <v>91.0058135947709</v>
      </c>
      <c r="E62" s="953">
        <v>85763.5</v>
      </c>
      <c r="F62" s="985">
        <f>F60-(F61+F64+F63)</f>
        <v>8955560</v>
      </c>
      <c r="G62" s="955">
        <f t="shared" si="20"/>
        <v>104.421577943997</v>
      </c>
      <c r="H62" s="1054">
        <v>86760.7</v>
      </c>
      <c r="I62" s="985">
        <f>I60-(I61+I64+I63)</f>
        <v>8601606</v>
      </c>
      <c r="J62" s="1080">
        <f t="shared" si="21"/>
        <v>99.1417312216245</v>
      </c>
      <c r="K62" s="953">
        <v>102532.5</v>
      </c>
      <c r="L62" s="985">
        <f>L60-(L61+L64+L63)</f>
        <v>9724214</v>
      </c>
      <c r="M62" s="955">
        <f t="shared" si="22"/>
        <v>94.8403091702631</v>
      </c>
      <c r="N62" s="1054">
        <v>90820.2</v>
      </c>
      <c r="O62" s="985">
        <f>O60-(O61+O64+O63)</f>
        <v>9456189</v>
      </c>
      <c r="P62" s="955">
        <f t="shared" si="23"/>
        <v>104.119887425925</v>
      </c>
      <c r="Q62" s="953"/>
      <c r="R62" s="1105"/>
      <c r="S62" s="1114"/>
      <c r="T62" s="1054"/>
      <c r="U62" s="1105"/>
      <c r="V62" s="1106"/>
      <c r="W62" s="953"/>
      <c r="X62" s="1105"/>
      <c r="Y62" s="1114"/>
      <c r="Z62" s="1054"/>
      <c r="AA62" s="1105"/>
      <c r="AB62" s="1106"/>
      <c r="AC62" s="953"/>
      <c r="AD62" s="1105"/>
      <c r="AE62" s="1114"/>
      <c r="AF62" s="1054"/>
      <c r="AG62" s="1105"/>
      <c r="AH62" s="1106"/>
      <c r="AI62" s="953"/>
      <c r="AJ62" s="1106"/>
      <c r="AK62" s="1114"/>
      <c r="AL62" s="952">
        <f>SUM(B62,E62,H62,K62,N62,Q62,T62,W62,Z62,AC62,AF62,AI62)</f>
        <v>445294.2</v>
      </c>
      <c r="AM62" s="985">
        <f>AM60-(AM61+AM64+AM63)</f>
        <v>44159776</v>
      </c>
      <c r="AN62" s="955">
        <f t="shared" si="24"/>
        <v>99.1698881323853</v>
      </c>
    </row>
    <row r="63" spans="1:40">
      <c r="A63" s="952" t="s">
        <v>380</v>
      </c>
      <c r="B63" s="953">
        <f>'Inventory Sales'!B10</f>
        <v>9900</v>
      </c>
      <c r="C63" s="985">
        <f>'Inventory Sales'!$D10</f>
        <v>1294875</v>
      </c>
      <c r="D63" s="955">
        <f t="shared" si="19"/>
        <v>130.795454545455</v>
      </c>
      <c r="E63" s="953">
        <f>'Inventory Sales'!E$10</f>
        <v>12025</v>
      </c>
      <c r="F63" s="985">
        <f>'Inventory Sales'!$G10</f>
        <v>1560625</v>
      </c>
      <c r="G63" s="955">
        <f t="shared" si="20"/>
        <v>129.781704781705</v>
      </c>
      <c r="H63" s="953">
        <f>'Inventory Sales'!H$10</f>
        <v>8080.9</v>
      </c>
      <c r="I63" s="985">
        <f>'Inventory Sales'!$J10</f>
        <v>1045922</v>
      </c>
      <c r="J63" s="1080">
        <f t="shared" si="21"/>
        <v>129.431375218107</v>
      </c>
      <c r="K63" s="953">
        <f>'Inventory Sales'!K$10</f>
        <v>8625</v>
      </c>
      <c r="L63" s="985">
        <f>'Inventory Sales'!$M10</f>
        <v>1109750</v>
      </c>
      <c r="M63" s="955">
        <f t="shared" si="22"/>
        <v>128.666666666667</v>
      </c>
      <c r="N63" s="1054">
        <v>7500</v>
      </c>
      <c r="O63" s="985">
        <f>'Inventory Sales'!$P10</f>
        <v>947500</v>
      </c>
      <c r="P63" s="955">
        <f t="shared" si="23"/>
        <v>126.333333333333</v>
      </c>
      <c r="Q63" s="953"/>
      <c r="R63" s="1105"/>
      <c r="S63" s="1114"/>
      <c r="T63" s="1054"/>
      <c r="U63" s="1105"/>
      <c r="V63" s="1106"/>
      <c r="W63" s="953"/>
      <c r="X63" s="1105"/>
      <c r="Y63" s="1114"/>
      <c r="Z63" s="1054"/>
      <c r="AA63" s="1105"/>
      <c r="AB63" s="1106"/>
      <c r="AC63" s="953"/>
      <c r="AD63" s="1105"/>
      <c r="AE63" s="1114"/>
      <c r="AF63" s="1054"/>
      <c r="AG63" s="1105"/>
      <c r="AH63" s="1106"/>
      <c r="AI63" s="953"/>
      <c r="AJ63" s="1106"/>
      <c r="AK63" s="1114"/>
      <c r="AL63" s="952">
        <f>SUM(B63,E63,H63,K63,N63,Q63,T63,W63,Z63,AC63,AF63,AI63)</f>
        <v>46130.9</v>
      </c>
      <c r="AM63" s="1159">
        <f>SUM(C63,F63,I63,L63,O63,R63,U63,X63,AA63,AD63,AG63,AJ63)</f>
        <v>5958672</v>
      </c>
      <c r="AN63" s="955">
        <f t="shared" si="24"/>
        <v>129.168778411</v>
      </c>
    </row>
    <row r="64" ht="14.25" spans="1:40">
      <c r="A64" s="1032" t="s">
        <v>722</v>
      </c>
      <c r="B64" s="1033"/>
      <c r="C64" s="1039"/>
      <c r="D64" s="1035">
        <f t="shared" si="19"/>
        <v>0</v>
      </c>
      <c r="E64" s="1033"/>
      <c r="F64" s="1078"/>
      <c r="G64" s="1035">
        <f t="shared" si="20"/>
        <v>0</v>
      </c>
      <c r="H64" s="1076"/>
      <c r="I64" s="1097"/>
      <c r="J64" s="1095">
        <f t="shared" si="21"/>
        <v>0</v>
      </c>
      <c r="K64" s="1033"/>
      <c r="L64" s="1097"/>
      <c r="M64" s="1035">
        <f t="shared" si="22"/>
        <v>0</v>
      </c>
      <c r="N64" s="1076"/>
      <c r="O64" s="1097"/>
      <c r="P64" s="1111"/>
      <c r="Q64" s="1033"/>
      <c r="R64" s="1097"/>
      <c r="S64" s="1140"/>
      <c r="T64" s="1076"/>
      <c r="U64" s="1097"/>
      <c r="V64" s="1111"/>
      <c r="W64" s="1033"/>
      <c r="X64" s="1097"/>
      <c r="Y64" s="1140"/>
      <c r="Z64" s="1076"/>
      <c r="AA64" s="1097"/>
      <c r="AB64" s="1111"/>
      <c r="AC64" s="1033"/>
      <c r="AD64" s="1097"/>
      <c r="AE64" s="1140"/>
      <c r="AF64" s="1076"/>
      <c r="AG64" s="1097"/>
      <c r="AH64" s="1111"/>
      <c r="AI64" s="1033"/>
      <c r="AJ64" s="1111"/>
      <c r="AK64" s="1140"/>
      <c r="AL64" s="1032">
        <f>SUM(B64:AI64)</f>
        <v>0</v>
      </c>
      <c r="AM64" s="1032"/>
      <c r="AN64" s="1185">
        <f t="shared" si="24"/>
        <v>0</v>
      </c>
    </row>
    <row r="65" ht="15" spans="1:40">
      <c r="A65" s="960" t="s">
        <v>52</v>
      </c>
      <c r="B65" s="961">
        <f>SUM(B62:B64)</f>
        <v>89317.3</v>
      </c>
      <c r="C65" s="962">
        <f>SUM(C60:C64)</f>
        <v>34263242</v>
      </c>
      <c r="D65" s="1187">
        <f t="shared" si="19"/>
        <v>383.612603605349</v>
      </c>
      <c r="E65" s="961">
        <f>SUM(E62:E64)</f>
        <v>97788.5</v>
      </c>
      <c r="F65" s="962">
        <f>SUM(F60:F64)</f>
        <v>35280954</v>
      </c>
      <c r="G65" s="1187">
        <f t="shared" si="20"/>
        <v>360.78837491116</v>
      </c>
      <c r="H65" s="1044">
        <f>SUM(H62:H64)</f>
        <v>94841.6</v>
      </c>
      <c r="I65" s="962">
        <f>SUM(I60:I64)</f>
        <v>35439922</v>
      </c>
      <c r="J65" s="1279">
        <f t="shared" si="21"/>
        <v>373.674864194615</v>
      </c>
      <c r="K65" s="961">
        <f>SUM(K62:K64)</f>
        <v>111157.5</v>
      </c>
      <c r="L65" s="962">
        <f>SUM(L60:L64)</f>
        <v>35996606</v>
      </c>
      <c r="M65" s="1187">
        <f t="shared" si="22"/>
        <v>323.834253199289</v>
      </c>
      <c r="N65" s="1044">
        <f>SUM(N62:N64)</f>
        <v>98320.2</v>
      </c>
      <c r="O65" s="962">
        <f>SUM(O60:O64)</f>
        <v>35525598</v>
      </c>
      <c r="P65" s="1187">
        <f>IF(N65=0,0,O65/N65)</f>
        <v>361.325526188922</v>
      </c>
      <c r="Q65" s="961">
        <f>SUM(Q62:Q64)</f>
        <v>0</v>
      </c>
      <c r="R65" s="1109"/>
      <c r="S65" s="1116"/>
      <c r="T65" s="1044">
        <f>SUM(T62:T64)</f>
        <v>0</v>
      </c>
      <c r="U65" s="1109"/>
      <c r="V65" s="1110"/>
      <c r="W65" s="961">
        <f>SUM(W62:W64)</f>
        <v>0</v>
      </c>
      <c r="X65" s="1109"/>
      <c r="Y65" s="1116"/>
      <c r="Z65" s="1044">
        <f>SUM(Z62:Z64)</f>
        <v>0</v>
      </c>
      <c r="AA65" s="1109"/>
      <c r="AB65" s="1110"/>
      <c r="AC65" s="961">
        <f>SUM(AC62:AC64)</f>
        <v>0</v>
      </c>
      <c r="AD65" s="1109"/>
      <c r="AE65" s="1116"/>
      <c r="AF65" s="1044">
        <f>SUM(AF62:AF64)</f>
        <v>0</v>
      </c>
      <c r="AG65" s="1109"/>
      <c r="AH65" s="1110"/>
      <c r="AI65" s="961">
        <f>SUM(AI62:AI64)</f>
        <v>0</v>
      </c>
      <c r="AJ65" s="1110"/>
      <c r="AK65" s="1116"/>
      <c r="AL65" s="961">
        <f>SUM(AL62:AL64)</f>
        <v>491425.1</v>
      </c>
      <c r="AM65" s="962">
        <f>SUM(AM60:AM64)</f>
        <v>114565574</v>
      </c>
      <c r="AN65" s="1202">
        <f t="shared" si="24"/>
        <v>233.129268325936</v>
      </c>
    </row>
    <row r="66" ht="14.25"/>
    <row r="67" ht="15" spans="1:40">
      <c r="A67" s="944" t="s">
        <v>723</v>
      </c>
      <c r="B67" s="945"/>
      <c r="C67" s="946"/>
      <c r="D67" s="947"/>
      <c r="E67" s="945"/>
      <c r="F67" s="946"/>
      <c r="G67" s="947"/>
      <c r="H67" s="946"/>
      <c r="I67" s="946"/>
      <c r="J67" s="946"/>
      <c r="K67" s="945"/>
      <c r="L67" s="946"/>
      <c r="M67" s="947"/>
      <c r="N67" s="946"/>
      <c r="O67" s="946"/>
      <c r="P67" s="946"/>
      <c r="Q67" s="945"/>
      <c r="R67" s="946"/>
      <c r="S67" s="947"/>
      <c r="T67" s="946"/>
      <c r="U67" s="946"/>
      <c r="V67" s="946"/>
      <c r="W67" s="945"/>
      <c r="X67" s="946"/>
      <c r="Y67" s="947"/>
      <c r="Z67" s="946"/>
      <c r="AA67" s="946"/>
      <c r="AB67" s="946"/>
      <c r="AC67" s="945"/>
      <c r="AD67" s="946"/>
      <c r="AE67" s="947"/>
      <c r="AF67" s="946"/>
      <c r="AG67" s="946"/>
      <c r="AH67" s="946"/>
      <c r="AI67" s="945"/>
      <c r="AJ67" s="946"/>
      <c r="AK67" s="947"/>
      <c r="AL67" s="945"/>
      <c r="AM67" s="785"/>
      <c r="AN67" s="947"/>
    </row>
    <row r="68" spans="1:40">
      <c r="A68" s="948" t="s">
        <v>724</v>
      </c>
      <c r="B68" s="949">
        <v>76468</v>
      </c>
      <c r="C68" s="950">
        <f>'Stock Valuation (FIFO)'!D11</f>
        <v>11776072</v>
      </c>
      <c r="D68" s="955">
        <f>IF(B68=0,0,C68/B68)</f>
        <v>154</v>
      </c>
      <c r="E68" s="949">
        <f>B71</f>
        <v>63905.6</v>
      </c>
      <c r="F68" s="1040">
        <f>C71</f>
        <v>9777618</v>
      </c>
      <c r="G68" s="955">
        <f>IF(E68=0,0,F68/E68)</f>
        <v>153.000957662552</v>
      </c>
      <c r="H68" s="1041">
        <f>E71</f>
        <v>61851.2</v>
      </c>
      <c r="I68" s="1040">
        <f>F71</f>
        <v>9463203</v>
      </c>
      <c r="J68" s="1080">
        <f>IF(H68=0,0,I68/H68)</f>
        <v>152.999505264247</v>
      </c>
      <c r="K68" s="949">
        <f>H71</f>
        <v>66527.9</v>
      </c>
      <c r="L68" s="1040">
        <f>I71</f>
        <v>10178784</v>
      </c>
      <c r="M68" s="955">
        <f>IF(K68=0,0,L68/K68)</f>
        <v>153.000229978701</v>
      </c>
      <c r="N68" s="1041">
        <f>K71</f>
        <v>73739.3</v>
      </c>
      <c r="O68" s="1040">
        <f>L71</f>
        <v>10839780</v>
      </c>
      <c r="P68" s="955">
        <f>IF(N68=0,0,O68/N68)</f>
        <v>147.001395456697</v>
      </c>
      <c r="Q68" s="949">
        <f>N71</f>
        <v>77584.9</v>
      </c>
      <c r="R68" s="1112"/>
      <c r="S68" s="1113"/>
      <c r="T68" s="1041">
        <f>Q71</f>
        <v>77584.9</v>
      </c>
      <c r="U68" s="1112"/>
      <c r="V68" s="1152"/>
      <c r="W68" s="949">
        <f>T71</f>
        <v>77584.9</v>
      </c>
      <c r="X68" s="1112"/>
      <c r="Y68" s="1113"/>
      <c r="Z68" s="1041">
        <f>W71</f>
        <v>77584.9</v>
      </c>
      <c r="AA68" s="1112"/>
      <c r="AB68" s="1152"/>
      <c r="AC68" s="949">
        <f>Z71</f>
        <v>77584.9</v>
      </c>
      <c r="AD68" s="1112"/>
      <c r="AE68" s="1113"/>
      <c r="AF68" s="1041">
        <f>AC71</f>
        <v>77584.9</v>
      </c>
      <c r="AG68" s="1112"/>
      <c r="AH68" s="1152"/>
      <c r="AI68" s="949">
        <f>AF71+0.1</f>
        <v>77585</v>
      </c>
      <c r="AJ68" s="1152"/>
      <c r="AK68" s="1113"/>
      <c r="AL68" s="948">
        <f>B68</f>
        <v>76468</v>
      </c>
      <c r="AM68" s="1359">
        <f>C68</f>
        <v>11776072</v>
      </c>
      <c r="AN68" s="1360">
        <f>IF(AL68=0,0,AM68/AL68)</f>
        <v>154</v>
      </c>
    </row>
    <row r="69" ht="14.25" spans="1:40">
      <c r="A69" s="1032" t="s">
        <v>725</v>
      </c>
      <c r="B69" s="1033">
        <f>B62</f>
        <v>79417.3</v>
      </c>
      <c r="C69" s="1039">
        <f>C62</f>
        <v>7227436</v>
      </c>
      <c r="D69" s="1035">
        <f>IF(B69=0,0,C69/B69)</f>
        <v>91.0058135947709</v>
      </c>
      <c r="E69" s="1033">
        <f>E62</f>
        <v>85763.5</v>
      </c>
      <c r="F69" s="1039">
        <f>F62</f>
        <v>8955560</v>
      </c>
      <c r="G69" s="1035">
        <f>IF(E69=0,0,F69/E69)</f>
        <v>104.421577943997</v>
      </c>
      <c r="H69" s="1076">
        <f>H62</f>
        <v>86760.7</v>
      </c>
      <c r="I69" s="1039">
        <f>I62</f>
        <v>8601606</v>
      </c>
      <c r="J69" s="1095">
        <f>IF(H69=0,0,I69/H69)</f>
        <v>99.1417312216245</v>
      </c>
      <c r="K69" s="1033">
        <f>K62</f>
        <v>102532.5</v>
      </c>
      <c r="L69" s="1039">
        <f>L62</f>
        <v>9724214</v>
      </c>
      <c r="M69" s="1035">
        <f>IF(K69=0,0,L69/K69)</f>
        <v>94.8403091702631</v>
      </c>
      <c r="N69" s="1076">
        <f>N62</f>
        <v>90820.2</v>
      </c>
      <c r="O69" s="1039">
        <f>O62</f>
        <v>9456189</v>
      </c>
      <c r="P69" s="1035">
        <f>IF(N69=0,0,O69/N69)</f>
        <v>104.119887425925</v>
      </c>
      <c r="Q69" s="1033">
        <f>Q62</f>
        <v>0</v>
      </c>
      <c r="R69" s="1097"/>
      <c r="S69" s="1140"/>
      <c r="T69" s="1076">
        <f>T62</f>
        <v>0</v>
      </c>
      <c r="U69" s="1097"/>
      <c r="V69" s="1111"/>
      <c r="W69" s="1033">
        <f>W62</f>
        <v>0</v>
      </c>
      <c r="X69" s="1097"/>
      <c r="Y69" s="1140"/>
      <c r="Z69" s="1076">
        <f>Z62</f>
        <v>0</v>
      </c>
      <c r="AA69" s="1097"/>
      <c r="AB69" s="1111"/>
      <c r="AC69" s="1033">
        <f>AC62</f>
        <v>0</v>
      </c>
      <c r="AD69" s="1097"/>
      <c r="AE69" s="1140"/>
      <c r="AF69" s="1076">
        <f>AF62</f>
        <v>0</v>
      </c>
      <c r="AG69" s="1097"/>
      <c r="AH69" s="1111"/>
      <c r="AI69" s="1033">
        <f>AI62</f>
        <v>0</v>
      </c>
      <c r="AJ69" s="1111"/>
      <c r="AK69" s="1140"/>
      <c r="AL69" s="1032">
        <f>SUM(B69,E69,H69,K69,N69,Q69,T69,W69,Z69,AC69,AF69,AI69)</f>
        <v>445294.2</v>
      </c>
      <c r="AM69" s="1361">
        <f>SUM(C69,F69,I69,L69,O69,R69,U69,X69,AA69,AD69,AG69,AJ69)</f>
        <v>43965005</v>
      </c>
      <c r="AN69" s="1362">
        <f>IF(AL69=0,0,AM69/AL69)</f>
        <v>98.7324896663824</v>
      </c>
    </row>
    <row r="70" ht="15.75" spans="1:40">
      <c r="A70" s="1016" t="s">
        <v>52</v>
      </c>
      <c r="B70" s="1188">
        <f>SUM(B68:B69)</f>
        <v>155885.3</v>
      </c>
      <c r="C70" s="1189">
        <f>SUM(C68:C69)</f>
        <v>19003508</v>
      </c>
      <c r="D70" s="1187">
        <f>IF(B70=0,0,C70/B70)</f>
        <v>121.906991871588</v>
      </c>
      <c r="E70" s="1188">
        <f>SUM(E68:E69)</f>
        <v>149669.1</v>
      </c>
      <c r="F70" s="1189">
        <f>SUM(F68:F69)</f>
        <v>18733178</v>
      </c>
      <c r="G70" s="971">
        <f>IF(E70=0,0,F70/E70)</f>
        <v>125.163965040212</v>
      </c>
      <c r="H70" s="1255">
        <f>SUM(H68:H69)</f>
        <v>148611.9</v>
      </c>
      <c r="I70" s="1189">
        <f>SUM(I68:I69)</f>
        <v>18064809</v>
      </c>
      <c r="J70" s="1086">
        <f>IF(H70=0,0,I70/H70)</f>
        <v>121.556947996762</v>
      </c>
      <c r="K70" s="1188">
        <f>SUM(K68:K69)</f>
        <v>169060.4</v>
      </c>
      <c r="L70" s="1189">
        <f>SUM(L68:L69)</f>
        <v>19902998</v>
      </c>
      <c r="M70" s="971">
        <f>IF(K70=0,0,L70/K70)</f>
        <v>117.727143671729</v>
      </c>
      <c r="N70" s="1255">
        <f>SUM(N68:N69)</f>
        <v>164559.5</v>
      </c>
      <c r="O70" s="1189">
        <f>SUM(O68:O69)</f>
        <v>20295969</v>
      </c>
      <c r="P70" s="971">
        <f>IF(N70=0,0,O70/N70)</f>
        <v>123.335140177261</v>
      </c>
      <c r="Q70" s="1188">
        <f>SUM(Q68:Q69)</f>
        <v>77584.9</v>
      </c>
      <c r="R70" s="1302"/>
      <c r="S70" s="1303"/>
      <c r="T70" s="1255">
        <f>SUM(T68:T69)</f>
        <v>77584.9</v>
      </c>
      <c r="U70" s="1302"/>
      <c r="V70" s="1335"/>
      <c r="W70" s="1188">
        <f>SUM(W68:W69)</f>
        <v>77584.9</v>
      </c>
      <c r="X70" s="1302"/>
      <c r="Y70" s="1303"/>
      <c r="Z70" s="1255">
        <f>SUM(Z68:Z69)</f>
        <v>77584.9</v>
      </c>
      <c r="AA70" s="1302"/>
      <c r="AB70" s="1335"/>
      <c r="AC70" s="1188">
        <f>SUM(AC68:AC69)</f>
        <v>77584.9</v>
      </c>
      <c r="AD70" s="1302"/>
      <c r="AE70" s="1303"/>
      <c r="AF70" s="1255">
        <f>SUM(AF68:AF69)</f>
        <v>77584.9</v>
      </c>
      <c r="AG70" s="1302"/>
      <c r="AH70" s="1335"/>
      <c r="AI70" s="1188">
        <f>SUM(AI68:AI69)</f>
        <v>77585</v>
      </c>
      <c r="AJ70" s="1335"/>
      <c r="AK70" s="1303"/>
      <c r="AL70" s="1363">
        <f>SUM(AL68:AL69)</f>
        <v>521762.2</v>
      </c>
      <c r="AM70" s="1364">
        <f>SUM(AM68:AM69)</f>
        <v>55741077</v>
      </c>
      <c r="AN70" s="1365">
        <f>IF(AL70=0,0,AM70/AL70)</f>
        <v>106.832340480012</v>
      </c>
    </row>
    <row r="71" ht="16.5" spans="1:40">
      <c r="A71" s="964" t="s">
        <v>726</v>
      </c>
      <c r="B71" s="1190">
        <f>B70-B79</f>
        <v>63905.6</v>
      </c>
      <c r="C71" s="1191">
        <f>'Stock Valuation (FIFO)'!G11</f>
        <v>9777618</v>
      </c>
      <c r="D71" s="1169">
        <f>IF(B71=0,0,C71/B71)</f>
        <v>153.000957662552</v>
      </c>
      <c r="E71" s="1190">
        <f>SUM(E70-E79)</f>
        <v>61851.2</v>
      </c>
      <c r="F71" s="1256">
        <f>'Stock Valuation (FIFO)'!J11</f>
        <v>9463203</v>
      </c>
      <c r="G71" s="971">
        <f>IF(E71=0,0,F71/E71)</f>
        <v>152.999505264247</v>
      </c>
      <c r="H71" s="1257">
        <f>H70-H79</f>
        <v>66527.9</v>
      </c>
      <c r="I71" s="1280">
        <f>'Stock Valuation (FIFO)'!M11</f>
        <v>10178784</v>
      </c>
      <c r="J71" s="1086">
        <f>IF(H71=0,0,I71/H71)</f>
        <v>153.000229978701</v>
      </c>
      <c r="K71" s="1190">
        <f>K70-K79</f>
        <v>73739.3</v>
      </c>
      <c r="L71" s="1280">
        <f>'Stock Valuation (FIFO)'!P11</f>
        <v>10839780</v>
      </c>
      <c r="M71" s="971">
        <f>IF(K71=0,0,L71/K71)</f>
        <v>147.001395456697</v>
      </c>
      <c r="N71" s="1292">
        <f>N70-N79</f>
        <v>77584.9</v>
      </c>
      <c r="O71" s="1293">
        <f>'Stock Valuation (FIFO)'!S11</f>
        <v>11560165</v>
      </c>
      <c r="P71" s="1294">
        <f>IF(N71=0,0,O71/N71)</f>
        <v>149.000192047679</v>
      </c>
      <c r="Q71" s="1304">
        <f>Q70-Q79</f>
        <v>77584.9</v>
      </c>
      <c r="R71" s="1305"/>
      <c r="S71" s="1306"/>
      <c r="T71" s="1292">
        <f>T70-T79</f>
        <v>77584.9</v>
      </c>
      <c r="U71" s="1305"/>
      <c r="V71" s="1336"/>
      <c r="W71" s="1304">
        <f>W70-W79</f>
        <v>77584.9</v>
      </c>
      <c r="X71" s="1305"/>
      <c r="Y71" s="1306"/>
      <c r="Z71" s="1292">
        <f>Z70-Z79</f>
        <v>77584.9</v>
      </c>
      <c r="AA71" s="1305"/>
      <c r="AB71" s="1336"/>
      <c r="AC71" s="1304">
        <f>AC70-AC79</f>
        <v>77584.9</v>
      </c>
      <c r="AD71" s="1305"/>
      <c r="AE71" s="1306"/>
      <c r="AF71" s="1292">
        <f>AF70-AF79</f>
        <v>77584.9</v>
      </c>
      <c r="AG71" s="1305"/>
      <c r="AH71" s="1336"/>
      <c r="AI71" s="1304">
        <f>AI70-AI79</f>
        <v>77585</v>
      </c>
      <c r="AJ71" s="1336"/>
      <c r="AK71" s="1306"/>
      <c r="AL71" s="1366">
        <f>AL70-AL79</f>
        <v>77584.9</v>
      </c>
      <c r="AM71" s="1367">
        <f>AM70-AM79</f>
        <v>11560165</v>
      </c>
      <c r="AN71" s="1368">
        <f>IF(AL71=0,0,AM71/AL71)</f>
        <v>149.000192047679</v>
      </c>
    </row>
    <row r="72" spans="1:40">
      <c r="A72" s="1025" t="s">
        <v>365</v>
      </c>
      <c r="B72" s="953">
        <f>B70-B71</f>
        <v>91979.7</v>
      </c>
      <c r="C72" s="972">
        <f>C70-C71</f>
        <v>9225890</v>
      </c>
      <c r="D72" s="971">
        <f>IF(B72=0,0,C72/B72)</f>
        <v>100.303545238786</v>
      </c>
      <c r="E72" s="953">
        <f>E70-E71</f>
        <v>87817.9</v>
      </c>
      <c r="F72" s="972">
        <f>F70-F71</f>
        <v>9269975</v>
      </c>
      <c r="G72" s="955">
        <f>IF(E72=0,0,F72/E72)</f>
        <v>105.559060282699</v>
      </c>
      <c r="H72" s="953">
        <f>H70-H71</f>
        <v>82084</v>
      </c>
      <c r="I72" s="972">
        <f>I70-I71</f>
        <v>7886025</v>
      </c>
      <c r="J72" s="1080">
        <f>IF(H72=0,0,I72/H72)</f>
        <v>96.0726207299839</v>
      </c>
      <c r="K72" s="953">
        <f>K70-K71</f>
        <v>95321.1</v>
      </c>
      <c r="L72" s="972">
        <f>L70-L71</f>
        <v>9063218</v>
      </c>
      <c r="M72" s="955">
        <f>IF(K72=0,0,L72/K72)</f>
        <v>95.080921223108</v>
      </c>
      <c r="N72" s="953">
        <f>N70-N71</f>
        <v>86974.6</v>
      </c>
      <c r="O72" s="972">
        <f>O70-O71</f>
        <v>8735804</v>
      </c>
      <c r="P72" s="955">
        <f>IF(N72=0,0,O72/N72)</f>
        <v>100.440864344303</v>
      </c>
      <c r="Q72" s="953"/>
      <c r="R72" s="1105"/>
      <c r="S72" s="1114"/>
      <c r="T72" s="1054"/>
      <c r="U72" s="1105"/>
      <c r="V72" s="1106"/>
      <c r="W72" s="953"/>
      <c r="X72" s="1105"/>
      <c r="Y72" s="1114"/>
      <c r="Z72" s="1054"/>
      <c r="AA72" s="1105"/>
      <c r="AB72" s="1106"/>
      <c r="AC72" s="953"/>
      <c r="AD72" s="1105"/>
      <c r="AE72" s="1114"/>
      <c r="AF72" s="1054"/>
      <c r="AG72" s="1105"/>
      <c r="AH72" s="1106"/>
      <c r="AI72" s="953"/>
      <c r="AJ72" s="1106"/>
      <c r="AK72" s="1114"/>
      <c r="AL72" s="952">
        <f>AL70-AL71</f>
        <v>444177.3</v>
      </c>
      <c r="AM72" s="1369">
        <f>AM70-AM71</f>
        <v>44180912</v>
      </c>
      <c r="AN72" s="1360">
        <f>IF(AL72=0,0,AM72/AL72)</f>
        <v>99.4668390302701</v>
      </c>
    </row>
    <row r="73" ht="15" spans="1:40">
      <c r="A73" s="1192"/>
      <c r="B73" s="974"/>
      <c r="C73" s="983"/>
      <c r="D73" s="1193"/>
      <c r="E73" s="974"/>
      <c r="F73" s="983"/>
      <c r="G73" s="1193"/>
      <c r="H73" s="1049"/>
      <c r="I73" s="983"/>
      <c r="J73" s="1281"/>
      <c r="K73" s="974"/>
      <c r="L73" s="983"/>
      <c r="M73" s="1193"/>
      <c r="N73" s="1049"/>
      <c r="O73" s="983"/>
      <c r="P73" s="1193"/>
      <c r="Q73" s="974"/>
      <c r="R73" s="1099"/>
      <c r="S73" s="1122"/>
      <c r="T73" s="1049"/>
      <c r="U73" s="1099"/>
      <c r="V73" s="1100"/>
      <c r="W73" s="974"/>
      <c r="X73" s="1099"/>
      <c r="Y73" s="1122"/>
      <c r="Z73" s="1049"/>
      <c r="AA73" s="1099"/>
      <c r="AB73" s="1100"/>
      <c r="AC73" s="974"/>
      <c r="AD73" s="1099"/>
      <c r="AE73" s="1122"/>
      <c r="AF73" s="1049"/>
      <c r="AG73" s="1099"/>
      <c r="AH73" s="1100"/>
      <c r="AI73" s="974"/>
      <c r="AJ73" s="1100"/>
      <c r="AK73" s="1122"/>
      <c r="AL73" s="991"/>
      <c r="AM73" s="1370"/>
      <c r="AN73" s="1371"/>
    </row>
    <row r="74" spans="1:40">
      <c r="A74" s="948" t="s">
        <v>727</v>
      </c>
      <c r="B74" s="949">
        <v>88053.7</v>
      </c>
      <c r="C74" s="1194">
        <f>(C70-C71)-(SUM(C75:C78))</f>
        <v>8725812</v>
      </c>
      <c r="D74" s="1195">
        <f t="shared" ref="D74:D79" si="25">IF(B74=0,0,C74/B74)</f>
        <v>99.0964831687936</v>
      </c>
      <c r="E74" s="949">
        <v>83808.3</v>
      </c>
      <c r="F74" s="1194">
        <f>(F70-F71)-(SUM(F75:F78))</f>
        <v>8762326</v>
      </c>
      <c r="G74" s="1195">
        <f t="shared" ref="G74:G79" si="26">IF(E74=0,0,F74/E74)</f>
        <v>104.552007378744</v>
      </c>
      <c r="H74" s="1041">
        <v>78913.6</v>
      </c>
      <c r="I74" s="1194">
        <f>(I70-I71)-(SUM(I75:I78))</f>
        <v>7497982</v>
      </c>
      <c r="J74" s="1282">
        <f t="shared" ref="J74:J79" si="27">IF(H74=0,0,I74/H74)</f>
        <v>95.0150797834594</v>
      </c>
      <c r="K74" s="949">
        <v>90523.4</v>
      </c>
      <c r="L74" s="1194">
        <f>(L70-L71)-(SUM(L75:L78))</f>
        <v>8494483</v>
      </c>
      <c r="M74" s="1195">
        <f t="shared" ref="M74:M79" si="28">IF(K74=0,0,L74/K74)</f>
        <v>93.8374276706354</v>
      </c>
      <c r="N74" s="1041">
        <v>83229.2</v>
      </c>
      <c r="O74" s="1194">
        <f>(O70-O71)-(SUM(O75:O78))</f>
        <v>8271286</v>
      </c>
      <c r="P74" s="1195">
        <f>IF(N74=0,0,O74/N74)</f>
        <v>99.3796167691147</v>
      </c>
      <c r="Q74" s="949"/>
      <c r="R74" s="1112"/>
      <c r="S74" s="1113"/>
      <c r="T74" s="1041"/>
      <c r="U74" s="1112"/>
      <c r="V74" s="1152"/>
      <c r="W74" s="949"/>
      <c r="X74" s="1112"/>
      <c r="Y74" s="1113"/>
      <c r="Z74" s="1041"/>
      <c r="AA74" s="1112"/>
      <c r="AB74" s="1152"/>
      <c r="AC74" s="949"/>
      <c r="AD74" s="1112"/>
      <c r="AE74" s="1113"/>
      <c r="AF74" s="1041"/>
      <c r="AG74" s="1112"/>
      <c r="AH74" s="1152"/>
      <c r="AI74" s="1350"/>
      <c r="AJ74" s="1351"/>
      <c r="AK74" s="1372"/>
      <c r="AL74" s="948">
        <f t="shared" ref="AL74:AM77" si="29">SUM(B74,E74,H74,K74,N74,Q74,T74,W74,Z74,AC74,AF74,AI74)</f>
        <v>424528.2</v>
      </c>
      <c r="AM74" s="1359">
        <f t="shared" si="29"/>
        <v>41751889</v>
      </c>
      <c r="AN74" s="1373">
        <f t="shared" ref="AN74:AN79" si="30">IF(AL74=0,0,AM74/AL74)</f>
        <v>98.3489176926291</v>
      </c>
    </row>
    <row r="75" spans="1:40">
      <c r="A75" s="952" t="s">
        <v>728</v>
      </c>
      <c r="B75" s="953">
        <f>B59</f>
        <v>773</v>
      </c>
      <c r="C75" s="985">
        <f>C59</f>
        <v>119042</v>
      </c>
      <c r="D75" s="955">
        <f t="shared" si="25"/>
        <v>154</v>
      </c>
      <c r="E75" s="953">
        <f>E59</f>
        <v>283</v>
      </c>
      <c r="F75" s="985">
        <f>F59</f>
        <v>43299</v>
      </c>
      <c r="G75" s="955">
        <f t="shared" si="26"/>
        <v>153</v>
      </c>
      <c r="H75" s="1054">
        <f>H59</f>
        <v>215.8</v>
      </c>
      <c r="I75" s="985">
        <f>I59</f>
        <v>33017</v>
      </c>
      <c r="J75" s="1080">
        <f t="shared" si="27"/>
        <v>152.998146431881</v>
      </c>
      <c r="K75" s="953">
        <v>225.4</v>
      </c>
      <c r="L75" s="985">
        <f>L59</f>
        <v>34486</v>
      </c>
      <c r="M75" s="955">
        <f t="shared" si="28"/>
        <v>152.999112688554</v>
      </c>
      <c r="N75" s="1054">
        <v>199.3</v>
      </c>
      <c r="O75" s="985">
        <f>O59</f>
        <v>29297</v>
      </c>
      <c r="P75" s="955">
        <f>IF(N75=0,0,O75/N75)</f>
        <v>146.999498243853</v>
      </c>
      <c r="Q75" s="953"/>
      <c r="R75" s="1105"/>
      <c r="S75" s="1114"/>
      <c r="T75" s="1054"/>
      <c r="U75" s="1105"/>
      <c r="V75" s="1106"/>
      <c r="W75" s="953"/>
      <c r="X75" s="1105"/>
      <c r="Y75" s="1114"/>
      <c r="Z75" s="1054"/>
      <c r="AA75" s="1105"/>
      <c r="AB75" s="1106"/>
      <c r="AC75" s="953"/>
      <c r="AD75" s="1105"/>
      <c r="AE75" s="1114"/>
      <c r="AF75" s="1054"/>
      <c r="AG75" s="1105"/>
      <c r="AH75" s="1106"/>
      <c r="AI75" s="953"/>
      <c r="AJ75" s="1106"/>
      <c r="AK75" s="1114"/>
      <c r="AL75" s="952">
        <f t="shared" si="29"/>
        <v>1696.5</v>
      </c>
      <c r="AM75" s="1369">
        <f t="shared" si="29"/>
        <v>259141</v>
      </c>
      <c r="AN75" s="1360">
        <f t="shared" si="30"/>
        <v>152.750368405541</v>
      </c>
    </row>
    <row r="76" spans="1:40">
      <c r="A76" s="952" t="s">
        <v>729</v>
      </c>
      <c r="B76" s="953">
        <v>108</v>
      </c>
      <c r="C76" s="985">
        <f>ROUND((B76*D69),0)</f>
        <v>9829</v>
      </c>
      <c r="D76" s="955">
        <f t="shared" si="25"/>
        <v>91.0092592592593</v>
      </c>
      <c r="E76" s="953">
        <v>100.6</v>
      </c>
      <c r="F76" s="985">
        <f>ROUND((E76*G69),0)</f>
        <v>10505</v>
      </c>
      <c r="G76" s="955">
        <f t="shared" si="26"/>
        <v>104.423459244533</v>
      </c>
      <c r="H76" s="1054">
        <v>184.1</v>
      </c>
      <c r="I76" s="985">
        <f>ROUND((H76*J69),0)</f>
        <v>18252</v>
      </c>
      <c r="J76" s="1080">
        <f t="shared" si="27"/>
        <v>99.1417707767518</v>
      </c>
      <c r="K76" s="953">
        <v>176.3</v>
      </c>
      <c r="L76" s="985">
        <f>ROUND((K76*M69),0)</f>
        <v>16720</v>
      </c>
      <c r="M76" s="955">
        <f t="shared" si="28"/>
        <v>94.8383437322745</v>
      </c>
      <c r="N76" s="1054">
        <v>111.3</v>
      </c>
      <c r="O76" s="985">
        <f>ROUND((N76*P69),0)</f>
        <v>11589</v>
      </c>
      <c r="P76" s="955">
        <f>IF(N76=0,0,O76/N76)</f>
        <v>104.123989218329</v>
      </c>
      <c r="Q76" s="953"/>
      <c r="R76" s="1105"/>
      <c r="S76" s="1114"/>
      <c r="T76" s="1054"/>
      <c r="U76" s="1105"/>
      <c r="V76" s="1106"/>
      <c r="W76" s="953"/>
      <c r="X76" s="1105"/>
      <c r="Y76" s="1114"/>
      <c r="Z76" s="1054"/>
      <c r="AA76" s="1105"/>
      <c r="AB76" s="1106"/>
      <c r="AC76" s="953"/>
      <c r="AD76" s="1105"/>
      <c r="AE76" s="1114"/>
      <c r="AF76" s="1054"/>
      <c r="AG76" s="1105"/>
      <c r="AH76" s="1106"/>
      <c r="AI76" s="953"/>
      <c r="AJ76" s="1106"/>
      <c r="AK76" s="1114"/>
      <c r="AL76" s="952">
        <f t="shared" si="29"/>
        <v>680.3</v>
      </c>
      <c r="AM76" s="1369">
        <f t="shared" si="29"/>
        <v>66895</v>
      </c>
      <c r="AN76" s="1360">
        <f t="shared" si="30"/>
        <v>98.3316184036455</v>
      </c>
    </row>
    <row r="77" spans="1:40">
      <c r="A77" s="995" t="s">
        <v>381</v>
      </c>
      <c r="B77" s="996">
        <f>32+3013</f>
        <v>3045</v>
      </c>
      <c r="C77" s="997">
        <f>ROUND((B77*D70),0)</f>
        <v>371207</v>
      </c>
      <c r="D77" s="955">
        <f t="shared" si="25"/>
        <v>121.907060755337</v>
      </c>
      <c r="E77" s="996">
        <f>36+3590</f>
        <v>3626</v>
      </c>
      <c r="F77" s="997">
        <f>ROUND((E77*G70),0)</f>
        <v>453845</v>
      </c>
      <c r="G77" s="955">
        <f t="shared" si="26"/>
        <v>125.164092664093</v>
      </c>
      <c r="H77" s="1057">
        <f>26+2744.5</f>
        <v>2770.5</v>
      </c>
      <c r="I77" s="997">
        <f>ROUND((H77*J70),0)</f>
        <v>336774</v>
      </c>
      <c r="J77" s="1080">
        <f t="shared" si="27"/>
        <v>121.557119653492</v>
      </c>
      <c r="K77" s="996">
        <f>35+4361</f>
        <v>4396</v>
      </c>
      <c r="L77" s="997">
        <f>ROUND((K77*M70),0)</f>
        <v>517529</v>
      </c>
      <c r="M77" s="955">
        <f t="shared" si="28"/>
        <v>117.727252047316</v>
      </c>
      <c r="N77" s="1057">
        <f>21+3413.8</f>
        <v>3434.8</v>
      </c>
      <c r="O77" s="997">
        <f>ROUND((N77*P70),0)</f>
        <v>423632</v>
      </c>
      <c r="P77" s="955">
        <f>IF(N77=0,0,O77/N77)</f>
        <v>123.335274251776</v>
      </c>
      <c r="Q77" s="996"/>
      <c r="R77" s="1089"/>
      <c r="S77" s="1128"/>
      <c r="T77" s="1057"/>
      <c r="U77" s="1089"/>
      <c r="V77" s="1148"/>
      <c r="W77" s="996"/>
      <c r="X77" s="1089"/>
      <c r="Y77" s="1128"/>
      <c r="Z77" s="1057"/>
      <c r="AA77" s="1089"/>
      <c r="AB77" s="1148"/>
      <c r="AC77" s="996"/>
      <c r="AD77" s="1089"/>
      <c r="AE77" s="1128"/>
      <c r="AF77" s="1057"/>
      <c r="AG77" s="1089"/>
      <c r="AH77" s="1148"/>
      <c r="AI77" s="996"/>
      <c r="AJ77" s="1148"/>
      <c r="AK77" s="1128"/>
      <c r="AL77" s="995">
        <f t="shared" si="29"/>
        <v>17272.3</v>
      </c>
      <c r="AM77" s="1374">
        <f t="shared" si="29"/>
        <v>2102987</v>
      </c>
      <c r="AN77" s="1360">
        <f t="shared" si="30"/>
        <v>121.754890778877</v>
      </c>
    </row>
    <row r="78" ht="14.25" spans="1:40">
      <c r="A78" s="1196" t="s">
        <v>730</v>
      </c>
      <c r="B78" s="1197"/>
      <c r="C78" s="1034"/>
      <c r="D78" s="1198">
        <f t="shared" si="25"/>
        <v>0</v>
      </c>
      <c r="E78" s="1197"/>
      <c r="F78" s="1034"/>
      <c r="G78" s="1198">
        <f t="shared" si="26"/>
        <v>0</v>
      </c>
      <c r="H78" s="1258"/>
      <c r="I78" s="1034"/>
      <c r="J78" s="1283">
        <f t="shared" si="27"/>
        <v>0</v>
      </c>
      <c r="K78" s="1197"/>
      <c r="L78" s="1034"/>
      <c r="M78" s="1198">
        <f t="shared" si="28"/>
        <v>0</v>
      </c>
      <c r="N78" s="1258"/>
      <c r="O78" s="1295"/>
      <c r="P78" s="1296"/>
      <c r="Q78" s="1197"/>
      <c r="R78" s="1295"/>
      <c r="S78" s="1307"/>
      <c r="T78" s="1258"/>
      <c r="U78" s="1295"/>
      <c r="V78" s="1296"/>
      <c r="W78" s="1197"/>
      <c r="X78" s="1295"/>
      <c r="Y78" s="1307"/>
      <c r="Z78" s="1258"/>
      <c r="AA78" s="1295"/>
      <c r="AB78" s="1296"/>
      <c r="AC78" s="1197"/>
      <c r="AD78" s="1295"/>
      <c r="AE78" s="1307"/>
      <c r="AF78" s="1258"/>
      <c r="AG78" s="1295"/>
      <c r="AH78" s="1296"/>
      <c r="AI78" s="1197"/>
      <c r="AJ78" s="1296"/>
      <c r="AK78" s="1307"/>
      <c r="AL78" s="1196">
        <f>SUM(B78:AI78)</f>
        <v>0</v>
      </c>
      <c r="AM78" s="1375"/>
      <c r="AN78" s="1376">
        <f t="shared" si="30"/>
        <v>0</v>
      </c>
    </row>
    <row r="79" ht="15.75" spans="1:40">
      <c r="A79" s="1199" t="s">
        <v>52</v>
      </c>
      <c r="B79" s="1200">
        <f>SUM(B74:B78)</f>
        <v>91979.7</v>
      </c>
      <c r="C79" s="1201">
        <f>SUM(C74:C78)</f>
        <v>9225890</v>
      </c>
      <c r="D79" s="1202">
        <f t="shared" si="25"/>
        <v>100.303545238786</v>
      </c>
      <c r="E79" s="1200">
        <f>SUM(E74:E78)</f>
        <v>87817.9</v>
      </c>
      <c r="F79" s="1201">
        <f>SUM(F74:F78)</f>
        <v>9269975</v>
      </c>
      <c r="G79" s="1202">
        <f t="shared" si="26"/>
        <v>105.559060282699</v>
      </c>
      <c r="H79" s="1259">
        <f>SUM(H74:H78)</f>
        <v>82084</v>
      </c>
      <c r="I79" s="1201">
        <f>SUM(I74:I78)</f>
        <v>7886025</v>
      </c>
      <c r="J79" s="1284">
        <f t="shared" si="27"/>
        <v>96.0726207299839</v>
      </c>
      <c r="K79" s="1200">
        <f>SUM(K74:K78)</f>
        <v>95321.1</v>
      </c>
      <c r="L79" s="1201">
        <f>SUM(L74:L78)</f>
        <v>9063218</v>
      </c>
      <c r="M79" s="1202">
        <f t="shared" si="28"/>
        <v>95.080921223108</v>
      </c>
      <c r="N79" s="1259">
        <f>SUM(N74:N78)</f>
        <v>86974.6</v>
      </c>
      <c r="O79" s="1201">
        <f>SUM(O74:O78)</f>
        <v>8735804</v>
      </c>
      <c r="P79" s="1202">
        <f>IF(N79=0,0,O79/N79)</f>
        <v>100.440864344303</v>
      </c>
      <c r="Q79" s="1200">
        <f>SUM(Q74:Q78)</f>
        <v>0</v>
      </c>
      <c r="R79" s="1308"/>
      <c r="S79" s="1309"/>
      <c r="T79" s="1259">
        <f>SUM(T74:T78)</f>
        <v>0</v>
      </c>
      <c r="U79" s="1308"/>
      <c r="V79" s="1337"/>
      <c r="W79" s="1200">
        <f>SUM(W74:W78)</f>
        <v>0</v>
      </c>
      <c r="X79" s="1308"/>
      <c r="Y79" s="1309"/>
      <c r="Z79" s="1259">
        <f>SUM(Z74:Z78)</f>
        <v>0</v>
      </c>
      <c r="AA79" s="1308"/>
      <c r="AB79" s="1337"/>
      <c r="AC79" s="1200">
        <f>SUM(AC74:AC78)</f>
        <v>0</v>
      </c>
      <c r="AD79" s="1308"/>
      <c r="AE79" s="1309"/>
      <c r="AF79" s="1259">
        <f>SUM(AF74:AF78)</f>
        <v>0</v>
      </c>
      <c r="AG79" s="1308"/>
      <c r="AH79" s="1337"/>
      <c r="AI79" s="1200">
        <f>SUM(AI74:AI78)</f>
        <v>0</v>
      </c>
      <c r="AJ79" s="1337"/>
      <c r="AK79" s="1309"/>
      <c r="AL79" s="1377">
        <f>SUM(AL74:AL78)</f>
        <v>444177.3</v>
      </c>
      <c r="AM79" s="1378">
        <f>SUM(AM74:AM78)</f>
        <v>44180912</v>
      </c>
      <c r="AN79" s="1379">
        <f t="shared" si="30"/>
        <v>99.4668390302701</v>
      </c>
    </row>
    <row r="80" spans="1:40">
      <c r="A80" s="1006" t="s">
        <v>731</v>
      </c>
      <c r="B80" s="1203">
        <f>IF(B79=0,0,B78/B70)</f>
        <v>0</v>
      </c>
      <c r="C80" s="1204"/>
      <c r="D80" s="1205">
        <f>C79/B74</f>
        <v>104.775722087771</v>
      </c>
      <c r="E80" s="1203">
        <f>IF(E79=0,0,E78/E70)</f>
        <v>0</v>
      </c>
      <c r="F80" s="1204"/>
      <c r="G80" s="983">
        <f>F79/E74</f>
        <v>110.609271396747</v>
      </c>
      <c r="H80" s="1203">
        <f>IF(H79=0,0,H78/H70)</f>
        <v>0</v>
      </c>
      <c r="I80" s="1204"/>
      <c r="J80" s="983">
        <f>I79/H74</f>
        <v>99.9323944161716</v>
      </c>
      <c r="K80" s="1203">
        <f>IF(K79=0,0,K78/K70)</f>
        <v>0</v>
      </c>
      <c r="L80" s="1204"/>
      <c r="M80" s="983">
        <f>L79/K74</f>
        <v>100.12016782401</v>
      </c>
      <c r="N80" s="1286">
        <f>IF(N79=0,0,N78/N70)</f>
        <v>0</v>
      </c>
      <c r="O80" s="1286"/>
      <c r="P80" s="983">
        <f>O79/N74</f>
        <v>104.960807024458</v>
      </c>
      <c r="Q80" s="1286">
        <f>IF(Q79=0,0,Q78/Q70)</f>
        <v>0</v>
      </c>
      <c r="R80" s="1286"/>
      <c r="S80" s="1286"/>
      <c r="T80" s="1286">
        <f>IF(T79=0,0,T78/T70)</f>
        <v>0</v>
      </c>
      <c r="U80" s="1286"/>
      <c r="V80" s="1286"/>
      <c r="W80" s="1286">
        <f>IF(W79=0,0,W78/W70)</f>
        <v>0</v>
      </c>
      <c r="X80" s="1286"/>
      <c r="Y80" s="1286"/>
      <c r="Z80" s="1286">
        <f>IF(Z79=0,0,Z78/Z70)</f>
        <v>0</v>
      </c>
      <c r="AA80" s="1286"/>
      <c r="AB80" s="1286"/>
      <c r="AC80" s="1286">
        <f>IF(AC79=0,0,AC78/AC70)</f>
        <v>0</v>
      </c>
      <c r="AD80" s="1286"/>
      <c r="AE80" s="1286"/>
      <c r="AF80" s="1286">
        <f>IF(AF79=0,0,AF78/AF70)</f>
        <v>0</v>
      </c>
      <c r="AG80" s="1286"/>
      <c r="AH80" s="1286"/>
      <c r="AI80" s="1286">
        <f>SUM(AI76:AI78)/AI70</f>
        <v>0</v>
      </c>
      <c r="AJ80" s="1286"/>
      <c r="AK80" s="1286"/>
      <c r="AL80" s="1286">
        <f>IF(AL79=0,0,AL78/AL70)</f>
        <v>0</v>
      </c>
      <c r="AM80" s="1286"/>
      <c r="AN80" s="983">
        <f>AM79/AL74</f>
        <v>104.070617688059</v>
      </c>
    </row>
    <row r="81" ht="14.25" spans="2:40">
      <c r="B81" s="159">
        <f>B56+B68</f>
        <v>126193</v>
      </c>
      <c r="C81" s="938">
        <f>C56+C68</f>
        <v>19433722</v>
      </c>
      <c r="D81" s="97">
        <f>D80-D79</f>
        <v>4.47217684898506</v>
      </c>
      <c r="G81" s="97">
        <f>G80-G79</f>
        <v>5.05021111404847</v>
      </c>
      <c r="J81" s="97">
        <f>J80-J79</f>
        <v>3.85977368618771</v>
      </c>
      <c r="M81" s="97">
        <f>M80-M79</f>
        <v>5.03924660090215</v>
      </c>
      <c r="P81" s="97">
        <f>P80-P79</f>
        <v>4.51994268015495</v>
      </c>
      <c r="AN81" s="97">
        <f>AN80-AN79</f>
        <v>4.60377865778923</v>
      </c>
    </row>
    <row r="82" ht="14.25" spans="1:40">
      <c r="A82" s="173"/>
      <c r="B82" s="1206"/>
      <c r="C82" s="1207"/>
      <c r="D82" s="1208"/>
      <c r="E82" s="1206"/>
      <c r="F82" s="1260"/>
      <c r="G82" s="1208"/>
      <c r="H82" s="1261"/>
      <c r="I82" s="1261"/>
      <c r="J82" s="1261"/>
      <c r="K82" s="1206"/>
      <c r="L82" s="1261"/>
      <c r="M82" s="1208"/>
      <c r="N82" s="1297"/>
      <c r="O82" s="1297"/>
      <c r="P82" s="1297"/>
      <c r="Q82" s="1310"/>
      <c r="R82" s="1297"/>
      <c r="S82" s="1311"/>
      <c r="T82" s="1297"/>
      <c r="U82" s="1297"/>
      <c r="V82" s="1297"/>
      <c r="W82" s="1310"/>
      <c r="X82" s="1297"/>
      <c r="Y82" s="1311"/>
      <c r="Z82" s="1297"/>
      <c r="AA82" s="1297"/>
      <c r="AB82" s="1297"/>
      <c r="AC82" s="1310"/>
      <c r="AD82" s="1297"/>
      <c r="AE82" s="1311"/>
      <c r="AF82" s="1297"/>
      <c r="AG82" s="1297"/>
      <c r="AH82" s="1297"/>
      <c r="AI82" s="1310"/>
      <c r="AJ82" s="1297"/>
      <c r="AK82" s="1311"/>
      <c r="AL82" s="1380"/>
      <c r="AM82" s="1381"/>
      <c r="AN82" s="1208"/>
    </row>
    <row r="83" ht="16.5" spans="1:40">
      <c r="A83" s="1209" t="s">
        <v>732</v>
      </c>
      <c r="B83" s="1210">
        <f>B61+B71</f>
        <v>120175.6</v>
      </c>
      <c r="C83" s="1191">
        <f>C61+C71</f>
        <v>18386928</v>
      </c>
      <c r="D83" s="1211">
        <f>IF(B83=0,0,(C83/B83))</f>
        <v>153.000509254791</v>
      </c>
      <c r="E83" s="1210">
        <f>SUM(E61+E71)</f>
        <v>108415.2</v>
      </c>
      <c r="F83" s="1191">
        <f>F61+F71</f>
        <v>16587495</v>
      </c>
      <c r="G83" s="1211">
        <f>IF(E83=0,0,(F83/E83))</f>
        <v>152.999717751754</v>
      </c>
      <c r="H83" s="1262">
        <f>H61+H71</f>
        <v>119289.1</v>
      </c>
      <c r="I83" s="1191">
        <f>I61+I71</f>
        <v>18251217</v>
      </c>
      <c r="J83" s="1285">
        <f>IF(H83=0,0,(I83/H83))</f>
        <v>152.999871740167</v>
      </c>
      <c r="K83" s="1210">
        <f>K61+K71</f>
        <v>122476.4</v>
      </c>
      <c r="L83" s="1191">
        <f>L61+L71</f>
        <v>18004119</v>
      </c>
      <c r="M83" s="1211">
        <f>IF(K83=0,0,(L83/K83))</f>
        <v>147.000720138737</v>
      </c>
      <c r="N83" s="1298">
        <f>N61+N71</f>
        <v>126974.8</v>
      </c>
      <c r="O83" s="1191">
        <f>O61+O71</f>
        <v>18919275</v>
      </c>
      <c r="P83" s="1211">
        <f>IF(N83=0,0,(O83/N83))</f>
        <v>149.000234692238</v>
      </c>
      <c r="Q83" s="1312">
        <f>Q61+Q71</f>
        <v>126974.8</v>
      </c>
      <c r="R83" s="1313"/>
      <c r="S83" s="1314"/>
      <c r="T83" s="1298">
        <f>T61+T71</f>
        <v>126974.8</v>
      </c>
      <c r="U83" s="1313"/>
      <c r="V83" s="1338"/>
      <c r="W83" s="1312">
        <f>W61+W71</f>
        <v>126974.8</v>
      </c>
      <c r="X83" s="1313"/>
      <c r="Y83" s="1314"/>
      <c r="Z83" s="1298">
        <f>Z61+Z71</f>
        <v>126974.8</v>
      </c>
      <c r="AA83" s="1313"/>
      <c r="AB83" s="1338"/>
      <c r="AC83" s="1312">
        <f>AC61+AC71</f>
        <v>126974.8</v>
      </c>
      <c r="AD83" s="1313"/>
      <c r="AE83" s="1314"/>
      <c r="AF83" s="1348">
        <f>AF61+AF71</f>
        <v>126974.8</v>
      </c>
      <c r="AG83" s="1256"/>
      <c r="AH83" s="1352"/>
      <c r="AI83" s="1353">
        <f>AI61+AI71-0.01</f>
        <v>126974.89</v>
      </c>
      <c r="AJ83" s="1354"/>
      <c r="AK83" s="1382"/>
      <c r="AL83" s="1383">
        <f>AL61+AL71</f>
        <v>126322</v>
      </c>
      <c r="AM83" s="1384">
        <f>AM61+AM71</f>
        <v>18724504</v>
      </c>
      <c r="AN83" s="1385">
        <f>IF(AL83=0,0,(AM83/AL83))</f>
        <v>148.228368771869</v>
      </c>
    </row>
    <row r="84" ht="15.75" spans="1:40">
      <c r="A84" s="1212"/>
      <c r="B84" s="1213"/>
      <c r="C84" s="1214"/>
      <c r="D84" s="1215"/>
      <c r="E84" s="1213"/>
      <c r="F84" s="1214"/>
      <c r="G84" s="1215"/>
      <c r="H84" s="1263"/>
      <c r="I84" s="1214"/>
      <c r="J84" s="1263"/>
      <c r="K84" s="1213"/>
      <c r="L84" s="1214"/>
      <c r="M84" s="1215"/>
      <c r="N84" s="1299"/>
      <c r="O84" s="1214"/>
      <c r="P84" s="1263"/>
      <c r="Q84" s="1315"/>
      <c r="R84" s="1299"/>
      <c r="S84" s="1316"/>
      <c r="T84" s="1299"/>
      <c r="U84" s="1299"/>
      <c r="V84" s="1299"/>
      <c r="W84" s="1315"/>
      <c r="X84" s="1299"/>
      <c r="Y84" s="1316"/>
      <c r="Z84" s="1299"/>
      <c r="AA84" s="1299"/>
      <c r="AB84" s="1299"/>
      <c r="AC84" s="1315"/>
      <c r="AD84" s="1299"/>
      <c r="AE84" s="1316"/>
      <c r="AF84" s="1349"/>
      <c r="AG84" s="1349"/>
      <c r="AH84" s="1349"/>
      <c r="AI84" s="1355"/>
      <c r="AJ84" s="1356"/>
      <c r="AK84" s="1386"/>
      <c r="AL84" s="1387"/>
      <c r="AM84" s="1388"/>
      <c r="AN84" s="1389"/>
    </row>
    <row r="85" ht="14.25" spans="1:40">
      <c r="A85" s="988"/>
      <c r="B85" s="1216"/>
      <c r="C85" s="1217"/>
      <c r="D85" s="1218"/>
      <c r="E85" s="1216"/>
      <c r="F85" s="1264"/>
      <c r="G85" s="1218"/>
      <c r="H85" s="1265"/>
      <c r="I85" s="1265"/>
      <c r="J85" s="1265"/>
      <c r="K85" s="1216"/>
      <c r="L85" s="1286"/>
      <c r="M85" s="1218"/>
      <c r="N85" s="1265"/>
      <c r="O85" s="1265"/>
      <c r="P85" s="1265"/>
      <c r="Q85" s="1216"/>
      <c r="R85" s="1286"/>
      <c r="S85" s="1218"/>
      <c r="T85" s="1265"/>
      <c r="U85" s="1265"/>
      <c r="V85" s="1265"/>
      <c r="W85" s="1216"/>
      <c r="X85" s="1286"/>
      <c r="Y85" s="1218"/>
      <c r="Z85" s="1265"/>
      <c r="AA85" s="1265"/>
      <c r="AB85" s="1265"/>
      <c r="AC85" s="1216"/>
      <c r="AD85" s="1286"/>
      <c r="AE85" s="1218"/>
      <c r="AF85" s="1265"/>
      <c r="AG85" s="1265"/>
      <c r="AH85" s="1265"/>
      <c r="AI85" s="1216"/>
      <c r="AJ85" s="1286"/>
      <c r="AK85" s="1218"/>
      <c r="AL85" s="1216"/>
      <c r="AM85" s="1390"/>
      <c r="AN85" s="1391"/>
    </row>
    <row r="86" ht="15" spans="1:40">
      <c r="A86" s="1219" t="s">
        <v>727</v>
      </c>
      <c r="B86" s="945"/>
      <c r="C86" s="946"/>
      <c r="D86" s="947"/>
      <c r="E86" s="945"/>
      <c r="F86" s="946"/>
      <c r="G86" s="947"/>
      <c r="H86" s="946"/>
      <c r="I86" s="946"/>
      <c r="J86" s="946"/>
      <c r="K86" s="945"/>
      <c r="L86" s="946"/>
      <c r="M86" s="947"/>
      <c r="N86" s="946"/>
      <c r="O86" s="946"/>
      <c r="P86" s="946"/>
      <c r="Q86" s="945"/>
      <c r="R86" s="946"/>
      <c r="S86" s="947"/>
      <c r="T86" s="946"/>
      <c r="U86" s="946"/>
      <c r="V86" s="946"/>
      <c r="W86" s="945"/>
      <c r="X86" s="946"/>
      <c r="Y86" s="947"/>
      <c r="Z86" s="946"/>
      <c r="AA86" s="946"/>
      <c r="AB86" s="946"/>
      <c r="AC86" s="945"/>
      <c r="AD86" s="946"/>
      <c r="AE86" s="947"/>
      <c r="AF86" s="946"/>
      <c r="AG86" s="946"/>
      <c r="AH86" s="946"/>
      <c r="AI86" s="945"/>
      <c r="AJ86" s="946"/>
      <c r="AK86" s="947"/>
      <c r="AL86" s="945"/>
      <c r="AM86" s="777"/>
      <c r="AN86" s="1170"/>
    </row>
    <row r="87" spans="1:40">
      <c r="A87" s="948" t="s">
        <v>716</v>
      </c>
      <c r="B87" s="949">
        <v>206027</v>
      </c>
      <c r="C87" s="950">
        <f>'Stock Valuation (FIFO)'!D14</f>
        <v>45325940</v>
      </c>
      <c r="D87" s="955">
        <f t="shared" ref="D87:D96" si="31">IF(B87=0,0,C87/B87)</f>
        <v>220</v>
      </c>
      <c r="E87" s="949">
        <f>B92</f>
        <v>207100.83</v>
      </c>
      <c r="F87" s="1040">
        <f>C92</f>
        <v>49079882</v>
      </c>
      <c r="G87" s="955">
        <f t="shared" ref="G87:G96" si="32">IF(E87=0,0,F87/E87)</f>
        <v>236.985443274177</v>
      </c>
      <c r="H87" s="1041">
        <f>E92</f>
        <v>168371.38</v>
      </c>
      <c r="I87" s="1040">
        <f>F92</f>
        <v>36880511</v>
      </c>
      <c r="J87" s="1080">
        <f t="shared" ref="J87:J96" si="33">IF(H87=0,0,I87/H87)</f>
        <v>219.04263658111</v>
      </c>
      <c r="K87" s="949">
        <f>H92</f>
        <v>140447.04</v>
      </c>
      <c r="L87" s="1040">
        <f>I92</f>
        <v>30757893</v>
      </c>
      <c r="M87" s="955">
        <f t="shared" ref="M87:M96" si="34">IF(K87=0,0,L87/K87)</f>
        <v>218.999937627735</v>
      </c>
      <c r="N87" s="1041">
        <f>K92</f>
        <v>130199.14</v>
      </c>
      <c r="O87" s="1040">
        <f>L92</f>
        <v>28383382</v>
      </c>
      <c r="P87" s="955">
        <f>IF(N87=0,0,O87/N87)</f>
        <v>217.999765589849</v>
      </c>
      <c r="Q87" s="949">
        <f>N92</f>
        <v>-77579.74</v>
      </c>
      <c r="R87" s="1112"/>
      <c r="S87" s="1113"/>
      <c r="T87" s="1041">
        <f>Q92</f>
        <v>-77579.74</v>
      </c>
      <c r="U87" s="1112"/>
      <c r="V87" s="1152"/>
      <c r="W87" s="949">
        <f>T92</f>
        <v>-77579.74</v>
      </c>
      <c r="X87" s="1112"/>
      <c r="Y87" s="1113"/>
      <c r="Z87" s="1041">
        <f>W92</f>
        <v>-77579.74</v>
      </c>
      <c r="AA87" s="1112"/>
      <c r="AB87" s="1152"/>
      <c r="AC87" s="949">
        <f>Z92</f>
        <v>-77579.14</v>
      </c>
      <c r="AD87" s="1112"/>
      <c r="AE87" s="1113"/>
      <c r="AF87" s="1041">
        <f>AC92</f>
        <v>-77579.14</v>
      </c>
      <c r="AG87" s="1112"/>
      <c r="AH87" s="1152"/>
      <c r="AI87" s="949">
        <f>AF92</f>
        <v>-77579.14</v>
      </c>
      <c r="AJ87" s="1152"/>
      <c r="AK87" s="1113"/>
      <c r="AL87" s="948">
        <f>B87</f>
        <v>206027</v>
      </c>
      <c r="AM87" s="1392">
        <f>C87</f>
        <v>45325940</v>
      </c>
      <c r="AN87" s="955">
        <f t="shared" ref="AN87:AN96" si="35">IF(AL87=0,0,AM87/AL87)</f>
        <v>220</v>
      </c>
    </row>
    <row r="88" spans="1:40">
      <c r="A88" s="952" t="s">
        <v>709</v>
      </c>
      <c r="B88" s="953">
        <f>B74</f>
        <v>88053.7</v>
      </c>
      <c r="C88" s="985">
        <f>C74</f>
        <v>8725812</v>
      </c>
      <c r="D88" s="955">
        <f t="shared" si="31"/>
        <v>99.0964831687936</v>
      </c>
      <c r="E88" s="953">
        <f>E74</f>
        <v>83808.3</v>
      </c>
      <c r="F88" s="985">
        <f>F74</f>
        <v>8762326</v>
      </c>
      <c r="G88" s="955">
        <f t="shared" si="32"/>
        <v>104.552007378744</v>
      </c>
      <c r="H88" s="1054">
        <f>H74</f>
        <v>78913.6</v>
      </c>
      <c r="I88" s="985">
        <f>I74</f>
        <v>7497982</v>
      </c>
      <c r="J88" s="1080">
        <f t="shared" si="33"/>
        <v>95.0150797834594</v>
      </c>
      <c r="K88" s="953">
        <f>K74</f>
        <v>90523.4</v>
      </c>
      <c r="L88" s="985">
        <f>L74</f>
        <v>8494483</v>
      </c>
      <c r="M88" s="955">
        <f t="shared" si="34"/>
        <v>93.8374276706354</v>
      </c>
      <c r="N88" s="1054">
        <f>N74</f>
        <v>83229.2</v>
      </c>
      <c r="O88" s="985">
        <f>O74</f>
        <v>8271286</v>
      </c>
      <c r="P88" s="955">
        <f>IF(N88=0,0,O88/N88)</f>
        <v>99.3796167691147</v>
      </c>
      <c r="Q88" s="953">
        <f>Q74</f>
        <v>0</v>
      </c>
      <c r="R88" s="1105"/>
      <c r="S88" s="1114"/>
      <c r="T88" s="1054">
        <f>T74</f>
        <v>0</v>
      </c>
      <c r="U88" s="1105"/>
      <c r="V88" s="1106"/>
      <c r="W88" s="1339">
        <f>W74</f>
        <v>0</v>
      </c>
      <c r="X88" s="1340"/>
      <c r="Y88" s="1347"/>
      <c r="Z88" s="1054">
        <f>Z74</f>
        <v>0</v>
      </c>
      <c r="AA88" s="1105"/>
      <c r="AB88" s="1106"/>
      <c r="AC88" s="953">
        <f>AC74</f>
        <v>0</v>
      </c>
      <c r="AD88" s="1105"/>
      <c r="AE88" s="1114"/>
      <c r="AF88" s="1054">
        <f>AF74</f>
        <v>0</v>
      </c>
      <c r="AG88" s="1105"/>
      <c r="AH88" s="1106"/>
      <c r="AI88" s="953">
        <f>AI74</f>
        <v>0</v>
      </c>
      <c r="AJ88" s="1105"/>
      <c r="AK88" s="1114"/>
      <c r="AL88" s="952">
        <f>AL74</f>
        <v>424528.2</v>
      </c>
      <c r="AM88" s="1393">
        <f>AM74</f>
        <v>41751889</v>
      </c>
      <c r="AN88" s="955">
        <f t="shared" si="35"/>
        <v>98.3489176926291</v>
      </c>
    </row>
    <row r="89" spans="1:40">
      <c r="A89" s="952" t="s">
        <v>355</v>
      </c>
      <c r="B89" s="953">
        <f>Purchase!$B22</f>
        <v>6741</v>
      </c>
      <c r="C89" s="985">
        <f>ROUND((Purchase!$C22+Purchase!$H22),0)</f>
        <v>1618943</v>
      </c>
      <c r="D89" s="955">
        <f t="shared" si="31"/>
        <v>240.163625574841</v>
      </c>
      <c r="E89" s="953">
        <f>Purchase!$B23</f>
        <v>3898</v>
      </c>
      <c r="F89" s="985">
        <f>Purchase!$C23</f>
        <v>863540</v>
      </c>
      <c r="G89" s="955">
        <f t="shared" si="32"/>
        <v>221.53412006157</v>
      </c>
      <c r="H89" s="1054">
        <f>Purchase!$B24</f>
        <v>7345</v>
      </c>
      <c r="I89" s="985">
        <f>Purchase!$C24</f>
        <v>1761078</v>
      </c>
      <c r="J89" s="1080">
        <f t="shared" si="33"/>
        <v>239.765554799183</v>
      </c>
      <c r="K89" s="953">
        <f>Purchase!$B25</f>
        <v>4223.5</v>
      </c>
      <c r="L89" s="985">
        <f>Purchase!$C25</f>
        <v>1008061.5</v>
      </c>
      <c r="M89" s="955">
        <f t="shared" si="34"/>
        <v>238.67917603883</v>
      </c>
      <c r="N89" s="1054">
        <v>25076.9</v>
      </c>
      <c r="O89" s="985">
        <f>Purchase!$C26</f>
        <v>2114093.1</v>
      </c>
      <c r="P89" s="955">
        <f>IF(N89=0,0,O89/N89)</f>
        <v>84.3044036543592</v>
      </c>
      <c r="Q89" s="953"/>
      <c r="R89" s="1105"/>
      <c r="S89" s="1114"/>
      <c r="T89" s="1054"/>
      <c r="U89" s="1105"/>
      <c r="V89" s="1106"/>
      <c r="W89" s="953"/>
      <c r="X89" s="1105"/>
      <c r="Y89" s="1114"/>
      <c r="Z89" s="1054"/>
      <c r="AA89" s="1105"/>
      <c r="AB89" s="1106"/>
      <c r="AC89" s="953"/>
      <c r="AD89" s="1105"/>
      <c r="AE89" s="1114"/>
      <c r="AF89" s="1054"/>
      <c r="AG89" s="1105"/>
      <c r="AH89" s="1106"/>
      <c r="AI89" s="953"/>
      <c r="AJ89" s="1106"/>
      <c r="AK89" s="1114"/>
      <c r="AL89" s="952">
        <f>SUM(B89,E89,H89,K89,N89,Q89,T89,W89,Z89,AC89,AF89,AI89)</f>
        <v>47284.4</v>
      </c>
      <c r="AM89" s="1393">
        <f>SUM(C89,F89,I89,L89,O89,R89,U89,X89,AA89,AD89,AG89,AJ89)</f>
        <v>7365715.6</v>
      </c>
      <c r="AN89" s="955">
        <f t="shared" si="35"/>
        <v>155.77475023475</v>
      </c>
    </row>
    <row r="90" ht="14.25" spans="1:40">
      <c r="A90" s="956" t="s">
        <v>733</v>
      </c>
      <c r="B90" s="957"/>
      <c r="C90" s="976"/>
      <c r="D90" s="959">
        <f t="shared" si="31"/>
        <v>0</v>
      </c>
      <c r="E90" s="957"/>
      <c r="F90" s="1055"/>
      <c r="G90" s="959">
        <f t="shared" si="32"/>
        <v>0</v>
      </c>
      <c r="H90" s="1043"/>
      <c r="I90" s="1081"/>
      <c r="J90" s="1082">
        <f t="shared" si="33"/>
        <v>0</v>
      </c>
      <c r="K90" s="957"/>
      <c r="L90" s="1081"/>
      <c r="M90" s="959">
        <f t="shared" si="34"/>
        <v>0</v>
      </c>
      <c r="N90" s="1043"/>
      <c r="O90" s="1081"/>
      <c r="P90" s="1098"/>
      <c r="Q90" s="957"/>
      <c r="R90" s="1081"/>
      <c r="S90" s="1115"/>
      <c r="T90" s="1043"/>
      <c r="U90" s="1081"/>
      <c r="V90" s="1098"/>
      <c r="W90" s="957"/>
      <c r="X90" s="1081"/>
      <c r="Y90" s="1115"/>
      <c r="Z90" s="1043"/>
      <c r="AA90" s="1081"/>
      <c r="AB90" s="1098"/>
      <c r="AC90" s="957"/>
      <c r="AD90" s="1081"/>
      <c r="AE90" s="1115"/>
      <c r="AF90" s="1043"/>
      <c r="AG90" s="1081"/>
      <c r="AH90" s="1098"/>
      <c r="AI90" s="957"/>
      <c r="AJ90" s="1098"/>
      <c r="AK90" s="1115"/>
      <c r="AL90" s="956">
        <f>SUM(B90,E90,H90,K90,N90,Q90,T90,W90,Z90,AC90,AF90,AI90)</f>
        <v>0</v>
      </c>
      <c r="AM90" s="1394">
        <f>SUM(C90,F90,I90,L90,O90,R90,U90,X90,AA90,AD90,AG90,AJ90)</f>
        <v>0</v>
      </c>
      <c r="AN90" s="959">
        <f t="shared" si="35"/>
        <v>0</v>
      </c>
    </row>
    <row r="91" ht="14.25" spans="1:40">
      <c r="A91" s="960" t="s">
        <v>734</v>
      </c>
      <c r="B91" s="1220">
        <f>SUM(B87:B90)</f>
        <v>300821.7</v>
      </c>
      <c r="C91" s="1221">
        <f>SUM(C87:C90)</f>
        <v>55670695</v>
      </c>
      <c r="D91" s="1222">
        <f t="shared" si="31"/>
        <v>185.062098246237</v>
      </c>
      <c r="E91" s="1220">
        <f>SUM(E87:E90)</f>
        <v>294807.13</v>
      </c>
      <c r="F91" s="1221">
        <f>SUM(F87:F90)</f>
        <v>58705748</v>
      </c>
      <c r="G91" s="1222">
        <f t="shared" si="32"/>
        <v>199.132727895692</v>
      </c>
      <c r="H91" s="1266">
        <f>SUM(H87:H90)</f>
        <v>254629.98</v>
      </c>
      <c r="I91" s="1221">
        <f>SUM(I87:I90)</f>
        <v>46139571</v>
      </c>
      <c r="J91" s="1287">
        <f t="shared" si="33"/>
        <v>181.202429501821</v>
      </c>
      <c r="K91" s="1220">
        <f>SUM(K87:K90)</f>
        <v>235193.94</v>
      </c>
      <c r="L91" s="1221">
        <f>SUM(L87:L90)</f>
        <v>40260437.5</v>
      </c>
      <c r="M91" s="1222">
        <f t="shared" si="34"/>
        <v>171.179740005206</v>
      </c>
      <c r="N91" s="1220">
        <f>ROUND(SUM(N87:N90),0)</f>
        <v>238505</v>
      </c>
      <c r="O91" s="1221">
        <f>SUM(O87:O90)</f>
        <v>38768761.1</v>
      </c>
      <c r="P91" s="1222">
        <f t="shared" ref="P91:P96" si="36">IF(N91=0,0,O91/N91)</f>
        <v>162.549049705457</v>
      </c>
      <c r="Q91" s="961"/>
      <c r="R91" s="1109"/>
      <c r="S91" s="1116"/>
      <c r="T91" s="1044"/>
      <c r="U91" s="1109"/>
      <c r="V91" s="1110"/>
      <c r="W91" s="961"/>
      <c r="X91" s="1109"/>
      <c r="Y91" s="1116"/>
      <c r="Z91" s="1044"/>
      <c r="AA91" s="1109"/>
      <c r="AB91" s="1110"/>
      <c r="AC91" s="961"/>
      <c r="AD91" s="1109"/>
      <c r="AE91" s="1116"/>
      <c r="AF91" s="1044"/>
      <c r="AG91" s="1109"/>
      <c r="AH91" s="1110"/>
      <c r="AI91" s="961"/>
      <c r="AJ91" s="1110"/>
      <c r="AK91" s="1116"/>
      <c r="AL91" s="1395">
        <f>SUM(AL87:AL90)</f>
        <v>677839.6</v>
      </c>
      <c r="AM91" s="1396">
        <f>SUM(AM87:AM90)</f>
        <v>94443544.6</v>
      </c>
      <c r="AN91" s="1222">
        <f t="shared" si="35"/>
        <v>139.330225911853</v>
      </c>
    </row>
    <row r="92" ht="15" spans="1:40">
      <c r="A92" s="1022" t="s">
        <v>720</v>
      </c>
      <c r="B92" s="965">
        <f>B91-B94</f>
        <v>207100.83</v>
      </c>
      <c r="C92" s="966">
        <f>'Stock Valuation (FIFO)'!G14</f>
        <v>49079882</v>
      </c>
      <c r="D92" s="967">
        <f t="shared" si="31"/>
        <v>236.985443274177</v>
      </c>
      <c r="E92" s="965">
        <f>E91-E94</f>
        <v>168371.38</v>
      </c>
      <c r="F92" s="1045">
        <f>'Stock Valuation (FIFO)'!J14</f>
        <v>36880511</v>
      </c>
      <c r="G92" s="1267">
        <f t="shared" si="32"/>
        <v>219.04263658111</v>
      </c>
      <c r="H92" s="965">
        <f>H91-H94</f>
        <v>140447.04</v>
      </c>
      <c r="I92" s="966">
        <f>'Stock Valuation (FIFO)'!M14</f>
        <v>30757893</v>
      </c>
      <c r="J92" s="1288">
        <f t="shared" si="33"/>
        <v>218.999937627735</v>
      </c>
      <c r="K92" s="965">
        <f>K91-K94</f>
        <v>130199.14</v>
      </c>
      <c r="L92" s="966">
        <f>'Stock Valuation (FIFO)'!P14</f>
        <v>28383382</v>
      </c>
      <c r="M92" s="1267">
        <f t="shared" si="34"/>
        <v>217.999765589849</v>
      </c>
      <c r="N92" s="1077">
        <f>(N87+N88+N89+N90)-(N94+N95+N96+N145)</f>
        <v>-77579.74</v>
      </c>
      <c r="O92" s="1001">
        <f>'Stock Valuation (FIFO)'!S14</f>
        <v>44570460</v>
      </c>
      <c r="P92" s="1300">
        <f t="shared" si="36"/>
        <v>-574.511592846277</v>
      </c>
      <c r="Q92" s="965">
        <f>(Q87+Q88+Q89+Q90)-(Q94+Q95+Q96+Q145)</f>
        <v>-77579.74</v>
      </c>
      <c r="R92" s="1091"/>
      <c r="S92" s="1117"/>
      <c r="T92" s="1077">
        <f>(T87+T88+T89+T90)-(T94+T95+T96+T145)</f>
        <v>-77579.74</v>
      </c>
      <c r="U92" s="1091"/>
      <c r="V92" s="1144"/>
      <c r="W92" s="965">
        <f>(W87+W88+W89+W90)-(W94+W95+W96+W145)</f>
        <v>-77579.74</v>
      </c>
      <c r="X92" s="1091"/>
      <c r="Y92" s="1117"/>
      <c r="Z92" s="1077">
        <f>(Z87+Z88+Z89+Z90)-(Z94+Z95+Z96+Z145)+0.6</f>
        <v>-77579.14</v>
      </c>
      <c r="AA92" s="1091"/>
      <c r="AB92" s="1144"/>
      <c r="AC92" s="965">
        <f>(AC87+AC88+AC89+AC90)-(AC94+AC95+AC96+AC145)</f>
        <v>-77579.14</v>
      </c>
      <c r="AD92" s="1091"/>
      <c r="AE92" s="1117"/>
      <c r="AF92" s="1077">
        <f>(AF87+AF88+AF89+AF90)-(AF94+AF95+AF96+AF145)</f>
        <v>-77579.14</v>
      </c>
      <c r="AG92" s="1091"/>
      <c r="AH92" s="1144"/>
      <c r="AI92" s="965">
        <f>(AI87+AI88+AI89+AI90)-(AI94+AI95+AI96+AI145)</f>
        <v>-77579.14</v>
      </c>
      <c r="AJ92" s="1144"/>
      <c r="AK92" s="1117"/>
      <c r="AL92" s="1172">
        <f>AL91-AL94</f>
        <v>135643.75</v>
      </c>
      <c r="AM92" s="1397">
        <f>O92</f>
        <v>44570460</v>
      </c>
      <c r="AN92" s="1398">
        <f t="shared" si="35"/>
        <v>328.584693360365</v>
      </c>
    </row>
    <row r="93" spans="1:40">
      <c r="A93" s="1223" t="s">
        <v>365</v>
      </c>
      <c r="B93" s="1223">
        <f>(B91-B92)</f>
        <v>93720.87</v>
      </c>
      <c r="C93" s="1224">
        <f>(C91-C92)</f>
        <v>6590813</v>
      </c>
      <c r="D93" s="1186">
        <f t="shared" si="31"/>
        <v>70.3238563619821</v>
      </c>
      <c r="E93" s="1268">
        <f>(E91-E92)</f>
        <v>126435.75</v>
      </c>
      <c r="F93" s="1269">
        <f>(F91-F92)</f>
        <v>21825237</v>
      </c>
      <c r="G93" s="955">
        <f t="shared" si="32"/>
        <v>172.619191961134</v>
      </c>
      <c r="H93" s="1268">
        <f>(H91-H92)</f>
        <v>114182.94</v>
      </c>
      <c r="I93" s="1269">
        <f>(I91-I92)</f>
        <v>15381678</v>
      </c>
      <c r="J93" s="955">
        <f t="shared" si="33"/>
        <v>134.710824576771</v>
      </c>
      <c r="K93" s="1268">
        <f>(K91-K92)</f>
        <v>104994.8</v>
      </c>
      <c r="L93" s="1269">
        <f>(L91-L92)</f>
        <v>11877055.5</v>
      </c>
      <c r="M93" s="955">
        <f t="shared" si="34"/>
        <v>113.120416439671</v>
      </c>
      <c r="N93" s="1268">
        <f>(N91-N92)</f>
        <v>316084.74</v>
      </c>
      <c r="O93" s="1269">
        <f>(O91-O92)</f>
        <v>-5801698.9</v>
      </c>
      <c r="P93" s="955">
        <f t="shared" si="36"/>
        <v>-18.3548845160953</v>
      </c>
      <c r="Q93" s="1268"/>
      <c r="R93" s="1317"/>
      <c r="S93" s="1318"/>
      <c r="T93" s="1319"/>
      <c r="U93" s="1317"/>
      <c r="V93" s="1341"/>
      <c r="W93" s="1268"/>
      <c r="X93" s="1317"/>
      <c r="Y93" s="1318"/>
      <c r="Z93" s="1319"/>
      <c r="AA93" s="1317"/>
      <c r="AB93" s="1341"/>
      <c r="AC93" s="1268"/>
      <c r="AD93" s="1317"/>
      <c r="AE93" s="1318"/>
      <c r="AF93" s="1319"/>
      <c r="AG93" s="1317"/>
      <c r="AH93" s="1341"/>
      <c r="AI93" s="1268"/>
      <c r="AJ93" s="1341"/>
      <c r="AK93" s="1318"/>
      <c r="AL93" s="1223">
        <f>(AL91-AL92)</f>
        <v>542195.85</v>
      </c>
      <c r="AM93" s="1399">
        <f>(AM91-AM92)</f>
        <v>49873084.6</v>
      </c>
      <c r="AN93" s="955">
        <f t="shared" si="35"/>
        <v>91.9835232969784</v>
      </c>
    </row>
    <row r="94" ht="14.25" spans="1:40">
      <c r="A94" s="988" t="s">
        <v>735</v>
      </c>
      <c r="B94" s="989">
        <f>'Inventory Sales'!B11-'Inventory Sales'!B10</f>
        <v>93720.87</v>
      </c>
      <c r="C94" s="1015">
        <f>'Inventory Sales'!D11-('Inventory Sales'!D10+'Inventory Sales'!D35)</f>
        <v>24028438.5</v>
      </c>
      <c r="D94" s="1225">
        <f t="shared" si="31"/>
        <v>256.383007328037</v>
      </c>
      <c r="E94" s="989">
        <f>'Inventory Sales'!E11-'Inventory Sales'!E10</f>
        <v>126435.75</v>
      </c>
      <c r="F94" s="1015">
        <f>'Inventory Sales'!G11-('Inventory Sales'!G35+'Inventory Sales'!G10)</f>
        <v>33481187</v>
      </c>
      <c r="G94" s="1225">
        <f t="shared" si="32"/>
        <v>264.807912319103</v>
      </c>
      <c r="H94" s="1127">
        <f>'Inventory Sales'!H11-'Inventory Sales'!H10</f>
        <v>114182.94</v>
      </c>
      <c r="I94" s="1015">
        <f>'Inventory Sales'!J11-('Inventory Sales'!J10+'Inventory Sales'!J35)</f>
        <v>31513525.5</v>
      </c>
      <c r="J94" s="1289">
        <f t="shared" si="33"/>
        <v>275.991540417509</v>
      </c>
      <c r="K94" s="989">
        <f>'Inventory Sales'!K11-'Inventory Sales'!K10</f>
        <v>104994.8</v>
      </c>
      <c r="L94" s="1015">
        <f>'Inventory Sales'!M11-('Inventory Sales'!M10+'Inventory Sales'!M35)</f>
        <v>28511991.5</v>
      </c>
      <c r="M94" s="1225">
        <f t="shared" si="34"/>
        <v>271.556224689223</v>
      </c>
      <c r="N94" s="1127">
        <f>'Inventory Sales'!N11-'Inventory Sales'!N10</f>
        <v>102861.49</v>
      </c>
      <c r="O94" s="1015">
        <f>'Inventory Sales'!P11-('Inventory Sales'!P10+'Inventory Sales'!P35)</f>
        <v>27438931.5</v>
      </c>
      <c r="P94" s="1225">
        <f t="shared" si="36"/>
        <v>266.75611543251</v>
      </c>
      <c r="Q94" s="989"/>
      <c r="R94" s="1125"/>
      <c r="S94" s="1126"/>
      <c r="T94" s="1127"/>
      <c r="U94" s="1125"/>
      <c r="V94" s="1147"/>
      <c r="W94" s="989"/>
      <c r="X94" s="1125"/>
      <c r="Y94" s="1126"/>
      <c r="Z94" s="1127"/>
      <c r="AA94" s="1125"/>
      <c r="AB94" s="1147"/>
      <c r="AC94" s="989"/>
      <c r="AD94" s="1125"/>
      <c r="AE94" s="1126"/>
      <c r="AF94" s="1127"/>
      <c r="AG94" s="1125"/>
      <c r="AH94" s="1147"/>
      <c r="AI94" s="989"/>
      <c r="AJ94" s="1147"/>
      <c r="AK94" s="1126"/>
      <c r="AL94" s="988">
        <f t="shared" ref="AL94:AM96" si="37">SUM(B94,E94,H94,K94,N94,Q94,T94,W94,Z94,AC94,AF94,AI94)</f>
        <v>542195.85</v>
      </c>
      <c r="AM94" s="1289">
        <f t="shared" si="37"/>
        <v>144974074</v>
      </c>
      <c r="AN94" s="1225">
        <f t="shared" si="35"/>
        <v>267.383223239352</v>
      </c>
    </row>
    <row r="95" spans="1:40">
      <c r="A95" s="1226" t="s">
        <v>736</v>
      </c>
      <c r="B95" s="1227">
        <f>B89</f>
        <v>6741</v>
      </c>
      <c r="C95" s="1228">
        <f>ROUND((B95*D94),0)</f>
        <v>1728278</v>
      </c>
      <c r="D95" s="1229">
        <f t="shared" si="31"/>
        <v>256.383029224151</v>
      </c>
      <c r="E95" s="1227">
        <f>E89</f>
        <v>3898</v>
      </c>
      <c r="F95" s="1228">
        <f>ROUND((E95*G94),0)</f>
        <v>1032221</v>
      </c>
      <c r="G95" s="1229">
        <f t="shared" si="32"/>
        <v>264.807850179579</v>
      </c>
      <c r="H95" s="1227">
        <f>H89</f>
        <v>7345</v>
      </c>
      <c r="I95" s="1228">
        <f>ROUND((H95*J94),0)</f>
        <v>2027158</v>
      </c>
      <c r="J95" s="1229">
        <f t="shared" si="33"/>
        <v>275.991558883594</v>
      </c>
      <c r="K95" s="1227">
        <f>K89</f>
        <v>4223.5</v>
      </c>
      <c r="L95" s="1228">
        <f>ROUND((K95*M94),0)</f>
        <v>1146918</v>
      </c>
      <c r="M95" s="1229">
        <f t="shared" si="34"/>
        <v>271.556292174737</v>
      </c>
      <c r="N95" s="1227">
        <f>N89</f>
        <v>25076.9</v>
      </c>
      <c r="O95" s="1228">
        <f>ROUND((N95*P94),0)</f>
        <v>6689416</v>
      </c>
      <c r="P95" s="1229">
        <f t="shared" si="36"/>
        <v>266.756098241808</v>
      </c>
      <c r="Q95" s="1227"/>
      <c r="R95" s="1320"/>
      <c r="S95" s="1321"/>
      <c r="T95" s="1271"/>
      <c r="U95" s="1320"/>
      <c r="V95" s="1342"/>
      <c r="W95" s="1227"/>
      <c r="X95" s="1320"/>
      <c r="Y95" s="1321"/>
      <c r="Z95" s="1271"/>
      <c r="AA95" s="1320"/>
      <c r="AB95" s="1342"/>
      <c r="AC95" s="1227"/>
      <c r="AD95" s="1320"/>
      <c r="AE95" s="1321"/>
      <c r="AF95" s="1271"/>
      <c r="AG95" s="1320"/>
      <c r="AH95" s="1342"/>
      <c r="AI95" s="1227"/>
      <c r="AJ95" s="1342"/>
      <c r="AK95" s="1321"/>
      <c r="AL95" s="1226">
        <f t="shared" si="37"/>
        <v>47284.4</v>
      </c>
      <c r="AM95" s="1400">
        <f t="shared" si="37"/>
        <v>12623991</v>
      </c>
      <c r="AN95" s="1229">
        <f t="shared" si="35"/>
        <v>266.980039928602</v>
      </c>
    </row>
    <row r="96" ht="14.25" spans="1:40">
      <c r="A96" s="1230" t="s">
        <v>737</v>
      </c>
      <c r="B96" s="1231">
        <f>B94-B95</f>
        <v>86979.87</v>
      </c>
      <c r="C96" s="1232">
        <f>C94-C95</f>
        <v>22300160.5</v>
      </c>
      <c r="D96" s="1233">
        <f t="shared" si="31"/>
        <v>256.383005631073</v>
      </c>
      <c r="E96" s="1231">
        <f>E94-E95</f>
        <v>122537.75</v>
      </c>
      <c r="F96" s="1232">
        <f>F94-F95</f>
        <v>32448966</v>
      </c>
      <c r="G96" s="1233">
        <f t="shared" si="32"/>
        <v>264.807914295799</v>
      </c>
      <c r="H96" s="1231">
        <f>H94-H95</f>
        <v>106837.94</v>
      </c>
      <c r="I96" s="1232">
        <f>I94-I95</f>
        <v>29486367.5</v>
      </c>
      <c r="J96" s="1233">
        <f t="shared" si="33"/>
        <v>275.991539147984</v>
      </c>
      <c r="K96" s="1231">
        <f>K94-K95</f>
        <v>100771.3</v>
      </c>
      <c r="L96" s="1232">
        <f>L94-L95</f>
        <v>27365073.5</v>
      </c>
      <c r="M96" s="1233">
        <f t="shared" si="34"/>
        <v>271.556221860788</v>
      </c>
      <c r="N96" s="1231">
        <f>N94-N95</f>
        <v>77784.59</v>
      </c>
      <c r="O96" s="1232">
        <f>O94-O95</f>
        <v>20749515.5</v>
      </c>
      <c r="P96" s="1233">
        <f t="shared" si="36"/>
        <v>266.756120974604</v>
      </c>
      <c r="Q96" s="1322"/>
      <c r="R96" s="1323"/>
      <c r="S96" s="1324"/>
      <c r="T96" s="1325"/>
      <c r="U96" s="1323"/>
      <c r="V96" s="1343"/>
      <c r="W96" s="1322"/>
      <c r="X96" s="1323"/>
      <c r="Y96" s="1324"/>
      <c r="Z96" s="1325"/>
      <c r="AA96" s="1323"/>
      <c r="AB96" s="1343"/>
      <c r="AC96" s="1322"/>
      <c r="AD96" s="1323"/>
      <c r="AE96" s="1324"/>
      <c r="AF96" s="1325"/>
      <c r="AG96" s="1323"/>
      <c r="AH96" s="1343"/>
      <c r="AI96" s="1322"/>
      <c r="AJ96" s="1343"/>
      <c r="AK96" s="1324"/>
      <c r="AL96" s="1230">
        <f t="shared" si="37"/>
        <v>494911.45</v>
      </c>
      <c r="AM96" s="1401">
        <f t="shared" si="37"/>
        <v>132350083</v>
      </c>
      <c r="AN96" s="1233">
        <f t="shared" si="35"/>
        <v>267.421743829123</v>
      </c>
    </row>
    <row r="97" ht="14.25" spans="1:40">
      <c r="A97" s="1234"/>
      <c r="B97" s="1235"/>
      <c r="C97" s="1236"/>
      <c r="D97" s="1237"/>
      <c r="E97" s="1235"/>
      <c r="F97" s="1236"/>
      <c r="G97" s="1237"/>
      <c r="H97" s="1235"/>
      <c r="I97" s="1236"/>
      <c r="J97" s="1237"/>
      <c r="K97" s="1235"/>
      <c r="L97" s="1236"/>
      <c r="M97" s="1237"/>
      <c r="N97" s="1235"/>
      <c r="O97" s="1236"/>
      <c r="P97" s="1237"/>
      <c r="Q97" s="1234"/>
      <c r="R97" s="1234"/>
      <c r="S97" s="1234"/>
      <c r="T97" s="1234"/>
      <c r="U97" s="1234"/>
      <c r="V97" s="1234"/>
      <c r="W97" s="1234"/>
      <c r="X97" s="1234"/>
      <c r="Y97" s="1234"/>
      <c r="Z97" s="1234"/>
      <c r="AA97" s="1234"/>
      <c r="AB97" s="1234"/>
      <c r="AC97" s="1234"/>
      <c r="AD97" s="1234"/>
      <c r="AE97" s="1234"/>
      <c r="AF97" s="1234"/>
      <c r="AG97" s="1234"/>
      <c r="AH97" s="1234"/>
      <c r="AI97" s="1234"/>
      <c r="AJ97" s="1234"/>
      <c r="AK97" s="1234"/>
      <c r="AL97" s="1234"/>
      <c r="AM97" s="1237"/>
      <c r="AN97" s="1237"/>
    </row>
    <row r="101" ht="14.25" spans="39:41">
      <c r="AM101" s="712"/>
      <c r="AO101" s="1404"/>
    </row>
    <row r="102" ht="15" spans="1:40">
      <c r="A102" s="944" t="s">
        <v>738</v>
      </c>
      <c r="B102" s="945"/>
      <c r="C102" s="946"/>
      <c r="D102" s="947"/>
      <c r="E102" s="945"/>
      <c r="F102" s="946"/>
      <c r="G102" s="947"/>
      <c r="H102" s="946"/>
      <c r="I102" s="946"/>
      <c r="J102" s="946"/>
      <c r="K102" s="945"/>
      <c r="L102" s="946"/>
      <c r="M102" s="947"/>
      <c r="N102" s="946"/>
      <c r="O102" s="946"/>
      <c r="P102" s="946"/>
      <c r="Q102" s="945"/>
      <c r="R102" s="946"/>
      <c r="S102" s="947"/>
      <c r="T102" s="946"/>
      <c r="U102" s="946"/>
      <c r="V102" s="946"/>
      <c r="W102" s="945"/>
      <c r="X102" s="946"/>
      <c r="Y102" s="947"/>
      <c r="Z102" s="946"/>
      <c r="AA102" s="946"/>
      <c r="AB102" s="946"/>
      <c r="AC102" s="945"/>
      <c r="AD102" s="946"/>
      <c r="AE102" s="947"/>
      <c r="AF102" s="946"/>
      <c r="AG102" s="946"/>
      <c r="AH102" s="946"/>
      <c r="AI102" s="945"/>
      <c r="AJ102" s="946"/>
      <c r="AK102" s="947"/>
      <c r="AL102" s="945"/>
      <c r="AM102" s="1182"/>
      <c r="AN102" s="947"/>
    </row>
    <row r="103" spans="1:40">
      <c r="A103" s="1226" t="s">
        <v>716</v>
      </c>
      <c r="B103" s="1227">
        <v>706</v>
      </c>
      <c r="C103" s="1228">
        <f>'Trading PL'!C45</f>
        <v>143209</v>
      </c>
      <c r="D103" s="955">
        <f t="shared" ref="D103:D121" si="38">IF(B103=0,0,C103/B103)</f>
        <v>202.845609065156</v>
      </c>
      <c r="E103" s="1227">
        <f>B112</f>
        <v>-1339.71</v>
      </c>
      <c r="F103" s="1270">
        <f>C112</f>
        <v>136864</v>
      </c>
      <c r="G103" s="955">
        <f t="shared" ref="G103:G121" si="39">IF(E103=0,0,F103/E103)</f>
        <v>-102.159422561599</v>
      </c>
      <c r="H103" s="1271">
        <f>E112</f>
        <v>-2210.36</v>
      </c>
      <c r="I103" s="1270">
        <f>F112</f>
        <v>141658</v>
      </c>
      <c r="J103" s="1080">
        <f t="shared" ref="J103:J121" si="40">IF(H103=0,0,I103/H103)</f>
        <v>-64.0882028266889</v>
      </c>
      <c r="K103" s="1227">
        <f>H112</f>
        <v>-3546.26</v>
      </c>
      <c r="L103" s="1270">
        <f>I112</f>
        <v>127694</v>
      </c>
      <c r="M103" s="955">
        <f t="shared" ref="M103:M121" si="41">IF(K103=0,0,L103/K103)</f>
        <v>-36.0080761139905</v>
      </c>
      <c r="N103" s="1271">
        <f>K112</f>
        <v>-5126.26</v>
      </c>
      <c r="O103" s="1270">
        <f>L112</f>
        <v>144813</v>
      </c>
      <c r="P103" s="955">
        <f t="shared" ref="P103:P113" si="42">IF(N103=0,0,O103/N103)</f>
        <v>-28.2492499405024</v>
      </c>
      <c r="Q103" s="1227">
        <f>N112</f>
        <v>-6138.26</v>
      </c>
      <c r="R103" s="1320"/>
      <c r="S103" s="1321"/>
      <c r="T103" s="1271">
        <f>Q112</f>
        <v>-6138.26</v>
      </c>
      <c r="U103" s="1320"/>
      <c r="V103" s="1342"/>
      <c r="W103" s="1227">
        <f>T112</f>
        <v>-6138.26</v>
      </c>
      <c r="X103" s="1320"/>
      <c r="Y103" s="1321"/>
      <c r="Z103" s="1271">
        <f>W112</f>
        <v>-6138.26</v>
      </c>
      <c r="AA103" s="1320"/>
      <c r="AB103" s="1342"/>
      <c r="AC103" s="1227">
        <f>Z112</f>
        <v>-6138.26</v>
      </c>
      <c r="AD103" s="1320"/>
      <c r="AE103" s="1321"/>
      <c r="AF103" s="1271">
        <f>AC112</f>
        <v>-6138.26</v>
      </c>
      <c r="AG103" s="1320"/>
      <c r="AH103" s="1342"/>
      <c r="AI103" s="1227">
        <f>AF112</f>
        <v>-6138.26</v>
      </c>
      <c r="AJ103" s="1342"/>
      <c r="AK103" s="1321"/>
      <c r="AL103" s="1226">
        <f>B103</f>
        <v>706</v>
      </c>
      <c r="AM103" s="1270">
        <f>C103</f>
        <v>143209</v>
      </c>
      <c r="AN103" s="955">
        <f t="shared" ref="AN103:AN121" si="43">IF(AL103=0,0,AM103/AL103)</f>
        <v>202.845609065156</v>
      </c>
    </row>
    <row r="104" spans="1:41">
      <c r="A104" s="952" t="s">
        <v>739</v>
      </c>
      <c r="B104" s="953">
        <f>Purchase!$B37+1</f>
        <v>901.45</v>
      </c>
      <c r="C104" s="985">
        <f>ROUND((Purchase!$C37),0)</f>
        <v>162627</v>
      </c>
      <c r="D104" s="955">
        <f t="shared" si="38"/>
        <v>180.40601253536</v>
      </c>
      <c r="E104" s="953">
        <f>Purchase!B38</f>
        <v>195</v>
      </c>
      <c r="F104" s="985">
        <f>ROUND((Purchase!$C38),0)</f>
        <v>40083</v>
      </c>
      <c r="G104" s="955">
        <f t="shared" si="39"/>
        <v>205.553846153846</v>
      </c>
      <c r="H104" s="953">
        <f>Purchase!$B39</f>
        <v>289</v>
      </c>
      <c r="I104" s="985">
        <f>ROUND((Purchase!$C39),0)</f>
        <v>58267</v>
      </c>
      <c r="J104" s="1080">
        <f t="shared" si="40"/>
        <v>201.615916955017</v>
      </c>
      <c r="K104" s="953">
        <f>Purchase!$B40</f>
        <v>168</v>
      </c>
      <c r="L104" s="985">
        <f>ROUND((Purchase!$C40),0)</f>
        <v>33485</v>
      </c>
      <c r="M104" s="955">
        <f t="shared" si="41"/>
        <v>199.315476190476</v>
      </c>
      <c r="N104" s="1054">
        <f>Purchase!B41</f>
        <v>0</v>
      </c>
      <c r="O104" s="985">
        <f>Purchase!C41</f>
        <v>0</v>
      </c>
      <c r="P104" s="955">
        <f t="shared" si="42"/>
        <v>0</v>
      </c>
      <c r="Q104" s="953"/>
      <c r="R104" s="1105"/>
      <c r="S104" s="1114"/>
      <c r="T104" s="1054"/>
      <c r="U104" s="1105"/>
      <c r="V104" s="1106"/>
      <c r="W104" s="953"/>
      <c r="X104" s="1105"/>
      <c r="Y104" s="1114"/>
      <c r="Z104" s="1054"/>
      <c r="AA104" s="1105"/>
      <c r="AB104" s="1106"/>
      <c r="AC104" s="953"/>
      <c r="AD104" s="1105"/>
      <c r="AE104" s="1114"/>
      <c r="AF104" s="1054"/>
      <c r="AG104" s="1105"/>
      <c r="AH104" s="1106"/>
      <c r="AI104" s="953"/>
      <c r="AJ104" s="1106"/>
      <c r="AK104" s="1114"/>
      <c r="AL104" s="952">
        <f>Purchase!B49</f>
        <v>3967.95</v>
      </c>
      <c r="AM104" s="985">
        <f>Purchase!C49</f>
        <v>782308</v>
      </c>
      <c r="AN104" s="955">
        <f t="shared" si="43"/>
        <v>197.156718204614</v>
      </c>
      <c r="AO104" s="159"/>
    </row>
    <row r="105" spans="1:41">
      <c r="A105" s="952" t="s">
        <v>740</v>
      </c>
      <c r="B105" s="953"/>
      <c r="C105" s="985"/>
      <c r="D105" s="955">
        <f t="shared" si="38"/>
        <v>0</v>
      </c>
      <c r="E105" s="953"/>
      <c r="F105" s="1272"/>
      <c r="G105" s="955">
        <f t="shared" si="39"/>
        <v>0</v>
      </c>
      <c r="H105" s="1054"/>
      <c r="I105" s="1105"/>
      <c r="J105" s="1080">
        <f t="shared" si="40"/>
        <v>0</v>
      </c>
      <c r="K105" s="953"/>
      <c r="L105" s="1105"/>
      <c r="M105" s="955">
        <f t="shared" si="41"/>
        <v>0</v>
      </c>
      <c r="N105" s="1054"/>
      <c r="O105" s="1105"/>
      <c r="P105" s="955">
        <f t="shared" si="42"/>
        <v>0</v>
      </c>
      <c r="Q105" s="953"/>
      <c r="R105" s="1105"/>
      <c r="S105" s="1114"/>
      <c r="T105" s="1054"/>
      <c r="U105" s="1105"/>
      <c r="V105" s="1106"/>
      <c r="W105" s="953"/>
      <c r="X105" s="1105"/>
      <c r="Y105" s="1114"/>
      <c r="Z105" s="1054"/>
      <c r="AA105" s="1105"/>
      <c r="AB105" s="1106"/>
      <c r="AC105" s="953"/>
      <c r="AD105" s="1105"/>
      <c r="AE105" s="1114"/>
      <c r="AF105" s="1054"/>
      <c r="AG105" s="1105"/>
      <c r="AH105" s="1106"/>
      <c r="AI105" s="1357"/>
      <c r="AJ105" s="1358"/>
      <c r="AK105" s="1402"/>
      <c r="AL105" s="952">
        <f>SUM(B105:AI105)</f>
        <v>0</v>
      </c>
      <c r="AM105" s="1105"/>
      <c r="AN105" s="955">
        <f t="shared" si="43"/>
        <v>0</v>
      </c>
      <c r="AO105" s="159"/>
    </row>
    <row r="106" spans="1:41">
      <c r="A106" s="952" t="s">
        <v>741</v>
      </c>
      <c r="B106" s="953">
        <f>Purchase!$E37</f>
        <v>0</v>
      </c>
      <c r="C106" s="985">
        <f>Purchase!$F37</f>
        <v>0</v>
      </c>
      <c r="D106" s="955">
        <f t="shared" si="38"/>
        <v>0</v>
      </c>
      <c r="E106" s="953">
        <f>Purchase!$E38</f>
        <v>1908</v>
      </c>
      <c r="F106" s="985">
        <f>Purchase!$F38</f>
        <v>412345</v>
      </c>
      <c r="G106" s="955">
        <f t="shared" si="39"/>
        <v>216.113731656184</v>
      </c>
      <c r="H106" s="953">
        <f>Purchase!$E39</f>
        <v>580</v>
      </c>
      <c r="I106" s="985">
        <f>Purchase!$F39</f>
        <v>124700</v>
      </c>
      <c r="J106" s="1080">
        <f t="shared" si="40"/>
        <v>215</v>
      </c>
      <c r="K106" s="953">
        <f>Purchase!$E40</f>
        <v>0</v>
      </c>
      <c r="L106" s="985">
        <f>Purchase!$F40</f>
        <v>0</v>
      </c>
      <c r="M106" s="955">
        <f t="shared" si="41"/>
        <v>0</v>
      </c>
      <c r="N106" s="953">
        <f>Purchase!$E41</f>
        <v>405</v>
      </c>
      <c r="O106" s="985">
        <f>Purchase!$F41</f>
        <v>87075</v>
      </c>
      <c r="P106" s="955">
        <f t="shared" si="42"/>
        <v>215</v>
      </c>
      <c r="Q106" s="953"/>
      <c r="R106" s="1105"/>
      <c r="S106" s="1114"/>
      <c r="T106" s="1054"/>
      <c r="U106" s="1105"/>
      <c r="V106" s="1106"/>
      <c r="W106" s="953"/>
      <c r="X106" s="1105"/>
      <c r="Y106" s="1114"/>
      <c r="Z106" s="1054"/>
      <c r="AA106" s="1105"/>
      <c r="AB106" s="1106"/>
      <c r="AC106" s="953"/>
      <c r="AD106" s="1105"/>
      <c r="AE106" s="1114"/>
      <c r="AF106" s="1054"/>
      <c r="AG106" s="1105"/>
      <c r="AH106" s="1106"/>
      <c r="AI106" s="953"/>
      <c r="AJ106" s="1106"/>
      <c r="AK106" s="1114"/>
      <c r="AL106" s="968">
        <f>SUM(B106,E106,H106,K106,N106,Q106,T106,W106,Z106,AC106,AF106,AI106)</f>
        <v>2893</v>
      </c>
      <c r="AM106" s="1369">
        <f>SUM(C106,F106,I106,L106,O106,R106,U106,X106,AA106,AD106,AG106,AJ106)</f>
        <v>624120</v>
      </c>
      <c r="AN106" s="955">
        <f t="shared" si="43"/>
        <v>215.734531628068</v>
      </c>
      <c r="AO106" s="159"/>
    </row>
    <row r="107" spans="1:40">
      <c r="A107" s="952" t="s">
        <v>742</v>
      </c>
      <c r="B107" s="953"/>
      <c r="C107" s="985"/>
      <c r="D107" s="955">
        <f t="shared" si="38"/>
        <v>0</v>
      </c>
      <c r="E107" s="953"/>
      <c r="F107" s="985"/>
      <c r="G107" s="955">
        <f t="shared" si="39"/>
        <v>0</v>
      </c>
      <c r="H107" s="953"/>
      <c r="I107" s="985"/>
      <c r="J107" s="1080">
        <f t="shared" si="40"/>
        <v>0</v>
      </c>
      <c r="K107" s="953"/>
      <c r="L107" s="985"/>
      <c r="M107" s="955">
        <f t="shared" si="41"/>
        <v>0</v>
      </c>
      <c r="N107" s="1054"/>
      <c r="O107" s="985"/>
      <c r="P107" s="955">
        <f t="shared" si="42"/>
        <v>0</v>
      </c>
      <c r="Q107" s="953"/>
      <c r="R107" s="1105"/>
      <c r="S107" s="1114"/>
      <c r="T107" s="1054"/>
      <c r="U107" s="1105"/>
      <c r="V107" s="1106"/>
      <c r="W107" s="953"/>
      <c r="X107" s="1105"/>
      <c r="Y107" s="1114"/>
      <c r="Z107" s="1054"/>
      <c r="AA107" s="1105"/>
      <c r="AB107" s="1106"/>
      <c r="AC107" s="953"/>
      <c r="AD107" s="1105"/>
      <c r="AE107" s="1114"/>
      <c r="AF107" s="1054"/>
      <c r="AG107" s="1105"/>
      <c r="AH107" s="1106"/>
      <c r="AI107" s="953"/>
      <c r="AJ107" s="1106"/>
      <c r="AK107" s="1114"/>
      <c r="AL107" s="953"/>
      <c r="AM107" s="985"/>
      <c r="AN107" s="955">
        <f t="shared" si="43"/>
        <v>0</v>
      </c>
    </row>
    <row r="108" spans="1:40">
      <c r="A108" s="952" t="s">
        <v>743</v>
      </c>
      <c r="B108" s="953"/>
      <c r="C108" s="985"/>
      <c r="D108" s="955">
        <f t="shared" si="38"/>
        <v>0</v>
      </c>
      <c r="E108" s="953"/>
      <c r="F108" s="1272"/>
      <c r="G108" s="955">
        <f t="shared" si="39"/>
        <v>0</v>
      </c>
      <c r="H108" s="1054"/>
      <c r="I108" s="1105"/>
      <c r="J108" s="1080">
        <f t="shared" si="40"/>
        <v>0</v>
      </c>
      <c r="K108" s="953"/>
      <c r="L108" s="1105"/>
      <c r="M108" s="955">
        <f t="shared" si="41"/>
        <v>0</v>
      </c>
      <c r="N108" s="1054"/>
      <c r="O108" s="985"/>
      <c r="P108" s="955">
        <f t="shared" si="42"/>
        <v>0</v>
      </c>
      <c r="Q108" s="953"/>
      <c r="R108" s="1105"/>
      <c r="S108" s="1114"/>
      <c r="T108" s="1054"/>
      <c r="U108" s="1105"/>
      <c r="V108" s="1106"/>
      <c r="W108" s="953"/>
      <c r="X108" s="1105"/>
      <c r="Y108" s="1114"/>
      <c r="Z108" s="1054"/>
      <c r="AA108" s="1105"/>
      <c r="AB108" s="1106"/>
      <c r="AC108" s="953"/>
      <c r="AD108" s="1105"/>
      <c r="AE108" s="1114"/>
      <c r="AF108" s="1054"/>
      <c r="AG108" s="1105"/>
      <c r="AH108" s="1106"/>
      <c r="AI108" s="953"/>
      <c r="AJ108" s="1106"/>
      <c r="AK108" s="1114"/>
      <c r="AL108" s="968">
        <f>SUM(B108,E108,H108,K108,N108,Q108,T108,W108,Z108,AC108,AF108,AI108)</f>
        <v>0</v>
      </c>
      <c r="AM108" s="1369">
        <f>SUM(C108,F108,I108,L108,O108,R108,U108,X108,AA108,AD108,AG108,AJ108)</f>
        <v>0</v>
      </c>
      <c r="AN108" s="955">
        <f t="shared" si="43"/>
        <v>0</v>
      </c>
    </row>
    <row r="109" spans="1:40">
      <c r="A109" s="952" t="s">
        <v>744</v>
      </c>
      <c r="B109" s="953">
        <v>0</v>
      </c>
      <c r="C109" s="985"/>
      <c r="D109" s="955">
        <f t="shared" si="38"/>
        <v>0</v>
      </c>
      <c r="E109" s="953"/>
      <c r="F109" s="1272"/>
      <c r="G109" s="955">
        <f t="shared" si="39"/>
        <v>0</v>
      </c>
      <c r="H109" s="1054"/>
      <c r="I109" s="1105"/>
      <c r="J109" s="1080">
        <f t="shared" si="40"/>
        <v>0</v>
      </c>
      <c r="K109" s="953"/>
      <c r="L109" s="1105"/>
      <c r="M109" s="955">
        <f t="shared" si="41"/>
        <v>0</v>
      </c>
      <c r="N109" s="1054"/>
      <c r="O109" s="1105"/>
      <c r="P109" s="955">
        <f t="shared" si="42"/>
        <v>0</v>
      </c>
      <c r="Q109" s="953"/>
      <c r="R109" s="1105"/>
      <c r="S109" s="1114"/>
      <c r="T109" s="1054"/>
      <c r="U109" s="1105"/>
      <c r="V109" s="1106"/>
      <c r="W109" s="953"/>
      <c r="X109" s="1105"/>
      <c r="Y109" s="1114"/>
      <c r="Z109" s="1054"/>
      <c r="AA109" s="1105"/>
      <c r="AB109" s="1106"/>
      <c r="AC109" s="953"/>
      <c r="AD109" s="1105"/>
      <c r="AE109" s="1114"/>
      <c r="AF109" s="1054"/>
      <c r="AG109" s="1105"/>
      <c r="AH109" s="1106"/>
      <c r="AI109" s="953"/>
      <c r="AJ109" s="1106"/>
      <c r="AK109" s="1114"/>
      <c r="AL109" s="952">
        <f>SUM(B109:AI109)</f>
        <v>0</v>
      </c>
      <c r="AM109" s="1105"/>
      <c r="AN109" s="955">
        <f t="shared" si="43"/>
        <v>0</v>
      </c>
    </row>
    <row r="110" ht="14.25" spans="1:40">
      <c r="A110" s="991" t="s">
        <v>745</v>
      </c>
      <c r="B110" s="974">
        <f>Purchase!$H37</f>
        <v>4797.6</v>
      </c>
      <c r="C110" s="992">
        <f>ROUND((Purchase!$I37),0)</f>
        <v>702370</v>
      </c>
      <c r="D110" s="986">
        <f t="shared" si="38"/>
        <v>146.400283475071</v>
      </c>
      <c r="E110" s="974">
        <f>Purchase!$H38</f>
        <v>5704.65</v>
      </c>
      <c r="F110" s="992">
        <f>ROUND((Purchase!I38),0)</f>
        <v>840700</v>
      </c>
      <c r="G110" s="986">
        <f t="shared" si="39"/>
        <v>147.371004356095</v>
      </c>
      <c r="H110" s="974">
        <f>Purchase!$H39</f>
        <v>4826</v>
      </c>
      <c r="I110" s="992">
        <f>ROUND((Purchase!I39),0)</f>
        <v>725655</v>
      </c>
      <c r="J110" s="1088">
        <f t="shared" si="40"/>
        <v>150.363655200995</v>
      </c>
      <c r="K110" s="974">
        <f>Purchase!$H40</f>
        <v>6780.8</v>
      </c>
      <c r="L110" s="992">
        <f>ROUND((Purchase!I40),0)</f>
        <v>1013210</v>
      </c>
      <c r="M110" s="986">
        <f t="shared" si="41"/>
        <v>149.423371873525</v>
      </c>
      <c r="N110" s="1049">
        <v>4998.6</v>
      </c>
      <c r="O110" s="992">
        <f>ROUND((Purchase!I41),0)</f>
        <v>747142</v>
      </c>
      <c r="P110" s="986">
        <f t="shared" si="42"/>
        <v>149.470251670468</v>
      </c>
      <c r="Q110" s="974"/>
      <c r="R110" s="1099"/>
      <c r="S110" s="1122"/>
      <c r="T110" s="1049"/>
      <c r="U110" s="1099"/>
      <c r="V110" s="1100"/>
      <c r="W110" s="974"/>
      <c r="X110" s="1099"/>
      <c r="Y110" s="1122"/>
      <c r="Z110" s="1049"/>
      <c r="AA110" s="1099"/>
      <c r="AB110" s="1100"/>
      <c r="AC110" s="974"/>
      <c r="AD110" s="1099"/>
      <c r="AE110" s="1122"/>
      <c r="AF110" s="1049"/>
      <c r="AG110" s="1099"/>
      <c r="AH110" s="1100"/>
      <c r="AI110" s="974"/>
      <c r="AJ110" s="1100"/>
      <c r="AK110" s="1122"/>
      <c r="AL110" s="974">
        <f>Purchase!$H49</f>
        <v>58534.55</v>
      </c>
      <c r="AM110" s="992">
        <f>Purchase!I49</f>
        <v>8778187</v>
      </c>
      <c r="AN110" s="986">
        <f t="shared" si="43"/>
        <v>149.965909022962</v>
      </c>
    </row>
    <row r="111" ht="14.25" spans="1:40">
      <c r="A111" s="1238" t="s">
        <v>734</v>
      </c>
      <c r="B111" s="1239">
        <f>SUM(B104:B110)</f>
        <v>5699.05</v>
      </c>
      <c r="C111" s="1240">
        <f>SUM(C104:C110)</f>
        <v>864997</v>
      </c>
      <c r="D111" s="981">
        <f t="shared" si="38"/>
        <v>151.779156175152</v>
      </c>
      <c r="E111" s="1239">
        <f>SUM(E104:E110)</f>
        <v>7807.65</v>
      </c>
      <c r="F111" s="1240">
        <f>SUM(F104:F110)</f>
        <v>1293128</v>
      </c>
      <c r="G111" s="981">
        <f t="shared" si="39"/>
        <v>165.623202884351</v>
      </c>
      <c r="H111" s="1273">
        <f>SUM(H104:H110)</f>
        <v>5695</v>
      </c>
      <c r="I111" s="1240">
        <f>SUM(I104:I110)</f>
        <v>908622</v>
      </c>
      <c r="J111" s="1087">
        <f t="shared" si="40"/>
        <v>159.547322212467</v>
      </c>
      <c r="K111" s="1239">
        <f>SUM(K104:K110)</f>
        <v>6948.8</v>
      </c>
      <c r="L111" s="1240">
        <f>SUM(L104:L110)</f>
        <v>1046695</v>
      </c>
      <c r="M111" s="981">
        <f t="shared" si="41"/>
        <v>150.629605111674</v>
      </c>
      <c r="N111" s="1273">
        <f>SUM(N104:N110)</f>
        <v>5403.6</v>
      </c>
      <c r="O111" s="1240">
        <f>SUM(O104:O110)</f>
        <v>834217</v>
      </c>
      <c r="P111" s="981">
        <f t="shared" si="42"/>
        <v>154.381708490636</v>
      </c>
      <c r="Q111" s="1239">
        <f>SUM(Q104:Q110)</f>
        <v>0</v>
      </c>
      <c r="R111" s="1326"/>
      <c r="S111" s="1327"/>
      <c r="T111" s="1273">
        <f>SUM(T104:T110)</f>
        <v>0</v>
      </c>
      <c r="U111" s="1326"/>
      <c r="V111" s="1344"/>
      <c r="W111" s="1239">
        <f>SUM(W104:W110)</f>
        <v>0</v>
      </c>
      <c r="X111" s="1326"/>
      <c r="Y111" s="1327"/>
      <c r="Z111" s="1273">
        <f>SUM(Z104:Z110)</f>
        <v>0</v>
      </c>
      <c r="AA111" s="1326"/>
      <c r="AB111" s="1344"/>
      <c r="AC111" s="1239">
        <f>SUM(AC104:AC110)</f>
        <v>0</v>
      </c>
      <c r="AD111" s="1326"/>
      <c r="AE111" s="1327"/>
      <c r="AF111" s="1273">
        <f>SUM(AF104:AF110)</f>
        <v>0</v>
      </c>
      <c r="AG111" s="1326"/>
      <c r="AH111" s="1344"/>
      <c r="AI111" s="1239">
        <f>SUM(AI104:AI110)</f>
        <v>0</v>
      </c>
      <c r="AJ111" s="1344"/>
      <c r="AK111" s="1327"/>
      <c r="AL111" s="1238">
        <f>SUM(AL104:AL110)</f>
        <v>65395.5</v>
      </c>
      <c r="AM111" s="1240">
        <f>SUM(AM104:AM110)</f>
        <v>10184615</v>
      </c>
      <c r="AN111" s="981">
        <f t="shared" si="43"/>
        <v>155.738774074669</v>
      </c>
    </row>
    <row r="112" ht="15" spans="1:40">
      <c r="A112" s="1022" t="s">
        <v>720</v>
      </c>
      <c r="B112" s="965">
        <f>(B103+B111)-(B121)</f>
        <v>-1339.71</v>
      </c>
      <c r="C112" s="966">
        <f>SUM('Stock Valuation (FIFO)'!G15:G19)</f>
        <v>136864</v>
      </c>
      <c r="D112" s="981">
        <f t="shared" si="38"/>
        <v>-102.159422561599</v>
      </c>
      <c r="E112" s="965">
        <f>SUM(E103+E111-E121)</f>
        <v>-2210.36</v>
      </c>
      <c r="F112" s="1045">
        <f>SUM('Stock Valuation (FIFO)'!J15:J19)</f>
        <v>141658</v>
      </c>
      <c r="G112" s="981">
        <f t="shared" si="39"/>
        <v>-64.0882028266889</v>
      </c>
      <c r="H112" s="1077">
        <f>(H103+H111)-(H121)</f>
        <v>-3546.26</v>
      </c>
      <c r="I112" s="966">
        <f>SUM('Stock Valuation (FIFO)'!M15:M19)</f>
        <v>127694</v>
      </c>
      <c r="J112" s="1087">
        <f t="shared" si="40"/>
        <v>-36.0080761139905</v>
      </c>
      <c r="K112" s="965">
        <f>(K103+K111)-(K121)</f>
        <v>-5126.26</v>
      </c>
      <c r="L112" s="966">
        <f>SUM('Stock Valuation (FIFO)'!P15:P19)</f>
        <v>144813</v>
      </c>
      <c r="M112" s="981">
        <f t="shared" si="41"/>
        <v>-28.2492499405024</v>
      </c>
      <c r="N112" s="1077">
        <f>(N103+N111)-(N121)</f>
        <v>-6138.26</v>
      </c>
      <c r="O112" s="966">
        <f>SUM('Stock Valuation (FIFO)'!S15:S19)</f>
        <v>151076</v>
      </c>
      <c r="P112" s="981">
        <f t="shared" si="42"/>
        <v>-24.6121865153969</v>
      </c>
      <c r="Q112" s="965">
        <f>(Q103+Q111)-(Q121)</f>
        <v>-6138.26</v>
      </c>
      <c r="R112" s="1091"/>
      <c r="S112" s="1117"/>
      <c r="T112" s="1077">
        <f>(T103+T111)-(T121)</f>
        <v>-6138.26</v>
      </c>
      <c r="U112" s="1091"/>
      <c r="V112" s="1144"/>
      <c r="W112" s="965">
        <f>(W103+W111)-(W121)</f>
        <v>-6138.26</v>
      </c>
      <c r="X112" s="1091"/>
      <c r="Y112" s="1117"/>
      <c r="Z112" s="1077">
        <f>(Z103+Z111)-(Z121)</f>
        <v>-6138.26</v>
      </c>
      <c r="AA112" s="1091"/>
      <c r="AB112" s="1144"/>
      <c r="AC112" s="965">
        <f>(AC103+AC111)-(AC121)</f>
        <v>-6138.26</v>
      </c>
      <c r="AD112" s="1091"/>
      <c r="AE112" s="1117"/>
      <c r="AF112" s="1077">
        <f>(AF103+AF111)-(AF121)</f>
        <v>-6138.26</v>
      </c>
      <c r="AG112" s="1091"/>
      <c r="AH112" s="1144"/>
      <c r="AI112" s="965">
        <f>(AI103+AI111)-(AI121)-0.3</f>
        <v>-6138.56</v>
      </c>
      <c r="AJ112" s="1144"/>
      <c r="AK112" s="1117"/>
      <c r="AL112" s="1172">
        <f>N112</f>
        <v>-6138.26</v>
      </c>
      <c r="AM112" s="1173">
        <f>O112</f>
        <v>151076</v>
      </c>
      <c r="AN112" s="1169">
        <f t="shared" si="43"/>
        <v>-24.6121865153969</v>
      </c>
    </row>
    <row r="113" spans="1:40">
      <c r="A113" s="1241" t="s">
        <v>365</v>
      </c>
      <c r="B113" s="1002">
        <f>B103+B111-B112</f>
        <v>7744.76</v>
      </c>
      <c r="C113" s="1224">
        <f>C103+C111-C112</f>
        <v>871342</v>
      </c>
      <c r="D113" s="1195">
        <f t="shared" si="38"/>
        <v>112.507295255114</v>
      </c>
      <c r="E113" s="1002">
        <f>E103+E111-E112</f>
        <v>8678.3</v>
      </c>
      <c r="F113" s="1224">
        <f>F103+F111-F112</f>
        <v>1288334</v>
      </c>
      <c r="G113" s="1195">
        <f t="shared" si="39"/>
        <v>148.454651256583</v>
      </c>
      <c r="H113" s="1002">
        <f>H103+H111-H112</f>
        <v>7030.9</v>
      </c>
      <c r="I113" s="1224">
        <f>I103+I111-I112</f>
        <v>922586</v>
      </c>
      <c r="J113" s="1195">
        <f t="shared" si="40"/>
        <v>131.21876288953</v>
      </c>
      <c r="K113" s="1002">
        <f>K103+K111-K112</f>
        <v>8528.8</v>
      </c>
      <c r="L113" s="1224">
        <f>L103+L111-L112</f>
        <v>1029576</v>
      </c>
      <c r="M113" s="1195">
        <f t="shared" si="41"/>
        <v>120.717568708376</v>
      </c>
      <c r="N113" s="1002">
        <f>N103+N111-N112</f>
        <v>6415.6</v>
      </c>
      <c r="O113" s="1224">
        <f>O103+O111-O112</f>
        <v>827954</v>
      </c>
      <c r="P113" s="1195">
        <f t="shared" si="42"/>
        <v>129.053245214789</v>
      </c>
      <c r="Q113" s="1328"/>
      <c r="R113" s="1329"/>
      <c r="S113" s="1330"/>
      <c r="T113" s="1331"/>
      <c r="U113" s="1329"/>
      <c r="V113" s="1345"/>
      <c r="W113" s="1328"/>
      <c r="X113" s="1329"/>
      <c r="Y113" s="1330"/>
      <c r="Z113" s="1331"/>
      <c r="AA113" s="1329"/>
      <c r="AB113" s="1345"/>
      <c r="AC113" s="1328"/>
      <c r="AD113" s="1329"/>
      <c r="AE113" s="1330"/>
      <c r="AF113" s="1331"/>
      <c r="AG113" s="1329"/>
      <c r="AH113" s="1345"/>
      <c r="AI113" s="1328"/>
      <c r="AJ113" s="1345"/>
      <c r="AK113" s="1330"/>
      <c r="AL113" s="1002">
        <f>AL103+AL111-AL112</f>
        <v>72239.76</v>
      </c>
      <c r="AM113" s="1224">
        <f>AM103+AM111-AM112</f>
        <v>10176748</v>
      </c>
      <c r="AN113" s="1195">
        <f t="shared" si="43"/>
        <v>140.874609771683</v>
      </c>
    </row>
    <row r="114" spans="1:40">
      <c r="A114" s="968" t="s">
        <v>746</v>
      </c>
      <c r="B114" s="969"/>
      <c r="C114" s="984"/>
      <c r="D114" s="971">
        <f t="shared" si="38"/>
        <v>0</v>
      </c>
      <c r="E114" s="969"/>
      <c r="F114" s="1053"/>
      <c r="G114" s="971">
        <f t="shared" si="39"/>
        <v>0</v>
      </c>
      <c r="H114" s="1047"/>
      <c r="I114" s="1085"/>
      <c r="J114" s="1086">
        <f t="shared" si="40"/>
        <v>0</v>
      </c>
      <c r="K114" s="969"/>
      <c r="L114" s="1085"/>
      <c r="M114" s="971">
        <f t="shared" si="41"/>
        <v>0</v>
      </c>
      <c r="N114" s="1047"/>
      <c r="O114" s="1085"/>
      <c r="P114" s="1093"/>
      <c r="Q114" s="969"/>
      <c r="R114" s="1085"/>
      <c r="S114" s="1024"/>
      <c r="T114" s="1047"/>
      <c r="U114" s="1085"/>
      <c r="V114" s="1093"/>
      <c r="W114" s="969"/>
      <c r="X114" s="1085"/>
      <c r="Y114" s="1024"/>
      <c r="Z114" s="1047"/>
      <c r="AA114" s="1085"/>
      <c r="AB114" s="1093"/>
      <c r="AC114" s="969"/>
      <c r="AD114" s="1085"/>
      <c r="AE114" s="1024"/>
      <c r="AF114" s="1047"/>
      <c r="AG114" s="1085"/>
      <c r="AH114" s="1093"/>
      <c r="AI114" s="969"/>
      <c r="AJ114" s="1093"/>
      <c r="AK114" s="1024"/>
      <c r="AL114" s="968">
        <f>SUM(B114:AI114)</f>
        <v>0</v>
      </c>
      <c r="AM114" s="968"/>
      <c r="AN114" s="971">
        <f t="shared" si="43"/>
        <v>0</v>
      </c>
    </row>
    <row r="115" spans="1:40">
      <c r="A115" s="952" t="s">
        <v>747</v>
      </c>
      <c r="B115" s="953">
        <f>'Inventory Sales'!B$12</f>
        <v>0</v>
      </c>
      <c r="C115" s="985">
        <f>'Inventory Sales'!D$12</f>
        <v>0</v>
      </c>
      <c r="D115" s="955">
        <f t="shared" si="38"/>
        <v>0</v>
      </c>
      <c r="E115" s="953">
        <f>'Inventory Sales'!E$12</f>
        <v>1908</v>
      </c>
      <c r="F115" s="985">
        <f>'Inventory Sales'!G$12</f>
        <v>502180</v>
      </c>
      <c r="G115" s="955">
        <f t="shared" si="39"/>
        <v>263.197064989518</v>
      </c>
      <c r="H115" s="1054">
        <f>'Inventory Sales'!H$12+50.9</f>
        <v>630.9</v>
      </c>
      <c r="I115" s="985">
        <f>'Inventory Sales'!J$12+45428</f>
        <v>209228</v>
      </c>
      <c r="J115" s="1080">
        <f t="shared" si="40"/>
        <v>331.634173403075</v>
      </c>
      <c r="K115" s="953">
        <f>'Inventory Sales'!K$12</f>
        <v>0</v>
      </c>
      <c r="L115" s="985">
        <f>'Inventory Sales'!M$12</f>
        <v>0</v>
      </c>
      <c r="M115" s="955">
        <f t="shared" si="41"/>
        <v>0</v>
      </c>
      <c r="N115" s="1054">
        <v>420</v>
      </c>
      <c r="O115" s="985">
        <f>'Inventory Sales'!P$12</f>
        <v>137220</v>
      </c>
      <c r="P115" s="1080">
        <f t="shared" ref="P115:P121" si="44">IF(N115=0,0,O115/N115)</f>
        <v>326.714285714286</v>
      </c>
      <c r="Q115" s="953"/>
      <c r="R115" s="1105"/>
      <c r="S115" s="1114"/>
      <c r="T115" s="1054"/>
      <c r="U115" s="1105"/>
      <c r="V115" s="1106"/>
      <c r="W115" s="953"/>
      <c r="X115" s="1105"/>
      <c r="Y115" s="1114"/>
      <c r="Z115" s="1054"/>
      <c r="AA115" s="1105"/>
      <c r="AB115" s="1106"/>
      <c r="AC115" s="953"/>
      <c r="AD115" s="1105"/>
      <c r="AE115" s="1114"/>
      <c r="AF115" s="1054"/>
      <c r="AG115" s="1105"/>
      <c r="AH115" s="1106"/>
      <c r="AI115" s="953"/>
      <c r="AJ115" s="1106"/>
      <c r="AK115" s="1114"/>
      <c r="AL115" s="952">
        <f>'Inventory Sales'!AL12</f>
        <v>5534</v>
      </c>
      <c r="AM115" s="1159">
        <f>'Inventory Sales'!AN12</f>
        <v>1512960</v>
      </c>
      <c r="AN115" s="955">
        <f t="shared" si="43"/>
        <v>273.393567040116</v>
      </c>
    </row>
    <row r="116" spans="1:40">
      <c r="A116" s="952" t="s">
        <v>748</v>
      </c>
      <c r="B116" s="953">
        <f>'Inventory Sales'!B$13</f>
        <v>887.91</v>
      </c>
      <c r="C116" s="985">
        <f>ROUND(('Inventory Sales'!D13),0)</f>
        <v>201802</v>
      </c>
      <c r="D116" s="955">
        <f t="shared" si="38"/>
        <v>227.277539390254</v>
      </c>
      <c r="E116" s="953">
        <f>'Inventory Sales'!E$13</f>
        <v>195</v>
      </c>
      <c r="F116" s="985">
        <f>ROUND(('Inventory Sales'!G13),0)</f>
        <v>52144</v>
      </c>
      <c r="G116" s="955">
        <f t="shared" si="39"/>
        <v>267.405128205128</v>
      </c>
      <c r="H116" s="1054">
        <f>'Inventory Sales'!H$13</f>
        <v>348</v>
      </c>
      <c r="I116" s="985">
        <f>ROUND(('Inventory Sales'!J13),0)</f>
        <v>83370</v>
      </c>
      <c r="J116" s="1080">
        <f t="shared" si="40"/>
        <v>239.568965517241</v>
      </c>
      <c r="K116" s="953">
        <f>'Inventory Sales'!K$13</f>
        <v>168</v>
      </c>
      <c r="L116" s="985">
        <f>ROUND(('Inventory Sales'!M13),0)</f>
        <v>43980</v>
      </c>
      <c r="M116" s="955">
        <f t="shared" si="41"/>
        <v>261.785714285714</v>
      </c>
      <c r="N116" s="1054"/>
      <c r="O116" s="985">
        <f>ROUND(('Inventory Sales'!P13),0)</f>
        <v>0</v>
      </c>
      <c r="P116" s="955">
        <f t="shared" si="44"/>
        <v>0</v>
      </c>
      <c r="Q116" s="953"/>
      <c r="R116" s="1105"/>
      <c r="S116" s="1114"/>
      <c r="T116" s="1054"/>
      <c r="U116" s="1105"/>
      <c r="V116" s="1106"/>
      <c r="W116" s="953"/>
      <c r="X116" s="1105"/>
      <c r="Y116" s="1114"/>
      <c r="Z116" s="1054"/>
      <c r="AA116" s="1105"/>
      <c r="AB116" s="1106"/>
      <c r="AC116" s="953"/>
      <c r="AD116" s="1105"/>
      <c r="AE116" s="1114"/>
      <c r="AF116" s="1054"/>
      <c r="AG116" s="1105"/>
      <c r="AH116" s="1106"/>
      <c r="AI116" s="953"/>
      <c r="AJ116" s="1106"/>
      <c r="AK116" s="1114"/>
      <c r="AL116" s="952">
        <f>'Inventory Sales'!AL13</f>
        <v>4039.61</v>
      </c>
      <c r="AM116" s="1159">
        <f>ROUND(('Inventory Sales'!AN13),0)</f>
        <v>962503</v>
      </c>
      <c r="AN116" s="955">
        <f t="shared" si="43"/>
        <v>238.266317788103</v>
      </c>
    </row>
    <row r="117" ht="12" customHeight="1" spans="1:40">
      <c r="A117" s="952" t="s">
        <v>749</v>
      </c>
      <c r="B117" s="953">
        <f>'Inventory Sales'!B$17</f>
        <v>2058.25</v>
      </c>
      <c r="C117" s="985">
        <f>'Inventory Sales'!D$17</f>
        <v>378530</v>
      </c>
      <c r="D117" s="955">
        <f t="shared" si="38"/>
        <v>183.908660269647</v>
      </c>
      <c r="E117" s="953">
        <f>'Inventory Sales'!E$17</f>
        <v>870.65</v>
      </c>
      <c r="F117" s="985">
        <f>'Inventory Sales'!G$17</f>
        <v>168775</v>
      </c>
      <c r="G117" s="955">
        <f t="shared" si="39"/>
        <v>193.849422845001</v>
      </c>
      <c r="H117" s="1054">
        <f>'Inventory Sales'!H$17</f>
        <v>1226</v>
      </c>
      <c r="I117" s="985">
        <f>'Inventory Sales'!J$17</f>
        <v>233700</v>
      </c>
      <c r="J117" s="1080">
        <f t="shared" si="40"/>
        <v>190.619902120718</v>
      </c>
      <c r="K117" s="953">
        <f>'Inventory Sales'!K$17</f>
        <v>1580</v>
      </c>
      <c r="L117" s="985">
        <f>'Inventory Sales'!M$17</f>
        <v>301200</v>
      </c>
      <c r="M117" s="955">
        <f t="shared" si="41"/>
        <v>190.632911392405</v>
      </c>
      <c r="N117" s="1054">
        <v>715</v>
      </c>
      <c r="O117" s="985">
        <f>'Inventory Sales'!P$17</f>
        <v>137160</v>
      </c>
      <c r="P117" s="955">
        <f t="shared" si="44"/>
        <v>191.832167832168</v>
      </c>
      <c r="Q117" s="953"/>
      <c r="R117" s="1105"/>
      <c r="S117" s="1114"/>
      <c r="T117" s="1054"/>
      <c r="U117" s="1105"/>
      <c r="V117" s="1106"/>
      <c r="W117" s="953"/>
      <c r="X117" s="1105"/>
      <c r="Y117" s="1114"/>
      <c r="Z117" s="1054"/>
      <c r="AA117" s="1105"/>
      <c r="AB117" s="1106"/>
      <c r="AC117" s="953"/>
      <c r="AD117" s="1105"/>
      <c r="AE117" s="1114"/>
      <c r="AF117" s="1054"/>
      <c r="AG117" s="1105"/>
      <c r="AH117" s="1106"/>
      <c r="AI117" s="953"/>
      <c r="AJ117" s="1106"/>
      <c r="AK117" s="1114"/>
      <c r="AL117" s="952">
        <f>'Inventory Sales'!AL17</f>
        <v>12709.9</v>
      </c>
      <c r="AM117" s="1159">
        <f>'Inventory Sales'!AN17</f>
        <v>2512718</v>
      </c>
      <c r="AN117" s="955">
        <f t="shared" si="43"/>
        <v>197.69770021794</v>
      </c>
    </row>
    <row r="118" spans="1:40">
      <c r="A118" s="952" t="s">
        <v>750</v>
      </c>
      <c r="B118" s="953">
        <f>'Inventory Sales'!B$15</f>
        <v>1</v>
      </c>
      <c r="C118" s="985">
        <f>'Inventory Sales'!D$15</f>
        <v>720</v>
      </c>
      <c r="D118" s="955">
        <f t="shared" si="38"/>
        <v>720</v>
      </c>
      <c r="E118" s="953">
        <f>'Inventory Sales'!E$15</f>
        <v>0</v>
      </c>
      <c r="F118" s="985">
        <f>'Inventory Sales'!G$15</f>
        <v>0</v>
      </c>
      <c r="G118" s="955">
        <f t="shared" si="39"/>
        <v>0</v>
      </c>
      <c r="H118" s="1054">
        <f>'Inventory Sales'!H$15</f>
        <v>0</v>
      </c>
      <c r="I118" s="985">
        <f>'Inventory Sales'!J$15</f>
        <v>0</v>
      </c>
      <c r="J118" s="1080">
        <f t="shared" si="40"/>
        <v>0</v>
      </c>
      <c r="K118" s="953">
        <f>'Inventory Sales'!K$15</f>
        <v>0</v>
      </c>
      <c r="L118" s="985">
        <f>'Inventory Sales'!M$15</f>
        <v>0</v>
      </c>
      <c r="M118" s="955">
        <f t="shared" si="41"/>
        <v>0</v>
      </c>
      <c r="N118" s="1054">
        <v>282</v>
      </c>
      <c r="O118" s="985">
        <f>'Inventory Sales'!P$15</f>
        <v>36990</v>
      </c>
      <c r="P118" s="955">
        <f t="shared" si="44"/>
        <v>131.170212765957</v>
      </c>
      <c r="Q118" s="953"/>
      <c r="R118" s="1105"/>
      <c r="S118" s="1114"/>
      <c r="T118" s="1054"/>
      <c r="U118" s="1105"/>
      <c r="V118" s="1106"/>
      <c r="W118" s="953"/>
      <c r="X118" s="1105"/>
      <c r="Y118" s="1114"/>
      <c r="Z118" s="1054"/>
      <c r="AA118" s="1105"/>
      <c r="AB118" s="1106"/>
      <c r="AC118" s="953"/>
      <c r="AD118" s="1105"/>
      <c r="AE118" s="1114"/>
      <c r="AF118" s="1054"/>
      <c r="AG118" s="1105"/>
      <c r="AH118" s="1106"/>
      <c r="AI118" s="1357"/>
      <c r="AJ118" s="1358"/>
      <c r="AK118" s="1402"/>
      <c r="AL118" s="952">
        <f>'Inventory Sales'!AL15</f>
        <v>9679.5</v>
      </c>
      <c r="AM118" s="1159">
        <f>'Inventory Sales'!AN15</f>
        <v>1155556</v>
      </c>
      <c r="AN118" s="955">
        <f t="shared" si="43"/>
        <v>119.38178624929</v>
      </c>
    </row>
    <row r="119" spans="1:40">
      <c r="A119" s="952" t="s">
        <v>751</v>
      </c>
      <c r="B119" s="953"/>
      <c r="C119" s="985"/>
      <c r="D119" s="955">
        <f t="shared" si="38"/>
        <v>0</v>
      </c>
      <c r="E119" s="953"/>
      <c r="F119" s="985"/>
      <c r="G119" s="955">
        <f t="shared" si="39"/>
        <v>0</v>
      </c>
      <c r="H119" s="1054"/>
      <c r="I119" s="985"/>
      <c r="J119" s="1080">
        <f t="shared" si="40"/>
        <v>0</v>
      </c>
      <c r="K119" s="953"/>
      <c r="L119" s="985"/>
      <c r="M119" s="955">
        <f t="shared" si="41"/>
        <v>0</v>
      </c>
      <c r="N119" s="1054"/>
      <c r="O119" s="985"/>
      <c r="P119" s="955">
        <f t="shared" si="44"/>
        <v>0</v>
      </c>
      <c r="Q119" s="953"/>
      <c r="R119" s="1105"/>
      <c r="S119" s="1114"/>
      <c r="T119" s="1054"/>
      <c r="U119" s="1105"/>
      <c r="V119" s="1106"/>
      <c r="W119" s="953"/>
      <c r="X119" s="1105"/>
      <c r="Y119" s="1114"/>
      <c r="Z119" s="1054"/>
      <c r="AA119" s="1105"/>
      <c r="AB119" s="1106"/>
      <c r="AC119" s="953"/>
      <c r="AD119" s="1105"/>
      <c r="AE119" s="1114"/>
      <c r="AF119" s="1054"/>
      <c r="AG119" s="1105"/>
      <c r="AH119" s="1106"/>
      <c r="AI119" s="953"/>
      <c r="AJ119" s="1106"/>
      <c r="AK119" s="1114"/>
      <c r="AL119" s="952">
        <f>'Inventory Sales'!AL16</f>
        <v>984.26</v>
      </c>
      <c r="AM119" s="1159">
        <f>'Inventory Sales'!AN16</f>
        <v>337863</v>
      </c>
      <c r="AN119" s="955">
        <f t="shared" si="43"/>
        <v>343.266006949383</v>
      </c>
    </row>
    <row r="120" ht="14.25" spans="1:40">
      <c r="A120" s="956" t="s">
        <v>752</v>
      </c>
      <c r="B120" s="957">
        <f>'Inventory Sales'!B$14</f>
        <v>4797.6</v>
      </c>
      <c r="C120" s="976">
        <f>'Inventory Sales'!D$14</f>
        <v>796540</v>
      </c>
      <c r="D120" s="986">
        <f t="shared" si="38"/>
        <v>166.028847757212</v>
      </c>
      <c r="E120" s="957">
        <f>'Inventory Sales'!E$14</f>
        <v>5704.65</v>
      </c>
      <c r="F120" s="976">
        <f>'Inventory Sales'!G$14</f>
        <v>945541</v>
      </c>
      <c r="G120" s="986">
        <f t="shared" si="39"/>
        <v>165.749169537132</v>
      </c>
      <c r="H120" s="1043">
        <f>'Inventory Sales'!H$14</f>
        <v>4826</v>
      </c>
      <c r="I120" s="976">
        <f>'Inventory Sales'!J$14</f>
        <v>816591</v>
      </c>
      <c r="J120" s="1088">
        <f t="shared" si="40"/>
        <v>169.206589307915</v>
      </c>
      <c r="K120" s="957">
        <f>'Inventory Sales'!K$14</f>
        <v>6780.8</v>
      </c>
      <c r="L120" s="976">
        <f>'Inventory Sales'!M$14</f>
        <v>1149295</v>
      </c>
      <c r="M120" s="986">
        <f t="shared" si="41"/>
        <v>169.492537753657</v>
      </c>
      <c r="N120" s="1043">
        <v>4998.6</v>
      </c>
      <c r="O120" s="976">
        <f>'Inventory Sales'!P$14</f>
        <v>843523</v>
      </c>
      <c r="P120" s="986">
        <f t="shared" si="44"/>
        <v>168.751850518145</v>
      </c>
      <c r="Q120" s="957"/>
      <c r="R120" s="1081"/>
      <c r="S120" s="1115"/>
      <c r="T120" s="1043"/>
      <c r="U120" s="1081"/>
      <c r="V120" s="1098"/>
      <c r="W120" s="957"/>
      <c r="X120" s="1081"/>
      <c r="Y120" s="1115"/>
      <c r="Z120" s="1043"/>
      <c r="AA120" s="1081"/>
      <c r="AB120" s="1098"/>
      <c r="AC120" s="957"/>
      <c r="AD120" s="1081"/>
      <c r="AE120" s="1115"/>
      <c r="AF120" s="1043"/>
      <c r="AG120" s="1081"/>
      <c r="AH120" s="1098"/>
      <c r="AI120" s="957"/>
      <c r="AJ120" s="1098"/>
      <c r="AK120" s="1115"/>
      <c r="AL120" s="952">
        <f>'Inventory Sales'!AL14</f>
        <v>58534.85</v>
      </c>
      <c r="AM120" s="1159">
        <f>'Inventory Sales'!AN14</f>
        <v>9821198</v>
      </c>
      <c r="AN120" s="986">
        <f t="shared" si="43"/>
        <v>167.783773256445</v>
      </c>
    </row>
    <row r="121" ht="14.25" spans="1:40">
      <c r="A121" s="1238" t="s">
        <v>753</v>
      </c>
      <c r="B121" s="1239">
        <f>SUM(B114:B120)</f>
        <v>7744.76</v>
      </c>
      <c r="C121" s="1240">
        <f>SUM(C115:C120)</f>
        <v>1377592</v>
      </c>
      <c r="D121" s="981">
        <f t="shared" si="38"/>
        <v>177.874072275965</v>
      </c>
      <c r="E121" s="1239">
        <f>SUM(E114:E120)</f>
        <v>8678.3</v>
      </c>
      <c r="F121" s="1240">
        <f>SUM(F115:F120)</f>
        <v>1668640</v>
      </c>
      <c r="G121" s="981">
        <f t="shared" si="39"/>
        <v>192.27728933086</v>
      </c>
      <c r="H121" s="1273">
        <f>SUM(H114:H120)</f>
        <v>7030.9</v>
      </c>
      <c r="I121" s="1240">
        <f>SUM(I115:I120)</f>
        <v>1342889</v>
      </c>
      <c r="J121" s="1087">
        <f t="shared" si="40"/>
        <v>190.998165242003</v>
      </c>
      <c r="K121" s="1239">
        <f>SUM(K114:K120)</f>
        <v>8528.8</v>
      </c>
      <c r="L121" s="1240">
        <f>SUM(L115:L120)</f>
        <v>1494475</v>
      </c>
      <c r="M121" s="981">
        <f t="shared" si="41"/>
        <v>175.226878341619</v>
      </c>
      <c r="N121" s="1273">
        <f>SUM(N114:N120)</f>
        <v>6415.6</v>
      </c>
      <c r="O121" s="1240">
        <f>SUM(O115:O120)</f>
        <v>1154893</v>
      </c>
      <c r="P121" s="981">
        <f t="shared" si="44"/>
        <v>180.013248955671</v>
      </c>
      <c r="Q121" s="1239">
        <f>SUM(Q114:Q120)</f>
        <v>0</v>
      </c>
      <c r="R121" s="1326"/>
      <c r="S121" s="1327"/>
      <c r="T121" s="1273">
        <f>SUM(T114:T120)</f>
        <v>0</v>
      </c>
      <c r="U121" s="1326"/>
      <c r="V121" s="1344"/>
      <c r="W121" s="1239">
        <f>SUM(W114:W120)</f>
        <v>0</v>
      </c>
      <c r="X121" s="1326"/>
      <c r="Y121" s="1327"/>
      <c r="Z121" s="1273">
        <f>SUM(Z114:Z120)</f>
        <v>0</v>
      </c>
      <c r="AA121" s="1326"/>
      <c r="AB121" s="1344"/>
      <c r="AC121" s="1239">
        <f>SUM(AC114:AC120)</f>
        <v>0</v>
      </c>
      <c r="AD121" s="1326"/>
      <c r="AE121" s="1327"/>
      <c r="AF121" s="1273">
        <f>SUM(AF114:AF120)</f>
        <v>0</v>
      </c>
      <c r="AG121" s="1326"/>
      <c r="AH121" s="1344"/>
      <c r="AI121" s="1239">
        <f>SUM(AI114:AI120)</f>
        <v>0</v>
      </c>
      <c r="AJ121" s="1344"/>
      <c r="AK121" s="1327"/>
      <c r="AL121" s="1238">
        <f>SUM(AL114:AL120)</f>
        <v>91482.12</v>
      </c>
      <c r="AM121" s="1240">
        <f>SUM(AM115:AM120)</f>
        <v>16302798</v>
      </c>
      <c r="AN121" s="981">
        <f t="shared" si="43"/>
        <v>178.207479232007</v>
      </c>
    </row>
    <row r="122" spans="2:39">
      <c r="B122" s="159">
        <f>B113-B121</f>
        <v>0</v>
      </c>
      <c r="C122" s="1242">
        <f>C121-C113</f>
        <v>506250</v>
      </c>
      <c r="E122" s="159">
        <f>E113-E121</f>
        <v>0</v>
      </c>
      <c r="F122" s="1242">
        <f>F121-F113</f>
        <v>380306</v>
      </c>
      <c r="H122" s="159">
        <f>H113-H121</f>
        <v>0</v>
      </c>
      <c r="I122" s="1242">
        <f>I121-I113</f>
        <v>420303</v>
      </c>
      <c r="K122" s="159">
        <f>K113-K121</f>
        <v>0</v>
      </c>
      <c r="L122" s="1242">
        <f>L121-L113</f>
        <v>464899</v>
      </c>
      <c r="N122" s="159">
        <f>N113-N121</f>
        <v>0</v>
      </c>
      <c r="O122" s="1242">
        <f>O121-O113</f>
        <v>326939</v>
      </c>
      <c r="AL122" s="1403">
        <f>AL113-AL121</f>
        <v>-19242.36</v>
      </c>
      <c r="AM122" s="1242">
        <f>AM121-AM113</f>
        <v>6126050</v>
      </c>
    </row>
    <row r="123" ht="15" spans="1:40">
      <c r="A123" s="1243"/>
      <c r="B123" s="1244">
        <f>B81+B87+B103</f>
        <v>332926</v>
      </c>
      <c r="C123" s="1245">
        <f>C81+C87+C103</f>
        <v>64902871</v>
      </c>
      <c r="D123" s="1008"/>
      <c r="E123" s="1008"/>
      <c r="F123" s="1069"/>
      <c r="G123" s="1008"/>
      <c r="H123" s="1008"/>
      <c r="I123" s="1008"/>
      <c r="J123" s="1008"/>
      <c r="K123" s="1008"/>
      <c r="L123" s="1008"/>
      <c r="M123" s="1008"/>
      <c r="N123" s="1008"/>
      <c r="O123" s="1008"/>
      <c r="P123" s="1008"/>
      <c r="Q123" s="1008"/>
      <c r="R123" s="1008"/>
      <c r="S123" s="1008"/>
      <c r="T123" s="1008"/>
      <c r="U123" s="1008"/>
      <c r="V123" s="1008"/>
      <c r="W123" s="1008"/>
      <c r="X123" s="1008"/>
      <c r="Y123" s="1008"/>
      <c r="Z123" s="1008"/>
      <c r="AA123" s="1008"/>
      <c r="AB123" s="1008"/>
      <c r="AC123" s="1008"/>
      <c r="AD123" s="1008"/>
      <c r="AE123" s="1008"/>
      <c r="AF123" s="1008"/>
      <c r="AG123" s="1008"/>
      <c r="AH123" s="1008"/>
      <c r="AI123" s="1008"/>
      <c r="AJ123" s="1008"/>
      <c r="AK123" s="1008"/>
      <c r="AL123" s="1008"/>
      <c r="AM123" s="1008"/>
      <c r="AN123" s="1008"/>
    </row>
    <row r="124" ht="15" spans="1:40">
      <c r="A124" s="1246" t="s">
        <v>754</v>
      </c>
      <c r="B124" s="1011">
        <f>B83+B92+B112</f>
        <v>325936.72</v>
      </c>
      <c r="C124" s="1012">
        <f>C83+C92+C112</f>
        <v>67603674</v>
      </c>
      <c r="D124" s="967">
        <f>IF(B124=0,0,C124/B124)</f>
        <v>207.413494251277</v>
      </c>
      <c r="E124" s="1011">
        <f>E83+E92+E112</f>
        <v>274576.22</v>
      </c>
      <c r="F124" s="1012">
        <f>F83+F92+F112</f>
        <v>53609664</v>
      </c>
      <c r="G124" s="967">
        <f>IF(E124=0,0,F124/E124)</f>
        <v>195.245108990138</v>
      </c>
      <c r="H124" s="1070">
        <f>H83+H92+H112</f>
        <v>256189.88</v>
      </c>
      <c r="I124" s="1012">
        <f>I83+I92+I112</f>
        <v>49136804</v>
      </c>
      <c r="J124" s="1084">
        <f>IF(H124=0,0,I124/H124)</f>
        <v>191.798380170208</v>
      </c>
      <c r="K124" s="1011">
        <f>K83+K92+K112</f>
        <v>247549.28</v>
      </c>
      <c r="L124" s="1012">
        <f>L83+L92+L112</f>
        <v>46532314</v>
      </c>
      <c r="M124" s="967">
        <f>IF(K124=0,0,L124/K124)</f>
        <v>187.971922196663</v>
      </c>
      <c r="N124" s="1070">
        <f>N83+N92+N112</f>
        <v>43256.8</v>
      </c>
      <c r="O124" s="1012">
        <f>O83+O92+O112</f>
        <v>63640811</v>
      </c>
      <c r="P124" s="967">
        <f>IF(N124=0,0,O124/N124)</f>
        <v>1471.23252297905</v>
      </c>
      <c r="Q124" s="1011">
        <f>Q83+Q92+Q112</f>
        <v>43256.8</v>
      </c>
      <c r="R124" s="1131"/>
      <c r="S124" s="1132"/>
      <c r="T124" s="1070">
        <f>T83+T92+T112</f>
        <v>43256.8</v>
      </c>
      <c r="U124" s="1131"/>
      <c r="V124" s="1150"/>
      <c r="W124" s="1011">
        <f>W83+W92+W112</f>
        <v>43256.8</v>
      </c>
      <c r="X124" s="1131"/>
      <c r="Y124" s="1132"/>
      <c r="Z124" s="1070">
        <f>Z83+Z92+Z112</f>
        <v>43257.4</v>
      </c>
      <c r="AA124" s="1131"/>
      <c r="AB124" s="1150"/>
      <c r="AC124" s="1011">
        <f>AC83+AC92+AC112</f>
        <v>43257.4</v>
      </c>
      <c r="AD124" s="1131"/>
      <c r="AE124" s="1132"/>
      <c r="AF124" s="1070">
        <f>AF83+AF92+AF112</f>
        <v>43257.4</v>
      </c>
      <c r="AG124" s="1131"/>
      <c r="AH124" s="1150"/>
      <c r="AI124" s="1011">
        <f>AI83+AI92+AI112</f>
        <v>43257.19</v>
      </c>
      <c r="AJ124" s="1150"/>
      <c r="AK124" s="1132"/>
      <c r="AL124" s="1000">
        <f>AL83+AL92+AL112</f>
        <v>255827.49</v>
      </c>
      <c r="AM124" s="1012">
        <f>AM83+AM92+AM112</f>
        <v>63446040</v>
      </c>
      <c r="AN124" s="1177">
        <f>IF(AL124=0,0,AM124/AL124)</f>
        <v>248.003214978969</v>
      </c>
    </row>
    <row r="125" ht="14.25" spans="1:40">
      <c r="A125" s="1247"/>
      <c r="B125" s="1248">
        <f>B123-B124</f>
        <v>6989.28000000003</v>
      </c>
      <c r="C125" s="1249">
        <f>C123-C124</f>
        <v>-2700803</v>
      </c>
      <c r="D125" s="1250">
        <f>C125/B125</f>
        <v>-386.420775816678</v>
      </c>
      <c r="E125" s="1248">
        <f>B124-E124</f>
        <v>51360.5</v>
      </c>
      <c r="F125" s="1274">
        <f>C124-F124</f>
        <v>13994010</v>
      </c>
      <c r="G125" s="1250">
        <f>F125/E125</f>
        <v>272.4663895406</v>
      </c>
      <c r="H125" s="1248">
        <f>E124-H124</f>
        <v>18386.34</v>
      </c>
      <c r="I125" s="1274">
        <f>F124-I124</f>
        <v>4472860</v>
      </c>
      <c r="J125" s="1290">
        <f>I125/H125</f>
        <v>243.270819532326</v>
      </c>
      <c r="K125" s="1248">
        <f>H124-K124</f>
        <v>8640.59999999998</v>
      </c>
      <c r="L125" s="1291">
        <f>I124-L124</f>
        <v>2604490</v>
      </c>
      <c r="M125" s="1250">
        <f>L125/K125</f>
        <v>301.424669583132</v>
      </c>
      <c r="N125" s="1248">
        <f>K124-N124</f>
        <v>204292.48</v>
      </c>
      <c r="O125" s="1291">
        <f>L124-O124</f>
        <v>-17108497</v>
      </c>
      <c r="P125" s="1290">
        <f>O125/N125</f>
        <v>-83.7451138681169</v>
      </c>
      <c r="Q125" s="1332"/>
      <c r="R125" s="1332"/>
      <c r="S125" s="1332"/>
      <c r="T125" s="1332"/>
      <c r="U125" s="1332"/>
      <c r="V125" s="1332"/>
      <c r="W125" s="1332"/>
      <c r="X125" s="1332"/>
      <c r="Y125" s="1332"/>
      <c r="Z125" s="1332"/>
      <c r="AA125" s="1332"/>
      <c r="AB125" s="1332"/>
      <c r="AC125" s="1332"/>
      <c r="AD125" s="1332"/>
      <c r="AE125" s="1332"/>
      <c r="AF125" s="1332"/>
      <c r="AG125" s="1332"/>
      <c r="AH125" s="1332"/>
      <c r="AI125" s="1332"/>
      <c r="AJ125" s="1332"/>
      <c r="AK125" s="1332"/>
      <c r="AL125" s="1248">
        <f>B123-AL124</f>
        <v>77098.51</v>
      </c>
      <c r="AM125" s="1274">
        <f>C123-AM124</f>
        <v>1456831</v>
      </c>
      <c r="AN125" s="1290">
        <f>AM125/AL125</f>
        <v>18.8957088794582</v>
      </c>
    </row>
    <row r="126" ht="15" spans="1:40">
      <c r="A126" s="993" t="s">
        <v>381</v>
      </c>
      <c r="B126" s="994"/>
      <c r="C126" s="994"/>
      <c r="D126" s="994"/>
      <c r="E126" s="994"/>
      <c r="F126" s="994"/>
      <c r="G126" s="994"/>
      <c r="H126" s="994"/>
      <c r="I126" s="994"/>
      <c r="J126" s="994"/>
      <c r="K126" s="994"/>
      <c r="L126" s="994"/>
      <c r="M126" s="994"/>
      <c r="N126" s="994"/>
      <c r="O126" s="994"/>
      <c r="P126" s="994"/>
      <c r="Q126" s="994"/>
      <c r="R126" s="994"/>
      <c r="S126" s="994"/>
      <c r="T126" s="994"/>
      <c r="U126" s="994"/>
      <c r="V126" s="994"/>
      <c r="W126" s="994"/>
      <c r="X126" s="994"/>
      <c r="Y126" s="994"/>
      <c r="Z126" s="994"/>
      <c r="AA126" s="994"/>
      <c r="AB126" s="994"/>
      <c r="AC126" s="994"/>
      <c r="AD126" s="994"/>
      <c r="AE126" s="994"/>
      <c r="AF126" s="994"/>
      <c r="AG126" s="994"/>
      <c r="AH126" s="994"/>
      <c r="AI126" s="994"/>
      <c r="AJ126" s="994"/>
      <c r="AK126" s="994"/>
      <c r="AL126" s="994"/>
      <c r="AM126" s="712"/>
      <c r="AN126" s="994"/>
    </row>
    <row r="127" spans="1:40">
      <c r="A127" s="968" t="s">
        <v>716</v>
      </c>
      <c r="B127" s="1251">
        <v>0</v>
      </c>
      <c r="C127" s="1252"/>
      <c r="D127" s="971">
        <f>IF(B127=0,0,C127/B127)</f>
        <v>0</v>
      </c>
      <c r="E127" s="1275">
        <f>B132</f>
        <v>105854.6</v>
      </c>
      <c r="F127" s="1053">
        <f>C132</f>
        <v>16839196</v>
      </c>
      <c r="G127" s="971">
        <f>IF(E127=0,0,F127/E127)</f>
        <v>159.078547365915</v>
      </c>
      <c r="H127" s="1276">
        <f>E132</f>
        <v>241219.6</v>
      </c>
      <c r="I127" s="1085"/>
      <c r="J127" s="1086">
        <f>IF(H127=0,0,I127/H127)</f>
        <v>0</v>
      </c>
      <c r="K127" s="1275">
        <f>H132</f>
        <v>362996.1</v>
      </c>
      <c r="L127" s="1085"/>
      <c r="M127" s="971">
        <f>IF(K127=0,0,L127/K127)</f>
        <v>0</v>
      </c>
      <c r="N127" s="1047">
        <f>K132</f>
        <v>479278.9</v>
      </c>
      <c r="O127" s="1085"/>
      <c r="P127" s="1093"/>
      <c r="Q127" s="969">
        <f>N132</f>
        <v>588691.3</v>
      </c>
      <c r="R127" s="1085"/>
      <c r="S127" s="1024"/>
      <c r="T127" s="1047">
        <f>Q132</f>
        <v>668509.4</v>
      </c>
      <c r="U127" s="1085"/>
      <c r="V127" s="1093"/>
      <c r="W127" s="969">
        <f>T132</f>
        <v>668509.4</v>
      </c>
      <c r="X127" s="1085"/>
      <c r="Y127" s="1024"/>
      <c r="Z127" s="1047">
        <f>W132</f>
        <v>668509.4</v>
      </c>
      <c r="AA127" s="1085"/>
      <c r="AB127" s="1093"/>
      <c r="AC127" s="969">
        <f>Z132</f>
        <v>668509.4</v>
      </c>
      <c r="AD127" s="1085"/>
      <c r="AE127" s="1024"/>
      <c r="AF127" s="1047">
        <f>AC132</f>
        <v>668509.4</v>
      </c>
      <c r="AG127" s="1085"/>
      <c r="AH127" s="1093"/>
      <c r="AI127" s="969">
        <f>AF132</f>
        <v>668509.4</v>
      </c>
      <c r="AJ127" s="1093"/>
      <c r="AK127" s="1024"/>
      <c r="AL127" s="968">
        <f>B127</f>
        <v>0</v>
      </c>
      <c r="AM127" s="968">
        <f>C127</f>
        <v>0</v>
      </c>
      <c r="AN127" s="971">
        <f>IF(AL127=0,0,AM127/AL127)</f>
        <v>0</v>
      </c>
    </row>
    <row r="128" ht="14.25" spans="1:40">
      <c r="A128" s="956" t="s">
        <v>755</v>
      </c>
      <c r="B128" s="1253">
        <f>B52+B76+B77+B78+B145</f>
        <v>107964.6</v>
      </c>
      <c r="C128" s="1254">
        <f>C52+C76+C77+C78+C145</f>
        <v>16860296</v>
      </c>
      <c r="D128" s="959">
        <f>IF(B128=0,0,C128/B128)</f>
        <v>156.165039281394</v>
      </c>
      <c r="E128" s="1277">
        <f>E52+E76+E77+E78+E145</f>
        <v>143104</v>
      </c>
      <c r="F128" s="1254">
        <f>F52+F76+F77+F78+F145</f>
        <v>20406460</v>
      </c>
      <c r="G128" s="959">
        <f>IF(E128=0,0,F128/E128)</f>
        <v>142.598809257603</v>
      </c>
      <c r="H128" s="1278">
        <f>H52+H76+H77+H78+H145</f>
        <v>127430.5</v>
      </c>
      <c r="I128" s="1254">
        <f>I52+I76+I77+I78+I145</f>
        <v>20239562</v>
      </c>
      <c r="J128" s="1082">
        <f>IF(H128=0,0,I128/H128)</f>
        <v>158.828239707134</v>
      </c>
      <c r="K128" s="1277">
        <f>K52+K76+K77+K78+K145</f>
        <v>121623.3</v>
      </c>
      <c r="L128" s="1254">
        <f>L52+L76+L77+L78+L145</f>
        <v>18965079</v>
      </c>
      <c r="M128" s="959">
        <f>IF(K128=0,0,L128/K128)</f>
        <v>155.932942125399</v>
      </c>
      <c r="N128" s="1301">
        <f>N52+N76+N77+N78+N145</f>
        <v>114801.4</v>
      </c>
      <c r="O128" s="1254">
        <f>O52+O76+O77+O78+O145</f>
        <v>18159202</v>
      </c>
      <c r="P128" s="959">
        <f>IF(N128=0,0,O128/N128)</f>
        <v>158.179273075067</v>
      </c>
      <c r="Q128" s="1253">
        <f>Q52+Q76+Q77+Q78+Q145</f>
        <v>79818.1</v>
      </c>
      <c r="R128" s="1333"/>
      <c r="S128" s="1334"/>
      <c r="T128" s="1301">
        <f>T52+T76+T77+T78+T145</f>
        <v>0</v>
      </c>
      <c r="U128" s="1333"/>
      <c r="V128" s="1346"/>
      <c r="W128" s="1253">
        <f>W52+W76+W77+W78+W145</f>
        <v>0</v>
      </c>
      <c r="X128" s="1333"/>
      <c r="Y128" s="1334"/>
      <c r="Z128" s="1301">
        <f>Z52+Z76+Z77+Z78+Z145</f>
        <v>0</v>
      </c>
      <c r="AA128" s="1333"/>
      <c r="AB128" s="1346"/>
      <c r="AC128" s="1253">
        <f>AC52+AC76+AC77+AC78+AC145</f>
        <v>0</v>
      </c>
      <c r="AD128" s="1333"/>
      <c r="AE128" s="1334"/>
      <c r="AF128" s="1301">
        <f>AF52+AF76+AF77+AF78+AF145</f>
        <v>0</v>
      </c>
      <c r="AG128" s="1333"/>
      <c r="AH128" s="1346"/>
      <c r="AI128" s="1253">
        <f>AI52+AI76+AI77+AI78+AI145</f>
        <v>0</v>
      </c>
      <c r="AJ128" s="1346"/>
      <c r="AK128" s="1334"/>
      <c r="AL128" s="956">
        <f t="shared" ref="AL128:AM131" si="45">SUM(B128,E128,H128,K128,N128,Q128,T128,W128,Z128,AC128,AF128,AI128)</f>
        <v>694741.9</v>
      </c>
      <c r="AM128" s="1160">
        <f t="shared" si="45"/>
        <v>94630599</v>
      </c>
      <c r="AN128" s="959">
        <f>IF(AL128=0,0,AM128/AL128)</f>
        <v>136.209719033788</v>
      </c>
    </row>
    <row r="129" spans="1:40">
      <c r="A129" s="968" t="s">
        <v>756</v>
      </c>
      <c r="B129" s="969"/>
      <c r="C129" s="984"/>
      <c r="D129" s="971">
        <f>IF(B129=0,0,C129/B129)</f>
        <v>0</v>
      </c>
      <c r="E129" s="1275"/>
      <c r="F129" s="1053"/>
      <c r="G129" s="971">
        <f>IF(E129=0,0,F129/E129)</f>
        <v>0</v>
      </c>
      <c r="H129" s="1276"/>
      <c r="I129" s="1085"/>
      <c r="J129" s="1086">
        <f>IF(H129=0,0,I129/H129)</f>
        <v>0</v>
      </c>
      <c r="K129" s="1275"/>
      <c r="L129" s="1085"/>
      <c r="M129" s="971">
        <f>IF(K129=0,0,L129/K129)</f>
        <v>0</v>
      </c>
      <c r="N129" s="1047"/>
      <c r="O129" s="1085"/>
      <c r="P129" s="1093"/>
      <c r="Q129" s="969"/>
      <c r="R129" s="1085"/>
      <c r="S129" s="1024"/>
      <c r="T129" s="1047"/>
      <c r="U129" s="1085"/>
      <c r="V129" s="1093"/>
      <c r="W129" s="969"/>
      <c r="X129" s="1085"/>
      <c r="Y129" s="1024"/>
      <c r="Z129" s="1047"/>
      <c r="AA129" s="1085"/>
      <c r="AB129" s="1093"/>
      <c r="AC129" s="969"/>
      <c r="AD129" s="1085"/>
      <c r="AE129" s="1024"/>
      <c r="AF129" s="1047"/>
      <c r="AG129" s="1085"/>
      <c r="AH129" s="1093"/>
      <c r="AI129" s="969"/>
      <c r="AJ129" s="1093"/>
      <c r="AK129" s="1024"/>
      <c r="AL129" s="968">
        <f t="shared" si="45"/>
        <v>0</v>
      </c>
      <c r="AM129" s="1161">
        <f t="shared" si="45"/>
        <v>0</v>
      </c>
      <c r="AN129" s="971">
        <f>IF(AL129=0,0,AM129/AL129)</f>
        <v>0</v>
      </c>
    </row>
    <row r="130" spans="1:40">
      <c r="A130" s="952" t="s">
        <v>746</v>
      </c>
      <c r="B130" s="953"/>
      <c r="C130" s="985"/>
      <c r="D130" s="955">
        <f>IF(B130=0,0,C130/B130)</f>
        <v>0</v>
      </c>
      <c r="E130" s="1436"/>
      <c r="F130" s="1272"/>
      <c r="G130" s="955">
        <f>IF(E130=0,0,F130/E130)</f>
        <v>0</v>
      </c>
      <c r="H130" s="1437"/>
      <c r="I130" s="1105"/>
      <c r="J130" s="1080">
        <f>IF(H130=0,0,I130/H130)</f>
        <v>0</v>
      </c>
      <c r="K130" s="1436"/>
      <c r="L130" s="1105"/>
      <c r="M130" s="955">
        <f>IF(K130=0,0,L130/K130)</f>
        <v>0</v>
      </c>
      <c r="N130" s="1054"/>
      <c r="O130" s="1105"/>
      <c r="P130" s="1106"/>
      <c r="Q130" s="953"/>
      <c r="R130" s="1105"/>
      <c r="S130" s="1114"/>
      <c r="T130" s="1054"/>
      <c r="U130" s="1105"/>
      <c r="V130" s="1106"/>
      <c r="W130" s="953"/>
      <c r="X130" s="1105"/>
      <c r="Y130" s="1114"/>
      <c r="Z130" s="1054"/>
      <c r="AA130" s="1105"/>
      <c r="AB130" s="1106"/>
      <c r="AC130" s="953"/>
      <c r="AD130" s="1105"/>
      <c r="AE130" s="1114"/>
      <c r="AF130" s="1054"/>
      <c r="AG130" s="1105"/>
      <c r="AH130" s="1106"/>
      <c r="AI130" s="953"/>
      <c r="AJ130" s="1106"/>
      <c r="AK130" s="1114"/>
      <c r="AL130" s="952">
        <f t="shared" si="45"/>
        <v>0</v>
      </c>
      <c r="AM130" s="1159">
        <f t="shared" si="45"/>
        <v>0</v>
      </c>
      <c r="AN130" s="955">
        <f>IF(AL130=0,0,AM130/AL130)</f>
        <v>0</v>
      </c>
    </row>
    <row r="131" ht="14.25" spans="1:40">
      <c r="A131" s="956" t="s">
        <v>735</v>
      </c>
      <c r="B131" s="957">
        <v>2110</v>
      </c>
      <c r="C131" s="976">
        <f>ROUND((B131*D131),0)</f>
        <v>21100</v>
      </c>
      <c r="D131" s="959">
        <v>10</v>
      </c>
      <c r="E131" s="1438">
        <v>7739</v>
      </c>
      <c r="F131" s="976">
        <f>ROUND((E131*G131),0)</f>
        <v>77390</v>
      </c>
      <c r="G131" s="959">
        <v>10</v>
      </c>
      <c r="H131" s="1439">
        <v>5654</v>
      </c>
      <c r="I131" s="976">
        <f>ROUND((H131*J131),0)</f>
        <v>56540</v>
      </c>
      <c r="J131" s="1082">
        <v>10</v>
      </c>
      <c r="K131" s="1438">
        <v>5340.5</v>
      </c>
      <c r="L131" s="976">
        <f>ROUND((K131*M131),0)</f>
        <v>53405</v>
      </c>
      <c r="M131" s="959">
        <v>10</v>
      </c>
      <c r="N131" s="1043">
        <v>5389</v>
      </c>
      <c r="O131" s="976">
        <f>ROUND((N131*P131),0)</f>
        <v>53890</v>
      </c>
      <c r="P131" s="1098">
        <v>10</v>
      </c>
      <c r="Q131" s="957"/>
      <c r="R131" s="1081"/>
      <c r="S131" s="1115"/>
      <c r="T131" s="1043"/>
      <c r="U131" s="1081"/>
      <c r="V131" s="1098"/>
      <c r="W131" s="957"/>
      <c r="X131" s="1081"/>
      <c r="Y131" s="1115"/>
      <c r="Z131" s="1043"/>
      <c r="AA131" s="1081"/>
      <c r="AB131" s="1098"/>
      <c r="AC131" s="957"/>
      <c r="AD131" s="1081"/>
      <c r="AE131" s="1115"/>
      <c r="AF131" s="1043"/>
      <c r="AG131" s="1081"/>
      <c r="AH131" s="1098"/>
      <c r="AI131" s="957"/>
      <c r="AJ131" s="1098"/>
      <c r="AK131" s="1115"/>
      <c r="AL131" s="956">
        <f t="shared" si="45"/>
        <v>26232.5</v>
      </c>
      <c r="AM131" s="1160">
        <f t="shared" si="45"/>
        <v>262325</v>
      </c>
      <c r="AN131" s="959">
        <v>10</v>
      </c>
    </row>
    <row r="132" ht="15" spans="1:40">
      <c r="A132" s="1019" t="s">
        <v>720</v>
      </c>
      <c r="B132" s="1405">
        <f>(B127+B128)-(B129+B130+B131)</f>
        <v>105854.6</v>
      </c>
      <c r="C132" s="1406">
        <f>C128-C131</f>
        <v>16839196</v>
      </c>
      <c r="D132" s="1171">
        <f>IF(B132=0,0,C132/B132)</f>
        <v>159.078547365915</v>
      </c>
      <c r="E132" s="1440">
        <f>SUM(E127+E128-E129-E130-E131)</f>
        <v>241219.6</v>
      </c>
      <c r="F132" s="1406">
        <f>F128-F131</f>
        <v>20329070</v>
      </c>
      <c r="G132" s="1171">
        <f>IF(E132=0,0,F132/E132)</f>
        <v>84.2761948034073</v>
      </c>
      <c r="H132" s="1441">
        <f>(H127+H128)-(H129+H130+H131)</f>
        <v>362996.1</v>
      </c>
      <c r="I132" s="1406">
        <f>I128-I131</f>
        <v>20183022</v>
      </c>
      <c r="J132" s="1456">
        <f>IF(H132=0,0,I132/H132)</f>
        <v>55.6012089386084</v>
      </c>
      <c r="K132" s="1440">
        <f>(K127+K128)-(K129+K130+K131)</f>
        <v>479278.9</v>
      </c>
      <c r="L132" s="1406">
        <f>L128-L131</f>
        <v>18911674</v>
      </c>
      <c r="M132" s="1171">
        <f>IF(K132=0,0,L132/K132)</f>
        <v>39.4585991580268</v>
      </c>
      <c r="N132" s="1460">
        <f>(N127+N128)-(N129+N130+N131)</f>
        <v>588691.3</v>
      </c>
      <c r="O132" s="1406">
        <f>O128-O131</f>
        <v>18105312</v>
      </c>
      <c r="P132" s="1171">
        <f>IF(N132=0,0,O132/N132)</f>
        <v>30.755188670191</v>
      </c>
      <c r="Q132" s="1405">
        <f>(Q127+Q128)-(Q129+Q130+Q131)</f>
        <v>668509.4</v>
      </c>
      <c r="R132" s="1469"/>
      <c r="S132" s="1470"/>
      <c r="T132" s="1460">
        <f>(T127+T128)-(T129+T130+T131)</f>
        <v>668509.4</v>
      </c>
      <c r="U132" s="1469"/>
      <c r="V132" s="1473"/>
      <c r="W132" s="1405">
        <f>(W127+W128)-(W129+W130+W131)</f>
        <v>668509.4</v>
      </c>
      <c r="X132" s="1469"/>
      <c r="Y132" s="1470"/>
      <c r="Z132" s="1460">
        <f>(Z127+Z128)-(Z129+Z130+Z131)</f>
        <v>668509.4</v>
      </c>
      <c r="AA132" s="1469"/>
      <c r="AB132" s="1473"/>
      <c r="AC132" s="1405">
        <f>(AC127+AC128)-(AC129+AC130+AC131)</f>
        <v>668509.4</v>
      </c>
      <c r="AD132" s="1469"/>
      <c r="AE132" s="1470"/>
      <c r="AF132" s="1460">
        <f>(AF127+AF128)-(AF129+AF130+AF131)</f>
        <v>668509.4</v>
      </c>
      <c r="AG132" s="1469"/>
      <c r="AH132" s="1473"/>
      <c r="AI132" s="1405">
        <f>(AI127+AI128)-(AI129+AI130+AI131)</f>
        <v>668509.4</v>
      </c>
      <c r="AJ132" s="1473"/>
      <c r="AK132" s="1470"/>
      <c r="AL132" s="1474">
        <f>(AL127+AL128)-(AL129+AL130+AL131)</f>
        <v>668509.4</v>
      </c>
      <c r="AM132" s="1406">
        <f>AM128-AM131</f>
        <v>94368274</v>
      </c>
      <c r="AN132" s="1171">
        <f>IF(AL132=0,0,AM132/AL132)</f>
        <v>141.162224495273</v>
      </c>
    </row>
    <row r="133" ht="14.25" spans="1:40">
      <c r="A133" s="726"/>
      <c r="B133" s="726"/>
      <c r="C133" s="1407"/>
      <c r="D133" s="726"/>
      <c r="E133" s="726"/>
      <c r="F133" s="1442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726"/>
      <c r="AB133" s="726"/>
      <c r="AC133" s="726"/>
      <c r="AD133" s="726"/>
      <c r="AE133" s="726"/>
      <c r="AF133" s="726"/>
      <c r="AG133" s="726"/>
      <c r="AH133" s="726"/>
      <c r="AI133" s="726"/>
      <c r="AJ133" s="726"/>
      <c r="AK133" s="726"/>
      <c r="AL133" s="726"/>
      <c r="AM133" s="726"/>
      <c r="AN133" s="726"/>
    </row>
    <row r="134" spans="8:10">
      <c r="H134" s="790"/>
      <c r="I134" s="790"/>
      <c r="J134" s="790"/>
    </row>
    <row r="142" spans="1:40">
      <c r="A142" s="1408" t="s">
        <v>757</v>
      </c>
      <c r="B142" s="1409">
        <f>ROUND((B96),0)</f>
        <v>86980</v>
      </c>
      <c r="C142" s="1410">
        <f>ROUND((B142*D142),0)</f>
        <v>16183392</v>
      </c>
      <c r="D142" s="1086">
        <f>MTY!D3-D93</f>
        <v>186.058771828406</v>
      </c>
      <c r="E142" s="1443">
        <f>ROUND((E96),0)</f>
        <v>122538</v>
      </c>
      <c r="F142" s="1444">
        <f>ROUND((E142*G142),0)</f>
        <v>19637438</v>
      </c>
      <c r="G142" s="1086">
        <f>G96-G88</f>
        <v>160.255906917055</v>
      </c>
      <c r="H142" s="1443">
        <f>ROUND((H96),0)</f>
        <v>106838</v>
      </c>
      <c r="I142" s="1444">
        <f>ROUND((H142*J142),0)</f>
        <v>19335163</v>
      </c>
      <c r="J142" s="971">
        <f>J96-J88</f>
        <v>180.976459364525</v>
      </c>
      <c r="K142" s="1443">
        <f>ROUND((K96),0)</f>
        <v>100771</v>
      </c>
      <c r="L142" s="1444">
        <f>ROUND((K142*M142),0)</f>
        <v>17908901</v>
      </c>
      <c r="M142" s="971">
        <f>M96-M88</f>
        <v>177.718794190152</v>
      </c>
      <c r="N142" s="1461">
        <f>ROUND((N96),0)</f>
        <v>77785</v>
      </c>
      <c r="O142" s="1444">
        <f>ROUND((N142*P142),0)</f>
        <v>13019381</v>
      </c>
      <c r="P142" s="1462">
        <f>P96-P88</f>
        <v>167.37650420549</v>
      </c>
      <c r="Q142" s="1408"/>
      <c r="R142" s="1408"/>
      <c r="S142" s="1408"/>
      <c r="T142" s="1408"/>
      <c r="U142" s="1408"/>
      <c r="V142" s="1408"/>
      <c r="W142" s="1408"/>
      <c r="X142" s="1408"/>
      <c r="Y142" s="1408"/>
      <c r="Z142" s="1408"/>
      <c r="AA142" s="1408"/>
      <c r="AB142" s="1408"/>
      <c r="AC142" s="1408"/>
      <c r="AD142" s="1408"/>
      <c r="AE142" s="1408"/>
      <c r="AF142" s="1408"/>
      <c r="AG142" s="1408"/>
      <c r="AH142" s="1408"/>
      <c r="AI142" s="1408"/>
      <c r="AJ142" s="1408"/>
      <c r="AK142" s="1475"/>
      <c r="AL142" s="1443">
        <f>ROUND((AL96),0)</f>
        <v>494911</v>
      </c>
      <c r="AM142" s="1444">
        <f>ROUND((AL142*AN142),0)</f>
        <v>83676001</v>
      </c>
      <c r="AN142" s="971">
        <f>AN96-AN88</f>
        <v>169.072826136494</v>
      </c>
    </row>
    <row r="143" spans="1:40">
      <c r="A143" s="1411" t="s">
        <v>758</v>
      </c>
      <c r="B143" s="1412">
        <f>ROUND(($B63),0)</f>
        <v>9900</v>
      </c>
      <c r="C143" s="1413">
        <f>ROUND((B143*D143),0)</f>
        <v>69401</v>
      </c>
      <c r="D143" s="955">
        <f>MTY!D4-D58</f>
        <v>7.01022007244315</v>
      </c>
      <c r="E143" s="1412">
        <f>ROUND(($E63),0)</f>
        <v>12025</v>
      </c>
      <c r="F143" s="1445">
        <f>ROUND((E143*G143),0)</f>
        <v>42181</v>
      </c>
      <c r="G143" s="955">
        <f>G63-G58</f>
        <v>3.5077368094227</v>
      </c>
      <c r="H143" s="1412">
        <f>ROUND(($H63),0)</f>
        <v>8081</v>
      </c>
      <c r="I143" s="1445">
        <f>ROUND((H143*J143),0)</f>
        <v>51565</v>
      </c>
      <c r="J143" s="955">
        <f>J63-J58</f>
        <v>6.38097805194116</v>
      </c>
      <c r="K143" s="1412">
        <f>ROUND(($K63),0)</f>
        <v>8625</v>
      </c>
      <c r="L143" s="1445">
        <f>ROUND((K143*M143),0)</f>
        <v>65612</v>
      </c>
      <c r="M143" s="955">
        <f>M63-M58</f>
        <v>7.60716909064197</v>
      </c>
      <c r="N143" s="1412">
        <f>ROUND(($N63),0)</f>
        <v>7500</v>
      </c>
      <c r="O143" s="1445">
        <f>ROUND((N143*P143),0)</f>
        <v>33672</v>
      </c>
      <c r="P143" s="955">
        <f>P63-P58</f>
        <v>4.48960953667331</v>
      </c>
      <c r="Q143" s="1471"/>
      <c r="R143" s="1471"/>
      <c r="S143" s="1471"/>
      <c r="T143" s="1471"/>
      <c r="U143" s="1471"/>
      <c r="V143" s="1471"/>
      <c r="W143" s="1471"/>
      <c r="X143" s="1471"/>
      <c r="Y143" s="1471"/>
      <c r="Z143" s="1471"/>
      <c r="AA143" s="1471"/>
      <c r="AB143" s="1471"/>
      <c r="AC143" s="1471"/>
      <c r="AD143" s="1471"/>
      <c r="AE143" s="1471"/>
      <c r="AF143" s="1471"/>
      <c r="AG143" s="1471"/>
      <c r="AH143" s="1471"/>
      <c r="AI143" s="1471"/>
      <c r="AJ143" s="1471"/>
      <c r="AK143" s="1476"/>
      <c r="AL143" s="1412">
        <f>ROUND(($AL63),0)</f>
        <v>46131</v>
      </c>
      <c r="AM143" s="1445">
        <f>ROUND((AL143*AN143),0)</f>
        <v>279598</v>
      </c>
      <c r="AN143" s="955">
        <f>AN63-AN58</f>
        <v>6.06095858463948</v>
      </c>
    </row>
    <row r="144" ht="14.25" spans="1:40">
      <c r="A144" s="1414" t="s">
        <v>759</v>
      </c>
      <c r="B144" s="1415">
        <f>ROUND((B95),)</f>
        <v>6741</v>
      </c>
      <c r="C144" s="1416">
        <f>MTY!C5-C89</f>
        <v>109335</v>
      </c>
      <c r="D144" s="959">
        <f t="shared" ref="D144:D148" si="46">IF(B144=0,0,C144/B144)</f>
        <v>16.2194036493102</v>
      </c>
      <c r="E144" s="1446">
        <f>ROUND((E95),)</f>
        <v>3898</v>
      </c>
      <c r="F144" s="1447">
        <f>ROUND((E144*G144),0)</f>
        <v>168681</v>
      </c>
      <c r="G144" s="1082">
        <f>G95-G89</f>
        <v>43.2737301180092</v>
      </c>
      <c r="H144" s="1446">
        <f>ROUND((H95),)</f>
        <v>7345</v>
      </c>
      <c r="I144" s="1447">
        <f>ROUND((H144*J144),0)</f>
        <v>266080</v>
      </c>
      <c r="J144" s="959">
        <f>J95-J89</f>
        <v>36.2260040844112</v>
      </c>
      <c r="K144" s="1446">
        <f>ROUND((K95),)</f>
        <v>4224</v>
      </c>
      <c r="L144" s="1447">
        <f>ROUND((K144*M144),0)</f>
        <v>138873</v>
      </c>
      <c r="M144" s="959">
        <f>M95-M89</f>
        <v>32.8771161359062</v>
      </c>
      <c r="N144" s="1463">
        <f>ROUND((N95),)</f>
        <v>25077</v>
      </c>
      <c r="O144" s="1447">
        <f>ROUND((N144*P144),0)</f>
        <v>4575341</v>
      </c>
      <c r="P144" s="1464">
        <f>P95-P89</f>
        <v>182.451694587449</v>
      </c>
      <c r="Q144" s="1472"/>
      <c r="R144" s="1472"/>
      <c r="S144" s="1472"/>
      <c r="T144" s="1472"/>
      <c r="U144" s="1472"/>
      <c r="V144" s="1472"/>
      <c r="W144" s="1472"/>
      <c r="X144" s="1472"/>
      <c r="Y144" s="1472"/>
      <c r="Z144" s="1472"/>
      <c r="AA144" s="1472"/>
      <c r="AB144" s="1472"/>
      <c r="AC144" s="1472"/>
      <c r="AD144" s="1472"/>
      <c r="AE144" s="1472"/>
      <c r="AF144" s="1472"/>
      <c r="AG144" s="1472"/>
      <c r="AH144" s="1472"/>
      <c r="AI144" s="1472"/>
      <c r="AJ144" s="1472"/>
      <c r="AK144" s="1477"/>
      <c r="AL144" s="1446">
        <f>ROUND((AL95),)</f>
        <v>47284</v>
      </c>
      <c r="AM144" s="1447">
        <f>ROUND((AL144*AN144),0)</f>
        <v>5258231</v>
      </c>
      <c r="AN144" s="959">
        <f>AN95-AN89</f>
        <v>111.205289693853</v>
      </c>
    </row>
    <row r="145" spans="1:40">
      <c r="A145" s="1408" t="s">
        <v>760</v>
      </c>
      <c r="B145" s="1417">
        <f>SUM(B142:B144)</f>
        <v>103621</v>
      </c>
      <c r="C145" s="1418">
        <f>SUM(C142:C144)</f>
        <v>16362128</v>
      </c>
      <c r="D145" s="1419">
        <f t="shared" si="46"/>
        <v>157.903590970942</v>
      </c>
      <c r="E145" s="1448">
        <f>SUM(E142:E144)</f>
        <v>138461</v>
      </c>
      <c r="F145" s="1449">
        <f>SUM(F142:F144)</f>
        <v>19848300</v>
      </c>
      <c r="G145" s="1419">
        <f t="shared" ref="G145:G148" si="47">IF(E145=0,0,F145/E145)</f>
        <v>143.349390803186</v>
      </c>
      <c r="H145" s="1448">
        <f>SUM(H142:H144)</f>
        <v>122264</v>
      </c>
      <c r="I145" s="1449">
        <f>SUM(I142:I144)</f>
        <v>19652808</v>
      </c>
      <c r="J145" s="1457">
        <f t="shared" ref="J145:J148" si="48">IF(H145=0,0,I145/H145)</f>
        <v>160.740757704639</v>
      </c>
      <c r="K145" s="1448">
        <f>SUM(K142:K144)</f>
        <v>113620</v>
      </c>
      <c r="L145" s="1449">
        <f>SUM(L142:L144)</f>
        <v>18113386</v>
      </c>
      <c r="M145" s="1457">
        <f t="shared" ref="M145:M148" si="49">IF(K145=0,0,L145/K145)</f>
        <v>159.420753388488</v>
      </c>
      <c r="N145" s="1465">
        <f>SUM(N142:N144)</f>
        <v>110362</v>
      </c>
      <c r="O145" s="1449">
        <f>SUM(O142:O144)</f>
        <v>17628394</v>
      </c>
      <c r="P145" s="1449">
        <f t="shared" ref="P145:P148" si="50">IF(N145=0,0,O145/N145)</f>
        <v>159.732462260561</v>
      </c>
      <c r="Q145" s="1408"/>
      <c r="R145" s="1408"/>
      <c r="S145" s="1408"/>
      <c r="T145" s="1408"/>
      <c r="U145" s="1408"/>
      <c r="V145" s="1408"/>
      <c r="W145" s="1408"/>
      <c r="X145" s="1408"/>
      <c r="Y145" s="1408"/>
      <c r="Z145" s="1408"/>
      <c r="AA145" s="1408"/>
      <c r="AB145" s="1408"/>
      <c r="AC145" s="1408"/>
      <c r="AD145" s="1408"/>
      <c r="AE145" s="1408"/>
      <c r="AF145" s="1408"/>
      <c r="AG145" s="1408"/>
      <c r="AH145" s="1408"/>
      <c r="AI145" s="1408"/>
      <c r="AJ145" s="1408"/>
      <c r="AK145" s="1475"/>
      <c r="AL145" s="1448">
        <f>SUM(AL142:AL144)</f>
        <v>588326</v>
      </c>
      <c r="AM145" s="1449">
        <f>SUM(AM142:AM144)</f>
        <v>89213830</v>
      </c>
      <c r="AN145" s="1457">
        <f t="shared" ref="AN145:AN148" si="51">IF(AL145=0,0,AM145/AL145)</f>
        <v>151.640128092248</v>
      </c>
    </row>
    <row r="146" spans="1:40">
      <c r="A146" s="1420" t="s">
        <v>761</v>
      </c>
      <c r="B146" s="1421">
        <f>B7+B20+B32</f>
        <v>40221</v>
      </c>
      <c r="C146" s="1422">
        <f>(MTY!C6)-C14</f>
        <v>254305</v>
      </c>
      <c r="D146" s="1423">
        <f t="shared" si="46"/>
        <v>6.32269212600383</v>
      </c>
      <c r="E146" s="1450">
        <f>E7+E20+E32</f>
        <v>14025</v>
      </c>
      <c r="F146" s="1451">
        <f>(F7+F20+F32)-F14</f>
        <v>5000</v>
      </c>
      <c r="G146" s="1423">
        <f t="shared" si="47"/>
        <v>0.35650623885918</v>
      </c>
      <c r="H146" s="1450">
        <f>H7+H20+H32</f>
        <v>51228</v>
      </c>
      <c r="I146" s="1451">
        <f>(I7+I20+I32)-I14</f>
        <v>67990</v>
      </c>
      <c r="J146" s="1458">
        <f t="shared" si="48"/>
        <v>1.32720387288202</v>
      </c>
      <c r="K146" s="1450">
        <f>K7+K20+K32</f>
        <v>55229</v>
      </c>
      <c r="L146" s="1451">
        <f>(L7+L20+L32)-L14</f>
        <v>73560</v>
      </c>
      <c r="M146" s="1458">
        <f t="shared" si="49"/>
        <v>1.33190896087201</v>
      </c>
      <c r="N146" s="1466">
        <f>N7+N20+N32</f>
        <v>58371</v>
      </c>
      <c r="O146" s="1451">
        <f>(O7+O20+O32)-O14</f>
        <v>116010</v>
      </c>
      <c r="P146" s="1451">
        <f t="shared" si="50"/>
        <v>1.98745952613455</v>
      </c>
      <c r="Q146" s="1421">
        <f>Q7+Q20+Q32</f>
        <v>31229</v>
      </c>
      <c r="R146" s="1451">
        <f>(R7+R20+R32)-R14</f>
        <v>0</v>
      </c>
      <c r="S146" s="1451">
        <f t="shared" ref="S146:S147" si="52">IF(Q146=0,0,R146/Q146)</f>
        <v>0</v>
      </c>
      <c r="T146" s="1421">
        <f>T7+T20+T32</f>
        <v>0</v>
      </c>
      <c r="U146" s="1451">
        <f>(U7+U20+U32)-U14</f>
        <v>0</v>
      </c>
      <c r="V146" s="1451">
        <f t="shared" ref="V146:V147" si="53">IF(T146=0,0,U146/T146)</f>
        <v>0</v>
      </c>
      <c r="W146" s="1421">
        <f>W7+W20+W32</f>
        <v>0</v>
      </c>
      <c r="X146" s="1451">
        <f>(X7+X20+X32)-X14</f>
        <v>0</v>
      </c>
      <c r="Y146" s="1451">
        <f t="shared" ref="Y146:Y147" si="54">IF(W146=0,0,X146/W146)</f>
        <v>0</v>
      </c>
      <c r="Z146" s="1421">
        <f>Z7+Z20+Z32</f>
        <v>0</v>
      </c>
      <c r="AA146" s="1451">
        <f>(AA7+AA20+AA32)-AA14</f>
        <v>0</v>
      </c>
      <c r="AB146" s="1451">
        <f t="shared" ref="AB146:AB147" si="55">IF(Z146=0,0,AA146/Z146)</f>
        <v>0</v>
      </c>
      <c r="AC146" s="1421">
        <f>AC7+AC20+AC32</f>
        <v>0</v>
      </c>
      <c r="AD146" s="1451">
        <f>(AD7+AD20+AD32)-AD14</f>
        <v>0</v>
      </c>
      <c r="AE146" s="1451">
        <f t="shared" ref="AE146:AE147" si="56">IF(AC146=0,0,AD146/AC146)</f>
        <v>0</v>
      </c>
      <c r="AF146" s="1421">
        <f>AF7+AF20+AF32</f>
        <v>0</v>
      </c>
      <c r="AG146" s="1451">
        <f>(AG7+AG20+AG32)-AG14</f>
        <v>0</v>
      </c>
      <c r="AH146" s="1451">
        <f t="shared" ref="AH146:AH147" si="57">IF(AF146=0,0,AG146/AF146)</f>
        <v>0</v>
      </c>
      <c r="AI146" s="1421">
        <f>AI7+AI20+AI32</f>
        <v>0</v>
      </c>
      <c r="AJ146" s="1451">
        <f>(AJ7+AJ20+AJ32)-AJ14</f>
        <v>0</v>
      </c>
      <c r="AK146" s="1423">
        <f t="shared" ref="AK146:AK147" si="58">IF(AI146=0,0,AJ146/AI146)</f>
        <v>0</v>
      </c>
      <c r="AL146" s="1450">
        <f>AL7+AL20+AL32</f>
        <v>250303</v>
      </c>
      <c r="AM146" s="1451">
        <f>(AM7+AM20+AM32)-AM14</f>
        <v>-18958305</v>
      </c>
      <c r="AN146" s="1458">
        <f t="shared" si="51"/>
        <v>-75.7414213972665</v>
      </c>
    </row>
    <row r="147" ht="14.25" spans="1:40">
      <c r="A147" s="1424" t="s">
        <v>762</v>
      </c>
      <c r="B147" s="1425">
        <f>ROUND((B121),0)</f>
        <v>7745</v>
      </c>
      <c r="C147" s="1426">
        <f>MTY!C7-C113</f>
        <v>506250</v>
      </c>
      <c r="D147" s="1427">
        <f t="shared" si="46"/>
        <v>65.36475145255</v>
      </c>
      <c r="E147" s="1452">
        <f>ROUND((E121),0)</f>
        <v>8678</v>
      </c>
      <c r="F147" s="1453">
        <f>F121-F113</f>
        <v>380306</v>
      </c>
      <c r="G147" s="1427">
        <f t="shared" si="47"/>
        <v>43.8241530306522</v>
      </c>
      <c r="H147" s="1452">
        <f>ROUND((H121),0)</f>
        <v>7031</v>
      </c>
      <c r="I147" s="1453">
        <f>I121-I113</f>
        <v>420303</v>
      </c>
      <c r="J147" s="1459">
        <f t="shared" si="48"/>
        <v>59.7785521262978</v>
      </c>
      <c r="K147" s="1452">
        <f>ROUND((K121),0)</f>
        <v>8529</v>
      </c>
      <c r="L147" s="1453">
        <f>L121-L113</f>
        <v>464899</v>
      </c>
      <c r="M147" s="1459">
        <f t="shared" si="49"/>
        <v>54.5080314222066</v>
      </c>
      <c r="N147" s="1467">
        <f>ROUND((N121),0)</f>
        <v>6416</v>
      </c>
      <c r="O147" s="1453">
        <f>O121-O113</f>
        <v>326939</v>
      </c>
      <c r="P147" s="1468">
        <f t="shared" si="50"/>
        <v>50.9568266832918</v>
      </c>
      <c r="Q147" s="1425">
        <f>ROUND((Q121),0)</f>
        <v>0</v>
      </c>
      <c r="R147" s="1453">
        <f>R121-R113</f>
        <v>0</v>
      </c>
      <c r="S147" s="1468">
        <f t="shared" si="52"/>
        <v>0</v>
      </c>
      <c r="T147" s="1425">
        <f>ROUND((T121),0)</f>
        <v>0</v>
      </c>
      <c r="U147" s="1453">
        <f>U121-U113</f>
        <v>0</v>
      </c>
      <c r="V147" s="1468">
        <f t="shared" si="53"/>
        <v>0</v>
      </c>
      <c r="W147" s="1425">
        <f>ROUND((W121),0)</f>
        <v>0</v>
      </c>
      <c r="X147" s="1453">
        <f>X121-X113</f>
        <v>0</v>
      </c>
      <c r="Y147" s="1468">
        <f t="shared" si="54"/>
        <v>0</v>
      </c>
      <c r="Z147" s="1425">
        <f>ROUND((Z121),0)</f>
        <v>0</v>
      </c>
      <c r="AA147" s="1453">
        <f>AA121-AA113</f>
        <v>0</v>
      </c>
      <c r="AB147" s="1468">
        <f t="shared" si="55"/>
        <v>0</v>
      </c>
      <c r="AC147" s="1425">
        <f>ROUND((AC121),0)</f>
        <v>0</v>
      </c>
      <c r="AD147" s="1453">
        <f>AD121-AD113</f>
        <v>0</v>
      </c>
      <c r="AE147" s="1468">
        <f t="shared" si="56"/>
        <v>0</v>
      </c>
      <c r="AF147" s="1425">
        <f>ROUND((AF121),0)</f>
        <v>0</v>
      </c>
      <c r="AG147" s="1453">
        <f>AG121-AG113</f>
        <v>0</v>
      </c>
      <c r="AH147" s="1468">
        <f t="shared" si="57"/>
        <v>0</v>
      </c>
      <c r="AI147" s="1425">
        <f>ROUND((AI121),0)</f>
        <v>0</v>
      </c>
      <c r="AJ147" s="1453">
        <f>AJ121-AJ113</f>
        <v>0</v>
      </c>
      <c r="AK147" s="1427">
        <f t="shared" si="58"/>
        <v>0</v>
      </c>
      <c r="AL147" s="1452">
        <f>ROUND((AL121),0)</f>
        <v>91482</v>
      </c>
      <c r="AM147" s="1453">
        <f>AM121-AM113</f>
        <v>6126050</v>
      </c>
      <c r="AN147" s="1459">
        <f t="shared" si="51"/>
        <v>66.9645394722459</v>
      </c>
    </row>
    <row r="148" ht="14.25" spans="1:40">
      <c r="A148" s="1428" t="s">
        <v>763</v>
      </c>
      <c r="B148" s="1429">
        <f>SUM(B145:B147)</f>
        <v>151587</v>
      </c>
      <c r="C148" s="1430">
        <f>SUM(C145:C147)</f>
        <v>17122683</v>
      </c>
      <c r="D148" s="723">
        <f t="shared" si="46"/>
        <v>112.956143996517</v>
      </c>
      <c r="E148" s="1429">
        <f>SUM(E145:E147)</f>
        <v>161164</v>
      </c>
      <c r="F148" s="1454">
        <f>SUM(F145:F147)</f>
        <v>20233606</v>
      </c>
      <c r="G148" s="723">
        <f t="shared" si="47"/>
        <v>125.546685363977</v>
      </c>
      <c r="H148" s="1455">
        <f>SUM(H145:H147)</f>
        <v>180523</v>
      </c>
      <c r="I148" s="1454">
        <f>SUM(I145:I147)</f>
        <v>20141101</v>
      </c>
      <c r="J148" s="587">
        <f t="shared" si="48"/>
        <v>111.570830309711</v>
      </c>
      <c r="K148" s="1455">
        <f>SUM(K145:K147)</f>
        <v>177378</v>
      </c>
      <c r="L148" s="1454">
        <f>SUM(L145:L147)</f>
        <v>18651845</v>
      </c>
      <c r="M148" s="587">
        <f t="shared" si="49"/>
        <v>105.153091138698</v>
      </c>
      <c r="N148" s="1455">
        <f>SUM(N145:N147)</f>
        <v>175149</v>
      </c>
      <c r="O148" s="1454">
        <f>SUM(O145:O147)</f>
        <v>18071343</v>
      </c>
      <c r="P148" s="587">
        <f t="shared" si="50"/>
        <v>103.176969323262</v>
      </c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  <c r="AB148" s="169"/>
      <c r="AC148" s="169"/>
      <c r="AD148" s="169"/>
      <c r="AE148" s="169"/>
      <c r="AF148" s="169"/>
      <c r="AG148" s="169"/>
      <c r="AH148" s="169"/>
      <c r="AI148" s="169"/>
      <c r="AJ148" s="169"/>
      <c r="AK148" s="1478"/>
      <c r="AL148" s="1455">
        <f>SUM(AL145:AL147)</f>
        <v>930111</v>
      </c>
      <c r="AM148" s="1454">
        <f>SUM(AM145:AM147)</f>
        <v>76381575</v>
      </c>
      <c r="AN148" s="587">
        <f t="shared" si="51"/>
        <v>82.1209242767799</v>
      </c>
    </row>
    <row r="150" spans="1:40">
      <c r="A150" s="1431" t="s">
        <v>764</v>
      </c>
      <c r="B150" s="1431"/>
      <c r="C150" s="1431">
        <f>ROUND((SUM('Direct Expns'!S46)),0)</f>
        <v>1921090</v>
      </c>
      <c r="D150" s="1432"/>
      <c r="E150" s="1431"/>
      <c r="F150" s="1431">
        <f>ROUND((SUM('Direct Expns'!T46)),0)</f>
        <v>2738517</v>
      </c>
      <c r="G150" s="1431"/>
      <c r="H150" s="1431"/>
      <c r="I150" s="1431">
        <f>ROUND((SUM('Direct Expns'!U46)),0)</f>
        <v>2484833</v>
      </c>
      <c r="J150" s="1431"/>
      <c r="K150" s="1431"/>
      <c r="L150" s="1431">
        <f>ROUND((SUM('Direct Expns'!V46)),0)</f>
        <v>3437574</v>
      </c>
      <c r="M150" s="1431"/>
      <c r="N150" s="1431"/>
      <c r="O150" s="1431">
        <f>ROUND((SUM('Direct Expns'!W46)),0)</f>
        <v>2531197</v>
      </c>
      <c r="P150" s="1431"/>
      <c r="Q150" s="1431"/>
      <c r="R150" s="1431"/>
      <c r="S150" s="1431"/>
      <c r="T150" s="1431"/>
      <c r="U150" s="1431"/>
      <c r="V150" s="1431"/>
      <c r="W150" s="1431"/>
      <c r="X150" s="1431"/>
      <c r="Y150" s="1431"/>
      <c r="Z150" s="1431"/>
      <c r="AA150" s="1431"/>
      <c r="AB150" s="1431"/>
      <c r="AC150" s="1431"/>
      <c r="AD150" s="1431"/>
      <c r="AE150" s="1431"/>
      <c r="AF150" s="1431"/>
      <c r="AG150" s="1431"/>
      <c r="AH150" s="1431"/>
      <c r="AI150" s="1431"/>
      <c r="AJ150" s="1431"/>
      <c r="AK150" s="1431"/>
      <c r="AL150" s="1431"/>
      <c r="AM150" s="1431">
        <f>ROUND((SUM('Direct Expns'!AE46)),0)</f>
        <v>32977604</v>
      </c>
      <c r="AN150" s="1431"/>
    </row>
    <row r="151" spans="1:40">
      <c r="A151" s="1433" t="s">
        <v>765</v>
      </c>
      <c r="B151" s="1431"/>
      <c r="C151" s="1431">
        <f>ROUND(('Direct Expns'!S47),0)</f>
        <v>7671286</v>
      </c>
      <c r="D151" s="1431"/>
      <c r="E151" s="1431"/>
      <c r="F151" s="1431">
        <f>ROUND(('Direct Expns'!T47),0)</f>
        <v>7222620</v>
      </c>
      <c r="G151" s="1431"/>
      <c r="H151" s="1431"/>
      <c r="I151" s="1431">
        <f>ROUND(('Direct Expns'!U47),0)</f>
        <v>6888845</v>
      </c>
      <c r="J151" s="1431"/>
      <c r="K151" s="1431"/>
      <c r="L151" s="1431">
        <f>ROUND(('Direct Expns'!V47),0)</f>
        <v>7914846</v>
      </c>
      <c r="M151" s="1431"/>
      <c r="N151" s="1431"/>
      <c r="O151" s="1431">
        <f>ROUND(('Direct Expns'!W47),0)</f>
        <v>7640390</v>
      </c>
      <c r="P151" s="1431"/>
      <c r="Q151" s="1431"/>
      <c r="R151" s="1431"/>
      <c r="S151" s="1431"/>
      <c r="T151" s="1431"/>
      <c r="U151" s="1431"/>
      <c r="V151" s="1431"/>
      <c r="W151" s="1431"/>
      <c r="X151" s="1431"/>
      <c r="Y151" s="1431"/>
      <c r="Z151" s="1431"/>
      <c r="AA151" s="1431"/>
      <c r="AB151" s="1431"/>
      <c r="AC151" s="1431"/>
      <c r="AD151" s="1431"/>
      <c r="AE151" s="1431"/>
      <c r="AF151" s="1431"/>
      <c r="AG151" s="1431"/>
      <c r="AH151" s="1431"/>
      <c r="AI151" s="1431"/>
      <c r="AJ151" s="1431"/>
      <c r="AK151" s="1431"/>
      <c r="AL151" s="1431"/>
      <c r="AM151" s="1431">
        <f>ROUND(('Direct Expns'!AE47),0)</f>
        <v>87646036</v>
      </c>
      <c r="AN151" s="1431"/>
    </row>
    <row r="152" spans="1:40">
      <c r="A152" s="1433" t="s">
        <v>766</v>
      </c>
      <c r="B152" s="1431"/>
      <c r="C152" s="1431">
        <f>'Direct Expns'!$S48</f>
        <v>97432</v>
      </c>
      <c r="D152" s="1431"/>
      <c r="E152" s="1431"/>
      <c r="F152" s="1431">
        <f>'Direct Expns'!$T48</f>
        <v>97300</v>
      </c>
      <c r="G152" s="1431"/>
      <c r="H152" s="1431"/>
      <c r="I152" s="1431">
        <f>'Direct Expns'!$U48</f>
        <v>97036</v>
      </c>
      <c r="J152" s="1431"/>
      <c r="K152" s="1431"/>
      <c r="L152" s="1431">
        <f>'Direct Expns'!$V48</f>
        <v>97779</v>
      </c>
      <c r="M152" s="1431"/>
      <c r="N152" s="1431"/>
      <c r="O152" s="1431">
        <f>'Direct Expns'!$W48</f>
        <v>97432</v>
      </c>
      <c r="P152" s="1431"/>
      <c r="Q152" s="1431"/>
      <c r="R152" s="1431"/>
      <c r="S152" s="1431"/>
      <c r="T152" s="1431"/>
      <c r="U152" s="1431"/>
      <c r="V152" s="1431"/>
      <c r="W152" s="1431"/>
      <c r="X152" s="1431"/>
      <c r="Y152" s="1431"/>
      <c r="Z152" s="1431"/>
      <c r="AA152" s="1431"/>
      <c r="AB152" s="1431"/>
      <c r="AC152" s="1431"/>
      <c r="AD152" s="1431"/>
      <c r="AE152" s="1431"/>
      <c r="AF152" s="1431"/>
      <c r="AG152" s="1431"/>
      <c r="AH152" s="1431"/>
      <c r="AI152" s="1431"/>
      <c r="AJ152" s="1431"/>
      <c r="AK152" s="1431"/>
      <c r="AL152" s="1431"/>
      <c r="AM152" s="1431">
        <f>'Direct Expns'!$AE48</f>
        <v>1168008</v>
      </c>
      <c r="AN152" s="1431"/>
    </row>
    <row r="153" spans="1:40">
      <c r="A153" s="1433"/>
      <c r="B153" s="1431"/>
      <c r="C153" s="1431"/>
      <c r="D153" s="1431"/>
      <c r="E153" s="1431"/>
      <c r="F153" s="1431"/>
      <c r="G153" s="1431"/>
      <c r="H153" s="1431"/>
      <c r="I153" s="1431"/>
      <c r="J153" s="1431"/>
      <c r="K153" s="1431"/>
      <c r="L153" s="1431"/>
      <c r="M153" s="1431"/>
      <c r="N153" s="1431"/>
      <c r="O153" s="1431"/>
      <c r="P153" s="1431"/>
      <c r="Q153" s="1431"/>
      <c r="R153" s="1431"/>
      <c r="S153" s="1431"/>
      <c r="T153" s="1431"/>
      <c r="U153" s="1431"/>
      <c r="V153" s="1431"/>
      <c r="W153" s="1431"/>
      <c r="X153" s="1431"/>
      <c r="Y153" s="1431"/>
      <c r="Z153" s="1431"/>
      <c r="AA153" s="1431"/>
      <c r="AB153" s="1431"/>
      <c r="AC153" s="1431"/>
      <c r="AD153" s="1431"/>
      <c r="AE153" s="1431"/>
      <c r="AF153" s="1431"/>
      <c r="AG153" s="1431"/>
      <c r="AH153" s="1431"/>
      <c r="AI153" s="1431"/>
      <c r="AJ153" s="1431"/>
      <c r="AK153" s="1431"/>
      <c r="AL153" s="1431"/>
      <c r="AM153" s="1431"/>
      <c r="AN153" s="1431"/>
    </row>
    <row r="154" spans="1:40">
      <c r="A154" s="1433" t="s">
        <v>767</v>
      </c>
      <c r="B154" s="1431"/>
      <c r="C154" s="1431">
        <f>C145-(C150+C151)</f>
        <v>6769752</v>
      </c>
      <c r="D154" s="1431">
        <f>C154/B145</f>
        <v>65.3318535818029</v>
      </c>
      <c r="E154" s="1431"/>
      <c r="F154" s="1431">
        <f>F145-(F150+F151)</f>
        <v>9887163</v>
      </c>
      <c r="G154" s="1431">
        <f>F154/E145</f>
        <v>71.4075660294234</v>
      </c>
      <c r="H154" s="1431"/>
      <c r="I154" s="1431">
        <f>I145-(I150+I151)</f>
        <v>10279130</v>
      </c>
      <c r="J154" s="1431">
        <f>I154/H145</f>
        <v>84.0732349669567</v>
      </c>
      <c r="K154" s="1431"/>
      <c r="L154" s="1431">
        <f>L145-(L150+L151)</f>
        <v>6760966</v>
      </c>
      <c r="M154" s="1431">
        <f>L154/K145</f>
        <v>59.5050695300123</v>
      </c>
      <c r="N154" s="1431"/>
      <c r="O154" s="1431">
        <f>O145-(O150+O151)</f>
        <v>7456807</v>
      </c>
      <c r="P154" s="1431">
        <f>O154/N145</f>
        <v>67.5667983545061</v>
      </c>
      <c r="Q154" s="1431"/>
      <c r="R154" s="1431"/>
      <c r="S154" s="1431"/>
      <c r="T154" s="1431"/>
      <c r="U154" s="1431"/>
      <c r="V154" s="1431"/>
      <c r="W154" s="1431"/>
      <c r="X154" s="1431"/>
      <c r="Y154" s="1431"/>
      <c r="Z154" s="1431"/>
      <c r="AA154" s="1431"/>
      <c r="AB154" s="1431"/>
      <c r="AC154" s="1431"/>
      <c r="AD154" s="1431"/>
      <c r="AE154" s="1431"/>
      <c r="AF154" s="1431"/>
      <c r="AG154" s="1431"/>
      <c r="AH154" s="1431"/>
      <c r="AI154" s="1431"/>
      <c r="AJ154" s="1431"/>
      <c r="AK154" s="1431"/>
      <c r="AL154" s="1431"/>
      <c r="AM154" s="1431">
        <f>AM145-(AM150+AM151)</f>
        <v>-31409810</v>
      </c>
      <c r="AN154" s="1431">
        <f>AM154/AL145</f>
        <v>-53.3884445018578</v>
      </c>
    </row>
    <row r="155" spans="1:40">
      <c r="A155" s="1433" t="s">
        <v>768</v>
      </c>
      <c r="B155" s="1431"/>
      <c r="C155" s="1431">
        <f>C146</f>
        <v>254305</v>
      </c>
      <c r="D155" s="1431">
        <f>C155/B146</f>
        <v>6.32269212600383</v>
      </c>
      <c r="E155" s="1431"/>
      <c r="F155" s="1431">
        <f>F146</f>
        <v>5000</v>
      </c>
      <c r="G155" s="1431">
        <f>F155/E146</f>
        <v>0.35650623885918</v>
      </c>
      <c r="H155" s="1431"/>
      <c r="I155" s="1431">
        <f>I146</f>
        <v>67990</v>
      </c>
      <c r="J155" s="1431">
        <f>I155/H146</f>
        <v>1.32720387288202</v>
      </c>
      <c r="K155" s="1431"/>
      <c r="L155" s="1431">
        <f>L146</f>
        <v>73560</v>
      </c>
      <c r="M155" s="1431">
        <f>L155/K146</f>
        <v>1.33190896087201</v>
      </c>
      <c r="N155" s="1431"/>
      <c r="O155" s="1431">
        <f>O146</f>
        <v>116010</v>
      </c>
      <c r="P155" s="1431">
        <f>O155/N146</f>
        <v>1.98745952613455</v>
      </c>
      <c r="Q155" s="1431"/>
      <c r="R155" s="1431"/>
      <c r="S155" s="1431"/>
      <c r="T155" s="1431"/>
      <c r="U155" s="1431"/>
      <c r="V155" s="1431"/>
      <c r="W155" s="1431"/>
      <c r="X155" s="1431"/>
      <c r="Y155" s="1431"/>
      <c r="Z155" s="1431"/>
      <c r="AA155" s="1431"/>
      <c r="AB155" s="1431"/>
      <c r="AC155" s="1431"/>
      <c r="AD155" s="1431"/>
      <c r="AE155" s="1431"/>
      <c r="AF155" s="1431"/>
      <c r="AG155" s="1431"/>
      <c r="AH155" s="1431"/>
      <c r="AI155" s="1431"/>
      <c r="AJ155" s="1431"/>
      <c r="AK155" s="1431"/>
      <c r="AL155" s="1431"/>
      <c r="AM155" s="1431">
        <f>AM146</f>
        <v>-18958305</v>
      </c>
      <c r="AN155" s="1431">
        <f>AM155/AL146</f>
        <v>-75.7414213972665</v>
      </c>
    </row>
    <row r="156" spans="1:40">
      <c r="A156" s="1433" t="s">
        <v>769</v>
      </c>
      <c r="B156" s="1431"/>
      <c r="C156" s="1431">
        <f>ROUND((C147-C155),0)</f>
        <v>251945</v>
      </c>
      <c r="D156" s="1431">
        <f>C156/B147</f>
        <v>32.5300193673338</v>
      </c>
      <c r="E156" s="1431"/>
      <c r="F156" s="1431">
        <f>ROUND((F147-F155),0)</f>
        <v>375306</v>
      </c>
      <c r="G156" s="1431">
        <f>F156/E147</f>
        <v>43.2479834063148</v>
      </c>
      <c r="H156" s="1431"/>
      <c r="I156" s="1431">
        <f>ROUND((I147-I155),0)</f>
        <v>352313</v>
      </c>
      <c r="J156" s="1431">
        <f>I156/H147</f>
        <v>50.1085194140236</v>
      </c>
      <c r="K156" s="1431"/>
      <c r="L156" s="1431">
        <f>ROUND((L147-L155),0)</f>
        <v>391339</v>
      </c>
      <c r="M156" s="1431">
        <f>L156/K147</f>
        <v>45.8833391956853</v>
      </c>
      <c r="N156" s="1431"/>
      <c r="O156" s="1431">
        <f>ROUND((O147-O155),0)</f>
        <v>210929</v>
      </c>
      <c r="P156" s="1431">
        <f>O156/N147</f>
        <v>32.8754675810474</v>
      </c>
      <c r="Q156" s="1431"/>
      <c r="R156" s="1431"/>
      <c r="S156" s="1431"/>
      <c r="T156" s="1431"/>
      <c r="U156" s="1431"/>
      <c r="V156" s="1431"/>
      <c r="W156" s="1431"/>
      <c r="X156" s="1431"/>
      <c r="Y156" s="1431"/>
      <c r="Z156" s="1431"/>
      <c r="AA156" s="1431"/>
      <c r="AB156" s="1431"/>
      <c r="AC156" s="1431"/>
      <c r="AD156" s="1431"/>
      <c r="AE156" s="1431"/>
      <c r="AF156" s="1431"/>
      <c r="AG156" s="1431"/>
      <c r="AH156" s="1431"/>
      <c r="AI156" s="1431"/>
      <c r="AJ156" s="1431"/>
      <c r="AK156" s="1431"/>
      <c r="AL156" s="1431"/>
      <c r="AM156" s="1431">
        <f>ROUND((AM147-AM155),0)</f>
        <v>25084355</v>
      </c>
      <c r="AN156" s="1431">
        <f>AM156/AL147</f>
        <v>274.199897247546</v>
      </c>
    </row>
    <row r="157" spans="1:40">
      <c r="A157" s="1432" t="s">
        <v>770</v>
      </c>
      <c r="B157" s="1434"/>
      <c r="C157" s="1434">
        <f>SUM(C154:C156)</f>
        <v>7276002</v>
      </c>
      <c r="D157" s="1434">
        <f>C157/B148</f>
        <v>47.9988521443132</v>
      </c>
      <c r="E157" s="1434"/>
      <c r="F157" s="1434">
        <f>SUM(F154:F156)</f>
        <v>10267469</v>
      </c>
      <c r="G157" s="1434">
        <f>F157/E148</f>
        <v>63.708204065424</v>
      </c>
      <c r="H157" s="1434"/>
      <c r="I157" s="1434">
        <f>SUM(I154:I156)</f>
        <v>10699433</v>
      </c>
      <c r="J157" s="1434">
        <f>I157/H148</f>
        <v>59.2690848257563</v>
      </c>
      <c r="K157" s="1434"/>
      <c r="L157" s="1434">
        <f>SUM(L154:L156)</f>
        <v>7225865</v>
      </c>
      <c r="M157" s="1434">
        <f>L157/K148</f>
        <v>40.73709817452</v>
      </c>
      <c r="N157" s="1434"/>
      <c r="O157" s="1434">
        <f>SUM(O154:O156)</f>
        <v>7783746</v>
      </c>
      <c r="P157" s="1434">
        <f>O157/N148</f>
        <v>44.4407104807906</v>
      </c>
      <c r="Q157" s="1434"/>
      <c r="R157" s="1434"/>
      <c r="S157" s="1434"/>
      <c r="T157" s="1434"/>
      <c r="U157" s="1434"/>
      <c r="V157" s="1434"/>
      <c r="W157" s="1434"/>
      <c r="X157" s="1434"/>
      <c r="Y157" s="1434"/>
      <c r="Z157" s="1434"/>
      <c r="AA157" s="1434"/>
      <c r="AB157" s="1434"/>
      <c r="AC157" s="1434"/>
      <c r="AD157" s="1434"/>
      <c r="AE157" s="1434"/>
      <c r="AF157" s="1434"/>
      <c r="AG157" s="1434"/>
      <c r="AH157" s="1434"/>
      <c r="AI157" s="1434"/>
      <c r="AJ157" s="1434"/>
      <c r="AK157" s="1434"/>
      <c r="AL157" s="1434"/>
      <c r="AM157" s="1434">
        <f>SUM(AM154:AM156)</f>
        <v>-25283760</v>
      </c>
      <c r="AN157" s="1434">
        <f>AM157/AL148</f>
        <v>-27.1835942161742</v>
      </c>
    </row>
    <row r="158" spans="1:40">
      <c r="A158" s="1433" t="s">
        <v>771</v>
      </c>
      <c r="B158" s="1431"/>
      <c r="C158" s="1431">
        <f>ROUND(('Direct Expns'!$S54+'Direct Expns'!$S55+'Direct Expns'!$S56),0)</f>
        <v>2007225</v>
      </c>
      <c r="D158" s="1431">
        <f>C158/B148</f>
        <v>13.2414059253102</v>
      </c>
      <c r="E158" s="1431"/>
      <c r="F158" s="1431">
        <f>ROUND(('Direct Expns'!$T54+'Direct Expns'!$T55+'Direct Expns'!$T56),0)</f>
        <v>2103056</v>
      </c>
      <c r="G158" s="1431">
        <f>F158/E148</f>
        <v>13.0491673078355</v>
      </c>
      <c r="H158" s="1431"/>
      <c r="I158" s="1431">
        <f>ROUND(('Direct Expns'!$U54+'Direct Expns'!$U55+'Direct Expns'!$U56),0)</f>
        <v>2449785</v>
      </c>
      <c r="J158" s="1431">
        <f>I158/H148</f>
        <v>13.5704868631698</v>
      </c>
      <c r="K158" s="1431"/>
      <c r="L158" s="1431">
        <f>ROUND(('Direct Expns'!$V54+'Direct Expns'!$V55+'Direct Expns'!$V56),0)</f>
        <v>2284742</v>
      </c>
      <c r="M158" s="1431">
        <f>L158/K148</f>
        <v>12.8806390871472</v>
      </c>
      <c r="N158" s="1431"/>
      <c r="O158" s="1431">
        <f>ROUND(('Direct Expns'!$W54+'Direct Expns'!$W55+'Direct Expns'!$W56),0)</f>
        <v>2117022</v>
      </c>
      <c r="P158" s="1431">
        <f>O158/N148</f>
        <v>12.0869773735505</v>
      </c>
      <c r="Q158" s="1431"/>
      <c r="R158" s="1431"/>
      <c r="S158" s="1431"/>
      <c r="T158" s="1431"/>
      <c r="U158" s="1431"/>
      <c r="V158" s="1431"/>
      <c r="W158" s="1431"/>
      <c r="X158" s="1431"/>
      <c r="Y158" s="1431"/>
      <c r="Z158" s="1431"/>
      <c r="AA158" s="1431"/>
      <c r="AB158" s="1431"/>
      <c r="AC158" s="1431"/>
      <c r="AD158" s="1431"/>
      <c r="AE158" s="1431"/>
      <c r="AF158" s="1431"/>
      <c r="AG158" s="1431"/>
      <c r="AH158" s="1431"/>
      <c r="AI158" s="1431"/>
      <c r="AJ158" s="1431"/>
      <c r="AK158" s="1431"/>
      <c r="AL158" s="1431"/>
      <c r="AM158" s="1431">
        <f>ROUND(('Direct Expns'!$AE54+'Direct Expns'!$AE55+'Direct Expns'!$AE56),0)</f>
        <v>27711954</v>
      </c>
      <c r="AN158" s="1431">
        <f>AM158/AL148</f>
        <v>29.7942439128233</v>
      </c>
    </row>
    <row r="159" spans="1:40">
      <c r="A159" s="1432" t="s">
        <v>772</v>
      </c>
      <c r="B159" s="1435"/>
      <c r="C159" s="1435">
        <f>C157-C158</f>
        <v>5268777</v>
      </c>
      <c r="D159" s="1435"/>
      <c r="E159" s="1435"/>
      <c r="F159" s="1435">
        <f>F157-F158</f>
        <v>8164413</v>
      </c>
      <c r="G159" s="1435"/>
      <c r="H159" s="1435"/>
      <c r="I159" s="1435">
        <f>I157-I158</f>
        <v>8249648</v>
      </c>
      <c r="J159" s="1435"/>
      <c r="K159" s="1435"/>
      <c r="L159" s="1435">
        <f>L157-L158</f>
        <v>4941123</v>
      </c>
      <c r="M159" s="1435"/>
      <c r="N159" s="1435"/>
      <c r="O159" s="1435">
        <f>O157-O158</f>
        <v>5666724</v>
      </c>
      <c r="P159" s="1435"/>
      <c r="Q159" s="1435"/>
      <c r="R159" s="1435"/>
      <c r="S159" s="1435"/>
      <c r="T159" s="1435"/>
      <c r="U159" s="1435"/>
      <c r="V159" s="1435"/>
      <c r="W159" s="1435"/>
      <c r="X159" s="1435"/>
      <c r="Y159" s="1435"/>
      <c r="Z159" s="1435"/>
      <c r="AA159" s="1435"/>
      <c r="AB159" s="1435"/>
      <c r="AC159" s="1435"/>
      <c r="AD159" s="1435"/>
      <c r="AE159" s="1435"/>
      <c r="AF159" s="1435"/>
      <c r="AG159" s="1435"/>
      <c r="AH159" s="1435"/>
      <c r="AI159" s="1435"/>
      <c r="AJ159" s="1435"/>
      <c r="AK159" s="1435"/>
      <c r="AL159" s="1435"/>
      <c r="AM159" s="1435">
        <f>AM157-AM158</f>
        <v>-52995714</v>
      </c>
      <c r="AN159" s="1435"/>
    </row>
    <row r="160" spans="1:40">
      <c r="A160" s="1433" t="s">
        <v>773</v>
      </c>
      <c r="B160" s="1431"/>
      <c r="C160" s="1431">
        <f>ROUND(('Direct Expns'!$S49+'Direct Expns'!$S58),0)</f>
        <v>949854</v>
      </c>
      <c r="D160" s="1431"/>
      <c r="E160" s="1431"/>
      <c r="F160" s="1431">
        <f>ROUND(('Direct Expns'!$T49+'Direct Expns'!$T58),0)</f>
        <v>293673</v>
      </c>
      <c r="G160" s="1431"/>
      <c r="H160" s="1431"/>
      <c r="I160" s="1431">
        <f>ROUND(('Direct Expns'!$U49+'Direct Expns'!$U58),0)</f>
        <v>1204638</v>
      </c>
      <c r="J160" s="1431"/>
      <c r="K160" s="1431"/>
      <c r="L160" s="1431">
        <f>ROUND(('Direct Expns'!$V49+'Direct Expns'!$V58),0)</f>
        <v>641836</v>
      </c>
      <c r="M160" s="1431"/>
      <c r="N160" s="1431"/>
      <c r="O160" s="1431">
        <f>ROUND(('Direct Expns'!$W49+'Direct Expns'!$W58),0)</f>
        <v>741787</v>
      </c>
      <c r="P160" s="1431"/>
      <c r="Q160" s="1431"/>
      <c r="R160" s="1431"/>
      <c r="S160" s="1431"/>
      <c r="T160" s="1431"/>
      <c r="U160" s="1431"/>
      <c r="V160" s="1431"/>
      <c r="W160" s="1431"/>
      <c r="X160" s="1431"/>
      <c r="Y160" s="1431"/>
      <c r="Z160" s="1431"/>
      <c r="AA160" s="1431"/>
      <c r="AB160" s="1431"/>
      <c r="AC160" s="1431"/>
      <c r="AD160" s="1431"/>
      <c r="AE160" s="1431"/>
      <c r="AF160" s="1431"/>
      <c r="AG160" s="1431"/>
      <c r="AH160" s="1431"/>
      <c r="AI160" s="1431"/>
      <c r="AJ160" s="1431"/>
      <c r="AK160" s="1431"/>
      <c r="AL160" s="1431"/>
      <c r="AM160" s="1431">
        <f>ROUND(('Direct Expns'!$AE49+'Direct Expns'!$AE58),0)</f>
        <v>9817808</v>
      </c>
      <c r="AN160" s="1431"/>
    </row>
    <row r="161" spans="1:40">
      <c r="A161" s="1431" t="s">
        <v>181</v>
      </c>
      <c r="B161" s="1431"/>
      <c r="C161" s="1431">
        <f>'Direct Expns'!$S57</f>
        <v>125000</v>
      </c>
      <c r="D161" s="1431"/>
      <c r="E161" s="1431"/>
      <c r="F161" s="1431">
        <f>'Direct Expns'!$T57</f>
        <v>125000</v>
      </c>
      <c r="G161" s="1431"/>
      <c r="H161" s="1431"/>
      <c r="I161" s="1431">
        <f>'Direct Expns'!$U57</f>
        <v>125000</v>
      </c>
      <c r="J161" s="1431"/>
      <c r="K161" s="1431"/>
      <c r="L161" s="1431">
        <f>'Direct Expns'!$V57</f>
        <v>125000</v>
      </c>
      <c r="M161" s="1431"/>
      <c r="N161" s="1431"/>
      <c r="O161" s="1431">
        <f>'Direct Expns'!$W57</f>
        <v>125000</v>
      </c>
      <c r="P161" s="1431"/>
      <c r="Q161" s="1431"/>
      <c r="R161" s="1431"/>
      <c r="S161" s="1431"/>
      <c r="T161" s="1431"/>
      <c r="U161" s="1431"/>
      <c r="V161" s="1431"/>
      <c r="W161" s="1431"/>
      <c r="X161" s="1431"/>
      <c r="Y161" s="1431"/>
      <c r="Z161" s="1431"/>
      <c r="AA161" s="1431"/>
      <c r="AB161" s="1431"/>
      <c r="AC161" s="1431"/>
      <c r="AD161" s="1431"/>
      <c r="AE161" s="1431"/>
      <c r="AF161" s="1431"/>
      <c r="AG161" s="1431"/>
      <c r="AH161" s="1431"/>
      <c r="AI161" s="1431"/>
      <c r="AJ161" s="1431"/>
      <c r="AK161" s="1431"/>
      <c r="AL161" s="1431"/>
      <c r="AM161" s="1431">
        <f>'Direct Expns'!$AE57</f>
        <v>1500000</v>
      </c>
      <c r="AN161" s="1431"/>
    </row>
    <row r="162" spans="1:40">
      <c r="A162" s="1434" t="s">
        <v>774</v>
      </c>
      <c r="B162" s="1431"/>
      <c r="C162" s="1434">
        <f>C159-(C160+C161)</f>
        <v>4193923</v>
      </c>
      <c r="D162" s="1431"/>
      <c r="E162" s="1431"/>
      <c r="F162" s="1434">
        <f>F159-(F160+F161)</f>
        <v>7745740</v>
      </c>
      <c r="G162" s="1431"/>
      <c r="H162" s="1431"/>
      <c r="I162" s="1434">
        <f>I159-(I160+I161)</f>
        <v>6920010</v>
      </c>
      <c r="J162" s="1431"/>
      <c r="K162" s="1431"/>
      <c r="L162" s="1434">
        <f>L159-(L160+L161)</f>
        <v>4174287</v>
      </c>
      <c r="M162" s="1431"/>
      <c r="N162" s="1431"/>
      <c r="O162" s="1434">
        <f>O159-(O160+O161)</f>
        <v>4799937</v>
      </c>
      <c r="P162" s="1431"/>
      <c r="Q162" s="1431"/>
      <c r="R162" s="1431"/>
      <c r="S162" s="1431"/>
      <c r="T162" s="1431"/>
      <c r="U162" s="1431"/>
      <c r="V162" s="1431"/>
      <c r="W162" s="1431"/>
      <c r="X162" s="1431"/>
      <c r="Y162" s="1431"/>
      <c r="Z162" s="1431"/>
      <c r="AA162" s="1431"/>
      <c r="AB162" s="1431"/>
      <c r="AC162" s="1431"/>
      <c r="AD162" s="1431"/>
      <c r="AE162" s="1431"/>
      <c r="AF162" s="1431"/>
      <c r="AG162" s="1431"/>
      <c r="AH162" s="1431"/>
      <c r="AI162" s="1431"/>
      <c r="AJ162" s="1431"/>
      <c r="AK162" s="1431"/>
      <c r="AL162" s="1431"/>
      <c r="AM162" s="1434">
        <f>AM159-(AM160+AM161)</f>
        <v>-64313522</v>
      </c>
      <c r="AN162" s="1431"/>
    </row>
    <row r="163" spans="1:40">
      <c r="A163" s="1431" t="s">
        <v>775</v>
      </c>
      <c r="B163" s="1431"/>
      <c r="C163" s="1431"/>
      <c r="D163" s="1431"/>
      <c r="E163" s="1431"/>
      <c r="F163" s="1431"/>
      <c r="G163" s="1431"/>
      <c r="H163" s="1431"/>
      <c r="I163" s="1431"/>
      <c r="J163" s="1431"/>
      <c r="K163" s="1431"/>
      <c r="L163" s="1431"/>
      <c r="M163" s="1431"/>
      <c r="N163" s="1431"/>
      <c r="O163" s="1431"/>
      <c r="P163" s="1431"/>
      <c r="Q163" s="1431"/>
      <c r="R163" s="1431"/>
      <c r="S163" s="1431"/>
      <c r="T163" s="1431"/>
      <c r="U163" s="1431"/>
      <c r="V163" s="1431"/>
      <c r="W163" s="1431"/>
      <c r="X163" s="1431"/>
      <c r="Y163" s="1431"/>
      <c r="Z163" s="1431"/>
      <c r="AA163" s="1431"/>
      <c r="AB163" s="1431"/>
      <c r="AC163" s="1431"/>
      <c r="AD163" s="1431"/>
      <c r="AE163" s="1431"/>
      <c r="AF163" s="1431"/>
      <c r="AG163" s="1431"/>
      <c r="AH163" s="1431"/>
      <c r="AI163" s="1431"/>
      <c r="AJ163" s="1431"/>
      <c r="AK163" s="1431"/>
      <c r="AL163" s="1431"/>
      <c r="AM163" s="1431"/>
      <c r="AN163" s="1431"/>
    </row>
    <row r="164" spans="1:40">
      <c r="A164" s="1431"/>
      <c r="B164" s="1431"/>
      <c r="C164" s="1431">
        <f>C162-C163</f>
        <v>4193923</v>
      </c>
      <c r="D164" s="1431"/>
      <c r="E164" s="1431"/>
      <c r="F164" s="1431">
        <f>F162-F163</f>
        <v>7745740</v>
      </c>
      <c r="G164" s="1431"/>
      <c r="H164" s="1431"/>
      <c r="I164" s="1431">
        <f>I162-I163</f>
        <v>6920010</v>
      </c>
      <c r="J164" s="1431"/>
      <c r="K164" s="1431"/>
      <c r="L164" s="1431">
        <f>L162-L163</f>
        <v>4174287</v>
      </c>
      <c r="M164" s="1431"/>
      <c r="N164" s="1431"/>
      <c r="O164" s="1431">
        <f>O162-O163</f>
        <v>4799937</v>
      </c>
      <c r="P164" s="1431"/>
      <c r="Q164" s="1431"/>
      <c r="R164" s="1431"/>
      <c r="S164" s="1431"/>
      <c r="T164" s="1431"/>
      <c r="U164" s="1431"/>
      <c r="V164" s="1431"/>
      <c r="W164" s="1431"/>
      <c r="X164" s="1431"/>
      <c r="Y164" s="1431"/>
      <c r="Z164" s="1431"/>
      <c r="AA164" s="1431"/>
      <c r="AB164" s="1431"/>
      <c r="AC164" s="1431"/>
      <c r="AD164" s="1431"/>
      <c r="AE164" s="1431"/>
      <c r="AF164" s="1431"/>
      <c r="AG164" s="1431"/>
      <c r="AH164" s="1431"/>
      <c r="AI164" s="1431"/>
      <c r="AJ164" s="1431"/>
      <c r="AK164" s="1431"/>
      <c r="AL164" s="1431"/>
      <c r="AM164" s="1431">
        <f>AM162-AM163</f>
        <v>-64313522</v>
      </c>
      <c r="AN164" s="1431"/>
    </row>
    <row r="165" spans="1:40">
      <c r="A165" s="1431"/>
      <c r="B165" s="1431"/>
      <c r="C165" s="1431"/>
      <c r="D165" s="1431"/>
      <c r="E165" s="1431"/>
      <c r="F165" s="1431"/>
      <c r="G165" s="1431"/>
      <c r="H165" s="1431"/>
      <c r="I165" s="1431"/>
      <c r="J165" s="1431"/>
      <c r="K165" s="1431"/>
      <c r="L165" s="1431"/>
      <c r="M165" s="1431"/>
      <c r="N165" s="1431"/>
      <c r="O165" s="1431"/>
      <c r="P165" s="1431"/>
      <c r="Q165" s="1431"/>
      <c r="R165" s="1431"/>
      <c r="S165" s="1431"/>
      <c r="T165" s="1431"/>
      <c r="U165" s="1431"/>
      <c r="V165" s="1431"/>
      <c r="W165" s="1431"/>
      <c r="X165" s="1431"/>
      <c r="Y165" s="1431"/>
      <c r="Z165" s="1431"/>
      <c r="AA165" s="1431"/>
      <c r="AB165" s="1431"/>
      <c r="AC165" s="1431"/>
      <c r="AD165" s="1431"/>
      <c r="AE165" s="1431"/>
      <c r="AF165" s="1431"/>
      <c r="AG165" s="1431"/>
      <c r="AH165" s="1431"/>
      <c r="AI165" s="1431"/>
      <c r="AJ165" s="1431"/>
      <c r="AK165" s="1431"/>
      <c r="AL165" s="1431"/>
      <c r="AM165" s="1431"/>
      <c r="AN165" s="1431"/>
    </row>
    <row r="166" spans="1:40">
      <c r="A166" s="1431" t="s">
        <v>776</v>
      </c>
      <c r="B166" s="1431"/>
      <c r="C166" s="1431">
        <f>'PAL I'!D28</f>
        <v>263077</v>
      </c>
      <c r="D166" s="1431"/>
      <c r="E166" s="1431"/>
      <c r="F166" s="1431">
        <f>'PAL I'!G28</f>
        <v>-5501675</v>
      </c>
      <c r="G166" s="1431"/>
      <c r="H166" s="1431"/>
      <c r="I166" s="1431">
        <f>'PAL I'!J28</f>
        <v>-1934079</v>
      </c>
      <c r="J166" s="1431"/>
      <c r="K166" s="1431"/>
      <c r="L166" s="1431">
        <f>'PAL I'!M28</f>
        <v>-3009905</v>
      </c>
      <c r="M166" s="1431"/>
      <c r="N166" s="1431"/>
      <c r="O166" s="1431">
        <f>'PAL I'!P28</f>
        <v>15878058</v>
      </c>
      <c r="P166" s="1431"/>
      <c r="Q166" s="1431"/>
      <c r="R166" s="1431"/>
      <c r="S166" s="1431"/>
      <c r="T166" s="1431"/>
      <c r="U166" s="1431"/>
      <c r="V166" s="1431"/>
      <c r="W166" s="1431"/>
      <c r="X166" s="1431"/>
      <c r="Y166" s="1431"/>
      <c r="Z166" s="1431"/>
      <c r="AA166" s="1431"/>
      <c r="AB166" s="1431"/>
      <c r="AC166" s="1431"/>
      <c r="AD166" s="1431"/>
      <c r="AE166" s="1431"/>
      <c r="AF166" s="1431"/>
      <c r="AG166" s="1431"/>
      <c r="AH166" s="1431"/>
      <c r="AI166" s="1431"/>
      <c r="AJ166" s="1431"/>
      <c r="AK166" s="1431"/>
      <c r="AL166" s="1431"/>
      <c r="AM166" s="1431">
        <f>'PAL I'!AN28</f>
        <v>9603395</v>
      </c>
      <c r="AN166" s="1431"/>
    </row>
    <row r="167" spans="1:40">
      <c r="A167" s="1431"/>
      <c r="B167" s="1431"/>
      <c r="C167" s="1431">
        <f>C164-C166</f>
        <v>3930846</v>
      </c>
      <c r="D167" s="1431"/>
      <c r="E167" s="1431"/>
      <c r="F167" s="1431">
        <f>F164-F166</f>
        <v>13247415</v>
      </c>
      <c r="G167" s="1431"/>
      <c r="H167" s="1431"/>
      <c r="I167" s="1431">
        <f>I164-I166</f>
        <v>8854089</v>
      </c>
      <c r="J167" s="1431"/>
      <c r="K167" s="1431">
        <f>K164-K166</f>
        <v>0</v>
      </c>
      <c r="L167" s="1431">
        <f>L164-L166</f>
        <v>7184192</v>
      </c>
      <c r="M167" s="1431"/>
      <c r="N167" s="1431"/>
      <c r="O167" s="1431">
        <f>O164-O166</f>
        <v>-11078121</v>
      </c>
      <c r="P167" s="1431"/>
      <c r="Q167" s="1431"/>
      <c r="R167" s="1431"/>
      <c r="S167" s="1431"/>
      <c r="T167" s="1431"/>
      <c r="U167" s="1431"/>
      <c r="V167" s="1431"/>
      <c r="W167" s="1431"/>
      <c r="X167" s="1431"/>
      <c r="Y167" s="1431"/>
      <c r="Z167" s="1431"/>
      <c r="AA167" s="1431"/>
      <c r="AB167" s="1431"/>
      <c r="AC167" s="1431"/>
      <c r="AD167" s="1431"/>
      <c r="AE167" s="1431"/>
      <c r="AF167" s="1431"/>
      <c r="AG167" s="1431"/>
      <c r="AH167" s="1431"/>
      <c r="AI167" s="1431"/>
      <c r="AJ167" s="1431"/>
      <c r="AK167" s="1431"/>
      <c r="AL167" s="1431"/>
      <c r="AM167" s="1431">
        <f>AM164-AM166</f>
        <v>-73916917</v>
      </c>
      <c r="AN167" s="1431"/>
    </row>
    <row r="168" spans="1:40">
      <c r="A168" s="1431"/>
      <c r="B168" s="1431"/>
      <c r="C168" s="1431"/>
      <c r="D168" s="1431"/>
      <c r="E168" s="1431"/>
      <c r="F168" s="1431"/>
      <c r="G168" s="1431"/>
      <c r="H168" s="1431"/>
      <c r="I168" s="1431"/>
      <c r="J168" s="1431"/>
      <c r="K168" s="1431"/>
      <c r="L168" s="1431"/>
      <c r="M168" s="1431"/>
      <c r="N168" s="1431"/>
      <c r="O168" s="1431"/>
      <c r="P168" s="1431"/>
      <c r="Q168" s="1431"/>
      <c r="R168" s="1431"/>
      <c r="S168" s="1431"/>
      <c r="T168" s="1431"/>
      <c r="U168" s="1431"/>
      <c r="V168" s="1431"/>
      <c r="W168" s="1431"/>
      <c r="X168" s="1431"/>
      <c r="Y168" s="1431"/>
      <c r="Z168" s="1431"/>
      <c r="AA168" s="1431"/>
      <c r="AB168" s="1431"/>
      <c r="AC168" s="1431"/>
      <c r="AD168" s="1431"/>
      <c r="AE168" s="1431"/>
      <c r="AF168" s="1431"/>
      <c r="AG168" s="1431"/>
      <c r="AH168" s="1431"/>
      <c r="AI168" s="1431"/>
      <c r="AJ168" s="1431"/>
      <c r="AK168" s="1431"/>
      <c r="AL168" s="1431"/>
      <c r="AM168" s="1431"/>
      <c r="AN168" s="1431"/>
    </row>
    <row r="169" spans="1:40">
      <c r="A169" s="1431"/>
      <c r="B169" s="1431"/>
      <c r="C169" s="1431"/>
      <c r="D169" s="1431"/>
      <c r="E169" s="1431"/>
      <c r="F169" s="1431"/>
      <c r="G169" s="1431"/>
      <c r="H169" s="1431"/>
      <c r="I169" s="1431"/>
      <c r="J169" s="1431"/>
      <c r="K169" s="1431"/>
      <c r="L169" s="1431"/>
      <c r="M169" s="1431"/>
      <c r="N169" s="1431"/>
      <c r="O169" s="1431"/>
      <c r="P169" s="1431"/>
      <c r="Q169" s="1431"/>
      <c r="R169" s="1431"/>
      <c r="S169" s="1431"/>
      <c r="T169" s="1431"/>
      <c r="U169" s="1431"/>
      <c r="V169" s="1431"/>
      <c r="W169" s="1431"/>
      <c r="X169" s="1431"/>
      <c r="Y169" s="1431"/>
      <c r="Z169" s="1431"/>
      <c r="AA169" s="1431"/>
      <c r="AB169" s="1431"/>
      <c r="AC169" s="1431"/>
      <c r="AD169" s="1431"/>
      <c r="AE169" s="1431"/>
      <c r="AF169" s="1431"/>
      <c r="AG169" s="1431"/>
      <c r="AH169" s="1431"/>
      <c r="AI169" s="1431"/>
      <c r="AJ169" s="1431"/>
      <c r="AK169" s="1431"/>
      <c r="AL169" s="1431"/>
      <c r="AM169" s="1431"/>
      <c r="AN169" s="1431"/>
    </row>
    <row r="170" spans="1:40">
      <c r="A170" s="1431"/>
      <c r="B170" s="1431"/>
      <c r="C170" s="1431"/>
      <c r="D170" s="1431"/>
      <c r="E170" s="1431"/>
      <c r="F170" s="1431"/>
      <c r="G170" s="1431"/>
      <c r="H170" s="1431"/>
      <c r="I170" s="1431"/>
      <c r="J170" s="1431"/>
      <c r="K170" s="1431"/>
      <c r="L170" s="1431"/>
      <c r="M170" s="1431"/>
      <c r="N170" s="1431"/>
      <c r="O170" s="1431"/>
      <c r="P170" s="1431"/>
      <c r="Q170" s="1431"/>
      <c r="R170" s="1431"/>
      <c r="S170" s="1431"/>
      <c r="T170" s="1431"/>
      <c r="U170" s="1431"/>
      <c r="V170" s="1431"/>
      <c r="W170" s="1431"/>
      <c r="X170" s="1431"/>
      <c r="Y170" s="1431"/>
      <c r="Z170" s="1431"/>
      <c r="AA170" s="1431"/>
      <c r="AB170" s="1431"/>
      <c r="AC170" s="1431"/>
      <c r="AD170" s="1431"/>
      <c r="AE170" s="1431"/>
      <c r="AF170" s="1431"/>
      <c r="AG170" s="1431"/>
      <c r="AH170" s="1431"/>
      <c r="AI170" s="1431"/>
      <c r="AJ170" s="1431"/>
      <c r="AK170" s="1431"/>
      <c r="AL170" s="1431"/>
      <c r="AM170" s="1431"/>
      <c r="AN170" s="1431"/>
    </row>
  </sheetData>
  <mergeCells count="13"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</mergeCells>
  <printOptions horizontalCentered="1"/>
  <pageMargins left="0.708661417322835" right="0.708661417322835" top="0.748031496062992" bottom="0.748031496062992" header="0.31496062992126" footer="0.31496062992126"/>
  <pageSetup paperSize="9" scale="135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61"/>
  <sheetViews>
    <sheetView showZeros="0" workbookViewId="0">
      <pane xSplit="1" ySplit="3" topLeftCell="B4" activePane="bottomRight" state="frozen"/>
      <selection/>
      <selection pane="topRight"/>
      <selection pane="bottomLeft"/>
      <selection pane="bottomRight" activeCell="F4" sqref="E4 F4"/>
    </sheetView>
  </sheetViews>
  <sheetFormatPr defaultColWidth="9" defaultRowHeight="13.5"/>
  <cols>
    <col min="2" max="2" width="13.1428571428571" customWidth="1"/>
    <col min="3" max="4" width="12" customWidth="1"/>
    <col min="5" max="5" width="15.7142857142857" customWidth="1"/>
    <col min="6" max="6" width="10.4285714285714" customWidth="1"/>
    <col min="7" max="7" width="13.1428571428571" customWidth="1"/>
    <col min="8" max="8" width="6.42857142857143" customWidth="1"/>
    <col min="9" max="9" width="12.2857142857143" customWidth="1"/>
    <col min="10" max="10" width="12.4285714285714" customWidth="1"/>
    <col min="11" max="11" width="13.1428571428571" customWidth="1"/>
    <col min="12" max="12" width="6.42857142857143" customWidth="1"/>
    <col min="13" max="14" width="12" customWidth="1"/>
    <col min="15" max="15" width="13.1428571428571" customWidth="1"/>
    <col min="16" max="16" width="6.42857142857143" customWidth="1"/>
    <col min="17" max="17" width="12" customWidth="1"/>
    <col min="18" max="18" width="6.42857142857143" customWidth="1"/>
    <col min="19" max="19" width="12" customWidth="1"/>
    <col min="20" max="20" width="5.71428571428571" customWidth="1"/>
    <col min="21" max="21" width="10.4285714285714" customWidth="1"/>
    <col min="22" max="22" width="12.7142857142857" customWidth="1"/>
    <col min="23" max="23" width="13.1428571428571" customWidth="1"/>
    <col min="24" max="24" width="14.7142857142857" customWidth="1"/>
    <col min="25" max="25" width="7.28571428571429" customWidth="1"/>
    <col min="26" max="26" width="12.7142857142857" customWidth="1"/>
    <col min="27" max="27" width="7.28571428571429" customWidth="1"/>
    <col min="33" max="33" width="7" customWidth="1"/>
    <col min="34" max="34" width="5.28571428571429" customWidth="1"/>
    <col min="39" max="40" width="9.42857142857143" customWidth="1"/>
  </cols>
  <sheetData>
    <row r="1" ht="14.25"/>
    <row r="2" ht="14.25" spans="1:36">
      <c r="A2" s="833" t="s">
        <v>129</v>
      </c>
      <c r="B2" s="834" t="s">
        <v>380</v>
      </c>
      <c r="C2" s="835"/>
      <c r="D2" s="835"/>
      <c r="E2" s="835"/>
      <c r="F2" s="852"/>
      <c r="G2" s="853" t="s">
        <v>365</v>
      </c>
      <c r="H2" s="854"/>
      <c r="I2" s="854"/>
      <c r="J2" s="854"/>
      <c r="K2" s="854"/>
      <c r="L2" s="854"/>
      <c r="M2" s="854"/>
      <c r="N2" s="854"/>
      <c r="O2" s="854"/>
      <c r="P2" s="887"/>
      <c r="Q2" s="898" t="s">
        <v>777</v>
      </c>
      <c r="R2" s="899"/>
      <c r="S2" s="899"/>
      <c r="T2" s="899"/>
      <c r="U2" s="908"/>
      <c r="V2" s="909" t="s">
        <v>778</v>
      </c>
      <c r="W2" s="853" t="s">
        <v>779</v>
      </c>
      <c r="X2" s="854"/>
      <c r="Y2" s="887"/>
      <c r="Z2" s="833" t="s">
        <v>780</v>
      </c>
      <c r="AA2" s="96"/>
      <c r="AB2" s="921"/>
      <c r="AC2" s="921"/>
      <c r="AD2" s="921"/>
      <c r="AE2" s="921"/>
      <c r="AF2" s="921"/>
      <c r="AG2" s="921"/>
      <c r="AH2" s="921"/>
      <c r="AI2" s="921"/>
      <c r="AJ2" s="921"/>
    </row>
    <row r="3" ht="15" customHeight="1" spans="1:59">
      <c r="A3" s="836"/>
      <c r="B3" s="837" t="s">
        <v>130</v>
      </c>
      <c r="C3" s="835" t="s">
        <v>131</v>
      </c>
      <c r="D3" s="838" t="s">
        <v>559</v>
      </c>
      <c r="E3" s="835" t="s">
        <v>52</v>
      </c>
      <c r="F3" s="855" t="s">
        <v>383</v>
      </c>
      <c r="G3" s="856" t="s">
        <v>130</v>
      </c>
      <c r="H3" s="3314" t="s">
        <v>781</v>
      </c>
      <c r="I3" s="3315" t="s">
        <v>782</v>
      </c>
      <c r="J3" s="877" t="s">
        <v>48</v>
      </c>
      <c r="K3" s="3316" t="s">
        <v>783</v>
      </c>
      <c r="L3" s="3314" t="s">
        <v>781</v>
      </c>
      <c r="M3" s="3317" t="s">
        <v>131</v>
      </c>
      <c r="N3" s="3318" t="s">
        <v>784</v>
      </c>
      <c r="O3" s="890" t="s">
        <v>785</v>
      </c>
      <c r="P3" s="3314" t="s">
        <v>781</v>
      </c>
      <c r="Q3" s="900" t="s">
        <v>786</v>
      </c>
      <c r="R3" s="3319" t="s">
        <v>781</v>
      </c>
      <c r="S3" s="902" t="s">
        <v>40</v>
      </c>
      <c r="T3" s="3319" t="s">
        <v>781</v>
      </c>
      <c r="U3" s="3320" t="s">
        <v>131</v>
      </c>
      <c r="V3" s="911"/>
      <c r="W3" s="912" t="s">
        <v>219</v>
      </c>
      <c r="X3" s="913" t="s">
        <v>771</v>
      </c>
      <c r="Y3" s="3314" t="s">
        <v>781</v>
      </c>
      <c r="Z3" s="836"/>
      <c r="AA3" s="96"/>
      <c r="AB3" s="921"/>
      <c r="AC3" s="921"/>
      <c r="AD3" s="921"/>
      <c r="AE3" s="921"/>
      <c r="AF3" s="921"/>
      <c r="AG3" s="921"/>
      <c r="AH3" s="921"/>
      <c r="AI3" s="921"/>
      <c r="AJ3" s="921"/>
      <c r="AM3" s="578" t="s">
        <v>787</v>
      </c>
      <c r="AN3" s="578" t="s">
        <v>788</v>
      </c>
      <c r="AO3" s="578" t="s">
        <v>789</v>
      </c>
      <c r="AP3" s="578" t="s">
        <v>780</v>
      </c>
      <c r="AQ3" s="578" t="s">
        <v>790</v>
      </c>
      <c r="AW3" s="930"/>
      <c r="AX3" s="930"/>
      <c r="AY3" s="930"/>
      <c r="AZ3" s="930"/>
      <c r="BA3" s="930"/>
      <c r="BE3" s="578"/>
      <c r="BF3" s="578"/>
      <c r="BG3" s="578"/>
    </row>
    <row r="4" ht="14.45" customHeight="1" spans="1:59">
      <c r="A4" s="839" t="s">
        <v>17</v>
      </c>
      <c r="B4" s="840">
        <f>MTY!C$3+MTY!C$4+MTY!C$5</f>
        <v>25323314</v>
      </c>
      <c r="C4" s="841">
        <f>MTY!C$7</f>
        <v>1377592</v>
      </c>
      <c r="D4" s="842">
        <f>MTY!C$6</f>
        <v>4063505</v>
      </c>
      <c r="E4" s="841">
        <f t="shared" ref="E4:E15" si="0">IF(B4=0,0,SUM(B4:D4))</f>
        <v>30764411</v>
      </c>
      <c r="F4" s="858">
        <f>MTY!C$46+MTY!C$47</f>
        <v>21118</v>
      </c>
      <c r="G4" s="859">
        <f>IF(B4=0,0,CONSUMPTION!D34)</f>
        <v>7370403</v>
      </c>
      <c r="H4" s="860">
        <f t="shared" ref="H4:H15" si="1">IF(B4=0,0,G4/B4)</f>
        <v>0.291052071620642</v>
      </c>
      <c r="I4" s="879">
        <f>CONSUMPTION!D49</f>
        <v>8076889</v>
      </c>
      <c r="J4" s="880">
        <f>IF(B4=0,0,CONSUMPTION!D92)</f>
        <v>-2707148</v>
      </c>
      <c r="K4" s="881">
        <f>G4+I4+J4</f>
        <v>12740144</v>
      </c>
      <c r="L4" s="860">
        <f t="shared" ref="L4:L15" si="2">IF(F4=0,0,K4/B4)</f>
        <v>0.503099396864091</v>
      </c>
      <c r="M4" s="891">
        <f>CONSUMPTION!D60</f>
        <v>1140592</v>
      </c>
      <c r="N4" s="892">
        <f>CONSUMPTION!D72</f>
        <v>3809200</v>
      </c>
      <c r="O4" s="893">
        <f t="shared" ref="O4:O16" si="3">IF(G4=0,0,(K4+M4+N4))</f>
        <v>17689936</v>
      </c>
      <c r="P4" s="860">
        <f>IF(B4=0,0,O4/(E4))</f>
        <v>0.575012991472517</v>
      </c>
      <c r="Q4" s="903">
        <f>'Direct Expns'!S46</f>
        <v>1921090</v>
      </c>
      <c r="R4" s="860">
        <f>IF(B4=0,0,Q4/E4)</f>
        <v>0.0624452065732707</v>
      </c>
      <c r="S4" s="904">
        <f>'Direct Expns'!S47</f>
        <v>7671286</v>
      </c>
      <c r="T4" s="860">
        <f>IF(B4=0,0,S4/(E4))</f>
        <v>0.249355854724474</v>
      </c>
      <c r="U4" s="914">
        <f>'Direct Expns'!S48</f>
        <v>97432</v>
      </c>
      <c r="V4" s="915">
        <f t="shared" ref="V4:V15" si="4">(E4+F4)-(O4+Q4+S4+U4)</f>
        <v>3405785</v>
      </c>
      <c r="W4" s="916">
        <f>IF(B4=0,0,'Direct Expns'!S51)</f>
        <v>125000</v>
      </c>
      <c r="X4" s="917">
        <f>'Direct Expns'!S50</f>
        <v>2104559</v>
      </c>
      <c r="Y4" s="860">
        <f t="shared" ref="Y4:Y15" si="5">IF(B4=0,0,X4/(E4))</f>
        <v>0.0684088832384927</v>
      </c>
      <c r="Z4" s="922">
        <f t="shared" ref="Z4:Z15" si="6">V4-(W4+X4)</f>
        <v>1176226</v>
      </c>
      <c r="AA4" s="923">
        <f t="shared" ref="AA4:AA16" si="7">IF(B4=0,0,Z4/B4)</f>
        <v>0.0464483440042642</v>
      </c>
      <c r="AB4" s="921"/>
      <c r="AC4" s="921"/>
      <c r="AD4" s="921"/>
      <c r="AE4" s="921"/>
      <c r="AF4" s="921"/>
      <c r="AG4" s="921"/>
      <c r="AH4" s="921"/>
      <c r="AI4" s="921"/>
      <c r="AJ4" s="921"/>
      <c r="AL4" t="str">
        <f t="shared" ref="AL4:AL15" si="8">A4</f>
        <v>Apr</v>
      </c>
      <c r="AM4" s="928">
        <f t="shared" ref="AM4:AM15" si="9">ROUND((O4/100000),0)</f>
        <v>177</v>
      </c>
      <c r="AN4" s="929">
        <f t="shared" ref="AN4:AN15" si="10">ROUND((Q4/100000),0)</f>
        <v>19</v>
      </c>
      <c r="AO4">
        <f>ROUND((X4/100000),0)</f>
        <v>21</v>
      </c>
      <c r="AP4" s="929">
        <f>Z4/100000</f>
        <v>11.76226</v>
      </c>
      <c r="AQ4">
        <f t="shared" ref="AQ4:AQ15" si="11">ROUND(((B4+F4)/100000),0)</f>
        <v>253</v>
      </c>
      <c r="AW4" s="588"/>
      <c r="AX4" s="588"/>
      <c r="AY4" s="588"/>
      <c r="AZ4" s="588"/>
      <c r="BA4" s="588"/>
      <c r="BE4" s="97"/>
      <c r="BF4" s="97"/>
      <c r="BG4" s="97"/>
    </row>
    <row r="5" ht="14.45" customHeight="1" spans="1:53">
      <c r="A5" s="843" t="s">
        <v>18</v>
      </c>
      <c r="B5" s="840">
        <f>MTY!F$3+MTY!F$4+MTY!F$5</f>
        <v>35041812</v>
      </c>
      <c r="C5" s="841">
        <f>MTY!$F7</f>
        <v>1668640</v>
      </c>
      <c r="D5" s="842">
        <f>MTY!F$6</f>
        <v>1335000</v>
      </c>
      <c r="E5" s="841">
        <f t="shared" si="0"/>
        <v>38045452</v>
      </c>
      <c r="F5" s="858">
        <f>MTY!F$46+MTY!F$47</f>
        <v>78189</v>
      </c>
      <c r="G5" s="859">
        <f>IF(B5=0,0,CONSUMPTION!G34)</f>
        <v>7599002</v>
      </c>
      <c r="H5" s="860">
        <f t="shared" si="1"/>
        <v>0.216855281342186</v>
      </c>
      <c r="I5" s="882">
        <f>IF(D5=0,0,CONSUMPTION!G49)</f>
        <v>6626998</v>
      </c>
      <c r="J5" s="880">
        <f>CONSUMPTION!G92</f>
        <v>13998804</v>
      </c>
      <c r="K5" s="881">
        <f>G5+I5+J5</f>
        <v>28224804</v>
      </c>
      <c r="L5" s="860">
        <f t="shared" si="2"/>
        <v>0.805460745009419</v>
      </c>
      <c r="M5" s="891">
        <f>CONSUMPTION!G60</f>
        <v>1432525</v>
      </c>
      <c r="N5" s="892">
        <f>CONSUMPTION!G72</f>
        <v>1387820</v>
      </c>
      <c r="O5" s="893">
        <f t="shared" si="3"/>
        <v>31045149</v>
      </c>
      <c r="P5" s="860">
        <f>IF(B5=0,0,O5/(E5))</f>
        <v>0.816001581476808</v>
      </c>
      <c r="Q5" s="903">
        <f>'Direct Expns'!T46</f>
        <v>2738517</v>
      </c>
      <c r="R5" s="860">
        <f>IF(B5=0,0,Q5/E5)</f>
        <v>0.0719801410165925</v>
      </c>
      <c r="S5" s="904">
        <f>'Direct Expns'!T47</f>
        <v>7222620</v>
      </c>
      <c r="T5" s="860">
        <f>IF(B5=0,0,S5/(E5))</f>
        <v>0.189841876500771</v>
      </c>
      <c r="U5" s="914">
        <f>'Direct Expns'!$T48</f>
        <v>97300</v>
      </c>
      <c r="V5" s="915">
        <f t="shared" si="4"/>
        <v>-2979945</v>
      </c>
      <c r="W5" s="916">
        <f>IF(B5=0,0,'Direct Expns'!T51)</f>
        <v>125000</v>
      </c>
      <c r="X5" s="917">
        <f>'Direct Expns'!T50</f>
        <v>2200389</v>
      </c>
      <c r="Y5" s="860">
        <f t="shared" si="5"/>
        <v>0.0578357959842349</v>
      </c>
      <c r="Z5" s="922">
        <f t="shared" si="6"/>
        <v>-5305334</v>
      </c>
      <c r="AA5" s="923">
        <f t="shared" si="7"/>
        <v>-0.151400104537973</v>
      </c>
      <c r="AB5" s="921"/>
      <c r="AC5" s="921"/>
      <c r="AD5" s="921"/>
      <c r="AE5" s="921"/>
      <c r="AF5" s="921"/>
      <c r="AG5" s="921"/>
      <c r="AH5" s="921"/>
      <c r="AI5" s="921"/>
      <c r="AJ5" s="921"/>
      <c r="AL5" t="str">
        <f t="shared" si="8"/>
        <v>May</v>
      </c>
      <c r="AM5" s="928">
        <f t="shared" si="9"/>
        <v>310</v>
      </c>
      <c r="AN5" s="929">
        <f t="shared" si="10"/>
        <v>27</v>
      </c>
      <c r="AO5">
        <f t="shared" ref="AO5:AO15" si="12">ROUND((X5/100000),0)</f>
        <v>22</v>
      </c>
      <c r="AP5" s="929">
        <f t="shared" ref="AP5:AP15" si="13">Z5/100000</f>
        <v>-53.05334</v>
      </c>
      <c r="AQ5">
        <f t="shared" si="11"/>
        <v>351</v>
      </c>
      <c r="AW5" s="368"/>
      <c r="AX5" s="323"/>
      <c r="AY5" s="318"/>
      <c r="AZ5" s="318"/>
      <c r="BA5" s="323"/>
    </row>
    <row r="6" ht="14.45" customHeight="1" spans="1:53">
      <c r="A6" s="843" t="s">
        <v>19</v>
      </c>
      <c r="B6" s="840">
        <f>MTY!I$3+MTY!I$4+MTY!I$5</f>
        <v>32559448</v>
      </c>
      <c r="C6" s="841">
        <f>MTY!I$7</f>
        <v>1342889</v>
      </c>
      <c r="D6" s="842">
        <f>MTY!I$6</f>
        <v>4901990</v>
      </c>
      <c r="E6" s="841">
        <f t="shared" si="0"/>
        <v>38804327</v>
      </c>
      <c r="F6" s="858">
        <f>MTY!I$46+MTY!I$47</f>
        <v>56581</v>
      </c>
      <c r="G6" s="859">
        <f>IF(B6=0,0,CONSUMPTION!J34)</f>
        <v>8560526</v>
      </c>
      <c r="H6" s="860">
        <f t="shared" si="1"/>
        <v>0.262919875054393</v>
      </c>
      <c r="I6" s="882">
        <f>IF(D6=0,0,CONSUMPTION!J49)</f>
        <v>8596272</v>
      </c>
      <c r="J6" s="880">
        <f>IF(B6=0,0,CONSUMPTION!J92)</f>
        <v>4458896</v>
      </c>
      <c r="K6" s="881">
        <f t="shared" ref="K6:K15" si="14">G6+I6+J6</f>
        <v>21615694</v>
      </c>
      <c r="L6" s="860">
        <f t="shared" si="2"/>
        <v>0.663883920882197</v>
      </c>
      <c r="M6" s="894">
        <f>CONSUMPTION!J60</f>
        <v>1160656</v>
      </c>
      <c r="N6" s="892">
        <f>CONSUMPTION!J72</f>
        <v>4768500</v>
      </c>
      <c r="O6" s="893">
        <f t="shared" si="3"/>
        <v>27544850</v>
      </c>
      <c r="P6" s="860">
        <f>IF(B6=0,0,O6/(E6))</f>
        <v>0.709839652675847</v>
      </c>
      <c r="Q6" s="903">
        <f>'Direct Expns'!U46</f>
        <v>2484833</v>
      </c>
      <c r="R6" s="860">
        <f>IF(B6=0,0,Q6/E6)</f>
        <v>0.0640349464120329</v>
      </c>
      <c r="S6" s="904">
        <f>'Direct Expns'!U47</f>
        <v>6888845</v>
      </c>
      <c r="T6" s="860">
        <f>IF(B6=0,0,S6/(E6))</f>
        <v>0.177527753541506</v>
      </c>
      <c r="U6" s="914">
        <f>'Direct Expns'!U$48</f>
        <v>97036</v>
      </c>
      <c r="V6" s="915">
        <f t="shared" si="4"/>
        <v>1845344</v>
      </c>
      <c r="W6" s="916">
        <f>IF(B6=0,0,'Direct Expns'!U51)</f>
        <v>125000</v>
      </c>
      <c r="X6" s="917">
        <f>'Direct Expns'!U50</f>
        <v>2904118</v>
      </c>
      <c r="Y6" s="860">
        <f t="shared" si="5"/>
        <v>0.0748400558525342</v>
      </c>
      <c r="Z6" s="922">
        <f t="shared" si="6"/>
        <v>-1183774</v>
      </c>
      <c r="AA6" s="923">
        <f t="shared" si="7"/>
        <v>-0.0363573117087243</v>
      </c>
      <c r="AB6" s="921"/>
      <c r="AC6" s="921"/>
      <c r="AD6" s="921"/>
      <c r="AE6" s="921"/>
      <c r="AF6" s="921"/>
      <c r="AG6" s="921"/>
      <c r="AH6" s="921"/>
      <c r="AI6" s="921"/>
      <c r="AJ6" s="921"/>
      <c r="AL6" t="str">
        <f t="shared" si="8"/>
        <v>Jun</v>
      </c>
      <c r="AM6" s="928">
        <f t="shared" si="9"/>
        <v>275</v>
      </c>
      <c r="AN6" s="929">
        <f t="shared" si="10"/>
        <v>25</v>
      </c>
      <c r="AO6">
        <f t="shared" si="12"/>
        <v>29</v>
      </c>
      <c r="AP6" s="929">
        <f t="shared" si="13"/>
        <v>-11.83774</v>
      </c>
      <c r="AQ6">
        <f t="shared" si="11"/>
        <v>326</v>
      </c>
      <c r="AW6" s="368"/>
      <c r="AX6" s="323"/>
      <c r="AY6" s="318"/>
      <c r="AZ6" s="368"/>
      <c r="BA6" s="323"/>
    </row>
    <row r="7" ht="14.45" customHeight="1" spans="1:53">
      <c r="A7" s="843" t="s">
        <v>20</v>
      </c>
      <c r="B7" s="840">
        <f>MTY!L$3+MTY!L$4+MTY!L$5</f>
        <v>29621742</v>
      </c>
      <c r="C7" s="841">
        <f>MTY!L$7</f>
        <v>1494475</v>
      </c>
      <c r="D7" s="842">
        <f>MTY!L$6</f>
        <v>5497360</v>
      </c>
      <c r="E7" s="841">
        <f t="shared" si="0"/>
        <v>36613577</v>
      </c>
      <c r="F7" s="858">
        <f>MTY!L$46+MTY!L$47</f>
        <v>53409</v>
      </c>
      <c r="G7" s="859">
        <f>IF(B7=0,0,CONSUMPTION!M34)</f>
        <v>9174569</v>
      </c>
      <c r="H7" s="860">
        <f t="shared" si="1"/>
        <v>0.309724154642897</v>
      </c>
      <c r="I7" s="882">
        <f>IF(D7=0,0,CONSUMPTION!M49)</f>
        <v>6855536</v>
      </c>
      <c r="J7" s="880">
        <f>IF(B7=0,0,CONSUMPTION!M92)</f>
        <v>2621609</v>
      </c>
      <c r="K7" s="881">
        <f t="shared" si="14"/>
        <v>18651714</v>
      </c>
      <c r="L7" s="860">
        <f t="shared" si="2"/>
        <v>0.629662968504688</v>
      </c>
      <c r="M7" s="894">
        <f>IF(B7=0,0,CONSUMPTION!M60)</f>
        <v>1316001</v>
      </c>
      <c r="N7" s="895">
        <f>CONSUMPTION!M72</f>
        <v>5207400</v>
      </c>
      <c r="O7" s="893">
        <f t="shared" si="3"/>
        <v>25175115</v>
      </c>
      <c r="P7" s="860">
        <f>IF(B7=0,0,O7/(E7))</f>
        <v>0.687589606445718</v>
      </c>
      <c r="Q7" s="903">
        <f>'Direct Expns'!V46</f>
        <v>3437574</v>
      </c>
      <c r="R7" s="860">
        <f>IF(B7=0,0,Q7/E7)</f>
        <v>0.0938879585570129</v>
      </c>
      <c r="S7" s="904">
        <f>'Direct Expns'!V47</f>
        <v>7914846</v>
      </c>
      <c r="T7" s="860">
        <f>IF(B7=0,0,S7/(E7))</f>
        <v>0.21617243242855</v>
      </c>
      <c r="U7" s="914">
        <f>'Direct Expns'!V$48</f>
        <v>97779</v>
      </c>
      <c r="V7" s="915">
        <f t="shared" si="4"/>
        <v>41672</v>
      </c>
      <c r="W7" s="916">
        <f>IF(B7=0,0,'Direct Expns'!V51)</f>
        <v>125000</v>
      </c>
      <c r="X7" s="917">
        <f>'Direct Expns'!V50</f>
        <v>2393245</v>
      </c>
      <c r="Y7" s="860">
        <f t="shared" si="5"/>
        <v>0.0653649601075579</v>
      </c>
      <c r="Z7" s="922">
        <f t="shared" si="6"/>
        <v>-2476573</v>
      </c>
      <c r="AA7" s="923">
        <f t="shared" si="7"/>
        <v>-0.083606595452759</v>
      </c>
      <c r="AB7" s="921"/>
      <c r="AC7" s="921"/>
      <c r="AD7" s="921"/>
      <c r="AE7" s="921"/>
      <c r="AF7" s="921"/>
      <c r="AG7" s="921"/>
      <c r="AH7" s="921"/>
      <c r="AI7" s="921"/>
      <c r="AJ7" s="921"/>
      <c r="AL7" t="str">
        <f t="shared" si="8"/>
        <v>Jul</v>
      </c>
      <c r="AM7" s="928">
        <f t="shared" si="9"/>
        <v>252</v>
      </c>
      <c r="AN7" s="929">
        <f t="shared" si="10"/>
        <v>34</v>
      </c>
      <c r="AO7">
        <f t="shared" si="12"/>
        <v>24</v>
      </c>
      <c r="AP7" s="929">
        <f t="shared" si="13"/>
        <v>-24.76573</v>
      </c>
      <c r="AQ7">
        <f t="shared" si="11"/>
        <v>297</v>
      </c>
      <c r="AW7" s="368"/>
      <c r="AX7" s="323"/>
      <c r="AY7" s="318"/>
      <c r="AZ7" s="368"/>
      <c r="BA7" s="323"/>
    </row>
    <row r="8" ht="14.45" customHeight="1" spans="1:53">
      <c r="A8" s="843" t="s">
        <v>21</v>
      </c>
      <c r="B8" s="840">
        <f>MTY!O$3+MTY!O$4+MTY!O$5</f>
        <v>28386432</v>
      </c>
      <c r="C8" s="841">
        <f>MTY!O$7</f>
        <v>1294393</v>
      </c>
      <c r="D8" s="842">
        <f>MTY!O$6</f>
        <v>5865010</v>
      </c>
      <c r="E8" s="841">
        <f t="shared" si="0"/>
        <v>35545835</v>
      </c>
      <c r="F8" s="858">
        <f>MTY!O$46+MTY!O$47</f>
        <v>53941</v>
      </c>
      <c r="G8" s="859">
        <f>IF(B8=0,0,CONSUMPTION!P34)</f>
        <v>7826655</v>
      </c>
      <c r="H8" s="860">
        <f t="shared" si="1"/>
        <v>0.275718167045439</v>
      </c>
      <c r="I8" s="882">
        <f>IF(D8=0,0,CONSUMPTION!P49)</f>
        <v>9205078</v>
      </c>
      <c r="J8" s="880">
        <f>IF(B8=0,0,CONSUMPTION!P92)</f>
        <v>-17102234</v>
      </c>
      <c r="K8" s="881">
        <f t="shared" si="14"/>
        <v>-70501</v>
      </c>
      <c r="L8" s="860">
        <f t="shared" si="2"/>
        <v>-0.00248361611631923</v>
      </c>
      <c r="M8" s="891">
        <f>IF(B8=0,0,CONSUMPTION!P60)</f>
        <v>998071</v>
      </c>
      <c r="N8" s="895">
        <f>CONSUMPTION!P72</f>
        <v>5541320</v>
      </c>
      <c r="O8" s="893">
        <f t="shared" si="3"/>
        <v>6468890</v>
      </c>
      <c r="P8" s="860">
        <f>IF(B8=0,0,O8/(E8))</f>
        <v>0.181987284867552</v>
      </c>
      <c r="Q8" s="903">
        <f>'Direct Expns'!W46</f>
        <v>2531197</v>
      </c>
      <c r="R8" s="860">
        <f>IF(B8=0,0,Q8/E8)</f>
        <v>0.0712093836028891</v>
      </c>
      <c r="S8" s="904">
        <f>'Direct Expns'!W47</f>
        <v>7640390</v>
      </c>
      <c r="T8" s="860">
        <f>IF(B8=0,0,S8/(E8))</f>
        <v>0.214944732624793</v>
      </c>
      <c r="U8" s="914">
        <f>'Direct Expns'!W$48</f>
        <v>97432</v>
      </c>
      <c r="V8" s="915">
        <f t="shared" si="4"/>
        <v>18861867</v>
      </c>
      <c r="W8" s="916">
        <f>IF(B8=0,0,'PAL II'!Y$35)</f>
        <v>125000</v>
      </c>
      <c r="X8" s="917">
        <f>'Direct Expns'!W50</f>
        <v>2228547</v>
      </c>
      <c r="Y8" s="860">
        <f t="shared" si="5"/>
        <v>0.0626950246069617</v>
      </c>
      <c r="Z8" s="922">
        <f t="shared" si="6"/>
        <v>16508320</v>
      </c>
      <c r="AA8" s="923">
        <f t="shared" si="7"/>
        <v>0.581556709909861</v>
      </c>
      <c r="AB8" s="921"/>
      <c r="AC8" s="921"/>
      <c r="AD8" s="921"/>
      <c r="AE8" s="921"/>
      <c r="AF8" s="921"/>
      <c r="AG8" s="921"/>
      <c r="AH8" s="921"/>
      <c r="AI8" s="921"/>
      <c r="AJ8" s="921"/>
      <c r="AL8" t="str">
        <f t="shared" si="8"/>
        <v>Aug</v>
      </c>
      <c r="AM8" s="928">
        <f t="shared" si="9"/>
        <v>65</v>
      </c>
      <c r="AN8" s="929">
        <f t="shared" si="10"/>
        <v>25</v>
      </c>
      <c r="AO8">
        <f t="shared" si="12"/>
        <v>22</v>
      </c>
      <c r="AP8" s="929">
        <f t="shared" si="13"/>
        <v>165.0832</v>
      </c>
      <c r="AQ8">
        <f t="shared" si="11"/>
        <v>284</v>
      </c>
      <c r="AW8" s="368"/>
      <c r="AX8" s="368"/>
      <c r="AY8" s="318"/>
      <c r="AZ8" s="368"/>
      <c r="BA8" s="368"/>
    </row>
    <row r="9" ht="14.45" customHeight="1" spans="1:53">
      <c r="A9" s="843" t="s">
        <v>22</v>
      </c>
      <c r="B9" s="840">
        <f>MTY!R$3+MTY!R$4+MTY!R$5</f>
        <v>24538384</v>
      </c>
      <c r="C9" s="841">
        <f>MTY!R$7</f>
        <v>1008073</v>
      </c>
      <c r="D9" s="842">
        <f>MTY!R$6</f>
        <v>3094270</v>
      </c>
      <c r="E9" s="841">
        <f t="shared" si="0"/>
        <v>28640727</v>
      </c>
      <c r="F9" s="858">
        <f>MTY!R$46+MTY!R$47</f>
        <v>71780</v>
      </c>
      <c r="G9" s="859">
        <f>IF(B9=0,0,CONSUMPTION!S34)</f>
        <v>7798635</v>
      </c>
      <c r="H9" s="860">
        <f t="shared" si="1"/>
        <v>0.317813715850237</v>
      </c>
      <c r="I9" s="882">
        <f>IF(D9=0,0,CONSUMPTION!S49)</f>
        <v>9970840</v>
      </c>
      <c r="J9" s="880">
        <f>IF(B9=0,0,CONSUMPTION!S92)</f>
        <v>-7360927</v>
      </c>
      <c r="K9" s="881">
        <f t="shared" si="14"/>
        <v>10408548</v>
      </c>
      <c r="L9" s="860">
        <f t="shared" si="2"/>
        <v>0.42417414284494</v>
      </c>
      <c r="M9" s="891">
        <f>IF(B9=0,0,CONSUMPTION!S60)</f>
        <v>878925</v>
      </c>
      <c r="N9" s="895">
        <f>CONSUMPTION!S72</f>
        <v>2997700</v>
      </c>
      <c r="O9" s="893">
        <f t="shared" si="3"/>
        <v>14285173</v>
      </c>
      <c r="P9" s="860">
        <f t="shared" ref="P9:P15" si="15">IF(B9=0,0,O9/(B9+C9+D9))</f>
        <v>0.498771312613678</v>
      </c>
      <c r="Q9" s="903">
        <f>'Direct Expns'!X46</f>
        <v>2940897</v>
      </c>
      <c r="R9" s="860">
        <f t="shared" ref="R9:R15" si="16">IF(B9=0,0,Q9/B9)</f>
        <v>0.119848845791964</v>
      </c>
      <c r="S9" s="904">
        <f>'Direct Expns'!X47</f>
        <v>8011364</v>
      </c>
      <c r="T9" s="860">
        <f t="shared" ref="T9:T15" si="17">IF(B9=0,0,S9/(B9+C9+D9))</f>
        <v>0.279719296231552</v>
      </c>
      <c r="U9" s="914">
        <f>'Direct Expns'!X$48</f>
        <v>97442</v>
      </c>
      <c r="V9" s="915">
        <f t="shared" si="4"/>
        <v>3377631</v>
      </c>
      <c r="W9" s="916">
        <f>IF(B9=0,0,'PAL II'!Y$35)</f>
        <v>125000</v>
      </c>
      <c r="X9" s="917">
        <f>'Direct Expns'!X50</f>
        <v>3377593</v>
      </c>
      <c r="Y9" s="860">
        <f t="shared" si="5"/>
        <v>0.117929722943136</v>
      </c>
      <c r="Z9" s="922">
        <f t="shared" si="6"/>
        <v>-124962</v>
      </c>
      <c r="AA9" s="923">
        <f t="shared" si="7"/>
        <v>-0.00509251138950307</v>
      </c>
      <c r="AB9" s="921"/>
      <c r="AC9" s="921"/>
      <c r="AD9" s="921"/>
      <c r="AE9" s="921"/>
      <c r="AF9" s="921"/>
      <c r="AG9" s="921"/>
      <c r="AH9" s="921"/>
      <c r="AI9" s="921"/>
      <c r="AJ9" s="921"/>
      <c r="AL9" t="str">
        <f t="shared" si="8"/>
        <v>Sep</v>
      </c>
      <c r="AM9" s="928">
        <f t="shared" si="9"/>
        <v>143</v>
      </c>
      <c r="AN9" s="929">
        <f t="shared" si="10"/>
        <v>29</v>
      </c>
      <c r="AO9">
        <f t="shared" si="12"/>
        <v>34</v>
      </c>
      <c r="AP9" s="929">
        <f t="shared" si="13"/>
        <v>-1.24962</v>
      </c>
      <c r="AQ9">
        <f t="shared" si="11"/>
        <v>246</v>
      </c>
      <c r="AW9" s="368"/>
      <c r="AX9" s="323"/>
      <c r="AY9" s="318"/>
      <c r="AZ9" s="368"/>
      <c r="BA9" s="323"/>
    </row>
    <row r="10" ht="14.45" customHeight="1" spans="1:53">
      <c r="A10" s="843" t="s">
        <v>23</v>
      </c>
      <c r="B10" s="840">
        <f>MTY!U$3+MTY!U$4+MTY!U$5</f>
        <v>23696349</v>
      </c>
      <c r="C10" s="841">
        <f>MTY!U$7</f>
        <v>1362367</v>
      </c>
      <c r="D10" s="842">
        <f>MTY!U$6</f>
        <v>2367480</v>
      </c>
      <c r="E10" s="841">
        <f t="shared" si="0"/>
        <v>27426196</v>
      </c>
      <c r="F10" s="858">
        <f>MTY!U$46+MTY!U$47</f>
        <v>35930</v>
      </c>
      <c r="G10" s="859">
        <f>IF(B10=0,0,CONSUMPTION!V34)</f>
        <v>8012495</v>
      </c>
      <c r="H10" s="860">
        <f t="shared" si="1"/>
        <v>0.338132047261795</v>
      </c>
      <c r="I10" s="882">
        <f>IF(D10=0,0,CONSUMPTION!V49)</f>
        <v>7402754</v>
      </c>
      <c r="J10" s="880">
        <f>IF(B10=0,0,CONSUMPTION!V92)</f>
        <v>-2267091</v>
      </c>
      <c r="K10" s="881">
        <f t="shared" si="14"/>
        <v>13148158</v>
      </c>
      <c r="L10" s="860">
        <f t="shared" si="2"/>
        <v>0.554860075701957</v>
      </c>
      <c r="M10" s="891">
        <f>IF(B10=0,0,CONSUMPTION!V60)</f>
        <v>1188698</v>
      </c>
      <c r="N10" s="895">
        <f>IF(B10=0,0,CONSUMPTION!V72)</f>
        <v>2373360</v>
      </c>
      <c r="O10" s="893">
        <f t="shared" si="3"/>
        <v>16710216</v>
      </c>
      <c r="P10" s="860">
        <f t="shared" si="15"/>
        <v>0.609279391133936</v>
      </c>
      <c r="Q10" s="903">
        <f>'Direct Expns'!Y46</f>
        <v>2533676</v>
      </c>
      <c r="R10" s="860">
        <f t="shared" si="16"/>
        <v>0.10692263183666</v>
      </c>
      <c r="S10" s="904">
        <f>'Direct Expns'!Y47</f>
        <v>6286642</v>
      </c>
      <c r="T10" s="860">
        <f t="shared" si="17"/>
        <v>0.22922034101995</v>
      </c>
      <c r="U10" s="914">
        <f>'Direct Expns'!Y$48</f>
        <v>97300</v>
      </c>
      <c r="V10" s="915">
        <f t="shared" si="4"/>
        <v>1834292</v>
      </c>
      <c r="W10" s="916">
        <f>IF(B10=0,0,'PAL II'!AC$35)</f>
        <v>125000</v>
      </c>
      <c r="X10" s="917">
        <f>'Direct Expns'!Y50</f>
        <v>2190584</v>
      </c>
      <c r="Y10" s="860">
        <f t="shared" si="5"/>
        <v>0.0798719589111082</v>
      </c>
      <c r="Z10" s="922">
        <f t="shared" si="6"/>
        <v>-481292</v>
      </c>
      <c r="AA10" s="923">
        <f t="shared" si="7"/>
        <v>-0.0203108082177554</v>
      </c>
      <c r="AB10" s="921"/>
      <c r="AC10" s="921"/>
      <c r="AD10" s="921"/>
      <c r="AE10" s="921"/>
      <c r="AF10" s="921"/>
      <c r="AG10" s="921"/>
      <c r="AH10" s="921"/>
      <c r="AI10" s="921"/>
      <c r="AJ10" s="921"/>
      <c r="AL10" t="str">
        <f t="shared" si="8"/>
        <v>Oct</v>
      </c>
      <c r="AM10" s="928">
        <f t="shared" si="9"/>
        <v>167</v>
      </c>
      <c r="AN10" s="929">
        <f t="shared" si="10"/>
        <v>25</v>
      </c>
      <c r="AO10">
        <f t="shared" si="12"/>
        <v>22</v>
      </c>
      <c r="AP10" s="929">
        <f t="shared" si="13"/>
        <v>-4.81292</v>
      </c>
      <c r="AQ10">
        <f t="shared" si="11"/>
        <v>237</v>
      </c>
      <c r="AW10" s="931"/>
      <c r="AX10" s="323"/>
      <c r="AY10" s="318"/>
      <c r="AZ10" s="368"/>
      <c r="BA10" s="323"/>
    </row>
    <row r="11" ht="14.45" customHeight="1" spans="1:53">
      <c r="A11" s="843" t="s">
        <v>24</v>
      </c>
      <c r="B11" s="840">
        <f>MTY!X$3+MTY!X$4+MTY!X$5</f>
        <v>31664644</v>
      </c>
      <c r="C11" s="841">
        <f>MTY!X$7</f>
        <v>2123666</v>
      </c>
      <c r="D11" s="842">
        <f>MTY!X$6</f>
        <v>1531550</v>
      </c>
      <c r="E11" s="841">
        <f t="shared" si="0"/>
        <v>35319860</v>
      </c>
      <c r="F11" s="858">
        <f>MTY!X$46+MTY!X$47</f>
        <v>55075</v>
      </c>
      <c r="G11" s="859">
        <f>IF(B11=0,0,CONSUMPTION!Y34)</f>
        <v>7681052</v>
      </c>
      <c r="H11" s="860">
        <f t="shared" si="1"/>
        <v>0.242575031003033</v>
      </c>
      <c r="I11" s="882">
        <f>IF(D11=0,0,CONSUMPTION!Y49)</f>
        <v>7020629.6</v>
      </c>
      <c r="J11" s="880">
        <f>IF(B11=0,0,CONSUMPTION!Y92)</f>
        <v>4684052</v>
      </c>
      <c r="K11" s="881">
        <f t="shared" si="14"/>
        <v>19385733.6</v>
      </c>
      <c r="L11" s="860">
        <f t="shared" si="2"/>
        <v>0.61222016581017</v>
      </c>
      <c r="M11" s="891">
        <f>IF(B11=0,0,CONSUMPTION!Y60)</f>
        <v>1950797</v>
      </c>
      <c r="N11" s="895">
        <f>IF(B11=0,0,CONSUMPTION!Y72)</f>
        <v>1396800</v>
      </c>
      <c r="O11" s="893">
        <f t="shared" si="3"/>
        <v>22733330.6</v>
      </c>
      <c r="P11" s="860">
        <f t="shared" si="15"/>
        <v>0.643641582950782</v>
      </c>
      <c r="Q11" s="903">
        <f>'Direct Expns'!Z46</f>
        <v>2585006.06</v>
      </c>
      <c r="R11" s="860">
        <f t="shared" si="16"/>
        <v>0.0816369847707746</v>
      </c>
      <c r="S11" s="904">
        <f>'Direct Expns'!Z47</f>
        <v>6770055</v>
      </c>
      <c r="T11" s="860">
        <f t="shared" si="17"/>
        <v>0.191678421148895</v>
      </c>
      <c r="U11" s="914">
        <f>'Direct Expns'!Z$48</f>
        <v>97168</v>
      </c>
      <c r="V11" s="915">
        <f t="shared" si="4"/>
        <v>3189375.34</v>
      </c>
      <c r="W11" s="916">
        <f>IF(B11=0,0,'PAL II'!AG$35)</f>
        <v>125000</v>
      </c>
      <c r="X11" s="917">
        <f>'Direct Expns'!Z50</f>
        <v>2482351</v>
      </c>
      <c r="Y11" s="860">
        <f t="shared" si="5"/>
        <v>0.0702820169728872</v>
      </c>
      <c r="Z11" s="922">
        <f t="shared" si="6"/>
        <v>582024.339999996</v>
      </c>
      <c r="AA11" s="923">
        <f t="shared" si="7"/>
        <v>0.0183808900551668</v>
      </c>
      <c r="AB11" s="921"/>
      <c r="AC11" s="921"/>
      <c r="AD11" s="921"/>
      <c r="AE11" s="921"/>
      <c r="AF11" s="921"/>
      <c r="AG11" s="921"/>
      <c r="AH11" s="921"/>
      <c r="AI11" s="921"/>
      <c r="AJ11" s="921"/>
      <c r="AL11" t="str">
        <f t="shared" si="8"/>
        <v>Nov</v>
      </c>
      <c r="AM11" s="928">
        <f t="shared" si="9"/>
        <v>227</v>
      </c>
      <c r="AN11" s="929">
        <f t="shared" si="10"/>
        <v>26</v>
      </c>
      <c r="AO11">
        <f t="shared" si="12"/>
        <v>25</v>
      </c>
      <c r="AP11" s="929">
        <f t="shared" si="13"/>
        <v>5.82024339999996</v>
      </c>
      <c r="AQ11">
        <f t="shared" si="11"/>
        <v>317</v>
      </c>
      <c r="AW11" s="368"/>
      <c r="AX11" s="323"/>
      <c r="AY11" s="318"/>
      <c r="AZ11" s="368"/>
      <c r="BA11" s="323"/>
    </row>
    <row r="12" ht="14.45" customHeight="1" spans="1:53">
      <c r="A12" s="843" t="s">
        <v>25</v>
      </c>
      <c r="B12" s="840">
        <f>MTY!AA$3+MTY!AA$4+MTY!AA$5</f>
        <v>21073041</v>
      </c>
      <c r="C12" s="841">
        <f>MTY!AA$7</f>
        <v>1200325</v>
      </c>
      <c r="D12" s="842">
        <f>MTY!AA$6</f>
        <v>2900000</v>
      </c>
      <c r="E12" s="841">
        <f t="shared" si="0"/>
        <v>25173366</v>
      </c>
      <c r="F12" s="858">
        <f>MTY!AA$46+MTY!AA$47</f>
        <v>107427</v>
      </c>
      <c r="G12" s="859">
        <f>IF(B12=0,0,CONSUMPTION!AB34)</f>
        <v>9983822</v>
      </c>
      <c r="H12" s="860">
        <f t="shared" si="1"/>
        <v>0.473772247678918</v>
      </c>
      <c r="I12" s="882">
        <f>CONSUMPTION!AB49</f>
        <v>7152142.9</v>
      </c>
      <c r="J12" s="880">
        <f>CONSUMPTION!AB92</f>
        <v>-8253429</v>
      </c>
      <c r="K12" s="881">
        <f t="shared" si="14"/>
        <v>8882535.9</v>
      </c>
      <c r="L12" s="860">
        <f t="shared" si="2"/>
        <v>0.421511821668263</v>
      </c>
      <c r="M12" s="891">
        <f>IF(B12=0,0,CONSUMPTION!AB60)</f>
        <v>904734</v>
      </c>
      <c r="N12" s="892">
        <f>CONSUMPTION!AB72</f>
        <v>2918650</v>
      </c>
      <c r="O12" s="893">
        <f t="shared" si="3"/>
        <v>12705919.9</v>
      </c>
      <c r="P12" s="860">
        <f t="shared" si="15"/>
        <v>0.504736629181811</v>
      </c>
      <c r="Q12" s="903">
        <f>'Direct Expns'!AA46</f>
        <v>3141202</v>
      </c>
      <c r="R12" s="860">
        <f t="shared" si="16"/>
        <v>0.149062586648031</v>
      </c>
      <c r="S12" s="904">
        <f>'Direct Expns'!AA47</f>
        <v>7416023</v>
      </c>
      <c r="T12" s="860">
        <f t="shared" si="17"/>
        <v>0.29459798900155</v>
      </c>
      <c r="U12" s="914">
        <f>'Direct Expns'!AA$48</f>
        <v>97219</v>
      </c>
      <c r="V12" s="915">
        <f t="shared" si="4"/>
        <v>1920429.1</v>
      </c>
      <c r="W12" s="916">
        <f>IF(B12=0,0,'PAL II'!AK$35)</f>
        <v>125000</v>
      </c>
      <c r="X12" s="917">
        <f>'Direct Expns'!AA50</f>
        <v>2817091</v>
      </c>
      <c r="Y12" s="860">
        <f t="shared" si="5"/>
        <v>0.111907601073293</v>
      </c>
      <c r="Z12" s="922">
        <f t="shared" si="6"/>
        <v>-1021661.9</v>
      </c>
      <c r="AA12" s="923">
        <f t="shared" si="7"/>
        <v>-0.0484819395549033</v>
      </c>
      <c r="AB12" s="921"/>
      <c r="AC12" s="921"/>
      <c r="AD12" s="921"/>
      <c r="AE12" s="921"/>
      <c r="AF12" s="921"/>
      <c r="AG12" s="921"/>
      <c r="AH12" s="921"/>
      <c r="AI12" s="921"/>
      <c r="AJ12" s="921"/>
      <c r="AL12" t="str">
        <f t="shared" si="8"/>
        <v>Dec</v>
      </c>
      <c r="AM12" s="928">
        <f t="shared" si="9"/>
        <v>127</v>
      </c>
      <c r="AN12" s="929">
        <f t="shared" si="10"/>
        <v>31</v>
      </c>
      <c r="AO12">
        <f t="shared" si="12"/>
        <v>28</v>
      </c>
      <c r="AP12" s="929">
        <f t="shared" si="13"/>
        <v>-10.216619</v>
      </c>
      <c r="AQ12">
        <f t="shared" si="11"/>
        <v>212</v>
      </c>
      <c r="AW12" s="368"/>
      <c r="AX12" s="323"/>
      <c r="AY12" s="318"/>
      <c r="AZ12" s="368"/>
      <c r="BA12" s="323"/>
    </row>
    <row r="13" ht="14.45" customHeight="1" spans="1:53">
      <c r="A13" s="843" t="s">
        <v>26</v>
      </c>
      <c r="B13" s="840">
        <f>MTY!AD$3+MTY!AD$4+MTY!AD$5</f>
        <v>29974889</v>
      </c>
      <c r="C13" s="841">
        <f>MTY!AD$7</f>
        <v>888139</v>
      </c>
      <c r="D13" s="842">
        <f>MTY!AD$6</f>
        <v>3737800</v>
      </c>
      <c r="E13" s="841">
        <f t="shared" si="0"/>
        <v>34600828</v>
      </c>
      <c r="F13" s="858">
        <f>MTY!AD$46+MTY!AD$47</f>
        <v>44971</v>
      </c>
      <c r="G13" s="861">
        <f>IF(B13=0,0,CONSUMPTION!AE34)</f>
        <v>8807033</v>
      </c>
      <c r="H13" s="860">
        <f t="shared" si="1"/>
        <v>0.293813698526123</v>
      </c>
      <c r="I13" s="882">
        <f>IF(D13=0,0,CONSUMPTION!AE49)</f>
        <v>7001200.8</v>
      </c>
      <c r="J13" s="880">
        <f>IF(B13=0,0,CONSUMPTION!AE92)</f>
        <v>-635794</v>
      </c>
      <c r="K13" s="881">
        <f t="shared" si="14"/>
        <v>15172439.8</v>
      </c>
      <c r="L13" s="860">
        <f t="shared" si="2"/>
        <v>0.50617167589845</v>
      </c>
      <c r="M13" s="891">
        <f>IF(B13=0,0,CONSUMPTION!AE60)</f>
        <v>605791</v>
      </c>
      <c r="N13" s="895">
        <f>IF(B13=0,0,CONSUMPTION!AE72)</f>
        <v>3624820</v>
      </c>
      <c r="O13" s="893">
        <f t="shared" si="3"/>
        <v>19403050.8</v>
      </c>
      <c r="P13" s="860">
        <f t="shared" si="15"/>
        <v>0.56076839548464</v>
      </c>
      <c r="Q13" s="903">
        <f>'Direct Expns'!AB46</f>
        <v>2822099.17</v>
      </c>
      <c r="R13" s="860">
        <f t="shared" si="16"/>
        <v>0.0941487779988109</v>
      </c>
      <c r="S13" s="904">
        <f>'Direct Expns'!AB47</f>
        <v>7743108</v>
      </c>
      <c r="T13" s="860">
        <f t="shared" si="17"/>
        <v>0.223783893264057</v>
      </c>
      <c r="U13" s="914">
        <f>'Direct Expns'!AB$48</f>
        <v>97564</v>
      </c>
      <c r="V13" s="915">
        <f t="shared" si="4"/>
        <v>4579977.03</v>
      </c>
      <c r="W13" s="916">
        <f>IF(B13=0,0,'PAL II'!AO$35)</f>
        <v>125000</v>
      </c>
      <c r="X13" s="917">
        <f>'Direct Expns'!AB50</f>
        <v>2153077.13</v>
      </c>
      <c r="Y13" s="860">
        <f t="shared" si="5"/>
        <v>0.0622261736048629</v>
      </c>
      <c r="Z13" s="922">
        <f t="shared" si="6"/>
        <v>2301899.9</v>
      </c>
      <c r="AA13" s="923">
        <f t="shared" si="7"/>
        <v>0.0767942760355176</v>
      </c>
      <c r="AB13" s="921"/>
      <c r="AC13" s="921"/>
      <c r="AD13" s="921"/>
      <c r="AE13" s="921"/>
      <c r="AF13" s="921"/>
      <c r="AG13" s="921"/>
      <c r="AH13" s="921"/>
      <c r="AI13" s="921"/>
      <c r="AJ13" s="921"/>
      <c r="AL13" t="str">
        <f t="shared" si="8"/>
        <v>Jan</v>
      </c>
      <c r="AM13" s="928">
        <f t="shared" si="9"/>
        <v>194</v>
      </c>
      <c r="AN13" s="929">
        <f t="shared" si="10"/>
        <v>28</v>
      </c>
      <c r="AO13">
        <f t="shared" si="12"/>
        <v>22</v>
      </c>
      <c r="AP13" s="929">
        <f t="shared" si="13"/>
        <v>23.018999</v>
      </c>
      <c r="AQ13">
        <f t="shared" si="11"/>
        <v>300</v>
      </c>
      <c r="AW13" s="368"/>
      <c r="AX13" s="323"/>
      <c r="AY13" s="475"/>
      <c r="AZ13" s="323"/>
      <c r="BA13" s="323"/>
    </row>
    <row r="14" ht="14.45" customHeight="1" spans="1:53">
      <c r="A14" s="843" t="s">
        <v>27</v>
      </c>
      <c r="B14" s="840">
        <f>MTY!AG$3+MTY!AG$4+MTY!AG$5</f>
        <v>32607016</v>
      </c>
      <c r="C14" s="841">
        <f>MTY!AG$7</f>
        <v>1294993</v>
      </c>
      <c r="D14" s="842">
        <f>MTY!AG$6</f>
        <v>3809060</v>
      </c>
      <c r="E14" s="841">
        <f t="shared" si="0"/>
        <v>37711069</v>
      </c>
      <c r="F14" s="858">
        <f>MTY!AG$46+MTY!AG$47</f>
        <v>125794</v>
      </c>
      <c r="G14" s="859">
        <f>IF(B14=0,0,CONSUMPTION!AH34)</f>
        <v>9578212</v>
      </c>
      <c r="H14" s="860">
        <f t="shared" si="1"/>
        <v>0.293746965377022</v>
      </c>
      <c r="I14" s="882">
        <f>IF(D14=0,0,CONSUMPTION!AH49)</f>
        <v>4647686</v>
      </c>
      <c r="J14" s="880">
        <f>IF(B14=0,0,CONSUMPTION!AH92)</f>
        <v>3227136</v>
      </c>
      <c r="K14" s="881">
        <f t="shared" si="14"/>
        <v>17453034</v>
      </c>
      <c r="L14" s="860">
        <f t="shared" si="2"/>
        <v>0.535253946573952</v>
      </c>
      <c r="M14" s="891">
        <f>IF(B14=0,0,CONSUMPTION!AH60)</f>
        <v>1038688</v>
      </c>
      <c r="N14" s="892">
        <f>IF(B14=0,0,CONSUMPTION!AH72)</f>
        <v>3563840</v>
      </c>
      <c r="O14" s="893">
        <f t="shared" si="3"/>
        <v>22055562</v>
      </c>
      <c r="P14" s="860">
        <f t="shared" si="15"/>
        <v>0.584856451563333</v>
      </c>
      <c r="Q14" s="903">
        <f>'Direct Expns'!AC46</f>
        <v>3066979.53</v>
      </c>
      <c r="R14" s="860">
        <f t="shared" si="16"/>
        <v>0.0940588838304002</v>
      </c>
      <c r="S14" s="904">
        <f>'Direct Expns'!AC47</f>
        <v>7217420</v>
      </c>
      <c r="T14" s="860">
        <f t="shared" si="17"/>
        <v>0.191387308591013</v>
      </c>
      <c r="U14" s="914">
        <f>'Direct Expns'!AC$48</f>
        <v>97300</v>
      </c>
      <c r="V14" s="915">
        <f t="shared" si="4"/>
        <v>5399601.47</v>
      </c>
      <c r="W14" s="916">
        <f>IF(B14=0,0,'PAL II'!AS$35)</f>
        <v>125000</v>
      </c>
      <c r="X14" s="917">
        <f>'Direct Expns'!AC50</f>
        <v>2470181.95</v>
      </c>
      <c r="Y14" s="860">
        <f t="shared" si="5"/>
        <v>0.0655028355202553</v>
      </c>
      <c r="Z14" s="922">
        <f t="shared" si="6"/>
        <v>2804419.52</v>
      </c>
      <c r="AA14" s="923">
        <f t="shared" si="7"/>
        <v>0.0860066287574428</v>
      </c>
      <c r="AB14" s="921"/>
      <c r="AC14" s="921"/>
      <c r="AD14" s="921"/>
      <c r="AE14" s="921"/>
      <c r="AF14" s="921"/>
      <c r="AG14" s="921"/>
      <c r="AH14" s="921"/>
      <c r="AI14" s="921"/>
      <c r="AJ14" s="921"/>
      <c r="AL14" t="str">
        <f t="shared" si="8"/>
        <v>Feb</v>
      </c>
      <c r="AM14" s="928">
        <f t="shared" si="9"/>
        <v>221</v>
      </c>
      <c r="AN14" s="929">
        <f t="shared" si="10"/>
        <v>31</v>
      </c>
      <c r="AO14">
        <f t="shared" si="12"/>
        <v>25</v>
      </c>
      <c r="AP14" s="929">
        <f t="shared" si="13"/>
        <v>28.0441952</v>
      </c>
      <c r="AQ14">
        <f t="shared" si="11"/>
        <v>327</v>
      </c>
      <c r="AW14" s="368"/>
      <c r="AX14" s="368"/>
      <c r="AY14" s="932"/>
      <c r="AZ14" s="368"/>
      <c r="BA14" s="368"/>
    </row>
    <row r="15" ht="15" customHeight="1" spans="1:53">
      <c r="A15" s="729" t="s">
        <v>28</v>
      </c>
      <c r="B15" s="840">
        <f>MTY!AJ$3+MTY!AJ$4+MTY!AJ$5</f>
        <v>41981493</v>
      </c>
      <c r="C15" s="841">
        <f>MTY!AJ$7</f>
        <v>1247246</v>
      </c>
      <c r="D15" s="842">
        <f>MTY!AJ$6</f>
        <v>3007240</v>
      </c>
      <c r="E15" s="841">
        <f t="shared" si="0"/>
        <v>46235979</v>
      </c>
      <c r="F15" s="858">
        <f>MTY!AJ$46+MTY!AJ$47</f>
        <v>120940</v>
      </c>
      <c r="G15" s="861">
        <f>IF(B15=0,0,CONSUMPTION!AK34)</f>
        <v>8830631.02</v>
      </c>
      <c r="H15" s="860">
        <f t="shared" si="1"/>
        <v>0.21034580690115</v>
      </c>
      <c r="I15" s="882">
        <f>IF(D15=0,0,CONSUMPTION!AK49)</f>
        <v>7271547</v>
      </c>
      <c r="J15" s="880">
        <f>IF(B15=0,0,CONSUMPTION!AK92)</f>
        <v>9241118</v>
      </c>
      <c r="K15" s="881">
        <f t="shared" si="14"/>
        <v>25343296.02</v>
      </c>
      <c r="L15" s="860">
        <f t="shared" si="2"/>
        <v>0.603677816317776</v>
      </c>
      <c r="M15" s="894">
        <f>IF(B15=0,0,CONSUMPTION!AK60)</f>
        <v>667775</v>
      </c>
      <c r="N15" s="892">
        <f>IF(B15=0,0,CONSUMPTION!AK72)</f>
        <v>2600000</v>
      </c>
      <c r="O15" s="893">
        <f t="shared" si="3"/>
        <v>28611071.02</v>
      </c>
      <c r="P15" s="860">
        <f t="shared" si="15"/>
        <v>0.618805346805785</v>
      </c>
      <c r="Q15" s="905">
        <f>'Direct Expns'!AD46</f>
        <v>2774530.27</v>
      </c>
      <c r="R15" s="906">
        <f t="shared" si="16"/>
        <v>0.0660893663310164</v>
      </c>
      <c r="S15" s="907">
        <f>'Direct Expns'!AD47</f>
        <v>6863439</v>
      </c>
      <c r="T15" s="906">
        <f t="shared" si="17"/>
        <v>0.148443682786516</v>
      </c>
      <c r="U15" s="914">
        <f>'Direct Expns'!AD$48</f>
        <v>97036</v>
      </c>
      <c r="V15" s="915">
        <f t="shared" si="4"/>
        <v>8010842.71</v>
      </c>
      <c r="W15" s="918">
        <f>IF(B15=0,0,'PAL II'!AW$35)</f>
        <v>125000</v>
      </c>
      <c r="X15" s="919">
        <f>'Direct Expns'!AD50</f>
        <v>3047423.7</v>
      </c>
      <c r="Y15" s="860">
        <f t="shared" si="5"/>
        <v>0.0659102232916924</v>
      </c>
      <c r="Z15" s="924">
        <f t="shared" si="6"/>
        <v>4838419.01</v>
      </c>
      <c r="AA15" s="923">
        <f t="shared" si="7"/>
        <v>0.11525123725352</v>
      </c>
      <c r="AB15" s="921"/>
      <c r="AC15" s="921"/>
      <c r="AD15" s="921"/>
      <c r="AE15" s="921"/>
      <c r="AF15" s="921"/>
      <c r="AG15" s="921"/>
      <c r="AH15" s="921"/>
      <c r="AI15" s="921"/>
      <c r="AJ15" s="921"/>
      <c r="AL15" t="str">
        <f t="shared" si="8"/>
        <v>Mar</v>
      </c>
      <c r="AM15" s="928">
        <f t="shared" si="9"/>
        <v>286</v>
      </c>
      <c r="AN15" s="929">
        <f t="shared" si="10"/>
        <v>28</v>
      </c>
      <c r="AO15">
        <f t="shared" si="12"/>
        <v>30</v>
      </c>
      <c r="AP15" s="929">
        <f t="shared" si="13"/>
        <v>48.3841901</v>
      </c>
      <c r="AQ15">
        <f t="shared" si="11"/>
        <v>421</v>
      </c>
      <c r="AW15" s="368"/>
      <c r="AX15" s="368"/>
      <c r="AY15" s="933"/>
      <c r="AZ15" s="368"/>
      <c r="BA15" s="368"/>
    </row>
    <row r="16" ht="15" customHeight="1" spans="1:53">
      <c r="A16" s="844"/>
      <c r="B16" s="845">
        <f>SUM(B4:B15)</f>
        <v>356468564</v>
      </c>
      <c r="C16" s="845">
        <f t="shared" ref="C16:F16" si="18">SUM(C4:C15)</f>
        <v>16302798</v>
      </c>
      <c r="D16" s="845">
        <f t="shared" si="18"/>
        <v>42110265</v>
      </c>
      <c r="E16" s="862">
        <f t="shared" si="18"/>
        <v>414881627</v>
      </c>
      <c r="F16" s="863">
        <f t="shared" si="18"/>
        <v>825155</v>
      </c>
      <c r="G16" s="862">
        <f t="shared" ref="G16:X16" si="19">SUM(G4:G15)</f>
        <v>101223035.02</v>
      </c>
      <c r="H16" s="864">
        <f>G16/B16</f>
        <v>0.283960621615992</v>
      </c>
      <c r="I16" s="883">
        <f t="shared" si="19"/>
        <v>89827573.3</v>
      </c>
      <c r="J16" s="884">
        <f t="shared" si="19"/>
        <v>-95008</v>
      </c>
      <c r="K16" s="845">
        <f t="shared" ref="K16" si="20">SUM(K4:K15)</f>
        <v>190955600.32</v>
      </c>
      <c r="L16" s="864">
        <f>K16/B16</f>
        <v>0.535687069224988</v>
      </c>
      <c r="M16" s="883">
        <f t="shared" si="19"/>
        <v>13283253</v>
      </c>
      <c r="N16" s="883">
        <f t="shared" si="19"/>
        <v>40189410</v>
      </c>
      <c r="O16" s="896">
        <f t="shared" si="3"/>
        <v>244428263.32</v>
      </c>
      <c r="P16" s="864">
        <f>O16/B16</f>
        <v>0.685693741342084</v>
      </c>
      <c r="Q16" s="862">
        <f>SUM(Q4:Q15)</f>
        <v>32977601.03</v>
      </c>
      <c r="R16" s="864">
        <f>Q16/E16</f>
        <v>0.0794867713676798</v>
      </c>
      <c r="S16" s="862">
        <f>SUM(S4:S15)</f>
        <v>87646038</v>
      </c>
      <c r="T16" s="864">
        <f>IF(B16=0,0,S16/(E16))</f>
        <v>0.211255530002055</v>
      </c>
      <c r="U16" s="896">
        <f>SUM(U4:U15)</f>
        <v>1168008</v>
      </c>
      <c r="V16" s="920">
        <f>(E16+F16)-(SUM(O16,Q16,S16))</f>
        <v>50654879.65</v>
      </c>
      <c r="W16" s="845">
        <f>SUM(W4:W15)</f>
        <v>1500000</v>
      </c>
      <c r="X16" s="863">
        <f t="shared" si="19"/>
        <v>30369159.78</v>
      </c>
      <c r="Y16" s="864">
        <f>IF(B16=0,0,X16/E16)</f>
        <v>0.0731995774303112</v>
      </c>
      <c r="Z16" s="896">
        <f>SUM(Z4:Z15)</f>
        <v>17617711.87</v>
      </c>
      <c r="AA16" s="923">
        <f t="shared" si="7"/>
        <v>0.0494229047080853</v>
      </c>
      <c r="AB16" s="921"/>
      <c r="AC16" s="921"/>
      <c r="AD16" s="921"/>
      <c r="AE16" s="921"/>
      <c r="AF16" s="921"/>
      <c r="AG16" s="921"/>
      <c r="AH16" s="921"/>
      <c r="AI16" s="921"/>
      <c r="AJ16" s="921"/>
      <c r="AM16" s="929">
        <f>SUM(AM4:AM15)</f>
        <v>2444</v>
      </c>
      <c r="AN16" s="929">
        <f>SUM(AN4:AN15)</f>
        <v>328</v>
      </c>
      <c r="AO16" s="929">
        <f>SUM(AO4:AO15)</f>
        <v>304</v>
      </c>
      <c r="AP16" s="929">
        <f>SUM(AP4:AP15)</f>
        <v>176.1771187</v>
      </c>
      <c r="AQ16" s="929">
        <f>SUM(AQ4:AQ15)</f>
        <v>3571</v>
      </c>
      <c r="AW16" s="368"/>
      <c r="AX16" s="368"/>
      <c r="AY16" s="932"/>
      <c r="AZ16" s="368"/>
      <c r="BA16" s="368"/>
    </row>
    <row r="17" ht="14.45" customHeight="1" spans="1:53">
      <c r="A17" s="846"/>
      <c r="B17" s="847" t="s">
        <v>791</v>
      </c>
      <c r="C17" s="848"/>
      <c r="D17" s="848"/>
      <c r="E17" s="848"/>
      <c r="F17" s="865"/>
      <c r="G17" s="866" t="s">
        <v>792</v>
      </c>
      <c r="H17" s="848"/>
      <c r="I17" s="848"/>
      <c r="J17" s="848"/>
      <c r="K17" s="848"/>
      <c r="L17" s="848"/>
      <c r="M17" s="848"/>
      <c r="N17" s="848"/>
      <c r="O17" s="865"/>
      <c r="P17" s="885"/>
      <c r="Q17" s="866" t="s">
        <v>793</v>
      </c>
      <c r="R17" s="848"/>
      <c r="S17" s="848"/>
      <c r="T17" s="848"/>
      <c r="U17" s="848"/>
      <c r="V17" s="848"/>
      <c r="W17" s="848"/>
      <c r="X17" s="848"/>
      <c r="Y17" s="865"/>
      <c r="Z17" s="885" t="e">
        <f>#REF!</f>
        <v>#REF!</v>
      </c>
      <c r="AA17" s="925"/>
      <c r="AB17" s="921"/>
      <c r="AC17" s="921"/>
      <c r="AD17" s="921"/>
      <c r="AE17" s="921"/>
      <c r="AF17" s="921"/>
      <c r="AG17" s="921"/>
      <c r="AH17" s="921"/>
      <c r="AI17" s="921"/>
      <c r="AJ17" s="921"/>
      <c r="AW17" s="368"/>
      <c r="AX17" s="323"/>
      <c r="AY17" s="318"/>
      <c r="AZ17" s="368"/>
      <c r="BA17" s="323"/>
    </row>
    <row r="18" ht="14.45" customHeight="1" spans="1:53">
      <c r="A18" s="96"/>
      <c r="B18" s="849"/>
      <c r="C18" s="849"/>
      <c r="D18" s="849"/>
      <c r="E18" s="849"/>
      <c r="F18" s="849"/>
      <c r="G18" s="867">
        <f>CONSUMPTION!AN34</f>
        <v>101223035.02</v>
      </c>
      <c r="H18" s="849"/>
      <c r="I18" s="867">
        <f>CONSUMPTION!AN49</f>
        <v>89827572.3</v>
      </c>
      <c r="J18" s="849">
        <f>CONSUMPTION!AN92</f>
        <v>-95008</v>
      </c>
      <c r="K18" s="849"/>
      <c r="L18" s="849"/>
      <c r="M18" s="849">
        <f>CONSUMPTION!AN60</f>
        <v>14076338</v>
      </c>
      <c r="N18" s="849">
        <f>CONSUMPTION!AN72</f>
        <v>40189410</v>
      </c>
      <c r="O18" s="849"/>
      <c r="P18" s="885"/>
      <c r="Q18" s="867"/>
      <c r="R18" s="849"/>
      <c r="S18" s="849"/>
      <c r="T18" s="849"/>
      <c r="U18" s="849"/>
      <c r="V18" s="849"/>
      <c r="W18" s="849"/>
      <c r="X18" s="849"/>
      <c r="Y18" s="849"/>
      <c r="Z18" s="885"/>
      <c r="AA18" s="925"/>
      <c r="AB18" s="921"/>
      <c r="AC18" s="921"/>
      <c r="AD18" s="921"/>
      <c r="AE18" s="921"/>
      <c r="AF18" s="921"/>
      <c r="AG18" s="921"/>
      <c r="AH18" s="921"/>
      <c r="AI18" s="921"/>
      <c r="AJ18" s="921"/>
      <c r="AW18" s="368"/>
      <c r="AX18" s="323"/>
      <c r="AY18" s="318"/>
      <c r="AZ18" s="368"/>
      <c r="BA18" s="323"/>
    </row>
    <row r="19" ht="14.45" customHeight="1" spans="1:53">
      <c r="A19" s="96"/>
      <c r="B19" s="849"/>
      <c r="C19" s="849"/>
      <c r="D19" s="849"/>
      <c r="E19" s="849"/>
      <c r="F19" s="849"/>
      <c r="G19" s="867">
        <f>G16-G18</f>
        <v>0</v>
      </c>
      <c r="H19" s="849"/>
      <c r="I19" s="849"/>
      <c r="J19" s="849"/>
      <c r="K19" s="849"/>
      <c r="L19" s="849"/>
      <c r="M19" s="849"/>
      <c r="N19" s="849"/>
      <c r="O19" s="849"/>
      <c r="P19" s="885"/>
      <c r="Q19" s="867"/>
      <c r="R19" s="849"/>
      <c r="S19" s="849"/>
      <c r="T19" s="849"/>
      <c r="U19" s="849"/>
      <c r="V19" s="849"/>
      <c r="W19" s="849"/>
      <c r="X19" s="849"/>
      <c r="Y19" s="849"/>
      <c r="Z19" s="885"/>
      <c r="AA19" s="925"/>
      <c r="AB19" s="921"/>
      <c r="AC19" s="921"/>
      <c r="AD19" s="921"/>
      <c r="AE19" s="921"/>
      <c r="AF19" s="921"/>
      <c r="AG19" s="921"/>
      <c r="AH19" s="921"/>
      <c r="AI19" s="921"/>
      <c r="AJ19" s="921"/>
      <c r="AW19" s="368"/>
      <c r="AX19" s="323"/>
      <c r="AY19" s="318"/>
      <c r="AZ19" s="368"/>
      <c r="BA19" s="323"/>
    </row>
    <row r="20" ht="14.45" customHeight="1" spans="2:53">
      <c r="B20" s="159"/>
      <c r="C20" s="159"/>
      <c r="D20" s="159"/>
      <c r="E20" s="241">
        <f>E16</f>
        <v>414881627</v>
      </c>
      <c r="G20" s="868">
        <f>G16+I16+M16+N16</f>
        <v>244523271.32</v>
      </c>
      <c r="J20" s="885"/>
      <c r="M20" s="885">
        <f>M16-M18</f>
        <v>-793085</v>
      </c>
      <c r="N20" s="885">
        <f>N16-N18</f>
        <v>0</v>
      </c>
      <c r="O20" s="885">
        <f>O16</f>
        <v>244428263.32</v>
      </c>
      <c r="Q20" s="241">
        <f>ROUND(('Direct Expns'!AE46),0)</f>
        <v>32977604</v>
      </c>
      <c r="S20" s="241">
        <f>ROUND(('Direct Expns'!AE47),0)</f>
        <v>87646036</v>
      </c>
      <c r="U20" s="241">
        <f>ROUND(('Direct Expns'!AE48),0)</f>
        <v>1168008</v>
      </c>
      <c r="W20" s="241">
        <f>'Direct Expns'!AE51</f>
        <v>1500000</v>
      </c>
      <c r="X20" s="241">
        <f>ROUND(('Direct Expns'!AE50),0)</f>
        <v>30369160</v>
      </c>
      <c r="Z20" s="885" t="e">
        <f>#REF!</f>
        <v>#REF!</v>
      </c>
      <c r="AA20" s="122"/>
      <c r="AW20" s="368"/>
      <c r="AX20" s="368"/>
      <c r="AY20" s="475"/>
      <c r="AZ20" s="368"/>
      <c r="BA20" s="368"/>
    </row>
    <row r="21" ht="14.45" customHeight="1" spans="2:53">
      <c r="B21" s="850"/>
      <c r="C21" s="850"/>
      <c r="D21" s="850"/>
      <c r="E21" s="869">
        <f>'PAL II'!BA17</f>
        <v>414881627</v>
      </c>
      <c r="F21" s="870" t="s">
        <v>366</v>
      </c>
      <c r="G21" s="871">
        <f>'PAL II'!BA11</f>
        <v>249591642</v>
      </c>
      <c r="H21" s="872"/>
      <c r="I21" s="872"/>
      <c r="J21" s="871">
        <f>'PAL II'!BA19</f>
        <v>-11975130</v>
      </c>
      <c r="K21" s="872"/>
      <c r="L21" s="872"/>
      <c r="M21" s="872"/>
      <c r="O21" s="241">
        <f>'PAL I'!AN11</f>
        <v>245281975</v>
      </c>
      <c r="P21" s="872"/>
      <c r="Q21" s="872"/>
      <c r="R21" s="872"/>
      <c r="S21" s="872"/>
      <c r="T21" s="872"/>
      <c r="U21" s="872"/>
      <c r="V21" s="872"/>
      <c r="W21" s="872"/>
      <c r="X21" s="871">
        <f>X16-X20</f>
        <v>-0.220000002533197</v>
      </c>
      <c r="Y21" s="872"/>
      <c r="Z21" s="885" t="e">
        <f>Z16-Z17</f>
        <v>#REF!</v>
      </c>
      <c r="AA21" s="122"/>
      <c r="AB21" s="926"/>
      <c r="AC21" s="926"/>
      <c r="AD21" s="926"/>
      <c r="AE21" s="926"/>
      <c r="AF21" s="926"/>
      <c r="AG21" s="926"/>
      <c r="AH21" s="926"/>
      <c r="AI21" s="926"/>
      <c r="AJ21" s="926"/>
      <c r="AK21" s="926"/>
      <c r="AL21" s="926"/>
      <c r="AM21" s="926"/>
      <c r="AN21" s="926"/>
      <c r="AO21" s="926"/>
      <c r="AP21" s="926"/>
      <c r="AQ21" s="926"/>
      <c r="AR21" s="926"/>
      <c r="AW21" s="368"/>
      <c r="AX21" s="323"/>
      <c r="AY21" s="932"/>
      <c r="AZ21" s="368"/>
      <c r="BA21" s="323"/>
    </row>
    <row r="22" ht="14.45" customHeight="1" spans="6:53">
      <c r="F22" s="873"/>
      <c r="G22" s="874">
        <f>G20-G21</f>
        <v>-5068370.68000001</v>
      </c>
      <c r="J22" s="886"/>
      <c r="N22" s="897" t="s">
        <v>794</v>
      </c>
      <c r="O22" s="874">
        <f>O20-O21</f>
        <v>-853711.679999977</v>
      </c>
      <c r="W22" s="96"/>
      <c r="X22" s="96"/>
      <c r="Y22" s="96"/>
      <c r="Z22" s="885" t="e">
        <f>Z16-Z20</f>
        <v>#REF!</v>
      </c>
      <c r="AA22" s="927"/>
      <c r="AB22" s="926"/>
      <c r="AC22" s="926"/>
      <c r="AD22" s="926"/>
      <c r="AE22" s="926"/>
      <c r="AF22" s="926"/>
      <c r="AG22" s="926"/>
      <c r="AH22" s="926"/>
      <c r="AI22" s="926"/>
      <c r="AJ22" s="926"/>
      <c r="AK22" s="926"/>
      <c r="AL22" s="926"/>
      <c r="AM22" s="926"/>
      <c r="AN22" s="926"/>
      <c r="AO22" s="926"/>
      <c r="AP22" s="926"/>
      <c r="AQ22" s="926"/>
      <c r="AR22" s="926"/>
      <c r="AW22" s="323"/>
      <c r="AX22" s="323"/>
      <c r="AY22" s="934"/>
      <c r="AZ22" s="323"/>
      <c r="BA22" s="323"/>
    </row>
    <row r="23" ht="14.45" customHeight="1" spans="2:53">
      <c r="B23" s="851"/>
      <c r="C23" s="851"/>
      <c r="D23" s="851"/>
      <c r="E23" s="875"/>
      <c r="J23" s="885"/>
      <c r="Z23" s="885"/>
      <c r="AB23" s="926"/>
      <c r="AC23" s="926"/>
      <c r="AD23" s="926"/>
      <c r="AE23" s="926"/>
      <c r="AF23" s="926"/>
      <c r="AG23" s="926"/>
      <c r="AH23" s="926"/>
      <c r="AI23" s="926"/>
      <c r="AJ23" s="926"/>
      <c r="AK23" s="926"/>
      <c r="AL23" s="926"/>
      <c r="AM23" s="926"/>
      <c r="AN23" s="926"/>
      <c r="AO23" s="926"/>
      <c r="AP23" s="926"/>
      <c r="AQ23" s="926"/>
      <c r="AR23" s="926"/>
      <c r="AW23" s="368"/>
      <c r="AX23" s="323"/>
      <c r="AY23" s="935"/>
      <c r="AZ23" s="368"/>
      <c r="BA23" s="323"/>
    </row>
    <row r="24" ht="14.45" customHeight="1" spans="28:53">
      <c r="AB24" s="926"/>
      <c r="AC24" s="926"/>
      <c r="AD24" s="926"/>
      <c r="AE24" s="926"/>
      <c r="AF24" s="926"/>
      <c r="AG24" s="926"/>
      <c r="AH24" s="926"/>
      <c r="AI24" s="926"/>
      <c r="AJ24" s="926"/>
      <c r="AK24" s="926"/>
      <c r="AL24" s="926"/>
      <c r="AM24" s="926"/>
      <c r="AN24" s="926"/>
      <c r="AO24" s="926"/>
      <c r="AP24" s="926"/>
      <c r="AQ24" s="926"/>
      <c r="AR24" s="926"/>
      <c r="AW24" s="368"/>
      <c r="AX24" s="323"/>
      <c r="AY24" s="318"/>
      <c r="AZ24" s="368"/>
      <c r="BA24" s="323"/>
    </row>
    <row r="25" ht="14.45" customHeight="1" spans="24:53">
      <c r="X25" s="885"/>
      <c r="Z25" s="241"/>
      <c r="AB25" s="926"/>
      <c r="AC25" s="926"/>
      <c r="AD25" s="926"/>
      <c r="AE25" s="926"/>
      <c r="AF25" s="926"/>
      <c r="AG25" s="926"/>
      <c r="AH25" s="926"/>
      <c r="AI25" s="926"/>
      <c r="AJ25" s="926"/>
      <c r="AK25" s="926"/>
      <c r="AL25" s="926"/>
      <c r="AM25" s="926"/>
      <c r="AN25" s="926"/>
      <c r="AO25" s="926"/>
      <c r="AP25" s="926"/>
      <c r="AQ25" s="926"/>
      <c r="AR25" s="926"/>
      <c r="AW25" s="368"/>
      <c r="AX25" s="368"/>
      <c r="AY25" s="318"/>
      <c r="AZ25" s="368"/>
      <c r="BA25" s="368"/>
    </row>
    <row r="26" ht="14.45" customHeight="1" spans="7:53">
      <c r="G26" s="97"/>
      <c r="X26" s="885"/>
      <c r="Z26" s="241"/>
      <c r="AB26" s="926"/>
      <c r="AC26" s="926"/>
      <c r="AD26" s="926"/>
      <c r="AE26" s="926"/>
      <c r="AF26" s="926"/>
      <c r="AG26" s="926"/>
      <c r="AH26" s="926"/>
      <c r="AI26" s="926"/>
      <c r="AJ26" s="926"/>
      <c r="AK26" s="926"/>
      <c r="AL26" s="926"/>
      <c r="AM26" s="926"/>
      <c r="AN26" s="926"/>
      <c r="AO26" s="926"/>
      <c r="AP26" s="926"/>
      <c r="AQ26" s="926"/>
      <c r="AR26" s="926"/>
      <c r="AW26" s="368"/>
      <c r="AX26" s="323"/>
      <c r="AY26" s="318"/>
      <c r="AZ26" s="368"/>
      <c r="BA26" s="323"/>
    </row>
    <row r="27" ht="14.45" customHeight="1" spans="7:53">
      <c r="G27" s="97"/>
      <c r="AB27" s="926"/>
      <c r="AC27" s="926"/>
      <c r="AD27" s="926"/>
      <c r="AE27" s="926"/>
      <c r="AF27" s="926"/>
      <c r="AG27" s="926"/>
      <c r="AH27" s="926"/>
      <c r="AI27" s="926"/>
      <c r="AJ27" s="926"/>
      <c r="AK27" s="926"/>
      <c r="AL27" s="926"/>
      <c r="AM27" s="926"/>
      <c r="AN27" s="926"/>
      <c r="AO27" s="926"/>
      <c r="AP27" s="926"/>
      <c r="AQ27" s="926"/>
      <c r="AR27" s="926"/>
      <c r="AW27" s="368"/>
      <c r="AX27" s="323"/>
      <c r="AY27" s="318"/>
      <c r="AZ27" s="368"/>
      <c r="BA27" s="323"/>
    </row>
    <row r="28" ht="14.45" customHeight="1" spans="6:53">
      <c r="F28" t="s">
        <v>795</v>
      </c>
      <c r="AB28" s="926"/>
      <c r="AC28" s="926"/>
      <c r="AD28" s="926"/>
      <c r="AE28" s="926"/>
      <c r="AF28" s="926"/>
      <c r="AG28" s="926"/>
      <c r="AH28" s="926"/>
      <c r="AI28" s="926"/>
      <c r="AJ28" s="926"/>
      <c r="AK28" s="926"/>
      <c r="AL28" s="926"/>
      <c r="AM28" s="926"/>
      <c r="AN28" s="926"/>
      <c r="AO28" s="926"/>
      <c r="AP28" s="926"/>
      <c r="AQ28" s="926"/>
      <c r="AR28" s="926"/>
      <c r="AW28" s="368"/>
      <c r="AX28" s="368"/>
      <c r="AY28" s="318"/>
      <c r="AZ28" s="368"/>
      <c r="BA28" s="368"/>
    </row>
    <row r="29" ht="14.45" customHeight="1" spans="6:53">
      <c r="F29" t="s">
        <v>796</v>
      </c>
      <c r="AB29" s="926"/>
      <c r="AC29" s="926"/>
      <c r="AD29" s="926"/>
      <c r="AE29" s="926"/>
      <c r="AF29" s="926"/>
      <c r="AG29" s="926"/>
      <c r="AH29" s="926"/>
      <c r="AI29" s="926"/>
      <c r="AJ29" s="926"/>
      <c r="AK29" s="926"/>
      <c r="AL29" s="926"/>
      <c r="AM29" s="926"/>
      <c r="AN29" s="926"/>
      <c r="AO29" s="926"/>
      <c r="AP29" s="926"/>
      <c r="AQ29" s="926"/>
      <c r="AR29" s="926"/>
      <c r="AW29" s="368"/>
      <c r="AX29" s="368"/>
      <c r="AY29" s="318"/>
      <c r="AZ29" s="368"/>
      <c r="BA29" s="368"/>
    </row>
    <row r="30" ht="14.45" customHeight="1" spans="28:53">
      <c r="AB30" s="926"/>
      <c r="AC30" s="926"/>
      <c r="AD30" s="926"/>
      <c r="AE30" s="926"/>
      <c r="AF30" s="926"/>
      <c r="AG30" s="926"/>
      <c r="AH30" s="926"/>
      <c r="AI30" s="926"/>
      <c r="AJ30" s="926"/>
      <c r="AK30" s="926"/>
      <c r="AL30" s="926"/>
      <c r="AM30" s="926"/>
      <c r="AN30" s="926"/>
      <c r="AO30" s="926"/>
      <c r="AP30" s="926"/>
      <c r="AQ30" s="926"/>
      <c r="AR30" s="926"/>
      <c r="AW30" s="323"/>
      <c r="AX30" s="323"/>
      <c r="AY30" s="323"/>
      <c r="AZ30" s="323"/>
      <c r="BA30" s="323"/>
    </row>
    <row r="31" ht="14.45" customHeight="1" spans="6:53">
      <c r="F31" t="s">
        <v>797</v>
      </c>
      <c r="AB31" s="926"/>
      <c r="AC31" s="926"/>
      <c r="AD31" s="926"/>
      <c r="AE31" s="926"/>
      <c r="AF31" s="926"/>
      <c r="AG31" s="926"/>
      <c r="AH31" s="926"/>
      <c r="AI31" s="926"/>
      <c r="AJ31" s="926"/>
      <c r="AK31" s="926"/>
      <c r="AL31" s="926"/>
      <c r="AM31" s="926"/>
      <c r="AN31" s="926"/>
      <c r="AO31" s="926"/>
      <c r="AP31" s="926"/>
      <c r="AQ31" s="926"/>
      <c r="AR31" s="926"/>
      <c r="AW31" s="323"/>
      <c r="AX31" s="323"/>
      <c r="AY31" s="323"/>
      <c r="AZ31" s="323"/>
      <c r="BA31" s="323"/>
    </row>
    <row r="32" ht="14.45" customHeight="1" spans="6:53">
      <c r="F32" t="s">
        <v>798</v>
      </c>
      <c r="AB32" s="926"/>
      <c r="AC32" s="926"/>
      <c r="AD32" s="926"/>
      <c r="AE32" s="926"/>
      <c r="AF32" s="926"/>
      <c r="AG32" s="926"/>
      <c r="AH32" s="926"/>
      <c r="AI32" s="926"/>
      <c r="AJ32" s="926"/>
      <c r="AK32" s="926"/>
      <c r="AL32" s="926"/>
      <c r="AM32" s="926"/>
      <c r="AN32" s="926"/>
      <c r="AO32" s="926"/>
      <c r="AP32" s="926"/>
      <c r="AQ32" s="926"/>
      <c r="AR32" s="926"/>
      <c r="AW32" s="323"/>
      <c r="AX32" s="323"/>
      <c r="AY32" s="229"/>
      <c r="AZ32" s="323"/>
      <c r="BA32" s="323"/>
    </row>
    <row r="33" ht="14.45" customHeight="1" spans="6:53">
      <c r="F33" t="s">
        <v>799</v>
      </c>
      <c r="AB33" s="926"/>
      <c r="AC33" s="926"/>
      <c r="AD33" s="926"/>
      <c r="AE33" s="926"/>
      <c r="AF33" s="926"/>
      <c r="AG33" s="926"/>
      <c r="AH33" s="926"/>
      <c r="AI33" s="926"/>
      <c r="AJ33" s="926"/>
      <c r="AK33" s="926"/>
      <c r="AL33" s="926"/>
      <c r="AM33" s="926"/>
      <c r="AN33" s="926"/>
      <c r="AO33" s="926"/>
      <c r="AP33" s="926"/>
      <c r="AQ33" s="926"/>
      <c r="AR33" s="926"/>
      <c r="AW33" s="936"/>
      <c r="AX33" s="936"/>
      <c r="AY33" s="937"/>
      <c r="AZ33" s="936"/>
      <c r="BA33" s="936"/>
    </row>
    <row r="34" ht="14.45" customHeight="1" spans="28:44">
      <c r="AB34" s="926"/>
      <c r="AC34" s="926"/>
      <c r="AD34" s="926"/>
      <c r="AE34" s="926"/>
      <c r="AF34" s="926"/>
      <c r="AG34" s="926"/>
      <c r="AH34" s="926"/>
      <c r="AI34" s="926"/>
      <c r="AJ34" s="926"/>
      <c r="AK34" s="926"/>
      <c r="AL34" s="926"/>
      <c r="AM34" s="926"/>
      <c r="AN34" s="926"/>
      <c r="AO34" s="926"/>
      <c r="AP34" s="926"/>
      <c r="AQ34" s="926"/>
      <c r="AR34" s="926"/>
    </row>
    <row r="35" ht="14.45" customHeight="1" spans="28:44">
      <c r="AB35" s="926"/>
      <c r="AC35" s="926"/>
      <c r="AD35" s="926"/>
      <c r="AE35" s="926"/>
      <c r="AF35" s="926"/>
      <c r="AG35" s="926"/>
      <c r="AH35" s="926"/>
      <c r="AI35" s="926"/>
      <c r="AJ35" s="926"/>
      <c r="AK35" s="926"/>
      <c r="AL35" s="926"/>
      <c r="AM35" s="926"/>
      <c r="AN35" s="926"/>
      <c r="AO35" s="926"/>
      <c r="AP35" s="926"/>
      <c r="AQ35" s="926"/>
      <c r="AR35" s="926"/>
    </row>
    <row r="36" ht="14.45" customHeight="1" spans="28:44">
      <c r="AB36" s="926"/>
      <c r="AC36" s="926"/>
      <c r="AD36" s="926"/>
      <c r="AE36" s="926"/>
      <c r="AF36" s="926"/>
      <c r="AG36" s="926"/>
      <c r="AH36" s="926"/>
      <c r="AI36" s="926"/>
      <c r="AJ36" s="926"/>
      <c r="AK36" s="926"/>
      <c r="AL36" s="926"/>
      <c r="AM36" s="926"/>
      <c r="AN36" s="926"/>
      <c r="AO36" s="926"/>
      <c r="AP36" s="926"/>
      <c r="AQ36" s="926"/>
      <c r="AR36" s="926"/>
    </row>
    <row r="37" ht="14.45" customHeight="1" spans="28:44">
      <c r="AB37" s="926"/>
      <c r="AC37" s="926"/>
      <c r="AD37" s="926"/>
      <c r="AE37" s="926"/>
      <c r="AF37" s="926"/>
      <c r="AG37" s="926"/>
      <c r="AH37" s="926"/>
      <c r="AI37" s="926"/>
      <c r="AJ37" s="926"/>
      <c r="AK37" s="926"/>
      <c r="AL37" s="926"/>
      <c r="AM37" s="926"/>
      <c r="AN37" s="926"/>
      <c r="AO37" s="926"/>
      <c r="AP37" s="926"/>
      <c r="AQ37" s="926"/>
      <c r="AR37" s="926"/>
    </row>
    <row r="38" ht="14.45" customHeight="1" spans="28:44">
      <c r="AB38" s="926"/>
      <c r="AC38" s="926"/>
      <c r="AD38" s="926"/>
      <c r="AE38" s="926"/>
      <c r="AF38" s="926"/>
      <c r="AG38" s="926"/>
      <c r="AH38" s="926"/>
      <c r="AI38" s="926"/>
      <c r="AJ38" s="926"/>
      <c r="AK38" s="926"/>
      <c r="AL38" s="926"/>
      <c r="AM38" s="926"/>
      <c r="AN38" s="926"/>
      <c r="AO38" s="926"/>
      <c r="AP38" s="926"/>
      <c r="AQ38" s="926"/>
      <c r="AR38" s="926"/>
    </row>
    <row r="39" ht="14.45" customHeight="1" spans="28:44">
      <c r="AB39" s="926"/>
      <c r="AC39" s="926"/>
      <c r="AD39" s="926"/>
      <c r="AE39" s="926"/>
      <c r="AF39" s="926"/>
      <c r="AG39" s="926"/>
      <c r="AH39" s="926"/>
      <c r="AI39" s="926"/>
      <c r="AJ39" s="926"/>
      <c r="AK39" s="926"/>
      <c r="AL39" s="926"/>
      <c r="AM39" s="926"/>
      <c r="AN39" s="926"/>
      <c r="AO39" s="926"/>
      <c r="AP39" s="926"/>
      <c r="AQ39" s="926"/>
      <c r="AR39" s="926"/>
    </row>
    <row r="40" ht="14.45" customHeight="1" spans="28:44">
      <c r="AB40" s="926"/>
      <c r="AC40" s="926"/>
      <c r="AD40" s="926"/>
      <c r="AE40" s="926"/>
      <c r="AF40" s="926"/>
      <c r="AG40" s="926"/>
      <c r="AH40" s="926"/>
      <c r="AI40" s="926"/>
      <c r="AJ40" s="926"/>
      <c r="AK40" s="926"/>
      <c r="AL40" s="926"/>
      <c r="AM40" s="926"/>
      <c r="AN40" s="926"/>
      <c r="AO40" s="926"/>
      <c r="AP40" s="926"/>
      <c r="AQ40" s="926"/>
      <c r="AR40" s="926"/>
    </row>
    <row r="41" ht="14.45" customHeight="1" spans="28:44">
      <c r="AB41" s="926"/>
      <c r="AC41" s="926"/>
      <c r="AD41" s="926"/>
      <c r="AE41" s="926"/>
      <c r="AF41" s="926"/>
      <c r="AG41" s="926"/>
      <c r="AH41" s="926"/>
      <c r="AI41" s="926"/>
      <c r="AJ41" s="926"/>
      <c r="AK41" s="926"/>
      <c r="AL41" s="926"/>
      <c r="AM41" s="926"/>
      <c r="AN41" s="926"/>
      <c r="AO41" s="926"/>
      <c r="AP41" s="926"/>
      <c r="AQ41" s="926"/>
      <c r="AR41" s="926"/>
    </row>
    <row r="42" ht="14.45" customHeight="1" spans="28:44">
      <c r="AB42" s="926"/>
      <c r="AC42" s="926"/>
      <c r="AD42" s="926"/>
      <c r="AE42" s="926"/>
      <c r="AF42" s="926"/>
      <c r="AG42" s="926"/>
      <c r="AH42" s="926"/>
      <c r="AI42" s="926"/>
      <c r="AJ42" s="926"/>
      <c r="AK42" s="926"/>
      <c r="AL42" s="926"/>
      <c r="AM42" s="926"/>
      <c r="AN42" s="926"/>
      <c r="AO42" s="926"/>
      <c r="AP42" s="926"/>
      <c r="AQ42" s="926"/>
      <c r="AR42" s="926"/>
    </row>
    <row r="43" ht="14.45" customHeight="1" spans="28:44">
      <c r="AB43" s="926"/>
      <c r="AC43" s="926"/>
      <c r="AD43" s="926"/>
      <c r="AE43" s="926"/>
      <c r="AF43" s="926"/>
      <c r="AG43" s="926"/>
      <c r="AH43" s="926"/>
      <c r="AI43" s="926"/>
      <c r="AJ43" s="926"/>
      <c r="AK43" s="926"/>
      <c r="AL43" s="926"/>
      <c r="AM43" s="926"/>
      <c r="AN43" s="926"/>
      <c r="AO43" s="926"/>
      <c r="AP43" s="926"/>
      <c r="AQ43" s="926"/>
      <c r="AR43" s="926"/>
    </row>
    <row r="44" ht="14.45" customHeight="1" spans="28:44">
      <c r="AB44" s="926"/>
      <c r="AC44" s="926"/>
      <c r="AD44" s="926"/>
      <c r="AE44" s="926"/>
      <c r="AF44" s="926"/>
      <c r="AG44" s="926"/>
      <c r="AH44" s="926"/>
      <c r="AI44" s="926"/>
      <c r="AJ44" s="926"/>
      <c r="AK44" s="926"/>
      <c r="AL44" s="926"/>
      <c r="AM44" s="926"/>
      <c r="AN44" s="926"/>
      <c r="AO44" s="926"/>
      <c r="AP44" s="926"/>
      <c r="AQ44" s="926"/>
      <c r="AR44" s="926"/>
    </row>
    <row r="45" ht="14.45" customHeight="1" spans="28:44">
      <c r="AB45" s="926"/>
      <c r="AC45" s="926"/>
      <c r="AD45" s="926"/>
      <c r="AE45" s="926"/>
      <c r="AF45" s="926"/>
      <c r="AG45" s="926"/>
      <c r="AH45" s="926"/>
      <c r="AI45" s="926"/>
      <c r="AJ45" s="926"/>
      <c r="AK45" s="926"/>
      <c r="AL45" s="926"/>
      <c r="AM45" s="926"/>
      <c r="AN45" s="926"/>
      <c r="AO45" s="926"/>
      <c r="AP45" s="926"/>
      <c r="AQ45" s="926"/>
      <c r="AR45" s="926"/>
    </row>
    <row r="46" ht="14.45" customHeight="1" spans="28:44">
      <c r="AB46" s="926"/>
      <c r="AC46" s="926"/>
      <c r="AD46" s="926"/>
      <c r="AE46" s="926"/>
      <c r="AF46" s="926"/>
      <c r="AG46" s="926"/>
      <c r="AH46" s="926"/>
      <c r="AI46" s="926"/>
      <c r="AJ46" s="926"/>
      <c r="AK46" s="926"/>
      <c r="AL46" s="926"/>
      <c r="AM46" s="926"/>
      <c r="AN46" s="926"/>
      <c r="AO46" s="926"/>
      <c r="AP46" s="926"/>
      <c r="AQ46" s="926"/>
      <c r="AR46" s="926"/>
    </row>
    <row r="47" ht="14.45" customHeight="1" spans="28:44">
      <c r="AB47" s="926"/>
      <c r="AC47" s="926"/>
      <c r="AD47" s="926"/>
      <c r="AE47" s="926"/>
      <c r="AF47" s="926"/>
      <c r="AG47" s="926"/>
      <c r="AH47" s="926"/>
      <c r="AI47" s="926"/>
      <c r="AJ47" s="926"/>
      <c r="AK47" s="926"/>
      <c r="AL47" s="926"/>
      <c r="AM47" s="926"/>
      <c r="AN47" s="926"/>
      <c r="AO47" s="926"/>
      <c r="AP47" s="926"/>
      <c r="AQ47" s="926"/>
      <c r="AR47" s="926"/>
    </row>
    <row r="48" ht="14.45" customHeight="1" spans="28:44">
      <c r="AB48" s="926"/>
      <c r="AC48" s="926"/>
      <c r="AD48" s="926"/>
      <c r="AE48" s="926"/>
      <c r="AF48" s="926"/>
      <c r="AG48" s="926"/>
      <c r="AH48" s="926"/>
      <c r="AI48" s="926"/>
      <c r="AJ48" s="926"/>
      <c r="AK48" s="926"/>
      <c r="AL48" s="926"/>
      <c r="AM48" s="926"/>
      <c r="AN48" s="926"/>
      <c r="AO48" s="926"/>
      <c r="AP48" s="926"/>
      <c r="AQ48" s="926"/>
      <c r="AR48" s="926"/>
    </row>
    <row r="49" spans="28:44">
      <c r="AB49" s="926"/>
      <c r="AC49" s="926"/>
      <c r="AD49" s="926"/>
      <c r="AE49" s="926"/>
      <c r="AF49" s="926"/>
      <c r="AG49" s="926"/>
      <c r="AH49" s="926"/>
      <c r="AI49" s="926"/>
      <c r="AJ49" s="926"/>
      <c r="AK49" s="926"/>
      <c r="AL49" s="926"/>
      <c r="AM49" s="926"/>
      <c r="AN49" s="926"/>
      <c r="AO49" s="926"/>
      <c r="AP49" s="926"/>
      <c r="AQ49" s="926"/>
      <c r="AR49" s="926"/>
    </row>
    <row r="50" spans="28:44">
      <c r="AB50" s="926"/>
      <c r="AC50" s="926"/>
      <c r="AD50" s="926"/>
      <c r="AE50" s="926"/>
      <c r="AF50" s="926"/>
      <c r="AG50" s="926"/>
      <c r="AH50" s="926"/>
      <c r="AI50" s="926"/>
      <c r="AJ50" s="926"/>
      <c r="AK50" s="926"/>
      <c r="AL50" s="926"/>
      <c r="AM50" s="926"/>
      <c r="AN50" s="926"/>
      <c r="AO50" s="926"/>
      <c r="AP50" s="926"/>
      <c r="AQ50" s="926"/>
      <c r="AR50" s="926"/>
    </row>
    <row r="51" spans="28:44">
      <c r="AB51" s="926"/>
      <c r="AC51" s="926"/>
      <c r="AD51" s="926"/>
      <c r="AE51" s="926"/>
      <c r="AF51" s="926"/>
      <c r="AG51" s="926"/>
      <c r="AH51" s="926"/>
      <c r="AI51" s="926"/>
      <c r="AJ51" s="926"/>
      <c r="AK51" s="926"/>
      <c r="AL51" s="926"/>
      <c r="AM51" s="926"/>
      <c r="AN51" s="926"/>
      <c r="AO51" s="926"/>
      <c r="AP51" s="926"/>
      <c r="AQ51" s="926"/>
      <c r="AR51" s="926"/>
    </row>
    <row r="52" spans="28:44">
      <c r="AB52" s="926"/>
      <c r="AC52" s="926"/>
      <c r="AD52" s="926"/>
      <c r="AE52" s="926"/>
      <c r="AF52" s="926"/>
      <c r="AG52" s="926"/>
      <c r="AH52" s="926"/>
      <c r="AI52" s="926"/>
      <c r="AJ52" s="926"/>
      <c r="AK52" s="926"/>
      <c r="AL52" s="926"/>
      <c r="AM52" s="926"/>
      <c r="AN52" s="926"/>
      <c r="AO52" s="926"/>
      <c r="AP52" s="926"/>
      <c r="AQ52" s="926"/>
      <c r="AR52" s="926"/>
    </row>
    <row r="53" spans="28:44">
      <c r="AB53" s="926"/>
      <c r="AC53" s="926"/>
      <c r="AD53" s="926"/>
      <c r="AE53" s="926"/>
      <c r="AF53" s="926"/>
      <c r="AG53" s="926"/>
      <c r="AH53" s="926"/>
      <c r="AI53" s="926"/>
      <c r="AJ53" s="926"/>
      <c r="AK53" s="926"/>
      <c r="AL53" s="926"/>
      <c r="AM53" s="926"/>
      <c r="AN53" s="926"/>
      <c r="AO53" s="926"/>
      <c r="AP53" s="926"/>
      <c r="AQ53" s="926"/>
      <c r="AR53" s="926"/>
    </row>
    <row r="54" spans="28:44">
      <c r="AB54" s="926"/>
      <c r="AC54" s="926"/>
      <c r="AD54" s="926"/>
      <c r="AE54" s="926"/>
      <c r="AF54" s="926"/>
      <c r="AG54" s="926"/>
      <c r="AH54" s="926"/>
      <c r="AI54" s="926"/>
      <c r="AJ54" s="926"/>
      <c r="AK54" s="926"/>
      <c r="AL54" s="926"/>
      <c r="AM54" s="926"/>
      <c r="AN54" s="926"/>
      <c r="AO54" s="926"/>
      <c r="AP54" s="926"/>
      <c r="AQ54" s="926"/>
      <c r="AR54" s="926"/>
    </row>
    <row r="55" spans="28:44">
      <c r="AB55" s="926"/>
      <c r="AC55" s="926"/>
      <c r="AD55" s="926"/>
      <c r="AE55" s="926"/>
      <c r="AF55" s="926"/>
      <c r="AG55" s="926"/>
      <c r="AH55" s="926"/>
      <c r="AI55" s="926"/>
      <c r="AJ55" s="926"/>
      <c r="AK55" s="926"/>
      <c r="AL55" s="926"/>
      <c r="AM55" s="926"/>
      <c r="AN55" s="926"/>
      <c r="AO55" s="926"/>
      <c r="AP55" s="926"/>
      <c r="AQ55" s="926"/>
      <c r="AR55" s="926"/>
    </row>
    <row r="56" spans="28:44">
      <c r="AB56" s="926"/>
      <c r="AC56" s="926"/>
      <c r="AD56" s="926"/>
      <c r="AE56" s="926"/>
      <c r="AF56" s="926"/>
      <c r="AG56" s="926"/>
      <c r="AH56" s="926"/>
      <c r="AI56" s="926"/>
      <c r="AJ56" s="926"/>
      <c r="AK56" s="926"/>
      <c r="AL56" s="926"/>
      <c r="AM56" s="926"/>
      <c r="AN56" s="926"/>
      <c r="AO56" s="926"/>
      <c r="AP56" s="926"/>
      <c r="AQ56" s="926"/>
      <c r="AR56" s="926"/>
    </row>
    <row r="57" spans="28:44">
      <c r="AB57" s="926"/>
      <c r="AC57" s="926"/>
      <c r="AD57" s="926"/>
      <c r="AE57" s="926"/>
      <c r="AF57" s="926"/>
      <c r="AG57" s="926"/>
      <c r="AH57" s="926"/>
      <c r="AI57" s="926"/>
      <c r="AJ57" s="926"/>
      <c r="AK57" s="926"/>
      <c r="AL57" s="926"/>
      <c r="AM57" s="926"/>
      <c r="AN57" s="926"/>
      <c r="AO57" s="926"/>
      <c r="AP57" s="926"/>
      <c r="AQ57" s="926"/>
      <c r="AR57" s="926"/>
    </row>
    <row r="58" spans="28:44">
      <c r="AB58" s="926"/>
      <c r="AC58" s="926"/>
      <c r="AD58" s="926"/>
      <c r="AE58" s="926"/>
      <c r="AF58" s="926"/>
      <c r="AG58" s="926"/>
      <c r="AH58" s="926"/>
      <c r="AI58" s="926"/>
      <c r="AJ58" s="926"/>
      <c r="AK58" s="926"/>
      <c r="AL58" s="926"/>
      <c r="AM58" s="926"/>
      <c r="AN58" s="926"/>
      <c r="AO58" s="926"/>
      <c r="AP58" s="926"/>
      <c r="AQ58" s="926"/>
      <c r="AR58" s="926"/>
    </row>
    <row r="59" spans="28:44">
      <c r="AB59" s="926"/>
      <c r="AC59" s="926"/>
      <c r="AD59" s="926"/>
      <c r="AE59" s="926"/>
      <c r="AF59" s="926"/>
      <c r="AG59" s="926"/>
      <c r="AH59" s="926"/>
      <c r="AI59" s="926"/>
      <c r="AJ59" s="926"/>
      <c r="AK59" s="926"/>
      <c r="AL59" s="926"/>
      <c r="AM59" s="926"/>
      <c r="AN59" s="926"/>
      <c r="AO59" s="926"/>
      <c r="AP59" s="926"/>
      <c r="AQ59" s="926"/>
      <c r="AR59" s="926"/>
    </row>
    <row r="60" spans="28:44">
      <c r="AB60" s="926"/>
      <c r="AC60" s="926"/>
      <c r="AD60" s="926"/>
      <c r="AE60" s="926"/>
      <c r="AF60" s="926"/>
      <c r="AG60" s="926"/>
      <c r="AH60" s="926"/>
      <c r="AI60" s="926"/>
      <c r="AJ60" s="926"/>
      <c r="AK60" s="926"/>
      <c r="AL60" s="926"/>
      <c r="AM60" s="926"/>
      <c r="AN60" s="926"/>
      <c r="AO60" s="926"/>
      <c r="AP60" s="926"/>
      <c r="AQ60" s="926"/>
      <c r="AR60" s="926"/>
    </row>
    <row r="61" spans="28:44">
      <c r="AB61" s="926"/>
      <c r="AC61" s="926"/>
      <c r="AD61" s="926"/>
      <c r="AE61" s="926"/>
      <c r="AF61" s="926"/>
      <c r="AG61" s="926"/>
      <c r="AH61" s="926"/>
      <c r="AI61" s="926"/>
      <c r="AJ61" s="926"/>
      <c r="AK61" s="926"/>
      <c r="AL61" s="926"/>
      <c r="AM61" s="926"/>
      <c r="AN61" s="926"/>
      <c r="AO61" s="926"/>
      <c r="AP61" s="926"/>
      <c r="AQ61" s="926"/>
      <c r="AR61" s="926"/>
    </row>
  </sheetData>
  <mergeCells count="10">
    <mergeCell ref="B2:F2"/>
    <mergeCell ref="G2:P2"/>
    <mergeCell ref="Q2:U2"/>
    <mergeCell ref="W2:Y2"/>
    <mergeCell ref="B17:F17"/>
    <mergeCell ref="G17:O17"/>
    <mergeCell ref="Q17:Y17"/>
    <mergeCell ref="A2:A3"/>
    <mergeCell ref="V2:V3"/>
    <mergeCell ref="Z2:Z3"/>
  </mergeCells>
  <pageMargins left="0.7" right="0.7" top="0.75" bottom="0.75" header="0.3" footer="0.3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V50"/>
  <sheetViews>
    <sheetView showZeros="0" zoomScale="95" zoomScaleNormal="95" workbookViewId="0">
      <pane xSplit="1" ySplit="3" topLeftCell="K4" activePane="bottomRight" state="frozen"/>
      <selection/>
      <selection pane="topRight"/>
      <selection pane="bottomLeft"/>
      <selection pane="bottomRight" activeCell="Q29" sqref="Q29"/>
    </sheetView>
  </sheetViews>
  <sheetFormatPr defaultColWidth="9" defaultRowHeight="13.5"/>
  <cols>
    <col min="1" max="1" width="27.2857142857143" customWidth="1"/>
    <col min="2" max="2" width="8.57142857142857" customWidth="1"/>
    <col min="3" max="3" width="12.4285714285714" customWidth="1"/>
    <col min="4" max="4" width="6.85714285714286" customWidth="1"/>
    <col min="5" max="5" width="7.85714285714286" customWidth="1"/>
    <col min="6" max="6" width="11.2857142857143" customWidth="1"/>
    <col min="7" max="7" width="9" customWidth="1"/>
    <col min="8" max="8" width="8.85714285714286" customWidth="1"/>
    <col min="9" max="9" width="11.2857142857143" customWidth="1"/>
    <col min="10" max="10" width="6.71428571428571" customWidth="1"/>
    <col min="11" max="11" width="8" style="96" customWidth="1"/>
    <col min="12" max="12" width="11.7142857142857" style="96" customWidth="1"/>
    <col min="13" max="13" width="6.71428571428571" style="96" customWidth="1"/>
    <col min="14" max="14" width="10.4285714285714" customWidth="1"/>
    <col min="15" max="15" width="11.2857142857143" customWidth="1"/>
    <col min="16" max="16" width="6.71428571428571" customWidth="1"/>
    <col min="17" max="17" width="8.57142857142857" customWidth="1"/>
    <col min="18" max="18" width="11.7142857142857" customWidth="1"/>
    <col min="19" max="19" width="6.85714285714286" customWidth="1"/>
    <col min="20" max="20" width="8" customWidth="1"/>
    <col min="21" max="21" width="12" customWidth="1"/>
    <col min="22" max="22" width="6.85714285714286" customWidth="1"/>
    <col min="23" max="23" width="9.85714285714286" customWidth="1"/>
    <col min="24" max="24" width="11.8571428571429" customWidth="1"/>
    <col min="25" max="25" width="7.28571428571429" customWidth="1"/>
    <col min="26" max="26" width="8.85714285714286" customWidth="1"/>
    <col min="27" max="27" width="10.8571428571429" customWidth="1"/>
    <col min="28" max="28" width="8.14285714285714" customWidth="1"/>
    <col min="29" max="29" width="9.57142857142857" hidden="1" customWidth="1"/>
    <col min="30" max="30" width="11.1428571428571" hidden="1" customWidth="1"/>
    <col min="31" max="31" width="6.85714285714286" hidden="1" customWidth="1"/>
    <col min="32" max="32" width="8.28571428571429" hidden="1" customWidth="1"/>
    <col min="33" max="33" width="11.8571428571429" hidden="1" customWidth="1"/>
    <col min="34" max="34" width="6.71428571428571" hidden="1" customWidth="1"/>
    <col min="35" max="35" width="8" hidden="1" customWidth="1"/>
    <col min="36" max="36" width="11.7142857142857" hidden="1" customWidth="1"/>
    <col min="37" max="37" width="11.1428571428571" hidden="1" customWidth="1"/>
    <col min="38" max="38" width="9.14285714285714" customWidth="1"/>
    <col min="39" max="39" width="13.8571428571429" customWidth="1"/>
    <col min="40" max="40" width="7.71428571428571" customWidth="1"/>
    <col min="42" max="42" width="11.5714285714286" customWidth="1"/>
    <col min="44" max="44" width="11.1428571428571" customWidth="1"/>
    <col min="45" max="45" width="6.71428571428571" customWidth="1"/>
    <col min="46" max="46" width="11.1428571428571" customWidth="1"/>
    <col min="48" max="48" width="11.1428571428571" customWidth="1"/>
  </cols>
  <sheetData>
    <row r="1" ht="17.25" spans="1:40">
      <c r="A1" s="643" t="s">
        <v>800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790"/>
      <c r="AM1" s="790"/>
      <c r="AN1" s="791"/>
    </row>
    <row r="2" spans="1:41">
      <c r="A2" s="645" t="s">
        <v>51</v>
      </c>
      <c r="B2" s="646" t="s">
        <v>17</v>
      </c>
      <c r="C2" s="647"/>
      <c r="D2" s="648"/>
      <c r="E2" s="744" t="s">
        <v>18</v>
      </c>
      <c r="F2" s="745"/>
      <c r="G2" s="746"/>
      <c r="H2" s="646" t="s">
        <v>19</v>
      </c>
      <c r="I2" s="647"/>
      <c r="J2" s="648"/>
      <c r="K2" s="756" t="s">
        <v>20</v>
      </c>
      <c r="L2" s="757"/>
      <c r="M2" s="771"/>
      <c r="N2" s="646" t="s">
        <v>21</v>
      </c>
      <c r="O2" s="647"/>
      <c r="P2" s="648"/>
      <c r="Q2" s="744" t="s">
        <v>22</v>
      </c>
      <c r="R2" s="745"/>
      <c r="S2" s="746"/>
      <c r="T2" s="646" t="s">
        <v>23</v>
      </c>
      <c r="U2" s="647"/>
      <c r="V2" s="648"/>
      <c r="W2" s="744" t="s">
        <v>24</v>
      </c>
      <c r="X2" s="745"/>
      <c r="Y2" s="746"/>
      <c r="Z2" s="744" t="s">
        <v>25</v>
      </c>
      <c r="AA2" s="745"/>
      <c r="AB2" s="746"/>
      <c r="AC2" s="744" t="s">
        <v>26</v>
      </c>
      <c r="AD2" s="745"/>
      <c r="AE2" s="746"/>
      <c r="AF2" s="744" t="s">
        <v>27</v>
      </c>
      <c r="AG2" s="745"/>
      <c r="AH2" s="745"/>
      <c r="AI2" s="744" t="s">
        <v>28</v>
      </c>
      <c r="AJ2" s="745"/>
      <c r="AK2" s="746"/>
      <c r="AL2" s="744" t="s">
        <v>409</v>
      </c>
      <c r="AM2" s="745"/>
      <c r="AN2" s="746"/>
      <c r="AO2" s="578"/>
    </row>
    <row r="3" ht="14.25" spans="1:40">
      <c r="A3" s="649" t="s">
        <v>505</v>
      </c>
      <c r="B3" s="650" t="s">
        <v>371</v>
      </c>
      <c r="C3" s="651" t="s">
        <v>146</v>
      </c>
      <c r="D3" s="652" t="s">
        <v>55</v>
      </c>
      <c r="E3" s="650" t="s">
        <v>371</v>
      </c>
      <c r="F3" s="651" t="s">
        <v>146</v>
      </c>
      <c r="G3" s="652" t="s">
        <v>55</v>
      </c>
      <c r="H3" s="650" t="s">
        <v>371</v>
      </c>
      <c r="I3" s="651" t="s">
        <v>146</v>
      </c>
      <c r="J3" s="652" t="s">
        <v>55</v>
      </c>
      <c r="K3" s="758" t="s">
        <v>371</v>
      </c>
      <c r="L3" s="759" t="s">
        <v>146</v>
      </c>
      <c r="M3" s="772" t="s">
        <v>55</v>
      </c>
      <c r="N3" s="650" t="s">
        <v>371</v>
      </c>
      <c r="O3" s="651" t="s">
        <v>146</v>
      </c>
      <c r="P3" s="652" t="s">
        <v>55</v>
      </c>
      <c r="Q3" s="650" t="s">
        <v>371</v>
      </c>
      <c r="R3" s="651" t="s">
        <v>146</v>
      </c>
      <c r="S3" s="652" t="s">
        <v>55</v>
      </c>
      <c r="T3" s="650" t="s">
        <v>371</v>
      </c>
      <c r="U3" s="651" t="s">
        <v>146</v>
      </c>
      <c r="V3" s="652" t="s">
        <v>55</v>
      </c>
      <c r="W3" s="650" t="s">
        <v>371</v>
      </c>
      <c r="X3" s="651" t="s">
        <v>146</v>
      </c>
      <c r="Y3" s="652" t="s">
        <v>55</v>
      </c>
      <c r="Z3" s="650" t="s">
        <v>371</v>
      </c>
      <c r="AA3" s="651" t="s">
        <v>146</v>
      </c>
      <c r="AB3" s="652" t="s">
        <v>55</v>
      </c>
      <c r="AC3" s="650" t="s">
        <v>371</v>
      </c>
      <c r="AD3" s="651" t="s">
        <v>146</v>
      </c>
      <c r="AE3" s="652" t="s">
        <v>55</v>
      </c>
      <c r="AF3" s="650" t="s">
        <v>371</v>
      </c>
      <c r="AG3" s="651" t="s">
        <v>146</v>
      </c>
      <c r="AH3" s="652" t="s">
        <v>55</v>
      </c>
      <c r="AI3" s="650" t="s">
        <v>371</v>
      </c>
      <c r="AJ3" s="651" t="s">
        <v>146</v>
      </c>
      <c r="AK3" s="652" t="s">
        <v>55</v>
      </c>
      <c r="AL3" s="792" t="s">
        <v>371</v>
      </c>
      <c r="AM3" s="793" t="s">
        <v>146</v>
      </c>
      <c r="AN3" s="794" t="s">
        <v>55</v>
      </c>
    </row>
    <row r="4" ht="14.25" spans="1:48">
      <c r="A4" s="653" t="s">
        <v>506</v>
      </c>
      <c r="B4" s="654">
        <f>SUM(B5:B10)</f>
        <v>7744.95</v>
      </c>
      <c r="C4" s="655">
        <f>SUM(C5:C10)</f>
        <v>1377592</v>
      </c>
      <c r="D4" s="656">
        <f>IF(B4=0,0,C4/B4)</f>
        <v>177.869708648862</v>
      </c>
      <c r="E4" s="654">
        <f>SUM(E5:E10)</f>
        <v>8679</v>
      </c>
      <c r="F4" s="655">
        <f>SUM(F5:F10)</f>
        <v>1668640</v>
      </c>
      <c r="G4" s="656">
        <f t="shared" ref="G4:G9" si="0">IF(E4=0,0,F4/E4)</f>
        <v>192.261781311211</v>
      </c>
      <c r="H4" s="654">
        <f>SUM(H5:H10)</f>
        <v>7031</v>
      </c>
      <c r="I4" s="655">
        <f>SUM(I5:I10)</f>
        <v>1342889</v>
      </c>
      <c r="J4" s="656">
        <f>IF(H4=0,0,I4/H4)</f>
        <v>190.995448727066</v>
      </c>
      <c r="K4" s="654">
        <f>SUM(K5:K10)</f>
        <v>8529</v>
      </c>
      <c r="L4" s="655">
        <f>SUM(L5:L10)</f>
        <v>1494475</v>
      </c>
      <c r="M4" s="656">
        <f>IF(K4=0,0,L4/K4)</f>
        <v>175.222769375073</v>
      </c>
      <c r="N4" s="654">
        <f>SUM(N5:N10)</f>
        <v>6416</v>
      </c>
      <c r="O4" s="655">
        <f>SUM(O5:O10)</f>
        <v>1154893</v>
      </c>
      <c r="P4" s="656">
        <f>IF(N4=0,0,O4/N4)</f>
        <v>180.002026184539</v>
      </c>
      <c r="Q4" s="654">
        <f>SUM(Q5:Q10)</f>
        <v>5883</v>
      </c>
      <c r="R4" s="655">
        <f>SUM(R5:R10)</f>
        <v>1008073</v>
      </c>
      <c r="S4" s="656">
        <f>IF(Q4=0,0,R4/Q4)</f>
        <v>171.353561108278</v>
      </c>
      <c r="T4" s="654">
        <f>SUM(T5:T10)</f>
        <v>7449</v>
      </c>
      <c r="U4" s="655">
        <f>SUM(U5:U10)</f>
        <v>1362367</v>
      </c>
      <c r="V4" s="656">
        <f>IF(T4=0,0,U4/T4)</f>
        <v>182.892603033964</v>
      </c>
      <c r="W4" s="654">
        <f>SUM(W5:W10)</f>
        <v>15178.5</v>
      </c>
      <c r="X4" s="655">
        <f>SUM(X5:X10)</f>
        <v>2123666</v>
      </c>
      <c r="Y4" s="656">
        <f>IF(W4=0,0,X4/W4)</f>
        <v>139.912771354218</v>
      </c>
      <c r="Z4" s="654">
        <f>SUM(Z5:Z10)</f>
        <v>6671</v>
      </c>
      <c r="AA4" s="655">
        <f>SUM(AA5:AA10)</f>
        <v>1200325</v>
      </c>
      <c r="AB4" s="656">
        <f>IF(Z4=0,0,AA4/Z4)</f>
        <v>179.931794333683</v>
      </c>
      <c r="AC4" s="654">
        <f>SUM(AC5:AC8)</f>
        <v>4412</v>
      </c>
      <c r="AD4" s="703">
        <f>SUM(AD5:AD8)</f>
        <v>853819</v>
      </c>
      <c r="AE4" s="656">
        <f>IF(AC4=0,0,AD4/AC4)</f>
        <v>193.521985494107</v>
      </c>
      <c r="AF4" s="654">
        <f>SUM(AF5:AF8)</f>
        <v>6671</v>
      </c>
      <c r="AG4" s="703">
        <f>SUM(AG5:AG8)</f>
        <v>1253359</v>
      </c>
      <c r="AH4" s="656">
        <f>IF(AF4=0,0,AG4/AF4)</f>
        <v>187.88172687753</v>
      </c>
      <c r="AI4" s="654">
        <f>SUM(AI5:AI8)</f>
        <v>5977</v>
      </c>
      <c r="AJ4" s="703">
        <f>SUM(AJ5:AJ8)</f>
        <v>1247246</v>
      </c>
      <c r="AK4" s="656">
        <f>IF(AI4=0,0,AJ4/AI4)</f>
        <v>208.674251296637</v>
      </c>
      <c r="AL4" s="654">
        <f>SUM(AL5:AL10)</f>
        <v>90641.45</v>
      </c>
      <c r="AM4" s="655">
        <f>SUM(AM5:AM10)</f>
        <v>16087344</v>
      </c>
      <c r="AN4" s="795">
        <f t="shared" ref="AN4:AN10" si="1">IF(AL4=0,0,AM4/AL4)</f>
        <v>177.483303720318</v>
      </c>
      <c r="AO4">
        <f>' Qty Analysis'!AL121-' Qty Analysis'!AL119</f>
        <v>90497.86</v>
      </c>
      <c r="AP4" s="159">
        <f>AO4-AL4</f>
        <v>-143.589999999997</v>
      </c>
      <c r="AV4" s="97">
        <f>AM4-AM8</f>
        <v>6266146</v>
      </c>
    </row>
    <row r="5" spans="1:48">
      <c r="A5" s="657" t="s">
        <v>801</v>
      </c>
      <c r="B5" s="658">
        <f>ROUND(('Inventory Sales'!B12+'Inventory Sales'!B15),0)</f>
        <v>1</v>
      </c>
      <c r="C5" s="659">
        <f>'Inventory Sales'!D12+'Inventory Sales'!D15</f>
        <v>720</v>
      </c>
      <c r="D5" s="660">
        <f>IF(B5=0,0,C5/B5)</f>
        <v>720</v>
      </c>
      <c r="E5" s="658">
        <f>'Inventory Sales'!E12</f>
        <v>1908</v>
      </c>
      <c r="F5" s="659">
        <f>ROUND(('Inventory Sales'!G12+'Inventory Sales'!G15),0)</f>
        <v>502180</v>
      </c>
      <c r="G5" s="660">
        <f t="shared" si="0"/>
        <v>263.197064989518</v>
      </c>
      <c r="H5" s="658">
        <f>ROUND(('Inventory Sales'!H12),0)</f>
        <v>580</v>
      </c>
      <c r="I5" s="659">
        <f>ROUND(('Inventory Sales'!J12),0)</f>
        <v>163800</v>
      </c>
      <c r="J5" s="660">
        <f>IF(H5=0,0,I5/H5)</f>
        <v>282.413793103448</v>
      </c>
      <c r="K5" s="658">
        <f>ROUND(('Inventory Sales'!K12),0)</f>
        <v>0</v>
      </c>
      <c r="L5" s="659">
        <f>ROUND(('Inventory Sales'!M12),0)</f>
        <v>0</v>
      </c>
      <c r="M5" s="660">
        <f>IF(K5=0,0,L5/K5)</f>
        <v>0</v>
      </c>
      <c r="N5" s="658">
        <f>ROUND(('Inventory Sales'!N12),0)</f>
        <v>420</v>
      </c>
      <c r="O5" s="659">
        <f>ROUND(('Inventory Sales'!P12),0)</f>
        <v>137220</v>
      </c>
      <c r="P5" s="660">
        <f>IF(N5=0,0,O5/N5)</f>
        <v>326.714285714286</v>
      </c>
      <c r="Q5" s="658">
        <f>ROUND(('Inventory Sales'!Q12),0)+ROUND(('Inventory Sales'!Q15),0)</f>
        <v>292</v>
      </c>
      <c r="R5" s="659">
        <f>ROUND(('Inventory Sales'!S12+'Inventory Sales'!S15),0)</f>
        <v>42052</v>
      </c>
      <c r="S5" s="660">
        <f>IF(Q5=0,0,R5/Q5)</f>
        <v>144.013698630137</v>
      </c>
      <c r="T5" s="658">
        <f>ROUND(('Inventory Sales'!T12),0)+ROUND(('Inventory Sales'!T15),0)</f>
        <v>653</v>
      </c>
      <c r="U5" s="659">
        <f>ROUND(('Inventory Sales'!V12),0)+ROUND(('Inventory Sales'!V15),0)</f>
        <v>163800</v>
      </c>
      <c r="V5" s="660">
        <f>IF(T5=0,0,U5/T5)</f>
        <v>250.842266462481</v>
      </c>
      <c r="W5" s="658">
        <f>ROUND(('Inventory Sales'!W12),0)+'Inventory Sales'!W15+'Inventory Sales'!W16</f>
        <v>8994.5</v>
      </c>
      <c r="X5" s="659">
        <f>ROUND(('Inventory Sales'!Y12),0)+ROUND(('Inventory Sales'!Y15),0)</f>
        <v>1058947</v>
      </c>
      <c r="Y5" s="660">
        <f>IF(W5=0,0,X5/W5)</f>
        <v>117.732725554506</v>
      </c>
      <c r="Z5" s="658">
        <f>ROUND(('Inventory Sales'!Z12),0)+'Inventory Sales'!Z15</f>
        <v>315</v>
      </c>
      <c r="AA5" s="659">
        <f>ROUND(('Inventory Sales'!AB12),0)+ROUND(('Inventory Sales'!AB15),0)</f>
        <v>71447</v>
      </c>
      <c r="AB5" s="660">
        <f>IF(Z5=0,0,AA5/Z5)</f>
        <v>226.815873015873</v>
      </c>
      <c r="AC5" s="658">
        <f>ROUND(('Inventory Sales'!AC12),0)+'Inventory Sales'!AC15</f>
        <v>415</v>
      </c>
      <c r="AD5" s="659">
        <f>ROUND(('Inventory Sales'!AE12),0)+ROUND(('Inventory Sales'!AE15),0)</f>
        <v>126000</v>
      </c>
      <c r="AE5" s="660">
        <f>IF(AC5=0,0,AD5/AC5)</f>
        <v>303.614457831325</v>
      </c>
      <c r="AF5" s="658">
        <f>ROUND(('Inventory Sales'!AF12),0)+'Inventory Sales'!AF15</f>
        <v>1263</v>
      </c>
      <c r="AG5" s="659">
        <f>ROUND(('Inventory Sales'!AH12),0)+ROUND(('Inventory Sales'!AH15),0)</f>
        <v>336560</v>
      </c>
      <c r="AH5" s="660">
        <f>IF(AF5=0,0,AG5/AF5)</f>
        <v>266.476642913698</v>
      </c>
      <c r="AI5" s="658">
        <f>ROUND(('Inventory Sales'!AI12),0)+'Inventory Sales'!AI15</f>
        <v>90</v>
      </c>
      <c r="AJ5" s="659">
        <f>ROUND(('Inventory Sales'!AK12),0)+ROUND(('Inventory Sales'!AK15),0)</f>
        <v>28800</v>
      </c>
      <c r="AK5" s="660">
        <f>IF(AI5=0,0,AJ5/AI5)</f>
        <v>320</v>
      </c>
      <c r="AL5" s="662">
        <f>SUM(B5,E5,H5,K5,N5,Q5,T5,W5,Z5,AC5,AF5,AI5)</f>
        <v>14931.5</v>
      </c>
      <c r="AM5" s="788">
        <f>SUM(C5,F5,I5,L5,O5,R5,U5,X5,AA5,AD5,AG5,AJ5)</f>
        <v>2631526</v>
      </c>
      <c r="AN5" s="796">
        <f t="shared" si="1"/>
        <v>176.239895522888</v>
      </c>
      <c r="AR5" s="96" t="s">
        <v>42</v>
      </c>
      <c r="AS5" s="97">
        <f>G5-G12</f>
        <v>47.0833333333333</v>
      </c>
      <c r="AT5">
        <f>ROUND((E5*AS5),0)</f>
        <v>89835</v>
      </c>
      <c r="AV5" s="97">
        <f>AM17-AM13</f>
        <v>3471365</v>
      </c>
    </row>
    <row r="6" spans="1:46">
      <c r="A6" s="661" t="s">
        <v>802</v>
      </c>
      <c r="B6" s="662">
        <f>ROUND(('Inventory Sales'!B13),0)</f>
        <v>888</v>
      </c>
      <c r="C6" s="659">
        <f>ROUND(('Inventory Sales'!D13),0)</f>
        <v>201802</v>
      </c>
      <c r="D6" s="660">
        <f t="shared" ref="D6:D13" si="2">IF(B6=0,0,C6/B6)</f>
        <v>227.254504504504</v>
      </c>
      <c r="E6" s="658">
        <f>ROUND(('Inventory Sales'!E13),0)</f>
        <v>195</v>
      </c>
      <c r="F6" s="659">
        <f>ROUND(('Inventory Sales'!G13),0)</f>
        <v>52144</v>
      </c>
      <c r="G6" s="660">
        <f t="shared" si="0"/>
        <v>267.405128205128</v>
      </c>
      <c r="H6" s="658">
        <f>ROUND(('Inventory Sales'!H13),0)</f>
        <v>348</v>
      </c>
      <c r="I6" s="659">
        <f>ROUND(('Inventory Sales'!J13),0)</f>
        <v>83370</v>
      </c>
      <c r="J6" s="660">
        <f t="shared" ref="J6:J19" si="3">IF(H6=0,0,I6/H6)</f>
        <v>239.568965517241</v>
      </c>
      <c r="K6" s="658">
        <f>ROUND(('Inventory Sales'!K13),0)</f>
        <v>168</v>
      </c>
      <c r="L6" s="659">
        <f>ROUND(('Inventory Sales'!M13),0)</f>
        <v>43980</v>
      </c>
      <c r="M6" s="660">
        <f>IF(K6=0,0,L6/K6)</f>
        <v>261.785714285714</v>
      </c>
      <c r="N6" s="658">
        <f>ROUND(('Inventory Sales'!N13),0)</f>
        <v>0</v>
      </c>
      <c r="O6" s="659">
        <f>ROUND(('Inventory Sales'!P13),0)</f>
        <v>0</v>
      </c>
      <c r="P6" s="660">
        <f t="shared" ref="P6:P19" si="4">IF(N6=0,0,O6/N6)</f>
        <v>0</v>
      </c>
      <c r="Q6" s="658">
        <f>ROUND(('Inventory Sales'!Q13),0)</f>
        <v>14</v>
      </c>
      <c r="R6" s="659">
        <f>ROUND(('Inventory Sales'!S13),0)</f>
        <v>4800</v>
      </c>
      <c r="S6" s="660">
        <f>IF(Q6=0,0,R6/Q6)</f>
        <v>342.857142857143</v>
      </c>
      <c r="T6" s="658">
        <f>ROUND(('Inventory Sales'!T13),0)</f>
        <v>128</v>
      </c>
      <c r="U6" s="659">
        <f>ROUND(('Inventory Sales'!V13),0)</f>
        <v>30240</v>
      </c>
      <c r="V6" s="660">
        <f t="shared" ref="V6:V19" si="5">IF(T6=0,0,U6/T6)</f>
        <v>236.25</v>
      </c>
      <c r="W6" s="658">
        <f>ROUND(('Inventory Sales'!W13),0)</f>
        <v>117</v>
      </c>
      <c r="X6" s="659">
        <f>ROUND(('Inventory Sales'!Y13),0)</f>
        <v>26550</v>
      </c>
      <c r="Y6" s="660">
        <f t="shared" ref="Y6:Y14" si="6">IF(W6=0,0,X6/W6)</f>
        <v>226.923076923077</v>
      </c>
      <c r="Z6" s="658">
        <f>ROUND(('Inventory Sales'!Z13),0)</f>
        <v>381</v>
      </c>
      <c r="AA6" s="659">
        <f>ROUND(('Inventory Sales'!AB13),0)</f>
        <v>84185</v>
      </c>
      <c r="AB6" s="660">
        <f t="shared" ref="AB6:AB14" si="7">IF(Z6=0,0,AA6/Z6)</f>
        <v>220.958005249344</v>
      </c>
      <c r="AC6" s="658">
        <f>ROUND(('Inventory Sales'!AC13),0)</f>
        <v>828</v>
      </c>
      <c r="AD6" s="659">
        <f>ROUND(('Inventory Sales'!AE13),0)</f>
        <v>179100</v>
      </c>
      <c r="AE6" s="660">
        <f t="shared" ref="AE6:AE12" si="8">IF(AC6=0,0,AD6/AC6)</f>
        <v>216.304347826087</v>
      </c>
      <c r="AF6" s="658">
        <f>ROUND(('Inventory Sales'!AF13),0)</f>
        <v>55</v>
      </c>
      <c r="AG6" s="659">
        <f>ROUND(('Inventory Sales'!AH13),0)</f>
        <v>12590</v>
      </c>
      <c r="AH6" s="660">
        <f t="shared" ref="AH6:AH14" si="9">IF(AF6=0,0,AG6/AF6)</f>
        <v>228.909090909091</v>
      </c>
      <c r="AI6" s="658">
        <f>ROUND(('Inventory Sales'!AI13),0)</f>
        <v>918</v>
      </c>
      <c r="AJ6" s="659">
        <f>ROUND(('Inventory Sales'!AK13),0)</f>
        <v>243742</v>
      </c>
      <c r="AK6" s="660">
        <f t="shared" ref="AK6:AK14" si="10">IF(AI6=0,0,AJ6/AI6)</f>
        <v>265.514161220044</v>
      </c>
      <c r="AL6" s="662">
        <f t="shared" ref="AL6:AL10" si="11">SUM(B6,E6,H6,K6,N6,Q6,T6,W6,Z6,AC6,AF6,AI6)</f>
        <v>4040</v>
      </c>
      <c r="AM6" s="788">
        <f t="shared" ref="AM6:AM10" si="12">SUM(C6,F6,I6,L6,O6,R6,U6,X6,AA6,AD6,AG6,AJ6)</f>
        <v>962503</v>
      </c>
      <c r="AN6" s="796">
        <f t="shared" si="1"/>
        <v>238.243316831683</v>
      </c>
      <c r="AR6" s="96" t="s">
        <v>41</v>
      </c>
      <c r="AS6" s="97">
        <f>G6-G14</f>
        <v>61.8512820512821</v>
      </c>
      <c r="AT6">
        <f>ROUND((E6*AS6),0)</f>
        <v>12061</v>
      </c>
    </row>
    <row r="7" spans="1:46">
      <c r="A7" s="663" t="s">
        <v>803</v>
      </c>
      <c r="B7" s="658">
        <f>'Inventory Sales'!B17-0.3</f>
        <v>2057.95</v>
      </c>
      <c r="C7" s="659">
        <f>'Inventory Sales'!D17</f>
        <v>378530</v>
      </c>
      <c r="D7" s="660">
        <f t="shared" si="2"/>
        <v>183.9354697636</v>
      </c>
      <c r="E7" s="658">
        <f>ROUND((' Qty Analysis'!E117),0)</f>
        <v>871</v>
      </c>
      <c r="F7" s="659">
        <f>ROUND(('Inventory Sales'!G17),0)</f>
        <v>168775</v>
      </c>
      <c r="G7" s="660">
        <f t="shared" si="0"/>
        <v>193.771526980482</v>
      </c>
      <c r="H7" s="658">
        <f>ROUND(('Inventory Sales'!H17),0)</f>
        <v>1226</v>
      </c>
      <c r="I7" s="659">
        <f>ROUND(('Inventory Sales'!J17),0)</f>
        <v>233700</v>
      </c>
      <c r="J7" s="660">
        <f t="shared" si="3"/>
        <v>190.619902120718</v>
      </c>
      <c r="K7" s="658">
        <f>ROUND(('Inventory Sales'!K17),0)</f>
        <v>1580</v>
      </c>
      <c r="L7" s="659">
        <f>ROUND(('Inventory Sales'!M17),0)</f>
        <v>301200</v>
      </c>
      <c r="M7" s="660">
        <f t="shared" ref="M7:M8" si="13">IF(K7=0,0,L7/K7)</f>
        <v>190.632911392405</v>
      </c>
      <c r="N7" s="658">
        <f>ROUND(('Inventory Sales'!N17),0)</f>
        <v>715</v>
      </c>
      <c r="O7" s="659">
        <f>ROUND(('Inventory Sales'!P17),0)</f>
        <v>137160</v>
      </c>
      <c r="P7" s="660">
        <f t="shared" si="4"/>
        <v>191.832167832168</v>
      </c>
      <c r="Q7" s="658">
        <f>ROUND(('Inventory Sales'!Q17),0)</f>
        <v>508</v>
      </c>
      <c r="R7" s="659">
        <f>ROUND(('Inventory Sales'!S17),0)</f>
        <v>96250</v>
      </c>
      <c r="S7" s="660">
        <f t="shared" ref="S7" si="14">IF(Q7=0,0,R7/Q7)</f>
        <v>189.468503937008</v>
      </c>
      <c r="T7" s="658">
        <f>ROUND(('Inventory Sales'!T17),0)</f>
        <v>856</v>
      </c>
      <c r="U7" s="659">
        <f>ROUND(('Inventory Sales'!V17),0)</f>
        <v>165750</v>
      </c>
      <c r="V7" s="660">
        <f t="shared" si="5"/>
        <v>193.633177570093</v>
      </c>
      <c r="W7" s="658">
        <f>ROUND(('Inventory Sales'!W17),0)</f>
        <v>378</v>
      </c>
      <c r="X7" s="659">
        <f>ROUND(('Inventory Sales'!Y17),0)</f>
        <v>75940</v>
      </c>
      <c r="Y7" s="660">
        <f t="shared" si="6"/>
        <v>200.899470899471</v>
      </c>
      <c r="Z7" s="658">
        <f>ROUND(('Inventory Sales'!Z17),0)</f>
        <v>1223</v>
      </c>
      <c r="AA7" s="659">
        <f>ROUND(('Inventory Sales'!AB17),0)</f>
        <v>235538</v>
      </c>
      <c r="AB7" s="660">
        <f t="shared" si="7"/>
        <v>192.59035159444</v>
      </c>
      <c r="AC7" s="658">
        <f>ROUND(('Inventory Sales'!AC17),0)</f>
        <v>1005</v>
      </c>
      <c r="AD7" s="659">
        <f>ROUND(('Inventory Sales'!AE17),0)</f>
        <v>189975</v>
      </c>
      <c r="AE7" s="660">
        <f t="shared" si="8"/>
        <v>189.029850746269</v>
      </c>
      <c r="AF7" s="658">
        <f>ROUND(('Inventory Sales'!AF17),0)</f>
        <v>250</v>
      </c>
      <c r="AG7" s="659">
        <f>ROUND(('Inventory Sales'!AH17),0)</f>
        <v>47500</v>
      </c>
      <c r="AH7" s="660">
        <f t="shared" si="9"/>
        <v>190</v>
      </c>
      <c r="AI7" s="658">
        <f>ROUND(('Inventory Sales'!AI17),0)</f>
        <v>2040</v>
      </c>
      <c r="AJ7" s="659">
        <f>ROUND(('Inventory Sales'!AK17),0)</f>
        <v>482400</v>
      </c>
      <c r="AK7" s="660">
        <f t="shared" si="10"/>
        <v>236.470588235294</v>
      </c>
      <c r="AL7" s="662">
        <f t="shared" si="11"/>
        <v>12709.95</v>
      </c>
      <c r="AM7" s="788">
        <f t="shared" si="12"/>
        <v>2512718</v>
      </c>
      <c r="AN7" s="796">
        <f t="shared" si="1"/>
        <v>197.69692248986</v>
      </c>
      <c r="AR7" s="96" t="s">
        <v>804</v>
      </c>
      <c r="AS7" s="97">
        <f>G7-G16</f>
        <v>193.771526980482</v>
      </c>
      <c r="AT7">
        <f>ROUND((E7*AS7),0)</f>
        <v>168775</v>
      </c>
    </row>
    <row r="8" spans="1:46">
      <c r="A8" s="661" t="s">
        <v>805</v>
      </c>
      <c r="B8" s="658">
        <f>ROUND(('Inventory Sales'!B14),0)</f>
        <v>4798</v>
      </c>
      <c r="C8" s="659">
        <f>ROUND(('Inventory Sales'!D14),0)</f>
        <v>796540</v>
      </c>
      <c r="D8" s="660">
        <f t="shared" si="2"/>
        <v>166.015006252605</v>
      </c>
      <c r="E8" s="658">
        <f>ROUND((' Qty Analysis'!E120),0)</f>
        <v>5705</v>
      </c>
      <c r="F8" s="659">
        <f>ROUND(('Inventory Sales'!G14),0)</f>
        <v>945541</v>
      </c>
      <c r="G8" s="660">
        <f t="shared" si="0"/>
        <v>165.739000876424</v>
      </c>
      <c r="H8" s="658">
        <f>ROUND(('Inventory Sales'!H14),0)</f>
        <v>4826</v>
      </c>
      <c r="I8" s="659">
        <f>ROUND(('Inventory Sales'!J14),0)</f>
        <v>816591</v>
      </c>
      <c r="J8" s="660">
        <f t="shared" si="3"/>
        <v>169.206589307915</v>
      </c>
      <c r="K8" s="658">
        <f>ROUND(('Inventory Sales'!K14),0)</f>
        <v>6781</v>
      </c>
      <c r="L8" s="659">
        <f>ROUND(('Inventory Sales'!M14),0)</f>
        <v>1149295</v>
      </c>
      <c r="M8" s="660">
        <f t="shared" si="13"/>
        <v>169.487538711105</v>
      </c>
      <c r="N8" s="658">
        <f>ROUND(('Inventory Sales'!N14),0)</f>
        <v>4999</v>
      </c>
      <c r="O8" s="659">
        <f>'Inventory Sales'!P14</f>
        <v>843523</v>
      </c>
      <c r="P8" s="660">
        <f t="shared" si="4"/>
        <v>168.738347669534</v>
      </c>
      <c r="Q8" s="658">
        <f>ROUND(('Inventory Sales'!Q14),0)</f>
        <v>5020</v>
      </c>
      <c r="R8" s="659">
        <f>ROUND(('Inventory Sales'!S14),0)</f>
        <v>822071</v>
      </c>
      <c r="S8" s="660">
        <f t="shared" ref="S8:S19" si="15">IF(Q8=0,0,R8/Q8)</f>
        <v>163.759163346614</v>
      </c>
      <c r="T8" s="658">
        <f>ROUND(('Inventory Sales'!T14),0)</f>
        <v>5785</v>
      </c>
      <c r="U8" s="659">
        <f>ROUND(('Inventory Sales'!V14),0)</f>
        <v>975704</v>
      </c>
      <c r="V8" s="660">
        <f t="shared" si="5"/>
        <v>168.661019878997</v>
      </c>
      <c r="W8" s="658">
        <f>ROUND(('Inventory Sales'!W14),0)</f>
        <v>5689</v>
      </c>
      <c r="X8" s="659">
        <f>ROUND(('Inventory Sales'!Y14),0)</f>
        <v>962229</v>
      </c>
      <c r="Y8" s="660">
        <f t="shared" si="6"/>
        <v>169.13851291967</v>
      </c>
      <c r="Z8" s="658">
        <f>ROUND(('Inventory Sales'!Z14),0)</f>
        <v>4737</v>
      </c>
      <c r="AA8" s="659">
        <f>ROUND(('Inventory Sales'!AB14),0)</f>
        <v>801947</v>
      </c>
      <c r="AB8" s="660">
        <f t="shared" si="7"/>
        <v>169.294279079586</v>
      </c>
      <c r="AC8" s="658">
        <f>ROUND(('Inventory Sales'!AC14),0)</f>
        <v>2164</v>
      </c>
      <c r="AD8" s="659">
        <f>ROUND(('Inventory Sales'!AE14),0)</f>
        <v>358744</v>
      </c>
      <c r="AE8" s="660">
        <f t="shared" si="8"/>
        <v>165.778188539741</v>
      </c>
      <c r="AF8" s="658">
        <f>ROUND(('Inventory Sales'!AF14),0)</f>
        <v>5103</v>
      </c>
      <c r="AG8" s="659">
        <f>ROUND(('Inventory Sales'!AH14),0)</f>
        <v>856709</v>
      </c>
      <c r="AH8" s="660">
        <f t="shared" si="9"/>
        <v>167.883401920439</v>
      </c>
      <c r="AI8" s="658">
        <f>ROUND(('Inventory Sales'!AI14),0)</f>
        <v>2929</v>
      </c>
      <c r="AJ8" s="659">
        <f>'Inventory Sales'!AK14</f>
        <v>492304</v>
      </c>
      <c r="AK8" s="660">
        <f t="shared" si="10"/>
        <v>168.079207920792</v>
      </c>
      <c r="AL8" s="662">
        <f t="shared" si="11"/>
        <v>58536</v>
      </c>
      <c r="AM8" s="788">
        <f t="shared" si="12"/>
        <v>9821198</v>
      </c>
      <c r="AN8" s="796">
        <f t="shared" si="1"/>
        <v>167.780476971436</v>
      </c>
      <c r="AR8" s="96" t="s">
        <v>168</v>
      </c>
      <c r="AS8" s="97">
        <f>G8-G13</f>
        <v>18.3770376862402</v>
      </c>
      <c r="AT8">
        <f>ROUND((E8*AS8),0)</f>
        <v>104841</v>
      </c>
    </row>
    <row r="9" spans="1:45">
      <c r="A9" s="657" t="s">
        <v>806</v>
      </c>
      <c r="B9" s="664"/>
      <c r="C9" s="665"/>
      <c r="D9" s="666">
        <f t="shared" si="2"/>
        <v>0</v>
      </c>
      <c r="E9" s="664"/>
      <c r="F9" s="665"/>
      <c r="G9" s="666">
        <f t="shared" si="0"/>
        <v>0</v>
      </c>
      <c r="H9" s="664"/>
      <c r="I9" s="665"/>
      <c r="J9" s="666"/>
      <c r="K9" s="664"/>
      <c r="L9" s="665"/>
      <c r="M9" s="666"/>
      <c r="N9" s="664">
        <f>'Inventory Sales'!N15</f>
        <v>282</v>
      </c>
      <c r="O9" s="685">
        <f>'Inventory Sales'!P15</f>
        <v>36990</v>
      </c>
      <c r="P9" s="666">
        <f t="shared" si="4"/>
        <v>131.170212765957</v>
      </c>
      <c r="Q9" s="664"/>
      <c r="R9" s="665"/>
      <c r="S9" s="666"/>
      <c r="T9" s="664"/>
      <c r="U9" s="665"/>
      <c r="V9" s="666">
        <f t="shared" si="5"/>
        <v>0</v>
      </c>
      <c r="W9" s="664"/>
      <c r="X9" s="665"/>
      <c r="Y9" s="666">
        <f t="shared" si="6"/>
        <v>0</v>
      </c>
      <c r="Z9" s="664"/>
      <c r="AA9" s="665"/>
      <c r="AB9" s="666">
        <f t="shared" si="7"/>
        <v>0</v>
      </c>
      <c r="AC9" s="664"/>
      <c r="AD9" s="665"/>
      <c r="AE9" s="666">
        <f t="shared" si="8"/>
        <v>0</v>
      </c>
      <c r="AF9" s="664"/>
      <c r="AG9" s="665"/>
      <c r="AH9" s="666">
        <f t="shared" si="9"/>
        <v>0</v>
      </c>
      <c r="AI9" s="664"/>
      <c r="AJ9" s="665"/>
      <c r="AK9" s="666">
        <f t="shared" si="10"/>
        <v>0</v>
      </c>
      <c r="AL9" s="797">
        <f t="shared" si="11"/>
        <v>282</v>
      </c>
      <c r="AM9" s="798">
        <f t="shared" si="12"/>
        <v>36990</v>
      </c>
      <c r="AN9" s="799">
        <f t="shared" si="1"/>
        <v>131.170212765957</v>
      </c>
      <c r="AR9" s="96"/>
      <c r="AS9" s="97"/>
    </row>
    <row r="10" ht="14.25" spans="1:45">
      <c r="A10" s="667" t="s">
        <v>807</v>
      </c>
      <c r="B10" s="668"/>
      <c r="C10" s="669"/>
      <c r="D10" s="670"/>
      <c r="E10" s="668"/>
      <c r="F10" s="669"/>
      <c r="G10" s="670"/>
      <c r="H10" s="668">
        <f>'Inventory Sales'!H16</f>
        <v>51</v>
      </c>
      <c r="I10" s="669">
        <f>'Inventory Sales'!J16</f>
        <v>45428</v>
      </c>
      <c r="J10" s="670">
        <f>IF(H10=0,0,I10/H10)</f>
        <v>890.745098039216</v>
      </c>
      <c r="K10" s="668"/>
      <c r="L10" s="669"/>
      <c r="M10" s="670" t="e">
        <f>L10/K10</f>
        <v>#DIV/0!</v>
      </c>
      <c r="N10" s="668"/>
      <c r="O10" s="669"/>
      <c r="P10" s="670"/>
      <c r="Q10" s="668">
        <f>ROUND(('Inventory Sales'!Q16),0)</f>
        <v>49</v>
      </c>
      <c r="R10" s="669">
        <f>ROUND(('Inventory Sales'!S16),)</f>
        <v>42900</v>
      </c>
      <c r="S10" s="670">
        <f>IF(Q10=0,0,R10/Q10)</f>
        <v>875.510204081633</v>
      </c>
      <c r="T10" s="668">
        <f>ROUND(('Inventory Sales'!T16),0)</f>
        <v>27</v>
      </c>
      <c r="U10" s="669">
        <f>ROUND(('Inventory Sales'!V16),)</f>
        <v>26873</v>
      </c>
      <c r="V10" s="670">
        <f t="shared" si="5"/>
        <v>995.296296296296</v>
      </c>
      <c r="W10" s="668"/>
      <c r="X10" s="669"/>
      <c r="Y10" s="670"/>
      <c r="Z10" s="668">
        <f>'Inventory Sales'!Z16</f>
        <v>15</v>
      </c>
      <c r="AA10" s="669">
        <f>'Inventory Sales'!AB16</f>
        <v>7208</v>
      </c>
      <c r="AB10" s="670">
        <f t="shared" si="7"/>
        <v>480.533333333333</v>
      </c>
      <c r="AC10" s="668"/>
      <c r="AD10" s="669"/>
      <c r="AE10" s="670"/>
      <c r="AF10" s="668"/>
      <c r="AG10" s="669"/>
      <c r="AH10" s="670"/>
      <c r="AI10" s="669"/>
      <c r="AJ10" s="787"/>
      <c r="AK10" s="670">
        <f t="shared" si="10"/>
        <v>0</v>
      </c>
      <c r="AL10" s="800">
        <f t="shared" si="11"/>
        <v>142</v>
      </c>
      <c r="AM10" s="801">
        <f t="shared" si="12"/>
        <v>122409</v>
      </c>
      <c r="AN10" s="802">
        <f t="shared" si="1"/>
        <v>862.035211267606</v>
      </c>
      <c r="AR10" s="96"/>
      <c r="AS10" s="97"/>
    </row>
    <row r="11" spans="1:47">
      <c r="A11" s="671" t="s">
        <v>319</v>
      </c>
      <c r="B11" s="672">
        <f>B45</f>
        <v>706</v>
      </c>
      <c r="C11" s="673">
        <f>ROUND(C45,0)</f>
        <v>143209</v>
      </c>
      <c r="D11" s="674">
        <f>IF(B11=0,0,C11/B11)</f>
        <v>202.845609065156</v>
      </c>
      <c r="E11" s="672">
        <f>B18</f>
        <v>691</v>
      </c>
      <c r="F11" s="673">
        <f>C18</f>
        <v>136864</v>
      </c>
      <c r="G11" s="674">
        <f>IF(E11=0,0,F11/E11)</f>
        <v>198.066570188133</v>
      </c>
      <c r="H11" s="672">
        <f>IF(H4=0,0,E39)</f>
        <v>680</v>
      </c>
      <c r="I11" s="673">
        <f>IF(I4=0,0,F18)</f>
        <v>141658</v>
      </c>
      <c r="J11" s="674">
        <f t="shared" si="3"/>
        <v>208.320588235294</v>
      </c>
      <c r="K11" s="672">
        <f>IF(K4=0,0,H18)</f>
        <v>680</v>
      </c>
      <c r="L11" s="673">
        <f>IF(L4=0,0,I18)</f>
        <v>127694</v>
      </c>
      <c r="M11" s="674">
        <f>IF(K11=0,0,L11/K11)</f>
        <v>187.785294117647</v>
      </c>
      <c r="N11" s="672">
        <f>IF(N4=0,0,K18)</f>
        <v>713</v>
      </c>
      <c r="O11" s="673">
        <f>IF(O4=0,0,L18)</f>
        <v>144813</v>
      </c>
      <c r="P11" s="674">
        <f>IF(N11=0,0,O11/N11)</f>
        <v>203.103786816269</v>
      </c>
      <c r="Q11" s="672">
        <f>IF(Q4=0,0,N18)</f>
        <v>754</v>
      </c>
      <c r="R11" s="673">
        <f>IF(R4=0,0,O18)</f>
        <v>151076</v>
      </c>
      <c r="S11" s="674">
        <f t="shared" si="15"/>
        <v>200.366047745358</v>
      </c>
      <c r="T11" s="672">
        <f>IF(T4=0,0,Q18)</f>
        <v>1037</v>
      </c>
      <c r="U11" s="673">
        <f>IF(U4=0,0,R18)</f>
        <v>199769</v>
      </c>
      <c r="V11" s="674">
        <f t="shared" si="5"/>
        <v>192.641272902604</v>
      </c>
      <c r="W11" s="672">
        <f>IF(W4=0,0,T18)</f>
        <v>765</v>
      </c>
      <c r="X11" s="673">
        <f>IF(X4=0,0,U18)</f>
        <v>154019</v>
      </c>
      <c r="Y11" s="674">
        <f>IF(W11=0,0,X11/W11)</f>
        <v>201.332026143791</v>
      </c>
      <c r="Z11" s="672">
        <f>IF(Z4=0,0,W39)</f>
        <v>0</v>
      </c>
      <c r="AA11" s="673">
        <f>IF(AA4=0,0,X18)</f>
        <v>262979</v>
      </c>
      <c r="AB11" s="674">
        <f t="shared" si="7"/>
        <v>0</v>
      </c>
      <c r="AC11" s="672">
        <f>IF(AC4=0,0,Z39)</f>
        <v>0</v>
      </c>
      <c r="AD11" s="673">
        <f>IF(AD4=0,0,AA18)</f>
        <v>190871</v>
      </c>
      <c r="AE11" s="674">
        <f>IF(AC11=0,0,AD11/AC11)</f>
        <v>0</v>
      </c>
      <c r="AF11" s="672">
        <f>IF(AF4=0,0,AC39)</f>
        <v>0</v>
      </c>
      <c r="AG11" s="673">
        <f>IF(AG4=0,0,AD18)</f>
        <v>0</v>
      </c>
      <c r="AH11" s="674">
        <f>IF(AF11=0,0,AG11/AF11)</f>
        <v>0</v>
      </c>
      <c r="AI11" s="672">
        <f>IF(AI4=0,0,AF39)</f>
        <v>0</v>
      </c>
      <c r="AJ11" s="673">
        <f>IF(AJ4=0,0,AG18)</f>
        <v>0</v>
      </c>
      <c r="AK11" s="674">
        <f t="shared" si="10"/>
        <v>0</v>
      </c>
      <c r="AL11" s="672">
        <f>B11</f>
        <v>706</v>
      </c>
      <c r="AM11" s="803">
        <f>+C11</f>
        <v>143209</v>
      </c>
      <c r="AN11" s="804">
        <f t="shared" ref="AN11:AN18" si="16">IF(AL11=0,0,AM11/AL11)</f>
        <v>202.845609065156</v>
      </c>
      <c r="AO11" s="159">
        <f>AL11</f>
        <v>706</v>
      </c>
      <c r="AS11" s="97"/>
      <c r="AT11" s="164">
        <f>F11-F18</f>
        <v>-4794</v>
      </c>
      <c r="AU11" s="164" t="e">
        <f>#REF!-AT11</f>
        <v>#REF!</v>
      </c>
    </row>
    <row r="12" spans="1:45">
      <c r="A12" s="675" t="s">
        <v>808</v>
      </c>
      <c r="B12" s="676">
        <f>Purchase!E37</f>
        <v>0</v>
      </c>
      <c r="C12" s="659">
        <f>ROUND((Purchase!$F37),0)</f>
        <v>0</v>
      </c>
      <c r="D12" s="660">
        <f t="shared" si="2"/>
        <v>0</v>
      </c>
      <c r="E12" s="676">
        <f>Purchase!E38-E16</f>
        <v>1908</v>
      </c>
      <c r="F12" s="659">
        <f>ROUND((Purchase!$F38),0)</f>
        <v>412345</v>
      </c>
      <c r="G12" s="660">
        <f t="shared" ref="G12:G19" si="17">IF(E12=0,0,F12/E12)</f>
        <v>216.113731656184</v>
      </c>
      <c r="H12" s="676">
        <f>ROUND((Purchase!E39),0)</f>
        <v>580</v>
      </c>
      <c r="I12" s="659">
        <f>ROUND((Purchase!$F39),0)</f>
        <v>124700</v>
      </c>
      <c r="J12" s="660">
        <f t="shared" si="3"/>
        <v>215</v>
      </c>
      <c r="K12" s="676">
        <f>Purchase!E40</f>
        <v>0</v>
      </c>
      <c r="L12" s="659">
        <f>ROUND((Purchase!$F40),0)</f>
        <v>0</v>
      </c>
      <c r="M12" s="660">
        <f t="shared" ref="M12:M19" si="18">IF(K12=0,0,L12/K12)</f>
        <v>0</v>
      </c>
      <c r="N12" s="676">
        <f>Purchase!E41</f>
        <v>405</v>
      </c>
      <c r="O12" s="659">
        <f>ROUND((Purchase!$F41),0)</f>
        <v>87075</v>
      </c>
      <c r="P12" s="660">
        <f t="shared" si="4"/>
        <v>215</v>
      </c>
      <c r="Q12" s="676">
        <f>ROUND((Purchase!E42),0)</f>
        <v>0</v>
      </c>
      <c r="R12" s="659">
        <f>ROUND((Purchase!$F42),0)</f>
        <v>0</v>
      </c>
      <c r="S12" s="660">
        <f t="shared" si="15"/>
        <v>0</v>
      </c>
      <c r="T12" s="676">
        <f>Purchase!E43</f>
        <v>653</v>
      </c>
      <c r="U12" s="659">
        <f>ROUND((Purchase!$F43),0)</f>
        <v>143660</v>
      </c>
      <c r="V12" s="660">
        <f t="shared" si="5"/>
        <v>220</v>
      </c>
      <c r="W12" s="676">
        <f>Purchase!E44</f>
        <v>0</v>
      </c>
      <c r="X12" s="659">
        <f>ROUND((Purchase!F44),0)</f>
        <v>0</v>
      </c>
      <c r="Y12" s="660">
        <f t="shared" si="6"/>
        <v>0</v>
      </c>
      <c r="Z12" s="676">
        <f>Purchase!E45</f>
        <v>220</v>
      </c>
      <c r="AA12" s="659">
        <f>ROUND((Purchase!F45),0)</f>
        <v>48810</v>
      </c>
      <c r="AB12" s="660">
        <f t="shared" si="7"/>
        <v>221.863636363636</v>
      </c>
      <c r="AC12" s="676">
        <f>Purchase!E46</f>
        <v>453</v>
      </c>
      <c r="AD12" s="659">
        <f>ROUND((Purchase!F46),0)</f>
        <v>105630</v>
      </c>
      <c r="AE12" s="660">
        <f t="shared" si="8"/>
        <v>233.17880794702</v>
      </c>
      <c r="AF12" s="676">
        <f>Purchase!E47</f>
        <v>1263</v>
      </c>
      <c r="AG12" s="659">
        <f>Purchase!F47</f>
        <v>264910</v>
      </c>
      <c r="AH12" s="660">
        <f t="shared" si="9"/>
        <v>209.746634996041</v>
      </c>
      <c r="AI12" s="676">
        <f>Purchase!E48</f>
        <v>90</v>
      </c>
      <c r="AJ12" s="659">
        <f>Purchase!F48</f>
        <v>20700</v>
      </c>
      <c r="AK12" s="660">
        <f t="shared" si="10"/>
        <v>230</v>
      </c>
      <c r="AL12" s="662">
        <f t="shared" ref="AL12:AM16" si="19">SUM(B12,E12,H12,K12,N12,Q12,T12,W12,Z12,AC12,AF12,AI12)</f>
        <v>5572</v>
      </c>
      <c r="AM12" s="805">
        <f>SUM(C12,F12,I12,L12,O12,R12,U12,X12,AA12,AD12,AG12,AJ12)</f>
        <v>1207830</v>
      </c>
      <c r="AN12" s="796">
        <f t="shared" si="16"/>
        <v>216.767767408471</v>
      </c>
      <c r="AO12" s="159">
        <f>Purchase!E49</f>
        <v>5572</v>
      </c>
      <c r="AP12" s="159">
        <f>AO12-AL12</f>
        <v>0</v>
      </c>
      <c r="AS12" s="97"/>
    </row>
    <row r="13" spans="1:46">
      <c r="A13" s="675" t="s">
        <v>809</v>
      </c>
      <c r="B13" s="677">
        <f>ROUND((Purchase!H37),)</f>
        <v>4798</v>
      </c>
      <c r="C13" s="659">
        <f>ROUND((Purchase!$I37),0)</f>
        <v>702370</v>
      </c>
      <c r="D13" s="660">
        <f t="shared" si="2"/>
        <v>146.388078365986</v>
      </c>
      <c r="E13" s="677">
        <f>ROUND(Purchase!H38,0)</f>
        <v>5705</v>
      </c>
      <c r="F13" s="659">
        <f>ROUND((Purchase!$I38),0)</f>
        <v>840700</v>
      </c>
      <c r="G13" s="660">
        <f t="shared" si="17"/>
        <v>147.361963190184</v>
      </c>
      <c r="H13" s="677">
        <f>ROUND((Purchase!H39),0)</f>
        <v>4826</v>
      </c>
      <c r="I13" s="659">
        <f>ROUND((Purchase!$I39),0)</f>
        <v>725655</v>
      </c>
      <c r="J13" s="660">
        <f t="shared" si="3"/>
        <v>150.363655200995</v>
      </c>
      <c r="K13" s="677">
        <f>ROUND((Purchase!H40),0)</f>
        <v>6781</v>
      </c>
      <c r="L13" s="659">
        <f>ROUND((Purchase!$I40),0)</f>
        <v>1013210</v>
      </c>
      <c r="M13" s="660">
        <f t="shared" si="18"/>
        <v>149.418964754461</v>
      </c>
      <c r="N13" s="677">
        <f>ROUND((Purchase!H41),0)</f>
        <v>4999</v>
      </c>
      <c r="O13" s="659">
        <f>ROUND((Purchase!$I41),0)</f>
        <v>747142</v>
      </c>
      <c r="P13" s="660">
        <f t="shared" si="4"/>
        <v>149.458291658332</v>
      </c>
      <c r="Q13" s="677">
        <f>ROUND((Purchase!H42),0)</f>
        <v>5020</v>
      </c>
      <c r="R13" s="659">
        <f>ROUND((Purchase!$I42),0)</f>
        <v>727745</v>
      </c>
      <c r="S13" s="660">
        <f t="shared" si="15"/>
        <v>144.969123505976</v>
      </c>
      <c r="T13" s="677">
        <f>ROUND((Purchase!H43),0)</f>
        <v>5785</v>
      </c>
      <c r="U13" s="659">
        <f>ROUND((Purchase!$I43),0)</f>
        <v>861274</v>
      </c>
      <c r="V13" s="660">
        <f t="shared" si="5"/>
        <v>148.88055315471</v>
      </c>
      <c r="W13" s="677">
        <f>Purchase!H44</f>
        <v>5688.3</v>
      </c>
      <c r="X13" s="659">
        <f>Purchase!I44</f>
        <v>854400</v>
      </c>
      <c r="Y13" s="660">
        <f t="shared" si="6"/>
        <v>150.203048362428</v>
      </c>
      <c r="Z13" s="677">
        <f>Purchase!H45</f>
        <v>4737.3</v>
      </c>
      <c r="AA13" s="659">
        <f>Purchase!I45</f>
        <v>709170</v>
      </c>
      <c r="AB13" s="660">
        <f t="shared" si="7"/>
        <v>149.699195744411</v>
      </c>
      <c r="AC13" s="677">
        <f>ROUND((Purchase!H46),0)</f>
        <v>2164</v>
      </c>
      <c r="AD13" s="659">
        <f>Purchase!I46</f>
        <v>318776</v>
      </c>
      <c r="AE13" s="660">
        <f t="shared" ref="AE13:AE19" si="20">IF(AC13=0,0,AD13/AC13)</f>
        <v>147.308687615527</v>
      </c>
      <c r="AF13" s="677">
        <f>ROUND((Purchase!H47),0)</f>
        <v>5103</v>
      </c>
      <c r="AG13" s="659">
        <f>Purchase!I47</f>
        <v>807620</v>
      </c>
      <c r="AH13" s="660">
        <f t="shared" si="9"/>
        <v>158.263766411915</v>
      </c>
      <c r="AI13" s="677">
        <f>Purchase!H48</f>
        <v>2928.6</v>
      </c>
      <c r="AJ13" s="659">
        <f>Purchase!I48</f>
        <v>470125</v>
      </c>
      <c r="AK13" s="660">
        <f t="shared" si="10"/>
        <v>160.528921669057</v>
      </c>
      <c r="AL13" s="662">
        <f t="shared" si="19"/>
        <v>58535.2</v>
      </c>
      <c r="AM13" s="805">
        <f>SUM(C13,F13,I13,L13,O13,R13,U13,X13,AA13,AD13,AG13,AJ13)</f>
        <v>8778187</v>
      </c>
      <c r="AN13" s="796">
        <f t="shared" si="16"/>
        <v>149.964243737102</v>
      </c>
      <c r="AO13" s="159">
        <f>Purchase!H49</f>
        <v>58534.55</v>
      </c>
      <c r="AP13" s="159">
        <f>AO13-AL13</f>
        <v>-0.650000000001455</v>
      </c>
      <c r="AR13" s="96" t="s">
        <v>168</v>
      </c>
      <c r="AS13" s="97">
        <f>AN8-AN13</f>
        <v>17.8162332343346</v>
      </c>
      <c r="AT13" s="97">
        <f>AL8*AS13</f>
        <v>1042891.02860501</v>
      </c>
    </row>
    <row r="14" spans="1:46">
      <c r="A14" s="675" t="s">
        <v>810</v>
      </c>
      <c r="B14" s="677">
        <f>ROUND((Purchase!B37),0)</f>
        <v>900</v>
      </c>
      <c r="C14" s="659">
        <f>ROUND((Purchase!$C37),0)</f>
        <v>162627</v>
      </c>
      <c r="D14" s="660">
        <f t="shared" ref="D14:D19" si="21">IF(B14=0,0,C14/B14)</f>
        <v>180.696666666667</v>
      </c>
      <c r="E14" s="677">
        <f>ROUND((Purchase!B38),0)</f>
        <v>195</v>
      </c>
      <c r="F14" s="659">
        <f>ROUND((Purchase!$C38),0)</f>
        <v>40083</v>
      </c>
      <c r="G14" s="660">
        <f t="shared" si="17"/>
        <v>205.553846153846</v>
      </c>
      <c r="H14" s="677">
        <f>Purchase!$B39</f>
        <v>289</v>
      </c>
      <c r="I14" s="659">
        <f>ROUND((Purchase!$C39),0)</f>
        <v>58267</v>
      </c>
      <c r="J14" s="660">
        <f t="shared" si="3"/>
        <v>201.615916955017</v>
      </c>
      <c r="K14" s="677">
        <f>Purchase!B40</f>
        <v>168</v>
      </c>
      <c r="L14" s="659">
        <f>ROUND((Purchase!$C40),0)</f>
        <v>33485</v>
      </c>
      <c r="M14" s="660">
        <f t="shared" si="18"/>
        <v>199.315476190476</v>
      </c>
      <c r="N14" s="677">
        <f>Purchase!B41</f>
        <v>0</v>
      </c>
      <c r="O14" s="659">
        <f>ROUND((Purchase!$C41),0)</f>
        <v>0</v>
      </c>
      <c r="P14" s="660">
        <f t="shared" si="4"/>
        <v>0</v>
      </c>
      <c r="Q14" s="677">
        <f>Purchase!B42</f>
        <v>0</v>
      </c>
      <c r="R14" s="659">
        <f>ROUND((Purchase!$C42),0)</f>
        <v>0</v>
      </c>
      <c r="S14" s="660">
        <f t="shared" si="15"/>
        <v>0</v>
      </c>
      <c r="T14" s="677">
        <f>Purchase!B43</f>
        <v>128</v>
      </c>
      <c r="U14" s="659">
        <f>ROUND((Purchase!$C43),0)</f>
        <v>25344</v>
      </c>
      <c r="V14" s="660">
        <f t="shared" si="5"/>
        <v>198</v>
      </c>
      <c r="W14" s="677">
        <f>ROUND((Purchase!B44),0)</f>
        <v>117</v>
      </c>
      <c r="X14" s="659">
        <f>Purchase!C44</f>
        <v>23166</v>
      </c>
      <c r="Y14" s="660">
        <f t="shared" si="6"/>
        <v>198</v>
      </c>
      <c r="Z14" s="677">
        <f>Purchase!B45</f>
        <v>377</v>
      </c>
      <c r="AA14" s="659">
        <f>Purchase!C45</f>
        <v>74646</v>
      </c>
      <c r="AB14" s="660">
        <f t="shared" si="7"/>
        <v>198</v>
      </c>
      <c r="AC14" s="677">
        <f>Purchase!B46</f>
        <v>828</v>
      </c>
      <c r="AD14" s="659">
        <f>ROUND((Purchase!C46),0)</f>
        <v>139752</v>
      </c>
      <c r="AE14" s="660">
        <f t="shared" si="20"/>
        <v>168.782608695652</v>
      </c>
      <c r="AF14" s="677">
        <f>Purchase!B47</f>
        <v>54</v>
      </c>
      <c r="AG14" s="659">
        <f>ROUND((Purchase!C47),0)</f>
        <v>10812</v>
      </c>
      <c r="AH14" s="660">
        <f t="shared" si="9"/>
        <v>200.222222222222</v>
      </c>
      <c r="AI14" s="677">
        <f>Purchase!B48</f>
        <v>911.5</v>
      </c>
      <c r="AJ14" s="659">
        <f>ROUND(Purchase!C48,0)</f>
        <v>214127</v>
      </c>
      <c r="AK14" s="660">
        <f t="shared" si="10"/>
        <v>234.917169500823</v>
      </c>
      <c r="AL14" s="662">
        <f t="shared" si="19"/>
        <v>3967.5</v>
      </c>
      <c r="AM14" s="805">
        <f>SUM(C14,F14,I14,L14,O14,R14,U14,X14,AA14,AD14,AG14,AJ14)</f>
        <v>782309</v>
      </c>
      <c r="AN14" s="796">
        <f t="shared" si="16"/>
        <v>197.179332073094</v>
      </c>
      <c r="AO14" s="159">
        <f>Purchase!B49</f>
        <v>3967.95</v>
      </c>
      <c r="AP14" s="159">
        <f>AO14-AL14</f>
        <v>0.449999999999818</v>
      </c>
      <c r="AR14" s="96" t="s">
        <v>42</v>
      </c>
      <c r="AS14" s="97">
        <f>AN5-AN12</f>
        <v>-40.5278718855831</v>
      </c>
      <c r="AT14" s="97">
        <f>AS14*AL5</f>
        <v>-605141.919059584</v>
      </c>
    </row>
    <row r="15" ht="14.25" spans="1:46">
      <c r="A15" s="678" t="s">
        <v>811</v>
      </c>
      <c r="B15" s="679">
        <f>Purchase!B52</f>
        <v>2030</v>
      </c>
      <c r="C15" s="680">
        <f>ROUND((Purchase!$C52),0)</f>
        <v>329505</v>
      </c>
      <c r="D15" s="660">
        <f t="shared" si="21"/>
        <v>162.317733990148</v>
      </c>
      <c r="E15" s="679">
        <f>Purchase!$H53</f>
        <v>860</v>
      </c>
      <c r="F15" s="680">
        <f>ROUND((Purchase!$C53),0)</f>
        <v>144191</v>
      </c>
      <c r="G15" s="660">
        <f t="shared" si="17"/>
        <v>167.663953488372</v>
      </c>
      <c r="H15" s="679">
        <f>Purchase!$H54-H16</f>
        <v>1216</v>
      </c>
      <c r="I15" s="680">
        <f>ROUND((Purchase!$C54),0)</f>
        <v>212310</v>
      </c>
      <c r="J15" s="660">
        <f t="shared" si="3"/>
        <v>174.597039473684</v>
      </c>
      <c r="K15" s="679">
        <f>Purchase!$H55-K16</f>
        <v>1683</v>
      </c>
      <c r="L15" s="680">
        <f>ROUND((Purchase!$C55),0)</f>
        <v>286425</v>
      </c>
      <c r="M15" s="660">
        <f t="shared" si="18"/>
        <v>170.187165775401</v>
      </c>
      <c r="N15" s="679">
        <f>Purchase!$H56-N16</f>
        <v>739</v>
      </c>
      <c r="O15" s="680">
        <f>ROUND((Purchase!$C56),0)</f>
        <v>126369</v>
      </c>
      <c r="P15" s="660">
        <f t="shared" si="4"/>
        <v>171</v>
      </c>
      <c r="Q15" s="679">
        <f>Purchase!$H57-Q16</f>
        <v>805</v>
      </c>
      <c r="R15" s="680">
        <f>ROUND((Purchase!$C57),0)</f>
        <v>137655</v>
      </c>
      <c r="S15" s="660">
        <f t="shared" si="15"/>
        <v>171</v>
      </c>
      <c r="T15" s="679">
        <f>Purchase!B58</f>
        <v>578</v>
      </c>
      <c r="U15" s="680">
        <f>ROUND((Purchase!$C58),0)</f>
        <v>98838</v>
      </c>
      <c r="V15" s="660">
        <f t="shared" si="5"/>
        <v>171</v>
      </c>
      <c r="W15" s="679"/>
      <c r="X15" s="680"/>
      <c r="Y15" s="660"/>
      <c r="Z15" s="679"/>
      <c r="AA15" s="680"/>
      <c r="AB15" s="660"/>
      <c r="AC15" s="679"/>
      <c r="AD15" s="680"/>
      <c r="AE15" s="660"/>
      <c r="AF15" s="679"/>
      <c r="AG15" s="680"/>
      <c r="AH15" s="660"/>
      <c r="AI15" s="679"/>
      <c r="AJ15" s="680"/>
      <c r="AK15" s="660"/>
      <c r="AL15" s="797">
        <f t="shared" si="19"/>
        <v>7911</v>
      </c>
      <c r="AM15" s="806">
        <f t="shared" si="19"/>
        <v>1335293</v>
      </c>
      <c r="AN15" s="799">
        <f t="shared" si="16"/>
        <v>168.789407154595</v>
      </c>
      <c r="AO15" s="159">
        <f>Purchase!B64</f>
        <v>13081.1</v>
      </c>
      <c r="AP15" s="159">
        <f>AO15-AL15</f>
        <v>5170.1</v>
      </c>
      <c r="AR15" s="828" t="s">
        <v>41</v>
      </c>
      <c r="AS15" s="830">
        <f>AN6-AN14</f>
        <v>41.0639847585893</v>
      </c>
      <c r="AT15" s="830">
        <f>AS15*AL6</f>
        <v>165898.498424701</v>
      </c>
    </row>
    <row r="16" ht="14.25" spans="1:46">
      <c r="A16" s="681" t="s">
        <v>812</v>
      </c>
      <c r="B16" s="682">
        <f>Purchase!$E52</f>
        <v>0</v>
      </c>
      <c r="C16" s="669">
        <f>ROUND((Purchase!$F52),0)</f>
        <v>375</v>
      </c>
      <c r="D16" s="670">
        <f t="shared" si="21"/>
        <v>0</v>
      </c>
      <c r="E16" s="682">
        <f>Purchase!$E53</f>
        <v>0</v>
      </c>
      <c r="F16" s="669">
        <f>ROUND((Purchase!$F53),0)</f>
        <v>0</v>
      </c>
      <c r="G16" s="670">
        <f t="shared" si="17"/>
        <v>0</v>
      </c>
      <c r="H16" s="682">
        <f>Purchase!$E54</f>
        <v>50.9</v>
      </c>
      <c r="I16" s="669">
        <f>ROUND((Purchase!$F54),0)</f>
        <v>25760</v>
      </c>
      <c r="J16" s="670">
        <f t="shared" si="3"/>
        <v>506.090373280943</v>
      </c>
      <c r="K16" s="682">
        <f>Purchase!$E55</f>
        <v>0</v>
      </c>
      <c r="L16" s="669">
        <f>ROUND((Purchase!$F55),0)</f>
        <v>0</v>
      </c>
      <c r="M16" s="670">
        <f t="shared" si="18"/>
        <v>0</v>
      </c>
      <c r="N16" s="682">
        <f>Purchase!$E56</f>
        <v>314</v>
      </c>
      <c r="O16" s="669">
        <f>ROUND((Purchase!$F56),0)</f>
        <v>43748</v>
      </c>
      <c r="P16" s="670">
        <f t="shared" si="4"/>
        <v>139.324840764331</v>
      </c>
      <c r="Q16" s="682">
        <f>Purchase!$E57</f>
        <v>347</v>
      </c>
      <c r="R16" s="669">
        <f>ROUND((Purchase!$F57),0)</f>
        <v>62218</v>
      </c>
      <c r="S16" s="670">
        <f t="shared" si="15"/>
        <v>179.302593659942</v>
      </c>
      <c r="T16" s="682">
        <f>Purchase!$E58</f>
        <v>27</v>
      </c>
      <c r="U16" s="669">
        <f>ROUND((Purchase!$F58),0)</f>
        <v>13832</v>
      </c>
      <c r="V16" s="670">
        <f t="shared" si="5"/>
        <v>512.296296296296</v>
      </c>
      <c r="W16" s="682"/>
      <c r="X16" s="669"/>
      <c r="Y16" s="670">
        <f>IF(W16=0,0,X16/W16)</f>
        <v>0</v>
      </c>
      <c r="Z16" s="682"/>
      <c r="AA16" s="669"/>
      <c r="AB16" s="670">
        <f>IF(Z16=0,0,AA16/Z16)</f>
        <v>0</v>
      </c>
      <c r="AC16" s="682"/>
      <c r="AD16" s="669"/>
      <c r="AE16" s="670">
        <f t="shared" si="20"/>
        <v>0</v>
      </c>
      <c r="AF16" s="682"/>
      <c r="AG16" s="669"/>
      <c r="AH16" s="670">
        <f>IF(AF16=0,0,AG16/AF16)</f>
        <v>0</v>
      </c>
      <c r="AI16" s="682"/>
      <c r="AJ16" s="669"/>
      <c r="AK16" s="670">
        <f>IF(AI16=0,0,AJ16/AI16)</f>
        <v>0</v>
      </c>
      <c r="AL16" s="800">
        <f t="shared" si="19"/>
        <v>738.9</v>
      </c>
      <c r="AM16" s="807">
        <f>SUM(C16,F16,I16,L16,O16,R16,U16,X16,AA16,AD16,AG16,AJ16)</f>
        <v>145933</v>
      </c>
      <c r="AN16" s="802">
        <f t="shared" si="16"/>
        <v>197.500338340777</v>
      </c>
      <c r="AO16" s="684">
        <v>15</v>
      </c>
      <c r="AT16" s="97">
        <f>SUM(AT13:AT15)</f>
        <v>603647.607970128</v>
      </c>
    </row>
    <row r="17" ht="14.25" spans="1:46">
      <c r="A17" s="683" t="s">
        <v>813</v>
      </c>
      <c r="B17" s="684">
        <f>SUM(B12:B16)</f>
        <v>7728</v>
      </c>
      <c r="C17" s="685">
        <f>SUM(C12:C16)</f>
        <v>1194877</v>
      </c>
      <c r="D17" s="674">
        <f t="shared" si="21"/>
        <v>154.616589026915</v>
      </c>
      <c r="E17" s="684">
        <f>SUM(E12:E16)</f>
        <v>8668</v>
      </c>
      <c r="F17" s="685">
        <f>SUM(F12:F16)</f>
        <v>1437319</v>
      </c>
      <c r="G17" s="674">
        <f t="shared" si="17"/>
        <v>165.818989386248</v>
      </c>
      <c r="H17" s="747">
        <f>SUM(H12:H16)</f>
        <v>6961.9</v>
      </c>
      <c r="I17" s="685">
        <f>SUM(I12:I16)</f>
        <v>1146692</v>
      </c>
      <c r="J17" s="674">
        <f t="shared" si="3"/>
        <v>164.709633864319</v>
      </c>
      <c r="K17" s="760">
        <f>ROUND(SUM(K12:K16),0)</f>
        <v>8632</v>
      </c>
      <c r="L17" s="685">
        <f>SUM(L12:L16)</f>
        <v>1333120</v>
      </c>
      <c r="M17" s="674">
        <f t="shared" si="18"/>
        <v>154.439295644115</v>
      </c>
      <c r="N17" s="684">
        <f>SUM(N12:N16)</f>
        <v>6457</v>
      </c>
      <c r="O17" s="685">
        <f>SUM(O12:O16)</f>
        <v>1004334</v>
      </c>
      <c r="P17" s="674">
        <f t="shared" si="4"/>
        <v>155.541892519746</v>
      </c>
      <c r="Q17" s="684">
        <f>SUM(Q12:Q16)</f>
        <v>6172</v>
      </c>
      <c r="R17" s="685">
        <f>SUM(R12:R16)</f>
        <v>927618</v>
      </c>
      <c r="S17" s="674">
        <f t="shared" si="15"/>
        <v>150.294556059624</v>
      </c>
      <c r="T17" s="684">
        <f>SUM(T12:T16)</f>
        <v>7171</v>
      </c>
      <c r="U17" s="685">
        <f>SUM(U12:U16)</f>
        <v>1142948</v>
      </c>
      <c r="V17" s="674">
        <f t="shared" si="5"/>
        <v>159.384744108214</v>
      </c>
      <c r="W17" s="684">
        <f>SUM(W12:W16)</f>
        <v>5805.3</v>
      </c>
      <c r="X17" s="685">
        <f>SUM(X12:X16)</f>
        <v>877566</v>
      </c>
      <c r="Y17" s="674">
        <f>IF(W17=0,0,X17/W17)</f>
        <v>151.166347992352</v>
      </c>
      <c r="Z17" s="684">
        <f>SUM(Z12:Z16)</f>
        <v>5334.3</v>
      </c>
      <c r="AA17" s="685">
        <f>SUM(AA12:AA16)</f>
        <v>832626</v>
      </c>
      <c r="AB17" s="674">
        <f>IF(Z17=0,0,AA17/Z17)</f>
        <v>156.089083853552</v>
      </c>
      <c r="AC17" s="684">
        <f>SUM(AC12:AC16)</f>
        <v>3445</v>
      </c>
      <c r="AD17" s="685">
        <f>SUM(AD12:AD16)</f>
        <v>564158</v>
      </c>
      <c r="AE17" s="674">
        <f t="shared" si="20"/>
        <v>163.761393323657</v>
      </c>
      <c r="AF17" s="684">
        <f>SUM(AF12:AF16)</f>
        <v>6420</v>
      </c>
      <c r="AG17" s="685">
        <f>SUM(AG12:AG16)</f>
        <v>1083342</v>
      </c>
      <c r="AH17" s="674">
        <f>IF(AF17=0,0,AG17/AF17)</f>
        <v>168.744859813084</v>
      </c>
      <c r="AI17" s="684">
        <f>SUM(AI12:AI16)</f>
        <v>3930.1</v>
      </c>
      <c r="AJ17" s="685">
        <f>SUM(AJ12:AJ16)</f>
        <v>704952</v>
      </c>
      <c r="AK17" s="674">
        <f>IF(AI17=0,0,AJ17/AI17)</f>
        <v>179.372535049999</v>
      </c>
      <c r="AL17" s="747">
        <f>SUM(AL12:AL16)</f>
        <v>76724.6</v>
      </c>
      <c r="AM17" s="808">
        <f>SUM(AM12:AM16)</f>
        <v>12249552</v>
      </c>
      <c r="AN17" s="799">
        <f t="shared" si="16"/>
        <v>159.656120722689</v>
      </c>
      <c r="AO17" s="159">
        <f>SUM(AO12:AO16)</f>
        <v>81170.6</v>
      </c>
      <c r="AP17" s="159">
        <f>AO17-AL17</f>
        <v>4446</v>
      </c>
      <c r="AR17" s="828" t="s">
        <v>814</v>
      </c>
      <c r="AS17" s="712"/>
      <c r="AT17" s="831">
        <f>AM24</f>
        <v>876108</v>
      </c>
    </row>
    <row r="18" ht="14.25" spans="1:46">
      <c r="A18" s="686" t="s">
        <v>520</v>
      </c>
      <c r="B18" s="687">
        <f>'Stock Valuation (FIFO)'!E21</f>
        <v>691</v>
      </c>
      <c r="C18" s="688">
        <f>'Stock Valuation (FIFO)'!G21</f>
        <v>136864</v>
      </c>
      <c r="D18" s="689">
        <f t="shared" si="21"/>
        <v>198.066570188133</v>
      </c>
      <c r="E18" s="687">
        <f>'Stock Valuation (FIFO)'!H21</f>
        <v>680</v>
      </c>
      <c r="F18" s="688">
        <f>'Stock Valuation (FIFO)'!J21</f>
        <v>141658</v>
      </c>
      <c r="G18" s="689">
        <f t="shared" si="17"/>
        <v>208.320588235294</v>
      </c>
      <c r="H18" s="687">
        <f>'Stock Valuation (FIFO)'!K21</f>
        <v>680</v>
      </c>
      <c r="I18" s="688">
        <f>'Stock Valuation (FIFO)'!M21</f>
        <v>127694</v>
      </c>
      <c r="J18" s="689">
        <f t="shared" si="3"/>
        <v>187.785294117647</v>
      </c>
      <c r="K18" s="687">
        <f>'Stock Valuation (FIFO)'!N21</f>
        <v>713</v>
      </c>
      <c r="L18" s="688">
        <f>'Stock Valuation (FIFO)'!P21</f>
        <v>144813</v>
      </c>
      <c r="M18" s="689">
        <f t="shared" si="18"/>
        <v>203.103786816269</v>
      </c>
      <c r="N18" s="687">
        <f>'Stock Valuation (FIFO)'!Q21</f>
        <v>754</v>
      </c>
      <c r="O18" s="688">
        <f>'Stock Valuation (FIFO)'!S21</f>
        <v>151076</v>
      </c>
      <c r="P18" s="689">
        <f t="shared" si="4"/>
        <v>200.366047745358</v>
      </c>
      <c r="Q18" s="687">
        <f>'Stock Valuation (FIFO)'!T21</f>
        <v>1037</v>
      </c>
      <c r="R18" s="688">
        <f>'Stock Valuation (FIFO)'!V21</f>
        <v>199769</v>
      </c>
      <c r="S18" s="689">
        <f t="shared" si="15"/>
        <v>192.641272902604</v>
      </c>
      <c r="T18" s="687">
        <f>'Stock Valuation (FIFO)'!W21</f>
        <v>765</v>
      </c>
      <c r="U18" s="688">
        <f>'Stock Valuation (FIFO)'!Y21</f>
        <v>154019</v>
      </c>
      <c r="V18" s="689">
        <f t="shared" si="5"/>
        <v>201.332026143791</v>
      </c>
      <c r="W18" s="687">
        <f>'Stock Valuation (FIFO)'!Z21</f>
        <v>1411</v>
      </c>
      <c r="X18" s="688">
        <f>'Stock Valuation (FIFO)'!AB21</f>
        <v>262979</v>
      </c>
      <c r="Y18" s="689">
        <f>IF(W18=0,0,X18/W18)</f>
        <v>186.377746279235</v>
      </c>
      <c r="Z18" s="687">
        <f>'Stock Valuation (FIFO)'!AC21</f>
        <v>994</v>
      </c>
      <c r="AA18" s="688">
        <f>'Stock Valuation (FIFO)'!AE21</f>
        <v>190871</v>
      </c>
      <c r="AB18" s="689">
        <f>IF(Z18=0,0,AA18/Z18)</f>
        <v>192.023138832998</v>
      </c>
      <c r="AC18" s="783">
        <f>ROUND((AC39),0)</f>
        <v>0</v>
      </c>
      <c r="AD18" s="688">
        <f>ROUND(AD39,0)</f>
        <v>0</v>
      </c>
      <c r="AE18" s="689">
        <f t="shared" si="20"/>
        <v>0</v>
      </c>
      <c r="AF18" s="783">
        <f>ROUND((AF39),0)</f>
        <v>0</v>
      </c>
      <c r="AG18" s="688">
        <f>AG39</f>
        <v>0</v>
      </c>
      <c r="AH18" s="689">
        <f>IF(AF18=0,0,AG18/AF18)</f>
        <v>0</v>
      </c>
      <c r="AI18" s="783">
        <f>AI39</f>
        <v>0</v>
      </c>
      <c r="AJ18" s="688">
        <f>AJ39</f>
        <v>0</v>
      </c>
      <c r="AK18" s="689">
        <f>IF(AI18=0,0,AJ18/AI18)</f>
        <v>0</v>
      </c>
      <c r="AL18" s="687">
        <f>Z18</f>
        <v>994</v>
      </c>
      <c r="AM18" s="688">
        <f>AA18</f>
        <v>190871</v>
      </c>
      <c r="AN18" s="795">
        <f t="shared" si="16"/>
        <v>192.023138832998</v>
      </c>
      <c r="AO18" s="684">
        <f>AL18</f>
        <v>994</v>
      </c>
      <c r="AS18" s="96" t="s">
        <v>815</v>
      </c>
      <c r="AT18" s="97">
        <f>AT16-AT17</f>
        <v>-272460.392029872</v>
      </c>
    </row>
    <row r="19" spans="1:46">
      <c r="A19" s="690" t="s">
        <v>518</v>
      </c>
      <c r="B19" s="672">
        <f>B11+B17-B18</f>
        <v>7743</v>
      </c>
      <c r="C19" s="673">
        <f>C11+C17-C18</f>
        <v>1201222</v>
      </c>
      <c r="D19" s="691">
        <f t="shared" si="21"/>
        <v>155.136510396487</v>
      </c>
      <c r="E19" s="672">
        <f>E11+E17-E18</f>
        <v>8679</v>
      </c>
      <c r="F19" s="673">
        <f>F11+F17-F18</f>
        <v>1432525</v>
      </c>
      <c r="G19" s="691">
        <f t="shared" si="17"/>
        <v>165.056458117295</v>
      </c>
      <c r="H19" s="672">
        <f>H11+H17-H18</f>
        <v>6961.9</v>
      </c>
      <c r="I19" s="673">
        <f>I11+I17-I18</f>
        <v>1160656</v>
      </c>
      <c r="J19" s="691">
        <f t="shared" si="3"/>
        <v>166.715408150074</v>
      </c>
      <c r="K19" s="672">
        <f>K11+K17-K18</f>
        <v>8599</v>
      </c>
      <c r="L19" s="673">
        <f>L11+L17-L18</f>
        <v>1316001</v>
      </c>
      <c r="M19" s="691">
        <f t="shared" si="18"/>
        <v>153.041167577625</v>
      </c>
      <c r="N19" s="672">
        <f>N11+N17-N18</f>
        <v>6416</v>
      </c>
      <c r="O19" s="673">
        <f>O11+O17-O18</f>
        <v>998071</v>
      </c>
      <c r="P19" s="691">
        <f t="shared" si="4"/>
        <v>155.559694513716</v>
      </c>
      <c r="Q19" s="672">
        <f>Q11+Q17-Q18</f>
        <v>5889</v>
      </c>
      <c r="R19" s="673">
        <f>R11+R17-R18</f>
        <v>878925</v>
      </c>
      <c r="S19" s="691">
        <f t="shared" si="15"/>
        <v>149.248599083036</v>
      </c>
      <c r="T19" s="672">
        <f>T11+T17-T18</f>
        <v>7443</v>
      </c>
      <c r="U19" s="673">
        <f>U11+U17-U18</f>
        <v>1188698</v>
      </c>
      <c r="V19" s="691">
        <f t="shared" si="5"/>
        <v>159.706838640333</v>
      </c>
      <c r="W19" s="672">
        <f>W11+W17-W18</f>
        <v>5159.3</v>
      </c>
      <c r="X19" s="673">
        <f>X11+X17-X18</f>
        <v>768606</v>
      </c>
      <c r="Y19" s="691">
        <f>IF(W19=0,0,X19/W19)</f>
        <v>148.974860930746</v>
      </c>
      <c r="Z19" s="672">
        <f>Z11+Z17-Z18</f>
        <v>4340.3</v>
      </c>
      <c r="AA19" s="673">
        <f>AA11+AA17-AA18</f>
        <v>904734</v>
      </c>
      <c r="AB19" s="691">
        <f>IF(Z19=0,0,AA19/Z19)</f>
        <v>208.449646337811</v>
      </c>
      <c r="AC19" s="672">
        <f>AC11+AC17-AC18</f>
        <v>3445</v>
      </c>
      <c r="AD19" s="673">
        <f>AD11+AD17-AD18</f>
        <v>755029</v>
      </c>
      <c r="AE19" s="691">
        <f t="shared" si="20"/>
        <v>219.166618287373</v>
      </c>
      <c r="AF19" s="672">
        <f>AF11+AF17-AF18</f>
        <v>6420</v>
      </c>
      <c r="AG19" s="673">
        <f>AG11+AG17-AG18</f>
        <v>1083342</v>
      </c>
      <c r="AH19" s="691">
        <f>IF(AF19=0,0,AG19/AF19)</f>
        <v>168.744859813084</v>
      </c>
      <c r="AI19" s="672">
        <f>AI11+AI17-AI18</f>
        <v>3930.1</v>
      </c>
      <c r="AJ19" s="673">
        <f>AJ11+AJ17-AJ18</f>
        <v>704952</v>
      </c>
      <c r="AK19" s="691">
        <f>IF(AI19=0,0,AJ19/AI19)</f>
        <v>179.372535049999</v>
      </c>
      <c r="AL19" s="672">
        <f>AL11+AL17-AL18</f>
        <v>76436.6</v>
      </c>
      <c r="AM19" s="803">
        <f>AM11+AM17-AM18</f>
        <v>12201890</v>
      </c>
      <c r="AN19" s="804">
        <f>AM19/AL4</f>
        <v>134.617109501227</v>
      </c>
      <c r="AO19" s="159">
        <f>AO11+AO17-AO18</f>
        <v>80882.6</v>
      </c>
      <c r="AP19" s="159">
        <f>AO19-AL19</f>
        <v>4446</v>
      </c>
      <c r="AQ19" t="e">
        <f>#REF!</f>
        <v>#REF!</v>
      </c>
      <c r="AR19" s="97" t="e">
        <f>AM19-AQ19</f>
        <v>#REF!</v>
      </c>
      <c r="AS19" s="96" t="s">
        <v>816</v>
      </c>
      <c r="AT19" s="832">
        <f>AM25</f>
        <v>3009346</v>
      </c>
    </row>
    <row r="20" spans="1:46">
      <c r="A20" s="692" t="s">
        <v>256</v>
      </c>
      <c r="B20" s="658"/>
      <c r="C20" s="659">
        <v>3432</v>
      </c>
      <c r="D20" s="660">
        <f>IF(C20=0,0,C20/B$4)</f>
        <v>0.443127457246335</v>
      </c>
      <c r="E20" s="658"/>
      <c r="F20" s="659">
        <v>3300</v>
      </c>
      <c r="G20" s="660">
        <f>IF(F20=0,0,F20/E$4)</f>
        <v>0.380228136882129</v>
      </c>
      <c r="H20" s="658"/>
      <c r="I20" s="659">
        <v>3036</v>
      </c>
      <c r="J20" s="660">
        <f>IF(I20=0,0,I20/H$4)</f>
        <v>0.431802019627365</v>
      </c>
      <c r="K20" s="658"/>
      <c r="L20" s="659">
        <v>3779</v>
      </c>
      <c r="M20" s="660">
        <f>IF(L20=0,0,L20/K$4)</f>
        <v>0.443076562316801</v>
      </c>
      <c r="N20" s="658"/>
      <c r="O20" s="659">
        <v>3432</v>
      </c>
      <c r="P20" s="660">
        <f>IF(O20=0,0,O20/N$4)</f>
        <v>0.534912718204489</v>
      </c>
      <c r="Q20" s="658"/>
      <c r="R20" s="659">
        <v>3442</v>
      </c>
      <c r="S20" s="660">
        <f>IF(R20=0,0,R20/Q$4)</f>
        <v>0.585075641679415</v>
      </c>
      <c r="T20" s="658"/>
      <c r="U20" s="659">
        <v>3300</v>
      </c>
      <c r="V20" s="660">
        <f>IF(U20=0,0,U20/T$4)</f>
        <v>0.443012484897302</v>
      </c>
      <c r="W20" s="658"/>
      <c r="X20" s="659">
        <v>3168</v>
      </c>
      <c r="Y20" s="660">
        <f>IF(X20=0,0,X20/W$4)</f>
        <v>0.208716276311889</v>
      </c>
      <c r="Z20" s="658"/>
      <c r="AA20" s="659">
        <v>3219</v>
      </c>
      <c r="AB20" s="660">
        <f>IF(AA20=0,0,AA20/Z$4)</f>
        <v>0.482536351371608</v>
      </c>
      <c r="AC20" s="658"/>
      <c r="AD20" s="659"/>
      <c r="AE20" s="660">
        <f>IF(AD20=0,0,AD20/AC$4)</f>
        <v>0</v>
      </c>
      <c r="AF20" s="658"/>
      <c r="AG20" s="659"/>
      <c r="AH20" s="660">
        <f>IF(AG20=0,0,AG20/AF$4)</f>
        <v>0</v>
      </c>
      <c r="AI20" s="658"/>
      <c r="AJ20" s="659"/>
      <c r="AK20" s="660">
        <f>IF(AJ20=0,0,AJ20/AI$4)</f>
        <v>0</v>
      </c>
      <c r="AL20" s="662"/>
      <c r="AM20" s="809">
        <f>SUM(C20,F20,I20,L20,O20,R20,U20,X20,AA20,AD20,AG20,AJ20)</f>
        <v>30108</v>
      </c>
      <c r="AN20" s="796">
        <f>IF(AM20=0,0,AM20/AL$4)</f>
        <v>0.332165913056334</v>
      </c>
      <c r="AS20" s="96" t="s">
        <v>31</v>
      </c>
      <c r="AT20" s="97">
        <f>AT18-AT19</f>
        <v>-3281806.39202987</v>
      </c>
    </row>
    <row r="21" spans="1:40">
      <c r="A21" s="692" t="s">
        <v>817</v>
      </c>
      <c r="B21" s="658"/>
      <c r="C21" s="659">
        <v>94000</v>
      </c>
      <c r="D21" s="660">
        <f>IF(C21=0,0,C21/B$4)</f>
        <v>12.136940845325</v>
      </c>
      <c r="E21" s="658"/>
      <c r="F21" s="659">
        <v>94000</v>
      </c>
      <c r="G21" s="660">
        <f>IF(F21=0,0,F21/E$4)</f>
        <v>10.8307408687637</v>
      </c>
      <c r="H21" s="658"/>
      <c r="I21" s="659">
        <v>94000</v>
      </c>
      <c r="J21" s="660">
        <f>IF(I21=0,0,I21/H$4)</f>
        <v>13.369364244062</v>
      </c>
      <c r="K21" s="658"/>
      <c r="L21" s="659">
        <v>94000</v>
      </c>
      <c r="M21" s="660">
        <f>IF(L21=0,0,L21/K$4)</f>
        <v>11.0212217141517</v>
      </c>
      <c r="N21" s="658"/>
      <c r="O21" s="659">
        <v>94000</v>
      </c>
      <c r="P21" s="660">
        <f>IF(O21=0,0,O21/N$4)</f>
        <v>14.6508728179551</v>
      </c>
      <c r="Q21" s="658"/>
      <c r="R21" s="659">
        <v>94000</v>
      </c>
      <c r="S21" s="660">
        <f>IF(R21=0,0,R21/Q$4)</f>
        <v>15.9782423933367</v>
      </c>
      <c r="T21" s="658"/>
      <c r="U21" s="659">
        <v>94000</v>
      </c>
      <c r="V21" s="660">
        <f>IF(U21=0,0,U21/T$4)</f>
        <v>12.6191435091959</v>
      </c>
      <c r="W21" s="658"/>
      <c r="X21" s="659">
        <f>'Direct Expns'!Z48-X20</f>
        <v>94000</v>
      </c>
      <c r="Y21" s="660">
        <f>IF(X21=0,0,X21/W$4)</f>
        <v>6.19297031986033</v>
      </c>
      <c r="Z21" s="658"/>
      <c r="AA21" s="659">
        <f>'Direct Expns'!AA48-AA20</f>
        <v>94000</v>
      </c>
      <c r="AB21" s="660">
        <f>IF(AA21=0,0,AA21/Z$4)</f>
        <v>14.0908409533803</v>
      </c>
      <c r="AC21" s="658"/>
      <c r="AD21" s="659"/>
      <c r="AE21" s="660">
        <f>IF(AD21=0,0,AD21/AC$4)</f>
        <v>0</v>
      </c>
      <c r="AF21" s="658"/>
      <c r="AG21" s="659"/>
      <c r="AH21" s="660">
        <f>IF(AG21=0,0,AG21/AF$4)</f>
        <v>0</v>
      </c>
      <c r="AI21" s="658"/>
      <c r="AJ21" s="659"/>
      <c r="AK21" s="660">
        <f>IF(AJ21=0,0,AJ21/AI$4)</f>
        <v>0</v>
      </c>
      <c r="AL21" s="662"/>
      <c r="AM21" s="809">
        <f>SUM(C21,F21,I21,L21,O21,R21,U21,X21,AA21,AD21,AG21,AJ21)</f>
        <v>846000</v>
      </c>
      <c r="AN21" s="796">
        <f>IF(AM21=0,0,AM21/AL$4)</f>
        <v>9.33347822657294</v>
      </c>
    </row>
    <row r="22" spans="1:40">
      <c r="A22" s="693" t="s">
        <v>301</v>
      </c>
      <c r="B22" s="694"/>
      <c r="C22" s="695"/>
      <c r="D22" s="696"/>
      <c r="E22" s="694"/>
      <c r="F22" s="695"/>
      <c r="G22" s="696"/>
      <c r="H22" s="694"/>
      <c r="I22" s="695"/>
      <c r="J22" s="696"/>
      <c r="K22" s="694"/>
      <c r="L22" s="695"/>
      <c r="M22" s="696"/>
      <c r="N22" s="694"/>
      <c r="O22" s="695"/>
      <c r="P22" s="696"/>
      <c r="Q22" s="694"/>
      <c r="R22" s="695"/>
      <c r="S22" s="696"/>
      <c r="T22" s="694"/>
      <c r="U22" s="695"/>
      <c r="V22" s="696"/>
      <c r="W22" s="694"/>
      <c r="X22" s="695"/>
      <c r="Y22" s="696"/>
      <c r="Z22" s="694"/>
      <c r="AA22" s="695"/>
      <c r="AB22" s="696"/>
      <c r="AC22" s="694"/>
      <c r="AD22" s="695"/>
      <c r="AE22" s="696"/>
      <c r="AF22" s="694"/>
      <c r="AG22" s="695"/>
      <c r="AH22" s="696"/>
      <c r="AI22" s="694"/>
      <c r="AJ22" s="695"/>
      <c r="AK22" s="696"/>
      <c r="AL22" s="810"/>
      <c r="AM22" s="809">
        <f>SUM(C22,F22,I22,L22,O22,R22,U22,X22,AA22,AD22,AG22,AJ22)</f>
        <v>0</v>
      </c>
      <c r="AN22" s="796">
        <f>IF(AM22=0,0,AM22/AL$4)</f>
        <v>0</v>
      </c>
    </row>
    <row r="23" ht="14.25" spans="1:40">
      <c r="A23" s="697" t="s">
        <v>818</v>
      </c>
      <c r="B23" s="698"/>
      <c r="C23" s="699"/>
      <c r="D23" s="700">
        <f>IF(C23=0,0,C23/B$4)</f>
        <v>0</v>
      </c>
      <c r="E23" s="698"/>
      <c r="F23" s="699"/>
      <c r="G23" s="700">
        <f>IF(F23=0,0,F23/E$4)</f>
        <v>0</v>
      </c>
      <c r="H23" s="698"/>
      <c r="I23" s="699"/>
      <c r="J23" s="700">
        <f>IF(I23=0,0,I23/H$4)</f>
        <v>0</v>
      </c>
      <c r="K23" s="698"/>
      <c r="L23" s="699"/>
      <c r="M23" s="700">
        <f>IF(L23=0,0,L23/K$4)</f>
        <v>0</v>
      </c>
      <c r="N23" s="698"/>
      <c r="O23" s="699"/>
      <c r="P23" s="700">
        <f>IF(O23=0,0,O23/N$4)</f>
        <v>0</v>
      </c>
      <c r="Q23" s="698"/>
      <c r="R23" s="699"/>
      <c r="S23" s="700">
        <f>IF(R23=0,0,R23/Q$4)</f>
        <v>0</v>
      </c>
      <c r="T23" s="698"/>
      <c r="U23" s="699"/>
      <c r="V23" s="700">
        <f>IF(U23=0,0,U23/T$4)</f>
        <v>0</v>
      </c>
      <c r="W23" s="698"/>
      <c r="X23" s="699"/>
      <c r="Y23" s="700">
        <f>IF(X23=0,0,X23/W$4)</f>
        <v>0</v>
      </c>
      <c r="Z23" s="698"/>
      <c r="AA23" s="699"/>
      <c r="AB23" s="700">
        <f>IF(AA23=0,0,AA23/Z$4)</f>
        <v>0</v>
      </c>
      <c r="AC23" s="698"/>
      <c r="AD23" s="699"/>
      <c r="AE23" s="700">
        <f>IF(AD23=0,0,AD23/AC$4)</f>
        <v>0</v>
      </c>
      <c r="AF23" s="698"/>
      <c r="AG23" s="699"/>
      <c r="AH23" s="700">
        <f>IF(AG23=0,0,AG23/AF$4)</f>
        <v>0</v>
      </c>
      <c r="AI23" s="698"/>
      <c r="AJ23" s="699"/>
      <c r="AK23" s="700">
        <f>IF(AJ23=0,0,AJ23/AI$4)</f>
        <v>0</v>
      </c>
      <c r="AL23" s="811"/>
      <c r="AM23" s="812">
        <f>SUM(C23,F23,I23,L23,O23,R23,U23,X23,AA23,AD23,AG23,AJ23)</f>
        <v>0</v>
      </c>
      <c r="AN23" s="813">
        <f>IF(AM23=0,0,AM23/AL$4)</f>
        <v>0</v>
      </c>
    </row>
    <row r="24" ht="15" spans="1:43">
      <c r="A24" s="701" t="s">
        <v>521</v>
      </c>
      <c r="B24" s="702"/>
      <c r="C24" s="703">
        <f>SUM(C20:C23)</f>
        <v>97432</v>
      </c>
      <c r="D24" s="689">
        <f>IF(C24=0,0,C24/B$4)</f>
        <v>12.5800683025714</v>
      </c>
      <c r="E24" s="702"/>
      <c r="F24" s="703">
        <f>SUM(F20:F23)</f>
        <v>97300</v>
      </c>
      <c r="G24" s="689">
        <f>IF(F24=0,0,F24/E$4)</f>
        <v>11.2109690056458</v>
      </c>
      <c r="H24" s="702"/>
      <c r="I24" s="703">
        <f>SUM(I20:I23)</f>
        <v>97036</v>
      </c>
      <c r="J24" s="689">
        <f>IF(I24=0,0,I24/H$4)</f>
        <v>13.8011662636894</v>
      </c>
      <c r="K24" s="702"/>
      <c r="L24" s="703">
        <f>SUM(L20:L23)</f>
        <v>97779</v>
      </c>
      <c r="M24" s="689">
        <f>IF(L24=0,0,L24/K$4)</f>
        <v>11.4642982764685</v>
      </c>
      <c r="N24" s="702"/>
      <c r="O24" s="703">
        <f>SUM(O20:O23)</f>
        <v>97432</v>
      </c>
      <c r="P24" s="689">
        <f>IF(O24=0,0,O24/N$4)</f>
        <v>15.1857855361596</v>
      </c>
      <c r="Q24" s="702"/>
      <c r="R24" s="703">
        <f>SUM(R20:R23)</f>
        <v>97442</v>
      </c>
      <c r="S24" s="689">
        <f>IF(R24=0,0,R24/Q$4)</f>
        <v>16.5633180350161</v>
      </c>
      <c r="T24" s="702"/>
      <c r="U24" s="703">
        <f>SUM(U20:U23)</f>
        <v>97300</v>
      </c>
      <c r="V24" s="689">
        <f>IF(U24=0,0,U24/T$4)</f>
        <v>13.0621559940932</v>
      </c>
      <c r="W24" s="702"/>
      <c r="X24" s="703">
        <f>SUM(X20:X23)</f>
        <v>97168</v>
      </c>
      <c r="Y24" s="689">
        <f>IF(X24=0,0,X24/W$4)</f>
        <v>6.40168659617222</v>
      </c>
      <c r="Z24" s="702"/>
      <c r="AA24" s="703">
        <f>SUM(AA20:AA23)</f>
        <v>97219</v>
      </c>
      <c r="AB24" s="689">
        <f>IF(AA24=0,0,AA24/Z$4)</f>
        <v>14.5733773047519</v>
      </c>
      <c r="AC24" s="702"/>
      <c r="AD24" s="703">
        <f>SUM(AD20:AD23)</f>
        <v>0</v>
      </c>
      <c r="AE24" s="689">
        <f>IF(AD24=0,0,AD24/AC$4)</f>
        <v>0</v>
      </c>
      <c r="AF24" s="702"/>
      <c r="AG24" s="703">
        <f>SUM(AG20:AG23)</f>
        <v>0</v>
      </c>
      <c r="AH24" s="689">
        <f>IF(AG24=0,0,AG24/AF$4)</f>
        <v>0</v>
      </c>
      <c r="AI24" s="702"/>
      <c r="AJ24" s="703">
        <f>SUM(AJ20:AJ23)</f>
        <v>0</v>
      </c>
      <c r="AK24" s="689">
        <f>IF(AJ24=0,0,AJ24/AI$4)</f>
        <v>0</v>
      </c>
      <c r="AL24" s="814"/>
      <c r="AM24" s="655">
        <f>SUM(AM20:AM23)</f>
        <v>876108</v>
      </c>
      <c r="AN24" s="795">
        <f>IF(AM24=0,0,AM24/AL$4)</f>
        <v>9.66564413962928</v>
      </c>
      <c r="AP24">
        <f>ROUND(((AM24+AM26)/AQ24),0)</f>
        <v>299075</v>
      </c>
      <c r="AQ24">
        <v>3</v>
      </c>
    </row>
    <row r="25" ht="14.25" spans="1:42">
      <c r="A25" s="704" t="s">
        <v>523</v>
      </c>
      <c r="B25" s="705">
        <f>B19-B4</f>
        <v>-1.94999999999982</v>
      </c>
      <c r="C25" s="706">
        <f>C4-(C19+C24)</f>
        <v>78938</v>
      </c>
      <c r="D25" s="707"/>
      <c r="E25" s="705">
        <f>E19-E4</f>
        <v>0</v>
      </c>
      <c r="F25" s="706">
        <f>F4-(F19+F24)</f>
        <v>138815</v>
      </c>
      <c r="G25" s="707"/>
      <c r="H25" s="705">
        <f>H19-H4</f>
        <v>-69.1000000000004</v>
      </c>
      <c r="I25" s="706">
        <f>I4-(I19+I24)</f>
        <v>85197</v>
      </c>
      <c r="J25" s="707"/>
      <c r="K25" s="705">
        <f>K19-K4</f>
        <v>70</v>
      </c>
      <c r="L25" s="706">
        <f>L4-(L19+L24)</f>
        <v>80695</v>
      </c>
      <c r="M25" s="707"/>
      <c r="N25" s="705">
        <f>N19-N4</f>
        <v>0</v>
      </c>
      <c r="O25" s="706">
        <f>O4-(O19+O24)</f>
        <v>59390</v>
      </c>
      <c r="P25" s="707"/>
      <c r="Q25" s="705">
        <f>Q19-Q4</f>
        <v>6</v>
      </c>
      <c r="R25" s="706">
        <f>R4-(R19+R24)</f>
        <v>31706</v>
      </c>
      <c r="S25" s="707"/>
      <c r="T25" s="705">
        <f>T19-T4</f>
        <v>-6</v>
      </c>
      <c r="U25" s="706">
        <f>U4-(U19+U24)</f>
        <v>76369</v>
      </c>
      <c r="V25" s="707"/>
      <c r="W25" s="705">
        <f>W19-W4</f>
        <v>-10019.2</v>
      </c>
      <c r="X25" s="706">
        <f>X4-(X19+X24)</f>
        <v>1257892</v>
      </c>
      <c r="Y25" s="707"/>
      <c r="Z25" s="705">
        <f>Z19-Z4</f>
        <v>-2330.7</v>
      </c>
      <c r="AA25" s="706">
        <f>AA4-(AA19+AA24)</f>
        <v>198372</v>
      </c>
      <c r="AB25" s="707"/>
      <c r="AC25" s="705">
        <f>AC19-AC4</f>
        <v>-967</v>
      </c>
      <c r="AD25" s="706">
        <f>AD4-(AD19+AD24)</f>
        <v>98790</v>
      </c>
      <c r="AE25" s="707"/>
      <c r="AF25" s="705">
        <f>AF19-AF4</f>
        <v>-251</v>
      </c>
      <c r="AG25" s="706">
        <f>AG4-(AG19+AG24)</f>
        <v>170017</v>
      </c>
      <c r="AH25" s="707"/>
      <c r="AI25" s="705">
        <f>AI19-AI4</f>
        <v>-2046.9</v>
      </c>
      <c r="AJ25" s="706">
        <f>AJ4-(AJ19+AJ24)</f>
        <v>542294</v>
      </c>
      <c r="AK25" s="707"/>
      <c r="AL25" s="815">
        <f>AL19-AL4</f>
        <v>-14204.85</v>
      </c>
      <c r="AM25" s="706">
        <f>AM4-(AM19+AM24)</f>
        <v>3009346</v>
      </c>
      <c r="AN25" s="816">
        <f>AM25/AL4</f>
        <v>33.2005500794614</v>
      </c>
      <c r="AP25" s="829">
        <f>AL25/AL19</f>
        <v>-0.185838328758736</v>
      </c>
    </row>
    <row r="26" spans="1:40">
      <c r="A26" s="708" t="s">
        <v>819</v>
      </c>
      <c r="B26" s="709"/>
      <c r="C26" s="97">
        <f>ROUND((C39*2%),0)</f>
        <v>2737</v>
      </c>
      <c r="D26" s="710"/>
      <c r="E26" s="709">
        <f>E25/E19</f>
        <v>0</v>
      </c>
      <c r="F26" s="212">
        <f>ROUND((F39*2%),0)</f>
        <v>2833</v>
      </c>
      <c r="H26" s="709">
        <f>H25/H19</f>
        <v>-0.00992545138539772</v>
      </c>
      <c r="I26" s="97">
        <f>ROUND((I39*2%),0)</f>
        <v>2554</v>
      </c>
      <c r="K26" s="709">
        <f>K25/K19</f>
        <v>0.00814048145133155</v>
      </c>
      <c r="L26" s="761">
        <f>ROUND((L39*2%),0)</f>
        <v>2896</v>
      </c>
      <c r="N26" s="709">
        <f>N25/N19</f>
        <v>0</v>
      </c>
      <c r="O26" s="773">
        <f>ROUND((O39*2%),0)</f>
        <v>3022</v>
      </c>
      <c r="Q26" s="709">
        <f>Q25/Q19</f>
        <v>0.00101884870096791</v>
      </c>
      <c r="R26" s="97">
        <f>ROUND((R39*2%),0)</f>
        <v>3995</v>
      </c>
      <c r="T26" s="709">
        <f>T25/T19</f>
        <v>-0.000806126561870214</v>
      </c>
      <c r="U26" s="97">
        <f>ROUND((U39*2%),0)</f>
        <v>3080</v>
      </c>
      <c r="W26" s="709">
        <f>W25/W19</f>
        <v>-1.94196887174617</v>
      </c>
      <c r="X26" s="97">
        <f>ROUND((X39*2%),0)</f>
        <v>0</v>
      </c>
      <c r="Z26" s="709">
        <f>Z25/Z19</f>
        <v>-0.536990530608483</v>
      </c>
      <c r="AA26" s="97">
        <f>ROUND((AA39*2%),0)</f>
        <v>0</v>
      </c>
      <c r="AC26" s="709"/>
      <c r="AD26" s="97">
        <f>ROUND((AD39*2%),0)</f>
        <v>0</v>
      </c>
      <c r="AF26" s="709">
        <f>AF25/AF19</f>
        <v>-0.0390965732087227</v>
      </c>
      <c r="AG26" s="97">
        <f>ROUND((AG39*2%),0)</f>
        <v>0</v>
      </c>
      <c r="AJ26" s="97">
        <f>ROUND((AJ39*2%),0)</f>
        <v>0</v>
      </c>
      <c r="AL26" s="709">
        <f>AL25/AL19</f>
        <v>-0.185838328758736</v>
      </c>
      <c r="AM26" s="817">
        <f>SUM(C26,F26,I26,L26,O26,R26,U26,X26,AA26,AD26,AG26,AJ26)</f>
        <v>21117</v>
      </c>
      <c r="AN26" s="818">
        <f>AM26/AL4</f>
        <v>0.232972883818606</v>
      </c>
    </row>
    <row r="27" ht="14.25" spans="1:41">
      <c r="A27" s="711"/>
      <c r="B27" s="712"/>
      <c r="C27" s="713">
        <f>C25-C26</f>
        <v>76201</v>
      </c>
      <c r="D27" s="714"/>
      <c r="E27" s="714"/>
      <c r="F27" s="748">
        <f>F25-F26</f>
        <v>135982</v>
      </c>
      <c r="G27" s="714"/>
      <c r="H27" s="714"/>
      <c r="I27" s="748">
        <f>I25-I26</f>
        <v>82643</v>
      </c>
      <c r="J27" s="714"/>
      <c r="K27" s="762"/>
      <c r="L27" s="763">
        <f>L25-L26</f>
        <v>77799</v>
      </c>
      <c r="M27" s="763"/>
      <c r="N27" s="763"/>
      <c r="O27" s="774">
        <f>O25-O26</f>
        <v>56368</v>
      </c>
      <c r="P27" s="763"/>
      <c r="Q27" s="763"/>
      <c r="R27" s="763">
        <f>R25-R26</f>
        <v>27711</v>
      </c>
      <c r="S27" s="714"/>
      <c r="T27" s="714"/>
      <c r="U27" s="714">
        <f>U25-U26</f>
        <v>73289</v>
      </c>
      <c r="V27" s="714"/>
      <c r="W27" s="714"/>
      <c r="X27" s="714">
        <f>X25-X26</f>
        <v>1257892</v>
      </c>
      <c r="Y27" s="714"/>
      <c r="Z27" s="714"/>
      <c r="AA27" s="714">
        <f>AA25-AA26</f>
        <v>198372</v>
      </c>
      <c r="AB27" s="714"/>
      <c r="AC27" s="714"/>
      <c r="AD27" s="714">
        <f>AD25-AD26</f>
        <v>98790</v>
      </c>
      <c r="AE27" s="714"/>
      <c r="AF27" s="714"/>
      <c r="AG27" s="714">
        <f>AG25-AG26</f>
        <v>170017</v>
      </c>
      <c r="AH27" s="714"/>
      <c r="AI27" s="714"/>
      <c r="AJ27" s="714">
        <f>AJ25-AJ26</f>
        <v>542294</v>
      </c>
      <c r="AK27" s="714"/>
      <c r="AL27" s="762"/>
      <c r="AM27" s="763">
        <f>AM25-AM26</f>
        <v>2988229</v>
      </c>
      <c r="AN27" s="819">
        <f>AM27/AL4</f>
        <v>32.9675771956428</v>
      </c>
      <c r="AO27" s="829">
        <f>AM27/AM4</f>
        <v>0.185750301603546</v>
      </c>
    </row>
    <row r="28" spans="15:39">
      <c r="O28" s="773"/>
      <c r="AM28" s="820"/>
    </row>
    <row r="29" spans="6:39">
      <c r="F29" s="749">
        <f>C27+F27</f>
        <v>212183</v>
      </c>
      <c r="I29" s="97">
        <f>F29+I27</f>
        <v>294826</v>
      </c>
      <c r="L29" s="761">
        <f>I29+L27</f>
        <v>372625</v>
      </c>
      <c r="O29" s="773">
        <f>L29+O27</f>
        <v>428993</v>
      </c>
      <c r="R29" s="97">
        <f>O29+R27</f>
        <v>456704</v>
      </c>
      <c r="U29" s="97">
        <f>R29+U27</f>
        <v>529993</v>
      </c>
      <c r="X29" s="97">
        <f>U29+X27</f>
        <v>1787885</v>
      </c>
      <c r="AA29" s="97">
        <f>X29+AA27</f>
        <v>1986257</v>
      </c>
      <c r="AD29" s="97">
        <f>AA29+AD27</f>
        <v>2085047</v>
      </c>
      <c r="AG29" s="97">
        <f>AD29+AG27</f>
        <v>2255064</v>
      </c>
      <c r="AJ29" s="97">
        <f>AG29+AJ27</f>
        <v>2797358</v>
      </c>
      <c r="AM29" s="821">
        <f>AM27-AJ29</f>
        <v>190871</v>
      </c>
    </row>
    <row r="30" spans="34:34">
      <c r="AH30" t="s">
        <v>197</v>
      </c>
    </row>
    <row r="31" ht="14.25" spans="1:1">
      <c r="A31" s="230" t="s">
        <v>820</v>
      </c>
    </row>
    <row r="32" spans="1:40">
      <c r="A32" s="715" t="s">
        <v>51</v>
      </c>
      <c r="B32" s="646" t="s">
        <v>17</v>
      </c>
      <c r="C32" s="647"/>
      <c r="D32" s="648"/>
      <c r="E32" s="744" t="s">
        <v>18</v>
      </c>
      <c r="F32" s="745"/>
      <c r="G32" s="746"/>
      <c r="H32" s="646" t="s">
        <v>19</v>
      </c>
      <c r="I32" s="647"/>
      <c r="J32" s="648"/>
      <c r="K32" s="756" t="s">
        <v>20</v>
      </c>
      <c r="L32" s="757"/>
      <c r="M32" s="771"/>
      <c r="N32" s="646" t="s">
        <v>21</v>
      </c>
      <c r="O32" s="647"/>
      <c r="P32" s="648"/>
      <c r="Q32" s="744" t="s">
        <v>22</v>
      </c>
      <c r="R32" s="745"/>
      <c r="S32" s="746"/>
      <c r="T32" s="646" t="s">
        <v>23</v>
      </c>
      <c r="U32" s="647"/>
      <c r="V32" s="648"/>
      <c r="W32" s="744" t="s">
        <v>24</v>
      </c>
      <c r="X32" s="745"/>
      <c r="Y32" s="746"/>
      <c r="Z32" s="744" t="s">
        <v>25</v>
      </c>
      <c r="AA32" s="745"/>
      <c r="AB32" s="746"/>
      <c r="AC32" s="744" t="s">
        <v>26</v>
      </c>
      <c r="AD32" s="745"/>
      <c r="AE32" s="746"/>
      <c r="AF32" s="744" t="s">
        <v>27</v>
      </c>
      <c r="AG32" s="745"/>
      <c r="AH32" s="745"/>
      <c r="AI32" s="744" t="s">
        <v>28</v>
      </c>
      <c r="AJ32" s="745"/>
      <c r="AK32" s="746"/>
      <c r="AL32" s="744" t="s">
        <v>409</v>
      </c>
      <c r="AM32" s="745"/>
      <c r="AN32" s="746"/>
    </row>
    <row r="33" ht="14.25" spans="1:40">
      <c r="A33" s="716"/>
      <c r="B33" s="650" t="s">
        <v>371</v>
      </c>
      <c r="C33" s="651" t="s">
        <v>146</v>
      </c>
      <c r="D33" s="652" t="s">
        <v>55</v>
      </c>
      <c r="E33" s="650" t="s">
        <v>371</v>
      </c>
      <c r="F33" s="651" t="s">
        <v>146</v>
      </c>
      <c r="G33" s="652" t="s">
        <v>55</v>
      </c>
      <c r="H33" s="650" t="s">
        <v>371</v>
      </c>
      <c r="I33" s="651" t="s">
        <v>146</v>
      </c>
      <c r="J33" s="652" t="s">
        <v>55</v>
      </c>
      <c r="K33" s="758" t="s">
        <v>371</v>
      </c>
      <c r="L33" s="759" t="s">
        <v>146</v>
      </c>
      <c r="M33" s="772" t="s">
        <v>55</v>
      </c>
      <c r="N33" s="650" t="s">
        <v>371</v>
      </c>
      <c r="O33" s="651" t="s">
        <v>146</v>
      </c>
      <c r="P33" s="652" t="s">
        <v>55</v>
      </c>
      <c r="Q33" s="650" t="s">
        <v>371</v>
      </c>
      <c r="R33" s="651" t="s">
        <v>146</v>
      </c>
      <c r="S33" s="652" t="s">
        <v>55</v>
      </c>
      <c r="T33" s="650" t="s">
        <v>371</v>
      </c>
      <c r="U33" s="651" t="s">
        <v>146</v>
      </c>
      <c r="V33" s="652" t="s">
        <v>55</v>
      </c>
      <c r="W33" s="650" t="s">
        <v>371</v>
      </c>
      <c r="X33" s="651" t="s">
        <v>146</v>
      </c>
      <c r="Y33" s="652" t="s">
        <v>55</v>
      </c>
      <c r="Z33" s="781" t="s">
        <v>371</v>
      </c>
      <c r="AA33" s="651" t="s">
        <v>146</v>
      </c>
      <c r="AB33" s="652" t="s">
        <v>55</v>
      </c>
      <c r="AC33" s="650" t="s">
        <v>371</v>
      </c>
      <c r="AD33" s="651" t="s">
        <v>146</v>
      </c>
      <c r="AE33" s="652" t="s">
        <v>55</v>
      </c>
      <c r="AF33" s="650" t="s">
        <v>371</v>
      </c>
      <c r="AG33" s="651" t="s">
        <v>146</v>
      </c>
      <c r="AH33" s="652" t="s">
        <v>55</v>
      </c>
      <c r="AI33" s="650" t="s">
        <v>371</v>
      </c>
      <c r="AJ33" s="651" t="s">
        <v>146</v>
      </c>
      <c r="AK33" s="652" t="s">
        <v>55</v>
      </c>
      <c r="AL33" s="792" t="s">
        <v>371</v>
      </c>
      <c r="AM33" s="794" t="s">
        <v>146</v>
      </c>
      <c r="AN33" s="794" t="s">
        <v>55</v>
      </c>
    </row>
    <row r="34" spans="1:40">
      <c r="A34" s="717" t="s">
        <v>42</v>
      </c>
      <c r="B34" s="658">
        <f>'Stock Valuation (FIFO)'!E15</f>
        <v>387</v>
      </c>
      <c r="C34" s="89">
        <f>'Stock Valuation (FIFO)'!G15</f>
        <v>82580</v>
      </c>
      <c r="D34" s="253">
        <f>IF(C34=0,0,C34/B34)</f>
        <v>213.385012919897</v>
      </c>
      <c r="E34" s="658">
        <f>'Stock Valuation (FIFO)'!H15</f>
        <v>387</v>
      </c>
      <c r="F34" s="89">
        <f>'Stock Valuation (FIFO)'!J15</f>
        <v>83205</v>
      </c>
      <c r="G34" s="253">
        <f>IF(F34=0,0,F34/E34)</f>
        <v>215</v>
      </c>
      <c r="H34" s="658">
        <f>'Stock Valuation (FIFO)'!K15</f>
        <v>387</v>
      </c>
      <c r="I34" s="89">
        <f>'Stock Valuation (FIFO)'!M15</f>
        <v>83205</v>
      </c>
      <c r="J34" s="253">
        <f>IF(I34=0,0,I34/H34)</f>
        <v>215</v>
      </c>
      <c r="K34" s="658">
        <f>'Stock Valuation (FIFO)'!N15</f>
        <v>387</v>
      </c>
      <c r="L34" s="89">
        <f>'Stock Valuation (FIFO)'!P15</f>
        <v>83205</v>
      </c>
      <c r="M34" s="253">
        <f>IF(L34=0,0,L34/K34)</f>
        <v>215</v>
      </c>
      <c r="N34" s="658">
        <f>'Stock Valuation (FIFO)'!Q15</f>
        <v>387</v>
      </c>
      <c r="O34" s="89">
        <f>'Stock Valuation (FIFO)'!S15</f>
        <v>83205</v>
      </c>
      <c r="P34" s="253">
        <f>IF(O34=0,0,O34/N34)</f>
        <v>215</v>
      </c>
      <c r="Q34" s="658">
        <f>'Stock Valuation (FIFO)'!T15</f>
        <v>387</v>
      </c>
      <c r="R34" s="89">
        <f>'Stock Valuation (FIFO)'!V15</f>
        <v>83205</v>
      </c>
      <c r="S34" s="253">
        <f>IF(R34=0,0,R34/Q34)</f>
        <v>215</v>
      </c>
      <c r="T34" s="658">
        <f>'Stock Valuation (FIFO)'!W15</f>
        <v>387</v>
      </c>
      <c r="U34" s="89">
        <f>'Stock Valuation (FIFO)'!Y15</f>
        <v>85140</v>
      </c>
      <c r="V34" s="253">
        <f>IF(U34=0,0,U34/T34)</f>
        <v>220</v>
      </c>
      <c r="W34" s="658"/>
      <c r="X34" s="89"/>
      <c r="Y34" s="253">
        <f>IF(X34=0,0,X34/W34)</f>
        <v>0</v>
      </c>
      <c r="Z34" s="658"/>
      <c r="AA34" s="89"/>
      <c r="AB34" s="253">
        <f>IF(AA34=0,0,AA34/Z34)</f>
        <v>0</v>
      </c>
      <c r="AC34" s="658"/>
      <c r="AD34" s="89"/>
      <c r="AE34" s="253">
        <f>IF(AD34=0,0,AD34/AC34)</f>
        <v>0</v>
      </c>
      <c r="AF34" s="658"/>
      <c r="AG34" s="89"/>
      <c r="AH34" s="253">
        <f>IF(AG34=0,0,AG34/AF34)</f>
        <v>0</v>
      </c>
      <c r="AI34" s="658"/>
      <c r="AJ34" s="89"/>
      <c r="AK34" s="253">
        <f>IF(AJ34=0,0,AJ34/AI34)</f>
        <v>0</v>
      </c>
      <c r="AL34" s="822">
        <f>SUM(AI34)</f>
        <v>0</v>
      </c>
      <c r="AM34" s="90">
        <f>SUM(AJ34)</f>
        <v>0</v>
      </c>
      <c r="AN34" s="660">
        <f>IF(AL34=0,0,AM34/AL34)</f>
        <v>0</v>
      </c>
    </row>
    <row r="35" spans="1:40">
      <c r="A35" s="717" t="s">
        <v>41</v>
      </c>
      <c r="B35" s="658">
        <f>'Stock Valuation (FIFO)'!E16</f>
        <v>257</v>
      </c>
      <c r="C35" s="89">
        <f>'Stock Valuation (FIFO)'!G16</f>
        <v>46859</v>
      </c>
      <c r="D35" s="253">
        <f t="shared" ref="D35:D39" si="22">IF(C35=0,0,C35/B35)</f>
        <v>182.330739299611</v>
      </c>
      <c r="E35" s="658">
        <f>'Stock Valuation (FIFO)'!H16</f>
        <v>257</v>
      </c>
      <c r="F35" s="89">
        <f>'Stock Valuation (FIFO)'!J16</f>
        <v>52280</v>
      </c>
      <c r="G35" s="253">
        <f>IF(F35=0,0,F35/E35)</f>
        <v>203.424124513619</v>
      </c>
      <c r="H35" s="658">
        <f>'Stock Valuation (FIFO)'!K16</f>
        <v>257</v>
      </c>
      <c r="I35" s="89">
        <f>'Stock Valuation (FIFO)'!M16</f>
        <v>40026</v>
      </c>
      <c r="J35" s="253">
        <f t="shared" ref="J35:J39" si="23">IF(I35=0,0,I35/H35)</f>
        <v>155.743190661479</v>
      </c>
      <c r="K35" s="658">
        <f>'Stock Valuation (FIFO)'!N16</f>
        <v>197</v>
      </c>
      <c r="L35" s="89">
        <f>'Stock Valuation (FIFO)'!P16</f>
        <v>39532</v>
      </c>
      <c r="M35" s="253">
        <f t="shared" ref="M35:M39" si="24">IF(L35=0,0,L35/K35)</f>
        <v>200.670050761421</v>
      </c>
      <c r="N35" s="658">
        <f>'Stock Valuation (FIFO)'!Q16</f>
        <v>197</v>
      </c>
      <c r="O35" s="89">
        <f>'Stock Valuation (FIFO)'!S16</f>
        <v>39532</v>
      </c>
      <c r="P35" s="253">
        <f t="shared" ref="P35:P39" si="25">IF(O35=0,0,O35/N35)</f>
        <v>200.670050761421</v>
      </c>
      <c r="Q35" s="658">
        <f>'Stock Valuation (FIFO)'!T16</f>
        <v>183</v>
      </c>
      <c r="R35" s="89">
        <f>'Stock Valuation (FIFO)'!V16</f>
        <v>36623</v>
      </c>
      <c r="S35" s="253">
        <f t="shared" ref="S35:S39" si="26">IF(R35=0,0,R35/Q35)</f>
        <v>200.125683060109</v>
      </c>
      <c r="T35" s="658">
        <f>'Stock Valuation (FIFO)'!W16</f>
        <v>183</v>
      </c>
      <c r="U35" s="89">
        <f>'Stock Valuation (FIFO)'!Y16</f>
        <v>36475</v>
      </c>
      <c r="V35" s="253">
        <f t="shared" ref="V35:V39" si="27">IF(U35=0,0,U35/T35)</f>
        <v>199.31693989071</v>
      </c>
      <c r="W35" s="658"/>
      <c r="X35" s="89"/>
      <c r="Y35" s="253">
        <f t="shared" ref="Y35:Y39" si="28">IF(X35=0,0,X35/W35)</f>
        <v>0</v>
      </c>
      <c r="Z35" s="658"/>
      <c r="AA35" s="89"/>
      <c r="AB35" s="253">
        <f t="shared" ref="AB35:AB39" si="29">IF(AA35=0,0,AA35/Z35)</f>
        <v>0</v>
      </c>
      <c r="AC35" s="658"/>
      <c r="AD35" s="89"/>
      <c r="AE35" s="253">
        <f t="shared" ref="AE35:AE39" si="30">IF(AD35=0,0,AD35/AC35)</f>
        <v>0</v>
      </c>
      <c r="AF35" s="658"/>
      <c r="AG35" s="788"/>
      <c r="AH35" s="253">
        <f t="shared" ref="AH35:AH39" si="31">IF(AG35=0,0,AG35/AF35)</f>
        <v>0</v>
      </c>
      <c r="AI35" s="658"/>
      <c r="AJ35" s="89"/>
      <c r="AK35" s="253">
        <f t="shared" ref="AK35:AK39" si="32">IF(AJ35=0,0,AJ35/AI35)</f>
        <v>0</v>
      </c>
      <c r="AL35" s="822">
        <f>SUM(AI35)</f>
        <v>0</v>
      </c>
      <c r="AM35" s="90">
        <f>AJ35</f>
        <v>0</v>
      </c>
      <c r="AN35" s="660">
        <f>IF(AL35=0,0,AM35/AL35)</f>
        <v>0</v>
      </c>
    </row>
    <row r="36" spans="1:40">
      <c r="A36" s="718" t="s">
        <v>44</v>
      </c>
      <c r="B36" s="658">
        <f>'Stock Valuation (FIFO)'!E17</f>
        <v>47</v>
      </c>
      <c r="C36" s="89">
        <f>'Stock Valuation (FIFO)'!G17</f>
        <v>7425</v>
      </c>
      <c r="D36" s="253">
        <f t="shared" si="22"/>
        <v>157.978723404255</v>
      </c>
      <c r="E36" s="658">
        <f>'Stock Valuation (FIFO)'!H17</f>
        <v>36</v>
      </c>
      <c r="F36" s="89">
        <f>'Stock Valuation (FIFO)'!J17</f>
        <v>6173</v>
      </c>
      <c r="G36" s="253">
        <f t="shared" ref="G36:G39" si="33">IF(F36=0,0,F36/E36)</f>
        <v>171.472222222222</v>
      </c>
      <c r="H36" s="658">
        <f>'Stock Valuation (FIFO)'!K17</f>
        <v>36</v>
      </c>
      <c r="I36" s="89">
        <f>'Stock Valuation (FIFO)'!M17</f>
        <v>4463</v>
      </c>
      <c r="J36" s="253">
        <f t="shared" si="23"/>
        <v>123.972222222222</v>
      </c>
      <c r="K36" s="658">
        <f>'Stock Valuation (FIFO)'!N17</f>
        <v>129</v>
      </c>
      <c r="L36" s="89">
        <f>'Stock Valuation (FIFO)'!P17</f>
        <v>22076</v>
      </c>
      <c r="M36" s="253">
        <f t="shared" si="24"/>
        <v>171.131782945736</v>
      </c>
      <c r="N36" s="658">
        <f>'Stock Valuation (FIFO)'!Q17</f>
        <v>153</v>
      </c>
      <c r="O36" s="89">
        <f>'Stock Valuation (FIFO)'!S17</f>
        <v>26180</v>
      </c>
      <c r="P36" s="253">
        <f t="shared" si="25"/>
        <v>171.111111111111</v>
      </c>
      <c r="Q36" s="658">
        <f>'Stock Valuation (FIFO)'!T17</f>
        <v>450</v>
      </c>
      <c r="R36" s="89">
        <f>'Stock Valuation (FIFO)'!V17</f>
        <v>76967</v>
      </c>
      <c r="S36" s="253">
        <f t="shared" si="26"/>
        <v>171.037777777778</v>
      </c>
      <c r="T36" s="658">
        <f>'Stock Valuation (FIFO)'!W17</f>
        <v>172</v>
      </c>
      <c r="U36" s="89">
        <f>'Stock Valuation (FIFO)'!Y17</f>
        <v>29429</v>
      </c>
      <c r="V36" s="253">
        <f t="shared" si="27"/>
        <v>171.098837209302</v>
      </c>
      <c r="W36" s="658"/>
      <c r="X36" s="89"/>
      <c r="Y36" s="253">
        <f t="shared" si="28"/>
        <v>0</v>
      </c>
      <c r="Z36" s="658"/>
      <c r="AA36" s="89"/>
      <c r="AB36" s="253">
        <f t="shared" si="29"/>
        <v>0</v>
      </c>
      <c r="AC36" s="658"/>
      <c r="AD36" s="89"/>
      <c r="AE36" s="253">
        <f t="shared" si="30"/>
        <v>0</v>
      </c>
      <c r="AF36" s="658"/>
      <c r="AG36" s="89"/>
      <c r="AH36" s="253">
        <f t="shared" si="31"/>
        <v>0</v>
      </c>
      <c r="AI36" s="658"/>
      <c r="AJ36" s="89"/>
      <c r="AK36" s="253">
        <f t="shared" si="32"/>
        <v>0</v>
      </c>
      <c r="AL36" s="822"/>
      <c r="AM36" s="94"/>
      <c r="AN36" s="660"/>
    </row>
    <row r="37" spans="1:40">
      <c r="A37" s="718" t="s">
        <v>821</v>
      </c>
      <c r="B37" s="658">
        <f>'Stock Valuation (FIFO)'!E18</f>
        <v>0</v>
      </c>
      <c r="C37" s="89">
        <f>'Stock Valuation (FIFO)'!G18</f>
        <v>0</v>
      </c>
      <c r="D37" s="253">
        <f t="shared" si="22"/>
        <v>0</v>
      </c>
      <c r="E37" s="658">
        <f>'Stock Valuation (FIFO)'!H18</f>
        <v>0</v>
      </c>
      <c r="F37" s="89">
        <f>'Stock Valuation (FIFO)'!J18</f>
        <v>0</v>
      </c>
      <c r="G37" s="253">
        <f t="shared" si="33"/>
        <v>0</v>
      </c>
      <c r="H37" s="658">
        <f>'Stock Valuation (FIFO)'!K18</f>
        <v>0</v>
      </c>
      <c r="I37" s="89">
        <f>'Stock Valuation (FIFO)'!M18</f>
        <v>0</v>
      </c>
      <c r="J37" s="253">
        <f t="shared" si="23"/>
        <v>0</v>
      </c>
      <c r="K37" s="658">
        <f>'Stock Valuation (FIFO)'!N18</f>
        <v>0</v>
      </c>
      <c r="L37" s="89">
        <f>'Stock Valuation (FIFO)'!P18</f>
        <v>0</v>
      </c>
      <c r="M37" s="253">
        <f t="shared" si="24"/>
        <v>0</v>
      </c>
      <c r="N37" s="658">
        <f>'Stock Valuation (FIFO)'!Q18</f>
        <v>0</v>
      </c>
      <c r="O37" s="89">
        <f>'Stock Valuation (FIFO)'!S18</f>
        <v>0</v>
      </c>
      <c r="P37" s="253">
        <f t="shared" si="25"/>
        <v>0</v>
      </c>
      <c r="Q37" s="658"/>
      <c r="R37" s="89"/>
      <c r="S37" s="253">
        <f t="shared" si="26"/>
        <v>0</v>
      </c>
      <c r="T37" s="658"/>
      <c r="U37" s="89"/>
      <c r="V37" s="253">
        <f t="shared" si="27"/>
        <v>0</v>
      </c>
      <c r="W37" s="658"/>
      <c r="X37" s="89"/>
      <c r="Y37" s="253">
        <f t="shared" si="28"/>
        <v>0</v>
      </c>
      <c r="Z37" s="658"/>
      <c r="AA37" s="89"/>
      <c r="AB37" s="253">
        <f t="shared" si="29"/>
        <v>0</v>
      </c>
      <c r="AC37" s="658"/>
      <c r="AD37" s="89"/>
      <c r="AE37" s="253">
        <f t="shared" si="30"/>
        <v>0</v>
      </c>
      <c r="AF37" s="658"/>
      <c r="AG37" s="89"/>
      <c r="AH37" s="253">
        <f t="shared" si="31"/>
        <v>0</v>
      </c>
      <c r="AI37" s="658"/>
      <c r="AJ37" s="89"/>
      <c r="AK37" s="253">
        <f t="shared" si="32"/>
        <v>0</v>
      </c>
      <c r="AL37" s="822">
        <f>SUM(AI37)</f>
        <v>0</v>
      </c>
      <c r="AM37" s="94"/>
      <c r="AN37" s="660">
        <f>IF(AL37=0,0,AM37/AL37)</f>
        <v>0</v>
      </c>
    </row>
    <row r="38" ht="14.25" spans="1:40">
      <c r="A38" s="719" t="s">
        <v>169</v>
      </c>
      <c r="B38" s="658">
        <f>'Stock Valuation (FIFO)'!E19</f>
        <v>0</v>
      </c>
      <c r="C38" s="89">
        <f>'Stock Valuation (FIFO)'!G19</f>
        <v>0</v>
      </c>
      <c r="D38" s="720">
        <f t="shared" si="22"/>
        <v>0</v>
      </c>
      <c r="E38" s="658">
        <f>'Stock Valuation (FIFO)'!H19</f>
        <v>0</v>
      </c>
      <c r="F38" s="89">
        <f>'Stock Valuation (FIFO)'!J19</f>
        <v>0</v>
      </c>
      <c r="G38" s="720">
        <f t="shared" si="33"/>
        <v>0</v>
      </c>
      <c r="H38" s="658">
        <f>'Stock Valuation (FIFO)'!K19</f>
        <v>0</v>
      </c>
      <c r="I38" s="89">
        <f>'Stock Valuation (FIFO)'!M19</f>
        <v>0</v>
      </c>
      <c r="J38" s="720">
        <f t="shared" si="23"/>
        <v>0</v>
      </c>
      <c r="K38" s="658">
        <f>'Stock Valuation (FIFO)'!N19</f>
        <v>0</v>
      </c>
      <c r="L38" s="89">
        <f>'Stock Valuation (FIFO)'!P19</f>
        <v>0</v>
      </c>
      <c r="M38" s="720">
        <f t="shared" si="24"/>
        <v>0</v>
      </c>
      <c r="N38" s="658">
        <f>'Stock Valuation (FIFO)'!Q19</f>
        <v>17</v>
      </c>
      <c r="O38" s="89">
        <f>'Stock Valuation (FIFO)'!S19</f>
        <v>2159</v>
      </c>
      <c r="P38" s="720">
        <f t="shared" si="25"/>
        <v>127</v>
      </c>
      <c r="Q38" s="694">
        <f>'Stock Valuation (FIFO)'!T19</f>
        <v>17</v>
      </c>
      <c r="R38" s="179">
        <f>'Stock Valuation (FIFO)'!V19</f>
        <v>2974</v>
      </c>
      <c r="S38" s="720">
        <f t="shared" si="26"/>
        <v>174.941176470588</v>
      </c>
      <c r="T38" s="694">
        <f>'Stock Valuation (FIFO)'!W19</f>
        <v>23</v>
      </c>
      <c r="U38" s="179">
        <f>'Stock Valuation (FIFO)'!Y19</f>
        <v>2975</v>
      </c>
      <c r="V38" s="720">
        <f t="shared" si="27"/>
        <v>129.347826086957</v>
      </c>
      <c r="W38" s="694"/>
      <c r="X38" s="179"/>
      <c r="Y38" s="720">
        <f t="shared" si="28"/>
        <v>0</v>
      </c>
      <c r="Z38" s="694"/>
      <c r="AA38" s="179"/>
      <c r="AB38" s="720">
        <f t="shared" si="29"/>
        <v>0</v>
      </c>
      <c r="AC38" s="694"/>
      <c r="AD38" s="179"/>
      <c r="AE38" s="720">
        <f t="shared" si="30"/>
        <v>0</v>
      </c>
      <c r="AF38" s="694"/>
      <c r="AG38" s="179"/>
      <c r="AH38" s="720">
        <f t="shared" si="31"/>
        <v>0</v>
      </c>
      <c r="AI38" s="694"/>
      <c r="AJ38" s="179"/>
      <c r="AK38" s="720">
        <f t="shared" si="32"/>
        <v>0</v>
      </c>
      <c r="AL38" s="822">
        <f>SUM(AI38)</f>
        <v>0</v>
      </c>
      <c r="AM38" s="94"/>
      <c r="AN38" s="691">
        <f>IF(AL38=0,0,AM38/AL38)</f>
        <v>0</v>
      </c>
    </row>
    <row r="39" ht="14.25" spans="1:40">
      <c r="A39" s="721" t="s">
        <v>52</v>
      </c>
      <c r="B39" s="722">
        <f>SUM(B34:B38)</f>
        <v>691</v>
      </c>
      <c r="C39" s="723">
        <f>ROUND(SUM(C34:C38),0)</f>
        <v>136864</v>
      </c>
      <c r="D39" s="724">
        <f t="shared" si="22"/>
        <v>198.066570188133</v>
      </c>
      <c r="E39" s="722">
        <f>SUM(E34:E38)</f>
        <v>680</v>
      </c>
      <c r="F39" s="723">
        <f>SUM(F34:F38)</f>
        <v>141658</v>
      </c>
      <c r="G39" s="724">
        <f t="shared" si="33"/>
        <v>208.320588235294</v>
      </c>
      <c r="H39" s="722">
        <f>SUM(H34:H38)</f>
        <v>680</v>
      </c>
      <c r="I39" s="723">
        <f>SUM(I34:I38)</f>
        <v>127694</v>
      </c>
      <c r="J39" s="724">
        <f t="shared" si="23"/>
        <v>187.785294117647</v>
      </c>
      <c r="K39" s="722">
        <f>SUM(K34:K38)</f>
        <v>713</v>
      </c>
      <c r="L39" s="723">
        <f>ROUND(SUM(L34:L38),0)</f>
        <v>144813</v>
      </c>
      <c r="M39" s="724">
        <f t="shared" si="24"/>
        <v>203.103786816269</v>
      </c>
      <c r="N39" s="722">
        <f>SUM(N34:N38)</f>
        <v>754</v>
      </c>
      <c r="O39" s="723">
        <f>ROUND(SUM(O34:O38),0)</f>
        <v>151076</v>
      </c>
      <c r="P39" s="724">
        <f t="shared" si="25"/>
        <v>200.366047745358</v>
      </c>
      <c r="Q39" s="722">
        <f>SUM(Q34:Q38)</f>
        <v>1037</v>
      </c>
      <c r="R39" s="723">
        <f>SUM(R34:R38)</f>
        <v>199769</v>
      </c>
      <c r="S39" s="724">
        <f t="shared" si="26"/>
        <v>192.641272902604</v>
      </c>
      <c r="T39" s="722">
        <f>SUM(T34:T38)</f>
        <v>765</v>
      </c>
      <c r="U39" s="723">
        <f>ROUND(SUM(U34:U38),0)</f>
        <v>154019</v>
      </c>
      <c r="V39" s="724">
        <f t="shared" si="27"/>
        <v>201.332026143791</v>
      </c>
      <c r="W39" s="722">
        <f>SUM(W34:W38)</f>
        <v>0</v>
      </c>
      <c r="X39" s="723">
        <f>SUM(X34:X38)</f>
        <v>0</v>
      </c>
      <c r="Y39" s="724">
        <f t="shared" si="28"/>
        <v>0</v>
      </c>
      <c r="Z39" s="722">
        <f>SUM(Z34:Z38)</f>
        <v>0</v>
      </c>
      <c r="AA39" s="723">
        <f>SUM(AA34:AA38)</f>
        <v>0</v>
      </c>
      <c r="AB39" s="724">
        <f t="shared" si="29"/>
        <v>0</v>
      </c>
      <c r="AC39" s="722">
        <f>SUM(AC34:AC38)</f>
        <v>0</v>
      </c>
      <c r="AD39" s="723">
        <f>ROUND(SUM(AD34:AD38),0)</f>
        <v>0</v>
      </c>
      <c r="AE39" s="724">
        <f t="shared" si="30"/>
        <v>0</v>
      </c>
      <c r="AF39" s="722">
        <f>SUM(AF34:AF38)</f>
        <v>0</v>
      </c>
      <c r="AG39" s="723">
        <f>SUM(AG34:AG38)</f>
        <v>0</v>
      </c>
      <c r="AH39" s="724">
        <f t="shared" si="31"/>
        <v>0</v>
      </c>
      <c r="AI39" s="722">
        <f>SUM(AI34:AI38)</f>
        <v>0</v>
      </c>
      <c r="AJ39" s="723">
        <f>SUM(AJ34:AJ38)</f>
        <v>0</v>
      </c>
      <c r="AK39" s="724">
        <f t="shared" si="32"/>
        <v>0</v>
      </c>
      <c r="AL39" s="823">
        <f>SUM(AL34:AL38)</f>
        <v>0</v>
      </c>
      <c r="AM39" s="587">
        <f>SUM(AM34:AM38)</f>
        <v>0</v>
      </c>
      <c r="AN39" s="824" t="e">
        <f>AM39/AL39</f>
        <v>#DIV/0!</v>
      </c>
    </row>
    <row r="40" ht="14.25" spans="1:12">
      <c r="A40" s="725" t="s">
        <v>319</v>
      </c>
      <c r="B40" s="725"/>
      <c r="C40" s="726"/>
      <c r="K40" s="764"/>
      <c r="L40" s="765"/>
    </row>
    <row r="41" spans="1:4">
      <c r="A41" s="727" t="s">
        <v>42</v>
      </c>
      <c r="B41" s="664">
        <f>'Stock Valuation (FIFO)'!B15</f>
        <v>387</v>
      </c>
      <c r="C41" s="176">
        <f>'Stock Valuation (FIFO)'!D15</f>
        <v>82580</v>
      </c>
      <c r="D41" s="728">
        <f>C41/B41</f>
        <v>213.385012919897</v>
      </c>
    </row>
    <row r="42" spans="1:13">
      <c r="A42" s="729" t="s">
        <v>41</v>
      </c>
      <c r="B42" s="658">
        <f>'Stock Valuation (FIFO)'!B16</f>
        <v>244</v>
      </c>
      <c r="C42" s="176">
        <f>'Stock Valuation (FIFO)'!D16</f>
        <v>48312</v>
      </c>
      <c r="D42" s="90">
        <f>C42/B42</f>
        <v>198</v>
      </c>
      <c r="F42" s="750"/>
      <c r="G42" s="750"/>
      <c r="H42" s="750"/>
      <c r="M42" s="775"/>
    </row>
    <row r="43" spans="1:8">
      <c r="A43" s="729" t="s">
        <v>44</v>
      </c>
      <c r="B43" s="730">
        <f>'Stock Valuation (FIFO)'!B17</f>
        <v>75</v>
      </c>
      <c r="C43" s="176">
        <f>'Stock Valuation (FIFO)'!D17</f>
        <v>12317</v>
      </c>
      <c r="D43" s="90">
        <f>C43/B43</f>
        <v>164.226666666667</v>
      </c>
      <c r="F43" s="751"/>
      <c r="G43" s="750"/>
      <c r="H43" s="750"/>
    </row>
    <row r="44" ht="14.25" spans="1:8">
      <c r="A44" s="731" t="s">
        <v>43</v>
      </c>
      <c r="B44" s="694">
        <v>0</v>
      </c>
      <c r="C44" s="89"/>
      <c r="D44" s="732">
        <v>0</v>
      </c>
      <c r="F44" s="750"/>
      <c r="G44" s="750"/>
      <c r="H44" s="750"/>
    </row>
    <row r="45" ht="14.25" spans="1:4">
      <c r="A45" s="180" t="s">
        <v>46</v>
      </c>
      <c r="B45" s="733">
        <f>SUM(B41:B44)</f>
        <v>706</v>
      </c>
      <c r="C45" s="734">
        <f>ROUND(SUM(C41:C44),0)</f>
        <v>143209</v>
      </c>
      <c r="D45" s="724">
        <f>C45/B45</f>
        <v>202.845609065156</v>
      </c>
    </row>
    <row r="46" spans="2:4">
      <c r="B46" s="735"/>
      <c r="C46" s="234"/>
      <c r="D46" s="97">
        <f>C46/B45</f>
        <v>0</v>
      </c>
    </row>
    <row r="47" ht="14.25" spans="1:4">
      <c r="A47" s="96" t="s">
        <v>822</v>
      </c>
      <c r="C47" s="97"/>
      <c r="D47" s="97">
        <f>C47/B45</f>
        <v>0</v>
      </c>
    </row>
    <row r="48" ht="14.25" spans="1:4">
      <c r="A48" s="736" t="s">
        <v>373</v>
      </c>
      <c r="B48" s="737">
        <v>0</v>
      </c>
      <c r="C48" s="738">
        <f>ROUND((B48*D48),0)</f>
        <v>0</v>
      </c>
      <c r="D48" s="739"/>
    </row>
    <row r="49" ht="14.25" spans="1:40">
      <c r="A49" s="180" t="s">
        <v>823</v>
      </c>
      <c r="B49" s="740"/>
      <c r="C49" s="734">
        <f>ROUND((B49*D49),0)</f>
        <v>0</v>
      </c>
      <c r="D49" s="741">
        <f>D48</f>
        <v>0</v>
      </c>
      <c r="E49" s="752"/>
      <c r="F49" s="753">
        <f>ROUND((E49*D49),0)</f>
        <v>0</v>
      </c>
      <c r="G49" s="741">
        <f>IF(E49=0,0,F49/E49)</f>
        <v>0</v>
      </c>
      <c r="H49" s="752">
        <f>E49-H50</f>
        <v>0</v>
      </c>
      <c r="I49" s="753">
        <f>ROUND((H49*G49),0)</f>
        <v>0</v>
      </c>
      <c r="J49" s="741">
        <f>G49</f>
        <v>0</v>
      </c>
      <c r="K49" s="766">
        <f>H49-K50</f>
        <v>0</v>
      </c>
      <c r="L49" s="767">
        <f>ROUND((K49*J49),0)</f>
        <v>0</v>
      </c>
      <c r="M49" s="776">
        <f>J49</f>
        <v>0</v>
      </c>
      <c r="N49" s="752"/>
      <c r="O49" s="777"/>
      <c r="P49" s="778">
        <f>IF(N49=0,0,O49/N49)</f>
        <v>0</v>
      </c>
      <c r="Q49" s="752"/>
      <c r="R49" s="777"/>
      <c r="S49" s="778">
        <f>IF(Q49=0,0,R49/Q49)</f>
        <v>0</v>
      </c>
      <c r="T49" s="752"/>
      <c r="U49" s="777"/>
      <c r="V49" s="778">
        <f>IF(T49=0,0,U49/T49)</f>
        <v>0</v>
      </c>
      <c r="W49" s="752"/>
      <c r="X49" s="777"/>
      <c r="Y49" s="778">
        <f>IF(W49=0,0,X49/W49)</f>
        <v>0</v>
      </c>
      <c r="Z49" s="752"/>
      <c r="AA49" s="777"/>
      <c r="AB49" s="778">
        <f>IF(Z49=0,0,AA49/Z49)</f>
        <v>0</v>
      </c>
      <c r="AC49" s="784"/>
      <c r="AD49" s="785"/>
      <c r="AE49" s="778">
        <f>IF(AC49=0,0,AD49/AC49)</f>
        <v>0</v>
      </c>
      <c r="AF49" s="785"/>
      <c r="AG49" s="785"/>
      <c r="AH49" s="778">
        <f>IF(AF49=0,0,AG49/AF49)</f>
        <v>0</v>
      </c>
      <c r="AI49" s="785"/>
      <c r="AJ49" s="777"/>
      <c r="AK49" s="778">
        <f>IF(AI49=0,0,AJ49/AI49)</f>
        <v>0</v>
      </c>
      <c r="AL49" s="825">
        <f>Q49</f>
        <v>0</v>
      </c>
      <c r="AM49" s="826">
        <f>R49</f>
        <v>0</v>
      </c>
      <c r="AN49" s="778">
        <f>IF(AL49=0,0,AM49/AL49)</f>
        <v>0</v>
      </c>
    </row>
    <row r="50" ht="14.25" spans="1:40">
      <c r="A50" s="742" t="s">
        <v>824</v>
      </c>
      <c r="B50" s="740">
        <f>B48-B49</f>
        <v>0</v>
      </c>
      <c r="C50" s="743">
        <f>C48-C49</f>
        <v>0</v>
      </c>
      <c r="D50" s="741">
        <f>IF(B50=0,0,C50/B50)</f>
        <v>0</v>
      </c>
      <c r="E50" s="754">
        <f>B49-E49</f>
        <v>0</v>
      </c>
      <c r="F50" s="755"/>
      <c r="G50" s="741">
        <f>IF(E50=0,0,F50/E50)</f>
        <v>0</v>
      </c>
      <c r="H50" s="752"/>
      <c r="I50" s="768"/>
      <c r="J50" s="741">
        <f>IF(H50=0,0,I50/H50)</f>
        <v>0</v>
      </c>
      <c r="K50" s="769"/>
      <c r="L50" s="770">
        <f>+K50*J50</f>
        <v>0</v>
      </c>
      <c r="M50" s="776">
        <f>IF(K50=0,0,L50/K50)</f>
        <v>0</v>
      </c>
      <c r="N50" s="752"/>
      <c r="O50" s="779">
        <f>+N50*M50</f>
        <v>0</v>
      </c>
      <c r="P50" s="741">
        <f>IF(N50=0,0,O50/N50)</f>
        <v>0</v>
      </c>
      <c r="Q50" s="752"/>
      <c r="R50" s="779">
        <f>+Q50*P50</f>
        <v>0</v>
      </c>
      <c r="S50" s="741">
        <f>IF(Q50=0,0,R50/Q50)</f>
        <v>0</v>
      </c>
      <c r="T50" s="752"/>
      <c r="U50" s="780"/>
      <c r="V50" s="741">
        <f>IF(T50=0,0,U50/T50)</f>
        <v>0</v>
      </c>
      <c r="W50" s="752">
        <v>0</v>
      </c>
      <c r="X50" s="779">
        <v>0</v>
      </c>
      <c r="Y50" s="741">
        <f>IF(W50=0,0,X50/W50)</f>
        <v>0</v>
      </c>
      <c r="Z50" s="782">
        <v>0</v>
      </c>
      <c r="AA50" s="779">
        <v>0</v>
      </c>
      <c r="AB50" s="741">
        <f>IF(Z50=0,0,AA50/Z50)</f>
        <v>0</v>
      </c>
      <c r="AC50" s="786">
        <v>0</v>
      </c>
      <c r="AD50" s="755">
        <v>0</v>
      </c>
      <c r="AE50" s="741">
        <f>IF(AC50=0,0,AD50/AC50)</f>
        <v>0</v>
      </c>
      <c r="AF50" s="786">
        <v>0</v>
      </c>
      <c r="AG50" s="755">
        <v>0</v>
      </c>
      <c r="AH50" s="741">
        <f>IF(AF50=0,0,AG50/AF50)</f>
        <v>0</v>
      </c>
      <c r="AI50" s="789"/>
      <c r="AJ50" s="779"/>
      <c r="AK50" s="741">
        <f>IF(AI50=0,0,AJ50/AI50)</f>
        <v>0</v>
      </c>
      <c r="AL50" s="752">
        <f>SUM(B50,E50,H50,K50,N50,Q50,T50,W50,Z50,AC50,AF50,AI50)</f>
        <v>0</v>
      </c>
      <c r="AM50" s="827">
        <f>SUM(C50,F50,I50,L50,O50,R50,U50,X50,AA50,AD50,AG50,AJ50)</f>
        <v>0</v>
      </c>
      <c r="AN50" s="741">
        <f>IF(AL50=0,0,AM50/AL50)</f>
        <v>0</v>
      </c>
    </row>
  </sheetData>
  <mergeCells count="27"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B32:D32"/>
    <mergeCell ref="E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2:AH32"/>
    <mergeCell ref="AI32:AK32"/>
    <mergeCell ref="AL32:AN32"/>
    <mergeCell ref="A40:B40"/>
  </mergeCells>
  <printOptions horizontalCentered="1"/>
  <pageMargins left="0.7" right="0.7" top="0.75" bottom="0.75" header="0.3" footer="0.3"/>
  <pageSetup paperSize="9" scale="68" orientation="landscape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Y84"/>
  <sheetViews>
    <sheetView showZeros="0" zoomScale="92" zoomScaleNormal="92" workbookViewId="0">
      <pane xSplit="2" ySplit="3" topLeftCell="AA68" activePane="bottomRight" state="frozen"/>
      <selection/>
      <selection pane="topRight"/>
      <selection pane="bottomLeft"/>
      <selection pane="bottomRight" activeCell="AK24" sqref="AK24"/>
    </sheetView>
  </sheetViews>
  <sheetFormatPr defaultColWidth="9.14285714285714" defaultRowHeight="15"/>
  <cols>
    <col min="1" max="1" width="3.57142857142857" style="229" customWidth="1"/>
    <col min="2" max="2" width="21.7142857142857" style="229" customWidth="1"/>
    <col min="3" max="3" width="8.42857142857143" style="229" customWidth="1"/>
    <col min="4" max="4" width="9.85714285714286" style="229" customWidth="1"/>
    <col min="5" max="5" width="15" style="229" customWidth="1"/>
    <col min="6" max="6" width="9.71428571428571" style="229" customWidth="1"/>
    <col min="7" max="7" width="7.28571428571429" style="229" customWidth="1"/>
    <col min="8" max="8" width="11.5714285714286" style="229" customWidth="1"/>
    <col min="9" max="9" width="16" style="229" customWidth="1"/>
    <col min="10" max="10" width="7.85714285714286" style="229" customWidth="1"/>
    <col min="11" max="11" width="7.28571428571429" style="229" customWidth="1"/>
    <col min="12" max="12" width="9.71428571428571" style="229" customWidth="1"/>
    <col min="13" max="13" width="15.7142857142857" style="229" customWidth="1"/>
    <col min="14" max="14" width="8.28571428571429" style="229" customWidth="1"/>
    <col min="15" max="15" width="7.57142857142857" style="229" customWidth="1"/>
    <col min="16" max="16" width="10.1428571428571" style="229" customWidth="1"/>
    <col min="17" max="17" width="15.7142857142857" style="229" customWidth="1"/>
    <col min="18" max="18" width="8.28571428571429" style="229" customWidth="1"/>
    <col min="19" max="19" width="7.28571428571429" style="229" customWidth="1"/>
    <col min="20" max="20" width="9.71428571428571" style="229" customWidth="1"/>
    <col min="21" max="21" width="15.7142857142857" style="229" customWidth="1"/>
    <col min="22" max="22" width="7.85714285714286" style="229" customWidth="1"/>
    <col min="23" max="23" width="6.85714285714286" style="229" customWidth="1"/>
    <col min="24" max="24" width="10.4285714285714" style="229" customWidth="1"/>
    <col min="25" max="25" width="15.7142857142857" style="229" customWidth="1"/>
    <col min="26" max="26" width="8.71428571428571" style="229" customWidth="1"/>
    <col min="27" max="27" width="8.42857142857143" style="229" customWidth="1"/>
    <col min="28" max="28" width="9.71428571428571" style="229" customWidth="1"/>
    <col min="29" max="29" width="15.7142857142857" style="229" customWidth="1"/>
    <col min="30" max="30" width="8.71428571428571" style="229" customWidth="1"/>
    <col min="31" max="31" width="7" style="229" customWidth="1"/>
    <col min="32" max="32" width="9.71428571428571" style="229" customWidth="1"/>
    <col min="33" max="33" width="15.7142857142857" style="229" customWidth="1"/>
    <col min="34" max="34" width="8.28571428571429" style="229" customWidth="1"/>
    <col min="35" max="35" width="6.42857142857143" style="229" customWidth="1"/>
    <col min="36" max="36" width="9.71428571428571" style="229" customWidth="1"/>
    <col min="37" max="37" width="15.7142857142857" style="229" customWidth="1"/>
    <col min="38" max="38" width="8.28571428571429" style="229" customWidth="1"/>
    <col min="39" max="39" width="6.42857142857143" style="229" hidden="1" customWidth="1"/>
    <col min="40" max="40" width="9.42857142857143" style="229" hidden="1" customWidth="1"/>
    <col min="41" max="41" width="15.7142857142857" style="229" hidden="1" customWidth="1"/>
    <col min="42" max="42" width="7.28571428571429" style="229" hidden="1" customWidth="1"/>
    <col min="43" max="43" width="7.71428571428571" style="229" hidden="1" customWidth="1"/>
    <col min="44" max="44" width="9.71428571428571" style="229" hidden="1" customWidth="1"/>
    <col min="45" max="45" width="15.7142857142857" style="229" hidden="1" customWidth="1"/>
    <col min="46" max="46" width="8.28571428571429" style="229" hidden="1" customWidth="1"/>
    <col min="47" max="47" width="5.28571428571429" style="229" hidden="1" customWidth="1"/>
    <col min="48" max="48" width="9.71428571428571" style="229" hidden="1" customWidth="1"/>
    <col min="49" max="49" width="15.7142857142857" style="229" hidden="1" customWidth="1"/>
    <col min="50" max="50" width="7.57142857142857" style="229" hidden="1" customWidth="1"/>
    <col min="51" max="51" width="7.14285714285714" style="229" customWidth="1"/>
    <col min="52" max="52" width="12.1428571428571" style="229" customWidth="1"/>
    <col min="53" max="53" width="17.2857142857143" style="229" customWidth="1"/>
    <col min="54" max="55" width="8.85714285714286" style="229" customWidth="1"/>
    <col min="56" max="57" width="15.2857142857143" style="229" customWidth="1"/>
    <col min="58" max="58" width="15.5714285714286" style="229" customWidth="1"/>
    <col min="59" max="59" width="14.7142857142857" style="229" customWidth="1"/>
    <col min="60" max="60" width="9.14285714285714" style="229"/>
    <col min="61" max="61" width="11.2857142857143" style="229" customWidth="1"/>
    <col min="62" max="63" width="15.7142857142857" style="229" customWidth="1"/>
    <col min="64" max="64" width="14.7142857142857" style="229" customWidth="1"/>
    <col min="65" max="65" width="9.14285714285714" style="229"/>
    <col min="66" max="66" width="15.8571428571429" style="229" customWidth="1"/>
    <col min="67" max="70" width="9.14285714285714" style="229"/>
    <col min="71" max="71" width="12.4285714285714" style="229" customWidth="1"/>
    <col min="72" max="72" width="9.14285714285714" style="229"/>
    <col min="73" max="74" width="10.2857142857143" style="229" customWidth="1"/>
    <col min="75" max="76" width="9.14285714285714" style="229"/>
    <col min="77" max="77" width="26.7142857142857" style="229" customWidth="1"/>
    <col min="78" max="78" width="11.5714285714286" style="229" customWidth="1"/>
    <col min="79" max="79" width="9" style="229" customWidth="1"/>
    <col min="80" max="85" width="9.14285714285714" style="229"/>
    <col min="86" max="91" width="11.1428571428571" style="229" customWidth="1"/>
    <col min="92" max="93" width="9.14285714285714" style="229"/>
    <col min="94" max="94" width="12.4285714285714" style="229" customWidth="1"/>
    <col min="95" max="95" width="11.1428571428571" style="229" customWidth="1"/>
    <col min="96" max="96" width="12.4285714285714" style="229" customWidth="1"/>
    <col min="97" max="99" width="9.14285714285714" style="229"/>
    <col min="100" max="100" width="11.1428571428571" style="229" customWidth="1"/>
    <col min="101" max="101" width="9.14285714285714" style="229"/>
    <col min="102" max="102" width="11" style="229" customWidth="1"/>
    <col min="103" max="103" width="10.4285714285714" style="229" customWidth="1"/>
    <col min="104" max="16384" width="9.14285714285714" style="229"/>
  </cols>
  <sheetData>
    <row r="1" ht="15.75" spans="2:81"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6"/>
      <c r="AL1" s="256"/>
      <c r="AM1" s="256"/>
      <c r="AN1" s="256"/>
      <c r="AO1" s="256"/>
      <c r="AP1" s="256"/>
      <c r="AQ1" s="256"/>
      <c r="AR1" s="256"/>
      <c r="AS1" s="256"/>
      <c r="AT1" s="256"/>
      <c r="AU1" s="256"/>
      <c r="AV1" s="256"/>
      <c r="AW1" s="256"/>
      <c r="AX1" s="256"/>
      <c r="AY1" s="256"/>
      <c r="AZ1" s="256"/>
      <c r="BA1" s="256"/>
      <c r="BB1" s="256"/>
      <c r="CC1" s="229">
        <v>12</v>
      </c>
    </row>
    <row r="2" ht="15.75" spans="2:54">
      <c r="B2" s="257"/>
      <c r="C2" s="258">
        <v>45748</v>
      </c>
      <c r="D2" s="259"/>
      <c r="E2" s="259"/>
      <c r="F2" s="325"/>
      <c r="G2" s="258">
        <v>45778</v>
      </c>
      <c r="H2" s="259"/>
      <c r="I2" s="259"/>
      <c r="J2" s="259"/>
      <c r="K2" s="258">
        <v>45809</v>
      </c>
      <c r="L2" s="259"/>
      <c r="M2" s="259"/>
      <c r="N2" s="325"/>
      <c r="O2" s="258">
        <v>45839</v>
      </c>
      <c r="P2" s="259"/>
      <c r="Q2" s="259"/>
      <c r="R2" s="259"/>
      <c r="S2" s="258">
        <v>45870</v>
      </c>
      <c r="T2" s="259"/>
      <c r="U2" s="259"/>
      <c r="V2" s="325"/>
      <c r="W2" s="258">
        <v>45901</v>
      </c>
      <c r="X2" s="259"/>
      <c r="Y2" s="259"/>
      <c r="Z2" s="259"/>
      <c r="AA2" s="258">
        <v>45931</v>
      </c>
      <c r="AB2" s="259"/>
      <c r="AC2" s="259"/>
      <c r="AD2" s="325"/>
      <c r="AE2" s="258">
        <v>45962</v>
      </c>
      <c r="AF2" s="259"/>
      <c r="AG2" s="259"/>
      <c r="AH2" s="259"/>
      <c r="AI2" s="258">
        <v>45992</v>
      </c>
      <c r="AJ2" s="259"/>
      <c r="AK2" s="259"/>
      <c r="AL2" s="325"/>
      <c r="AM2" s="258">
        <v>46023</v>
      </c>
      <c r="AN2" s="259"/>
      <c r="AO2" s="259"/>
      <c r="AP2" s="259"/>
      <c r="AQ2" s="258">
        <v>46054</v>
      </c>
      <c r="AR2" s="259"/>
      <c r="AS2" s="259"/>
      <c r="AT2" s="325"/>
      <c r="AU2" s="258">
        <v>46082</v>
      </c>
      <c r="AV2" s="259"/>
      <c r="AW2" s="259"/>
      <c r="AX2" s="259"/>
      <c r="AY2" s="486" t="s">
        <v>52</v>
      </c>
      <c r="AZ2" s="487"/>
      <c r="BA2" s="487"/>
      <c r="BB2" s="499"/>
    </row>
    <row r="3" ht="16.5" spans="2:101">
      <c r="B3" s="260"/>
      <c r="C3" s="3321" t="s">
        <v>825</v>
      </c>
      <c r="D3" s="262" t="s">
        <v>371</v>
      </c>
      <c r="E3" s="326" t="s">
        <v>146</v>
      </c>
      <c r="F3" s="327" t="s">
        <v>55</v>
      </c>
      <c r="G3" s="3321" t="s">
        <v>825</v>
      </c>
      <c r="H3" s="262" t="s">
        <v>371</v>
      </c>
      <c r="I3" s="375" t="s">
        <v>146</v>
      </c>
      <c r="J3" s="375" t="s">
        <v>55</v>
      </c>
      <c r="K3" s="3322" t="s">
        <v>825</v>
      </c>
      <c r="L3" s="377" t="s">
        <v>371</v>
      </c>
      <c r="M3" s="375" t="s">
        <v>146</v>
      </c>
      <c r="N3" s="422" t="s">
        <v>55</v>
      </c>
      <c r="O3" s="3322" t="s">
        <v>825</v>
      </c>
      <c r="P3" s="377" t="s">
        <v>371</v>
      </c>
      <c r="Q3" s="375" t="s">
        <v>146</v>
      </c>
      <c r="R3" s="375" t="s">
        <v>55</v>
      </c>
      <c r="S3" s="3322" t="s">
        <v>825</v>
      </c>
      <c r="T3" s="377" t="s">
        <v>371</v>
      </c>
      <c r="U3" s="375" t="s">
        <v>146</v>
      </c>
      <c r="V3" s="422" t="s">
        <v>55</v>
      </c>
      <c r="W3" s="3322" t="s">
        <v>825</v>
      </c>
      <c r="X3" s="377" t="s">
        <v>371</v>
      </c>
      <c r="Y3" s="375" t="s">
        <v>146</v>
      </c>
      <c r="Z3" s="422" t="s">
        <v>55</v>
      </c>
      <c r="AA3" s="3323" t="s">
        <v>825</v>
      </c>
      <c r="AB3" s="262" t="s">
        <v>371</v>
      </c>
      <c r="AC3" s="375" t="s">
        <v>146</v>
      </c>
      <c r="AD3" s="375" t="s">
        <v>55</v>
      </c>
      <c r="AE3" s="3322" t="s">
        <v>825</v>
      </c>
      <c r="AF3" s="377" t="s">
        <v>371</v>
      </c>
      <c r="AG3" s="375" t="s">
        <v>146</v>
      </c>
      <c r="AH3" s="422" t="s">
        <v>55</v>
      </c>
      <c r="AI3" s="3322" t="s">
        <v>825</v>
      </c>
      <c r="AJ3" s="377" t="s">
        <v>371</v>
      </c>
      <c r="AK3" s="375" t="s">
        <v>146</v>
      </c>
      <c r="AL3" s="375" t="s">
        <v>55</v>
      </c>
      <c r="AM3" s="3322" t="s">
        <v>825</v>
      </c>
      <c r="AN3" s="377" t="s">
        <v>371</v>
      </c>
      <c r="AO3" s="375" t="s">
        <v>146</v>
      </c>
      <c r="AP3" s="422" t="s">
        <v>55</v>
      </c>
      <c r="AQ3" s="3322" t="s">
        <v>825</v>
      </c>
      <c r="AR3" s="377" t="s">
        <v>371</v>
      </c>
      <c r="AS3" s="375" t="s">
        <v>146</v>
      </c>
      <c r="AT3" s="422" t="s">
        <v>55</v>
      </c>
      <c r="AU3" s="3322" t="s">
        <v>825</v>
      </c>
      <c r="AV3" s="377" t="s">
        <v>371</v>
      </c>
      <c r="AW3" s="375" t="s">
        <v>146</v>
      </c>
      <c r="AX3" s="422" t="s">
        <v>55</v>
      </c>
      <c r="AY3" s="3322" t="s">
        <v>825</v>
      </c>
      <c r="AZ3" s="377" t="s">
        <v>371</v>
      </c>
      <c r="BA3" s="375" t="s">
        <v>146</v>
      </c>
      <c r="BB3" s="422" t="s">
        <v>55</v>
      </c>
      <c r="BD3" s="500" t="s">
        <v>826</v>
      </c>
      <c r="BE3" s="533"/>
      <c r="BN3" s="193" t="s">
        <v>827</v>
      </c>
      <c r="BO3" s="193"/>
      <c r="BP3" s="193"/>
      <c r="BQ3" s="193"/>
      <c r="BR3" s="193"/>
      <c r="BS3" s="193"/>
      <c r="BT3" s="193"/>
      <c r="BU3" s="193"/>
      <c r="BV3" s="193"/>
      <c r="BY3" s="486" t="s">
        <v>828</v>
      </c>
      <c r="BZ3" s="487"/>
      <c r="CA3" s="487"/>
      <c r="CB3" s="499"/>
      <c r="CH3" s="588"/>
      <c r="CI3" s="588"/>
      <c r="CJ3" s="588"/>
      <c r="CK3" s="588"/>
      <c r="CL3" s="588"/>
      <c r="CM3" s="588"/>
      <c r="CP3" s="588"/>
      <c r="CQ3" s="588"/>
      <c r="CR3" s="630"/>
      <c r="CS3" s="588"/>
      <c r="CT3" s="588"/>
      <c r="CU3" s="588"/>
      <c r="CV3" s="630"/>
      <c r="CW3" s="588"/>
    </row>
    <row r="4" ht="16.5" spans="2:103">
      <c r="B4" s="263" t="s">
        <v>829</v>
      </c>
      <c r="C4" s="263"/>
      <c r="D4" s="264">
        <f>'Stock Valuation (FIFO)'!B8</f>
        <v>197541</v>
      </c>
      <c r="E4" s="328">
        <f>'Stock Valuation (FIFO)'!D8</f>
        <v>20123510</v>
      </c>
      <c r="F4" s="329">
        <f t="shared" ref="F4:F10" si="0">E4/D4</f>
        <v>101.870042168461</v>
      </c>
      <c r="G4" s="263"/>
      <c r="H4" s="264">
        <f>D10</f>
        <v>182463</v>
      </c>
      <c r="I4" s="328">
        <f>+E10</f>
        <v>18484284</v>
      </c>
      <c r="J4" s="378">
        <f t="shared" ref="J4:J11" si="1">IF(H4=0,0,I4/H4)</f>
        <v>101.304286348465</v>
      </c>
      <c r="K4" s="379"/>
      <c r="L4" s="380">
        <f>H10</f>
        <v>149741</v>
      </c>
      <c r="M4" s="423">
        <f>I10</f>
        <v>15008748</v>
      </c>
      <c r="N4" s="329">
        <f t="shared" ref="N4:N11" si="2">IF(L4=0,0,M4/L4)</f>
        <v>100.231386193494</v>
      </c>
      <c r="O4" s="379"/>
      <c r="P4" s="380">
        <f>L10</f>
        <v>166778</v>
      </c>
      <c r="Q4" s="343">
        <f>M10</f>
        <v>16653609</v>
      </c>
      <c r="R4" s="343">
        <f t="shared" ref="R4:R11" si="3">IF(P4=0,0,Q4/P4)</f>
        <v>99.8549508928036</v>
      </c>
      <c r="S4" s="379"/>
      <c r="T4" s="380">
        <f>P10</f>
        <v>148947</v>
      </c>
      <c r="U4" s="343">
        <f>Q10</f>
        <v>15325485</v>
      </c>
      <c r="V4" s="343">
        <f t="shared" ref="V4:V6" si="4">IF(T4=0,0,U4/T4)</f>
        <v>102.892203266934</v>
      </c>
      <c r="W4" s="379"/>
      <c r="X4" s="454">
        <f>T10</f>
        <v>190728</v>
      </c>
      <c r="Y4" s="343">
        <f>U10</f>
        <v>19843851</v>
      </c>
      <c r="Z4" s="329">
        <f t="shared" ref="Z4:Z11" si="5">IF(X4=0,0,Y4/X4)</f>
        <v>104.04267333585</v>
      </c>
      <c r="AA4" s="263"/>
      <c r="AB4" s="264">
        <f>X10</f>
        <v>117515</v>
      </c>
      <c r="AC4" s="328">
        <f>Y10</f>
        <v>12263385</v>
      </c>
      <c r="AD4" s="343">
        <f t="shared" ref="AD4:AD11" si="6">IF(AB4=0,0,AC4/AB4)</f>
        <v>104.355912011233</v>
      </c>
      <c r="AE4" s="379"/>
      <c r="AF4" s="462">
        <f>AB10</f>
        <v>142661</v>
      </c>
      <c r="AG4" s="328">
        <f>AC10</f>
        <v>14553130</v>
      </c>
      <c r="AH4" s="343">
        <f>IF(AF4=0,0,AG4/AF4)</f>
        <v>102.011972438158</v>
      </c>
      <c r="AI4" s="379"/>
      <c r="AJ4" s="382">
        <f>AF10</f>
        <v>166752</v>
      </c>
      <c r="AK4" s="476">
        <f>AG10</f>
        <v>16611745</v>
      </c>
      <c r="AL4" s="343">
        <f>IF(AJ4=0,0,AK4/AJ4)</f>
        <v>99.619464834005</v>
      </c>
      <c r="AM4" s="379"/>
      <c r="AN4" s="454">
        <f>AJ10</f>
        <v>137910</v>
      </c>
      <c r="AO4" s="328">
        <f>AK10</f>
        <v>13647848</v>
      </c>
      <c r="AP4" s="343">
        <f>IF(AN4=0,0,AO4/AN4)</f>
        <v>98.9619897034298</v>
      </c>
      <c r="AQ4" s="379"/>
      <c r="AR4" s="454">
        <f>AN10</f>
        <v>177221</v>
      </c>
      <c r="AS4" s="328">
        <f>AO10</f>
        <v>17955937</v>
      </c>
      <c r="AT4" s="329">
        <f>IF(AR4=0,0,AS4/AR4)</f>
        <v>101.319465526095</v>
      </c>
      <c r="AU4" s="379"/>
      <c r="AV4" s="403">
        <f>AR10</f>
        <v>157588</v>
      </c>
      <c r="AW4" s="343">
        <f>AS10</f>
        <v>16788076</v>
      </c>
      <c r="AX4" s="329">
        <f>IF(AV4=0,0,AW4/AV4)</f>
        <v>106.531436403787</v>
      </c>
      <c r="AY4" s="379"/>
      <c r="AZ4" s="454">
        <f>+D4</f>
        <v>197541</v>
      </c>
      <c r="BA4" s="343">
        <f>E4</f>
        <v>20123510</v>
      </c>
      <c r="BB4" s="329">
        <f t="shared" ref="BB4:BB16" si="7">IF(AZ4=0,0,BA4/AZ4)</f>
        <v>101.870042168461</v>
      </c>
      <c r="BD4" s="501">
        <f>' Qty Analysis'!B4+' Qty Analysis'!B17+' Qty Analysis'!B29</f>
        <v>197541</v>
      </c>
      <c r="BE4" s="534"/>
      <c r="BF4" s="318">
        <f>AZ4-BD4</f>
        <v>0</v>
      </c>
      <c r="BG4" s="368">
        <f>BA4-BA10</f>
        <v>6475662</v>
      </c>
      <c r="BI4" s="547"/>
      <c r="BJ4" s="548" t="s">
        <v>830</v>
      </c>
      <c r="BK4" s="548" t="s">
        <v>831</v>
      </c>
      <c r="BL4" s="549" t="s">
        <v>31</v>
      </c>
      <c r="BN4" s="572" t="s">
        <v>832</v>
      </c>
      <c r="BO4" s="158" t="s">
        <v>833</v>
      </c>
      <c r="BP4" s="158" t="s">
        <v>834</v>
      </c>
      <c r="BQ4" s="222" t="s">
        <v>176</v>
      </c>
      <c r="BR4" s="69" t="s">
        <v>835</v>
      </c>
      <c r="BS4"/>
      <c r="BT4" s="578" t="s">
        <v>709</v>
      </c>
      <c r="BU4" s="122"/>
      <c r="BV4" s="122"/>
      <c r="BW4" s="588">
        <v>6</v>
      </c>
      <c r="BY4" s="376" t="s">
        <v>836</v>
      </c>
      <c r="BZ4" s="262" t="s">
        <v>837</v>
      </c>
      <c r="CA4" s="262" t="s">
        <v>838</v>
      </c>
      <c r="CB4" s="3324" t="s">
        <v>839</v>
      </c>
      <c r="CH4" s="318"/>
      <c r="CI4" s="318"/>
      <c r="CJ4" s="318"/>
      <c r="CK4" s="318"/>
      <c r="CL4" s="318"/>
      <c r="CM4" s="318"/>
      <c r="CP4" s="318"/>
      <c r="CQ4" s="318"/>
      <c r="CR4" s="629"/>
      <c r="CS4" s="318"/>
      <c r="CT4" s="318"/>
      <c r="CU4" s="318"/>
      <c r="CV4" s="629"/>
      <c r="CW4" s="318"/>
      <c r="CX4" s="318"/>
      <c r="CY4" s="631">
        <f>CR4-CX4</f>
        <v>0</v>
      </c>
    </row>
    <row r="5" ht="16.5" customHeight="1" spans="2:103">
      <c r="B5" s="265" t="s">
        <v>374</v>
      </c>
      <c r="C5" s="265"/>
      <c r="D5" s="266">
        <f>'PAL I'!C5</f>
        <v>102532</v>
      </c>
      <c r="E5" s="330">
        <f>'PAL I'!D5</f>
        <v>9540377</v>
      </c>
      <c r="F5" s="331">
        <f t="shared" si="0"/>
        <v>93.0477997113096</v>
      </c>
      <c r="G5" s="265"/>
      <c r="H5" s="266">
        <f>'PAL I'!F5</f>
        <v>58185</v>
      </c>
      <c r="I5" s="346">
        <f>ROUND(('PAL I'!G5),0)</f>
        <v>5511286</v>
      </c>
      <c r="J5" s="342">
        <f t="shared" si="1"/>
        <v>94.7200481223683</v>
      </c>
      <c r="K5" s="381"/>
      <c r="L5" s="382">
        <f>'PAL I'!I5</f>
        <v>152668</v>
      </c>
      <c r="M5" s="346">
        <f>'PAL I'!J5</f>
        <v>14973887</v>
      </c>
      <c r="N5" s="342">
        <f t="shared" si="2"/>
        <v>98.0813726517672</v>
      </c>
      <c r="O5" s="381"/>
      <c r="P5" s="382">
        <f>'PAL I'!L5</f>
        <v>138661</v>
      </c>
      <c r="Q5" s="332">
        <f>'PAL I'!M5</f>
        <v>13053845</v>
      </c>
      <c r="R5" s="342">
        <f t="shared" si="3"/>
        <v>94.1421524437297</v>
      </c>
      <c r="S5" s="381"/>
      <c r="T5" s="382">
        <f>'PAL I'!O5</f>
        <v>175609</v>
      </c>
      <c r="U5" s="346">
        <f>'PAL I'!P5</f>
        <v>17886341</v>
      </c>
      <c r="V5" s="342">
        <f t="shared" si="4"/>
        <v>101.853213673559</v>
      </c>
      <c r="W5" s="381"/>
      <c r="X5" s="382">
        <f>'PAL I'!R5</f>
        <v>37844</v>
      </c>
      <c r="Y5" s="333">
        <f>'PAL I'!S5</f>
        <v>3215869</v>
      </c>
      <c r="Z5" s="331">
        <f>Y5/X5</f>
        <v>84.9769844625304</v>
      </c>
      <c r="AA5" s="265"/>
      <c r="AB5" s="266">
        <f>'PAL I'!U5</f>
        <v>129229</v>
      </c>
      <c r="AC5" s="346">
        <f>'PAL I'!V5</f>
        <v>12675600</v>
      </c>
      <c r="AD5" s="331">
        <f>AC5/AB5</f>
        <v>98.0863428487414</v>
      </c>
      <c r="AE5" s="381"/>
      <c r="AF5" s="382">
        <f>'PAL I'!X5</f>
        <v>120959</v>
      </c>
      <c r="AG5" s="346">
        <f>'PAL I'!Y5</f>
        <v>11136467</v>
      </c>
      <c r="AH5" s="331">
        <f>AG5/AF5</f>
        <v>92.0681139890376</v>
      </c>
      <c r="AI5" s="381"/>
      <c r="AJ5" s="382">
        <f>'PAL I'!AA5</f>
        <v>107574</v>
      </c>
      <c r="AK5" s="346">
        <f>'PAL I'!AB5</f>
        <v>9938575</v>
      </c>
      <c r="AL5" s="331">
        <f>AK5/AJ5</f>
        <v>92.3882629631695</v>
      </c>
      <c r="AM5" s="381"/>
      <c r="AN5" s="382">
        <f>'PAL I'!AD5</f>
        <v>170449</v>
      </c>
      <c r="AO5" s="346">
        <f>'PAL I'!AE5</f>
        <v>16739942</v>
      </c>
      <c r="AP5" s="331">
        <f>AO5/AN5</f>
        <v>98.2108548598114</v>
      </c>
      <c r="AQ5" s="381"/>
      <c r="AR5" s="382">
        <f>'PAL I'!AG5</f>
        <v>117875</v>
      </c>
      <c r="AS5" s="333">
        <f>'PAL I'!AH5</f>
        <v>11974191</v>
      </c>
      <c r="AT5" s="331">
        <f>AS5/AR5</f>
        <v>101.583804878049</v>
      </c>
      <c r="AU5" s="381"/>
      <c r="AV5" s="382">
        <f>'PAL I'!AJ5</f>
        <v>98000</v>
      </c>
      <c r="AW5" s="382">
        <f>'PAL I'!AK5</f>
        <v>12417202</v>
      </c>
      <c r="AX5" s="331">
        <f>AW5/AV5</f>
        <v>126.706142857143</v>
      </c>
      <c r="AY5" s="381"/>
      <c r="AZ5" s="411">
        <f>SUM(D5,H5,L5,P5,T5,X5,AB5,AF5,AJ5,AN5,AR5,AV5)</f>
        <v>1409585</v>
      </c>
      <c r="BA5" s="346">
        <f>ROUND((SUM(E5,I5,M5,Q5,U5,Y5,AC5,AG5,AK5,AO5,AS5,AW5)),0)</f>
        <v>139063582</v>
      </c>
      <c r="BB5" s="331">
        <f t="shared" si="7"/>
        <v>98.6556908593664</v>
      </c>
      <c r="BD5" s="501">
        <f>' Qty Analysis'!AL5+' Qty Analysis'!AL18+' Qty Analysis'!AL30</f>
        <v>665499.3</v>
      </c>
      <c r="BE5" s="535">
        <f>AZ5-BD5</f>
        <v>744085.7</v>
      </c>
      <c r="BF5" s="229" t="s">
        <v>620</v>
      </c>
      <c r="BG5" s="368">
        <f>BG4-BA19</f>
        <v>18450792</v>
      </c>
      <c r="BI5" s="263" t="s">
        <v>380</v>
      </c>
      <c r="BJ5" s="550"/>
      <c r="BK5" s="550"/>
      <c r="BL5" s="551">
        <f>BJ5-BK5</f>
        <v>0</v>
      </c>
      <c r="BN5" s="150" t="s">
        <v>840</v>
      </c>
      <c r="BO5" s="165">
        <v>7</v>
      </c>
      <c r="BP5" s="165">
        <f>ROUND((122080*117%),0)</f>
        <v>142834</v>
      </c>
      <c r="BQ5" s="94">
        <f>ROUND((BP5/BO5),0)</f>
        <v>20405</v>
      </c>
      <c r="BR5" s="97">
        <f>ROUND((BP5/$BV$6),0)</f>
        <v>2</v>
      </c>
      <c r="BS5" s="579">
        <f t="shared" ref="BS5:BS24" si="8">BP5/$BP$26</f>
        <v>0.0500099085680754</v>
      </c>
      <c r="BT5"/>
      <c r="BU5" t="s">
        <v>837</v>
      </c>
      <c r="BV5" t="s">
        <v>841</v>
      </c>
      <c r="BY5" s="592" t="s">
        <v>842</v>
      </c>
      <c r="BZ5" s="593"/>
      <c r="CA5" s="594"/>
      <c r="CB5" s="595" t="e">
        <f t="shared" ref="CB5:CB20" si="9">CA5/$CA$23</f>
        <v>#DIV/0!</v>
      </c>
      <c r="CD5" s="624" t="e">
        <f>CA5/CA21</f>
        <v>#DIV/0!</v>
      </c>
      <c r="CE5" s="368" t="e">
        <f>CA5/#REF!</f>
        <v>#REF!</v>
      </c>
      <c r="CH5" s="318"/>
      <c r="CI5" s="318"/>
      <c r="CJ5" s="318"/>
      <c r="CK5" s="318"/>
      <c r="CL5" s="318"/>
      <c r="CM5" s="318"/>
      <c r="CP5" s="318"/>
      <c r="CQ5" s="318"/>
      <c r="CR5" s="629"/>
      <c r="CS5" s="318"/>
      <c r="CT5" s="318"/>
      <c r="CU5" s="318"/>
      <c r="CV5" s="629"/>
      <c r="CW5" s="318"/>
      <c r="CX5" s="318"/>
      <c r="CY5" s="631">
        <f t="shared" ref="CY5:CY16" si="10">CR5-CX5</f>
        <v>0</v>
      </c>
    </row>
    <row r="6" ht="17.25" customHeight="1" spans="2:103">
      <c r="B6" s="267" t="s">
        <v>375</v>
      </c>
      <c r="C6" s="267"/>
      <c r="D6" s="268">
        <f>'PAL I'!C6</f>
        <v>7728</v>
      </c>
      <c r="E6" s="332">
        <f>'PAL I'!D6</f>
        <v>1194876</v>
      </c>
      <c r="F6" s="331">
        <f t="shared" si="0"/>
        <v>154.616459627329</v>
      </c>
      <c r="G6" s="267"/>
      <c r="H6" s="266">
        <f>'PAL I'!F6</f>
        <v>8668</v>
      </c>
      <c r="I6" s="346">
        <f>'PAL I'!G6</f>
        <v>1437319</v>
      </c>
      <c r="J6" s="342">
        <f t="shared" si="1"/>
        <v>165.818989386248</v>
      </c>
      <c r="K6" s="383"/>
      <c r="L6" s="382">
        <f>'PAL I'!I6</f>
        <v>6962</v>
      </c>
      <c r="M6" s="346">
        <f>'PAL I'!J6</f>
        <v>1146692</v>
      </c>
      <c r="N6" s="342">
        <f t="shared" si="2"/>
        <v>164.707268026429</v>
      </c>
      <c r="O6" s="383"/>
      <c r="P6" s="382">
        <f>'PAL I'!L6</f>
        <v>8632</v>
      </c>
      <c r="Q6" s="349">
        <f>'PAL I'!M6</f>
        <v>1333120</v>
      </c>
      <c r="R6" s="342">
        <f t="shared" si="3"/>
        <v>154.439295644115</v>
      </c>
      <c r="S6" s="383"/>
      <c r="T6" s="382">
        <f>'PAL I'!O6</f>
        <v>6457</v>
      </c>
      <c r="U6" s="346">
        <f>'PAL I'!P6</f>
        <v>1004334</v>
      </c>
      <c r="V6" s="342">
        <f t="shared" si="4"/>
        <v>155.541892519746</v>
      </c>
      <c r="W6" s="383"/>
      <c r="X6" s="382">
        <f>'PAL I'!R6</f>
        <v>6172</v>
      </c>
      <c r="Y6" s="332">
        <f>'PAL I'!S6</f>
        <v>927618</v>
      </c>
      <c r="Z6" s="331">
        <f>Y6/X6</f>
        <v>150.294556059624</v>
      </c>
      <c r="AA6" s="267"/>
      <c r="AB6" s="266">
        <f>'PAL I'!U6</f>
        <v>7171</v>
      </c>
      <c r="AC6" s="346">
        <f>'PAL I'!V6</f>
        <v>1142948</v>
      </c>
      <c r="AD6" s="331">
        <f>AC6/AB6</f>
        <v>159.384744108214</v>
      </c>
      <c r="AE6" s="383"/>
      <c r="AF6" s="382">
        <f>'PAL I'!X6</f>
        <v>15823</v>
      </c>
      <c r="AG6" s="346">
        <f>'PAL I'!Y6</f>
        <v>2059757</v>
      </c>
      <c r="AH6" s="331">
        <f>AG6/AF6</f>
        <v>130.17487202174</v>
      </c>
      <c r="AI6" s="383"/>
      <c r="AJ6" s="382">
        <f>'PAL I'!AA6</f>
        <v>6254</v>
      </c>
      <c r="AK6" s="346">
        <f>'PAL I'!AB6</f>
        <v>983861</v>
      </c>
      <c r="AL6" s="331">
        <f>AK6/AJ6</f>
        <v>157.317077070675</v>
      </c>
      <c r="AM6" s="383"/>
      <c r="AN6" s="382">
        <f>'PAL I'!AD6</f>
        <v>4255</v>
      </c>
      <c r="AO6" s="346">
        <f>'PAL I'!AE6</f>
        <v>702668</v>
      </c>
      <c r="AP6" s="331">
        <f>AO6/AN6</f>
        <v>165.139365452409</v>
      </c>
      <c r="AQ6" s="383"/>
      <c r="AR6" s="268">
        <f>'PAL I'!AG6</f>
        <v>6920</v>
      </c>
      <c r="AS6" s="332">
        <f>'PAL I'!AH6</f>
        <v>1168842</v>
      </c>
      <c r="AT6" s="331">
        <f>AS6/AR6</f>
        <v>168.907803468208</v>
      </c>
      <c r="AU6" s="383"/>
      <c r="AV6" s="268">
        <f>'PAL I'!AJ6</f>
        <v>5970</v>
      </c>
      <c r="AW6" s="268">
        <f>'PAL I'!AK6</f>
        <v>1122792</v>
      </c>
      <c r="AX6" s="331">
        <f>AW6/AV6</f>
        <v>188.072361809045</v>
      </c>
      <c r="AY6" s="383"/>
      <c r="AZ6" s="411">
        <f>SUM(D6,H6,L6,P6,T6,X6,AB6,AF6,AJ6,AN6,AR6,AV6)</f>
        <v>91012</v>
      </c>
      <c r="BA6" s="346">
        <f>ROUND((SUM(E6,I6,M6,Q6,U6,Y6,AC6,AG6,AK6,AO6,AS6,AW6)),0)</f>
        <v>14224827</v>
      </c>
      <c r="BB6" s="331">
        <f t="shared" si="7"/>
        <v>156.296169735859</v>
      </c>
      <c r="BD6" s="501">
        <f>' Qty Analysis'!AL111</f>
        <v>65395.5</v>
      </c>
      <c r="BE6" s="535">
        <f>AZ6-BD6</f>
        <v>25616.5</v>
      </c>
      <c r="BF6" s="229" t="s">
        <v>843</v>
      </c>
      <c r="BG6" s="368"/>
      <c r="BI6" s="260" t="s">
        <v>74</v>
      </c>
      <c r="BJ6" s="552"/>
      <c r="BK6" s="552"/>
      <c r="BL6" s="553">
        <f>BJ6-BK6</f>
        <v>0</v>
      </c>
      <c r="BN6" s="150" t="s">
        <v>844</v>
      </c>
      <c r="BO6" s="165">
        <v>17</v>
      </c>
      <c r="BP6" s="165">
        <f>ROUND((306816*117%),0)</f>
        <v>358975</v>
      </c>
      <c r="BQ6" s="94">
        <f>ROUND((BP6/BO6),0)</f>
        <v>21116</v>
      </c>
      <c r="BR6" s="97">
        <f>ROUND((BP6/$BV$6),0)</f>
        <v>5</v>
      </c>
      <c r="BS6" s="579">
        <f t="shared" si="8"/>
        <v>0.125686509712147</v>
      </c>
      <c r="BT6" t="s">
        <v>786</v>
      </c>
      <c r="BU6" s="159">
        <f>' Qty Analysis'!AL48</f>
        <v>406751</v>
      </c>
      <c r="BV6" s="589">
        <f>BU6/$BW$4</f>
        <v>67791.8333333333</v>
      </c>
      <c r="BY6" s="596" t="s">
        <v>845</v>
      </c>
      <c r="BZ6" s="597"/>
      <c r="CA6" s="598"/>
      <c r="CB6" s="599" t="e">
        <f t="shared" si="9"/>
        <v>#DIV/0!</v>
      </c>
      <c r="CC6" s="625" t="e">
        <f>SUM(CB6:CB20)</f>
        <v>#DIV/0!</v>
      </c>
      <c r="CH6" s="318"/>
      <c r="CI6" s="318"/>
      <c r="CJ6" s="318"/>
      <c r="CK6" s="318"/>
      <c r="CL6" s="318"/>
      <c r="CM6" s="318"/>
      <c r="CP6" s="318"/>
      <c r="CQ6" s="318"/>
      <c r="CR6" s="629"/>
      <c r="CS6" s="318"/>
      <c r="CT6" s="318"/>
      <c r="CU6" s="318"/>
      <c r="CV6" s="629"/>
      <c r="CW6" s="318"/>
      <c r="CX6" s="318"/>
      <c r="CY6" s="631">
        <f t="shared" si="10"/>
        <v>0</v>
      </c>
    </row>
    <row r="7" ht="17.25" customHeight="1" spans="2:103">
      <c r="B7" s="265" t="str">
        <f>'PAL I'!B7</f>
        <v>Purchase Yarn</v>
      </c>
      <c r="C7" s="265"/>
      <c r="D7" s="266">
        <f>'PAL I'!C7</f>
        <v>18891</v>
      </c>
      <c r="E7" s="333">
        <f>'PAL I'!D7</f>
        <v>2338464</v>
      </c>
      <c r="F7" s="331">
        <f>'PAL I'!E7</f>
        <v>123.787200254089</v>
      </c>
      <c r="G7" s="265"/>
      <c r="H7" s="266">
        <f>'PAL I'!F7</f>
        <v>11834</v>
      </c>
      <c r="I7" s="333">
        <f>'PAL I'!G7</f>
        <v>1494263</v>
      </c>
      <c r="J7" s="331">
        <f>'PAL I'!H7</f>
        <v>126.268632753084</v>
      </c>
      <c r="K7" s="381"/>
      <c r="L7" s="382">
        <f>'PAL I'!I7</f>
        <v>18632</v>
      </c>
      <c r="M7" s="346">
        <f>'PAL I'!J7</f>
        <v>2292675</v>
      </c>
      <c r="N7" s="331">
        <f>'PAL I'!K7</f>
        <v>123.050397166166</v>
      </c>
      <c r="O7" s="381"/>
      <c r="P7" s="382">
        <f>'PAL I'!L7</f>
        <v>9076</v>
      </c>
      <c r="Q7" s="332">
        <f>'PAL I'!M7</f>
        <v>1098736</v>
      </c>
      <c r="R7" s="346">
        <f>'PAL I'!N7</f>
        <v>121.059497576025</v>
      </c>
      <c r="S7" s="381"/>
      <c r="T7" s="382">
        <f>'PAL I'!O7</f>
        <v>24210</v>
      </c>
      <c r="U7" s="346">
        <f>'PAL I'!P7</f>
        <v>2949800</v>
      </c>
      <c r="V7" s="346">
        <f>'PAL I'!Q7</f>
        <v>121.842213961173</v>
      </c>
      <c r="W7" s="381"/>
      <c r="X7" s="382">
        <f>'PAL I'!R7</f>
        <v>34618</v>
      </c>
      <c r="Y7" s="332">
        <f>'PAL I'!S7</f>
        <v>4235334</v>
      </c>
      <c r="Z7" s="331">
        <f>'PAL I'!T7</f>
        <v>122.34484950026</v>
      </c>
      <c r="AA7" s="265"/>
      <c r="AB7" s="266">
        <f>'PAL I'!U7</f>
        <v>7140</v>
      </c>
      <c r="AC7" s="346">
        <f>'PAL I'!V7</f>
        <v>785256</v>
      </c>
      <c r="AD7" s="331">
        <f t="shared" ref="AD7:AD8" si="11">AC7/AB7</f>
        <v>109.979831932773</v>
      </c>
      <c r="AE7" s="381"/>
      <c r="AF7" s="382">
        <f>'PAL I'!X7</f>
        <v>15516</v>
      </c>
      <c r="AG7" s="346">
        <f>'PAL I'!Y7</f>
        <v>1847198</v>
      </c>
      <c r="AH7" s="331">
        <f t="shared" ref="AH7:AH8" si="12">AG7/AF7</f>
        <v>119.051172982728</v>
      </c>
      <c r="AI7" s="381"/>
      <c r="AJ7" s="382">
        <f>'PAL I'!AA7</f>
        <v>8733</v>
      </c>
      <c r="AK7" s="346">
        <f>'PAL I'!AB7</f>
        <v>960212</v>
      </c>
      <c r="AL7" s="331"/>
      <c r="AM7" s="381"/>
      <c r="AN7" s="382"/>
      <c r="AO7" s="346"/>
      <c r="AP7" s="331"/>
      <c r="AQ7" s="381"/>
      <c r="AR7" s="478"/>
      <c r="AS7" s="482"/>
      <c r="AT7" s="331"/>
      <c r="AU7" s="381"/>
      <c r="AV7" s="478"/>
      <c r="AW7" s="478"/>
      <c r="AX7" s="331"/>
      <c r="AY7" s="381"/>
      <c r="AZ7" s="411">
        <f>'PAL I'!AM7</f>
        <v>161344</v>
      </c>
      <c r="BA7" s="346">
        <f>'PAL I'!AN7</f>
        <v>19504939</v>
      </c>
      <c r="BB7" s="331">
        <f>'PAL I'!AO7</f>
        <v>120.890389478382</v>
      </c>
      <c r="BD7" s="501"/>
      <c r="BE7" s="535"/>
      <c r="BG7" s="368"/>
      <c r="BI7" s="554"/>
      <c r="BJ7" s="555"/>
      <c r="BK7" s="555"/>
      <c r="BL7" s="556"/>
      <c r="BN7" s="152"/>
      <c r="BO7" s="167"/>
      <c r="BP7" s="167"/>
      <c r="BQ7" s="226"/>
      <c r="BR7" s="97"/>
      <c r="BS7" s="579"/>
      <c r="BT7"/>
      <c r="BU7" s="159"/>
      <c r="BV7" s="589"/>
      <c r="BY7" s="596"/>
      <c r="BZ7" s="597"/>
      <c r="CA7" s="598"/>
      <c r="CB7" s="599"/>
      <c r="CC7" s="626"/>
      <c r="CH7" s="318"/>
      <c r="CI7" s="318"/>
      <c r="CJ7" s="318"/>
      <c r="CK7" s="318"/>
      <c r="CL7" s="318"/>
      <c r="CM7" s="318"/>
      <c r="CP7" s="318"/>
      <c r="CQ7" s="318"/>
      <c r="CR7" s="629"/>
      <c r="CS7" s="318"/>
      <c r="CT7" s="318"/>
      <c r="CU7" s="318"/>
      <c r="CV7" s="629"/>
      <c r="CW7" s="318"/>
      <c r="CX7" s="318"/>
      <c r="CY7" s="631"/>
    </row>
    <row r="8" ht="17.25" customHeight="1" spans="2:103">
      <c r="B8" s="260" t="str">
        <f>'PAL I'!B8</f>
        <v>Purchase-Fabric+ Cons</v>
      </c>
      <c r="C8" s="260"/>
      <c r="D8" s="269">
        <f>'PAL I'!C$8</f>
        <v>23693</v>
      </c>
      <c r="E8" s="334">
        <f>'PAL I'!D$8</f>
        <v>5738425</v>
      </c>
      <c r="F8" s="335">
        <f>'PAL I'!E$8</f>
        <v>242.199172751446</v>
      </c>
      <c r="G8" s="260"/>
      <c r="H8" s="269">
        <f>'PAL I'!$F8</f>
        <v>20429</v>
      </c>
      <c r="I8" s="334">
        <f>'PAL I'!$G8</f>
        <v>5132735</v>
      </c>
      <c r="J8" s="335">
        <f>'PAL I'!$H8</f>
        <v>251.247491311371</v>
      </c>
      <c r="K8" s="384"/>
      <c r="L8" s="385">
        <f>'PAL I'!I8</f>
        <v>24698</v>
      </c>
      <c r="M8" s="337">
        <f>'PAL I'!J8</f>
        <v>6303597</v>
      </c>
      <c r="N8" s="335">
        <f>'PAL I'!K8</f>
        <v>255.227022430966</v>
      </c>
      <c r="O8" s="384"/>
      <c r="P8" s="385">
        <f>'PAL I'!L8</f>
        <v>20991</v>
      </c>
      <c r="Q8" s="443">
        <f>'PAL I'!M8</f>
        <v>5756799</v>
      </c>
      <c r="R8" s="337">
        <f>'PAL I'!N8</f>
        <v>274.250821780763</v>
      </c>
      <c r="S8" s="384"/>
      <c r="T8" s="385">
        <f>'PAL I'!O8</f>
        <v>25077</v>
      </c>
      <c r="U8" s="337">
        <f>'PAL I'!P8</f>
        <v>6255278</v>
      </c>
      <c r="V8" s="337">
        <f>'PAL I'!Q8</f>
        <v>249.44283606492</v>
      </c>
      <c r="W8" s="384"/>
      <c r="X8" s="385">
        <f>'PAL I'!R8</f>
        <v>23552</v>
      </c>
      <c r="Y8" s="460">
        <f>'PAL I'!S8</f>
        <v>5735506</v>
      </c>
      <c r="Z8" s="335">
        <f>'PAL I'!T8</f>
        <v>243.525220788043</v>
      </c>
      <c r="AA8" s="260"/>
      <c r="AB8" s="269">
        <f>'PAL I'!U8</f>
        <v>26146</v>
      </c>
      <c r="AC8" s="334">
        <f>'PAL I'!V8</f>
        <v>6617498</v>
      </c>
      <c r="AD8" s="331">
        <f t="shared" si="11"/>
        <v>253.097911726459</v>
      </c>
      <c r="AE8" s="384"/>
      <c r="AF8" s="269">
        <f>'PAL I'!X8</f>
        <v>21566</v>
      </c>
      <c r="AG8" s="334">
        <f>'PAL I'!Y8</f>
        <v>5173432</v>
      </c>
      <c r="AH8" s="335">
        <f t="shared" si="12"/>
        <v>239.888342761755</v>
      </c>
      <c r="AI8" s="384"/>
      <c r="AJ8" s="269">
        <f>'PAL I'!AA8</f>
        <v>25953</v>
      </c>
      <c r="AK8" s="334">
        <f>'PAL I'!AB8</f>
        <v>6191931</v>
      </c>
      <c r="AL8" s="335"/>
      <c r="AM8" s="384"/>
      <c r="AN8" s="385"/>
      <c r="AO8" s="337"/>
      <c r="AP8" s="335"/>
      <c r="AQ8" s="384"/>
      <c r="AR8" s="479"/>
      <c r="AS8" s="460"/>
      <c r="AT8" s="335"/>
      <c r="AU8" s="384"/>
      <c r="AV8" s="479"/>
      <c r="AW8" s="479"/>
      <c r="AX8" s="335"/>
      <c r="AY8" s="384"/>
      <c r="AZ8" s="386">
        <f>'PAL I'!AM8</f>
        <v>282410</v>
      </c>
      <c r="BA8" s="337">
        <f>'PAL I'!AN8</f>
        <v>70322632</v>
      </c>
      <c r="BB8" s="335">
        <f>'PAL I'!AO8</f>
        <v>249.009001097695</v>
      </c>
      <c r="BD8" s="502">
        <f>' Qty Analysis'!AL58+' Qty Analysis'!AL89</f>
        <v>129926.9</v>
      </c>
      <c r="BE8" s="536">
        <f>AZ8-BD8</f>
        <v>152483.1</v>
      </c>
      <c r="BF8" s="229" t="s">
        <v>846</v>
      </c>
      <c r="BG8" s="368"/>
      <c r="BI8" s="270"/>
      <c r="BJ8" s="557">
        <f>SUM(BJ5:BJ6)</f>
        <v>0</v>
      </c>
      <c r="BK8" s="557">
        <f>SUM(BK5:BK6)</f>
        <v>0</v>
      </c>
      <c r="BL8" s="558">
        <f>SUM(BL5:BL6)</f>
        <v>0</v>
      </c>
      <c r="BN8" s="573" t="s">
        <v>847</v>
      </c>
      <c r="BO8" s="574">
        <v>4</v>
      </c>
      <c r="BP8" s="574">
        <f>ROUND((50000*117%),0)</f>
        <v>58500</v>
      </c>
      <c r="BQ8" s="580">
        <f>ROUND((BP8/BO8),0)</f>
        <v>14625</v>
      </c>
      <c r="BR8" s="581">
        <f>ROUND((BP8/$BV$6),0)</f>
        <v>1</v>
      </c>
      <c r="BS8" s="582">
        <f t="shared" si="8"/>
        <v>0.0204823757034908</v>
      </c>
      <c r="BT8" s="96" t="s">
        <v>848</v>
      </c>
      <c r="BU8" s="159"/>
      <c r="BV8" s="589"/>
      <c r="BY8" s="596" t="s">
        <v>849</v>
      </c>
      <c r="BZ8" s="597"/>
      <c r="CA8" s="598"/>
      <c r="CB8" s="599" t="e">
        <f t="shared" si="9"/>
        <v>#DIV/0!</v>
      </c>
      <c r="CC8" s="627"/>
      <c r="CH8" s="318"/>
      <c r="CI8" s="318"/>
      <c r="CJ8" s="318"/>
      <c r="CK8" s="318"/>
      <c r="CL8" s="318"/>
      <c r="CM8" s="318"/>
      <c r="CP8" s="318"/>
      <c r="CQ8" s="318"/>
      <c r="CR8" s="629"/>
      <c r="CS8" s="318"/>
      <c r="CT8" s="318"/>
      <c r="CU8" s="318"/>
      <c r="CV8" s="629"/>
      <c r="CW8" s="318"/>
      <c r="CX8" s="318"/>
      <c r="CY8" s="631">
        <f t="shared" si="10"/>
        <v>0</v>
      </c>
    </row>
    <row r="9" ht="15.75" spans="2:103">
      <c r="B9" s="263"/>
      <c r="C9" s="263"/>
      <c r="D9" s="264">
        <f>SUM(D4:D8)</f>
        <v>350385</v>
      </c>
      <c r="E9" s="328">
        <f>SUM(E4:E8)</f>
        <v>38935652</v>
      </c>
      <c r="F9" s="336">
        <f t="shared" si="0"/>
        <v>111.122485266207</v>
      </c>
      <c r="G9" s="263"/>
      <c r="H9" s="264">
        <f>SUM(H4:H8)</f>
        <v>281579</v>
      </c>
      <c r="I9" s="328">
        <f>SUM(I4:I8)</f>
        <v>32059887</v>
      </c>
      <c r="J9" s="349">
        <f t="shared" si="1"/>
        <v>113.857521335043</v>
      </c>
      <c r="K9" s="379"/>
      <c r="L9" s="380">
        <f>SUM(L4:L8)</f>
        <v>352701</v>
      </c>
      <c r="M9" s="328">
        <f>SUM(M4:M8)</f>
        <v>39725599</v>
      </c>
      <c r="N9" s="424">
        <f>IF(L9=0,0,M9/L9)</f>
        <v>112.632510256563</v>
      </c>
      <c r="O9" s="379"/>
      <c r="P9" s="380">
        <f>SUM(P4:P8)</f>
        <v>344138</v>
      </c>
      <c r="Q9" s="328">
        <f>SUM(Q4:Q8)</f>
        <v>37896109</v>
      </c>
      <c r="R9" s="444">
        <f t="shared" si="3"/>
        <v>110.118931940094</v>
      </c>
      <c r="S9" s="379"/>
      <c r="T9" s="380">
        <f>SUM(T4:T8)</f>
        <v>380300</v>
      </c>
      <c r="U9" s="328">
        <f>SUM(U4:U8)</f>
        <v>43421238</v>
      </c>
      <c r="V9" s="350">
        <f t="shared" ref="V9:V11" si="13">IF(T9=0,0,U9/T9)</f>
        <v>114.176276623718</v>
      </c>
      <c r="W9" s="379"/>
      <c r="X9" s="380">
        <f>SUM(X4:X8)</f>
        <v>292914</v>
      </c>
      <c r="Y9" s="328">
        <f>SUM(Y4:Y8)</f>
        <v>33958178</v>
      </c>
      <c r="Z9" s="350">
        <f t="shared" si="5"/>
        <v>115.93224632486</v>
      </c>
      <c r="AA9" s="263"/>
      <c r="AB9" s="264">
        <f>SUM(AB4:AB8)</f>
        <v>287201</v>
      </c>
      <c r="AC9" s="328">
        <f>SUM(AC4:AC8)</f>
        <v>33484687</v>
      </c>
      <c r="AD9" s="349">
        <f t="shared" si="6"/>
        <v>116.589729840774</v>
      </c>
      <c r="AE9" s="379"/>
      <c r="AF9" s="380">
        <f>SUM(AF4:AF8)</f>
        <v>316525</v>
      </c>
      <c r="AG9" s="328">
        <f>SUM(AG4:AG8)</f>
        <v>34769984</v>
      </c>
      <c r="AH9" s="328">
        <f>IF(AF9=0,0,AG9/AF9)</f>
        <v>109.849092488745</v>
      </c>
      <c r="AI9" s="379"/>
      <c r="AJ9" s="380">
        <f>SUM(AJ4:AJ8)</f>
        <v>315266</v>
      </c>
      <c r="AK9" s="328">
        <f>SUM(AK4:AK8)</f>
        <v>34686324</v>
      </c>
      <c r="AL9" s="328">
        <f>IF(AJ9=0,0,AK9/AJ9)</f>
        <v>110.022406475801</v>
      </c>
      <c r="AM9" s="379"/>
      <c r="AN9" s="380">
        <f>SUM(AN4:AN8)</f>
        <v>312614</v>
      </c>
      <c r="AO9" s="328">
        <f>SUM(AO4:AO8)</f>
        <v>31090458</v>
      </c>
      <c r="AP9" s="328">
        <f>IF(AN9=0,0,AO9/AN9)</f>
        <v>99.4531850780835</v>
      </c>
      <c r="AQ9" s="379"/>
      <c r="AR9" s="380">
        <f>SUM(AR4:AR8)</f>
        <v>302016</v>
      </c>
      <c r="AS9" s="328">
        <f>SUM(AS4:AS8)</f>
        <v>31098970</v>
      </c>
      <c r="AT9" s="336">
        <f>IF(AR9=0,0,AS9/AR9)</f>
        <v>102.971266422971</v>
      </c>
      <c r="AU9" s="379"/>
      <c r="AV9" s="380">
        <f>SUM(AV4:AV8)</f>
        <v>261558</v>
      </c>
      <c r="AW9" s="328">
        <f>SUM(AW4:AW8)</f>
        <v>30328070</v>
      </c>
      <c r="AX9" s="336">
        <f>AW9/AV9</f>
        <v>115.951605380069</v>
      </c>
      <c r="AY9" s="379"/>
      <c r="AZ9" s="380">
        <f>SUM(AZ4:AZ8)</f>
        <v>2141892</v>
      </c>
      <c r="BA9" s="328">
        <f>SUM(BA4:BA8)</f>
        <v>263239490</v>
      </c>
      <c r="BB9" s="350">
        <f t="shared" si="7"/>
        <v>122.900449695876</v>
      </c>
      <c r="BD9" s="501">
        <f>SUM(BD4:BD8)</f>
        <v>1058362.7</v>
      </c>
      <c r="BE9" s="535">
        <f>SUM(BE6:BE8)</f>
        <v>178099.6</v>
      </c>
      <c r="BG9" s="368"/>
      <c r="BI9" s="263" t="s">
        <v>373</v>
      </c>
      <c r="BJ9" s="550"/>
      <c r="BK9" s="550"/>
      <c r="BL9" s="551">
        <f t="shared" ref="BL9:BL26" si="14">BJ9-BK9</f>
        <v>0</v>
      </c>
      <c r="BN9" s="148"/>
      <c r="BO9" s="575">
        <f>SUM(BO5:BO8)</f>
        <v>28</v>
      </c>
      <c r="BP9" s="575">
        <f>SUM(BP5:BP8)</f>
        <v>560309</v>
      </c>
      <c r="BQ9" s="583">
        <f>ROUND((BP9/BO9),0)</f>
        <v>20011</v>
      </c>
      <c r="BR9" s="97">
        <f>SUM(BR5:BR8)</f>
        <v>8</v>
      </c>
      <c r="BS9" s="579">
        <f t="shared" si="8"/>
        <v>0.196178793983714</v>
      </c>
      <c r="BT9" t="s">
        <v>40</v>
      </c>
      <c r="BU9">
        <f>' Qty Analysis'!AL88</f>
        <v>424528.2</v>
      </c>
      <c r="BV9" s="589">
        <f>BU9/$BW$4</f>
        <v>70754.7</v>
      </c>
      <c r="BY9" s="596" t="s">
        <v>850</v>
      </c>
      <c r="BZ9" s="597"/>
      <c r="CA9" s="598"/>
      <c r="CB9" s="599" t="e">
        <f t="shared" si="9"/>
        <v>#DIV/0!</v>
      </c>
      <c r="CC9" s="627"/>
      <c r="CH9" s="318"/>
      <c r="CI9" s="318"/>
      <c r="CJ9" s="318"/>
      <c r="CK9" s="318"/>
      <c r="CL9" s="318"/>
      <c r="CM9" s="318"/>
      <c r="CP9" s="318"/>
      <c r="CQ9" s="318"/>
      <c r="CR9" s="629"/>
      <c r="CS9" s="318"/>
      <c r="CT9" s="318"/>
      <c r="CU9" s="318"/>
      <c r="CV9" s="629"/>
      <c r="CW9" s="318"/>
      <c r="CX9" s="318"/>
      <c r="CY9" s="631">
        <f t="shared" si="10"/>
        <v>0</v>
      </c>
    </row>
    <row r="10" ht="16.5" spans="2:103">
      <c r="B10" s="260" t="s">
        <v>851</v>
      </c>
      <c r="C10" s="260"/>
      <c r="D10" s="269">
        <f>ROUND(('Stock Valuation (FIFO)'!E8),0)</f>
        <v>182463</v>
      </c>
      <c r="E10" s="337">
        <f>'Stock Valuation (FIFO)'!G8</f>
        <v>18484284</v>
      </c>
      <c r="F10" s="335">
        <f t="shared" si="0"/>
        <v>101.304286348465</v>
      </c>
      <c r="G10" s="260"/>
      <c r="H10" s="269">
        <f>ROUND(('Stock Valuation (FIFO)'!H8),0)</f>
        <v>149741</v>
      </c>
      <c r="I10" s="337">
        <f>ROUND(('Stock Valuation (FIFO)'!J8),0)</f>
        <v>15008748</v>
      </c>
      <c r="J10" s="337">
        <f t="shared" si="1"/>
        <v>100.231386193494</v>
      </c>
      <c r="K10" s="384"/>
      <c r="L10" s="386">
        <f>ROUND((('Stock Valuation (FIFO)'!K8)),0)</f>
        <v>166778</v>
      </c>
      <c r="M10" s="337">
        <f>SUM('Stock Valuation (FIFO)'!M8)</f>
        <v>16653609</v>
      </c>
      <c r="N10" s="425">
        <f t="shared" si="2"/>
        <v>99.8549508928036</v>
      </c>
      <c r="O10" s="384"/>
      <c r="P10" s="386">
        <f>SUM('Stock Valuation (FIFO)'!N8)</f>
        <v>148947</v>
      </c>
      <c r="Q10" s="337">
        <f>SUM('Stock Valuation (FIFO)'!P8)</f>
        <v>15325485</v>
      </c>
      <c r="R10" s="445">
        <f t="shared" si="3"/>
        <v>102.892203266934</v>
      </c>
      <c r="S10" s="384"/>
      <c r="T10" s="386">
        <f>SUM('Stock Valuation (FIFO)'!Q8)</f>
        <v>190728</v>
      </c>
      <c r="U10" s="337">
        <f>SUM('Stock Valuation (FIFO)'!S8)</f>
        <v>19843851</v>
      </c>
      <c r="V10" s="335">
        <f t="shared" si="13"/>
        <v>104.04267333585</v>
      </c>
      <c r="W10" s="384"/>
      <c r="X10" s="386">
        <f>ROUND(('Stock Valuation (FIFO)'!T8),0)</f>
        <v>117515</v>
      </c>
      <c r="Y10" s="337">
        <f>'Stock Valuation (FIFO)'!V8</f>
        <v>12263385</v>
      </c>
      <c r="Z10" s="335">
        <f t="shared" si="5"/>
        <v>104.355912011233</v>
      </c>
      <c r="AA10" s="260"/>
      <c r="AB10" s="269">
        <f>'Stock Valuation (FIFO)'!W8</f>
        <v>142661</v>
      </c>
      <c r="AC10" s="337">
        <f>'Stock Valuation (FIFO)'!Y8</f>
        <v>14553130</v>
      </c>
      <c r="AD10" s="337">
        <f t="shared" si="6"/>
        <v>102.011972438158</v>
      </c>
      <c r="AE10" s="381"/>
      <c r="AF10" s="411">
        <f>'Stock Valuation (FIFO)'!Z8</f>
        <v>166752</v>
      </c>
      <c r="AG10" s="346">
        <f>'Stock Valuation (FIFO)'!AB8</f>
        <v>16611745</v>
      </c>
      <c r="AH10" s="346">
        <f>IF(AF10=0,0,AG10/AF10)</f>
        <v>99.619464834005</v>
      </c>
      <c r="AI10" s="381"/>
      <c r="AJ10" s="386">
        <f>'Stock Valuation (FIFO)'!AC8</f>
        <v>137910</v>
      </c>
      <c r="AK10" s="337">
        <f>'Stock Valuation (FIFO)'!AE8</f>
        <v>13647848</v>
      </c>
      <c r="AL10" s="346">
        <f>IF(AJ10=0,0,AK10/AJ10)</f>
        <v>98.9619897034298</v>
      </c>
      <c r="AM10" s="384"/>
      <c r="AN10" s="386">
        <f>ROUND(('Stock Valuation (FIFO)'!AF8),0)</f>
        <v>177221</v>
      </c>
      <c r="AO10" s="337">
        <f>'Stock Valuation (FIFO)'!AH8</f>
        <v>17955937</v>
      </c>
      <c r="AP10" s="346">
        <f>IF(AN10=0,0,AO10/AN10)</f>
        <v>101.319465526095</v>
      </c>
      <c r="AQ10" s="384"/>
      <c r="AR10" s="386">
        <f>ROUND(('Stock Valuation (FIFO)'!AI8),0)</f>
        <v>157588</v>
      </c>
      <c r="AS10" s="337">
        <f>'Stock Valuation (FIFO)'!AK8</f>
        <v>16788076</v>
      </c>
      <c r="AT10" s="331">
        <f>IF(AR10=0,0,AS10/AR10)</f>
        <v>106.531436403787</v>
      </c>
      <c r="AU10" s="384"/>
      <c r="AV10" s="386">
        <f>'Stock Valuation (FIFO)'!AL8</f>
        <v>143489</v>
      </c>
      <c r="AW10" s="337">
        <f>'Stock Valuation (FIFO)'!AN8</f>
        <v>17774647</v>
      </c>
      <c r="AX10" s="335">
        <f>AW10/AV10</f>
        <v>123.874631504854</v>
      </c>
      <c r="AY10" s="384"/>
      <c r="AZ10" s="488">
        <f>AJ10</f>
        <v>137910</v>
      </c>
      <c r="BA10" s="503">
        <f>AK10</f>
        <v>13647848</v>
      </c>
      <c r="BB10" s="335">
        <f t="shared" si="7"/>
        <v>98.9619897034298</v>
      </c>
      <c r="BD10" s="502">
        <f>' Qty Analysis'!AL8+' Qty Analysis'!AL21+' Qty Analysis'!AL33</f>
        <v>190728</v>
      </c>
      <c r="BE10" s="536">
        <f>AZ10-BD10</f>
        <v>-52818</v>
      </c>
      <c r="BG10" s="368"/>
      <c r="BI10" s="267" t="s">
        <v>362</v>
      </c>
      <c r="BJ10" s="559"/>
      <c r="BK10" s="559"/>
      <c r="BL10" s="560">
        <f t="shared" si="14"/>
        <v>0</v>
      </c>
      <c r="BN10" s="152" t="s">
        <v>852</v>
      </c>
      <c r="BO10" s="167">
        <v>8</v>
      </c>
      <c r="BP10" s="167">
        <f>ROUND((144480*117%),0)</f>
        <v>169042</v>
      </c>
      <c r="BQ10" s="226">
        <f>ROUND((BP10/BO10),0)</f>
        <v>21130</v>
      </c>
      <c r="BR10" s="97">
        <f>ROUND((BP10/$BV$6),0)</f>
        <v>2</v>
      </c>
      <c r="BS10" s="582">
        <f t="shared" si="8"/>
        <v>0.0591860128832393</v>
      </c>
      <c r="BT10" s="96" t="s">
        <v>853</v>
      </c>
      <c r="BU10"/>
      <c r="BV10"/>
      <c r="BY10" s="596" t="s">
        <v>854</v>
      </c>
      <c r="BZ10" s="597"/>
      <c r="CA10" s="598"/>
      <c r="CB10" s="599" t="e">
        <f t="shared" si="9"/>
        <v>#DIV/0!</v>
      </c>
      <c r="CC10" s="627"/>
      <c r="CH10" s="318"/>
      <c r="CI10" s="318"/>
      <c r="CJ10" s="318"/>
      <c r="CK10" s="318"/>
      <c r="CL10" s="318"/>
      <c r="CM10" s="318"/>
      <c r="CP10" s="318"/>
      <c r="CQ10" s="318"/>
      <c r="CR10" s="629"/>
      <c r="CS10" s="318"/>
      <c r="CT10" s="318"/>
      <c r="CU10" s="318"/>
      <c r="CV10" s="629"/>
      <c r="CW10" s="318"/>
      <c r="CX10" s="318"/>
      <c r="CY10" s="631">
        <f t="shared" si="10"/>
        <v>0</v>
      </c>
    </row>
    <row r="11" ht="16.5" spans="2:103">
      <c r="B11" s="270"/>
      <c r="C11" s="271">
        <f>E11/E$17</f>
        <v>0.664773591797353</v>
      </c>
      <c r="D11" s="272">
        <f>D9-D10</f>
        <v>167922</v>
      </c>
      <c r="E11" s="338">
        <f>E9-E10</f>
        <v>20451368</v>
      </c>
      <c r="F11" s="339">
        <f>IF(D11=0,0,E11/D11)</f>
        <v>121.790879098629</v>
      </c>
      <c r="G11" s="271">
        <f>I11/I$17</f>
        <v>0.448178116007138</v>
      </c>
      <c r="H11" s="272">
        <f>H9-H10</f>
        <v>131838</v>
      </c>
      <c r="I11" s="387">
        <f>I9-I10</f>
        <v>17051139</v>
      </c>
      <c r="J11" s="387">
        <f t="shared" si="1"/>
        <v>129.334023574387</v>
      </c>
      <c r="K11" s="388">
        <f>M11/M$17</f>
        <v>0.594572610420482</v>
      </c>
      <c r="L11" s="389">
        <f>L9-L10</f>
        <v>185923</v>
      </c>
      <c r="M11" s="387">
        <f>M9-M10</f>
        <v>23071990</v>
      </c>
      <c r="N11" s="339">
        <f t="shared" si="2"/>
        <v>124.094329372912</v>
      </c>
      <c r="O11" s="388">
        <f>Q11/Q$17</f>
        <v>0.616455037976759</v>
      </c>
      <c r="P11" s="389">
        <f>P9-P10</f>
        <v>195191</v>
      </c>
      <c r="Q11" s="387">
        <f>Q9-Q10</f>
        <v>22570624</v>
      </c>
      <c r="R11" s="446">
        <f t="shared" si="3"/>
        <v>115.633528185213</v>
      </c>
      <c r="S11" s="388">
        <f>U11/U$17</f>
        <v>0.663295348104778</v>
      </c>
      <c r="T11" s="389">
        <f>T9-T10</f>
        <v>189572</v>
      </c>
      <c r="U11" s="387">
        <f>U9-U10</f>
        <v>23577387</v>
      </c>
      <c r="V11" s="455">
        <f t="shared" si="13"/>
        <v>124.37167408689</v>
      </c>
      <c r="W11" s="388">
        <f>Y11/Y$17</f>
        <v>0.757480527641634</v>
      </c>
      <c r="X11" s="389">
        <f>X9-X10</f>
        <v>175399</v>
      </c>
      <c r="Y11" s="387">
        <f>Y9-Y10</f>
        <v>21694793</v>
      </c>
      <c r="Z11" s="455">
        <f t="shared" si="5"/>
        <v>123.688236534986</v>
      </c>
      <c r="AA11" s="271">
        <f>AC11/AC$17</f>
        <v>0.690272796125281</v>
      </c>
      <c r="AB11" s="272">
        <f>AB9-AB10</f>
        <v>144540</v>
      </c>
      <c r="AC11" s="387">
        <f>AC9-AC10</f>
        <v>18931557</v>
      </c>
      <c r="AD11" s="387">
        <f t="shared" si="6"/>
        <v>130.97797841428</v>
      </c>
      <c r="AE11" s="388">
        <f>AG11/AG$17</f>
        <v>0.514108464756089</v>
      </c>
      <c r="AF11" s="389">
        <f>AF9-AF10</f>
        <v>149773</v>
      </c>
      <c r="AG11" s="387">
        <f>AG9-AG10</f>
        <v>18158239</v>
      </c>
      <c r="AH11" s="387">
        <f>IF(AF11=0,0,AG11/AF11)</f>
        <v>121.238400779847</v>
      </c>
      <c r="AI11" s="388">
        <f>AK11/AK$17</f>
        <v>0.835743459972735</v>
      </c>
      <c r="AJ11" s="389">
        <f>AJ9-AJ10</f>
        <v>177356</v>
      </c>
      <c r="AK11" s="387">
        <f>AK9-AK10</f>
        <v>21038476</v>
      </c>
      <c r="AL11" s="387">
        <f>IF(AJ11=0,0,AK11/AJ11)</f>
        <v>118.62286023591</v>
      </c>
      <c r="AM11" s="388">
        <f>AO11/AO$17</f>
        <v>0.379601349424355</v>
      </c>
      <c r="AN11" s="389">
        <f>AN9-AN10</f>
        <v>135393</v>
      </c>
      <c r="AO11" s="387">
        <f>AO9-AO10</f>
        <v>13134521</v>
      </c>
      <c r="AP11" s="387">
        <f>IF(AN11=0,0,AO11/AN11)</f>
        <v>97.0103402686993</v>
      </c>
      <c r="AQ11" s="388">
        <f>AS11/AS$17</f>
        <v>0.379487889881881</v>
      </c>
      <c r="AR11" s="389">
        <f>AR9-AR10</f>
        <v>144428</v>
      </c>
      <c r="AS11" s="387">
        <f>AS9-AS10</f>
        <v>14310894</v>
      </c>
      <c r="AT11" s="455">
        <f>IF(AR11=0,0,AS11/AR11)</f>
        <v>99.0867006397651</v>
      </c>
      <c r="AU11" s="271">
        <f>AW11/AW$17</f>
        <v>0.271507671547303</v>
      </c>
      <c r="AV11" s="272">
        <f>AV9-AV10</f>
        <v>118069</v>
      </c>
      <c r="AW11" s="387">
        <f>AW9-AW10</f>
        <v>12553423</v>
      </c>
      <c r="AX11" s="455">
        <f>IF(AV11=0,0,AW11/AV11)</f>
        <v>106.322768889378</v>
      </c>
      <c r="AY11" s="388">
        <f>BA11/BA$17</f>
        <v>0.601597240651006</v>
      </c>
      <c r="AZ11" s="389">
        <f>AZ9-AZ10</f>
        <v>2003982</v>
      </c>
      <c r="BA11" s="387">
        <f>BA9-BA10</f>
        <v>249591642</v>
      </c>
      <c r="BB11" s="455">
        <f t="shared" si="7"/>
        <v>124.54784623814</v>
      </c>
      <c r="BC11" s="504">
        <f>BA11/$BA$17</f>
        <v>0.601597240651006</v>
      </c>
      <c r="BD11" s="505">
        <f>BD9-BD10</f>
        <v>867634.7</v>
      </c>
      <c r="BE11" s="537">
        <f>SUM(BE9:BE10)</f>
        <v>125281.6</v>
      </c>
      <c r="BF11" s="368">
        <f>BA11/(AZ15+AZ16)</f>
        <v>181.573223163583</v>
      </c>
      <c r="BI11" s="260" t="s">
        <v>379</v>
      </c>
      <c r="BJ11" s="552"/>
      <c r="BK11" s="552"/>
      <c r="BL11" s="553">
        <f t="shared" si="14"/>
        <v>0</v>
      </c>
      <c r="BN11" s="576" t="s">
        <v>135</v>
      </c>
      <c r="BO11" s="169">
        <f>SUM(BO9:BO10)</f>
        <v>36</v>
      </c>
      <c r="BP11" s="169">
        <f>SUM(BP9:BP10)</f>
        <v>729351</v>
      </c>
      <c r="BQ11" s="227"/>
      <c r="BR11" s="584">
        <f>SUM(BR9:BR10)</f>
        <v>10</v>
      </c>
      <c r="BS11" s="585">
        <f t="shared" si="8"/>
        <v>0.255364806866953</v>
      </c>
      <c r="BT11"/>
      <c r="BU11"/>
      <c r="BV11"/>
      <c r="BY11" s="596" t="s">
        <v>855</v>
      </c>
      <c r="BZ11" s="597"/>
      <c r="CA11" s="598"/>
      <c r="CB11" s="599" t="e">
        <f t="shared" si="9"/>
        <v>#DIV/0!</v>
      </c>
      <c r="CC11" s="627"/>
      <c r="CH11" s="318"/>
      <c r="CI11" s="318"/>
      <c r="CJ11" s="318"/>
      <c r="CK11" s="318"/>
      <c r="CL11" s="318"/>
      <c r="CM11" s="318"/>
      <c r="CP11" s="318"/>
      <c r="CQ11" s="318"/>
      <c r="CR11" s="629"/>
      <c r="CS11" s="318"/>
      <c r="CT11" s="318"/>
      <c r="CU11" s="318"/>
      <c r="CV11" s="629"/>
      <c r="CW11" s="318"/>
      <c r="CX11" s="318"/>
      <c r="CY11" s="631">
        <f t="shared" si="10"/>
        <v>0</v>
      </c>
    </row>
    <row r="12" ht="15.75" spans="2:103">
      <c r="B12" s="263" t="s">
        <v>856</v>
      </c>
      <c r="C12" s="273"/>
      <c r="D12" s="264">
        <f>'Inventory Sales'!B25+'Inventory Sales'!B24</f>
        <v>40211</v>
      </c>
      <c r="E12" s="340">
        <f>'Inventory Sales'!D25+'Inventory Sales'!D24</f>
        <v>4053505</v>
      </c>
      <c r="F12" s="329">
        <f>E12/D12</f>
        <v>100.805874014573</v>
      </c>
      <c r="G12" s="273"/>
      <c r="H12" s="264">
        <f>'Inventory Sales'!E25+'Inventory Sales'!E24</f>
        <v>14025</v>
      </c>
      <c r="I12" s="328">
        <f>'Inventory Sales'!G25+'Inventory Sales'!G24</f>
        <v>1335000</v>
      </c>
      <c r="J12" s="329">
        <f>I12/H12</f>
        <v>95.1871657754011</v>
      </c>
      <c r="K12" s="390"/>
      <c r="L12" s="264">
        <f>'Inventory Sales'!H25+'Inventory Sales'!H24</f>
        <v>51228</v>
      </c>
      <c r="M12" s="340">
        <f>'Inventory Sales'!J25+'Inventory Sales'!J24</f>
        <v>4901990</v>
      </c>
      <c r="N12" s="329">
        <f>M12/L12</f>
        <v>95.6896619036464</v>
      </c>
      <c r="O12" s="390"/>
      <c r="P12" s="264">
        <f>'Inventory Sales'!K25+'Inventory Sales'!K24</f>
        <v>55227</v>
      </c>
      <c r="Q12" s="340">
        <f>'Inventory Sales'!M25+'Inventory Sales'!M24</f>
        <v>5492960</v>
      </c>
      <c r="R12" s="329">
        <f>Q12/P12</f>
        <v>99.4614952831043</v>
      </c>
      <c r="S12" s="390"/>
      <c r="T12" s="264">
        <f>'Inventory Sales'!N25+'Inventory Sales'!N24</f>
        <v>58367</v>
      </c>
      <c r="U12" s="340">
        <f>'Inventory Sales'!P25+'Inventory Sales'!P24</f>
        <v>5861010</v>
      </c>
      <c r="V12" s="329">
        <f>U12/T12</f>
        <v>100.416502475714</v>
      </c>
      <c r="W12" s="390"/>
      <c r="X12" s="380">
        <f>'Inventory Sales'!Q25+'Inventory Sales'!Q24</f>
        <v>31229</v>
      </c>
      <c r="Y12" s="328">
        <f>'Inventory Sales'!S25+'Inventory Sales'!S24</f>
        <v>3094270</v>
      </c>
      <c r="Z12" s="342">
        <f t="shared" ref="Z12:Z13" si="15">IF(Y12=0,0,Y12/X12)</f>
        <v>99.0832239264786</v>
      </c>
      <c r="AA12" s="273"/>
      <c r="AB12" s="264">
        <f>'Inventory Sales'!T25+'Inventory Sales'!T24</f>
        <v>24221</v>
      </c>
      <c r="AC12" s="328">
        <f>'Inventory Sales'!V25+'Inventory Sales'!V24</f>
        <v>2367480</v>
      </c>
      <c r="AD12" s="342">
        <f t="shared" ref="AD12:AD13" si="16">IF(AC12=0,0,AC12/AB12)</f>
        <v>97.744932083729</v>
      </c>
      <c r="AE12" s="390"/>
      <c r="AF12" s="380">
        <f>'Inventory Sales'!W25+'Inventory Sales'!W24</f>
        <v>15285</v>
      </c>
      <c r="AG12" s="328">
        <f>'Inventory Sales'!Y25+'Inventory Sales'!Y24</f>
        <v>1531550</v>
      </c>
      <c r="AH12" s="342">
        <f t="shared" ref="AH12:AH13" si="17">IF(AG12=0,0,AG12/AF12)</f>
        <v>100.199542034675</v>
      </c>
      <c r="AI12" s="390"/>
      <c r="AJ12" s="380">
        <f>'Inventory Sales'!Z25+'Inventory Sales'!Z24</f>
        <v>31175</v>
      </c>
      <c r="AK12" s="328">
        <f>'Inventory Sales'!AB25+'Inventory Sales'!AB24</f>
        <v>2900000</v>
      </c>
      <c r="AL12" s="329">
        <f>AK12/AJ12</f>
        <v>93.0232558139535</v>
      </c>
      <c r="AM12" s="390"/>
      <c r="AN12" s="380">
        <f>'Inventory Sales'!AC25+'Inventory Sales'!AC24</f>
        <v>38215</v>
      </c>
      <c r="AO12" s="328">
        <f>'Inventory Sales'!AE25+'Inventory Sales'!AE24</f>
        <v>3737800</v>
      </c>
      <c r="AP12" s="329">
        <f>AO12/AN12</f>
        <v>97.8097605652231</v>
      </c>
      <c r="AQ12" s="390"/>
      <c r="AR12" s="380">
        <f>'Inventory Sales'!AF25+'Inventory Sales'!AF24</f>
        <v>37237</v>
      </c>
      <c r="AS12" s="328">
        <f>'Inventory Sales'!AH25+'Inventory Sales'!AH24</f>
        <v>3809060</v>
      </c>
      <c r="AT12" s="329">
        <f>AS12/AR12</f>
        <v>102.292343636705</v>
      </c>
      <c r="AU12" s="343"/>
      <c r="AV12" s="264">
        <f>'Inventory Sales'!AI25+'Inventory Sales'!AI22</f>
        <v>25000</v>
      </c>
      <c r="AW12" s="328">
        <f>'Inventory Sales'!AK25+'Inventory Sales'!AK22</f>
        <v>2978000</v>
      </c>
      <c r="AX12" s="329">
        <f>AW12/AV12</f>
        <v>119.12</v>
      </c>
      <c r="AY12" s="390"/>
      <c r="AZ12" s="318">
        <f>SUM(D12,H12,L12,P12,T12,X12,AB12,AF12,AJ12,AN12,AR12,AV12)</f>
        <v>421420</v>
      </c>
      <c r="BA12" s="349">
        <f>ROUND((SUM(E12,I12,M12,Q12,U12,Y12,AC12,AG12,AK12,AO12,AS12,AW12)),0)</f>
        <v>42062625</v>
      </c>
      <c r="BB12" s="350">
        <f t="shared" si="7"/>
        <v>99.8116487114992</v>
      </c>
      <c r="BC12" s="504"/>
      <c r="BD12" s="506">
        <f>' Qty Analysis'!AL7+' Qty Analysis'!AL20</f>
        <v>250287</v>
      </c>
      <c r="BE12" s="535">
        <f>AZ12-BD12</f>
        <v>171133</v>
      </c>
      <c r="BF12" s="368"/>
      <c r="BG12" s="229">
        <f>ROUND((BA12/6),-3)</f>
        <v>7010000</v>
      </c>
      <c r="BI12" s="263" t="s">
        <v>857</v>
      </c>
      <c r="BJ12" s="550">
        <f>BJ9+BJ10-BJ11</f>
        <v>0</v>
      </c>
      <c r="BK12" s="550">
        <f>BK9+BK10-BK11</f>
        <v>0</v>
      </c>
      <c r="BL12" s="551">
        <f t="shared" si="14"/>
        <v>0</v>
      </c>
      <c r="BN12" s="577" t="s">
        <v>858</v>
      </c>
      <c r="BO12" s="575">
        <v>2</v>
      </c>
      <c r="BP12" s="575">
        <f>ROUND((39320*117%),0)</f>
        <v>46004</v>
      </c>
      <c r="BQ12" s="583">
        <f>ROUND((BP12/BO12),0)</f>
        <v>23002</v>
      </c>
      <c r="BR12" s="97">
        <f>BP12/$BV$9</f>
        <v>0.650190022712272</v>
      </c>
      <c r="BS12" s="579">
        <f t="shared" si="8"/>
        <v>0.016107200202793</v>
      </c>
      <c r="BT12" s="578" t="s">
        <v>380</v>
      </c>
      <c r="BU12" s="122"/>
      <c r="BV12" s="122"/>
      <c r="BY12" s="596" t="s">
        <v>859</v>
      </c>
      <c r="BZ12" s="597"/>
      <c r="CA12" s="598"/>
      <c r="CB12" s="599" t="e">
        <f t="shared" si="9"/>
        <v>#DIV/0!</v>
      </c>
      <c r="CC12" s="627"/>
      <c r="CH12" s="318"/>
      <c r="CI12" s="318"/>
      <c r="CJ12" s="318"/>
      <c r="CK12" s="318"/>
      <c r="CL12" s="318"/>
      <c r="CM12" s="318"/>
      <c r="CP12" s="318"/>
      <c r="CQ12" s="318"/>
      <c r="CR12" s="629"/>
      <c r="CS12" s="318"/>
      <c r="CT12" s="318"/>
      <c r="CU12" s="318"/>
      <c r="CV12" s="629"/>
      <c r="CW12" s="318"/>
      <c r="CX12" s="318"/>
      <c r="CY12" s="631">
        <f t="shared" si="10"/>
        <v>0</v>
      </c>
    </row>
    <row r="13" ht="15.75" spans="2:103">
      <c r="B13" s="263" t="s">
        <v>860</v>
      </c>
      <c r="C13" s="273"/>
      <c r="D13" s="264">
        <f>ROUND(('Trading PL'!B4),0)</f>
        <v>7745</v>
      </c>
      <c r="E13" s="340">
        <f>ROUND(('Trading PL'!C4),0)</f>
        <v>1377592</v>
      </c>
      <c r="F13" s="336">
        <f>E13/D13</f>
        <v>177.868560361524</v>
      </c>
      <c r="G13" s="273"/>
      <c r="H13" s="264">
        <f>ROUND(('Trading PL'!E4),0)</f>
        <v>8679</v>
      </c>
      <c r="I13" s="328">
        <f>ROUND(('Trading PL'!F4),0)</f>
        <v>1668640</v>
      </c>
      <c r="J13" s="336">
        <f>I13/H13</f>
        <v>192.261781311211</v>
      </c>
      <c r="K13" s="390"/>
      <c r="L13" s="264">
        <f>ROUND(('Trading PL'!H4),0)</f>
        <v>7031</v>
      </c>
      <c r="M13" s="340">
        <f>ROUND(('Trading PL'!I4),0)</f>
        <v>1342889</v>
      </c>
      <c r="N13" s="336">
        <f>M13/L13</f>
        <v>190.995448727066</v>
      </c>
      <c r="O13" s="390"/>
      <c r="P13" s="264">
        <f>ROUND(('Trading PL'!K4),0)</f>
        <v>8529</v>
      </c>
      <c r="Q13" s="340">
        <f>ROUND(('Trading PL'!L4),0)</f>
        <v>1494475</v>
      </c>
      <c r="R13" s="336">
        <f>Q13/P13</f>
        <v>175.222769375073</v>
      </c>
      <c r="S13" s="390"/>
      <c r="T13" s="380">
        <f>'Trading PL'!N4</f>
        <v>6416</v>
      </c>
      <c r="U13" s="340">
        <f>'Trading PL'!O4</f>
        <v>1154893</v>
      </c>
      <c r="V13" s="336">
        <f>U13/T13</f>
        <v>180.002026184539</v>
      </c>
      <c r="W13" s="390"/>
      <c r="X13" s="380">
        <f>ROUND(('Trading PL'!Q4),0)</f>
        <v>5883</v>
      </c>
      <c r="Y13" s="328">
        <f>ROUND(('Trading PL'!R4),0)</f>
        <v>1008073</v>
      </c>
      <c r="Z13" s="342">
        <f t="shared" si="15"/>
        <v>171.353561108278</v>
      </c>
      <c r="AA13" s="273"/>
      <c r="AB13" s="264">
        <f>ROUND(('Trading PL'!T4),0)</f>
        <v>7449</v>
      </c>
      <c r="AC13" s="328">
        <f>'Trading PL'!U4</f>
        <v>1362367</v>
      </c>
      <c r="AD13" s="342">
        <f t="shared" si="16"/>
        <v>182.892603033964</v>
      </c>
      <c r="AE13" s="390"/>
      <c r="AF13" s="380">
        <f>'Trading PL'!W4</f>
        <v>15178.5</v>
      </c>
      <c r="AG13" s="328">
        <f>'Trading PL'!X4</f>
        <v>2123666</v>
      </c>
      <c r="AH13" s="342">
        <f t="shared" si="17"/>
        <v>139.912771354218</v>
      </c>
      <c r="AI13" s="390"/>
      <c r="AJ13" s="380">
        <f>'Trading PL'!Z4</f>
        <v>6671</v>
      </c>
      <c r="AK13" s="328">
        <f>'Trading PL'!AA4</f>
        <v>1200325</v>
      </c>
      <c r="AL13" s="342">
        <f t="shared" ref="AL13" si="18">IF(AK13=0,0,AK13/AJ13)</f>
        <v>179.931794333683</v>
      </c>
      <c r="AM13" s="390"/>
      <c r="AN13" s="380">
        <f>'Trading PL'!AC4</f>
        <v>4412</v>
      </c>
      <c r="AO13" s="328">
        <f>'Trading PL'!AD4</f>
        <v>853819</v>
      </c>
      <c r="AP13" s="342">
        <f t="shared" ref="AP13" si="19">IF(AO13=0,0,AO13/AN13)</f>
        <v>193.521985494107</v>
      </c>
      <c r="AQ13" s="390"/>
      <c r="AR13" s="380">
        <f>'Trading PL'!AF4</f>
        <v>6671</v>
      </c>
      <c r="AS13" s="328">
        <f>'Trading PL'!AG4</f>
        <v>1253359</v>
      </c>
      <c r="AT13" s="342">
        <f t="shared" ref="AT13" si="20">IF(AS13=0,0,AS13/AR13)</f>
        <v>187.88172687753</v>
      </c>
      <c r="AU13" s="390"/>
      <c r="AV13" s="380">
        <f>'Trading PL'!AI4</f>
        <v>5977</v>
      </c>
      <c r="AW13" s="328">
        <f>'Trading PL'!AJ4</f>
        <v>1247246</v>
      </c>
      <c r="AX13" s="342">
        <f t="shared" ref="AX13" si="21">IF(AW13=0,0,AW13/AV13)</f>
        <v>208.674251296637</v>
      </c>
      <c r="AY13" s="390"/>
      <c r="AZ13" s="489">
        <f>SUM(D13,H13,L13,P13,T13,X13,AB13,AF13,AJ13,AN13,AR13,AV13)</f>
        <v>90641.5</v>
      </c>
      <c r="BA13" s="341">
        <f>ROUND((SUM(E13,I13,M13,Q13,U13,Y13,AC13,AG13,AK13,AO13,AS13,AW13)),0)</f>
        <v>16087344</v>
      </c>
      <c r="BB13" s="342">
        <f t="shared" si="7"/>
        <v>177.48320581632</v>
      </c>
      <c r="BC13" s="504"/>
      <c r="BD13" s="501">
        <f>'Trading PL'!AL4</f>
        <v>90641.45</v>
      </c>
      <c r="BE13" s="535">
        <f>AZ13-BD13</f>
        <v>0.0500000000029104</v>
      </c>
      <c r="BF13" s="368"/>
      <c r="BG13" s="229">
        <f>ROUND((BA13/6),-3)</f>
        <v>2681000</v>
      </c>
      <c r="BI13" s="267" t="s">
        <v>48</v>
      </c>
      <c r="BJ13" s="559"/>
      <c r="BK13" s="559"/>
      <c r="BL13" s="560">
        <f t="shared" si="14"/>
        <v>0</v>
      </c>
      <c r="BN13" s="150" t="s">
        <v>861</v>
      </c>
      <c r="BO13" s="165">
        <v>5</v>
      </c>
      <c r="BP13" s="165">
        <f>ROUND((59050*117%),0)</f>
        <v>69089</v>
      </c>
      <c r="BQ13" s="94">
        <f>ROUND((BP13/BO13),0)</f>
        <v>13818</v>
      </c>
      <c r="BR13" s="97">
        <f>BP13/$BV$9</f>
        <v>0.976458101016611</v>
      </c>
      <c r="BS13" s="579">
        <f t="shared" si="8"/>
        <v>0.0241898607688629</v>
      </c>
      <c r="BT13" s="96" t="s">
        <v>862</v>
      </c>
      <c r="BU13" s="159">
        <f>AZ16</f>
        <v>1161496</v>
      </c>
      <c r="BV13" s="589">
        <f>BU13/$BW$4</f>
        <v>193582.666666667</v>
      </c>
      <c r="BY13" s="596" t="s">
        <v>863</v>
      </c>
      <c r="BZ13" s="597"/>
      <c r="CA13" s="598"/>
      <c r="CB13" s="599" t="e">
        <f t="shared" si="9"/>
        <v>#DIV/0!</v>
      </c>
      <c r="CC13" s="627"/>
      <c r="CH13" s="318"/>
      <c r="CI13" s="318"/>
      <c r="CJ13" s="318"/>
      <c r="CK13" s="318"/>
      <c r="CL13" s="318"/>
      <c r="CM13" s="318"/>
      <c r="CP13" s="318"/>
      <c r="CQ13" s="318"/>
      <c r="CR13" s="629"/>
      <c r="CS13" s="318"/>
      <c r="CT13" s="318"/>
      <c r="CU13" s="318"/>
      <c r="CV13" s="629"/>
      <c r="CW13" s="318"/>
      <c r="CX13" s="318"/>
      <c r="CY13" s="631">
        <f t="shared" si="10"/>
        <v>0</v>
      </c>
    </row>
    <row r="14" ht="15.75" spans="2:103">
      <c r="B14" s="267" t="s">
        <v>864</v>
      </c>
      <c r="C14" s="273"/>
      <c r="D14" s="264">
        <f>ROUND(('Inventory Sales'!B10),0)</f>
        <v>9900</v>
      </c>
      <c r="E14" s="340">
        <f>'Inventory Sales'!D10</f>
        <v>1294875</v>
      </c>
      <c r="F14" s="336">
        <f>E14/D14</f>
        <v>130.795454545455</v>
      </c>
      <c r="G14" s="273"/>
      <c r="H14" s="264">
        <f>'Inventory Sales'!E10</f>
        <v>12025</v>
      </c>
      <c r="I14" s="328">
        <f>'Inventory Sales'!G10</f>
        <v>1560625</v>
      </c>
      <c r="J14" s="336">
        <f>I14/H14</f>
        <v>129.781704781705</v>
      </c>
      <c r="K14" s="390"/>
      <c r="L14" s="380">
        <f>ROUND(('Inventory Sales'!H10),0)</f>
        <v>8081</v>
      </c>
      <c r="M14" s="340">
        <f>ROUND(('Inventory Sales'!J10),0)</f>
        <v>1045922</v>
      </c>
      <c r="N14" s="336">
        <f>M14/L14</f>
        <v>129.429773542878</v>
      </c>
      <c r="O14" s="390"/>
      <c r="P14" s="380">
        <f>'Inventory Sales'!K10</f>
        <v>8625</v>
      </c>
      <c r="Q14" s="340">
        <f>'Inventory Sales'!M10</f>
        <v>1109750</v>
      </c>
      <c r="R14" s="336">
        <f>Q14/P14</f>
        <v>128.666666666667</v>
      </c>
      <c r="S14" s="390"/>
      <c r="T14" s="380">
        <f>'Inventory Sales'!N10</f>
        <v>7500</v>
      </c>
      <c r="U14" s="340">
        <f>'Inventory Sales'!P10</f>
        <v>947500</v>
      </c>
      <c r="V14" s="336">
        <f>U14/T14</f>
        <v>126.333333333333</v>
      </c>
      <c r="W14" s="390"/>
      <c r="X14" s="380">
        <f>'Inventory Sales'!Q10</f>
        <v>7750</v>
      </c>
      <c r="Y14" s="328">
        <f>'Inventory Sales'!S10</f>
        <v>983750</v>
      </c>
      <c r="Z14" s="336">
        <f>Y14/X14</f>
        <v>126.935483870968</v>
      </c>
      <c r="AA14" s="273"/>
      <c r="AB14" s="264"/>
      <c r="AC14" s="328"/>
      <c r="AD14" s="342"/>
      <c r="AE14" s="390"/>
      <c r="AF14" s="380"/>
      <c r="AG14" s="328"/>
      <c r="AH14" s="342"/>
      <c r="AI14" s="390"/>
      <c r="AJ14" s="380"/>
      <c r="AK14" s="328"/>
      <c r="AL14" s="342"/>
      <c r="AM14" s="390"/>
      <c r="AN14" s="380"/>
      <c r="AO14" s="328"/>
      <c r="AP14" s="342"/>
      <c r="AQ14" s="390"/>
      <c r="AR14" s="380"/>
      <c r="AS14" s="328"/>
      <c r="AT14" s="342"/>
      <c r="AU14" s="390"/>
      <c r="AV14" s="380"/>
      <c r="AW14" s="328"/>
      <c r="AX14" s="342"/>
      <c r="AY14" s="390"/>
      <c r="AZ14" s="489">
        <f>'Inventory Sales'!AL10</f>
        <v>115960.7</v>
      </c>
      <c r="BA14" s="341">
        <f>'Inventory Sales'!AN10</f>
        <v>14778849.39</v>
      </c>
      <c r="BB14" s="336">
        <f>BA14/AZ14</f>
        <v>127.447052234076</v>
      </c>
      <c r="BC14" s="504"/>
      <c r="BD14" s="501"/>
      <c r="BE14" s="535"/>
      <c r="BF14" s="368"/>
      <c r="BI14" s="265"/>
      <c r="BJ14" s="561"/>
      <c r="BK14" s="561"/>
      <c r="BL14" s="562"/>
      <c r="BN14" s="150"/>
      <c r="BO14" s="165"/>
      <c r="BP14" s="165"/>
      <c r="BQ14" s="94"/>
      <c r="BR14" s="97"/>
      <c r="BS14" s="579"/>
      <c r="BT14" s="96"/>
      <c r="BU14" s="159"/>
      <c r="BV14" s="589"/>
      <c r="BY14" s="596"/>
      <c r="BZ14" s="597"/>
      <c r="CA14" s="598"/>
      <c r="CB14" s="599"/>
      <c r="CC14" s="627"/>
      <c r="CH14" s="318"/>
      <c r="CI14" s="318"/>
      <c r="CJ14" s="318"/>
      <c r="CK14" s="318"/>
      <c r="CL14" s="318"/>
      <c r="CM14" s="318"/>
      <c r="CP14" s="318"/>
      <c r="CQ14" s="318"/>
      <c r="CR14" s="629"/>
      <c r="CS14" s="318"/>
      <c r="CT14" s="318"/>
      <c r="CU14" s="318"/>
      <c r="CV14" s="629"/>
      <c r="CW14" s="318"/>
      <c r="CX14" s="318"/>
      <c r="CY14" s="631"/>
    </row>
    <row r="15" ht="16.5" spans="2:103">
      <c r="B15" s="267" t="s">
        <v>865</v>
      </c>
      <c r="C15" s="267"/>
      <c r="D15" s="268">
        <f>'Inventory Sales'!H45</f>
        <v>24698</v>
      </c>
      <c r="E15" s="341">
        <f>'Inventory Sales'!J45</f>
        <v>6816439</v>
      </c>
      <c r="F15" s="342">
        <f>F16</f>
        <v>275.9913560932</v>
      </c>
      <c r="G15" s="267"/>
      <c r="H15" s="268">
        <f>H8</f>
        <v>20429</v>
      </c>
      <c r="I15" s="341">
        <f>ROUND((H15*248.96),0)</f>
        <v>5086004</v>
      </c>
      <c r="J15" s="342">
        <f>IF(I15=0,0,I15/H15)</f>
        <v>248.960007832004</v>
      </c>
      <c r="K15" s="383"/>
      <c r="L15" s="391">
        <f>L8</f>
        <v>24698</v>
      </c>
      <c r="M15" s="341">
        <f>ROUND((L15*243.45),0)</f>
        <v>6012728</v>
      </c>
      <c r="N15" s="342">
        <f>IF(M15=0,0,M15/L15)</f>
        <v>243.449995951089</v>
      </c>
      <c r="O15" s="383"/>
      <c r="P15" s="391">
        <f>P8</f>
        <v>20991</v>
      </c>
      <c r="Q15" s="341">
        <f>ROUND((P15*248.96),0)</f>
        <v>5225919</v>
      </c>
      <c r="R15" s="342">
        <f>IF(Q15=0,0,Q15/P15)</f>
        <v>248.959982849793</v>
      </c>
      <c r="S15" s="383"/>
      <c r="T15" s="391">
        <f>T8</f>
        <v>25077</v>
      </c>
      <c r="U15" s="344">
        <f>ROUND((T15*248.96),0)</f>
        <v>6243170</v>
      </c>
      <c r="V15" s="342">
        <f>IF(U15=0,0,U15/T15)</f>
        <v>248.960003190174</v>
      </c>
      <c r="W15" s="383"/>
      <c r="X15" s="391">
        <f>X8</f>
        <v>23552</v>
      </c>
      <c r="Y15" s="341">
        <f>'Inventory Sales'!S45</f>
        <v>6285238</v>
      </c>
      <c r="Z15" s="342">
        <f>IF(Y15=0,0,Y15/X15)</f>
        <v>266.866423233696</v>
      </c>
      <c r="AA15" s="267"/>
      <c r="AB15" s="268">
        <f>AB8</f>
        <v>26146</v>
      </c>
      <c r="AC15" s="341">
        <f>ROUND((AB15*254),0)</f>
        <v>6641084</v>
      </c>
      <c r="AD15" s="342">
        <f>IF(AC15=0,0,AC15/AB15)</f>
        <v>254</v>
      </c>
      <c r="AE15" s="383"/>
      <c r="AF15" s="268">
        <f>AF8</f>
        <v>21566</v>
      </c>
      <c r="AG15" s="341">
        <f>ROUND((AF15*236),0)</f>
        <v>5089576</v>
      </c>
      <c r="AH15" s="342">
        <f>IF(AG15=0,0,AG15/AF15)</f>
        <v>236</v>
      </c>
      <c r="AI15" s="383"/>
      <c r="AJ15" s="391">
        <f>AJ8</f>
        <v>25953</v>
      </c>
      <c r="AK15" s="341">
        <f>ROUND((AJ15*242),0)</f>
        <v>6280626</v>
      </c>
      <c r="AL15" s="342">
        <f>IF(AK15=0,0,AK15/AJ15)</f>
        <v>242</v>
      </c>
      <c r="AM15" s="383"/>
      <c r="AN15" s="391">
        <f>AN8</f>
        <v>0</v>
      </c>
      <c r="AO15" s="341">
        <f>ROUND((AN15*250),0)</f>
        <v>0</v>
      </c>
      <c r="AP15" s="342">
        <f>IF(AO15=0,0,AO15/AN15)</f>
        <v>0</v>
      </c>
      <c r="AQ15" s="383"/>
      <c r="AR15" s="391">
        <f>AR8</f>
        <v>0</v>
      </c>
      <c r="AS15" s="341">
        <f>ROUND((AR15*248),0)</f>
        <v>0</v>
      </c>
      <c r="AT15" s="342" t="e">
        <f>AS15/AR15</f>
        <v>#DIV/0!</v>
      </c>
      <c r="AU15" s="383"/>
      <c r="AV15" s="391">
        <f>AV8</f>
        <v>0</v>
      </c>
      <c r="AW15" s="448">
        <f>ROUND((AV15*246),0)</f>
        <v>0</v>
      </c>
      <c r="AX15" s="342" t="e">
        <f>AW15/AV15</f>
        <v>#DIV/0!</v>
      </c>
      <c r="AY15" s="383"/>
      <c r="AZ15" s="489">
        <f>SUM(D15,H15,L15,P15,T15,X15,AB15,AF15,AJ15,AN15,AR15,AV15)</f>
        <v>213110</v>
      </c>
      <c r="BA15" s="341">
        <f>ROUND((SUM(E15,I15,M15,Q15,U15,Y15,AC15,AG15,AK15,AO15,AS15,AW15)),0)</f>
        <v>53680784</v>
      </c>
      <c r="BB15" s="342">
        <f>IF(AZ15=0,0,BA15/AZ15)</f>
        <v>251.8923748299</v>
      </c>
      <c r="BC15" s="368">
        <f>BB11+BB19</f>
        <v>118.568139171197</v>
      </c>
      <c r="BD15" s="501"/>
      <c r="BE15" s="538"/>
      <c r="BI15" s="260" t="s">
        <v>233</v>
      </c>
      <c r="BJ15" s="552"/>
      <c r="BK15" s="552"/>
      <c r="BL15" s="553">
        <f t="shared" si="14"/>
        <v>0</v>
      </c>
      <c r="BN15" s="150" t="s">
        <v>866</v>
      </c>
      <c r="BO15" s="165">
        <v>10</v>
      </c>
      <c r="BP15" s="165">
        <f>ROUND((180600*117%),0)</f>
        <v>211302</v>
      </c>
      <c r="BQ15" s="94">
        <f>ROUND((BP15/BO15),0)</f>
        <v>21130</v>
      </c>
      <c r="BR15" s="97">
        <f>BP15/$BV$9</f>
        <v>2.98640231673656</v>
      </c>
      <c r="BS15" s="579">
        <f t="shared" si="8"/>
        <v>0.0739823410410089</v>
      </c>
      <c r="BT15" s="586" t="s">
        <v>131</v>
      </c>
      <c r="BU15" s="590" t="e">
        <f>#REF!</f>
        <v>#REF!</v>
      </c>
      <c r="BV15" s="591" t="e">
        <f>BU15/$BW$4</f>
        <v>#REF!</v>
      </c>
      <c r="BY15" s="596" t="s">
        <v>867</v>
      </c>
      <c r="BZ15" s="597"/>
      <c r="CA15" s="598"/>
      <c r="CB15" s="599" t="e">
        <f t="shared" si="9"/>
        <v>#DIV/0!</v>
      </c>
      <c r="CC15" s="627"/>
      <c r="CH15" s="318"/>
      <c r="CI15" s="318"/>
      <c r="CJ15" s="318"/>
      <c r="CK15" s="318"/>
      <c r="CL15" s="318"/>
      <c r="CM15" s="318"/>
      <c r="CP15" s="318"/>
      <c r="CQ15" s="318"/>
      <c r="CR15" s="629"/>
      <c r="CS15" s="318"/>
      <c r="CT15" s="318"/>
      <c r="CU15" s="318"/>
      <c r="CV15" s="629"/>
      <c r="CW15" s="318"/>
      <c r="CX15" s="318"/>
      <c r="CY15" s="631">
        <f t="shared" si="10"/>
        <v>0</v>
      </c>
    </row>
    <row r="16" ht="16.5" spans="2:103">
      <c r="B16" s="260" t="s">
        <v>868</v>
      </c>
      <c r="C16" s="260"/>
      <c r="D16" s="269">
        <f>ROUND(('Inventory Sales'!H46),0)</f>
        <v>89485</v>
      </c>
      <c r="E16" s="334">
        <f>'Inventory Sales'!J46</f>
        <v>24697086.5</v>
      </c>
      <c r="F16" s="335">
        <f>E16/D16</f>
        <v>275.9913560932</v>
      </c>
      <c r="G16" s="260"/>
      <c r="H16" s="269">
        <f>'PAL I'!F12-SUM(H12:H15)</f>
        <v>106006</v>
      </c>
      <c r="I16" s="334">
        <f>'PAL I'!G12-SUM(I12:I15)</f>
        <v>28395183</v>
      </c>
      <c r="J16" s="335">
        <f>I16/H16</f>
        <v>267.863922796823</v>
      </c>
      <c r="K16" s="384"/>
      <c r="L16" s="269">
        <f>'PAL I'!I12-SUM(L12:L15)</f>
        <v>89485</v>
      </c>
      <c r="M16" s="334">
        <f>'PAL I'!J12-SUM(M12:M15)</f>
        <v>25500798</v>
      </c>
      <c r="N16" s="335">
        <f>M16/L16</f>
        <v>284.972878136</v>
      </c>
      <c r="O16" s="384"/>
      <c r="P16" s="269">
        <f>'PAL I'!L12-SUM(P12:P15)</f>
        <v>84006</v>
      </c>
      <c r="Q16" s="334">
        <f>'PAL I'!M12-SUM(Q12:Q15)</f>
        <v>23290473</v>
      </c>
      <c r="R16" s="335">
        <f>Q16/P16</f>
        <v>277.247732304835</v>
      </c>
      <c r="S16" s="384"/>
      <c r="T16" s="269">
        <f>'PAL I'!O12-SUM(T12:T15)</f>
        <v>78435</v>
      </c>
      <c r="U16" s="456">
        <f>'PAL I'!P12-SUM(U12:U15)</f>
        <v>21339262</v>
      </c>
      <c r="V16" s="335">
        <f>U16/T16</f>
        <v>272.063007585899</v>
      </c>
      <c r="W16" s="384"/>
      <c r="X16" s="269">
        <f>'PAL I'!R12-SUM(X12:X15)</f>
        <v>64712</v>
      </c>
      <c r="Y16" s="456">
        <f>'PAL I'!S12-SUM(Y12:Y15)</f>
        <v>17269396</v>
      </c>
      <c r="Z16" s="335">
        <f>Y16/X16</f>
        <v>266.865434540734</v>
      </c>
      <c r="AA16" s="260"/>
      <c r="AB16" s="269">
        <f>ROUND(('Inventory Sales'!T11),0)-AB15</f>
        <v>67575</v>
      </c>
      <c r="AC16" s="337">
        <f>ROUND((AC17-(AC12+AC13+AC15)),0)</f>
        <v>17055265</v>
      </c>
      <c r="AD16" s="335">
        <f>AC16/AB16</f>
        <v>252.390159082501</v>
      </c>
      <c r="AE16" s="384"/>
      <c r="AF16" s="269">
        <f>ROUND(('Inventory Sales'!W11),0)-AF15</f>
        <v>108007</v>
      </c>
      <c r="AG16" s="337">
        <f>ROUND((AG17-(AG12+AG13+AG15)),0)</f>
        <v>26575068</v>
      </c>
      <c r="AH16" s="335">
        <f>AG16/AF16</f>
        <v>246.049496791875</v>
      </c>
      <c r="AI16" s="384"/>
      <c r="AJ16" s="386">
        <f>ROUND(('Inventory Sales'!Z11),0)-AJ15</f>
        <v>61248</v>
      </c>
      <c r="AK16" s="337">
        <f>(AK17-(SUM(AK12:AK15)))</f>
        <v>14792415</v>
      </c>
      <c r="AL16" s="335">
        <f>AK16/AJ16</f>
        <v>241.516702586207</v>
      </c>
      <c r="AM16" s="384"/>
      <c r="AN16" s="386">
        <f>ROUND(('Inventory Sales'!AC11),0)-AN15</f>
        <v>119806</v>
      </c>
      <c r="AO16" s="337">
        <f>(AO17-(SUM(AO12:AO15)))</f>
        <v>30009209</v>
      </c>
      <c r="AP16" s="335">
        <f>AO16/AN16</f>
        <v>250.481687060748</v>
      </c>
      <c r="AQ16" s="384"/>
      <c r="AR16" s="386">
        <f>ROUND(('Inventory Sales'!AF11+'Inventory Sales'!AF20),0)-AR15</f>
        <v>128217</v>
      </c>
      <c r="AS16" s="337">
        <f>(AS17-(SUM(AS12:AS15)))</f>
        <v>32648650</v>
      </c>
      <c r="AT16" s="335">
        <f>AS16/AR16</f>
        <v>254.63589071652</v>
      </c>
      <c r="AU16" s="384"/>
      <c r="AV16" s="386">
        <f>ROUND(('Inventory Sales'!AI11+'Inventory Sales'!AI20),0)-AV15</f>
        <v>164514</v>
      </c>
      <c r="AW16" s="337">
        <f>(AW17-(SUM(AW12:AW15)))</f>
        <v>42010733</v>
      </c>
      <c r="AX16" s="335">
        <f>AW16/AV16</f>
        <v>255.362662144255</v>
      </c>
      <c r="AY16" s="384"/>
      <c r="AZ16" s="318">
        <f>SUM(D16,H16,L16,P16,T16,X16,AB16,AF16,AJ16,AN16,AR16,AV16)</f>
        <v>1161496</v>
      </c>
      <c r="BA16" s="337">
        <f>ROUND((BA17-(BA12+BA13+BA15)),0)</f>
        <v>303050874</v>
      </c>
      <c r="BB16" s="335">
        <f t="shared" si="7"/>
        <v>260.914264018128</v>
      </c>
      <c r="BC16" s="368">
        <f>BA25/AZ16</f>
        <v>28.1282156804673</v>
      </c>
      <c r="BD16" s="502">
        <f>' Qty Analysis'!AL63+' Qty Analysis'!AL94</f>
        <v>588326.75</v>
      </c>
      <c r="BE16" s="536">
        <f>(AZ16+AZ15)-BD16</f>
        <v>786279.25</v>
      </c>
      <c r="BF16" s="229" t="s">
        <v>869</v>
      </c>
      <c r="BG16" s="229">
        <f>ROUND((BA16/6),-3)</f>
        <v>50508000</v>
      </c>
      <c r="BI16" s="563" t="s">
        <v>442</v>
      </c>
      <c r="BJ16" s="564" t="e">
        <f>BJ8-#REF!</f>
        <v>#REF!</v>
      </c>
      <c r="BK16" s="564" t="e">
        <f>BK8-#REF!</f>
        <v>#REF!</v>
      </c>
      <c r="BL16" s="565" t="e">
        <f t="shared" si="14"/>
        <v>#REF!</v>
      </c>
      <c r="BN16" s="152" t="s">
        <v>870</v>
      </c>
      <c r="BO16" s="167">
        <v>4</v>
      </c>
      <c r="BP16" s="167">
        <f>ROUND((110440*117%),0)</f>
        <v>129215</v>
      </c>
      <c r="BQ16" s="226">
        <f>ROUND((BP16/BO16),0)</f>
        <v>32304</v>
      </c>
      <c r="BR16" s="97">
        <f>BP16/$BV$9</f>
        <v>1.82623910496405</v>
      </c>
      <c r="BS16" s="579">
        <f t="shared" si="8"/>
        <v>0.0452415414790866</v>
      </c>
      <c r="BT16"/>
      <c r="BU16"/>
      <c r="BV16"/>
      <c r="BY16" s="596" t="s">
        <v>871</v>
      </c>
      <c r="BZ16" s="600"/>
      <c r="CA16" s="598"/>
      <c r="CB16" s="599" t="e">
        <f t="shared" si="9"/>
        <v>#DIV/0!</v>
      </c>
      <c r="CC16" s="627"/>
      <c r="CH16" s="318"/>
      <c r="CI16" s="318"/>
      <c r="CJ16" s="318"/>
      <c r="CK16" s="318"/>
      <c r="CL16" s="318"/>
      <c r="CM16" s="318"/>
      <c r="CP16" s="318"/>
      <c r="CQ16" s="318"/>
      <c r="CR16" s="629"/>
      <c r="CS16" s="318"/>
      <c r="CT16" s="318"/>
      <c r="CU16" s="318"/>
      <c r="CV16" s="629"/>
      <c r="CW16" s="318"/>
      <c r="CX16" s="318"/>
      <c r="CY16" s="631">
        <f t="shared" si="10"/>
        <v>0</v>
      </c>
    </row>
    <row r="17" ht="16.5" spans="2:103">
      <c r="B17" s="257" t="s">
        <v>872</v>
      </c>
      <c r="C17" s="257"/>
      <c r="D17" s="274">
        <f>SUM(D12:D16)</f>
        <v>172039</v>
      </c>
      <c r="E17" s="343">
        <f>'PAL I'!D12</f>
        <v>30764411</v>
      </c>
      <c r="F17" s="329">
        <f>E17/D17</f>
        <v>178.822307732549</v>
      </c>
      <c r="G17" s="257"/>
      <c r="H17" s="274">
        <f>SUM(H12:H16)</f>
        <v>161164</v>
      </c>
      <c r="I17" s="343">
        <f>'PAL I'!G12</f>
        <v>38045452</v>
      </c>
      <c r="J17" s="343">
        <f>I17/H17</f>
        <v>236.066689831476</v>
      </c>
      <c r="K17" s="392"/>
      <c r="L17" s="274">
        <f>SUM(L12:L16)</f>
        <v>180523</v>
      </c>
      <c r="M17" s="343">
        <f>'PAL I'!J12</f>
        <v>38804327</v>
      </c>
      <c r="N17" s="329">
        <f>M17/L17</f>
        <v>214.955030660913</v>
      </c>
      <c r="O17" s="392"/>
      <c r="P17" s="403">
        <f>'PAL I'!L12</f>
        <v>177378</v>
      </c>
      <c r="Q17" s="343">
        <f>'PAL I'!M12</f>
        <v>36613577</v>
      </c>
      <c r="R17" s="343">
        <f>Q17/P17</f>
        <v>206.415547587638</v>
      </c>
      <c r="S17" s="392"/>
      <c r="T17" s="403">
        <f>'PAL I'!O12</f>
        <v>175795</v>
      </c>
      <c r="U17" s="457">
        <f>'PAL I'!P12</f>
        <v>35545835</v>
      </c>
      <c r="V17" s="329">
        <f>U17/T17</f>
        <v>202.200489206178</v>
      </c>
      <c r="W17" s="392"/>
      <c r="X17" s="403">
        <f>'PAL I'!R12</f>
        <v>133126</v>
      </c>
      <c r="Y17" s="343">
        <f>'PAL I'!S12</f>
        <v>28640727</v>
      </c>
      <c r="Z17" s="329">
        <f>Y17/X17</f>
        <v>215.139995192524</v>
      </c>
      <c r="AA17" s="257"/>
      <c r="AB17" s="274">
        <f>'PAL I'!U12</f>
        <v>125391</v>
      </c>
      <c r="AC17" s="343">
        <f>'PAL I'!V12</f>
        <v>27426196</v>
      </c>
      <c r="AD17" s="343">
        <f>AC17/AB17</f>
        <v>218.725394964551</v>
      </c>
      <c r="AE17" s="392"/>
      <c r="AF17" s="403">
        <f>'PAL I'!X12</f>
        <v>160036</v>
      </c>
      <c r="AG17" s="343">
        <f>'PAL I'!Y12</f>
        <v>35319860</v>
      </c>
      <c r="AH17" s="343">
        <f>AG17/AF17</f>
        <v>220.699467619786</v>
      </c>
      <c r="AI17" s="257"/>
      <c r="AJ17" s="274">
        <f>'PAL I'!AA12</f>
        <v>125048</v>
      </c>
      <c r="AK17" s="343">
        <f>'PAL I'!AB12</f>
        <v>25173366</v>
      </c>
      <c r="AL17" s="343">
        <f>AK17/AJ17</f>
        <v>201.30962510396</v>
      </c>
      <c r="AM17" s="392"/>
      <c r="AN17" s="403">
        <f>'PAL I'!AD12</f>
        <v>162471</v>
      </c>
      <c r="AO17" s="343">
        <f>'PAL I'!AE12</f>
        <v>34600828</v>
      </c>
      <c r="AP17" s="343">
        <f>AO17/AN17</f>
        <v>212.966178579562</v>
      </c>
      <c r="AQ17" s="392"/>
      <c r="AR17" s="403">
        <f>'PAL I'!AG12</f>
        <v>172283</v>
      </c>
      <c r="AS17" s="343">
        <f>'PAL I'!AH12</f>
        <v>37711069</v>
      </c>
      <c r="AT17" s="329">
        <f>AS17/AR17</f>
        <v>218.890250343911</v>
      </c>
      <c r="AU17" s="392"/>
      <c r="AV17" s="403">
        <f>'PAL I'!AJ12</f>
        <v>195580</v>
      </c>
      <c r="AW17" s="490">
        <f>'PAL I'!AK12</f>
        <v>46235979</v>
      </c>
      <c r="AX17" s="329">
        <f>AW17/AV17</f>
        <v>236.404432968606</v>
      </c>
      <c r="AY17" s="392"/>
      <c r="AZ17" s="274">
        <f>SUM(AZ12:AZ16)</f>
        <v>2002628.2</v>
      </c>
      <c r="BA17" s="343">
        <f>'PAL I'!AN12</f>
        <v>414881627</v>
      </c>
      <c r="BB17" s="329">
        <f>BA17/AZ17</f>
        <v>207.168573277856</v>
      </c>
      <c r="BD17" s="501">
        <f>SUM(BD12:BD16)</f>
        <v>929255.2</v>
      </c>
      <c r="BE17" s="535">
        <f>AZ17-BD17</f>
        <v>1073373</v>
      </c>
      <c r="BF17" s="372">
        <f>BA17/6</f>
        <v>69146937.8333333</v>
      </c>
      <c r="BI17" s="267" t="s">
        <v>873</v>
      </c>
      <c r="BJ17" s="559"/>
      <c r="BK17" s="559"/>
      <c r="BL17" s="560">
        <f t="shared" si="14"/>
        <v>0</v>
      </c>
      <c r="BN17" s="576" t="s">
        <v>141</v>
      </c>
      <c r="BO17" s="169">
        <f>SUM(BO12:BO16)</f>
        <v>21</v>
      </c>
      <c r="BP17" s="169">
        <f>SUM(BP12:BP16)</f>
        <v>455610</v>
      </c>
      <c r="BQ17" s="227"/>
      <c r="BR17" s="584">
        <f>SUM(BR12:BR16)</f>
        <v>6.43928954542949</v>
      </c>
      <c r="BS17" s="585">
        <f t="shared" si="8"/>
        <v>0.159520943491751</v>
      </c>
      <c r="BT17"/>
      <c r="BU17"/>
      <c r="BV17"/>
      <c r="BY17" s="596" t="s">
        <v>874</v>
      </c>
      <c r="BZ17" s="600"/>
      <c r="CA17" s="598"/>
      <c r="CB17" s="599" t="e">
        <f t="shared" si="9"/>
        <v>#DIV/0!</v>
      </c>
      <c r="CC17" s="627"/>
      <c r="CG17" s="231"/>
      <c r="CH17" s="629"/>
      <c r="CI17" s="629"/>
      <c r="CJ17" s="629"/>
      <c r="CK17" s="629"/>
      <c r="CL17" s="629"/>
      <c r="CM17" s="629"/>
      <c r="CO17" s="231"/>
      <c r="CP17" s="629"/>
      <c r="CQ17" s="629"/>
      <c r="CR17" s="629"/>
      <c r="CS17" s="629"/>
      <c r="CT17" s="629"/>
      <c r="CU17" s="629"/>
      <c r="CV17" s="629"/>
      <c r="CW17" s="629"/>
      <c r="CX17" s="318">
        <f>SUM(CX4:CX16)</f>
        <v>0</v>
      </c>
      <c r="CY17" s="631">
        <f>SUM(CY4:CY16)</f>
        <v>0</v>
      </c>
    </row>
    <row r="18" ht="16.5" spans="2:81">
      <c r="B18" s="263"/>
      <c r="C18" s="263"/>
      <c r="D18" s="275">
        <f>D11-D17</f>
        <v>-4117</v>
      </c>
      <c r="E18" s="328">
        <f>E17-E11</f>
        <v>10313043</v>
      </c>
      <c r="F18" s="336"/>
      <c r="G18" s="263"/>
      <c r="H18" s="275">
        <f>H11-H17</f>
        <v>-29326</v>
      </c>
      <c r="I18" s="328">
        <f>I17-I11</f>
        <v>20994313</v>
      </c>
      <c r="J18" s="349"/>
      <c r="K18" s="379"/>
      <c r="L18" s="275">
        <f>L11-L17</f>
        <v>5400</v>
      </c>
      <c r="M18" s="328">
        <f>M17-M11</f>
        <v>15732337</v>
      </c>
      <c r="N18" s="424"/>
      <c r="O18" s="379"/>
      <c r="P18" s="275">
        <f>P11-P17</f>
        <v>17813</v>
      </c>
      <c r="Q18" s="328">
        <f>Q17-Q11</f>
        <v>14042953</v>
      </c>
      <c r="R18" s="444"/>
      <c r="S18" s="379"/>
      <c r="T18" s="275">
        <f>T11-T17</f>
        <v>13777</v>
      </c>
      <c r="U18" s="340">
        <f>U17-U11</f>
        <v>11968448</v>
      </c>
      <c r="V18" s="350"/>
      <c r="W18" s="379"/>
      <c r="X18" s="275">
        <f>X11-X17</f>
        <v>42273</v>
      </c>
      <c r="Y18" s="328">
        <f>Y17-Y11</f>
        <v>6945934</v>
      </c>
      <c r="Z18" s="350"/>
      <c r="AA18" s="263"/>
      <c r="AB18" s="264">
        <f>AB11-AB17</f>
        <v>19149</v>
      </c>
      <c r="AC18" s="328">
        <f>AC17-AC11</f>
        <v>8494639</v>
      </c>
      <c r="AD18" s="349"/>
      <c r="AE18" s="379"/>
      <c r="AF18" s="275">
        <f>AF11-AF17</f>
        <v>-10263</v>
      </c>
      <c r="AG18" s="328">
        <f>AG17-AG11</f>
        <v>17161621</v>
      </c>
      <c r="AH18" s="444"/>
      <c r="AI18" s="379"/>
      <c r="AJ18" s="275">
        <f>AJ11-AJ17</f>
        <v>52308</v>
      </c>
      <c r="AK18" s="328">
        <f>AK17-AK11</f>
        <v>4134890</v>
      </c>
      <c r="AL18" s="349"/>
      <c r="AM18" s="379"/>
      <c r="AN18" s="275">
        <f>AN11-AN17</f>
        <v>-27078</v>
      </c>
      <c r="AO18" s="328">
        <f>AO17-AO11</f>
        <v>21466307</v>
      </c>
      <c r="AP18" s="424"/>
      <c r="AQ18" s="379"/>
      <c r="AR18" s="275">
        <f>AR11-AR17</f>
        <v>-27855</v>
      </c>
      <c r="AS18" s="328">
        <f>AS17-AS11</f>
        <v>23400175</v>
      </c>
      <c r="AT18" s="424"/>
      <c r="AU18" s="379"/>
      <c r="AV18" s="275">
        <f>AV11-AV17</f>
        <v>-77511</v>
      </c>
      <c r="AW18" s="328">
        <f>AW17-AW11</f>
        <v>33682556</v>
      </c>
      <c r="AX18" s="491"/>
      <c r="AY18" s="492"/>
      <c r="AZ18" s="493">
        <f>AZ11-AZ17</f>
        <v>1353.80000000005</v>
      </c>
      <c r="BA18" s="328">
        <f>BA17-BA11</f>
        <v>165289985</v>
      </c>
      <c r="BB18" s="424"/>
      <c r="BD18" s="501">
        <f>BD11-BD17</f>
        <v>-61620.5</v>
      </c>
      <c r="BE18" s="535">
        <f>AZ18-BD18</f>
        <v>62974.3</v>
      </c>
      <c r="BF18" s="368">
        <f>BE16-BF11</f>
        <v>786097.676776836</v>
      </c>
      <c r="BG18" s="368">
        <f>BA18-BA19</f>
        <v>177265115</v>
      </c>
      <c r="BI18" s="260" t="s">
        <v>219</v>
      </c>
      <c r="BJ18" s="552"/>
      <c r="BK18" s="552"/>
      <c r="BL18" s="553">
        <f t="shared" si="14"/>
        <v>0</v>
      </c>
      <c r="BN18" s="576" t="s">
        <v>853</v>
      </c>
      <c r="BO18" s="169">
        <f>23+11+3+5</f>
        <v>42</v>
      </c>
      <c r="BP18" s="169">
        <f>ROUND((553915*117%),0)</f>
        <v>648081</v>
      </c>
      <c r="BQ18" s="227">
        <f t="shared" ref="BQ18:BQ23" si="22">ROUND((BP18/BO18),0)</f>
        <v>15431</v>
      </c>
      <c r="BR18" s="584">
        <f>BP18/BV9</f>
        <v>9.15954699829128</v>
      </c>
      <c r="BS18" s="585">
        <f t="shared" si="8"/>
        <v>0.226910060312719</v>
      </c>
      <c r="BT18"/>
      <c r="BU18"/>
      <c r="BV18"/>
      <c r="BY18" s="596" t="s">
        <v>875</v>
      </c>
      <c r="BZ18" s="600"/>
      <c r="CA18" s="598"/>
      <c r="CB18" s="599" t="e">
        <f t="shared" si="9"/>
        <v>#DIV/0!</v>
      </c>
      <c r="CC18" s="627"/>
    </row>
    <row r="19" ht="16.5" spans="2:81">
      <c r="B19" s="267" t="s">
        <v>128</v>
      </c>
      <c r="C19" s="267"/>
      <c r="D19" s="276">
        <f>ROUND(('Stock Valuation (FIFO)'!E27),0)</f>
        <v>-11986</v>
      </c>
      <c r="E19" s="344">
        <f>'Stock Valuation (FIFO)'!G27</f>
        <v>-2700803</v>
      </c>
      <c r="F19" s="345">
        <f>E19/D19</f>
        <v>225.329801435008</v>
      </c>
      <c r="G19" s="267"/>
      <c r="H19" s="276">
        <f>'Stock Valuation (FIFO)'!H27</f>
        <v>67446</v>
      </c>
      <c r="I19" s="341">
        <f>'Stock Valuation (FIFO)'!J27</f>
        <v>13994010</v>
      </c>
      <c r="J19" s="346"/>
      <c r="K19" s="383"/>
      <c r="L19" s="393">
        <f>'Stock Valuation (FIFO)'!K27</f>
        <v>17050</v>
      </c>
      <c r="M19" s="344">
        <f>'Stock Valuation (FIFO)'!M27</f>
        <v>4472860</v>
      </c>
      <c r="N19" s="426"/>
      <c r="O19" s="383"/>
      <c r="P19" s="393">
        <f>'Stock Valuation (FIFO)'!N27</f>
        <v>7027</v>
      </c>
      <c r="Q19" s="447">
        <f>'Stock Valuation (FIFO)'!P27</f>
        <v>2604490</v>
      </c>
      <c r="R19" s="396"/>
      <c r="S19" s="383"/>
      <c r="T19" s="393">
        <f>'Stock Valuation (FIFO)'!Q27</f>
        <v>-76933</v>
      </c>
      <c r="U19" s="344">
        <f>'Stock Valuation (FIFO)'!S27</f>
        <v>-17108497</v>
      </c>
      <c r="V19" s="331">
        <f>U19/T19</f>
        <v>222.381773751186</v>
      </c>
      <c r="W19" s="383"/>
      <c r="X19" s="393">
        <f>'Stock Valuation (FIFO)'!T27</f>
        <v>-34791</v>
      </c>
      <c r="Y19" s="448">
        <f>'Stock Valuation (FIFO)'!V27</f>
        <v>-7409620</v>
      </c>
      <c r="Z19" s="331"/>
      <c r="AA19" s="267"/>
      <c r="AB19" s="276">
        <f>'Stock Valuation (FIFO)'!W27</f>
        <v>-14588</v>
      </c>
      <c r="AC19" s="447">
        <f>'Stock Valuation (FIFO)'!Y27</f>
        <v>-2221341</v>
      </c>
      <c r="AD19" s="346"/>
      <c r="AE19" s="383"/>
      <c r="AF19" s="276">
        <f>'Stock Valuation (FIFO)'!Z27</f>
        <v>17017</v>
      </c>
      <c r="AG19" s="344">
        <f>'Stock Valuation (FIFO)'!AB27</f>
        <v>4575092</v>
      </c>
      <c r="AH19" s="396"/>
      <c r="AI19" s="383"/>
      <c r="AJ19" s="393">
        <f>'Stock Valuation (FIFO)'!AC27</f>
        <v>-40850</v>
      </c>
      <c r="AK19" s="344">
        <f>'Stock Valuation (FIFO)'!AE27</f>
        <v>-8181321</v>
      </c>
      <c r="AL19" s="346"/>
      <c r="AM19" s="383"/>
      <c r="AN19" s="393">
        <f>'Stock Valuation (FIFO)'!AF27</f>
        <v>1403</v>
      </c>
      <c r="AO19" s="344">
        <f>'Stock Valuation (FIFO)'!AH27</f>
        <v>-594161</v>
      </c>
      <c r="AP19" s="426"/>
      <c r="AQ19" s="383"/>
      <c r="AR19" s="393">
        <f>ROUND(('Stock Valuation (FIFO)'!AI27),0)</f>
        <v>23066</v>
      </c>
      <c r="AS19" s="341">
        <f>'Stock Valuation (FIFO)'!AK27</f>
        <v>3182482</v>
      </c>
      <c r="AT19" s="426"/>
      <c r="AU19" s="383"/>
      <c r="AV19" s="393">
        <f>'Stock Valuation (FIFO)'!AL27</f>
        <v>-75046</v>
      </c>
      <c r="AW19" s="396">
        <f>'Stock Valuation (FIFO)'!AN27</f>
        <v>9203941</v>
      </c>
      <c r="AX19" s="342"/>
      <c r="AY19" s="494">
        <f>BA19/BA$17</f>
        <v>-0.0288639679867048</v>
      </c>
      <c r="AZ19" s="495">
        <f>'Stock Valuation (FIFO)'!AC30</f>
        <v>-70608</v>
      </c>
      <c r="BA19" s="507">
        <f>'Stock Valuation (FIFO)'!AE30</f>
        <v>-11975130</v>
      </c>
      <c r="BB19" s="508">
        <f>BA19/AZ17</f>
        <v>-5.97970706694333</v>
      </c>
      <c r="BC19" s="509">
        <f>BA19/BA17</f>
        <v>-0.0288639679867048</v>
      </c>
      <c r="BF19" s="368"/>
      <c r="BG19" s="368"/>
      <c r="BI19" s="554"/>
      <c r="BJ19" s="555"/>
      <c r="BK19" s="555"/>
      <c r="BL19" s="556"/>
      <c r="BN19" s="150" t="s">
        <v>876</v>
      </c>
      <c r="BO19" s="165">
        <f>5+3+5</f>
        <v>13</v>
      </c>
      <c r="BP19" s="165">
        <f>ROUND(((266200+81000)*109%),0)</f>
        <v>378448</v>
      </c>
      <c r="BQ19" s="94">
        <f t="shared" si="22"/>
        <v>29111</v>
      </c>
      <c r="BR19" s="97" t="e">
        <f>BP19/#REF!</f>
        <v>#REF!</v>
      </c>
      <c r="BS19" s="579">
        <f t="shared" si="8"/>
        <v>0.132504514875807</v>
      </c>
      <c r="BT19"/>
      <c r="BU19"/>
      <c r="BV19"/>
      <c r="BY19" s="596" t="s">
        <v>877</v>
      </c>
      <c r="BZ19" s="600"/>
      <c r="CA19" s="598"/>
      <c r="CB19" s="599" t="e">
        <f t="shared" si="9"/>
        <v>#DIV/0!</v>
      </c>
      <c r="CC19" s="627"/>
    </row>
    <row r="20" ht="16.5" spans="2:83">
      <c r="B20" s="267"/>
      <c r="C20" s="267"/>
      <c r="D20" s="277">
        <f>D24/D11</f>
        <v>-0.0958957134860233</v>
      </c>
      <c r="E20" s="341"/>
      <c r="F20" s="342"/>
      <c r="G20" s="267"/>
      <c r="H20" s="277">
        <f>H24/H11</f>
        <v>0.289142735781793</v>
      </c>
      <c r="I20" s="341"/>
      <c r="J20" s="341"/>
      <c r="K20" s="383"/>
      <c r="L20" s="394"/>
      <c r="M20" s="427"/>
      <c r="N20" s="428"/>
      <c r="O20" s="383"/>
      <c r="P20" s="394"/>
      <c r="Q20" s="341"/>
      <c r="R20" s="448"/>
      <c r="S20" s="383"/>
      <c r="T20" s="394"/>
      <c r="U20" s="341"/>
      <c r="V20" s="342"/>
      <c r="W20" s="383"/>
      <c r="X20" s="394"/>
      <c r="Y20" s="341"/>
      <c r="Z20" s="342"/>
      <c r="AA20" s="267"/>
      <c r="AB20" s="287"/>
      <c r="AC20" s="341"/>
      <c r="AD20" s="341"/>
      <c r="AE20" s="383"/>
      <c r="AF20" s="394"/>
      <c r="AG20" s="341"/>
      <c r="AH20" s="428"/>
      <c r="AI20" s="383"/>
      <c r="AJ20" s="391"/>
      <c r="AK20" s="341"/>
      <c r="AL20" s="342"/>
      <c r="AM20" s="383"/>
      <c r="AN20" s="391"/>
      <c r="AO20" s="341"/>
      <c r="AP20" s="428" t="s">
        <v>197</v>
      </c>
      <c r="AQ20" s="383"/>
      <c r="AR20" s="391"/>
      <c r="AS20" s="341"/>
      <c r="AT20" s="428"/>
      <c r="AU20" s="383"/>
      <c r="AV20" s="391"/>
      <c r="AW20" s="448"/>
      <c r="AX20" s="342"/>
      <c r="AY20" s="379"/>
      <c r="AZ20" s="496">
        <f>AZ24/AZ11</f>
        <v>-0.0345582944357783</v>
      </c>
      <c r="BA20" s="341"/>
      <c r="BB20" s="342"/>
      <c r="BC20" s="510">
        <f>BC11+BC19</f>
        <v>0.572733272664301</v>
      </c>
      <c r="BD20" s="511"/>
      <c r="BE20" s="534"/>
      <c r="BF20" s="539"/>
      <c r="BG20" s="368"/>
      <c r="BI20" s="554"/>
      <c r="BJ20" s="555"/>
      <c r="BK20" s="555"/>
      <c r="BL20" s="556"/>
      <c r="BN20" s="150" t="s">
        <v>878</v>
      </c>
      <c r="BO20" s="165">
        <v>12</v>
      </c>
      <c r="BP20" s="165">
        <f>ROUND((274360*117%),0)</f>
        <v>321001</v>
      </c>
      <c r="BQ20" s="94">
        <f t="shared" si="22"/>
        <v>26750</v>
      </c>
      <c r="BR20" s="97" t="e">
        <f>BP20/#REF!</f>
        <v>#REF!</v>
      </c>
      <c r="BS20" s="579">
        <f t="shared" si="8"/>
        <v>0.112390821934979</v>
      </c>
      <c r="BT20"/>
      <c r="BU20"/>
      <c r="BV20"/>
      <c r="BY20" s="601" t="s">
        <v>612</v>
      </c>
      <c r="BZ20" s="602"/>
      <c r="CA20" s="603"/>
      <c r="CB20" s="604" t="e">
        <f t="shared" si="9"/>
        <v>#DIV/0!</v>
      </c>
      <c r="CC20" s="628"/>
      <c r="CD20" s="624" t="e">
        <f>(SUM(CA6:CA20))/CA21</f>
        <v>#DIV/0!</v>
      </c>
      <c r="CE20" s="368" t="e">
        <f>SUM(CA6:CA20)/#REF!</f>
        <v>#REF!</v>
      </c>
    </row>
    <row r="21" ht="16.5" spans="2:83">
      <c r="B21" s="265" t="s">
        <v>382</v>
      </c>
      <c r="C21" s="265"/>
      <c r="D21" s="278"/>
      <c r="E21" s="346"/>
      <c r="F21" s="331"/>
      <c r="G21" s="265"/>
      <c r="H21" s="278"/>
      <c r="I21" s="346"/>
      <c r="J21" s="346"/>
      <c r="K21" s="381"/>
      <c r="L21" s="395"/>
      <c r="M21" s="429"/>
      <c r="N21" s="426"/>
      <c r="O21" s="381"/>
      <c r="P21" s="395"/>
      <c r="Q21" s="346"/>
      <c r="R21" s="396"/>
      <c r="S21" s="381"/>
      <c r="T21" s="395"/>
      <c r="U21" s="346"/>
      <c r="V21" s="331"/>
      <c r="W21" s="381"/>
      <c r="X21" s="395"/>
      <c r="Y21" s="346"/>
      <c r="Z21" s="331"/>
      <c r="AA21" s="265"/>
      <c r="AB21" s="290"/>
      <c r="AC21" s="346"/>
      <c r="AD21" s="346"/>
      <c r="AE21" s="381"/>
      <c r="AF21" s="395"/>
      <c r="AG21" s="346"/>
      <c r="AH21" s="426"/>
      <c r="AI21" s="381"/>
      <c r="AJ21" s="411"/>
      <c r="AK21" s="346"/>
      <c r="AL21" s="331"/>
      <c r="AM21" s="381"/>
      <c r="AN21" s="411"/>
      <c r="AO21" s="346"/>
      <c r="AP21" s="426"/>
      <c r="AQ21" s="381"/>
      <c r="AR21" s="411"/>
      <c r="AS21" s="346"/>
      <c r="AT21" s="426"/>
      <c r="AU21" s="381"/>
      <c r="AV21" s="411"/>
      <c r="AW21" s="396"/>
      <c r="AX21" s="331"/>
      <c r="AY21" s="381"/>
      <c r="AZ21" s="277"/>
      <c r="BA21" s="346"/>
      <c r="BB21" s="331"/>
      <c r="BD21" s="511"/>
      <c r="BE21" s="534"/>
      <c r="BI21" s="270"/>
      <c r="BJ21" s="557">
        <f>SUM(BJ17:BJ18)</f>
        <v>0</v>
      </c>
      <c r="BK21" s="557">
        <f>SUM(BK17:BK18)</f>
        <v>0</v>
      </c>
      <c r="BL21" s="558">
        <f t="shared" si="14"/>
        <v>0</v>
      </c>
      <c r="BN21" s="150" t="s">
        <v>879</v>
      </c>
      <c r="BO21" s="165">
        <v>4</v>
      </c>
      <c r="BP21" s="165">
        <f>ROUND((84000*117%),0)</f>
        <v>98280</v>
      </c>
      <c r="BQ21" s="94">
        <f t="shared" si="22"/>
        <v>24570</v>
      </c>
      <c r="BR21" s="97">
        <f>BP21/$BV$6</f>
        <v>1.44973214571077</v>
      </c>
      <c r="BS21" s="579">
        <f t="shared" si="8"/>
        <v>0.0344103911818646</v>
      </c>
      <c r="BT21"/>
      <c r="BU21"/>
      <c r="BV21"/>
      <c r="BY21" s="492"/>
      <c r="BZ21" s="605">
        <f>SUM(BZ5:BZ20)</f>
        <v>0</v>
      </c>
      <c r="CA21" s="606">
        <f>SUM(CA5:CA20)</f>
        <v>0</v>
      </c>
      <c r="CB21" s="607" t="e">
        <f>CA21/CA23</f>
        <v>#DIV/0!</v>
      </c>
      <c r="CE21" s="368" t="e">
        <f>CA21/#REF!</f>
        <v>#REF!</v>
      </c>
    </row>
    <row r="22" ht="16.5" spans="2:83">
      <c r="B22" s="265" t="s">
        <v>381</v>
      </c>
      <c r="C22" s="265"/>
      <c r="D22" s="279">
        <f>'Inventory Sales'!B21</f>
        <v>2110</v>
      </c>
      <c r="E22" s="346">
        <f>'PAL I'!D15</f>
        <v>21100</v>
      </c>
      <c r="F22" s="331"/>
      <c r="G22" s="265"/>
      <c r="H22" s="279">
        <f>'Inventory Sales'!E21</f>
        <v>7739</v>
      </c>
      <c r="I22" s="346">
        <f>'PAL I'!G15</f>
        <v>77390</v>
      </c>
      <c r="J22" s="346"/>
      <c r="K22" s="381"/>
      <c r="L22" s="279">
        <f>'Inventory Sales'!H21</f>
        <v>5654</v>
      </c>
      <c r="M22" s="429">
        <f>'PAL I'!J15</f>
        <v>56540</v>
      </c>
      <c r="N22" s="426"/>
      <c r="O22" s="381"/>
      <c r="P22" s="430">
        <f>'Inventory Sales'!K21</f>
        <v>5340.5</v>
      </c>
      <c r="Q22" s="346">
        <f>'PAL I'!M15</f>
        <v>53405</v>
      </c>
      <c r="R22" s="396"/>
      <c r="S22" s="381"/>
      <c r="T22" s="430">
        <f>'Inventory Sales'!N21</f>
        <v>5389</v>
      </c>
      <c r="U22" s="346">
        <f>'Inventory Sales'!P21</f>
        <v>53890</v>
      </c>
      <c r="V22" s="331"/>
      <c r="W22" s="381"/>
      <c r="X22" s="430">
        <f>'Inventory Sales'!Q21</f>
        <v>7178</v>
      </c>
      <c r="Y22" s="346">
        <f>'Inventory Sales'!S21</f>
        <v>71780</v>
      </c>
      <c r="Z22" s="331"/>
      <c r="AA22" s="265"/>
      <c r="AB22" s="290">
        <f>'Inventory Sales'!T21</f>
        <v>3584</v>
      </c>
      <c r="AC22" s="346">
        <f>'Inventory Sales'!V21</f>
        <v>35840</v>
      </c>
      <c r="AD22" s="346"/>
      <c r="AE22" s="381"/>
      <c r="AF22" s="463">
        <f>'Inventory Sales'!W21</f>
        <v>5507</v>
      </c>
      <c r="AG22" s="346">
        <f>'Inventory Sales'!Y21</f>
        <v>55070</v>
      </c>
      <c r="AH22" s="426"/>
      <c r="AI22" s="381"/>
      <c r="AJ22" s="411">
        <f>'Inventory Sales'!Z21</f>
        <v>6958</v>
      </c>
      <c r="AK22" s="346">
        <f>'Inventory Sales'!AB21</f>
        <v>69580</v>
      </c>
      <c r="AL22" s="331"/>
      <c r="AM22" s="381"/>
      <c r="AN22" s="411">
        <f>'Inventory Sales'!AC21</f>
        <v>4497</v>
      </c>
      <c r="AO22" s="346">
        <f>'Inventory Sales'!AE21</f>
        <v>44970</v>
      </c>
      <c r="AP22" s="426"/>
      <c r="AQ22" s="381"/>
      <c r="AR22" s="411">
        <f>'PAL I'!AG15</f>
        <v>7534.5</v>
      </c>
      <c r="AS22" s="346">
        <f>'PAL I'!AH15</f>
        <v>75345</v>
      </c>
      <c r="AT22" s="426"/>
      <c r="AU22" s="381"/>
      <c r="AV22" s="411">
        <f>'Inventory Sales'!AI21</f>
        <v>5864.6</v>
      </c>
      <c r="AW22" s="396">
        <f>'Inventory Sales'!AK21</f>
        <v>61742</v>
      </c>
      <c r="AX22" s="331"/>
      <c r="AY22" s="381"/>
      <c r="AZ22" s="318">
        <f>SUM(D22,H22,L22,P22,T22,X22,AB22,AF22,AJ22,AN22,AR22,AV22)</f>
        <v>67355.6</v>
      </c>
      <c r="BA22" s="332">
        <f>ROUND((SUM(E22,I22,M22,Q22,U22,Y22,AC22,AG22,AK22,AO22,AS22,AW22)),0)</f>
        <v>676652</v>
      </c>
      <c r="BB22" s="331"/>
      <c r="BD22" s="501">
        <f>' Qty Analysis'!AL131</f>
        <v>26232.5</v>
      </c>
      <c r="BE22" s="534"/>
      <c r="BI22" s="263" t="s">
        <v>230</v>
      </c>
      <c r="BJ22" s="550" t="e">
        <f>BJ16-BJ21</f>
        <v>#REF!</v>
      </c>
      <c r="BK22" s="550" t="e">
        <f>BK16-BK21</f>
        <v>#REF!</v>
      </c>
      <c r="BL22" s="551" t="e">
        <f t="shared" si="14"/>
        <v>#REF!</v>
      </c>
      <c r="BN22" s="150" t="s">
        <v>880</v>
      </c>
      <c r="BO22" s="165">
        <v>5</v>
      </c>
      <c r="BP22" s="165">
        <f>ROUND((71650*117%),0)</f>
        <v>83831</v>
      </c>
      <c r="BQ22" s="94">
        <f t="shared" si="22"/>
        <v>16766</v>
      </c>
      <c r="BR22" s="97">
        <f>BP22/BV9</f>
        <v>1.18481175102149</v>
      </c>
      <c r="BS22" s="579">
        <f t="shared" si="8"/>
        <v>0.0293514194461426</v>
      </c>
      <c r="BT22"/>
      <c r="BU22"/>
      <c r="BV22"/>
      <c r="BY22" s="608" t="s">
        <v>881</v>
      </c>
      <c r="BZ22" s="609"/>
      <c r="CA22" s="610">
        <f>ROUND((BZ22/$CC$1),0)</f>
        <v>0</v>
      </c>
      <c r="CB22" s="611" t="e">
        <f>CA22/$CA$23</f>
        <v>#DIV/0!</v>
      </c>
      <c r="CE22" s="368" t="e">
        <f>CA22/#REF!</f>
        <v>#REF!</v>
      </c>
    </row>
    <row r="23" ht="16.5" spans="2:80">
      <c r="B23" s="260" t="s">
        <v>383</v>
      </c>
      <c r="C23" s="260"/>
      <c r="D23" s="269"/>
      <c r="E23" s="337">
        <f>'PAL I'!D17</f>
        <v>18</v>
      </c>
      <c r="F23" s="335">
        <f>E23/D16</f>
        <v>0.000201151030899033</v>
      </c>
      <c r="G23" s="260"/>
      <c r="H23" s="269"/>
      <c r="I23" s="337">
        <f>'PAL I'!G17</f>
        <v>799</v>
      </c>
      <c r="J23" s="396">
        <f>IF(I23=0,0,I23/H$16)</f>
        <v>0.0075373092089127</v>
      </c>
      <c r="K23" s="384"/>
      <c r="L23" s="386"/>
      <c r="M23" s="337">
        <f>'PAL I'!J17</f>
        <v>41</v>
      </c>
      <c r="N23" s="331">
        <f>IF(M23=0,0,M23/L$16)</f>
        <v>0.000458177348158909</v>
      </c>
      <c r="O23" s="384"/>
      <c r="P23" s="386"/>
      <c r="Q23" s="337">
        <f>'PAL I'!M17</f>
        <v>4</v>
      </c>
      <c r="R23" s="346">
        <f>IF(Q23=0,0,Q23/P$16)</f>
        <v>4.76156465014404e-5</v>
      </c>
      <c r="S23" s="384"/>
      <c r="T23" s="386"/>
      <c r="U23" s="337">
        <f>'PAL I'!P17</f>
        <v>51</v>
      </c>
      <c r="V23" s="331">
        <f>IF(U23=0,0,U23/T$16)</f>
        <v>0.000650219927328361</v>
      </c>
      <c r="W23" s="384"/>
      <c r="X23" s="386"/>
      <c r="Y23" s="337">
        <f>'PAL I'!S17</f>
        <v>0</v>
      </c>
      <c r="Z23" s="331">
        <f>IF(Y23=0,0,Y23/X$16)</f>
        <v>0</v>
      </c>
      <c r="AA23" s="260"/>
      <c r="AB23" s="269"/>
      <c r="AC23" s="337">
        <f>'PAL I'!V17</f>
        <v>90</v>
      </c>
      <c r="AD23" s="346">
        <f>IF(AC23=0,0,AC23/AB$16)</f>
        <v>0.00133185349611543</v>
      </c>
      <c r="AE23" s="384"/>
      <c r="AF23" s="386"/>
      <c r="AG23" s="337">
        <f>'PAL I'!Y17</f>
        <v>5</v>
      </c>
      <c r="AH23" s="346">
        <f>IF(AG23=0,0,AG23/AF$16)</f>
        <v>4.62932958049015e-5</v>
      </c>
      <c r="AI23" s="384"/>
      <c r="AJ23" s="386"/>
      <c r="AK23" s="337">
        <f>'PAL I'!AB17</f>
        <v>37847</v>
      </c>
      <c r="AL23" s="331"/>
      <c r="AM23" s="384"/>
      <c r="AN23" s="386"/>
      <c r="AO23" s="337">
        <f>'PAL I'!AE17</f>
        <v>1</v>
      </c>
      <c r="AP23" s="331"/>
      <c r="AQ23" s="384"/>
      <c r="AR23" s="386"/>
      <c r="AS23" s="337">
        <f>'PAL I'!AH17</f>
        <v>50449</v>
      </c>
      <c r="AT23" s="331"/>
      <c r="AU23" s="384"/>
      <c r="AV23" s="386"/>
      <c r="AW23" s="346">
        <f>'PAL I'!AK17</f>
        <v>59198</v>
      </c>
      <c r="AX23" s="335">
        <f>AW23/AV16</f>
        <v>0.359835637088637</v>
      </c>
      <c r="AY23" s="384"/>
      <c r="AZ23" s="386"/>
      <c r="BA23" s="443">
        <f>ROUND((SUM(E23,I23,M23,Q23,U23,Y23,AC23,AG23,AK23,AO23,AS23,AW23)),0)</f>
        <v>148503</v>
      </c>
      <c r="BB23" s="331">
        <f>IF(BA23=0,0,BA23/$AZ$16)</f>
        <v>0.127854938803061</v>
      </c>
      <c r="BD23" s="511"/>
      <c r="BE23" s="511"/>
      <c r="BI23" s="260" t="s">
        <v>882</v>
      </c>
      <c r="BJ23" s="552"/>
      <c r="BK23" s="552"/>
      <c r="BL23" s="553">
        <f t="shared" si="14"/>
        <v>0</v>
      </c>
      <c r="BN23" s="152" t="s">
        <v>883</v>
      </c>
      <c r="BO23" s="167">
        <v>6</v>
      </c>
      <c r="BP23" s="167">
        <f>ROUND((120950*117%),0)</f>
        <v>141512</v>
      </c>
      <c r="BQ23" s="226">
        <f t="shared" si="22"/>
        <v>23585</v>
      </c>
      <c r="BR23" s="581" t="e">
        <f>BP23/#REF!</f>
        <v>#REF!</v>
      </c>
      <c r="BS23" s="579">
        <f t="shared" si="8"/>
        <v>0.0495470418897845</v>
      </c>
      <c r="BT23"/>
      <c r="BU23"/>
      <c r="BV23"/>
      <c r="BY23" s="612"/>
      <c r="BZ23" s="613">
        <f>SUM(BZ21:BZ22)</f>
        <v>0</v>
      </c>
      <c r="CA23" s="614">
        <f>SUM(CA21:CA22)</f>
        <v>0</v>
      </c>
      <c r="CB23" s="615" t="e">
        <f>SUM(CB21:CB22)</f>
        <v>#DIV/0!</v>
      </c>
    </row>
    <row r="24" ht="16.5" spans="2:83">
      <c r="B24" s="280"/>
      <c r="C24" s="281">
        <f>E24/E17</f>
        <v>0.423702699850161</v>
      </c>
      <c r="D24" s="282">
        <f>D18+D19</f>
        <v>-16103</v>
      </c>
      <c r="E24" s="347">
        <f>E18-E19+SUM(E21:E23)</f>
        <v>13034964</v>
      </c>
      <c r="F24" s="348">
        <f>E24/(D16)</f>
        <v>145.666469240655</v>
      </c>
      <c r="G24" s="281">
        <f>I24/I17</f>
        <v>0.186053565614098</v>
      </c>
      <c r="H24" s="282">
        <f>H18+H19</f>
        <v>38120</v>
      </c>
      <c r="I24" s="347">
        <f>I18-I19+SUM(I21:I23)</f>
        <v>7078492</v>
      </c>
      <c r="J24" s="347">
        <f>I24/(H16)</f>
        <v>66.7744467294304</v>
      </c>
      <c r="K24" s="397">
        <f>M24/M17</f>
        <v>0.291618457910635</v>
      </c>
      <c r="L24" s="398">
        <f>L18+L19</f>
        <v>22450</v>
      </c>
      <c r="M24" s="347">
        <f>M18-M19+SUM(M21:M23)</f>
        <v>11316058</v>
      </c>
      <c r="N24" s="348">
        <f>M24/(L16)</f>
        <v>126.457596245181</v>
      </c>
      <c r="O24" s="397">
        <f>Q24/Q17</f>
        <v>0.31386914203985</v>
      </c>
      <c r="P24" s="398">
        <f>P18+P19</f>
        <v>24840</v>
      </c>
      <c r="Q24" s="347">
        <f>Q18-Q19+SUM(Q21:Q23)</f>
        <v>11491872</v>
      </c>
      <c r="R24" s="348">
        <f>Q24/(P16)</f>
        <v>136.79822869795</v>
      </c>
      <c r="S24" s="397">
        <f>U24/U17</f>
        <v>0.819530220629224</v>
      </c>
      <c r="T24" s="398">
        <f>T18+T19</f>
        <v>-63156</v>
      </c>
      <c r="U24" s="347">
        <f>U18-U19+SUM(U21:U23)</f>
        <v>29130886</v>
      </c>
      <c r="V24" s="348">
        <f>U24/(T16)</f>
        <v>371.401619175113</v>
      </c>
      <c r="W24" s="397">
        <f>Y24/Y17</f>
        <v>0.503734908684406</v>
      </c>
      <c r="X24" s="398">
        <f>X18+X19</f>
        <v>7482</v>
      </c>
      <c r="Y24" s="347">
        <f>Y18-Y19+SUM(Y21:Y23)</f>
        <v>14427334</v>
      </c>
      <c r="Z24" s="348">
        <f>Y24/(X16)</f>
        <v>222.946810483372</v>
      </c>
      <c r="AA24" s="281">
        <f>AC24/AC17</f>
        <v>0.392030670239504</v>
      </c>
      <c r="AB24" s="461">
        <f>AB18+AB19</f>
        <v>4561</v>
      </c>
      <c r="AC24" s="347">
        <f>AC18-AC19+AC20+AC22+AC23</f>
        <v>10751910</v>
      </c>
      <c r="AD24" s="348">
        <f>AC24/(AB16)</f>
        <v>159.11076581576</v>
      </c>
      <c r="AE24" s="281">
        <f>AG24/AG17</f>
        <v>0.357917726740706</v>
      </c>
      <c r="AF24" s="282">
        <f>AF18+AF19</f>
        <v>6754</v>
      </c>
      <c r="AG24" s="347">
        <f>AG18-AG19+AG20+AG22+AG23</f>
        <v>12641604</v>
      </c>
      <c r="AH24" s="348">
        <f>AG24/(AF16)</f>
        <v>117.044302684085</v>
      </c>
      <c r="AI24" s="281">
        <f>AK24/AK17</f>
        <v>0.493523114866721</v>
      </c>
      <c r="AJ24" s="471">
        <f>AJ18+AJ19</f>
        <v>11458</v>
      </c>
      <c r="AK24" s="347">
        <f>AK18-AK19+AK20+AK22+AK23</f>
        <v>12423638</v>
      </c>
      <c r="AL24" s="348">
        <f>AK24/(AJ16)</f>
        <v>202.841529519331</v>
      </c>
      <c r="AM24" s="281">
        <f>AO24/AO17</f>
        <v>0.638870231660352</v>
      </c>
      <c r="AN24" s="471">
        <f>AN18-AN19</f>
        <v>-28481</v>
      </c>
      <c r="AO24" s="347">
        <f>AO18-AO19+AO20+AO22+AO23</f>
        <v>22105439</v>
      </c>
      <c r="AP24" s="348">
        <f>AO24/(AZ15+AN16)</f>
        <v>66.3994491102861</v>
      </c>
      <c r="AQ24" s="281">
        <f>AS24/AS17</f>
        <v>0.5394566513084</v>
      </c>
      <c r="AR24" s="471">
        <f>AR18+AR19</f>
        <v>-4789</v>
      </c>
      <c r="AS24" s="347">
        <f>AS18-AS19+AS20+AS22+AS23</f>
        <v>20343487</v>
      </c>
      <c r="AT24" s="348">
        <f>AS24/(AZ15+AR16)</f>
        <v>59.6011654513121</v>
      </c>
      <c r="AU24" s="281">
        <f>AW24/AW17</f>
        <v>0.532043562871244</v>
      </c>
      <c r="AV24" s="282">
        <f>AV18+AV19</f>
        <v>-152557</v>
      </c>
      <c r="AW24" s="347">
        <f>AW18-AW19+AW20+AW22+AW23</f>
        <v>24599555</v>
      </c>
      <c r="AX24" s="348">
        <f>AW24/(BD15+AV16)</f>
        <v>149.528641939288</v>
      </c>
      <c r="AY24" s="397">
        <f>BA24/BA17</f>
        <v>0.429255619940962</v>
      </c>
      <c r="AZ24" s="398">
        <f>AZ18+AZ19</f>
        <v>-69254.2</v>
      </c>
      <c r="BA24" s="347">
        <f>BA18-BA19+SUM(BA21:BA23)</f>
        <v>178090270</v>
      </c>
      <c r="BB24" s="348">
        <f>BA24/(AZ16)</f>
        <v>153.328354122614</v>
      </c>
      <c r="BD24" s="512">
        <f>'PAL I'!AN18</f>
        <v>170424807</v>
      </c>
      <c r="BE24" s="512">
        <f>BA24-BD24</f>
        <v>7665463</v>
      </c>
      <c r="BF24" s="540">
        <f>AZ24/AZ11</f>
        <v>-0.0345582944357783</v>
      </c>
      <c r="BG24" s="318"/>
      <c r="BH24" s="540"/>
      <c r="BI24" s="554"/>
      <c r="BJ24" s="555"/>
      <c r="BK24" s="555"/>
      <c r="BL24" s="556"/>
      <c r="BN24" s="576" t="s">
        <v>884</v>
      </c>
      <c r="BO24" s="169">
        <f>SUM(BO19:BO23)</f>
        <v>40</v>
      </c>
      <c r="BP24" s="169">
        <f>SUM(BP19:BP23)</f>
        <v>1023072</v>
      </c>
      <c r="BQ24" s="227"/>
      <c r="BR24" s="584" t="e">
        <f>SUM(BR19:BR23)</f>
        <v>#REF!</v>
      </c>
      <c r="BS24" s="585">
        <f t="shared" si="8"/>
        <v>0.358204189328577</v>
      </c>
      <c r="BT24"/>
      <c r="BU24"/>
      <c r="BV24"/>
      <c r="BY24" s="616" t="s">
        <v>885</v>
      </c>
      <c r="BZ24" s="617"/>
      <c r="CA24" s="618">
        <f>ROUND((BZ24/$CC$1),0)</f>
        <v>0</v>
      </c>
      <c r="CE24" s="368" t="e">
        <f>CA24/#REF!</f>
        <v>#REF!</v>
      </c>
    </row>
    <row r="25" ht="17.25" spans="2:83">
      <c r="B25" s="263" t="s">
        <v>217</v>
      </c>
      <c r="C25" s="283">
        <f>E25/E$17</f>
        <v>0.0353780217017644</v>
      </c>
      <c r="D25" s="284"/>
      <c r="E25" s="328">
        <f>'PAL I'!D19-(E26+E30)</f>
        <v>1088384</v>
      </c>
      <c r="F25" s="336">
        <f>E25/D16</f>
        <v>12.1627535341119</v>
      </c>
      <c r="G25" s="283">
        <f>I25/I$17</f>
        <v>0.0362722987231168</v>
      </c>
      <c r="H25" s="284"/>
      <c r="I25" s="328">
        <f>'PAL I'!G19-(I26+I30)</f>
        <v>1379996</v>
      </c>
      <c r="J25" s="336">
        <f>I25/H16</f>
        <v>13.0180933154727</v>
      </c>
      <c r="K25" s="283">
        <f>M25/M$17</f>
        <v>0.0386687031062283</v>
      </c>
      <c r="L25" s="399"/>
      <c r="M25" s="328">
        <f>'PAL I'!J19-(M26+M30)</f>
        <v>1500513</v>
      </c>
      <c r="N25" s="336">
        <f>M25/L16</f>
        <v>16.7683187126334</v>
      </c>
      <c r="O25" s="431">
        <f>Q25/Q$17</f>
        <v>0.0599553548127789</v>
      </c>
      <c r="P25" s="380"/>
      <c r="Q25" s="328">
        <f>'PAL I'!M19-(Q26+Q30)</f>
        <v>2195180</v>
      </c>
      <c r="R25" s="336">
        <f>Q25/P16</f>
        <v>26.131228721758</v>
      </c>
      <c r="S25" s="431"/>
      <c r="T25" s="380"/>
      <c r="U25" s="328">
        <f>'PAL I'!P19-(U26+U30)</f>
        <v>1750486</v>
      </c>
      <c r="V25" s="336">
        <f>U25/T16</f>
        <v>22.3176643080258</v>
      </c>
      <c r="W25" s="431"/>
      <c r="X25" s="380"/>
      <c r="Y25" s="328">
        <f>'PAL I'!S19-(Y26+Y30)</f>
        <v>2239739</v>
      </c>
      <c r="Z25" s="336">
        <f>Y25/X16</f>
        <v>34.6108758808258</v>
      </c>
      <c r="AA25" s="431"/>
      <c r="AB25" s="380"/>
      <c r="AC25" s="328">
        <f>'PAL I'!V19-AC26</f>
        <v>2969212</v>
      </c>
      <c r="AD25" s="336">
        <f>AC25/AB16</f>
        <v>43.939504254532</v>
      </c>
      <c r="AE25" s="431"/>
      <c r="AF25" s="380"/>
      <c r="AG25" s="328">
        <f>'PAL I'!Y19-AG26</f>
        <v>3654480</v>
      </c>
      <c r="AH25" s="336">
        <f>AG25/AF16</f>
        <v>33.8355847306193</v>
      </c>
      <c r="AI25" s="431"/>
      <c r="AJ25" s="380"/>
      <c r="AK25" s="328">
        <f>'PAL I'!AB19-AK26</f>
        <v>4060966</v>
      </c>
      <c r="AL25" s="336">
        <f>AK25/AJ16</f>
        <v>66.3036507314524</v>
      </c>
      <c r="AM25" s="431"/>
      <c r="AN25" s="380"/>
      <c r="AO25" s="328">
        <f>'PAL I'!AE19-AO26</f>
        <v>3853685</v>
      </c>
      <c r="AP25" s="336">
        <f>AO25/AN16</f>
        <v>32.1660434368896</v>
      </c>
      <c r="AQ25" s="431"/>
      <c r="AR25" s="380"/>
      <c r="AS25" s="328">
        <f>'PAL I'!AH19-AS26</f>
        <v>3786981</v>
      </c>
      <c r="AT25" s="336">
        <f>AS25/(AR16)</f>
        <v>29.535716792625</v>
      </c>
      <c r="AU25" s="390"/>
      <c r="AV25" s="380"/>
      <c r="AW25" s="346">
        <f>'PAL I'!AK19-AW26</f>
        <v>4191188</v>
      </c>
      <c r="AX25" s="336">
        <f>AW25/AV16</f>
        <v>25.4761783191704</v>
      </c>
      <c r="AY25" s="431">
        <f>BA25/BA$17</f>
        <v>0.0787473049511542</v>
      </c>
      <c r="AZ25" s="380"/>
      <c r="BA25" s="513">
        <f>ROUND((SUM(E25,I25,M25,Q25,U25,Y25,AC25,AG25,AK25,AO25,AS25,AW25)),0)</f>
        <v>32670810</v>
      </c>
      <c r="BB25" s="336">
        <f>BA25/AZ16</f>
        <v>28.1282156804673</v>
      </c>
      <c r="BC25" s="514">
        <f>BA25/$BA$17</f>
        <v>0.0787473049511542</v>
      </c>
      <c r="BD25" s="515"/>
      <c r="BE25" s="515"/>
      <c r="BI25" s="554"/>
      <c r="BJ25" s="555"/>
      <c r="BK25" s="555"/>
      <c r="BL25" s="556"/>
      <c r="BN25"/>
      <c r="BO25"/>
      <c r="BP25"/>
      <c r="BQ25"/>
      <c r="BR25"/>
      <c r="BS25"/>
      <c r="BT25"/>
      <c r="BU25"/>
      <c r="BV25"/>
      <c r="BZ25" s="619">
        <f>SUM(BZ23:BZ24)</f>
        <v>0</v>
      </c>
      <c r="CA25" s="372">
        <f>SUM(CA23:CA24)</f>
        <v>0</v>
      </c>
      <c r="CE25" s="368" t="e">
        <f>CA25/#REF!</f>
        <v>#REF!</v>
      </c>
    </row>
    <row r="26" ht="16.5" spans="2:79">
      <c r="B26" s="263" t="s">
        <v>886</v>
      </c>
      <c r="C26" s="285">
        <f t="shared" ref="C26:C41" si="23">E26/E$17</f>
        <v>0.0422128673290706</v>
      </c>
      <c r="D26" s="286"/>
      <c r="E26" s="328">
        <f>'Trading PL'!C19+'Trading PL'!C24</f>
        <v>1298654</v>
      </c>
      <c r="F26" s="336">
        <f>E26/D13</f>
        <v>167.676436410587</v>
      </c>
      <c r="G26" s="285">
        <f>I26/I$17</f>
        <v>0.0402104566926948</v>
      </c>
      <c r="H26" s="286"/>
      <c r="I26" s="328">
        <f>'Trading PL'!F19+'Trading PL'!F24</f>
        <v>1529825</v>
      </c>
      <c r="J26" s="336">
        <f>I26/H13</f>
        <v>176.26742712294</v>
      </c>
      <c r="K26" s="285">
        <f>M26/M$17</f>
        <v>0.0324111277590254</v>
      </c>
      <c r="L26" s="400"/>
      <c r="M26" s="328">
        <f>ROUND(('Trading PL'!I19+'Trading PL'!I24),0)</f>
        <v>1257692</v>
      </c>
      <c r="N26" s="336">
        <f>M26/L13</f>
        <v>178.878111221732</v>
      </c>
      <c r="O26" s="404">
        <f>Q26/Q$17</f>
        <v>0.0386135449153193</v>
      </c>
      <c r="P26" s="432"/>
      <c r="Q26" s="328">
        <f>'Trading PL'!L24+'Trading PL'!L19</f>
        <v>1413780</v>
      </c>
      <c r="R26" s="336">
        <f>Q26/P13</f>
        <v>165.761519521632</v>
      </c>
      <c r="S26" s="449"/>
      <c r="T26" s="432"/>
      <c r="U26" s="328">
        <f>ROUND(('Trading PL'!O24+'Trading PL'!O19),0)</f>
        <v>1095503</v>
      </c>
      <c r="V26" s="336">
        <f>U26/T13</f>
        <v>170.745480049875</v>
      </c>
      <c r="W26" s="449"/>
      <c r="X26" s="432"/>
      <c r="Y26" s="328">
        <f>ROUND(('Trading PL'!R19+'Trading PL'!R24),0)</f>
        <v>976367</v>
      </c>
      <c r="Z26" s="336">
        <f>Y26/X13</f>
        <v>165.964133945266</v>
      </c>
      <c r="AA26" s="449"/>
      <c r="AB26" s="432"/>
      <c r="AC26" s="328">
        <f>'Trading PL'!U19+'Trading PL'!U24</f>
        <v>1285998</v>
      </c>
      <c r="AD26" s="336">
        <f>AC26/AB13</f>
        <v>172.640354409988</v>
      </c>
      <c r="AE26" s="449"/>
      <c r="AF26" s="432"/>
      <c r="AG26" s="328">
        <f>'Trading PL'!X19+'Trading PL'!X24</f>
        <v>865774</v>
      </c>
      <c r="AH26" s="336">
        <f>AG26/AF13</f>
        <v>57.0394966564549</v>
      </c>
      <c r="AI26" s="449"/>
      <c r="AJ26" s="432"/>
      <c r="AK26" s="328">
        <f>ROUND(('Trading PL'!AA19+'Trading PL'!AA24),0)</f>
        <v>1001953</v>
      </c>
      <c r="AL26" s="336">
        <f>AK26/AJ13</f>
        <v>150.195323040024</v>
      </c>
      <c r="AM26" s="449"/>
      <c r="AN26" s="432"/>
      <c r="AO26" s="328">
        <f>'Trading PL'!AD19+'Trading PL'!AD24</f>
        <v>755029</v>
      </c>
      <c r="AP26" s="336">
        <f>AO26/AN13</f>
        <v>171.13077969175</v>
      </c>
      <c r="AQ26" s="449"/>
      <c r="AR26" s="432"/>
      <c r="AS26" s="328">
        <f>'Trading PL'!AG19+'Trading PL'!AG24</f>
        <v>1083342</v>
      </c>
      <c r="AT26" s="336">
        <f>AS26/AR16</f>
        <v>8.44928519619083</v>
      </c>
      <c r="AU26" s="390"/>
      <c r="AV26" s="432"/>
      <c r="AW26" s="346">
        <f>'Trading PL'!AJ19+'Trading PL'!AJ24</f>
        <v>704952</v>
      </c>
      <c r="AX26" s="336">
        <f>AW26/AV16</f>
        <v>4.28505780663044</v>
      </c>
      <c r="AY26" s="285">
        <f>BA26/BA$17</f>
        <v>0.0319823008214341</v>
      </c>
      <c r="AZ26" s="400"/>
      <c r="BA26" s="516">
        <f>SUM(E26,I26,M26,Q26,U26,Y26,AC26,AG26,AK26,AO26,AS26,AW26)</f>
        <v>13268869</v>
      </c>
      <c r="BB26" s="336">
        <f>BA26/AZ13</f>
        <v>146.38845341262</v>
      </c>
      <c r="BC26" s="514">
        <f>BA26/$BA$17</f>
        <v>0.0319823008214341</v>
      </c>
      <c r="BD26" s="515"/>
      <c r="BE26" s="515"/>
      <c r="BI26" s="554"/>
      <c r="BJ26" s="566" t="e">
        <f>SUM(BJ22:BJ23)</f>
        <v>#REF!</v>
      </c>
      <c r="BK26" s="566" t="e">
        <f>SUM(BK22:BK23)</f>
        <v>#REF!</v>
      </c>
      <c r="BL26" s="567" t="e">
        <f t="shared" si="14"/>
        <v>#REF!</v>
      </c>
      <c r="BN26" s="576" t="s">
        <v>47</v>
      </c>
      <c r="BO26" s="169">
        <f>SUM(BO11,BO17,BO18,BO24)</f>
        <v>139</v>
      </c>
      <c r="BP26" s="169">
        <f>SUM(BP11,BP17,BP18,BP24)</f>
        <v>2856114</v>
      </c>
      <c r="BQ26" s="587" t="e">
        <f>BP26/#REF!</f>
        <v>#REF!</v>
      </c>
      <c r="BR26" s="234"/>
      <c r="BS26" s="219">
        <f>SUM(BS11,BS17,BS18,BS24)</f>
        <v>1</v>
      </c>
      <c r="BT26"/>
      <c r="BU26"/>
      <c r="BV26"/>
      <c r="CA26" s="620"/>
    </row>
    <row r="27" ht="16.5" spans="2:79">
      <c r="B27" s="267" t="s">
        <v>214</v>
      </c>
      <c r="C27" s="285">
        <f t="shared" si="23"/>
        <v>0.0173333726428242</v>
      </c>
      <c r="D27" s="287">
        <f>'PAL I'!C21</f>
        <v>8387</v>
      </c>
      <c r="E27" s="328">
        <f>'PAL I'!D21</f>
        <v>533251</v>
      </c>
      <c r="F27" s="342">
        <f>E27/D27</f>
        <v>63.5806605460832</v>
      </c>
      <c r="G27" s="285">
        <f t="shared" ref="G27:G33" si="24">I27/I$17</f>
        <v>0.0216406155458476</v>
      </c>
      <c r="H27" s="287">
        <f>'PAL I'!F21</f>
        <v>9116</v>
      </c>
      <c r="I27" s="328">
        <f>'PAL I'!G21</f>
        <v>823327</v>
      </c>
      <c r="J27" s="341">
        <f>I27/H27</f>
        <v>90.3166959192628</v>
      </c>
      <c r="K27" s="285">
        <f t="shared" ref="K27:K30" si="25">M27/M$17</f>
        <v>0.0180469049237731</v>
      </c>
      <c r="L27" s="268">
        <f>'PAL I'!I21</f>
        <v>8230.5</v>
      </c>
      <c r="M27" s="328">
        <f>'PAL I'!J21</f>
        <v>700298</v>
      </c>
      <c r="N27" s="342">
        <f>M27/L27</f>
        <v>85.0857177571229</v>
      </c>
      <c r="O27" s="404"/>
      <c r="P27" s="391">
        <f>'PAL I'!L21</f>
        <v>7433</v>
      </c>
      <c r="Q27" s="328">
        <f>'PAL I'!M21</f>
        <v>806835</v>
      </c>
      <c r="R27" s="342">
        <f>Q27/P27</f>
        <v>108.547692721647</v>
      </c>
      <c r="S27" s="404"/>
      <c r="T27" s="391">
        <f>'PAL I'!O21</f>
        <v>6910</v>
      </c>
      <c r="U27" s="341">
        <f>'PAL I'!P21</f>
        <v>671466</v>
      </c>
      <c r="V27" s="342">
        <f>U27/T27</f>
        <v>97.1730824891462</v>
      </c>
      <c r="W27" s="404"/>
      <c r="X27" s="391">
        <f>'PAL I'!R21</f>
        <v>8618</v>
      </c>
      <c r="Y27" s="341">
        <f>'PAL I'!S21</f>
        <v>722488</v>
      </c>
      <c r="Z27" s="342">
        <f>Y27/X27</f>
        <v>83.8347644465073</v>
      </c>
      <c r="AA27" s="404"/>
      <c r="AB27" s="391">
        <f>'PAL I'!U21</f>
        <v>6085</v>
      </c>
      <c r="AC27" s="328">
        <f>'PAL I'!V21</f>
        <v>791271</v>
      </c>
      <c r="AD27" s="342">
        <f>AC27/AB27</f>
        <v>130.036318816763</v>
      </c>
      <c r="AE27" s="404"/>
      <c r="AF27" s="391">
        <f>'PAL I'!X21</f>
        <v>7778</v>
      </c>
      <c r="AG27" s="328">
        <f>'PAL I'!Y21</f>
        <v>624076</v>
      </c>
      <c r="AH27" s="342">
        <f>AG27/AF27</f>
        <v>80.23605039856</v>
      </c>
      <c r="AI27" s="404"/>
      <c r="AJ27" s="391">
        <f>'PAL I'!AA21</f>
        <v>0</v>
      </c>
      <c r="AK27" s="328">
        <f>'PAL I'!AB21</f>
        <v>632326</v>
      </c>
      <c r="AL27" s="342" t="e">
        <f>AK27/AJ27</f>
        <v>#DIV/0!</v>
      </c>
      <c r="AM27" s="404"/>
      <c r="AN27" s="391">
        <f>'PAL I'!AD21</f>
        <v>0</v>
      </c>
      <c r="AO27" s="328">
        <f>'PAL I'!AE21</f>
        <v>721180</v>
      </c>
      <c r="AP27" s="342" t="e">
        <f>AO27/AN27</f>
        <v>#DIV/0!</v>
      </c>
      <c r="AQ27" s="404"/>
      <c r="AR27" s="391">
        <f>'PAL I'!AG21</f>
        <v>8770</v>
      </c>
      <c r="AS27" s="328">
        <f>'PAL I'!AH21</f>
        <v>716280</v>
      </c>
      <c r="AT27" s="342">
        <f>AS27/AR27</f>
        <v>81.6738882554162</v>
      </c>
      <c r="AU27" s="404"/>
      <c r="AV27" s="391">
        <f>'PAL I'!AJ21</f>
        <v>11285</v>
      </c>
      <c r="AW27" s="346">
        <f>'PAL I'!AK21</f>
        <v>623548</v>
      </c>
      <c r="AX27" s="331">
        <f>IF(AW27=0,0,AW27/AV27)</f>
        <v>55.2545857332743</v>
      </c>
      <c r="AY27" s="404">
        <f t="shared" ref="AY27:AY41" si="26">BA27/BA$17</f>
        <v>0.0201656218437458</v>
      </c>
      <c r="AZ27" s="411">
        <f>SUM(D27,H27,L27,P27,T27,X27,AB27,AF27,AJ27,AN27,AR27,AV27)</f>
        <v>82612.5</v>
      </c>
      <c r="BA27" s="328">
        <f>SUM(E27,I27,M27,Q27,U27,Y27,AC27,AG27,AK27,AO27,AS27,AW27)</f>
        <v>8366346</v>
      </c>
      <c r="BB27" s="342">
        <f>BA27/AZ27</f>
        <v>101.272156150704</v>
      </c>
      <c r="BC27" s="517">
        <f t="shared" ref="BC27:BC32" si="27">BA27/$BA$17</f>
        <v>0.0201656218437458</v>
      </c>
      <c r="BD27" s="518"/>
      <c r="BE27" s="518"/>
      <c r="BI27" s="229" t="s">
        <v>887</v>
      </c>
      <c r="BJ27" s="568"/>
      <c r="BK27" s="569"/>
      <c r="BN27"/>
      <c r="BO27"/>
      <c r="BP27"/>
      <c r="BQ27"/>
      <c r="BR27"/>
      <c r="BS27"/>
      <c r="BT27"/>
      <c r="BU27"/>
      <c r="BV27"/>
      <c r="CA27" s="620"/>
    </row>
    <row r="28" ht="16.5" spans="2:79">
      <c r="B28" s="288" t="s">
        <v>385</v>
      </c>
      <c r="C28" s="289">
        <f t="shared" si="23"/>
        <v>0.220043868221628</v>
      </c>
      <c r="D28" s="290">
        <f>'PAL I'!C22</f>
        <v>79667</v>
      </c>
      <c r="E28" s="349">
        <f>'PAL I'!D22</f>
        <v>6769520</v>
      </c>
      <c r="F28" s="350">
        <f>E28/D28</f>
        <v>84.9726988590006</v>
      </c>
      <c r="G28" s="289">
        <f t="shared" si="24"/>
        <v>0.166256140155727</v>
      </c>
      <c r="H28" s="290">
        <f>'PAL I'!F22</f>
        <v>74692</v>
      </c>
      <c r="I28" s="349">
        <f>'PAL I'!G22</f>
        <v>6325290</v>
      </c>
      <c r="J28" s="349">
        <f>I28/H28</f>
        <v>84.6849729556044</v>
      </c>
      <c r="K28" s="285">
        <f t="shared" si="25"/>
        <v>0.154936613125644</v>
      </c>
      <c r="L28" s="268">
        <f>'PAL I'!I22</f>
        <v>70683</v>
      </c>
      <c r="M28" s="328">
        <f>'PAL I'!J22</f>
        <v>6012211</v>
      </c>
      <c r="N28" s="350">
        <f>M28/L28</f>
        <v>85.0587977307132</v>
      </c>
      <c r="O28" s="433"/>
      <c r="P28" s="391">
        <f>'PAL I'!L22</f>
        <v>83091</v>
      </c>
      <c r="Q28" s="328">
        <f>'PAL I'!M22</f>
        <v>7034404</v>
      </c>
      <c r="R28" s="350">
        <f>Q28/P28</f>
        <v>84.6590364780782</v>
      </c>
      <c r="S28" s="449"/>
      <c r="T28" s="391">
        <f>'PAL I'!O22</f>
        <v>76319</v>
      </c>
      <c r="U28" s="341">
        <f>'PAL I'!P22</f>
        <v>6751564</v>
      </c>
      <c r="V28" s="350">
        <f>U28/T28</f>
        <v>88.4650480221177</v>
      </c>
      <c r="W28" s="449"/>
      <c r="X28" s="318">
        <f>'PAL I'!R22</f>
        <v>82224</v>
      </c>
      <c r="Y28" s="349">
        <f>'PAL I'!S22</f>
        <v>7111109</v>
      </c>
      <c r="Z28" s="350">
        <f>Y28/X28</f>
        <v>86.4845908737108</v>
      </c>
      <c r="AA28" s="449"/>
      <c r="AB28" s="391">
        <f>'PAL I'!U22</f>
        <v>64343</v>
      </c>
      <c r="AC28" s="328">
        <f>'PAL I'!V22</f>
        <v>5407396</v>
      </c>
      <c r="AD28" s="350">
        <f>AC28/AB28</f>
        <v>84.0401597687394</v>
      </c>
      <c r="AE28" s="449"/>
      <c r="AF28" s="391">
        <f>'PAL I'!X22</f>
        <v>70983</v>
      </c>
      <c r="AG28" s="328">
        <f>'PAL I'!Y22</f>
        <v>5947704</v>
      </c>
      <c r="AH28" s="350">
        <f>AG28/AF28</f>
        <v>83.790541397236</v>
      </c>
      <c r="AI28" s="449"/>
      <c r="AJ28" s="391">
        <f>'PAL I'!AA22</f>
        <v>78244.4</v>
      </c>
      <c r="AK28" s="328">
        <f>'PAL I'!AB22</f>
        <v>6577862</v>
      </c>
      <c r="AL28" s="350">
        <f>AK28/AJ28</f>
        <v>84.0681505641298</v>
      </c>
      <c r="AM28" s="449"/>
      <c r="AN28" s="391">
        <f>'PAL I'!AD22</f>
        <v>80049</v>
      </c>
      <c r="AO28" s="328">
        <f>'PAL I'!AE22</f>
        <v>6880405</v>
      </c>
      <c r="AP28" s="350">
        <f>AO28/AN28</f>
        <v>85.9524166448051</v>
      </c>
      <c r="AQ28" s="449"/>
      <c r="AR28" s="391">
        <f>'PAL I'!AG22</f>
        <v>72433</v>
      </c>
      <c r="AS28" s="328">
        <f>'PAL I'!AH22</f>
        <v>6337386</v>
      </c>
      <c r="AT28" s="350">
        <f>AS28/AR28</f>
        <v>87.4930763602225</v>
      </c>
      <c r="AU28" s="449"/>
      <c r="AV28" s="391">
        <f>'PAL I'!AJ22</f>
        <v>69896</v>
      </c>
      <c r="AW28" s="346">
        <f>'PAL I'!AK22</f>
        <v>6046500</v>
      </c>
      <c r="AX28" s="331">
        <f>IF(AW28=0,0,AW28/AV28)</f>
        <v>86.5070962572966</v>
      </c>
      <c r="AY28" s="449">
        <f t="shared" si="26"/>
        <v>0.186080428671285</v>
      </c>
      <c r="AZ28" s="386">
        <f>SUM(D28,H28,L28,P28,T28,X28,AB28,AF28,AJ28,AN28,AR28,AV28)</f>
        <v>902624.4</v>
      </c>
      <c r="BA28" s="443">
        <f>ROUND((SUM(E28,I28,M28,Q28,U28,Y28,AC28,AG28,AK28,AO28,AS28,AW28)),0)</f>
        <v>77201351</v>
      </c>
      <c r="BB28" s="519">
        <f>BA28/AZ28</f>
        <v>85.5298737769553</v>
      </c>
      <c r="BC28" s="517">
        <f t="shared" si="27"/>
        <v>0.186080428671285</v>
      </c>
      <c r="BD28" s="518"/>
      <c r="BE28" s="518"/>
      <c r="BI28" s="270"/>
      <c r="BJ28" s="570" t="e">
        <f>BJ22+BJ27</f>
        <v>#REF!</v>
      </c>
      <c r="BK28" s="570" t="e">
        <f>BK22+BK27</f>
        <v>#REF!</v>
      </c>
      <c r="BL28" s="571"/>
      <c r="BN28" s="229" t="s">
        <v>888</v>
      </c>
      <c r="BT28"/>
      <c r="BU28"/>
      <c r="BV28"/>
      <c r="CA28" s="621"/>
    </row>
    <row r="29" ht="16.5" spans="2:58">
      <c r="B29" s="291" t="s">
        <v>889</v>
      </c>
      <c r="C29" s="292">
        <f t="shared" si="23"/>
        <v>0.314968129895287</v>
      </c>
      <c r="D29" s="293"/>
      <c r="E29" s="351">
        <f>SUM(E25:E28)</f>
        <v>9689809</v>
      </c>
      <c r="F29" s="352">
        <f>E29/D17</f>
        <v>56.3233278500805</v>
      </c>
      <c r="G29" s="292">
        <f t="shared" si="24"/>
        <v>0.264379511117387</v>
      </c>
      <c r="H29" s="293"/>
      <c r="I29" s="351">
        <f>SUM(I25:I28)</f>
        <v>10058438</v>
      </c>
      <c r="J29" s="351">
        <f>I29/H17</f>
        <v>62.4111960487454</v>
      </c>
      <c r="K29" s="292">
        <f t="shared" si="25"/>
        <v>0.244063348914671</v>
      </c>
      <c r="L29" s="401"/>
      <c r="M29" s="351">
        <f>SUM(M25:M28)</f>
        <v>9470714</v>
      </c>
      <c r="N29" s="352">
        <f>M29/L17</f>
        <v>52.4626446491583</v>
      </c>
      <c r="O29" s="434">
        <f>Q29/Q$17</f>
        <v>0.312730957699107</v>
      </c>
      <c r="P29" s="435"/>
      <c r="Q29" s="351">
        <f>SUM(Q25:Q28)</f>
        <v>11450199</v>
      </c>
      <c r="R29" s="351">
        <f>Q29/P17</f>
        <v>64.5525318810676</v>
      </c>
      <c r="S29" s="434">
        <f>U29/U$17</f>
        <v>0.288895140598048</v>
      </c>
      <c r="T29" s="435"/>
      <c r="U29" s="351">
        <f>SUM(U25:U28)</f>
        <v>10269019</v>
      </c>
      <c r="V29" s="352">
        <f>U29/T17</f>
        <v>58.4147387582127</v>
      </c>
      <c r="W29" s="434">
        <f>Y29/Y$17</f>
        <v>0.385803858959306</v>
      </c>
      <c r="X29" s="435"/>
      <c r="Y29" s="351">
        <f>SUM(Y25:Y28)</f>
        <v>11049703</v>
      </c>
      <c r="Z29" s="352">
        <f>Y29/X17</f>
        <v>83.0018403617625</v>
      </c>
      <c r="AA29" s="434">
        <f>AC29/AC$17</f>
        <v>0.381163942677286</v>
      </c>
      <c r="AB29" s="435"/>
      <c r="AC29" s="351">
        <f>SUM(AC25:AC28)</f>
        <v>10453877</v>
      </c>
      <c r="AD29" s="351">
        <f>AC29/AB17</f>
        <v>83.3702339083347</v>
      </c>
      <c r="AE29" s="434">
        <f>AG29/AG$17</f>
        <v>0.314045242534936</v>
      </c>
      <c r="AF29" s="435"/>
      <c r="AG29" s="351">
        <f>SUM(AG25:AG28)</f>
        <v>11092034</v>
      </c>
      <c r="AH29" s="351">
        <f>AG29/AF17</f>
        <v>69.3096178359869</v>
      </c>
      <c r="AI29" s="434">
        <f>AK29/AK$17</f>
        <v>0.487543342435811</v>
      </c>
      <c r="AJ29" s="435"/>
      <c r="AK29" s="351">
        <f>SUM(AK25:AK28)</f>
        <v>12273107</v>
      </c>
      <c r="AL29" s="351">
        <f>AK29/AJ17</f>
        <v>98.1471674876847</v>
      </c>
      <c r="AM29" s="434">
        <f>AO29/AO$17</f>
        <v>0.352890370137963</v>
      </c>
      <c r="AN29" s="435"/>
      <c r="AO29" s="351">
        <f>SUM(AO25:AO28)</f>
        <v>12210299</v>
      </c>
      <c r="AP29" s="351">
        <f>AO29/AN17</f>
        <v>75.1537135858092</v>
      </c>
      <c r="AQ29" s="434">
        <f>AS29/AS$17</f>
        <v>0.316193343657269</v>
      </c>
      <c r="AR29" s="435"/>
      <c r="AS29" s="351">
        <f>SUM(AS25:AS28)</f>
        <v>11923989</v>
      </c>
      <c r="AT29" s="352">
        <f>AS29/AR17</f>
        <v>69.211640150218</v>
      </c>
      <c r="AU29" s="434">
        <f>AW29/AW$17</f>
        <v>0.250155576893916</v>
      </c>
      <c r="AV29" s="435"/>
      <c r="AW29" s="351">
        <f>SUM(AW25:AW28)</f>
        <v>11566188</v>
      </c>
      <c r="AX29" s="352">
        <f>AW29/AV17</f>
        <v>59.1378873095409</v>
      </c>
      <c r="AY29" s="434">
        <f t="shared" si="26"/>
        <v>0.316975656287619</v>
      </c>
      <c r="AZ29" s="435"/>
      <c r="BA29" s="351">
        <f>SUM(BA25:BA28)</f>
        <v>131507376</v>
      </c>
      <c r="BB29" s="352">
        <f>BA29/AZ17</f>
        <v>65.6673944769179</v>
      </c>
      <c r="BC29" s="504">
        <f t="shared" si="27"/>
        <v>0.316975656287619</v>
      </c>
      <c r="BD29" s="518"/>
      <c r="BE29" s="518"/>
      <c r="BF29" s="368">
        <f>(BA27+BA28)/AZ17</f>
        <v>42.7277000293914</v>
      </c>
    </row>
    <row r="30" ht="15.75" spans="2:59">
      <c r="B30" s="263" t="s">
        <v>890</v>
      </c>
      <c r="C30" s="294"/>
      <c r="D30" s="295"/>
      <c r="E30" s="343">
        <f>'Direct Expns'!S$54</f>
        <v>1540871</v>
      </c>
      <c r="F30" s="329"/>
      <c r="G30" s="294"/>
      <c r="H30" s="295"/>
      <c r="I30" s="343">
        <f>'Direct Expns'!T$54</f>
        <v>1528765</v>
      </c>
      <c r="J30" s="343"/>
      <c r="K30" s="402">
        <f t="shared" si="25"/>
        <v>0.0398789805064781</v>
      </c>
      <c r="L30" s="403"/>
      <c r="M30" s="343">
        <f>'Direct Expns'!U$54</f>
        <v>1547477</v>
      </c>
      <c r="N30" s="329"/>
      <c r="O30" s="402"/>
      <c r="P30" s="403"/>
      <c r="Q30" s="343">
        <f>'Direct Expns'!V$54</f>
        <v>1809146</v>
      </c>
      <c r="R30" s="343"/>
      <c r="S30" s="402"/>
      <c r="T30" s="403"/>
      <c r="U30" s="343">
        <f>'Direct Expns'!W$54</f>
        <v>1549294</v>
      </c>
      <c r="V30" s="329"/>
      <c r="W30" s="402"/>
      <c r="X30" s="403"/>
      <c r="Y30" s="343">
        <f>'Direct Expns'!X$54</f>
        <v>2494181</v>
      </c>
      <c r="Z30" s="329"/>
      <c r="AA30" s="402"/>
      <c r="AB30" s="403"/>
      <c r="AC30" s="343"/>
      <c r="AD30" s="343"/>
      <c r="AE30" s="402"/>
      <c r="AF30" s="403"/>
      <c r="AG30" s="343"/>
      <c r="AH30" s="329"/>
      <c r="AI30" s="402"/>
      <c r="AJ30" s="403"/>
      <c r="AK30" s="343"/>
      <c r="AL30" s="329"/>
      <c r="AM30" s="402"/>
      <c r="AN30" s="403"/>
      <c r="AO30" s="343"/>
      <c r="AP30" s="336"/>
      <c r="AQ30" s="402"/>
      <c r="AR30" s="403"/>
      <c r="AS30" s="343"/>
      <c r="AT30" s="329"/>
      <c r="AU30" s="390"/>
      <c r="AV30" s="403"/>
      <c r="AW30" s="343"/>
      <c r="AX30" s="329"/>
      <c r="AY30" s="402">
        <f t="shared" si="26"/>
        <v>0.0252354727677541</v>
      </c>
      <c r="AZ30" s="454"/>
      <c r="BA30" s="520">
        <f>SUM(E30,I30,M30,Q30,U30,Y30,AC30,AG30,AK30,AO30,AS30,AW30)</f>
        <v>10469734</v>
      </c>
      <c r="BB30" s="336">
        <f>BA30/AZ17</f>
        <v>5.22799688928779</v>
      </c>
      <c r="BC30" s="517">
        <f t="shared" si="27"/>
        <v>0.0252354727677541</v>
      </c>
      <c r="BD30" s="518"/>
      <c r="BE30" s="518"/>
      <c r="BF30" s="368">
        <f>BB25+BF29</f>
        <v>70.8559157098586</v>
      </c>
      <c r="BG30" s="540">
        <f>(BA24-BA29)/BA17</f>
        <v>0.112279963653343</v>
      </c>
    </row>
    <row r="31" ht="15.75" spans="2:57">
      <c r="B31" s="263" t="s">
        <v>241</v>
      </c>
      <c r="C31" s="285">
        <f t="shared" si="23"/>
        <v>0.0140987584647728</v>
      </c>
      <c r="D31" s="296"/>
      <c r="E31" s="328">
        <f>'Indirect Expns'!B67</f>
        <v>433740</v>
      </c>
      <c r="F31" s="336">
        <f>E31/D17</f>
        <v>2.52117252483449</v>
      </c>
      <c r="G31" s="285"/>
      <c r="H31" s="296"/>
      <c r="I31" s="328">
        <f>'Indirect Expns'!C67</f>
        <v>513190</v>
      </c>
      <c r="J31" s="336">
        <f>I31/H17</f>
        <v>3.18427192176913</v>
      </c>
      <c r="K31" s="404"/>
      <c r="L31" s="380"/>
      <c r="M31" s="328">
        <f>'Indirect Expns'!D67</f>
        <v>575240</v>
      </c>
      <c r="N31" s="336"/>
      <c r="O31" s="404"/>
      <c r="P31" s="380"/>
      <c r="Q31" s="328">
        <f>'Indirect Expns'!E67</f>
        <v>413383</v>
      </c>
      <c r="R31" s="328"/>
      <c r="S31" s="404"/>
      <c r="T31" s="380"/>
      <c r="U31" s="328">
        <f>'Indirect Expns'!F67</f>
        <v>449880</v>
      </c>
      <c r="V31" s="336"/>
      <c r="W31" s="404"/>
      <c r="X31" s="380"/>
      <c r="Y31" s="328">
        <f>'Indirect Expns'!G67</f>
        <v>359223</v>
      </c>
      <c r="Z31" s="336"/>
      <c r="AA31" s="404"/>
      <c r="AB31" s="380"/>
      <c r="AC31" s="328">
        <f>'Indirect Expns'!H67</f>
        <v>510924</v>
      </c>
      <c r="AD31" s="328"/>
      <c r="AE31" s="404"/>
      <c r="AF31" s="328"/>
      <c r="AG31" s="328">
        <f>'Indirect Expns'!I67</f>
        <v>466534</v>
      </c>
      <c r="AH31" s="328"/>
      <c r="AI31" s="404"/>
      <c r="AJ31" s="380"/>
      <c r="AK31" s="328">
        <f>'Indirect Expns'!J67</f>
        <v>547705</v>
      </c>
      <c r="AL31" s="328"/>
      <c r="AM31" s="404"/>
      <c r="AN31" s="380"/>
      <c r="AO31" s="328">
        <f>'Indirect Expns'!K67</f>
        <v>349481</v>
      </c>
      <c r="AP31" s="328"/>
      <c r="AQ31" s="404"/>
      <c r="AR31" s="380"/>
      <c r="AS31" s="328">
        <f>'Indirect Expns'!L67</f>
        <v>599924</v>
      </c>
      <c r="AT31" s="336"/>
      <c r="AU31" s="404"/>
      <c r="AV31" s="380"/>
      <c r="AW31" s="328">
        <f>'Indirect Expns'!M67</f>
        <v>656535</v>
      </c>
      <c r="AX31" s="336"/>
      <c r="AY31" s="404">
        <f t="shared" si="26"/>
        <v>0.0141624950771802</v>
      </c>
      <c r="AZ31" s="380"/>
      <c r="BA31" s="332">
        <f>ROUND((SUM(E31,I31,M31,Q31,U31,Y31,AC31,AG31,AK31,AO31,AS31,AW31)),0)</f>
        <v>5875759</v>
      </c>
      <c r="BB31" s="336">
        <f>BA31/AZ17</f>
        <v>2.93402389919407</v>
      </c>
      <c r="BC31" s="517">
        <f t="shared" si="27"/>
        <v>0.0141624950771802</v>
      </c>
      <c r="BD31" s="518"/>
      <c r="BE31" s="541">
        <f>'Indirect Expns'!N67</f>
        <v>5875760</v>
      </c>
    </row>
    <row r="32" ht="16.5" spans="2:57">
      <c r="B32" s="297" t="s">
        <v>242</v>
      </c>
      <c r="C32" s="298">
        <f t="shared" si="23"/>
        <v>0.00106012106001314</v>
      </c>
      <c r="D32" s="299"/>
      <c r="E32" s="353">
        <f>'Indirect Expns'!B68</f>
        <v>32614</v>
      </c>
      <c r="F32" s="354">
        <f>E32/D17</f>
        <v>0.189573294427426</v>
      </c>
      <c r="G32" s="298"/>
      <c r="H32" s="299"/>
      <c r="I32" s="353">
        <f>'Indirect Expns'!C68</f>
        <v>61101</v>
      </c>
      <c r="J32" s="354">
        <f>I32/H17</f>
        <v>0.379123129234817</v>
      </c>
      <c r="K32" s="405"/>
      <c r="L32" s="406"/>
      <c r="M32" s="353">
        <f>'Indirect Expns'!D68</f>
        <v>327068</v>
      </c>
      <c r="N32" s="354"/>
      <c r="O32" s="405"/>
      <c r="P32" s="436"/>
      <c r="Q32" s="353">
        <f>'Indirect Expns'!E68</f>
        <v>62213</v>
      </c>
      <c r="R32" s="450"/>
      <c r="S32" s="405"/>
      <c r="T32" s="436"/>
      <c r="U32" s="353">
        <f>'Indirect Expns'!F68</f>
        <v>117848</v>
      </c>
      <c r="V32" s="354"/>
      <c r="W32" s="405"/>
      <c r="X32" s="436"/>
      <c r="Y32" s="353">
        <f>'Indirect Expns'!G68</f>
        <v>58017</v>
      </c>
      <c r="Z32" s="354"/>
      <c r="AA32" s="405"/>
      <c r="AB32" s="436"/>
      <c r="AC32" s="353">
        <f>'Indirect Expns'!H68</f>
        <v>36302</v>
      </c>
      <c r="AD32" s="450"/>
      <c r="AE32" s="405"/>
      <c r="AF32" s="353"/>
      <c r="AG32" s="353">
        <f>'Indirect Expns'!I68</f>
        <v>269669</v>
      </c>
      <c r="AH32" s="450"/>
      <c r="AI32" s="405"/>
      <c r="AJ32" s="436"/>
      <c r="AK32" s="450">
        <f>'Indirect Expns'!J68</f>
        <v>191554</v>
      </c>
      <c r="AL32" s="450"/>
      <c r="AM32" s="405"/>
      <c r="AN32" s="436"/>
      <c r="AO32" s="353">
        <f>'Indirect Expns'!K68</f>
        <v>155623</v>
      </c>
      <c r="AP32" s="450"/>
      <c r="AQ32" s="405"/>
      <c r="AR32" s="436"/>
      <c r="AS32" s="353">
        <f>'Indirect Expns'!L68</f>
        <v>229687</v>
      </c>
      <c r="AT32" s="354"/>
      <c r="AU32" s="405"/>
      <c r="AV32" s="436"/>
      <c r="AW32" s="450">
        <f>'Indirect Expns'!M68</f>
        <v>109039</v>
      </c>
      <c r="AX32" s="354"/>
      <c r="AY32" s="405">
        <f t="shared" si="26"/>
        <v>0.00397880959910524</v>
      </c>
      <c r="AZ32" s="436"/>
      <c r="BA32" s="353">
        <f>ROUND((SUM(E32,I32,M32,Q32,U32,Y32,AC32,AG32,AK32,AO32,AS32,AW32)),0)</f>
        <v>1650735</v>
      </c>
      <c r="BB32" s="354">
        <f>BA32/AZ17</f>
        <v>0.824284307990869</v>
      </c>
      <c r="BC32" s="517">
        <f t="shared" si="27"/>
        <v>0.00397880959910524</v>
      </c>
      <c r="BD32" s="518"/>
      <c r="BE32" s="541">
        <f>'Indirect Expns'!N68</f>
        <v>1650736</v>
      </c>
    </row>
    <row r="33" ht="17.25" spans="2:57">
      <c r="B33" s="288" t="s">
        <v>52</v>
      </c>
      <c r="C33" s="300">
        <f t="shared" si="23"/>
        <v>0.0652450326450261</v>
      </c>
      <c r="D33" s="301"/>
      <c r="E33" s="349">
        <f>SUM(E30:E32)</f>
        <v>2007225</v>
      </c>
      <c r="F33" s="350">
        <f>E33/D17</f>
        <v>11.6672673056691</v>
      </c>
      <c r="G33" s="355">
        <f t="shared" si="24"/>
        <v>0.0552774612849914</v>
      </c>
      <c r="H33" s="301"/>
      <c r="I33" s="349">
        <f>SUM(I30:I32)</f>
        <v>2103056</v>
      </c>
      <c r="J33" s="350">
        <f>I33/H17</f>
        <v>13.0491673078355</v>
      </c>
      <c r="K33" s="355">
        <f>M33/M$17</f>
        <v>0.0631317481681875</v>
      </c>
      <c r="L33" s="318"/>
      <c r="M33" s="349">
        <f>SUM(M30:M32)</f>
        <v>2449785</v>
      </c>
      <c r="N33" s="350">
        <f>M33/L17</f>
        <v>13.5704868631698</v>
      </c>
      <c r="O33" s="300"/>
      <c r="P33" s="318"/>
      <c r="Q33" s="349">
        <f>SUM(Q30:Q32)</f>
        <v>2284742</v>
      </c>
      <c r="R33" s="350">
        <f>Q33/P17</f>
        <v>12.8806390871472</v>
      </c>
      <c r="S33" s="300"/>
      <c r="T33" s="318"/>
      <c r="U33" s="349">
        <f>SUM(U30:U32)</f>
        <v>2117022</v>
      </c>
      <c r="V33" s="350">
        <f>U33/T17</f>
        <v>12.0425609374556</v>
      </c>
      <c r="W33" s="300"/>
      <c r="X33" s="318"/>
      <c r="Y33" s="349">
        <f>SUM(Y30:Y32)</f>
        <v>2911421</v>
      </c>
      <c r="Z33" s="350">
        <f>Y33/X17</f>
        <v>21.8696648288088</v>
      </c>
      <c r="AA33" s="300"/>
      <c r="AB33" s="318"/>
      <c r="AC33" s="349">
        <f>SUM(AC31:AC32)</f>
        <v>547226</v>
      </c>
      <c r="AD33" s="350">
        <f>AC33/AB17</f>
        <v>4.36415691716311</v>
      </c>
      <c r="AE33" s="300"/>
      <c r="AF33" s="349"/>
      <c r="AG33" s="349">
        <f>SUM(AG31:AG32)</f>
        <v>736203</v>
      </c>
      <c r="AH33" s="350">
        <f>AG33/AF17</f>
        <v>4.60023369741808</v>
      </c>
      <c r="AI33" s="300"/>
      <c r="AJ33" s="318"/>
      <c r="AK33" s="349">
        <f>SUM(AK31:AK32)</f>
        <v>739259</v>
      </c>
      <c r="AL33" s="350">
        <f>AK33/AJ17</f>
        <v>5.91180186808266</v>
      </c>
      <c r="AM33" s="300"/>
      <c r="AN33" s="318"/>
      <c r="AO33" s="349">
        <f>SUM(AO31:AO32)</f>
        <v>505104</v>
      </c>
      <c r="AP33" s="424">
        <f>AO33/AN17</f>
        <v>3.10888712447144</v>
      </c>
      <c r="AQ33" s="300"/>
      <c r="AR33" s="318"/>
      <c r="AS33" s="349">
        <f>SUM(AS31:AS32)</f>
        <v>829611</v>
      </c>
      <c r="AT33" s="424">
        <f>AS33/AR17</f>
        <v>4.81539675998212</v>
      </c>
      <c r="AU33" s="300"/>
      <c r="AV33" s="318"/>
      <c r="AW33" s="349">
        <f>SUM(AW31:AW32)</f>
        <v>765574</v>
      </c>
      <c r="AX33" s="424">
        <f>AW33/AV17</f>
        <v>3.91437774823602</v>
      </c>
      <c r="AY33" s="300">
        <f t="shared" si="26"/>
        <v>0.0433767774440395</v>
      </c>
      <c r="AZ33" s="318"/>
      <c r="BA33" s="349">
        <f>SUM(BA30:BA32)</f>
        <v>17996228</v>
      </c>
      <c r="BB33" s="350">
        <f>BA33/AZ17</f>
        <v>8.98630509647272</v>
      </c>
      <c r="BC33" s="521">
        <f>SUM(BC30:BC32)</f>
        <v>0.0433767774440395</v>
      </c>
      <c r="BD33" s="522"/>
      <c r="BE33" s="542"/>
    </row>
    <row r="34" ht="16.5" spans="2:57">
      <c r="B34" s="302" t="s">
        <v>442</v>
      </c>
      <c r="C34" s="303">
        <f>E34/E17</f>
        <v>0.0434895373098481</v>
      </c>
      <c r="D34" s="304"/>
      <c r="E34" s="356">
        <f>E24-(E29+E33)</f>
        <v>1337930</v>
      </c>
      <c r="F34" s="357">
        <f>E34/D17</f>
        <v>7.77689942396782</v>
      </c>
      <c r="G34" s="303">
        <f>I34/I17</f>
        <v>-0.133603406788281</v>
      </c>
      <c r="H34" s="358"/>
      <c r="I34" s="356">
        <f>I24-(I29+I33)</f>
        <v>-5083002</v>
      </c>
      <c r="J34" s="407">
        <f>I34/H17</f>
        <v>-31.5393139907175</v>
      </c>
      <c r="K34" s="303">
        <f>M34/M17</f>
        <v>-0.0155766391722243</v>
      </c>
      <c r="L34" s="408"/>
      <c r="M34" s="356">
        <f>M24-(M29+M33)</f>
        <v>-604441</v>
      </c>
      <c r="N34" s="357">
        <f>M34/L17</f>
        <v>-3.34827695085945</v>
      </c>
      <c r="O34" s="303">
        <f>Q34/Q17</f>
        <v>-0.0612633122407024</v>
      </c>
      <c r="P34" s="408"/>
      <c r="Q34" s="356">
        <f>Q24-(Q29+Q33)</f>
        <v>-2243069</v>
      </c>
      <c r="R34" s="357">
        <f>Q34/P17</f>
        <v>-12.645700143197</v>
      </c>
      <c r="S34" s="303">
        <f>U34/U17</f>
        <v>0.47107755381186</v>
      </c>
      <c r="T34" s="408"/>
      <c r="U34" s="356">
        <f>U24-(U29+U33)</f>
        <v>16744845</v>
      </c>
      <c r="V34" s="458">
        <f>U34/T17</f>
        <v>95.2521118348076</v>
      </c>
      <c r="W34" s="303">
        <f>Y34/Y17</f>
        <v>0.0162778689242071</v>
      </c>
      <c r="X34" s="408"/>
      <c r="Y34" s="356">
        <f>Y24-(Y29+Y33)</f>
        <v>466210</v>
      </c>
      <c r="Z34" s="407">
        <f>Y34/X17</f>
        <v>3.50202064209846</v>
      </c>
      <c r="AA34" s="303">
        <f>AC34/AC17</f>
        <v>-0.00908594833931764</v>
      </c>
      <c r="AB34" s="408"/>
      <c r="AC34" s="356">
        <f>AC24-(AC29+AC33)</f>
        <v>-249193</v>
      </c>
      <c r="AD34" s="464">
        <f>AC34/AB17</f>
        <v>-1.98732763914476</v>
      </c>
      <c r="AE34" s="303"/>
      <c r="AF34" s="465"/>
      <c r="AG34" s="356">
        <f>AG24-(AG29+AG33)</f>
        <v>813367</v>
      </c>
      <c r="AH34" s="357">
        <f>AG34/AF17</f>
        <v>5.08240020995276</v>
      </c>
      <c r="AI34" s="303"/>
      <c r="AJ34" s="408"/>
      <c r="AK34" s="356">
        <f>AK24-(AK29+AK33)</f>
        <v>-588728</v>
      </c>
      <c r="AL34" s="357">
        <f>AK34/AJ17</f>
        <v>-4.70801612180923</v>
      </c>
      <c r="AM34" s="303">
        <f>AO34/AO17</f>
        <v>0.27138182935969</v>
      </c>
      <c r="AN34" s="408"/>
      <c r="AO34" s="480">
        <f>AO24-(AO29+AO33)</f>
        <v>9390036</v>
      </c>
      <c r="AP34" s="481">
        <f>AO34/AN17</f>
        <v>57.795151134664</v>
      </c>
      <c r="AQ34" s="303">
        <f>AS34/AS17</f>
        <v>0.201264169944374</v>
      </c>
      <c r="AR34" s="408"/>
      <c r="AS34" s="480">
        <f>AS24-(AS29+AS33)</f>
        <v>7589887</v>
      </c>
      <c r="AT34" s="481">
        <f>AS34/AR17</f>
        <v>44.0547645443834</v>
      </c>
      <c r="AU34" s="483"/>
      <c r="AV34" s="408"/>
      <c r="AW34" s="497">
        <f>AW24-(AW29+AW33)</f>
        <v>12267793</v>
      </c>
      <c r="AX34" s="481">
        <f>AW34/AV17</f>
        <v>62.7251917373965</v>
      </c>
      <c r="AY34" s="303">
        <f>BA34/BA17</f>
        <v>0.068903186209304</v>
      </c>
      <c r="AZ34" s="498"/>
      <c r="BA34" s="523">
        <f>ROUND(((BA24-(BA29+BA33))),0)</f>
        <v>28586666</v>
      </c>
      <c r="BB34" s="524">
        <f>BA34/AZ17</f>
        <v>14.2745747812799</v>
      </c>
      <c r="BC34" s="525">
        <f>BA34/BA17</f>
        <v>0.068903186209304</v>
      </c>
      <c r="BD34" s="518"/>
      <c r="BE34" s="518"/>
    </row>
    <row r="35" ht="15.75" spans="2:62">
      <c r="B35" s="305" t="s">
        <v>387</v>
      </c>
      <c r="C35" s="306">
        <f t="shared" si="23"/>
        <v>0.00406313645985291</v>
      </c>
      <c r="D35" s="307"/>
      <c r="E35" s="359">
        <f>'PAL I'!D24</f>
        <v>125000</v>
      </c>
      <c r="F35" s="360">
        <f>E35/D17</f>
        <v>0.726579438383157</v>
      </c>
      <c r="G35" s="306"/>
      <c r="H35" s="307"/>
      <c r="I35" s="359">
        <f>'PAL I'!G24</f>
        <v>125000</v>
      </c>
      <c r="J35" s="360">
        <f>I35/H17</f>
        <v>0.775607455759351</v>
      </c>
      <c r="K35" s="409"/>
      <c r="L35" s="410"/>
      <c r="M35" s="359">
        <f>'PAL I'!J24</f>
        <v>125000</v>
      </c>
      <c r="N35" s="360">
        <f>M35/L17</f>
        <v>0.692432543221639</v>
      </c>
      <c r="O35" s="409"/>
      <c r="P35" s="437"/>
      <c r="Q35" s="359">
        <f>'PAL I'!M24</f>
        <v>125000</v>
      </c>
      <c r="R35" s="360">
        <f>Q35/P17</f>
        <v>0.704709715973796</v>
      </c>
      <c r="S35" s="409"/>
      <c r="T35" s="437"/>
      <c r="U35" s="359">
        <f>'PAL I'!P24</f>
        <v>125000</v>
      </c>
      <c r="V35" s="360">
        <f>U35/T17</f>
        <v>0.7110554907705</v>
      </c>
      <c r="W35" s="409"/>
      <c r="X35" s="437"/>
      <c r="Y35" s="359">
        <f>'PAL I'!S24</f>
        <v>125000</v>
      </c>
      <c r="Z35" s="360">
        <f>Y35/X17</f>
        <v>0.938960082928954</v>
      </c>
      <c r="AA35" s="409"/>
      <c r="AB35" s="437"/>
      <c r="AC35" s="359">
        <f>'PAL I'!V24</f>
        <v>125000</v>
      </c>
      <c r="AD35" s="466"/>
      <c r="AE35" s="409"/>
      <c r="AF35" s="437"/>
      <c r="AG35" s="359">
        <f>'PAL I'!Y24</f>
        <v>125000</v>
      </c>
      <c r="AH35" s="466"/>
      <c r="AI35" s="409"/>
      <c r="AJ35" s="437"/>
      <c r="AK35" s="359">
        <f>'PAL I'!AB24</f>
        <v>125000</v>
      </c>
      <c r="AL35" s="466"/>
      <c r="AM35" s="409"/>
      <c r="AN35" s="437"/>
      <c r="AO35" s="359">
        <f>'PAL I'!AE24</f>
        <v>125000</v>
      </c>
      <c r="AP35" s="466"/>
      <c r="AQ35" s="409"/>
      <c r="AR35" s="437"/>
      <c r="AS35" s="359">
        <f>'PAL I'!AH24</f>
        <v>125000</v>
      </c>
      <c r="AT35" s="360"/>
      <c r="AU35" s="409"/>
      <c r="AV35" s="437"/>
      <c r="AW35" s="359">
        <f>'PAL I'!AK24</f>
        <v>125000</v>
      </c>
      <c r="AX35" s="360"/>
      <c r="AY35" s="409">
        <f t="shared" si="26"/>
        <v>0.00361548909949681</v>
      </c>
      <c r="AZ35" s="437"/>
      <c r="BA35" s="359">
        <f>'PAL I'!AN24</f>
        <v>1500000</v>
      </c>
      <c r="BB35" s="360">
        <f>IF(BA35=0,0,BA35/AZ17)</f>
        <v>0.749015718444392</v>
      </c>
      <c r="BC35" s="526">
        <f>BA35/BA17</f>
        <v>0.00361548909949681</v>
      </c>
      <c r="BD35" s="527"/>
      <c r="BE35" s="527"/>
      <c r="BI35" s="229" t="s">
        <v>219</v>
      </c>
      <c r="BJ35" s="368">
        <f>BA35</f>
        <v>1500000</v>
      </c>
    </row>
    <row r="36" ht="15.75" spans="2:62">
      <c r="B36" s="267" t="s">
        <v>311</v>
      </c>
      <c r="C36" s="285">
        <f t="shared" si="23"/>
        <v>0.0277112407580304</v>
      </c>
      <c r="D36" s="268"/>
      <c r="E36" s="332">
        <f>'Indirect Expns'!B70</f>
        <v>852520</v>
      </c>
      <c r="F36" s="342">
        <f>E36/D17</f>
        <v>4.95538802248327</v>
      </c>
      <c r="G36" s="285"/>
      <c r="H36" s="268"/>
      <c r="I36" s="332">
        <f>'Indirect Expns'!C70</f>
        <v>196340</v>
      </c>
      <c r="J36" s="342">
        <f>I36/H17</f>
        <v>1.21826214291033</v>
      </c>
      <c r="K36" s="404"/>
      <c r="L36" s="391"/>
      <c r="M36" s="332">
        <f>'Indirect Expns'!D70</f>
        <v>750305</v>
      </c>
      <c r="N36" s="342">
        <f>M36/L17</f>
        <v>4.1562847947353</v>
      </c>
      <c r="O36" s="404"/>
      <c r="P36" s="438"/>
      <c r="Q36" s="332">
        <f>'Indirect Expns'!E70</f>
        <v>533333</v>
      </c>
      <c r="R36" s="342">
        <f>Q36/P17</f>
        <v>3.00675957559562</v>
      </c>
      <c r="S36" s="404"/>
      <c r="T36" s="438"/>
      <c r="U36" s="332">
        <f>'Indirect Expns'!F70</f>
        <v>630262</v>
      </c>
      <c r="V36" s="342">
        <f>U36/T17</f>
        <v>3.58521004579197</v>
      </c>
      <c r="W36" s="404"/>
      <c r="X36" s="438"/>
      <c r="Y36" s="332">
        <f>'Indirect Expns'!G70</f>
        <v>473587</v>
      </c>
      <c r="Z36" s="342">
        <f>Y36/X17</f>
        <v>3.5574343103526</v>
      </c>
      <c r="AA36" s="404"/>
      <c r="AB36" s="438"/>
      <c r="AC36" s="332">
        <f>'Indirect Expns'!H70</f>
        <v>657422</v>
      </c>
      <c r="AD36" s="342">
        <f>AC36/AB17</f>
        <v>5.2429759711622</v>
      </c>
      <c r="AE36" s="404"/>
      <c r="AF36" s="438"/>
      <c r="AG36" s="332">
        <f>'Indirect Expns'!I70</f>
        <v>619266</v>
      </c>
      <c r="AH36" s="341"/>
      <c r="AI36" s="404"/>
      <c r="AJ36" s="438"/>
      <c r="AK36" s="332">
        <f>'Indirect Expns'!J70</f>
        <v>484938</v>
      </c>
      <c r="AL36" s="341"/>
      <c r="AM36" s="404"/>
      <c r="AN36" s="438"/>
      <c r="AO36" s="332">
        <f>'Indirect Expns'!K70</f>
        <v>717133</v>
      </c>
      <c r="AP36" s="341"/>
      <c r="AQ36" s="404"/>
      <c r="AR36" s="438"/>
      <c r="AS36" s="332">
        <f>'Indirect Expns'!L70</f>
        <v>911934</v>
      </c>
      <c r="AT36" s="342"/>
      <c r="AU36" s="404"/>
      <c r="AV36" s="438"/>
      <c r="AW36" s="332">
        <f>'Indirect Expns'!M70</f>
        <v>333564</v>
      </c>
      <c r="AX36" s="342"/>
      <c r="AY36" s="404">
        <f t="shared" si="26"/>
        <v>0.0172593904718755</v>
      </c>
      <c r="AZ36" s="438"/>
      <c r="BA36" s="332">
        <f>ROUND((SUM(E36,I36,M36,Q36,U36,Y36,AC36,AG36,AK36,AO36,AS36,AW36)),0)</f>
        <v>7160604</v>
      </c>
      <c r="BB36" s="342">
        <f>BA36/AZ17</f>
        <v>3.57560329970386</v>
      </c>
      <c r="BC36" s="517">
        <f>BA36/$BA$17</f>
        <v>0.0172593904718755</v>
      </c>
      <c r="BD36" s="518"/>
      <c r="BE36" s="518"/>
      <c r="BI36" s="229" t="s">
        <v>891</v>
      </c>
      <c r="BJ36" s="368">
        <f>BA38</f>
        <v>0</v>
      </c>
    </row>
    <row r="37" ht="15.75" spans="2:78">
      <c r="B37" s="267" t="s">
        <v>312</v>
      </c>
      <c r="C37" s="285">
        <f t="shared" si="23"/>
        <v>0</v>
      </c>
      <c r="D37" s="268"/>
      <c r="E37" s="332">
        <f>'Indirect Expns'!B71</f>
        <v>0</v>
      </c>
      <c r="F37" s="342">
        <f>E37/D17</f>
        <v>0</v>
      </c>
      <c r="G37" s="285"/>
      <c r="H37" s="268"/>
      <c r="I37" s="332">
        <f>'Indirect Expns'!C71</f>
        <v>0</v>
      </c>
      <c r="J37" s="342">
        <f>I37/H17</f>
        <v>0</v>
      </c>
      <c r="K37" s="404"/>
      <c r="L37" s="391"/>
      <c r="M37" s="332">
        <f>'Indirect Expns'!D71</f>
        <v>0</v>
      </c>
      <c r="N37" s="342">
        <f>M37/L17</f>
        <v>0</v>
      </c>
      <c r="O37" s="404"/>
      <c r="P37" s="438"/>
      <c r="Q37" s="332">
        <f>'Indirect Expns'!E71</f>
        <v>0</v>
      </c>
      <c r="R37" s="342">
        <f>Q37/P17</f>
        <v>0</v>
      </c>
      <c r="S37" s="404"/>
      <c r="T37" s="438"/>
      <c r="U37" s="332">
        <f>'Indirect Expns'!F71</f>
        <v>0</v>
      </c>
      <c r="V37" s="342">
        <f>U37/T17</f>
        <v>0</v>
      </c>
      <c r="W37" s="404"/>
      <c r="X37" s="438"/>
      <c r="Y37" s="332"/>
      <c r="Z37" s="342">
        <f>Y37/X17</f>
        <v>0</v>
      </c>
      <c r="AA37" s="404"/>
      <c r="AB37" s="438"/>
      <c r="AC37" s="332">
        <f>'Indirect Expns'!H71</f>
        <v>0</v>
      </c>
      <c r="AD37" s="342">
        <f>AC37/AB17</f>
        <v>0</v>
      </c>
      <c r="AE37" s="404"/>
      <c r="AF37" s="438"/>
      <c r="AG37" s="332"/>
      <c r="AH37" s="341"/>
      <c r="AI37" s="404"/>
      <c r="AJ37" s="438"/>
      <c r="AK37" s="332">
        <f>'Indirect Expns'!J71</f>
        <v>0</v>
      </c>
      <c r="AL37" s="341"/>
      <c r="AM37" s="404"/>
      <c r="AN37" s="438"/>
      <c r="AO37" s="332"/>
      <c r="AP37" s="341"/>
      <c r="AQ37" s="404"/>
      <c r="AR37" s="438"/>
      <c r="AS37" s="332">
        <f>'Indirect Expns'!L71</f>
        <v>0</v>
      </c>
      <c r="AT37" s="342"/>
      <c r="AU37" s="404"/>
      <c r="AV37" s="438"/>
      <c r="AW37" s="332">
        <f>'Indirect Expns'!M71</f>
        <v>0</v>
      </c>
      <c r="AX37" s="342"/>
      <c r="AY37" s="404">
        <f t="shared" si="26"/>
        <v>0</v>
      </c>
      <c r="AZ37" s="438"/>
      <c r="BA37" s="332">
        <f>ROUND((SUM(E37,I37,M37,Q37,U37,Y37,AC37,AG37,AK37,AO37,AS37,AW37)),0)</f>
        <v>0</v>
      </c>
      <c r="BB37" s="342">
        <f>BA37/AZ17</f>
        <v>0</v>
      </c>
      <c r="BC37" s="517">
        <f>BA37/$BA$17</f>
        <v>0</v>
      </c>
      <c r="BD37" s="518"/>
      <c r="BE37" s="518"/>
      <c r="BJ37" s="368">
        <f>SUM(BJ35:BJ36)</f>
        <v>1500000</v>
      </c>
      <c r="BY37" s="622"/>
      <c r="BZ37" s="623"/>
    </row>
    <row r="38" ht="15.75" spans="2:62">
      <c r="B38" s="265" t="s">
        <v>892</v>
      </c>
      <c r="C38" s="285">
        <f t="shared" si="23"/>
        <v>0</v>
      </c>
      <c r="D38" s="266" t="s">
        <v>116</v>
      </c>
      <c r="E38" s="333">
        <f>'Indirect Expns'!B72</f>
        <v>0</v>
      </c>
      <c r="F38" s="342">
        <f>E38/D17</f>
        <v>0</v>
      </c>
      <c r="G38" s="285"/>
      <c r="H38" s="266"/>
      <c r="I38" s="332">
        <f>'Indirect Expns'!C72</f>
        <v>0</v>
      </c>
      <c r="J38" s="342">
        <f>I38/H17</f>
        <v>0</v>
      </c>
      <c r="K38" s="404"/>
      <c r="L38" s="411"/>
      <c r="M38" s="332">
        <f>'Indirect Expns'!D72</f>
        <v>0</v>
      </c>
      <c r="N38" s="342">
        <f>M38/L17</f>
        <v>0</v>
      </c>
      <c r="O38" s="404"/>
      <c r="P38" s="382"/>
      <c r="Q38" s="332">
        <f>'Indirect Expns'!E72</f>
        <v>0</v>
      </c>
      <c r="R38" s="342">
        <f>Q38/P17</f>
        <v>0</v>
      </c>
      <c r="S38" s="404"/>
      <c r="T38" s="382"/>
      <c r="U38" s="332">
        <f>'Indirect Expns'!F72</f>
        <v>0</v>
      </c>
      <c r="V38" s="342">
        <f>U38/T17</f>
        <v>0</v>
      </c>
      <c r="W38" s="404"/>
      <c r="X38" s="382"/>
      <c r="Y38" s="333">
        <f>'Indirect Expns'!G72</f>
        <v>0</v>
      </c>
      <c r="Z38" s="342">
        <f>Y38/X17</f>
        <v>0</v>
      </c>
      <c r="AA38" s="404"/>
      <c r="AB38" s="382"/>
      <c r="AC38" s="332">
        <f>'Indirect Expns'!H72</f>
        <v>0</v>
      </c>
      <c r="AD38" s="342">
        <f>AC38/AB17</f>
        <v>0</v>
      </c>
      <c r="AE38" s="404"/>
      <c r="AF38" s="382"/>
      <c r="AG38" s="332">
        <f>'Indirect Expns'!I72</f>
        <v>0</v>
      </c>
      <c r="AH38" s="341"/>
      <c r="AI38" s="404"/>
      <c r="AJ38" s="382"/>
      <c r="AK38" s="332">
        <f>'Indirect Expns'!J72</f>
        <v>0</v>
      </c>
      <c r="AL38" s="341"/>
      <c r="AM38" s="404"/>
      <c r="AN38" s="382"/>
      <c r="AO38" s="332">
        <f>'Indirect Expns'!K72</f>
        <v>0</v>
      </c>
      <c r="AP38" s="341"/>
      <c r="AQ38" s="404"/>
      <c r="AR38" s="382"/>
      <c r="AS38" s="332">
        <f>'Indirect Expns'!L72</f>
        <v>0</v>
      </c>
      <c r="AT38" s="342"/>
      <c r="AU38" s="404"/>
      <c r="AV38" s="382"/>
      <c r="AW38" s="332">
        <f>'Indirect Expns'!M72</f>
        <v>0</v>
      </c>
      <c r="AX38" s="342"/>
      <c r="AY38" s="404">
        <f t="shared" si="26"/>
        <v>0</v>
      </c>
      <c r="AZ38" s="382"/>
      <c r="BA38" s="332">
        <f>ROUND((SUM(E38,I38,M38,Q38,U38,Y38,AC38,AG38,AK38,AO38,AS38,AW38)),0)</f>
        <v>0</v>
      </c>
      <c r="BB38" s="342">
        <f>BA38/AZ17</f>
        <v>0</v>
      </c>
      <c r="BC38" s="517">
        <f>BA38/$BA$17</f>
        <v>0</v>
      </c>
      <c r="BD38" s="518"/>
      <c r="BE38" s="518"/>
      <c r="BG38" s="368">
        <f>BA38/9</f>
        <v>0</v>
      </c>
      <c r="BI38" s="229" t="s">
        <v>893</v>
      </c>
      <c r="BJ38" s="323">
        <f>BA44</f>
        <v>17268858</v>
      </c>
    </row>
    <row r="39" ht="16.5" spans="2:63">
      <c r="B39" s="308" t="s">
        <v>314</v>
      </c>
      <c r="C39" s="298">
        <f t="shared" si="23"/>
        <v>0.00316381808837491</v>
      </c>
      <c r="D39" s="309"/>
      <c r="E39" s="353">
        <f>'Indirect Expns'!B73</f>
        <v>97333</v>
      </c>
      <c r="F39" s="361">
        <f>E39/D17</f>
        <v>0.565761251809183</v>
      </c>
      <c r="G39" s="298"/>
      <c r="H39" s="309"/>
      <c r="I39" s="353">
        <f>'Indirect Expns'!C73</f>
        <v>97333</v>
      </c>
      <c r="J39" s="361">
        <f>I39/H17</f>
        <v>0.603937603931399</v>
      </c>
      <c r="K39" s="405"/>
      <c r="L39" s="412"/>
      <c r="M39" s="353">
        <f>'Indirect Expns'!D73</f>
        <v>454333</v>
      </c>
      <c r="N39" s="361">
        <f>M39/L17</f>
        <v>2.51675963727614</v>
      </c>
      <c r="O39" s="405"/>
      <c r="P39" s="406"/>
      <c r="Q39" s="353">
        <f>'Indirect Expns'!E73</f>
        <v>108503</v>
      </c>
      <c r="R39" s="361">
        <f>Q39/P17</f>
        <v>0.611704946498438</v>
      </c>
      <c r="S39" s="405"/>
      <c r="T39" s="406"/>
      <c r="U39" s="353">
        <f>'Indirect Expns'!F73</f>
        <v>111525</v>
      </c>
      <c r="V39" s="361">
        <f>U39/T17</f>
        <v>0.63440370886544</v>
      </c>
      <c r="W39" s="405"/>
      <c r="X39" s="406"/>
      <c r="Y39" s="353">
        <f>'Indirect Expns'!G73</f>
        <v>466171</v>
      </c>
      <c r="Z39" s="361">
        <f>Y39/X17</f>
        <v>3.50172768655259</v>
      </c>
      <c r="AA39" s="405"/>
      <c r="AB39" s="406"/>
      <c r="AC39" s="353">
        <f>'Indirect Expns'!H73</f>
        <v>107099</v>
      </c>
      <c r="AD39" s="361">
        <f>AC39/AB17</f>
        <v>0.854120311665111</v>
      </c>
      <c r="AE39" s="405"/>
      <c r="AF39" s="406"/>
      <c r="AG39" s="353">
        <f>'Indirect Expns'!I73</f>
        <v>106346</v>
      </c>
      <c r="AH39" s="472"/>
      <c r="AI39" s="405"/>
      <c r="AJ39" s="406"/>
      <c r="AK39" s="353">
        <f>'Indirect Expns'!J73</f>
        <v>459169</v>
      </c>
      <c r="AL39" s="472"/>
      <c r="AM39" s="405"/>
      <c r="AN39" s="406"/>
      <c r="AO39" s="353">
        <f>'Indirect Expns'!K73</f>
        <v>100445</v>
      </c>
      <c r="AP39" s="472"/>
      <c r="AQ39" s="405"/>
      <c r="AR39" s="406"/>
      <c r="AS39" s="353">
        <f>'Indirect Expns'!L73</f>
        <v>98280</v>
      </c>
      <c r="AT39" s="361"/>
      <c r="AU39" s="405"/>
      <c r="AV39" s="406"/>
      <c r="AW39" s="353">
        <f>'Indirect Expns'!M73</f>
        <v>450667</v>
      </c>
      <c r="AX39" s="361"/>
      <c r="AY39" s="405">
        <f t="shared" si="26"/>
        <v>0.00640472806475954</v>
      </c>
      <c r="AZ39" s="406"/>
      <c r="BA39" s="353">
        <f>ROUND((SUM(E39,I39,M39,Q39,U39,Y39,AC39,AG39,AK39,AO39,AS39,AW39)),0)</f>
        <v>2657204</v>
      </c>
      <c r="BB39" s="361">
        <f>BA39/AZ17</f>
        <v>1.32685837540888</v>
      </c>
      <c r="BC39" s="517">
        <f>BA39/$BA$17</f>
        <v>0.00640472806475954</v>
      </c>
      <c r="BD39" s="368">
        <f>BA40+BA33</f>
        <v>27814036</v>
      </c>
      <c r="BE39" s="518"/>
      <c r="BI39" s="229" t="s">
        <v>894</v>
      </c>
      <c r="BJ39" s="368">
        <f>SUM(BJ37:BJ38)</f>
        <v>18768858</v>
      </c>
      <c r="BK39" s="540">
        <f>BJ39/BA17</f>
        <v>0.045239067672669</v>
      </c>
    </row>
    <row r="40" ht="16.5" spans="2:61">
      <c r="B40" s="310" t="s">
        <v>315</v>
      </c>
      <c r="C40" s="294">
        <f t="shared" si="23"/>
        <v>0.0308750588464053</v>
      </c>
      <c r="D40" s="311"/>
      <c r="E40" s="362">
        <f>SUM(E36:E39)</f>
        <v>949853</v>
      </c>
      <c r="F40" s="363">
        <f>E40/D17</f>
        <v>5.52114927429246</v>
      </c>
      <c r="G40" s="294"/>
      <c r="H40" s="311"/>
      <c r="I40" s="362">
        <f>SUM(I36:I39)</f>
        <v>293673</v>
      </c>
      <c r="J40" s="363">
        <f>I40/H17</f>
        <v>1.82219974684173</v>
      </c>
      <c r="K40" s="402"/>
      <c r="L40" s="413"/>
      <c r="M40" s="362">
        <f>SUM(M36:M39)</f>
        <v>1204638</v>
      </c>
      <c r="N40" s="363">
        <f>M40/L17</f>
        <v>6.67304443201143</v>
      </c>
      <c r="O40" s="402"/>
      <c r="P40" s="439"/>
      <c r="Q40" s="362">
        <f>SUM(Q36:Q39)</f>
        <v>641836</v>
      </c>
      <c r="R40" s="363">
        <f>Q40/P17</f>
        <v>3.61846452209406</v>
      </c>
      <c r="S40" s="402"/>
      <c r="T40" s="439"/>
      <c r="U40" s="362">
        <f>SUM(U36:U39)</f>
        <v>741787</v>
      </c>
      <c r="V40" s="363">
        <f>U40/T17</f>
        <v>4.21961375465741</v>
      </c>
      <c r="W40" s="402"/>
      <c r="X40" s="439"/>
      <c r="Y40" s="362">
        <f>SUM(Y36:Y39)</f>
        <v>939758</v>
      </c>
      <c r="Z40" s="363">
        <f>Y40/X17</f>
        <v>7.05916199690519</v>
      </c>
      <c r="AA40" s="402"/>
      <c r="AB40" s="439"/>
      <c r="AC40" s="362">
        <f>SUM(AC36:AC39)</f>
        <v>764521</v>
      </c>
      <c r="AD40" s="363">
        <f>AC40/AB17</f>
        <v>6.09709628282732</v>
      </c>
      <c r="AE40" s="402"/>
      <c r="AF40" s="439"/>
      <c r="AG40" s="362">
        <f>SUM(AG36:AG39)</f>
        <v>725612</v>
      </c>
      <c r="AH40" s="363">
        <f>AG40/AF17</f>
        <v>4.53405483766153</v>
      </c>
      <c r="AI40" s="402"/>
      <c r="AJ40" s="439"/>
      <c r="AK40" s="362">
        <f>SUM(AK36:AK39)</f>
        <v>944107</v>
      </c>
      <c r="AL40" s="363">
        <f>AK40/AJ17</f>
        <v>7.54995681658243</v>
      </c>
      <c r="AM40" s="402"/>
      <c r="AN40" s="439"/>
      <c r="AO40" s="362">
        <f>SUM(AO36:AO39)</f>
        <v>817578</v>
      </c>
      <c r="AP40" s="363">
        <f>AO40/AN17</f>
        <v>5.03214727551378</v>
      </c>
      <c r="AQ40" s="402"/>
      <c r="AR40" s="439"/>
      <c r="AS40" s="362">
        <f>SUM(AS36:AS39)</f>
        <v>1010214</v>
      </c>
      <c r="AT40" s="363">
        <f>AS40/AR17</f>
        <v>5.86368939477488</v>
      </c>
      <c r="AU40" s="402"/>
      <c r="AV40" s="439"/>
      <c r="AW40" s="362">
        <f>SUM(AW36:AW39)</f>
        <v>784231</v>
      </c>
      <c r="AX40" s="363">
        <f>AW40/AV17</f>
        <v>4.00977093772369</v>
      </c>
      <c r="AY40" s="402">
        <f t="shared" si="26"/>
        <v>0.023664118536635</v>
      </c>
      <c r="AZ40" s="439"/>
      <c r="BA40" s="362">
        <f>SUM(BA36:BA39)</f>
        <v>9817808</v>
      </c>
      <c r="BB40" s="363">
        <f>BA40/AZ17</f>
        <v>4.90246167511273</v>
      </c>
      <c r="BC40" s="521">
        <f>BA40/BA17</f>
        <v>0.023664118536635</v>
      </c>
      <c r="BD40" s="368">
        <f>BA35+BA40</f>
        <v>11317808</v>
      </c>
      <c r="BE40" s="229">
        <v>6</v>
      </c>
      <c r="BI40" s="368">
        <f>BJ39/AZ17</f>
        <v>9.37211310616719</v>
      </c>
    </row>
    <row r="41" ht="16.5" spans="2:57">
      <c r="B41" s="312" t="s">
        <v>895</v>
      </c>
      <c r="C41" s="313">
        <f t="shared" si="23"/>
        <v>0.0349381953062583</v>
      </c>
      <c r="D41" s="314"/>
      <c r="E41" s="364">
        <f>E35+E40</f>
        <v>1074853</v>
      </c>
      <c r="F41" s="365">
        <f>E41/(D17)</f>
        <v>6.24772871267561</v>
      </c>
      <c r="G41" s="313"/>
      <c r="H41" s="314"/>
      <c r="I41" s="364">
        <f>I35+I40</f>
        <v>418673</v>
      </c>
      <c r="J41" s="365">
        <f>I41/(H17)</f>
        <v>2.59780720260108</v>
      </c>
      <c r="K41" s="414"/>
      <c r="L41" s="415"/>
      <c r="M41" s="364">
        <f>M35+M40</f>
        <v>1329638</v>
      </c>
      <c r="N41" s="365">
        <f>M41/(L17)</f>
        <v>7.36547697523307</v>
      </c>
      <c r="O41" s="414"/>
      <c r="P41" s="440"/>
      <c r="Q41" s="364">
        <f>Q35+Q40</f>
        <v>766836</v>
      </c>
      <c r="R41" s="365">
        <f>Q41/(P17)</f>
        <v>4.32317423806786</v>
      </c>
      <c r="S41" s="414"/>
      <c r="T41" s="440"/>
      <c r="U41" s="364">
        <f>U35+U40</f>
        <v>866787</v>
      </c>
      <c r="V41" s="365">
        <f>U41/(T17)</f>
        <v>4.93066924542791</v>
      </c>
      <c r="W41" s="414"/>
      <c r="X41" s="440"/>
      <c r="Y41" s="364">
        <f>Y35+Y40</f>
        <v>1064758</v>
      </c>
      <c r="Z41" s="365">
        <f>Y41/(X17)</f>
        <v>7.99812207983414</v>
      </c>
      <c r="AA41" s="414"/>
      <c r="AB41" s="440"/>
      <c r="AC41" s="364">
        <f>AC35+AC40</f>
        <v>889521</v>
      </c>
      <c r="AD41" s="365">
        <f>AC41/(AB17)</f>
        <v>7.0939780367012</v>
      </c>
      <c r="AE41" s="414"/>
      <c r="AF41" s="440"/>
      <c r="AG41" s="364">
        <f>AG35+AG40</f>
        <v>850612</v>
      </c>
      <c r="AH41" s="365">
        <f>AG41/(AF17)</f>
        <v>5.31512909595341</v>
      </c>
      <c r="AI41" s="414"/>
      <c r="AJ41" s="440"/>
      <c r="AK41" s="364">
        <f>AK35+AK40</f>
        <v>1069107</v>
      </c>
      <c r="AL41" s="365">
        <f>AK41/(AJ17)</f>
        <v>8.54957296398183</v>
      </c>
      <c r="AM41" s="414"/>
      <c r="AN41" s="440"/>
      <c r="AO41" s="364">
        <f>AO35+AO40</f>
        <v>942578</v>
      </c>
      <c r="AP41" s="365">
        <f>AO41/(AN17)</f>
        <v>5.8015153473543</v>
      </c>
      <c r="AQ41" s="414"/>
      <c r="AR41" s="440"/>
      <c r="AS41" s="364">
        <f>AS35+AS40</f>
        <v>1135214</v>
      </c>
      <c r="AT41" s="365">
        <f>AS41/(AR17)</f>
        <v>6.58923979731024</v>
      </c>
      <c r="AU41" s="414"/>
      <c r="AV41" s="440"/>
      <c r="AW41" s="364">
        <f>AW35+AW40</f>
        <v>909231</v>
      </c>
      <c r="AX41" s="365">
        <f>AW41/(AV17)</f>
        <v>4.64889559259638</v>
      </c>
      <c r="AY41" s="414">
        <f t="shared" si="26"/>
        <v>0.0272796076361318</v>
      </c>
      <c r="AZ41" s="440"/>
      <c r="BA41" s="364">
        <f>BA35+BA40</f>
        <v>11317808</v>
      </c>
      <c r="BB41" s="365">
        <f>BA41/(AZ17)</f>
        <v>5.65147739355713</v>
      </c>
      <c r="BC41" s="504">
        <f>BA41/$BA$17</f>
        <v>0.0272796076361318</v>
      </c>
      <c r="BD41" s="374">
        <f>ROUND(((BA35+BA40)/BE40),0)</f>
        <v>1886301</v>
      </c>
      <c r="BE41" s="518"/>
    </row>
    <row r="42" ht="16.5" spans="2:57">
      <c r="B42" s="315" t="s">
        <v>224</v>
      </c>
      <c r="C42" s="316">
        <f>E42/E17</f>
        <v>0.415151357846571</v>
      </c>
      <c r="D42" s="317">
        <f>D25+D41</f>
        <v>0</v>
      </c>
      <c r="E42" s="366">
        <f>SUM(E29,E33,E41)</f>
        <v>12771887</v>
      </c>
      <c r="F42" s="367">
        <f>E42/(D17)</f>
        <v>74.2383238684252</v>
      </c>
      <c r="G42" s="316">
        <f>I42/I17</f>
        <v>0.330661520330998</v>
      </c>
      <c r="H42" s="317">
        <f>H25+H41</f>
        <v>0</v>
      </c>
      <c r="I42" s="366">
        <f>SUM(I29,I33,I41)</f>
        <v>12580167</v>
      </c>
      <c r="J42" s="367">
        <f>I42/(H17)</f>
        <v>78.0581705591819</v>
      </c>
      <c r="K42" s="416">
        <f>M42/M17</f>
        <v>0.34146029642519</v>
      </c>
      <c r="L42" s="417"/>
      <c r="M42" s="366">
        <f>SUM(M29,M33,M41)</f>
        <v>13250137</v>
      </c>
      <c r="N42" s="367">
        <f>M42/(L17)</f>
        <v>73.3986084875611</v>
      </c>
      <c r="O42" s="416">
        <f>Q42/Q17</f>
        <v>0.396076488238229</v>
      </c>
      <c r="P42" s="441"/>
      <c r="Q42" s="366">
        <f>SUM(Q29,Q33,Q41)</f>
        <v>14501777</v>
      </c>
      <c r="R42" s="451">
        <f>Q42/(P17)</f>
        <v>81.7563452062826</v>
      </c>
      <c r="S42" s="416">
        <f>U42/U17</f>
        <v>0.372837717836703</v>
      </c>
      <c r="T42" s="441"/>
      <c r="U42" s="366">
        <f>SUM(U29,U33,U41)</f>
        <v>13252828</v>
      </c>
      <c r="V42" s="367">
        <f>U42/(T17)</f>
        <v>75.3879689410962</v>
      </c>
      <c r="W42" s="416">
        <f>Y42/Y17</f>
        <v>0.524633400541823</v>
      </c>
      <c r="X42" s="441"/>
      <c r="Y42" s="366">
        <f>SUM(Y29,Y33,Y41)</f>
        <v>15025882</v>
      </c>
      <c r="Z42" s="367">
        <f>Y42/(X17)</f>
        <v>112.869627270405</v>
      </c>
      <c r="AA42" s="416">
        <f>AC42/AC17</f>
        <v>0.433549880559448</v>
      </c>
      <c r="AB42" s="441"/>
      <c r="AC42" s="366">
        <f>SUM(AC29,AC33,AC41)</f>
        <v>11890624</v>
      </c>
      <c r="AD42" s="451">
        <f>AC42/(AB17)</f>
        <v>94.828368862199</v>
      </c>
      <c r="AE42" s="416">
        <f>AG42/AG17</f>
        <v>0.358972232619269</v>
      </c>
      <c r="AF42" s="441"/>
      <c r="AG42" s="366">
        <f>SUM(AG29,AG33,AG41)</f>
        <v>12678849</v>
      </c>
      <c r="AH42" s="451">
        <f>AG42/(AF17)</f>
        <v>79.2249806293584</v>
      </c>
      <c r="AI42" s="416">
        <f>AK42/AK17</f>
        <v>0.559379822309023</v>
      </c>
      <c r="AJ42" s="441"/>
      <c r="AK42" s="366">
        <f>SUM(AK29,AK33,AK41)</f>
        <v>14081473</v>
      </c>
      <c r="AL42" s="451">
        <f>AK42/(AJ17)</f>
        <v>112.608542319749</v>
      </c>
      <c r="AM42" s="416">
        <f>AO42/AO17</f>
        <v>0.394729889122885</v>
      </c>
      <c r="AN42" s="441"/>
      <c r="AO42" s="366">
        <f>SUM(AO29,AO33,AO41)</f>
        <v>13657981</v>
      </c>
      <c r="AP42" s="451">
        <f>AO42/(AN17)</f>
        <v>84.0641160576349</v>
      </c>
      <c r="AQ42" s="416">
        <f>AS42/AS17</f>
        <v>0.368295420105964</v>
      </c>
      <c r="AR42" s="441"/>
      <c r="AS42" s="366">
        <f>SUM(AS29,AS33,AS41)</f>
        <v>13888814</v>
      </c>
      <c r="AT42" s="367">
        <f>AS42/(AR17)</f>
        <v>80.6162767075103</v>
      </c>
      <c r="AU42" s="416">
        <f>AW42/AW17</f>
        <v>0.28637855813543</v>
      </c>
      <c r="AV42" s="441"/>
      <c r="AW42" s="366">
        <f>SUM(AW29,AW33+AW41)</f>
        <v>13240993</v>
      </c>
      <c r="AX42" s="367">
        <f>SUM(AX25:AX41)</f>
        <v>305.959041441865</v>
      </c>
      <c r="AY42" s="416">
        <f>BA42/BA17</f>
        <v>0.38763204136779</v>
      </c>
      <c r="AZ42" s="441">
        <f>AZ25+AZ41</f>
        <v>0</v>
      </c>
      <c r="BA42" s="366">
        <f>SUM(BA29,BA33,BA41)</f>
        <v>160821412</v>
      </c>
      <c r="BB42" s="367">
        <f>BA42/(AZ17)</f>
        <v>80.3051769669477</v>
      </c>
      <c r="BD42" s="511"/>
      <c r="BE42" s="511"/>
    </row>
    <row r="43" ht="16.5" spans="4:57">
      <c r="D43" s="318"/>
      <c r="E43" s="368"/>
      <c r="F43" s="369"/>
      <c r="H43" s="318"/>
      <c r="I43" s="368"/>
      <c r="J43" s="369"/>
      <c r="K43" s="368"/>
      <c r="L43" s="318"/>
      <c r="M43" s="368"/>
      <c r="N43" s="369"/>
      <c r="O43" s="368"/>
      <c r="P43" s="318"/>
      <c r="Q43" s="368"/>
      <c r="R43" s="369"/>
      <c r="S43" s="368"/>
      <c r="T43" s="318"/>
      <c r="U43" s="368"/>
      <c r="V43" s="369"/>
      <c r="W43" s="368"/>
      <c r="X43" s="318"/>
      <c r="Y43" s="368"/>
      <c r="Z43" s="369"/>
      <c r="AA43" s="368"/>
      <c r="AB43" s="318"/>
      <c r="AC43" s="368"/>
      <c r="AD43" s="369"/>
      <c r="AE43" s="368"/>
      <c r="AF43" s="318"/>
      <c r="AG43" s="368"/>
      <c r="AH43" s="369"/>
      <c r="AI43" s="368"/>
      <c r="AJ43" s="318"/>
      <c r="AK43" s="368"/>
      <c r="AL43" s="369"/>
      <c r="AM43" s="368"/>
      <c r="AN43" s="318"/>
      <c r="AO43" s="368"/>
      <c r="AP43" s="369"/>
      <c r="AQ43" s="368"/>
      <c r="AR43" s="318"/>
      <c r="AS43" s="368"/>
      <c r="AT43" s="369"/>
      <c r="AU43" s="368"/>
      <c r="AV43" s="318"/>
      <c r="AW43" s="369"/>
      <c r="AX43" s="369"/>
      <c r="AY43" s="368"/>
      <c r="AZ43" s="318"/>
      <c r="BA43" s="368"/>
      <c r="BB43" s="369"/>
      <c r="BD43" s="511"/>
      <c r="BE43" s="511"/>
    </row>
    <row r="44" ht="16.5" spans="2:59">
      <c r="B44" s="319" t="s">
        <v>390</v>
      </c>
      <c r="C44" s="320">
        <f>E44/E17</f>
        <v>0.0085513420035898</v>
      </c>
      <c r="D44" s="321"/>
      <c r="E44" s="338">
        <f>E34-(E35+E40)</f>
        <v>263077</v>
      </c>
      <c r="F44" s="370"/>
      <c r="G44" s="320">
        <f>I44/I17</f>
        <v>-0.1446079547169</v>
      </c>
      <c r="H44" s="321"/>
      <c r="I44" s="338">
        <f>I24-I42</f>
        <v>-5501675</v>
      </c>
      <c r="J44" s="370">
        <f>I44/(H16)</f>
        <v>-51.89965662321</v>
      </c>
      <c r="K44" s="418">
        <f>M44/M17</f>
        <v>-0.0498418385145553</v>
      </c>
      <c r="L44" s="419"/>
      <c r="M44" s="338">
        <f>M24-M42</f>
        <v>-1934079</v>
      </c>
      <c r="N44" s="370">
        <f>M44/L16</f>
        <v>-21.6134435938984</v>
      </c>
      <c r="O44" s="418">
        <f>Q44/Q17</f>
        <v>-0.0822073461983788</v>
      </c>
      <c r="P44" s="419"/>
      <c r="Q44" s="338">
        <f>Q24-Q42</f>
        <v>-3009905</v>
      </c>
      <c r="R44" s="370">
        <f>Q44/(P16)</f>
        <v>-35.8296431207295</v>
      </c>
      <c r="S44" s="418">
        <f>U44/U17</f>
        <v>0.446692502792521</v>
      </c>
      <c r="T44" s="452"/>
      <c r="U44" s="338">
        <f>U24-U42</f>
        <v>15878058</v>
      </c>
      <c r="V44" s="370">
        <f>U44/(T16)</f>
        <v>202.435876840696</v>
      </c>
      <c r="W44" s="418">
        <f>Y44/Y17</f>
        <v>-0.0208984918574169</v>
      </c>
      <c r="X44" s="419"/>
      <c r="Y44" s="338">
        <f>Y24-Y42</f>
        <v>-598548</v>
      </c>
      <c r="Z44" s="370">
        <f>Y44/(X16)</f>
        <v>-9.24941278279145</v>
      </c>
      <c r="AA44" s="418">
        <f>AC44/AC17</f>
        <v>-0.0415192103199438</v>
      </c>
      <c r="AB44" s="419"/>
      <c r="AC44" s="338">
        <f>AC24-AC42</f>
        <v>-1138714</v>
      </c>
      <c r="AD44" s="467">
        <f>IF(AC42=0,0,AC44/AB16)</f>
        <v>-16.8511135775065</v>
      </c>
      <c r="AE44" s="418">
        <f>AG44/AG17</f>
        <v>-0.00105450587856237</v>
      </c>
      <c r="AF44" s="452"/>
      <c r="AG44" s="338">
        <f>AG24-AG42</f>
        <v>-37245</v>
      </c>
      <c r="AH44" s="473">
        <f>IF(AG42=0,0,AG44/AF16)</f>
        <v>-0.344838760450712</v>
      </c>
      <c r="AI44" s="418">
        <f>AK44/AK17</f>
        <v>-0.0658567074423023</v>
      </c>
      <c r="AJ44" s="474"/>
      <c r="AK44" s="338">
        <f>AK24-AK42</f>
        <v>-1657835</v>
      </c>
      <c r="AL44" s="473">
        <f>IF(AK42=0,0,AK44/AJ16)</f>
        <v>-27.0675777168234</v>
      </c>
      <c r="AM44" s="418">
        <f>AO44/AO17</f>
        <v>0.244140342537468</v>
      </c>
      <c r="AN44" s="419"/>
      <c r="AO44" s="338">
        <f>AO24-AO42</f>
        <v>8447458</v>
      </c>
      <c r="AP44" s="473">
        <f>IF(AO42=0,0,AO44/AN16)</f>
        <v>70.509473649066</v>
      </c>
      <c r="AQ44" s="418">
        <f>AS44/AS17</f>
        <v>0.171161231202436</v>
      </c>
      <c r="AR44" s="474"/>
      <c r="AS44" s="338">
        <f>AS24-AS42</f>
        <v>6454673</v>
      </c>
      <c r="AT44" s="484">
        <f>IF(AS42=0,0,AS44/AR16)</f>
        <v>50.3417877504543</v>
      </c>
      <c r="AU44" s="485">
        <f>IF($AW$17=0,0,(AW44/AW$17))</f>
        <v>0.245665004735814</v>
      </c>
      <c r="AV44" s="419"/>
      <c r="AW44" s="338">
        <f>AW24-AW42</f>
        <v>11358562</v>
      </c>
      <c r="AX44" s="370">
        <f>IF(AW42=0,0,AW44/AV16)</f>
        <v>69.0431331072128</v>
      </c>
      <c r="AY44" s="418">
        <f>BA44/BA17</f>
        <v>0.0416235785731721</v>
      </c>
      <c r="AZ44" s="419"/>
      <c r="BA44" s="338">
        <f>BA34-(BA35+BA40)</f>
        <v>17268858</v>
      </c>
      <c r="BB44" s="370">
        <f>BA44/(AZ17)</f>
        <v>8.62309738772279</v>
      </c>
      <c r="BC44" s="528">
        <f>BA44/BA17</f>
        <v>0.0416235785731721</v>
      </c>
      <c r="BD44" s="529"/>
      <c r="BE44" s="529"/>
      <c r="BF44" s="475">
        <f>BF24+AZ24</f>
        <v>-69254.2345582944</v>
      </c>
      <c r="BG44" s="540">
        <f>BF44/AZ16</f>
        <v>-0.0596250306142203</v>
      </c>
    </row>
    <row r="45" ht="15.75" spans="5:57">
      <c r="E45" s="323"/>
      <c r="F45" s="323"/>
      <c r="G45" s="323"/>
      <c r="I45" s="323"/>
      <c r="J45" s="323"/>
      <c r="K45" s="323"/>
      <c r="M45" s="323"/>
      <c r="N45" s="323"/>
      <c r="O45" s="323"/>
      <c r="Q45" s="323"/>
      <c r="R45" s="323"/>
      <c r="S45" s="323"/>
      <c r="U45" s="323"/>
      <c r="V45" s="323"/>
      <c r="W45" s="323"/>
      <c r="Y45" s="368"/>
      <c r="AC45" s="368"/>
      <c r="AD45" s="368"/>
      <c r="AG45" s="323"/>
      <c r="AK45" s="368"/>
      <c r="AO45" s="368"/>
      <c r="BA45" s="323"/>
      <c r="BB45" s="368"/>
      <c r="BD45" s="511"/>
      <c r="BE45" s="511"/>
    </row>
    <row r="46" ht="16.5" spans="2:57">
      <c r="B46" s="322" t="s">
        <v>391</v>
      </c>
      <c r="C46" s="322"/>
      <c r="D46" s="322"/>
      <c r="E46" s="371">
        <f>E44+E45</f>
        <v>263077</v>
      </c>
      <c r="F46" s="371"/>
      <c r="G46" s="371"/>
      <c r="H46" s="322"/>
      <c r="I46" s="371">
        <f>I44+I45</f>
        <v>-5501675</v>
      </c>
      <c r="J46" s="371"/>
      <c r="K46" s="371"/>
      <c r="L46" s="322"/>
      <c r="M46" s="371">
        <f>M44+M45</f>
        <v>-1934079</v>
      </c>
      <c r="N46" s="371"/>
      <c r="O46" s="371"/>
      <c r="P46" s="322"/>
      <c r="Q46" s="371">
        <f>Q44-Q45</f>
        <v>-3009905</v>
      </c>
      <c r="R46" s="371"/>
      <c r="S46" s="371"/>
      <c r="T46" s="322"/>
      <c r="U46" s="371">
        <f>U44-U45</f>
        <v>15878058</v>
      </c>
      <c r="V46" s="371"/>
      <c r="W46" s="371"/>
      <c r="X46" s="322"/>
      <c r="Y46" s="371">
        <f>Y44-Y45</f>
        <v>-598548</v>
      </c>
      <c r="Z46" s="322"/>
      <c r="AA46" s="322"/>
      <c r="AB46" s="322"/>
      <c r="AC46" s="371">
        <f>AC44-AC45</f>
        <v>-1138714</v>
      </c>
      <c r="AD46" s="468"/>
      <c r="AE46" s="322"/>
      <c r="AF46" s="322"/>
      <c r="AG46" s="371">
        <f>AG44+AG45</f>
        <v>-37245</v>
      </c>
      <c r="AH46" s="322"/>
      <c r="AI46" s="322"/>
      <c r="AJ46" s="322"/>
      <c r="AK46" s="371">
        <f>AK44+AK45</f>
        <v>-1657835</v>
      </c>
      <c r="AL46" s="322"/>
      <c r="AM46" s="322"/>
      <c r="AN46" s="322"/>
      <c r="AO46" s="371">
        <f>AO44-AO45</f>
        <v>8447458</v>
      </c>
      <c r="AP46" s="322"/>
      <c r="AQ46" s="322"/>
      <c r="AR46" s="322"/>
      <c r="AS46" s="371">
        <f>AS44-AS45</f>
        <v>6454673</v>
      </c>
      <c r="AT46" s="322"/>
      <c r="AU46" s="322"/>
      <c r="AV46" s="322"/>
      <c r="AW46" s="371">
        <f>AW44-AW45</f>
        <v>11358562</v>
      </c>
      <c r="AX46" s="322"/>
      <c r="AY46" s="322"/>
      <c r="AZ46" s="322"/>
      <c r="BA46" s="371">
        <f>BA44+BA45</f>
        <v>17268858</v>
      </c>
      <c r="BB46" s="468"/>
      <c r="BD46" s="511"/>
      <c r="BE46" s="511"/>
    </row>
    <row r="47" ht="15.75" spans="2:53">
      <c r="B47" s="229" t="s">
        <v>444</v>
      </c>
      <c r="E47" s="323">
        <f>'PAL I'!D28</f>
        <v>263077</v>
      </c>
      <c r="F47" s="323"/>
      <c r="G47" s="323"/>
      <c r="H47" s="372"/>
      <c r="I47" s="420">
        <f>'PAL I'!G28</f>
        <v>-5501675</v>
      </c>
      <c r="J47" s="372"/>
      <c r="K47" s="372"/>
      <c r="L47" s="372"/>
      <c r="M47" s="323">
        <f>I47+M46</f>
        <v>-7435754</v>
      </c>
      <c r="N47" s="323"/>
      <c r="O47" s="323"/>
      <c r="P47" s="323"/>
      <c r="Q47" s="323">
        <f>'PAL I'!M28</f>
        <v>-3009905</v>
      </c>
      <c r="R47" s="323"/>
      <c r="S47" s="323"/>
      <c r="T47" s="323"/>
      <c r="U47" s="323">
        <f>'PAL I'!P28</f>
        <v>15878058</v>
      </c>
      <c r="V47" s="323"/>
      <c r="W47" s="323"/>
      <c r="X47" s="323"/>
      <c r="Y47" s="323">
        <f>'PAL I'!S28</f>
        <v>-598548</v>
      </c>
      <c r="Z47" s="323"/>
      <c r="AA47" s="323"/>
      <c r="AB47" s="323"/>
      <c r="AC47" s="469">
        <f>'PAL I'!V28</f>
        <v>-1138714</v>
      </c>
      <c r="AD47" s="368"/>
      <c r="AE47" s="323"/>
      <c r="AF47" s="323"/>
      <c r="AG47" s="323">
        <f>'PAL I'!Y28</f>
        <v>-37245</v>
      </c>
      <c r="AH47" s="323"/>
      <c r="AI47" s="323"/>
      <c r="AJ47" s="323"/>
      <c r="AK47" s="323">
        <f>'PAL I'!AB28</f>
        <v>-1657835</v>
      </c>
      <c r="AL47" s="323"/>
      <c r="AM47" s="323"/>
      <c r="AN47" s="323"/>
      <c r="AO47" s="323">
        <f>'PAL I'!AE28</f>
        <v>1446258</v>
      </c>
      <c r="AP47" s="323"/>
      <c r="AQ47" s="323"/>
      <c r="AR47" s="323"/>
      <c r="AS47" s="323">
        <f>'PAL I'!AH28</f>
        <v>1806987</v>
      </c>
      <c r="AT47" s="323"/>
      <c r="AU47" s="323"/>
      <c r="AV47" s="323"/>
      <c r="AW47" s="323">
        <f>'PAL I'!AK28</f>
        <v>4087015</v>
      </c>
      <c r="AX47" s="323"/>
      <c r="AY47" s="323"/>
      <c r="AZ47" s="323"/>
      <c r="BA47" s="323">
        <f>'PAL I'!AN28</f>
        <v>9603395</v>
      </c>
    </row>
    <row r="48" ht="15.75" spans="2:57">
      <c r="B48" s="231"/>
      <c r="C48" s="231"/>
      <c r="D48" s="231"/>
      <c r="E48" s="373"/>
      <c r="F48" s="373"/>
      <c r="G48" s="373"/>
      <c r="H48" s="372"/>
      <c r="I48" s="421">
        <f>E47+I47</f>
        <v>-5238598</v>
      </c>
      <c r="J48" s="372"/>
      <c r="K48" s="372"/>
      <c r="L48" s="372"/>
      <c r="M48" s="373">
        <f>I48+M46</f>
        <v>-7172677</v>
      </c>
      <c r="N48" s="373"/>
      <c r="O48" s="373"/>
      <c r="P48" s="231"/>
      <c r="Q48" s="453">
        <f>M48+Q46</f>
        <v>-10182582</v>
      </c>
      <c r="R48" s="373"/>
      <c r="S48" s="373"/>
      <c r="T48" s="231"/>
      <c r="U48" s="373">
        <f>Q48+U47</f>
        <v>5695476</v>
      </c>
      <c r="V48" s="373"/>
      <c r="W48" s="373"/>
      <c r="X48" s="231"/>
      <c r="Y48" s="373">
        <f>U48+Y47</f>
        <v>5096928</v>
      </c>
      <c r="Z48" s="231"/>
      <c r="AA48" s="231"/>
      <c r="AB48" s="231"/>
      <c r="AC48" s="470">
        <f>Y48+AC47</f>
        <v>3958214</v>
      </c>
      <c r="AD48" s="374"/>
      <c r="AE48" s="231"/>
      <c r="AF48" s="231"/>
      <c r="AG48" s="373">
        <f>AC48+AG47</f>
        <v>3920969</v>
      </c>
      <c r="AH48" s="231"/>
      <c r="AI48" s="231"/>
      <c r="AJ48" s="231"/>
      <c r="AK48" s="373">
        <f>AG48+AK46</f>
        <v>2263134</v>
      </c>
      <c r="AL48" s="231"/>
      <c r="AM48" s="231"/>
      <c r="AN48" s="231"/>
      <c r="AO48" s="373">
        <f>AK48+AO46</f>
        <v>10710592</v>
      </c>
      <c r="AP48" s="231"/>
      <c r="AQ48" s="231"/>
      <c r="AR48" s="231"/>
      <c r="AS48" s="373">
        <f>AO48+AS46</f>
        <v>17165265</v>
      </c>
      <c r="AT48" s="231"/>
      <c r="AU48" s="231"/>
      <c r="AV48" s="231"/>
      <c r="AW48" s="373">
        <f>AS48+AW46</f>
        <v>28523827</v>
      </c>
      <c r="AX48" s="231"/>
      <c r="AY48" s="231"/>
      <c r="AZ48" s="231"/>
      <c r="BA48" s="453">
        <f>BA46-BA47</f>
        <v>7665463</v>
      </c>
      <c r="BD48" s="392" t="s">
        <v>896</v>
      </c>
      <c r="BE48" s="543">
        <f>BC11</f>
        <v>0.601597240651006</v>
      </c>
    </row>
    <row r="49" spans="8:57">
      <c r="H49" s="372"/>
      <c r="I49" s="372"/>
      <c r="J49" s="372"/>
      <c r="K49" s="372"/>
      <c r="L49" s="372"/>
      <c r="AW49" s="368">
        <f>AW46-AW47</f>
        <v>7271547</v>
      </c>
      <c r="AZ49" s="318">
        <f>'PAL I'!AM33</f>
        <v>985236.9</v>
      </c>
      <c r="BA49" s="368">
        <f>'PAL I'!AN33</f>
        <v>85567697</v>
      </c>
      <c r="BB49" s="368">
        <f>BA49/AZ49</f>
        <v>86.849870320529</v>
      </c>
      <c r="BD49" s="383" t="s">
        <v>897</v>
      </c>
      <c r="BE49" s="544">
        <f>BC19</f>
        <v>-0.0288639679867048</v>
      </c>
    </row>
    <row r="50" spans="2:57">
      <c r="B50" s="229" t="s">
        <v>385</v>
      </c>
      <c r="F50" s="368">
        <f>'PAL I'!E33</f>
        <v>82.9351420719104</v>
      </c>
      <c r="G50" s="368"/>
      <c r="H50" s="372"/>
      <c r="I50" s="372"/>
      <c r="J50" s="368">
        <f>'PAL I'!H33</f>
        <v>85.2975491599847</v>
      </c>
      <c r="K50" s="368"/>
      <c r="L50" s="372"/>
      <c r="N50" s="368">
        <f>'PAL I'!K33</f>
        <v>85.0616054287289</v>
      </c>
      <c r="O50" s="368"/>
      <c r="R50" s="368">
        <f>'PAL I'!N33</f>
        <v>86.6205536653263</v>
      </c>
      <c r="S50" s="368"/>
      <c r="V50" s="368">
        <f>'PAL I'!Q33</f>
        <v>89.1880234053034</v>
      </c>
      <c r="W50" s="368"/>
      <c r="Z50" s="368">
        <f>'PAL I'!T33</f>
        <v>86.2332071068449</v>
      </c>
      <c r="AA50" s="368"/>
      <c r="AD50" s="368">
        <f>'PAL I'!W33</f>
        <v>88.01424149486</v>
      </c>
      <c r="AE50" s="368"/>
      <c r="AH50" s="368">
        <f>'PAL I'!Z33</f>
        <v>83.4395195591727</v>
      </c>
      <c r="AI50" s="368"/>
      <c r="AL50" s="368">
        <f>'PAL I'!AC33</f>
        <v>92.1495723655623</v>
      </c>
      <c r="AP50" s="368">
        <f>'PAL I'!AF33</f>
        <v>94.9616484902997</v>
      </c>
      <c r="AT50" s="368">
        <f>'PAL I'!AI33</f>
        <v>86.8645985985739</v>
      </c>
      <c r="AX50" s="368">
        <f>'PAL I'!AL33</f>
        <v>82.1626735319841</v>
      </c>
      <c r="BA50" s="530"/>
      <c r="BB50" s="368">
        <f>'PAL I'!AO33</f>
        <v>86.849870320529</v>
      </c>
      <c r="BD50" s="383" t="s">
        <v>898</v>
      </c>
      <c r="BE50" s="544">
        <f>BC29</f>
        <v>0.316975656287619</v>
      </c>
    </row>
    <row r="51" spans="2:57">
      <c r="B51" s="229" t="s">
        <v>899</v>
      </c>
      <c r="E51" s="368">
        <f>E40+E33</f>
        <v>2957078</v>
      </c>
      <c r="H51" s="372"/>
      <c r="I51" s="368">
        <f>I40+I33</f>
        <v>2396729</v>
      </c>
      <c r="J51" s="372"/>
      <c r="K51" s="372"/>
      <c r="L51" s="372"/>
      <c r="M51" s="368">
        <f>M40+M33</f>
        <v>3654423</v>
      </c>
      <c r="Q51" s="368">
        <f>Q40+Q33</f>
        <v>2926578</v>
      </c>
      <c r="U51" s="368">
        <f>U40+U33</f>
        <v>2858809</v>
      </c>
      <c r="Y51" s="368">
        <f>Y40+Y33</f>
        <v>3851179</v>
      </c>
      <c r="AC51" s="368">
        <f>AC40+AC33</f>
        <v>1311747</v>
      </c>
      <c r="AG51" s="368">
        <f>AG40+AG33</f>
        <v>1461815</v>
      </c>
      <c r="AK51" s="368">
        <f>AK40+AK33</f>
        <v>1683366</v>
      </c>
      <c r="AO51" s="368">
        <f>AO40+AO33</f>
        <v>1322682</v>
      </c>
      <c r="AS51" s="368">
        <f>AS40+AS33</f>
        <v>1839825</v>
      </c>
      <c r="AW51" s="368">
        <f>AW40+AW33</f>
        <v>1549805</v>
      </c>
      <c r="BA51" s="531"/>
      <c r="BD51" s="383" t="s">
        <v>900</v>
      </c>
      <c r="BE51" s="544">
        <f>BC33</f>
        <v>0.0433767774440395</v>
      </c>
    </row>
    <row r="52" spans="8:57">
      <c r="H52" s="372"/>
      <c r="I52" s="372">
        <f>'PAL I'!G32</f>
        <v>-5238598</v>
      </c>
      <c r="J52" s="372"/>
      <c r="K52" s="372"/>
      <c r="L52" s="372"/>
      <c r="M52" s="372">
        <f>'PAL I'!J32</f>
        <v>-7172677</v>
      </c>
      <c r="Q52" s="372">
        <f>'PAL I'!M32</f>
        <v>-10182582</v>
      </c>
      <c r="U52" s="372">
        <f>'PAL I'!P32</f>
        <v>5695476</v>
      </c>
      <c r="Y52" s="372">
        <f>'PAL I'!S32</f>
        <v>5096928</v>
      </c>
      <c r="AC52" s="372">
        <f>'PAL I'!V32</f>
        <v>3958214</v>
      </c>
      <c r="BD52" s="383" t="s">
        <v>901</v>
      </c>
      <c r="BE52" s="544">
        <f>BC36</f>
        <v>0.0172593904718755</v>
      </c>
    </row>
    <row r="53" spans="1:57">
      <c r="A53" s="229">
        <v>6</v>
      </c>
      <c r="E53" s="368">
        <f>E35+E41</f>
        <v>1199853</v>
      </c>
      <c r="H53" s="372"/>
      <c r="I53" s="368">
        <f>I35+I41+E53</f>
        <v>1743526</v>
      </c>
      <c r="J53" s="372"/>
      <c r="K53" s="372"/>
      <c r="L53" s="372"/>
      <c r="M53" s="368">
        <f>M35+M41+I53</f>
        <v>3198164</v>
      </c>
      <c r="Q53" s="368">
        <f>Q35+Q41+M53</f>
        <v>4090000</v>
      </c>
      <c r="U53" s="368">
        <f>U35+U41+Q53</f>
        <v>5081787</v>
      </c>
      <c r="Y53" s="368">
        <f>Y35+Y41+U53</f>
        <v>6271545</v>
      </c>
      <c r="AC53" s="368">
        <f>AC35+AC41+Y53</f>
        <v>7286066</v>
      </c>
      <c r="AG53" s="368">
        <f>AG35+AG41+AC53</f>
        <v>8261678</v>
      </c>
      <c r="AK53" s="368">
        <f>AK35+AK41+AG53</f>
        <v>9455785</v>
      </c>
      <c r="AO53" s="368">
        <f>AO35+AO41+AK53</f>
        <v>10523363</v>
      </c>
      <c r="AS53" s="368"/>
      <c r="AT53" s="368">
        <f>AT35+AT41+AP53</f>
        <v>6.58923979731024</v>
      </c>
      <c r="AU53" s="368"/>
      <c r="AW53" s="368">
        <f>AW35+AW41+AS53</f>
        <v>1034231</v>
      </c>
      <c r="BA53" s="368">
        <f>BA35+BA41+AW53</f>
        <v>13852039</v>
      </c>
      <c r="BD53" s="383" t="s">
        <v>902</v>
      </c>
      <c r="BE53" s="544">
        <f>BC39</f>
        <v>0.00640472806475954</v>
      </c>
    </row>
    <row r="54" ht="15.75" spans="2:57">
      <c r="B54" s="229" t="s">
        <v>903</v>
      </c>
      <c r="E54" s="374">
        <f>E41+E35</f>
        <v>1199853</v>
      </c>
      <c r="I54" s="374">
        <f>ROUND((I53/2),0)</f>
        <v>871763</v>
      </c>
      <c r="M54" s="374">
        <f>ROUND((M53/3),0)</f>
        <v>1066055</v>
      </c>
      <c r="Q54" s="374">
        <f>ROUND((Q53/4),0)</f>
        <v>1022500</v>
      </c>
      <c r="U54" s="374">
        <f>ROUND((U53/5),0)</f>
        <v>1016357</v>
      </c>
      <c r="Y54" s="374">
        <f>ROUND((Y53/6),0)</f>
        <v>1045258</v>
      </c>
      <c r="AC54" s="374">
        <f>ROUND((AC53/7),0)</f>
        <v>1040867</v>
      </c>
      <c r="AG54" s="374">
        <f>ROUND((AG53/8),0)</f>
        <v>1032710</v>
      </c>
      <c r="AK54" s="374">
        <f>ROUND((AK53/9),0)</f>
        <v>1050643</v>
      </c>
      <c r="AO54" s="374">
        <f>ROUND((AO53/10),0)</f>
        <v>1052336</v>
      </c>
      <c r="AT54" s="374">
        <f>ROUND((AT53/11),0)</f>
        <v>1</v>
      </c>
      <c r="AU54" s="374"/>
      <c r="AW54" s="374">
        <f>ROUND((AW53/12),0)</f>
        <v>86186</v>
      </c>
      <c r="BA54" s="374">
        <f>ROUND((BA53/8),0)</f>
        <v>1731505</v>
      </c>
      <c r="BD54" s="383" t="s">
        <v>904</v>
      </c>
      <c r="BE54" s="544">
        <f>BC38</f>
        <v>0</v>
      </c>
    </row>
    <row r="55" ht="15.75" spans="56:57">
      <c r="BD55" s="381" t="s">
        <v>219</v>
      </c>
      <c r="BE55" s="545">
        <f>BC35</f>
        <v>0.00361548909949681</v>
      </c>
    </row>
    <row r="56" ht="16.5" spans="2:57">
      <c r="B56" s="229" t="s">
        <v>381</v>
      </c>
      <c r="D56" s="323"/>
      <c r="E56" s="323"/>
      <c r="F56" s="373">
        <f>(E11/D17)-F11</f>
        <v>-2.91453129377092</v>
      </c>
      <c r="G56" s="373"/>
      <c r="H56" s="323"/>
      <c r="I56" s="323"/>
      <c r="J56" s="373">
        <f>(I11/H17)-J11</f>
        <v>-23.5340992736744</v>
      </c>
      <c r="K56" s="373"/>
      <c r="L56" s="323"/>
      <c r="M56" s="323"/>
      <c r="N56" s="373">
        <f>(M11/L17)-N11</f>
        <v>3.7120443301614</v>
      </c>
      <c r="O56" s="373"/>
      <c r="P56" s="323"/>
      <c r="Q56" s="323"/>
      <c r="R56" s="373">
        <f>(Q11/P17)-R11</f>
        <v>11.6123760419173</v>
      </c>
      <c r="S56" s="373"/>
      <c r="T56" s="323"/>
      <c r="U56" s="323"/>
      <c r="V56" s="373">
        <f>(U11/T17)-V11</f>
        <v>9.74696978807754</v>
      </c>
      <c r="W56" s="373"/>
      <c r="X56" s="323"/>
      <c r="Y56" s="323"/>
      <c r="Z56" s="373">
        <f>(Y11/X17)-Z11</f>
        <v>39.2761205402661</v>
      </c>
      <c r="AA56" s="373"/>
      <c r="AB56" s="323"/>
      <c r="AC56" s="323"/>
      <c r="AD56" s="373">
        <f>(AC11/AB17)-AD11</f>
        <v>20.0022115515072</v>
      </c>
      <c r="AE56" s="373"/>
      <c r="AF56" s="323"/>
      <c r="AG56" s="323"/>
      <c r="AH56" s="373">
        <f>(AG11/AF17)-AH11</f>
        <v>-7.7749363093527</v>
      </c>
      <c r="AI56" s="373"/>
      <c r="AJ56" s="475">
        <f>AJ11-AJ12</f>
        <v>146181</v>
      </c>
      <c r="AK56" s="475">
        <f>AK11-AK12</f>
        <v>18138476</v>
      </c>
      <c r="AL56" s="373">
        <f>(AK11/AJ17)-AL11</f>
        <v>49.620342374288</v>
      </c>
      <c r="AM56" s="373"/>
      <c r="AN56" s="475">
        <f>AN11-AN12</f>
        <v>97178</v>
      </c>
      <c r="AO56" s="475">
        <f>AO11-AO12</f>
        <v>9396721</v>
      </c>
      <c r="AP56" s="373">
        <f>(AO11/AN17)-AP11</f>
        <v>-16.1680914981495</v>
      </c>
      <c r="AQ56" s="373"/>
      <c r="AR56" s="475">
        <f>AR11-AR12</f>
        <v>107191</v>
      </c>
      <c r="AS56" s="323">
        <f>AS11-AS12</f>
        <v>10501834</v>
      </c>
      <c r="AT56" s="373">
        <f>(AS11/AR17)-AT11</f>
        <v>-16.0205014210378</v>
      </c>
      <c r="AU56" s="373"/>
      <c r="AV56" s="475">
        <f>AV11-AV12</f>
        <v>93069</v>
      </c>
      <c r="AW56" s="323">
        <f>AW11-AW12</f>
        <v>9575423</v>
      </c>
      <c r="AX56" s="373">
        <f>(AW11/AV17)-AX11</f>
        <v>-42.1371517506115</v>
      </c>
      <c r="AY56" s="373"/>
      <c r="AZ56" s="475">
        <f>AZ11-AZ12</f>
        <v>1582562</v>
      </c>
      <c r="BA56" s="323">
        <f>BA11-BA12</f>
        <v>207529017</v>
      </c>
      <c r="BB56" s="373">
        <f>(BA11/AZ17)-BB11</f>
        <v>0.0841957954238239</v>
      </c>
      <c r="BD56" s="532"/>
      <c r="BE56" s="546">
        <f>SUM(BE48:BE55)</f>
        <v>0.960365314032091</v>
      </c>
    </row>
    <row r="57" spans="38:46">
      <c r="AL57" s="368">
        <f>AK56/AJ56</f>
        <v>124.082308918396</v>
      </c>
      <c r="AP57" s="368">
        <f>AO56/AN56</f>
        <v>96.6959702813394</v>
      </c>
      <c r="AT57" s="229">
        <f>AS56/AR56</f>
        <v>97.9730947560896</v>
      </c>
    </row>
    <row r="58" spans="38:46">
      <c r="AL58" s="368">
        <f>AL57-AL11</f>
        <v>5.45944868248598</v>
      </c>
      <c r="AP58" s="368">
        <f>AP57-AP11</f>
        <v>-0.314369987359868</v>
      </c>
      <c r="AT58" s="368">
        <f>AT57-AT11</f>
        <v>-1.11360588367555</v>
      </c>
    </row>
    <row r="59" spans="2:53">
      <c r="B59" s="229" t="s">
        <v>905</v>
      </c>
      <c r="M59" s="229">
        <v>288320</v>
      </c>
      <c r="AK59" s="229">
        <v>1787480</v>
      </c>
      <c r="BA59" s="368">
        <f>SUM(E59,I59,M59,Q59,U59,Y59,AC59,AG59,AK59,AO59,AS59,AW59)</f>
        <v>2075800</v>
      </c>
    </row>
    <row r="60" ht="15.75" spans="2:53">
      <c r="B60" s="324" t="s">
        <v>906</v>
      </c>
      <c r="C60" s="324"/>
      <c r="D60" s="324"/>
      <c r="E60" s="324"/>
      <c r="F60" s="324"/>
      <c r="G60" s="324"/>
      <c r="H60" s="324"/>
      <c r="I60" s="324"/>
      <c r="J60" s="324"/>
      <c r="K60" s="324"/>
      <c r="L60" s="324"/>
      <c r="M60" s="324">
        <v>812068</v>
      </c>
      <c r="N60" s="324"/>
      <c r="O60" s="324"/>
      <c r="P60" s="324"/>
      <c r="Q60" s="324"/>
      <c r="R60" s="324"/>
      <c r="S60" s="324"/>
      <c r="T60" s="324"/>
      <c r="U60" s="324"/>
      <c r="V60" s="324"/>
      <c r="W60" s="324"/>
      <c r="X60" s="324"/>
      <c r="Y60" s="324"/>
      <c r="Z60" s="324"/>
      <c r="AA60" s="324"/>
      <c r="AB60" s="324"/>
      <c r="AC60" s="324"/>
      <c r="AD60" s="324"/>
      <c r="AE60" s="324"/>
      <c r="AF60" s="324"/>
      <c r="AG60" s="324"/>
      <c r="AH60" s="324"/>
      <c r="AI60" s="324"/>
      <c r="AJ60" s="324"/>
      <c r="AK60" s="324">
        <v>1177970</v>
      </c>
      <c r="AL60" s="324"/>
      <c r="AM60" s="324"/>
      <c r="AN60" s="324"/>
      <c r="AO60" s="324"/>
      <c r="AP60" s="324"/>
      <c r="AQ60" s="324"/>
      <c r="AR60" s="324"/>
      <c r="AS60" s="324"/>
      <c r="AT60" s="324"/>
      <c r="AU60" s="324"/>
      <c r="AV60" s="324"/>
      <c r="AW60" s="324"/>
      <c r="AX60" s="324"/>
      <c r="AY60" s="324"/>
      <c r="AZ60" s="324"/>
      <c r="BA60" s="369">
        <f>SUM(E60,I60,M60,Q60,U60,Y60,AC60,AG60,AK60,AO60,AS60,AW60)</f>
        <v>1990038</v>
      </c>
    </row>
    <row r="61" spans="13:53">
      <c r="M61" s="442">
        <f>M59-M60</f>
        <v>-523748</v>
      </c>
      <c r="AK61" s="442">
        <f>AK59-AK60</f>
        <v>609510</v>
      </c>
      <c r="BA61" s="442">
        <f>BA59-BA60</f>
        <v>85762</v>
      </c>
    </row>
    <row r="62" ht="16.5" spans="2:57">
      <c r="B62" s="324" t="s">
        <v>907</v>
      </c>
      <c r="C62" s="324"/>
      <c r="D62" s="324"/>
      <c r="E62" s="324"/>
      <c r="F62" s="324"/>
      <c r="G62" s="324"/>
      <c r="H62" s="324"/>
      <c r="I62" s="324"/>
      <c r="J62" s="324"/>
      <c r="K62" s="324"/>
      <c r="L62" s="324"/>
      <c r="M62" s="324"/>
      <c r="N62" s="324"/>
      <c r="O62" s="324"/>
      <c r="P62" s="324"/>
      <c r="Q62" s="324"/>
      <c r="R62" s="324"/>
      <c r="S62" s="324"/>
      <c r="T62" s="324"/>
      <c r="U62" s="324"/>
      <c r="V62" s="324"/>
      <c r="W62" s="324"/>
      <c r="X62" s="324"/>
      <c r="Y62" s="324"/>
      <c r="Z62" s="324"/>
      <c r="AA62" s="324"/>
      <c r="AB62" s="324"/>
      <c r="AC62" s="324"/>
      <c r="AD62" s="324"/>
      <c r="AE62" s="324"/>
      <c r="AF62" s="324"/>
      <c r="AG62" s="324"/>
      <c r="AH62" s="324"/>
      <c r="AI62" s="324"/>
      <c r="AJ62" s="324"/>
      <c r="AK62" s="477">
        <v>1117075</v>
      </c>
      <c r="AL62" s="477"/>
      <c r="AM62" s="477"/>
      <c r="AN62" s="477"/>
      <c r="AO62" s="477"/>
      <c r="AP62" s="477"/>
      <c r="AQ62" s="477"/>
      <c r="AR62" s="477"/>
      <c r="AS62" s="477"/>
      <c r="AT62" s="477"/>
      <c r="AU62" s="477"/>
      <c r="AV62" s="477"/>
      <c r="AW62" s="477"/>
      <c r="AX62" s="477"/>
      <c r="AY62" s="477"/>
      <c r="AZ62" s="477"/>
      <c r="BA62" s="477">
        <f>SUM(E62,I62,M62,Q62,U62,Y62,AC62,AG62,AK62,AO62,AS62,AW62)</f>
        <v>1117075</v>
      </c>
      <c r="BD62" s="511"/>
      <c r="BE62" s="511"/>
    </row>
    <row r="63" ht="15.75" spans="37:57">
      <c r="AK63" s="442">
        <f>AK61-AK62</f>
        <v>-507565</v>
      </c>
      <c r="BA63" s="442">
        <f>BA61-BA62</f>
        <v>-1031313</v>
      </c>
      <c r="BD63" s="511"/>
      <c r="BE63" s="511"/>
    </row>
    <row r="64" spans="2:53">
      <c r="B64" s="229" t="s">
        <v>908</v>
      </c>
      <c r="E64" s="368">
        <f>'Inventory Sales'!D42</f>
        <v>3809200</v>
      </c>
      <c r="F64" s="372"/>
      <c r="G64" s="368">
        <f>'Inventory Sales'!G42</f>
        <v>1387820</v>
      </c>
      <c r="H64" s="372"/>
      <c r="I64" s="368">
        <f>'Inventory Sales'!G42</f>
        <v>1387820</v>
      </c>
      <c r="M64" s="368">
        <f>'Inventory Sales'!J42</f>
        <v>4768500</v>
      </c>
      <c r="Q64" s="368">
        <f>'Inventory Sales'!M42</f>
        <v>5207400</v>
      </c>
      <c r="U64" s="368">
        <f>'Inventory Sales'!P42</f>
        <v>5541320</v>
      </c>
      <c r="V64" s="368"/>
      <c r="Y64" s="368">
        <f>'Inventory Sales'!S42</f>
        <v>2997700</v>
      </c>
      <c r="AB64" s="368"/>
      <c r="AC64" s="368">
        <f>'Inventory Sales'!V42</f>
        <v>2373360</v>
      </c>
      <c r="AG64" s="368">
        <f>'Inventory Sales'!Y42</f>
        <v>1396800</v>
      </c>
      <c r="AK64" s="368">
        <f>'Inventory Sales'!AB42</f>
        <v>2918650</v>
      </c>
      <c r="AM64" s="323"/>
      <c r="AO64" s="368">
        <f>'Inventory Sales'!AE42</f>
        <v>3624820</v>
      </c>
      <c r="AS64" s="368">
        <f>'Inventory Sales'!AH42</f>
        <v>3563840</v>
      </c>
      <c r="AW64" s="368">
        <f>'Inventory Sales'!AK42</f>
        <v>2600000</v>
      </c>
      <c r="BA64" s="368">
        <f>'Inventory Sales'!AN42</f>
        <v>40189410</v>
      </c>
    </row>
    <row r="67" spans="2:54">
      <c r="B67" s="229" t="s">
        <v>909</v>
      </c>
      <c r="D67" s="318">
        <f>D16</f>
        <v>89485</v>
      </c>
      <c r="E67" s="229">
        <f>ROUND((D67*F67),0)</f>
        <v>19408292</v>
      </c>
      <c r="F67" s="323">
        <f>F11+F25+F50</f>
        <v>216.888774704651</v>
      </c>
      <c r="G67" s="323"/>
      <c r="H67" s="318">
        <f>H16</f>
        <v>106006</v>
      </c>
      <c r="I67" s="229">
        <f>ROUND((H67*J67),0)</f>
        <v>24132230</v>
      </c>
      <c r="J67" s="323">
        <f>J11+J25+J50</f>
        <v>227.649666049844</v>
      </c>
      <c r="L67" s="318">
        <f>L16</f>
        <v>89485</v>
      </c>
      <c r="M67" s="229">
        <f>ROUND((L67*N67),0)</f>
        <v>20216832</v>
      </c>
      <c r="N67" s="323">
        <f>N11+N25+N50</f>
        <v>225.924253514275</v>
      </c>
      <c r="P67" s="318">
        <f>P16</f>
        <v>84006</v>
      </c>
      <c r="Q67" s="229">
        <f>ROUND((P67*R67),0)</f>
        <v>19185736</v>
      </c>
      <c r="R67" s="323">
        <f>R11+R25+R50</f>
        <v>228.385310572298</v>
      </c>
      <c r="T67" s="318">
        <f>T16</f>
        <v>78435</v>
      </c>
      <c r="U67" s="229">
        <f>ROUND((T67*V67),0)</f>
        <v>18501041</v>
      </c>
      <c r="V67" s="323">
        <f>V11+V25+V50</f>
        <v>235.87736180022</v>
      </c>
      <c r="X67" s="318">
        <f>X16</f>
        <v>64712</v>
      </c>
      <c r="Y67" s="229">
        <f>ROUND((X67*Z67),0)</f>
        <v>15824175</v>
      </c>
      <c r="Z67" s="323">
        <f>Z11+Z25+Z50</f>
        <v>244.532319522657</v>
      </c>
      <c r="AB67" s="318">
        <f>AB16</f>
        <v>67575</v>
      </c>
      <c r="AC67" s="229">
        <f>ROUND((AB67*AD67),0)</f>
        <v>17767611</v>
      </c>
      <c r="AD67" s="323">
        <f>AD11+AD25+AD50</f>
        <v>262.931724163672</v>
      </c>
      <c r="AF67" s="318">
        <f>AF16</f>
        <v>108007</v>
      </c>
      <c r="AG67" s="229">
        <f>ROUND((AF67*AH67),0)</f>
        <v>25761128</v>
      </c>
      <c r="AH67" s="323">
        <f>AH11+AH25+AH50</f>
        <v>238.513505069639</v>
      </c>
      <c r="AJ67" s="318">
        <f>AJ16</f>
        <v>61248</v>
      </c>
      <c r="AK67" s="229">
        <f>ROUND((AJ67*AL67),0)</f>
        <v>16970356</v>
      </c>
      <c r="AL67" s="323">
        <f>AL11+AL25+AL50</f>
        <v>277.076083332924</v>
      </c>
      <c r="AN67" s="318">
        <f>AN16</f>
        <v>119806</v>
      </c>
      <c r="AO67" s="229">
        <f>ROUND((AN67*AP67),0)</f>
        <v>26853081</v>
      </c>
      <c r="AP67" s="323">
        <f>AP11+AP25+AP50</f>
        <v>224.138032195889</v>
      </c>
      <c r="AR67" s="318">
        <f>AR16</f>
        <v>128217</v>
      </c>
      <c r="AS67" s="229">
        <f>ROUND((AR67*AT67),0)</f>
        <v>27629099</v>
      </c>
      <c r="AT67" s="323">
        <f>AT11+AT25+AT50</f>
        <v>215.487016030964</v>
      </c>
      <c r="AV67" s="318">
        <f>AV16</f>
        <v>164514</v>
      </c>
      <c r="AW67" s="229">
        <f>ROUND((AV67*AX67),0)</f>
        <v>35199682</v>
      </c>
      <c r="AX67" s="323">
        <f>AX11+AX25+AX50</f>
        <v>213.961620740533</v>
      </c>
      <c r="AZ67" s="318">
        <f>AZ16</f>
        <v>1161496</v>
      </c>
      <c r="BA67" s="229">
        <f>ROUND((AZ67*BB67),0)</f>
        <v>278208412</v>
      </c>
      <c r="BB67" s="323">
        <f>BB11+BB25+BB50</f>
        <v>239.525932239136</v>
      </c>
    </row>
    <row r="68" spans="2:53">
      <c r="B68" s="229" t="s">
        <v>910</v>
      </c>
      <c r="E68" s="229">
        <f>'PAL I'!D38</f>
        <v>85557170</v>
      </c>
      <c r="I68" s="229">
        <f>'PAL I'!G38</f>
        <v>77353185</v>
      </c>
      <c r="M68" s="229">
        <f>'PAL I'!J38</f>
        <v>67204413</v>
      </c>
      <c r="Q68" s="229">
        <f>'PAL I'!M38</f>
        <v>63824106</v>
      </c>
      <c r="U68" s="229">
        <f>'PAL I'!P38</f>
        <v>72671231</v>
      </c>
      <c r="Y68" s="229">
        <f>'PAL I'!S38</f>
        <v>83399239</v>
      </c>
      <c r="AC68" s="229">
        <f>'PAL I'!V38</f>
        <v>85569359</v>
      </c>
      <c r="AG68" s="229">
        <f>'PAL I'!Y38</f>
        <v>86566664</v>
      </c>
      <c r="AK68" s="229">
        <f>'PAL I'!AB38</f>
        <v>87917137</v>
      </c>
      <c r="AO68" s="229">
        <f>'PAL I'!AE38</f>
        <v>92976974</v>
      </c>
      <c r="AS68" s="229">
        <f>'PAL I'!AH38</f>
        <v>93252928</v>
      </c>
      <c r="AW68" s="229">
        <f>'PAL I'!AK38</f>
        <v>86969071</v>
      </c>
      <c r="BA68" s="229">
        <f>'PAL I'!AN38</f>
        <v>83943384</v>
      </c>
    </row>
    <row r="70" spans="2:53">
      <c r="B70" s="229" t="s">
        <v>396</v>
      </c>
      <c r="E70" s="368">
        <f>E67/E68</f>
        <v>0.226845885622444</v>
      </c>
      <c r="I70" s="368">
        <f>I67/I68</f>
        <v>0.311974613585724</v>
      </c>
      <c r="M70" s="368">
        <f>M67/M68</f>
        <v>0.300825959152415</v>
      </c>
      <c r="Q70" s="368">
        <f>Q67/Q68</f>
        <v>0.300603286162755</v>
      </c>
      <c r="U70" s="368">
        <f>U67/U68</f>
        <v>0.254585490646223</v>
      </c>
      <c r="Y70" s="368">
        <f>Y67/Y68</f>
        <v>0.189740040673513</v>
      </c>
      <c r="AC70" s="368">
        <f>AC67/AC68</f>
        <v>0.207639874922985</v>
      </c>
      <c r="AG70" s="368">
        <f>AG67/AG68</f>
        <v>0.297587163576039</v>
      </c>
      <c r="AK70" s="368">
        <f>AK67/AK68</f>
        <v>0.193026713324389</v>
      </c>
      <c r="AO70" s="368">
        <f>AO67/AO68</f>
        <v>0.288814314391432</v>
      </c>
      <c r="AS70" s="368">
        <f>AS67/AS68</f>
        <v>0.296281302824079</v>
      </c>
      <c r="AW70" s="368">
        <f>AW67/AW68</f>
        <v>0.404737932638144</v>
      </c>
      <c r="BA70" s="368">
        <f>BA67/BA68</f>
        <v>3.31423870164681</v>
      </c>
    </row>
    <row r="73" ht="15.75" spans="2:2">
      <c r="B73" s="229" t="s">
        <v>433</v>
      </c>
    </row>
    <row r="74" spans="2:53">
      <c r="B74" s="632" t="s">
        <v>784</v>
      </c>
      <c r="E74" s="636">
        <f>E12-E64</f>
        <v>244305</v>
      </c>
      <c r="I74" s="636">
        <f>I12-I64</f>
        <v>-52820</v>
      </c>
      <c r="M74" s="636">
        <f>M12-M64</f>
        <v>133490</v>
      </c>
      <c r="Q74" s="636">
        <f>Q12-Q64</f>
        <v>285560</v>
      </c>
      <c r="U74" s="636">
        <f>U12-U64</f>
        <v>319690</v>
      </c>
      <c r="Y74" s="636">
        <f>Y12-Y64</f>
        <v>96570</v>
      </c>
      <c r="AC74" s="636">
        <f>AC12-AC64</f>
        <v>-5880</v>
      </c>
      <c r="AG74" s="636">
        <f>AG12-AG64</f>
        <v>134750</v>
      </c>
      <c r="AK74" s="636">
        <f>AK12-AK64</f>
        <v>-18650</v>
      </c>
      <c r="AO74" s="636">
        <f>AO12-AO64</f>
        <v>112980</v>
      </c>
      <c r="AR74" s="641"/>
      <c r="AS74" s="636">
        <f>AS12-AS64</f>
        <v>245220</v>
      </c>
      <c r="AW74" s="636">
        <f>AW12-AW64</f>
        <v>378000</v>
      </c>
      <c r="BA74" s="636">
        <f>BA12-BA64</f>
        <v>1873215</v>
      </c>
    </row>
    <row r="75" spans="2:53">
      <c r="B75" s="633" t="s">
        <v>131</v>
      </c>
      <c r="E75" s="637">
        <f>'Trading PL'!C25</f>
        <v>78938</v>
      </c>
      <c r="I75" s="637">
        <f>'Trading PL'!F25</f>
        <v>138815</v>
      </c>
      <c r="M75" s="637">
        <f>'Trading PL'!I25</f>
        <v>85197</v>
      </c>
      <c r="Q75" s="637">
        <f>'Trading PL'!L25</f>
        <v>80695</v>
      </c>
      <c r="U75" s="637">
        <f>'Trading PL'!O25</f>
        <v>59390</v>
      </c>
      <c r="Y75" s="637">
        <f>'Trading PL'!R25</f>
        <v>31706</v>
      </c>
      <c r="AC75" s="637">
        <f>'Trading PL'!U25</f>
        <v>76369</v>
      </c>
      <c r="AG75" s="637">
        <f>'Trading PL'!X25</f>
        <v>1257892</v>
      </c>
      <c r="AK75" s="637">
        <f>'Trading PL'!AA25</f>
        <v>198372</v>
      </c>
      <c r="AO75" s="637">
        <f>'Trading PL'!AD25</f>
        <v>98790</v>
      </c>
      <c r="AR75" s="641"/>
      <c r="AS75" s="637">
        <f>'Trading PL'!AG25</f>
        <v>170017</v>
      </c>
      <c r="AW75" s="637">
        <f>'Trading PL'!AJ25</f>
        <v>542294</v>
      </c>
      <c r="BA75" s="637">
        <f>'Trading PL'!AM25</f>
        <v>3009346</v>
      </c>
    </row>
    <row r="76" ht="15.75" spans="2:53">
      <c r="B76" s="634" t="s">
        <v>82</v>
      </c>
      <c r="E76" s="638">
        <f>E22+E23</f>
        <v>21118</v>
      </c>
      <c r="I76" s="638">
        <f>I22+I23</f>
        <v>78189</v>
      </c>
      <c r="M76" s="638">
        <f>M22+M23</f>
        <v>56581</v>
      </c>
      <c r="Q76" s="638">
        <f>Q22+Q23</f>
        <v>53409</v>
      </c>
      <c r="U76" s="638">
        <f>U22+U23</f>
        <v>53941</v>
      </c>
      <c r="Y76" s="638">
        <f>Y22+Y23</f>
        <v>71780</v>
      </c>
      <c r="AC76" s="638">
        <f>AC22+AC23</f>
        <v>35930</v>
      </c>
      <c r="AG76" s="638">
        <f>AG22+AG23</f>
        <v>55075</v>
      </c>
      <c r="AK76" s="638">
        <f>AK22+AK23</f>
        <v>107427</v>
      </c>
      <c r="AO76" s="638">
        <f>AO22+AO23</f>
        <v>44971</v>
      </c>
      <c r="AS76" s="638">
        <f>AS22+AS23</f>
        <v>125794</v>
      </c>
      <c r="AW76" s="638">
        <f>AW22+AW23</f>
        <v>120940</v>
      </c>
      <c r="BA76" s="638">
        <f>BA22+BA23</f>
        <v>825155</v>
      </c>
    </row>
    <row r="77" ht="16.5" spans="2:53">
      <c r="B77" s="635" t="s">
        <v>763</v>
      </c>
      <c r="E77" s="639">
        <f>SUM(E74:E76)</f>
        <v>344361</v>
      </c>
      <c r="I77" s="639">
        <f>SUM(I74:I76)</f>
        <v>164184</v>
      </c>
      <c r="M77" s="639">
        <f>SUM(M74:M76)</f>
        <v>275268</v>
      </c>
      <c r="Q77" s="639">
        <f>SUM(Q74:Q76)</f>
        <v>419664</v>
      </c>
      <c r="U77" s="639">
        <f>SUM(U74:U76)</f>
        <v>433021</v>
      </c>
      <c r="Y77" s="639">
        <f>SUM(Y74:Y76)</f>
        <v>200056</v>
      </c>
      <c r="AC77" s="639">
        <f>SUM(AC74:AC76)</f>
        <v>106419</v>
      </c>
      <c r="AG77" s="639">
        <f>SUM(AG74:AG76)</f>
        <v>1447717</v>
      </c>
      <c r="AK77" s="639">
        <f>SUM(AK74:AK76)</f>
        <v>287149</v>
      </c>
      <c r="AO77" s="639">
        <f>SUM(AO74:AO76)</f>
        <v>256741</v>
      </c>
      <c r="AR77" s="642"/>
      <c r="AS77" s="639">
        <f>SUM(AS74:AS76)</f>
        <v>541031</v>
      </c>
      <c r="AW77" s="639">
        <f>SUM(AW74:AW76)</f>
        <v>1041234</v>
      </c>
      <c r="BA77" s="639">
        <f>SUM(BA74:BA76)</f>
        <v>5707716</v>
      </c>
    </row>
    <row r="79" spans="12:54">
      <c r="L79" s="318"/>
      <c r="M79" s="368"/>
      <c r="X79" s="318"/>
      <c r="Y79" s="368"/>
      <c r="Z79" s="368"/>
      <c r="AJ79" s="318">
        <f>AB15+AB16+AF15+AF16+AJ15+AJ16</f>
        <v>310495</v>
      </c>
      <c r="AK79" s="368">
        <f>AC15+AC16+AG15+AG16+AK15+AK16</f>
        <v>76434034</v>
      </c>
      <c r="AL79" s="368">
        <f>AK79/AJ79</f>
        <v>246.168324771735</v>
      </c>
      <c r="AV79" s="318">
        <f>AN15+AN16+AR15+AR16+AV15+AV16</f>
        <v>412537</v>
      </c>
      <c r="AW79" s="368">
        <f>AO15+AO16+AS15+AS16+AW15+AW16</f>
        <v>104668592</v>
      </c>
      <c r="AX79" s="368">
        <f>AW79/AV79</f>
        <v>253.71928336125</v>
      </c>
      <c r="AZ79" s="318"/>
      <c r="BA79" s="368"/>
      <c r="BB79" s="368"/>
    </row>
    <row r="80" spans="2:54">
      <c r="B80" s="229" t="s">
        <v>911</v>
      </c>
      <c r="E80" s="368">
        <f>E24-(E29+E35)</f>
        <v>3220155</v>
      </c>
      <c r="F80" s="540">
        <f>E80/$E$17</f>
        <v>0.104671433495021</v>
      </c>
      <c r="I80" s="368">
        <f>I24-(I29+I35)</f>
        <v>-3104946</v>
      </c>
      <c r="J80" s="540">
        <f>I80/$I$17</f>
        <v>-0.0816114893312346</v>
      </c>
      <c r="M80" s="368">
        <f>M24-(M29+M35)</f>
        <v>1720344</v>
      </c>
      <c r="N80" s="540">
        <f>M80/$M$17</f>
        <v>0.0443338187517078</v>
      </c>
      <c r="Q80" s="368">
        <f>Q24-(Q29+Q35)</f>
        <v>-83327</v>
      </c>
      <c r="R80" s="540">
        <f>Q80/$Q$17</f>
        <v>-0.00227584974830512</v>
      </c>
      <c r="U80" s="368">
        <f>U24-(U29+U35)</f>
        <v>18736867</v>
      </c>
      <c r="V80" s="540">
        <f>U80/$U$17</f>
        <v>0.527118493629422</v>
      </c>
      <c r="Y80" s="368">
        <f>Y24-(Y29+Y35)</f>
        <v>3252631</v>
      </c>
      <c r="Z80" s="540">
        <f>Y80/$U$17</f>
        <v>0.0915052635561944</v>
      </c>
      <c r="AK80" s="368">
        <f>AC22+AC23+AG22+AG23+AK22+AK23</f>
        <v>198432</v>
      </c>
      <c r="AW80" s="368">
        <f>AO22+AO23+AS22+AS23+AW22+AW23</f>
        <v>291705</v>
      </c>
      <c r="BA80" s="368">
        <f>BA24-(BA29+BA35)</f>
        <v>45082894</v>
      </c>
      <c r="BB80" s="540">
        <f>BA80/$BA$17</f>
        <v>0.108664474553847</v>
      </c>
    </row>
    <row r="81" spans="2:54">
      <c r="B81" s="229" t="s">
        <v>788</v>
      </c>
      <c r="E81" s="368">
        <f>E80-(E33)</f>
        <v>1212930</v>
      </c>
      <c r="F81" s="540">
        <f t="shared" ref="F81:F83" si="28">E81/$E$17</f>
        <v>0.0394264008499951</v>
      </c>
      <c r="I81" s="368">
        <f>I80-(I33)</f>
        <v>-5208002</v>
      </c>
      <c r="J81" s="540">
        <f t="shared" ref="J81:J83" si="29">I81/$I$17</f>
        <v>-0.136888950616226</v>
      </c>
      <c r="M81" s="368">
        <f>M80-(M33)</f>
        <v>-729441</v>
      </c>
      <c r="N81" s="540">
        <f t="shared" ref="N81:N83" si="30">M81/$M$17</f>
        <v>-0.0187979294164798</v>
      </c>
      <c r="Q81" s="368">
        <f>Q80-(Q33)</f>
        <v>-2368069</v>
      </c>
      <c r="R81" s="540">
        <f t="shared" ref="R81:R83" si="31">Q81/$Q$17</f>
        <v>-0.0646773463297508</v>
      </c>
      <c r="U81" s="368">
        <f>U80-(U33)</f>
        <v>16619845</v>
      </c>
      <c r="V81" s="540">
        <f t="shared" ref="V81:V83" si="32">U81/$U$17</f>
        <v>0.467560967410106</v>
      </c>
      <c r="Y81" s="368">
        <f>Y80-(Y33)</f>
        <v>341210</v>
      </c>
      <c r="Z81" s="540">
        <f t="shared" ref="Z81:Z83" si="33">Y81/$U$17</f>
        <v>0.00959915556914052</v>
      </c>
      <c r="AW81" s="368">
        <f>M80+Y80+AK80+AW80</f>
        <v>5463112</v>
      </c>
      <c r="BA81" s="368">
        <f>BA80-(BA33)</f>
        <v>27086666</v>
      </c>
      <c r="BB81" s="540">
        <f t="shared" ref="BB81:BB83" si="34">BA81/$BA$17</f>
        <v>0.0652876971098072</v>
      </c>
    </row>
    <row r="82" spans="2:54">
      <c r="B82" s="229" t="s">
        <v>442</v>
      </c>
      <c r="E82" s="368">
        <f>E81+E35</f>
        <v>1337930</v>
      </c>
      <c r="F82" s="540">
        <f t="shared" si="28"/>
        <v>0.0434895373098481</v>
      </c>
      <c r="I82" s="368">
        <f>I81+I35</f>
        <v>-5083002</v>
      </c>
      <c r="J82" s="540">
        <f t="shared" si="29"/>
        <v>-0.133603406788281</v>
      </c>
      <c r="M82" s="368">
        <f>M81+M35</f>
        <v>-604441</v>
      </c>
      <c r="N82" s="540">
        <f t="shared" si="30"/>
        <v>-0.0155766391722243</v>
      </c>
      <c r="Q82" s="368">
        <f>Q81+Q35</f>
        <v>-2243069</v>
      </c>
      <c r="R82" s="540">
        <f t="shared" si="31"/>
        <v>-0.0612633122407024</v>
      </c>
      <c r="U82" s="368">
        <f>U81+U35</f>
        <v>16744845</v>
      </c>
      <c r="V82" s="540">
        <f t="shared" si="32"/>
        <v>0.47107755381186</v>
      </c>
      <c r="Y82" s="368">
        <f>Y81+Y35</f>
        <v>466210</v>
      </c>
      <c r="Z82" s="540">
        <f t="shared" si="33"/>
        <v>0.0131157419708948</v>
      </c>
      <c r="AZ82" s="318"/>
      <c r="BA82" s="368">
        <f>BA81+BA35</f>
        <v>28586666</v>
      </c>
      <c r="BB82" s="540">
        <f t="shared" si="34"/>
        <v>0.068903186209304</v>
      </c>
    </row>
    <row r="83" spans="2:54">
      <c r="B83" s="229" t="s">
        <v>912</v>
      </c>
      <c r="E83" s="368">
        <f>E82-(E40+E35)</f>
        <v>263077</v>
      </c>
      <c r="F83" s="540">
        <f t="shared" si="28"/>
        <v>0.0085513420035898</v>
      </c>
      <c r="I83" s="368">
        <f>I82-(I40+I35)</f>
        <v>-5501675</v>
      </c>
      <c r="J83" s="540">
        <f t="shared" si="29"/>
        <v>-0.1446079547169</v>
      </c>
      <c r="M83" s="368">
        <f>M82-(M40+M35)</f>
        <v>-1934079</v>
      </c>
      <c r="N83" s="540">
        <f t="shared" si="30"/>
        <v>-0.0498418385145553</v>
      </c>
      <c r="Q83" s="368">
        <f>Q82-(Q40+Q35)</f>
        <v>-3009905</v>
      </c>
      <c r="R83" s="540">
        <f t="shared" si="31"/>
        <v>-0.0822073461983788</v>
      </c>
      <c r="U83" s="368">
        <f>U82-(U40+U35)</f>
        <v>15878058</v>
      </c>
      <c r="V83" s="540">
        <f t="shared" si="32"/>
        <v>0.446692502792521</v>
      </c>
      <c r="Y83" s="640">
        <f>Y82-(Y40+Y35)</f>
        <v>-598548</v>
      </c>
      <c r="Z83" s="540">
        <f t="shared" si="33"/>
        <v>-0.0168387660607776</v>
      </c>
      <c r="BA83" s="368">
        <f>BA82-(BA40+BA35)</f>
        <v>17268858</v>
      </c>
      <c r="BB83" s="540">
        <f t="shared" si="34"/>
        <v>0.0416235785731721</v>
      </c>
    </row>
    <row r="84" spans="5:5">
      <c r="E84" s="368">
        <f>E44-E83</f>
        <v>0</v>
      </c>
    </row>
  </sheetData>
  <mergeCells count="19">
    <mergeCell ref="B1:BB1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  <mergeCell ref="AU2:AX2"/>
    <mergeCell ref="AY2:BB2"/>
    <mergeCell ref="BN3:BV3"/>
    <mergeCell ref="BY3:CB3"/>
    <mergeCell ref="BT4:BV4"/>
    <mergeCell ref="BT12:BV12"/>
    <mergeCell ref="CC6:CC20"/>
  </mergeCells>
  <printOptions horizontalCentered="1"/>
  <pageMargins left="0.25" right="0.25" top="0.75" bottom="0.75" header="0.3" footer="0.3"/>
  <pageSetup paperSize="9" scale="66" orientation="landscape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H31"/>
  <sheetViews>
    <sheetView workbookViewId="0">
      <selection activeCell="D32" sqref="D32"/>
    </sheetView>
  </sheetViews>
  <sheetFormatPr defaultColWidth="9" defaultRowHeight="13.5" outlineLevelCol="7"/>
  <cols>
    <col min="3" max="3" width="50.7142857142857" customWidth="1"/>
    <col min="7" max="7" width="24.5714285714286" customWidth="1"/>
    <col min="8" max="8" width="78.8571428571429" customWidth="1"/>
  </cols>
  <sheetData>
    <row r="2" ht="15" spans="3:7">
      <c r="C2" t="s">
        <v>913</v>
      </c>
      <c r="G2" s="157" t="s">
        <v>914</v>
      </c>
    </row>
    <row r="3" spans="3:8">
      <c r="C3" t="s">
        <v>915</v>
      </c>
      <c r="D3" t="s">
        <v>916</v>
      </c>
      <c r="G3" t="s">
        <v>917</v>
      </c>
      <c r="H3" t="s">
        <v>918</v>
      </c>
    </row>
    <row r="4" spans="3:8">
      <c r="C4" t="s">
        <v>919</v>
      </c>
      <c r="D4" t="s">
        <v>920</v>
      </c>
      <c r="G4" t="s">
        <v>921</v>
      </c>
      <c r="H4" t="s">
        <v>922</v>
      </c>
    </row>
    <row r="5" spans="7:8">
      <c r="G5" t="s">
        <v>923</v>
      </c>
      <c r="H5" t="s">
        <v>924</v>
      </c>
    </row>
    <row r="6" spans="3:8">
      <c r="C6" t="s">
        <v>624</v>
      </c>
      <c r="G6" t="s">
        <v>925</v>
      </c>
      <c r="H6" t="s">
        <v>926</v>
      </c>
    </row>
    <row r="7" spans="3:8">
      <c r="C7" t="s">
        <v>927</v>
      </c>
      <c r="D7" t="s">
        <v>928</v>
      </c>
      <c r="G7" t="s">
        <v>929</v>
      </c>
      <c r="H7" t="s">
        <v>930</v>
      </c>
    </row>
    <row r="8" spans="3:8">
      <c r="C8" t="s">
        <v>931</v>
      </c>
      <c r="D8" t="s">
        <v>932</v>
      </c>
      <c r="G8" t="s">
        <v>933</v>
      </c>
      <c r="H8" t="s">
        <v>934</v>
      </c>
    </row>
    <row r="9" spans="7:8">
      <c r="G9" t="s">
        <v>935</v>
      </c>
      <c r="H9" t="s">
        <v>936</v>
      </c>
    </row>
    <row r="10" spans="3:8">
      <c r="C10" t="s">
        <v>937</v>
      </c>
      <c r="G10" t="s">
        <v>938</v>
      </c>
      <c r="H10" t="s">
        <v>939</v>
      </c>
    </row>
    <row r="11" spans="3:8">
      <c r="C11" t="s">
        <v>940</v>
      </c>
      <c r="D11" s="3325" t="s">
        <v>941</v>
      </c>
      <c r="G11" t="s">
        <v>942</v>
      </c>
      <c r="H11" t="s">
        <v>943</v>
      </c>
    </row>
    <row r="12" spans="7:8">
      <c r="G12" t="s">
        <v>944</v>
      </c>
      <c r="H12" t="s">
        <v>945</v>
      </c>
    </row>
    <row r="13" spans="3:8">
      <c r="C13" t="s">
        <v>946</v>
      </c>
      <c r="G13" t="s">
        <v>947</v>
      </c>
      <c r="H13" t="s">
        <v>948</v>
      </c>
    </row>
    <row r="14" spans="3:8">
      <c r="C14" t="s">
        <v>949</v>
      </c>
      <c r="D14" t="s">
        <v>950</v>
      </c>
      <c r="G14" t="s">
        <v>951</v>
      </c>
      <c r="H14" t="s">
        <v>952</v>
      </c>
    </row>
    <row r="15" spans="3:4">
      <c r="C15" t="s">
        <v>953</v>
      </c>
      <c r="D15" t="s">
        <v>954</v>
      </c>
    </row>
    <row r="16" ht="15" spans="7:7">
      <c r="G16" s="157" t="s">
        <v>955</v>
      </c>
    </row>
    <row r="17" spans="3:8">
      <c r="C17" t="s">
        <v>956</v>
      </c>
      <c r="G17" t="s">
        <v>957</v>
      </c>
      <c r="H17" t="s">
        <v>958</v>
      </c>
    </row>
    <row r="18" spans="3:8">
      <c r="C18" t="s">
        <v>959</v>
      </c>
      <c r="G18" t="s">
        <v>960</v>
      </c>
      <c r="H18" t="s">
        <v>961</v>
      </c>
    </row>
    <row r="19" spans="3:8">
      <c r="C19" t="s">
        <v>962</v>
      </c>
      <c r="D19" s="3325" t="s">
        <v>963</v>
      </c>
      <c r="G19" t="s">
        <v>964</v>
      </c>
      <c r="H19" t="s">
        <v>965</v>
      </c>
    </row>
    <row r="20" spans="3:8">
      <c r="C20" t="s">
        <v>966</v>
      </c>
      <c r="G20" t="s">
        <v>967</v>
      </c>
      <c r="H20" t="s">
        <v>968</v>
      </c>
    </row>
    <row r="21" spans="7:8">
      <c r="G21" t="s">
        <v>969</v>
      </c>
      <c r="H21" t="s">
        <v>970</v>
      </c>
    </row>
    <row r="22" spans="3:8">
      <c r="C22" t="s">
        <v>971</v>
      </c>
      <c r="G22" t="s">
        <v>972</v>
      </c>
      <c r="H22" t="s">
        <v>973</v>
      </c>
    </row>
    <row r="23" spans="3:8">
      <c r="C23" t="s">
        <v>974</v>
      </c>
      <c r="D23" s="3326" t="s">
        <v>975</v>
      </c>
      <c r="G23" t="s">
        <v>976</v>
      </c>
      <c r="H23" t="s">
        <v>977</v>
      </c>
    </row>
    <row r="24" spans="3:8">
      <c r="C24" t="s">
        <v>978</v>
      </c>
      <c r="D24" s="3326" t="s">
        <v>975</v>
      </c>
      <c r="G24" t="s">
        <v>979</v>
      </c>
      <c r="H24" t="s">
        <v>980</v>
      </c>
    </row>
    <row r="25" spans="7:8">
      <c r="G25" t="s">
        <v>981</v>
      </c>
      <c r="H25" t="s">
        <v>982</v>
      </c>
    </row>
    <row r="26" spans="3:8">
      <c r="C26" t="s">
        <v>983</v>
      </c>
      <c r="G26" t="s">
        <v>984</v>
      </c>
      <c r="H26" t="s">
        <v>985</v>
      </c>
    </row>
    <row r="27" spans="3:3">
      <c r="C27" t="s">
        <v>986</v>
      </c>
    </row>
    <row r="28" spans="3:3">
      <c r="C28" t="s">
        <v>987</v>
      </c>
    </row>
    <row r="29" spans="3:3">
      <c r="C29" t="s">
        <v>988</v>
      </c>
    </row>
    <row r="31" spans="3:4">
      <c r="C31" t="s">
        <v>989</v>
      </c>
      <c r="D31" t="s">
        <v>672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S41"/>
  <sheetViews>
    <sheetView showZeros="0" workbookViewId="0">
      <selection activeCell="I10" sqref="I10"/>
    </sheetView>
  </sheetViews>
  <sheetFormatPr defaultColWidth="9" defaultRowHeight="13.5"/>
  <cols>
    <col min="4" max="4" width="10.5714285714286" customWidth="1"/>
    <col min="5" max="5" width="7.57142857142857" customWidth="1"/>
    <col min="6" max="6" width="10.5714285714286" customWidth="1"/>
    <col min="7" max="7" width="7.57142857142857" customWidth="1"/>
    <col min="8" max="8" width="10.5714285714286" customWidth="1"/>
    <col min="9" max="9" width="7.14285714285714" customWidth="1"/>
    <col min="11" max="11" width="7" customWidth="1"/>
    <col min="12" max="12" width="7.57142857142857" customWidth="1"/>
    <col min="13" max="13" width="7.85714285714286" customWidth="1"/>
    <col min="22" max="22" width="9.57142857142857" customWidth="1"/>
    <col min="23" max="23" width="4.42857142857143" customWidth="1"/>
    <col min="24" max="24" width="8.57142857142857" customWidth="1"/>
    <col min="25" max="26" width="9.57142857142857" customWidth="1"/>
    <col min="27" max="28" width="10.5714285714286" customWidth="1"/>
    <col min="29" max="29" width="8" customWidth="1"/>
    <col min="30" max="30" width="9.57142857142857" customWidth="1"/>
    <col min="31" max="31" width="9" customWidth="1"/>
    <col min="35" max="35" width="11.8571428571429" customWidth="1"/>
    <col min="38" max="38" width="11.5714285714286" customWidth="1"/>
    <col min="41" max="41" width="11.5714285714286" customWidth="1"/>
    <col min="43" max="43" width="10.5714285714286" customWidth="1"/>
  </cols>
  <sheetData>
    <row r="1" ht="15.75" spans="3:44">
      <c r="C1" s="105" t="s">
        <v>990</v>
      </c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59"/>
      <c r="O1" s="219">
        <v>0.1</v>
      </c>
      <c r="P1" s="159"/>
      <c r="Q1" s="159"/>
      <c r="R1" s="159"/>
      <c r="S1" s="159"/>
      <c r="V1" s="229"/>
      <c r="W1" s="230"/>
      <c r="X1" s="159"/>
      <c r="Z1" s="159"/>
      <c r="AB1" s="159"/>
      <c r="AD1" s="159"/>
      <c r="AG1" s="230"/>
      <c r="AH1" s="159"/>
      <c r="AI1" s="212"/>
      <c r="AJ1" s="97"/>
      <c r="AK1" s="159"/>
      <c r="AL1" s="97"/>
      <c r="AM1" s="97"/>
      <c r="AN1" s="159"/>
      <c r="AO1" s="97"/>
      <c r="AP1" s="97"/>
      <c r="AQ1" s="97"/>
      <c r="AR1" s="159"/>
    </row>
    <row r="2" ht="16.5" spans="2:44">
      <c r="B2">
        <v>12</v>
      </c>
      <c r="C2" s="146"/>
      <c r="D2" s="147" t="s">
        <v>991</v>
      </c>
      <c r="E2" s="182" t="s">
        <v>784</v>
      </c>
      <c r="F2" s="182" t="s">
        <v>992</v>
      </c>
      <c r="G2" s="183" t="s">
        <v>993</v>
      </c>
      <c r="H2" s="184" t="s">
        <v>994</v>
      </c>
      <c r="I2" s="200" t="s">
        <v>228</v>
      </c>
      <c r="J2" s="184" t="s">
        <v>442</v>
      </c>
      <c r="K2" s="201" t="s">
        <v>219</v>
      </c>
      <c r="L2" s="202" t="s">
        <v>873</v>
      </c>
      <c r="M2" s="184" t="s">
        <v>780</v>
      </c>
      <c r="O2" s="220" t="s">
        <v>381</v>
      </c>
      <c r="V2" s="231"/>
      <c r="W2" s="230"/>
      <c r="X2" s="159"/>
      <c r="Z2" s="159"/>
      <c r="AB2" s="159"/>
      <c r="AD2" s="159"/>
      <c r="AG2" s="230"/>
      <c r="AH2" s="159"/>
      <c r="AI2" s="212"/>
      <c r="AJ2" s="97"/>
      <c r="AK2" s="159"/>
      <c r="AL2" s="97"/>
      <c r="AM2" s="97"/>
      <c r="AN2" s="159"/>
      <c r="AO2" s="97"/>
      <c r="AP2" s="97"/>
      <c r="AQ2" s="97"/>
      <c r="AR2" s="159"/>
    </row>
    <row r="3" ht="15" spans="3:45">
      <c r="C3" s="148" t="s">
        <v>17</v>
      </c>
      <c r="D3" s="149">
        <f>'PAL II'!F16</f>
        <v>275.9913560932</v>
      </c>
      <c r="E3" s="149">
        <f>'PAL II'!F11</f>
        <v>121.790879098629</v>
      </c>
      <c r="F3" s="149">
        <f>IF(D3=0,0,'PAL II'!F25)</f>
        <v>12.1627535341119</v>
      </c>
      <c r="G3" s="185">
        <f>IF(D3=0,0,'PAL II'!F50)</f>
        <v>82.9351420719104</v>
      </c>
      <c r="H3" s="186">
        <f t="shared" ref="H3:H15" si="0">D3-(E3+F3+G3)</f>
        <v>59.1025813885486</v>
      </c>
      <c r="I3" s="203">
        <f>IF(D3=0,0,'PAL II'!F33)</f>
        <v>11.6672673056691</v>
      </c>
      <c r="J3" s="186">
        <f>H3-I3</f>
        <v>47.4353140828795</v>
      </c>
      <c r="K3" s="204">
        <f>IF(D3=0,0,'PAL II'!F35)</f>
        <v>0.726579438383157</v>
      </c>
      <c r="L3" s="185">
        <f>IF(D3=0,0,'PAL II'!F40)</f>
        <v>5.52114927429246</v>
      </c>
      <c r="M3" s="186">
        <f>J3-(K3+L3)</f>
        <v>41.1875853702039</v>
      </c>
      <c r="O3" s="221">
        <f>IF(D3=0,0,'PAL II'!F$56)</f>
        <v>-2.91453129377092</v>
      </c>
      <c r="V3" s="229"/>
      <c r="W3" s="230"/>
      <c r="X3" s="159"/>
      <c r="Z3" s="159"/>
      <c r="AB3" s="159"/>
      <c r="AD3" s="159"/>
      <c r="AG3" s="230"/>
      <c r="AH3" s="159"/>
      <c r="AI3" s="212"/>
      <c r="AJ3" s="97"/>
      <c r="AK3" s="159"/>
      <c r="AL3" s="97"/>
      <c r="AM3" s="97"/>
      <c r="AN3" s="159"/>
      <c r="AO3" s="97"/>
      <c r="AP3" s="97"/>
      <c r="AQ3" s="97"/>
      <c r="AR3" s="159"/>
      <c r="AS3" s="159">
        <f>AK3-AR3</f>
        <v>0</v>
      </c>
    </row>
    <row r="4" ht="15" spans="3:44">
      <c r="C4" s="150" t="s">
        <v>18</v>
      </c>
      <c r="D4" s="151">
        <f>IF('PAL II'!I16=0,0,'PAL II'!J16)</f>
        <v>267.863922796823</v>
      </c>
      <c r="E4" s="151">
        <f>'PAL II'!J11</f>
        <v>129.334023574387</v>
      </c>
      <c r="F4" s="151">
        <f>IF(D4=0,0,'PAL II'!J25)</f>
        <v>13.0180933154727</v>
      </c>
      <c r="G4" s="151">
        <f>IF(E4=0,0,'PAL II'!J50)</f>
        <v>85.2975491599847</v>
      </c>
      <c r="H4" s="187">
        <f t="shared" si="0"/>
        <v>40.2142567469786</v>
      </c>
      <c r="I4" s="203">
        <f>IF(D4=0,0,'PAL II'!F34)</f>
        <v>7.77689942396782</v>
      </c>
      <c r="J4" s="187">
        <f t="shared" ref="J4:J15" si="1">H4-I4</f>
        <v>32.4373573230108</v>
      </c>
      <c r="K4" s="205">
        <f>'PAL II'!J35</f>
        <v>0.775607455759351</v>
      </c>
      <c r="L4" s="188">
        <f>'PAL II'!J40</f>
        <v>1.82219974684173</v>
      </c>
      <c r="M4" s="187">
        <f t="shared" ref="M4:M15" si="2">J4-(K4+L4)</f>
        <v>29.8395501204097</v>
      </c>
      <c r="O4" s="221">
        <f>'PAL II'!J$56</f>
        <v>-23.5340992736744</v>
      </c>
      <c r="V4" s="229"/>
      <c r="W4" s="230"/>
      <c r="X4" s="159"/>
      <c r="Z4" s="159"/>
      <c r="AB4" s="159"/>
      <c r="AC4" s="164"/>
      <c r="AD4" s="159"/>
      <c r="AE4" s="164"/>
      <c r="AG4" s="230"/>
      <c r="AH4" s="159"/>
      <c r="AI4" s="212"/>
      <c r="AJ4" s="97"/>
      <c r="AK4" s="159"/>
      <c r="AL4" s="97"/>
      <c r="AM4" s="97"/>
      <c r="AN4" s="159"/>
      <c r="AO4" s="97"/>
      <c r="AP4" s="97"/>
      <c r="AR4" s="159"/>
    </row>
    <row r="5" ht="15" spans="3:44">
      <c r="C5" s="150" t="s">
        <v>19</v>
      </c>
      <c r="D5" s="151">
        <f>IF('PAL II'!M16=0,0,'PAL II'!N16)</f>
        <v>284.972878136</v>
      </c>
      <c r="E5" s="151">
        <f>'PAL II'!N11</f>
        <v>124.094329372912</v>
      </c>
      <c r="F5" s="151">
        <f>IF(D5=0,0,'PAL II'!N25)</f>
        <v>16.7683187126334</v>
      </c>
      <c r="G5" s="151">
        <f>IF(E5=0,0,'PAL II'!N50)</f>
        <v>85.0616054287289</v>
      </c>
      <c r="H5" s="187">
        <f t="shared" si="0"/>
        <v>59.0486246217257</v>
      </c>
      <c r="I5" s="206">
        <f>'PAL II'!N33</f>
        <v>13.5704868631698</v>
      </c>
      <c r="J5" s="187">
        <f t="shared" si="1"/>
        <v>45.4781377585559</v>
      </c>
      <c r="K5" s="205">
        <f>'PAL II'!N35</f>
        <v>0.692432543221639</v>
      </c>
      <c r="L5" s="188">
        <f>'PAL II'!N40</f>
        <v>6.67304443201143</v>
      </c>
      <c r="M5" s="187">
        <f t="shared" si="2"/>
        <v>38.1126607833228</v>
      </c>
      <c r="O5" s="221">
        <f>'PAL II'!N$56</f>
        <v>3.7120443301614</v>
      </c>
      <c r="V5" s="229"/>
      <c r="W5" s="230"/>
      <c r="X5" s="159"/>
      <c r="Y5" s="97"/>
      <c r="Z5" s="159"/>
      <c r="AA5" s="97"/>
      <c r="AB5" s="159"/>
      <c r="AD5" s="159"/>
      <c r="AG5" s="230"/>
      <c r="AH5" s="159"/>
      <c r="AI5" s="212"/>
      <c r="AJ5" s="97"/>
      <c r="AK5" s="159"/>
      <c r="AL5" s="97"/>
      <c r="AM5" s="97"/>
      <c r="AN5" s="159"/>
      <c r="AO5" s="97"/>
      <c r="AP5" s="97"/>
      <c r="AR5" s="159"/>
    </row>
    <row r="6" ht="15" spans="3:44">
      <c r="C6" s="150" t="s">
        <v>20</v>
      </c>
      <c r="D6" s="151">
        <f>IF('PAL II'!Q16=0,0,'PAL II'!R16)</f>
        <v>277.247732304835</v>
      </c>
      <c r="E6" s="151">
        <f>'PAL II'!R11</f>
        <v>115.633528185213</v>
      </c>
      <c r="F6" s="151">
        <f>IF(D6=0,0,'PAL II'!R25)</f>
        <v>26.131228721758</v>
      </c>
      <c r="G6" s="151">
        <f>IF(E6=0,0,'PAL II'!R50)</f>
        <v>86.6205536653263</v>
      </c>
      <c r="H6" s="187">
        <f t="shared" si="0"/>
        <v>48.8624217325376</v>
      </c>
      <c r="I6" s="206">
        <f>'PAL II'!R33</f>
        <v>12.8806390871472</v>
      </c>
      <c r="J6" s="187">
        <f t="shared" si="1"/>
        <v>35.9817826453904</v>
      </c>
      <c r="K6" s="205">
        <f>'PAL II'!R35</f>
        <v>0.704709715973796</v>
      </c>
      <c r="L6" s="188">
        <f>'PAL II'!R40</f>
        <v>3.61846452209406</v>
      </c>
      <c r="M6" s="187">
        <f t="shared" si="2"/>
        <v>31.6586084073225</v>
      </c>
      <c r="O6" s="221">
        <f>'PAL II'!R$56</f>
        <v>11.6123760419173</v>
      </c>
      <c r="V6" s="229"/>
      <c r="W6" s="230"/>
      <c r="X6" s="159"/>
      <c r="Z6" s="159"/>
      <c r="AB6" s="159"/>
      <c r="AD6" s="159"/>
      <c r="AG6" s="230"/>
      <c r="AH6" s="159"/>
      <c r="AI6" s="212"/>
      <c r="AJ6" s="97"/>
      <c r="AK6" s="159"/>
      <c r="AL6" s="97"/>
      <c r="AM6" s="97"/>
      <c r="AN6" s="159"/>
      <c r="AO6" s="97"/>
      <c r="AP6" s="97"/>
      <c r="AR6" s="159"/>
    </row>
    <row r="7" ht="15" spans="3:45">
      <c r="C7" s="150" t="s">
        <v>21</v>
      </c>
      <c r="D7" s="151">
        <f>IF('PAL II'!U16=0,0,'PAL II'!V16)</f>
        <v>272.063007585899</v>
      </c>
      <c r="E7" s="151">
        <f>'PAL II'!V11</f>
        <v>124.37167408689</v>
      </c>
      <c r="F7" s="151">
        <f>IF(D7=0,0,'PAL II'!V25)</f>
        <v>22.3176643080258</v>
      </c>
      <c r="G7" s="188">
        <f>IF(D7=0,0,'PAL II'!V50)</f>
        <v>89.1880234053034</v>
      </c>
      <c r="H7" s="187">
        <f t="shared" si="0"/>
        <v>36.1856457856795</v>
      </c>
      <c r="I7" s="206">
        <f>'PAL II'!V33</f>
        <v>12.0425609374556</v>
      </c>
      <c r="J7" s="187">
        <f t="shared" si="1"/>
        <v>24.1430848482239</v>
      </c>
      <c r="K7" s="205">
        <f>'PAL II'!V35</f>
        <v>0.7110554907705</v>
      </c>
      <c r="L7" s="188">
        <f>'PAL II'!V40</f>
        <v>4.21961375465741</v>
      </c>
      <c r="M7" s="187">
        <f t="shared" si="2"/>
        <v>19.212415602796</v>
      </c>
      <c r="O7" s="221">
        <f>'PAL II'!V$56</f>
        <v>9.74696978807754</v>
      </c>
      <c r="V7" s="229"/>
      <c r="X7" s="232"/>
      <c r="Y7" s="230"/>
      <c r="Z7" s="232"/>
      <c r="AA7" s="230"/>
      <c r="AB7" s="232"/>
      <c r="AC7" s="230"/>
      <c r="AD7" s="232"/>
      <c r="AE7" s="230"/>
      <c r="AF7" s="250"/>
      <c r="AH7" s="232"/>
      <c r="AI7" s="254"/>
      <c r="AJ7" s="97"/>
      <c r="AK7" s="232"/>
      <c r="AL7" s="234"/>
      <c r="AM7" s="97"/>
      <c r="AN7" s="232"/>
      <c r="AO7" s="234"/>
      <c r="AP7" s="97"/>
      <c r="AQ7" s="97"/>
      <c r="AR7" s="159"/>
      <c r="AS7" s="159">
        <f>SUM(AS1:AS6)</f>
        <v>0</v>
      </c>
    </row>
    <row r="8" ht="15.75" spans="3:30">
      <c r="C8" s="150" t="s">
        <v>22</v>
      </c>
      <c r="D8" s="151">
        <f>IF('PAL II'!Y16=0,0,'PAL II'!Z16)</f>
        <v>266.865434540734</v>
      </c>
      <c r="E8" s="151">
        <f>'PAL II'!Z11</f>
        <v>123.688236534986</v>
      </c>
      <c r="F8" s="151">
        <f>IF(D8=0,0,'PAL II'!Z25)</f>
        <v>34.6108758808258</v>
      </c>
      <c r="G8" s="188">
        <f>IF(D8=0,0,('PAL II'!Z50))</f>
        <v>86.2332071068449</v>
      </c>
      <c r="H8" s="187">
        <f t="shared" si="0"/>
        <v>22.3331150180777</v>
      </c>
      <c r="I8" s="206">
        <f>'PAL II'!Z33</f>
        <v>21.8696648288088</v>
      </c>
      <c r="J8" s="187">
        <f t="shared" si="1"/>
        <v>0.463450189268908</v>
      </c>
      <c r="K8" s="205">
        <f>'PAL II'!Z35</f>
        <v>0.938960082928954</v>
      </c>
      <c r="L8" s="188">
        <f>'PAL II'!Z40</f>
        <v>7.05916199690519</v>
      </c>
      <c r="M8" s="187">
        <f t="shared" si="2"/>
        <v>-7.53467189056523</v>
      </c>
      <c r="O8" s="221">
        <f>'PAL II'!Z$56</f>
        <v>39.2761205402661</v>
      </c>
      <c r="V8" s="231"/>
      <c r="AB8" s="159"/>
      <c r="AD8" s="159"/>
    </row>
    <row r="9" ht="15" spans="3:31">
      <c r="C9" s="150" t="s">
        <v>23</v>
      </c>
      <c r="D9" s="151">
        <f>IF('PAL II'!AC16=0,0,'PAL II'!AD16)</f>
        <v>252.390159082501</v>
      </c>
      <c r="E9" s="151">
        <f>'PAL II'!AD11</f>
        <v>130.97797841428</v>
      </c>
      <c r="F9" s="151">
        <f>IF(D9=0,0,'PAL II'!AD25)</f>
        <v>43.939504254532</v>
      </c>
      <c r="G9" s="151">
        <f>IF(E9=0,0,'PAL II'!R53)</f>
        <v>0</v>
      </c>
      <c r="H9" s="187">
        <f t="shared" si="0"/>
        <v>77.4726764136891</v>
      </c>
      <c r="I9" s="206">
        <f>'PAL II'!AD33</f>
        <v>4.36415691716311</v>
      </c>
      <c r="J9" s="187">
        <f t="shared" si="1"/>
        <v>73.108519496526</v>
      </c>
      <c r="K9" s="205">
        <f>'PAL II'!AD35</f>
        <v>0</v>
      </c>
      <c r="L9" s="188">
        <f>'PAL II'!AD40</f>
        <v>6.09709628282732</v>
      </c>
      <c r="M9" s="187">
        <f t="shared" si="2"/>
        <v>67.0114232136987</v>
      </c>
      <c r="O9" s="221">
        <f>'PAL II'!AD$56</f>
        <v>20.0022115515072</v>
      </c>
      <c r="V9" s="229"/>
      <c r="Y9" s="234"/>
      <c r="Z9" s="159"/>
      <c r="AC9" s="234"/>
      <c r="AD9" s="159"/>
      <c r="AE9" s="164"/>
    </row>
    <row r="10" ht="15" spans="3:29">
      <c r="C10" s="150" t="s">
        <v>24</v>
      </c>
      <c r="D10" s="151">
        <f>IF('PAL II'!AG16=0,0,'PAL II'!AH16)</f>
        <v>246.049496791875</v>
      </c>
      <c r="E10" s="151">
        <f>'PAL II'!AH11</f>
        <v>121.238400779847</v>
      </c>
      <c r="F10" s="151">
        <f>IF(D10=0,0,'PAL II'!AH25)</f>
        <v>33.8355847306193</v>
      </c>
      <c r="G10" s="151">
        <f>IF(E10=0,0,'PAL II'!R54)</f>
        <v>0</v>
      </c>
      <c r="H10" s="187">
        <f t="shared" si="0"/>
        <v>90.9755112814084</v>
      </c>
      <c r="I10" s="206">
        <f>'PAL II'!AH33</f>
        <v>4.60023369741808</v>
      </c>
      <c r="J10" s="187">
        <f t="shared" si="1"/>
        <v>86.3752775839904</v>
      </c>
      <c r="K10" s="205">
        <f>'PAL II'!AH35</f>
        <v>0</v>
      </c>
      <c r="L10" s="188">
        <f>'PAL II'!AH40</f>
        <v>4.53405483766153</v>
      </c>
      <c r="M10" s="187">
        <f t="shared" si="2"/>
        <v>81.8412227463288</v>
      </c>
      <c r="O10" s="221">
        <f>'PAL II'!AH$56</f>
        <v>-7.7749363093527</v>
      </c>
      <c r="V10" s="229"/>
      <c r="W10" s="233"/>
      <c r="Y10" s="234"/>
      <c r="AC10" s="234"/>
    </row>
    <row r="11" ht="15" spans="3:29">
      <c r="C11" s="150" t="s">
        <v>25</v>
      </c>
      <c r="D11" s="151">
        <f>IF('PAL II'!AK16=0,0,'PAL II'!AL16)</f>
        <v>241.516702586207</v>
      </c>
      <c r="E11" s="151">
        <f>'PAL II'!AL11</f>
        <v>118.62286023591</v>
      </c>
      <c r="F11" s="151">
        <f>IF(D11=0,0,'PAL II'!AL25)</f>
        <v>66.3036507314524</v>
      </c>
      <c r="G11" s="151">
        <f>IF(E11=0,0,'PAL II'!R55)</f>
        <v>0</v>
      </c>
      <c r="H11" s="187">
        <f t="shared" si="0"/>
        <v>56.5901916188447</v>
      </c>
      <c r="I11" s="206">
        <f>'PAL II'!AL33</f>
        <v>5.91180186808266</v>
      </c>
      <c r="J11" s="187">
        <f t="shared" si="1"/>
        <v>50.6783897507621</v>
      </c>
      <c r="K11" s="205">
        <f>'PAL II'!AL35</f>
        <v>0</v>
      </c>
      <c r="L11" s="188">
        <f>'PAL II'!AL40</f>
        <v>7.54995681658243</v>
      </c>
      <c r="M11" s="187">
        <f t="shared" si="2"/>
        <v>43.1284329341796</v>
      </c>
      <c r="O11" s="221">
        <f>'PAL II'!AL$56</f>
        <v>49.620342374288</v>
      </c>
      <c r="V11" s="229"/>
      <c r="W11" s="230"/>
      <c r="X11" s="234"/>
      <c r="Y11" s="234"/>
      <c r="Z11" s="232"/>
      <c r="AA11" s="234"/>
      <c r="AB11" s="239"/>
      <c r="AC11" s="234"/>
    </row>
    <row r="12" ht="15" spans="3:28">
      <c r="C12" s="150" t="s">
        <v>26</v>
      </c>
      <c r="D12" s="151">
        <f>IF('PAL II'!AO16=0,0,'PAL II'!AP16)</f>
        <v>250.481687060748</v>
      </c>
      <c r="E12" s="151">
        <f>'PAL II'!AP11</f>
        <v>97.0103402686993</v>
      </c>
      <c r="F12" s="151">
        <f>IF(D12=0,0,'PAL II'!AP25)</f>
        <v>32.1660434368896</v>
      </c>
      <c r="G12" s="151">
        <f>IF(E12=0,0,'PAL II'!R56)</f>
        <v>11.6123760419173</v>
      </c>
      <c r="H12" s="187">
        <f t="shared" si="0"/>
        <v>109.692927313242</v>
      </c>
      <c r="I12" s="206">
        <f>'PAL II'!AP33</f>
        <v>3.10888712447144</v>
      </c>
      <c r="J12" s="187">
        <f t="shared" si="1"/>
        <v>106.584040188771</v>
      </c>
      <c r="K12" s="205">
        <f>'PAL II'!AP35</f>
        <v>0</v>
      </c>
      <c r="L12" s="188">
        <f>'PAL II'!AP40</f>
        <v>5.03214727551378</v>
      </c>
      <c r="M12" s="187">
        <f t="shared" si="2"/>
        <v>101.551892913257</v>
      </c>
      <c r="O12" s="221">
        <f>'PAL II'!AP$56</f>
        <v>-16.1680914981495</v>
      </c>
      <c r="V12" s="229"/>
      <c r="X12" s="97"/>
      <c r="Y12" s="97"/>
      <c r="AB12" s="240"/>
    </row>
    <row r="13" ht="15" spans="3:28">
      <c r="C13" s="150" t="s">
        <v>27</v>
      </c>
      <c r="D13" s="151">
        <f>IF('PAL II'!AS16=0,0,'PAL II'!AT16)</f>
        <v>254.63589071652</v>
      </c>
      <c r="E13" s="151">
        <f>'PAL II'!AT11</f>
        <v>99.0867006397651</v>
      </c>
      <c r="F13" s="151">
        <f>IF(D13=0,0,'PAL II'!AT25)</f>
        <v>29.535716792625</v>
      </c>
      <c r="G13" s="151">
        <f>IF(E13=0,0,'PAL II'!R57)</f>
        <v>0</v>
      </c>
      <c r="H13" s="187">
        <f t="shared" si="0"/>
        <v>126.01347328413</v>
      </c>
      <c r="I13" s="206">
        <f>'PAL II'!AT33</f>
        <v>4.81539675998212</v>
      </c>
      <c r="J13" s="187">
        <f t="shared" si="1"/>
        <v>121.198076524147</v>
      </c>
      <c r="K13" s="205">
        <f>'PAL II'!AT35</f>
        <v>0</v>
      </c>
      <c r="L13" s="188">
        <f>'PAL II'!AT40</f>
        <v>5.86368939477488</v>
      </c>
      <c r="M13" s="187">
        <f t="shared" si="2"/>
        <v>115.334387129373</v>
      </c>
      <c r="O13" s="221">
        <f>'PAL II'!AT56</f>
        <v>-16.0205014210378</v>
      </c>
      <c r="V13" s="229"/>
      <c r="X13" s="97"/>
      <c r="Y13" s="97"/>
      <c r="AB13" s="241"/>
    </row>
    <row r="14" ht="14.25" spans="3:28">
      <c r="C14" s="152" t="s">
        <v>28</v>
      </c>
      <c r="D14" s="153">
        <f>IF('PAL II'!AW16=0,0,'PAL II'!AX16)</f>
        <v>255.362662144255</v>
      </c>
      <c r="E14" s="153">
        <f>'PAL II'!AX11</f>
        <v>106.322768889378</v>
      </c>
      <c r="F14" s="151">
        <f>IF(D14=0,0,'PAL II'!AX25)</f>
        <v>25.4761783191704</v>
      </c>
      <c r="G14" s="151">
        <f>IF(E14=0,0,'PAL II'!R58)</f>
        <v>0</v>
      </c>
      <c r="H14" s="189">
        <f t="shared" si="0"/>
        <v>123.563714935707</v>
      </c>
      <c r="I14" s="207">
        <f>'PAL II'!AX33</f>
        <v>3.91437774823602</v>
      </c>
      <c r="J14" s="189">
        <f t="shared" si="1"/>
        <v>119.649337187471</v>
      </c>
      <c r="K14" s="208">
        <f>'PAL II'!AX35</f>
        <v>0</v>
      </c>
      <c r="L14" s="209">
        <f>'PAL II'!AX40</f>
        <v>4.00977093772369</v>
      </c>
      <c r="M14" s="187">
        <f t="shared" si="2"/>
        <v>115.639566249747</v>
      </c>
      <c r="O14" s="221">
        <f>'PAL II'!AX56</f>
        <v>-42.1371517506115</v>
      </c>
      <c r="V14" s="235"/>
      <c r="X14" s="97"/>
      <c r="Y14" s="97"/>
      <c r="Z14" s="159"/>
      <c r="AA14" s="97"/>
      <c r="AB14" s="241"/>
    </row>
    <row r="15" ht="15.75" spans="3:28">
      <c r="C15" s="154" t="s">
        <v>47</v>
      </c>
      <c r="D15" s="155">
        <f>'PAL II'!BB16</f>
        <v>260.914264018128</v>
      </c>
      <c r="E15" s="155">
        <f>'PAL II'!BB11</f>
        <v>124.54784623814</v>
      </c>
      <c r="F15" s="155">
        <f>'PAL II'!BB25</f>
        <v>28.1282156804673</v>
      </c>
      <c r="G15" s="190">
        <f>'PAL II'!BB50</f>
        <v>86.849870320529</v>
      </c>
      <c r="H15" s="191">
        <f t="shared" si="0"/>
        <v>21.3883317789922</v>
      </c>
      <c r="I15" s="210">
        <f>'PAL II'!BB33</f>
        <v>8.98630509647272</v>
      </c>
      <c r="J15" s="191">
        <f t="shared" si="1"/>
        <v>12.4020266825195</v>
      </c>
      <c r="K15" s="211">
        <f>'PAL II'!BB35</f>
        <v>0.749015718444392</v>
      </c>
      <c r="L15" s="190">
        <f>'PAL II'!BB40</f>
        <v>4.90246167511273</v>
      </c>
      <c r="M15" s="191">
        <f t="shared" si="2"/>
        <v>6.75054928896236</v>
      </c>
      <c r="O15" s="191">
        <f>'PAL II'!BB56</f>
        <v>0.0841957954238239</v>
      </c>
      <c r="V15" s="236"/>
      <c r="Y15" s="97"/>
      <c r="AB15" s="241"/>
    </row>
    <row r="16" ht="15" spans="5:28">
      <c r="E16" s="192">
        <f>SUM(E15:G15)+I15</f>
        <v>248.512237335609</v>
      </c>
      <c r="F16" s="193"/>
      <c r="G16" s="193"/>
      <c r="J16" s="212">
        <f>D15-E16</f>
        <v>12.4020266825195</v>
      </c>
      <c r="V16" s="236"/>
      <c r="W16" s="230"/>
      <c r="X16" s="234"/>
      <c r="Y16" s="234"/>
      <c r="Z16" s="232"/>
      <c r="AA16" s="234"/>
      <c r="AB16" s="242"/>
    </row>
    <row r="17" spans="23:28">
      <c r="W17" s="237"/>
      <c r="X17" s="238"/>
      <c r="Y17" s="238"/>
      <c r="Z17" s="243"/>
      <c r="AA17" s="238"/>
      <c r="AB17" s="244"/>
    </row>
    <row r="18" ht="14.25" spans="2:28">
      <c r="B18" s="96"/>
      <c r="C18" s="156" t="s">
        <v>995</v>
      </c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W18" s="237"/>
      <c r="Y18" s="244"/>
      <c r="Z18" s="243"/>
      <c r="AB18" s="244"/>
    </row>
    <row r="19" ht="15.75" spans="2:28">
      <c r="B19" s="157" t="s">
        <v>996</v>
      </c>
      <c r="C19" s="146"/>
      <c r="D19" s="158" t="s">
        <v>17</v>
      </c>
      <c r="E19" s="158" t="s">
        <v>18</v>
      </c>
      <c r="F19" s="158" t="s">
        <v>19</v>
      </c>
      <c r="G19" s="158" t="s">
        <v>20</v>
      </c>
      <c r="H19" s="158" t="s">
        <v>21</v>
      </c>
      <c r="I19" s="158" t="s">
        <v>22</v>
      </c>
      <c r="J19" s="158" t="s">
        <v>23</v>
      </c>
      <c r="K19" s="158" t="s">
        <v>24</v>
      </c>
      <c r="L19" s="158" t="s">
        <v>25</v>
      </c>
      <c r="M19" s="158" t="s">
        <v>26</v>
      </c>
      <c r="N19" s="158" t="s">
        <v>27</v>
      </c>
      <c r="O19" s="158" t="s">
        <v>28</v>
      </c>
      <c r="P19" s="222" t="s">
        <v>52</v>
      </c>
      <c r="W19" s="237"/>
      <c r="Y19" s="244"/>
      <c r="Z19" s="243"/>
      <c r="AB19" s="244"/>
    </row>
    <row r="20" spans="2:16">
      <c r="B20" s="159">
        <v>30000</v>
      </c>
      <c r="C20" s="148" t="s">
        <v>848</v>
      </c>
      <c r="D20" s="160">
        <v>29214</v>
      </c>
      <c r="E20" s="160">
        <v>23725</v>
      </c>
      <c r="F20" s="160">
        <v>30329</v>
      </c>
      <c r="G20" s="160">
        <v>30380</v>
      </c>
      <c r="H20" s="160"/>
      <c r="I20" s="160"/>
      <c r="J20" s="160"/>
      <c r="K20" s="160"/>
      <c r="L20" s="160"/>
      <c r="M20" s="160"/>
      <c r="N20" s="160"/>
      <c r="O20" s="160"/>
      <c r="P20" s="223">
        <f>SUM(D20:O20)</f>
        <v>113648</v>
      </c>
    </row>
    <row r="21" ht="14.25" spans="2:16">
      <c r="B21" s="159">
        <v>1000</v>
      </c>
      <c r="C21" s="152" t="s">
        <v>381</v>
      </c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224">
        <f>SUM(D21:O21)</f>
        <v>0</v>
      </c>
    </row>
    <row r="22" ht="14.25" spans="2:16">
      <c r="B22" s="162">
        <f>SUM(B20:B21)</f>
        <v>31000</v>
      </c>
      <c r="C22" s="154" t="s">
        <v>52</v>
      </c>
      <c r="D22" s="163">
        <f>SUM(D20:D21)</f>
        <v>29214</v>
      </c>
      <c r="E22" s="163">
        <f t="shared" ref="E22:P22" si="3">SUM(E20:E21)</f>
        <v>23725</v>
      </c>
      <c r="F22" s="163">
        <f t="shared" si="3"/>
        <v>30329</v>
      </c>
      <c r="G22" s="163">
        <f t="shared" si="3"/>
        <v>30380</v>
      </c>
      <c r="H22" s="163">
        <f t="shared" si="3"/>
        <v>0</v>
      </c>
      <c r="I22" s="163">
        <f t="shared" si="3"/>
        <v>0</v>
      </c>
      <c r="J22" s="163">
        <f t="shared" si="3"/>
        <v>0</v>
      </c>
      <c r="K22" s="163">
        <f t="shared" si="3"/>
        <v>0</v>
      </c>
      <c r="L22" s="163">
        <f t="shared" si="3"/>
        <v>0</v>
      </c>
      <c r="M22" s="163">
        <f t="shared" si="3"/>
        <v>0</v>
      </c>
      <c r="N22" s="163">
        <f t="shared" si="3"/>
        <v>0</v>
      </c>
      <c r="O22" s="163">
        <f t="shared" si="3"/>
        <v>0</v>
      </c>
      <c r="P22" s="225">
        <f t="shared" si="3"/>
        <v>113648</v>
      </c>
    </row>
    <row r="23" spans="3:16">
      <c r="C23" s="148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223"/>
    </row>
    <row r="24" spans="2:16">
      <c r="B24" s="164">
        <v>220100</v>
      </c>
      <c r="C24" s="150" t="s">
        <v>997</v>
      </c>
      <c r="D24" s="165">
        <v>176548</v>
      </c>
      <c r="E24" s="165">
        <v>186269</v>
      </c>
      <c r="F24" s="165">
        <v>186733</v>
      </c>
      <c r="G24" s="165">
        <v>205508</v>
      </c>
      <c r="H24" s="165"/>
      <c r="I24" s="165"/>
      <c r="J24" s="165"/>
      <c r="K24" s="165"/>
      <c r="L24" s="165"/>
      <c r="M24" s="165"/>
      <c r="N24" s="165"/>
      <c r="O24" s="165"/>
      <c r="P24" s="94">
        <f>SUM(D24:O24)</f>
        <v>755058</v>
      </c>
    </row>
    <row r="25" spans="2:16">
      <c r="B25" s="164">
        <v>53970</v>
      </c>
      <c r="C25" s="150" t="s">
        <v>998</v>
      </c>
      <c r="D25" s="165">
        <v>56636</v>
      </c>
      <c r="E25" s="165">
        <v>60433</v>
      </c>
      <c r="F25" s="165">
        <v>62100</v>
      </c>
      <c r="G25" s="165">
        <v>62099</v>
      </c>
      <c r="H25" s="165"/>
      <c r="I25" s="165"/>
      <c r="J25" s="165"/>
      <c r="K25" s="165"/>
      <c r="L25" s="165"/>
      <c r="M25" s="165"/>
      <c r="N25" s="165"/>
      <c r="O25" s="165"/>
      <c r="P25" s="94">
        <f t="shared" ref="P25:P27" si="4">SUM(D25:O25)</f>
        <v>241268</v>
      </c>
    </row>
    <row r="26" spans="2:16">
      <c r="B26" s="164">
        <v>27000</v>
      </c>
      <c r="C26" s="150" t="s">
        <v>196</v>
      </c>
      <c r="D26" s="165">
        <v>27000</v>
      </c>
      <c r="E26" s="165">
        <f>D26</f>
        <v>27000</v>
      </c>
      <c r="F26" s="165">
        <f t="shared" ref="F26:G26" si="5">E26</f>
        <v>27000</v>
      </c>
      <c r="G26" s="165">
        <f t="shared" si="5"/>
        <v>27000</v>
      </c>
      <c r="H26" s="165"/>
      <c r="I26" s="165"/>
      <c r="J26" s="165"/>
      <c r="K26" s="165"/>
      <c r="L26" s="165"/>
      <c r="M26" s="165"/>
      <c r="N26" s="165"/>
      <c r="O26" s="165"/>
      <c r="P26" s="94">
        <f t="shared" si="4"/>
        <v>108000</v>
      </c>
    </row>
    <row r="27" ht="14.25" spans="2:16">
      <c r="B27" s="164"/>
      <c r="C27" s="166" t="s">
        <v>999</v>
      </c>
      <c r="D27" s="167"/>
      <c r="E27" s="167"/>
      <c r="F27" s="167">
        <v>2102</v>
      </c>
      <c r="G27" s="167"/>
      <c r="H27" s="167"/>
      <c r="I27" s="167"/>
      <c r="J27" s="167"/>
      <c r="K27" s="167"/>
      <c r="L27" s="167"/>
      <c r="M27" s="167"/>
      <c r="N27" s="167"/>
      <c r="O27" s="167"/>
      <c r="P27" s="226">
        <f t="shared" si="4"/>
        <v>2102</v>
      </c>
    </row>
    <row r="28" ht="14.25" spans="2:16">
      <c r="B28" s="168">
        <f>SUM(B24:B27)</f>
        <v>301070</v>
      </c>
      <c r="C28" s="154"/>
      <c r="D28" s="169">
        <f>SUM(D24:D27)</f>
        <v>260184</v>
      </c>
      <c r="E28" s="169">
        <f t="shared" ref="E28:P28" si="6">SUM(E24:E27)</f>
        <v>273702</v>
      </c>
      <c r="F28" s="169">
        <f t="shared" si="6"/>
        <v>277935</v>
      </c>
      <c r="G28" s="169">
        <f t="shared" si="6"/>
        <v>294607</v>
      </c>
      <c r="H28" s="169">
        <f t="shared" si="6"/>
        <v>0</v>
      </c>
      <c r="I28" s="169">
        <f t="shared" si="6"/>
        <v>0</v>
      </c>
      <c r="J28" s="169">
        <f t="shared" si="6"/>
        <v>0</v>
      </c>
      <c r="K28" s="169">
        <f t="shared" si="6"/>
        <v>0</v>
      </c>
      <c r="L28" s="169">
        <f t="shared" si="6"/>
        <v>0</v>
      </c>
      <c r="M28" s="169">
        <f t="shared" si="6"/>
        <v>0</v>
      </c>
      <c r="N28" s="169">
        <f t="shared" si="6"/>
        <v>0</v>
      </c>
      <c r="O28" s="169">
        <f t="shared" si="6"/>
        <v>0</v>
      </c>
      <c r="P28" s="227">
        <f t="shared" si="6"/>
        <v>1106428</v>
      </c>
    </row>
    <row r="29" ht="15.75" spans="2:16">
      <c r="B29" s="95">
        <f>B28/B22</f>
        <v>9.71193548387097</v>
      </c>
      <c r="C29" s="146" t="s">
        <v>1000</v>
      </c>
      <c r="D29" s="170">
        <f>IF(D22=0,0,D28/D22)</f>
        <v>8.90614089135346</v>
      </c>
      <c r="E29" s="170">
        <f t="shared" ref="E29:P29" si="7">IF(E22=0,0,E28/E22)</f>
        <v>11.5364383561644</v>
      </c>
      <c r="F29" s="170">
        <f t="shared" si="7"/>
        <v>9.1640014507567</v>
      </c>
      <c r="G29" s="170">
        <f t="shared" si="7"/>
        <v>9.69739960500329</v>
      </c>
      <c r="H29" s="170">
        <f t="shared" si="7"/>
        <v>0</v>
      </c>
      <c r="I29" s="170">
        <f t="shared" si="7"/>
        <v>0</v>
      </c>
      <c r="J29" s="170">
        <f t="shared" si="7"/>
        <v>0</v>
      </c>
      <c r="K29" s="170">
        <f t="shared" si="7"/>
        <v>0</v>
      </c>
      <c r="L29" s="170">
        <f t="shared" si="7"/>
        <v>0</v>
      </c>
      <c r="M29" s="170">
        <f t="shared" si="7"/>
        <v>0</v>
      </c>
      <c r="N29" s="170">
        <f t="shared" si="7"/>
        <v>0</v>
      </c>
      <c r="O29" s="170">
        <f t="shared" si="7"/>
        <v>0</v>
      </c>
      <c r="P29" s="228">
        <f t="shared" si="7"/>
        <v>9.73556947768549</v>
      </c>
    </row>
    <row r="30" ht="15" spans="2:16">
      <c r="B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</row>
    <row r="31" ht="14.25" spans="3:29">
      <c r="C31" s="156" t="s">
        <v>1001</v>
      </c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</row>
    <row r="32" ht="15.75" spans="3:29">
      <c r="C32" s="171" t="s">
        <v>1002</v>
      </c>
      <c r="D32" s="172">
        <f>121643+108033</f>
        <v>229676</v>
      </c>
      <c r="E32" s="194"/>
      <c r="F32" s="172">
        <f>111093+106815</f>
        <v>217908</v>
      </c>
      <c r="G32" s="194"/>
      <c r="H32" s="172">
        <f>130497+122090</f>
        <v>252587</v>
      </c>
      <c r="I32" s="213"/>
      <c r="J32" s="172"/>
      <c r="K32" s="194"/>
      <c r="L32" s="172"/>
      <c r="M32" s="194"/>
      <c r="N32" s="172"/>
      <c r="O32" s="194"/>
      <c r="P32" s="172"/>
      <c r="Q32" s="194"/>
      <c r="R32" s="172"/>
      <c r="S32" s="194"/>
      <c r="T32" s="172"/>
      <c r="U32" s="194"/>
      <c r="V32" s="172"/>
      <c r="W32" s="194"/>
      <c r="X32" s="172"/>
      <c r="Y32" s="194"/>
      <c r="Z32" s="172"/>
      <c r="AA32" s="213"/>
      <c r="AB32" s="245">
        <f>SUM(D32:Z32)</f>
        <v>700171</v>
      </c>
      <c r="AC32" s="251"/>
    </row>
    <row r="33" ht="15.75" spans="3:29">
      <c r="C33" s="173"/>
      <c r="D33" s="172" t="s">
        <v>17</v>
      </c>
      <c r="E33" s="194"/>
      <c r="F33" s="172" t="s">
        <v>18</v>
      </c>
      <c r="G33" s="194"/>
      <c r="H33" s="172" t="s">
        <v>19</v>
      </c>
      <c r="I33" s="213"/>
      <c r="J33" s="172" t="s">
        <v>20</v>
      </c>
      <c r="K33" s="194"/>
      <c r="L33" s="172" t="s">
        <v>21</v>
      </c>
      <c r="M33" s="213"/>
      <c r="N33" s="172" t="s">
        <v>22</v>
      </c>
      <c r="O33" s="213"/>
      <c r="P33" s="172" t="s">
        <v>23</v>
      </c>
      <c r="Q33" s="213"/>
      <c r="R33" s="172" t="s">
        <v>24</v>
      </c>
      <c r="S33" s="194"/>
      <c r="T33" s="172" t="s">
        <v>25</v>
      </c>
      <c r="U33" s="213"/>
      <c r="V33" s="172" t="s">
        <v>26</v>
      </c>
      <c r="W33" s="213"/>
      <c r="X33" s="172" t="s">
        <v>27</v>
      </c>
      <c r="Y33" s="194"/>
      <c r="Z33" s="172" t="s">
        <v>28</v>
      </c>
      <c r="AA33" s="213"/>
      <c r="AB33" s="246" t="s">
        <v>52</v>
      </c>
      <c r="AC33" s="252"/>
    </row>
    <row r="34" ht="15.75" spans="3:29">
      <c r="C34" s="174"/>
      <c r="D34" s="158" t="s">
        <v>146</v>
      </c>
      <c r="E34" s="158" t="s">
        <v>55</v>
      </c>
      <c r="F34" s="158" t="s">
        <v>146</v>
      </c>
      <c r="G34" s="158" t="s">
        <v>55</v>
      </c>
      <c r="H34" s="158" t="s">
        <v>146</v>
      </c>
      <c r="I34" s="214" t="s">
        <v>55</v>
      </c>
      <c r="J34" s="158" t="s">
        <v>146</v>
      </c>
      <c r="K34" s="158" t="s">
        <v>55</v>
      </c>
      <c r="L34" s="158" t="s">
        <v>146</v>
      </c>
      <c r="M34" s="158" t="s">
        <v>55</v>
      </c>
      <c r="N34" s="158" t="s">
        <v>146</v>
      </c>
      <c r="O34" s="158" t="s">
        <v>55</v>
      </c>
      <c r="P34" s="158" t="s">
        <v>146</v>
      </c>
      <c r="Q34" s="158" t="s">
        <v>55</v>
      </c>
      <c r="R34" s="158" t="s">
        <v>146</v>
      </c>
      <c r="S34" s="158" t="s">
        <v>55</v>
      </c>
      <c r="T34" s="158" t="s">
        <v>146</v>
      </c>
      <c r="U34" s="158" t="s">
        <v>55</v>
      </c>
      <c r="V34" s="158" t="s">
        <v>146</v>
      </c>
      <c r="W34" s="158" t="s">
        <v>55</v>
      </c>
      <c r="X34" s="158" t="s">
        <v>146</v>
      </c>
      <c r="Y34" s="158" t="s">
        <v>55</v>
      </c>
      <c r="Z34" s="158" t="s">
        <v>146</v>
      </c>
      <c r="AA34" s="214" t="s">
        <v>55</v>
      </c>
      <c r="AB34" s="247" t="s">
        <v>146</v>
      </c>
      <c r="AC34" s="222" t="s">
        <v>55</v>
      </c>
    </row>
    <row r="35" ht="15" spans="3:29">
      <c r="C35" s="175" t="s">
        <v>998</v>
      </c>
      <c r="D35" s="176">
        <v>31976</v>
      </c>
      <c r="E35" s="176">
        <f>IF(D35=0,0,D35/D32)</f>
        <v>0.13922220867657</v>
      </c>
      <c r="F35" s="195">
        <v>31744</v>
      </c>
      <c r="G35" s="176">
        <f>IF(F35=0,0,F35/F32)</f>
        <v>0.145676156910256</v>
      </c>
      <c r="H35" s="176">
        <v>31985</v>
      </c>
      <c r="I35" s="215">
        <f>IF(H35=0,0,H35/H32)</f>
        <v>0.126629636521278</v>
      </c>
      <c r="J35" s="215"/>
      <c r="K35" s="176">
        <f>IF(J35=0,0,J35/J32)</f>
        <v>0</v>
      </c>
      <c r="L35" s="176"/>
      <c r="M35" s="176">
        <f>IF(L35=0,0,L35/L32)</f>
        <v>0</v>
      </c>
      <c r="N35" s="195"/>
      <c r="O35" s="176">
        <f>IF(N35=0,0,N35/N32)</f>
        <v>0</v>
      </c>
      <c r="P35" s="176"/>
      <c r="Q35" s="176">
        <f>IF(P35=0,0,P35/P32)</f>
        <v>0</v>
      </c>
      <c r="R35" s="195"/>
      <c r="S35" s="176">
        <f>IF(R35=0,0,R35/R32)</f>
        <v>0</v>
      </c>
      <c r="T35" s="176"/>
      <c r="U35" s="176">
        <f>IF(T35=0,0,T35/T32)</f>
        <v>0</v>
      </c>
      <c r="V35" s="195"/>
      <c r="W35" s="176">
        <f>IF(V35=0,0,V35/V32)</f>
        <v>0</v>
      </c>
      <c r="X35" s="176"/>
      <c r="Y35" s="176">
        <f>IF(X35=0,0,X35/X32)</f>
        <v>0</v>
      </c>
      <c r="Z35" s="176"/>
      <c r="AA35" s="215">
        <f>IF(Z35=0,0,Z35/Z32)</f>
        <v>0</v>
      </c>
      <c r="AB35" s="248">
        <f>SUM(D35,F35,H35,J35,L35,N35,P35,R35,T35,V35,X35,Z35)</f>
        <v>95705</v>
      </c>
      <c r="AC35" s="253">
        <f>IF(AB35=0,0,AB35/AB32)</f>
        <v>0.13668803763652</v>
      </c>
    </row>
    <row r="36" ht="15" spans="3:29">
      <c r="C36" s="177" t="s">
        <v>1003</v>
      </c>
      <c r="D36" s="89">
        <v>805139</v>
      </c>
      <c r="E36" s="176">
        <f>IF(D36=0,0,D36/D32)</f>
        <v>3.50554259043174</v>
      </c>
      <c r="F36" s="196">
        <v>813691</v>
      </c>
      <c r="G36" s="176">
        <f>IF(F36=0,0,F36/F32)</f>
        <v>3.7341033830791</v>
      </c>
      <c r="H36" s="89">
        <v>775226</v>
      </c>
      <c r="I36" s="215">
        <f>IF(H36=0,0,H36/H32)</f>
        <v>3.06914449278862</v>
      </c>
      <c r="J36" s="216"/>
      <c r="K36" s="176">
        <f>IF(J36=0,0,J36/J32)</f>
        <v>0</v>
      </c>
      <c r="L36" s="89"/>
      <c r="M36" s="176">
        <f>IF(L36=0,0,L36/L32)</f>
        <v>0</v>
      </c>
      <c r="N36" s="196"/>
      <c r="O36" s="176">
        <f>IF(N36=0,0,N36/N32)</f>
        <v>0</v>
      </c>
      <c r="P36" s="89"/>
      <c r="Q36" s="176">
        <f>IF(P36=0,0,P36/P32)</f>
        <v>0</v>
      </c>
      <c r="R36" s="196"/>
      <c r="S36" s="176">
        <f>IF(R36=0,0,R36/R32)</f>
        <v>0</v>
      </c>
      <c r="T36" s="89"/>
      <c r="U36" s="176">
        <f>IF(T36=0,0,T36/T32)</f>
        <v>0</v>
      </c>
      <c r="V36" s="196"/>
      <c r="W36" s="176">
        <f>IF(V36=0,0,V36/V32)</f>
        <v>0</v>
      </c>
      <c r="X36" s="89"/>
      <c r="Y36" s="176">
        <f>IF(X36=0,0,X36/X32)</f>
        <v>0</v>
      </c>
      <c r="Z36" s="89"/>
      <c r="AA36" s="215">
        <f>IF(Z36=0,0,Z36/Z32)</f>
        <v>0</v>
      </c>
      <c r="AB36" s="248">
        <f t="shared" ref="AB36:AB39" si="8">SUM(D36,F36,H36,J36,L36,N36,P36,R36,T36,V36,X36,Z36)</f>
        <v>2394056</v>
      </c>
      <c r="AC36" s="253">
        <f>IF(AB36=0,0,AB36/AB32)</f>
        <v>3.41924472735946</v>
      </c>
    </row>
    <row r="37" ht="15" spans="3:29">
      <c r="C37" s="177" t="s">
        <v>196</v>
      </c>
      <c r="D37" s="89">
        <f>90000+23000+126800+140000</f>
        <v>379800</v>
      </c>
      <c r="E37" s="176">
        <f>IF(D37=0,0,D37/D32)</f>
        <v>1.65363381459099</v>
      </c>
      <c r="F37" s="196">
        <f>D37</f>
        <v>379800</v>
      </c>
      <c r="G37" s="176">
        <f>IF(F37=0,0,F37/F32)</f>
        <v>1.74293738641996</v>
      </c>
      <c r="H37" s="89">
        <f>F37</f>
        <v>379800</v>
      </c>
      <c r="I37" s="215">
        <f>IF(H37=0,0,H37/H32)</f>
        <v>1.50364032986654</v>
      </c>
      <c r="J37" s="216"/>
      <c r="K37" s="176">
        <f>IF(J37=0,0,J37/J32)</f>
        <v>0</v>
      </c>
      <c r="L37" s="89"/>
      <c r="M37" s="176">
        <f>IF(L37=0,0,L37/L32)</f>
        <v>0</v>
      </c>
      <c r="N37" s="196"/>
      <c r="O37" s="176">
        <f>IF(N37=0,0,N37/N32)</f>
        <v>0</v>
      </c>
      <c r="P37" s="89"/>
      <c r="Q37" s="176">
        <f>IF(P37=0,0,P37/P32)</f>
        <v>0</v>
      </c>
      <c r="R37" s="196"/>
      <c r="S37" s="176">
        <f>IF(R37=0,0,R37/R32)</f>
        <v>0</v>
      </c>
      <c r="T37" s="89"/>
      <c r="U37" s="176">
        <f>IF(T37=0,0,T37/T32)</f>
        <v>0</v>
      </c>
      <c r="V37" s="196"/>
      <c r="W37" s="176">
        <f>IF(V37=0,0,V37/V32)</f>
        <v>0</v>
      </c>
      <c r="X37" s="89"/>
      <c r="Y37" s="176">
        <f>IF(X37=0,0,X37/X32)</f>
        <v>0</v>
      </c>
      <c r="Z37" s="89"/>
      <c r="AA37" s="215">
        <f>IF(Z37=0,0,Z37/Z32)</f>
        <v>0</v>
      </c>
      <c r="AB37" s="248">
        <f t="shared" si="8"/>
        <v>1139400</v>
      </c>
      <c r="AC37" s="253">
        <f>IF(AB37=0,0,AB37/AB32)</f>
        <v>1.6273167554783</v>
      </c>
    </row>
    <row r="38" ht="15" spans="3:29">
      <c r="C38" s="177" t="s">
        <v>1004</v>
      </c>
      <c r="D38" s="89"/>
      <c r="E38" s="176">
        <f>IF(D38=0,0,D38/D32)</f>
        <v>0</v>
      </c>
      <c r="F38" s="196"/>
      <c r="G38" s="176">
        <f>IF(F38=0,0,F38/F32)</f>
        <v>0</v>
      </c>
      <c r="H38" s="89"/>
      <c r="I38" s="215">
        <f>IF(H38=0,0,H38/H32)</f>
        <v>0</v>
      </c>
      <c r="J38" s="216"/>
      <c r="K38" s="176">
        <f>IF(J38=0,0,J38/J32)</f>
        <v>0</v>
      </c>
      <c r="L38" s="89"/>
      <c r="M38" s="176">
        <f>IF(L38=0,0,L38/L32)</f>
        <v>0</v>
      </c>
      <c r="N38" s="196"/>
      <c r="O38" s="176">
        <f>IF(N38=0,0,N38/N32)</f>
        <v>0</v>
      </c>
      <c r="P38" s="89"/>
      <c r="Q38" s="176">
        <f>IF(P38=0,0,P38/P32)</f>
        <v>0</v>
      </c>
      <c r="R38" s="196"/>
      <c r="S38" s="176">
        <f>IF(R38=0,0,R38/R32)</f>
        <v>0</v>
      </c>
      <c r="T38" s="89"/>
      <c r="U38" s="176">
        <f>IF(T38=0,0,T38/T32)</f>
        <v>0</v>
      </c>
      <c r="V38" s="196"/>
      <c r="W38" s="176">
        <f>IF(V38=0,0,V38/V32)</f>
        <v>0</v>
      </c>
      <c r="X38" s="89"/>
      <c r="Y38" s="176">
        <f>IF(X38=0,0,X38/X32)</f>
        <v>0</v>
      </c>
      <c r="Z38" s="89"/>
      <c r="AA38" s="215">
        <f>IF(Z38=0,0,Z38/Z32)</f>
        <v>0</v>
      </c>
      <c r="AB38" s="248">
        <f t="shared" si="8"/>
        <v>0</v>
      </c>
      <c r="AC38" s="253">
        <f>IF(AB38=0,0,AB38/AB32)</f>
        <v>0</v>
      </c>
    </row>
    <row r="39" ht="15.75" spans="3:29">
      <c r="C39" s="178" t="s">
        <v>1005</v>
      </c>
      <c r="D39" s="179">
        <v>244002</v>
      </c>
      <c r="E39" s="176">
        <f>IF(D39=0,0,D39/D32)</f>
        <v>1.06237482366464</v>
      </c>
      <c r="F39" s="197">
        <v>35870</v>
      </c>
      <c r="G39" s="176">
        <f>IF(F39=0,0,F39/F32)</f>
        <v>0.164610753161885</v>
      </c>
      <c r="H39" s="179">
        <v>577344</v>
      </c>
      <c r="I39" s="215">
        <f>IF(H39=0,0,H39/H32)</f>
        <v>2.28572333493014</v>
      </c>
      <c r="J39" s="217"/>
      <c r="K39" s="176">
        <f>IF(J39=0,0,J39/J32)</f>
        <v>0</v>
      </c>
      <c r="L39" s="179"/>
      <c r="M39" s="176">
        <f>IF(L39=0,0,L39/L32)</f>
        <v>0</v>
      </c>
      <c r="N39" s="197"/>
      <c r="O39" s="176">
        <f>IF(N39=0,0,N39/N32)</f>
        <v>0</v>
      </c>
      <c r="P39" s="179"/>
      <c r="Q39" s="176">
        <f>IF(P39=0,0,P39/P32)</f>
        <v>0</v>
      </c>
      <c r="R39" s="197"/>
      <c r="S39" s="176">
        <f>IF(R39=0,0,R39/R32)</f>
        <v>0</v>
      </c>
      <c r="T39" s="179"/>
      <c r="U39" s="176">
        <f>IF(T39=0,0,T39/T32)</f>
        <v>0</v>
      </c>
      <c r="V39" s="197"/>
      <c r="W39" s="176">
        <f>IF(V39=0,0,V39/V32)</f>
        <v>0</v>
      </c>
      <c r="X39" s="179"/>
      <c r="Y39" s="176">
        <f>IF(X39=0,0,X39/X32)</f>
        <v>0</v>
      </c>
      <c r="Z39" s="179"/>
      <c r="AA39" s="215">
        <f>IF(Z39=0,0,Z39/Z32)</f>
        <v>0</v>
      </c>
      <c r="AB39" s="134">
        <f t="shared" si="8"/>
        <v>857216</v>
      </c>
      <c r="AC39" s="90">
        <f>IF(AB39=0,0,AB39/AB32)</f>
        <v>1.22429520788493</v>
      </c>
    </row>
    <row r="40" ht="15.75" spans="3:29">
      <c r="C40" s="180"/>
      <c r="D40" s="170">
        <f>SUM(D35:D39)</f>
        <v>1460917</v>
      </c>
      <c r="E40" s="170">
        <f>IF(D40=0,0,D40/D32)</f>
        <v>6.36077343736394</v>
      </c>
      <c r="F40" s="198">
        <f t="shared" ref="F40:AB40" si="9">SUM(F35:F39)</f>
        <v>1261105</v>
      </c>
      <c r="G40" s="170">
        <f>IF(F40=0,0,F40/F32)</f>
        <v>5.7873276795712</v>
      </c>
      <c r="H40" s="170">
        <f t="shared" si="9"/>
        <v>1764355</v>
      </c>
      <c r="I40" s="218">
        <f>IF(H40=0,0,H40/H32)</f>
        <v>6.98513779410658</v>
      </c>
      <c r="J40" s="218">
        <f t="shared" si="9"/>
        <v>0</v>
      </c>
      <c r="K40" s="170">
        <f>IF(J40=0,0,J40/J32)</f>
        <v>0</v>
      </c>
      <c r="L40" s="170">
        <f t="shared" si="9"/>
        <v>0</v>
      </c>
      <c r="M40" s="170">
        <f>IF(L40=0,0,L40/L32)</f>
        <v>0</v>
      </c>
      <c r="N40" s="198">
        <f t="shared" si="9"/>
        <v>0</v>
      </c>
      <c r="O40" s="170">
        <f>IF(N40=0,0,N40/N32)</f>
        <v>0</v>
      </c>
      <c r="P40" s="170">
        <f t="shared" si="9"/>
        <v>0</v>
      </c>
      <c r="Q40" s="170">
        <f>IF(P40=0,0,P40/P32)</f>
        <v>0</v>
      </c>
      <c r="R40" s="198">
        <f t="shared" si="9"/>
        <v>0</v>
      </c>
      <c r="S40" s="170">
        <f>IF(R40=0,0,R40/R32)</f>
        <v>0</v>
      </c>
      <c r="T40" s="170">
        <f t="shared" si="9"/>
        <v>0</v>
      </c>
      <c r="U40" s="170">
        <f>IF(T40=0,0,T40/T32)</f>
        <v>0</v>
      </c>
      <c r="V40" s="198">
        <f t="shared" si="9"/>
        <v>0</v>
      </c>
      <c r="W40" s="170">
        <f>IF(V40=0,0,V40/V32)</f>
        <v>0</v>
      </c>
      <c r="X40" s="170">
        <f t="shared" si="9"/>
        <v>0</v>
      </c>
      <c r="Y40" s="170">
        <f>IF(X40=0,0,X40/X32)</f>
        <v>0</v>
      </c>
      <c r="Z40" s="170">
        <f t="shared" si="9"/>
        <v>0</v>
      </c>
      <c r="AA40" s="218">
        <f>IF(Z40=0,0,Z40/Z32)</f>
        <v>0</v>
      </c>
      <c r="AB40" s="249">
        <f t="shared" si="9"/>
        <v>4486377</v>
      </c>
      <c r="AC40" s="228">
        <f>IF(AB40=0,0,AB40/AB32)</f>
        <v>6.40754472835922</v>
      </c>
    </row>
    <row r="41" ht="15" spans="3:29">
      <c r="C41" s="157" t="s">
        <v>380</v>
      </c>
      <c r="D41" s="181">
        <v>127312</v>
      </c>
      <c r="E41" s="199">
        <f>IF(D41=0,0,(D40/D41))</f>
        <v>11.4750926856856</v>
      </c>
      <c r="F41" s="181">
        <v>125434</v>
      </c>
      <c r="G41" s="199">
        <f>IF(F41=0,0,(F40/F41))</f>
        <v>10.0539327455076</v>
      </c>
      <c r="H41" s="181">
        <v>142743</v>
      </c>
      <c r="I41" s="199">
        <f>IF(H41=0,0,(H40/H41))</f>
        <v>12.3603609283818</v>
      </c>
      <c r="J41" s="181"/>
      <c r="K41" s="199"/>
      <c r="L41" s="181"/>
      <c r="M41" s="199">
        <f>IF(L41=0,0,(L40/L41))</f>
        <v>0</v>
      </c>
      <c r="N41" s="181"/>
      <c r="O41" s="199">
        <f>IF(N41=0,0,(N40/N41))</f>
        <v>0</v>
      </c>
      <c r="P41" s="181"/>
      <c r="Q41" s="199">
        <f>IF(P41=0,0,(P40/P41))</f>
        <v>0</v>
      </c>
      <c r="R41" s="181"/>
      <c r="S41" s="199">
        <f>IF(R41=0,0,(R40/R41))</f>
        <v>0</v>
      </c>
      <c r="T41" s="181"/>
      <c r="U41" s="199">
        <f>IF(T41=0,0,(T40/T41))</f>
        <v>0</v>
      </c>
      <c r="V41" s="181"/>
      <c r="W41" s="199">
        <f>IF(V41=0,0,(V40/V41))</f>
        <v>0</v>
      </c>
      <c r="X41" s="181"/>
      <c r="Y41" s="199">
        <f>IF(X41=0,0,(X40/X41))</f>
        <v>0</v>
      </c>
      <c r="Z41" s="181"/>
      <c r="AA41" s="199">
        <f>IF(Z41=0,0,(Z40/Z41))</f>
        <v>0</v>
      </c>
      <c r="AB41" s="97">
        <f>SUM(D41,F41,H41,J41,L41,N41,P41,R41,T41,V41,X41,Z41)</f>
        <v>395489</v>
      </c>
      <c r="AC41" s="199">
        <f>IF(AB41=0,0,(AB40/AB41))</f>
        <v>11.3438730280741</v>
      </c>
    </row>
  </sheetData>
  <mergeCells count="30">
    <mergeCell ref="C1:M1"/>
    <mergeCell ref="E16:G16"/>
    <mergeCell ref="C18:P18"/>
    <mergeCell ref="C31:AC31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</mergeCells>
  <pageMargins left="0.7" right="0.7" top="0.75" bottom="0.75" header="0.3" footer="0.3"/>
  <pageSetup paperSize="9" orientation="landscape"/>
  <headerFooter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9"/>
  <sheetViews>
    <sheetView workbookViewId="0">
      <selection activeCell="G4" sqref="G4:K4"/>
    </sheetView>
  </sheetViews>
  <sheetFormatPr defaultColWidth="9" defaultRowHeight="13.5"/>
  <cols>
    <col min="1" max="1" width="15" customWidth="1"/>
    <col min="2" max="2" width="7.42857142857143" customWidth="1"/>
    <col min="3" max="3" width="15" customWidth="1"/>
    <col min="4" max="4" width="13.4285714285714" customWidth="1"/>
    <col min="5" max="5" width="6.57142857142857" customWidth="1"/>
    <col min="6" max="6" width="3.71428571428571" customWidth="1"/>
    <col min="8" max="8" width="10.7142857142857" customWidth="1"/>
    <col min="9" max="9" width="9.71428571428571" customWidth="1"/>
    <col min="10" max="10" width="13.2857142857143" customWidth="1"/>
    <col min="11" max="11" width="6.57142857142857" customWidth="1"/>
    <col min="13" max="13" width="9.42857142857143" customWidth="1"/>
    <col min="14" max="14" width="13.4285714285714" customWidth="1"/>
  </cols>
  <sheetData>
    <row r="1" ht="15.75" spans="2:10">
      <c r="B1" s="102" t="s">
        <v>1006</v>
      </c>
      <c r="C1" s="102"/>
      <c r="D1" s="102"/>
      <c r="E1" s="102"/>
      <c r="F1" s="102"/>
      <c r="G1" s="102"/>
      <c r="H1" s="102"/>
      <c r="I1" s="102"/>
      <c r="J1" s="102"/>
    </row>
    <row r="2" ht="15.75" spans="2:10">
      <c r="B2" s="103" t="s">
        <v>1007</v>
      </c>
      <c r="C2" s="103"/>
      <c r="D2" s="103"/>
      <c r="E2" s="103"/>
      <c r="F2" s="103"/>
      <c r="G2" s="103"/>
      <c r="H2" s="103"/>
      <c r="I2" s="103"/>
      <c r="J2" s="103"/>
    </row>
    <row r="4" ht="14.25" spans="2:11">
      <c r="B4" s="104" t="s">
        <v>1008</v>
      </c>
      <c r="C4" s="105"/>
      <c r="D4" s="105"/>
      <c r="E4" s="105"/>
      <c r="G4" s="104" t="s">
        <v>1009</v>
      </c>
      <c r="H4" s="105"/>
      <c r="I4" s="105"/>
      <c r="J4" s="105"/>
      <c r="K4" s="105"/>
    </row>
    <row r="5" ht="15.75" spans="2:14">
      <c r="B5" s="106" t="s">
        <v>129</v>
      </c>
      <c r="C5" s="107" t="s">
        <v>1010</v>
      </c>
      <c r="D5" s="108" t="s">
        <v>146</v>
      </c>
      <c r="E5" s="121" t="s">
        <v>55</v>
      </c>
      <c r="F5" s="122"/>
      <c r="G5" s="106" t="s">
        <v>129</v>
      </c>
      <c r="H5" s="107" t="s">
        <v>1011</v>
      </c>
      <c r="I5" s="107" t="s">
        <v>1010</v>
      </c>
      <c r="J5" s="108" t="s">
        <v>146</v>
      </c>
      <c r="K5" s="132" t="s">
        <v>55</v>
      </c>
      <c r="M5" s="106" t="s">
        <v>1010</v>
      </c>
      <c r="N5" s="137" t="s">
        <v>146</v>
      </c>
    </row>
    <row r="6" spans="2:14">
      <c r="B6" s="109">
        <v>45383</v>
      </c>
      <c r="C6" s="110">
        <v>7000</v>
      </c>
      <c r="D6" s="111">
        <v>926250</v>
      </c>
      <c r="E6" s="123">
        <f>D6/C6</f>
        <v>132.321428571429</v>
      </c>
      <c r="F6" s="124"/>
      <c r="G6" s="109">
        <v>45383</v>
      </c>
      <c r="H6" s="125">
        <v>94800</v>
      </c>
      <c r="I6" s="125">
        <v>5318.6</v>
      </c>
      <c r="J6" s="111">
        <v>1305339</v>
      </c>
      <c r="K6" s="133">
        <f>J6/I6</f>
        <v>245.429060279021</v>
      </c>
      <c r="L6" s="97"/>
      <c r="M6" s="138">
        <f>C6-I6</f>
        <v>1681.4</v>
      </c>
      <c r="N6" s="139">
        <f>J6-D6</f>
        <v>379089</v>
      </c>
    </row>
    <row r="7" spans="2:14">
      <c r="B7" s="112">
        <v>45413</v>
      </c>
      <c r="C7" s="113">
        <v>9025</v>
      </c>
      <c r="D7" s="114">
        <v>1185875</v>
      </c>
      <c r="E7" s="126">
        <f t="shared" ref="E7:E18" si="0">D7/C7</f>
        <v>131.398891966759</v>
      </c>
      <c r="F7" s="124"/>
      <c r="G7" s="112">
        <v>45413</v>
      </c>
      <c r="H7" s="127">
        <v>128710</v>
      </c>
      <c r="I7" s="127">
        <v>6758.6</v>
      </c>
      <c r="J7" s="114">
        <v>1688348.01</v>
      </c>
      <c r="K7" s="134">
        <f t="shared" ref="K7:K18" si="1">J7/I7</f>
        <v>249.807358032729</v>
      </c>
      <c r="M7" s="140">
        <f t="shared" ref="M7:M17" si="2">C7-I7</f>
        <v>2266.4</v>
      </c>
      <c r="N7" s="141">
        <f t="shared" ref="N7:N17" si="3">J7-D7</f>
        <v>502473.01</v>
      </c>
    </row>
    <row r="8" spans="2:14">
      <c r="B8" s="112">
        <v>45444</v>
      </c>
      <c r="C8" s="113">
        <v>8000</v>
      </c>
      <c r="D8" s="114">
        <v>1045000</v>
      </c>
      <c r="E8" s="126">
        <f t="shared" si="0"/>
        <v>130.625</v>
      </c>
      <c r="F8" s="124"/>
      <c r="G8" s="112">
        <v>45444</v>
      </c>
      <c r="H8" s="127">
        <v>136910</v>
      </c>
      <c r="I8" s="127">
        <v>6925.7</v>
      </c>
      <c r="J8" s="114">
        <v>1706554.01</v>
      </c>
      <c r="K8" s="134">
        <f t="shared" si="1"/>
        <v>246.408884300504</v>
      </c>
      <c r="M8" s="140">
        <f t="shared" si="2"/>
        <v>1074.3</v>
      </c>
      <c r="N8" s="141">
        <f t="shared" si="3"/>
        <v>661554.01</v>
      </c>
    </row>
    <row r="9" spans="2:14">
      <c r="B9" s="112">
        <v>45474</v>
      </c>
      <c r="C9" s="113">
        <v>8900</v>
      </c>
      <c r="D9" s="114">
        <v>1175250</v>
      </c>
      <c r="E9" s="126">
        <f t="shared" si="0"/>
        <v>132.050561797753</v>
      </c>
      <c r="F9" s="124"/>
      <c r="G9" s="112">
        <v>45474</v>
      </c>
      <c r="H9" s="127">
        <v>170795</v>
      </c>
      <c r="I9" s="127">
        <v>8750.8</v>
      </c>
      <c r="J9" s="114">
        <v>2129553.01</v>
      </c>
      <c r="K9" s="134">
        <f t="shared" si="1"/>
        <v>243.355237235453</v>
      </c>
      <c r="M9" s="140">
        <f t="shared" si="2"/>
        <v>149.200000000001</v>
      </c>
      <c r="N9" s="141">
        <f t="shared" si="3"/>
        <v>954303.01</v>
      </c>
    </row>
    <row r="10" spans="2:14">
      <c r="B10" s="112">
        <v>45505</v>
      </c>
      <c r="C10" s="113">
        <v>12775</v>
      </c>
      <c r="D10" s="114">
        <v>1692875</v>
      </c>
      <c r="E10" s="126">
        <f t="shared" si="0"/>
        <v>132.514677103718</v>
      </c>
      <c r="F10" s="124"/>
      <c r="G10" s="112">
        <v>45505</v>
      </c>
      <c r="H10" s="127">
        <v>204430</v>
      </c>
      <c r="I10" s="127">
        <v>10491.7</v>
      </c>
      <c r="J10" s="114">
        <v>2561530</v>
      </c>
      <c r="K10" s="134">
        <f t="shared" si="1"/>
        <v>244.148231459153</v>
      </c>
      <c r="M10" s="140">
        <f t="shared" si="2"/>
        <v>2283.3</v>
      </c>
      <c r="N10" s="141">
        <f t="shared" si="3"/>
        <v>868655</v>
      </c>
    </row>
    <row r="11" spans="2:14">
      <c r="B11" s="112">
        <v>45536</v>
      </c>
      <c r="C11" s="113">
        <v>17025</v>
      </c>
      <c r="D11" s="114">
        <v>2250625</v>
      </c>
      <c r="E11" s="126">
        <f t="shared" si="0"/>
        <v>132.1953010279</v>
      </c>
      <c r="F11" s="124"/>
      <c r="G11" s="112">
        <v>45536</v>
      </c>
      <c r="H11" s="127">
        <v>191470</v>
      </c>
      <c r="I11" s="127">
        <v>9567.5</v>
      </c>
      <c r="J11" s="114">
        <v>2373650</v>
      </c>
      <c r="K11" s="134">
        <f t="shared" si="1"/>
        <v>248.095113666057</v>
      </c>
      <c r="M11" s="140">
        <f t="shared" si="2"/>
        <v>7457.5</v>
      </c>
      <c r="N11" s="141">
        <f t="shared" si="3"/>
        <v>123025</v>
      </c>
    </row>
    <row r="12" spans="2:14">
      <c r="B12" s="112">
        <v>45566</v>
      </c>
      <c r="C12" s="113">
        <v>6500</v>
      </c>
      <c r="D12" s="114">
        <v>861250</v>
      </c>
      <c r="E12" s="126">
        <f t="shared" si="0"/>
        <v>132.5</v>
      </c>
      <c r="F12" s="124"/>
      <c r="G12" s="112">
        <v>45566</v>
      </c>
      <c r="H12" s="127">
        <v>214480</v>
      </c>
      <c r="I12" s="127">
        <v>10959.2</v>
      </c>
      <c r="J12" s="114">
        <v>2689480.01</v>
      </c>
      <c r="K12" s="134">
        <f t="shared" si="1"/>
        <v>245.408424885028</v>
      </c>
      <c r="M12" s="140">
        <f t="shared" si="2"/>
        <v>-4459.2</v>
      </c>
      <c r="N12" s="141">
        <f t="shared" si="3"/>
        <v>1828230.01</v>
      </c>
    </row>
    <row r="13" spans="2:14">
      <c r="B13" s="112">
        <v>45597</v>
      </c>
      <c r="C13" s="113">
        <v>11900</v>
      </c>
      <c r="D13" s="114">
        <v>1569000</v>
      </c>
      <c r="E13" s="126">
        <f t="shared" si="0"/>
        <v>131.848739495798</v>
      </c>
      <c r="F13" s="124"/>
      <c r="G13" s="112">
        <v>45597</v>
      </c>
      <c r="H13" s="127">
        <v>243210</v>
      </c>
      <c r="I13" s="127">
        <v>12593.5</v>
      </c>
      <c r="J13" s="114">
        <v>3062488</v>
      </c>
      <c r="K13" s="134">
        <f t="shared" si="1"/>
        <v>243.180053202049</v>
      </c>
      <c r="M13" s="140">
        <f t="shared" si="2"/>
        <v>-693.5</v>
      </c>
      <c r="N13" s="141">
        <f t="shared" si="3"/>
        <v>1493488</v>
      </c>
    </row>
    <row r="14" spans="2:14">
      <c r="B14" s="112">
        <v>45992</v>
      </c>
      <c r="C14" s="113">
        <v>7000</v>
      </c>
      <c r="D14" s="114">
        <v>915000</v>
      </c>
      <c r="E14" s="126">
        <f t="shared" si="0"/>
        <v>130.714285714286</v>
      </c>
      <c r="F14" s="124"/>
      <c r="G14" s="112">
        <v>45627</v>
      </c>
      <c r="H14" s="127">
        <v>238610</v>
      </c>
      <c r="I14" s="127">
        <v>12098.2</v>
      </c>
      <c r="J14" s="114">
        <v>3023252.01</v>
      </c>
      <c r="K14" s="134">
        <f t="shared" si="1"/>
        <v>249.892712138996</v>
      </c>
      <c r="M14" s="140">
        <f t="shared" si="2"/>
        <v>-5098.2</v>
      </c>
      <c r="N14" s="141">
        <f t="shared" si="3"/>
        <v>2108252.01</v>
      </c>
    </row>
    <row r="15" spans="2:14">
      <c r="B15" s="112">
        <v>45658</v>
      </c>
      <c r="C15" s="113">
        <v>12250</v>
      </c>
      <c r="D15" s="114">
        <v>1620625</v>
      </c>
      <c r="E15" s="126">
        <f t="shared" si="0"/>
        <v>132.295918367347</v>
      </c>
      <c r="F15" s="124"/>
      <c r="G15" s="112">
        <v>45658</v>
      </c>
      <c r="H15" s="113">
        <v>253014</v>
      </c>
      <c r="I15" s="113">
        <v>12319.09</v>
      </c>
      <c r="J15" s="114">
        <v>3087960</v>
      </c>
      <c r="K15" s="134">
        <f t="shared" si="1"/>
        <v>250.664618896363</v>
      </c>
      <c r="M15" s="140">
        <f t="shared" si="2"/>
        <v>-69.0900000000001</v>
      </c>
      <c r="N15" s="141">
        <f t="shared" si="3"/>
        <v>1467335</v>
      </c>
    </row>
    <row r="16" spans="2:14">
      <c r="B16" s="112">
        <v>45689</v>
      </c>
      <c r="C16" s="113">
        <v>15000</v>
      </c>
      <c r="D16" s="114">
        <v>1980000</v>
      </c>
      <c r="E16" s="126">
        <f t="shared" si="0"/>
        <v>132</v>
      </c>
      <c r="F16" s="124"/>
      <c r="G16" s="112">
        <v>45689</v>
      </c>
      <c r="H16" s="127">
        <v>172870</v>
      </c>
      <c r="I16" s="127">
        <v>8620.5</v>
      </c>
      <c r="J16" s="114">
        <v>2082731</v>
      </c>
      <c r="K16" s="134">
        <f t="shared" si="1"/>
        <v>241.602111246447</v>
      </c>
      <c r="M16" s="140">
        <f t="shared" si="2"/>
        <v>6379.5</v>
      </c>
      <c r="N16" s="141">
        <f t="shared" si="3"/>
        <v>102731</v>
      </c>
    </row>
    <row r="17" ht="14.25" spans="2:14">
      <c r="B17" s="115">
        <v>45717</v>
      </c>
      <c r="C17" s="116">
        <v>12000</v>
      </c>
      <c r="D17" s="117">
        <v>1560000</v>
      </c>
      <c r="E17" s="128">
        <f t="shared" si="0"/>
        <v>130</v>
      </c>
      <c r="F17" s="124"/>
      <c r="G17" s="115">
        <v>45717</v>
      </c>
      <c r="H17" s="129">
        <v>207720</v>
      </c>
      <c r="I17" s="129">
        <v>10327.7</v>
      </c>
      <c r="J17" s="117">
        <v>2561574</v>
      </c>
      <c r="K17" s="135">
        <f t="shared" si="1"/>
        <v>248.029474132672</v>
      </c>
      <c r="M17" s="142">
        <f t="shared" si="2"/>
        <v>1672.3</v>
      </c>
      <c r="N17" s="143">
        <f t="shared" si="3"/>
        <v>1001574</v>
      </c>
    </row>
    <row r="18" ht="15.75" spans="2:14">
      <c r="B18" s="118" t="s">
        <v>52</v>
      </c>
      <c r="C18" s="119">
        <f>SUM(C6:C17)</f>
        <v>127375</v>
      </c>
      <c r="D18" s="120">
        <f>SUM(D6:D17)</f>
        <v>16781750</v>
      </c>
      <c r="E18" s="130">
        <f t="shared" si="0"/>
        <v>131.750736015702</v>
      </c>
      <c r="F18" s="124"/>
      <c r="G18" s="118" t="s">
        <v>52</v>
      </c>
      <c r="H18" s="131">
        <f>SUM(H6:H17)</f>
        <v>2257019</v>
      </c>
      <c r="I18" s="131">
        <f>SUM(I6:I17)</f>
        <v>114731.09</v>
      </c>
      <c r="J18" s="120">
        <f>SUM(J6:J17)</f>
        <v>28272459.05</v>
      </c>
      <c r="K18" s="136">
        <f t="shared" si="1"/>
        <v>246.423694309886</v>
      </c>
      <c r="M18" s="144">
        <f>SUM(M6:M17)</f>
        <v>12643.91</v>
      </c>
      <c r="N18" s="145">
        <f>SUM(N6:N17)</f>
        <v>11490709.05</v>
      </c>
    </row>
    <row r="19" spans="10:10">
      <c r="J19" s="124">
        <f>J18-D18</f>
        <v>11490709.05</v>
      </c>
    </row>
  </sheetData>
  <mergeCells count="4">
    <mergeCell ref="B1:J1"/>
    <mergeCell ref="B2:J2"/>
    <mergeCell ref="B4:E4"/>
    <mergeCell ref="G4:K4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3"/>
  <sheetViews>
    <sheetView topLeftCell="A16" workbookViewId="0">
      <selection activeCell="L46" sqref="L46"/>
    </sheetView>
  </sheetViews>
  <sheetFormatPr defaultColWidth="9" defaultRowHeight="13.5"/>
  <cols>
    <col min="1" max="1" width="8" customWidth="1"/>
    <col min="2" max="2" width="7" customWidth="1"/>
    <col min="3" max="4" width="8.57142857142857" customWidth="1"/>
    <col min="5" max="5" width="10.5714285714286" customWidth="1"/>
    <col min="6" max="6" width="9.57142857142857" customWidth="1"/>
    <col min="7" max="7" width="7" customWidth="1"/>
    <col min="8" max="9" width="8.57142857142857" customWidth="1"/>
    <col min="10" max="10" width="10.5714285714286" customWidth="1"/>
    <col min="11" max="11" width="8.57142857142857" customWidth="1"/>
    <col min="12" max="12" width="7" customWidth="1"/>
    <col min="13" max="14" width="8.57142857142857" customWidth="1"/>
    <col min="15" max="15" width="4.57142857142857" customWidth="1"/>
    <col min="16" max="16" width="7.57142857142857" customWidth="1"/>
    <col min="17" max="17" width="7" customWidth="1"/>
    <col min="18" max="19" width="9.57142857142857" customWidth="1"/>
    <col min="20" max="21" width="10.5714285714286" customWidth="1"/>
    <col min="22" max="22" width="9.57142857142857" customWidth="1"/>
    <col min="23" max="23" width="10.5714285714286" customWidth="1"/>
    <col min="24" max="24" width="7.85714285714286" customWidth="1"/>
    <col min="25" max="25" width="5.57142857142857" customWidth="1"/>
    <col min="257" max="257" width="8" customWidth="1"/>
    <col min="258" max="258" width="4" customWidth="1"/>
    <col min="259" max="260" width="8.57142857142857" customWidth="1"/>
    <col min="261" max="261" width="10.5714285714286" customWidth="1"/>
    <col min="262" max="262" width="9.57142857142857" customWidth="1"/>
    <col min="263" max="263" width="4.28571428571429" customWidth="1"/>
    <col min="264" max="265" width="8.57142857142857" customWidth="1"/>
    <col min="266" max="266" width="10.5714285714286" customWidth="1"/>
    <col min="267" max="267" width="8.57142857142857" customWidth="1"/>
    <col min="268" max="268" width="2" customWidth="1"/>
    <col min="269" max="270" width="8.57142857142857" customWidth="1"/>
    <col min="271" max="271" width="4.57142857142857" customWidth="1"/>
    <col min="272" max="272" width="7.57142857142857" customWidth="1"/>
    <col min="273" max="273" width="4" customWidth="1"/>
    <col min="274" max="275" width="9.57142857142857" customWidth="1"/>
    <col min="276" max="277" width="10.5714285714286" customWidth="1"/>
    <col min="278" max="278" width="9.57142857142857" customWidth="1"/>
    <col min="279" max="279" width="10.5714285714286" customWidth="1"/>
    <col min="280" max="280" width="7.85714285714286" customWidth="1"/>
    <col min="281" max="281" width="5.57142857142857" customWidth="1"/>
    <col min="513" max="513" width="8" customWidth="1"/>
    <col min="514" max="514" width="4" customWidth="1"/>
    <col min="515" max="516" width="8.57142857142857" customWidth="1"/>
    <col min="517" max="517" width="10.5714285714286" customWidth="1"/>
    <col min="518" max="518" width="9.57142857142857" customWidth="1"/>
    <col min="519" max="519" width="4.28571428571429" customWidth="1"/>
    <col min="520" max="521" width="8.57142857142857" customWidth="1"/>
    <col min="522" max="522" width="10.5714285714286" customWidth="1"/>
    <col min="523" max="523" width="8.57142857142857" customWidth="1"/>
    <col min="524" max="524" width="2" customWidth="1"/>
    <col min="525" max="526" width="8.57142857142857" customWidth="1"/>
    <col min="527" max="527" width="4.57142857142857" customWidth="1"/>
    <col min="528" max="528" width="7.57142857142857" customWidth="1"/>
    <col min="529" max="529" width="4" customWidth="1"/>
    <col min="530" max="531" width="9.57142857142857" customWidth="1"/>
    <col min="532" max="533" width="10.5714285714286" customWidth="1"/>
    <col min="534" max="534" width="9.57142857142857" customWidth="1"/>
    <col min="535" max="535" width="10.5714285714286" customWidth="1"/>
    <col min="536" max="536" width="7.85714285714286" customWidth="1"/>
    <col min="537" max="537" width="5.57142857142857" customWidth="1"/>
    <col min="769" max="769" width="8" customWidth="1"/>
    <col min="770" max="770" width="4" customWidth="1"/>
    <col min="771" max="772" width="8.57142857142857" customWidth="1"/>
    <col min="773" max="773" width="10.5714285714286" customWidth="1"/>
    <col min="774" max="774" width="9.57142857142857" customWidth="1"/>
    <col min="775" max="775" width="4.28571428571429" customWidth="1"/>
    <col min="776" max="777" width="8.57142857142857" customWidth="1"/>
    <col min="778" max="778" width="10.5714285714286" customWidth="1"/>
    <col min="779" max="779" width="8.57142857142857" customWidth="1"/>
    <col min="780" max="780" width="2" customWidth="1"/>
    <col min="781" max="782" width="8.57142857142857" customWidth="1"/>
    <col min="783" max="783" width="4.57142857142857" customWidth="1"/>
    <col min="784" max="784" width="7.57142857142857" customWidth="1"/>
    <col min="785" max="785" width="4" customWidth="1"/>
    <col min="786" max="787" width="9.57142857142857" customWidth="1"/>
    <col min="788" max="789" width="10.5714285714286" customWidth="1"/>
    <col min="790" max="790" width="9.57142857142857" customWidth="1"/>
    <col min="791" max="791" width="10.5714285714286" customWidth="1"/>
    <col min="792" max="792" width="7.85714285714286" customWidth="1"/>
    <col min="793" max="793" width="5.57142857142857" customWidth="1"/>
    <col min="1025" max="1025" width="8" customWidth="1"/>
    <col min="1026" max="1026" width="4" customWidth="1"/>
    <col min="1027" max="1028" width="8.57142857142857" customWidth="1"/>
    <col min="1029" max="1029" width="10.5714285714286" customWidth="1"/>
    <col min="1030" max="1030" width="9.57142857142857" customWidth="1"/>
    <col min="1031" max="1031" width="4.28571428571429" customWidth="1"/>
    <col min="1032" max="1033" width="8.57142857142857" customWidth="1"/>
    <col min="1034" max="1034" width="10.5714285714286" customWidth="1"/>
    <col min="1035" max="1035" width="8.57142857142857" customWidth="1"/>
    <col min="1036" max="1036" width="2" customWidth="1"/>
    <col min="1037" max="1038" width="8.57142857142857" customWidth="1"/>
    <col min="1039" max="1039" width="4.57142857142857" customWidth="1"/>
    <col min="1040" max="1040" width="7.57142857142857" customWidth="1"/>
    <col min="1041" max="1041" width="4" customWidth="1"/>
    <col min="1042" max="1043" width="9.57142857142857" customWidth="1"/>
    <col min="1044" max="1045" width="10.5714285714286" customWidth="1"/>
    <col min="1046" max="1046" width="9.57142857142857" customWidth="1"/>
    <col min="1047" max="1047" width="10.5714285714286" customWidth="1"/>
    <col min="1048" max="1048" width="7.85714285714286" customWidth="1"/>
    <col min="1049" max="1049" width="5.57142857142857" customWidth="1"/>
    <col min="1281" max="1281" width="8" customWidth="1"/>
    <col min="1282" max="1282" width="4" customWidth="1"/>
    <col min="1283" max="1284" width="8.57142857142857" customWidth="1"/>
    <col min="1285" max="1285" width="10.5714285714286" customWidth="1"/>
    <col min="1286" max="1286" width="9.57142857142857" customWidth="1"/>
    <col min="1287" max="1287" width="4.28571428571429" customWidth="1"/>
    <col min="1288" max="1289" width="8.57142857142857" customWidth="1"/>
    <col min="1290" max="1290" width="10.5714285714286" customWidth="1"/>
    <col min="1291" max="1291" width="8.57142857142857" customWidth="1"/>
    <col min="1292" max="1292" width="2" customWidth="1"/>
    <col min="1293" max="1294" width="8.57142857142857" customWidth="1"/>
    <col min="1295" max="1295" width="4.57142857142857" customWidth="1"/>
    <col min="1296" max="1296" width="7.57142857142857" customWidth="1"/>
    <col min="1297" max="1297" width="4" customWidth="1"/>
    <col min="1298" max="1299" width="9.57142857142857" customWidth="1"/>
    <col min="1300" max="1301" width="10.5714285714286" customWidth="1"/>
    <col min="1302" max="1302" width="9.57142857142857" customWidth="1"/>
    <col min="1303" max="1303" width="10.5714285714286" customWidth="1"/>
    <col min="1304" max="1304" width="7.85714285714286" customWidth="1"/>
    <col min="1305" max="1305" width="5.57142857142857" customWidth="1"/>
    <col min="1537" max="1537" width="8" customWidth="1"/>
    <col min="1538" max="1538" width="4" customWidth="1"/>
    <col min="1539" max="1540" width="8.57142857142857" customWidth="1"/>
    <col min="1541" max="1541" width="10.5714285714286" customWidth="1"/>
    <col min="1542" max="1542" width="9.57142857142857" customWidth="1"/>
    <col min="1543" max="1543" width="4.28571428571429" customWidth="1"/>
    <col min="1544" max="1545" width="8.57142857142857" customWidth="1"/>
    <col min="1546" max="1546" width="10.5714285714286" customWidth="1"/>
    <col min="1547" max="1547" width="8.57142857142857" customWidth="1"/>
    <col min="1548" max="1548" width="2" customWidth="1"/>
    <col min="1549" max="1550" width="8.57142857142857" customWidth="1"/>
    <col min="1551" max="1551" width="4.57142857142857" customWidth="1"/>
    <col min="1552" max="1552" width="7.57142857142857" customWidth="1"/>
    <col min="1553" max="1553" width="4" customWidth="1"/>
    <col min="1554" max="1555" width="9.57142857142857" customWidth="1"/>
    <col min="1556" max="1557" width="10.5714285714286" customWidth="1"/>
    <col min="1558" max="1558" width="9.57142857142857" customWidth="1"/>
    <col min="1559" max="1559" width="10.5714285714286" customWidth="1"/>
    <col min="1560" max="1560" width="7.85714285714286" customWidth="1"/>
    <col min="1561" max="1561" width="5.57142857142857" customWidth="1"/>
    <col min="1793" max="1793" width="8" customWidth="1"/>
    <col min="1794" max="1794" width="4" customWidth="1"/>
    <col min="1795" max="1796" width="8.57142857142857" customWidth="1"/>
    <col min="1797" max="1797" width="10.5714285714286" customWidth="1"/>
    <col min="1798" max="1798" width="9.57142857142857" customWidth="1"/>
    <col min="1799" max="1799" width="4.28571428571429" customWidth="1"/>
    <col min="1800" max="1801" width="8.57142857142857" customWidth="1"/>
    <col min="1802" max="1802" width="10.5714285714286" customWidth="1"/>
    <col min="1803" max="1803" width="8.57142857142857" customWidth="1"/>
    <col min="1804" max="1804" width="2" customWidth="1"/>
    <col min="1805" max="1806" width="8.57142857142857" customWidth="1"/>
    <col min="1807" max="1807" width="4.57142857142857" customWidth="1"/>
    <col min="1808" max="1808" width="7.57142857142857" customWidth="1"/>
    <col min="1809" max="1809" width="4" customWidth="1"/>
    <col min="1810" max="1811" width="9.57142857142857" customWidth="1"/>
    <col min="1812" max="1813" width="10.5714285714286" customWidth="1"/>
    <col min="1814" max="1814" width="9.57142857142857" customWidth="1"/>
    <col min="1815" max="1815" width="10.5714285714286" customWidth="1"/>
    <col min="1816" max="1816" width="7.85714285714286" customWidth="1"/>
    <col min="1817" max="1817" width="5.57142857142857" customWidth="1"/>
    <col min="2049" max="2049" width="8" customWidth="1"/>
    <col min="2050" max="2050" width="4" customWidth="1"/>
    <col min="2051" max="2052" width="8.57142857142857" customWidth="1"/>
    <col min="2053" max="2053" width="10.5714285714286" customWidth="1"/>
    <col min="2054" max="2054" width="9.57142857142857" customWidth="1"/>
    <col min="2055" max="2055" width="4.28571428571429" customWidth="1"/>
    <col min="2056" max="2057" width="8.57142857142857" customWidth="1"/>
    <col min="2058" max="2058" width="10.5714285714286" customWidth="1"/>
    <col min="2059" max="2059" width="8.57142857142857" customWidth="1"/>
    <col min="2060" max="2060" width="2" customWidth="1"/>
    <col min="2061" max="2062" width="8.57142857142857" customWidth="1"/>
    <col min="2063" max="2063" width="4.57142857142857" customWidth="1"/>
    <col min="2064" max="2064" width="7.57142857142857" customWidth="1"/>
    <col min="2065" max="2065" width="4" customWidth="1"/>
    <col min="2066" max="2067" width="9.57142857142857" customWidth="1"/>
    <col min="2068" max="2069" width="10.5714285714286" customWidth="1"/>
    <col min="2070" max="2070" width="9.57142857142857" customWidth="1"/>
    <col min="2071" max="2071" width="10.5714285714286" customWidth="1"/>
    <col min="2072" max="2072" width="7.85714285714286" customWidth="1"/>
    <col min="2073" max="2073" width="5.57142857142857" customWidth="1"/>
    <col min="2305" max="2305" width="8" customWidth="1"/>
    <col min="2306" max="2306" width="4" customWidth="1"/>
    <col min="2307" max="2308" width="8.57142857142857" customWidth="1"/>
    <col min="2309" max="2309" width="10.5714285714286" customWidth="1"/>
    <col min="2310" max="2310" width="9.57142857142857" customWidth="1"/>
    <col min="2311" max="2311" width="4.28571428571429" customWidth="1"/>
    <col min="2312" max="2313" width="8.57142857142857" customWidth="1"/>
    <col min="2314" max="2314" width="10.5714285714286" customWidth="1"/>
    <col min="2315" max="2315" width="8.57142857142857" customWidth="1"/>
    <col min="2316" max="2316" width="2" customWidth="1"/>
    <col min="2317" max="2318" width="8.57142857142857" customWidth="1"/>
    <col min="2319" max="2319" width="4.57142857142857" customWidth="1"/>
    <col min="2320" max="2320" width="7.57142857142857" customWidth="1"/>
    <col min="2321" max="2321" width="4" customWidth="1"/>
    <col min="2322" max="2323" width="9.57142857142857" customWidth="1"/>
    <col min="2324" max="2325" width="10.5714285714286" customWidth="1"/>
    <col min="2326" max="2326" width="9.57142857142857" customWidth="1"/>
    <col min="2327" max="2327" width="10.5714285714286" customWidth="1"/>
    <col min="2328" max="2328" width="7.85714285714286" customWidth="1"/>
    <col min="2329" max="2329" width="5.57142857142857" customWidth="1"/>
    <col min="2561" max="2561" width="8" customWidth="1"/>
    <col min="2562" max="2562" width="4" customWidth="1"/>
    <col min="2563" max="2564" width="8.57142857142857" customWidth="1"/>
    <col min="2565" max="2565" width="10.5714285714286" customWidth="1"/>
    <col min="2566" max="2566" width="9.57142857142857" customWidth="1"/>
    <col min="2567" max="2567" width="4.28571428571429" customWidth="1"/>
    <col min="2568" max="2569" width="8.57142857142857" customWidth="1"/>
    <col min="2570" max="2570" width="10.5714285714286" customWidth="1"/>
    <col min="2571" max="2571" width="8.57142857142857" customWidth="1"/>
    <col min="2572" max="2572" width="2" customWidth="1"/>
    <col min="2573" max="2574" width="8.57142857142857" customWidth="1"/>
    <col min="2575" max="2575" width="4.57142857142857" customWidth="1"/>
    <col min="2576" max="2576" width="7.57142857142857" customWidth="1"/>
    <col min="2577" max="2577" width="4" customWidth="1"/>
    <col min="2578" max="2579" width="9.57142857142857" customWidth="1"/>
    <col min="2580" max="2581" width="10.5714285714286" customWidth="1"/>
    <col min="2582" max="2582" width="9.57142857142857" customWidth="1"/>
    <col min="2583" max="2583" width="10.5714285714286" customWidth="1"/>
    <col min="2584" max="2584" width="7.85714285714286" customWidth="1"/>
    <col min="2585" max="2585" width="5.57142857142857" customWidth="1"/>
    <col min="2817" max="2817" width="8" customWidth="1"/>
    <col min="2818" max="2818" width="4" customWidth="1"/>
    <col min="2819" max="2820" width="8.57142857142857" customWidth="1"/>
    <col min="2821" max="2821" width="10.5714285714286" customWidth="1"/>
    <col min="2822" max="2822" width="9.57142857142857" customWidth="1"/>
    <col min="2823" max="2823" width="4.28571428571429" customWidth="1"/>
    <col min="2824" max="2825" width="8.57142857142857" customWidth="1"/>
    <col min="2826" max="2826" width="10.5714285714286" customWidth="1"/>
    <col min="2827" max="2827" width="8.57142857142857" customWidth="1"/>
    <col min="2828" max="2828" width="2" customWidth="1"/>
    <col min="2829" max="2830" width="8.57142857142857" customWidth="1"/>
    <col min="2831" max="2831" width="4.57142857142857" customWidth="1"/>
    <col min="2832" max="2832" width="7.57142857142857" customWidth="1"/>
    <col min="2833" max="2833" width="4" customWidth="1"/>
    <col min="2834" max="2835" width="9.57142857142857" customWidth="1"/>
    <col min="2836" max="2837" width="10.5714285714286" customWidth="1"/>
    <col min="2838" max="2838" width="9.57142857142857" customWidth="1"/>
    <col min="2839" max="2839" width="10.5714285714286" customWidth="1"/>
    <col min="2840" max="2840" width="7.85714285714286" customWidth="1"/>
    <col min="2841" max="2841" width="5.57142857142857" customWidth="1"/>
    <col min="3073" max="3073" width="8" customWidth="1"/>
    <col min="3074" max="3074" width="4" customWidth="1"/>
    <col min="3075" max="3076" width="8.57142857142857" customWidth="1"/>
    <col min="3077" max="3077" width="10.5714285714286" customWidth="1"/>
    <col min="3078" max="3078" width="9.57142857142857" customWidth="1"/>
    <col min="3079" max="3079" width="4.28571428571429" customWidth="1"/>
    <col min="3080" max="3081" width="8.57142857142857" customWidth="1"/>
    <col min="3082" max="3082" width="10.5714285714286" customWidth="1"/>
    <col min="3083" max="3083" width="8.57142857142857" customWidth="1"/>
    <col min="3084" max="3084" width="2" customWidth="1"/>
    <col min="3085" max="3086" width="8.57142857142857" customWidth="1"/>
    <col min="3087" max="3087" width="4.57142857142857" customWidth="1"/>
    <col min="3088" max="3088" width="7.57142857142857" customWidth="1"/>
    <col min="3089" max="3089" width="4" customWidth="1"/>
    <col min="3090" max="3091" width="9.57142857142857" customWidth="1"/>
    <col min="3092" max="3093" width="10.5714285714286" customWidth="1"/>
    <col min="3094" max="3094" width="9.57142857142857" customWidth="1"/>
    <col min="3095" max="3095" width="10.5714285714286" customWidth="1"/>
    <col min="3096" max="3096" width="7.85714285714286" customWidth="1"/>
    <col min="3097" max="3097" width="5.57142857142857" customWidth="1"/>
    <col min="3329" max="3329" width="8" customWidth="1"/>
    <col min="3330" max="3330" width="4" customWidth="1"/>
    <col min="3331" max="3332" width="8.57142857142857" customWidth="1"/>
    <col min="3333" max="3333" width="10.5714285714286" customWidth="1"/>
    <col min="3334" max="3334" width="9.57142857142857" customWidth="1"/>
    <col min="3335" max="3335" width="4.28571428571429" customWidth="1"/>
    <col min="3336" max="3337" width="8.57142857142857" customWidth="1"/>
    <col min="3338" max="3338" width="10.5714285714286" customWidth="1"/>
    <col min="3339" max="3339" width="8.57142857142857" customWidth="1"/>
    <col min="3340" max="3340" width="2" customWidth="1"/>
    <col min="3341" max="3342" width="8.57142857142857" customWidth="1"/>
    <col min="3343" max="3343" width="4.57142857142857" customWidth="1"/>
    <col min="3344" max="3344" width="7.57142857142857" customWidth="1"/>
    <col min="3345" max="3345" width="4" customWidth="1"/>
    <col min="3346" max="3347" width="9.57142857142857" customWidth="1"/>
    <col min="3348" max="3349" width="10.5714285714286" customWidth="1"/>
    <col min="3350" max="3350" width="9.57142857142857" customWidth="1"/>
    <col min="3351" max="3351" width="10.5714285714286" customWidth="1"/>
    <col min="3352" max="3352" width="7.85714285714286" customWidth="1"/>
    <col min="3353" max="3353" width="5.57142857142857" customWidth="1"/>
    <col min="3585" max="3585" width="8" customWidth="1"/>
    <col min="3586" max="3586" width="4" customWidth="1"/>
    <col min="3587" max="3588" width="8.57142857142857" customWidth="1"/>
    <col min="3589" max="3589" width="10.5714285714286" customWidth="1"/>
    <col min="3590" max="3590" width="9.57142857142857" customWidth="1"/>
    <col min="3591" max="3591" width="4.28571428571429" customWidth="1"/>
    <col min="3592" max="3593" width="8.57142857142857" customWidth="1"/>
    <col min="3594" max="3594" width="10.5714285714286" customWidth="1"/>
    <col min="3595" max="3595" width="8.57142857142857" customWidth="1"/>
    <col min="3596" max="3596" width="2" customWidth="1"/>
    <col min="3597" max="3598" width="8.57142857142857" customWidth="1"/>
    <col min="3599" max="3599" width="4.57142857142857" customWidth="1"/>
    <col min="3600" max="3600" width="7.57142857142857" customWidth="1"/>
    <col min="3601" max="3601" width="4" customWidth="1"/>
    <col min="3602" max="3603" width="9.57142857142857" customWidth="1"/>
    <col min="3604" max="3605" width="10.5714285714286" customWidth="1"/>
    <col min="3606" max="3606" width="9.57142857142857" customWidth="1"/>
    <col min="3607" max="3607" width="10.5714285714286" customWidth="1"/>
    <col min="3608" max="3608" width="7.85714285714286" customWidth="1"/>
    <col min="3609" max="3609" width="5.57142857142857" customWidth="1"/>
    <col min="3841" max="3841" width="8" customWidth="1"/>
    <col min="3842" max="3842" width="4" customWidth="1"/>
    <col min="3843" max="3844" width="8.57142857142857" customWidth="1"/>
    <col min="3845" max="3845" width="10.5714285714286" customWidth="1"/>
    <col min="3846" max="3846" width="9.57142857142857" customWidth="1"/>
    <col min="3847" max="3847" width="4.28571428571429" customWidth="1"/>
    <col min="3848" max="3849" width="8.57142857142857" customWidth="1"/>
    <col min="3850" max="3850" width="10.5714285714286" customWidth="1"/>
    <col min="3851" max="3851" width="8.57142857142857" customWidth="1"/>
    <col min="3852" max="3852" width="2" customWidth="1"/>
    <col min="3853" max="3854" width="8.57142857142857" customWidth="1"/>
    <col min="3855" max="3855" width="4.57142857142857" customWidth="1"/>
    <col min="3856" max="3856" width="7.57142857142857" customWidth="1"/>
    <col min="3857" max="3857" width="4" customWidth="1"/>
    <col min="3858" max="3859" width="9.57142857142857" customWidth="1"/>
    <col min="3860" max="3861" width="10.5714285714286" customWidth="1"/>
    <col min="3862" max="3862" width="9.57142857142857" customWidth="1"/>
    <col min="3863" max="3863" width="10.5714285714286" customWidth="1"/>
    <col min="3864" max="3864" width="7.85714285714286" customWidth="1"/>
    <col min="3865" max="3865" width="5.57142857142857" customWidth="1"/>
    <col min="4097" max="4097" width="8" customWidth="1"/>
    <col min="4098" max="4098" width="4" customWidth="1"/>
    <col min="4099" max="4100" width="8.57142857142857" customWidth="1"/>
    <col min="4101" max="4101" width="10.5714285714286" customWidth="1"/>
    <col min="4102" max="4102" width="9.57142857142857" customWidth="1"/>
    <col min="4103" max="4103" width="4.28571428571429" customWidth="1"/>
    <col min="4104" max="4105" width="8.57142857142857" customWidth="1"/>
    <col min="4106" max="4106" width="10.5714285714286" customWidth="1"/>
    <col min="4107" max="4107" width="8.57142857142857" customWidth="1"/>
    <col min="4108" max="4108" width="2" customWidth="1"/>
    <col min="4109" max="4110" width="8.57142857142857" customWidth="1"/>
    <col min="4111" max="4111" width="4.57142857142857" customWidth="1"/>
    <col min="4112" max="4112" width="7.57142857142857" customWidth="1"/>
    <col min="4113" max="4113" width="4" customWidth="1"/>
    <col min="4114" max="4115" width="9.57142857142857" customWidth="1"/>
    <col min="4116" max="4117" width="10.5714285714286" customWidth="1"/>
    <col min="4118" max="4118" width="9.57142857142857" customWidth="1"/>
    <col min="4119" max="4119" width="10.5714285714286" customWidth="1"/>
    <col min="4120" max="4120" width="7.85714285714286" customWidth="1"/>
    <col min="4121" max="4121" width="5.57142857142857" customWidth="1"/>
    <col min="4353" max="4353" width="8" customWidth="1"/>
    <col min="4354" max="4354" width="4" customWidth="1"/>
    <col min="4355" max="4356" width="8.57142857142857" customWidth="1"/>
    <col min="4357" max="4357" width="10.5714285714286" customWidth="1"/>
    <col min="4358" max="4358" width="9.57142857142857" customWidth="1"/>
    <col min="4359" max="4359" width="4.28571428571429" customWidth="1"/>
    <col min="4360" max="4361" width="8.57142857142857" customWidth="1"/>
    <col min="4362" max="4362" width="10.5714285714286" customWidth="1"/>
    <col min="4363" max="4363" width="8.57142857142857" customWidth="1"/>
    <col min="4364" max="4364" width="2" customWidth="1"/>
    <col min="4365" max="4366" width="8.57142857142857" customWidth="1"/>
    <col min="4367" max="4367" width="4.57142857142857" customWidth="1"/>
    <col min="4368" max="4368" width="7.57142857142857" customWidth="1"/>
    <col min="4369" max="4369" width="4" customWidth="1"/>
    <col min="4370" max="4371" width="9.57142857142857" customWidth="1"/>
    <col min="4372" max="4373" width="10.5714285714286" customWidth="1"/>
    <col min="4374" max="4374" width="9.57142857142857" customWidth="1"/>
    <col min="4375" max="4375" width="10.5714285714286" customWidth="1"/>
    <col min="4376" max="4376" width="7.85714285714286" customWidth="1"/>
    <col min="4377" max="4377" width="5.57142857142857" customWidth="1"/>
    <col min="4609" max="4609" width="8" customWidth="1"/>
    <col min="4610" max="4610" width="4" customWidth="1"/>
    <col min="4611" max="4612" width="8.57142857142857" customWidth="1"/>
    <col min="4613" max="4613" width="10.5714285714286" customWidth="1"/>
    <col min="4614" max="4614" width="9.57142857142857" customWidth="1"/>
    <col min="4615" max="4615" width="4.28571428571429" customWidth="1"/>
    <col min="4616" max="4617" width="8.57142857142857" customWidth="1"/>
    <col min="4618" max="4618" width="10.5714285714286" customWidth="1"/>
    <col min="4619" max="4619" width="8.57142857142857" customWidth="1"/>
    <col min="4620" max="4620" width="2" customWidth="1"/>
    <col min="4621" max="4622" width="8.57142857142857" customWidth="1"/>
    <col min="4623" max="4623" width="4.57142857142857" customWidth="1"/>
    <col min="4624" max="4624" width="7.57142857142857" customWidth="1"/>
    <col min="4625" max="4625" width="4" customWidth="1"/>
    <col min="4626" max="4627" width="9.57142857142857" customWidth="1"/>
    <col min="4628" max="4629" width="10.5714285714286" customWidth="1"/>
    <col min="4630" max="4630" width="9.57142857142857" customWidth="1"/>
    <col min="4631" max="4631" width="10.5714285714286" customWidth="1"/>
    <col min="4632" max="4632" width="7.85714285714286" customWidth="1"/>
    <col min="4633" max="4633" width="5.57142857142857" customWidth="1"/>
    <col min="4865" max="4865" width="8" customWidth="1"/>
    <col min="4866" max="4866" width="4" customWidth="1"/>
    <col min="4867" max="4868" width="8.57142857142857" customWidth="1"/>
    <col min="4869" max="4869" width="10.5714285714286" customWidth="1"/>
    <col min="4870" max="4870" width="9.57142857142857" customWidth="1"/>
    <col min="4871" max="4871" width="4.28571428571429" customWidth="1"/>
    <col min="4872" max="4873" width="8.57142857142857" customWidth="1"/>
    <col min="4874" max="4874" width="10.5714285714286" customWidth="1"/>
    <col min="4875" max="4875" width="8.57142857142857" customWidth="1"/>
    <col min="4876" max="4876" width="2" customWidth="1"/>
    <col min="4877" max="4878" width="8.57142857142857" customWidth="1"/>
    <col min="4879" max="4879" width="4.57142857142857" customWidth="1"/>
    <col min="4880" max="4880" width="7.57142857142857" customWidth="1"/>
    <col min="4881" max="4881" width="4" customWidth="1"/>
    <col min="4882" max="4883" width="9.57142857142857" customWidth="1"/>
    <col min="4884" max="4885" width="10.5714285714286" customWidth="1"/>
    <col min="4886" max="4886" width="9.57142857142857" customWidth="1"/>
    <col min="4887" max="4887" width="10.5714285714286" customWidth="1"/>
    <col min="4888" max="4888" width="7.85714285714286" customWidth="1"/>
    <col min="4889" max="4889" width="5.57142857142857" customWidth="1"/>
    <col min="5121" max="5121" width="8" customWidth="1"/>
    <col min="5122" max="5122" width="4" customWidth="1"/>
    <col min="5123" max="5124" width="8.57142857142857" customWidth="1"/>
    <col min="5125" max="5125" width="10.5714285714286" customWidth="1"/>
    <col min="5126" max="5126" width="9.57142857142857" customWidth="1"/>
    <col min="5127" max="5127" width="4.28571428571429" customWidth="1"/>
    <col min="5128" max="5129" width="8.57142857142857" customWidth="1"/>
    <col min="5130" max="5130" width="10.5714285714286" customWidth="1"/>
    <col min="5131" max="5131" width="8.57142857142857" customWidth="1"/>
    <col min="5132" max="5132" width="2" customWidth="1"/>
    <col min="5133" max="5134" width="8.57142857142857" customWidth="1"/>
    <col min="5135" max="5135" width="4.57142857142857" customWidth="1"/>
    <col min="5136" max="5136" width="7.57142857142857" customWidth="1"/>
    <col min="5137" max="5137" width="4" customWidth="1"/>
    <col min="5138" max="5139" width="9.57142857142857" customWidth="1"/>
    <col min="5140" max="5141" width="10.5714285714286" customWidth="1"/>
    <col min="5142" max="5142" width="9.57142857142857" customWidth="1"/>
    <col min="5143" max="5143" width="10.5714285714286" customWidth="1"/>
    <col min="5144" max="5144" width="7.85714285714286" customWidth="1"/>
    <col min="5145" max="5145" width="5.57142857142857" customWidth="1"/>
    <col min="5377" max="5377" width="8" customWidth="1"/>
    <col min="5378" max="5378" width="4" customWidth="1"/>
    <col min="5379" max="5380" width="8.57142857142857" customWidth="1"/>
    <col min="5381" max="5381" width="10.5714285714286" customWidth="1"/>
    <col min="5382" max="5382" width="9.57142857142857" customWidth="1"/>
    <col min="5383" max="5383" width="4.28571428571429" customWidth="1"/>
    <col min="5384" max="5385" width="8.57142857142857" customWidth="1"/>
    <col min="5386" max="5386" width="10.5714285714286" customWidth="1"/>
    <col min="5387" max="5387" width="8.57142857142857" customWidth="1"/>
    <col min="5388" max="5388" width="2" customWidth="1"/>
    <col min="5389" max="5390" width="8.57142857142857" customWidth="1"/>
    <col min="5391" max="5391" width="4.57142857142857" customWidth="1"/>
    <col min="5392" max="5392" width="7.57142857142857" customWidth="1"/>
    <col min="5393" max="5393" width="4" customWidth="1"/>
    <col min="5394" max="5395" width="9.57142857142857" customWidth="1"/>
    <col min="5396" max="5397" width="10.5714285714286" customWidth="1"/>
    <col min="5398" max="5398" width="9.57142857142857" customWidth="1"/>
    <col min="5399" max="5399" width="10.5714285714286" customWidth="1"/>
    <col min="5400" max="5400" width="7.85714285714286" customWidth="1"/>
    <col min="5401" max="5401" width="5.57142857142857" customWidth="1"/>
    <col min="5633" max="5633" width="8" customWidth="1"/>
    <col min="5634" max="5634" width="4" customWidth="1"/>
    <col min="5635" max="5636" width="8.57142857142857" customWidth="1"/>
    <col min="5637" max="5637" width="10.5714285714286" customWidth="1"/>
    <col min="5638" max="5638" width="9.57142857142857" customWidth="1"/>
    <col min="5639" max="5639" width="4.28571428571429" customWidth="1"/>
    <col min="5640" max="5641" width="8.57142857142857" customWidth="1"/>
    <col min="5642" max="5642" width="10.5714285714286" customWidth="1"/>
    <col min="5643" max="5643" width="8.57142857142857" customWidth="1"/>
    <col min="5644" max="5644" width="2" customWidth="1"/>
    <col min="5645" max="5646" width="8.57142857142857" customWidth="1"/>
    <col min="5647" max="5647" width="4.57142857142857" customWidth="1"/>
    <col min="5648" max="5648" width="7.57142857142857" customWidth="1"/>
    <col min="5649" max="5649" width="4" customWidth="1"/>
    <col min="5650" max="5651" width="9.57142857142857" customWidth="1"/>
    <col min="5652" max="5653" width="10.5714285714286" customWidth="1"/>
    <col min="5654" max="5654" width="9.57142857142857" customWidth="1"/>
    <col min="5655" max="5655" width="10.5714285714286" customWidth="1"/>
    <col min="5656" max="5656" width="7.85714285714286" customWidth="1"/>
    <col min="5657" max="5657" width="5.57142857142857" customWidth="1"/>
    <col min="5889" max="5889" width="8" customWidth="1"/>
    <col min="5890" max="5890" width="4" customWidth="1"/>
    <col min="5891" max="5892" width="8.57142857142857" customWidth="1"/>
    <col min="5893" max="5893" width="10.5714285714286" customWidth="1"/>
    <col min="5894" max="5894" width="9.57142857142857" customWidth="1"/>
    <col min="5895" max="5895" width="4.28571428571429" customWidth="1"/>
    <col min="5896" max="5897" width="8.57142857142857" customWidth="1"/>
    <col min="5898" max="5898" width="10.5714285714286" customWidth="1"/>
    <col min="5899" max="5899" width="8.57142857142857" customWidth="1"/>
    <col min="5900" max="5900" width="2" customWidth="1"/>
    <col min="5901" max="5902" width="8.57142857142857" customWidth="1"/>
    <col min="5903" max="5903" width="4.57142857142857" customWidth="1"/>
    <col min="5904" max="5904" width="7.57142857142857" customWidth="1"/>
    <col min="5905" max="5905" width="4" customWidth="1"/>
    <col min="5906" max="5907" width="9.57142857142857" customWidth="1"/>
    <col min="5908" max="5909" width="10.5714285714286" customWidth="1"/>
    <col min="5910" max="5910" width="9.57142857142857" customWidth="1"/>
    <col min="5911" max="5911" width="10.5714285714286" customWidth="1"/>
    <col min="5912" max="5912" width="7.85714285714286" customWidth="1"/>
    <col min="5913" max="5913" width="5.57142857142857" customWidth="1"/>
    <col min="6145" max="6145" width="8" customWidth="1"/>
    <col min="6146" max="6146" width="4" customWidth="1"/>
    <col min="6147" max="6148" width="8.57142857142857" customWidth="1"/>
    <col min="6149" max="6149" width="10.5714285714286" customWidth="1"/>
    <col min="6150" max="6150" width="9.57142857142857" customWidth="1"/>
    <col min="6151" max="6151" width="4.28571428571429" customWidth="1"/>
    <col min="6152" max="6153" width="8.57142857142857" customWidth="1"/>
    <col min="6154" max="6154" width="10.5714285714286" customWidth="1"/>
    <col min="6155" max="6155" width="8.57142857142857" customWidth="1"/>
    <col min="6156" max="6156" width="2" customWidth="1"/>
    <col min="6157" max="6158" width="8.57142857142857" customWidth="1"/>
    <col min="6159" max="6159" width="4.57142857142857" customWidth="1"/>
    <col min="6160" max="6160" width="7.57142857142857" customWidth="1"/>
    <col min="6161" max="6161" width="4" customWidth="1"/>
    <col min="6162" max="6163" width="9.57142857142857" customWidth="1"/>
    <col min="6164" max="6165" width="10.5714285714286" customWidth="1"/>
    <col min="6166" max="6166" width="9.57142857142857" customWidth="1"/>
    <col min="6167" max="6167" width="10.5714285714286" customWidth="1"/>
    <col min="6168" max="6168" width="7.85714285714286" customWidth="1"/>
    <col min="6169" max="6169" width="5.57142857142857" customWidth="1"/>
    <col min="6401" max="6401" width="8" customWidth="1"/>
    <col min="6402" max="6402" width="4" customWidth="1"/>
    <col min="6403" max="6404" width="8.57142857142857" customWidth="1"/>
    <col min="6405" max="6405" width="10.5714285714286" customWidth="1"/>
    <col min="6406" max="6406" width="9.57142857142857" customWidth="1"/>
    <col min="6407" max="6407" width="4.28571428571429" customWidth="1"/>
    <col min="6408" max="6409" width="8.57142857142857" customWidth="1"/>
    <col min="6410" max="6410" width="10.5714285714286" customWidth="1"/>
    <col min="6411" max="6411" width="8.57142857142857" customWidth="1"/>
    <col min="6412" max="6412" width="2" customWidth="1"/>
    <col min="6413" max="6414" width="8.57142857142857" customWidth="1"/>
    <col min="6415" max="6415" width="4.57142857142857" customWidth="1"/>
    <col min="6416" max="6416" width="7.57142857142857" customWidth="1"/>
    <col min="6417" max="6417" width="4" customWidth="1"/>
    <col min="6418" max="6419" width="9.57142857142857" customWidth="1"/>
    <col min="6420" max="6421" width="10.5714285714286" customWidth="1"/>
    <col min="6422" max="6422" width="9.57142857142857" customWidth="1"/>
    <col min="6423" max="6423" width="10.5714285714286" customWidth="1"/>
    <col min="6424" max="6424" width="7.85714285714286" customWidth="1"/>
    <col min="6425" max="6425" width="5.57142857142857" customWidth="1"/>
    <col min="6657" max="6657" width="8" customWidth="1"/>
    <col min="6658" max="6658" width="4" customWidth="1"/>
    <col min="6659" max="6660" width="8.57142857142857" customWidth="1"/>
    <col min="6661" max="6661" width="10.5714285714286" customWidth="1"/>
    <col min="6662" max="6662" width="9.57142857142857" customWidth="1"/>
    <col min="6663" max="6663" width="4.28571428571429" customWidth="1"/>
    <col min="6664" max="6665" width="8.57142857142857" customWidth="1"/>
    <col min="6666" max="6666" width="10.5714285714286" customWidth="1"/>
    <col min="6667" max="6667" width="8.57142857142857" customWidth="1"/>
    <col min="6668" max="6668" width="2" customWidth="1"/>
    <col min="6669" max="6670" width="8.57142857142857" customWidth="1"/>
    <col min="6671" max="6671" width="4.57142857142857" customWidth="1"/>
    <col min="6672" max="6672" width="7.57142857142857" customWidth="1"/>
    <col min="6673" max="6673" width="4" customWidth="1"/>
    <col min="6674" max="6675" width="9.57142857142857" customWidth="1"/>
    <col min="6676" max="6677" width="10.5714285714286" customWidth="1"/>
    <col min="6678" max="6678" width="9.57142857142857" customWidth="1"/>
    <col min="6679" max="6679" width="10.5714285714286" customWidth="1"/>
    <col min="6680" max="6680" width="7.85714285714286" customWidth="1"/>
    <col min="6681" max="6681" width="5.57142857142857" customWidth="1"/>
    <col min="6913" max="6913" width="8" customWidth="1"/>
    <col min="6914" max="6914" width="4" customWidth="1"/>
    <col min="6915" max="6916" width="8.57142857142857" customWidth="1"/>
    <col min="6917" max="6917" width="10.5714285714286" customWidth="1"/>
    <col min="6918" max="6918" width="9.57142857142857" customWidth="1"/>
    <col min="6919" max="6919" width="4.28571428571429" customWidth="1"/>
    <col min="6920" max="6921" width="8.57142857142857" customWidth="1"/>
    <col min="6922" max="6922" width="10.5714285714286" customWidth="1"/>
    <col min="6923" max="6923" width="8.57142857142857" customWidth="1"/>
    <col min="6924" max="6924" width="2" customWidth="1"/>
    <col min="6925" max="6926" width="8.57142857142857" customWidth="1"/>
    <col min="6927" max="6927" width="4.57142857142857" customWidth="1"/>
    <col min="6928" max="6928" width="7.57142857142857" customWidth="1"/>
    <col min="6929" max="6929" width="4" customWidth="1"/>
    <col min="6930" max="6931" width="9.57142857142857" customWidth="1"/>
    <col min="6932" max="6933" width="10.5714285714286" customWidth="1"/>
    <col min="6934" max="6934" width="9.57142857142857" customWidth="1"/>
    <col min="6935" max="6935" width="10.5714285714286" customWidth="1"/>
    <col min="6936" max="6936" width="7.85714285714286" customWidth="1"/>
    <col min="6937" max="6937" width="5.57142857142857" customWidth="1"/>
    <col min="7169" max="7169" width="8" customWidth="1"/>
    <col min="7170" max="7170" width="4" customWidth="1"/>
    <col min="7171" max="7172" width="8.57142857142857" customWidth="1"/>
    <col min="7173" max="7173" width="10.5714285714286" customWidth="1"/>
    <col min="7174" max="7174" width="9.57142857142857" customWidth="1"/>
    <col min="7175" max="7175" width="4.28571428571429" customWidth="1"/>
    <col min="7176" max="7177" width="8.57142857142857" customWidth="1"/>
    <col min="7178" max="7178" width="10.5714285714286" customWidth="1"/>
    <col min="7179" max="7179" width="8.57142857142857" customWidth="1"/>
    <col min="7180" max="7180" width="2" customWidth="1"/>
    <col min="7181" max="7182" width="8.57142857142857" customWidth="1"/>
    <col min="7183" max="7183" width="4.57142857142857" customWidth="1"/>
    <col min="7184" max="7184" width="7.57142857142857" customWidth="1"/>
    <col min="7185" max="7185" width="4" customWidth="1"/>
    <col min="7186" max="7187" width="9.57142857142857" customWidth="1"/>
    <col min="7188" max="7189" width="10.5714285714286" customWidth="1"/>
    <col min="7190" max="7190" width="9.57142857142857" customWidth="1"/>
    <col min="7191" max="7191" width="10.5714285714286" customWidth="1"/>
    <col min="7192" max="7192" width="7.85714285714286" customWidth="1"/>
    <col min="7193" max="7193" width="5.57142857142857" customWidth="1"/>
    <col min="7425" max="7425" width="8" customWidth="1"/>
    <col min="7426" max="7426" width="4" customWidth="1"/>
    <col min="7427" max="7428" width="8.57142857142857" customWidth="1"/>
    <col min="7429" max="7429" width="10.5714285714286" customWidth="1"/>
    <col min="7430" max="7430" width="9.57142857142857" customWidth="1"/>
    <col min="7431" max="7431" width="4.28571428571429" customWidth="1"/>
    <col min="7432" max="7433" width="8.57142857142857" customWidth="1"/>
    <col min="7434" max="7434" width="10.5714285714286" customWidth="1"/>
    <col min="7435" max="7435" width="8.57142857142857" customWidth="1"/>
    <col min="7436" max="7436" width="2" customWidth="1"/>
    <col min="7437" max="7438" width="8.57142857142857" customWidth="1"/>
    <col min="7439" max="7439" width="4.57142857142857" customWidth="1"/>
    <col min="7440" max="7440" width="7.57142857142857" customWidth="1"/>
    <col min="7441" max="7441" width="4" customWidth="1"/>
    <col min="7442" max="7443" width="9.57142857142857" customWidth="1"/>
    <col min="7444" max="7445" width="10.5714285714286" customWidth="1"/>
    <col min="7446" max="7446" width="9.57142857142857" customWidth="1"/>
    <col min="7447" max="7447" width="10.5714285714286" customWidth="1"/>
    <col min="7448" max="7448" width="7.85714285714286" customWidth="1"/>
    <col min="7449" max="7449" width="5.57142857142857" customWidth="1"/>
    <col min="7681" max="7681" width="8" customWidth="1"/>
    <col min="7682" max="7682" width="4" customWidth="1"/>
    <col min="7683" max="7684" width="8.57142857142857" customWidth="1"/>
    <col min="7685" max="7685" width="10.5714285714286" customWidth="1"/>
    <col min="7686" max="7686" width="9.57142857142857" customWidth="1"/>
    <col min="7687" max="7687" width="4.28571428571429" customWidth="1"/>
    <col min="7688" max="7689" width="8.57142857142857" customWidth="1"/>
    <col min="7690" max="7690" width="10.5714285714286" customWidth="1"/>
    <col min="7691" max="7691" width="8.57142857142857" customWidth="1"/>
    <col min="7692" max="7692" width="2" customWidth="1"/>
    <col min="7693" max="7694" width="8.57142857142857" customWidth="1"/>
    <col min="7695" max="7695" width="4.57142857142857" customWidth="1"/>
    <col min="7696" max="7696" width="7.57142857142857" customWidth="1"/>
    <col min="7697" max="7697" width="4" customWidth="1"/>
    <col min="7698" max="7699" width="9.57142857142857" customWidth="1"/>
    <col min="7700" max="7701" width="10.5714285714286" customWidth="1"/>
    <col min="7702" max="7702" width="9.57142857142857" customWidth="1"/>
    <col min="7703" max="7703" width="10.5714285714286" customWidth="1"/>
    <col min="7704" max="7704" width="7.85714285714286" customWidth="1"/>
    <col min="7705" max="7705" width="5.57142857142857" customWidth="1"/>
    <col min="7937" max="7937" width="8" customWidth="1"/>
    <col min="7938" max="7938" width="4" customWidth="1"/>
    <col min="7939" max="7940" width="8.57142857142857" customWidth="1"/>
    <col min="7941" max="7941" width="10.5714285714286" customWidth="1"/>
    <col min="7942" max="7942" width="9.57142857142857" customWidth="1"/>
    <col min="7943" max="7943" width="4.28571428571429" customWidth="1"/>
    <col min="7944" max="7945" width="8.57142857142857" customWidth="1"/>
    <col min="7946" max="7946" width="10.5714285714286" customWidth="1"/>
    <col min="7947" max="7947" width="8.57142857142857" customWidth="1"/>
    <col min="7948" max="7948" width="2" customWidth="1"/>
    <col min="7949" max="7950" width="8.57142857142857" customWidth="1"/>
    <col min="7951" max="7951" width="4.57142857142857" customWidth="1"/>
    <col min="7952" max="7952" width="7.57142857142857" customWidth="1"/>
    <col min="7953" max="7953" width="4" customWidth="1"/>
    <col min="7954" max="7955" width="9.57142857142857" customWidth="1"/>
    <col min="7956" max="7957" width="10.5714285714286" customWidth="1"/>
    <col min="7958" max="7958" width="9.57142857142857" customWidth="1"/>
    <col min="7959" max="7959" width="10.5714285714286" customWidth="1"/>
    <col min="7960" max="7960" width="7.85714285714286" customWidth="1"/>
    <col min="7961" max="7961" width="5.57142857142857" customWidth="1"/>
    <col min="8193" max="8193" width="8" customWidth="1"/>
    <col min="8194" max="8194" width="4" customWidth="1"/>
    <col min="8195" max="8196" width="8.57142857142857" customWidth="1"/>
    <col min="8197" max="8197" width="10.5714285714286" customWidth="1"/>
    <col min="8198" max="8198" width="9.57142857142857" customWidth="1"/>
    <col min="8199" max="8199" width="4.28571428571429" customWidth="1"/>
    <col min="8200" max="8201" width="8.57142857142857" customWidth="1"/>
    <col min="8202" max="8202" width="10.5714285714286" customWidth="1"/>
    <col min="8203" max="8203" width="8.57142857142857" customWidth="1"/>
    <col min="8204" max="8204" width="2" customWidth="1"/>
    <col min="8205" max="8206" width="8.57142857142857" customWidth="1"/>
    <col min="8207" max="8207" width="4.57142857142857" customWidth="1"/>
    <col min="8208" max="8208" width="7.57142857142857" customWidth="1"/>
    <col min="8209" max="8209" width="4" customWidth="1"/>
    <col min="8210" max="8211" width="9.57142857142857" customWidth="1"/>
    <col min="8212" max="8213" width="10.5714285714286" customWidth="1"/>
    <col min="8214" max="8214" width="9.57142857142857" customWidth="1"/>
    <col min="8215" max="8215" width="10.5714285714286" customWidth="1"/>
    <col min="8216" max="8216" width="7.85714285714286" customWidth="1"/>
    <col min="8217" max="8217" width="5.57142857142857" customWidth="1"/>
    <col min="8449" max="8449" width="8" customWidth="1"/>
    <col min="8450" max="8450" width="4" customWidth="1"/>
    <col min="8451" max="8452" width="8.57142857142857" customWidth="1"/>
    <col min="8453" max="8453" width="10.5714285714286" customWidth="1"/>
    <col min="8454" max="8454" width="9.57142857142857" customWidth="1"/>
    <col min="8455" max="8455" width="4.28571428571429" customWidth="1"/>
    <col min="8456" max="8457" width="8.57142857142857" customWidth="1"/>
    <col min="8458" max="8458" width="10.5714285714286" customWidth="1"/>
    <col min="8459" max="8459" width="8.57142857142857" customWidth="1"/>
    <col min="8460" max="8460" width="2" customWidth="1"/>
    <col min="8461" max="8462" width="8.57142857142857" customWidth="1"/>
    <col min="8463" max="8463" width="4.57142857142857" customWidth="1"/>
    <col min="8464" max="8464" width="7.57142857142857" customWidth="1"/>
    <col min="8465" max="8465" width="4" customWidth="1"/>
    <col min="8466" max="8467" width="9.57142857142857" customWidth="1"/>
    <col min="8468" max="8469" width="10.5714285714286" customWidth="1"/>
    <col min="8470" max="8470" width="9.57142857142857" customWidth="1"/>
    <col min="8471" max="8471" width="10.5714285714286" customWidth="1"/>
    <col min="8472" max="8472" width="7.85714285714286" customWidth="1"/>
    <col min="8473" max="8473" width="5.57142857142857" customWidth="1"/>
    <col min="8705" max="8705" width="8" customWidth="1"/>
    <col min="8706" max="8706" width="4" customWidth="1"/>
    <col min="8707" max="8708" width="8.57142857142857" customWidth="1"/>
    <col min="8709" max="8709" width="10.5714285714286" customWidth="1"/>
    <col min="8710" max="8710" width="9.57142857142857" customWidth="1"/>
    <col min="8711" max="8711" width="4.28571428571429" customWidth="1"/>
    <col min="8712" max="8713" width="8.57142857142857" customWidth="1"/>
    <col min="8714" max="8714" width="10.5714285714286" customWidth="1"/>
    <col min="8715" max="8715" width="8.57142857142857" customWidth="1"/>
    <col min="8716" max="8716" width="2" customWidth="1"/>
    <col min="8717" max="8718" width="8.57142857142857" customWidth="1"/>
    <col min="8719" max="8719" width="4.57142857142857" customWidth="1"/>
    <col min="8720" max="8720" width="7.57142857142857" customWidth="1"/>
    <col min="8721" max="8721" width="4" customWidth="1"/>
    <col min="8722" max="8723" width="9.57142857142857" customWidth="1"/>
    <col min="8724" max="8725" width="10.5714285714286" customWidth="1"/>
    <col min="8726" max="8726" width="9.57142857142857" customWidth="1"/>
    <col min="8727" max="8727" width="10.5714285714286" customWidth="1"/>
    <col min="8728" max="8728" width="7.85714285714286" customWidth="1"/>
    <col min="8729" max="8729" width="5.57142857142857" customWidth="1"/>
    <col min="8961" max="8961" width="8" customWidth="1"/>
    <col min="8962" max="8962" width="4" customWidth="1"/>
    <col min="8963" max="8964" width="8.57142857142857" customWidth="1"/>
    <col min="8965" max="8965" width="10.5714285714286" customWidth="1"/>
    <col min="8966" max="8966" width="9.57142857142857" customWidth="1"/>
    <col min="8967" max="8967" width="4.28571428571429" customWidth="1"/>
    <col min="8968" max="8969" width="8.57142857142857" customWidth="1"/>
    <col min="8970" max="8970" width="10.5714285714286" customWidth="1"/>
    <col min="8971" max="8971" width="8.57142857142857" customWidth="1"/>
    <col min="8972" max="8972" width="2" customWidth="1"/>
    <col min="8973" max="8974" width="8.57142857142857" customWidth="1"/>
    <col min="8975" max="8975" width="4.57142857142857" customWidth="1"/>
    <col min="8976" max="8976" width="7.57142857142857" customWidth="1"/>
    <col min="8977" max="8977" width="4" customWidth="1"/>
    <col min="8978" max="8979" width="9.57142857142857" customWidth="1"/>
    <col min="8980" max="8981" width="10.5714285714286" customWidth="1"/>
    <col min="8982" max="8982" width="9.57142857142857" customWidth="1"/>
    <col min="8983" max="8983" width="10.5714285714286" customWidth="1"/>
    <col min="8984" max="8984" width="7.85714285714286" customWidth="1"/>
    <col min="8985" max="8985" width="5.57142857142857" customWidth="1"/>
    <col min="9217" max="9217" width="8" customWidth="1"/>
    <col min="9218" max="9218" width="4" customWidth="1"/>
    <col min="9219" max="9220" width="8.57142857142857" customWidth="1"/>
    <col min="9221" max="9221" width="10.5714285714286" customWidth="1"/>
    <col min="9222" max="9222" width="9.57142857142857" customWidth="1"/>
    <col min="9223" max="9223" width="4.28571428571429" customWidth="1"/>
    <col min="9224" max="9225" width="8.57142857142857" customWidth="1"/>
    <col min="9226" max="9226" width="10.5714285714286" customWidth="1"/>
    <col min="9227" max="9227" width="8.57142857142857" customWidth="1"/>
    <col min="9228" max="9228" width="2" customWidth="1"/>
    <col min="9229" max="9230" width="8.57142857142857" customWidth="1"/>
    <col min="9231" max="9231" width="4.57142857142857" customWidth="1"/>
    <col min="9232" max="9232" width="7.57142857142857" customWidth="1"/>
    <col min="9233" max="9233" width="4" customWidth="1"/>
    <col min="9234" max="9235" width="9.57142857142857" customWidth="1"/>
    <col min="9236" max="9237" width="10.5714285714286" customWidth="1"/>
    <col min="9238" max="9238" width="9.57142857142857" customWidth="1"/>
    <col min="9239" max="9239" width="10.5714285714286" customWidth="1"/>
    <col min="9240" max="9240" width="7.85714285714286" customWidth="1"/>
    <col min="9241" max="9241" width="5.57142857142857" customWidth="1"/>
    <col min="9473" max="9473" width="8" customWidth="1"/>
    <col min="9474" max="9474" width="4" customWidth="1"/>
    <col min="9475" max="9476" width="8.57142857142857" customWidth="1"/>
    <col min="9477" max="9477" width="10.5714285714286" customWidth="1"/>
    <col min="9478" max="9478" width="9.57142857142857" customWidth="1"/>
    <col min="9479" max="9479" width="4.28571428571429" customWidth="1"/>
    <col min="9480" max="9481" width="8.57142857142857" customWidth="1"/>
    <col min="9482" max="9482" width="10.5714285714286" customWidth="1"/>
    <col min="9483" max="9483" width="8.57142857142857" customWidth="1"/>
    <col min="9484" max="9484" width="2" customWidth="1"/>
    <col min="9485" max="9486" width="8.57142857142857" customWidth="1"/>
    <col min="9487" max="9487" width="4.57142857142857" customWidth="1"/>
    <col min="9488" max="9488" width="7.57142857142857" customWidth="1"/>
    <col min="9489" max="9489" width="4" customWidth="1"/>
    <col min="9490" max="9491" width="9.57142857142857" customWidth="1"/>
    <col min="9492" max="9493" width="10.5714285714286" customWidth="1"/>
    <col min="9494" max="9494" width="9.57142857142857" customWidth="1"/>
    <col min="9495" max="9495" width="10.5714285714286" customWidth="1"/>
    <col min="9496" max="9496" width="7.85714285714286" customWidth="1"/>
    <col min="9497" max="9497" width="5.57142857142857" customWidth="1"/>
    <col min="9729" max="9729" width="8" customWidth="1"/>
    <col min="9730" max="9730" width="4" customWidth="1"/>
    <col min="9731" max="9732" width="8.57142857142857" customWidth="1"/>
    <col min="9733" max="9733" width="10.5714285714286" customWidth="1"/>
    <col min="9734" max="9734" width="9.57142857142857" customWidth="1"/>
    <col min="9735" max="9735" width="4.28571428571429" customWidth="1"/>
    <col min="9736" max="9737" width="8.57142857142857" customWidth="1"/>
    <col min="9738" max="9738" width="10.5714285714286" customWidth="1"/>
    <col min="9739" max="9739" width="8.57142857142857" customWidth="1"/>
    <col min="9740" max="9740" width="2" customWidth="1"/>
    <col min="9741" max="9742" width="8.57142857142857" customWidth="1"/>
    <col min="9743" max="9743" width="4.57142857142857" customWidth="1"/>
    <col min="9744" max="9744" width="7.57142857142857" customWidth="1"/>
    <col min="9745" max="9745" width="4" customWidth="1"/>
    <col min="9746" max="9747" width="9.57142857142857" customWidth="1"/>
    <col min="9748" max="9749" width="10.5714285714286" customWidth="1"/>
    <col min="9750" max="9750" width="9.57142857142857" customWidth="1"/>
    <col min="9751" max="9751" width="10.5714285714286" customWidth="1"/>
    <col min="9752" max="9752" width="7.85714285714286" customWidth="1"/>
    <col min="9753" max="9753" width="5.57142857142857" customWidth="1"/>
    <col min="9985" max="9985" width="8" customWidth="1"/>
    <col min="9986" max="9986" width="4" customWidth="1"/>
    <col min="9987" max="9988" width="8.57142857142857" customWidth="1"/>
    <col min="9989" max="9989" width="10.5714285714286" customWidth="1"/>
    <col min="9990" max="9990" width="9.57142857142857" customWidth="1"/>
    <col min="9991" max="9991" width="4.28571428571429" customWidth="1"/>
    <col min="9992" max="9993" width="8.57142857142857" customWidth="1"/>
    <col min="9994" max="9994" width="10.5714285714286" customWidth="1"/>
    <col min="9995" max="9995" width="8.57142857142857" customWidth="1"/>
    <col min="9996" max="9996" width="2" customWidth="1"/>
    <col min="9997" max="9998" width="8.57142857142857" customWidth="1"/>
    <col min="9999" max="9999" width="4.57142857142857" customWidth="1"/>
    <col min="10000" max="10000" width="7.57142857142857" customWidth="1"/>
    <col min="10001" max="10001" width="4" customWidth="1"/>
    <col min="10002" max="10003" width="9.57142857142857" customWidth="1"/>
    <col min="10004" max="10005" width="10.5714285714286" customWidth="1"/>
    <col min="10006" max="10006" width="9.57142857142857" customWidth="1"/>
    <col min="10007" max="10007" width="10.5714285714286" customWidth="1"/>
    <col min="10008" max="10008" width="7.85714285714286" customWidth="1"/>
    <col min="10009" max="10009" width="5.57142857142857" customWidth="1"/>
    <col min="10241" max="10241" width="8" customWidth="1"/>
    <col min="10242" max="10242" width="4" customWidth="1"/>
    <col min="10243" max="10244" width="8.57142857142857" customWidth="1"/>
    <col min="10245" max="10245" width="10.5714285714286" customWidth="1"/>
    <col min="10246" max="10246" width="9.57142857142857" customWidth="1"/>
    <col min="10247" max="10247" width="4.28571428571429" customWidth="1"/>
    <col min="10248" max="10249" width="8.57142857142857" customWidth="1"/>
    <col min="10250" max="10250" width="10.5714285714286" customWidth="1"/>
    <col min="10251" max="10251" width="8.57142857142857" customWidth="1"/>
    <col min="10252" max="10252" width="2" customWidth="1"/>
    <col min="10253" max="10254" width="8.57142857142857" customWidth="1"/>
    <col min="10255" max="10255" width="4.57142857142857" customWidth="1"/>
    <col min="10256" max="10256" width="7.57142857142857" customWidth="1"/>
    <col min="10257" max="10257" width="4" customWidth="1"/>
    <col min="10258" max="10259" width="9.57142857142857" customWidth="1"/>
    <col min="10260" max="10261" width="10.5714285714286" customWidth="1"/>
    <col min="10262" max="10262" width="9.57142857142857" customWidth="1"/>
    <col min="10263" max="10263" width="10.5714285714286" customWidth="1"/>
    <col min="10264" max="10264" width="7.85714285714286" customWidth="1"/>
    <col min="10265" max="10265" width="5.57142857142857" customWidth="1"/>
    <col min="10497" max="10497" width="8" customWidth="1"/>
    <col min="10498" max="10498" width="4" customWidth="1"/>
    <col min="10499" max="10500" width="8.57142857142857" customWidth="1"/>
    <col min="10501" max="10501" width="10.5714285714286" customWidth="1"/>
    <col min="10502" max="10502" width="9.57142857142857" customWidth="1"/>
    <col min="10503" max="10503" width="4.28571428571429" customWidth="1"/>
    <col min="10504" max="10505" width="8.57142857142857" customWidth="1"/>
    <col min="10506" max="10506" width="10.5714285714286" customWidth="1"/>
    <col min="10507" max="10507" width="8.57142857142857" customWidth="1"/>
    <col min="10508" max="10508" width="2" customWidth="1"/>
    <col min="10509" max="10510" width="8.57142857142857" customWidth="1"/>
    <col min="10511" max="10511" width="4.57142857142857" customWidth="1"/>
    <col min="10512" max="10512" width="7.57142857142857" customWidth="1"/>
    <col min="10513" max="10513" width="4" customWidth="1"/>
    <col min="10514" max="10515" width="9.57142857142857" customWidth="1"/>
    <col min="10516" max="10517" width="10.5714285714286" customWidth="1"/>
    <col min="10518" max="10518" width="9.57142857142857" customWidth="1"/>
    <col min="10519" max="10519" width="10.5714285714286" customWidth="1"/>
    <col min="10520" max="10520" width="7.85714285714286" customWidth="1"/>
    <col min="10521" max="10521" width="5.57142857142857" customWidth="1"/>
    <col min="10753" max="10753" width="8" customWidth="1"/>
    <col min="10754" max="10754" width="4" customWidth="1"/>
    <col min="10755" max="10756" width="8.57142857142857" customWidth="1"/>
    <col min="10757" max="10757" width="10.5714285714286" customWidth="1"/>
    <col min="10758" max="10758" width="9.57142857142857" customWidth="1"/>
    <col min="10759" max="10759" width="4.28571428571429" customWidth="1"/>
    <col min="10760" max="10761" width="8.57142857142857" customWidth="1"/>
    <col min="10762" max="10762" width="10.5714285714286" customWidth="1"/>
    <col min="10763" max="10763" width="8.57142857142857" customWidth="1"/>
    <col min="10764" max="10764" width="2" customWidth="1"/>
    <col min="10765" max="10766" width="8.57142857142857" customWidth="1"/>
    <col min="10767" max="10767" width="4.57142857142857" customWidth="1"/>
    <col min="10768" max="10768" width="7.57142857142857" customWidth="1"/>
    <col min="10769" max="10769" width="4" customWidth="1"/>
    <col min="10770" max="10771" width="9.57142857142857" customWidth="1"/>
    <col min="10772" max="10773" width="10.5714285714286" customWidth="1"/>
    <col min="10774" max="10774" width="9.57142857142857" customWidth="1"/>
    <col min="10775" max="10775" width="10.5714285714286" customWidth="1"/>
    <col min="10776" max="10776" width="7.85714285714286" customWidth="1"/>
    <col min="10777" max="10777" width="5.57142857142857" customWidth="1"/>
    <col min="11009" max="11009" width="8" customWidth="1"/>
    <col min="11010" max="11010" width="4" customWidth="1"/>
    <col min="11011" max="11012" width="8.57142857142857" customWidth="1"/>
    <col min="11013" max="11013" width="10.5714285714286" customWidth="1"/>
    <col min="11014" max="11014" width="9.57142857142857" customWidth="1"/>
    <col min="11015" max="11015" width="4.28571428571429" customWidth="1"/>
    <col min="11016" max="11017" width="8.57142857142857" customWidth="1"/>
    <col min="11018" max="11018" width="10.5714285714286" customWidth="1"/>
    <col min="11019" max="11019" width="8.57142857142857" customWidth="1"/>
    <col min="11020" max="11020" width="2" customWidth="1"/>
    <col min="11021" max="11022" width="8.57142857142857" customWidth="1"/>
    <col min="11023" max="11023" width="4.57142857142857" customWidth="1"/>
    <col min="11024" max="11024" width="7.57142857142857" customWidth="1"/>
    <col min="11025" max="11025" width="4" customWidth="1"/>
    <col min="11026" max="11027" width="9.57142857142857" customWidth="1"/>
    <col min="11028" max="11029" width="10.5714285714286" customWidth="1"/>
    <col min="11030" max="11030" width="9.57142857142857" customWidth="1"/>
    <col min="11031" max="11031" width="10.5714285714286" customWidth="1"/>
    <col min="11032" max="11032" width="7.85714285714286" customWidth="1"/>
    <col min="11033" max="11033" width="5.57142857142857" customWidth="1"/>
    <col min="11265" max="11265" width="8" customWidth="1"/>
    <col min="11266" max="11266" width="4" customWidth="1"/>
    <col min="11267" max="11268" width="8.57142857142857" customWidth="1"/>
    <col min="11269" max="11269" width="10.5714285714286" customWidth="1"/>
    <col min="11270" max="11270" width="9.57142857142857" customWidth="1"/>
    <col min="11271" max="11271" width="4.28571428571429" customWidth="1"/>
    <col min="11272" max="11273" width="8.57142857142857" customWidth="1"/>
    <col min="11274" max="11274" width="10.5714285714286" customWidth="1"/>
    <col min="11275" max="11275" width="8.57142857142857" customWidth="1"/>
    <col min="11276" max="11276" width="2" customWidth="1"/>
    <col min="11277" max="11278" width="8.57142857142857" customWidth="1"/>
    <col min="11279" max="11279" width="4.57142857142857" customWidth="1"/>
    <col min="11280" max="11280" width="7.57142857142857" customWidth="1"/>
    <col min="11281" max="11281" width="4" customWidth="1"/>
    <col min="11282" max="11283" width="9.57142857142857" customWidth="1"/>
    <col min="11284" max="11285" width="10.5714285714286" customWidth="1"/>
    <col min="11286" max="11286" width="9.57142857142857" customWidth="1"/>
    <col min="11287" max="11287" width="10.5714285714286" customWidth="1"/>
    <col min="11288" max="11288" width="7.85714285714286" customWidth="1"/>
    <col min="11289" max="11289" width="5.57142857142857" customWidth="1"/>
    <col min="11521" max="11521" width="8" customWidth="1"/>
    <col min="11522" max="11522" width="4" customWidth="1"/>
    <col min="11523" max="11524" width="8.57142857142857" customWidth="1"/>
    <col min="11525" max="11525" width="10.5714285714286" customWidth="1"/>
    <col min="11526" max="11526" width="9.57142857142857" customWidth="1"/>
    <col min="11527" max="11527" width="4.28571428571429" customWidth="1"/>
    <col min="11528" max="11529" width="8.57142857142857" customWidth="1"/>
    <col min="11530" max="11530" width="10.5714285714286" customWidth="1"/>
    <col min="11531" max="11531" width="8.57142857142857" customWidth="1"/>
    <col min="11532" max="11532" width="2" customWidth="1"/>
    <col min="11533" max="11534" width="8.57142857142857" customWidth="1"/>
    <col min="11535" max="11535" width="4.57142857142857" customWidth="1"/>
    <col min="11536" max="11536" width="7.57142857142857" customWidth="1"/>
    <col min="11537" max="11537" width="4" customWidth="1"/>
    <col min="11538" max="11539" width="9.57142857142857" customWidth="1"/>
    <col min="11540" max="11541" width="10.5714285714286" customWidth="1"/>
    <col min="11542" max="11542" width="9.57142857142857" customWidth="1"/>
    <col min="11543" max="11543" width="10.5714285714286" customWidth="1"/>
    <col min="11544" max="11544" width="7.85714285714286" customWidth="1"/>
    <col min="11545" max="11545" width="5.57142857142857" customWidth="1"/>
    <col min="11777" max="11777" width="8" customWidth="1"/>
    <col min="11778" max="11778" width="4" customWidth="1"/>
    <col min="11779" max="11780" width="8.57142857142857" customWidth="1"/>
    <col min="11781" max="11781" width="10.5714285714286" customWidth="1"/>
    <col min="11782" max="11782" width="9.57142857142857" customWidth="1"/>
    <col min="11783" max="11783" width="4.28571428571429" customWidth="1"/>
    <col min="11784" max="11785" width="8.57142857142857" customWidth="1"/>
    <col min="11786" max="11786" width="10.5714285714286" customWidth="1"/>
    <col min="11787" max="11787" width="8.57142857142857" customWidth="1"/>
    <col min="11788" max="11788" width="2" customWidth="1"/>
    <col min="11789" max="11790" width="8.57142857142857" customWidth="1"/>
    <col min="11791" max="11791" width="4.57142857142857" customWidth="1"/>
    <col min="11792" max="11792" width="7.57142857142857" customWidth="1"/>
    <col min="11793" max="11793" width="4" customWidth="1"/>
    <col min="11794" max="11795" width="9.57142857142857" customWidth="1"/>
    <col min="11796" max="11797" width="10.5714285714286" customWidth="1"/>
    <col min="11798" max="11798" width="9.57142857142857" customWidth="1"/>
    <col min="11799" max="11799" width="10.5714285714286" customWidth="1"/>
    <col min="11800" max="11800" width="7.85714285714286" customWidth="1"/>
    <col min="11801" max="11801" width="5.57142857142857" customWidth="1"/>
    <col min="12033" max="12033" width="8" customWidth="1"/>
    <col min="12034" max="12034" width="4" customWidth="1"/>
    <col min="12035" max="12036" width="8.57142857142857" customWidth="1"/>
    <col min="12037" max="12037" width="10.5714285714286" customWidth="1"/>
    <col min="12038" max="12038" width="9.57142857142857" customWidth="1"/>
    <col min="12039" max="12039" width="4.28571428571429" customWidth="1"/>
    <col min="12040" max="12041" width="8.57142857142857" customWidth="1"/>
    <col min="12042" max="12042" width="10.5714285714286" customWidth="1"/>
    <col min="12043" max="12043" width="8.57142857142857" customWidth="1"/>
    <col min="12044" max="12044" width="2" customWidth="1"/>
    <col min="12045" max="12046" width="8.57142857142857" customWidth="1"/>
    <col min="12047" max="12047" width="4.57142857142857" customWidth="1"/>
    <col min="12048" max="12048" width="7.57142857142857" customWidth="1"/>
    <col min="12049" max="12049" width="4" customWidth="1"/>
    <col min="12050" max="12051" width="9.57142857142857" customWidth="1"/>
    <col min="12052" max="12053" width="10.5714285714286" customWidth="1"/>
    <col min="12054" max="12054" width="9.57142857142857" customWidth="1"/>
    <col min="12055" max="12055" width="10.5714285714286" customWidth="1"/>
    <col min="12056" max="12056" width="7.85714285714286" customWidth="1"/>
    <col min="12057" max="12057" width="5.57142857142857" customWidth="1"/>
    <col min="12289" max="12289" width="8" customWidth="1"/>
    <col min="12290" max="12290" width="4" customWidth="1"/>
    <col min="12291" max="12292" width="8.57142857142857" customWidth="1"/>
    <col min="12293" max="12293" width="10.5714285714286" customWidth="1"/>
    <col min="12294" max="12294" width="9.57142857142857" customWidth="1"/>
    <col min="12295" max="12295" width="4.28571428571429" customWidth="1"/>
    <col min="12296" max="12297" width="8.57142857142857" customWidth="1"/>
    <col min="12298" max="12298" width="10.5714285714286" customWidth="1"/>
    <col min="12299" max="12299" width="8.57142857142857" customWidth="1"/>
    <col min="12300" max="12300" width="2" customWidth="1"/>
    <col min="12301" max="12302" width="8.57142857142857" customWidth="1"/>
    <col min="12303" max="12303" width="4.57142857142857" customWidth="1"/>
    <col min="12304" max="12304" width="7.57142857142857" customWidth="1"/>
    <col min="12305" max="12305" width="4" customWidth="1"/>
    <col min="12306" max="12307" width="9.57142857142857" customWidth="1"/>
    <col min="12308" max="12309" width="10.5714285714286" customWidth="1"/>
    <col min="12310" max="12310" width="9.57142857142857" customWidth="1"/>
    <col min="12311" max="12311" width="10.5714285714286" customWidth="1"/>
    <col min="12312" max="12312" width="7.85714285714286" customWidth="1"/>
    <col min="12313" max="12313" width="5.57142857142857" customWidth="1"/>
    <col min="12545" max="12545" width="8" customWidth="1"/>
    <col min="12546" max="12546" width="4" customWidth="1"/>
    <col min="12547" max="12548" width="8.57142857142857" customWidth="1"/>
    <col min="12549" max="12549" width="10.5714285714286" customWidth="1"/>
    <col min="12550" max="12550" width="9.57142857142857" customWidth="1"/>
    <col min="12551" max="12551" width="4.28571428571429" customWidth="1"/>
    <col min="12552" max="12553" width="8.57142857142857" customWidth="1"/>
    <col min="12554" max="12554" width="10.5714285714286" customWidth="1"/>
    <col min="12555" max="12555" width="8.57142857142857" customWidth="1"/>
    <col min="12556" max="12556" width="2" customWidth="1"/>
    <col min="12557" max="12558" width="8.57142857142857" customWidth="1"/>
    <col min="12559" max="12559" width="4.57142857142857" customWidth="1"/>
    <col min="12560" max="12560" width="7.57142857142857" customWidth="1"/>
    <col min="12561" max="12561" width="4" customWidth="1"/>
    <col min="12562" max="12563" width="9.57142857142857" customWidth="1"/>
    <col min="12564" max="12565" width="10.5714285714286" customWidth="1"/>
    <col min="12566" max="12566" width="9.57142857142857" customWidth="1"/>
    <col min="12567" max="12567" width="10.5714285714286" customWidth="1"/>
    <col min="12568" max="12568" width="7.85714285714286" customWidth="1"/>
    <col min="12569" max="12569" width="5.57142857142857" customWidth="1"/>
    <col min="12801" max="12801" width="8" customWidth="1"/>
    <col min="12802" max="12802" width="4" customWidth="1"/>
    <col min="12803" max="12804" width="8.57142857142857" customWidth="1"/>
    <col min="12805" max="12805" width="10.5714285714286" customWidth="1"/>
    <col min="12806" max="12806" width="9.57142857142857" customWidth="1"/>
    <col min="12807" max="12807" width="4.28571428571429" customWidth="1"/>
    <col min="12808" max="12809" width="8.57142857142857" customWidth="1"/>
    <col min="12810" max="12810" width="10.5714285714286" customWidth="1"/>
    <col min="12811" max="12811" width="8.57142857142857" customWidth="1"/>
    <col min="12812" max="12812" width="2" customWidth="1"/>
    <col min="12813" max="12814" width="8.57142857142857" customWidth="1"/>
    <col min="12815" max="12815" width="4.57142857142857" customWidth="1"/>
    <col min="12816" max="12816" width="7.57142857142857" customWidth="1"/>
    <col min="12817" max="12817" width="4" customWidth="1"/>
    <col min="12818" max="12819" width="9.57142857142857" customWidth="1"/>
    <col min="12820" max="12821" width="10.5714285714286" customWidth="1"/>
    <col min="12822" max="12822" width="9.57142857142857" customWidth="1"/>
    <col min="12823" max="12823" width="10.5714285714286" customWidth="1"/>
    <col min="12824" max="12824" width="7.85714285714286" customWidth="1"/>
    <col min="12825" max="12825" width="5.57142857142857" customWidth="1"/>
    <col min="13057" max="13057" width="8" customWidth="1"/>
    <col min="13058" max="13058" width="4" customWidth="1"/>
    <col min="13059" max="13060" width="8.57142857142857" customWidth="1"/>
    <col min="13061" max="13061" width="10.5714285714286" customWidth="1"/>
    <col min="13062" max="13062" width="9.57142857142857" customWidth="1"/>
    <col min="13063" max="13063" width="4.28571428571429" customWidth="1"/>
    <col min="13064" max="13065" width="8.57142857142857" customWidth="1"/>
    <col min="13066" max="13066" width="10.5714285714286" customWidth="1"/>
    <col min="13067" max="13067" width="8.57142857142857" customWidth="1"/>
    <col min="13068" max="13068" width="2" customWidth="1"/>
    <col min="13069" max="13070" width="8.57142857142857" customWidth="1"/>
    <col min="13071" max="13071" width="4.57142857142857" customWidth="1"/>
    <col min="13072" max="13072" width="7.57142857142857" customWidth="1"/>
    <col min="13073" max="13073" width="4" customWidth="1"/>
    <col min="13074" max="13075" width="9.57142857142857" customWidth="1"/>
    <col min="13076" max="13077" width="10.5714285714286" customWidth="1"/>
    <col min="13078" max="13078" width="9.57142857142857" customWidth="1"/>
    <col min="13079" max="13079" width="10.5714285714286" customWidth="1"/>
    <col min="13080" max="13080" width="7.85714285714286" customWidth="1"/>
    <col min="13081" max="13081" width="5.57142857142857" customWidth="1"/>
    <col min="13313" max="13313" width="8" customWidth="1"/>
    <col min="13314" max="13314" width="4" customWidth="1"/>
    <col min="13315" max="13316" width="8.57142857142857" customWidth="1"/>
    <col min="13317" max="13317" width="10.5714285714286" customWidth="1"/>
    <col min="13318" max="13318" width="9.57142857142857" customWidth="1"/>
    <col min="13319" max="13319" width="4.28571428571429" customWidth="1"/>
    <col min="13320" max="13321" width="8.57142857142857" customWidth="1"/>
    <col min="13322" max="13322" width="10.5714285714286" customWidth="1"/>
    <col min="13323" max="13323" width="8.57142857142857" customWidth="1"/>
    <col min="13324" max="13324" width="2" customWidth="1"/>
    <col min="13325" max="13326" width="8.57142857142857" customWidth="1"/>
    <col min="13327" max="13327" width="4.57142857142857" customWidth="1"/>
    <col min="13328" max="13328" width="7.57142857142857" customWidth="1"/>
    <col min="13329" max="13329" width="4" customWidth="1"/>
    <col min="13330" max="13331" width="9.57142857142857" customWidth="1"/>
    <col min="13332" max="13333" width="10.5714285714286" customWidth="1"/>
    <col min="13334" max="13334" width="9.57142857142857" customWidth="1"/>
    <col min="13335" max="13335" width="10.5714285714286" customWidth="1"/>
    <col min="13336" max="13336" width="7.85714285714286" customWidth="1"/>
    <col min="13337" max="13337" width="5.57142857142857" customWidth="1"/>
    <col min="13569" max="13569" width="8" customWidth="1"/>
    <col min="13570" max="13570" width="4" customWidth="1"/>
    <col min="13571" max="13572" width="8.57142857142857" customWidth="1"/>
    <col min="13573" max="13573" width="10.5714285714286" customWidth="1"/>
    <col min="13574" max="13574" width="9.57142857142857" customWidth="1"/>
    <col min="13575" max="13575" width="4.28571428571429" customWidth="1"/>
    <col min="13576" max="13577" width="8.57142857142857" customWidth="1"/>
    <col min="13578" max="13578" width="10.5714285714286" customWidth="1"/>
    <col min="13579" max="13579" width="8.57142857142857" customWidth="1"/>
    <col min="13580" max="13580" width="2" customWidth="1"/>
    <col min="13581" max="13582" width="8.57142857142857" customWidth="1"/>
    <col min="13583" max="13583" width="4.57142857142857" customWidth="1"/>
    <col min="13584" max="13584" width="7.57142857142857" customWidth="1"/>
    <col min="13585" max="13585" width="4" customWidth="1"/>
    <col min="13586" max="13587" width="9.57142857142857" customWidth="1"/>
    <col min="13588" max="13589" width="10.5714285714286" customWidth="1"/>
    <col min="13590" max="13590" width="9.57142857142857" customWidth="1"/>
    <col min="13591" max="13591" width="10.5714285714286" customWidth="1"/>
    <col min="13592" max="13592" width="7.85714285714286" customWidth="1"/>
    <col min="13593" max="13593" width="5.57142857142857" customWidth="1"/>
    <col min="13825" max="13825" width="8" customWidth="1"/>
    <col min="13826" max="13826" width="4" customWidth="1"/>
    <col min="13827" max="13828" width="8.57142857142857" customWidth="1"/>
    <col min="13829" max="13829" width="10.5714285714286" customWidth="1"/>
    <col min="13830" max="13830" width="9.57142857142857" customWidth="1"/>
    <col min="13831" max="13831" width="4.28571428571429" customWidth="1"/>
    <col min="13832" max="13833" width="8.57142857142857" customWidth="1"/>
    <col min="13834" max="13834" width="10.5714285714286" customWidth="1"/>
    <col min="13835" max="13835" width="8.57142857142857" customWidth="1"/>
    <col min="13836" max="13836" width="2" customWidth="1"/>
    <col min="13837" max="13838" width="8.57142857142857" customWidth="1"/>
    <col min="13839" max="13839" width="4.57142857142857" customWidth="1"/>
    <col min="13840" max="13840" width="7.57142857142857" customWidth="1"/>
    <col min="13841" max="13841" width="4" customWidth="1"/>
    <col min="13842" max="13843" width="9.57142857142857" customWidth="1"/>
    <col min="13844" max="13845" width="10.5714285714286" customWidth="1"/>
    <col min="13846" max="13846" width="9.57142857142857" customWidth="1"/>
    <col min="13847" max="13847" width="10.5714285714286" customWidth="1"/>
    <col min="13848" max="13848" width="7.85714285714286" customWidth="1"/>
    <col min="13849" max="13849" width="5.57142857142857" customWidth="1"/>
    <col min="14081" max="14081" width="8" customWidth="1"/>
    <col min="14082" max="14082" width="4" customWidth="1"/>
    <col min="14083" max="14084" width="8.57142857142857" customWidth="1"/>
    <col min="14085" max="14085" width="10.5714285714286" customWidth="1"/>
    <col min="14086" max="14086" width="9.57142857142857" customWidth="1"/>
    <col min="14087" max="14087" width="4.28571428571429" customWidth="1"/>
    <col min="14088" max="14089" width="8.57142857142857" customWidth="1"/>
    <col min="14090" max="14090" width="10.5714285714286" customWidth="1"/>
    <col min="14091" max="14091" width="8.57142857142857" customWidth="1"/>
    <col min="14092" max="14092" width="2" customWidth="1"/>
    <col min="14093" max="14094" width="8.57142857142857" customWidth="1"/>
    <col min="14095" max="14095" width="4.57142857142857" customWidth="1"/>
    <col min="14096" max="14096" width="7.57142857142857" customWidth="1"/>
    <col min="14097" max="14097" width="4" customWidth="1"/>
    <col min="14098" max="14099" width="9.57142857142857" customWidth="1"/>
    <col min="14100" max="14101" width="10.5714285714286" customWidth="1"/>
    <col min="14102" max="14102" width="9.57142857142857" customWidth="1"/>
    <col min="14103" max="14103" width="10.5714285714286" customWidth="1"/>
    <col min="14104" max="14104" width="7.85714285714286" customWidth="1"/>
    <col min="14105" max="14105" width="5.57142857142857" customWidth="1"/>
    <col min="14337" max="14337" width="8" customWidth="1"/>
    <col min="14338" max="14338" width="4" customWidth="1"/>
    <col min="14339" max="14340" width="8.57142857142857" customWidth="1"/>
    <col min="14341" max="14341" width="10.5714285714286" customWidth="1"/>
    <col min="14342" max="14342" width="9.57142857142857" customWidth="1"/>
    <col min="14343" max="14343" width="4.28571428571429" customWidth="1"/>
    <col min="14344" max="14345" width="8.57142857142857" customWidth="1"/>
    <col min="14346" max="14346" width="10.5714285714286" customWidth="1"/>
    <col min="14347" max="14347" width="8.57142857142857" customWidth="1"/>
    <col min="14348" max="14348" width="2" customWidth="1"/>
    <col min="14349" max="14350" width="8.57142857142857" customWidth="1"/>
    <col min="14351" max="14351" width="4.57142857142857" customWidth="1"/>
    <col min="14352" max="14352" width="7.57142857142857" customWidth="1"/>
    <col min="14353" max="14353" width="4" customWidth="1"/>
    <col min="14354" max="14355" width="9.57142857142857" customWidth="1"/>
    <col min="14356" max="14357" width="10.5714285714286" customWidth="1"/>
    <col min="14358" max="14358" width="9.57142857142857" customWidth="1"/>
    <col min="14359" max="14359" width="10.5714285714286" customWidth="1"/>
    <col min="14360" max="14360" width="7.85714285714286" customWidth="1"/>
    <col min="14361" max="14361" width="5.57142857142857" customWidth="1"/>
    <col min="14593" max="14593" width="8" customWidth="1"/>
    <col min="14594" max="14594" width="4" customWidth="1"/>
    <col min="14595" max="14596" width="8.57142857142857" customWidth="1"/>
    <col min="14597" max="14597" width="10.5714285714286" customWidth="1"/>
    <col min="14598" max="14598" width="9.57142857142857" customWidth="1"/>
    <col min="14599" max="14599" width="4.28571428571429" customWidth="1"/>
    <col min="14600" max="14601" width="8.57142857142857" customWidth="1"/>
    <col min="14602" max="14602" width="10.5714285714286" customWidth="1"/>
    <col min="14603" max="14603" width="8.57142857142857" customWidth="1"/>
    <col min="14604" max="14604" width="2" customWidth="1"/>
    <col min="14605" max="14606" width="8.57142857142857" customWidth="1"/>
    <col min="14607" max="14607" width="4.57142857142857" customWidth="1"/>
    <col min="14608" max="14608" width="7.57142857142857" customWidth="1"/>
    <col min="14609" max="14609" width="4" customWidth="1"/>
    <col min="14610" max="14611" width="9.57142857142857" customWidth="1"/>
    <col min="14612" max="14613" width="10.5714285714286" customWidth="1"/>
    <col min="14614" max="14614" width="9.57142857142857" customWidth="1"/>
    <col min="14615" max="14615" width="10.5714285714286" customWidth="1"/>
    <col min="14616" max="14616" width="7.85714285714286" customWidth="1"/>
    <col min="14617" max="14617" width="5.57142857142857" customWidth="1"/>
    <col min="14849" max="14849" width="8" customWidth="1"/>
    <col min="14850" max="14850" width="4" customWidth="1"/>
    <col min="14851" max="14852" width="8.57142857142857" customWidth="1"/>
    <col min="14853" max="14853" width="10.5714285714286" customWidth="1"/>
    <col min="14854" max="14854" width="9.57142857142857" customWidth="1"/>
    <col min="14855" max="14855" width="4.28571428571429" customWidth="1"/>
    <col min="14856" max="14857" width="8.57142857142857" customWidth="1"/>
    <col min="14858" max="14858" width="10.5714285714286" customWidth="1"/>
    <col min="14859" max="14859" width="8.57142857142857" customWidth="1"/>
    <col min="14860" max="14860" width="2" customWidth="1"/>
    <col min="14861" max="14862" width="8.57142857142857" customWidth="1"/>
    <col min="14863" max="14863" width="4.57142857142857" customWidth="1"/>
    <col min="14864" max="14864" width="7.57142857142857" customWidth="1"/>
    <col min="14865" max="14865" width="4" customWidth="1"/>
    <col min="14866" max="14867" width="9.57142857142857" customWidth="1"/>
    <col min="14868" max="14869" width="10.5714285714286" customWidth="1"/>
    <col min="14870" max="14870" width="9.57142857142857" customWidth="1"/>
    <col min="14871" max="14871" width="10.5714285714286" customWidth="1"/>
    <col min="14872" max="14872" width="7.85714285714286" customWidth="1"/>
    <col min="14873" max="14873" width="5.57142857142857" customWidth="1"/>
    <col min="15105" max="15105" width="8" customWidth="1"/>
    <col min="15106" max="15106" width="4" customWidth="1"/>
    <col min="15107" max="15108" width="8.57142857142857" customWidth="1"/>
    <col min="15109" max="15109" width="10.5714285714286" customWidth="1"/>
    <col min="15110" max="15110" width="9.57142857142857" customWidth="1"/>
    <col min="15111" max="15111" width="4.28571428571429" customWidth="1"/>
    <col min="15112" max="15113" width="8.57142857142857" customWidth="1"/>
    <col min="15114" max="15114" width="10.5714285714286" customWidth="1"/>
    <col min="15115" max="15115" width="8.57142857142857" customWidth="1"/>
    <col min="15116" max="15116" width="2" customWidth="1"/>
    <col min="15117" max="15118" width="8.57142857142857" customWidth="1"/>
    <col min="15119" max="15119" width="4.57142857142857" customWidth="1"/>
    <col min="15120" max="15120" width="7.57142857142857" customWidth="1"/>
    <col min="15121" max="15121" width="4" customWidth="1"/>
    <col min="15122" max="15123" width="9.57142857142857" customWidth="1"/>
    <col min="15124" max="15125" width="10.5714285714286" customWidth="1"/>
    <col min="15126" max="15126" width="9.57142857142857" customWidth="1"/>
    <col min="15127" max="15127" width="10.5714285714286" customWidth="1"/>
    <col min="15128" max="15128" width="7.85714285714286" customWidth="1"/>
    <col min="15129" max="15129" width="5.57142857142857" customWidth="1"/>
    <col min="15361" max="15361" width="8" customWidth="1"/>
    <col min="15362" max="15362" width="4" customWidth="1"/>
    <col min="15363" max="15364" width="8.57142857142857" customWidth="1"/>
    <col min="15365" max="15365" width="10.5714285714286" customWidth="1"/>
    <col min="15366" max="15366" width="9.57142857142857" customWidth="1"/>
    <col min="15367" max="15367" width="4.28571428571429" customWidth="1"/>
    <col min="15368" max="15369" width="8.57142857142857" customWidth="1"/>
    <col min="15370" max="15370" width="10.5714285714286" customWidth="1"/>
    <col min="15371" max="15371" width="8.57142857142857" customWidth="1"/>
    <col min="15372" max="15372" width="2" customWidth="1"/>
    <col min="15373" max="15374" width="8.57142857142857" customWidth="1"/>
    <col min="15375" max="15375" width="4.57142857142857" customWidth="1"/>
    <col min="15376" max="15376" width="7.57142857142857" customWidth="1"/>
    <col min="15377" max="15377" width="4" customWidth="1"/>
    <col min="15378" max="15379" width="9.57142857142857" customWidth="1"/>
    <col min="15380" max="15381" width="10.5714285714286" customWidth="1"/>
    <col min="15382" max="15382" width="9.57142857142857" customWidth="1"/>
    <col min="15383" max="15383" width="10.5714285714286" customWidth="1"/>
    <col min="15384" max="15384" width="7.85714285714286" customWidth="1"/>
    <col min="15385" max="15385" width="5.57142857142857" customWidth="1"/>
    <col min="15617" max="15617" width="8" customWidth="1"/>
    <col min="15618" max="15618" width="4" customWidth="1"/>
    <col min="15619" max="15620" width="8.57142857142857" customWidth="1"/>
    <col min="15621" max="15621" width="10.5714285714286" customWidth="1"/>
    <col min="15622" max="15622" width="9.57142857142857" customWidth="1"/>
    <col min="15623" max="15623" width="4.28571428571429" customWidth="1"/>
    <col min="15624" max="15625" width="8.57142857142857" customWidth="1"/>
    <col min="15626" max="15626" width="10.5714285714286" customWidth="1"/>
    <col min="15627" max="15627" width="8.57142857142857" customWidth="1"/>
    <col min="15628" max="15628" width="2" customWidth="1"/>
    <col min="15629" max="15630" width="8.57142857142857" customWidth="1"/>
    <col min="15631" max="15631" width="4.57142857142857" customWidth="1"/>
    <col min="15632" max="15632" width="7.57142857142857" customWidth="1"/>
    <col min="15633" max="15633" width="4" customWidth="1"/>
    <col min="15634" max="15635" width="9.57142857142857" customWidth="1"/>
    <col min="15636" max="15637" width="10.5714285714286" customWidth="1"/>
    <col min="15638" max="15638" width="9.57142857142857" customWidth="1"/>
    <col min="15639" max="15639" width="10.5714285714286" customWidth="1"/>
    <col min="15640" max="15640" width="7.85714285714286" customWidth="1"/>
    <col min="15641" max="15641" width="5.57142857142857" customWidth="1"/>
    <col min="15873" max="15873" width="8" customWidth="1"/>
    <col min="15874" max="15874" width="4" customWidth="1"/>
    <col min="15875" max="15876" width="8.57142857142857" customWidth="1"/>
    <col min="15877" max="15877" width="10.5714285714286" customWidth="1"/>
    <col min="15878" max="15878" width="9.57142857142857" customWidth="1"/>
    <col min="15879" max="15879" width="4.28571428571429" customWidth="1"/>
    <col min="15880" max="15881" width="8.57142857142857" customWidth="1"/>
    <col min="15882" max="15882" width="10.5714285714286" customWidth="1"/>
    <col min="15883" max="15883" width="8.57142857142857" customWidth="1"/>
    <col min="15884" max="15884" width="2" customWidth="1"/>
    <col min="15885" max="15886" width="8.57142857142857" customWidth="1"/>
    <col min="15887" max="15887" width="4.57142857142857" customWidth="1"/>
    <col min="15888" max="15888" width="7.57142857142857" customWidth="1"/>
    <col min="15889" max="15889" width="4" customWidth="1"/>
    <col min="15890" max="15891" width="9.57142857142857" customWidth="1"/>
    <col min="15892" max="15893" width="10.5714285714286" customWidth="1"/>
    <col min="15894" max="15894" width="9.57142857142857" customWidth="1"/>
    <col min="15895" max="15895" width="10.5714285714286" customWidth="1"/>
    <col min="15896" max="15896" width="7.85714285714286" customWidth="1"/>
    <col min="15897" max="15897" width="5.57142857142857" customWidth="1"/>
    <col min="16129" max="16129" width="8" customWidth="1"/>
    <col min="16130" max="16130" width="4" customWidth="1"/>
    <col min="16131" max="16132" width="8.57142857142857" customWidth="1"/>
    <col min="16133" max="16133" width="10.5714285714286" customWidth="1"/>
    <col min="16134" max="16134" width="9.57142857142857" customWidth="1"/>
    <col min="16135" max="16135" width="4.28571428571429" customWidth="1"/>
    <col min="16136" max="16137" width="8.57142857142857" customWidth="1"/>
    <col min="16138" max="16138" width="10.5714285714286" customWidth="1"/>
    <col min="16139" max="16139" width="8.57142857142857" customWidth="1"/>
    <col min="16140" max="16140" width="2" customWidth="1"/>
    <col min="16141" max="16142" width="8.57142857142857" customWidth="1"/>
    <col min="16143" max="16143" width="4.57142857142857" customWidth="1"/>
    <col min="16144" max="16144" width="7.57142857142857" customWidth="1"/>
    <col min="16145" max="16145" width="4" customWidth="1"/>
    <col min="16146" max="16147" width="9.57142857142857" customWidth="1"/>
    <col min="16148" max="16149" width="10.5714285714286" customWidth="1"/>
    <col min="16150" max="16150" width="9.57142857142857" customWidth="1"/>
    <col min="16151" max="16151" width="10.5714285714286" customWidth="1"/>
    <col min="16152" max="16152" width="7.85714285714286" customWidth="1"/>
    <col min="16153" max="16153" width="5.57142857142857" customWidth="1"/>
  </cols>
  <sheetData>
    <row r="1" ht="15" spans="1:22">
      <c r="A1" s="69" t="s">
        <v>1006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ht="15.75" spans="1:22">
      <c r="A2" s="69" t="s">
        <v>1012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</row>
    <row r="3" ht="15" spans="1:22">
      <c r="A3" s="70" t="s">
        <v>1013</v>
      </c>
      <c r="B3" s="71" t="s">
        <v>1014</v>
      </c>
      <c r="C3" s="72"/>
      <c r="D3" s="72"/>
      <c r="E3" s="72"/>
      <c r="F3" s="87"/>
      <c r="G3" s="71" t="s">
        <v>1015</v>
      </c>
      <c r="H3" s="72"/>
      <c r="I3" s="72"/>
      <c r="J3" s="72"/>
      <c r="K3" s="87"/>
      <c r="L3" s="71" t="s">
        <v>1016</v>
      </c>
      <c r="M3" s="72"/>
      <c r="N3" s="72"/>
      <c r="O3" s="72"/>
      <c r="P3" s="87"/>
      <c r="Q3" s="71" t="s">
        <v>47</v>
      </c>
      <c r="R3" s="72"/>
      <c r="S3" s="72"/>
      <c r="T3" s="72"/>
      <c r="U3" s="72"/>
      <c r="V3" s="87"/>
    </row>
    <row r="4" ht="15" spans="1:25">
      <c r="A4" s="73" t="s">
        <v>144</v>
      </c>
      <c r="B4" s="74" t="s">
        <v>833</v>
      </c>
      <c r="C4" s="75" t="s">
        <v>1017</v>
      </c>
      <c r="D4" s="76" t="s">
        <v>1018</v>
      </c>
      <c r="E4" s="76" t="s">
        <v>1019</v>
      </c>
      <c r="F4" s="88" t="s">
        <v>1020</v>
      </c>
      <c r="G4" s="74" t="str">
        <f t="shared" ref="G4:S4" si="0">B4</f>
        <v>Nos</v>
      </c>
      <c r="H4" s="85" t="str">
        <f t="shared" si="0"/>
        <v>TRNSFR</v>
      </c>
      <c r="I4" s="86" t="str">
        <f t="shared" si="0"/>
        <v>SALES</v>
      </c>
      <c r="J4" s="86" t="str">
        <f t="shared" si="0"/>
        <v>SALARY RS.</v>
      </c>
      <c r="K4" s="93" t="str">
        <f t="shared" si="0"/>
        <v>POWER</v>
      </c>
      <c r="L4" s="74" t="str">
        <f t="shared" si="0"/>
        <v>Nos</v>
      </c>
      <c r="M4" s="75" t="str">
        <f t="shared" si="0"/>
        <v>TRNSFR</v>
      </c>
      <c r="N4" s="76" t="str">
        <f t="shared" si="0"/>
        <v>SALES</v>
      </c>
      <c r="O4" s="76" t="str">
        <f t="shared" si="0"/>
        <v>SALARY RS.</v>
      </c>
      <c r="P4" s="88" t="str">
        <f t="shared" si="0"/>
        <v>POWER</v>
      </c>
      <c r="Q4" s="74" t="str">
        <f t="shared" si="0"/>
        <v>Nos</v>
      </c>
      <c r="R4" s="75" t="str">
        <f t="shared" si="0"/>
        <v>TRNSFR</v>
      </c>
      <c r="S4" s="76" t="str">
        <f t="shared" si="0"/>
        <v>SALES</v>
      </c>
      <c r="T4" s="76" t="s">
        <v>1021</v>
      </c>
      <c r="U4" s="76" t="str">
        <f>O4</f>
        <v>SALARY RS.</v>
      </c>
      <c r="V4" s="88" t="str">
        <f>P4</f>
        <v>POWER</v>
      </c>
      <c r="W4" s="98" t="s">
        <v>52</v>
      </c>
      <c r="X4" s="99" t="s">
        <v>1022</v>
      </c>
      <c r="Y4" s="99" t="s">
        <v>173</v>
      </c>
    </row>
    <row r="5" ht="15" spans="1:25">
      <c r="A5" s="77" t="s">
        <v>17</v>
      </c>
      <c r="B5" s="78">
        <v>42</v>
      </c>
      <c r="C5" s="79">
        <v>87819.02</v>
      </c>
      <c r="D5" s="80">
        <v>69581.07</v>
      </c>
      <c r="E5" s="89">
        <f>601393+63038+41615</f>
        <v>706046</v>
      </c>
      <c r="F5" s="90">
        <f>22500+7500</f>
        <v>30000</v>
      </c>
      <c r="G5" s="78">
        <v>7</v>
      </c>
      <c r="H5" s="79">
        <v>21043.24</v>
      </c>
      <c r="I5" s="80">
        <v>23660.32</v>
      </c>
      <c r="J5" s="89">
        <f>99093+20900</f>
        <v>119993</v>
      </c>
      <c r="K5" s="90">
        <v>1976</v>
      </c>
      <c r="L5" s="78"/>
      <c r="M5" s="79">
        <v>12781.26</v>
      </c>
      <c r="N5" s="80">
        <v>14792.48</v>
      </c>
      <c r="O5" s="89"/>
      <c r="P5" s="94"/>
      <c r="Q5" s="78">
        <f>B5+G5+L5</f>
        <v>49</v>
      </c>
      <c r="R5" s="79">
        <f>C5+H5+M5</f>
        <v>121643.52</v>
      </c>
      <c r="S5" s="80">
        <f>D5+I5+N5</f>
        <v>108033.87</v>
      </c>
      <c r="T5" s="89">
        <v>244002</v>
      </c>
      <c r="U5" s="89">
        <f t="shared" ref="U5:V16" si="1">E5+J5+O5</f>
        <v>826039</v>
      </c>
      <c r="V5" s="90">
        <f t="shared" si="1"/>
        <v>31976</v>
      </c>
      <c r="W5" s="97">
        <f>SUM(T5:V5)</f>
        <v>1102017</v>
      </c>
      <c r="X5" s="95">
        <f>W5/R5</f>
        <v>9.05939749195025</v>
      </c>
      <c r="Y5" s="95">
        <f>W5/S5</f>
        <v>10.2006620701452</v>
      </c>
    </row>
    <row r="6" ht="15" spans="1:25">
      <c r="A6" s="77" t="s">
        <v>18</v>
      </c>
      <c r="B6" s="78">
        <v>43</v>
      </c>
      <c r="C6" s="79">
        <v>83074.09</v>
      </c>
      <c r="D6" s="80">
        <v>50807.68</v>
      </c>
      <c r="E6" s="89">
        <f>595363+64215+41790</f>
        <v>701368</v>
      </c>
      <c r="F6" s="90">
        <f>22500+7500</f>
        <v>30000</v>
      </c>
      <c r="G6" s="78">
        <v>7</v>
      </c>
      <c r="H6" s="79">
        <v>15244.78</v>
      </c>
      <c r="I6" s="80">
        <v>15780.98</v>
      </c>
      <c r="J6" s="89">
        <f>112323+20900</f>
        <v>133223</v>
      </c>
      <c r="K6" s="90">
        <v>1744</v>
      </c>
      <c r="L6" s="78"/>
      <c r="M6" s="79">
        <v>12774.41</v>
      </c>
      <c r="N6" s="80">
        <v>40226.07</v>
      </c>
      <c r="O6" s="89"/>
      <c r="P6" s="94"/>
      <c r="Q6" s="78">
        <f t="shared" ref="Q6:S16" si="2">B6+G6+L6</f>
        <v>50</v>
      </c>
      <c r="R6" s="79">
        <f t="shared" si="2"/>
        <v>111093.28</v>
      </c>
      <c r="S6" s="80">
        <f t="shared" si="2"/>
        <v>106814.73</v>
      </c>
      <c r="T6" s="89">
        <v>35870</v>
      </c>
      <c r="U6" s="89">
        <f t="shared" si="1"/>
        <v>834591</v>
      </c>
      <c r="V6" s="90">
        <f t="shared" si="1"/>
        <v>31744</v>
      </c>
      <c r="W6" s="97">
        <f t="shared" ref="W6:W17" si="3">SUM(T6:V6)</f>
        <v>902205</v>
      </c>
      <c r="X6" s="95">
        <f t="shared" ref="X6:X17" si="4">W6/R6</f>
        <v>8.12114828187627</v>
      </c>
      <c r="Y6" s="95">
        <f t="shared" ref="Y6:Y17" si="5">W6/S6</f>
        <v>8.44644741413473</v>
      </c>
    </row>
    <row r="7" ht="15" spans="1:25">
      <c r="A7" s="77" t="s">
        <v>19</v>
      </c>
      <c r="B7" s="78">
        <v>40</v>
      </c>
      <c r="C7" s="79">
        <v>90167.91</v>
      </c>
      <c r="D7" s="80">
        <v>74484.38</v>
      </c>
      <c r="E7" s="89">
        <f>575554+62263+41580</f>
        <v>679397</v>
      </c>
      <c r="F7" s="90">
        <f>22500+7500</f>
        <v>30000</v>
      </c>
      <c r="G7" s="78">
        <v>7</v>
      </c>
      <c r="H7" s="79">
        <v>23089.11</v>
      </c>
      <c r="I7" s="80">
        <v>25495.52</v>
      </c>
      <c r="J7" s="89">
        <f>95829+20900</f>
        <v>116729</v>
      </c>
      <c r="K7" s="90">
        <v>1985</v>
      </c>
      <c r="L7" s="78"/>
      <c r="M7" s="79">
        <v>17240.08</v>
      </c>
      <c r="N7" s="80">
        <v>22110.43</v>
      </c>
      <c r="O7" s="89"/>
      <c r="P7" s="94"/>
      <c r="Q7" s="78">
        <f t="shared" si="2"/>
        <v>47</v>
      </c>
      <c r="R7" s="79">
        <f t="shared" si="2"/>
        <v>130497.1</v>
      </c>
      <c r="S7" s="80">
        <f t="shared" si="2"/>
        <v>122090.33</v>
      </c>
      <c r="T7" s="89">
        <v>578644</v>
      </c>
      <c r="U7" s="89">
        <f t="shared" si="1"/>
        <v>796126</v>
      </c>
      <c r="V7" s="90">
        <f t="shared" si="1"/>
        <v>31985</v>
      </c>
      <c r="W7" s="97">
        <f t="shared" si="3"/>
        <v>1406755</v>
      </c>
      <c r="X7" s="95">
        <f t="shared" si="4"/>
        <v>10.7799713556853</v>
      </c>
      <c r="Y7" s="95">
        <f t="shared" si="5"/>
        <v>11.5222475031397</v>
      </c>
    </row>
    <row r="8" ht="15" spans="1:25">
      <c r="A8" s="77" t="s">
        <v>20</v>
      </c>
      <c r="B8" s="78">
        <v>40</v>
      </c>
      <c r="C8" s="79">
        <v>96282.4</v>
      </c>
      <c r="D8" s="80">
        <v>51660.4</v>
      </c>
      <c r="E8" s="89">
        <f>480460+85210</f>
        <v>565670</v>
      </c>
      <c r="F8" s="90">
        <f t="shared" ref="F8:F16" si="6">22500+7500</f>
        <v>30000</v>
      </c>
      <c r="G8" s="78">
        <v>7</v>
      </c>
      <c r="H8" s="79">
        <v>99320.7</v>
      </c>
      <c r="I8" s="80">
        <v>28852.3</v>
      </c>
      <c r="J8" s="89">
        <f>82789+20900</f>
        <v>103689</v>
      </c>
      <c r="K8" s="90">
        <v>1852</v>
      </c>
      <c r="L8" s="78"/>
      <c r="M8" s="79">
        <v>63915.2</v>
      </c>
      <c r="N8" s="80">
        <v>9979.7</v>
      </c>
      <c r="O8" s="89"/>
      <c r="P8" s="94"/>
      <c r="Q8" s="78">
        <f t="shared" si="2"/>
        <v>47</v>
      </c>
      <c r="R8" s="79">
        <f t="shared" si="2"/>
        <v>259518.3</v>
      </c>
      <c r="S8" s="80">
        <f t="shared" si="2"/>
        <v>90492.4</v>
      </c>
      <c r="T8" s="89">
        <v>304265</v>
      </c>
      <c r="U8" s="89">
        <f t="shared" si="1"/>
        <v>669359</v>
      </c>
      <c r="V8" s="90">
        <f t="shared" si="1"/>
        <v>31852</v>
      </c>
      <c r="W8" s="97">
        <f t="shared" si="3"/>
        <v>1005476</v>
      </c>
      <c r="X8" s="95">
        <f t="shared" si="4"/>
        <v>3.87439344354521</v>
      </c>
      <c r="Y8" s="95">
        <f t="shared" si="5"/>
        <v>11.1111651365198</v>
      </c>
    </row>
    <row r="9" ht="15" spans="1:25">
      <c r="A9" s="77" t="s">
        <v>21</v>
      </c>
      <c r="B9" s="78">
        <v>41</v>
      </c>
      <c r="C9" s="79">
        <v>41901.9</v>
      </c>
      <c r="D9" s="80">
        <v>46325</v>
      </c>
      <c r="E9" s="89">
        <f>492521+85210</f>
        <v>577731</v>
      </c>
      <c r="F9" s="90">
        <f t="shared" si="6"/>
        <v>30000</v>
      </c>
      <c r="G9" s="78">
        <v>7</v>
      </c>
      <c r="H9" s="79">
        <v>62924.2</v>
      </c>
      <c r="I9" s="80">
        <v>5887.5</v>
      </c>
      <c r="J9" s="89">
        <f>91563+20900</f>
        <v>112463</v>
      </c>
      <c r="K9" s="90">
        <v>1912</v>
      </c>
      <c r="L9" s="78"/>
      <c r="M9" s="79">
        <v>8954.3</v>
      </c>
      <c r="N9" s="80">
        <v>3991.9</v>
      </c>
      <c r="O9" s="89"/>
      <c r="P9" s="94"/>
      <c r="Q9" s="78">
        <f t="shared" si="2"/>
        <v>48</v>
      </c>
      <c r="R9" s="79">
        <f t="shared" si="2"/>
        <v>113780.4</v>
      </c>
      <c r="S9" s="80">
        <f t="shared" si="2"/>
        <v>56204.4</v>
      </c>
      <c r="T9" s="89">
        <v>92238</v>
      </c>
      <c r="U9" s="89">
        <f t="shared" si="1"/>
        <v>690194</v>
      </c>
      <c r="V9" s="90">
        <f t="shared" si="1"/>
        <v>31912</v>
      </c>
      <c r="W9" s="97">
        <f t="shared" si="3"/>
        <v>814344</v>
      </c>
      <c r="X9" s="95">
        <f t="shared" si="4"/>
        <v>7.15715536243501</v>
      </c>
      <c r="Y9" s="95">
        <f t="shared" si="5"/>
        <v>14.4889723936204</v>
      </c>
    </row>
    <row r="10" ht="15" spans="1:25">
      <c r="A10" s="77" t="s">
        <v>22</v>
      </c>
      <c r="B10" s="78">
        <v>41</v>
      </c>
      <c r="C10" s="79">
        <v>46883.5</v>
      </c>
      <c r="D10" s="80">
        <v>46013.1</v>
      </c>
      <c r="E10" s="89">
        <f>492366+85210</f>
        <v>577576</v>
      </c>
      <c r="F10" s="90">
        <f t="shared" si="6"/>
        <v>30000</v>
      </c>
      <c r="G10" s="78">
        <v>7</v>
      </c>
      <c r="H10" s="79">
        <v>62984.4</v>
      </c>
      <c r="I10" s="80">
        <v>29473.1</v>
      </c>
      <c r="J10" s="89">
        <f>89258+20900</f>
        <v>110158</v>
      </c>
      <c r="K10" s="90">
        <v>1920</v>
      </c>
      <c r="L10" s="78"/>
      <c r="M10" s="79">
        <v>27352</v>
      </c>
      <c r="N10" s="80">
        <v>10959.7</v>
      </c>
      <c r="O10" s="89"/>
      <c r="P10" s="94"/>
      <c r="Q10" s="78">
        <f t="shared" si="2"/>
        <v>48</v>
      </c>
      <c r="R10" s="79">
        <f t="shared" si="2"/>
        <v>137219.9</v>
      </c>
      <c r="S10" s="80">
        <f t="shared" si="2"/>
        <v>86445.9</v>
      </c>
      <c r="T10" s="89">
        <v>103650</v>
      </c>
      <c r="U10" s="89">
        <f t="shared" si="1"/>
        <v>687734</v>
      </c>
      <c r="V10" s="90">
        <f t="shared" si="1"/>
        <v>31920</v>
      </c>
      <c r="W10" s="97">
        <f t="shared" si="3"/>
        <v>823304</v>
      </c>
      <c r="X10" s="95">
        <f t="shared" si="4"/>
        <v>5.9998877713801</v>
      </c>
      <c r="Y10" s="95">
        <f t="shared" si="5"/>
        <v>9.52392189797318</v>
      </c>
    </row>
    <row r="11" ht="15" spans="1:25">
      <c r="A11" s="77" t="s">
        <v>23</v>
      </c>
      <c r="B11" s="78">
        <v>39</v>
      </c>
      <c r="C11" s="79">
        <v>17380.8</v>
      </c>
      <c r="D11" s="80">
        <v>20504.4</v>
      </c>
      <c r="E11" s="89">
        <f>448804+85210</f>
        <v>534014</v>
      </c>
      <c r="F11" s="90">
        <f t="shared" si="6"/>
        <v>30000</v>
      </c>
      <c r="G11" s="78">
        <v>7</v>
      </c>
      <c r="H11" s="79">
        <v>32985.6</v>
      </c>
      <c r="I11" s="80">
        <v>13596</v>
      </c>
      <c r="J11" s="89">
        <f>67006+20900</f>
        <v>87906</v>
      </c>
      <c r="K11" s="90">
        <v>1732</v>
      </c>
      <c r="L11" s="78"/>
      <c r="M11" s="79">
        <v>3773</v>
      </c>
      <c r="N11" s="80">
        <v>5387.2</v>
      </c>
      <c r="O11" s="89"/>
      <c r="P11" s="94">
        <v>2896</v>
      </c>
      <c r="Q11" s="78">
        <f t="shared" si="2"/>
        <v>46</v>
      </c>
      <c r="R11" s="79">
        <f t="shared" si="2"/>
        <v>54139.4</v>
      </c>
      <c r="S11" s="80">
        <f t="shared" si="2"/>
        <v>39487.6</v>
      </c>
      <c r="T11" s="89">
        <v>51238</v>
      </c>
      <c r="U11" s="89">
        <f t="shared" si="1"/>
        <v>621920</v>
      </c>
      <c r="V11" s="90">
        <f t="shared" si="1"/>
        <v>34628</v>
      </c>
      <c r="W11" s="97">
        <f t="shared" si="3"/>
        <v>707786</v>
      </c>
      <c r="X11" s="95">
        <f t="shared" si="4"/>
        <v>13.0733994096721</v>
      </c>
      <c r="Y11" s="95">
        <f t="shared" si="5"/>
        <v>17.9242597676233</v>
      </c>
    </row>
    <row r="12" ht="15" spans="1:25">
      <c r="A12" s="77" t="s">
        <v>24</v>
      </c>
      <c r="B12" s="78">
        <v>25</v>
      </c>
      <c r="C12" s="79">
        <v>50631.7</v>
      </c>
      <c r="D12" s="80">
        <v>43143</v>
      </c>
      <c r="E12" s="89">
        <f>244643+85210</f>
        <v>329853</v>
      </c>
      <c r="F12" s="90">
        <f t="shared" si="6"/>
        <v>30000</v>
      </c>
      <c r="G12" s="78">
        <v>5</v>
      </c>
      <c r="H12" s="79">
        <v>20397.6</v>
      </c>
      <c r="I12" s="80">
        <v>4557.8</v>
      </c>
      <c r="J12" s="89">
        <f>46606+20900</f>
        <v>67506</v>
      </c>
      <c r="K12" s="90">
        <v>1888</v>
      </c>
      <c r="L12" s="78"/>
      <c r="M12" s="79">
        <v>4837.5</v>
      </c>
      <c r="N12" s="80">
        <v>11394.8</v>
      </c>
      <c r="O12" s="89"/>
      <c r="P12" s="94">
        <v>969</v>
      </c>
      <c r="Q12" s="78">
        <f t="shared" si="2"/>
        <v>30</v>
      </c>
      <c r="R12" s="79">
        <f t="shared" si="2"/>
        <v>75866.8</v>
      </c>
      <c r="S12" s="80">
        <f t="shared" si="2"/>
        <v>59095.6</v>
      </c>
      <c r="T12" s="89">
        <v>15920</v>
      </c>
      <c r="U12" s="89">
        <f t="shared" si="1"/>
        <v>397359</v>
      </c>
      <c r="V12" s="90">
        <f t="shared" si="1"/>
        <v>32857</v>
      </c>
      <c r="W12" s="97">
        <f t="shared" si="3"/>
        <v>446136</v>
      </c>
      <c r="X12" s="95">
        <f t="shared" si="4"/>
        <v>5.88051690594568</v>
      </c>
      <c r="Y12" s="95">
        <f t="shared" si="5"/>
        <v>7.54939454037187</v>
      </c>
    </row>
    <row r="13" ht="15" spans="1:25">
      <c r="A13" s="77" t="s">
        <v>25</v>
      </c>
      <c r="B13" s="78">
        <v>24</v>
      </c>
      <c r="C13" s="79">
        <v>48488.6</v>
      </c>
      <c r="D13" s="80">
        <v>49645.2</v>
      </c>
      <c r="E13" s="89">
        <f>286437+47310</f>
        <v>333747</v>
      </c>
      <c r="F13" s="90">
        <f t="shared" si="6"/>
        <v>30000</v>
      </c>
      <c r="G13" s="78">
        <v>4</v>
      </c>
      <c r="H13" s="79">
        <v>26929</v>
      </c>
      <c r="I13" s="80">
        <v>21985.4</v>
      </c>
      <c r="J13" s="89">
        <f>35506+20900</f>
        <v>56406</v>
      </c>
      <c r="K13" s="90">
        <v>1741</v>
      </c>
      <c r="L13" s="78"/>
      <c r="M13" s="79">
        <v>18557.8</v>
      </c>
      <c r="N13" s="80">
        <v>9055.2</v>
      </c>
      <c r="O13" s="89"/>
      <c r="P13" s="94">
        <v>835</v>
      </c>
      <c r="Q13" s="78">
        <f t="shared" si="2"/>
        <v>28</v>
      </c>
      <c r="R13" s="79">
        <f t="shared" si="2"/>
        <v>93975.4</v>
      </c>
      <c r="S13" s="80">
        <f t="shared" si="2"/>
        <v>80685.8</v>
      </c>
      <c r="T13" s="89">
        <v>190768</v>
      </c>
      <c r="U13" s="89">
        <f t="shared" si="1"/>
        <v>390153</v>
      </c>
      <c r="V13" s="90">
        <f t="shared" si="1"/>
        <v>32576</v>
      </c>
      <c r="W13" s="97">
        <f t="shared" si="3"/>
        <v>613497</v>
      </c>
      <c r="X13" s="95">
        <f t="shared" si="4"/>
        <v>6.52827229253613</v>
      </c>
      <c r="Y13" s="95">
        <f t="shared" si="5"/>
        <v>7.60353122854331</v>
      </c>
    </row>
    <row r="14" ht="15" spans="1:25">
      <c r="A14" s="77" t="s">
        <v>26</v>
      </c>
      <c r="B14" s="78">
        <v>23</v>
      </c>
      <c r="C14" s="79">
        <v>27711.7</v>
      </c>
      <c r="D14" s="80">
        <v>40062.1</v>
      </c>
      <c r="E14" s="89">
        <f>277768+34730</f>
        <v>312498</v>
      </c>
      <c r="F14" s="90">
        <f t="shared" si="6"/>
        <v>30000</v>
      </c>
      <c r="G14" s="78">
        <v>4</v>
      </c>
      <c r="H14" s="79">
        <v>23718.4</v>
      </c>
      <c r="I14" s="80">
        <v>12440.7</v>
      </c>
      <c r="J14" s="89">
        <f>39730+20900</f>
        <v>60630</v>
      </c>
      <c r="K14" s="90">
        <v>1887</v>
      </c>
      <c r="L14" s="78"/>
      <c r="M14" s="79">
        <v>18305.7</v>
      </c>
      <c r="N14" s="80">
        <v>26467.1</v>
      </c>
      <c r="O14" s="89"/>
      <c r="P14" s="94">
        <v>917</v>
      </c>
      <c r="Q14" s="78">
        <f t="shared" si="2"/>
        <v>27</v>
      </c>
      <c r="R14" s="79">
        <f t="shared" si="2"/>
        <v>69735.8</v>
      </c>
      <c r="S14" s="80">
        <f t="shared" si="2"/>
        <v>78969.9</v>
      </c>
      <c r="T14" s="89">
        <v>200351</v>
      </c>
      <c r="U14" s="89">
        <f t="shared" si="1"/>
        <v>373128</v>
      </c>
      <c r="V14" s="90">
        <f t="shared" si="1"/>
        <v>32804</v>
      </c>
      <c r="W14" s="97">
        <f t="shared" si="3"/>
        <v>606283</v>
      </c>
      <c r="X14" s="95">
        <f t="shared" si="4"/>
        <v>8.69399935183937</v>
      </c>
      <c r="Y14" s="95">
        <f t="shared" si="5"/>
        <v>7.67739353855077</v>
      </c>
    </row>
    <row r="15" ht="15" spans="1:25">
      <c r="A15" s="77" t="s">
        <v>27</v>
      </c>
      <c r="B15" s="78">
        <v>23</v>
      </c>
      <c r="C15" s="79">
        <v>31596.7</v>
      </c>
      <c r="D15" s="80">
        <f>57675.7+2475</f>
        <v>60150.7</v>
      </c>
      <c r="E15" s="89">
        <f>291694+47310</f>
        <v>339004</v>
      </c>
      <c r="F15" s="90">
        <f t="shared" si="6"/>
        <v>30000</v>
      </c>
      <c r="G15" s="78">
        <v>5</v>
      </c>
      <c r="H15" s="79">
        <v>33339.2</v>
      </c>
      <c r="I15" s="80">
        <v>17302.1</v>
      </c>
      <c r="J15" s="89">
        <f>48366+20900</f>
        <v>69266</v>
      </c>
      <c r="K15" s="90">
        <v>1828</v>
      </c>
      <c r="L15" s="78"/>
      <c r="M15" s="79">
        <v>2990.6</v>
      </c>
      <c r="N15" s="80">
        <v>12772</v>
      </c>
      <c r="O15" s="89"/>
      <c r="P15" s="94">
        <v>800</v>
      </c>
      <c r="Q15" s="78">
        <f t="shared" si="2"/>
        <v>28</v>
      </c>
      <c r="R15" s="79">
        <f t="shared" si="2"/>
        <v>67926.5</v>
      </c>
      <c r="S15" s="80">
        <f t="shared" si="2"/>
        <v>90224.8</v>
      </c>
      <c r="T15" s="89">
        <v>32720</v>
      </c>
      <c r="U15" s="89">
        <f t="shared" si="1"/>
        <v>408270</v>
      </c>
      <c r="V15" s="90">
        <f t="shared" si="1"/>
        <v>32628</v>
      </c>
      <c r="W15" s="97">
        <f t="shared" si="3"/>
        <v>473618</v>
      </c>
      <c r="X15" s="95">
        <f t="shared" si="4"/>
        <v>6.9725070480593</v>
      </c>
      <c r="Y15" s="95">
        <f t="shared" si="5"/>
        <v>5.24931061082984</v>
      </c>
    </row>
    <row r="16" ht="15" spans="1:25">
      <c r="A16" s="77" t="s">
        <v>28</v>
      </c>
      <c r="B16" s="78">
        <v>23</v>
      </c>
      <c r="C16" s="79">
        <v>37198.3</v>
      </c>
      <c r="D16" s="80">
        <f>73583.4+6700.8</f>
        <v>80284.2</v>
      </c>
      <c r="E16" s="89">
        <f>282271+47310</f>
        <v>329581</v>
      </c>
      <c r="F16" s="90">
        <f t="shared" si="6"/>
        <v>30000</v>
      </c>
      <c r="G16" s="78">
        <v>5</v>
      </c>
      <c r="H16" s="79">
        <v>31984.2</v>
      </c>
      <c r="I16" s="80">
        <v>35139.6</v>
      </c>
      <c r="J16" s="89">
        <f>58330+20900</f>
        <v>79230</v>
      </c>
      <c r="K16" s="90">
        <v>2121</v>
      </c>
      <c r="L16" s="78"/>
      <c r="M16" s="79">
        <v>1849</v>
      </c>
      <c r="N16" s="80">
        <v>3880.4</v>
      </c>
      <c r="O16" s="89"/>
      <c r="P16" s="94">
        <v>835</v>
      </c>
      <c r="Q16" s="78">
        <f t="shared" si="2"/>
        <v>28</v>
      </c>
      <c r="R16" s="79">
        <f t="shared" si="2"/>
        <v>71031.5</v>
      </c>
      <c r="S16" s="80">
        <f t="shared" si="2"/>
        <v>119304.2</v>
      </c>
      <c r="T16" s="89">
        <v>238800</v>
      </c>
      <c r="U16" s="89">
        <f t="shared" si="1"/>
        <v>408811</v>
      </c>
      <c r="V16" s="90">
        <f t="shared" si="1"/>
        <v>32956</v>
      </c>
      <c r="W16" s="97">
        <f t="shared" si="3"/>
        <v>680567</v>
      </c>
      <c r="X16" s="95">
        <f t="shared" si="4"/>
        <v>9.58119989018956</v>
      </c>
      <c r="Y16" s="95">
        <f t="shared" si="5"/>
        <v>5.70446807404936</v>
      </c>
    </row>
    <row r="17" ht="15.75" spans="1:25">
      <c r="A17" s="81" t="s">
        <v>47</v>
      </c>
      <c r="B17" s="82"/>
      <c r="C17" s="83">
        <f t="shared" ref="C17:V17" si="7">SUM(C5:C16)</f>
        <v>659136.62</v>
      </c>
      <c r="D17" s="84">
        <f t="shared" si="7"/>
        <v>632661.23</v>
      </c>
      <c r="E17" s="91">
        <f t="shared" si="7"/>
        <v>5986485</v>
      </c>
      <c r="F17" s="92">
        <f t="shared" si="7"/>
        <v>360000</v>
      </c>
      <c r="G17" s="82"/>
      <c r="H17" s="83">
        <f t="shared" si="7"/>
        <v>453960.43</v>
      </c>
      <c r="I17" s="84">
        <f t="shared" si="7"/>
        <v>234171.32</v>
      </c>
      <c r="J17" s="91">
        <f t="shared" si="7"/>
        <v>1117199</v>
      </c>
      <c r="K17" s="92">
        <f t="shared" si="7"/>
        <v>22586</v>
      </c>
      <c r="L17" s="82"/>
      <c r="M17" s="83">
        <f t="shared" si="7"/>
        <v>193330.85</v>
      </c>
      <c r="N17" s="84">
        <f t="shared" si="7"/>
        <v>171016.98</v>
      </c>
      <c r="O17" s="91">
        <f t="shared" si="7"/>
        <v>0</v>
      </c>
      <c r="P17" s="92">
        <f t="shared" si="7"/>
        <v>7252</v>
      </c>
      <c r="Q17" s="82"/>
      <c r="R17" s="83">
        <f t="shared" si="7"/>
        <v>1306427.9</v>
      </c>
      <c r="S17" s="84">
        <f t="shared" si="7"/>
        <v>1037849.53</v>
      </c>
      <c r="T17" s="91">
        <f t="shared" si="7"/>
        <v>2088466</v>
      </c>
      <c r="U17" s="91">
        <f t="shared" si="7"/>
        <v>7103684</v>
      </c>
      <c r="V17" s="92">
        <f t="shared" si="7"/>
        <v>389838</v>
      </c>
      <c r="W17" s="100">
        <f t="shared" si="3"/>
        <v>9581988</v>
      </c>
      <c r="X17" s="100">
        <f t="shared" si="4"/>
        <v>7.33449431078439</v>
      </c>
      <c r="Y17" s="100">
        <f t="shared" si="5"/>
        <v>9.23254067475465</v>
      </c>
    </row>
    <row r="18" ht="15" spans="18:24">
      <c r="R18" s="95"/>
      <c r="S18" t="s">
        <v>1022</v>
      </c>
      <c r="T18" s="95">
        <f>T17/R17</f>
        <v>1.59860792930096</v>
      </c>
      <c r="U18" s="101">
        <f>U17/R17</f>
        <v>5.4374864468219</v>
      </c>
      <c r="V18" s="101">
        <f>V17/R17</f>
        <v>0.29839993466153</v>
      </c>
      <c r="X18" s="97">
        <f>SUM(T18:W18)</f>
        <v>7.33449431078439</v>
      </c>
    </row>
    <row r="19" ht="15" spans="18:24">
      <c r="R19" s="95"/>
      <c r="S19" t="s">
        <v>1023</v>
      </c>
      <c r="T19" s="95">
        <f>T17/S17</f>
        <v>2.01230134006035</v>
      </c>
      <c r="U19" s="101">
        <f>U17/S17</f>
        <v>6.8446184101466</v>
      </c>
      <c r="V19" s="101">
        <f>V17/S17</f>
        <v>0.375620924547704</v>
      </c>
      <c r="X19" s="97">
        <f>SUM(T19:W19)</f>
        <v>9.23254067475465</v>
      </c>
    </row>
    <row r="22" ht="15.75" spans="1:22">
      <c r="A22" s="69" t="s">
        <v>1024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</row>
    <row r="23" ht="15" spans="1:21">
      <c r="A23" s="70" t="s">
        <v>1013</v>
      </c>
      <c r="B23" s="71" t="s">
        <v>1014</v>
      </c>
      <c r="C23" s="72"/>
      <c r="D23" s="72"/>
      <c r="E23" s="72"/>
      <c r="F23" s="87"/>
      <c r="G23" s="71" t="s">
        <v>1015</v>
      </c>
      <c r="H23" s="72"/>
      <c r="I23" s="72"/>
      <c r="J23" s="72"/>
      <c r="K23" s="87"/>
      <c r="L23" s="71" t="s">
        <v>1016</v>
      </c>
      <c r="M23" s="72"/>
      <c r="N23" s="72"/>
      <c r="O23" s="72"/>
      <c r="P23" s="87"/>
      <c r="Q23" s="71" t="s">
        <v>47</v>
      </c>
      <c r="R23" s="72"/>
      <c r="S23" s="72"/>
      <c r="T23" s="72"/>
      <c r="U23" s="87"/>
    </row>
    <row r="24" ht="15" spans="1:25">
      <c r="A24" s="73" t="s">
        <v>144</v>
      </c>
      <c r="B24" s="74" t="s">
        <v>1025</v>
      </c>
      <c r="C24" s="85" t="s">
        <v>1026</v>
      </c>
      <c r="D24" s="86" t="s">
        <v>1027</v>
      </c>
      <c r="E24" s="86" t="s">
        <v>1019</v>
      </c>
      <c r="F24" s="93" t="s">
        <v>1020</v>
      </c>
      <c r="G24" s="74" t="s">
        <v>1025</v>
      </c>
      <c r="H24" s="85" t="s">
        <v>1026</v>
      </c>
      <c r="I24" s="86" t="s">
        <v>1027</v>
      </c>
      <c r="J24" s="86" t="s">
        <v>1019</v>
      </c>
      <c r="K24" s="93" t="s">
        <v>1020</v>
      </c>
      <c r="L24" s="74" t="s">
        <v>1025</v>
      </c>
      <c r="M24" s="85" t="s">
        <v>1026</v>
      </c>
      <c r="N24" s="86" t="s">
        <v>1027</v>
      </c>
      <c r="O24" s="86" t="s">
        <v>1019</v>
      </c>
      <c r="P24" s="93" t="s">
        <v>1020</v>
      </c>
      <c r="Q24" s="74" t="s">
        <v>1025</v>
      </c>
      <c r="R24" s="85" t="s">
        <v>1026</v>
      </c>
      <c r="S24" s="86" t="s">
        <v>1018</v>
      </c>
      <c r="T24" s="86" t="s">
        <v>1021</v>
      </c>
      <c r="U24" s="86" t="s">
        <v>1019</v>
      </c>
      <c r="V24" s="93" t="s">
        <v>1020</v>
      </c>
      <c r="W24" s="98" t="s">
        <v>52</v>
      </c>
      <c r="X24" s="99" t="s">
        <v>1022</v>
      </c>
      <c r="Y24" s="99" t="s">
        <v>173</v>
      </c>
    </row>
    <row r="25" ht="15" spans="1:25">
      <c r="A25" s="77" t="s">
        <v>17</v>
      </c>
      <c r="B25" s="78">
        <f>14+3+1+8</f>
        <v>26</v>
      </c>
      <c r="C25" s="79">
        <f>60406+2899.9+21703.7+13731.3+18598.3+2570.1</f>
        <v>119909.3</v>
      </c>
      <c r="D25" s="80">
        <v>82394.1</v>
      </c>
      <c r="E25" s="89">
        <f>413948+20900</f>
        <v>434848</v>
      </c>
      <c r="F25" s="90">
        <f>22500+7500</f>
        <v>30000</v>
      </c>
      <c r="G25" s="78">
        <v>4</v>
      </c>
      <c r="H25" s="79">
        <f>18598.3+32906.8+21703.7</f>
        <v>73208.8</v>
      </c>
      <c r="I25" s="80">
        <v>6287.1</v>
      </c>
      <c r="J25" s="89">
        <v>66450</v>
      </c>
      <c r="K25" s="90">
        <v>2112</v>
      </c>
      <c r="L25" s="78"/>
      <c r="M25" s="79">
        <f>32906.8+13571.3</f>
        <v>46478.1</v>
      </c>
      <c r="N25" s="80"/>
      <c r="O25" s="89"/>
      <c r="P25" s="94">
        <v>800</v>
      </c>
      <c r="Q25" s="78">
        <f>B25+G25+L25</f>
        <v>30</v>
      </c>
      <c r="R25" s="79">
        <f>C25+H25+M25</f>
        <v>239596.2</v>
      </c>
      <c r="S25" s="80">
        <f>D25+I25+N25</f>
        <v>88681.2</v>
      </c>
      <c r="T25" s="89">
        <v>146512</v>
      </c>
      <c r="U25" s="89">
        <f t="shared" ref="U25:U36" si="8">E25+J25+O25</f>
        <v>501298</v>
      </c>
      <c r="V25" s="90">
        <f t="shared" ref="V25:V36" si="9">F25+K25+P25</f>
        <v>32912</v>
      </c>
      <c r="W25" s="97">
        <f>SUM(T25:V25)</f>
        <v>680722</v>
      </c>
      <c r="X25" s="95">
        <f>W25/R25</f>
        <v>2.84112185418633</v>
      </c>
      <c r="Y25" s="95">
        <f>W25/S25</f>
        <v>7.6760576086025</v>
      </c>
    </row>
    <row r="26" ht="15" spans="1:25">
      <c r="A26" s="77" t="s">
        <v>18</v>
      </c>
      <c r="B26" s="78">
        <f>14+3+1+8</f>
        <v>26</v>
      </c>
      <c r="C26" s="79">
        <f>66959.8+3293.6+20758.4+5098.3+13550.6+2175.9+3287.8</f>
        <v>115124.4</v>
      </c>
      <c r="D26" s="80">
        <v>72480</v>
      </c>
      <c r="E26" s="89">
        <f>396309+20900</f>
        <v>417209</v>
      </c>
      <c r="F26" s="90">
        <f>22500+7500</f>
        <v>30000</v>
      </c>
      <c r="G26" s="78">
        <v>3</v>
      </c>
      <c r="H26" s="79">
        <f>13550.6+27109.6+20758.4</f>
        <v>61418.6</v>
      </c>
      <c r="I26" s="80">
        <v>12315.4</v>
      </c>
      <c r="J26" s="89">
        <v>47500</v>
      </c>
      <c r="K26" s="90">
        <v>2857</v>
      </c>
      <c r="L26" s="78"/>
      <c r="M26" s="79">
        <f>2175.9+27109.6+5098.3</f>
        <v>34383.8</v>
      </c>
      <c r="N26" s="80">
        <v>2682.3</v>
      </c>
      <c r="O26" s="89"/>
      <c r="P26" s="94">
        <v>1513</v>
      </c>
      <c r="Q26" s="78">
        <f t="shared" ref="Q26:S36" si="10">B26+G26+L26</f>
        <v>29</v>
      </c>
      <c r="R26" s="79">
        <f t="shared" si="10"/>
        <v>210926.8</v>
      </c>
      <c r="S26" s="80">
        <f t="shared" si="10"/>
        <v>87477.7</v>
      </c>
      <c r="T26" s="89">
        <v>146512</v>
      </c>
      <c r="U26" s="89">
        <f t="shared" si="8"/>
        <v>464709</v>
      </c>
      <c r="V26" s="90">
        <f t="shared" si="9"/>
        <v>34370</v>
      </c>
      <c r="W26" s="97">
        <f t="shared" ref="W26:W37" si="11">SUM(T26:V26)</f>
        <v>645591</v>
      </c>
      <c r="X26" s="95">
        <f t="shared" ref="X26:X37" si="12">W26/R26</f>
        <v>3.06073481416302</v>
      </c>
      <c r="Y26" s="95">
        <f t="shared" ref="Y26:Y37" si="13">W26/S26</f>
        <v>7.38006371909641</v>
      </c>
    </row>
    <row r="27" ht="15" spans="1:25">
      <c r="A27" s="77" t="s">
        <v>19</v>
      </c>
      <c r="B27" s="78">
        <f>14+3+1+7</f>
        <v>25</v>
      </c>
      <c r="C27" s="79">
        <f>73336+7645.3+15793+216.6+21654.6+3213.5</f>
        <v>121859</v>
      </c>
      <c r="D27" s="80">
        <v>76157</v>
      </c>
      <c r="E27" s="89">
        <f>398443+20900</f>
        <v>419343</v>
      </c>
      <c r="F27" s="90">
        <f>22500+7500</f>
        <v>30000</v>
      </c>
      <c r="G27" s="78">
        <v>3</v>
      </c>
      <c r="H27" s="79">
        <f>21654.1</f>
        <v>21654.1</v>
      </c>
      <c r="I27" s="80">
        <v>17772.9</v>
      </c>
      <c r="J27" s="89">
        <v>47319</v>
      </c>
      <c r="K27" s="90">
        <v>2333</v>
      </c>
      <c r="L27" s="78"/>
      <c r="M27" s="79">
        <v>216.6</v>
      </c>
      <c r="N27" s="80">
        <v>109.1</v>
      </c>
      <c r="O27" s="89"/>
      <c r="P27" s="94">
        <v>1229</v>
      </c>
      <c r="Q27" s="78">
        <f t="shared" si="10"/>
        <v>28</v>
      </c>
      <c r="R27" s="79">
        <f t="shared" si="10"/>
        <v>143729.7</v>
      </c>
      <c r="S27" s="80">
        <f t="shared" si="10"/>
        <v>94039</v>
      </c>
      <c r="T27" s="89">
        <v>146512</v>
      </c>
      <c r="U27" s="89">
        <f t="shared" si="8"/>
        <v>466662</v>
      </c>
      <c r="V27" s="90">
        <f t="shared" si="9"/>
        <v>33562</v>
      </c>
      <c r="W27" s="97">
        <f t="shared" si="11"/>
        <v>646736</v>
      </c>
      <c r="X27" s="95">
        <f t="shared" si="12"/>
        <v>4.49966847492202</v>
      </c>
      <c r="Y27" s="95">
        <f t="shared" si="13"/>
        <v>6.87731685789938</v>
      </c>
    </row>
    <row r="28" ht="15" spans="1:25">
      <c r="A28" s="77" t="s">
        <v>20</v>
      </c>
      <c r="B28" s="78">
        <f>22+1</f>
        <v>23</v>
      </c>
      <c r="C28" s="79">
        <f>72738.4+19831+22805.8+587.4</f>
        <v>115962.6</v>
      </c>
      <c r="D28" s="80">
        <v>87248.6</v>
      </c>
      <c r="E28" s="89">
        <f>365486+20900</f>
        <v>386386</v>
      </c>
      <c r="F28" s="90">
        <v>30000</v>
      </c>
      <c r="G28" s="78">
        <v>3</v>
      </c>
      <c r="H28" s="79">
        <v>22805.8</v>
      </c>
      <c r="I28" s="80">
        <v>872.6</v>
      </c>
      <c r="J28" s="89">
        <f>46821</f>
        <v>46821</v>
      </c>
      <c r="K28" s="90">
        <v>2740</v>
      </c>
      <c r="L28" s="78"/>
      <c r="M28" s="79"/>
      <c r="N28" s="80"/>
      <c r="O28" s="89"/>
      <c r="P28" s="94">
        <v>1308</v>
      </c>
      <c r="Q28" s="78">
        <f t="shared" si="10"/>
        <v>26</v>
      </c>
      <c r="R28" s="79">
        <f t="shared" si="10"/>
        <v>138768.4</v>
      </c>
      <c r="S28" s="80">
        <f t="shared" si="10"/>
        <v>88121.2</v>
      </c>
      <c r="T28" s="89">
        <v>146512</v>
      </c>
      <c r="U28" s="89">
        <f t="shared" si="8"/>
        <v>433207</v>
      </c>
      <c r="V28" s="90">
        <f t="shared" si="9"/>
        <v>34048</v>
      </c>
      <c r="W28" s="97">
        <f t="shared" si="11"/>
        <v>613767</v>
      </c>
      <c r="X28" s="95">
        <f t="shared" si="12"/>
        <v>4.42295940574367</v>
      </c>
      <c r="Y28" s="95">
        <f t="shared" si="13"/>
        <v>6.96503225103607</v>
      </c>
    </row>
    <row r="29" ht="15" spans="1:25">
      <c r="A29" s="77" t="s">
        <v>21</v>
      </c>
      <c r="B29" s="78">
        <f>22+1</f>
        <v>23</v>
      </c>
      <c r="C29" s="79">
        <f>77595.2+21760.6+25107.9+412</f>
        <v>124875.7</v>
      </c>
      <c r="D29" s="80">
        <v>80482.9</v>
      </c>
      <c r="E29" s="89">
        <f>358991+20900</f>
        <v>379891</v>
      </c>
      <c r="F29" s="90">
        <v>30000</v>
      </c>
      <c r="G29" s="78">
        <v>3</v>
      </c>
      <c r="H29" s="79">
        <v>9514.3</v>
      </c>
      <c r="I29" s="80">
        <v>31842.9</v>
      </c>
      <c r="J29" s="89">
        <v>44506</v>
      </c>
      <c r="K29" s="90">
        <v>2598</v>
      </c>
      <c r="L29" s="78"/>
      <c r="M29" s="79"/>
      <c r="N29" s="80"/>
      <c r="O29" s="89"/>
      <c r="P29" s="94">
        <v>1253</v>
      </c>
      <c r="Q29" s="78">
        <f t="shared" si="10"/>
        <v>26</v>
      </c>
      <c r="R29" s="79">
        <f t="shared" si="10"/>
        <v>134390</v>
      </c>
      <c r="S29" s="80">
        <f t="shared" si="10"/>
        <v>112325.8</v>
      </c>
      <c r="T29" s="89">
        <v>146512</v>
      </c>
      <c r="U29" s="89">
        <f t="shared" si="8"/>
        <v>424397</v>
      </c>
      <c r="V29" s="90">
        <f t="shared" si="9"/>
        <v>33851</v>
      </c>
      <c r="W29" s="97">
        <f t="shared" si="11"/>
        <v>604760</v>
      </c>
      <c r="X29" s="95">
        <f t="shared" si="12"/>
        <v>4.50003720514919</v>
      </c>
      <c r="Y29" s="95">
        <f t="shared" si="13"/>
        <v>5.38398124028496</v>
      </c>
    </row>
    <row r="30" ht="15" spans="1:25">
      <c r="A30" s="77" t="s">
        <v>22</v>
      </c>
      <c r="B30" s="78">
        <f>22+1</f>
        <v>23</v>
      </c>
      <c r="C30" s="79">
        <f>74073.6+10232+13363.9</f>
        <v>97669.5</v>
      </c>
      <c r="D30" s="80">
        <v>60188.5</v>
      </c>
      <c r="E30" s="89">
        <f>365121+20900</f>
        <v>386021</v>
      </c>
      <c r="F30" s="90">
        <v>30000</v>
      </c>
      <c r="G30" s="78">
        <v>3</v>
      </c>
      <c r="H30" s="79">
        <f>38164.3+4929.2</f>
        <v>43093.5</v>
      </c>
      <c r="I30" s="80">
        <v>13281.6</v>
      </c>
      <c r="J30" s="89">
        <v>41470</v>
      </c>
      <c r="K30" s="90">
        <v>2516</v>
      </c>
      <c r="L30" s="78"/>
      <c r="M30" s="79">
        <v>831.7</v>
      </c>
      <c r="N30" s="80"/>
      <c r="O30" s="89"/>
      <c r="P30" s="94">
        <v>1219</v>
      </c>
      <c r="Q30" s="78">
        <f t="shared" si="10"/>
        <v>26</v>
      </c>
      <c r="R30" s="79">
        <f t="shared" si="10"/>
        <v>141594.7</v>
      </c>
      <c r="S30" s="80">
        <f t="shared" si="10"/>
        <v>73470.1</v>
      </c>
      <c r="T30" s="89">
        <v>146512</v>
      </c>
      <c r="U30" s="89">
        <f t="shared" si="8"/>
        <v>427491</v>
      </c>
      <c r="V30" s="90">
        <f t="shared" si="9"/>
        <v>33735</v>
      </c>
      <c r="W30" s="97">
        <f t="shared" si="11"/>
        <v>607738</v>
      </c>
      <c r="X30" s="95">
        <f t="shared" si="12"/>
        <v>4.29209567872244</v>
      </c>
      <c r="Y30" s="95">
        <f t="shared" si="13"/>
        <v>8.27190925287974</v>
      </c>
    </row>
    <row r="31" ht="15" spans="1:25">
      <c r="A31" s="77" t="s">
        <v>23</v>
      </c>
      <c r="B31" s="78">
        <f>22+1</f>
        <v>23</v>
      </c>
      <c r="C31" s="79">
        <f>64094.4+10787.5+17610.1</f>
        <v>92492</v>
      </c>
      <c r="D31" s="80">
        <v>56303</v>
      </c>
      <c r="E31" s="89">
        <f>350938+20900</f>
        <v>371838</v>
      </c>
      <c r="F31" s="90">
        <v>30000</v>
      </c>
      <c r="G31" s="78">
        <v>2</v>
      </c>
      <c r="H31" s="79">
        <v>44384.1</v>
      </c>
      <c r="I31" s="80">
        <v>3034</v>
      </c>
      <c r="J31" s="89">
        <v>31386</v>
      </c>
      <c r="K31" s="90">
        <v>2686</v>
      </c>
      <c r="L31" s="78"/>
      <c r="M31" s="79"/>
      <c r="N31" s="80"/>
      <c r="O31" s="89"/>
      <c r="P31" s="94"/>
      <c r="Q31" s="78">
        <f t="shared" si="10"/>
        <v>25</v>
      </c>
      <c r="R31" s="79">
        <f t="shared" si="10"/>
        <v>136876.1</v>
      </c>
      <c r="S31" s="80">
        <f t="shared" si="10"/>
        <v>59337</v>
      </c>
      <c r="T31" s="89">
        <v>146512</v>
      </c>
      <c r="U31" s="89">
        <f t="shared" si="8"/>
        <v>403224</v>
      </c>
      <c r="V31" s="90">
        <f t="shared" si="9"/>
        <v>32686</v>
      </c>
      <c r="W31" s="97">
        <f t="shared" si="11"/>
        <v>582422</v>
      </c>
      <c r="X31" s="95">
        <f t="shared" si="12"/>
        <v>4.25510370327617</v>
      </c>
      <c r="Y31" s="95">
        <f t="shared" si="13"/>
        <v>9.81549454808972</v>
      </c>
    </row>
    <row r="32" ht="15" spans="1:25">
      <c r="A32" s="77" t="s">
        <v>24</v>
      </c>
      <c r="B32" s="78">
        <f>21+1</f>
        <v>22</v>
      </c>
      <c r="C32" s="79">
        <f>58519.2+5119.1+17022.7</f>
        <v>80661</v>
      </c>
      <c r="D32" s="80">
        <v>47577.4</v>
      </c>
      <c r="E32" s="89">
        <f>323742+20900</f>
        <v>344642</v>
      </c>
      <c r="F32" s="90">
        <v>30000</v>
      </c>
      <c r="G32" s="78">
        <v>3</v>
      </c>
      <c r="H32" s="79">
        <v>32470.5</v>
      </c>
      <c r="I32" s="80">
        <v>22584.5</v>
      </c>
      <c r="J32" s="89">
        <v>44129</v>
      </c>
      <c r="K32" s="90">
        <v>2494</v>
      </c>
      <c r="L32" s="78"/>
      <c r="M32" s="79"/>
      <c r="N32" s="80"/>
      <c r="O32" s="89"/>
      <c r="P32" s="94"/>
      <c r="Q32" s="78">
        <f t="shared" si="10"/>
        <v>25</v>
      </c>
      <c r="R32" s="79">
        <f t="shared" si="10"/>
        <v>113131.5</v>
      </c>
      <c r="S32" s="80">
        <f t="shared" si="10"/>
        <v>70161.9</v>
      </c>
      <c r="T32" s="89">
        <v>146512</v>
      </c>
      <c r="U32" s="89">
        <f t="shared" si="8"/>
        <v>388771</v>
      </c>
      <c r="V32" s="90">
        <f t="shared" si="9"/>
        <v>32494</v>
      </c>
      <c r="W32" s="97">
        <f t="shared" si="11"/>
        <v>567777</v>
      </c>
      <c r="X32" s="95">
        <f t="shared" si="12"/>
        <v>5.0187348351255</v>
      </c>
      <c r="Y32" s="95">
        <f t="shared" si="13"/>
        <v>8.09238347308155</v>
      </c>
    </row>
    <row r="33" ht="15" spans="1:25">
      <c r="A33" s="77" t="s">
        <v>25</v>
      </c>
      <c r="B33" s="78">
        <f>20+1</f>
        <v>21</v>
      </c>
      <c r="C33" s="79">
        <f>73749.8+8400.2+17932.5</f>
        <v>100082.5</v>
      </c>
      <c r="D33" s="80">
        <v>71337.5</v>
      </c>
      <c r="E33" s="89">
        <f>310028+20900</f>
        <v>330928</v>
      </c>
      <c r="F33" s="90">
        <v>30000</v>
      </c>
      <c r="G33" s="78">
        <v>3</v>
      </c>
      <c r="H33" s="79">
        <v>35689.8</v>
      </c>
      <c r="I33" s="80">
        <v>14752.9</v>
      </c>
      <c r="J33" s="89">
        <v>46822</v>
      </c>
      <c r="K33" s="90">
        <v>2547</v>
      </c>
      <c r="L33" s="78"/>
      <c r="M33" s="79"/>
      <c r="N33" s="80"/>
      <c r="O33" s="89"/>
      <c r="P33" s="94"/>
      <c r="Q33" s="78">
        <f t="shared" si="10"/>
        <v>24</v>
      </c>
      <c r="R33" s="79">
        <f t="shared" si="10"/>
        <v>135772.3</v>
      </c>
      <c r="S33" s="80">
        <f t="shared" si="10"/>
        <v>86090.4</v>
      </c>
      <c r="T33" s="89">
        <v>146512</v>
      </c>
      <c r="U33" s="89">
        <f t="shared" si="8"/>
        <v>377750</v>
      </c>
      <c r="V33" s="90">
        <f t="shared" si="9"/>
        <v>32547</v>
      </c>
      <c r="W33" s="97">
        <f t="shared" si="11"/>
        <v>556809</v>
      </c>
      <c r="X33" s="95">
        <f t="shared" si="12"/>
        <v>4.1010500669135</v>
      </c>
      <c r="Y33" s="95">
        <f t="shared" si="13"/>
        <v>6.46772462434836</v>
      </c>
    </row>
    <row r="34" ht="15" spans="1:25">
      <c r="A34" s="77" t="s">
        <v>26</v>
      </c>
      <c r="B34" s="78">
        <f>21+1</f>
        <v>22</v>
      </c>
      <c r="C34" s="79">
        <f>68711.2+4590.3+20050.6</f>
        <v>93352.1</v>
      </c>
      <c r="D34" s="80">
        <v>68989.6</v>
      </c>
      <c r="E34" s="89">
        <f>315345+20900</f>
        <v>336245</v>
      </c>
      <c r="F34" s="90">
        <v>30000</v>
      </c>
      <c r="G34" s="78">
        <v>3</v>
      </c>
      <c r="H34" s="79">
        <v>38162.3</v>
      </c>
      <c r="I34" s="80">
        <v>12562.9</v>
      </c>
      <c r="J34" s="89">
        <v>47592</v>
      </c>
      <c r="K34" s="90">
        <v>2740</v>
      </c>
      <c r="L34" s="78"/>
      <c r="M34" s="79"/>
      <c r="N34" s="80"/>
      <c r="O34" s="89"/>
      <c r="P34" s="94"/>
      <c r="Q34" s="78">
        <f t="shared" si="10"/>
        <v>25</v>
      </c>
      <c r="R34" s="79">
        <f t="shared" si="10"/>
        <v>131514.4</v>
      </c>
      <c r="S34" s="80">
        <f t="shared" si="10"/>
        <v>81552.5</v>
      </c>
      <c r="T34" s="89">
        <v>146512</v>
      </c>
      <c r="U34" s="89">
        <f t="shared" si="8"/>
        <v>383837</v>
      </c>
      <c r="V34" s="90">
        <f t="shared" si="9"/>
        <v>32740</v>
      </c>
      <c r="W34" s="97">
        <f t="shared" si="11"/>
        <v>563089</v>
      </c>
      <c r="X34" s="95">
        <f t="shared" si="12"/>
        <v>4.28157677030044</v>
      </c>
      <c r="Y34" s="95">
        <f t="shared" si="13"/>
        <v>6.904619723491</v>
      </c>
    </row>
    <row r="35" ht="15" spans="1:25">
      <c r="A35" s="77" t="s">
        <v>27</v>
      </c>
      <c r="B35" s="78">
        <f>21+1</f>
        <v>22</v>
      </c>
      <c r="C35" s="79">
        <f>64380.3+10223.5+23683.5+117.4</f>
        <v>98404.7</v>
      </c>
      <c r="D35" s="80">
        <v>72495.8</v>
      </c>
      <c r="E35" s="89">
        <f>334270</f>
        <v>334270</v>
      </c>
      <c r="F35" s="90">
        <v>30000</v>
      </c>
      <c r="G35" s="78">
        <v>3</v>
      </c>
      <c r="H35" s="79">
        <v>31923.9</v>
      </c>
      <c r="I35" s="80">
        <v>12216</v>
      </c>
      <c r="J35" s="89">
        <v>47850</v>
      </c>
      <c r="K35" s="90">
        <v>2766</v>
      </c>
      <c r="L35" s="78"/>
      <c r="M35" s="79"/>
      <c r="N35" s="80"/>
      <c r="O35" s="89"/>
      <c r="P35" s="94"/>
      <c r="Q35" s="78">
        <f t="shared" si="10"/>
        <v>25</v>
      </c>
      <c r="R35" s="79">
        <f t="shared" si="10"/>
        <v>130328.6</v>
      </c>
      <c r="S35" s="80">
        <f t="shared" si="10"/>
        <v>84711.8</v>
      </c>
      <c r="T35" s="89">
        <v>146512</v>
      </c>
      <c r="U35" s="89">
        <f t="shared" si="8"/>
        <v>382120</v>
      </c>
      <c r="V35" s="90">
        <f t="shared" si="9"/>
        <v>32766</v>
      </c>
      <c r="W35" s="97">
        <f t="shared" si="11"/>
        <v>561398</v>
      </c>
      <c r="X35" s="95">
        <f t="shared" si="12"/>
        <v>4.30755797269364</v>
      </c>
      <c r="Y35" s="95">
        <f t="shared" si="13"/>
        <v>6.62715229755477</v>
      </c>
    </row>
    <row r="36" ht="15" spans="1:25">
      <c r="A36" s="77" t="s">
        <v>28</v>
      </c>
      <c r="B36" s="78">
        <f>20+1</f>
        <v>21</v>
      </c>
      <c r="C36" s="79">
        <f>66360+14325.1+16870.9+3436.8</f>
        <v>100992.8</v>
      </c>
      <c r="D36" s="80">
        <v>65858.3</v>
      </c>
      <c r="E36" s="89">
        <f>319707+20900</f>
        <v>340607</v>
      </c>
      <c r="F36" s="90">
        <v>30000</v>
      </c>
      <c r="G36" s="78">
        <v>3</v>
      </c>
      <c r="H36" s="79">
        <v>38388.3</v>
      </c>
      <c r="I36" s="80">
        <v>28088</v>
      </c>
      <c r="J36" s="89">
        <v>43477</v>
      </c>
      <c r="K36" s="90">
        <v>3081</v>
      </c>
      <c r="L36" s="78"/>
      <c r="M36" s="79"/>
      <c r="N36" s="80"/>
      <c r="O36" s="89"/>
      <c r="P36" s="94"/>
      <c r="Q36" s="78">
        <f t="shared" si="10"/>
        <v>24</v>
      </c>
      <c r="R36" s="79">
        <f t="shared" si="10"/>
        <v>139381.1</v>
      </c>
      <c r="S36" s="80">
        <f t="shared" si="10"/>
        <v>93946.3</v>
      </c>
      <c r="T36" s="89">
        <f>146512-5+2988</f>
        <v>149495</v>
      </c>
      <c r="U36" s="89">
        <f t="shared" si="8"/>
        <v>384084</v>
      </c>
      <c r="V36" s="90">
        <f t="shared" si="9"/>
        <v>33081</v>
      </c>
      <c r="W36" s="97">
        <f t="shared" si="11"/>
        <v>566660</v>
      </c>
      <c r="X36" s="95">
        <f t="shared" si="12"/>
        <v>4.06554403717577</v>
      </c>
      <c r="Y36" s="95">
        <f t="shared" si="13"/>
        <v>6.03174366632853</v>
      </c>
    </row>
    <row r="37" ht="15.75" spans="1:25">
      <c r="A37" s="81" t="s">
        <v>47</v>
      </c>
      <c r="B37" s="82">
        <f t="shared" ref="B37:V37" si="14">SUM(B25:B36)</f>
        <v>277</v>
      </c>
      <c r="C37" s="83">
        <f t="shared" si="14"/>
        <v>1261385.6</v>
      </c>
      <c r="D37" s="84">
        <f t="shared" si="14"/>
        <v>841512.7</v>
      </c>
      <c r="E37" s="91">
        <f t="shared" si="14"/>
        <v>4482228</v>
      </c>
      <c r="F37" s="92">
        <f t="shared" si="14"/>
        <v>360000</v>
      </c>
      <c r="G37" s="82">
        <f t="shared" si="14"/>
        <v>36</v>
      </c>
      <c r="H37" s="83">
        <f t="shared" si="14"/>
        <v>452714</v>
      </c>
      <c r="I37" s="84">
        <f t="shared" si="14"/>
        <v>175610.8</v>
      </c>
      <c r="J37" s="91">
        <f t="shared" si="14"/>
        <v>555322</v>
      </c>
      <c r="K37" s="92">
        <f t="shared" si="14"/>
        <v>31470</v>
      </c>
      <c r="L37" s="82">
        <f t="shared" si="14"/>
        <v>0</v>
      </c>
      <c r="M37" s="83">
        <f t="shared" si="14"/>
        <v>81910.2</v>
      </c>
      <c r="N37" s="84">
        <f t="shared" si="14"/>
        <v>2791.4</v>
      </c>
      <c r="O37" s="91">
        <f t="shared" si="14"/>
        <v>0</v>
      </c>
      <c r="P37" s="92">
        <f t="shared" si="14"/>
        <v>7322</v>
      </c>
      <c r="Q37" s="82">
        <f t="shared" si="14"/>
        <v>313</v>
      </c>
      <c r="R37" s="83">
        <f t="shared" si="14"/>
        <v>1796009.8</v>
      </c>
      <c r="S37" s="84">
        <f t="shared" si="14"/>
        <v>1019914.9</v>
      </c>
      <c r="T37" s="91">
        <f t="shared" si="14"/>
        <v>1761127</v>
      </c>
      <c r="U37" s="91">
        <f t="shared" si="14"/>
        <v>5037550</v>
      </c>
      <c r="V37" s="92">
        <f t="shared" si="14"/>
        <v>398792</v>
      </c>
      <c r="W37" s="100">
        <f t="shared" si="11"/>
        <v>7197469</v>
      </c>
      <c r="X37" s="100">
        <f t="shared" si="12"/>
        <v>4.00747757612458</v>
      </c>
      <c r="Y37" s="100">
        <f t="shared" si="13"/>
        <v>7.05693092629591</v>
      </c>
    </row>
    <row r="38" ht="15" spans="19:24">
      <c r="S38" t="s">
        <v>1022</v>
      </c>
      <c r="T38" s="95">
        <f>T37/R37</f>
        <v>0.980577611547554</v>
      </c>
      <c r="U38" s="101">
        <f>U37/R37</f>
        <v>2.8048566327422</v>
      </c>
      <c r="V38" s="101">
        <f>V37/R37</f>
        <v>0.222043331834826</v>
      </c>
      <c r="X38" s="97">
        <f>SUM(T38:W38)</f>
        <v>4.00747757612458</v>
      </c>
    </row>
    <row r="39" ht="15" spans="19:24">
      <c r="S39" t="s">
        <v>1018</v>
      </c>
      <c r="T39" s="95">
        <f>T37/S37</f>
        <v>1.72673916225756</v>
      </c>
      <c r="U39" s="101">
        <f>U37/S37</f>
        <v>4.93918659292064</v>
      </c>
      <c r="V39" s="101">
        <f>V37/S37</f>
        <v>0.391005171117708</v>
      </c>
      <c r="X39" s="97">
        <f>SUM(T39:W39)</f>
        <v>7.05693092629591</v>
      </c>
    </row>
    <row r="41" spans="19:21">
      <c r="S41" t="str">
        <f>A24</f>
        <v>MONTH</v>
      </c>
      <c r="T41" s="96" t="s">
        <v>1028</v>
      </c>
      <c r="U41" s="96" t="s">
        <v>1029</v>
      </c>
    </row>
    <row r="42" spans="19:21">
      <c r="S42" t="str">
        <f t="shared" ref="S42:S53" si="15">A25</f>
        <v>Apr</v>
      </c>
      <c r="T42" s="97">
        <f>Y5</f>
        <v>10.2006620701452</v>
      </c>
      <c r="U42" s="97">
        <f>Y25</f>
        <v>7.6760576086025</v>
      </c>
    </row>
    <row r="43" spans="19:21">
      <c r="S43" t="str">
        <f t="shared" si="15"/>
        <v>May</v>
      </c>
      <c r="T43" s="97">
        <f t="shared" ref="T43:T53" si="16">Y6</f>
        <v>8.44644741413473</v>
      </c>
      <c r="U43" s="97">
        <f t="shared" ref="U43:U53" si="17">Y26</f>
        <v>7.38006371909641</v>
      </c>
    </row>
    <row r="44" spans="19:21">
      <c r="S44" t="str">
        <f t="shared" si="15"/>
        <v>Jun</v>
      </c>
      <c r="T44" s="97">
        <f t="shared" si="16"/>
        <v>11.5222475031397</v>
      </c>
      <c r="U44" s="97">
        <f t="shared" si="17"/>
        <v>6.87731685789938</v>
      </c>
    </row>
    <row r="45" spans="19:21">
      <c r="S45" t="str">
        <f t="shared" si="15"/>
        <v>Jul</v>
      </c>
      <c r="T45" s="97">
        <f t="shared" si="16"/>
        <v>11.1111651365198</v>
      </c>
      <c r="U45" s="97">
        <f t="shared" si="17"/>
        <v>6.96503225103607</v>
      </c>
    </row>
    <row r="46" spans="19:21">
      <c r="S46" t="str">
        <f t="shared" si="15"/>
        <v>Aug</v>
      </c>
      <c r="T46" s="97">
        <f t="shared" si="16"/>
        <v>14.4889723936204</v>
      </c>
      <c r="U46" s="97">
        <f t="shared" si="17"/>
        <v>5.38398124028496</v>
      </c>
    </row>
    <row r="47" spans="19:21">
      <c r="S47" t="str">
        <f t="shared" si="15"/>
        <v>Sep</v>
      </c>
      <c r="T47" s="97">
        <f t="shared" si="16"/>
        <v>9.52392189797318</v>
      </c>
      <c r="U47" s="97">
        <f t="shared" si="17"/>
        <v>8.27190925287974</v>
      </c>
    </row>
    <row r="48" spans="19:21">
      <c r="S48" t="str">
        <f t="shared" si="15"/>
        <v>Oct</v>
      </c>
      <c r="T48" s="97">
        <f t="shared" si="16"/>
        <v>17.9242597676233</v>
      </c>
      <c r="U48" s="97">
        <f t="shared" si="17"/>
        <v>9.81549454808972</v>
      </c>
    </row>
    <row r="49" spans="19:21">
      <c r="S49" t="str">
        <f t="shared" si="15"/>
        <v>Nov</v>
      </c>
      <c r="T49" s="97">
        <f t="shared" si="16"/>
        <v>7.54939454037187</v>
      </c>
      <c r="U49" s="97">
        <f t="shared" si="17"/>
        <v>8.09238347308155</v>
      </c>
    </row>
    <row r="50" spans="19:21">
      <c r="S50" t="str">
        <f t="shared" si="15"/>
        <v>Dec</v>
      </c>
      <c r="T50" s="97">
        <f t="shared" si="16"/>
        <v>7.60353122854331</v>
      </c>
      <c r="U50" s="97">
        <f t="shared" si="17"/>
        <v>6.46772462434836</v>
      </c>
    </row>
    <row r="51" spans="19:21">
      <c r="S51" t="str">
        <f t="shared" si="15"/>
        <v>Jan</v>
      </c>
      <c r="T51" s="97">
        <f t="shared" si="16"/>
        <v>7.67739353855077</v>
      </c>
      <c r="U51" s="97">
        <f t="shared" si="17"/>
        <v>6.904619723491</v>
      </c>
    </row>
    <row r="52" spans="19:21">
      <c r="S52" t="str">
        <f t="shared" si="15"/>
        <v>Feb</v>
      </c>
      <c r="T52" s="97">
        <f t="shared" si="16"/>
        <v>5.24931061082984</v>
      </c>
      <c r="U52" s="97">
        <f t="shared" si="17"/>
        <v>6.62715229755477</v>
      </c>
    </row>
    <row r="53" spans="19:21">
      <c r="S53" t="str">
        <f t="shared" si="15"/>
        <v>Mar</v>
      </c>
      <c r="T53" s="97">
        <f t="shared" si="16"/>
        <v>5.70446807404936</v>
      </c>
      <c r="U53" s="97">
        <f t="shared" si="17"/>
        <v>6.03174366632853</v>
      </c>
    </row>
  </sheetData>
  <mergeCells count="11">
    <mergeCell ref="A1:V1"/>
    <mergeCell ref="A2:V2"/>
    <mergeCell ref="B3:F3"/>
    <mergeCell ref="G3:K3"/>
    <mergeCell ref="L3:P3"/>
    <mergeCell ref="Q3:V3"/>
    <mergeCell ref="A22:V22"/>
    <mergeCell ref="B23:F23"/>
    <mergeCell ref="G23:K23"/>
    <mergeCell ref="L23:P23"/>
    <mergeCell ref="Q23:U23"/>
  </mergeCells>
  <pageMargins left="0.7" right="0.7" top="0.75" bottom="0.75" header="0.3" footer="0.3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6"/>
  <sheetViews>
    <sheetView showZeros="0" workbookViewId="0">
      <selection activeCell="S7" sqref="S7"/>
    </sheetView>
  </sheetViews>
  <sheetFormatPr defaultColWidth="9.14285714285714" defaultRowHeight="13.5"/>
  <cols>
    <col min="1" max="1" width="9.14285714285714" style="1"/>
    <col min="2" max="2" width="10.1428571428571" style="1" customWidth="1"/>
    <col min="3" max="3" width="15.1428571428571" style="1" customWidth="1"/>
    <col min="4" max="4" width="7.71428571428571" style="1" customWidth="1"/>
    <col min="5" max="5" width="11.2857142857143" style="1" customWidth="1"/>
    <col min="6" max="6" width="15.1428571428571" style="1" customWidth="1"/>
    <col min="7" max="7" width="7.71428571428571" style="1" customWidth="1"/>
    <col min="8" max="8" width="8.85714285714286" style="1" customWidth="1"/>
    <col min="9" max="9" width="12.5714285714286" style="1" customWidth="1"/>
    <col min="10" max="11" width="8.85714285714286" style="1" customWidth="1"/>
    <col min="12" max="12" width="13.8571428571429" style="1" customWidth="1"/>
    <col min="13" max="13" width="9.14285714285714" style="1" customWidth="1"/>
    <col min="14" max="14" width="13.1428571428571" style="1" customWidth="1"/>
    <col min="15" max="15" width="15.7142857142857" style="1" customWidth="1"/>
    <col min="16" max="16" width="7.71428571428571" style="1" customWidth="1"/>
    <col min="17" max="18" width="9.14285714285714" style="1"/>
    <col min="19" max="19" width="11.5714285714286" style="1" customWidth="1"/>
    <col min="20" max="16384" width="9.14285714285714" style="1"/>
  </cols>
  <sheetData>
    <row r="1" spans="3:4">
      <c r="C1" s="2"/>
      <c r="D1" s="2"/>
    </row>
    <row r="3" ht="14.25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>
      <c r="A4" s="4"/>
      <c r="B4" s="5" t="s">
        <v>57</v>
      </c>
      <c r="C4" s="6"/>
      <c r="D4" s="7"/>
      <c r="E4" s="6" t="s">
        <v>1030</v>
      </c>
      <c r="F4" s="6"/>
      <c r="G4" s="6"/>
      <c r="H4" s="5" t="s">
        <v>1031</v>
      </c>
      <c r="I4" s="6"/>
      <c r="J4" s="7"/>
      <c r="K4" s="5" t="s">
        <v>135</v>
      </c>
      <c r="L4" s="6"/>
      <c r="M4" s="7"/>
      <c r="N4" s="5" t="s">
        <v>47</v>
      </c>
      <c r="O4" s="6"/>
      <c r="P4" s="7"/>
    </row>
    <row r="5" ht="14.25" spans="1:16">
      <c r="A5" s="8" t="s">
        <v>1032</v>
      </c>
      <c r="B5" s="9" t="s">
        <v>145</v>
      </c>
      <c r="C5" s="10" t="s">
        <v>146</v>
      </c>
      <c r="D5" s="11" t="s">
        <v>55</v>
      </c>
      <c r="E5" s="38" t="s">
        <v>145</v>
      </c>
      <c r="F5" s="10" t="s">
        <v>146</v>
      </c>
      <c r="G5" s="39" t="s">
        <v>55</v>
      </c>
      <c r="H5" s="9" t="s">
        <v>145</v>
      </c>
      <c r="I5" s="10" t="s">
        <v>146</v>
      </c>
      <c r="J5" s="11" t="s">
        <v>55</v>
      </c>
      <c r="K5" s="9" t="s">
        <v>145</v>
      </c>
      <c r="L5" s="10" t="s">
        <v>146</v>
      </c>
      <c r="M5" s="11" t="s">
        <v>55</v>
      </c>
      <c r="N5" s="38" t="s">
        <v>145</v>
      </c>
      <c r="O5" s="39" t="s">
        <v>146</v>
      </c>
      <c r="P5" s="11" t="s">
        <v>55</v>
      </c>
    </row>
    <row r="6" spans="1:19">
      <c r="A6" s="12" t="s">
        <v>149</v>
      </c>
      <c r="B6" s="13">
        <f>'Inventory Sales'!B$5</f>
        <v>41120.23</v>
      </c>
      <c r="C6" s="14">
        <f>'Inventory Sales'!D$5</f>
        <v>10924222.5</v>
      </c>
      <c r="D6" s="15">
        <f>IF(B6=0,0,C6/B6)</f>
        <v>265.665403622499</v>
      </c>
      <c r="E6" s="40">
        <f>'Inventory Sales'!B$6</f>
        <v>52570.56</v>
      </c>
      <c r="F6" s="14">
        <f>'Inventory Sales'!D$6</f>
        <v>13274931</v>
      </c>
      <c r="G6" s="15">
        <f>IF(E6=0,0,F6/E6)</f>
        <v>252.516446467376</v>
      </c>
      <c r="H6" s="41">
        <f>'Inventory Sales'!B$9</f>
        <v>0</v>
      </c>
      <c r="I6" s="31">
        <f>'Inventory Sales'!D$9</f>
        <v>0</v>
      </c>
      <c r="J6" s="15">
        <f>IF(H6=0,0,I6/H6)</f>
        <v>0</v>
      </c>
      <c r="K6" s="41">
        <f>'Inventory Sales'!B$10</f>
        <v>9900</v>
      </c>
      <c r="L6" s="30">
        <f>'Inventory Sales'!D$10</f>
        <v>1294875</v>
      </c>
      <c r="M6" s="15">
        <f>IF(K6=0,0,L6/K6)</f>
        <v>130.795454545455</v>
      </c>
      <c r="N6" s="40">
        <f>B6+E6+H6+K6</f>
        <v>103590.79</v>
      </c>
      <c r="O6" s="59">
        <f>C6+F6+I6+L6</f>
        <v>25494028.5</v>
      </c>
      <c r="P6" s="15">
        <f>IF(N6=0,0,O6/N6)</f>
        <v>246.103234660147</v>
      </c>
      <c r="S6" s="54">
        <f>O9</f>
        <v>29621742</v>
      </c>
    </row>
    <row r="7" spans="1:19">
      <c r="A7" s="16" t="s">
        <v>150</v>
      </c>
      <c r="B7" s="13">
        <f>'Inventory Sales'!E$5</f>
        <v>72520.71</v>
      </c>
      <c r="C7" s="14">
        <f>'Inventory Sales'!G$5</f>
        <v>19601239</v>
      </c>
      <c r="D7" s="15">
        <f t="shared" ref="D7:D17" si="0">IF(B7=0,0,C7/B7)</f>
        <v>270.284709016224</v>
      </c>
      <c r="E7" s="40">
        <f>'Inventory Sales'!E$6</f>
        <v>53892.04</v>
      </c>
      <c r="F7" s="14">
        <f>'Inventory Sales'!G$6</f>
        <v>13930768</v>
      </c>
      <c r="G7" s="15">
        <f t="shared" ref="G7:G17" si="1">IF(E7=0,0,F7/E7)</f>
        <v>258.493981671505</v>
      </c>
      <c r="H7" s="41">
        <f>'Inventory Sales'!E$9</f>
        <v>23</v>
      </c>
      <c r="I7" s="31">
        <f>'Inventory Sales'!G$9</f>
        <v>15200</v>
      </c>
      <c r="J7" s="15">
        <f t="shared" ref="J7:J17" si="2">IF(H7=0,0,I7/H7)</f>
        <v>660.869565217391</v>
      </c>
      <c r="K7" s="41">
        <f>'Inventory Sales'!E$10</f>
        <v>12025</v>
      </c>
      <c r="L7" s="31">
        <f>'Inventory Sales'!G$10</f>
        <v>1560625</v>
      </c>
      <c r="M7" s="15">
        <f t="shared" ref="M7:M17" si="3">IF(K7=0,0,L7/K7)</f>
        <v>129.781704781705</v>
      </c>
      <c r="N7" s="42">
        <f t="shared" ref="N7:N17" si="4">B7+E7+H7+K7</f>
        <v>138460.75</v>
      </c>
      <c r="O7" s="60">
        <f t="shared" ref="O7:O17" si="5">C7+F7+I7+L7</f>
        <v>35107832</v>
      </c>
      <c r="P7" s="15">
        <f t="shared" ref="P7:P17" si="6">IF(N7=0,0,O7/N7)</f>
        <v>253.558008316436</v>
      </c>
      <c r="S7" s="54">
        <f>O28</f>
        <v>1494475</v>
      </c>
    </row>
    <row r="8" spans="1:19">
      <c r="A8" s="16" t="s">
        <v>151</v>
      </c>
      <c r="B8" s="13">
        <f>'Inventory Sales'!H$5</f>
        <v>66711.07</v>
      </c>
      <c r="C8" s="14">
        <f>'Inventory Sales'!J$5</f>
        <v>18372276.5</v>
      </c>
      <c r="D8" s="15">
        <f t="shared" si="0"/>
        <v>275.40071685254</v>
      </c>
      <c r="E8" s="40">
        <f>'Inventory Sales'!H$6</f>
        <v>46431.97</v>
      </c>
      <c r="F8" s="14">
        <f>'Inventory Sales'!J$6</f>
        <v>12867191</v>
      </c>
      <c r="G8" s="15">
        <f t="shared" si="1"/>
        <v>277.119213335122</v>
      </c>
      <c r="H8" s="41">
        <f>'Inventory Sales'!H$9</f>
        <v>0</v>
      </c>
      <c r="I8" s="31">
        <f>'Inventory Sales'!J$9</f>
        <v>0</v>
      </c>
      <c r="J8" s="15">
        <f t="shared" si="2"/>
        <v>0</v>
      </c>
      <c r="K8" s="41">
        <f>'Inventory Sales'!H$10</f>
        <v>8080.9</v>
      </c>
      <c r="L8" s="31">
        <f>'Inventory Sales'!J$10</f>
        <v>1045922</v>
      </c>
      <c r="M8" s="15">
        <f t="shared" si="3"/>
        <v>129.431375218107</v>
      </c>
      <c r="N8" s="42">
        <f t="shared" si="4"/>
        <v>121223.94</v>
      </c>
      <c r="O8" s="60">
        <f t="shared" si="5"/>
        <v>32285389.5</v>
      </c>
      <c r="P8" s="15">
        <f t="shared" si="6"/>
        <v>266.328495015094</v>
      </c>
      <c r="S8" s="54">
        <f>C45</f>
        <v>5497360</v>
      </c>
    </row>
    <row r="9" spans="1:19">
      <c r="A9" s="16" t="s">
        <v>152</v>
      </c>
      <c r="B9" s="13">
        <f>'Inventory Sales'!K$5</f>
        <v>54632.46</v>
      </c>
      <c r="C9" s="14">
        <f>ROUND(('Inventory Sales'!M$5),0)-11097.5</f>
        <v>15289527.5</v>
      </c>
      <c r="D9" s="15">
        <f t="shared" si="0"/>
        <v>279.861596933398</v>
      </c>
      <c r="E9" s="40">
        <f>'Inventory Sales'!K$6</f>
        <v>50356.34</v>
      </c>
      <c r="F9" s="14">
        <f>'Inventory Sales'!M$6</f>
        <v>13222464.5</v>
      </c>
      <c r="G9" s="15">
        <f t="shared" si="1"/>
        <v>262.577949469719</v>
      </c>
      <c r="H9" s="41">
        <f>'Inventory Sales'!K$9</f>
        <v>0</v>
      </c>
      <c r="I9" s="31">
        <f>'Inventory Sales'!M$9</f>
        <v>0</v>
      </c>
      <c r="J9" s="15">
        <f t="shared" si="2"/>
        <v>0</v>
      </c>
      <c r="K9" s="41">
        <f>'Inventory Sales'!K$10</f>
        <v>8625</v>
      </c>
      <c r="L9" s="31">
        <f>'Inventory Sales'!M$10</f>
        <v>1109750</v>
      </c>
      <c r="M9" s="15">
        <f t="shared" si="3"/>
        <v>128.666666666667</v>
      </c>
      <c r="N9" s="42">
        <f t="shared" si="4"/>
        <v>113613.8</v>
      </c>
      <c r="O9" s="60">
        <f t="shared" si="5"/>
        <v>29621742</v>
      </c>
      <c r="P9" s="15">
        <f t="shared" si="6"/>
        <v>260.723098778493</v>
      </c>
      <c r="S9" s="54">
        <f>F45</f>
        <v>53405</v>
      </c>
    </row>
    <row r="10" spans="1:19">
      <c r="A10" s="16" t="s">
        <v>153</v>
      </c>
      <c r="B10" s="13">
        <f>'Inventory Sales'!N$5</f>
        <v>43167.19</v>
      </c>
      <c r="C10" s="14">
        <f>'Inventory Sales'!P$5</f>
        <v>12033957.5</v>
      </c>
      <c r="D10" s="15">
        <f t="shared" si="0"/>
        <v>278.775558473924</v>
      </c>
      <c r="E10" s="40">
        <f>'Inventory Sales'!N$6</f>
        <v>59476.5</v>
      </c>
      <c r="F10" s="14">
        <f>'Inventory Sales'!P$6</f>
        <v>15208895</v>
      </c>
      <c r="G10" s="15">
        <f t="shared" si="1"/>
        <v>255.712676435231</v>
      </c>
      <c r="H10" s="41">
        <f>'Inventory Sales'!N$9</f>
        <v>217.8</v>
      </c>
      <c r="I10" s="31">
        <f>'Inventory Sales'!P$9</f>
        <v>212999</v>
      </c>
      <c r="J10" s="15">
        <f t="shared" si="2"/>
        <v>977.956841138659</v>
      </c>
      <c r="K10" s="41">
        <f>'Inventory Sales'!N$10</f>
        <v>7500</v>
      </c>
      <c r="L10" s="31">
        <f>'Inventory Sales'!P$10</f>
        <v>947500</v>
      </c>
      <c r="M10" s="15">
        <f t="shared" si="3"/>
        <v>126.333333333333</v>
      </c>
      <c r="N10" s="42">
        <f t="shared" si="4"/>
        <v>110361.49</v>
      </c>
      <c r="O10" s="60">
        <f t="shared" si="5"/>
        <v>28403351.5</v>
      </c>
      <c r="P10" s="15">
        <f t="shared" si="6"/>
        <v>257.366509821497</v>
      </c>
      <c r="S10" s="54">
        <f>SUM(S6:S9)</f>
        <v>36666982</v>
      </c>
    </row>
    <row r="11" spans="1:19">
      <c r="A11" s="16" t="s">
        <v>154</v>
      </c>
      <c r="B11" s="13">
        <f>'Inventory Sales'!Q$5</f>
        <v>38963.1</v>
      </c>
      <c r="C11" s="14">
        <f>'Inventory Sales'!S$5</f>
        <v>10736840</v>
      </c>
      <c r="D11" s="15">
        <f t="shared" si="0"/>
        <v>275.564315981018</v>
      </c>
      <c r="E11" s="40">
        <f>'Inventory Sales'!Q$6</f>
        <v>49063.76</v>
      </c>
      <c r="F11" s="14">
        <f>'Inventory Sales'!S$6</f>
        <v>12726244</v>
      </c>
      <c r="G11" s="15">
        <f t="shared" si="1"/>
        <v>259.38175141897</v>
      </c>
      <c r="H11" s="41">
        <f>'Inventory Sales'!Q$9</f>
        <v>236.9</v>
      </c>
      <c r="I11" s="31">
        <f>'Inventory Sales'!S$9</f>
        <v>210000</v>
      </c>
      <c r="J11" s="15">
        <f t="shared" si="2"/>
        <v>886.449978894048</v>
      </c>
      <c r="K11" s="41">
        <f>'Inventory Sales'!Q$10</f>
        <v>7750</v>
      </c>
      <c r="L11" s="31">
        <f>'Inventory Sales'!S$10</f>
        <v>983750</v>
      </c>
      <c r="M11" s="15">
        <f t="shared" si="3"/>
        <v>126.935483870968</v>
      </c>
      <c r="N11" s="42">
        <f t="shared" si="4"/>
        <v>96013.76</v>
      </c>
      <c r="O11" s="60">
        <f t="shared" si="5"/>
        <v>24656834</v>
      </c>
      <c r="P11" s="15">
        <f t="shared" si="6"/>
        <v>256.805212086268</v>
      </c>
      <c r="S11" s="54">
        <v>36666982</v>
      </c>
    </row>
    <row r="12" spans="1:19">
      <c r="A12" s="16" t="s">
        <v>1033</v>
      </c>
      <c r="B12" s="13">
        <f>'Inventory Sales'!T$5</f>
        <v>50565.14</v>
      </c>
      <c r="C12" s="14">
        <f>'Inventory Sales'!V$5</f>
        <v>13344284.5</v>
      </c>
      <c r="D12" s="15">
        <f t="shared" si="0"/>
        <v>263.902848879683</v>
      </c>
      <c r="E12" s="40">
        <f>'Inventory Sales'!T$6</f>
        <v>36661.11</v>
      </c>
      <c r="F12" s="14">
        <f>'Inventory Sales'!V$6</f>
        <v>9452912.5</v>
      </c>
      <c r="G12" s="15">
        <f t="shared" si="1"/>
        <v>257.845779901372</v>
      </c>
      <c r="H12" s="41">
        <f>'Inventory Sales'!T$9</f>
        <v>93.4</v>
      </c>
      <c r="I12" s="31">
        <f>'Inventory Sales'!V$9</f>
        <v>96000</v>
      </c>
      <c r="J12" s="15">
        <f t="shared" si="2"/>
        <v>1027.83725910064</v>
      </c>
      <c r="K12" s="41">
        <f>'Inventory Sales'!T$10</f>
        <v>6375</v>
      </c>
      <c r="L12" s="31">
        <f>'Inventory Sales'!V$10</f>
        <v>816875</v>
      </c>
      <c r="M12" s="15">
        <f t="shared" si="3"/>
        <v>128.137254901961</v>
      </c>
      <c r="N12" s="42">
        <f t="shared" si="4"/>
        <v>93694.65</v>
      </c>
      <c r="O12" s="60">
        <f t="shared" si="5"/>
        <v>23710072</v>
      </c>
      <c r="P12" s="15">
        <f t="shared" si="6"/>
        <v>253.056839424663</v>
      </c>
      <c r="S12" s="54">
        <f>S10-S11</f>
        <v>0</v>
      </c>
    </row>
    <row r="13" spans="1:16">
      <c r="A13" s="16" t="s">
        <v>156</v>
      </c>
      <c r="B13" s="13">
        <f>'Inventory Sales'!W$5</f>
        <v>42420.62</v>
      </c>
      <c r="C13" s="14">
        <f>'Inventory Sales'!Y$5</f>
        <v>11120750</v>
      </c>
      <c r="D13" s="15">
        <f t="shared" si="0"/>
        <v>262.154348522016</v>
      </c>
      <c r="E13" s="40">
        <f>'Inventory Sales'!W$6</f>
        <v>76513.39</v>
      </c>
      <c r="F13" s="14">
        <f>'Inventory Sales'!Y$6</f>
        <v>19072513.5</v>
      </c>
      <c r="G13" s="15">
        <f t="shared" si="1"/>
        <v>249.270271517181</v>
      </c>
      <c r="H13" s="41">
        <f>'Inventory Sales'!W$9</f>
        <v>0</v>
      </c>
      <c r="I13" s="31">
        <f>'Inventory Sales'!Y$9</f>
        <v>0</v>
      </c>
      <c r="J13" s="15">
        <f t="shared" si="2"/>
        <v>0</v>
      </c>
      <c r="K13" s="41">
        <f>'Inventory Sales'!W$10</f>
        <v>10250</v>
      </c>
      <c r="L13" s="31">
        <f>'Inventory Sales'!Y$10</f>
        <v>1323000</v>
      </c>
      <c r="M13" s="15">
        <f t="shared" si="3"/>
        <v>129.073170731707</v>
      </c>
      <c r="N13" s="42">
        <f t="shared" si="4"/>
        <v>129184.01</v>
      </c>
      <c r="O13" s="60">
        <f t="shared" si="5"/>
        <v>31516263.5</v>
      </c>
      <c r="P13" s="15">
        <f t="shared" si="6"/>
        <v>243.964121411001</v>
      </c>
    </row>
    <row r="14" spans="1:16">
      <c r="A14" s="16" t="s">
        <v>157</v>
      </c>
      <c r="B14" s="13">
        <f>'Inventory Sales'!Z$5</f>
        <v>29769.32</v>
      </c>
      <c r="C14" s="14">
        <f>'Inventory Sales'!AB$5</f>
        <v>7912555</v>
      </c>
      <c r="D14" s="15">
        <f t="shared" si="0"/>
        <v>265.795624488567</v>
      </c>
      <c r="E14" s="40">
        <f>'Inventory Sales'!Z$6</f>
        <v>46944.17</v>
      </c>
      <c r="F14" s="14">
        <f>'Inventory Sales'!AB$6</f>
        <v>11841772.5</v>
      </c>
      <c r="G14" s="15">
        <f t="shared" si="1"/>
        <v>252.25224985339</v>
      </c>
      <c r="H14" s="41">
        <f>'Inventory Sales'!Z$9</f>
        <v>196.3</v>
      </c>
      <c r="I14" s="31">
        <f>'Inventory Sales'!AB$9</f>
        <v>184000</v>
      </c>
      <c r="J14" s="15">
        <f t="shared" si="2"/>
        <v>937.340804890474</v>
      </c>
      <c r="K14" s="41">
        <f>'Inventory Sales'!Z$10</f>
        <v>10291.4</v>
      </c>
      <c r="L14" s="31">
        <f>'Inventory Sales'!AB$10</f>
        <v>1314968</v>
      </c>
      <c r="M14" s="15">
        <f t="shared" si="3"/>
        <v>127.773480770352</v>
      </c>
      <c r="N14" s="42">
        <f t="shared" si="4"/>
        <v>87201.19</v>
      </c>
      <c r="O14" s="60">
        <f t="shared" si="5"/>
        <v>21253295.5</v>
      </c>
      <c r="P14" s="15">
        <f t="shared" si="6"/>
        <v>243.727126888979</v>
      </c>
    </row>
    <row r="15" spans="1:16">
      <c r="A15" s="16" t="s">
        <v>158</v>
      </c>
      <c r="B15" s="13">
        <f>'Inventory Sales'!AC5</f>
        <v>39918.5</v>
      </c>
      <c r="C15" s="14">
        <f>'Inventory Sales'!AE5</f>
        <v>10593365</v>
      </c>
      <c r="D15" s="15">
        <f t="shared" si="0"/>
        <v>265.3748262084</v>
      </c>
      <c r="E15" s="42">
        <f>'Inventory Sales'!AC6</f>
        <v>70387</v>
      </c>
      <c r="F15" s="43">
        <f>'Inventory Sales'!AE6</f>
        <v>18301050</v>
      </c>
      <c r="G15" s="15">
        <f t="shared" si="1"/>
        <v>260.006109082643</v>
      </c>
      <c r="H15" s="44">
        <f>'Inventory Sales'!AC7+'Inventory Sales'!AC9</f>
        <v>0</v>
      </c>
      <c r="I15" s="33">
        <f>'Inventory Sales'!AE7+'Inventory Sales'!AE9</f>
        <v>0</v>
      </c>
      <c r="J15" s="15">
        <f t="shared" si="2"/>
        <v>0</v>
      </c>
      <c r="K15" s="41"/>
      <c r="L15" s="33"/>
      <c r="M15" s="15">
        <f t="shared" si="3"/>
        <v>0</v>
      </c>
      <c r="N15" s="42">
        <f t="shared" si="4"/>
        <v>110305.5</v>
      </c>
      <c r="O15" s="60">
        <f t="shared" si="5"/>
        <v>28894415</v>
      </c>
      <c r="P15" s="15">
        <f t="shared" si="6"/>
        <v>261.948996196926</v>
      </c>
    </row>
    <row r="16" spans="1:16">
      <c r="A16" s="16" t="s">
        <v>159</v>
      </c>
      <c r="B16" s="13">
        <f>'Inventory Sales'!AF5</f>
        <v>60348.07</v>
      </c>
      <c r="C16" s="14">
        <f>'Inventory Sales'!AH5</f>
        <v>16185052</v>
      </c>
      <c r="D16" s="15">
        <f t="shared" si="0"/>
        <v>268.195022641155</v>
      </c>
      <c r="E16" s="45">
        <f>'Inventory Sales'!AF6</f>
        <v>58203.1</v>
      </c>
      <c r="F16" s="33">
        <f>'Inventory Sales'!AH6</f>
        <v>15321226</v>
      </c>
      <c r="G16" s="15">
        <f t="shared" si="1"/>
        <v>263.237284611988</v>
      </c>
      <c r="H16" s="44">
        <f>'Inventory Sales'!AF9</f>
        <v>0</v>
      </c>
      <c r="I16" s="33">
        <f>'Inventory Sales'!AH9</f>
        <v>0</v>
      </c>
      <c r="J16" s="15">
        <f t="shared" si="2"/>
        <v>0</v>
      </c>
      <c r="K16" s="44"/>
      <c r="L16" s="33"/>
      <c r="M16" s="15">
        <f t="shared" si="3"/>
        <v>0</v>
      </c>
      <c r="N16" s="42">
        <f t="shared" si="4"/>
        <v>118551.17</v>
      </c>
      <c r="O16" s="60">
        <f t="shared" si="5"/>
        <v>31506278</v>
      </c>
      <c r="P16" s="15">
        <f t="shared" si="6"/>
        <v>265.761004298819</v>
      </c>
    </row>
    <row r="17" ht="14.25" spans="1:17">
      <c r="A17" s="17" t="s">
        <v>160</v>
      </c>
      <c r="B17" s="13">
        <f>'Inventory Sales'!AI5</f>
        <v>77562.79</v>
      </c>
      <c r="C17" s="14">
        <f>'Inventory Sales'!AK5</f>
        <v>22155932</v>
      </c>
      <c r="D17" s="15">
        <f t="shared" si="0"/>
        <v>285.651560496986</v>
      </c>
      <c r="E17" s="46">
        <f>'Inventory Sales'!AI6</f>
        <v>70675.97</v>
      </c>
      <c r="F17" s="35">
        <f>'Inventory Sales'!AK6</f>
        <v>19879091</v>
      </c>
      <c r="G17" s="15">
        <f t="shared" si="1"/>
        <v>281.27086193511</v>
      </c>
      <c r="H17" s="47">
        <f>'Inventory Sales'!AI9</f>
        <v>6</v>
      </c>
      <c r="I17" s="35">
        <f>'Inventory Sales'!AK9</f>
        <v>7542.75</v>
      </c>
      <c r="J17" s="15">
        <f t="shared" si="2"/>
        <v>1257.125</v>
      </c>
      <c r="K17" s="47"/>
      <c r="L17" s="35"/>
      <c r="M17" s="15">
        <f t="shared" si="3"/>
        <v>0</v>
      </c>
      <c r="N17" s="61">
        <f t="shared" si="4"/>
        <v>148244.76</v>
      </c>
      <c r="O17" s="62">
        <f t="shared" si="5"/>
        <v>42042565.75</v>
      </c>
      <c r="P17" s="15">
        <f t="shared" si="6"/>
        <v>283.602373196867</v>
      </c>
      <c r="Q17" s="1" t="s">
        <v>1034</v>
      </c>
    </row>
    <row r="18" ht="14.25" spans="1:16">
      <c r="A18" s="18" t="s">
        <v>47</v>
      </c>
      <c r="B18" s="19">
        <f t="shared" ref="B18:L18" si="7">SUM(B6:B17)</f>
        <v>617699.2</v>
      </c>
      <c r="C18" s="20">
        <f t="shared" si="7"/>
        <v>168270001.5</v>
      </c>
      <c r="D18" s="21">
        <f>C18/B18</f>
        <v>272.414148342753</v>
      </c>
      <c r="E18" s="48">
        <f t="shared" si="7"/>
        <v>671175.91</v>
      </c>
      <c r="F18" s="20">
        <f t="shared" si="7"/>
        <v>175099059</v>
      </c>
      <c r="G18" s="37">
        <f>F18/E18</f>
        <v>260.88400431416</v>
      </c>
      <c r="H18" s="19">
        <f t="shared" si="7"/>
        <v>773.4</v>
      </c>
      <c r="I18" s="20">
        <f t="shared" si="7"/>
        <v>725741.75</v>
      </c>
      <c r="J18" s="21">
        <f>I18/H18</f>
        <v>938.378264804758</v>
      </c>
      <c r="K18" s="19">
        <f t="shared" si="7"/>
        <v>80797.3</v>
      </c>
      <c r="L18" s="20">
        <f t="shared" si="7"/>
        <v>10397265</v>
      </c>
      <c r="M18" s="21">
        <f>L18/K18</f>
        <v>128.683322338742</v>
      </c>
      <c r="N18" s="19">
        <f>SUM(N6:N17)</f>
        <v>1370445.81</v>
      </c>
      <c r="O18" s="37">
        <f>SUM(O6:O17)</f>
        <v>354492067.25</v>
      </c>
      <c r="P18" s="63">
        <f>O18/N18</f>
        <v>258.669160548566</v>
      </c>
    </row>
    <row r="19" spans="1:16">
      <c r="A19" s="22"/>
      <c r="B19" s="23">
        <f>'Inventory Sales'!AL5</f>
        <v>617699.2</v>
      </c>
      <c r="C19" s="24">
        <f>'Inventory Sales'!AN5</f>
        <v>168281099</v>
      </c>
      <c r="D19" s="22"/>
      <c r="E19" s="22">
        <f>'Inventory Sales'!AL6</f>
        <v>671175.91</v>
      </c>
      <c r="F19" s="24">
        <f>'Inventory Sales'!AN6</f>
        <v>175099059</v>
      </c>
      <c r="G19" s="22"/>
      <c r="H19" s="22">
        <f>'Inventory Sales'!AL9</f>
        <v>773.4</v>
      </c>
      <c r="I19" s="24">
        <f>'Inventory Sales'!AN9</f>
        <v>725741.75</v>
      </c>
      <c r="J19" s="22"/>
      <c r="K19" s="22">
        <f>'Inventory Sales'!AL10</f>
        <v>115960.7</v>
      </c>
      <c r="L19" s="22">
        <f>'Inventory Sales'!AN10</f>
        <v>14778849.39</v>
      </c>
      <c r="M19" s="22"/>
      <c r="N19" s="23">
        <f>'Inventory Sales'!AL11</f>
        <v>1407372.09</v>
      </c>
      <c r="O19" s="24">
        <f>'Inventory Sales'!AN11</f>
        <v>359533852.14</v>
      </c>
      <c r="P19" s="24">
        <f>O19/N19</f>
        <v>255.464673979715</v>
      </c>
    </row>
    <row r="20" spans="1:15">
      <c r="A20" s="22"/>
      <c r="B20" s="22"/>
      <c r="C20" s="22"/>
      <c r="D20" s="22"/>
      <c r="E20" s="49">
        <f>B18+E18+H18+K18</f>
        <v>1370445.81</v>
      </c>
      <c r="F20" s="50">
        <f>C18+F18+I18+L18</f>
        <v>354492067.25</v>
      </c>
      <c r="J20" s="22"/>
      <c r="K20" s="22"/>
      <c r="L20" s="22"/>
      <c r="M20" s="22"/>
      <c r="N20" s="53"/>
      <c r="O20" s="54"/>
    </row>
    <row r="21" spans="5:15">
      <c r="E21" s="51">
        <f>'PAL II'!AZ16</f>
        <v>1161496</v>
      </c>
      <c r="F21" s="52">
        <f>'PAL II'!BA16</f>
        <v>303050874</v>
      </c>
      <c r="N21" s="53"/>
      <c r="O21" s="54"/>
    </row>
    <row r="22" ht="14.25" spans="5:6">
      <c r="E22" s="53">
        <f>E20-E21</f>
        <v>208949.81</v>
      </c>
      <c r="F22" s="54">
        <f>F20-F21</f>
        <v>51441193.25</v>
      </c>
    </row>
    <row r="23" ht="14.25" spans="1:16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64"/>
    </row>
    <row r="24" ht="14.25" spans="1:20">
      <c r="A24" s="27" t="s">
        <v>1032</v>
      </c>
      <c r="B24" s="28" t="s">
        <v>41</v>
      </c>
      <c r="C24" s="29"/>
      <c r="D24" s="29"/>
      <c r="E24" s="55" t="s">
        <v>42</v>
      </c>
      <c r="F24" s="29"/>
      <c r="G24" s="29"/>
      <c r="H24" s="55" t="s">
        <v>1035</v>
      </c>
      <c r="I24" s="29"/>
      <c r="J24" s="56"/>
      <c r="K24" s="55" t="s">
        <v>168</v>
      </c>
      <c r="L24" s="29"/>
      <c r="M24" s="29"/>
      <c r="N24" s="55" t="s">
        <v>47</v>
      </c>
      <c r="O24" s="29"/>
      <c r="P24" s="56"/>
      <c r="Q24" s="22"/>
      <c r="R24" s="68"/>
      <c r="S24" s="22"/>
      <c r="T24" s="22"/>
    </row>
    <row r="25" spans="1:20">
      <c r="A25" s="12" t="s">
        <v>149</v>
      </c>
      <c r="B25" s="30">
        <f>'Inventory Sales'!B$13</f>
        <v>887.91</v>
      </c>
      <c r="C25" s="31">
        <f>'Inventory Sales'!D$13</f>
        <v>201802</v>
      </c>
      <c r="D25" s="15">
        <f>IF(B25=0,0,C25/B25)</f>
        <v>227.277539390254</v>
      </c>
      <c r="E25" s="41">
        <f>'Inventory Sales'!B$12</f>
        <v>0</v>
      </c>
      <c r="F25" s="31">
        <f>'Inventory Sales'!D$12</f>
        <v>0</v>
      </c>
      <c r="G25" s="15">
        <f>IF(E25=0,0,F25/E25)</f>
        <v>0</v>
      </c>
      <c r="H25" s="41">
        <f>'Inventory Sales'!B$15+'Inventory Sales'!B$16+'Inventory Sales'!B$17</f>
        <v>2059.25</v>
      </c>
      <c r="I25" s="31">
        <f>'Inventory Sales'!D$15+'Inventory Sales'!D$16+'Inventory Sales'!D$17</f>
        <v>379250</v>
      </c>
      <c r="J25" s="15">
        <f>IF(H25=0,0,I25/H25)</f>
        <v>184.168993565619</v>
      </c>
      <c r="K25" s="41">
        <f>'Inventory Sales'!B$14</f>
        <v>4797.6</v>
      </c>
      <c r="L25" s="31">
        <f>'Inventory Sales'!D$14</f>
        <v>796540</v>
      </c>
      <c r="M25" s="15">
        <f>IF(K25=0,0,L25/K25)</f>
        <v>166.028847757212</v>
      </c>
      <c r="N25" s="41">
        <f>SUM(B25,E25,H25,K25)</f>
        <v>7744.76</v>
      </c>
      <c r="O25" s="65">
        <f>SUM(C25,F25,I25,L25)</f>
        <v>1377592</v>
      </c>
      <c r="P25" s="15">
        <f>IF(N25=0,0,O25/N25)</f>
        <v>177.874072275965</v>
      </c>
      <c r="Q25" s="24"/>
      <c r="R25" s="24"/>
      <c r="S25" s="24"/>
      <c r="T25" s="24"/>
    </row>
    <row r="26" spans="1:20">
      <c r="A26" s="16" t="s">
        <v>150</v>
      </c>
      <c r="B26" s="30">
        <f>'Inventory Sales'!E$13</f>
        <v>195</v>
      </c>
      <c r="C26" s="31">
        <f>'Inventory Sales'!G$13</f>
        <v>52144</v>
      </c>
      <c r="D26" s="15">
        <f t="shared" ref="D26:D36" si="8">IF(B26=0,0,C26/B26)</f>
        <v>267.405128205128</v>
      </c>
      <c r="E26" s="41">
        <f>'Inventory Sales'!E$12</f>
        <v>1908</v>
      </c>
      <c r="F26" s="31">
        <f>'Inventory Sales'!G$12</f>
        <v>502180</v>
      </c>
      <c r="G26" s="15">
        <f t="shared" ref="G26:G36" si="9">IF(E26=0,0,F26/E26)</f>
        <v>263.197064989518</v>
      </c>
      <c r="H26" s="41">
        <f>'Inventory Sales'!E$15+'Inventory Sales'!E$16+'Inventory Sales'!E$17</f>
        <v>870.65</v>
      </c>
      <c r="I26" s="31">
        <f>'Inventory Sales'!G$15+'Inventory Sales'!G$16+'Inventory Sales'!G$17</f>
        <v>168775</v>
      </c>
      <c r="J26" s="15">
        <f t="shared" ref="J26:J36" si="10">IF(H26=0,0,I26/H26)</f>
        <v>193.849422845001</v>
      </c>
      <c r="K26" s="41">
        <f>'Inventory Sales'!E$14</f>
        <v>5704.65</v>
      </c>
      <c r="L26" s="31">
        <f>'Inventory Sales'!G$14</f>
        <v>945541</v>
      </c>
      <c r="M26" s="15">
        <f t="shared" ref="M26:M35" si="11">IF(K26=0,0,L26/K26)</f>
        <v>165.749169537132</v>
      </c>
      <c r="N26" s="41">
        <f t="shared" ref="N26:N32" si="12">SUM(B26,E26,H26,K26)</f>
        <v>8678.3</v>
      </c>
      <c r="O26" s="65">
        <f t="shared" ref="O26:O32" si="13">SUM(C26,F26,I26,L26)</f>
        <v>1668640</v>
      </c>
      <c r="P26" s="15">
        <f t="shared" ref="P26:P36" si="14">IF(N26=0,0,O26/N26)</f>
        <v>192.27728933086</v>
      </c>
      <c r="Q26" s="24"/>
      <c r="R26" s="24"/>
      <c r="S26" s="24"/>
      <c r="T26" s="24"/>
    </row>
    <row r="27" spans="1:20">
      <c r="A27" s="16" t="s">
        <v>151</v>
      </c>
      <c r="B27" s="30">
        <f>'Inventory Sales'!H$13</f>
        <v>348</v>
      </c>
      <c r="C27" s="31">
        <f>'Inventory Sales'!J$13</f>
        <v>83370</v>
      </c>
      <c r="D27" s="15">
        <f t="shared" si="8"/>
        <v>239.568965517241</v>
      </c>
      <c r="E27" s="41">
        <f>'Inventory Sales'!H$12</f>
        <v>580</v>
      </c>
      <c r="F27" s="31">
        <f>'Inventory Sales'!J$12</f>
        <v>163800</v>
      </c>
      <c r="G27" s="15">
        <f t="shared" si="9"/>
        <v>282.413793103448</v>
      </c>
      <c r="H27" s="41">
        <f>'Inventory Sales'!H$15+'Inventory Sales'!H$16+'Inventory Sales'!H$17</f>
        <v>1277</v>
      </c>
      <c r="I27" s="31">
        <f>'Inventory Sales'!J$15+'Inventory Sales'!J$16+'Inventory Sales'!J$17</f>
        <v>279128</v>
      </c>
      <c r="J27" s="15">
        <f t="shared" si="10"/>
        <v>218.581049334377</v>
      </c>
      <c r="K27" s="41">
        <f>'Inventory Sales'!H$14</f>
        <v>4826</v>
      </c>
      <c r="L27" s="31">
        <f>'Inventory Sales'!J$14</f>
        <v>816591</v>
      </c>
      <c r="M27" s="15">
        <f t="shared" si="11"/>
        <v>169.206589307915</v>
      </c>
      <c r="N27" s="41">
        <f t="shared" si="12"/>
        <v>7031</v>
      </c>
      <c r="O27" s="65">
        <f t="shared" si="13"/>
        <v>1342889</v>
      </c>
      <c r="P27" s="15">
        <f t="shared" si="14"/>
        <v>190.995448727066</v>
      </c>
      <c r="Q27" s="24"/>
      <c r="R27" s="24"/>
      <c r="S27" s="24"/>
      <c r="T27" s="24"/>
    </row>
    <row r="28" spans="1:20">
      <c r="A28" s="16" t="s">
        <v>152</v>
      </c>
      <c r="B28" s="30">
        <f>'Inventory Sales'!K$13</f>
        <v>168</v>
      </c>
      <c r="C28" s="31">
        <f>'Inventory Sales'!M$13</f>
        <v>43980</v>
      </c>
      <c r="D28" s="15">
        <f t="shared" si="8"/>
        <v>261.785714285714</v>
      </c>
      <c r="E28" s="41">
        <f>'Inventory Sales'!K$12</f>
        <v>0</v>
      </c>
      <c r="F28" s="31">
        <f>'Inventory Sales'!M$12</f>
        <v>0</v>
      </c>
      <c r="G28" s="15">
        <f t="shared" si="9"/>
        <v>0</v>
      </c>
      <c r="H28" s="41">
        <f>'Inventory Sales'!K$15+'Inventory Sales'!K$16+'Inventory Sales'!K$17</f>
        <v>1580</v>
      </c>
      <c r="I28" s="31">
        <f>'Inventory Sales'!M$15+'Inventory Sales'!M$16+'Inventory Sales'!M$17</f>
        <v>301200</v>
      </c>
      <c r="J28" s="15">
        <f t="shared" si="10"/>
        <v>190.632911392405</v>
      </c>
      <c r="K28" s="41">
        <f>'Inventory Sales'!K$14</f>
        <v>6780.8</v>
      </c>
      <c r="L28" s="31">
        <f>'Inventory Sales'!M$14</f>
        <v>1149295</v>
      </c>
      <c r="M28" s="15">
        <f t="shared" si="11"/>
        <v>169.492537753657</v>
      </c>
      <c r="N28" s="41">
        <f t="shared" si="12"/>
        <v>8528.8</v>
      </c>
      <c r="O28" s="65">
        <f t="shared" si="13"/>
        <v>1494475</v>
      </c>
      <c r="P28" s="15">
        <f t="shared" si="14"/>
        <v>175.226878341619</v>
      </c>
      <c r="Q28" s="24"/>
      <c r="R28" s="24"/>
      <c r="S28" s="24"/>
      <c r="T28" s="24"/>
    </row>
    <row r="29" spans="1:20">
      <c r="A29" s="16" t="s">
        <v>153</v>
      </c>
      <c r="B29" s="30">
        <f>'Inventory Sales'!N$13</f>
        <v>0</v>
      </c>
      <c r="C29" s="31">
        <f>'Inventory Sales'!P$13</f>
        <v>0</v>
      </c>
      <c r="D29" s="15">
        <f t="shared" si="8"/>
        <v>0</v>
      </c>
      <c r="E29" s="41">
        <f>'Inventory Sales'!N$12</f>
        <v>420</v>
      </c>
      <c r="F29" s="31">
        <f>'Inventory Sales'!P$12</f>
        <v>137220</v>
      </c>
      <c r="G29" s="15">
        <f t="shared" si="9"/>
        <v>326.714285714286</v>
      </c>
      <c r="H29" s="41">
        <f>'Inventory Sales'!N$15+'Inventory Sales'!N$16+'Inventory Sales'!N$17</f>
        <v>1643.92</v>
      </c>
      <c r="I29" s="31">
        <f>'Inventory Sales'!P$15+'Inventory Sales'!P$16+'Inventory Sales'!P$17</f>
        <v>313650</v>
      </c>
      <c r="J29" s="15">
        <f t="shared" si="10"/>
        <v>190.793955910263</v>
      </c>
      <c r="K29" s="41">
        <f>'Inventory Sales'!N$14</f>
        <v>4998.6</v>
      </c>
      <c r="L29" s="31">
        <f>'Inventory Sales'!P$14</f>
        <v>843523</v>
      </c>
      <c r="M29" s="15">
        <f t="shared" si="11"/>
        <v>168.751850518145</v>
      </c>
      <c r="N29" s="41">
        <f t="shared" si="12"/>
        <v>7062.52</v>
      </c>
      <c r="O29" s="65">
        <f t="shared" si="13"/>
        <v>1294393</v>
      </c>
      <c r="P29" s="15">
        <f t="shared" si="14"/>
        <v>183.276365943034</v>
      </c>
      <c r="Q29" s="24"/>
      <c r="R29" s="24"/>
      <c r="S29" s="24"/>
      <c r="T29" s="24"/>
    </row>
    <row r="30" spans="1:20">
      <c r="A30" s="16" t="s">
        <v>154</v>
      </c>
      <c r="B30" s="30">
        <f>'Inventory Sales'!Q$13</f>
        <v>14</v>
      </c>
      <c r="C30" s="31">
        <f>'Inventory Sales'!S$13</f>
        <v>4800</v>
      </c>
      <c r="D30" s="15">
        <f t="shared" si="8"/>
        <v>342.857142857143</v>
      </c>
      <c r="E30" s="41">
        <f>'Inventory Sales'!Q$12</f>
        <v>0</v>
      </c>
      <c r="F30" s="31">
        <f>'Inventory Sales'!S$12</f>
        <v>0</v>
      </c>
      <c r="G30" s="15">
        <f t="shared" si="9"/>
        <v>0</v>
      </c>
      <c r="H30" s="41">
        <f>'Inventory Sales'!Q$15+'Inventory Sales'!Q$16+'Inventory Sales'!Q$17</f>
        <v>849</v>
      </c>
      <c r="I30" s="31">
        <f>'Inventory Sales'!S$15+'Inventory Sales'!S$16+'Inventory Sales'!S$17</f>
        <v>181202</v>
      </c>
      <c r="J30" s="15">
        <f t="shared" si="10"/>
        <v>213.429917550059</v>
      </c>
      <c r="K30" s="41">
        <f>'Inventory Sales'!Q$14</f>
        <v>5020.2</v>
      </c>
      <c r="L30" s="31">
        <f>'Inventory Sales'!S$14</f>
        <v>822071</v>
      </c>
      <c r="M30" s="15">
        <f t="shared" si="11"/>
        <v>163.752639337078</v>
      </c>
      <c r="N30" s="41">
        <f t="shared" si="12"/>
        <v>5883.2</v>
      </c>
      <c r="O30" s="65">
        <f t="shared" si="13"/>
        <v>1008073</v>
      </c>
      <c r="P30" s="15">
        <f t="shared" si="14"/>
        <v>171.347735926027</v>
      </c>
      <c r="Q30" s="24"/>
      <c r="R30" s="24"/>
      <c r="S30" s="24"/>
      <c r="T30" s="24"/>
    </row>
    <row r="31" spans="1:20">
      <c r="A31" s="16" t="s">
        <v>1033</v>
      </c>
      <c r="B31" s="30">
        <f>'Inventory Sales'!T$13</f>
        <v>128</v>
      </c>
      <c r="C31" s="31">
        <f>'Inventory Sales'!V$13</f>
        <v>30240</v>
      </c>
      <c r="D31" s="15">
        <f t="shared" si="8"/>
        <v>236.25</v>
      </c>
      <c r="E31" s="41">
        <f>'Inventory Sales'!T$12</f>
        <v>653</v>
      </c>
      <c r="F31" s="31">
        <f>'Inventory Sales'!V$12</f>
        <v>163800</v>
      </c>
      <c r="G31" s="15">
        <f t="shared" si="9"/>
        <v>250.842266462481</v>
      </c>
      <c r="H31" s="41">
        <f>'Inventory Sales'!T$15+'Inventory Sales'!T$16+'Inventory Sales'!T$17</f>
        <v>883</v>
      </c>
      <c r="I31" s="31">
        <f>'Inventory Sales'!V$15+'Inventory Sales'!V$16+'Inventory Sales'!V$17</f>
        <v>192623</v>
      </c>
      <c r="J31" s="15">
        <f t="shared" si="10"/>
        <v>218.146092865232</v>
      </c>
      <c r="K31" s="41">
        <f>'Inventory Sales'!T$14</f>
        <v>5785.2</v>
      </c>
      <c r="L31" s="31">
        <f>'Inventory Sales'!V$14</f>
        <v>975704</v>
      </c>
      <c r="M31" s="15">
        <f t="shared" si="11"/>
        <v>168.655189103229</v>
      </c>
      <c r="N31" s="41">
        <f t="shared" si="12"/>
        <v>7449.2</v>
      </c>
      <c r="O31" s="65">
        <f t="shared" si="13"/>
        <v>1362367</v>
      </c>
      <c r="P31" s="15">
        <f t="shared" si="14"/>
        <v>182.887692638136</v>
      </c>
      <c r="Q31" s="24"/>
      <c r="R31" s="24"/>
      <c r="S31" s="24"/>
      <c r="T31" s="24"/>
    </row>
    <row r="32" spans="1:20">
      <c r="A32" s="16" t="s">
        <v>156</v>
      </c>
      <c r="B32" s="30">
        <f>'Inventory Sales'!W$13</f>
        <v>117</v>
      </c>
      <c r="C32" s="31">
        <f>'Inventory Sales'!Y$13</f>
        <v>26550</v>
      </c>
      <c r="D32" s="15">
        <f t="shared" si="8"/>
        <v>226.923076923077</v>
      </c>
      <c r="E32" s="41">
        <f>'Inventory Sales'!W$12</f>
        <v>0</v>
      </c>
      <c r="F32" s="31">
        <f>'Inventory Sales'!Y$12</f>
        <v>0</v>
      </c>
      <c r="G32" s="15">
        <f t="shared" si="9"/>
        <v>0</v>
      </c>
      <c r="H32" s="41">
        <f>'Inventory Sales'!W$15+'Inventory Sales'!W$16+'Inventory Sales'!W$17</f>
        <v>9372.5</v>
      </c>
      <c r="I32" s="31">
        <f>'Inventory Sales'!Y$15+'Inventory Sales'!Y$16+'Inventory Sales'!Y$17</f>
        <v>1134887</v>
      </c>
      <c r="J32" s="15">
        <f t="shared" si="10"/>
        <v>121.08690317418</v>
      </c>
      <c r="K32" s="41">
        <f>'Inventory Sales'!W$14</f>
        <v>5688.5</v>
      </c>
      <c r="L32" s="31">
        <f>'Inventory Sales'!Y$14</f>
        <v>962229</v>
      </c>
      <c r="M32" s="15">
        <f t="shared" si="11"/>
        <v>169.15337962556</v>
      </c>
      <c r="N32" s="41">
        <f t="shared" si="12"/>
        <v>15178</v>
      </c>
      <c r="O32" s="65">
        <f t="shared" si="13"/>
        <v>2123666</v>
      </c>
      <c r="P32" s="15">
        <f t="shared" si="14"/>
        <v>139.917380419028</v>
      </c>
      <c r="Q32" s="24"/>
      <c r="R32" s="24"/>
      <c r="S32" s="24"/>
      <c r="T32" s="24"/>
    </row>
    <row r="33" spans="1:20">
      <c r="A33" s="16" t="s">
        <v>157</v>
      </c>
      <c r="B33" s="30">
        <f>'Inventory Sales'!Z$13</f>
        <v>381</v>
      </c>
      <c r="C33" s="31">
        <f>'Inventory Sales'!AB$13</f>
        <v>84185</v>
      </c>
      <c r="D33" s="15">
        <f t="shared" si="8"/>
        <v>220.958005249344</v>
      </c>
      <c r="E33" s="41">
        <f>'Inventory Sales'!Z$12</f>
        <v>205</v>
      </c>
      <c r="F33" s="31">
        <f>'Inventory Sales'!AB$12</f>
        <v>54600</v>
      </c>
      <c r="G33" s="15">
        <f t="shared" si="9"/>
        <v>266.341463414634</v>
      </c>
      <c r="H33" s="41">
        <f>'Inventory Sales'!Z$15+'Inventory Sales'!Z$16+'Inventory Sales'!Z$17</f>
        <v>1348</v>
      </c>
      <c r="I33" s="31">
        <f>'Inventory Sales'!AB$15+'Inventory Sales'!AB$16+'Inventory Sales'!AB$17</f>
        <v>259593</v>
      </c>
      <c r="J33" s="15">
        <f t="shared" si="10"/>
        <v>192.576409495549</v>
      </c>
      <c r="K33" s="41">
        <f>'Inventory Sales'!Z$14</f>
        <v>4737.4</v>
      </c>
      <c r="L33" s="31">
        <f>'Inventory Sales'!AB$14</f>
        <v>801947</v>
      </c>
      <c r="M33" s="15">
        <f t="shared" si="11"/>
        <v>169.27998480179</v>
      </c>
      <c r="N33" s="41">
        <f t="shared" ref="N33:O35" si="15">SUM(B33,E33,H33,K33)</f>
        <v>6671.4</v>
      </c>
      <c r="O33" s="65">
        <f t="shared" si="15"/>
        <v>1200325</v>
      </c>
      <c r="P33" s="15">
        <f t="shared" si="14"/>
        <v>179.921006085679</v>
      </c>
      <c r="Q33" s="24"/>
      <c r="R33" s="24"/>
      <c r="S33" s="24"/>
      <c r="T33" s="24"/>
    </row>
    <row r="34" spans="1:20">
      <c r="A34" s="16" t="s">
        <v>158</v>
      </c>
      <c r="B34" s="32">
        <f>'Inventory Sales'!AC13</f>
        <v>828</v>
      </c>
      <c r="C34" s="33">
        <f>'Inventory Sales'!AE13</f>
        <v>179100</v>
      </c>
      <c r="D34" s="15">
        <f t="shared" si="8"/>
        <v>216.304347826087</v>
      </c>
      <c r="E34" s="44">
        <f>'Inventory Sales'!AC12</f>
        <v>415</v>
      </c>
      <c r="F34" s="33">
        <f>'Inventory Sales'!AE12</f>
        <v>126000</v>
      </c>
      <c r="G34" s="15">
        <f t="shared" si="9"/>
        <v>303.614457831325</v>
      </c>
      <c r="H34" s="44">
        <f>'Inventory Sales'!AC15+'Inventory Sales'!AC16+'Inventory Sales'!AC17</f>
        <v>1043</v>
      </c>
      <c r="I34" s="33">
        <f>'Inventory Sales'!AE15+'Inventory Sales'!AE16+'Inventory Sales'!AE17</f>
        <v>224295</v>
      </c>
      <c r="J34" s="15">
        <f t="shared" si="10"/>
        <v>215.047938638543</v>
      </c>
      <c r="K34" s="44">
        <f>'Inventory Sales'!AC14</f>
        <v>2164.2</v>
      </c>
      <c r="L34" s="33">
        <f>+'Inventory Sales'!AE14</f>
        <v>358744</v>
      </c>
      <c r="M34" s="15">
        <f t="shared" si="11"/>
        <v>165.762868496442</v>
      </c>
      <c r="N34" s="41">
        <f t="shared" si="15"/>
        <v>4450.2</v>
      </c>
      <c r="O34" s="65">
        <f t="shared" si="15"/>
        <v>888139</v>
      </c>
      <c r="P34" s="15">
        <f t="shared" si="14"/>
        <v>199.572828187497</v>
      </c>
      <c r="Q34" s="24"/>
      <c r="R34" s="24"/>
      <c r="S34" s="24"/>
      <c r="T34" s="24"/>
    </row>
    <row r="35" spans="1:20">
      <c r="A35" s="16" t="s">
        <v>159</v>
      </c>
      <c r="B35" s="32">
        <f>'Inventory Sales'!AF13</f>
        <v>55.2</v>
      </c>
      <c r="C35" s="33">
        <f>'Inventory Sales'!AH13</f>
        <v>12590</v>
      </c>
      <c r="D35" s="15">
        <f t="shared" si="8"/>
        <v>228.079710144928</v>
      </c>
      <c r="E35" s="44"/>
      <c r="F35" s="33"/>
      <c r="G35" s="15">
        <f t="shared" si="9"/>
        <v>0</v>
      </c>
      <c r="H35" s="44">
        <f>'Inventory Sales'!AF15</f>
        <v>0</v>
      </c>
      <c r="I35" s="33">
        <f>'Inventory Sales'!AH15</f>
        <v>0</v>
      </c>
      <c r="J35" s="15">
        <f t="shared" si="10"/>
        <v>0</v>
      </c>
      <c r="K35" s="44">
        <f>'Inventory Sales'!AF14</f>
        <v>5103.1</v>
      </c>
      <c r="L35" s="33">
        <f>'Inventory Sales'!AH14</f>
        <v>856709</v>
      </c>
      <c r="M35" s="15">
        <f t="shared" si="11"/>
        <v>167.88011208873</v>
      </c>
      <c r="N35" s="41">
        <f t="shared" si="15"/>
        <v>5158.3</v>
      </c>
      <c r="O35" s="65">
        <f t="shared" si="15"/>
        <v>869299</v>
      </c>
      <c r="P35" s="15">
        <f t="shared" si="14"/>
        <v>168.524320027916</v>
      </c>
      <c r="Q35" s="24"/>
      <c r="R35" s="24"/>
      <c r="S35" s="24"/>
      <c r="T35" s="24"/>
    </row>
    <row r="36" ht="14.25" spans="1:20">
      <c r="A36" s="17" t="s">
        <v>160</v>
      </c>
      <c r="B36" s="34">
        <f>'Inventory Sales'!AI13</f>
        <v>917.5</v>
      </c>
      <c r="C36" s="35">
        <f>'Inventory Sales'!AK13</f>
        <v>243742.2</v>
      </c>
      <c r="D36" s="15">
        <f t="shared" si="8"/>
        <v>265.659073569482</v>
      </c>
      <c r="E36" s="47">
        <f>'Inventory Sales'!AI12</f>
        <v>90</v>
      </c>
      <c r="F36" s="35">
        <f>'Inventory Sales'!AK12</f>
        <v>28800</v>
      </c>
      <c r="G36" s="15">
        <f t="shared" si="9"/>
        <v>320</v>
      </c>
      <c r="H36" s="47"/>
      <c r="I36" s="35"/>
      <c r="J36" s="15">
        <f t="shared" si="10"/>
        <v>0</v>
      </c>
      <c r="K36" s="47">
        <f>'Inventory Sales'!AI14</f>
        <v>2928.6</v>
      </c>
      <c r="L36" s="35">
        <f>'Inventory Sales'!AK14</f>
        <v>492304</v>
      </c>
      <c r="M36" s="15"/>
      <c r="N36" s="41">
        <f>SUM(B36,E36,H36,K36)</f>
        <v>3936.1</v>
      </c>
      <c r="O36" s="65">
        <f>SUM(C36,F36,I36,L36)</f>
        <v>764846.2</v>
      </c>
      <c r="P36" s="15">
        <f t="shared" si="14"/>
        <v>194.315744010569</v>
      </c>
      <c r="Q36" s="24"/>
      <c r="R36" s="24"/>
      <c r="S36" s="24"/>
      <c r="T36" s="24"/>
    </row>
    <row r="37" ht="14.25" spans="1:20">
      <c r="A37" s="18" t="s">
        <v>47</v>
      </c>
      <c r="B37" s="36">
        <f>SUM(B25:B36)</f>
        <v>4039.61</v>
      </c>
      <c r="C37" s="20">
        <f>SUM(C25:C36)</f>
        <v>962503.2</v>
      </c>
      <c r="D37" s="37">
        <f>C37/B37</f>
        <v>238.266367297833</v>
      </c>
      <c r="E37" s="19">
        <f>SUM(E25:E36)</f>
        <v>4271</v>
      </c>
      <c r="F37" s="20">
        <f>SUM(F25:F36)</f>
        <v>1176400</v>
      </c>
      <c r="G37" s="37">
        <f>F37/E37</f>
        <v>275.439007258253</v>
      </c>
      <c r="H37" s="19">
        <f>SUM(H25:H36)</f>
        <v>20926.32</v>
      </c>
      <c r="I37" s="20">
        <f>SUM(I25:I36)</f>
        <v>3434603</v>
      </c>
      <c r="J37" s="37">
        <f>I37/H37</f>
        <v>164.128379954048</v>
      </c>
      <c r="K37" s="19">
        <f>SUM(K25:K36)</f>
        <v>58534.85</v>
      </c>
      <c r="L37" s="20">
        <f>SUM(L25:L36)</f>
        <v>9821198</v>
      </c>
      <c r="M37" s="37">
        <f>L37/K37</f>
        <v>167.783773256445</v>
      </c>
      <c r="N37" s="19">
        <f>SUM(N25:N36)</f>
        <v>87771.78</v>
      </c>
      <c r="O37" s="20">
        <f>SUM(O25:O36)</f>
        <v>15394704.2</v>
      </c>
      <c r="P37" s="21">
        <f>O37/N37</f>
        <v>175.394690639748</v>
      </c>
      <c r="Q37" s="24"/>
      <c r="R37" s="24"/>
      <c r="S37" s="24"/>
      <c r="T37" s="24"/>
    </row>
    <row r="39" ht="14.25"/>
    <row r="40" ht="14.25" spans="1:16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64"/>
    </row>
    <row r="41" ht="14.25" spans="1:16">
      <c r="A41" s="27" t="s">
        <v>1032</v>
      </c>
      <c r="B41" s="28" t="s">
        <v>784</v>
      </c>
      <c r="C41" s="29"/>
      <c r="D41" s="29"/>
      <c r="E41" s="55" t="s">
        <v>1036</v>
      </c>
      <c r="F41" s="29"/>
      <c r="G41" s="29"/>
      <c r="H41" s="55" t="s">
        <v>1035</v>
      </c>
      <c r="I41" s="29"/>
      <c r="J41" s="56"/>
      <c r="K41" s="55" t="s">
        <v>1037</v>
      </c>
      <c r="L41" s="29"/>
      <c r="M41" s="29"/>
      <c r="N41" s="55" t="s">
        <v>47</v>
      </c>
      <c r="O41" s="29"/>
      <c r="P41" s="56"/>
    </row>
    <row r="42" spans="1:16">
      <c r="A42" s="12" t="s">
        <v>149</v>
      </c>
      <c r="B42" s="30">
        <f>'Inventory Sales'!B$25</f>
        <v>40000</v>
      </c>
      <c r="C42" s="31">
        <f>'Inventory Sales'!D$25+'Inventory Sales'!D24</f>
        <v>4053505</v>
      </c>
      <c r="D42" s="15">
        <f>IF(B42=0,0,C42/B42)</f>
        <v>101.337625</v>
      </c>
      <c r="E42" s="41">
        <f>'Inventory Sales'!B$21</f>
        <v>2110</v>
      </c>
      <c r="F42" s="31"/>
      <c r="G42" s="15">
        <f>IF(E42=0,0,F42/E42)</f>
        <v>0</v>
      </c>
      <c r="H42" s="41">
        <f>'Inventory Sales'!B$20+'Inventory Sales'!B$22</f>
        <v>0</v>
      </c>
      <c r="I42" s="31">
        <f>'Inventory Sales'!G$20+'Inventory Sales'!G$22</f>
        <v>0</v>
      </c>
      <c r="J42" s="15">
        <f>IF(H42=0,0,I42/H42)</f>
        <v>0</v>
      </c>
      <c r="K42" s="41"/>
      <c r="L42" s="31">
        <f>'Inventory Sales'!D$19</f>
        <v>0</v>
      </c>
      <c r="M42" s="15"/>
      <c r="N42" s="41">
        <f>SUM(B42,E42,H42,K42)</f>
        <v>42110</v>
      </c>
      <c r="O42" s="65">
        <f>SUM(C42,F42,I42,L42)</f>
        <v>4053505</v>
      </c>
      <c r="P42" s="15">
        <f>IF(N42=0,0,O42/N42)</f>
        <v>96.2599145096177</v>
      </c>
    </row>
    <row r="43" spans="1:16">
      <c r="A43" s="16" t="s">
        <v>150</v>
      </c>
      <c r="B43" s="30">
        <f>'Inventory Sales'!E$25</f>
        <v>14000</v>
      </c>
      <c r="C43" s="31">
        <f>'Inventory Sales'!G$25+'Inventory Sales'!G24</f>
        <v>1335000</v>
      </c>
      <c r="D43" s="15">
        <f t="shared" ref="D43:D53" si="16">IF(B43=0,0,C43/B43)</f>
        <v>95.3571428571429</v>
      </c>
      <c r="E43" s="41">
        <f>'Inventory Sales'!E$21</f>
        <v>7739</v>
      </c>
      <c r="F43" s="31">
        <f>'Inventory Sales'!G21</f>
        <v>77390</v>
      </c>
      <c r="G43" s="15">
        <f t="shared" ref="G43:G53" si="17">IF(E43=0,0,F43/E43)</f>
        <v>10</v>
      </c>
      <c r="H43" s="41">
        <f>'Inventory Sales'!E$20+'Inventory Sales'!E$22</f>
        <v>0</v>
      </c>
      <c r="I43" s="31">
        <f>'Inventory Sales'!G$20+'Inventory Sales'!G$22</f>
        <v>0</v>
      </c>
      <c r="J43" s="15">
        <f t="shared" ref="J43:J53" si="18">IF(H43=0,0,I43/H43)</f>
        <v>0</v>
      </c>
      <c r="K43" s="41"/>
      <c r="L43" s="31">
        <f>'Inventory Sales'!G$19</f>
        <v>0</v>
      </c>
      <c r="M43" s="15"/>
      <c r="N43" s="41"/>
      <c r="O43" s="65">
        <f t="shared" ref="O43:O53" si="19">SUM(C43,F43,I43,L43)</f>
        <v>1412390</v>
      </c>
      <c r="P43" s="15">
        <f t="shared" ref="P43:P53" si="20">IF(N43=0,0,O43/N43)</f>
        <v>0</v>
      </c>
    </row>
    <row r="44" spans="1:16">
      <c r="A44" s="16" t="s">
        <v>151</v>
      </c>
      <c r="B44" s="30">
        <f>'Inventory Sales'!H$25</f>
        <v>51000</v>
      </c>
      <c r="C44" s="31">
        <f>'Inventory Sales'!J$25+'Inventory Sales'!J24</f>
        <v>4901990</v>
      </c>
      <c r="D44" s="15">
        <f t="shared" si="16"/>
        <v>96.1174509803922</v>
      </c>
      <c r="E44" s="41">
        <f>'Inventory Sales'!H$21</f>
        <v>5654</v>
      </c>
      <c r="F44" s="31">
        <f>'Inventory Sales'!J$21</f>
        <v>56540</v>
      </c>
      <c r="G44" s="15">
        <f t="shared" si="17"/>
        <v>10</v>
      </c>
      <c r="H44" s="41">
        <f>'Inventory Sales'!H$20+'Inventory Sales'!H$22</f>
        <v>0</v>
      </c>
      <c r="I44" s="31">
        <f>'Inventory Sales'!J$20+'Inventory Sales'!J$22</f>
        <v>0</v>
      </c>
      <c r="J44" s="15">
        <f t="shared" si="18"/>
        <v>0</v>
      </c>
      <c r="K44" s="41"/>
      <c r="L44" s="31">
        <f>'Inventory Sales'!J$19</f>
        <v>0</v>
      </c>
      <c r="M44" s="15"/>
      <c r="N44" s="41"/>
      <c r="O44" s="65">
        <f t="shared" si="19"/>
        <v>4958530</v>
      </c>
      <c r="P44" s="15">
        <f t="shared" si="20"/>
        <v>0</v>
      </c>
    </row>
    <row r="45" spans="1:16">
      <c r="A45" s="16" t="s">
        <v>152</v>
      </c>
      <c r="B45" s="30">
        <f>'Inventory Sales'!K$25</f>
        <v>55000</v>
      </c>
      <c r="C45" s="31">
        <f>'Inventory Sales'!M$25+'Inventory Sales'!M24+'Inventory Sales'!M23</f>
        <v>5497360</v>
      </c>
      <c r="D45" s="15">
        <f t="shared" si="16"/>
        <v>99.952</v>
      </c>
      <c r="E45" s="41">
        <f>'Inventory Sales'!K$21</f>
        <v>5340.5</v>
      </c>
      <c r="F45" s="31">
        <f>'Inventory Sales'!M$21</f>
        <v>53405</v>
      </c>
      <c r="G45" s="15">
        <f t="shared" si="17"/>
        <v>10</v>
      </c>
      <c r="H45" s="41">
        <f>'Inventory Sales'!K$20+'Inventory Sales'!K$22</f>
        <v>0</v>
      </c>
      <c r="I45" s="31">
        <f>'Inventory Sales'!M$20+'Inventory Sales'!M$22</f>
        <v>0</v>
      </c>
      <c r="J45" s="15">
        <f t="shared" si="18"/>
        <v>0</v>
      </c>
      <c r="K45" s="41"/>
      <c r="L45" s="31">
        <f>'Inventory Sales'!M$19</f>
        <v>0</v>
      </c>
      <c r="M45" s="15"/>
      <c r="N45" s="41"/>
      <c r="O45" s="65">
        <f t="shared" si="19"/>
        <v>5550765</v>
      </c>
      <c r="P45" s="15">
        <f t="shared" si="20"/>
        <v>0</v>
      </c>
    </row>
    <row r="46" spans="1:16">
      <c r="A46" s="16" t="s">
        <v>153</v>
      </c>
      <c r="B46" s="30">
        <f>'Inventory Sales'!N$25</f>
        <v>58000</v>
      </c>
      <c r="C46" s="31">
        <f>'Inventory Sales'!P$25</f>
        <v>5749000</v>
      </c>
      <c r="D46" s="15">
        <f t="shared" si="16"/>
        <v>99.1206896551724</v>
      </c>
      <c r="E46" s="41">
        <f>'Inventory Sales'!N$21</f>
        <v>5389</v>
      </c>
      <c r="F46" s="31">
        <f>'Inventory Sales'!P$21</f>
        <v>53890</v>
      </c>
      <c r="G46" s="15">
        <f t="shared" si="17"/>
        <v>10</v>
      </c>
      <c r="H46" s="41">
        <f>'Inventory Sales'!N$20+'Inventory Sales'!N$22</f>
        <v>0</v>
      </c>
      <c r="I46" s="31">
        <f>'Inventory Sales'!P$20+'Inventory Sales'!P$22</f>
        <v>270339</v>
      </c>
      <c r="J46" s="15">
        <f t="shared" si="18"/>
        <v>0</v>
      </c>
      <c r="K46" s="41"/>
      <c r="L46" s="31">
        <f>'Inventory Sales'!P$19</f>
        <v>0</v>
      </c>
      <c r="M46" s="15"/>
      <c r="N46" s="41"/>
      <c r="O46" s="65">
        <f t="shared" si="19"/>
        <v>6073229</v>
      </c>
      <c r="P46" s="15">
        <f t="shared" si="20"/>
        <v>0</v>
      </c>
    </row>
    <row r="47" spans="1:16">
      <c r="A47" s="16" t="s">
        <v>154</v>
      </c>
      <c r="B47" s="30">
        <f>'Inventory Sales'!Q$25</f>
        <v>31000</v>
      </c>
      <c r="C47" s="31">
        <f>'Inventory Sales'!S$25</f>
        <v>3025000</v>
      </c>
      <c r="D47" s="15">
        <f t="shared" si="16"/>
        <v>97.5806451612903</v>
      </c>
      <c r="E47" s="41">
        <f>'Inventory Sales'!Q$21</f>
        <v>7178</v>
      </c>
      <c r="F47" s="31">
        <f>'Inventory Sales'!S$21</f>
        <v>71780</v>
      </c>
      <c r="G47" s="15">
        <f t="shared" si="17"/>
        <v>10</v>
      </c>
      <c r="H47" s="41">
        <f>'Inventory Sales'!Q$20+'Inventory Sales'!Q$22</f>
        <v>0</v>
      </c>
      <c r="I47" s="31">
        <f>'Inventory Sales'!S$20+'Inventory Sales'!S$22</f>
        <v>0</v>
      </c>
      <c r="J47" s="15">
        <f t="shared" si="18"/>
        <v>0</v>
      </c>
      <c r="K47" s="41"/>
      <c r="L47" s="31">
        <f>'Inventory Sales'!S$19</f>
        <v>0</v>
      </c>
      <c r="M47" s="15"/>
      <c r="N47" s="41"/>
      <c r="O47" s="65">
        <f t="shared" si="19"/>
        <v>3096780</v>
      </c>
      <c r="P47" s="15">
        <f t="shared" si="20"/>
        <v>0</v>
      </c>
    </row>
    <row r="48" spans="1:16">
      <c r="A48" s="16" t="s">
        <v>1033</v>
      </c>
      <c r="B48" s="30">
        <f>'Inventory Sales'!T$25</f>
        <v>24000</v>
      </c>
      <c r="C48" s="31">
        <f>'Inventory Sales'!V$25</f>
        <v>2299000</v>
      </c>
      <c r="D48" s="15">
        <f t="shared" si="16"/>
        <v>95.7916666666667</v>
      </c>
      <c r="E48" s="41">
        <f>'Inventory Sales'!T$21</f>
        <v>3584</v>
      </c>
      <c r="F48" s="31">
        <f>'Inventory Sales'!V$21</f>
        <v>35840</v>
      </c>
      <c r="G48" s="15">
        <f t="shared" si="17"/>
        <v>10</v>
      </c>
      <c r="H48" s="41">
        <f>'Inventory Sales'!T$20+'Inventory Sales'!T$22</f>
        <v>0</v>
      </c>
      <c r="I48" s="31">
        <f>'Inventory Sales'!V$20+'Inventory Sales'!V$22</f>
        <v>0</v>
      </c>
      <c r="J48" s="15">
        <f t="shared" si="18"/>
        <v>0</v>
      </c>
      <c r="K48" s="41"/>
      <c r="L48" s="31"/>
      <c r="M48" s="15"/>
      <c r="N48" s="41"/>
      <c r="O48" s="65">
        <f t="shared" si="19"/>
        <v>2334840</v>
      </c>
      <c r="P48" s="15">
        <f t="shared" si="20"/>
        <v>0</v>
      </c>
    </row>
    <row r="49" spans="1:16">
      <c r="A49" s="16" t="s">
        <v>156</v>
      </c>
      <c r="B49" s="30">
        <f>'Inventory Sales'!W$25</f>
        <v>15000</v>
      </c>
      <c r="C49" s="31">
        <f>'Inventory Sales'!Y$25</f>
        <v>1450000</v>
      </c>
      <c r="D49" s="15">
        <f t="shared" si="16"/>
        <v>96.6666666666667</v>
      </c>
      <c r="E49" s="41">
        <f>'Inventory Sales'!W$21</f>
        <v>5507</v>
      </c>
      <c r="F49" s="31">
        <f>'Inventory Sales'!Y$21</f>
        <v>55070</v>
      </c>
      <c r="G49" s="15">
        <f t="shared" si="17"/>
        <v>10</v>
      </c>
      <c r="H49" s="41">
        <f>'Inventory Sales'!W$20+'Inventory Sales'!W$22</f>
        <v>0</v>
      </c>
      <c r="I49" s="31">
        <f>'Inventory Sales'!Y$20+'Inventory Sales'!Y$22</f>
        <v>0</v>
      </c>
      <c r="J49" s="15">
        <f t="shared" si="18"/>
        <v>0</v>
      </c>
      <c r="K49" s="41"/>
      <c r="L49" s="31">
        <f>'Inventory Sales'!Y$19</f>
        <v>0</v>
      </c>
      <c r="M49" s="15"/>
      <c r="N49" s="41"/>
      <c r="O49" s="65">
        <f t="shared" si="19"/>
        <v>1505070</v>
      </c>
      <c r="P49" s="15">
        <f t="shared" si="20"/>
        <v>0</v>
      </c>
    </row>
    <row r="50" spans="1:16">
      <c r="A50" s="16" t="s">
        <v>157</v>
      </c>
      <c r="B50" s="30">
        <f>'Inventory Sales'!Z$25</f>
        <v>31000</v>
      </c>
      <c r="C50" s="31">
        <f>'Inventory Sales'!AB$25</f>
        <v>2852000</v>
      </c>
      <c r="D50" s="15">
        <f t="shared" si="16"/>
        <v>92</v>
      </c>
      <c r="E50" s="41">
        <f>'Inventory Sales'!Z$21</f>
        <v>6958</v>
      </c>
      <c r="F50" s="31">
        <f>'Inventory Sales'!AB$21</f>
        <v>69580</v>
      </c>
      <c r="G50" s="15">
        <f t="shared" si="17"/>
        <v>10</v>
      </c>
      <c r="H50" s="41">
        <f>'Inventory Sales'!Z$20+'Inventory Sales'!Z$22</f>
        <v>0</v>
      </c>
      <c r="I50" s="31">
        <f>'Inventory Sales'!AB$20+'Inventory Sales'!AB$22</f>
        <v>0</v>
      </c>
      <c r="J50" s="15">
        <f t="shared" si="18"/>
        <v>0</v>
      </c>
      <c r="K50" s="41"/>
      <c r="L50" s="31">
        <f>'Inventory Sales'!AB$19</f>
        <v>0</v>
      </c>
      <c r="M50" s="15"/>
      <c r="N50" s="41"/>
      <c r="O50" s="65">
        <f t="shared" si="19"/>
        <v>2921580</v>
      </c>
      <c r="P50" s="15">
        <f t="shared" si="20"/>
        <v>0</v>
      </c>
    </row>
    <row r="51" spans="1:16">
      <c r="A51" s="16" t="s">
        <v>158</v>
      </c>
      <c r="B51" s="32">
        <f>'Inventory Sales'!AC25</f>
        <v>38000</v>
      </c>
      <c r="C51" s="33">
        <f>'Inventory Sales'!AE25</f>
        <v>3671000</v>
      </c>
      <c r="D51" s="15">
        <f t="shared" si="16"/>
        <v>96.6052631578947</v>
      </c>
      <c r="E51" s="44">
        <f>'Inventory Sales'!AC21</f>
        <v>4497</v>
      </c>
      <c r="F51" s="33">
        <f>'Inventory Sales'!AE21</f>
        <v>44970</v>
      </c>
      <c r="G51" s="15">
        <f t="shared" si="17"/>
        <v>10</v>
      </c>
      <c r="H51" s="44"/>
      <c r="I51" s="33"/>
      <c r="J51" s="15">
        <f t="shared" si="18"/>
        <v>0</v>
      </c>
      <c r="K51" s="44"/>
      <c r="L51" s="33">
        <f>'Inventory Sales'!AE19</f>
        <v>0</v>
      </c>
      <c r="M51" s="15"/>
      <c r="N51" s="44"/>
      <c r="O51" s="65">
        <f t="shared" si="19"/>
        <v>3715970</v>
      </c>
      <c r="P51" s="15">
        <f t="shared" si="20"/>
        <v>0</v>
      </c>
    </row>
    <row r="52" spans="1:16">
      <c r="A52" s="16" t="s">
        <v>159</v>
      </c>
      <c r="B52" s="32">
        <f>'Inventory Sales'!AF25</f>
        <v>37000</v>
      </c>
      <c r="C52" s="33">
        <f>'Inventory Sales'!AH25</f>
        <v>3731000</v>
      </c>
      <c r="D52" s="15">
        <f t="shared" si="16"/>
        <v>100.837837837838</v>
      </c>
      <c r="E52" s="44">
        <f>'Inventory Sales'!AF21</f>
        <v>7534.5</v>
      </c>
      <c r="F52" s="33">
        <f>'Inventory Sales'!AH21</f>
        <v>75345</v>
      </c>
      <c r="G52" s="15">
        <f t="shared" si="17"/>
        <v>10</v>
      </c>
      <c r="H52" s="44">
        <f>'Inventory Sales'!AF20</f>
        <v>0</v>
      </c>
      <c r="I52" s="33">
        <f>'Inventory Sales'!AH20</f>
        <v>0</v>
      </c>
      <c r="J52" s="15">
        <f t="shared" si="18"/>
        <v>0</v>
      </c>
      <c r="K52" s="44"/>
      <c r="L52" s="33">
        <f>'Inventory Sales'!AH19</f>
        <v>0</v>
      </c>
      <c r="M52" s="15"/>
      <c r="N52" s="44"/>
      <c r="O52" s="65">
        <f t="shared" si="19"/>
        <v>3806345</v>
      </c>
      <c r="P52" s="15">
        <f t="shared" si="20"/>
        <v>0</v>
      </c>
    </row>
    <row r="53" ht="14.25" spans="1:16">
      <c r="A53" s="17" t="s">
        <v>160</v>
      </c>
      <c r="B53" s="34">
        <f>'Inventory Sales'!AI25</f>
        <v>25000</v>
      </c>
      <c r="C53" s="35">
        <f>'Inventory Sales'!AK25</f>
        <v>2978000</v>
      </c>
      <c r="D53" s="15">
        <f t="shared" si="16"/>
        <v>119.12</v>
      </c>
      <c r="E53" s="47">
        <f>'Inventory Sales'!AI21</f>
        <v>5864.6</v>
      </c>
      <c r="F53" s="35">
        <f>'Inventory Sales'!AK21</f>
        <v>61742</v>
      </c>
      <c r="G53" s="15">
        <f t="shared" si="17"/>
        <v>10.5279132421649</v>
      </c>
      <c r="H53" s="47"/>
      <c r="I53" s="35"/>
      <c r="J53" s="15">
        <f t="shared" si="18"/>
        <v>0</v>
      </c>
      <c r="K53" s="47"/>
      <c r="L53" s="35"/>
      <c r="M53" s="15"/>
      <c r="N53" s="47"/>
      <c r="O53" s="65">
        <f t="shared" si="19"/>
        <v>3039742</v>
      </c>
      <c r="P53" s="15">
        <f t="shared" si="20"/>
        <v>0</v>
      </c>
    </row>
    <row r="54" ht="14.25" spans="1:16">
      <c r="A54" s="18" t="s">
        <v>47</v>
      </c>
      <c r="B54" s="36">
        <f>SUM(B42:B53)</f>
        <v>419000</v>
      </c>
      <c r="C54" s="20">
        <f>SUM(C42:C53)</f>
        <v>41542855</v>
      </c>
      <c r="D54" s="37">
        <f>C54/B54</f>
        <v>99.1476252983294</v>
      </c>
      <c r="E54" s="19">
        <f>SUM(E42:E53)</f>
        <v>67355.6</v>
      </c>
      <c r="F54" s="20">
        <f>SUM(F42:F53)</f>
        <v>655552</v>
      </c>
      <c r="G54" s="37">
        <f>F54/E54</f>
        <v>9.73270225489788</v>
      </c>
      <c r="H54" s="19">
        <f>SUM(H42:H53)</f>
        <v>0</v>
      </c>
      <c r="I54" s="20">
        <f>SUM(I42:I53)</f>
        <v>270339</v>
      </c>
      <c r="J54" s="37" t="e">
        <f>I54/H54</f>
        <v>#DIV/0!</v>
      </c>
      <c r="K54" s="19"/>
      <c r="L54" s="20">
        <f>SUM(L42:L53)</f>
        <v>0</v>
      </c>
      <c r="M54" s="37"/>
      <c r="N54" s="19">
        <f>SUM(N42:N53)</f>
        <v>42110</v>
      </c>
      <c r="O54" s="20">
        <f>SUM(O42:O53)</f>
        <v>42468746</v>
      </c>
      <c r="P54" s="21"/>
    </row>
    <row r="55" ht="14.25"/>
    <row r="56" ht="14.25" spans="11:15">
      <c r="K56" s="57" t="s">
        <v>1038</v>
      </c>
      <c r="L56" s="58"/>
      <c r="M56" s="58"/>
      <c r="N56" s="66">
        <f>N18+N37+B54+E54+H54</f>
        <v>1944573.19</v>
      </c>
      <c r="O56" s="67">
        <f>O18+O37+O54</f>
        <v>412355517.45</v>
      </c>
    </row>
  </sheetData>
  <mergeCells count="17">
    <mergeCell ref="A3:P3"/>
    <mergeCell ref="B4:D4"/>
    <mergeCell ref="E4:G4"/>
    <mergeCell ref="H4:J4"/>
    <mergeCell ref="K4:M4"/>
    <mergeCell ref="N4:P4"/>
    <mergeCell ref="B24:D24"/>
    <mergeCell ref="E24:G24"/>
    <mergeCell ref="H24:J24"/>
    <mergeCell ref="K24:M24"/>
    <mergeCell ref="N24:P24"/>
    <mergeCell ref="B41:D41"/>
    <mergeCell ref="E41:G41"/>
    <mergeCell ref="H41:J41"/>
    <mergeCell ref="K41:M41"/>
    <mergeCell ref="N41:P41"/>
    <mergeCell ref="K56:M5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Table of Contents</vt:lpstr>
      <vt:lpstr>Reconcile(HMT)</vt:lpstr>
      <vt:lpstr>Inventory Sales</vt:lpstr>
      <vt:lpstr>Stock Valuation (FIFO)</vt:lpstr>
      <vt:lpstr>Purchase</vt:lpstr>
      <vt:lpstr>Direct Expns</vt:lpstr>
      <vt:lpstr>Indirect Expns</vt:lpstr>
      <vt:lpstr>CONSUMPTION</vt:lpstr>
      <vt:lpstr>PAL I</vt:lpstr>
      <vt:lpstr>MTY</vt:lpstr>
      <vt:lpstr>Balance Sheet</vt:lpstr>
      <vt:lpstr>P&amp;L</vt:lpstr>
      <vt:lpstr>Cash Flow</vt:lpstr>
      <vt:lpstr>Funds Flow</vt:lpstr>
      <vt:lpstr>KPI's</vt:lpstr>
      <vt:lpstr> Qty Analysis</vt:lpstr>
      <vt:lpstr>Fin Analysis</vt:lpstr>
      <vt:lpstr>Trading PL</vt:lpstr>
      <vt:lpstr>PAL II</vt:lpstr>
      <vt:lpstr>Abt Ratios</vt:lpstr>
      <vt:lpstr>Costing</vt:lpstr>
      <vt:lpstr>Sircilla</vt:lpstr>
      <vt:lpstr>Ins &amp;  Disp Costing</vt:lpstr>
      <vt:lpstr>Sales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kbg</cp:lastModifiedBy>
  <dcterms:created xsi:type="dcterms:W3CDTF">1996-10-15T16:03:00Z</dcterms:created>
  <cp:lastPrinted>2026-04-18T01:58:00Z</cp:lastPrinted>
  <dcterms:modified xsi:type="dcterms:W3CDTF">2026-04-28T23:27:51Z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