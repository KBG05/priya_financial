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E:\Current FY 2020 Onwards\Finance\MIS\P&amp;L\2026-27\1.Apr\"/>
    </mc:Choice>
  </mc:AlternateContent>
  <xr:revisionPtr revIDLastSave="0" documentId="13_ncr:1_{649A93FC-F37E-455C-B987-4C544641D5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urchase" sheetId="147" r:id="rId1"/>
    <sheet name="Direct Expns" sheetId="134" r:id="rId2"/>
    <sheet name="Indirect Expns" sheetId="133" r:id="rId3"/>
    <sheet name="Inventory Sales" sheetId="146" r:id="rId4"/>
    <sheet name="Stock Valuation (FIFO)" sheetId="149" r:id="rId5"/>
    <sheet name="Srvaya" sheetId="148" r:id="rId6"/>
  </sheets>
  <externalReferences>
    <externalReference r:id="rId7"/>
  </externalReferences>
  <definedNames>
    <definedName name="_xlnm._FilterDatabase" localSheetId="1" hidden="1">'Direct Expns'!$B$1:$B$40</definedName>
    <definedName name="_xlnm._FilterDatabase" localSheetId="3" hidden="1">'Inventory Sales'!$B$1:$B$46</definedName>
    <definedName name="_xlnm._FilterDatabase" localSheetId="5" hidden="1">Srvaya!$B$1:$B$30</definedName>
    <definedName name="_xlnm.Print_Area" localSheetId="1">'Direct Expns'!$R$3:$AE$33</definedName>
    <definedName name="_xlnm.Print_Area" localSheetId="2">'Indirect Expns'!$Q$1:$AD$14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0" i="133" l="1"/>
  <c r="B36" i="133"/>
  <c r="B32" i="133"/>
  <c r="B22" i="133"/>
  <c r="B20" i="134"/>
  <c r="S8" i="134" s="1"/>
  <c r="AE8" i="134" s="1"/>
  <c r="B11" i="134"/>
  <c r="B7" i="134"/>
  <c r="B27" i="134" s="1"/>
  <c r="F37" i="147"/>
  <c r="E37" i="147"/>
  <c r="L22" i="147"/>
  <c r="E22" i="147"/>
  <c r="H22" i="147"/>
  <c r="E20" i="149"/>
  <c r="B20" i="149"/>
  <c r="S37" i="134"/>
  <c r="S46" i="134"/>
  <c r="B45" i="146"/>
  <c r="AL45" i="146" s="1"/>
  <c r="S31" i="134"/>
  <c r="AE31" i="134" s="1"/>
  <c r="S30" i="134"/>
  <c r="S19" i="134"/>
  <c r="S18" i="134"/>
  <c r="AE17" i="134"/>
  <c r="S15" i="134"/>
  <c r="S13" i="134"/>
  <c r="S12" i="134"/>
  <c r="AE12" i="134" s="1"/>
  <c r="S11" i="134"/>
  <c r="S10" i="134"/>
  <c r="S9" i="134"/>
  <c r="AE15" i="134"/>
  <c r="S24" i="134"/>
  <c r="O72" i="147"/>
  <c r="N71" i="147"/>
  <c r="I22" i="147"/>
  <c r="F22" i="147"/>
  <c r="L18" i="147"/>
  <c r="H52" i="147"/>
  <c r="C22" i="147"/>
  <c r="B22" i="147"/>
  <c r="P5" i="147"/>
  <c r="P17" i="147" s="1"/>
  <c r="O17" i="147"/>
  <c r="O5" i="147"/>
  <c r="I29" i="134"/>
  <c r="J29" i="134"/>
  <c r="J24" i="134" s="1"/>
  <c r="J28" i="134" s="1"/>
  <c r="B29" i="134"/>
  <c r="I27" i="134"/>
  <c r="J27" i="134"/>
  <c r="J22" i="134"/>
  <c r="I22" i="134"/>
  <c r="N25" i="134"/>
  <c r="B35" i="134"/>
  <c r="B18" i="134"/>
  <c r="B73" i="133"/>
  <c r="B70" i="133"/>
  <c r="B74" i="133" s="1"/>
  <c r="B40" i="133"/>
  <c r="AR34" i="146"/>
  <c r="C43" i="146"/>
  <c r="D36" i="146"/>
  <c r="D34" i="146"/>
  <c r="D33" i="146"/>
  <c r="C16" i="146"/>
  <c r="C12" i="146"/>
  <c r="C13" i="146"/>
  <c r="BC8" i="149"/>
  <c r="BC7" i="149"/>
  <c r="BC6" i="149"/>
  <c r="BC5" i="149"/>
  <c r="BA8" i="149"/>
  <c r="BA5" i="149"/>
  <c r="G52" i="149"/>
  <c r="G51" i="149"/>
  <c r="G50" i="149"/>
  <c r="E50" i="149"/>
  <c r="G48" i="149"/>
  <c r="G46" i="149"/>
  <c r="F46" i="149"/>
  <c r="E46" i="149"/>
  <c r="D48" i="149"/>
  <c r="D47" i="149"/>
  <c r="D46" i="149"/>
  <c r="B47" i="149"/>
  <c r="B48" i="149" s="1"/>
  <c r="C48" i="149" s="1"/>
  <c r="B46" i="149"/>
  <c r="G38" i="149"/>
  <c r="G37" i="149"/>
  <c r="G35" i="149"/>
  <c r="G34" i="149"/>
  <c r="G32" i="149"/>
  <c r="G31" i="149" s="1"/>
  <c r="G30" i="149"/>
  <c r="G29" i="149"/>
  <c r="G28" i="149" s="1"/>
  <c r="G27" i="149"/>
  <c r="E32" i="149"/>
  <c r="E29" i="149"/>
  <c r="G26" i="149"/>
  <c r="G25" i="149"/>
  <c r="G20" i="149"/>
  <c r="E21" i="149"/>
  <c r="F19" i="149"/>
  <c r="F17" i="149"/>
  <c r="F16" i="149"/>
  <c r="F15" i="149"/>
  <c r="G14" i="149"/>
  <c r="F14" i="149"/>
  <c r="F10" i="149"/>
  <c r="E10" i="149"/>
  <c r="G8" i="149"/>
  <c r="D26" i="149"/>
  <c r="AA29" i="148"/>
  <c r="Z29" i="148"/>
  <c r="B32" i="148" s="1"/>
  <c r="AA28" i="148"/>
  <c r="AA27" i="148"/>
  <c r="Z28" i="148"/>
  <c r="Z27" i="148"/>
  <c r="Z26" i="148"/>
  <c r="Z25" i="148"/>
  <c r="Z24" i="148"/>
  <c r="Z23" i="148"/>
  <c r="Z22" i="148"/>
  <c r="Z21" i="148"/>
  <c r="Z20" i="148"/>
  <c r="Z19" i="148"/>
  <c r="Z18" i="148"/>
  <c r="Z17" i="148"/>
  <c r="Z16" i="148"/>
  <c r="Z14" i="148"/>
  <c r="D25" i="149"/>
  <c r="D21" i="149"/>
  <c r="D20" i="149"/>
  <c r="B21" i="149"/>
  <c r="C21" i="149" s="1"/>
  <c r="C19" i="149"/>
  <c r="C17" i="149"/>
  <c r="C16" i="149"/>
  <c r="C15" i="149"/>
  <c r="D14" i="149"/>
  <c r="D12" i="149"/>
  <c r="C12" i="149" s="1"/>
  <c r="B12" i="149"/>
  <c r="D11" i="149"/>
  <c r="D10" i="149"/>
  <c r="C11" i="149"/>
  <c r="B11" i="149"/>
  <c r="C7" i="149"/>
  <c r="C6" i="149"/>
  <c r="C5" i="149"/>
  <c r="G5" i="147"/>
  <c r="AD17" i="134"/>
  <c r="AE37" i="134"/>
  <c r="AE26" i="134"/>
  <c r="AE25" i="134"/>
  <c r="AE14" i="134"/>
  <c r="AE7" i="134"/>
  <c r="AE5" i="134"/>
  <c r="AE4" i="134"/>
  <c r="AD19" i="134"/>
  <c r="AD18" i="134"/>
  <c r="AE10" i="134"/>
  <c r="AE9" i="134"/>
  <c r="S6" i="134" l="1"/>
  <c r="F20" i="149"/>
  <c r="I24" i="134"/>
  <c r="N27" i="134"/>
  <c r="AE19" i="134"/>
  <c r="AE38" i="134" s="1"/>
  <c r="AD20" i="134"/>
  <c r="AE18" i="134"/>
  <c r="AD50" i="134"/>
  <c r="AD43" i="134"/>
  <c r="AD40" i="134"/>
  <c r="AE27" i="134"/>
  <c r="AE40" i="134" s="1"/>
  <c r="AE6" i="134"/>
  <c r="AE36" i="134" s="1"/>
  <c r="AD36" i="134"/>
  <c r="N31" i="134" l="1"/>
  <c r="AE20" i="134"/>
  <c r="AE13" i="134"/>
  <c r="Y29" i="148"/>
  <c r="X29" i="148"/>
  <c r="AA14" i="148"/>
  <c r="I63" i="147"/>
  <c r="H34" i="147"/>
  <c r="N73" i="147"/>
  <c r="I32" i="147" l="1"/>
  <c r="L48" i="147"/>
  <c r="L63" i="147" s="1"/>
  <c r="K48" i="147"/>
  <c r="AN20" i="149"/>
  <c r="AN21" i="149"/>
  <c r="AM19" i="149"/>
  <c r="AL21" i="149"/>
  <c r="AM21" i="149" s="1"/>
  <c r="AL20" i="149"/>
  <c r="M48" i="147" l="1"/>
  <c r="I33" i="147"/>
  <c r="O33" i="147" s="1"/>
  <c r="AH33" i="146" l="1"/>
  <c r="AH34" i="146" s="1"/>
  <c r="AH36" i="146" s="1"/>
  <c r="AN30" i="146"/>
  <c r="AK42" i="146"/>
  <c r="AK33" i="146"/>
  <c r="AK34" i="146" s="1"/>
  <c r="AK36" i="146" s="1"/>
  <c r="AI26" i="146"/>
  <c r="AK26" i="146"/>
  <c r="AJ25" i="146"/>
  <c r="AJ24" i="146"/>
  <c r="AJ23" i="146"/>
  <c r="AJ22" i="146"/>
  <c r="AJ21" i="146"/>
  <c r="AJ17" i="146"/>
  <c r="AJ16" i="146"/>
  <c r="AJ15" i="146"/>
  <c r="AJ14" i="146"/>
  <c r="AJ13" i="146"/>
  <c r="AJ12" i="146"/>
  <c r="AJ10" i="146"/>
  <c r="AJ9" i="146"/>
  <c r="AJ8" i="146"/>
  <c r="AJ7" i="146"/>
  <c r="AJ6" i="146"/>
  <c r="AJ5" i="146"/>
  <c r="AN10" i="149"/>
  <c r="AM11" i="149"/>
  <c r="AN11" i="149" s="1"/>
  <c r="AN8" i="149"/>
  <c r="AL12" i="149"/>
  <c r="AL8" i="149"/>
  <c r="AA26" i="148"/>
  <c r="AA25" i="148"/>
  <c r="AA24" i="148"/>
  <c r="AA23" i="148"/>
  <c r="AA22" i="148"/>
  <c r="AA21" i="148"/>
  <c r="AA20" i="148"/>
  <c r="AA19" i="148"/>
  <c r="AA18" i="148"/>
  <c r="AA17" i="148"/>
  <c r="AA16" i="148"/>
  <c r="AA15" i="148"/>
  <c r="AA13" i="148"/>
  <c r="AA12" i="148"/>
  <c r="AA11" i="148"/>
  <c r="Z15" i="148"/>
  <c r="Z13" i="148"/>
  <c r="Z12" i="148"/>
  <c r="Z11" i="148"/>
  <c r="C32" i="148" l="1"/>
  <c r="AM8" i="149"/>
  <c r="C34" i="147"/>
  <c r="AJ26" i="146"/>
  <c r="O16" i="147"/>
  <c r="P16" i="147" s="1"/>
  <c r="L16" i="147"/>
  <c r="K16" i="147"/>
  <c r="M16" i="147" s="1"/>
  <c r="AC50" i="134"/>
  <c r="AB43" i="134"/>
  <c r="Y43" i="134"/>
  <c r="X43" i="134"/>
  <c r="W50" i="134"/>
  <c r="V50" i="134"/>
  <c r="U50" i="134"/>
  <c r="T43" i="134"/>
  <c r="S43" i="134"/>
  <c r="AB50" i="134"/>
  <c r="T50" i="134"/>
  <c r="AC45" i="134"/>
  <c r="AB45" i="134"/>
  <c r="AA45" i="134"/>
  <c r="Z45" i="134"/>
  <c r="Y45" i="134"/>
  <c r="X45" i="134"/>
  <c r="W45" i="134"/>
  <c r="V45" i="134"/>
  <c r="U45" i="134"/>
  <c r="T45" i="134"/>
  <c r="AC44" i="134"/>
  <c r="AB44" i="134"/>
  <c r="AA44" i="134"/>
  <c r="Z44" i="134"/>
  <c r="Y44" i="134"/>
  <c r="X44" i="134"/>
  <c r="W44" i="134"/>
  <c r="V44" i="134"/>
  <c r="U44" i="134"/>
  <c r="T44" i="134"/>
  <c r="AC40" i="134"/>
  <c r="AB40" i="134"/>
  <c r="AA40" i="134"/>
  <c r="Z40" i="134"/>
  <c r="Y40" i="134"/>
  <c r="X40" i="134"/>
  <c r="W40" i="134"/>
  <c r="V40" i="134"/>
  <c r="U40" i="134"/>
  <c r="T40" i="134"/>
  <c r="S40" i="134"/>
  <c r="AC36" i="134"/>
  <c r="AB36" i="134"/>
  <c r="AA36" i="134"/>
  <c r="Z36" i="134"/>
  <c r="Y36" i="134"/>
  <c r="X36" i="134"/>
  <c r="W36" i="134"/>
  <c r="V36" i="134"/>
  <c r="U36" i="134"/>
  <c r="T36" i="134"/>
  <c r="S38" i="134"/>
  <c r="S36" i="134"/>
  <c r="AJ11" i="149"/>
  <c r="Y50" i="134" l="1"/>
  <c r="X50" i="134"/>
  <c r="AA50" i="134"/>
  <c r="AA43" i="134"/>
  <c r="Z43" i="134"/>
  <c r="Z50" i="134"/>
  <c r="J33" i="147"/>
  <c r="P33" i="147" s="1"/>
  <c r="R33" i="147" s="1"/>
  <c r="G33" i="147"/>
  <c r="U43" i="134"/>
  <c r="V43" i="134"/>
  <c r="W43" i="134"/>
  <c r="AC43" i="134"/>
  <c r="S50" i="134"/>
  <c r="AJ36" i="149"/>
  <c r="AK32" i="149"/>
  <c r="AK29" i="149"/>
  <c r="AI21" i="149"/>
  <c r="AG16" i="149"/>
  <c r="AG17" i="149"/>
  <c r="AK11" i="149"/>
  <c r="AK10" i="149"/>
  <c r="AG16" i="146"/>
  <c r="AG25" i="146"/>
  <c r="AG43" i="146" s="1"/>
  <c r="AG24" i="146"/>
  <c r="AG23" i="146"/>
  <c r="AG22" i="146"/>
  <c r="AG21" i="146"/>
  <c r="AG20" i="146"/>
  <c r="AG19" i="146"/>
  <c r="AG13" i="146"/>
  <c r="AG12" i="146"/>
  <c r="AG17" i="146"/>
  <c r="AG14" i="146"/>
  <c r="AG10" i="146"/>
  <c r="AG9" i="146"/>
  <c r="AG8" i="146"/>
  <c r="AG7" i="146"/>
  <c r="AG6" i="146"/>
  <c r="AG5" i="146"/>
  <c r="N35" i="134"/>
  <c r="W29" i="148"/>
  <c r="V29" i="148"/>
  <c r="G32" i="147" l="1"/>
  <c r="AQ40" i="149"/>
  <c r="AQ38" i="149"/>
  <c r="J32" i="147" l="1"/>
  <c r="P32" i="147" s="1"/>
  <c r="R32" i="147" s="1"/>
  <c r="AH32" i="149"/>
  <c r="AH29" i="149"/>
  <c r="AE29" i="149"/>
  <c r="V35" i="149"/>
  <c r="S35" i="149"/>
  <c r="P35" i="149"/>
  <c r="AH21" i="149" l="1"/>
  <c r="AE21" i="149"/>
  <c r="AG15" i="149"/>
  <c r="AG19" i="149"/>
  <c r="AD15" i="149"/>
  <c r="AF21" i="149"/>
  <c r="AG21" i="149" s="1"/>
  <c r="AG14" i="149"/>
  <c r="AC21" i="149"/>
  <c r="AH11" i="149"/>
  <c r="AH10" i="149"/>
  <c r="AG5" i="149"/>
  <c r="AG7" i="149"/>
  <c r="AG6" i="149"/>
  <c r="AN28" i="146"/>
  <c r="AD10" i="146"/>
  <c r="AD9" i="146"/>
  <c r="AD8" i="146"/>
  <c r="AD7" i="146"/>
  <c r="AD6" i="146"/>
  <c r="AD5" i="146"/>
  <c r="AD25" i="146"/>
  <c r="AD43" i="146" s="1"/>
  <c r="AD24" i="146"/>
  <c r="AD23" i="146"/>
  <c r="AD22" i="146"/>
  <c r="AD21" i="146"/>
  <c r="AD20" i="146"/>
  <c r="AD19" i="146"/>
  <c r="AD13" i="146"/>
  <c r="AD17" i="146"/>
  <c r="AD16" i="146"/>
  <c r="AD15" i="146"/>
  <c r="AD14" i="146"/>
  <c r="AD12" i="146"/>
  <c r="K22" i="134"/>
  <c r="O66" i="147"/>
  <c r="Q34" i="147"/>
  <c r="U29" i="148"/>
  <c r="T29" i="148"/>
  <c r="R29" i="148"/>
  <c r="J31" i="147" l="1"/>
  <c r="P31" i="147" s="1"/>
  <c r="R31" i="147" s="1"/>
  <c r="G31" i="147"/>
  <c r="H61" i="147"/>
  <c r="O14" i="147"/>
  <c r="P14" i="147" s="1"/>
  <c r="L13" i="147"/>
  <c r="I60" i="147"/>
  <c r="L45" i="147"/>
  <c r="O13" i="147"/>
  <c r="P13" i="147" s="1"/>
  <c r="I29" i="147"/>
  <c r="AE32" i="149"/>
  <c r="AC32" i="149"/>
  <c r="Z32" i="149"/>
  <c r="AC29" i="149"/>
  <c r="Z29" i="149"/>
  <c r="AB32" i="149"/>
  <c r="AB29" i="149"/>
  <c r="AD21" i="149"/>
  <c r="AE20" i="149"/>
  <c r="AB20" i="149"/>
  <c r="AD19" i="149"/>
  <c r="Z21" i="149"/>
  <c r="AD17" i="149"/>
  <c r="AD16" i="149"/>
  <c r="AD14" i="149"/>
  <c r="AE11" i="149"/>
  <c r="AE10" i="149"/>
  <c r="AD7" i="149"/>
  <c r="AD6" i="149"/>
  <c r="AD5" i="149"/>
  <c r="L60" i="147" l="1"/>
  <c r="J21" i="149" l="1"/>
  <c r="S29" i="148"/>
  <c r="AB33" i="146"/>
  <c r="AB34" i="146" s="1"/>
  <c r="AB36" i="146" s="1"/>
  <c r="AL25" i="146"/>
  <c r="AL24" i="146"/>
  <c r="AL23" i="146"/>
  <c r="AL22" i="146"/>
  <c r="AL21" i="146"/>
  <c r="AL20" i="146"/>
  <c r="AL19" i="146"/>
  <c r="AL17" i="146"/>
  <c r="AL16" i="146"/>
  <c r="AL15" i="146"/>
  <c r="AL14" i="146"/>
  <c r="AL13" i="146"/>
  <c r="AL12" i="146"/>
  <c r="AL10" i="146"/>
  <c r="AL9" i="146"/>
  <c r="AL8" i="146"/>
  <c r="AL7" i="146"/>
  <c r="AL6" i="146"/>
  <c r="AL5" i="146"/>
  <c r="AA23" i="146"/>
  <c r="AA22" i="146"/>
  <c r="AA21" i="146"/>
  <c r="AA20" i="146"/>
  <c r="AA19" i="146"/>
  <c r="AA25" i="146"/>
  <c r="AA43" i="146" s="1"/>
  <c r="AA24" i="146"/>
  <c r="AA10" i="146"/>
  <c r="AA9" i="146"/>
  <c r="AA8" i="146"/>
  <c r="AA7" i="146"/>
  <c r="AA6" i="146"/>
  <c r="AA5" i="146"/>
  <c r="AA17" i="146"/>
  <c r="AA16" i="146"/>
  <c r="AA15" i="146"/>
  <c r="AA14" i="146"/>
  <c r="AA13" i="146"/>
  <c r="AA12" i="146"/>
  <c r="V47" i="149"/>
  <c r="U47" i="149" s="1"/>
  <c r="T47" i="149"/>
  <c r="S47" i="149"/>
  <c r="Q47" i="149"/>
  <c r="P47" i="149"/>
  <c r="N47" i="149"/>
  <c r="M47" i="149"/>
  <c r="K47" i="149"/>
  <c r="N51" i="149" s="1"/>
  <c r="J47" i="149"/>
  <c r="H47" i="149"/>
  <c r="I47" i="149" s="1"/>
  <c r="G47" i="149"/>
  <c r="J51" i="149" s="1"/>
  <c r="E47" i="149"/>
  <c r="M55" i="149"/>
  <c r="N46" i="149"/>
  <c r="AJ39" i="149"/>
  <c r="AK39" i="149" s="1"/>
  <c r="Y32" i="149"/>
  <c r="W32" i="149"/>
  <c r="V32" i="149"/>
  <c r="T32" i="149"/>
  <c r="S32" i="149"/>
  <c r="Q32" i="149"/>
  <c r="P32" i="149"/>
  <c r="N32" i="149"/>
  <c r="M32" i="149"/>
  <c r="K32" i="149"/>
  <c r="J32" i="149"/>
  <c r="H32" i="149"/>
  <c r="Y29" i="149"/>
  <c r="W29" i="149"/>
  <c r="V29" i="149"/>
  <c r="T29" i="149"/>
  <c r="S29" i="149"/>
  <c r="Q29" i="149"/>
  <c r="P29" i="149"/>
  <c r="N29" i="149"/>
  <c r="M29" i="149"/>
  <c r="K29" i="149"/>
  <c r="J29" i="149"/>
  <c r="H29" i="149"/>
  <c r="AU23" i="149"/>
  <c r="AR23" i="149"/>
  <c r="AN23" i="149"/>
  <c r="AK23" i="149"/>
  <c r="AH23" i="149"/>
  <c r="AE23" i="149"/>
  <c r="AB23" i="149"/>
  <c r="Y23" i="149"/>
  <c r="V23" i="149"/>
  <c r="S23" i="149"/>
  <c r="P23" i="149"/>
  <c r="M23" i="149"/>
  <c r="J23" i="149"/>
  <c r="G23" i="149"/>
  <c r="AU22" i="149"/>
  <c r="AR22" i="149"/>
  <c r="AB21" i="149"/>
  <c r="AA21" i="149"/>
  <c r="Y21" i="149"/>
  <c r="X21" i="149"/>
  <c r="W21" i="149"/>
  <c r="V21" i="149"/>
  <c r="T21" i="149"/>
  <c r="U21" i="149" s="1"/>
  <c r="S21" i="149"/>
  <c r="Q21" i="149"/>
  <c r="R21" i="149" s="1"/>
  <c r="P21" i="149"/>
  <c r="N21" i="149"/>
  <c r="O21" i="149" s="1"/>
  <c r="M21" i="149"/>
  <c r="K21" i="149"/>
  <c r="L21" i="149" s="1"/>
  <c r="H21" i="149"/>
  <c r="I21" i="149" s="1"/>
  <c r="G21" i="149"/>
  <c r="F21" i="149"/>
  <c r="BA20" i="149"/>
  <c r="AQ20" i="149"/>
  <c r="AP20" i="149" s="1"/>
  <c r="AO20" i="149"/>
  <c r="AK20" i="149"/>
  <c r="AH20" i="149"/>
  <c r="Z20" i="149"/>
  <c r="Y20" i="149"/>
  <c r="W20" i="149"/>
  <c r="T20" i="149"/>
  <c r="Q20" i="149"/>
  <c r="N20" i="149"/>
  <c r="AP19" i="149"/>
  <c r="AA19" i="149"/>
  <c r="X19" i="149"/>
  <c r="U19" i="149"/>
  <c r="R19" i="149"/>
  <c r="O19" i="149"/>
  <c r="L19" i="149"/>
  <c r="I19" i="149"/>
  <c r="AA18" i="149"/>
  <c r="O18" i="149"/>
  <c r="L18" i="149"/>
  <c r="I18" i="149"/>
  <c r="F18" i="149"/>
  <c r="AX17" i="149"/>
  <c r="AY17" i="149" s="1"/>
  <c r="AA17" i="149"/>
  <c r="X17" i="149"/>
  <c r="U17" i="149"/>
  <c r="R17" i="149"/>
  <c r="O17" i="149"/>
  <c r="L17" i="149"/>
  <c r="I17" i="149"/>
  <c r="AX16" i="149"/>
  <c r="AY16" i="149" s="1"/>
  <c r="AA16" i="149"/>
  <c r="X16" i="149"/>
  <c r="U16" i="149"/>
  <c r="R16" i="149"/>
  <c r="O16" i="149"/>
  <c r="L16" i="149"/>
  <c r="I16" i="149"/>
  <c r="BB15" i="149"/>
  <c r="AX15" i="149"/>
  <c r="AY15" i="149" s="1"/>
  <c r="AU15" i="149"/>
  <c r="AR15" i="149"/>
  <c r="AP15" i="149"/>
  <c r="AK40" i="149"/>
  <c r="AA15" i="149"/>
  <c r="X15" i="149"/>
  <c r="U15" i="149"/>
  <c r="R15" i="149"/>
  <c r="O15" i="149"/>
  <c r="L15" i="149"/>
  <c r="I15" i="149"/>
  <c r="BC14" i="149"/>
  <c r="BC20" i="149" s="1"/>
  <c r="AX14" i="149"/>
  <c r="AY14" i="149" s="1"/>
  <c r="AW14" i="149"/>
  <c r="AW20" i="149" s="1"/>
  <c r="AU14" i="149"/>
  <c r="AU20" i="149" s="1"/>
  <c r="AR14" i="149"/>
  <c r="AR20" i="149" s="1"/>
  <c r="AP14" i="149"/>
  <c r="AI20" i="149"/>
  <c r="AF20" i="149"/>
  <c r="AC20" i="149"/>
  <c r="AA14" i="149"/>
  <c r="X14" i="149"/>
  <c r="V20" i="149"/>
  <c r="S20" i="149"/>
  <c r="P20" i="149"/>
  <c r="K20" i="149"/>
  <c r="J35" i="149"/>
  <c r="BE12" i="149"/>
  <c r="BA12" i="149"/>
  <c r="AQ12" i="149"/>
  <c r="AP12" i="149"/>
  <c r="AO12" i="149"/>
  <c r="AN12" i="149"/>
  <c r="AN25" i="149" s="1"/>
  <c r="AN26" i="149" s="1"/>
  <c r="AK12" i="149"/>
  <c r="AI12" i="149"/>
  <c r="AH12" i="149"/>
  <c r="AE12" i="149"/>
  <c r="Z12" i="149"/>
  <c r="W12" i="149"/>
  <c r="T12" i="149"/>
  <c r="Q12" i="149"/>
  <c r="S34" i="149" s="1"/>
  <c r="S36" i="149" s="1"/>
  <c r="N12" i="149"/>
  <c r="P34" i="149" s="1"/>
  <c r="K12" i="149"/>
  <c r="M34" i="149" s="1"/>
  <c r="H12" i="149"/>
  <c r="J34" i="149" s="1"/>
  <c r="E12" i="149"/>
  <c r="BC11" i="149"/>
  <c r="AX11" i="149"/>
  <c r="AY11" i="149" s="1"/>
  <c r="AU11" i="149"/>
  <c r="AW11" i="149" s="1"/>
  <c r="AR11" i="149"/>
  <c r="AT11" i="149" s="1"/>
  <c r="AP11" i="149"/>
  <c r="AA11" i="149"/>
  <c r="AB11" i="149" s="1"/>
  <c r="U11" i="149"/>
  <c r="R11" i="149"/>
  <c r="P11" i="149"/>
  <c r="L11" i="149"/>
  <c r="M11" i="149" s="1"/>
  <c r="M12" i="149" s="1"/>
  <c r="I11" i="149"/>
  <c r="J11" i="149" s="1"/>
  <c r="F11" i="149"/>
  <c r="G11" i="149" s="1"/>
  <c r="BC10" i="149"/>
  <c r="BC12" i="149" s="1"/>
  <c r="BB12" i="149" s="1"/>
  <c r="AX10" i="149"/>
  <c r="AY10" i="149" s="1"/>
  <c r="AU10" i="149"/>
  <c r="AW10" i="149" s="1"/>
  <c r="AR10" i="149"/>
  <c r="AR12" i="149" s="1"/>
  <c r="AP10" i="149"/>
  <c r="AF12" i="149"/>
  <c r="AC12" i="149"/>
  <c r="AB10" i="149"/>
  <c r="AB12" i="149" s="1"/>
  <c r="Y12" i="149"/>
  <c r="X12" i="149" s="1"/>
  <c r="S12" i="149"/>
  <c r="P10" i="149"/>
  <c r="M10" i="149"/>
  <c r="J10" i="149"/>
  <c r="G10" i="149"/>
  <c r="BE8" i="149"/>
  <c r="AQ8" i="149"/>
  <c r="AR30" i="149" s="1"/>
  <c r="AP8" i="149"/>
  <c r="AO8" i="149"/>
  <c r="AO25" i="149" s="1"/>
  <c r="AP25" i="149" s="1"/>
  <c r="AK8" i="149"/>
  <c r="AH8" i="149"/>
  <c r="AF8" i="149"/>
  <c r="AE8" i="149"/>
  <c r="AB8" i="149"/>
  <c r="Z8" i="149"/>
  <c r="Y8" i="149"/>
  <c r="X8" i="149" s="1"/>
  <c r="W8" i="149"/>
  <c r="V8" i="149"/>
  <c r="U8" i="149" s="1"/>
  <c r="T8" i="149"/>
  <c r="S8" i="149"/>
  <c r="Q8" i="149"/>
  <c r="P8" i="149"/>
  <c r="N8" i="149"/>
  <c r="M8" i="149"/>
  <c r="K8" i="149"/>
  <c r="J8" i="149"/>
  <c r="H8" i="149"/>
  <c r="E8" i="149"/>
  <c r="E25" i="149" s="1"/>
  <c r="E26" i="149" s="1"/>
  <c r="D8" i="149"/>
  <c r="B8" i="149"/>
  <c r="B25" i="149" s="1"/>
  <c r="AX7" i="149"/>
  <c r="AY7" i="149" s="1"/>
  <c r="AU7" i="149"/>
  <c r="AW7" i="149" s="1"/>
  <c r="AR7" i="149"/>
  <c r="AT7" i="149" s="1"/>
  <c r="AP7" i="149"/>
  <c r="AJ7" i="149"/>
  <c r="AA7" i="149"/>
  <c r="X7" i="149"/>
  <c r="U7" i="149"/>
  <c r="R7" i="149"/>
  <c r="O7" i="149"/>
  <c r="L7" i="149"/>
  <c r="I7" i="149"/>
  <c r="F7" i="149"/>
  <c r="AX6" i="149"/>
  <c r="AY6" i="149" s="1"/>
  <c r="AW6" i="149"/>
  <c r="AU6" i="149"/>
  <c r="AR6" i="149"/>
  <c r="AT6" i="149" s="1"/>
  <c r="AP6" i="149"/>
  <c r="AJ6" i="149"/>
  <c r="AC8" i="149"/>
  <c r="AA6" i="149"/>
  <c r="X6" i="149"/>
  <c r="U6" i="149"/>
  <c r="R6" i="149"/>
  <c r="O6" i="149"/>
  <c r="L6" i="149"/>
  <c r="I6" i="149"/>
  <c r="F6" i="149"/>
  <c r="AX5" i="149"/>
  <c r="AY5" i="149" s="1"/>
  <c r="AU5" i="149"/>
  <c r="AW5" i="149" s="1"/>
  <c r="AR5" i="149"/>
  <c r="AP5" i="149"/>
  <c r="AJ5" i="149"/>
  <c r="AI8" i="149"/>
  <c r="AA5" i="149"/>
  <c r="X5" i="149"/>
  <c r="U5" i="149"/>
  <c r="R5" i="149"/>
  <c r="O5" i="149"/>
  <c r="L5" i="149"/>
  <c r="I5" i="149"/>
  <c r="F5" i="149"/>
  <c r="E48" i="149" l="1"/>
  <c r="F48" i="149" s="1"/>
  <c r="E51" i="149"/>
  <c r="E52" i="149" s="1"/>
  <c r="C25" i="149"/>
  <c r="B26" i="149"/>
  <c r="C26" i="149" s="1"/>
  <c r="F26" i="149"/>
  <c r="E30" i="149"/>
  <c r="E31" i="149" s="1"/>
  <c r="E27" i="149"/>
  <c r="E28" i="149" s="1"/>
  <c r="AW12" i="149"/>
  <c r="P12" i="149"/>
  <c r="J12" i="149"/>
  <c r="G12" i="149"/>
  <c r="AK25" i="149"/>
  <c r="AK26" i="149" s="1"/>
  <c r="AN27" i="149" s="1"/>
  <c r="AJ8" i="149"/>
  <c r="AH25" i="149"/>
  <c r="AH26" i="149" s="1"/>
  <c r="AF25" i="149"/>
  <c r="AE25" i="149"/>
  <c r="AE26" i="149" s="1"/>
  <c r="AN33" i="149" s="1"/>
  <c r="Q25" i="149"/>
  <c r="Q26" i="149" s="1"/>
  <c r="O47" i="149"/>
  <c r="S51" i="149"/>
  <c r="P51" i="149"/>
  <c r="S46" i="149"/>
  <c r="S37" i="149"/>
  <c r="R8" i="149"/>
  <c r="T46" i="149"/>
  <c r="T48" i="149" s="1"/>
  <c r="V34" i="149"/>
  <c r="V36" i="149" s="1"/>
  <c r="T25" i="149"/>
  <c r="T26" i="149" s="1"/>
  <c r="W25" i="149"/>
  <c r="W26" i="149" s="1"/>
  <c r="AA8" i="149"/>
  <c r="Z25" i="149"/>
  <c r="N25" i="149"/>
  <c r="N26" i="149" s="1"/>
  <c r="O8" i="149"/>
  <c r="M51" i="149"/>
  <c r="H51" i="149"/>
  <c r="F47" i="149"/>
  <c r="K25" i="149"/>
  <c r="K26" i="149" s="1"/>
  <c r="L8" i="149"/>
  <c r="I8" i="149"/>
  <c r="F8" i="149"/>
  <c r="AX12" i="149"/>
  <c r="AY12" i="149" s="1"/>
  <c r="C8" i="149"/>
  <c r="AJ37" i="149" s="1"/>
  <c r="AK37" i="149" s="1"/>
  <c r="AX8" i="149"/>
  <c r="AY8" i="149" s="1"/>
  <c r="AU12" i="149"/>
  <c r="AR8" i="149"/>
  <c r="AR25" i="149" s="1"/>
  <c r="AR26" i="149" s="1"/>
  <c r="AL25" i="149"/>
  <c r="J30" i="147"/>
  <c r="P30" i="147" s="1"/>
  <c r="R30" i="147" s="1"/>
  <c r="AG8" i="149"/>
  <c r="AD8" i="149"/>
  <c r="AL26" i="146"/>
  <c r="AL11" i="146"/>
  <c r="AL18" i="146"/>
  <c r="AC25" i="149"/>
  <c r="AI25" i="149"/>
  <c r="AI26" i="149" s="1"/>
  <c r="AJ26" i="149" s="1"/>
  <c r="J36" i="149"/>
  <c r="BA25" i="149"/>
  <c r="S25" i="149"/>
  <c r="R20" i="149"/>
  <c r="Y25" i="149"/>
  <c r="BB20" i="149"/>
  <c r="AW8" i="149"/>
  <c r="AW25" i="149" s="1"/>
  <c r="AW26" i="149" s="1"/>
  <c r="V12" i="149"/>
  <c r="P36" i="149"/>
  <c r="P37" i="149" s="1"/>
  <c r="AB25" i="149"/>
  <c r="AB26" i="149" s="1"/>
  <c r="P46" i="149"/>
  <c r="P25" i="149"/>
  <c r="M46" i="149"/>
  <c r="AU8" i="149"/>
  <c r="AU25" i="149" s="1"/>
  <c r="AU26" i="149" s="1"/>
  <c r="AU30" i="149" s="1"/>
  <c r="AT10" i="149"/>
  <c r="AT12" i="149" s="1"/>
  <c r="AT34" i="149" s="1"/>
  <c r="M20" i="149"/>
  <c r="M25" i="149" s="1"/>
  <c r="C20" i="149"/>
  <c r="AT5" i="149"/>
  <c r="AT8" i="149" s="1"/>
  <c r="R47" i="149"/>
  <c r="K51" i="149"/>
  <c r="AX20" i="149"/>
  <c r="AY20" i="149" s="1"/>
  <c r="H46" i="149"/>
  <c r="C47" i="149"/>
  <c r="N48" i="149"/>
  <c r="AT14" i="149"/>
  <c r="AQ25" i="149"/>
  <c r="Q46" i="149"/>
  <c r="L47" i="149"/>
  <c r="K55" i="149"/>
  <c r="J20" i="149"/>
  <c r="H20" i="149"/>
  <c r="H25" i="149" s="1"/>
  <c r="M35" i="149"/>
  <c r="M36" i="149" s="1"/>
  <c r="M37" i="149" s="1"/>
  <c r="K46" i="149"/>
  <c r="K54" i="149" s="1"/>
  <c r="Q51" i="149"/>
  <c r="AO18" i="146" l="1"/>
  <c r="AO25" i="146" s="1"/>
  <c r="AL29" i="146"/>
  <c r="BB8" i="149"/>
  <c r="BC25" i="149"/>
  <c r="J25" i="149"/>
  <c r="J26" i="149" s="1"/>
  <c r="F12" i="149"/>
  <c r="K56" i="149"/>
  <c r="AJ38" i="149"/>
  <c r="AK38" i="149" s="1"/>
  <c r="AK41" i="149" s="1"/>
  <c r="AW30" i="149" s="1"/>
  <c r="AV30" i="149" s="1"/>
  <c r="AK27" i="149"/>
  <c r="AK28" i="149" s="1"/>
  <c r="AG25" i="149"/>
  <c r="AF26" i="149"/>
  <c r="AG26" i="149" s="1"/>
  <c r="Q48" i="149"/>
  <c r="Q50" i="149"/>
  <c r="Q52" i="149" s="1"/>
  <c r="S48" i="149"/>
  <c r="R48" i="149" s="1"/>
  <c r="R46" i="149"/>
  <c r="S26" i="149"/>
  <c r="R26" i="149" s="1"/>
  <c r="S38" i="149"/>
  <c r="V25" i="149"/>
  <c r="V37" i="149"/>
  <c r="V38" i="149" s="1"/>
  <c r="AQ35" i="149"/>
  <c r="Y26" i="149"/>
  <c r="X26" i="149" s="1"/>
  <c r="X25" i="149"/>
  <c r="AK30" i="149"/>
  <c r="AK31" i="149" s="1"/>
  <c r="AB27" i="149"/>
  <c r="AB28" i="149" s="1"/>
  <c r="AE27" i="149"/>
  <c r="AE28" i="149" s="1"/>
  <c r="Z26" i="149"/>
  <c r="AA25" i="149"/>
  <c r="L25" i="149"/>
  <c r="AO30" i="149"/>
  <c r="T30" i="149"/>
  <c r="T31" i="149" s="1"/>
  <c r="AX25" i="149"/>
  <c r="AY25" i="149" s="1"/>
  <c r="G30" i="147"/>
  <c r="AC26" i="149"/>
  <c r="AD25" i="149"/>
  <c r="AL27" i="146"/>
  <c r="AQ31" i="146" s="1"/>
  <c r="I30" i="147"/>
  <c r="O30" i="147" s="1"/>
  <c r="AH27" i="149"/>
  <c r="AH28" i="149" s="1"/>
  <c r="AL26" i="149"/>
  <c r="AL33" i="149" s="1"/>
  <c r="AM25" i="149"/>
  <c r="AT35" i="149"/>
  <c r="AT36" i="149" s="1"/>
  <c r="AT20" i="149"/>
  <c r="AT25" i="149" s="1"/>
  <c r="AT26" i="149" s="1"/>
  <c r="T27" i="149"/>
  <c r="T28" i="149" s="1"/>
  <c r="H50" i="149"/>
  <c r="H52" i="149" s="1"/>
  <c r="H26" i="149"/>
  <c r="I25" i="149"/>
  <c r="H48" i="149"/>
  <c r="K50" i="149"/>
  <c r="K52" i="149" s="1"/>
  <c r="N27" i="149"/>
  <c r="N28" i="149" s="1"/>
  <c r="L46" i="149"/>
  <c r="P50" i="149"/>
  <c r="P52" i="149" s="1"/>
  <c r="M48" i="149"/>
  <c r="Q27" i="149"/>
  <c r="Q28" i="149" s="1"/>
  <c r="AV26" i="149"/>
  <c r="S50" i="149"/>
  <c r="S52" i="149" s="1"/>
  <c r="P48" i="149"/>
  <c r="O48" i="149" s="1"/>
  <c r="O46" i="149"/>
  <c r="J37" i="149"/>
  <c r="W27" i="149"/>
  <c r="W28" i="149" s="1"/>
  <c r="P38" i="149"/>
  <c r="P26" i="149"/>
  <c r="V46" i="149"/>
  <c r="J46" i="149"/>
  <c r="N50" i="149"/>
  <c r="N52" i="149" s="1"/>
  <c r="K48" i="149"/>
  <c r="AU27" i="149"/>
  <c r="AR27" i="149"/>
  <c r="AQ26" i="149"/>
  <c r="AQ27" i="149" s="1"/>
  <c r="AQ37" i="149"/>
  <c r="M26" i="149"/>
  <c r="M38" i="149"/>
  <c r="R25" i="149"/>
  <c r="O25" i="149"/>
  <c r="BA26" i="149"/>
  <c r="AJ25" i="149"/>
  <c r="BC26" i="149" l="1"/>
  <c r="BC27" i="149" s="1"/>
  <c r="BB25" i="149"/>
  <c r="J38" i="149"/>
  <c r="J50" i="149"/>
  <c r="J52" i="149" s="1"/>
  <c r="F25" i="149"/>
  <c r="C46" i="149"/>
  <c r="M54" i="149"/>
  <c r="M56" i="149" s="1"/>
  <c r="Z30" i="149"/>
  <c r="Z31" i="149" s="1"/>
  <c r="S27" i="149"/>
  <c r="V26" i="149"/>
  <c r="U25" i="149"/>
  <c r="V27" i="149"/>
  <c r="AE30" i="149"/>
  <c r="AE31" i="149" s="1"/>
  <c r="AH30" i="149"/>
  <c r="AH31" i="149" s="1"/>
  <c r="Z27" i="149"/>
  <c r="AA26" i="149"/>
  <c r="H27" i="149"/>
  <c r="H28" i="149" s="1"/>
  <c r="AL30" i="149"/>
  <c r="K30" i="149"/>
  <c r="K31" i="149" s="1"/>
  <c r="Q30" i="149"/>
  <c r="Q31" i="149" s="1"/>
  <c r="W30" i="149"/>
  <c r="W31" i="149" s="1"/>
  <c r="N30" i="149"/>
  <c r="N31" i="149" s="1"/>
  <c r="AI27" i="149"/>
  <c r="AJ27" i="149" s="1"/>
  <c r="AF27" i="149"/>
  <c r="AG27" i="149" s="1"/>
  <c r="AC27" i="149"/>
  <c r="AD26" i="149"/>
  <c r="AC30" i="149"/>
  <c r="AC31" i="149" s="1"/>
  <c r="O26" i="149"/>
  <c r="L26" i="149"/>
  <c r="L48" i="149"/>
  <c r="V48" i="149"/>
  <c r="U48" i="149" s="1"/>
  <c r="U46" i="149"/>
  <c r="AS26" i="149"/>
  <c r="AT30" i="149"/>
  <c r="AS30" i="149" s="1"/>
  <c r="AW27" i="149"/>
  <c r="AV27" i="149" s="1"/>
  <c r="AL27" i="149"/>
  <c r="AM27" i="149" s="1"/>
  <c r="AM26" i="149"/>
  <c r="AT27" i="149"/>
  <c r="AS27" i="149" s="1"/>
  <c r="J48" i="149"/>
  <c r="I48" i="149" s="1"/>
  <c r="I46" i="149"/>
  <c r="M50" i="149"/>
  <c r="M52" i="149" s="1"/>
  <c r="P27" i="149"/>
  <c r="M27" i="149"/>
  <c r="M28" i="149" s="1"/>
  <c r="I26" i="149"/>
  <c r="K27" i="149"/>
  <c r="K28" i="149" s="1"/>
  <c r="H30" i="149"/>
  <c r="H31" i="149" s="1"/>
  <c r="J27" i="149" l="1"/>
  <c r="J28" i="149" s="1"/>
  <c r="Y30" i="149"/>
  <c r="Y31" i="149" s="1"/>
  <c r="BC30" i="149"/>
  <c r="J30" i="149"/>
  <c r="J31" i="149" s="1"/>
  <c r="S30" i="149"/>
  <c r="S31" i="149" s="1"/>
  <c r="M30" i="149"/>
  <c r="M31" i="149" s="1"/>
  <c r="AB30" i="149"/>
  <c r="AB31" i="149" s="1"/>
  <c r="P30" i="149"/>
  <c r="P31" i="149" s="1"/>
  <c r="AN30" i="149"/>
  <c r="S28" i="149"/>
  <c r="R27" i="149"/>
  <c r="Y27" i="149"/>
  <c r="V30" i="149"/>
  <c r="V31" i="149" s="1"/>
  <c r="U26" i="149"/>
  <c r="U27" i="149"/>
  <c r="V28" i="149"/>
  <c r="Z28" i="149"/>
  <c r="AA27" i="149"/>
  <c r="AD27" i="149"/>
  <c r="AC28" i="149"/>
  <c r="P28" i="149"/>
  <c r="O27" i="149"/>
  <c r="Y28" i="149" l="1"/>
  <c r="X27" i="149"/>
  <c r="B64" i="147"/>
  <c r="H63" i="147"/>
  <c r="G63" i="147"/>
  <c r="D63" i="147"/>
  <c r="I62" i="147"/>
  <c r="H62" i="147"/>
  <c r="G62" i="147"/>
  <c r="D62" i="147"/>
  <c r="I61" i="147"/>
  <c r="G61" i="147"/>
  <c r="D61" i="147"/>
  <c r="H60" i="147"/>
  <c r="G60" i="147"/>
  <c r="D60" i="147"/>
  <c r="I59" i="147"/>
  <c r="H59" i="147"/>
  <c r="J59" i="147" s="1"/>
  <c r="G59" i="147"/>
  <c r="D59" i="147"/>
  <c r="I58" i="147"/>
  <c r="H58" i="147"/>
  <c r="J58" i="147" s="1"/>
  <c r="G58" i="147"/>
  <c r="D58" i="147"/>
  <c r="H57" i="147"/>
  <c r="I57" i="147"/>
  <c r="D57" i="147"/>
  <c r="I56" i="147"/>
  <c r="H56" i="147"/>
  <c r="F64" i="147"/>
  <c r="E64" i="147"/>
  <c r="D56" i="147"/>
  <c r="I55" i="147"/>
  <c r="H55" i="147"/>
  <c r="J55" i="147" s="1"/>
  <c r="G55" i="147"/>
  <c r="D55" i="147"/>
  <c r="H54" i="147"/>
  <c r="G54" i="147"/>
  <c r="C64" i="147"/>
  <c r="I53" i="147"/>
  <c r="H53" i="147"/>
  <c r="J53" i="147" s="1"/>
  <c r="G53" i="147"/>
  <c r="D53" i="147"/>
  <c r="I52" i="147"/>
  <c r="G52" i="147"/>
  <c r="D52" i="147"/>
  <c r="H49" i="147"/>
  <c r="C49" i="147"/>
  <c r="B49" i="147"/>
  <c r="K63" i="147"/>
  <c r="J48" i="147"/>
  <c r="G48" i="147"/>
  <c r="D48" i="147"/>
  <c r="L47" i="147"/>
  <c r="L62" i="147" s="1"/>
  <c r="K47" i="147"/>
  <c r="K62" i="147" s="1"/>
  <c r="J47" i="147"/>
  <c r="G47" i="147"/>
  <c r="D47" i="147"/>
  <c r="L46" i="147"/>
  <c r="K46" i="147"/>
  <c r="K61" i="147" s="1"/>
  <c r="J46" i="147"/>
  <c r="G46" i="147"/>
  <c r="D46" i="147"/>
  <c r="K45" i="147"/>
  <c r="J45" i="147"/>
  <c r="G45" i="147"/>
  <c r="D45" i="147"/>
  <c r="L44" i="147"/>
  <c r="K44" i="147"/>
  <c r="J44" i="147"/>
  <c r="G44" i="147"/>
  <c r="D44" i="147"/>
  <c r="L43" i="147"/>
  <c r="K43" i="147"/>
  <c r="J43" i="147"/>
  <c r="G43" i="147"/>
  <c r="D43" i="147"/>
  <c r="K42" i="147"/>
  <c r="K57" i="147" s="1"/>
  <c r="L42" i="147"/>
  <c r="G42" i="147"/>
  <c r="D42" i="147"/>
  <c r="J41" i="147"/>
  <c r="L41" i="147"/>
  <c r="K41" i="147"/>
  <c r="D41" i="147"/>
  <c r="L40" i="147"/>
  <c r="L55" i="147" s="1"/>
  <c r="K40" i="147"/>
  <c r="J40" i="147"/>
  <c r="G40" i="147"/>
  <c r="D40" i="147"/>
  <c r="J39" i="147"/>
  <c r="L39" i="147"/>
  <c r="K39" i="147"/>
  <c r="D39" i="147"/>
  <c r="J38" i="147"/>
  <c r="F49" i="147"/>
  <c r="E49" i="147"/>
  <c r="D38" i="147"/>
  <c r="L37" i="147"/>
  <c r="K37" i="147"/>
  <c r="J37" i="147"/>
  <c r="G37" i="147"/>
  <c r="D37" i="147"/>
  <c r="M34" i="147"/>
  <c r="L34" i="147"/>
  <c r="B34" i="147"/>
  <c r="N33" i="147"/>
  <c r="D33" i="147"/>
  <c r="N32" i="147"/>
  <c r="O32" i="147"/>
  <c r="D32" i="147"/>
  <c r="N31" i="147"/>
  <c r="I31" i="147"/>
  <c r="D31" i="147"/>
  <c r="N30" i="147"/>
  <c r="D30" i="147"/>
  <c r="N29" i="147"/>
  <c r="J29" i="147"/>
  <c r="P29" i="147" s="1"/>
  <c r="R29" i="147" s="1"/>
  <c r="G29" i="147"/>
  <c r="D29" i="147"/>
  <c r="N28" i="147"/>
  <c r="J28" i="147"/>
  <c r="P28" i="147" s="1"/>
  <c r="R28" i="147" s="1"/>
  <c r="I28" i="147"/>
  <c r="D28" i="147"/>
  <c r="N27" i="147"/>
  <c r="J27" i="147"/>
  <c r="P27" i="147" s="1"/>
  <c r="R27" i="147" s="1"/>
  <c r="G27" i="147"/>
  <c r="D27" i="147"/>
  <c r="N26" i="147"/>
  <c r="J26" i="147"/>
  <c r="P26" i="147" s="1"/>
  <c r="R26" i="147" s="1"/>
  <c r="D26" i="147"/>
  <c r="N25" i="147"/>
  <c r="J25" i="147"/>
  <c r="P25" i="147" s="1"/>
  <c r="R25" i="147" s="1"/>
  <c r="I25" i="147"/>
  <c r="D25" i="147"/>
  <c r="N24" i="147"/>
  <c r="J24" i="147"/>
  <c r="P24" i="147" s="1"/>
  <c r="R24" i="147" s="1"/>
  <c r="D24" i="147"/>
  <c r="N23" i="147"/>
  <c r="J23" i="147"/>
  <c r="P23" i="147" s="1"/>
  <c r="R23" i="147" s="1"/>
  <c r="I23" i="147"/>
  <c r="D23" i="147"/>
  <c r="N22" i="147"/>
  <c r="D22" i="147"/>
  <c r="N17" i="147"/>
  <c r="I17" i="147"/>
  <c r="H17" i="147"/>
  <c r="F17" i="147"/>
  <c r="E17" i="147"/>
  <c r="C17" i="147"/>
  <c r="B17" i="147"/>
  <c r="J16" i="147"/>
  <c r="G16" i="147"/>
  <c r="D16" i="147"/>
  <c r="O15" i="147"/>
  <c r="P15" i="147" s="1"/>
  <c r="L15" i="147"/>
  <c r="K15" i="147"/>
  <c r="J15" i="147"/>
  <c r="G15" i="147"/>
  <c r="D15" i="147"/>
  <c r="L14" i="147"/>
  <c r="K14" i="147"/>
  <c r="J14" i="147"/>
  <c r="G14" i="147"/>
  <c r="D14" i="147"/>
  <c r="K13" i="147"/>
  <c r="J13" i="147"/>
  <c r="G13" i="147"/>
  <c r="D13" i="147"/>
  <c r="O12" i="147"/>
  <c r="P12" i="147" s="1"/>
  <c r="L12" i="147"/>
  <c r="K12" i="147"/>
  <c r="M12" i="147" s="1"/>
  <c r="J12" i="147"/>
  <c r="G12" i="147"/>
  <c r="D12" i="147"/>
  <c r="O11" i="147"/>
  <c r="P11" i="147" s="1"/>
  <c r="L11" i="147"/>
  <c r="K11" i="147"/>
  <c r="M11" i="147" s="1"/>
  <c r="J11" i="147"/>
  <c r="G11" i="147"/>
  <c r="D11" i="147"/>
  <c r="O10" i="147"/>
  <c r="P10" i="147" s="1"/>
  <c r="L10" i="147"/>
  <c r="K10" i="147"/>
  <c r="M10" i="147" s="1"/>
  <c r="J10" i="147"/>
  <c r="G10" i="147"/>
  <c r="D10" i="147"/>
  <c r="O9" i="147"/>
  <c r="P9" i="147" s="1"/>
  <c r="L9" i="147"/>
  <c r="K9" i="147"/>
  <c r="M9" i="147" s="1"/>
  <c r="J9" i="147"/>
  <c r="G9" i="147"/>
  <c r="D9" i="147"/>
  <c r="O8" i="147"/>
  <c r="P8" i="147" s="1"/>
  <c r="L8" i="147"/>
  <c r="K8" i="147"/>
  <c r="J8" i="147"/>
  <c r="G8" i="147"/>
  <c r="D8" i="147"/>
  <c r="O7" i="147"/>
  <c r="P7" i="147" s="1"/>
  <c r="L7" i="147"/>
  <c r="K7" i="147"/>
  <c r="M7" i="147" s="1"/>
  <c r="J7" i="147"/>
  <c r="G7" i="147"/>
  <c r="D7" i="147"/>
  <c r="O6" i="147"/>
  <c r="P6" i="147" s="1"/>
  <c r="L6" i="147"/>
  <c r="K6" i="147"/>
  <c r="J6" i="147"/>
  <c r="G6" i="147"/>
  <c r="D6" i="147"/>
  <c r="L5" i="147"/>
  <c r="K5" i="147"/>
  <c r="J5" i="147"/>
  <c r="D5" i="147"/>
  <c r="L58" i="147" l="1"/>
  <c r="L59" i="147"/>
  <c r="K60" i="147"/>
  <c r="M60" i="147" s="1"/>
  <c r="K59" i="147"/>
  <c r="J56" i="147"/>
  <c r="L56" i="147"/>
  <c r="L52" i="147"/>
  <c r="L64" i="147" s="1"/>
  <c r="M37" i="147"/>
  <c r="M59" i="147"/>
  <c r="M43" i="147"/>
  <c r="M40" i="147"/>
  <c r="K52" i="147"/>
  <c r="K64" i="147" s="1"/>
  <c r="J22" i="147"/>
  <c r="P22" i="147" s="1"/>
  <c r="R22" i="147" s="1"/>
  <c r="F34" i="147"/>
  <c r="J34" i="147" s="1"/>
  <c r="I26" i="147"/>
  <c r="K26" i="147" s="1"/>
  <c r="G26" i="147"/>
  <c r="I24" i="147"/>
  <c r="G24" i="147"/>
  <c r="O22" i="147"/>
  <c r="G22" i="147"/>
  <c r="E34" i="147"/>
  <c r="N18" i="147"/>
  <c r="M6" i="147"/>
  <c r="M5" i="147"/>
  <c r="M8" i="147"/>
  <c r="D34" i="147"/>
  <c r="J63" i="147"/>
  <c r="M63" i="147"/>
  <c r="P72" i="147"/>
  <c r="J62" i="147"/>
  <c r="M47" i="147"/>
  <c r="M15" i="147"/>
  <c r="K17" i="147"/>
  <c r="O31" i="147"/>
  <c r="L61" i="147"/>
  <c r="M61" i="147" s="1"/>
  <c r="M46" i="147"/>
  <c r="K31" i="147"/>
  <c r="J61" i="147"/>
  <c r="H64" i="147"/>
  <c r="D49" i="147"/>
  <c r="G49" i="147"/>
  <c r="N34" i="147"/>
  <c r="G17" i="147"/>
  <c r="M14" i="147"/>
  <c r="J60" i="147"/>
  <c r="D17" i="147"/>
  <c r="J17" i="147"/>
  <c r="L17" i="147"/>
  <c r="M13" i="147"/>
  <c r="O29" i="147"/>
  <c r="M45" i="147"/>
  <c r="K25" i="147"/>
  <c r="O25" i="147"/>
  <c r="K54" i="147"/>
  <c r="M39" i="147"/>
  <c r="O28" i="147"/>
  <c r="K28" i="147"/>
  <c r="O23" i="147"/>
  <c r="K23" i="147"/>
  <c r="K56" i="147"/>
  <c r="M56" i="147" s="1"/>
  <c r="M41" i="147"/>
  <c r="J57" i="147"/>
  <c r="M42" i="147"/>
  <c r="L57" i="147"/>
  <c r="M57" i="147" s="1"/>
  <c r="G64" i="147"/>
  <c r="D64" i="147"/>
  <c r="I27" i="147"/>
  <c r="K29" i="147"/>
  <c r="D54" i="147"/>
  <c r="G23" i="147"/>
  <c r="G25" i="147"/>
  <c r="K30" i="147"/>
  <c r="M44" i="147"/>
  <c r="I49" i="147"/>
  <c r="J49" i="147" s="1"/>
  <c r="K58" i="147"/>
  <c r="M58" i="147" s="1"/>
  <c r="M62" i="147"/>
  <c r="O26" i="147"/>
  <c r="G28" i="147"/>
  <c r="K32" i="147"/>
  <c r="G41" i="147"/>
  <c r="J42" i="147"/>
  <c r="K33" i="147"/>
  <c r="G38" i="147"/>
  <c r="G39" i="147"/>
  <c r="J52" i="147"/>
  <c r="I54" i="147"/>
  <c r="G56" i="147"/>
  <c r="K38" i="147"/>
  <c r="K55" i="147"/>
  <c r="M55" i="147" s="1"/>
  <c r="G57" i="147"/>
  <c r="L38" i="147"/>
  <c r="L49" i="147" s="1"/>
  <c r="N34" i="134"/>
  <c r="N33" i="134"/>
  <c r="X25" i="146"/>
  <c r="X24" i="146"/>
  <c r="X23" i="146"/>
  <c r="X22" i="146"/>
  <c r="X21" i="146"/>
  <c r="X20" i="146"/>
  <c r="X19" i="146"/>
  <c r="X10" i="146"/>
  <c r="X9" i="146"/>
  <c r="X8" i="146"/>
  <c r="X7" i="146"/>
  <c r="X6" i="146"/>
  <c r="X5" i="146"/>
  <c r="X12" i="146"/>
  <c r="X17" i="146"/>
  <c r="X16" i="146"/>
  <c r="X15" i="146"/>
  <c r="X14" i="146"/>
  <c r="X13" i="146"/>
  <c r="M64" i="147" l="1"/>
  <c r="G34" i="147"/>
  <c r="I64" i="147"/>
  <c r="J64" i="147" s="1"/>
  <c r="L54" i="147"/>
  <c r="M52" i="147"/>
  <c r="R34" i="147"/>
  <c r="P34" i="147"/>
  <c r="O24" i="147"/>
  <c r="K24" i="147"/>
  <c r="O69" i="147"/>
  <c r="P69" i="147"/>
  <c r="I34" i="147"/>
  <c r="K34" i="147" s="1"/>
  <c r="M17" i="147"/>
  <c r="M38" i="147"/>
  <c r="K53" i="147"/>
  <c r="K49" i="147"/>
  <c r="K50" i="147" s="1"/>
  <c r="O27" i="147"/>
  <c r="K27" i="147"/>
  <c r="J54" i="147"/>
  <c r="L53" i="147"/>
  <c r="O70" i="147" s="1"/>
  <c r="P70" i="147" s="1"/>
  <c r="M54" i="147"/>
  <c r="K22" i="147"/>
  <c r="AN14" i="146"/>
  <c r="AN5" i="146"/>
  <c r="V18" i="146"/>
  <c r="AN13" i="146"/>
  <c r="AN12" i="146"/>
  <c r="AN10" i="146"/>
  <c r="AN9" i="146"/>
  <c r="AN8" i="146"/>
  <c r="AN6" i="146"/>
  <c r="P26" i="146"/>
  <c r="N26" i="146"/>
  <c r="O17" i="146"/>
  <c r="N18" i="146"/>
  <c r="AN35" i="146"/>
  <c r="AN31" i="146"/>
  <c r="V42" i="146"/>
  <c r="V33" i="146"/>
  <c r="V34" i="146" s="1"/>
  <c r="V36" i="146" s="1"/>
  <c r="U12" i="146"/>
  <c r="U21" i="146"/>
  <c r="U10" i="146"/>
  <c r="U24" i="146"/>
  <c r="U25" i="146"/>
  <c r="U14" i="146"/>
  <c r="U8" i="146"/>
  <c r="U9" i="146"/>
  <c r="U6" i="146"/>
  <c r="U17" i="146"/>
  <c r="U16" i="146"/>
  <c r="U5" i="146"/>
  <c r="R5" i="146"/>
  <c r="U13" i="146"/>
  <c r="G29" i="134"/>
  <c r="G27" i="134"/>
  <c r="G31" i="134" s="1"/>
  <c r="O68" i="147" l="1"/>
  <c r="O71" i="147" s="1"/>
  <c r="O73" i="147" s="1"/>
  <c r="P73" i="147" s="1"/>
  <c r="Q73" i="147" s="1"/>
  <c r="O34" i="147"/>
  <c r="M49" i="147"/>
  <c r="M53" i="147"/>
  <c r="AM12" i="146"/>
  <c r="R25" i="146"/>
  <c r="R43" i="146" s="1"/>
  <c r="R24" i="146"/>
  <c r="R23" i="146"/>
  <c r="R22" i="146"/>
  <c r="R21" i="146"/>
  <c r="R20" i="146"/>
  <c r="R19" i="146"/>
  <c r="R12" i="146"/>
  <c r="R17" i="146"/>
  <c r="R16" i="146"/>
  <c r="R15" i="146"/>
  <c r="R14" i="146"/>
  <c r="R10" i="146"/>
  <c r="R9" i="146"/>
  <c r="R8" i="146"/>
  <c r="R7" i="146"/>
  <c r="R6" i="146"/>
  <c r="R13" i="146"/>
  <c r="O14" i="146"/>
  <c r="P68" i="147" l="1"/>
  <c r="P71" i="147"/>
  <c r="P42" i="146" l="1"/>
  <c r="P33" i="146"/>
  <c r="P34" i="146" s="1"/>
  <c r="P36" i="146" s="1"/>
  <c r="O21" i="146"/>
  <c r="O10" i="146"/>
  <c r="O24" i="146"/>
  <c r="O25" i="146"/>
  <c r="O23" i="146"/>
  <c r="O15" i="146"/>
  <c r="O9" i="146"/>
  <c r="O6" i="146"/>
  <c r="O16" i="146"/>
  <c r="O5" i="146"/>
  <c r="O12" i="146" l="1"/>
  <c r="F22" i="134"/>
  <c r="AN15" i="146"/>
  <c r="AN16" i="146"/>
  <c r="M42" i="146" l="1"/>
  <c r="M33" i="146"/>
  <c r="M34" i="146" s="1"/>
  <c r="M36" i="146" s="1"/>
  <c r="L21" i="146"/>
  <c r="L24" i="146"/>
  <c r="L23" i="146"/>
  <c r="L25" i="146"/>
  <c r="L17" i="146"/>
  <c r="L14" i="146"/>
  <c r="L13" i="146"/>
  <c r="L10" i="146"/>
  <c r="L9" i="146"/>
  <c r="L8" i="146"/>
  <c r="L7" i="146"/>
  <c r="L6" i="146"/>
  <c r="L5" i="146"/>
  <c r="E73" i="133" l="1"/>
  <c r="E70" i="133"/>
  <c r="E29" i="134" l="1"/>
  <c r="E27" i="134" l="1"/>
  <c r="E31" i="134" s="1"/>
  <c r="D73" i="133"/>
  <c r="D71" i="133"/>
  <c r="B42" i="146" l="1"/>
  <c r="J42" i="146"/>
  <c r="J33" i="146"/>
  <c r="J34" i="146" s="1"/>
  <c r="J36" i="146" s="1"/>
  <c r="I21" i="146"/>
  <c r="I24" i="146"/>
  <c r="I25" i="146"/>
  <c r="I43" i="146" s="1"/>
  <c r="I14" i="146"/>
  <c r="I17" i="146"/>
  <c r="I10" i="146"/>
  <c r="I9" i="146"/>
  <c r="I8" i="146"/>
  <c r="I7" i="146"/>
  <c r="I6" i="146"/>
  <c r="I5" i="146"/>
  <c r="I16" i="146"/>
  <c r="I13" i="146"/>
  <c r="I12" i="146"/>
  <c r="L3" i="133" l="1"/>
  <c r="M3" i="133"/>
  <c r="K3" i="133"/>
  <c r="E3" i="133"/>
  <c r="E67" i="133" s="1"/>
  <c r="AD44" i="134" l="1"/>
  <c r="D41" i="133"/>
  <c r="D70" i="133"/>
  <c r="L70" i="133"/>
  <c r="L73" i="133"/>
  <c r="L71" i="133"/>
  <c r="D3" i="133" l="1"/>
  <c r="D67" i="133" s="1"/>
  <c r="D42" i="146" l="1"/>
  <c r="G42" i="146"/>
  <c r="E42" i="146"/>
  <c r="F21" i="146"/>
  <c r="F10" i="146"/>
  <c r="F24" i="146"/>
  <c r="F25" i="146"/>
  <c r="F43" i="146" s="1"/>
  <c r="F17" i="146"/>
  <c r="F14" i="146"/>
  <c r="F9" i="146"/>
  <c r="F6" i="146"/>
  <c r="F5" i="146"/>
  <c r="F13" i="146"/>
  <c r="F12" i="146"/>
  <c r="C70" i="133" l="1"/>
  <c r="C15" i="146" l="1"/>
  <c r="C21" i="146"/>
  <c r="AN23" i="146"/>
  <c r="AN24" i="146"/>
  <c r="C25" i="146"/>
  <c r="C24" i="146"/>
  <c r="C23" i="146"/>
  <c r="C17" i="146"/>
  <c r="C14" i="146"/>
  <c r="C10" i="146"/>
  <c r="C9" i="146"/>
  <c r="C8" i="146"/>
  <c r="C7" i="146"/>
  <c r="C6" i="146"/>
  <c r="C5" i="146"/>
  <c r="AM23" i="146" l="1"/>
  <c r="AM24" i="146"/>
  <c r="B31" i="134" l="1"/>
  <c r="N35" i="133" l="1"/>
  <c r="AN21" i="146" l="1"/>
  <c r="AN20" i="146"/>
  <c r="L52" i="133" l="1"/>
  <c r="L68" i="133" s="1"/>
  <c r="N14" i="134"/>
  <c r="N6" i="134"/>
  <c r="N5" i="134"/>
  <c r="N4" i="134"/>
  <c r="AE24" i="134" s="1"/>
  <c r="L29" i="134"/>
  <c r="L27" i="134"/>
  <c r="AH42" i="146"/>
  <c r="AE43" i="134" l="1"/>
  <c r="AE50" i="134"/>
  <c r="L31" i="134"/>
  <c r="AE33" i="146" l="1"/>
  <c r="AE34" i="146" s="1"/>
  <c r="AE36" i="146" s="1"/>
  <c r="J73" i="133" l="1"/>
  <c r="J70" i="133"/>
  <c r="AN32" i="146" l="1"/>
  <c r="AN33" i="146" s="1"/>
  <c r="AN34" i="146" s="1"/>
  <c r="AN36" i="146" l="1"/>
  <c r="J40" i="134"/>
  <c r="AB42" i="146"/>
  <c r="Z42" i="146"/>
  <c r="AR40" i="146" l="1"/>
  <c r="AN25" i="146"/>
  <c r="W42" i="146"/>
  <c r="Y42" i="146"/>
  <c r="Y33" i="146" l="1"/>
  <c r="Y34" i="146" s="1"/>
  <c r="Y36" i="146" s="1"/>
  <c r="T42" i="146" l="1"/>
  <c r="H73" i="133" l="1"/>
  <c r="H71" i="133"/>
  <c r="H27" i="134"/>
  <c r="H70" i="133" l="1"/>
  <c r="H74" i="133" s="1"/>
  <c r="S42" i="146" l="1"/>
  <c r="S33" i="146"/>
  <c r="S34" i="146" l="1"/>
  <c r="S36" i="146" s="1"/>
  <c r="N42" i="146" l="1"/>
  <c r="F40" i="134" l="1"/>
  <c r="AC13" i="133" l="1"/>
  <c r="AB13" i="133"/>
  <c r="AA13" i="133"/>
  <c r="Z13" i="133"/>
  <c r="Y13" i="133"/>
  <c r="X13" i="133"/>
  <c r="W13" i="133"/>
  <c r="V13" i="133"/>
  <c r="U13" i="133"/>
  <c r="T13" i="133"/>
  <c r="S13" i="133"/>
  <c r="AC6" i="133"/>
  <c r="AB6" i="133"/>
  <c r="AA6" i="133"/>
  <c r="Z6" i="133"/>
  <c r="Y6" i="133"/>
  <c r="X6" i="133"/>
  <c r="W6" i="133"/>
  <c r="V6" i="133"/>
  <c r="U6" i="133"/>
  <c r="T6" i="133"/>
  <c r="S6" i="133"/>
  <c r="R13" i="133"/>
  <c r="R6" i="133"/>
  <c r="AD8" i="133"/>
  <c r="AD12" i="133"/>
  <c r="AD9" i="133"/>
  <c r="AD11" i="133"/>
  <c r="AD10" i="133"/>
  <c r="AD7" i="133"/>
  <c r="AD5" i="133"/>
  <c r="AD4" i="133"/>
  <c r="AD3" i="133"/>
  <c r="T14" i="133" l="1"/>
  <c r="Y14" i="133"/>
  <c r="W14" i="133"/>
  <c r="AA14" i="133"/>
  <c r="AB14" i="133"/>
  <c r="X14" i="133"/>
  <c r="U14" i="133"/>
  <c r="AC14" i="133"/>
  <c r="S14" i="133"/>
  <c r="AD13" i="133"/>
  <c r="R14" i="133"/>
  <c r="AD6" i="133"/>
  <c r="V14" i="133"/>
  <c r="Z14" i="133"/>
  <c r="AD14" i="133" l="1"/>
  <c r="N20" i="134" l="1"/>
  <c r="N17" i="134"/>
  <c r="N16" i="134"/>
  <c r="N15" i="134"/>
  <c r="N13" i="134"/>
  <c r="N10" i="134"/>
  <c r="N8" i="134"/>
  <c r="E22" i="134" l="1"/>
  <c r="E40" i="134" s="1"/>
  <c r="K42" i="146" l="1"/>
  <c r="H42" i="146" l="1"/>
  <c r="G33" i="146"/>
  <c r="G34" i="146" s="1"/>
  <c r="AN17" i="146" l="1"/>
  <c r="AN18" i="146" s="1"/>
  <c r="AM18" i="146" l="1"/>
  <c r="J26" i="146"/>
  <c r="AN22" i="146"/>
  <c r="D72" i="133"/>
  <c r="D74" i="133" s="1"/>
  <c r="G36" i="146" l="1"/>
  <c r="E11" i="146"/>
  <c r="E44" i="146" s="1"/>
  <c r="C73" i="133" l="1"/>
  <c r="C72" i="133"/>
  <c r="N29" i="134" l="1"/>
  <c r="N11" i="134"/>
  <c r="N62" i="133" l="1"/>
  <c r="N64" i="133"/>
  <c r="N63" i="133"/>
  <c r="N60" i="133"/>
  <c r="N59" i="133"/>
  <c r="N58" i="133"/>
  <c r="N55" i="133"/>
  <c r="N54" i="133"/>
  <c r="N53" i="133"/>
  <c r="N51" i="133"/>
  <c r="N50" i="133"/>
  <c r="N49" i="133"/>
  <c r="N48" i="133"/>
  <c r="N47" i="133"/>
  <c r="N46" i="133"/>
  <c r="N45" i="133"/>
  <c r="N44" i="133"/>
  <c r="N40" i="133"/>
  <c r="N39" i="133"/>
  <c r="N38" i="133"/>
  <c r="N37" i="133"/>
  <c r="N36" i="133"/>
  <c r="N34" i="133"/>
  <c r="N33" i="133"/>
  <c r="N32" i="133"/>
  <c r="N31" i="133"/>
  <c r="N30" i="133"/>
  <c r="N29" i="133"/>
  <c r="N28" i="133"/>
  <c r="N27" i="133"/>
  <c r="N26" i="133"/>
  <c r="N25" i="133"/>
  <c r="N24" i="133"/>
  <c r="N23" i="133"/>
  <c r="N21" i="133"/>
  <c r="N20" i="133"/>
  <c r="N19" i="133"/>
  <c r="N18" i="133"/>
  <c r="N17" i="133"/>
  <c r="N16" i="133"/>
  <c r="N15" i="133"/>
  <c r="N14" i="133"/>
  <c r="N13" i="133"/>
  <c r="N12" i="133"/>
  <c r="N11" i="133"/>
  <c r="N10" i="133"/>
  <c r="N9" i="133"/>
  <c r="N8" i="133"/>
  <c r="N7" i="133"/>
  <c r="N6" i="133"/>
  <c r="N5" i="133"/>
  <c r="N4" i="133"/>
  <c r="N56" i="133"/>
  <c r="N43" i="133"/>
  <c r="N42" i="133"/>
  <c r="N22" i="133"/>
  <c r="N19" i="134"/>
  <c r="N9" i="134"/>
  <c r="N18" i="134"/>
  <c r="N12" i="134"/>
  <c r="N71" i="133" l="1"/>
  <c r="N73" i="133"/>
  <c r="N70" i="133"/>
  <c r="N7" i="134"/>
  <c r="N22" i="134" s="1"/>
  <c r="B22" i="134"/>
  <c r="B24" i="134" s="1"/>
  <c r="N42" i="134" l="1"/>
  <c r="N40" i="134"/>
  <c r="N24" i="134"/>
  <c r="B40" i="134"/>
  <c r="AJ19" i="146"/>
  <c r="AK18" i="146"/>
  <c r="AI18" i="146"/>
  <c r="AK11" i="146"/>
  <c r="AI11" i="146"/>
  <c r="AH26" i="146"/>
  <c r="AF26" i="146"/>
  <c r="AH18" i="146"/>
  <c r="AF18" i="146"/>
  <c r="AH11" i="146"/>
  <c r="AF11" i="146"/>
  <c r="AC2" i="134" s="1"/>
  <c r="AC26" i="146"/>
  <c r="AE18" i="146"/>
  <c r="AC18" i="146"/>
  <c r="AE11" i="146"/>
  <c r="AC11" i="146"/>
  <c r="AB26" i="146"/>
  <c r="Z26" i="146"/>
  <c r="AB18" i="146"/>
  <c r="Z18" i="146"/>
  <c r="AB11" i="146"/>
  <c r="AB44" i="146" s="1"/>
  <c r="AA44" i="146" s="1"/>
  <c r="Z11" i="146"/>
  <c r="Z44" i="146" s="1"/>
  <c r="Y26" i="146"/>
  <c r="W26" i="146"/>
  <c r="X43" i="146"/>
  <c r="Y18" i="146"/>
  <c r="W18" i="146"/>
  <c r="Y11" i="146"/>
  <c r="Y44" i="146" s="1"/>
  <c r="X44" i="146" s="1"/>
  <c r="W11" i="146"/>
  <c r="W44" i="146" s="1"/>
  <c r="V26" i="146"/>
  <c r="T26" i="146"/>
  <c r="U43" i="146"/>
  <c r="T18" i="146"/>
  <c r="V11" i="146"/>
  <c r="T11" i="146"/>
  <c r="S26" i="146"/>
  <c r="Q26" i="146"/>
  <c r="S18" i="146"/>
  <c r="Q18" i="146"/>
  <c r="S11" i="146"/>
  <c r="S44" i="146" s="1"/>
  <c r="R44" i="146" s="1"/>
  <c r="Q11" i="146"/>
  <c r="Q44" i="146" s="1"/>
  <c r="O43" i="146"/>
  <c r="P18" i="146"/>
  <c r="P11" i="146"/>
  <c r="P44" i="146" s="1"/>
  <c r="N11" i="146"/>
  <c r="N44" i="146" s="1"/>
  <c r="M26" i="146"/>
  <c r="K26" i="146"/>
  <c r="L43" i="146"/>
  <c r="M18" i="146"/>
  <c r="K18" i="146"/>
  <c r="M11" i="146"/>
  <c r="M44" i="146" s="1"/>
  <c r="K11" i="146"/>
  <c r="H26" i="146"/>
  <c r="J18" i="146"/>
  <c r="H18" i="146"/>
  <c r="J11" i="146"/>
  <c r="J44" i="146" s="1"/>
  <c r="H11" i="146"/>
  <c r="H44" i="146" s="1"/>
  <c r="G26" i="146"/>
  <c r="E26" i="146"/>
  <c r="F20" i="146"/>
  <c r="F19" i="146"/>
  <c r="G18" i="146"/>
  <c r="E18" i="146"/>
  <c r="G11" i="146"/>
  <c r="G44" i="146" s="1"/>
  <c r="F44" i="146" s="1"/>
  <c r="T2" i="134"/>
  <c r="AK27" i="146" l="1"/>
  <c r="AD2" i="134"/>
  <c r="AI27" i="146"/>
  <c r="AJ27" i="146" s="1"/>
  <c r="T44" i="146"/>
  <c r="T27" i="146"/>
  <c r="V44" i="146"/>
  <c r="U44" i="146" s="1"/>
  <c r="V27" i="146"/>
  <c r="AD26" i="146"/>
  <c r="O44" i="146"/>
  <c r="I44" i="146"/>
  <c r="V2" i="134"/>
  <c r="K44" i="146"/>
  <c r="L44" i="146" s="1"/>
  <c r="X2" i="134"/>
  <c r="AJ18" i="146"/>
  <c r="AJ11" i="146"/>
  <c r="AG26" i="146"/>
  <c r="AG18" i="146"/>
  <c r="AG11" i="146"/>
  <c r="AD18" i="146"/>
  <c r="AA26" i="146"/>
  <c r="AA18" i="146"/>
  <c r="X26" i="146"/>
  <c r="X18" i="146"/>
  <c r="U18" i="146"/>
  <c r="U26" i="146"/>
  <c r="U11" i="146"/>
  <c r="R26" i="146"/>
  <c r="R18" i="146"/>
  <c r="O26" i="146"/>
  <c r="O18" i="146"/>
  <c r="O11" i="146"/>
  <c r="W2" i="134"/>
  <c r="H27" i="146"/>
  <c r="U2" i="134"/>
  <c r="Q27" i="146"/>
  <c r="AC27" i="146"/>
  <c r="Y2" i="134"/>
  <c r="L26" i="146"/>
  <c r="L18" i="146"/>
  <c r="Y27" i="146"/>
  <c r="AF27" i="146"/>
  <c r="J27" i="146"/>
  <c r="K27" i="146"/>
  <c r="AE27" i="146"/>
  <c r="AH27" i="146"/>
  <c r="I26" i="146"/>
  <c r="I18" i="146"/>
  <c r="I11" i="146"/>
  <c r="G27" i="146"/>
  <c r="W27" i="146"/>
  <c r="AB27" i="146"/>
  <c r="AB37" i="146" s="1"/>
  <c r="M27" i="146"/>
  <c r="P27" i="146"/>
  <c r="N27" i="146"/>
  <c r="S27" i="146"/>
  <c r="S29" i="146" s="1"/>
  <c r="E27" i="146"/>
  <c r="F26" i="146"/>
  <c r="F18" i="146"/>
  <c r="F11" i="146"/>
  <c r="X11" i="146"/>
  <c r="Z27" i="146"/>
  <c r="AD11" i="146"/>
  <c r="Z2" i="134"/>
  <c r="AB2" i="134"/>
  <c r="R11" i="146"/>
  <c r="AA11" i="146"/>
  <c r="AA2" i="134"/>
  <c r="L11" i="146"/>
  <c r="AE37" i="146" l="1"/>
  <c r="AE39" i="146"/>
  <c r="AE29" i="146"/>
  <c r="AH39" i="146"/>
  <c r="AH29" i="146"/>
  <c r="AK39" i="146"/>
  <c r="AK29" i="146"/>
  <c r="V39" i="146"/>
  <c r="V38" i="146"/>
  <c r="Y39" i="146"/>
  <c r="Y29" i="146"/>
  <c r="M29" i="146"/>
  <c r="M39" i="146"/>
  <c r="M38" i="146"/>
  <c r="AE30" i="134"/>
  <c r="AD47" i="134"/>
  <c r="AE11" i="134"/>
  <c r="AD16" i="134"/>
  <c r="P39" i="146"/>
  <c r="P29" i="146"/>
  <c r="J39" i="146"/>
  <c r="J29" i="146"/>
  <c r="J38" i="146"/>
  <c r="G29" i="146"/>
  <c r="G38" i="146"/>
  <c r="AK38" i="146"/>
  <c r="AG27" i="146"/>
  <c r="AA27" i="146"/>
  <c r="AD27" i="146"/>
  <c r="AB29" i="146"/>
  <c r="AB39" i="146"/>
  <c r="AH38" i="146"/>
  <c r="X27" i="146"/>
  <c r="V29" i="146"/>
  <c r="U27" i="146"/>
  <c r="S39" i="146"/>
  <c r="R27" i="146"/>
  <c r="O27" i="146"/>
  <c r="Y37" i="146"/>
  <c r="Y38" i="146"/>
  <c r="AE38" i="146"/>
  <c r="AB38" i="146"/>
  <c r="L27" i="146"/>
  <c r="G39" i="146"/>
  <c r="F27" i="146"/>
  <c r="P38" i="146"/>
  <c r="I27" i="146"/>
  <c r="S38" i="146"/>
  <c r="AN37" i="146" l="1"/>
  <c r="AE47" i="134"/>
  <c r="AD46" i="134"/>
  <c r="AD21" i="134"/>
  <c r="O4" i="134"/>
  <c r="O6" i="134"/>
  <c r="AD35" i="134" l="1"/>
  <c r="AI42" i="146"/>
  <c r="AF42" i="146"/>
  <c r="AC42" i="146" l="1"/>
  <c r="L67" i="133" l="1"/>
  <c r="L69" i="133" s="1"/>
  <c r="AC20" i="134"/>
  <c r="AC47" i="134" s="1"/>
  <c r="AC16" i="134"/>
  <c r="AC46" i="134" s="1"/>
  <c r="AC48" i="134" l="1"/>
  <c r="AC21" i="134"/>
  <c r="AC35" i="134" s="1"/>
  <c r="AB20" i="134" l="1"/>
  <c r="AB47" i="134" s="1"/>
  <c r="AB16" i="134" l="1"/>
  <c r="AB46" i="134" s="1"/>
  <c r="AB48" i="134" s="1"/>
  <c r="AB21" i="134" l="1"/>
  <c r="AB35" i="134" s="1"/>
  <c r="D52" i="133"/>
  <c r="D68" i="133" l="1"/>
  <c r="D69" i="133" s="1"/>
  <c r="D75" i="133" s="1"/>
  <c r="D36" i="134" s="1"/>
  <c r="D65" i="133"/>
  <c r="D79" i="133" s="1"/>
  <c r="AA20" i="134"/>
  <c r="AA47" i="134" s="1"/>
  <c r="AA48" i="134" s="1"/>
  <c r="AA16" i="134"/>
  <c r="AA46" i="134" s="1"/>
  <c r="AA21" i="134" l="1"/>
  <c r="AA35" i="134" s="1"/>
  <c r="N57" i="133" l="1"/>
  <c r="Z20" i="134" l="1"/>
  <c r="Z47" i="134" s="1"/>
  <c r="I3" i="133" l="1"/>
  <c r="Z16" i="134" l="1"/>
  <c r="Z46" i="134" s="1"/>
  <c r="Z48" i="134" s="1"/>
  <c r="I31" i="134" l="1"/>
  <c r="Z21" i="134"/>
  <c r="Z35" i="134" s="1"/>
  <c r="Q42" i="146" l="1"/>
  <c r="AL42" i="146" s="1"/>
  <c r="F52" i="133" l="1"/>
  <c r="Y20" i="134"/>
  <c r="Y47" i="134" s="1"/>
  <c r="H22" i="134" l="1"/>
  <c r="H40" i="134" s="1"/>
  <c r="Y16" i="134" l="1"/>
  <c r="Y46" i="134" s="1"/>
  <c r="Y48" i="134" s="1"/>
  <c r="Y21" i="134" l="1"/>
  <c r="Y35" i="134" s="1"/>
  <c r="X20" i="134" l="1"/>
  <c r="X47" i="134" s="1"/>
  <c r="X16" i="134" l="1"/>
  <c r="X46" i="134" s="1"/>
  <c r="X48" i="134" s="1"/>
  <c r="X21" i="134" l="1"/>
  <c r="X35" i="134" s="1"/>
  <c r="AG25" i="134"/>
  <c r="F41" i="133" l="1"/>
  <c r="O5" i="134"/>
  <c r="B25" i="134"/>
  <c r="B28" i="134" l="1"/>
  <c r="B30" i="134" s="1"/>
  <c r="W16" i="134"/>
  <c r="W46" i="134" s="1"/>
  <c r="F3" i="133"/>
  <c r="W20" i="134"/>
  <c r="W47" i="134" s="1"/>
  <c r="W48" i="134" l="1"/>
  <c r="F65" i="133"/>
  <c r="W21" i="134"/>
  <c r="W35" i="134" s="1"/>
  <c r="E72" i="133" l="1"/>
  <c r="V20" i="134" l="1"/>
  <c r="V47" i="134" s="1"/>
  <c r="E74" i="133"/>
  <c r="V16" i="134" l="1"/>
  <c r="V46" i="134" s="1"/>
  <c r="V48" i="134" s="1"/>
  <c r="V21" i="134" l="1"/>
  <c r="V35" i="134" s="1"/>
  <c r="AG14" i="134" l="1"/>
  <c r="U20" i="134" l="1"/>
  <c r="U47" i="134" s="1"/>
  <c r="D22" i="134" l="1"/>
  <c r="D40" i="134" s="1"/>
  <c r="U16" i="134" l="1"/>
  <c r="U46" i="134" s="1"/>
  <c r="U48" i="134" s="1"/>
  <c r="U21" i="134" l="1"/>
  <c r="U35" i="134" s="1"/>
  <c r="N61" i="133" l="1"/>
  <c r="T20" i="134" l="1"/>
  <c r="T47" i="134" s="1"/>
  <c r="T16" i="134" l="1"/>
  <c r="T46" i="134" s="1"/>
  <c r="T48" i="134" s="1"/>
  <c r="AG26" i="134"/>
  <c r="AG5" i="134"/>
  <c r="AG4" i="134" l="1"/>
  <c r="T21" i="134"/>
  <c r="T35" i="134" s="1"/>
  <c r="AG12" i="134" l="1"/>
  <c r="AG10" i="134"/>
  <c r="AG8" i="134"/>
  <c r="AG19" i="134" l="1"/>
  <c r="AG7" i="134"/>
  <c r="AG31" i="134"/>
  <c r="AG30" i="134"/>
  <c r="AG27" i="134" l="1"/>
  <c r="B72" i="133" l="1"/>
  <c r="B71" i="133"/>
  <c r="AG18" i="134"/>
  <c r="C25" i="134"/>
  <c r="AG17" i="134" l="1"/>
  <c r="AG20" i="134" s="1"/>
  <c r="S20" i="134"/>
  <c r="S47" i="134" s="1"/>
  <c r="AG9" i="134" l="1"/>
  <c r="AG13" i="134"/>
  <c r="AG11" i="134"/>
  <c r="AG15" i="134" l="1"/>
  <c r="AE16" i="134"/>
  <c r="S16" i="134"/>
  <c r="AE46" i="134" l="1"/>
  <c r="AE21" i="134"/>
  <c r="AG6" i="134"/>
  <c r="AG16" i="134" s="1"/>
  <c r="AG21" i="134" s="1"/>
  <c r="S21" i="134"/>
  <c r="S35" i="134" s="1"/>
  <c r="AE35" i="134" l="1"/>
  <c r="M29" i="134"/>
  <c r="O10" i="134" l="1"/>
  <c r="O8" i="134"/>
  <c r="M22" i="134"/>
  <c r="K73" i="133" l="1"/>
  <c r="K72" i="133"/>
  <c r="K70" i="133"/>
  <c r="K29" i="134"/>
  <c r="J31" i="134" l="1"/>
  <c r="I73" i="133" l="1"/>
  <c r="I72" i="133"/>
  <c r="I70" i="133" l="1"/>
  <c r="I40" i="134"/>
  <c r="O26" i="134" l="1"/>
  <c r="G22" i="134" l="1"/>
  <c r="G40" i="134" s="1"/>
  <c r="F73" i="133" l="1"/>
  <c r="F72" i="133"/>
  <c r="F29" i="134"/>
  <c r="F70" i="133" l="1"/>
  <c r="F27" i="134"/>
  <c r="F31" i="134" l="1"/>
  <c r="O9" i="134" l="1"/>
  <c r="D29" i="134" l="1"/>
  <c r="D27" i="134" l="1"/>
  <c r="D31" i="134" l="1"/>
  <c r="C22" i="134" l="1"/>
  <c r="C40" i="134" s="1"/>
  <c r="D11" i="146" l="1"/>
  <c r="D44" i="146" s="1"/>
  <c r="B11" i="146"/>
  <c r="B44" i="146" s="1"/>
  <c r="D26" i="146"/>
  <c r="B26" i="146"/>
  <c r="AL44" i="146" l="1"/>
  <c r="B46" i="146"/>
  <c r="AL46" i="146" s="1"/>
  <c r="C44" i="146"/>
  <c r="D45" i="146" s="1"/>
  <c r="S2" i="134"/>
  <c r="AE2" i="134" s="1"/>
  <c r="AM8" i="146"/>
  <c r="C26" i="146"/>
  <c r="C11" i="146"/>
  <c r="C45" i="146" l="1"/>
  <c r="D46" i="146"/>
  <c r="AN45" i="146"/>
  <c r="AM45" i="146" s="1"/>
  <c r="AF25" i="134"/>
  <c r="AF26" i="134"/>
  <c r="AF30" i="134"/>
  <c r="AF31" i="134"/>
  <c r="AF27" i="134"/>
  <c r="AF4" i="134"/>
  <c r="AF7" i="134"/>
  <c r="AF23" i="134"/>
  <c r="AF14" i="134"/>
  <c r="AF5" i="134"/>
  <c r="AF19" i="134"/>
  <c r="AF8" i="134"/>
  <c r="AF10" i="134"/>
  <c r="AF12" i="134"/>
  <c r="AF18" i="134"/>
  <c r="AF17" i="134"/>
  <c r="AF20" i="134"/>
  <c r="AF11" i="134"/>
  <c r="AF9" i="134"/>
  <c r="AF15" i="134"/>
  <c r="AF13" i="134"/>
  <c r="AF6" i="134"/>
  <c r="AF16" i="134"/>
  <c r="AF22" i="134"/>
  <c r="AF21" i="134"/>
  <c r="O7" i="134"/>
  <c r="AE42" i="146"/>
  <c r="AN42" i="146" s="1"/>
  <c r="AN43" i="146" s="1"/>
  <c r="J72" i="133"/>
  <c r="AN7" i="146"/>
  <c r="AN11" i="146" s="1"/>
  <c r="B18" i="146"/>
  <c r="B27" i="146" s="1"/>
  <c r="D18" i="146"/>
  <c r="D27" i="146" s="1"/>
  <c r="AN19" i="146"/>
  <c r="AN26" i="146" s="1"/>
  <c r="J3" i="133"/>
  <c r="J67" i="133" s="1"/>
  <c r="M67" i="133"/>
  <c r="H3" i="133"/>
  <c r="F67" i="133"/>
  <c r="C3" i="133"/>
  <c r="G3" i="133"/>
  <c r="B41" i="133"/>
  <c r="C41" i="133"/>
  <c r="E41" i="133"/>
  <c r="H41" i="133"/>
  <c r="I41" i="133"/>
  <c r="J41" i="133"/>
  <c r="K41" i="133"/>
  <c r="L41" i="133"/>
  <c r="L65" i="133" s="1"/>
  <c r="L79" i="133" s="1"/>
  <c r="M41" i="133"/>
  <c r="N72" i="133"/>
  <c r="B52" i="133"/>
  <c r="C52" i="133"/>
  <c r="G52" i="133"/>
  <c r="H52" i="133"/>
  <c r="I52" i="133"/>
  <c r="J52" i="133"/>
  <c r="K52" i="133"/>
  <c r="M52" i="133"/>
  <c r="E52" i="133"/>
  <c r="E68" i="133" s="1"/>
  <c r="E69" i="133" s="1"/>
  <c r="A68" i="133"/>
  <c r="O68" i="133"/>
  <c r="P68" i="133"/>
  <c r="Q70" i="133"/>
  <c r="R70" i="133"/>
  <c r="S70" i="133"/>
  <c r="T70" i="133"/>
  <c r="U70" i="133"/>
  <c r="V70" i="133"/>
  <c r="W70" i="133"/>
  <c r="X70" i="133"/>
  <c r="Y70" i="133"/>
  <c r="Z70" i="133"/>
  <c r="AA70" i="133"/>
  <c r="AB70" i="133"/>
  <c r="AC70" i="133"/>
  <c r="AD70" i="133"/>
  <c r="AE68" i="133"/>
  <c r="AF68" i="133"/>
  <c r="AG68" i="133"/>
  <c r="AH68" i="133"/>
  <c r="AI68" i="133"/>
  <c r="AJ68" i="133"/>
  <c r="AK68" i="133"/>
  <c r="AL68" i="133"/>
  <c r="AM68" i="133"/>
  <c r="AN68" i="133"/>
  <c r="AO68" i="133"/>
  <c r="AP68" i="133"/>
  <c r="AQ68" i="133"/>
  <c r="AR68" i="133"/>
  <c r="AS68" i="133"/>
  <c r="AT68" i="133"/>
  <c r="AU68" i="133"/>
  <c r="AV68" i="133"/>
  <c r="AW68" i="133"/>
  <c r="AX68" i="133"/>
  <c r="AY68" i="133"/>
  <c r="AZ68" i="133"/>
  <c r="BA68" i="133"/>
  <c r="BB68" i="133"/>
  <c r="BC68" i="133"/>
  <c r="BD68" i="133"/>
  <c r="BE68" i="133"/>
  <c r="BF68" i="133"/>
  <c r="BG68" i="133"/>
  <c r="BH68" i="133"/>
  <c r="BI68" i="133"/>
  <c r="BJ68" i="133"/>
  <c r="BK68" i="133"/>
  <c r="BL68" i="133"/>
  <c r="BM68" i="133"/>
  <c r="BN68" i="133"/>
  <c r="BO68" i="133"/>
  <c r="BP68" i="133"/>
  <c r="BQ68" i="133"/>
  <c r="BR68" i="133"/>
  <c r="BS68" i="133"/>
  <c r="BT68" i="133"/>
  <c r="BU68" i="133"/>
  <c r="BV68" i="133"/>
  <c r="BW68" i="133"/>
  <c r="BX68" i="133"/>
  <c r="BY68" i="133"/>
  <c r="BZ68" i="133"/>
  <c r="CA68" i="133"/>
  <c r="CB68" i="133"/>
  <c r="CC68" i="133"/>
  <c r="CD68" i="133"/>
  <c r="CE68" i="133"/>
  <c r="CF68" i="133"/>
  <c r="CG68" i="133"/>
  <c r="CH68" i="133"/>
  <c r="CI68" i="133"/>
  <c r="CJ68" i="133"/>
  <c r="CK68" i="133"/>
  <c r="CL68" i="133"/>
  <c r="CM68" i="133"/>
  <c r="CN68" i="133"/>
  <c r="CO68" i="133"/>
  <c r="CP68" i="133"/>
  <c r="CQ68" i="133"/>
  <c r="CR68" i="133"/>
  <c r="CS68" i="133"/>
  <c r="CT68" i="133"/>
  <c r="CU68" i="133"/>
  <c r="CV68" i="133"/>
  <c r="CW68" i="133"/>
  <c r="CX68" i="133"/>
  <c r="CY68" i="133"/>
  <c r="CZ68" i="133"/>
  <c r="DA68" i="133"/>
  <c r="DB68" i="133"/>
  <c r="DC68" i="133"/>
  <c r="DD68" i="133"/>
  <c r="DE68" i="133"/>
  <c r="DF68" i="133"/>
  <c r="DG68" i="133"/>
  <c r="DH68" i="133"/>
  <c r="DI68" i="133"/>
  <c r="DJ68" i="133"/>
  <c r="DK68" i="133"/>
  <c r="DL68" i="133"/>
  <c r="DM68" i="133"/>
  <c r="DN68" i="133"/>
  <c r="DO68" i="133"/>
  <c r="DP68" i="133"/>
  <c r="DQ68" i="133"/>
  <c r="DR68" i="133"/>
  <c r="DS68" i="133"/>
  <c r="DT68" i="133"/>
  <c r="DU68" i="133"/>
  <c r="DV68" i="133"/>
  <c r="DW68" i="133"/>
  <c r="DX68" i="133"/>
  <c r="DY68" i="133"/>
  <c r="DZ68" i="133"/>
  <c r="EA68" i="133"/>
  <c r="EB68" i="133"/>
  <c r="EC68" i="133"/>
  <c r="ED68" i="133"/>
  <c r="EE68" i="133"/>
  <c r="EF68" i="133"/>
  <c r="EG68" i="133"/>
  <c r="EH68" i="133"/>
  <c r="EI68" i="133"/>
  <c r="EJ68" i="133"/>
  <c r="EK68" i="133"/>
  <c r="EL68" i="133"/>
  <c r="EM68" i="133"/>
  <c r="EN68" i="133"/>
  <c r="EO68" i="133"/>
  <c r="EP68" i="133"/>
  <c r="EQ68" i="133"/>
  <c r="ER68" i="133"/>
  <c r="ES68" i="133"/>
  <c r="ET68" i="133"/>
  <c r="EU68" i="133"/>
  <c r="EV68" i="133"/>
  <c r="EW68" i="133"/>
  <c r="EX68" i="133"/>
  <c r="EY68" i="133"/>
  <c r="EZ68" i="133"/>
  <c r="FA68" i="133"/>
  <c r="FB68" i="133"/>
  <c r="FC68" i="133"/>
  <c r="FD68" i="133"/>
  <c r="FE68" i="133"/>
  <c r="FF68" i="133"/>
  <c r="FG68" i="133"/>
  <c r="FH68" i="133"/>
  <c r="FI68" i="133"/>
  <c r="FJ68" i="133"/>
  <c r="FK68" i="133"/>
  <c r="FL68" i="133"/>
  <c r="FM68" i="133"/>
  <c r="FN68" i="133"/>
  <c r="FO68" i="133"/>
  <c r="FP68" i="133"/>
  <c r="FQ68" i="133"/>
  <c r="FR68" i="133"/>
  <c r="FS68" i="133"/>
  <c r="FT68" i="133"/>
  <c r="FU68" i="133"/>
  <c r="FV68" i="133"/>
  <c r="FW68" i="133"/>
  <c r="FX68" i="133"/>
  <c r="FY68" i="133"/>
  <c r="FZ68" i="133"/>
  <c r="GA68" i="133"/>
  <c r="GB68" i="133"/>
  <c r="GC68" i="133"/>
  <c r="GD68" i="133"/>
  <c r="GE68" i="133"/>
  <c r="GF68" i="133"/>
  <c r="GG68" i="133"/>
  <c r="GH68" i="133"/>
  <c r="GI68" i="133"/>
  <c r="GJ68" i="133"/>
  <c r="GK68" i="133"/>
  <c r="GL68" i="133"/>
  <c r="GM68" i="133"/>
  <c r="GN68" i="133"/>
  <c r="GO68" i="133"/>
  <c r="GP68" i="133"/>
  <c r="GQ68" i="133"/>
  <c r="GR68" i="133"/>
  <c r="GS68" i="133"/>
  <c r="GT68" i="133"/>
  <c r="GU68" i="133"/>
  <c r="GV68" i="133"/>
  <c r="GW68" i="133"/>
  <c r="GX68" i="133"/>
  <c r="GY68" i="133"/>
  <c r="GZ68" i="133"/>
  <c r="HA68" i="133"/>
  <c r="HB68" i="133"/>
  <c r="HC68" i="133"/>
  <c r="HD68" i="133"/>
  <c r="HE68" i="133"/>
  <c r="HF68" i="133"/>
  <c r="HG68" i="133"/>
  <c r="HH68" i="133"/>
  <c r="HI68" i="133"/>
  <c r="HJ68" i="133"/>
  <c r="HK68" i="133"/>
  <c r="HL68" i="133"/>
  <c r="HM68" i="133"/>
  <c r="HN68" i="133"/>
  <c r="HO68" i="133"/>
  <c r="HP68" i="133"/>
  <c r="HQ68" i="133"/>
  <c r="HR68" i="133"/>
  <c r="HS68" i="133"/>
  <c r="HT68" i="133"/>
  <c r="HU68" i="133"/>
  <c r="HV68" i="133"/>
  <c r="HW68" i="133"/>
  <c r="HX68" i="133"/>
  <c r="HY68" i="133"/>
  <c r="HZ68" i="133"/>
  <c r="IA68" i="133"/>
  <c r="IB68" i="133"/>
  <c r="IC68" i="133"/>
  <c r="ID68" i="133"/>
  <c r="IE68" i="133"/>
  <c r="IF68" i="133"/>
  <c r="IG68" i="133"/>
  <c r="IH68" i="133"/>
  <c r="II68" i="133"/>
  <c r="IJ68" i="133"/>
  <c r="IK68" i="133"/>
  <c r="IL68" i="133"/>
  <c r="IM68" i="133"/>
  <c r="IN68" i="133"/>
  <c r="IO68" i="133"/>
  <c r="IP68" i="133"/>
  <c r="IQ68" i="133"/>
  <c r="IR68" i="133"/>
  <c r="IS68" i="133"/>
  <c r="IT68" i="133"/>
  <c r="O69" i="133"/>
  <c r="P69" i="133"/>
  <c r="Q71" i="133"/>
  <c r="R71" i="133"/>
  <c r="S71" i="133"/>
  <c r="T71" i="133"/>
  <c r="U71" i="133"/>
  <c r="V71" i="133"/>
  <c r="W71" i="133"/>
  <c r="X71" i="133"/>
  <c r="Y71" i="133"/>
  <c r="Z71" i="133"/>
  <c r="AA71" i="133"/>
  <c r="AB71" i="133"/>
  <c r="AC71" i="133"/>
  <c r="AD71" i="133"/>
  <c r="AE69" i="133"/>
  <c r="AF69" i="133"/>
  <c r="AG69" i="133"/>
  <c r="AH69" i="133"/>
  <c r="AI69" i="133"/>
  <c r="AJ69" i="133"/>
  <c r="AK69" i="133"/>
  <c r="AL69" i="133"/>
  <c r="AM69" i="133"/>
  <c r="AN69" i="133"/>
  <c r="AO69" i="133"/>
  <c r="AP69" i="133"/>
  <c r="AQ69" i="133"/>
  <c r="AR69" i="133"/>
  <c r="AS69" i="133"/>
  <c r="AT69" i="133"/>
  <c r="AU69" i="133"/>
  <c r="AV69" i="133"/>
  <c r="AW69" i="133"/>
  <c r="AX69" i="133"/>
  <c r="AY69" i="133"/>
  <c r="AZ69" i="133"/>
  <c r="BA69" i="133"/>
  <c r="BB69" i="133"/>
  <c r="BC69" i="133"/>
  <c r="BD69" i="133"/>
  <c r="BE69" i="133"/>
  <c r="BF69" i="133"/>
  <c r="BG69" i="133"/>
  <c r="BH69" i="133"/>
  <c r="BI69" i="133"/>
  <c r="BJ69" i="133"/>
  <c r="BK69" i="133"/>
  <c r="BL69" i="133"/>
  <c r="BM69" i="133"/>
  <c r="BN69" i="133"/>
  <c r="BO69" i="133"/>
  <c r="BP69" i="133"/>
  <c r="BQ69" i="133"/>
  <c r="BR69" i="133"/>
  <c r="BS69" i="133"/>
  <c r="BT69" i="133"/>
  <c r="BU69" i="133"/>
  <c r="BV69" i="133"/>
  <c r="BW69" i="133"/>
  <c r="BX69" i="133"/>
  <c r="BY69" i="133"/>
  <c r="BZ69" i="133"/>
  <c r="CA69" i="133"/>
  <c r="CB69" i="133"/>
  <c r="CC69" i="133"/>
  <c r="CD69" i="133"/>
  <c r="CE69" i="133"/>
  <c r="CF69" i="133"/>
  <c r="CG69" i="133"/>
  <c r="CH69" i="133"/>
  <c r="CI69" i="133"/>
  <c r="CJ69" i="133"/>
  <c r="CK69" i="133"/>
  <c r="CL69" i="133"/>
  <c r="CM69" i="133"/>
  <c r="CN69" i="133"/>
  <c r="CO69" i="133"/>
  <c r="CP69" i="133"/>
  <c r="CQ69" i="133"/>
  <c r="CR69" i="133"/>
  <c r="CS69" i="133"/>
  <c r="CT69" i="133"/>
  <c r="CU69" i="133"/>
  <c r="CV69" i="133"/>
  <c r="CW69" i="133"/>
  <c r="CX69" i="133"/>
  <c r="CY69" i="133"/>
  <c r="CZ69" i="133"/>
  <c r="DA69" i="133"/>
  <c r="DB69" i="133"/>
  <c r="DC69" i="133"/>
  <c r="DD69" i="133"/>
  <c r="DE69" i="133"/>
  <c r="DF69" i="133"/>
  <c r="DG69" i="133"/>
  <c r="DH69" i="133"/>
  <c r="DI69" i="133"/>
  <c r="DJ69" i="133"/>
  <c r="DK69" i="133"/>
  <c r="DL69" i="133"/>
  <c r="DM69" i="133"/>
  <c r="DN69" i="133"/>
  <c r="DO69" i="133"/>
  <c r="DP69" i="133"/>
  <c r="DQ69" i="133"/>
  <c r="DR69" i="133"/>
  <c r="DS69" i="133"/>
  <c r="DT69" i="133"/>
  <c r="DU69" i="133"/>
  <c r="DV69" i="133"/>
  <c r="DW69" i="133"/>
  <c r="DX69" i="133"/>
  <c r="DY69" i="133"/>
  <c r="DZ69" i="133"/>
  <c r="EA69" i="133"/>
  <c r="EB69" i="133"/>
  <c r="EC69" i="133"/>
  <c r="ED69" i="133"/>
  <c r="EE69" i="133"/>
  <c r="EF69" i="133"/>
  <c r="EG69" i="133"/>
  <c r="EH69" i="133"/>
  <c r="EI69" i="133"/>
  <c r="EJ69" i="133"/>
  <c r="EK69" i="133"/>
  <c r="EL69" i="133"/>
  <c r="EM69" i="133"/>
  <c r="EN69" i="133"/>
  <c r="EO69" i="133"/>
  <c r="EP69" i="133"/>
  <c r="EQ69" i="133"/>
  <c r="ER69" i="133"/>
  <c r="ES69" i="133"/>
  <c r="ET69" i="133"/>
  <c r="EU69" i="133"/>
  <c r="EV69" i="133"/>
  <c r="EW69" i="133"/>
  <c r="EX69" i="133"/>
  <c r="EY69" i="133"/>
  <c r="EZ69" i="133"/>
  <c r="FA69" i="133"/>
  <c r="FB69" i="133"/>
  <c r="FC69" i="133"/>
  <c r="FD69" i="133"/>
  <c r="FE69" i="133"/>
  <c r="FF69" i="133"/>
  <c r="FG69" i="133"/>
  <c r="FH69" i="133"/>
  <c r="FI69" i="133"/>
  <c r="FJ69" i="133"/>
  <c r="FK69" i="133"/>
  <c r="FL69" i="133"/>
  <c r="FM69" i="133"/>
  <c r="FN69" i="133"/>
  <c r="FO69" i="133"/>
  <c r="FP69" i="133"/>
  <c r="FQ69" i="133"/>
  <c r="FR69" i="133"/>
  <c r="FS69" i="133"/>
  <c r="FT69" i="133"/>
  <c r="FU69" i="133"/>
  <c r="FV69" i="133"/>
  <c r="FW69" i="133"/>
  <c r="FX69" i="133"/>
  <c r="FY69" i="133"/>
  <c r="FZ69" i="133"/>
  <c r="GA69" i="133"/>
  <c r="GB69" i="133"/>
  <c r="GC69" i="133"/>
  <c r="GD69" i="133"/>
  <c r="GE69" i="133"/>
  <c r="GF69" i="133"/>
  <c r="GG69" i="133"/>
  <c r="GH69" i="133"/>
  <c r="GI69" i="133"/>
  <c r="GJ69" i="133"/>
  <c r="GK69" i="133"/>
  <c r="GL69" i="133"/>
  <c r="GM69" i="133"/>
  <c r="GN69" i="133"/>
  <c r="GO69" i="133"/>
  <c r="GP69" i="133"/>
  <c r="GQ69" i="133"/>
  <c r="GR69" i="133"/>
  <c r="GS69" i="133"/>
  <c r="GT69" i="133"/>
  <c r="GU69" i="133"/>
  <c r="GV69" i="133"/>
  <c r="GW69" i="133"/>
  <c r="GX69" i="133"/>
  <c r="GY69" i="133"/>
  <c r="GZ69" i="133"/>
  <c r="HA69" i="133"/>
  <c r="HB69" i="133"/>
  <c r="HC69" i="133"/>
  <c r="HD69" i="133"/>
  <c r="HE69" i="133"/>
  <c r="HF69" i="133"/>
  <c r="HG69" i="133"/>
  <c r="HH69" i="133"/>
  <c r="HI69" i="133"/>
  <c r="HJ69" i="133"/>
  <c r="HK69" i="133"/>
  <c r="HL69" i="133"/>
  <c r="HM69" i="133"/>
  <c r="HN69" i="133"/>
  <c r="HO69" i="133"/>
  <c r="HP69" i="133"/>
  <c r="HQ69" i="133"/>
  <c r="HR69" i="133"/>
  <c r="HS69" i="133"/>
  <c r="HT69" i="133"/>
  <c r="HU69" i="133"/>
  <c r="HV69" i="133"/>
  <c r="HW69" i="133"/>
  <c r="HX69" i="133"/>
  <c r="HY69" i="133"/>
  <c r="HZ69" i="133"/>
  <c r="IA69" i="133"/>
  <c r="IB69" i="133"/>
  <c r="IC69" i="133"/>
  <c r="ID69" i="133"/>
  <c r="IE69" i="133"/>
  <c r="IF69" i="133"/>
  <c r="IG69" i="133"/>
  <c r="IH69" i="133"/>
  <c r="II69" i="133"/>
  <c r="IJ69" i="133"/>
  <c r="IK69" i="133"/>
  <c r="IL69" i="133"/>
  <c r="IM69" i="133"/>
  <c r="IN69" i="133"/>
  <c r="IO69" i="133"/>
  <c r="IP69" i="133"/>
  <c r="IQ69" i="133"/>
  <c r="IR69" i="133"/>
  <c r="IS69" i="133"/>
  <c r="IT69" i="133"/>
  <c r="M70" i="133"/>
  <c r="C71" i="133"/>
  <c r="F71" i="133"/>
  <c r="G71" i="133"/>
  <c r="I71" i="133"/>
  <c r="J71" i="133"/>
  <c r="K71" i="133"/>
  <c r="M71" i="133"/>
  <c r="G72" i="133"/>
  <c r="L72" i="133"/>
  <c r="L74" i="133" s="1"/>
  <c r="L75" i="133" s="1"/>
  <c r="L36" i="134" s="1"/>
  <c r="M72" i="133"/>
  <c r="G73" i="133"/>
  <c r="M73" i="133"/>
  <c r="O13" i="134"/>
  <c r="O14" i="134"/>
  <c r="O15" i="134"/>
  <c r="O21" i="134"/>
  <c r="L22" i="134"/>
  <c r="L40" i="134" s="1"/>
  <c r="D25" i="134"/>
  <c r="D24" i="134" s="1"/>
  <c r="E25" i="134"/>
  <c r="F25" i="134"/>
  <c r="G25" i="134"/>
  <c r="G24" i="134" s="1"/>
  <c r="G28" i="134" s="1"/>
  <c r="G30" i="134" s="1"/>
  <c r="H25" i="134"/>
  <c r="I25" i="134"/>
  <c r="K25" i="134"/>
  <c r="L25" i="134"/>
  <c r="M25" i="134"/>
  <c r="O25" i="134"/>
  <c r="C27" i="134"/>
  <c r="K27" i="134"/>
  <c r="M27" i="134"/>
  <c r="C29" i="134"/>
  <c r="H29" i="134"/>
  <c r="G70" i="133"/>
  <c r="G41" i="133"/>
  <c r="O20" i="134"/>
  <c r="B3" i="133"/>
  <c r="O18" i="134"/>
  <c r="O29" i="134"/>
  <c r="I67" i="133"/>
  <c r="O12" i="134"/>
  <c r="O11" i="134"/>
  <c r="O17" i="134"/>
  <c r="O19" i="134"/>
  <c r="O16" i="134"/>
  <c r="AN44" i="146" l="1"/>
  <c r="AN29" i="146"/>
  <c r="AM29" i="146" s="1"/>
  <c r="D39" i="146"/>
  <c r="D29" i="146"/>
  <c r="C46" i="146"/>
  <c r="AN46" i="146"/>
  <c r="AM46" i="146" s="1"/>
  <c r="S29" i="134"/>
  <c r="S45" i="134" s="1"/>
  <c r="B68" i="133"/>
  <c r="B67" i="133"/>
  <c r="S28" i="134"/>
  <c r="I65" i="133"/>
  <c r="AD32" i="134"/>
  <c r="AE29" i="134"/>
  <c r="AD45" i="134"/>
  <c r="AD48" i="134" s="1"/>
  <c r="K65" i="133"/>
  <c r="K79" i="133" s="1"/>
  <c r="I79" i="133"/>
  <c r="L76" i="133"/>
  <c r="N74" i="133"/>
  <c r="M65" i="133"/>
  <c r="M79" i="133" s="1"/>
  <c r="J68" i="133"/>
  <c r="J69" i="133" s="1"/>
  <c r="J65" i="133"/>
  <c r="E65" i="133"/>
  <c r="E79" i="133" s="1"/>
  <c r="H65" i="133"/>
  <c r="H79" i="133" s="1"/>
  <c r="G65" i="133"/>
  <c r="G79" i="133" s="1"/>
  <c r="C65" i="133"/>
  <c r="C79" i="133" s="1"/>
  <c r="B65" i="133"/>
  <c r="B79" i="133" s="1"/>
  <c r="D38" i="146"/>
  <c r="K40" i="134"/>
  <c r="J74" i="133"/>
  <c r="H67" i="133"/>
  <c r="H68" i="133"/>
  <c r="C74" i="133"/>
  <c r="M68" i="133"/>
  <c r="N41" i="133"/>
  <c r="N3" i="133"/>
  <c r="N52" i="133"/>
  <c r="K67" i="133"/>
  <c r="K68" i="133"/>
  <c r="I68" i="133"/>
  <c r="I69" i="133" s="1"/>
  <c r="G68" i="133"/>
  <c r="W32" i="134"/>
  <c r="W39" i="134" s="1"/>
  <c r="W41" i="134" s="1"/>
  <c r="G67" i="133"/>
  <c r="AM22" i="146"/>
  <c r="E24" i="134"/>
  <c r="E28" i="134" s="1"/>
  <c r="E30" i="134" s="1"/>
  <c r="C67" i="133"/>
  <c r="M24" i="134"/>
  <c r="O22" i="134"/>
  <c r="C31" i="134"/>
  <c r="C24" i="134"/>
  <c r="M31" i="134"/>
  <c r="K74" i="133"/>
  <c r="K31" i="134"/>
  <c r="K24" i="134"/>
  <c r="I74" i="133"/>
  <c r="I28" i="134"/>
  <c r="I30" i="134" s="1"/>
  <c r="F24" i="134"/>
  <c r="F68" i="133"/>
  <c r="F79" i="133"/>
  <c r="F74" i="133"/>
  <c r="AM7" i="146"/>
  <c r="D28" i="134"/>
  <c r="D30" i="134" s="1"/>
  <c r="D37" i="134" s="1"/>
  <c r="H31" i="134"/>
  <c r="L24" i="134"/>
  <c r="L28" i="134" s="1"/>
  <c r="L30" i="134" s="1"/>
  <c r="L37" i="134" s="1"/>
  <c r="AM17" i="146"/>
  <c r="AM10" i="146"/>
  <c r="AM16" i="146"/>
  <c r="AM6" i="146"/>
  <c r="AM13" i="146"/>
  <c r="AM20" i="146"/>
  <c r="AM25" i="146"/>
  <c r="AM15" i="146"/>
  <c r="AM19" i="146"/>
  <c r="AM21" i="146"/>
  <c r="AM14" i="146"/>
  <c r="C18" i="146"/>
  <c r="AM5" i="146"/>
  <c r="AM9" i="146"/>
  <c r="C68" i="133"/>
  <c r="G74" i="133"/>
  <c r="M74" i="133"/>
  <c r="H24" i="134"/>
  <c r="B69" i="133" l="1"/>
  <c r="B75" i="133" s="1"/>
  <c r="B36" i="134" s="1"/>
  <c r="B37" i="134" s="1"/>
  <c r="S44" i="134"/>
  <c r="S48" i="134" s="1"/>
  <c r="AE28" i="134"/>
  <c r="AE44" i="134" s="1"/>
  <c r="J30" i="134"/>
  <c r="N28" i="134"/>
  <c r="AM44" i="146"/>
  <c r="AD33" i="134"/>
  <c r="AD39" i="134"/>
  <c r="AD41" i="134" s="1"/>
  <c r="AE32" i="134"/>
  <c r="AE45" i="134"/>
  <c r="N67" i="133"/>
  <c r="N68" i="133"/>
  <c r="AN27" i="146"/>
  <c r="AO27" i="146" s="1"/>
  <c r="U32" i="134"/>
  <c r="U39" i="134" s="1"/>
  <c r="U41" i="134" s="1"/>
  <c r="V32" i="134"/>
  <c r="V39" i="134" s="1"/>
  <c r="V41" i="134" s="1"/>
  <c r="T32" i="134"/>
  <c r="T39" i="134" s="1"/>
  <c r="T41" i="134" s="1"/>
  <c r="J75" i="133"/>
  <c r="J36" i="134" s="1"/>
  <c r="M69" i="133"/>
  <c r="M75" i="133" s="1"/>
  <c r="M36" i="134" s="1"/>
  <c r="M37" i="134" s="1"/>
  <c r="X32" i="134"/>
  <c r="X39" i="134" s="1"/>
  <c r="X41" i="134" s="1"/>
  <c r="H69" i="133"/>
  <c r="H75" i="133" s="1"/>
  <c r="H36" i="134" s="1"/>
  <c r="O24" i="134"/>
  <c r="N65" i="133"/>
  <c r="N79" i="133" s="1"/>
  <c r="N80" i="133" s="1"/>
  <c r="O31" i="134"/>
  <c r="C69" i="133"/>
  <c r="C75" i="133" s="1"/>
  <c r="C36" i="134" s="1"/>
  <c r="K69" i="133"/>
  <c r="K75" i="133" s="1"/>
  <c r="K36" i="134" s="1"/>
  <c r="K37" i="134" s="1"/>
  <c r="AC32" i="134"/>
  <c r="AC39" i="134" s="1"/>
  <c r="AC41" i="134" s="1"/>
  <c r="J79" i="133"/>
  <c r="AB32" i="134"/>
  <c r="AB39" i="134" s="1"/>
  <c r="AB41" i="134" s="1"/>
  <c r="AA32" i="134"/>
  <c r="AA39" i="134" s="1"/>
  <c r="AA41" i="134" s="1"/>
  <c r="Z32" i="134"/>
  <c r="Z39" i="134" s="1"/>
  <c r="Z41" i="134" s="1"/>
  <c r="Y32" i="134"/>
  <c r="Y39" i="134" s="1"/>
  <c r="Y41" i="134" s="1"/>
  <c r="G69" i="133"/>
  <c r="G75" i="133" s="1"/>
  <c r="G36" i="134" s="1"/>
  <c r="G37" i="134" s="1"/>
  <c r="W33" i="134"/>
  <c r="E75" i="133"/>
  <c r="E36" i="134" s="1"/>
  <c r="E37" i="134" s="1"/>
  <c r="S32" i="134"/>
  <c r="S39" i="134" s="1"/>
  <c r="S41" i="134" s="1"/>
  <c r="F28" i="134"/>
  <c r="F30" i="134" s="1"/>
  <c r="I75" i="133"/>
  <c r="I36" i="134" s="1"/>
  <c r="I37" i="134" s="1"/>
  <c r="K28" i="134"/>
  <c r="K30" i="134" s="1"/>
  <c r="F69" i="133"/>
  <c r="F75" i="133" s="1"/>
  <c r="F36" i="134" s="1"/>
  <c r="F37" i="134" s="1"/>
  <c r="AM26" i="146"/>
  <c r="O27" i="134"/>
  <c r="C27" i="146"/>
  <c r="AM11" i="146"/>
  <c r="H28" i="134"/>
  <c r="H30" i="134" s="1"/>
  <c r="M28" i="134"/>
  <c r="M30" i="134" s="1"/>
  <c r="C28" i="134"/>
  <c r="AE48" i="134" l="1"/>
  <c r="J37" i="134"/>
  <c r="AN39" i="146"/>
  <c r="AN40" i="146" s="1"/>
  <c r="AE33" i="134"/>
  <c r="AE39" i="134"/>
  <c r="AE41" i="134" s="1"/>
  <c r="H37" i="134"/>
  <c r="AG29" i="134"/>
  <c r="AG28" i="134"/>
  <c r="M76" i="133"/>
  <c r="K76" i="133"/>
  <c r="AN38" i="146"/>
  <c r="AO36" i="146"/>
  <c r="AP31" i="146"/>
  <c r="J76" i="133"/>
  <c r="AN41" i="146"/>
  <c r="N69" i="133"/>
  <c r="N75" i="133" s="1"/>
  <c r="N36" i="134" s="1"/>
  <c r="V33" i="134"/>
  <c r="T33" i="134"/>
  <c r="X33" i="134"/>
  <c r="AF28" i="134"/>
  <c r="AF29" i="134"/>
  <c r="S33" i="134"/>
  <c r="S34" i="134" s="1"/>
  <c r="AC33" i="134"/>
  <c r="AB33" i="134"/>
  <c r="AA33" i="134"/>
  <c r="Z33" i="134"/>
  <c r="Y33" i="134"/>
  <c r="U33" i="134"/>
  <c r="AM27" i="146"/>
  <c r="C30" i="134"/>
  <c r="C37" i="134" s="1"/>
  <c r="N30" i="134" l="1"/>
  <c r="N37" i="134" s="1"/>
  <c r="O28" i="134"/>
  <c r="O30" i="134" l="1"/>
  <c r="AG24" i="134" l="1"/>
  <c r="AG32" i="134" s="1"/>
  <c r="AF24" i="134"/>
  <c r="AF32" i="134" l="1"/>
  <c r="AF33" i="134" l="1"/>
</calcChain>
</file>

<file path=xl/sharedStrings.xml><?xml version="1.0" encoding="utf-8"?>
<sst xmlns="http://schemas.openxmlformats.org/spreadsheetml/2006/main" count="618" uniqueCount="324">
  <si>
    <t>Total</t>
  </si>
  <si>
    <t>HDPE</t>
  </si>
  <si>
    <t xml:space="preserve"> </t>
  </si>
  <si>
    <t>May</t>
  </si>
  <si>
    <t>Nov</t>
  </si>
  <si>
    <t>Dec</t>
  </si>
  <si>
    <t>Jan</t>
  </si>
  <si>
    <t>Feb</t>
  </si>
  <si>
    <t>Mar</t>
  </si>
  <si>
    <t>Oct</t>
  </si>
  <si>
    <t>Rate</t>
  </si>
  <si>
    <t>Value</t>
  </si>
  <si>
    <t>Apr</t>
  </si>
  <si>
    <t>Jun</t>
  </si>
  <si>
    <t>Jul</t>
  </si>
  <si>
    <t>Aug</t>
  </si>
  <si>
    <t>Sep</t>
  </si>
  <si>
    <t>CP</t>
  </si>
  <si>
    <t>Grand Total</t>
  </si>
  <si>
    <t>Direct Expns</t>
  </si>
  <si>
    <t>Total Expns</t>
  </si>
  <si>
    <t>Average</t>
  </si>
  <si>
    <t>Indirect</t>
  </si>
  <si>
    <t>Deprn</t>
  </si>
  <si>
    <t>Fabrn</t>
  </si>
  <si>
    <t>Employees Remunaration &amp; Benefits</t>
  </si>
  <si>
    <t>Depreciation</t>
  </si>
  <si>
    <t>Fabrication Charges - B-Lore.</t>
  </si>
  <si>
    <t>Factory Repairs &amp; Maintanance</t>
  </si>
  <si>
    <t>Forwarding Charges Paid</t>
  </si>
  <si>
    <t>Freight Inwards</t>
  </si>
  <si>
    <t>Packing Materials (Consumables)</t>
  </si>
  <si>
    <t>Processing Charges</t>
  </si>
  <si>
    <t>Rent</t>
  </si>
  <si>
    <t>Yarn Processing Charges</t>
  </si>
  <si>
    <t>Insurance on Assets</t>
  </si>
  <si>
    <t>Repair &amp; Maintenance AMC</t>
  </si>
  <si>
    <t>Particulars</t>
  </si>
  <si>
    <t>MB</t>
  </si>
  <si>
    <t>TOTAL</t>
  </si>
  <si>
    <t>Kgs</t>
  </si>
  <si>
    <t>In House Fabrn</t>
  </si>
  <si>
    <t>Group Summary</t>
  </si>
  <si>
    <t>Manufacturing Expenses</t>
  </si>
  <si>
    <t>Indirect Expenses</t>
  </si>
  <si>
    <t>Administrative Expenses</t>
  </si>
  <si>
    <t>Vehicle Four Wheelers Expenses</t>
  </si>
  <si>
    <t>Audit Fees</t>
  </si>
  <si>
    <t>Books &amp; Periodical</t>
  </si>
  <si>
    <t>Computer Stores &amp; Maint.</t>
  </si>
  <si>
    <t>Conveyance Charges</t>
  </si>
  <si>
    <t>Donation</t>
  </si>
  <si>
    <t>General Expenses</t>
  </si>
  <si>
    <t>General Repairs &amp; Maintanance</t>
  </si>
  <si>
    <t>Medical Expenses</t>
  </si>
  <si>
    <t>Office Maintenance</t>
  </si>
  <si>
    <t>Pooja Expenses</t>
  </si>
  <si>
    <t>Postage,Tel, Telex Charges</t>
  </si>
  <si>
    <t>Printing &amp; Stationary</t>
  </si>
  <si>
    <t>Professional Charges</t>
  </si>
  <si>
    <t>Professional Consultation Charges</t>
  </si>
  <si>
    <t>Rates &amp; Taxes</t>
  </si>
  <si>
    <t>Registration &amp; Renewal</t>
  </si>
  <si>
    <t>Round Off (+-)</t>
  </si>
  <si>
    <t>Seminar, Training, Dvpt. Exp.</t>
  </si>
  <si>
    <t>Subscription &amp; Membership</t>
  </si>
  <si>
    <t>TDS - Interest on TDS</t>
  </si>
  <si>
    <t>Telephone Charges-Airtel</t>
  </si>
  <si>
    <t>Telephone Charges-BSNL</t>
  </si>
  <si>
    <t>Watch &amp; Ward</t>
  </si>
  <si>
    <t>Financial Expenses</t>
  </si>
  <si>
    <t>Bank Charges</t>
  </si>
  <si>
    <t>Interest &amp; Bank Charges -ILC</t>
  </si>
  <si>
    <t>Interest on Car Loans</t>
  </si>
  <si>
    <t>Interest on O.C.C</t>
  </si>
  <si>
    <t>Interest to Depositors</t>
  </si>
  <si>
    <t>Selling Expenses</t>
  </si>
  <si>
    <t>Advertisement</t>
  </si>
  <si>
    <t>Debit Balances Written Off</t>
  </si>
  <si>
    <t>Gift Articles</t>
  </si>
  <si>
    <t>Marketing Expenses</t>
  </si>
  <si>
    <t>Sales Promotion</t>
  </si>
  <si>
    <t>Travelling Expenses</t>
  </si>
  <si>
    <t>MSN</t>
  </si>
  <si>
    <t>TSN</t>
  </si>
  <si>
    <t>Mediclaim Exps</t>
  </si>
  <si>
    <t>Income Tax Exps</t>
  </si>
  <si>
    <t>Software maintenance</t>
  </si>
  <si>
    <t xml:space="preserve">       VEHICLE MAINTENANCE</t>
  </si>
  <si>
    <t>Commission on sales</t>
  </si>
  <si>
    <t>Admn</t>
  </si>
  <si>
    <t>W Cap Int</t>
  </si>
  <si>
    <t>Term Loan</t>
  </si>
  <si>
    <t>Int On Others</t>
  </si>
  <si>
    <t>FIN Cost</t>
  </si>
  <si>
    <t>Indirect COST</t>
  </si>
  <si>
    <t>Trading</t>
  </si>
  <si>
    <t>MAY</t>
  </si>
  <si>
    <t>NOV</t>
  </si>
  <si>
    <t>DEC</t>
  </si>
  <si>
    <t>JAN</t>
  </si>
  <si>
    <t>FEB</t>
  </si>
  <si>
    <t>Consumables</t>
  </si>
  <si>
    <t>Loan Processing charges</t>
  </si>
  <si>
    <t xml:space="preserve">Discount Allowed </t>
  </si>
  <si>
    <t>Interest on PNB Housing Finance</t>
  </si>
  <si>
    <t>P/L</t>
  </si>
  <si>
    <t>MCF</t>
  </si>
  <si>
    <t>Misc</t>
  </si>
  <si>
    <t>APRIL</t>
  </si>
  <si>
    <t>JUNE</t>
  </si>
  <si>
    <t>JULY</t>
  </si>
  <si>
    <t>AUGUST</t>
  </si>
  <si>
    <t>SEPT</t>
  </si>
  <si>
    <t>MARCH</t>
  </si>
  <si>
    <t>PPS</t>
  </si>
  <si>
    <t>Arrears of Tax</t>
  </si>
  <si>
    <t>ITC Reversal 2018-19</t>
  </si>
  <si>
    <t xml:space="preserve">  </t>
  </si>
  <si>
    <t>Transportation charges</t>
  </si>
  <si>
    <t>ITC Reversed</t>
  </si>
  <si>
    <t>Manufacturing</t>
  </si>
  <si>
    <t>Indirect W/o Fin</t>
  </si>
  <si>
    <t>Outwards Qty</t>
  </si>
  <si>
    <t>Amount</t>
  </si>
  <si>
    <t>Finished Goods</t>
  </si>
  <si>
    <t>WMF</t>
  </si>
  <si>
    <t>PP Woven Sacks</t>
  </si>
  <si>
    <t>Knitted Fabric 8" Red/60" D Green</t>
  </si>
  <si>
    <t>MONOFILAMENT FABRIC INSECT BAGS</t>
  </si>
  <si>
    <t>MONOFILAMENT FABRIC INSECT NET</t>
  </si>
  <si>
    <t>HDPE Monofilament Waste</t>
  </si>
  <si>
    <t>Grand total:</t>
  </si>
  <si>
    <t>Avg</t>
  </si>
  <si>
    <t>Discount</t>
  </si>
  <si>
    <t>Electricity &amp; power</t>
  </si>
  <si>
    <t>Building Repair &amp; Maintence Exp</t>
  </si>
  <si>
    <t>COVID LOAN Int</t>
  </si>
  <si>
    <t>MONTH</t>
  </si>
  <si>
    <t>tax</t>
  </si>
  <si>
    <t>TCS</t>
  </si>
  <si>
    <t>Gross sales</t>
  </si>
  <si>
    <t>Other Income</t>
  </si>
  <si>
    <t>In House Qty</t>
  </si>
  <si>
    <t>Fabricators Qty</t>
  </si>
  <si>
    <t>Misc Monofil Purchases</t>
  </si>
  <si>
    <t>Yarn Processing Qty (In &amp; Out)</t>
  </si>
  <si>
    <t>PAL I- FINAL SALES +Less Waste  &amp; Discount</t>
  </si>
  <si>
    <t>Credit Note</t>
  </si>
  <si>
    <t>Freight Outwards/Ocean Freight</t>
  </si>
  <si>
    <t>RM Purchase for sales</t>
  </si>
  <si>
    <t>Sales extract value</t>
  </si>
  <si>
    <t>Sales extract kgs</t>
  </si>
  <si>
    <t>P/L sales</t>
  </si>
  <si>
    <t>MONOFILAMENT FABRIC  HAPPA</t>
  </si>
  <si>
    <t>Cooli &amp; Cartage</t>
  </si>
  <si>
    <t>Audit Fees GST</t>
  </si>
  <si>
    <t>Interest on Unsecured Loans (Monthly)</t>
  </si>
  <si>
    <t>OCT</t>
  </si>
  <si>
    <t>Fluctuation In Foreign Currency</t>
  </si>
  <si>
    <t>Fabrication charges</t>
  </si>
  <si>
    <t>Yarn Processing charges</t>
  </si>
  <si>
    <t>Freight Inward</t>
  </si>
  <si>
    <t>Power Bill</t>
  </si>
  <si>
    <t>R &amp; M-Machinery</t>
  </si>
  <si>
    <t>R &amp; M-Electricals</t>
  </si>
  <si>
    <t>Packing charges</t>
  </si>
  <si>
    <t>Employees welfare exp</t>
  </si>
  <si>
    <t>Directors Remuneration</t>
  </si>
  <si>
    <t>Admn Expns</t>
  </si>
  <si>
    <t>Selling Expns</t>
  </si>
  <si>
    <t>Working Capital-OCC</t>
  </si>
  <si>
    <t>Working Capital-LC</t>
  </si>
  <si>
    <t>Finance Cost-Int On Deposits</t>
  </si>
  <si>
    <t>Working Capital-Bank Charges</t>
  </si>
  <si>
    <t>FIXED EXPNS</t>
  </si>
  <si>
    <t>VARIABLE &amp; DIRECT EXPNS</t>
  </si>
  <si>
    <t>Wages-Yarn</t>
  </si>
  <si>
    <t>Wages-Fabric</t>
  </si>
  <si>
    <t>Less Fabrn</t>
  </si>
  <si>
    <t>Interest to others (VSL)</t>
  </si>
  <si>
    <t>Wages-Inspection &amp; Dispatch</t>
  </si>
  <si>
    <t>Interest On Term Loan</t>
  </si>
  <si>
    <t>Medical Exps</t>
  </si>
  <si>
    <t>Salaries Office</t>
  </si>
  <si>
    <t>Repairs &amp; Service Charges</t>
  </si>
  <si>
    <t>Packing Materials / Old use Batteries</t>
  </si>
  <si>
    <t xml:space="preserve"> Freight charges</t>
  </si>
  <si>
    <t>YTD</t>
  </si>
  <si>
    <t>Sale of Asset Etc</t>
  </si>
  <si>
    <t>Flexible Intermediate Bulk Container</t>
  </si>
  <si>
    <t>Installation &amp; Programming Charges</t>
  </si>
  <si>
    <t>Tempo 6749</t>
  </si>
  <si>
    <t>Leyland 8979</t>
  </si>
  <si>
    <t>SantaFe</t>
  </si>
  <si>
    <t>Tata 407</t>
  </si>
  <si>
    <t>Ertiga</t>
  </si>
  <si>
    <t>Celerio</t>
  </si>
  <si>
    <t>Brezza</t>
  </si>
  <si>
    <t>Veh Expns</t>
  </si>
  <si>
    <t>Hyundai I10</t>
  </si>
  <si>
    <t>Hyundai I20</t>
  </si>
  <si>
    <t>Master Batch</t>
  </si>
  <si>
    <t>RCM Freight paid</t>
  </si>
  <si>
    <t>NWF/Yarn / Twisted Yarn</t>
  </si>
  <si>
    <t xml:space="preserve">      Contract/Consultancy Service Chrgs 18%</t>
  </si>
  <si>
    <t>Fabrication Charges-M/H &amp; TN</t>
  </si>
  <si>
    <t xml:space="preserve">Weed Mat </t>
  </si>
  <si>
    <t>Colour Pigment</t>
  </si>
  <si>
    <t>Finance Cost-Int On Term Loan</t>
  </si>
  <si>
    <t>Lab Testing Charges</t>
  </si>
  <si>
    <t>HD -Discount</t>
  </si>
  <si>
    <t>RM -Disc</t>
  </si>
  <si>
    <t>Monofil Fabric Sales</t>
  </si>
  <si>
    <t>ANTI BIRD NET / Rope/MULCH/FIBC</t>
  </si>
  <si>
    <t>Priyadarshini Filaments Pvt Ltd</t>
  </si>
  <si>
    <t>#16, IVth Main, Indl Town,</t>
  </si>
  <si>
    <t>W.O.C Road,Rajajinagar,</t>
  </si>
  <si>
    <t>Bengaluru-560010.</t>
  </si>
  <si>
    <t>E-Mail : contact@priyafil.com</t>
  </si>
  <si>
    <t>SRAVYA TEXTILES LIMITED</t>
  </si>
  <si>
    <t>Movement Analysis</t>
  </si>
  <si>
    <t>1-May-25 to 31-May-25</t>
  </si>
  <si>
    <t>1-Jun-25 to 30-Jun-25</t>
  </si>
  <si>
    <t>1-Jul-25 to 31-Jul-25</t>
  </si>
  <si>
    <t>1-Aug-25 to 31-Aug-25</t>
  </si>
  <si>
    <t>1-Sep-25 to 30-Sep-25</t>
  </si>
  <si>
    <t>1-Oct-25 to 31-Oct-25</t>
  </si>
  <si>
    <t/>
  </si>
  <si>
    <t>Purchases</t>
  </si>
  <si>
    <t>Quantity</t>
  </si>
  <si>
    <t>20 Mesh MQ120"BLUE</t>
  </si>
  <si>
    <t>20 MeshMQ120" SF BLUE</t>
  </si>
  <si>
    <t>20 Mesh MQ120"White</t>
  </si>
  <si>
    <t>20MQ 42" BLUE</t>
  </si>
  <si>
    <t>20 MQ 42" White</t>
  </si>
  <si>
    <t>20 MQ 48" Blue</t>
  </si>
  <si>
    <t>24 LQ 42" Black</t>
  </si>
  <si>
    <t>24 LQ 60" Black</t>
  </si>
  <si>
    <t>24MESHLQ84BLACK</t>
  </si>
  <si>
    <t>40 Mesh MQ96"White</t>
  </si>
  <si>
    <t>40 MQ 120" WHITE</t>
  </si>
  <si>
    <t>40 MQ 48" White</t>
  </si>
  <si>
    <t>40MQ60white</t>
  </si>
  <si>
    <t>1-Nov-25 to 30-Nov-25</t>
  </si>
  <si>
    <t>Sravya</t>
  </si>
  <si>
    <t>Other Purchases</t>
  </si>
  <si>
    <t>Monofil Fabric Purchase</t>
  </si>
  <si>
    <t>Yarn Purchase</t>
  </si>
  <si>
    <t>Mono Fabric Pur</t>
  </si>
  <si>
    <t>Weed Mat</t>
  </si>
  <si>
    <t>TOTAL TRADING PURCHASES</t>
  </si>
  <si>
    <t>RAW MATERIALS:</t>
  </si>
  <si>
    <t>QTY IN KGS.</t>
  </si>
  <si>
    <t>BASIC RATE</t>
  </si>
  <si>
    <t>BASIC VALUE</t>
  </si>
  <si>
    <r>
      <t>Incr/</t>
    </r>
    <r>
      <rPr>
        <sz val="11"/>
        <color rgb="FFFF0000"/>
        <rFont val="Trebuchet MS"/>
        <family val="2"/>
      </rPr>
      <t>(Decr)</t>
    </r>
    <r>
      <rPr>
        <sz val="11"/>
        <rFont val="Trebuchet MS"/>
        <family val="2"/>
      </rPr>
      <t>Stk</t>
    </r>
  </si>
  <si>
    <t>Stk frm Tarka as om 01 Apr(Srp)</t>
  </si>
  <si>
    <t>Physical</t>
  </si>
  <si>
    <t>HDPE Granules</t>
  </si>
  <si>
    <t>Master Batches</t>
  </si>
  <si>
    <t>Colour Pigments</t>
  </si>
  <si>
    <t>Work in Progress</t>
  </si>
  <si>
    <t>HDPE Tape - Factory</t>
  </si>
  <si>
    <t>HDPE Tape - Job Work</t>
  </si>
  <si>
    <t>FINISHED GOODS:</t>
  </si>
  <si>
    <t>HDPE Fishnet Fabrics</t>
  </si>
  <si>
    <t>Monofilament Shade Net -MSN</t>
  </si>
  <si>
    <t>Tape Shade Net-TSN</t>
  </si>
  <si>
    <t>PP Fabric &amp; Sacks</t>
  </si>
  <si>
    <t>Miscellaneous</t>
  </si>
  <si>
    <t>Trading Total</t>
  </si>
  <si>
    <t>S Dr</t>
  </si>
  <si>
    <t>Packing Materials</t>
  </si>
  <si>
    <t>LC &amp; Cr</t>
  </si>
  <si>
    <t>Seconds</t>
  </si>
  <si>
    <t>SFG/FG</t>
  </si>
  <si>
    <t>Diff in SFG/FG</t>
  </si>
  <si>
    <t>Month</t>
  </si>
  <si>
    <t>Monofil</t>
  </si>
  <si>
    <t>SFG RM (FIFO)</t>
  </si>
  <si>
    <t>Bank Cl Stk Value</t>
  </si>
  <si>
    <t>FG RM (FIFO)</t>
  </si>
  <si>
    <t>YARN</t>
  </si>
  <si>
    <t>Rm</t>
  </si>
  <si>
    <t>Costing Report</t>
  </si>
  <si>
    <t>SFG</t>
  </si>
  <si>
    <t>CSV Report</t>
  </si>
  <si>
    <t>FG</t>
  </si>
  <si>
    <t>FABRIC</t>
  </si>
  <si>
    <t>Manufacturing SFG/FG</t>
  </si>
  <si>
    <t>Trading SFG/FG</t>
  </si>
  <si>
    <t>1-Dec-25 to 31-Dec-25</t>
  </si>
  <si>
    <t>20 Mesh HQ48" White (Juicer)</t>
  </si>
  <si>
    <t>RM</t>
  </si>
  <si>
    <t>PL</t>
  </si>
  <si>
    <t>PL cons</t>
  </si>
  <si>
    <t>1-Jan-26 to 31-Jan-26</t>
  </si>
  <si>
    <t>20 MQ 60" White</t>
  </si>
  <si>
    <t>con</t>
  </si>
  <si>
    <t>Tr</t>
  </si>
  <si>
    <t>Dis</t>
  </si>
  <si>
    <t>1-Feb-26 to 28-Feb-26</t>
  </si>
  <si>
    <t>Variable-Yarn Cost</t>
  </si>
  <si>
    <t>Variable-Fabric Cost</t>
  </si>
  <si>
    <t>Variable-Trading</t>
  </si>
  <si>
    <t>Variable-Finance</t>
  </si>
  <si>
    <t>Fixed Cost</t>
  </si>
  <si>
    <t>Fixed  Expns Break up</t>
  </si>
  <si>
    <t>Salaries</t>
  </si>
  <si>
    <t>Selling</t>
  </si>
  <si>
    <t>Deprnn</t>
  </si>
  <si>
    <t>Interest</t>
  </si>
  <si>
    <t>Wages</t>
  </si>
  <si>
    <t>1-Mar-26 to 31-Mar-26</t>
  </si>
  <si>
    <t>20 MQ 48" Black</t>
  </si>
  <si>
    <t>20 MQ 48" Green</t>
  </si>
  <si>
    <t>Bank Stock Statement</t>
  </si>
  <si>
    <t>Opening Stock 01 Apr 26</t>
  </si>
  <si>
    <t>40 Mesh HQ165" Milky White</t>
  </si>
  <si>
    <t>1-Apr-26 to 30-Apr-26</t>
  </si>
  <si>
    <t>1-Apr-26 to 31-Mar-27</t>
  </si>
  <si>
    <t>Sales From Monofil Trading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</si>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</sst>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43" formatCode="_ * #,##0.00_ ;_ * \-#,##0.00_ ;_ * &quot;-&quot;??_ ;_ @_ "/>
    <numFmt numFmtId="164" formatCode="_(* #,##0.00_);_(* \(#,##0.00\);_(* &quot;-&quot;??_);_(@_)"/>
    <numFmt numFmtId="165" formatCode="0.0"/>
    <numFmt numFmtId="166" formatCode="0.00_);\(0.00\)"/>
    <numFmt numFmtId="167" formatCode="0.0%"/>
    <numFmt numFmtId="168" formatCode="0.0_);\(0.0\)"/>
    <numFmt numFmtId="169" formatCode="&quot;&quot;0.00"/>
    <numFmt numFmtId="170" formatCode="&quot;&quot;0"/>
    <numFmt numFmtId="171" formatCode="_(* #,##0_);_(* \(#,##0\);_(* &quot;-&quot;??_);_(@_)"/>
    <numFmt numFmtId="172" formatCode="_(* #,##0.0_);_(* \(#,##0.0\);_(* &quot;-&quot;??_);_(@_)"/>
    <numFmt numFmtId="173" formatCode="0.00;[Red]0.00"/>
    <numFmt numFmtId="174" formatCode="0.00000000000"/>
    <numFmt numFmtId="175" formatCode="0.000"/>
    <numFmt numFmtId="176" formatCode="&quot;&quot;0.0"/>
    <numFmt numFmtId="177" formatCode="0.00;\(0.00\)"/>
    <numFmt numFmtId="178" formatCode="0.00_);[Red]\(0.00\)"/>
    <numFmt numFmtId="179" formatCode="0.00_);[Red]\(##,##0.00\)"/>
    <numFmt numFmtId="180" formatCode="0_ ;\(0\)"/>
    <numFmt numFmtId="181" formatCode="&quot;&quot;0.00&quot; Kgs.&quot;"/>
    <numFmt numFmtId="182" formatCode="0.0_);[Red]\(0.0\)"/>
    <numFmt numFmtId="183" formatCode="0.0%;[Red]\(0.0%\)"/>
    <numFmt numFmtId="184" formatCode="0.00_ ;\-0.00\ "/>
    <numFmt numFmtId="185" formatCode="0.00_ ;\(0.00\)\ "/>
    <numFmt numFmtId="186" formatCode="0_ ;\(0\)\ "/>
    <numFmt numFmtId="187" formatCode="0.\o0_);\(0.00\)"/>
    <numFmt numFmtId="188" formatCode="0.0_ ;\(0.0\)\ "/>
    <numFmt numFmtId="189" formatCode="0.000_ ;\(0.000\)\ "/>
    <numFmt numFmtId="190" formatCode="_ * #,##0_ ;_ * \-#,##0_ ;_ * &quot;-&quot;??_ ;_ @_ "/>
    <numFmt numFmtId="191" formatCode="_ * #,##0.0_ ;_ * \-#,##0.0_ ;_ * &quot;-&quot;??_ ;_ @_ "/>
    <numFmt numFmtId="192" formatCode="0_);\(0\)"/>
    <numFmt numFmtId="193" formatCode="0.0;\(0.0\)"/>
    <numFmt numFmtId="194" formatCode="[&gt;99999]##\,##\,##0;[&lt;99999]\(##\,##\,##0\);##,##0"/>
    <numFmt numFmtId="195" formatCode="[&gt;999999]##\,##\,##\,##0;[&lt;99999]\(##\,##\,##\,##0\);#,###,##0"/>
    <numFmt numFmtId="196" formatCode="0.000000"/>
  </numFmts>
  <fonts count="5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Trebuchet MS"/>
      <family val="2"/>
    </font>
    <font>
      <b/>
      <sz val="11"/>
      <name val="Trebuchet MS"/>
      <family val="2"/>
    </font>
    <font>
      <sz val="9"/>
      <name val="Arial"/>
      <family val="2"/>
    </font>
    <font>
      <b/>
      <sz val="9"/>
      <name val="Arial"/>
      <family val="2"/>
    </font>
    <font>
      <i/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b/>
      <i/>
      <sz val="10"/>
      <name val="Arial"/>
      <family val="2"/>
    </font>
    <font>
      <sz val="10"/>
      <name val="Trebuchet MS"/>
      <family val="2"/>
    </font>
    <font>
      <i/>
      <sz val="9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i/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rebuchet MS"/>
      <family val="2"/>
    </font>
    <font>
      <sz val="10"/>
      <color theme="1"/>
      <name val="Trebuchet MS"/>
      <family val="2"/>
    </font>
    <font>
      <i/>
      <sz val="10"/>
      <color theme="1"/>
      <name val="Arial"/>
      <family val="2"/>
    </font>
    <font>
      <sz val="10"/>
      <color theme="1"/>
      <name val="Tahoma"/>
      <family val="2"/>
    </font>
    <font>
      <sz val="11"/>
      <color rgb="FF000000"/>
      <name val="Comic Sans MS"/>
      <family val="4"/>
    </font>
    <font>
      <sz val="10"/>
      <color rgb="FF000000"/>
      <name val="Comic Sans MS"/>
      <family val="4"/>
    </font>
    <font>
      <b/>
      <sz val="10"/>
      <color theme="1"/>
      <name val="Tahoma"/>
      <family val="2"/>
    </font>
    <font>
      <b/>
      <sz val="10"/>
      <color rgb="FF00B05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color rgb="FFFF0000"/>
      <name val="Tahoma"/>
      <family val="2"/>
    </font>
    <font>
      <b/>
      <sz val="9"/>
      <color theme="1"/>
      <name val="Trebuchet MS"/>
      <family val="2"/>
    </font>
    <font>
      <b/>
      <u/>
      <sz val="9"/>
      <color theme="1"/>
      <name val="Trebuchet MS"/>
      <family val="2"/>
    </font>
    <font>
      <b/>
      <sz val="9"/>
      <name val="Trebuchet MS"/>
      <family val="2"/>
    </font>
    <font>
      <sz val="9"/>
      <color theme="1"/>
      <name val="Trebuchet MS"/>
      <family val="2"/>
    </font>
    <font>
      <sz val="9"/>
      <name val="Trebuchet MS"/>
      <family val="2"/>
    </font>
    <font>
      <b/>
      <sz val="10"/>
      <name val="Trebuchet MS"/>
      <family val="2"/>
    </font>
    <font>
      <b/>
      <sz val="10"/>
      <color theme="1"/>
      <name val="Trebuchet MS"/>
      <family val="2"/>
    </font>
    <font>
      <sz val="9"/>
      <color rgb="FFFF0000"/>
      <name val="Trebuchet MS"/>
      <family val="2"/>
    </font>
    <font>
      <sz val="10"/>
      <color rgb="FFFF0000"/>
      <name val="Trebuchet MS"/>
      <family val="2"/>
    </font>
    <font>
      <sz val="9"/>
      <color theme="1" tint="4.9989318521683403E-2"/>
      <name val="Trebuchet MS"/>
      <family val="2"/>
    </font>
    <font>
      <sz val="10"/>
      <color rgb="FFFF0000"/>
      <name val="Arial"/>
      <family val="2"/>
    </font>
    <font>
      <sz val="11"/>
      <color rgb="FFFF0000"/>
      <name val="Trebuchet MS"/>
      <family val="2"/>
    </font>
    <font>
      <b/>
      <sz val="11"/>
      <color rgb="FF000000"/>
      <name val="Calibri"/>
      <family val="2"/>
    </font>
    <font>
      <b/>
      <i/>
      <sz val="11"/>
      <name val="Trebuchet MS"/>
      <family val="2"/>
    </font>
    <font>
      <i/>
      <sz val="12"/>
      <name val="Trebuchet MS"/>
      <family val="2"/>
    </font>
    <font>
      <i/>
      <sz val="11"/>
      <name val="Trebuchet MS"/>
      <family val="2"/>
    </font>
    <font>
      <b/>
      <sz val="11"/>
      <color rgb="FFFF0000"/>
      <name val="Trebuchet MS"/>
      <family val="2"/>
    </font>
    <font>
      <b/>
      <i/>
      <sz val="12"/>
      <name val="Trebuchet MS"/>
      <family val="2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EB9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theme="0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17" fillId="0" borderId="0"/>
    <xf numFmtId="9" fontId="2" fillId="0" borderId="0" applyFont="0" applyFill="0" applyBorder="0" applyAlignment="0" applyProtection="0"/>
  </cellStyleXfs>
  <cellXfs count="916">
    <xf numFmtId="0" fontId="0" fillId="0" borderId="0" xfId="0"/>
    <xf numFmtId="165" fontId="0" fillId="0" borderId="0" xfId="0" applyNumberFormat="1"/>
    <xf numFmtId="0" fontId="3" fillId="0" borderId="0" xfId="0" applyFont="1"/>
    <xf numFmtId="2" fontId="0" fillId="0" borderId="0" xfId="0" applyNumberFormat="1"/>
    <xf numFmtId="1" fontId="0" fillId="0" borderId="0" xfId="0" applyNumberFormat="1"/>
    <xf numFmtId="0" fontId="5" fillId="0" borderId="0" xfId="0" applyFont="1"/>
    <xf numFmtId="0" fontId="6" fillId="0" borderId="0" xfId="0" applyFont="1"/>
    <xf numFmtId="49" fontId="19" fillId="0" borderId="0" xfId="0" applyNumberFormat="1" applyFont="1" applyAlignment="1">
      <alignment horizontal="left" vertical="top" indent="2"/>
    </xf>
    <xf numFmtId="0" fontId="0" fillId="0" borderId="27" xfId="0" applyBorder="1"/>
    <xf numFmtId="0" fontId="0" fillId="0" borderId="13" xfId="0" applyBorder="1"/>
    <xf numFmtId="0" fontId="0" fillId="0" borderId="17" xfId="0" applyBorder="1"/>
    <xf numFmtId="0" fontId="0" fillId="0" borderId="45" xfId="0" applyBorder="1"/>
    <xf numFmtId="0" fontId="16" fillId="0" borderId="0" xfId="0" applyFont="1" applyAlignment="1">
      <alignment vertical="top"/>
    </xf>
    <xf numFmtId="49" fontId="20" fillId="0" borderId="15" xfId="0" applyNumberFormat="1" applyFont="1" applyBorder="1" applyAlignment="1">
      <alignment horizontal="left" vertical="top" indent="2"/>
    </xf>
    <xf numFmtId="49" fontId="19" fillId="0" borderId="15" xfId="0" applyNumberFormat="1" applyFont="1" applyBorder="1" applyAlignment="1">
      <alignment horizontal="center" vertical="top" wrapText="1"/>
    </xf>
    <xf numFmtId="49" fontId="21" fillId="0" borderId="0" xfId="0" applyNumberFormat="1" applyFont="1" applyAlignment="1">
      <alignment horizontal="left" vertical="top" indent="2"/>
    </xf>
    <xf numFmtId="49" fontId="20" fillId="0" borderId="1" xfId="0" applyNumberFormat="1" applyFont="1" applyBorder="1" applyAlignment="1">
      <alignment horizontal="left" vertical="top" indent="2"/>
    </xf>
    <xf numFmtId="0" fontId="0" fillId="0" borderId="10" xfId="0" applyBorder="1"/>
    <xf numFmtId="0" fontId="4" fillId="0" borderId="0" xfId="0" applyFont="1"/>
    <xf numFmtId="2" fontId="4" fillId="0" borderId="0" xfId="0" applyNumberFormat="1" applyFont="1"/>
    <xf numFmtId="49" fontId="21" fillId="0" borderId="0" xfId="0" applyNumberFormat="1" applyFont="1" applyAlignment="1">
      <alignment horizontal="left" vertical="top"/>
    </xf>
    <xf numFmtId="169" fontId="21" fillId="0" borderId="0" xfId="0" applyNumberFormat="1" applyFont="1" applyAlignment="1">
      <alignment horizontal="right" vertical="top"/>
    </xf>
    <xf numFmtId="2" fontId="0" fillId="0" borderId="15" xfId="0" applyNumberFormat="1" applyBorder="1"/>
    <xf numFmtId="49" fontId="20" fillId="0" borderId="8" xfId="0" applyNumberFormat="1" applyFont="1" applyBorder="1" applyAlignment="1">
      <alignment vertical="top"/>
    </xf>
    <xf numFmtId="169" fontId="20" fillId="0" borderId="7" xfId="0" applyNumberFormat="1" applyFont="1" applyBorder="1" applyAlignment="1">
      <alignment horizontal="right" vertical="top"/>
    </xf>
    <xf numFmtId="169" fontId="0" fillId="0" borderId="0" xfId="0" applyNumberFormat="1"/>
    <xf numFmtId="1" fontId="4" fillId="0" borderId="0" xfId="0" applyNumberFormat="1" applyFont="1"/>
    <xf numFmtId="0" fontId="4" fillId="0" borderId="6" xfId="0" applyFont="1" applyBorder="1"/>
    <xf numFmtId="0" fontId="0" fillId="0" borderId="25" xfId="0" applyBorder="1"/>
    <xf numFmtId="49" fontId="21" fillId="0" borderId="1" xfId="0" applyNumberFormat="1" applyFont="1" applyBorder="1" applyAlignment="1">
      <alignment horizontal="center" vertical="top" wrapText="1"/>
    </xf>
    <xf numFmtId="169" fontId="19" fillId="0" borderId="45" xfId="0" applyNumberFormat="1" applyFont="1" applyBorder="1" applyAlignment="1">
      <alignment horizontal="right" vertical="top"/>
    </xf>
    <xf numFmtId="2" fontId="20" fillId="0" borderId="7" xfId="0" applyNumberFormat="1" applyFont="1" applyBorder="1" applyAlignment="1">
      <alignment horizontal="right" vertical="top"/>
    </xf>
    <xf numFmtId="169" fontId="21" fillId="0" borderId="45" xfId="0" applyNumberFormat="1" applyFont="1" applyBorder="1" applyAlignment="1">
      <alignment horizontal="right" vertical="top"/>
    </xf>
    <xf numFmtId="169" fontId="20" fillId="0" borderId="48" xfId="0" applyNumberFormat="1" applyFont="1" applyBorder="1" applyAlignment="1">
      <alignment horizontal="right" vertical="top"/>
    </xf>
    <xf numFmtId="0" fontId="0" fillId="0" borderId="0" xfId="0" applyProtection="1">
      <protection locked="0"/>
    </xf>
    <xf numFmtId="0" fontId="10" fillId="0" borderId="64" xfId="0" applyFont="1" applyBorder="1" applyProtection="1">
      <protection locked="0"/>
    </xf>
    <xf numFmtId="0" fontId="11" fillId="0" borderId="16" xfId="0" applyFont="1" applyBorder="1" applyAlignment="1" applyProtection="1">
      <alignment horizontal="center" vertical="center"/>
      <protection locked="0"/>
    </xf>
    <xf numFmtId="0" fontId="11" fillId="0" borderId="17" xfId="0" applyFont="1" applyBorder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center" vertical="center"/>
      <protection locked="0"/>
    </xf>
    <xf numFmtId="0" fontId="11" fillId="0" borderId="18" xfId="0" applyFont="1" applyBorder="1" applyAlignment="1" applyProtection="1">
      <alignment horizontal="center" vertical="center"/>
      <protection locked="0"/>
    </xf>
    <xf numFmtId="0" fontId="11" fillId="0" borderId="36" xfId="0" applyFont="1" applyBorder="1" applyAlignment="1" applyProtection="1">
      <alignment horizontal="center" vertical="center"/>
      <protection locked="0"/>
    </xf>
    <xf numFmtId="0" fontId="11" fillId="0" borderId="19" xfId="0" applyFont="1" applyBorder="1" applyAlignment="1" applyProtection="1">
      <alignment horizontal="center" vertical="center"/>
      <protection locked="0"/>
    </xf>
    <xf numFmtId="0" fontId="10" fillId="0" borderId="9" xfId="0" applyFont="1" applyBorder="1" applyProtection="1">
      <protection locked="0"/>
    </xf>
    <xf numFmtId="165" fontId="10" fillId="0" borderId="5" xfId="0" applyNumberFormat="1" applyFont="1" applyBorder="1" applyProtection="1">
      <protection locked="0"/>
    </xf>
    <xf numFmtId="165" fontId="0" fillId="0" borderId="10" xfId="0" applyNumberFormat="1" applyBorder="1" applyProtection="1">
      <protection locked="0"/>
    </xf>
    <xf numFmtId="2" fontId="0" fillId="0" borderId="5" xfId="0" applyNumberFormat="1" applyBorder="1" applyProtection="1">
      <protection locked="0"/>
    </xf>
    <xf numFmtId="2" fontId="0" fillId="0" borderId="11" xfId="0" applyNumberFormat="1" applyBorder="1" applyProtection="1">
      <protection locked="0"/>
    </xf>
    <xf numFmtId="165" fontId="0" fillId="0" borderId="41" xfId="0" applyNumberFormat="1" applyBorder="1" applyProtection="1">
      <protection locked="0"/>
    </xf>
    <xf numFmtId="2" fontId="0" fillId="0" borderId="42" xfId="0" applyNumberFormat="1" applyBorder="1" applyProtection="1">
      <protection locked="0"/>
    </xf>
    <xf numFmtId="165" fontId="10" fillId="0" borderId="10" xfId="0" applyNumberFormat="1" applyFont="1" applyBorder="1" applyProtection="1">
      <protection locked="0"/>
    </xf>
    <xf numFmtId="0" fontId="10" fillId="0" borderId="12" xfId="0" applyFont="1" applyBorder="1" applyProtection="1">
      <protection locked="0"/>
    </xf>
    <xf numFmtId="165" fontId="10" fillId="0" borderId="1" xfId="0" applyNumberFormat="1" applyFont="1" applyBorder="1" applyProtection="1">
      <protection locked="0"/>
    </xf>
    <xf numFmtId="2" fontId="0" fillId="0" borderId="1" xfId="0" applyNumberFormat="1" applyBorder="1" applyProtection="1">
      <protection locked="0"/>
    </xf>
    <xf numFmtId="165" fontId="0" fillId="0" borderId="54" xfId="0" applyNumberFormat="1" applyBorder="1" applyProtection="1">
      <protection locked="0"/>
    </xf>
    <xf numFmtId="165" fontId="10" fillId="0" borderId="13" xfId="0" applyNumberFormat="1" applyFont="1" applyBorder="1" applyProtection="1">
      <protection locked="0"/>
    </xf>
    <xf numFmtId="2" fontId="10" fillId="0" borderId="1" xfId="0" applyNumberFormat="1" applyFont="1" applyBorder="1" applyProtection="1">
      <protection locked="0"/>
    </xf>
    <xf numFmtId="165" fontId="10" fillId="0" borderId="54" xfId="0" applyNumberFormat="1" applyFont="1" applyBorder="1" applyProtection="1">
      <protection locked="0"/>
    </xf>
    <xf numFmtId="0" fontId="10" fillId="0" borderId="37" xfId="0" applyFont="1" applyBorder="1" applyProtection="1">
      <protection locked="0"/>
    </xf>
    <xf numFmtId="0" fontId="11" fillId="0" borderId="8" xfId="0" applyFont="1" applyBorder="1" applyProtection="1">
      <protection locked="0"/>
    </xf>
    <xf numFmtId="165" fontId="11" fillId="0" borderId="7" xfId="0" applyNumberFormat="1" applyFont="1" applyBorder="1" applyProtection="1">
      <protection locked="0"/>
    </xf>
    <xf numFmtId="165" fontId="11" fillId="0" borderId="6" xfId="0" applyNumberFormat="1" applyFont="1" applyBorder="1" applyProtection="1">
      <protection locked="0"/>
    </xf>
    <xf numFmtId="2" fontId="11" fillId="0" borderId="7" xfId="0" applyNumberFormat="1" applyFont="1" applyBorder="1" applyProtection="1">
      <protection locked="0"/>
    </xf>
    <xf numFmtId="2" fontId="11" fillId="0" borderId="21" xfId="0" applyNumberFormat="1" applyFont="1" applyBorder="1" applyProtection="1">
      <protection locked="0"/>
    </xf>
    <xf numFmtId="2" fontId="11" fillId="0" borderId="20" xfId="0" applyNumberFormat="1" applyFont="1" applyBorder="1" applyProtection="1">
      <protection locked="0"/>
    </xf>
    <xf numFmtId="0" fontId="10" fillId="0" borderId="0" xfId="0" applyFont="1" applyProtection="1">
      <protection locked="0"/>
    </xf>
    <xf numFmtId="2" fontId="10" fillId="0" borderId="0" xfId="0" applyNumberFormat="1" applyFont="1" applyProtection="1">
      <protection locked="0"/>
    </xf>
    <xf numFmtId="165" fontId="0" fillId="0" borderId="0" xfId="0" applyNumberFormat="1" applyProtection="1">
      <protection locked="0"/>
    </xf>
    <xf numFmtId="2" fontId="0" fillId="0" borderId="0" xfId="0" applyNumberFormat="1" applyProtection="1">
      <protection locked="0"/>
    </xf>
    <xf numFmtId="0" fontId="11" fillId="0" borderId="8" xfId="0" applyFont="1" applyBorder="1" applyAlignment="1" applyProtection="1">
      <alignment horizontal="center" vertical="center"/>
      <protection locked="0"/>
    </xf>
    <xf numFmtId="2" fontId="10" fillId="0" borderId="5" xfId="0" applyNumberFormat="1" applyFont="1" applyBorder="1" applyProtection="1">
      <protection locked="0"/>
    </xf>
    <xf numFmtId="49" fontId="20" fillId="0" borderId="47" xfId="0" applyNumberFormat="1" applyFont="1" applyBorder="1" applyAlignment="1">
      <alignment vertical="top"/>
    </xf>
    <xf numFmtId="169" fontId="20" fillId="0" borderId="51" xfId="0" applyNumberFormat="1" applyFont="1" applyBorder="1" applyAlignment="1">
      <alignment horizontal="right" vertical="top"/>
    </xf>
    <xf numFmtId="169" fontId="0" fillId="0" borderId="27" xfId="0" applyNumberFormat="1" applyBorder="1"/>
    <xf numFmtId="49" fontId="20" fillId="0" borderId="8" xfId="0" applyNumberFormat="1" applyFont="1" applyBorder="1" applyAlignment="1">
      <alignment horizontal="left" vertical="top" indent="2"/>
    </xf>
    <xf numFmtId="169" fontId="20" fillId="0" borderId="20" xfId="0" applyNumberFormat="1" applyFont="1" applyBorder="1" applyAlignment="1">
      <alignment horizontal="right" vertical="top"/>
    </xf>
    <xf numFmtId="2" fontId="20" fillId="0" borderId="31" xfId="0" applyNumberFormat="1" applyFont="1" applyBorder="1" applyAlignment="1">
      <alignment horizontal="right" vertical="top"/>
    </xf>
    <xf numFmtId="169" fontId="21" fillId="0" borderId="27" xfId="0" applyNumberFormat="1" applyFont="1" applyBorder="1" applyAlignment="1">
      <alignment horizontal="right" vertical="top"/>
    </xf>
    <xf numFmtId="0" fontId="0" fillId="0" borderId="0" xfId="0" applyAlignment="1">
      <alignment horizontal="right"/>
    </xf>
    <xf numFmtId="167" fontId="4" fillId="0" borderId="0" xfId="3" applyNumberFormat="1" applyFont="1" applyAlignment="1">
      <alignment horizontal="center"/>
    </xf>
    <xf numFmtId="167" fontId="4" fillId="0" borderId="0" xfId="0" applyNumberFormat="1" applyFont="1" applyAlignment="1">
      <alignment horizontal="center"/>
    </xf>
    <xf numFmtId="169" fontId="19" fillId="0" borderId="27" xfId="0" applyNumberFormat="1" applyFont="1" applyBorder="1" applyAlignment="1">
      <alignment horizontal="right" vertical="top"/>
    </xf>
    <xf numFmtId="169" fontId="4" fillId="0" borderId="0" xfId="0" applyNumberFormat="1" applyFont="1"/>
    <xf numFmtId="2" fontId="12" fillId="0" borderId="0" xfId="0" applyNumberFormat="1" applyFont="1"/>
    <xf numFmtId="169" fontId="21" fillId="0" borderId="5" xfId="0" applyNumberFormat="1" applyFont="1" applyBorder="1" applyAlignment="1">
      <alignment horizontal="right" vertical="top"/>
    </xf>
    <xf numFmtId="166" fontId="4" fillId="0" borderId="0" xfId="0" applyNumberFormat="1" applyFont="1"/>
    <xf numFmtId="169" fontId="23" fillId="0" borderId="1" xfId="0" applyNumberFormat="1" applyFont="1" applyBorder="1"/>
    <xf numFmtId="170" fontId="21" fillId="0" borderId="0" xfId="0" applyNumberFormat="1" applyFont="1" applyAlignment="1">
      <alignment horizontal="right" vertical="top"/>
    </xf>
    <xf numFmtId="169" fontId="20" fillId="0" borderId="0" xfId="0" applyNumberFormat="1" applyFont="1" applyAlignment="1">
      <alignment horizontal="right" vertical="top"/>
    </xf>
    <xf numFmtId="169" fontId="20" fillId="0" borderId="4" xfId="0" applyNumberFormat="1" applyFont="1" applyBorder="1" applyAlignment="1">
      <alignment horizontal="right" vertical="top"/>
    </xf>
    <xf numFmtId="169" fontId="21" fillId="0" borderId="69" xfId="0" applyNumberFormat="1" applyFont="1" applyBorder="1" applyAlignment="1">
      <alignment horizontal="right" vertical="top"/>
    </xf>
    <xf numFmtId="0" fontId="4" fillId="0" borderId="6" xfId="0" applyFont="1" applyBorder="1" applyAlignment="1">
      <alignment horizontal="center"/>
    </xf>
    <xf numFmtId="0" fontId="4" fillId="0" borderId="8" xfId="0" applyFont="1" applyBorder="1"/>
    <xf numFmtId="170" fontId="21" fillId="0" borderId="63" xfId="0" applyNumberFormat="1" applyFont="1" applyBorder="1" applyAlignment="1">
      <alignment horizontal="right" vertical="top"/>
    </xf>
    <xf numFmtId="170" fontId="21" fillId="0" borderId="69" xfId="0" applyNumberFormat="1" applyFont="1" applyBorder="1" applyAlignment="1">
      <alignment horizontal="right" vertical="top"/>
    </xf>
    <xf numFmtId="170" fontId="21" fillId="0" borderId="27" xfId="0" applyNumberFormat="1" applyFont="1" applyBorder="1" applyAlignment="1">
      <alignment horizontal="right" vertical="top"/>
    </xf>
    <xf numFmtId="170" fontId="21" fillId="0" borderId="45" xfId="0" applyNumberFormat="1" applyFont="1" applyBorder="1" applyAlignment="1">
      <alignment horizontal="right" vertical="top"/>
    </xf>
    <xf numFmtId="169" fontId="4" fillId="0" borderId="3" xfId="0" applyNumberFormat="1" applyFont="1" applyBorder="1"/>
    <xf numFmtId="2" fontId="10" fillId="0" borderId="10" xfId="0" applyNumberFormat="1" applyFont="1" applyBorder="1" applyProtection="1">
      <protection locked="0"/>
    </xf>
    <xf numFmtId="169" fontId="4" fillId="0" borderId="7" xfId="0" applyNumberFormat="1" applyFont="1" applyBorder="1"/>
    <xf numFmtId="0" fontId="0" fillId="0" borderId="51" xfId="0" applyBorder="1"/>
    <xf numFmtId="169" fontId="19" fillId="0" borderId="0" xfId="0" applyNumberFormat="1" applyFont="1" applyAlignment="1">
      <alignment horizontal="right" vertical="top"/>
    </xf>
    <xf numFmtId="166" fontId="0" fillId="0" borderId="5" xfId="0" applyNumberFormat="1" applyBorder="1" applyProtection="1">
      <protection locked="0"/>
    </xf>
    <xf numFmtId="165" fontId="4" fillId="0" borderId="41" xfId="0" applyNumberFormat="1" applyFont="1" applyBorder="1" applyProtection="1">
      <protection locked="0"/>
    </xf>
    <xf numFmtId="166" fontId="4" fillId="0" borderId="42" xfId="0" applyNumberFormat="1" applyFont="1" applyBorder="1" applyProtection="1">
      <protection locked="0"/>
    </xf>
    <xf numFmtId="172" fontId="4" fillId="0" borderId="0" xfId="1" applyNumberFormat="1" applyFont="1" applyBorder="1" applyProtection="1">
      <protection locked="0"/>
    </xf>
    <xf numFmtId="164" fontId="4" fillId="0" borderId="0" xfId="1" applyFont="1" applyBorder="1" applyProtection="1">
      <protection locked="0"/>
    </xf>
    <xf numFmtId="169" fontId="20" fillId="0" borderId="27" xfId="0" applyNumberFormat="1" applyFont="1" applyBorder="1" applyAlignment="1">
      <alignment horizontal="right" vertical="top"/>
    </xf>
    <xf numFmtId="169" fontId="14" fillId="0" borderId="27" xfId="0" applyNumberFormat="1" applyFont="1" applyBorder="1" applyAlignment="1">
      <alignment horizontal="right" vertical="top"/>
    </xf>
    <xf numFmtId="169" fontId="19" fillId="0" borderId="46" xfId="0" applyNumberFormat="1" applyFont="1" applyBorder="1" applyAlignment="1">
      <alignment horizontal="right" vertical="top"/>
    </xf>
    <xf numFmtId="2" fontId="4" fillId="4" borderId="57" xfId="0" applyNumberFormat="1" applyFont="1" applyFill="1" applyBorder="1"/>
    <xf numFmtId="2" fontId="20" fillId="0" borderId="0" xfId="0" applyNumberFormat="1" applyFont="1" applyAlignment="1">
      <alignment horizontal="right" vertical="top"/>
    </xf>
    <xf numFmtId="49" fontId="20" fillId="0" borderId="0" xfId="0" applyNumberFormat="1" applyFont="1" applyAlignment="1">
      <alignment horizontal="center" vertical="center"/>
    </xf>
    <xf numFmtId="169" fontId="20" fillId="0" borderId="42" xfId="0" applyNumberFormat="1" applyFont="1" applyBorder="1" applyAlignment="1">
      <alignment horizontal="center" vertical="center"/>
    </xf>
    <xf numFmtId="169" fontId="20" fillId="0" borderId="5" xfId="0" applyNumberFormat="1" applyFont="1" applyBorder="1" applyAlignment="1">
      <alignment horizontal="center" vertical="center"/>
    </xf>
    <xf numFmtId="169" fontId="20" fillId="0" borderId="43" xfId="0" applyNumberFormat="1" applyFont="1" applyBorder="1" applyAlignment="1">
      <alignment horizontal="center" vertical="center"/>
    </xf>
    <xf numFmtId="169" fontId="7" fillId="0" borderId="45" xfId="0" applyNumberFormat="1" applyFont="1" applyBorder="1" applyAlignment="1">
      <alignment horizontal="right" vertical="top"/>
    </xf>
    <xf numFmtId="166" fontId="18" fillId="0" borderId="42" xfId="0" applyNumberFormat="1" applyFont="1" applyBorder="1" applyProtection="1">
      <protection locked="0"/>
    </xf>
    <xf numFmtId="2" fontId="16" fillId="0" borderId="11" xfId="0" applyNumberFormat="1" applyFont="1" applyBorder="1" applyProtection="1">
      <protection locked="0"/>
    </xf>
    <xf numFmtId="2" fontId="28" fillId="0" borderId="10" xfId="0" applyNumberFormat="1" applyFont="1" applyBorder="1" applyProtection="1">
      <protection locked="0"/>
    </xf>
    <xf numFmtId="165" fontId="0" fillId="0" borderId="13" xfId="0" applyNumberFormat="1" applyBorder="1" applyProtection="1">
      <protection locked="0"/>
    </xf>
    <xf numFmtId="165" fontId="10" fillId="0" borderId="6" xfId="0" applyNumberFormat="1" applyFont="1" applyBorder="1" applyProtection="1">
      <protection locked="0"/>
    </xf>
    <xf numFmtId="2" fontId="0" fillId="0" borderId="20" xfId="0" applyNumberFormat="1" applyBorder="1"/>
    <xf numFmtId="2" fontId="0" fillId="0" borderId="21" xfId="0" applyNumberFormat="1" applyBorder="1" applyProtection="1">
      <protection locked="0"/>
    </xf>
    <xf numFmtId="0" fontId="11" fillId="0" borderId="0" xfId="0" applyFont="1" applyAlignment="1" applyProtection="1">
      <alignment horizontal="center" vertical="center"/>
      <protection locked="0"/>
    </xf>
    <xf numFmtId="169" fontId="21" fillId="0" borderId="27" xfId="0" applyNumberFormat="1" applyFont="1" applyBorder="1"/>
    <xf numFmtId="49" fontId="20" fillId="0" borderId="52" xfId="0" applyNumberFormat="1" applyFont="1" applyBorder="1" applyAlignment="1">
      <alignment horizontal="left" vertical="top" indent="2"/>
    </xf>
    <xf numFmtId="169" fontId="23" fillId="0" borderId="15" xfId="0" applyNumberFormat="1" applyFont="1" applyBorder="1"/>
    <xf numFmtId="169" fontId="23" fillId="0" borderId="52" xfId="0" applyNumberFormat="1" applyFont="1" applyBorder="1"/>
    <xf numFmtId="169" fontId="8" fillId="0" borderId="27" xfId="0" applyNumberFormat="1" applyFont="1" applyBorder="1"/>
    <xf numFmtId="176" fontId="21" fillId="0" borderId="0" xfId="0" applyNumberFormat="1" applyFont="1" applyAlignment="1">
      <alignment horizontal="right" vertical="top"/>
    </xf>
    <xf numFmtId="175" fontId="0" fillId="0" borderId="0" xfId="0" applyNumberFormat="1"/>
    <xf numFmtId="169" fontId="8" fillId="0" borderId="46" xfId="0" applyNumberFormat="1" applyFont="1" applyBorder="1" applyAlignment="1">
      <alignment horizontal="right" vertical="top"/>
    </xf>
    <xf numFmtId="169" fontId="8" fillId="0" borderId="27" xfId="0" applyNumberFormat="1" applyFont="1" applyBorder="1" applyAlignment="1">
      <alignment horizontal="right" vertical="top"/>
    </xf>
    <xf numFmtId="2" fontId="3" fillId="0" borderId="45" xfId="0" applyNumberFormat="1" applyFont="1" applyBorder="1"/>
    <xf numFmtId="165" fontId="4" fillId="0" borderId="22" xfId="0" applyNumberFormat="1" applyFont="1" applyBorder="1" applyProtection="1">
      <protection locked="0"/>
    </xf>
    <xf numFmtId="166" fontId="4" fillId="0" borderId="34" xfId="0" applyNumberFormat="1" applyFont="1" applyBorder="1" applyProtection="1">
      <protection locked="0"/>
    </xf>
    <xf numFmtId="2" fontId="0" fillId="0" borderId="24" xfId="0" applyNumberFormat="1" applyBorder="1" applyProtection="1">
      <protection locked="0"/>
    </xf>
    <xf numFmtId="165" fontId="4" fillId="0" borderId="10" xfId="0" applyNumberFormat="1" applyFont="1" applyBorder="1" applyProtection="1">
      <protection locked="0"/>
    </xf>
    <xf numFmtId="165" fontId="4" fillId="0" borderId="47" xfId="0" applyNumberFormat="1" applyFont="1" applyBorder="1" applyProtection="1">
      <protection locked="0"/>
    </xf>
    <xf numFmtId="166" fontId="4" fillId="0" borderId="48" xfId="0" applyNumberFormat="1" applyFont="1" applyBorder="1" applyProtection="1">
      <protection locked="0"/>
    </xf>
    <xf numFmtId="2" fontId="0" fillId="0" borderId="32" xfId="0" applyNumberFormat="1" applyBorder="1" applyProtection="1">
      <protection locked="0"/>
    </xf>
    <xf numFmtId="165" fontId="18" fillId="0" borderId="10" xfId="0" applyNumberFormat="1" applyFont="1" applyBorder="1" applyProtection="1">
      <protection locked="0"/>
    </xf>
    <xf numFmtId="1" fontId="12" fillId="0" borderId="0" xfId="0" applyNumberFormat="1" applyFont="1"/>
    <xf numFmtId="1" fontId="9" fillId="0" borderId="0" xfId="0" applyNumberFormat="1" applyFont="1"/>
    <xf numFmtId="165" fontId="10" fillId="0" borderId="22" xfId="0" applyNumberFormat="1" applyFont="1" applyBorder="1" applyProtection="1">
      <protection locked="0"/>
    </xf>
    <xf numFmtId="2" fontId="10" fillId="0" borderId="2" xfId="0" applyNumberFormat="1" applyFont="1" applyBorder="1" applyProtection="1">
      <protection locked="0"/>
    </xf>
    <xf numFmtId="165" fontId="10" fillId="0" borderId="47" xfId="0" applyNumberFormat="1" applyFont="1" applyBorder="1" applyProtection="1">
      <protection locked="0"/>
    </xf>
    <xf numFmtId="2" fontId="10" fillId="0" borderId="51" xfId="0" applyNumberFormat="1" applyFont="1" applyBorder="1" applyProtection="1">
      <protection locked="0"/>
    </xf>
    <xf numFmtId="0" fontId="2" fillId="0" borderId="0" xfId="0" applyFont="1"/>
    <xf numFmtId="2" fontId="2" fillId="0" borderId="0" xfId="0" applyNumberFormat="1" applyFont="1"/>
    <xf numFmtId="165" fontId="2" fillId="0" borderId="0" xfId="0" applyNumberFormat="1" applyFont="1"/>
    <xf numFmtId="2" fontId="2" fillId="0" borderId="11" xfId="0" applyNumberFormat="1" applyFont="1" applyBorder="1" applyProtection="1">
      <protection locked="0"/>
    </xf>
    <xf numFmtId="169" fontId="7" fillId="0" borderId="27" xfId="0" applyNumberFormat="1" applyFont="1" applyBorder="1" applyAlignment="1">
      <alignment horizontal="right" vertical="top"/>
    </xf>
    <xf numFmtId="49" fontId="21" fillId="0" borderId="0" xfId="0" applyNumberFormat="1" applyFont="1" applyAlignment="1">
      <alignment horizontal="left"/>
    </xf>
    <xf numFmtId="49" fontId="21" fillId="0" borderId="0" xfId="0" applyNumberFormat="1" applyFont="1"/>
    <xf numFmtId="0" fontId="2" fillId="0" borderId="7" xfId="0" applyFont="1" applyBorder="1" applyAlignment="1">
      <alignment horizontal="center"/>
    </xf>
    <xf numFmtId="2" fontId="30" fillId="0" borderId="22" xfId="0" applyNumberFormat="1" applyFont="1" applyBorder="1"/>
    <xf numFmtId="2" fontId="30" fillId="0" borderId="13" xfId="0" applyNumberFormat="1" applyFont="1" applyBorder="1"/>
    <xf numFmtId="0" fontId="2" fillId="0" borderId="13" xfId="0" applyFont="1" applyBorder="1"/>
    <xf numFmtId="2" fontId="30" fillId="0" borderId="25" xfId="0" applyNumberFormat="1" applyFont="1" applyBorder="1"/>
    <xf numFmtId="2" fontId="30" fillId="0" borderId="0" xfId="0" applyNumberFormat="1" applyFont="1" applyAlignment="1">
      <alignment horizontal="right"/>
    </xf>
    <xf numFmtId="0" fontId="29" fillId="0" borderId="9" xfId="0" applyFont="1" applyBorder="1" applyAlignment="1">
      <alignment horizontal="left" vertical="center"/>
    </xf>
    <xf numFmtId="0" fontId="29" fillId="0" borderId="12" xfId="0" applyFont="1" applyBorder="1" applyAlignment="1">
      <alignment horizontal="left" vertical="center"/>
    </xf>
    <xf numFmtId="0" fontId="29" fillId="0" borderId="12" xfId="0" applyFont="1" applyBorder="1" applyAlignment="1">
      <alignment horizontal="left" vertical="center" wrapText="1"/>
    </xf>
    <xf numFmtId="0" fontId="29" fillId="0" borderId="37" xfId="0" applyFont="1" applyBorder="1" applyAlignment="1">
      <alignment horizontal="left" vertical="center"/>
    </xf>
    <xf numFmtId="0" fontId="2" fillId="0" borderId="6" xfId="0" applyFont="1" applyBorder="1" applyAlignment="1">
      <alignment horizontal="center"/>
    </xf>
    <xf numFmtId="2" fontId="4" fillId="0" borderId="60" xfId="0" applyNumberFormat="1" applyFont="1" applyBorder="1"/>
    <xf numFmtId="0" fontId="4" fillId="2" borderId="21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169" fontId="20" fillId="0" borderId="1" xfId="0" applyNumberFormat="1" applyFont="1" applyBorder="1"/>
    <xf numFmtId="0" fontId="28" fillId="0" borderId="12" xfId="0" applyFont="1" applyBorder="1" applyProtection="1">
      <protection locked="0"/>
    </xf>
    <xf numFmtId="165" fontId="28" fillId="0" borderId="5" xfId="0" applyNumberFormat="1" applyFont="1" applyBorder="1" applyProtection="1">
      <protection locked="0"/>
    </xf>
    <xf numFmtId="2" fontId="28" fillId="0" borderId="5" xfId="0" applyNumberFormat="1" applyFont="1" applyBorder="1" applyProtection="1">
      <protection locked="0"/>
    </xf>
    <xf numFmtId="165" fontId="28" fillId="0" borderId="10" xfId="0" applyNumberFormat="1" applyFont="1" applyBorder="1" applyProtection="1">
      <protection locked="0"/>
    </xf>
    <xf numFmtId="165" fontId="28" fillId="0" borderId="22" xfId="0" applyNumberFormat="1" applyFont="1" applyBorder="1" applyProtection="1">
      <protection locked="0"/>
    </xf>
    <xf numFmtId="2" fontId="28" fillId="0" borderId="2" xfId="0" applyNumberFormat="1" applyFont="1" applyBorder="1" applyProtection="1">
      <protection locked="0"/>
    </xf>
    <xf numFmtId="2" fontId="16" fillId="0" borderId="24" xfId="0" applyNumberFormat="1" applyFont="1" applyBorder="1" applyProtection="1">
      <protection locked="0"/>
    </xf>
    <xf numFmtId="0" fontId="16" fillId="0" borderId="0" xfId="0" applyFont="1"/>
    <xf numFmtId="165" fontId="16" fillId="0" borderId="10" xfId="0" applyNumberFormat="1" applyFont="1" applyBorder="1" applyProtection="1">
      <protection locked="0"/>
    </xf>
    <xf numFmtId="166" fontId="16" fillId="0" borderId="5" xfId="0" applyNumberFormat="1" applyFont="1" applyBorder="1" applyProtection="1">
      <protection locked="0"/>
    </xf>
    <xf numFmtId="165" fontId="16" fillId="0" borderId="41" xfId="0" applyNumberFormat="1" applyFont="1" applyBorder="1" applyProtection="1">
      <protection locked="0"/>
    </xf>
    <xf numFmtId="2" fontId="16" fillId="0" borderId="5" xfId="0" applyNumberFormat="1" applyFont="1" applyBorder="1" applyProtection="1">
      <protection locked="0"/>
    </xf>
    <xf numFmtId="165" fontId="18" fillId="0" borderId="22" xfId="0" applyNumberFormat="1" applyFont="1" applyBorder="1" applyProtection="1">
      <protection locked="0"/>
    </xf>
    <xf numFmtId="166" fontId="18" fillId="0" borderId="34" xfId="0" applyNumberFormat="1" applyFont="1" applyBorder="1" applyProtection="1">
      <protection locked="0"/>
    </xf>
    <xf numFmtId="1" fontId="27" fillId="0" borderId="0" xfId="0" applyNumberFormat="1" applyFont="1"/>
    <xf numFmtId="0" fontId="0" fillId="0" borderId="22" xfId="0" applyBorder="1"/>
    <xf numFmtId="2" fontId="30" fillId="0" borderId="10" xfId="0" applyNumberFormat="1" applyFont="1" applyBorder="1"/>
    <xf numFmtId="0" fontId="29" fillId="0" borderId="30" xfId="0" applyFont="1" applyBorder="1" applyAlignment="1">
      <alignment horizontal="left" vertical="center"/>
    </xf>
    <xf numFmtId="0" fontId="29" fillId="0" borderId="39" xfId="0" applyFont="1" applyBorder="1" applyAlignment="1">
      <alignment horizontal="left" vertical="center"/>
    </xf>
    <xf numFmtId="166" fontId="11" fillId="0" borderId="20" xfId="0" applyNumberFormat="1" applyFont="1" applyBorder="1" applyProtection="1">
      <protection locked="0"/>
    </xf>
    <xf numFmtId="2" fontId="32" fillId="0" borderId="0" xfId="0" applyNumberFormat="1" applyFont="1"/>
    <xf numFmtId="2" fontId="32" fillId="0" borderId="44" xfId="0" applyNumberFormat="1" applyFont="1" applyBorder="1"/>
    <xf numFmtId="0" fontId="29" fillId="0" borderId="35" xfId="0" applyFont="1" applyBorder="1" applyAlignment="1">
      <alignment horizontal="left" vertical="center"/>
    </xf>
    <xf numFmtId="180" fontId="2" fillId="0" borderId="2" xfId="1" applyNumberFormat="1" applyFont="1" applyBorder="1"/>
    <xf numFmtId="180" fontId="2" fillId="0" borderId="5" xfId="1" applyNumberFormat="1" applyFont="1" applyBorder="1"/>
    <xf numFmtId="180" fontId="2" fillId="0" borderId="51" xfId="1" applyNumberFormat="1" applyFont="1" applyFill="1" applyBorder="1"/>
    <xf numFmtId="180" fontId="2" fillId="0" borderId="1" xfId="1" applyNumberFormat="1" applyFont="1" applyFill="1" applyBorder="1"/>
    <xf numFmtId="180" fontId="4" fillId="0" borderId="8" xfId="0" applyNumberFormat="1" applyFont="1" applyBorder="1"/>
    <xf numFmtId="180" fontId="4" fillId="0" borderId="7" xfId="0" applyNumberFormat="1" applyFont="1" applyBorder="1"/>
    <xf numFmtId="180" fontId="4" fillId="0" borderId="7" xfId="1" applyNumberFormat="1" applyFont="1" applyBorder="1"/>
    <xf numFmtId="180" fontId="4" fillId="2" borderId="21" xfId="0" applyNumberFormat="1" applyFont="1" applyFill="1" applyBorder="1"/>
    <xf numFmtId="180" fontId="4" fillId="0" borderId="47" xfId="0" applyNumberFormat="1" applyFont="1" applyBorder="1"/>
    <xf numFmtId="180" fontId="4" fillId="0" borderId="47" xfId="1" applyNumberFormat="1" applyFont="1" applyBorder="1"/>
    <xf numFmtId="180" fontId="4" fillId="2" borderId="32" xfId="0" applyNumberFormat="1" applyFont="1" applyFill="1" applyBorder="1"/>
    <xf numFmtId="180" fontId="2" fillId="0" borderId="0" xfId="1" applyNumberFormat="1" applyFont="1"/>
    <xf numFmtId="180" fontId="2" fillId="0" borderId="0" xfId="3" applyNumberFormat="1" applyFont="1" applyFill="1" applyBorder="1" applyAlignment="1">
      <alignment horizontal="center"/>
    </xf>
    <xf numFmtId="180" fontId="2" fillId="0" borderId="1" xfId="1" applyNumberFormat="1" applyFont="1" applyBorder="1"/>
    <xf numFmtId="169" fontId="20" fillId="0" borderId="46" xfId="0" applyNumberFormat="1" applyFont="1" applyBorder="1" applyAlignment="1">
      <alignment horizontal="right" vertical="top"/>
    </xf>
    <xf numFmtId="169" fontId="7" fillId="0" borderId="27" xfId="0" applyNumberFormat="1" applyFont="1" applyBorder="1" applyAlignment="1">
      <alignment horizontal="center" vertical="top"/>
    </xf>
    <xf numFmtId="180" fontId="2" fillId="0" borderId="5" xfId="0" applyNumberFormat="1" applyFont="1" applyBorder="1" applyAlignment="1">
      <alignment horizontal="right"/>
    </xf>
    <xf numFmtId="180" fontId="2" fillId="0" borderId="1" xfId="0" applyNumberFormat="1" applyFont="1" applyBorder="1" applyAlignment="1">
      <alignment horizontal="right"/>
    </xf>
    <xf numFmtId="180" fontId="2" fillId="0" borderId="50" xfId="0" applyNumberFormat="1" applyFont="1" applyBorder="1" applyAlignment="1">
      <alignment horizontal="right"/>
    </xf>
    <xf numFmtId="180" fontId="2" fillId="0" borderId="1" xfId="1" applyNumberFormat="1" applyFont="1" applyFill="1" applyBorder="1" applyAlignment="1">
      <alignment horizontal="right"/>
    </xf>
    <xf numFmtId="180" fontId="2" fillId="0" borderId="51" xfId="0" applyNumberFormat="1" applyFont="1" applyBorder="1" applyAlignment="1">
      <alignment horizontal="right"/>
    </xf>
    <xf numFmtId="169" fontId="0" fillId="0" borderId="62" xfId="0" applyNumberFormat="1" applyBorder="1"/>
    <xf numFmtId="169" fontId="21" fillId="0" borderId="60" xfId="0" applyNumberFormat="1" applyFont="1" applyBorder="1" applyAlignment="1">
      <alignment horizontal="right" vertical="top"/>
    </xf>
    <xf numFmtId="49" fontId="14" fillId="0" borderId="0" xfId="0" applyNumberFormat="1" applyFont="1" applyAlignment="1">
      <alignment horizontal="left" vertical="top" indent="2"/>
    </xf>
    <xf numFmtId="169" fontId="8" fillId="0" borderId="7" xfId="0" applyNumberFormat="1" applyFont="1" applyBorder="1" applyAlignment="1">
      <alignment horizontal="right" vertical="top"/>
    </xf>
    <xf numFmtId="2" fontId="12" fillId="0" borderId="0" xfId="0" applyNumberFormat="1" applyFont="1" applyAlignment="1">
      <alignment horizontal="right"/>
    </xf>
    <xf numFmtId="171" fontId="0" fillId="0" borderId="1" xfId="1" applyNumberFormat="1" applyFont="1" applyBorder="1"/>
    <xf numFmtId="171" fontId="0" fillId="0" borderId="3" xfId="1" applyNumberFormat="1" applyFont="1" applyBorder="1"/>
    <xf numFmtId="171" fontId="0" fillId="0" borderId="50" xfId="1" applyNumberFormat="1" applyFont="1" applyBorder="1"/>
    <xf numFmtId="171" fontId="0" fillId="0" borderId="5" xfId="1" applyNumberFormat="1" applyFont="1" applyBorder="1"/>
    <xf numFmtId="171" fontId="4" fillId="0" borderId="7" xfId="1" applyNumberFormat="1" applyFont="1" applyBorder="1"/>
    <xf numFmtId="0" fontId="12" fillId="2" borderId="6" xfId="0" applyFont="1" applyFill="1" applyBorder="1"/>
    <xf numFmtId="171" fontId="12" fillId="2" borderId="7" xfId="1" applyNumberFormat="1" applyFont="1" applyFill="1" applyBorder="1"/>
    <xf numFmtId="171" fontId="12" fillId="2" borderId="21" xfId="1" applyNumberFormat="1" applyFont="1" applyFill="1" applyBorder="1"/>
    <xf numFmtId="171" fontId="4" fillId="0" borderId="21" xfId="1" applyNumberFormat="1" applyFont="1" applyBorder="1"/>
    <xf numFmtId="0" fontId="4" fillId="0" borderId="7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71" fontId="0" fillId="0" borderId="2" xfId="1" applyNumberFormat="1" applyFont="1" applyBorder="1"/>
    <xf numFmtId="0" fontId="0" fillId="0" borderId="29" xfId="0" applyBorder="1"/>
    <xf numFmtId="171" fontId="0" fillId="0" borderId="28" xfId="1" applyNumberFormat="1" applyFont="1" applyBorder="1"/>
    <xf numFmtId="0" fontId="0" fillId="2" borderId="10" xfId="0" applyFill="1" applyBorder="1"/>
    <xf numFmtId="171" fontId="0" fillId="2" borderId="5" xfId="1" applyNumberFormat="1" applyFont="1" applyFill="1" applyBorder="1"/>
    <xf numFmtId="171" fontId="4" fillId="0" borderId="11" xfId="1" applyNumberFormat="1" applyFont="1" applyBorder="1"/>
    <xf numFmtId="171" fontId="4" fillId="0" borderId="14" xfId="1" applyNumberFormat="1" applyFont="1" applyBorder="1"/>
    <xf numFmtId="171" fontId="4" fillId="0" borderId="38" xfId="1" applyNumberFormat="1" applyFont="1" applyBorder="1"/>
    <xf numFmtId="171" fontId="4" fillId="0" borderId="24" xfId="1" applyNumberFormat="1" applyFont="1" applyBorder="1"/>
    <xf numFmtId="171" fontId="4" fillId="0" borderId="49" xfId="1" applyNumberFormat="1" applyFont="1" applyBorder="1"/>
    <xf numFmtId="171" fontId="4" fillId="2" borderId="11" xfId="1" applyNumberFormat="1" applyFont="1" applyFill="1" applyBorder="1"/>
    <xf numFmtId="171" fontId="4" fillId="0" borderId="18" xfId="1" applyNumberFormat="1" applyFont="1" applyBorder="1"/>
    <xf numFmtId="0" fontId="4" fillId="2" borderId="6" xfId="0" applyFont="1" applyFill="1" applyBorder="1"/>
    <xf numFmtId="171" fontId="4" fillId="2" borderId="7" xfId="1" applyNumberFormat="1" applyFont="1" applyFill="1" applyBorder="1"/>
    <xf numFmtId="171" fontId="4" fillId="2" borderId="21" xfId="1" applyNumberFormat="1" applyFont="1" applyFill="1" applyBorder="1"/>
    <xf numFmtId="2" fontId="4" fillId="0" borderId="0" xfId="0" applyNumberFormat="1" applyFont="1" applyAlignment="1">
      <alignment horizontal="right"/>
    </xf>
    <xf numFmtId="2" fontId="9" fillId="0" borderId="0" xfId="0" applyNumberFormat="1" applyFont="1" applyAlignment="1">
      <alignment horizontal="right"/>
    </xf>
    <xf numFmtId="180" fontId="2" fillId="0" borderId="2" xfId="0" applyNumberFormat="1" applyFont="1" applyBorder="1" applyAlignment="1">
      <alignment horizontal="right"/>
    </xf>
    <xf numFmtId="169" fontId="24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vertical="top"/>
    </xf>
    <xf numFmtId="49" fontId="14" fillId="0" borderId="15" xfId="0" applyNumberFormat="1" applyFont="1" applyBorder="1" applyAlignment="1">
      <alignment horizontal="center" vertical="top" wrapText="1"/>
    </xf>
    <xf numFmtId="169" fontId="8" fillId="0" borderId="51" xfId="0" applyNumberFormat="1" applyFont="1" applyBorder="1" applyAlignment="1">
      <alignment horizontal="right" vertical="top"/>
    </xf>
    <xf numFmtId="169" fontId="7" fillId="0" borderId="69" xfId="0" applyNumberFormat="1" applyFont="1" applyBorder="1" applyAlignment="1">
      <alignment horizontal="right" vertical="top"/>
    </xf>
    <xf numFmtId="169" fontId="2" fillId="0" borderId="27" xfId="0" applyNumberFormat="1" applyFont="1" applyBorder="1"/>
    <xf numFmtId="0" fontId="2" fillId="0" borderId="27" xfId="0" applyFont="1" applyBorder="1"/>
    <xf numFmtId="169" fontId="2" fillId="0" borderId="0" xfId="0" applyNumberFormat="1" applyFont="1"/>
    <xf numFmtId="49" fontId="21" fillId="0" borderId="0" xfId="0" applyNumberFormat="1" applyFont="1" applyAlignment="1">
      <alignment horizontal="center"/>
    </xf>
    <xf numFmtId="180" fontId="2" fillId="0" borderId="5" xfId="0" applyNumberFormat="1" applyFont="1" applyBorder="1"/>
    <xf numFmtId="0" fontId="4" fillId="0" borderId="0" xfId="0" applyFont="1" applyAlignment="1">
      <alignment horizontal="center"/>
    </xf>
    <xf numFmtId="1" fontId="4" fillId="0" borderId="26" xfId="0" applyNumberFormat="1" applyFont="1" applyBorder="1"/>
    <xf numFmtId="1" fontId="4" fillId="0" borderId="35" xfId="0" applyNumberFormat="1" applyFont="1" applyBorder="1"/>
    <xf numFmtId="1" fontId="4" fillId="0" borderId="33" xfId="0" applyNumberFormat="1" applyFont="1" applyBorder="1"/>
    <xf numFmtId="169" fontId="8" fillId="0" borderId="46" xfId="0" applyNumberFormat="1" applyFont="1" applyBorder="1" applyAlignment="1">
      <alignment horizontal="right" vertical="center"/>
    </xf>
    <xf numFmtId="169" fontId="8" fillId="0" borderId="50" xfId="0" applyNumberFormat="1" applyFont="1" applyBorder="1" applyAlignment="1">
      <alignment horizontal="right" vertical="center"/>
    </xf>
    <xf numFmtId="169" fontId="8" fillId="0" borderId="27" xfId="0" applyNumberFormat="1" applyFont="1" applyBorder="1" applyAlignment="1">
      <alignment vertical="center"/>
    </xf>
    <xf numFmtId="165" fontId="35" fillId="0" borderId="6" xfId="0" applyNumberFormat="1" applyFont="1" applyBorder="1" applyProtection="1">
      <protection locked="0"/>
    </xf>
    <xf numFmtId="166" fontId="35" fillId="0" borderId="7" xfId="0" applyNumberFormat="1" applyFont="1" applyBorder="1" applyProtection="1">
      <protection locked="0"/>
    </xf>
    <xf numFmtId="165" fontId="35" fillId="0" borderId="53" xfId="0" applyNumberFormat="1" applyFont="1" applyBorder="1" applyProtection="1">
      <protection locked="0"/>
    </xf>
    <xf numFmtId="2" fontId="35" fillId="0" borderId="7" xfId="0" applyNumberFormat="1" applyFont="1" applyBorder="1" applyProtection="1">
      <protection locked="0"/>
    </xf>
    <xf numFmtId="165" fontId="35" fillId="0" borderId="7" xfId="0" applyNumberFormat="1" applyFont="1" applyBorder="1" applyProtection="1">
      <protection locked="0"/>
    </xf>
    <xf numFmtId="0" fontId="13" fillId="0" borderId="0" xfId="0" applyFont="1"/>
    <xf numFmtId="49" fontId="36" fillId="0" borderId="72" xfId="0" applyNumberFormat="1" applyFont="1" applyBorder="1" applyAlignment="1">
      <alignment horizontal="center" vertical="top"/>
    </xf>
    <xf numFmtId="2" fontId="13" fillId="0" borderId="0" xfId="0" applyNumberFormat="1" applyFont="1"/>
    <xf numFmtId="49" fontId="39" fillId="0" borderId="57" xfId="0" applyNumberFormat="1" applyFont="1" applyBorder="1" applyAlignment="1">
      <alignment vertical="center"/>
    </xf>
    <xf numFmtId="169" fontId="39" fillId="0" borderId="2" xfId="0" applyNumberFormat="1" applyFont="1" applyBorder="1" applyAlignment="1">
      <alignment horizontal="right" vertical="top"/>
    </xf>
    <xf numFmtId="169" fontId="39" fillId="0" borderId="42" xfId="0" applyNumberFormat="1" applyFont="1" applyBorder="1" applyAlignment="1">
      <alignment horizontal="right" vertical="top"/>
    </xf>
    <xf numFmtId="168" fontId="39" fillId="0" borderId="10" xfId="0" applyNumberFormat="1" applyFont="1" applyBorder="1" applyAlignment="1">
      <alignment horizontal="right" vertical="top"/>
    </xf>
    <xf numFmtId="169" fontId="39" fillId="0" borderId="69" xfId="0" applyNumberFormat="1" applyFont="1" applyBorder="1" applyAlignment="1">
      <alignment horizontal="right" vertical="top"/>
    </xf>
    <xf numFmtId="169" fontId="39" fillId="0" borderId="11" xfId="0" applyNumberFormat="1" applyFont="1" applyBorder="1" applyAlignment="1">
      <alignment horizontal="right" vertical="top"/>
    </xf>
    <xf numFmtId="169" fontId="39" fillId="0" borderId="5" xfId="0" applyNumberFormat="1" applyFont="1" applyBorder="1" applyAlignment="1">
      <alignment horizontal="right" vertical="top"/>
    </xf>
    <xf numFmtId="169" fontId="39" fillId="0" borderId="63" xfId="0" applyNumberFormat="1" applyFont="1" applyBorder="1" applyAlignment="1">
      <alignment horizontal="right" vertical="top"/>
    </xf>
    <xf numFmtId="166" fontId="13" fillId="0" borderId="0" xfId="0" applyNumberFormat="1" applyFont="1"/>
    <xf numFmtId="168" fontId="39" fillId="0" borderId="54" xfId="0" applyNumberFormat="1" applyFont="1" applyBorder="1" applyAlignment="1">
      <alignment horizontal="right" vertical="top"/>
    </xf>
    <xf numFmtId="169" fontId="39" fillId="0" borderId="15" xfId="0" applyNumberFormat="1" applyFont="1" applyBorder="1" applyAlignment="1">
      <alignment horizontal="right" vertical="top"/>
    </xf>
    <xf numFmtId="169" fontId="39" fillId="0" borderId="50" xfId="0" applyNumberFormat="1" applyFont="1" applyBorder="1" applyAlignment="1">
      <alignment horizontal="right" vertical="top"/>
    </xf>
    <xf numFmtId="169" fontId="39" fillId="0" borderId="14" xfId="0" applyNumberFormat="1" applyFont="1" applyBorder="1" applyAlignment="1">
      <alignment horizontal="right" vertical="top"/>
    </xf>
    <xf numFmtId="168" fontId="39" fillId="0" borderId="13" xfId="0" applyNumberFormat="1" applyFont="1" applyBorder="1" applyAlignment="1">
      <alignment horizontal="right" vertical="top"/>
    </xf>
    <xf numFmtId="169" fontId="39" fillId="0" borderId="1" xfId="0" applyNumberFormat="1" applyFont="1" applyBorder="1" applyAlignment="1">
      <alignment horizontal="right" vertical="top"/>
    </xf>
    <xf numFmtId="166" fontId="39" fillId="0" borderId="14" xfId="0" applyNumberFormat="1" applyFont="1" applyBorder="1" applyAlignment="1">
      <alignment horizontal="right" vertical="top"/>
    </xf>
    <xf numFmtId="49" fontId="39" fillId="0" borderId="57" xfId="0" applyNumberFormat="1" applyFont="1" applyBorder="1" applyAlignment="1">
      <alignment vertical="top"/>
    </xf>
    <xf numFmtId="169" fontId="40" fillId="0" borderId="5" xfId="0" applyNumberFormat="1" applyFont="1" applyBorder="1" applyAlignment="1">
      <alignment horizontal="right" vertical="top"/>
    </xf>
    <xf numFmtId="168" fontId="39" fillId="0" borderId="55" xfId="0" applyNumberFormat="1" applyFont="1" applyBorder="1" applyAlignment="1">
      <alignment horizontal="right" vertical="top"/>
    </xf>
    <xf numFmtId="169" fontId="39" fillId="0" borderId="3" xfId="0" applyNumberFormat="1" applyFont="1" applyBorder="1" applyAlignment="1">
      <alignment horizontal="right" vertical="top"/>
    </xf>
    <xf numFmtId="169" fontId="39" fillId="0" borderId="46" xfId="0" applyNumberFormat="1" applyFont="1" applyBorder="1" applyAlignment="1">
      <alignment horizontal="right" vertical="top"/>
    </xf>
    <xf numFmtId="168" fontId="39" fillId="0" borderId="25" xfId="0" applyNumberFormat="1" applyFont="1" applyBorder="1" applyAlignment="1">
      <alignment horizontal="right" vertical="top"/>
    </xf>
    <xf numFmtId="169" fontId="39" fillId="0" borderId="38" xfId="0" applyNumberFormat="1" applyFont="1" applyBorder="1" applyAlignment="1">
      <alignment horizontal="right" vertical="top"/>
    </xf>
    <xf numFmtId="169" fontId="39" fillId="0" borderId="27" xfId="0" applyNumberFormat="1" applyFont="1" applyBorder="1" applyAlignment="1">
      <alignment horizontal="right" vertical="top"/>
    </xf>
    <xf numFmtId="168" fontId="39" fillId="0" borderId="9" xfId="0" applyNumberFormat="1" applyFont="1" applyBorder="1" applyAlignment="1">
      <alignment horizontal="right" vertical="top"/>
    </xf>
    <xf numFmtId="49" fontId="39" fillId="0" borderId="26" xfId="0" applyNumberFormat="1" applyFont="1" applyBorder="1" applyAlignment="1">
      <alignment vertical="center"/>
    </xf>
    <xf numFmtId="168" fontId="36" fillId="0" borderId="53" xfId="0" applyNumberFormat="1" applyFont="1" applyBorder="1" applyAlignment="1">
      <alignment horizontal="right" vertical="top"/>
    </xf>
    <xf numFmtId="169" fontId="36" fillId="0" borderId="7" xfId="0" applyNumberFormat="1" applyFont="1" applyBorder="1" applyAlignment="1">
      <alignment horizontal="right" vertical="top"/>
    </xf>
    <xf numFmtId="169" fontId="36" fillId="0" borderId="20" xfId="0" applyNumberFormat="1" applyFont="1" applyBorder="1" applyAlignment="1">
      <alignment horizontal="right" vertical="top"/>
    </xf>
    <xf numFmtId="168" fontId="36" fillId="0" borderId="6" xfId="0" applyNumberFormat="1" applyFont="1" applyBorder="1" applyAlignment="1">
      <alignment horizontal="right" vertical="top"/>
    </xf>
    <xf numFmtId="169" fontId="36" fillId="0" borderId="21" xfId="0" applyNumberFormat="1" applyFont="1" applyBorder="1" applyAlignment="1">
      <alignment horizontal="right" vertical="top"/>
    </xf>
    <xf numFmtId="169" fontId="36" fillId="0" borderId="51" xfId="0" applyNumberFormat="1" applyFont="1" applyBorder="1" applyAlignment="1">
      <alignment horizontal="right" vertical="top"/>
    </xf>
    <xf numFmtId="168" fontId="39" fillId="0" borderId="59" xfId="0" applyNumberFormat="1" applyFont="1" applyBorder="1" applyAlignment="1">
      <alignment horizontal="right" vertical="top"/>
    </xf>
    <xf numFmtId="169" fontId="39" fillId="0" borderId="59" xfId="0" applyNumberFormat="1" applyFont="1" applyBorder="1" applyAlignment="1">
      <alignment horizontal="right" vertical="top"/>
    </xf>
    <xf numFmtId="168" fontId="39" fillId="0" borderId="30" xfId="0" applyNumberFormat="1" applyFont="1" applyBorder="1" applyAlignment="1">
      <alignment horizontal="right" vertical="top"/>
    </xf>
    <xf numFmtId="169" fontId="39" fillId="0" borderId="71" xfId="0" applyNumberFormat="1" applyFont="1" applyBorder="1" applyAlignment="1">
      <alignment horizontal="right" vertical="top"/>
    </xf>
    <xf numFmtId="168" fontId="13" fillId="0" borderId="0" xfId="0" applyNumberFormat="1" applyFont="1"/>
    <xf numFmtId="168" fontId="39" fillId="0" borderId="52" xfId="0" applyNumberFormat="1" applyFont="1" applyBorder="1" applyAlignment="1">
      <alignment horizontal="right" vertical="top"/>
    </xf>
    <xf numFmtId="169" fontId="39" fillId="0" borderId="52" xfId="0" applyNumberFormat="1" applyFont="1" applyBorder="1" applyAlignment="1">
      <alignment horizontal="right" vertical="top"/>
    </xf>
    <xf numFmtId="168" fontId="40" fillId="0" borderId="12" xfId="0" applyNumberFormat="1" applyFont="1" applyBorder="1" applyAlignment="1">
      <alignment horizontal="right" vertical="top"/>
    </xf>
    <xf numFmtId="169" fontId="40" fillId="0" borderId="68" xfId="0" applyNumberFormat="1" applyFont="1" applyBorder="1" applyAlignment="1">
      <alignment horizontal="right" vertical="top"/>
    </xf>
    <xf numFmtId="168" fontId="39" fillId="0" borderId="12" xfId="0" applyNumberFormat="1" applyFont="1" applyBorder="1" applyAlignment="1">
      <alignment horizontal="right" vertical="top"/>
    </xf>
    <xf numFmtId="169" fontId="39" fillId="0" borderId="68" xfId="0" applyNumberFormat="1" applyFont="1" applyBorder="1" applyAlignment="1">
      <alignment horizontal="right" vertical="top"/>
    </xf>
    <xf numFmtId="165" fontId="13" fillId="0" borderId="0" xfId="0" applyNumberFormat="1" applyFont="1"/>
    <xf numFmtId="168" fontId="39" fillId="0" borderId="37" xfId="0" applyNumberFormat="1" applyFont="1" applyBorder="1" applyAlignment="1">
      <alignment horizontal="right" vertical="top"/>
    </xf>
    <xf numFmtId="169" fontId="39" fillId="0" borderId="70" xfId="0" applyNumberFormat="1" applyFont="1" applyBorder="1" applyAlignment="1">
      <alignment horizontal="right" vertical="top"/>
    </xf>
    <xf numFmtId="0" fontId="13" fillId="0" borderId="26" xfId="0" applyFont="1" applyBorder="1"/>
    <xf numFmtId="168" fontId="42" fillId="0" borderId="8" xfId="0" applyNumberFormat="1" applyFont="1" applyBorder="1"/>
    <xf numFmtId="169" fontId="42" fillId="0" borderId="56" xfId="0" applyNumberFormat="1" applyFont="1" applyBorder="1"/>
    <xf numFmtId="49" fontId="43" fillId="0" borderId="57" xfId="0" applyNumberFormat="1" applyFont="1" applyBorder="1" applyAlignment="1">
      <alignment vertical="top"/>
    </xf>
    <xf numFmtId="168" fontId="39" fillId="0" borderId="43" xfId="0" applyNumberFormat="1" applyFont="1" applyBorder="1" applyAlignment="1">
      <alignment horizontal="right" vertical="top"/>
    </xf>
    <xf numFmtId="169" fontId="39" fillId="0" borderId="43" xfId="0" applyNumberFormat="1" applyFont="1" applyBorder="1" applyAlignment="1">
      <alignment horizontal="right" vertical="top"/>
    </xf>
    <xf numFmtId="169" fontId="39" fillId="0" borderId="66" xfId="0" applyNumberFormat="1" applyFont="1" applyBorder="1" applyAlignment="1">
      <alignment horizontal="right" vertical="top"/>
    </xf>
    <xf numFmtId="49" fontId="39" fillId="0" borderId="26" xfId="0" applyNumberFormat="1" applyFont="1" applyBorder="1" applyAlignment="1">
      <alignment vertical="top"/>
    </xf>
    <xf numFmtId="168" fontId="36" fillId="0" borderId="31" xfId="0" applyNumberFormat="1" applyFont="1" applyBorder="1" applyAlignment="1">
      <alignment horizontal="right" vertical="top"/>
    </xf>
    <xf numFmtId="169" fontId="36" fillId="0" borderId="31" xfId="0" applyNumberFormat="1" applyFont="1" applyBorder="1" applyAlignment="1">
      <alignment horizontal="right" vertical="top"/>
    </xf>
    <xf numFmtId="168" fontId="36" fillId="0" borderId="8" xfId="0" applyNumberFormat="1" applyFont="1" applyBorder="1" applyAlignment="1">
      <alignment horizontal="right" vertical="top"/>
    </xf>
    <xf numFmtId="169" fontId="36" fillId="0" borderId="56" xfId="0" applyNumberFormat="1" applyFont="1" applyBorder="1" applyAlignment="1">
      <alignment horizontal="right" vertical="top"/>
    </xf>
    <xf numFmtId="49" fontId="36" fillId="0" borderId="26" xfId="0" applyNumberFormat="1" applyFont="1" applyBorder="1" applyAlignment="1">
      <alignment vertical="top"/>
    </xf>
    <xf numFmtId="173" fontId="36" fillId="0" borderId="31" xfId="0" applyNumberFormat="1" applyFont="1" applyBorder="1" applyAlignment="1">
      <alignment horizontal="right" vertical="center"/>
    </xf>
    <xf numFmtId="168" fontId="36" fillId="0" borderId="8" xfId="0" applyNumberFormat="1" applyFont="1" applyBorder="1" applyAlignment="1">
      <alignment horizontal="right" vertical="center"/>
    </xf>
    <xf numFmtId="173" fontId="36" fillId="0" borderId="56" xfId="0" applyNumberFormat="1" applyFont="1" applyBorder="1" applyAlignment="1">
      <alignment horizontal="right" vertical="center"/>
    </xf>
    <xf numFmtId="168" fontId="36" fillId="0" borderId="39" xfId="0" applyNumberFormat="1" applyFont="1" applyBorder="1" applyAlignment="1">
      <alignment horizontal="right" vertical="center"/>
    </xf>
    <xf numFmtId="173" fontId="36" fillId="0" borderId="21" xfId="0" applyNumberFormat="1" applyFont="1" applyBorder="1" applyAlignment="1">
      <alignment horizontal="right" vertical="center"/>
    </xf>
    <xf numFmtId="173" fontId="13" fillId="0" borderId="0" xfId="0" applyNumberFormat="1" applyFont="1"/>
    <xf numFmtId="49" fontId="36" fillId="0" borderId="57" xfId="0" applyNumberFormat="1" applyFont="1" applyBorder="1" applyAlignment="1">
      <alignment horizontal="right" vertical="top"/>
    </xf>
    <xf numFmtId="2" fontId="41" fillId="0" borderId="0" xfId="0" applyNumberFormat="1" applyFont="1"/>
    <xf numFmtId="0" fontId="41" fillId="0" borderId="0" xfId="0" applyFont="1"/>
    <xf numFmtId="166" fontId="41" fillId="0" borderId="0" xfId="0" applyNumberFormat="1" applyFont="1" applyAlignment="1">
      <alignment horizontal="right" vertical="top"/>
    </xf>
    <xf numFmtId="173" fontId="41" fillId="0" borderId="0" xfId="0" applyNumberFormat="1" applyFont="1"/>
    <xf numFmtId="172" fontId="38" fillId="0" borderId="0" xfId="1" applyNumberFormat="1" applyFont="1"/>
    <xf numFmtId="2" fontId="38" fillId="0" borderId="0" xfId="0" applyNumberFormat="1" applyFont="1"/>
    <xf numFmtId="164" fontId="38" fillId="0" borderId="0" xfId="1" applyFont="1"/>
    <xf numFmtId="166" fontId="43" fillId="0" borderId="0" xfId="0" applyNumberFormat="1" applyFont="1" applyAlignment="1">
      <alignment horizontal="right" vertical="top"/>
    </xf>
    <xf numFmtId="165" fontId="44" fillId="0" borderId="0" xfId="0" applyNumberFormat="1" applyFont="1"/>
    <xf numFmtId="49" fontId="39" fillId="0" borderId="0" xfId="0" applyNumberFormat="1" applyFont="1" applyAlignment="1">
      <alignment vertical="top"/>
    </xf>
    <xf numFmtId="166" fontId="40" fillId="0" borderId="0" xfId="0" applyNumberFormat="1" applyFont="1" applyAlignment="1">
      <alignment horizontal="right" vertical="top"/>
    </xf>
    <xf numFmtId="173" fontId="44" fillId="0" borderId="0" xfId="0" applyNumberFormat="1" applyFont="1"/>
    <xf numFmtId="173" fontId="26" fillId="6" borderId="0" xfId="0" applyNumberFormat="1" applyFont="1" applyFill="1"/>
    <xf numFmtId="166" fontId="45" fillId="3" borderId="0" xfId="0" applyNumberFormat="1" applyFont="1" applyFill="1" applyAlignment="1">
      <alignment horizontal="right" vertical="top"/>
    </xf>
    <xf numFmtId="173" fontId="42" fillId="6" borderId="0" xfId="0" applyNumberFormat="1" applyFont="1" applyFill="1"/>
    <xf numFmtId="164" fontId="41" fillId="7" borderId="0" xfId="1" applyFont="1" applyFill="1"/>
    <xf numFmtId="49" fontId="44" fillId="0" borderId="0" xfId="0" applyNumberFormat="1" applyFont="1" applyAlignment="1">
      <alignment horizontal="right"/>
    </xf>
    <xf numFmtId="164" fontId="13" fillId="0" borderId="0" xfId="1" applyFont="1"/>
    <xf numFmtId="0" fontId="13" fillId="0" borderId="4" xfId="0" applyFont="1" applyBorder="1"/>
    <xf numFmtId="2" fontId="13" fillId="0" borderId="4" xfId="0" applyNumberFormat="1" applyFont="1" applyBorder="1"/>
    <xf numFmtId="179" fontId="41" fillId="0" borderId="0" xfId="0" applyNumberFormat="1" applyFont="1"/>
    <xf numFmtId="174" fontId="13" fillId="0" borderId="0" xfId="0" applyNumberFormat="1" applyFont="1"/>
    <xf numFmtId="49" fontId="21" fillId="0" borderId="0" xfId="0" applyNumberFormat="1" applyFont="1" applyAlignment="1">
      <alignment horizontal="center" vertical="top" wrapText="1"/>
    </xf>
    <xf numFmtId="0" fontId="2" fillId="0" borderId="43" xfId="0" applyFont="1" applyBorder="1"/>
    <xf numFmtId="49" fontId="21" fillId="0" borderId="15" xfId="0" applyNumberFormat="1" applyFont="1" applyBorder="1" applyAlignment="1">
      <alignment horizontal="center" vertical="top" wrapText="1"/>
    </xf>
    <xf numFmtId="0" fontId="2" fillId="0" borderId="5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4" borderId="55" xfId="0" applyNumberFormat="1" applyFont="1" applyFill="1" applyBorder="1" applyAlignment="1">
      <alignment vertical="center"/>
    </xf>
    <xf numFmtId="2" fontId="2" fillId="0" borderId="0" xfId="0" applyNumberFormat="1" applyFont="1" applyAlignment="1">
      <alignment vertical="center"/>
    </xf>
    <xf numFmtId="1" fontId="2" fillId="0" borderId="0" xfId="0" applyNumberFormat="1" applyFont="1"/>
    <xf numFmtId="180" fontId="2" fillId="0" borderId="2" xfId="0" applyNumberFormat="1" applyFont="1" applyBorder="1"/>
    <xf numFmtId="180" fontId="2" fillId="5" borderId="24" xfId="3" applyNumberFormat="1" applyFont="1" applyFill="1" applyBorder="1" applyAlignment="1">
      <alignment horizontal="right"/>
    </xf>
    <xf numFmtId="2" fontId="2" fillId="4" borderId="55" xfId="0" applyNumberFormat="1" applyFont="1" applyFill="1" applyBorder="1"/>
    <xf numFmtId="180" fontId="2" fillId="2" borderId="11" xfId="3" applyNumberFormat="1" applyFont="1" applyFill="1" applyBorder="1" applyAlignment="1">
      <alignment horizontal="right"/>
    </xf>
    <xf numFmtId="169" fontId="20" fillId="0" borderId="45" xfId="0" applyNumberFormat="1" applyFont="1" applyBorder="1" applyAlignment="1">
      <alignment horizontal="right" vertical="top"/>
    </xf>
    <xf numFmtId="180" fontId="2" fillId="0" borderId="51" xfId="0" applyNumberFormat="1" applyFont="1" applyBorder="1"/>
    <xf numFmtId="180" fontId="2" fillId="2" borderId="32" xfId="3" applyNumberFormat="1" applyFont="1" applyFill="1" applyBorder="1" applyAlignment="1">
      <alignment horizontal="right"/>
    </xf>
    <xf numFmtId="180" fontId="2" fillId="2" borderId="24" xfId="3" applyNumberFormat="1" applyFont="1" applyFill="1" applyBorder="1" applyAlignment="1">
      <alignment horizontal="right"/>
    </xf>
    <xf numFmtId="180" fontId="2" fillId="0" borderId="42" xfId="0" applyNumberFormat="1" applyFont="1" applyBorder="1"/>
    <xf numFmtId="180" fontId="1" fillId="0" borderId="5" xfId="1" applyNumberFormat="1" applyFont="1" applyFill="1" applyBorder="1"/>
    <xf numFmtId="180" fontId="1" fillId="0" borderId="5" xfId="0" applyNumberFormat="1" applyFont="1" applyBorder="1"/>
    <xf numFmtId="180" fontId="2" fillId="0" borderId="1" xfId="0" applyNumberFormat="1" applyFont="1" applyBorder="1"/>
    <xf numFmtId="180" fontId="1" fillId="0" borderId="1" xfId="1" applyNumberFormat="1" applyFont="1" applyBorder="1"/>
    <xf numFmtId="180" fontId="1" fillId="0" borderId="1" xfId="1" applyNumberFormat="1" applyFont="1" applyBorder="1" applyAlignment="1">
      <alignment horizontal="right"/>
    </xf>
    <xf numFmtId="180" fontId="2" fillId="0" borderId="1" xfId="1" applyNumberFormat="1" applyFont="1" applyBorder="1" applyAlignment="1">
      <alignment horizontal="right"/>
    </xf>
    <xf numFmtId="180" fontId="2" fillId="0" borderId="3" xfId="0" applyNumberFormat="1" applyFont="1" applyBorder="1"/>
    <xf numFmtId="180" fontId="2" fillId="0" borderId="65" xfId="0" applyNumberFormat="1" applyFont="1" applyBorder="1"/>
    <xf numFmtId="180" fontId="2" fillId="0" borderId="3" xfId="1" applyNumberFormat="1" applyFont="1" applyBorder="1"/>
    <xf numFmtId="180" fontId="2" fillId="0" borderId="3" xfId="1" applyNumberFormat="1" applyFont="1" applyBorder="1" applyAlignment="1">
      <alignment horizontal="right"/>
    </xf>
    <xf numFmtId="0" fontId="2" fillId="0" borderId="8" xfId="0" applyFont="1" applyBorder="1"/>
    <xf numFmtId="9" fontId="2" fillId="0" borderId="0" xfId="3" applyFont="1" applyFill="1" applyBorder="1" applyAlignment="1">
      <alignment horizontal="center"/>
    </xf>
    <xf numFmtId="180" fontId="2" fillId="0" borderId="50" xfId="0" applyNumberFormat="1" applyFont="1" applyBorder="1"/>
    <xf numFmtId="180" fontId="2" fillId="0" borderId="50" xfId="1" applyNumberFormat="1" applyFont="1" applyBorder="1"/>
    <xf numFmtId="2" fontId="2" fillId="4" borderId="62" xfId="0" applyNumberFormat="1" applyFont="1" applyFill="1" applyBorder="1"/>
    <xf numFmtId="0" fontId="2" fillId="0" borderId="39" xfId="0" applyFont="1" applyBorder="1"/>
    <xf numFmtId="2" fontId="2" fillId="4" borderId="54" xfId="0" applyNumberFormat="1" applyFont="1" applyFill="1" applyBorder="1"/>
    <xf numFmtId="180" fontId="2" fillId="0" borderId="0" xfId="0" applyNumberFormat="1" applyFont="1"/>
    <xf numFmtId="180" fontId="4" fillId="0" borderId="0" xfId="0" applyNumberFormat="1" applyFont="1" applyAlignment="1">
      <alignment horizontal="center"/>
    </xf>
    <xf numFmtId="180" fontId="2" fillId="0" borderId="0" xfId="1" applyNumberFormat="1" applyFont="1" applyFill="1" applyBorder="1"/>
    <xf numFmtId="180" fontId="2" fillId="0" borderId="0" xfId="1" applyNumberFormat="1" applyFont="1" applyBorder="1"/>
    <xf numFmtId="180" fontId="2" fillId="0" borderId="0" xfId="3" applyNumberFormat="1" applyFont="1" applyBorder="1" applyAlignment="1">
      <alignment horizontal="center"/>
    </xf>
    <xf numFmtId="2" fontId="2" fillId="4" borderId="72" xfId="0" applyNumberFormat="1" applyFont="1" applyFill="1" applyBorder="1"/>
    <xf numFmtId="166" fontId="2" fillId="0" borderId="0" xfId="0" applyNumberFormat="1" applyFont="1"/>
    <xf numFmtId="2" fontId="2" fillId="4" borderId="57" xfId="0" applyNumberFormat="1" applyFont="1" applyFill="1" applyBorder="1"/>
    <xf numFmtId="180" fontId="1" fillId="0" borderId="1" xfId="0" applyNumberFormat="1" applyFont="1" applyBorder="1"/>
    <xf numFmtId="2" fontId="2" fillId="4" borderId="58" xfId="0" applyNumberFormat="1" applyFont="1" applyFill="1" applyBorder="1"/>
    <xf numFmtId="0" fontId="2" fillId="0" borderId="6" xfId="0" applyFont="1" applyBorder="1"/>
    <xf numFmtId="176" fontId="2" fillId="0" borderId="0" xfId="0" applyNumberFormat="1" applyFont="1"/>
    <xf numFmtId="169" fontId="8" fillId="0" borderId="45" xfId="0" applyNumberFormat="1" applyFont="1" applyBorder="1" applyAlignment="1">
      <alignment horizontal="right" vertical="top"/>
    </xf>
    <xf numFmtId="2" fontId="28" fillId="0" borderId="51" xfId="0" applyNumberFormat="1" applyFont="1" applyBorder="1" applyProtection="1">
      <protection locked="0"/>
    </xf>
    <xf numFmtId="166" fontId="16" fillId="0" borderId="0" xfId="0" applyNumberFormat="1" applyFont="1"/>
    <xf numFmtId="173" fontId="41" fillId="8" borderId="0" xfId="0" applyNumberFormat="1" applyFont="1" applyFill="1"/>
    <xf numFmtId="49" fontId="21" fillId="0" borderId="12" xfId="0" applyNumberFormat="1" applyFont="1" applyBorder="1" applyAlignment="1">
      <alignment horizontal="center" vertical="top"/>
    </xf>
    <xf numFmtId="49" fontId="21" fillId="0" borderId="14" xfId="0" applyNumberFormat="1" applyFont="1" applyBorder="1" applyAlignment="1">
      <alignment horizontal="center" vertical="top"/>
    </xf>
    <xf numFmtId="49" fontId="21" fillId="0" borderId="52" xfId="0" applyNumberFormat="1" applyFont="1" applyBorder="1" applyAlignment="1">
      <alignment horizontal="center" vertical="top"/>
    </xf>
    <xf numFmtId="181" fontId="21" fillId="0" borderId="16" xfId="0" applyNumberFormat="1" applyFont="1" applyBorder="1" applyAlignment="1">
      <alignment horizontal="right" vertical="top"/>
    </xf>
    <xf numFmtId="169" fontId="21" fillId="0" borderId="18" xfId="0" applyNumberFormat="1" applyFont="1" applyBorder="1" applyAlignment="1">
      <alignment horizontal="right" vertical="top"/>
    </xf>
    <xf numFmtId="181" fontId="19" fillId="0" borderId="16" xfId="0" applyNumberFormat="1" applyFont="1" applyBorder="1" applyAlignment="1">
      <alignment horizontal="right" vertical="top"/>
    </xf>
    <xf numFmtId="169" fontId="19" fillId="0" borderId="18" xfId="0" applyNumberFormat="1" applyFont="1" applyBorder="1" applyAlignment="1">
      <alignment horizontal="right" vertical="top"/>
    </xf>
    <xf numFmtId="181" fontId="19" fillId="0" borderId="44" xfId="0" applyNumberFormat="1" applyFont="1" applyBorder="1" applyAlignment="1">
      <alignment horizontal="right" vertical="top"/>
    </xf>
    <xf numFmtId="181" fontId="21" fillId="0" borderId="44" xfId="0" applyNumberFormat="1" applyFont="1" applyBorder="1" applyAlignment="1">
      <alignment horizontal="right" vertical="top"/>
    </xf>
    <xf numFmtId="181" fontId="0" fillId="0" borderId="0" xfId="0" applyNumberFormat="1"/>
    <xf numFmtId="168" fontId="39" fillId="0" borderId="41" xfId="0" applyNumberFormat="1" applyFont="1" applyBorder="1" applyAlignment="1">
      <alignment horizontal="right" vertical="top"/>
    </xf>
    <xf numFmtId="168" fontId="39" fillId="0" borderId="64" xfId="0" applyNumberFormat="1" applyFont="1" applyBorder="1" applyAlignment="1">
      <alignment horizontal="right" vertical="top"/>
    </xf>
    <xf numFmtId="166" fontId="39" fillId="0" borderId="40" xfId="0" applyNumberFormat="1" applyFont="1" applyBorder="1" applyAlignment="1">
      <alignment horizontal="right" vertical="top"/>
    </xf>
    <xf numFmtId="166" fontId="39" fillId="0" borderId="13" xfId="0" applyNumberFormat="1" applyFont="1" applyBorder="1" applyAlignment="1">
      <alignment horizontal="right" vertical="top"/>
    </xf>
    <xf numFmtId="166" fontId="39" fillId="0" borderId="11" xfId="0" applyNumberFormat="1" applyFont="1" applyBorder="1" applyAlignment="1">
      <alignment horizontal="right" vertical="top"/>
    </xf>
    <xf numFmtId="0" fontId="26" fillId="0" borderId="12" xfId="0" applyFont="1" applyBorder="1"/>
    <xf numFmtId="2" fontId="26" fillId="0" borderId="15" xfId="0" applyNumberFormat="1" applyFont="1" applyBorder="1"/>
    <xf numFmtId="0" fontId="26" fillId="0" borderId="14" xfId="0" applyFont="1" applyBorder="1"/>
    <xf numFmtId="168" fontId="39" fillId="0" borderId="65" xfId="0" applyNumberFormat="1" applyFont="1" applyBorder="1" applyAlignment="1">
      <alignment horizontal="right" vertical="top"/>
    </xf>
    <xf numFmtId="169" fontId="39" fillId="0" borderId="65" xfId="0" applyNumberFormat="1" applyFont="1" applyBorder="1" applyAlignment="1">
      <alignment horizontal="right" vertical="top"/>
    </xf>
    <xf numFmtId="168" fontId="42" fillId="0" borderId="31" xfId="0" applyNumberFormat="1" applyFont="1" applyBorder="1"/>
    <xf numFmtId="169" fontId="42" fillId="0" borderId="31" xfId="0" applyNumberFormat="1" applyFont="1" applyBorder="1"/>
    <xf numFmtId="166" fontId="39" fillId="0" borderId="38" xfId="0" applyNumberFormat="1" applyFont="1" applyBorder="1" applyAlignment="1">
      <alignment horizontal="right" vertical="top"/>
    </xf>
    <xf numFmtId="0" fontId="46" fillId="0" borderId="0" xfId="0" applyFont="1"/>
    <xf numFmtId="181" fontId="7" fillId="0" borderId="73" xfId="0" applyNumberFormat="1" applyFont="1" applyBorder="1" applyAlignment="1">
      <alignment horizontal="right" vertical="top"/>
    </xf>
    <xf numFmtId="169" fontId="7" fillId="0" borderId="74" xfId="0" applyNumberFormat="1" applyFont="1" applyBorder="1" applyAlignment="1">
      <alignment horizontal="right" vertical="top"/>
    </xf>
    <xf numFmtId="170" fontId="14" fillId="0" borderId="74" xfId="0" applyNumberFormat="1" applyFont="1" applyBorder="1" applyAlignment="1">
      <alignment horizontal="right" vertical="top"/>
    </xf>
    <xf numFmtId="181" fontId="14" fillId="0" borderId="0" xfId="0" applyNumberFormat="1" applyFont="1" applyAlignment="1">
      <alignment horizontal="right" vertical="top"/>
    </xf>
    <xf numFmtId="169" fontId="14" fillId="0" borderId="74" xfId="0" applyNumberFormat="1" applyFont="1" applyBorder="1" applyAlignment="1">
      <alignment horizontal="right" vertical="top"/>
    </xf>
    <xf numFmtId="181" fontId="7" fillId="0" borderId="0" xfId="0" applyNumberFormat="1" applyFont="1" applyAlignment="1">
      <alignment horizontal="right" vertical="top"/>
    </xf>
    <xf numFmtId="170" fontId="14" fillId="0" borderId="0" xfId="0" applyNumberFormat="1" applyFont="1" applyAlignment="1">
      <alignment horizontal="right" vertical="top"/>
    </xf>
    <xf numFmtId="170" fontId="7" fillId="0" borderId="0" xfId="0" applyNumberFormat="1" applyFont="1" applyAlignment="1">
      <alignment horizontal="right" vertical="top"/>
    </xf>
    <xf numFmtId="170" fontId="7" fillId="0" borderId="74" xfId="0" applyNumberFormat="1" applyFont="1" applyBorder="1" applyAlignment="1">
      <alignment horizontal="right" vertical="top"/>
    </xf>
    <xf numFmtId="170" fontId="7" fillId="0" borderId="73" xfId="0" applyNumberFormat="1" applyFont="1" applyBorder="1" applyAlignment="1">
      <alignment horizontal="right" vertical="top"/>
    </xf>
    <xf numFmtId="169" fontId="7" fillId="0" borderId="75" xfId="0" applyNumberFormat="1" applyFont="1" applyBorder="1" applyAlignment="1">
      <alignment horizontal="right" vertical="top"/>
    </xf>
    <xf numFmtId="0" fontId="2" fillId="0" borderId="75" xfId="0" applyFont="1" applyBorder="1"/>
    <xf numFmtId="169" fontId="21" fillId="0" borderId="67" xfId="0" applyNumberFormat="1" applyFont="1" applyBorder="1" applyAlignment="1">
      <alignment horizontal="right" vertical="top"/>
    </xf>
    <xf numFmtId="49" fontId="21" fillId="0" borderId="15" xfId="0" applyNumberFormat="1" applyFont="1" applyBorder="1" applyAlignment="1">
      <alignment horizontal="center" vertical="top"/>
    </xf>
    <xf numFmtId="170" fontId="7" fillId="0" borderId="45" xfId="0" applyNumberFormat="1" applyFont="1" applyBorder="1" applyAlignment="1">
      <alignment horizontal="right" vertical="top"/>
    </xf>
    <xf numFmtId="169" fontId="21" fillId="0" borderId="19" xfId="0" applyNumberFormat="1" applyFont="1" applyBorder="1" applyAlignment="1">
      <alignment horizontal="right" vertical="top"/>
    </xf>
    <xf numFmtId="49" fontId="21" fillId="0" borderId="13" xfId="0" applyNumberFormat="1" applyFont="1" applyBorder="1" applyAlignment="1">
      <alignment horizontal="center" vertical="top"/>
    </xf>
    <xf numFmtId="181" fontId="7" fillId="0" borderId="76" xfId="0" applyNumberFormat="1" applyFont="1" applyBorder="1" applyAlignment="1">
      <alignment horizontal="right" vertical="top"/>
    </xf>
    <xf numFmtId="0" fontId="2" fillId="0" borderId="76" xfId="0" applyFont="1" applyBorder="1"/>
    <xf numFmtId="181" fontId="21" fillId="0" borderId="17" xfId="0" applyNumberFormat="1" applyFont="1" applyBorder="1" applyAlignment="1">
      <alignment horizontal="right" vertical="top"/>
    </xf>
    <xf numFmtId="0" fontId="11" fillId="3" borderId="0" xfId="0" applyFont="1" applyFill="1" applyAlignment="1" applyProtection="1">
      <alignment horizontal="center" vertical="center"/>
      <protection locked="0"/>
    </xf>
    <xf numFmtId="2" fontId="10" fillId="0" borderId="35" xfId="0" applyNumberFormat="1" applyFont="1" applyBorder="1" applyProtection="1">
      <protection locked="0"/>
    </xf>
    <xf numFmtId="2" fontId="10" fillId="0" borderId="77" xfId="0" applyNumberFormat="1" applyFont="1" applyBorder="1" applyProtection="1">
      <protection locked="0"/>
    </xf>
    <xf numFmtId="2" fontId="10" fillId="0" borderId="58" xfId="0" applyNumberFormat="1" applyFont="1" applyBorder="1" applyProtection="1">
      <protection locked="0"/>
    </xf>
    <xf numFmtId="2" fontId="28" fillId="0" borderId="35" xfId="0" applyNumberFormat="1" applyFont="1" applyBorder="1" applyProtection="1">
      <protection locked="0"/>
    </xf>
    <xf numFmtId="2" fontId="28" fillId="0" borderId="77" xfId="0" applyNumberFormat="1" applyFont="1" applyBorder="1" applyProtection="1">
      <protection locked="0"/>
    </xf>
    <xf numFmtId="2" fontId="10" fillId="0" borderId="78" xfId="0" applyNumberFormat="1" applyFont="1" applyBorder="1" applyProtection="1">
      <protection locked="0"/>
    </xf>
    <xf numFmtId="2" fontId="10" fillId="0" borderId="79" xfId="0" applyNumberFormat="1" applyFont="1" applyBorder="1" applyProtection="1">
      <protection locked="0"/>
    </xf>
    <xf numFmtId="2" fontId="35" fillId="0" borderId="26" xfId="0" applyNumberFormat="1" applyFont="1" applyBorder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11" fillId="0" borderId="72" xfId="0" applyFont="1" applyBorder="1" applyAlignment="1" applyProtection="1">
      <alignment horizontal="center"/>
      <protection locked="0"/>
    </xf>
    <xf numFmtId="2" fontId="0" fillId="0" borderId="59" xfId="0" applyNumberFormat="1" applyBorder="1" applyProtection="1">
      <protection locked="0"/>
    </xf>
    <xf numFmtId="2" fontId="0" fillId="0" borderId="2" xfId="0" applyNumberFormat="1" applyBorder="1" applyProtection="1">
      <protection locked="0"/>
    </xf>
    <xf numFmtId="2" fontId="0" fillId="0" borderId="34" xfId="0" applyNumberFormat="1" applyBorder="1" applyProtection="1">
      <protection locked="0"/>
    </xf>
    <xf numFmtId="165" fontId="4" fillId="0" borderId="64" xfId="0" applyNumberFormat="1" applyFont="1" applyBorder="1" applyProtection="1">
      <protection locked="0"/>
    </xf>
    <xf numFmtId="2" fontId="4" fillId="0" borderId="69" xfId="0" applyNumberFormat="1" applyFont="1" applyBorder="1" applyProtection="1">
      <protection locked="0"/>
    </xf>
    <xf numFmtId="2" fontId="4" fillId="0" borderId="40" xfId="0" applyNumberFormat="1" applyFont="1" applyBorder="1" applyProtection="1">
      <protection locked="0"/>
    </xf>
    <xf numFmtId="165" fontId="4" fillId="0" borderId="10" xfId="0" applyNumberFormat="1" applyFont="1" applyBorder="1"/>
    <xf numFmtId="2" fontId="4" fillId="0" borderId="11" xfId="0" applyNumberFormat="1" applyFont="1" applyBorder="1"/>
    <xf numFmtId="2" fontId="16" fillId="0" borderId="0" xfId="0" applyNumberFormat="1" applyFont="1"/>
    <xf numFmtId="2" fontId="0" fillId="0" borderId="43" xfId="0" applyNumberFormat="1" applyBorder="1" applyProtection="1">
      <protection locked="0"/>
    </xf>
    <xf numFmtId="165" fontId="4" fillId="0" borderId="12" xfId="0" applyNumberFormat="1" applyFont="1" applyBorder="1" applyProtection="1">
      <protection locked="0"/>
    </xf>
    <xf numFmtId="2" fontId="4" fillId="0" borderId="1" xfId="0" applyNumberFormat="1" applyFont="1" applyBorder="1" applyProtection="1">
      <protection locked="0"/>
    </xf>
    <xf numFmtId="2" fontId="4" fillId="0" borderId="14" xfId="0" applyNumberFormat="1" applyFont="1" applyBorder="1" applyProtection="1">
      <protection locked="0"/>
    </xf>
    <xf numFmtId="0" fontId="10" fillId="0" borderId="33" xfId="0" applyFont="1" applyBorder="1" applyProtection="1">
      <protection locked="0"/>
    </xf>
    <xf numFmtId="2" fontId="0" fillId="0" borderId="4" xfId="0" applyNumberFormat="1" applyBorder="1" applyProtection="1">
      <protection locked="0"/>
    </xf>
    <xf numFmtId="2" fontId="0" fillId="0" borderId="51" xfId="0" applyNumberFormat="1" applyBorder="1" applyProtection="1">
      <protection locked="0"/>
    </xf>
    <xf numFmtId="2" fontId="0" fillId="0" borderId="48" xfId="0" applyNumberFormat="1" applyBorder="1" applyProtection="1">
      <protection locked="0"/>
    </xf>
    <xf numFmtId="165" fontId="4" fillId="0" borderId="73" xfId="0" applyNumberFormat="1" applyFont="1" applyBorder="1" applyProtection="1">
      <protection locked="0"/>
    </xf>
    <xf numFmtId="2" fontId="4" fillId="0" borderId="27" xfId="0" applyNumberFormat="1" applyFont="1" applyBorder="1" applyProtection="1">
      <protection locked="0"/>
    </xf>
    <xf numFmtId="2" fontId="4" fillId="0" borderId="18" xfId="0" applyNumberFormat="1" applyFont="1" applyBorder="1" applyProtection="1">
      <protection locked="0"/>
    </xf>
    <xf numFmtId="165" fontId="4" fillId="0" borderId="17" xfId="0" applyNumberFormat="1" applyFont="1" applyBorder="1"/>
    <xf numFmtId="2" fontId="4" fillId="0" borderId="18" xfId="0" applyNumberFormat="1" applyFont="1" applyBorder="1"/>
    <xf numFmtId="0" fontId="28" fillId="0" borderId="9" xfId="0" applyFont="1" applyBorder="1" applyProtection="1">
      <protection locked="0"/>
    </xf>
    <xf numFmtId="2" fontId="16" fillId="0" borderId="59" xfId="0" applyNumberFormat="1" applyFont="1" applyBorder="1" applyProtection="1">
      <protection locked="0"/>
    </xf>
    <xf numFmtId="2" fontId="16" fillId="0" borderId="2" xfId="0" applyNumberFormat="1" applyFont="1" applyBorder="1" applyProtection="1">
      <protection locked="0"/>
    </xf>
    <xf numFmtId="2" fontId="16" fillId="0" borderId="34" xfId="0" applyNumberFormat="1" applyFont="1" applyBorder="1" applyProtection="1">
      <protection locked="0"/>
    </xf>
    <xf numFmtId="2" fontId="4" fillId="0" borderId="11" xfId="0" applyNumberFormat="1" applyFont="1" applyBorder="1" applyProtection="1">
      <protection locked="0"/>
    </xf>
    <xf numFmtId="2" fontId="16" fillId="0" borderId="43" xfId="0" applyNumberFormat="1" applyFont="1" applyBorder="1" applyProtection="1">
      <protection locked="0"/>
    </xf>
    <xf numFmtId="2" fontId="16" fillId="0" borderId="42" xfId="0" applyNumberFormat="1" applyFont="1" applyBorder="1" applyProtection="1">
      <protection locked="0"/>
    </xf>
    <xf numFmtId="165" fontId="4" fillId="0" borderId="13" xfId="0" applyNumberFormat="1" applyFont="1" applyBorder="1" applyProtection="1">
      <protection locked="0"/>
    </xf>
    <xf numFmtId="165" fontId="4" fillId="0" borderId="9" xfId="0" applyNumberFormat="1" applyFont="1" applyBorder="1" applyProtection="1">
      <protection locked="0"/>
    </xf>
    <xf numFmtId="2" fontId="4" fillId="0" borderId="5" xfId="0" applyNumberFormat="1" applyFont="1" applyBorder="1" applyProtection="1">
      <protection locked="0"/>
    </xf>
    <xf numFmtId="165" fontId="4" fillId="0" borderId="30" xfId="0" applyNumberFormat="1" applyFont="1" applyBorder="1" applyProtection="1">
      <protection locked="0"/>
    </xf>
    <xf numFmtId="2" fontId="4" fillId="0" borderId="2" xfId="0" applyNumberFormat="1" applyFont="1" applyBorder="1" applyProtection="1">
      <protection locked="0"/>
    </xf>
    <xf numFmtId="2" fontId="4" fillId="0" borderId="24" xfId="0" applyNumberFormat="1" applyFont="1" applyBorder="1" applyProtection="1">
      <protection locked="0"/>
    </xf>
    <xf numFmtId="165" fontId="31" fillId="0" borderId="6" xfId="0" applyNumberFormat="1" applyFont="1" applyBorder="1" applyProtection="1">
      <protection locked="0"/>
    </xf>
    <xf numFmtId="165" fontId="4" fillId="0" borderId="8" xfId="0" applyNumberFormat="1" applyFont="1" applyBorder="1" applyProtection="1">
      <protection locked="0"/>
    </xf>
    <xf numFmtId="2" fontId="4" fillId="0" borderId="7" xfId="0" applyNumberFormat="1" applyFont="1" applyBorder="1" applyProtection="1">
      <protection locked="0"/>
    </xf>
    <xf numFmtId="2" fontId="4" fillId="0" borderId="21" xfId="0" applyNumberFormat="1" applyFont="1" applyBorder="1" applyProtection="1">
      <protection locked="0"/>
    </xf>
    <xf numFmtId="165" fontId="2" fillId="0" borderId="6" xfId="0" applyNumberFormat="1" applyFont="1" applyBorder="1"/>
    <xf numFmtId="2" fontId="2" fillId="0" borderId="21" xfId="0" applyNumberFormat="1" applyFont="1" applyBorder="1"/>
    <xf numFmtId="2" fontId="0" fillId="0" borderId="44" xfId="0" applyNumberFormat="1" applyBorder="1"/>
    <xf numFmtId="2" fontId="4" fillId="0" borderId="42" xfId="0" applyNumberFormat="1" applyFont="1" applyBorder="1"/>
    <xf numFmtId="2" fontId="4" fillId="0" borderId="15" xfId="0" applyNumberFormat="1" applyFont="1" applyBorder="1"/>
    <xf numFmtId="0" fontId="5" fillId="0" borderId="8" xfId="0" applyFont="1" applyBorder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0" borderId="9" xfId="0" applyFont="1" applyBorder="1"/>
    <xf numFmtId="165" fontId="5" fillId="9" borderId="9" xfId="0" applyNumberFormat="1" applyFont="1" applyFill="1" applyBorder="1"/>
    <xf numFmtId="2" fontId="5" fillId="9" borderId="5" xfId="0" applyNumberFormat="1" applyFont="1" applyFill="1" applyBorder="1"/>
    <xf numFmtId="2" fontId="5" fillId="9" borderId="66" xfId="0" applyNumberFormat="1" applyFont="1" applyFill="1" applyBorder="1"/>
    <xf numFmtId="165" fontId="5" fillId="0" borderId="10" xfId="0" applyNumberFormat="1" applyFont="1" applyBorder="1"/>
    <xf numFmtId="2" fontId="5" fillId="0" borderId="5" xfId="0" applyNumberFormat="1" applyFont="1" applyBorder="1"/>
    <xf numFmtId="2" fontId="5" fillId="0" borderId="11" xfId="0" applyNumberFormat="1" applyFont="1" applyBorder="1"/>
    <xf numFmtId="169" fontId="21" fillId="0" borderId="15" xfId="0" applyNumberFormat="1" applyFont="1" applyBorder="1" applyAlignment="1">
      <alignment horizontal="right" vertical="top"/>
    </xf>
    <xf numFmtId="182" fontId="48" fillId="9" borderId="0" xfId="0" applyNumberFormat="1" applyFont="1" applyFill="1"/>
    <xf numFmtId="183" fontId="48" fillId="9" borderId="0" xfId="3" applyNumberFormat="1" applyFont="1" applyFill="1" applyBorder="1"/>
    <xf numFmtId="165" fontId="5" fillId="0" borderId="0" xfId="0" applyNumberFormat="1" applyFont="1"/>
    <xf numFmtId="2" fontId="5" fillId="0" borderId="0" xfId="0" applyNumberFormat="1" applyFont="1"/>
    <xf numFmtId="171" fontId="5" fillId="0" borderId="0" xfId="1" applyNumberFormat="1" applyFont="1"/>
    <xf numFmtId="0" fontId="5" fillId="0" borderId="12" xfId="0" applyFont="1" applyBorder="1"/>
    <xf numFmtId="2" fontId="5" fillId="9" borderId="68" xfId="0" applyNumberFormat="1" applyFont="1" applyFill="1" applyBorder="1"/>
    <xf numFmtId="165" fontId="5" fillId="0" borderId="13" xfId="0" applyNumberFormat="1" applyFont="1" applyBorder="1"/>
    <xf numFmtId="2" fontId="5" fillId="0" borderId="14" xfId="0" applyNumberFormat="1" applyFont="1" applyBorder="1"/>
    <xf numFmtId="2" fontId="5" fillId="0" borderId="1" xfId="0" applyNumberFormat="1" applyFont="1" applyBorder="1"/>
    <xf numFmtId="0" fontId="5" fillId="0" borderId="16" xfId="0" applyFont="1" applyBorder="1"/>
    <xf numFmtId="2" fontId="5" fillId="9" borderId="67" xfId="0" applyNumberFormat="1" applyFont="1" applyFill="1" applyBorder="1"/>
    <xf numFmtId="165" fontId="5" fillId="0" borderId="17" xfId="0" applyNumberFormat="1" applyFont="1" applyBorder="1"/>
    <xf numFmtId="2" fontId="5" fillId="0" borderId="27" xfId="0" applyNumberFormat="1" applyFont="1" applyBorder="1"/>
    <xf numFmtId="2" fontId="5" fillId="0" borderId="3" xfId="0" applyNumberFormat="1" applyFont="1" applyBorder="1"/>
    <xf numFmtId="0" fontId="5" fillId="0" borderId="7" xfId="0" applyFont="1" applyBorder="1"/>
    <xf numFmtId="165" fontId="5" fillId="9" borderId="8" xfId="0" applyNumberFormat="1" applyFont="1" applyFill="1" applyBorder="1"/>
    <xf numFmtId="2" fontId="5" fillId="9" borderId="7" xfId="0" applyNumberFormat="1" applyFont="1" applyFill="1" applyBorder="1"/>
    <xf numFmtId="2" fontId="5" fillId="9" borderId="56" xfId="0" applyNumberFormat="1" applyFont="1" applyFill="1" applyBorder="1"/>
    <xf numFmtId="165" fontId="5" fillId="0" borderId="6" xfId="0" applyNumberFormat="1" applyFont="1" applyBorder="1"/>
    <xf numFmtId="2" fontId="5" fillId="0" borderId="7" xfId="0" applyNumberFormat="1" applyFont="1" applyBorder="1"/>
    <xf numFmtId="2" fontId="5" fillId="0" borderId="21" xfId="0" applyNumberFormat="1" applyFont="1" applyBorder="1"/>
    <xf numFmtId="182" fontId="48" fillId="9" borderId="8" xfId="0" applyNumberFormat="1" applyFont="1" applyFill="1" applyBorder="1"/>
    <xf numFmtId="183" fontId="48" fillId="9" borderId="56" xfId="3" applyNumberFormat="1" applyFont="1" applyFill="1" applyBorder="1"/>
    <xf numFmtId="165" fontId="5" fillId="2" borderId="0" xfId="0" applyNumberFormat="1" applyFont="1" applyFill="1"/>
    <xf numFmtId="2" fontId="5" fillId="2" borderId="0" xfId="0" applyNumberFormat="1" applyFont="1" applyFill="1"/>
    <xf numFmtId="171" fontId="5" fillId="2" borderId="0" xfId="0" applyNumberFormat="1" applyFont="1" applyFill="1"/>
    <xf numFmtId="0" fontId="5" fillId="9" borderId="9" xfId="0" applyFont="1" applyFill="1" applyBorder="1"/>
    <xf numFmtId="0" fontId="5" fillId="9" borderId="5" xfId="0" applyFont="1" applyFill="1" applyBorder="1"/>
    <xf numFmtId="0" fontId="5" fillId="9" borderId="43" xfId="0" applyFont="1" applyFill="1" applyBorder="1"/>
    <xf numFmtId="0" fontId="5" fillId="0" borderId="11" xfId="0" applyFont="1" applyBorder="1"/>
    <xf numFmtId="165" fontId="5" fillId="9" borderId="12" xfId="0" applyNumberFormat="1" applyFont="1" applyFill="1" applyBorder="1"/>
    <xf numFmtId="2" fontId="5" fillId="0" borderId="20" xfId="0" applyNumberFormat="1" applyFont="1" applyBorder="1"/>
    <xf numFmtId="0" fontId="5" fillId="0" borderId="26" xfId="0" applyFont="1" applyBorder="1"/>
    <xf numFmtId="0" fontId="5" fillId="9" borderId="8" xfId="0" applyFont="1" applyFill="1" applyBorder="1"/>
    <xf numFmtId="0" fontId="5" fillId="9" borderId="7" xfId="0" applyFont="1" applyFill="1" applyBorder="1"/>
    <xf numFmtId="0" fontId="5" fillId="9" borderId="31" xfId="0" applyFont="1" applyFill="1" applyBorder="1"/>
    <xf numFmtId="0" fontId="5" fillId="0" borderId="21" xfId="0" applyFont="1" applyBorder="1"/>
    <xf numFmtId="165" fontId="5" fillId="9" borderId="30" xfId="0" applyNumberFormat="1" applyFont="1" applyFill="1" applyBorder="1"/>
    <xf numFmtId="2" fontId="5" fillId="9" borderId="71" xfId="0" applyNumberFormat="1" applyFont="1" applyFill="1" applyBorder="1"/>
    <xf numFmtId="165" fontId="5" fillId="0" borderId="22" xfId="0" applyNumberFormat="1" applyFont="1" applyBorder="1"/>
    <xf numFmtId="2" fontId="5" fillId="0" borderId="2" xfId="0" applyNumberFormat="1" applyFont="1" applyBorder="1"/>
    <xf numFmtId="2" fontId="5" fillId="0" borderId="68" xfId="0" applyNumberFormat="1" applyFont="1" applyBorder="1"/>
    <xf numFmtId="2" fontId="5" fillId="0" borderId="23" xfId="0" applyNumberFormat="1" applyFont="1" applyBorder="1"/>
    <xf numFmtId="2" fontId="5" fillId="9" borderId="70" xfId="0" applyNumberFormat="1" applyFont="1" applyFill="1" applyBorder="1"/>
    <xf numFmtId="165" fontId="5" fillId="0" borderId="12" xfId="0" applyNumberFormat="1" applyFont="1" applyBorder="1"/>
    <xf numFmtId="2" fontId="5" fillId="0" borderId="52" xfId="0" applyNumberFormat="1" applyFont="1" applyBorder="1"/>
    <xf numFmtId="165" fontId="5" fillId="5" borderId="10" xfId="0" applyNumberFormat="1" applyFont="1" applyFill="1" applyBorder="1"/>
    <xf numFmtId="2" fontId="5" fillId="0" borderId="15" xfId="0" applyNumberFormat="1" applyFont="1" applyBorder="1"/>
    <xf numFmtId="165" fontId="5" fillId="0" borderId="37" xfId="0" applyNumberFormat="1" applyFont="1" applyBorder="1"/>
    <xf numFmtId="2" fontId="5" fillId="0" borderId="65" xfId="0" applyNumberFormat="1" applyFont="1" applyBorder="1"/>
    <xf numFmtId="2" fontId="5" fillId="0" borderId="70" xfId="0" applyNumberFormat="1" applyFont="1" applyBorder="1"/>
    <xf numFmtId="2" fontId="5" fillId="0" borderId="46" xfId="0" applyNumberFormat="1" applyFont="1" applyBorder="1"/>
    <xf numFmtId="2" fontId="5" fillId="0" borderId="38" xfId="0" applyNumberFormat="1" applyFont="1" applyBorder="1"/>
    <xf numFmtId="165" fontId="5" fillId="0" borderId="16" xfId="0" applyNumberFormat="1" applyFont="1" applyBorder="1"/>
    <xf numFmtId="2" fontId="5" fillId="0" borderId="50" xfId="0" applyNumberFormat="1" applyFont="1" applyBorder="1"/>
    <xf numFmtId="2" fontId="5" fillId="0" borderId="51" xfId="0" applyNumberFormat="1" applyFont="1" applyBorder="1"/>
    <xf numFmtId="2" fontId="5" fillId="0" borderId="44" xfId="0" applyNumberFormat="1" applyFont="1" applyBorder="1"/>
    <xf numFmtId="2" fontId="5" fillId="0" borderId="67" xfId="0" applyNumberFormat="1" applyFont="1" applyBorder="1"/>
    <xf numFmtId="2" fontId="5" fillId="0" borderId="19" xfId="0" applyNumberFormat="1" applyFont="1" applyBorder="1"/>
    <xf numFmtId="2" fontId="5" fillId="0" borderId="18" xfId="0" applyNumberFormat="1" applyFont="1" applyBorder="1"/>
    <xf numFmtId="165" fontId="5" fillId="0" borderId="8" xfId="0" applyNumberFormat="1" applyFont="1" applyBorder="1"/>
    <xf numFmtId="2" fontId="5" fillId="0" borderId="26" xfId="0" applyNumberFormat="1" applyFont="1" applyBorder="1"/>
    <xf numFmtId="2" fontId="5" fillId="0" borderId="56" xfId="0" applyNumberFormat="1" applyFont="1" applyBorder="1"/>
    <xf numFmtId="165" fontId="5" fillId="9" borderId="73" xfId="0" applyNumberFormat="1" applyFont="1" applyFill="1" applyBorder="1"/>
    <xf numFmtId="2" fontId="5" fillId="9" borderId="0" xfId="0" applyNumberFormat="1" applyFont="1" applyFill="1"/>
    <xf numFmtId="165" fontId="5" fillId="0" borderId="25" xfId="0" applyNumberFormat="1" applyFont="1" applyBorder="1"/>
    <xf numFmtId="43" fontId="5" fillId="0" borderId="11" xfId="1" applyNumberFormat="1" applyFont="1" applyBorder="1"/>
    <xf numFmtId="2" fontId="5" fillId="0" borderId="11" xfId="1" applyNumberFormat="1" applyFont="1" applyBorder="1"/>
    <xf numFmtId="184" fontId="5" fillId="0" borderId="11" xfId="1" applyNumberFormat="1" applyFont="1" applyBorder="1"/>
    <xf numFmtId="43" fontId="5" fillId="0" borderId="0" xfId="1" applyNumberFormat="1" applyFont="1" applyBorder="1"/>
    <xf numFmtId="0" fontId="5" fillId="9" borderId="12" xfId="0" applyFont="1" applyFill="1" applyBorder="1"/>
    <xf numFmtId="0" fontId="5" fillId="9" borderId="1" xfId="0" applyFont="1" applyFill="1" applyBorder="1"/>
    <xf numFmtId="0" fontId="5" fillId="9" borderId="52" xfId="0" applyFont="1" applyFill="1" applyBorder="1"/>
    <xf numFmtId="177" fontId="5" fillId="0" borderId="14" xfId="0" applyNumberFormat="1" applyFont="1" applyBorder="1"/>
    <xf numFmtId="0" fontId="5" fillId="0" borderId="80" xfId="0" applyFont="1" applyBorder="1"/>
    <xf numFmtId="0" fontId="5" fillId="9" borderId="80" xfId="0" applyFont="1" applyFill="1" applyBorder="1"/>
    <xf numFmtId="0" fontId="5" fillId="9" borderId="28" xfId="0" applyFont="1" applyFill="1" applyBorder="1"/>
    <xf numFmtId="0" fontId="5" fillId="9" borderId="81" xfId="0" applyFont="1" applyFill="1" applyBorder="1"/>
    <xf numFmtId="165" fontId="5" fillId="0" borderId="29" xfId="0" applyNumberFormat="1" applyFont="1" applyBorder="1"/>
    <xf numFmtId="2" fontId="5" fillId="0" borderId="28" xfId="0" applyNumberFormat="1" applyFont="1" applyBorder="1"/>
    <xf numFmtId="2" fontId="5" fillId="0" borderId="82" xfId="0" applyNumberFormat="1" applyFont="1" applyBorder="1"/>
    <xf numFmtId="0" fontId="5" fillId="0" borderId="73" xfId="0" applyFont="1" applyBorder="1"/>
    <xf numFmtId="0" fontId="5" fillId="9" borderId="73" xfId="0" applyFont="1" applyFill="1" applyBorder="1"/>
    <xf numFmtId="0" fontId="5" fillId="9" borderId="27" xfId="0" applyFont="1" applyFill="1" applyBorder="1"/>
    <xf numFmtId="0" fontId="5" fillId="9" borderId="0" xfId="0" applyFont="1" applyFill="1"/>
    <xf numFmtId="165" fontId="5" fillId="0" borderId="76" xfId="0" applyNumberFormat="1" applyFont="1" applyBorder="1"/>
    <xf numFmtId="2" fontId="5" fillId="0" borderId="74" xfId="0" applyNumberFormat="1" applyFont="1" applyBorder="1"/>
    <xf numFmtId="165" fontId="6" fillId="9" borderId="83" xfId="0" applyNumberFormat="1" applyFont="1" applyFill="1" applyBorder="1"/>
    <xf numFmtId="2" fontId="6" fillId="9" borderId="63" xfId="0" applyNumberFormat="1" applyFont="1" applyFill="1" applyBorder="1"/>
    <xf numFmtId="2" fontId="6" fillId="9" borderId="40" xfId="0" applyNumberFormat="1" applyFont="1" applyFill="1" applyBorder="1"/>
    <xf numFmtId="165" fontId="6" fillId="0" borderId="8" xfId="0" applyNumberFormat="1" applyFont="1" applyBorder="1"/>
    <xf numFmtId="2" fontId="6" fillId="0" borderId="7" xfId="0" applyNumberFormat="1" applyFont="1" applyBorder="1"/>
    <xf numFmtId="2" fontId="6" fillId="0" borderId="56" xfId="0" applyNumberFormat="1" applyFont="1" applyBorder="1"/>
    <xf numFmtId="171" fontId="5" fillId="2" borderId="0" xfId="1" applyNumberFormat="1" applyFont="1" applyFill="1" applyBorder="1"/>
    <xf numFmtId="0" fontId="6" fillId="0" borderId="56" xfId="0" applyFont="1" applyBorder="1"/>
    <xf numFmtId="165" fontId="5" fillId="9" borderId="6" xfId="0" applyNumberFormat="1" applyFont="1" applyFill="1" applyBorder="1"/>
    <xf numFmtId="2" fontId="5" fillId="9" borderId="21" xfId="0" applyNumberFormat="1" applyFont="1" applyFill="1" applyBorder="1"/>
    <xf numFmtId="9" fontId="5" fillId="0" borderId="51" xfId="3" applyFont="1" applyBorder="1"/>
    <xf numFmtId="165" fontId="5" fillId="9" borderId="0" xfId="0" applyNumberFormat="1" applyFont="1" applyFill="1"/>
    <xf numFmtId="171" fontId="5" fillId="9" borderId="0" xfId="0" applyNumberFormat="1" applyFont="1" applyFill="1"/>
    <xf numFmtId="0" fontId="49" fillId="3" borderId="0" xfId="0" applyFont="1" applyFill="1"/>
    <xf numFmtId="165" fontId="5" fillId="3" borderId="0" xfId="0" applyNumberFormat="1" applyFont="1" applyFill="1"/>
    <xf numFmtId="2" fontId="5" fillId="3" borderId="0" xfId="0" applyNumberFormat="1" applyFont="1" applyFill="1"/>
    <xf numFmtId="168" fontId="50" fillId="3" borderId="0" xfId="0" applyNumberFormat="1" applyFont="1" applyFill="1"/>
    <xf numFmtId="166" fontId="50" fillId="3" borderId="0" xfId="0" applyNumberFormat="1" applyFont="1" applyFill="1"/>
    <xf numFmtId="2" fontId="50" fillId="3" borderId="0" xfId="0" applyNumberFormat="1" applyFont="1" applyFill="1"/>
    <xf numFmtId="168" fontId="50" fillId="3" borderId="0" xfId="0" applyNumberFormat="1" applyFont="1" applyFill="1" applyAlignment="1">
      <alignment horizontal="right"/>
    </xf>
    <xf numFmtId="166" fontId="51" fillId="3" borderId="0" xfId="0" applyNumberFormat="1" applyFont="1" applyFill="1"/>
    <xf numFmtId="166" fontId="50" fillId="0" borderId="0" xfId="0" applyNumberFormat="1" applyFont="1"/>
    <xf numFmtId="164" fontId="50" fillId="0" borderId="0" xfId="1" applyFont="1" applyFill="1"/>
    <xf numFmtId="182" fontId="48" fillId="0" borderId="0" xfId="0" applyNumberFormat="1" applyFont="1"/>
    <xf numFmtId="183" fontId="48" fillId="0" borderId="0" xfId="3" applyNumberFormat="1" applyFont="1" applyFill="1" applyBorder="1"/>
    <xf numFmtId="0" fontId="5" fillId="0" borderId="0" xfId="0" applyFont="1" applyAlignment="1">
      <alignment horizontal="right"/>
    </xf>
    <xf numFmtId="43" fontId="5" fillId="0" borderId="0" xfId="0" applyNumberFormat="1" applyFont="1"/>
    <xf numFmtId="0" fontId="49" fillId="10" borderId="0" xfId="0" applyFont="1" applyFill="1"/>
    <xf numFmtId="165" fontId="5" fillId="10" borderId="0" xfId="0" applyNumberFormat="1" applyFont="1" applyFill="1"/>
    <xf numFmtId="2" fontId="5" fillId="10" borderId="0" xfId="0" applyNumberFormat="1" applyFont="1" applyFill="1"/>
    <xf numFmtId="168" fontId="50" fillId="10" borderId="0" xfId="0" applyNumberFormat="1" applyFont="1" applyFill="1"/>
    <xf numFmtId="166" fontId="50" fillId="10" borderId="0" xfId="0" applyNumberFormat="1" applyFont="1" applyFill="1"/>
    <xf numFmtId="168" fontId="50" fillId="10" borderId="0" xfId="0" applyNumberFormat="1" applyFont="1" applyFill="1" applyAlignment="1">
      <alignment horizontal="right"/>
    </xf>
    <xf numFmtId="166" fontId="51" fillId="10" borderId="0" xfId="0" applyNumberFormat="1" applyFont="1" applyFill="1"/>
    <xf numFmtId="0" fontId="49" fillId="0" borderId="0" xfId="0" applyFont="1"/>
    <xf numFmtId="165" fontId="49" fillId="0" borderId="0" xfId="0" applyNumberFormat="1" applyFont="1"/>
    <xf numFmtId="168" fontId="49" fillId="5" borderId="0" xfId="0" applyNumberFormat="1" applyFont="1" applyFill="1"/>
    <xf numFmtId="166" fontId="49" fillId="5" borderId="0" xfId="0" applyNumberFormat="1" applyFont="1" applyFill="1" applyAlignment="1">
      <alignment horizontal="center"/>
    </xf>
    <xf numFmtId="166" fontId="49" fillId="5" borderId="0" xfId="0" applyNumberFormat="1" applyFont="1" applyFill="1"/>
    <xf numFmtId="168" fontId="49" fillId="11" borderId="0" xfId="0" applyNumberFormat="1" applyFont="1" applyFill="1"/>
    <xf numFmtId="2" fontId="49" fillId="11" borderId="0" xfId="0" applyNumberFormat="1" applyFont="1" applyFill="1" applyAlignment="1">
      <alignment horizontal="center"/>
    </xf>
    <xf numFmtId="166" fontId="49" fillId="11" borderId="0" xfId="0" applyNumberFormat="1" applyFont="1" applyFill="1"/>
    <xf numFmtId="168" fontId="49" fillId="0" borderId="0" xfId="0" applyNumberFormat="1" applyFont="1"/>
    <xf numFmtId="2" fontId="49" fillId="0" borderId="0" xfId="0" applyNumberFormat="1" applyFont="1" applyAlignment="1">
      <alignment horizontal="center"/>
    </xf>
    <xf numFmtId="166" fontId="49" fillId="0" borderId="0" xfId="0" applyNumberFormat="1" applyFont="1"/>
    <xf numFmtId="2" fontId="49" fillId="5" borderId="0" xfId="0" applyNumberFormat="1" applyFont="1" applyFill="1" applyAlignment="1">
      <alignment horizontal="center"/>
    </xf>
    <xf numFmtId="171" fontId="6" fillId="0" borderId="0" xfId="1" applyNumberFormat="1" applyFont="1" applyAlignment="1"/>
    <xf numFmtId="168" fontId="49" fillId="12" borderId="0" xfId="0" applyNumberFormat="1" applyFont="1" applyFill="1"/>
    <xf numFmtId="166" fontId="49" fillId="12" borderId="0" xfId="0" applyNumberFormat="1" applyFont="1" applyFill="1" applyAlignment="1">
      <alignment horizontal="center"/>
    </xf>
    <xf numFmtId="166" fontId="49" fillId="12" borderId="0" xfId="0" applyNumberFormat="1" applyFont="1" applyFill="1"/>
    <xf numFmtId="2" fontId="49" fillId="12" borderId="0" xfId="0" applyNumberFormat="1" applyFont="1" applyFill="1" applyAlignment="1">
      <alignment horizontal="center"/>
    </xf>
    <xf numFmtId="178" fontId="6" fillId="0" borderId="0" xfId="0" applyNumberFormat="1" applyFont="1"/>
    <xf numFmtId="2" fontId="49" fillId="0" borderId="0" xfId="0" applyNumberFormat="1" applyFont="1"/>
    <xf numFmtId="185" fontId="49" fillId="0" borderId="0" xfId="0" applyNumberFormat="1" applyFont="1"/>
    <xf numFmtId="168" fontId="5" fillId="0" borderId="0" xfId="0" applyNumberFormat="1" applyFont="1"/>
    <xf numFmtId="166" fontId="5" fillId="0" borderId="0" xfId="0" applyNumberFormat="1" applyFont="1"/>
    <xf numFmtId="186" fontId="49" fillId="0" borderId="0" xfId="0" applyNumberFormat="1" applyFont="1"/>
    <xf numFmtId="165" fontId="6" fillId="11" borderId="0" xfId="0" applyNumberFormat="1" applyFont="1" applyFill="1"/>
    <xf numFmtId="0" fontId="6" fillId="11" borderId="0" xfId="0" applyFont="1" applyFill="1"/>
    <xf numFmtId="166" fontId="6" fillId="11" borderId="0" xfId="1" applyNumberFormat="1" applyFont="1" applyFill="1"/>
    <xf numFmtId="164" fontId="6" fillId="0" borderId="0" xfId="1" applyFont="1" applyFill="1"/>
    <xf numFmtId="1" fontId="5" fillId="0" borderId="0" xfId="0" applyNumberFormat="1" applyFont="1"/>
    <xf numFmtId="171" fontId="6" fillId="0" borderId="0" xfId="1" applyNumberFormat="1" applyFont="1"/>
    <xf numFmtId="164" fontId="5" fillId="0" borderId="0" xfId="1" applyFont="1"/>
    <xf numFmtId="166" fontId="52" fillId="0" borderId="0" xfId="0" applyNumberFormat="1" applyFont="1"/>
    <xf numFmtId="43" fontId="6" fillId="0" borderId="0" xfId="0" applyNumberFormat="1" applyFont="1"/>
    <xf numFmtId="171" fontId="5" fillId="0" borderId="0" xfId="0" applyNumberFormat="1" applyFont="1"/>
    <xf numFmtId="171" fontId="6" fillId="0" borderId="0" xfId="1" applyNumberFormat="1" applyFont="1" applyFill="1"/>
    <xf numFmtId="9" fontId="5" fillId="0" borderId="0" xfId="0" applyNumberFormat="1" applyFont="1"/>
    <xf numFmtId="9" fontId="6" fillId="0" borderId="0" xfId="0" applyNumberFormat="1" applyFont="1"/>
    <xf numFmtId="171" fontId="49" fillId="0" borderId="0" xfId="1" applyNumberFormat="1" applyFont="1"/>
    <xf numFmtId="168" fontId="53" fillId="0" borderId="0" xfId="0" applyNumberFormat="1" applyFont="1"/>
    <xf numFmtId="0" fontId="53" fillId="0" borderId="0" xfId="0" applyFont="1"/>
    <xf numFmtId="187" fontId="5" fillId="0" borderId="0" xfId="0" applyNumberFormat="1" applyFont="1"/>
    <xf numFmtId="171" fontId="5" fillId="0" borderId="0" xfId="1" applyNumberFormat="1" applyFont="1" applyFill="1" applyBorder="1"/>
    <xf numFmtId="188" fontId="6" fillId="0" borderId="0" xfId="0" applyNumberFormat="1" applyFont="1"/>
    <xf numFmtId="189" fontId="6" fillId="0" borderId="0" xfId="0" applyNumberFormat="1" applyFont="1"/>
    <xf numFmtId="185" fontId="6" fillId="0" borderId="0" xfId="0" applyNumberFormat="1" applyFont="1"/>
    <xf numFmtId="164" fontId="5" fillId="0" borderId="0" xfId="1" applyFont="1" applyFill="1" applyBorder="1"/>
    <xf numFmtId="171" fontId="6" fillId="0" borderId="0" xfId="0" applyNumberFormat="1" applyFont="1"/>
    <xf numFmtId="190" fontId="5" fillId="0" borderId="0" xfId="0" applyNumberFormat="1" applyFont="1"/>
    <xf numFmtId="191" fontId="49" fillId="0" borderId="0" xfId="0" applyNumberFormat="1" applyFont="1"/>
    <xf numFmtId="43" fontId="49" fillId="0" borderId="0" xfId="0" applyNumberFormat="1" applyFont="1"/>
    <xf numFmtId="190" fontId="49" fillId="0" borderId="0" xfId="0" applyNumberFormat="1" applyFont="1"/>
    <xf numFmtId="190" fontId="6" fillId="0" borderId="0" xfId="0" applyNumberFormat="1" applyFont="1"/>
    <xf numFmtId="192" fontId="5" fillId="0" borderId="0" xfId="0" applyNumberFormat="1" applyFont="1"/>
    <xf numFmtId="171" fontId="6" fillId="0" borderId="0" xfId="1" applyNumberFormat="1" applyFont="1" applyFill="1" applyBorder="1"/>
    <xf numFmtId="191" fontId="6" fillId="0" borderId="0" xfId="0" applyNumberFormat="1" applyFont="1"/>
    <xf numFmtId="165" fontId="6" fillId="0" borderId="0" xfId="0" applyNumberFormat="1" applyFont="1"/>
    <xf numFmtId="2" fontId="6" fillId="0" borderId="0" xfId="0" applyNumberFormat="1" applyFont="1"/>
    <xf numFmtId="191" fontId="49" fillId="0" borderId="0" xfId="0" applyNumberFormat="1" applyFont="1" applyAlignment="1">
      <alignment horizontal="right"/>
    </xf>
    <xf numFmtId="171" fontId="51" fillId="0" borderId="0" xfId="1" applyNumberFormat="1" applyFont="1" applyFill="1" applyBorder="1" applyAlignment="1"/>
    <xf numFmtId="1" fontId="5" fillId="0" borderId="0" xfId="3" applyNumberFormat="1" applyFont="1" applyFill="1" applyBorder="1"/>
    <xf numFmtId="0" fontId="5" fillId="0" borderId="4" xfId="0" applyFont="1" applyBorder="1"/>
    <xf numFmtId="165" fontId="5" fillId="0" borderId="4" xfId="0" applyNumberFormat="1" applyFont="1" applyBorder="1"/>
    <xf numFmtId="2" fontId="5" fillId="0" borderId="4" xfId="0" applyNumberFormat="1" applyFont="1" applyBorder="1"/>
    <xf numFmtId="2" fontId="5" fillId="0" borderId="0" xfId="0" applyNumberFormat="1" applyFont="1" applyAlignment="1">
      <alignment horizontal="center"/>
    </xf>
    <xf numFmtId="193" fontId="5" fillId="0" borderId="0" xfId="0" applyNumberFormat="1" applyFont="1"/>
    <xf numFmtId="177" fontId="5" fillId="0" borderId="0" xfId="0" applyNumberFormat="1" applyFont="1"/>
    <xf numFmtId="193" fontId="5" fillId="0" borderId="4" xfId="0" applyNumberFormat="1" applyFont="1" applyBorder="1"/>
    <xf numFmtId="177" fontId="5" fillId="0" borderId="4" xfId="0" applyNumberFormat="1" applyFont="1" applyBorder="1"/>
    <xf numFmtId="2" fontId="6" fillId="0" borderId="0" xfId="0" applyNumberFormat="1" applyFont="1" applyAlignment="1">
      <alignment vertical="center"/>
    </xf>
    <xf numFmtId="185" fontId="5" fillId="0" borderId="0" xfId="1" applyNumberFormat="1" applyFont="1" applyFill="1" applyBorder="1"/>
    <xf numFmtId="168" fontId="5" fillId="0" borderId="4" xfId="0" applyNumberFormat="1" applyFont="1" applyBorder="1"/>
    <xf numFmtId="185" fontId="5" fillId="0" borderId="4" xfId="1" applyNumberFormat="1" applyFont="1" applyFill="1" applyBorder="1"/>
    <xf numFmtId="0" fontId="6" fillId="0" borderId="0" xfId="0" applyFont="1" applyAlignment="1">
      <alignment horizontal="right"/>
    </xf>
    <xf numFmtId="194" fontId="6" fillId="0" borderId="0" xfId="1" applyNumberFormat="1" applyFont="1" applyFill="1" applyBorder="1"/>
    <xf numFmtId="168" fontId="6" fillId="0" borderId="0" xfId="0" applyNumberFormat="1" applyFont="1" applyAlignment="1">
      <alignment vertical="center"/>
    </xf>
    <xf numFmtId="195" fontId="5" fillId="0" borderId="0" xfId="1" applyNumberFormat="1" applyFont="1" applyFill="1" applyBorder="1"/>
    <xf numFmtId="195" fontId="6" fillId="0" borderId="0" xfId="1" applyNumberFormat="1" applyFont="1" applyFill="1" applyBorder="1"/>
    <xf numFmtId="194" fontId="5" fillId="0" borderId="0" xfId="1" applyNumberFormat="1" applyFont="1" applyFill="1" applyBorder="1"/>
    <xf numFmtId="0" fontId="6" fillId="0" borderId="0" xfId="0" applyFont="1" applyAlignment="1">
      <alignment horizontal="center" vertical="center"/>
    </xf>
    <xf numFmtId="164" fontId="6" fillId="0" borderId="0" xfId="0" applyNumberFormat="1" applyFont="1"/>
    <xf numFmtId="17" fontId="5" fillId="0" borderId="0" xfId="0" applyNumberFormat="1" applyFont="1"/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165" fontId="47" fillId="0" borderId="0" xfId="0" applyNumberFormat="1" applyFont="1"/>
    <xf numFmtId="0" fontId="5" fillId="0" borderId="0" xfId="0" applyFont="1" applyAlignment="1">
      <alignment horizontal="center" vertical="center"/>
    </xf>
    <xf numFmtId="43" fontId="5" fillId="0" borderId="0" xfId="1" applyNumberFormat="1" applyFont="1" applyFill="1" applyBorder="1"/>
    <xf numFmtId="168" fontId="50" fillId="0" borderId="0" xfId="0" applyNumberFormat="1" applyFont="1"/>
    <xf numFmtId="49" fontId="21" fillId="0" borderId="37" xfId="0" applyNumberFormat="1" applyFont="1" applyBorder="1" applyAlignment="1">
      <alignment horizontal="center" vertical="top"/>
    </xf>
    <xf numFmtId="49" fontId="21" fillId="0" borderId="38" xfId="0" applyNumberFormat="1" applyFont="1" applyBorder="1" applyAlignment="1">
      <alignment horizontal="center" vertical="top"/>
    </xf>
    <xf numFmtId="49" fontId="21" fillId="0" borderId="65" xfId="0" applyNumberFormat="1" applyFont="1" applyBorder="1" applyAlignment="1">
      <alignment horizontal="center" vertical="top"/>
    </xf>
    <xf numFmtId="49" fontId="21" fillId="0" borderId="46" xfId="0" applyNumberFormat="1" applyFont="1" applyBorder="1" applyAlignment="1">
      <alignment horizontal="center" vertical="top"/>
    </xf>
    <xf numFmtId="49" fontId="21" fillId="0" borderId="25" xfId="0" applyNumberFormat="1" applyFont="1" applyBorder="1" applyAlignment="1">
      <alignment horizontal="center" vertical="top"/>
    </xf>
    <xf numFmtId="49" fontId="21" fillId="0" borderId="70" xfId="0" applyNumberFormat="1" applyFont="1" applyBorder="1" applyAlignment="1">
      <alignment horizontal="center" vertical="top"/>
    </xf>
    <xf numFmtId="49" fontId="20" fillId="0" borderId="72" xfId="0" applyNumberFormat="1" applyFont="1" applyBorder="1" applyAlignment="1">
      <alignment horizontal="left" vertical="top" indent="2"/>
    </xf>
    <xf numFmtId="49" fontId="20" fillId="0" borderId="57" xfId="0" applyNumberFormat="1" applyFont="1" applyBorder="1" applyAlignment="1">
      <alignment horizontal="left" vertical="top" indent="2"/>
    </xf>
    <xf numFmtId="49" fontId="20" fillId="0" borderId="77" xfId="0" applyNumberFormat="1" applyFont="1" applyBorder="1" applyAlignment="1">
      <alignment horizontal="left" vertical="top" indent="2"/>
    </xf>
    <xf numFmtId="49" fontId="20" fillId="0" borderId="33" xfId="0" applyNumberFormat="1" applyFont="1" applyBorder="1" applyAlignment="1">
      <alignment horizontal="left" vertical="top" indent="2"/>
    </xf>
    <xf numFmtId="181" fontId="7" fillId="0" borderId="13" xfId="0" applyNumberFormat="1" applyFont="1" applyBorder="1" applyAlignment="1">
      <alignment horizontal="right" vertical="top"/>
    </xf>
    <xf numFmtId="169" fontId="7" fillId="0" borderId="68" xfId="0" applyNumberFormat="1" applyFont="1" applyBorder="1" applyAlignment="1">
      <alignment horizontal="right" vertical="top"/>
    </xf>
    <xf numFmtId="169" fontId="7" fillId="0" borderId="0" xfId="0" applyNumberFormat="1" applyFont="1" applyAlignment="1">
      <alignment horizontal="right" vertical="top"/>
    </xf>
    <xf numFmtId="169" fontId="7" fillId="0" borderId="38" xfId="0" applyNumberFormat="1" applyFont="1" applyBorder="1" applyAlignment="1">
      <alignment horizontal="right" vertical="top"/>
    </xf>
    <xf numFmtId="169" fontId="2" fillId="0" borderId="74" xfId="0" applyNumberFormat="1" applyFont="1" applyBorder="1"/>
    <xf numFmtId="169" fontId="2" fillId="0" borderId="11" xfId="0" applyNumberFormat="1" applyFont="1" applyBorder="1"/>
    <xf numFmtId="49" fontId="19" fillId="0" borderId="1" xfId="0" applyNumberFormat="1" applyFont="1" applyBorder="1" applyAlignment="1">
      <alignment horizontal="center" vertical="top" wrapText="1"/>
    </xf>
    <xf numFmtId="2" fontId="0" fillId="0" borderId="27" xfId="0" applyNumberFormat="1" applyBorder="1"/>
    <xf numFmtId="2" fontId="0" fillId="0" borderId="51" xfId="0" applyNumberFormat="1" applyBorder="1"/>
    <xf numFmtId="166" fontId="36" fillId="0" borderId="8" xfId="0" applyNumberFormat="1" applyFont="1" applyBorder="1" applyAlignment="1">
      <alignment horizontal="right" vertical="center"/>
    </xf>
    <xf numFmtId="180" fontId="0" fillId="0" borderId="0" xfId="0" applyNumberFormat="1"/>
    <xf numFmtId="0" fontId="4" fillId="13" borderId="0" xfId="0" applyFont="1" applyFill="1"/>
    <xf numFmtId="180" fontId="4" fillId="13" borderId="0" xfId="0" applyNumberFormat="1" applyFont="1" applyFill="1"/>
    <xf numFmtId="180" fontId="4" fillId="0" borderId="0" xfId="0" applyNumberFormat="1" applyFont="1"/>
    <xf numFmtId="180" fontId="2" fillId="2" borderId="2" xfId="0" applyNumberFormat="1" applyFont="1" applyFill="1" applyBorder="1"/>
    <xf numFmtId="196" fontId="16" fillId="0" borderId="0" xfId="0" applyNumberFormat="1" applyFont="1"/>
    <xf numFmtId="165" fontId="16" fillId="0" borderId="0" xfId="0" applyNumberFormat="1" applyFont="1"/>
    <xf numFmtId="165" fontId="10" fillId="0" borderId="55" xfId="0" applyNumberFormat="1" applyFont="1" applyBorder="1" applyProtection="1">
      <protection locked="0"/>
    </xf>
    <xf numFmtId="2" fontId="10" fillId="0" borderId="50" xfId="0" applyNumberFormat="1" applyFont="1" applyBorder="1" applyProtection="1">
      <protection locked="0"/>
    </xf>
    <xf numFmtId="165" fontId="10" fillId="0" borderId="25" xfId="0" applyNumberFormat="1" applyFont="1" applyBorder="1" applyProtection="1">
      <protection locked="0"/>
    </xf>
    <xf numFmtId="2" fontId="0" fillId="0" borderId="27" xfId="0" applyNumberFormat="1" applyBorder="1" applyProtection="1">
      <protection locked="0"/>
    </xf>
    <xf numFmtId="165" fontId="10" fillId="0" borderId="50" xfId="0" applyNumberFormat="1" applyFont="1" applyBorder="1" applyProtection="1">
      <protection locked="0"/>
    </xf>
    <xf numFmtId="169" fontId="8" fillId="0" borderId="50" xfId="0" applyNumberFormat="1" applyFont="1" applyBorder="1" applyAlignment="1">
      <alignment horizontal="right" vertical="top"/>
    </xf>
    <xf numFmtId="2" fontId="2" fillId="14" borderId="0" xfId="0" applyNumberFormat="1" applyFont="1" applyFill="1"/>
    <xf numFmtId="166" fontId="2" fillId="14" borderId="0" xfId="0" applyNumberFormat="1" applyFont="1" applyFill="1"/>
    <xf numFmtId="166" fontId="16" fillId="14" borderId="0" xfId="0" applyNumberFormat="1" applyFont="1" applyFill="1"/>
    <xf numFmtId="168" fontId="39" fillId="15" borderId="10" xfId="0" applyNumberFormat="1" applyFont="1" applyFill="1" applyBorder="1" applyAlignment="1">
      <alignment horizontal="right" vertical="top"/>
    </xf>
    <xf numFmtId="169" fontId="39" fillId="15" borderId="1" xfId="0" applyNumberFormat="1" applyFont="1" applyFill="1" applyBorder="1" applyAlignment="1">
      <alignment horizontal="right" vertical="top"/>
    </xf>
    <xf numFmtId="169" fontId="39" fillId="15" borderId="11" xfId="0" applyNumberFormat="1" applyFont="1" applyFill="1" applyBorder="1" applyAlignment="1">
      <alignment horizontal="right" vertical="top"/>
    </xf>
    <xf numFmtId="168" fontId="39" fillId="15" borderId="13" xfId="0" applyNumberFormat="1" applyFont="1" applyFill="1" applyBorder="1" applyAlignment="1">
      <alignment horizontal="right" vertical="top"/>
    </xf>
    <xf numFmtId="169" fontId="39" fillId="15" borderId="14" xfId="0" applyNumberFormat="1" applyFont="1" applyFill="1" applyBorder="1" applyAlignment="1">
      <alignment horizontal="right" vertical="top"/>
    </xf>
    <xf numFmtId="168" fontId="39" fillId="15" borderId="25" xfId="0" applyNumberFormat="1" applyFont="1" applyFill="1" applyBorder="1" applyAlignment="1">
      <alignment horizontal="right" vertical="top"/>
    </xf>
    <xf numFmtId="169" fontId="39" fillId="15" borderId="38" xfId="0" applyNumberFormat="1" applyFont="1" applyFill="1" applyBorder="1" applyAlignment="1">
      <alignment horizontal="right" vertical="top"/>
    </xf>
    <xf numFmtId="168" fontId="36" fillId="15" borderId="6" xfId="0" applyNumberFormat="1" applyFont="1" applyFill="1" applyBorder="1" applyAlignment="1">
      <alignment horizontal="right" vertical="top"/>
    </xf>
    <xf numFmtId="169" fontId="36" fillId="15" borderId="7" xfId="0" applyNumberFormat="1" applyFont="1" applyFill="1" applyBorder="1" applyAlignment="1">
      <alignment horizontal="right" vertical="top"/>
    </xf>
    <xf numFmtId="169" fontId="36" fillId="15" borderId="21" xfId="0" applyNumberFormat="1" applyFont="1" applyFill="1" applyBorder="1" applyAlignment="1">
      <alignment horizontal="right" vertical="top"/>
    </xf>
    <xf numFmtId="168" fontId="39" fillId="15" borderId="30" xfId="0" applyNumberFormat="1" applyFont="1" applyFill="1" applyBorder="1" applyAlignment="1">
      <alignment horizontal="right" vertical="top"/>
    </xf>
    <xf numFmtId="169" fontId="39" fillId="15" borderId="71" xfId="0" applyNumberFormat="1" applyFont="1" applyFill="1" applyBorder="1" applyAlignment="1">
      <alignment horizontal="right" vertical="top"/>
    </xf>
    <xf numFmtId="168" fontId="39" fillId="15" borderId="12" xfId="0" applyNumberFormat="1" applyFont="1" applyFill="1" applyBorder="1" applyAlignment="1">
      <alignment horizontal="right" vertical="top"/>
    </xf>
    <xf numFmtId="169" fontId="39" fillId="15" borderId="68" xfId="0" applyNumberFormat="1" applyFont="1" applyFill="1" applyBorder="1" applyAlignment="1">
      <alignment horizontal="right" vertical="top"/>
    </xf>
    <xf numFmtId="168" fontId="39" fillId="15" borderId="37" xfId="0" applyNumberFormat="1" applyFont="1" applyFill="1" applyBorder="1" applyAlignment="1">
      <alignment horizontal="right" vertical="top"/>
    </xf>
    <xf numFmtId="169" fontId="39" fillId="15" borderId="70" xfId="0" applyNumberFormat="1" applyFont="1" applyFill="1" applyBorder="1" applyAlignment="1">
      <alignment horizontal="right" vertical="top"/>
    </xf>
    <xf numFmtId="168" fontId="42" fillId="15" borderId="8" xfId="0" applyNumberFormat="1" applyFont="1" applyFill="1" applyBorder="1"/>
    <xf numFmtId="169" fontId="42" fillId="15" borderId="56" xfId="0" applyNumberFormat="1" applyFont="1" applyFill="1" applyBorder="1"/>
    <xf numFmtId="168" fontId="39" fillId="15" borderId="9" xfId="0" applyNumberFormat="1" applyFont="1" applyFill="1" applyBorder="1" applyAlignment="1">
      <alignment horizontal="right" vertical="top"/>
    </xf>
    <xf numFmtId="169" fontId="39" fillId="15" borderId="5" xfId="0" applyNumberFormat="1" applyFont="1" applyFill="1" applyBorder="1" applyAlignment="1">
      <alignment horizontal="right" vertical="top"/>
    </xf>
    <xf numFmtId="169" fontId="39" fillId="15" borderId="66" xfId="0" applyNumberFormat="1" applyFont="1" applyFill="1" applyBorder="1" applyAlignment="1">
      <alignment horizontal="right" vertical="top"/>
    </xf>
    <xf numFmtId="168" fontId="36" fillId="15" borderId="8" xfId="0" applyNumberFormat="1" applyFont="1" applyFill="1" applyBorder="1" applyAlignment="1">
      <alignment horizontal="right" vertical="top"/>
    </xf>
    <xf numFmtId="169" fontId="36" fillId="15" borderId="56" xfId="0" applyNumberFormat="1" applyFont="1" applyFill="1" applyBorder="1" applyAlignment="1">
      <alignment horizontal="right" vertical="top"/>
    </xf>
    <xf numFmtId="49" fontId="21" fillId="0" borderId="0" xfId="0" applyNumberFormat="1" applyFont="1" applyAlignment="1">
      <alignment vertical="top"/>
    </xf>
    <xf numFmtId="169" fontId="2" fillId="0" borderId="75" xfId="0" applyNumberFormat="1" applyFont="1" applyBorder="1"/>
    <xf numFmtId="49" fontId="7" fillId="0" borderId="73" xfId="0" applyNumberFormat="1" applyFont="1" applyBorder="1" applyAlignment="1">
      <alignment vertical="top"/>
    </xf>
    <xf numFmtId="49" fontId="21" fillId="0" borderId="50" xfId="0" applyNumberFormat="1" applyFont="1" applyBorder="1" applyAlignment="1">
      <alignment horizontal="center" vertical="top"/>
    </xf>
    <xf numFmtId="170" fontId="7" fillId="0" borderId="27" xfId="0" applyNumberFormat="1" applyFont="1" applyBorder="1" applyAlignment="1">
      <alignment horizontal="right" vertical="top"/>
    </xf>
    <xf numFmtId="170" fontId="7" fillId="0" borderId="76" xfId="0" applyNumberFormat="1" applyFont="1" applyBorder="1" applyAlignment="1">
      <alignment horizontal="right" vertical="top"/>
    </xf>
    <xf numFmtId="181" fontId="21" fillId="0" borderId="76" xfId="0" applyNumberFormat="1" applyFont="1" applyBorder="1" applyAlignment="1">
      <alignment horizontal="right" vertical="top"/>
    </xf>
    <xf numFmtId="181" fontId="21" fillId="0" borderId="10" xfId="0" applyNumberFormat="1" applyFont="1" applyBorder="1" applyAlignment="1">
      <alignment horizontal="right" vertical="top"/>
    </xf>
    <xf numFmtId="180" fontId="1" fillId="0" borderId="1" xfId="1" applyNumberFormat="1" applyFont="1" applyFill="1" applyBorder="1" applyAlignment="1">
      <alignment horizontal="right"/>
    </xf>
    <xf numFmtId="180" fontId="2" fillId="0" borderId="3" xfId="1" applyNumberFormat="1" applyFont="1" applyFill="1" applyBorder="1" applyAlignment="1">
      <alignment horizontal="right"/>
    </xf>
    <xf numFmtId="180" fontId="4" fillId="0" borderId="7" xfId="1" applyNumberFormat="1" applyFont="1" applyFill="1" applyBorder="1"/>
    <xf numFmtId="180" fontId="4" fillId="0" borderId="47" xfId="1" applyNumberFormat="1" applyFont="1" applyFill="1" applyBorder="1"/>
    <xf numFmtId="168" fontId="39" fillId="0" borderId="0" xfId="0" applyNumberFormat="1" applyFont="1" applyAlignment="1">
      <alignment horizontal="right" vertical="top"/>
    </xf>
    <xf numFmtId="166" fontId="39" fillId="0" borderId="0" xfId="0" applyNumberFormat="1" applyFont="1" applyAlignment="1">
      <alignment horizontal="right" vertical="top"/>
    </xf>
    <xf numFmtId="180" fontId="2" fillId="0" borderId="30" xfId="0" applyNumberFormat="1" applyFont="1" applyBorder="1"/>
    <xf numFmtId="180" fontId="2" fillId="0" borderId="9" xfId="0" applyNumberFormat="1" applyFont="1" applyBorder="1"/>
    <xf numFmtId="180" fontId="2" fillId="0" borderId="39" xfId="0" applyNumberFormat="1" applyFont="1" applyBorder="1"/>
    <xf numFmtId="180" fontId="2" fillId="0" borderId="12" xfId="0" applyNumberFormat="1" applyFont="1" applyBorder="1"/>
    <xf numFmtId="180" fontId="2" fillId="0" borderId="37" xfId="0" applyNumberFormat="1" applyFont="1" applyBorder="1"/>
    <xf numFmtId="170" fontId="2" fillId="0" borderId="0" xfId="0" applyNumberFormat="1" applyFont="1"/>
    <xf numFmtId="180" fontId="4" fillId="2" borderId="0" xfId="0" applyNumberFormat="1" applyFont="1" applyFill="1"/>
    <xf numFmtId="171" fontId="6" fillId="0" borderId="0" xfId="1" applyNumberFormat="1" applyFont="1" applyAlignment="1"/>
    <xf numFmtId="165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5" fillId="0" borderId="24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7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30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71" xfId="0" applyFont="1" applyBorder="1" applyAlignment="1">
      <alignment horizontal="center" vertical="center" wrapText="1"/>
    </xf>
    <xf numFmtId="0" fontId="5" fillId="0" borderId="67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17" fontId="5" fillId="0" borderId="6" xfId="0" applyNumberFormat="1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30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9" borderId="30" xfId="0" applyFont="1" applyFill="1" applyBorder="1" applyAlignment="1">
      <alignment horizontal="center" vertical="center" wrapText="1"/>
    </xf>
    <xf numFmtId="0" fontId="5" fillId="9" borderId="16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5" fillId="9" borderId="71" xfId="0" applyFont="1" applyFill="1" applyBorder="1" applyAlignment="1">
      <alignment horizontal="center" vertical="center" wrapText="1"/>
    </xf>
    <xf numFmtId="0" fontId="5" fillId="9" borderId="67" xfId="0" applyFont="1" applyFill="1" applyBorder="1" applyAlignment="1">
      <alignment horizontal="center" vertical="center" wrapText="1"/>
    </xf>
    <xf numFmtId="17" fontId="6" fillId="0" borderId="6" xfId="0" applyNumberFormat="1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9" borderId="31" xfId="0" applyFont="1" applyFill="1" applyBorder="1" applyAlignment="1">
      <alignment horizontal="center"/>
    </xf>
    <xf numFmtId="0" fontId="6" fillId="9" borderId="56" xfId="0" applyFont="1" applyFill="1" applyBorder="1" applyAlignment="1">
      <alignment horizontal="center"/>
    </xf>
    <xf numFmtId="0" fontId="10" fillId="0" borderId="20" xfId="0" applyFont="1" applyBorder="1" applyAlignment="1" applyProtection="1">
      <alignment horizontal="center"/>
      <protection locked="0"/>
    </xf>
    <xf numFmtId="0" fontId="10" fillId="0" borderId="31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165" fontId="4" fillId="3" borderId="8" xfId="0" applyNumberFormat="1" applyFont="1" applyFill="1" applyBorder="1" applyAlignment="1" applyProtection="1">
      <alignment horizontal="center"/>
      <protection locked="0"/>
    </xf>
    <xf numFmtId="165" fontId="4" fillId="3" borderId="31" xfId="0" applyNumberFormat="1" applyFont="1" applyFill="1" applyBorder="1" applyAlignment="1" applyProtection="1">
      <alignment horizontal="center"/>
      <protection locked="0"/>
    </xf>
    <xf numFmtId="165" fontId="4" fillId="3" borderId="56" xfId="0" applyNumberFormat="1" applyFont="1" applyFill="1" applyBorder="1" applyAlignment="1" applyProtection="1">
      <alignment horizontal="center"/>
      <protection locked="0"/>
    </xf>
    <xf numFmtId="0" fontId="10" fillId="0" borderId="56" xfId="0" applyFont="1" applyBorder="1" applyAlignment="1" applyProtection="1">
      <alignment horizontal="center"/>
      <protection locked="0"/>
    </xf>
    <xf numFmtId="0" fontId="0" fillId="3" borderId="8" xfId="0" applyFill="1" applyBorder="1" applyAlignment="1">
      <alignment horizontal="center"/>
    </xf>
    <xf numFmtId="0" fontId="0" fillId="3" borderId="56" xfId="0" applyFill="1" applyBorder="1" applyAlignment="1">
      <alignment horizontal="center"/>
    </xf>
    <xf numFmtId="0" fontId="11" fillId="0" borderId="8" xfId="0" applyFont="1" applyBorder="1" applyAlignment="1" applyProtection="1">
      <alignment horizontal="center" vertical="center"/>
      <protection locked="0"/>
    </xf>
    <xf numFmtId="0" fontId="11" fillId="0" borderId="31" xfId="0" applyFont="1" applyBorder="1" applyAlignment="1" applyProtection="1">
      <alignment horizontal="center" vertical="center"/>
      <protection locked="0"/>
    </xf>
    <xf numFmtId="0" fontId="11" fillId="0" borderId="56" xfId="0" applyFont="1" applyBorder="1" applyAlignment="1" applyProtection="1">
      <alignment horizontal="center" vertical="center"/>
      <protection locked="0"/>
    </xf>
    <xf numFmtId="0" fontId="10" fillId="0" borderId="30" xfId="0" applyFont="1" applyBorder="1" applyAlignment="1" applyProtection="1">
      <alignment horizontal="center"/>
      <protection locked="0"/>
    </xf>
    <xf numFmtId="0" fontId="10" fillId="0" borderId="59" xfId="0" applyFont="1" applyBorder="1" applyAlignment="1" applyProtection="1">
      <alignment horizontal="center"/>
      <protection locked="0"/>
    </xf>
    <xf numFmtId="0" fontId="10" fillId="0" borderId="71" xfId="0" applyFont="1" applyBorder="1" applyAlignment="1" applyProtection="1">
      <alignment horizontal="center"/>
      <protection locked="0"/>
    </xf>
    <xf numFmtId="0" fontId="11" fillId="0" borderId="8" xfId="0" applyFont="1" applyBorder="1" applyAlignment="1" applyProtection="1">
      <alignment horizontal="center"/>
      <protection locked="0"/>
    </xf>
    <xf numFmtId="0" fontId="11" fillId="0" borderId="31" xfId="0" applyFont="1" applyBorder="1" applyAlignment="1" applyProtection="1">
      <alignment horizontal="center"/>
      <protection locked="0"/>
    </xf>
    <xf numFmtId="0" fontId="2" fillId="0" borderId="72" xfId="0" applyFont="1" applyBorder="1" applyAlignment="1">
      <alignment horizontal="center" vertical="center"/>
    </xf>
    <xf numFmtId="0" fontId="2" fillId="0" borderId="58" xfId="0" applyFont="1" applyBorder="1" applyAlignment="1">
      <alignment horizontal="center" vertical="center"/>
    </xf>
    <xf numFmtId="0" fontId="2" fillId="0" borderId="73" xfId="0" applyFont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11" fillId="3" borderId="31" xfId="0" applyFont="1" applyFill="1" applyBorder="1" applyAlignment="1" applyProtection="1">
      <alignment horizontal="center" vertical="center"/>
      <protection locked="0"/>
    </xf>
    <xf numFmtId="0" fontId="11" fillId="3" borderId="56" xfId="0" applyFont="1" applyFill="1" applyBorder="1" applyAlignment="1" applyProtection="1">
      <alignment horizontal="center" vertical="center"/>
      <protection locked="0"/>
    </xf>
    <xf numFmtId="49" fontId="16" fillId="0" borderId="0" xfId="0" applyNumberFormat="1" applyFont="1" applyAlignment="1">
      <alignment vertical="top"/>
    </xf>
    <xf numFmtId="49" fontId="22" fillId="0" borderId="65" xfId="0" applyNumberFormat="1" applyFont="1" applyBorder="1" applyAlignment="1">
      <alignment vertical="top"/>
    </xf>
    <xf numFmtId="49" fontId="37" fillId="0" borderId="72" xfId="0" applyNumberFormat="1" applyFont="1" applyBorder="1" applyAlignment="1">
      <alignment horizontal="center" vertical="center"/>
    </xf>
    <xf numFmtId="49" fontId="37" fillId="0" borderId="58" xfId="0" applyNumberFormat="1" applyFont="1" applyBorder="1" applyAlignment="1">
      <alignment horizontal="center" vertical="center"/>
    </xf>
    <xf numFmtId="17" fontId="25" fillId="0" borderId="60" xfId="0" applyNumberFormat="1" applyFont="1" applyBorder="1" applyAlignment="1">
      <alignment horizontal="center"/>
    </xf>
    <xf numFmtId="0" fontId="25" fillId="0" borderId="60" xfId="0" applyFont="1" applyBorder="1" applyAlignment="1">
      <alignment horizontal="center"/>
    </xf>
    <xf numFmtId="17" fontId="25" fillId="0" borderId="64" xfId="0" applyNumberFormat="1" applyFont="1" applyBorder="1" applyAlignment="1">
      <alignment horizontal="center"/>
    </xf>
    <xf numFmtId="0" fontId="25" fillId="0" borderId="61" xfId="0" applyFont="1" applyBorder="1" applyAlignment="1">
      <alignment horizontal="center"/>
    </xf>
    <xf numFmtId="49" fontId="36" fillId="0" borderId="24" xfId="0" applyNumberFormat="1" applyFont="1" applyBorder="1" applyAlignment="1">
      <alignment horizontal="center" vertical="top"/>
    </xf>
    <xf numFmtId="49" fontId="36" fillId="0" borderId="18" xfId="0" applyNumberFormat="1" applyFont="1" applyBorder="1" applyAlignment="1">
      <alignment horizontal="center" vertical="top"/>
    </xf>
    <xf numFmtId="49" fontId="36" fillId="0" borderId="23" xfId="0" applyNumberFormat="1" applyFont="1" applyBorder="1" applyAlignment="1">
      <alignment horizontal="center" vertical="top" wrapText="1"/>
    </xf>
    <xf numFmtId="49" fontId="36" fillId="0" borderId="36" xfId="0" applyNumberFormat="1" applyFont="1" applyBorder="1" applyAlignment="1">
      <alignment horizontal="center" vertical="top" wrapText="1"/>
    </xf>
    <xf numFmtId="49" fontId="36" fillId="0" borderId="69" xfId="0" applyNumberFormat="1" applyFont="1" applyBorder="1" applyAlignment="1">
      <alignment horizontal="center" vertical="top"/>
    </xf>
    <xf numFmtId="49" fontId="36" fillId="0" borderId="51" xfId="0" applyNumberFormat="1" applyFont="1" applyBorder="1" applyAlignment="1">
      <alignment horizontal="center" vertical="top"/>
    </xf>
    <xf numFmtId="49" fontId="36" fillId="0" borderId="2" xfId="0" applyNumberFormat="1" applyFont="1" applyBorder="1" applyAlignment="1">
      <alignment horizontal="center" vertical="top"/>
    </xf>
    <xf numFmtId="49" fontId="36" fillId="0" borderId="3" xfId="0" applyNumberFormat="1" applyFont="1" applyBorder="1" applyAlignment="1">
      <alignment horizontal="center" vertical="top"/>
    </xf>
    <xf numFmtId="49" fontId="36" fillId="0" borderId="34" xfId="0" applyNumberFormat="1" applyFont="1" applyBorder="1" applyAlignment="1">
      <alignment horizontal="center" vertical="top"/>
    </xf>
    <xf numFmtId="49" fontId="36" fillId="0" borderId="19" xfId="0" applyNumberFormat="1" applyFont="1" applyBorder="1" applyAlignment="1">
      <alignment horizontal="center" vertical="top"/>
    </xf>
    <xf numFmtId="49" fontId="36" fillId="0" borderId="22" xfId="0" applyNumberFormat="1" applyFont="1" applyBorder="1" applyAlignment="1">
      <alignment horizontal="center" vertical="top" wrapText="1"/>
    </xf>
    <xf numFmtId="49" fontId="36" fillId="0" borderId="17" xfId="0" applyNumberFormat="1" applyFont="1" applyBorder="1" applyAlignment="1">
      <alignment horizontal="center" vertical="top" wrapText="1"/>
    </xf>
    <xf numFmtId="49" fontId="38" fillId="0" borderId="24" xfId="0" applyNumberFormat="1" applyFont="1" applyBorder="1" applyAlignment="1">
      <alignment horizontal="center" vertical="top"/>
    </xf>
    <xf numFmtId="49" fontId="38" fillId="0" borderId="18" xfId="0" applyNumberFormat="1" applyFont="1" applyBorder="1" applyAlignment="1">
      <alignment horizontal="center" vertical="top"/>
    </xf>
    <xf numFmtId="49" fontId="38" fillId="0" borderId="22" xfId="0" applyNumberFormat="1" applyFont="1" applyBorder="1" applyAlignment="1">
      <alignment horizontal="center" vertical="top" wrapText="1"/>
    </xf>
    <xf numFmtId="49" fontId="38" fillId="0" borderId="17" xfId="0" applyNumberFormat="1" applyFont="1" applyBorder="1" applyAlignment="1">
      <alignment horizontal="center" vertical="top" wrapText="1"/>
    </xf>
    <xf numFmtId="0" fontId="25" fillId="0" borderId="64" xfId="0" applyFont="1" applyBorder="1" applyAlignment="1">
      <alignment horizontal="center"/>
    </xf>
    <xf numFmtId="49" fontId="36" fillId="0" borderId="30" xfId="0" applyNumberFormat="1" applyFont="1" applyBorder="1" applyAlignment="1">
      <alignment horizontal="center" vertical="top" wrapText="1"/>
    </xf>
    <xf numFmtId="49" fontId="36" fillId="0" borderId="16" xfId="0" applyNumberFormat="1" applyFont="1" applyBorder="1" applyAlignment="1">
      <alignment horizontal="center" vertical="top" wrapText="1"/>
    </xf>
    <xf numFmtId="49" fontId="36" fillId="0" borderId="2" xfId="0" applyNumberFormat="1" applyFont="1" applyBorder="1" applyAlignment="1">
      <alignment horizontal="center" vertical="top" wrapText="1"/>
    </xf>
    <xf numFmtId="49" fontId="36" fillId="0" borderId="3" xfId="0" applyNumberFormat="1" applyFont="1" applyBorder="1" applyAlignment="1">
      <alignment horizontal="center" vertical="top" wrapText="1"/>
    </xf>
    <xf numFmtId="49" fontId="36" fillId="0" borderId="71" xfId="0" applyNumberFormat="1" applyFont="1" applyBorder="1" applyAlignment="1">
      <alignment horizontal="center" vertical="top" wrapText="1"/>
    </xf>
    <xf numFmtId="49" fontId="36" fillId="0" borderId="67" xfId="0" applyNumberFormat="1" applyFont="1" applyBorder="1" applyAlignment="1">
      <alignment horizontal="center" vertical="top" wrapText="1"/>
    </xf>
    <xf numFmtId="49" fontId="16" fillId="0" borderId="30" xfId="0" applyNumberFormat="1" applyFont="1" applyBorder="1" applyAlignment="1">
      <alignment horizontal="center" vertical="top"/>
    </xf>
    <xf numFmtId="49" fontId="16" fillId="0" borderId="71" xfId="0" applyNumberFormat="1" applyFont="1" applyBorder="1" applyAlignment="1">
      <alignment horizontal="center" vertical="top"/>
    </xf>
    <xf numFmtId="49" fontId="20" fillId="0" borderId="37" xfId="0" applyNumberFormat="1" applyFont="1" applyBorder="1" applyAlignment="1">
      <alignment horizontal="center" vertical="top"/>
    </xf>
    <xf numFmtId="49" fontId="20" fillId="0" borderId="70" xfId="0" applyNumberFormat="1" applyFont="1" applyBorder="1" applyAlignment="1">
      <alignment horizontal="center" vertical="top"/>
    </xf>
    <xf numFmtId="49" fontId="20" fillId="0" borderId="12" xfId="0" applyNumberFormat="1" applyFont="1" applyBorder="1" applyAlignment="1">
      <alignment horizontal="center" vertical="top"/>
    </xf>
    <xf numFmtId="49" fontId="20" fillId="0" borderId="68" xfId="0" applyNumberFormat="1" applyFont="1" applyBorder="1" applyAlignment="1">
      <alignment horizontal="center" vertical="top"/>
    </xf>
    <xf numFmtId="49" fontId="21" fillId="0" borderId="64" xfId="0" applyNumberFormat="1" applyFont="1" applyBorder="1" applyAlignment="1">
      <alignment horizontal="center" vertical="top" wrapText="1"/>
    </xf>
    <xf numFmtId="49" fontId="21" fillId="0" borderId="61" xfId="0" applyNumberFormat="1" applyFont="1" applyBorder="1" applyAlignment="1">
      <alignment horizontal="center" vertical="top" wrapText="1"/>
    </xf>
    <xf numFmtId="49" fontId="19" fillId="0" borderId="64" xfId="0" applyNumberFormat="1" applyFont="1" applyBorder="1" applyAlignment="1">
      <alignment horizontal="center" vertical="top" wrapText="1"/>
    </xf>
    <xf numFmtId="49" fontId="19" fillId="0" borderId="61" xfId="0" applyNumberFormat="1" applyFont="1" applyBorder="1" applyAlignment="1">
      <alignment horizontal="center" vertical="top" wrapText="1"/>
    </xf>
    <xf numFmtId="49" fontId="19" fillId="0" borderId="60" xfId="0" applyNumberFormat="1" applyFont="1" applyBorder="1" applyAlignment="1">
      <alignment horizontal="center" vertical="top" wrapText="1"/>
    </xf>
    <xf numFmtId="49" fontId="21" fillId="0" borderId="60" xfId="0" applyNumberFormat="1" applyFont="1" applyBorder="1" applyAlignment="1">
      <alignment horizontal="center" vertical="top" wrapText="1"/>
    </xf>
    <xf numFmtId="49" fontId="20" fillId="0" borderId="65" xfId="0" applyNumberFormat="1" applyFont="1" applyBorder="1" applyAlignment="1">
      <alignment horizontal="center" vertical="top"/>
    </xf>
    <xf numFmtId="49" fontId="22" fillId="0" borderId="0" xfId="0" applyNumberFormat="1" applyFont="1" applyAlignment="1">
      <alignment vertical="top"/>
    </xf>
    <xf numFmtId="49" fontId="16" fillId="0" borderId="43" xfId="0" applyNumberFormat="1" applyFont="1" applyBorder="1" applyAlignment="1">
      <alignment vertical="top"/>
    </xf>
    <xf numFmtId="165" fontId="0" fillId="0" borderId="59" xfId="0" applyNumberFormat="1" applyBorder="1" applyProtection="1">
      <protection locked="0"/>
    </xf>
  </cellXfs>
  <cellStyles count="4">
    <cellStyle name="Comma" xfId="1" builtinId="3"/>
    <cellStyle name="Normal" xfId="0" builtinId="0"/>
    <cellStyle name="Normal 2" xfId="2" xr:uid="{00000000-0005-0000-0000-000002000000}"/>
    <cellStyle name="Percent" xfId="3" builtinId="5"/>
  </cellStyles>
  <dxfs count="0"/>
  <tableStyles count="0" defaultTableStyle="TableStyleMedium9" defaultPivotStyle="PivotStyleLight16"/>
  <colors>
    <mruColors>
      <color rgb="FFC5D9F1"/>
      <color rgb="FFDDD9C4"/>
      <color rgb="FFFDE9D9"/>
      <color rgb="FFFCD5B4"/>
      <color rgb="FFFFEE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Table Of Contents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Table Of Contents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Table Of Contents'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'Table Of Contents'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Table Of Contents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0</xdr:row>
      <xdr:rowOff>50800</xdr:rowOff>
    </xdr:from>
    <xdr:to>
      <xdr:col>1</xdr:col>
      <xdr:colOff>203200</xdr:colOff>
      <xdr:row>1</xdr:row>
      <xdr:rowOff>137160</xdr:rowOff>
    </xdr:to>
    <xdr:sp macro="" textlink="">
      <xdr:nvSpPr>
        <xdr:cNvPr id="3" name="Rounded Rectangle 2_ContentButt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9F7077-7F03-B674-A2AC-9E37BA8194D7}"/>
            </a:ext>
          </a:extLst>
        </xdr:cNvPr>
        <xdr:cNvSpPr/>
      </xdr:nvSpPr>
      <xdr:spPr bwMode="auto">
        <a:xfrm>
          <a:off x="50800" y="50800"/>
          <a:ext cx="762000" cy="254000"/>
        </a:xfrm>
        <a:prstGeom prst="roundRect">
          <a:avLst/>
        </a:prstGeom>
        <a:solidFill>
          <a:srgbClr val="808080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txBody>
        <a:bodyPr vertOverflow="clip" wrap="square" lIns="18288" tIns="0" rIns="0" bIns="0" rtlCol="0" anchor="ctr" anchorCtr="1" upright="1"/>
        <a:lstStyle/>
        <a:p>
          <a:pPr algn="l"/>
          <a:r>
            <a:rPr lang="en-IN" sz="1000" b="1" kern="1200">
              <a:solidFill>
                <a:srgbClr val="FFFFFF"/>
              </a:solidFill>
            </a:rPr>
            <a:t>TOC</a:t>
          </a:r>
        </a:p>
      </xdr:txBody>
    </xdr:sp>
    <xdr:clientData/>
  </xdr:twoCellAnchor>
  <xdr:twoCellAnchor>
    <xdr:from>
      <xdr:col>0</xdr:col>
      <xdr:colOff>50800</xdr:colOff>
      <xdr:row>0</xdr:row>
      <xdr:rowOff>50800</xdr:rowOff>
    </xdr:from>
    <xdr:to>
      <xdr:col>1</xdr:col>
      <xdr:colOff>203200</xdr:colOff>
      <xdr:row>1</xdr:row>
      <xdr:rowOff>137160</xdr:rowOff>
    </xdr:to>
    <xdr:sp macro="" textlink="">
      <xdr:nvSpPr>
        <xdr:cNvPr id="2" name="Rounded Rectangle 2_ContentButt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81F763-0600-4B08-B3EE-25FD67FD3D0B}"/>
            </a:ext>
          </a:extLst>
        </xdr:cNvPr>
        <xdr:cNvSpPr/>
      </xdr:nvSpPr>
      <xdr:spPr bwMode="auto">
        <a:xfrm>
          <a:off x="50800" y="50800"/>
          <a:ext cx="762000" cy="248285"/>
        </a:xfrm>
        <a:prstGeom prst="roundRect">
          <a:avLst/>
        </a:prstGeom>
        <a:solidFill>
          <a:srgbClr val="808080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txBody>
        <a:bodyPr vertOverflow="clip" wrap="square" lIns="18288" tIns="0" rIns="0" bIns="0" rtlCol="0" anchor="ctr" anchorCtr="1" upright="1"/>
        <a:lstStyle/>
        <a:p>
          <a:pPr algn="l"/>
          <a:r>
            <a:rPr lang="en-IN" sz="1000" b="1" kern="1200">
              <a:solidFill>
                <a:srgbClr val="FFFFFF"/>
              </a:solidFill>
            </a:rPr>
            <a:t>TOC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0</xdr:row>
      <xdr:rowOff>50800</xdr:rowOff>
    </xdr:from>
    <xdr:to>
      <xdr:col>0</xdr:col>
      <xdr:colOff>812800</xdr:colOff>
      <xdr:row>1</xdr:row>
      <xdr:rowOff>135467</xdr:rowOff>
    </xdr:to>
    <xdr:sp macro="" textlink="">
      <xdr:nvSpPr>
        <xdr:cNvPr id="3" name="Rounded Rectangle 2_ContentButt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4A33C9-8A69-3411-9E2F-AFC12B4D13E7}"/>
            </a:ext>
          </a:extLst>
        </xdr:cNvPr>
        <xdr:cNvSpPr/>
      </xdr:nvSpPr>
      <xdr:spPr bwMode="auto">
        <a:xfrm>
          <a:off x="50800" y="50800"/>
          <a:ext cx="762000" cy="254000"/>
        </a:xfrm>
        <a:prstGeom prst="roundRect">
          <a:avLst/>
        </a:prstGeom>
        <a:solidFill>
          <a:srgbClr val="808080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txBody>
        <a:bodyPr vertOverflow="clip" wrap="square" lIns="18288" tIns="0" rIns="0" bIns="0" rtlCol="0" anchor="ctr" anchorCtr="1" upright="1"/>
        <a:lstStyle/>
        <a:p>
          <a:pPr algn="l"/>
          <a:r>
            <a:rPr lang="en-IN" sz="1000" b="1" kern="1200">
              <a:solidFill>
                <a:srgbClr val="FFFFFF"/>
              </a:solidFill>
            </a:rPr>
            <a:t>TOC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0</xdr:row>
      <xdr:rowOff>50800</xdr:rowOff>
    </xdr:from>
    <xdr:to>
      <xdr:col>0</xdr:col>
      <xdr:colOff>812800</xdr:colOff>
      <xdr:row>1</xdr:row>
      <xdr:rowOff>99060</xdr:rowOff>
    </xdr:to>
    <xdr:sp macro="" textlink="">
      <xdr:nvSpPr>
        <xdr:cNvPr id="3" name="Rounded Rectangle 2_ContentButt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CBB5FF-395E-F8F3-7C73-164389831657}"/>
            </a:ext>
          </a:extLst>
        </xdr:cNvPr>
        <xdr:cNvSpPr/>
      </xdr:nvSpPr>
      <xdr:spPr bwMode="auto">
        <a:xfrm>
          <a:off x="50800" y="50800"/>
          <a:ext cx="762000" cy="254000"/>
        </a:xfrm>
        <a:prstGeom prst="roundRect">
          <a:avLst/>
        </a:prstGeom>
        <a:solidFill>
          <a:srgbClr val="808080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txBody>
        <a:bodyPr vertOverflow="clip" wrap="square" lIns="18288" tIns="0" rIns="0" bIns="0" rtlCol="0" anchor="ctr" anchorCtr="1" upright="1"/>
        <a:lstStyle/>
        <a:p>
          <a:pPr algn="l"/>
          <a:r>
            <a:rPr lang="en-IN" sz="1000" b="1" kern="1200">
              <a:solidFill>
                <a:srgbClr val="FFFFFF"/>
              </a:solidFill>
            </a:rPr>
            <a:t>TOC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0</xdr:row>
      <xdr:rowOff>50800</xdr:rowOff>
    </xdr:from>
    <xdr:to>
      <xdr:col>0</xdr:col>
      <xdr:colOff>812800</xdr:colOff>
      <xdr:row>1</xdr:row>
      <xdr:rowOff>131618</xdr:rowOff>
    </xdr:to>
    <xdr:sp macro="" textlink="">
      <xdr:nvSpPr>
        <xdr:cNvPr id="3" name="Rounded Rectangle 2_ContentButt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86D7D7-CB27-2DFD-D0EC-F851EBBAE3B9}"/>
            </a:ext>
          </a:extLst>
        </xdr:cNvPr>
        <xdr:cNvSpPr/>
      </xdr:nvSpPr>
      <xdr:spPr bwMode="auto">
        <a:xfrm>
          <a:off x="50800" y="50800"/>
          <a:ext cx="762000" cy="254000"/>
        </a:xfrm>
        <a:prstGeom prst="roundRect">
          <a:avLst/>
        </a:prstGeom>
        <a:solidFill>
          <a:srgbClr val="808080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txBody>
        <a:bodyPr vertOverflow="clip" wrap="square" lIns="18288" tIns="0" rIns="0" bIns="0" rtlCol="0" anchor="ctr" anchorCtr="1" upright="1"/>
        <a:lstStyle/>
        <a:p>
          <a:pPr algn="l"/>
          <a:r>
            <a:rPr lang="en-IN" sz="1000" b="1" kern="1200">
              <a:solidFill>
                <a:srgbClr val="FFFFFF"/>
              </a:solidFill>
            </a:rPr>
            <a:t>TOC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0</xdr:row>
      <xdr:rowOff>50800</xdr:rowOff>
    </xdr:from>
    <xdr:to>
      <xdr:col>0</xdr:col>
      <xdr:colOff>812800</xdr:colOff>
      <xdr:row>1</xdr:row>
      <xdr:rowOff>114300</xdr:rowOff>
    </xdr:to>
    <xdr:sp macro="" textlink="">
      <xdr:nvSpPr>
        <xdr:cNvPr id="2" name="Rounded Rectangle 2_ContentButt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523963-6C50-4C43-9DDA-227C14CCB2ED}"/>
            </a:ext>
          </a:extLst>
        </xdr:cNvPr>
        <xdr:cNvSpPr/>
      </xdr:nvSpPr>
      <xdr:spPr bwMode="auto">
        <a:xfrm>
          <a:off x="50800" y="50800"/>
          <a:ext cx="762000" cy="282575"/>
        </a:xfrm>
        <a:prstGeom prst="roundRect">
          <a:avLst/>
        </a:prstGeom>
        <a:solidFill>
          <a:srgbClr val="808080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txBody>
        <a:bodyPr vertOverflow="clip" wrap="square" lIns="18288" tIns="0" rIns="0" bIns="0" rtlCol="0" anchor="ctr" anchorCtr="1" upright="1"/>
        <a:lstStyle/>
        <a:p>
          <a:pPr algn="l"/>
          <a:r>
            <a:rPr lang="en-IN" sz="1000" b="1" kern="1200">
              <a:solidFill>
                <a:srgbClr val="FFFFFF"/>
              </a:solidFill>
            </a:rPr>
            <a:t>TOC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2025-26/8.Nov%2025/8.%20MIS%20Nov%2025.xlsx" TargetMode="External"/><Relationship Id="rId2" Type="http://schemas.openxmlformats.org/officeDocument/2006/relationships/externalLinkPath" Target="file:///E:\Current%20FY%202020%20Onwards\Finance\MIS\P&amp;L\2025-26\8.Nov%2025\8.%20MIS%20Nov%2025.xlsx" TargetMode="External"/><Relationship Id="rId1" Type="http://schemas.openxmlformats.org/officeDocument/2006/relationships/externalLinkPath" Target="/Current%20FY%202020%20Onwards/Finance/MIS/P&amp;L/2025-26/8.Nov%2025/8.%20MIS%20Nov%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able of Contents"/>
      <sheetName val="Reconcile(HMT)"/>
      <sheetName val=" Qty Analysis"/>
      <sheetName val="Inventory Sales"/>
      <sheetName val="Stock Valuation (FIFO)"/>
      <sheetName val="Direct Expns"/>
      <sheetName val="Indirect Expns"/>
      <sheetName val="PAL I"/>
      <sheetName val="Trading PL"/>
      <sheetName val="PAL II"/>
      <sheetName val="MTY"/>
      <sheetName val="Purchase"/>
      <sheetName val="CONSUMPTION"/>
      <sheetName val="Fin Analysis"/>
      <sheetName val="P&amp;L"/>
      <sheetName val="Balance Sheet"/>
      <sheetName val="Cash Flow"/>
      <sheetName val="Funds Flow"/>
      <sheetName val="KPI's"/>
      <sheetName val="Abt Ratios"/>
      <sheetName val="Costing"/>
      <sheetName val="Sircilla"/>
      <sheetName val="Ins &amp;  Disp Costing"/>
      <sheetName val="Sales 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W84"/>
  <sheetViews>
    <sheetView showZeros="0" tabSelected="1" topLeftCell="A9" zoomScaleNormal="100" workbookViewId="0">
      <selection activeCell="F38" sqref="F38"/>
    </sheetView>
  </sheetViews>
  <sheetFormatPr defaultRowHeight="12.75" x14ac:dyDescent="0.2"/>
  <cols>
    <col min="2" max="2" width="11.28515625" bestFit="1" customWidth="1"/>
    <col min="3" max="3" width="16" bestFit="1" customWidth="1"/>
    <col min="5" max="5" width="9.5703125" bestFit="1" customWidth="1"/>
    <col min="6" max="6" width="13.140625" bestFit="1" customWidth="1"/>
    <col min="8" max="8" width="13.140625" bestFit="1" customWidth="1"/>
    <col min="9" max="9" width="11.85546875" bestFit="1" customWidth="1"/>
    <col min="10" max="10" width="11.5703125" bestFit="1" customWidth="1"/>
    <col min="11" max="11" width="10.7109375" customWidth="1"/>
    <col min="12" max="12" width="15.42578125" customWidth="1"/>
    <col min="13" max="13" width="13.140625" bestFit="1" customWidth="1"/>
    <col min="14" max="14" width="15" customWidth="1"/>
    <col min="15" max="15" width="13.140625" bestFit="1" customWidth="1"/>
    <col min="16" max="16" width="12.85546875" customWidth="1"/>
    <col min="17" max="17" width="16.7109375" bestFit="1" customWidth="1"/>
    <col min="18" max="18" width="13.7109375" bestFit="1" customWidth="1"/>
    <col min="19" max="19" width="13.140625" bestFit="1" customWidth="1"/>
    <col min="20" max="20" width="12.7109375" bestFit="1" customWidth="1"/>
    <col min="21" max="22" width="12.28515625" bestFit="1" customWidth="1"/>
    <col min="23" max="23" width="12.5703125" bestFit="1" customWidth="1"/>
    <col min="25" max="25" width="11.140625" bestFit="1" customWidth="1"/>
    <col min="27" max="27" width="12.140625" bestFit="1" customWidth="1"/>
  </cols>
  <sheetData>
    <row r="2" spans="1:22" ht="13.5" thickBot="1" x14ac:dyDescent="0.25"/>
    <row r="3" spans="1:22" x14ac:dyDescent="0.2">
      <c r="A3" s="35"/>
      <c r="B3" s="857" t="s">
        <v>1</v>
      </c>
      <c r="C3" s="858"/>
      <c r="D3" s="859"/>
      <c r="E3" s="858" t="s">
        <v>38</v>
      </c>
      <c r="F3" s="858"/>
      <c r="G3" s="858"/>
      <c r="H3" s="857" t="s">
        <v>17</v>
      </c>
      <c r="I3" s="858"/>
      <c r="J3" s="859"/>
      <c r="K3" s="857" t="s">
        <v>39</v>
      </c>
      <c r="L3" s="858"/>
      <c r="M3" s="859"/>
      <c r="N3" s="862" t="s">
        <v>134</v>
      </c>
    </row>
    <row r="4" spans="1:22" ht="13.5" thickBot="1" x14ac:dyDescent="0.25">
      <c r="A4" s="36" t="s">
        <v>138</v>
      </c>
      <c r="B4" s="37" t="s">
        <v>40</v>
      </c>
      <c r="C4" s="38" t="s">
        <v>11</v>
      </c>
      <c r="D4" s="39" t="s">
        <v>10</v>
      </c>
      <c r="E4" s="40" t="s">
        <v>40</v>
      </c>
      <c r="F4" s="38" t="s">
        <v>11</v>
      </c>
      <c r="G4" s="41" t="s">
        <v>10</v>
      </c>
      <c r="H4" s="37" t="s">
        <v>40</v>
      </c>
      <c r="I4" s="38" t="s">
        <v>11</v>
      </c>
      <c r="J4" s="39" t="s">
        <v>10</v>
      </c>
      <c r="K4" s="40" t="s">
        <v>40</v>
      </c>
      <c r="L4" s="41" t="s">
        <v>11</v>
      </c>
      <c r="M4" s="39" t="s">
        <v>10</v>
      </c>
      <c r="N4" s="863"/>
      <c r="O4" s="123" t="s">
        <v>211</v>
      </c>
      <c r="P4" s="455" t="s">
        <v>212</v>
      </c>
      <c r="Q4" s="123"/>
      <c r="R4" s="123"/>
      <c r="S4" s="123"/>
      <c r="T4" s="123"/>
      <c r="U4" s="123"/>
    </row>
    <row r="5" spans="1:22" x14ac:dyDescent="0.2">
      <c r="A5" s="42" t="s">
        <v>109</v>
      </c>
      <c r="B5" s="44"/>
      <c r="C5" s="101"/>
      <c r="D5" s="46">
        <f>IF(B5=0,0,C5/B5)</f>
        <v>0</v>
      </c>
      <c r="E5" s="47">
        <v>823</v>
      </c>
      <c r="F5" s="45">
        <v>222664</v>
      </c>
      <c r="G5" s="46">
        <f>IF(E5=0,0,F5/E5)</f>
        <v>270.55164034021874</v>
      </c>
      <c r="H5" s="49">
        <v>4</v>
      </c>
      <c r="I5" s="69">
        <v>3380</v>
      </c>
      <c r="J5" s="46">
        <f>IF(H5=0,0,I5/H5)</f>
        <v>845</v>
      </c>
      <c r="K5" s="134">
        <f>B5+E5+H5</f>
        <v>827</v>
      </c>
      <c r="L5" s="135">
        <f>C5+F5+I5</f>
        <v>226044</v>
      </c>
      <c r="M5" s="136">
        <f>IF(K5=0,0,L5/K5)</f>
        <v>273.33010882708584</v>
      </c>
      <c r="N5" s="456">
        <v>236050</v>
      </c>
      <c r="O5" s="218">
        <f>C5-N5</f>
        <v>-236050</v>
      </c>
      <c r="P5" s="19">
        <f>ROUND((O5+F5+I5),0)</f>
        <v>-10006</v>
      </c>
      <c r="Q5" s="142"/>
      <c r="R5" s="142"/>
      <c r="S5" s="142"/>
      <c r="T5" s="142"/>
      <c r="U5" s="4"/>
      <c r="V5" s="4"/>
    </row>
    <row r="6" spans="1:22" x14ac:dyDescent="0.2">
      <c r="A6" s="50" t="s">
        <v>97</v>
      </c>
      <c r="B6" s="44"/>
      <c r="C6" s="101"/>
      <c r="D6" s="46">
        <f t="shared" ref="D6:D16" si="0">IF(B6=0,0,C6/B6)</f>
        <v>0</v>
      </c>
      <c r="E6" s="47"/>
      <c r="F6" s="45"/>
      <c r="G6" s="46">
        <f t="shared" ref="G6:G16" si="1">IF(E6=0,0,F6/E6)</f>
        <v>0</v>
      </c>
      <c r="H6" s="49"/>
      <c r="I6" s="69"/>
      <c r="J6" s="46">
        <f t="shared" ref="J6:J16" si="2">IF(H6=0,0,I6/H6)</f>
        <v>0</v>
      </c>
      <c r="K6" s="137">
        <f>B6+E6+H6</f>
        <v>0</v>
      </c>
      <c r="L6" s="103">
        <f t="shared" ref="K6:L7" si="3">C6+F6+I6</f>
        <v>0</v>
      </c>
      <c r="M6" s="46">
        <f t="shared" ref="M6:M15" si="4">IF(K6=0,0,L6/K6)</f>
        <v>0</v>
      </c>
      <c r="N6" s="457"/>
      <c r="O6" s="218">
        <f t="shared" ref="O6:O15" si="5">C6-N6</f>
        <v>0</v>
      </c>
      <c r="P6" s="19">
        <f>ROUND((O6+F6+I6),0)</f>
        <v>0</v>
      </c>
      <c r="Q6" s="26"/>
      <c r="R6" s="26"/>
      <c r="S6" s="26"/>
      <c r="T6" s="26"/>
    </row>
    <row r="7" spans="1:22" ht="13.5" thickBot="1" x14ac:dyDescent="0.25">
      <c r="A7" s="50" t="s">
        <v>110</v>
      </c>
      <c r="B7" s="44"/>
      <c r="C7" s="101"/>
      <c r="D7" s="46">
        <f t="shared" si="0"/>
        <v>0</v>
      </c>
      <c r="E7" s="47"/>
      <c r="F7" s="45"/>
      <c r="G7" s="46">
        <f t="shared" si="1"/>
        <v>0</v>
      </c>
      <c r="H7" s="49"/>
      <c r="I7" s="69"/>
      <c r="J7" s="46">
        <f t="shared" si="2"/>
        <v>0</v>
      </c>
      <c r="K7" s="138">
        <f t="shared" si="3"/>
        <v>0</v>
      </c>
      <c r="L7" s="139">
        <f t="shared" si="3"/>
        <v>0</v>
      </c>
      <c r="M7" s="140">
        <f t="shared" si="4"/>
        <v>0</v>
      </c>
      <c r="N7" s="458"/>
      <c r="O7" s="218">
        <f t="shared" si="5"/>
        <v>0</v>
      </c>
      <c r="P7" s="19">
        <f>ROUND((O7+F7+I7),0)</f>
        <v>0</v>
      </c>
      <c r="Q7" s="143"/>
      <c r="R7" s="143"/>
      <c r="S7" s="143"/>
      <c r="T7" s="143"/>
    </row>
    <row r="8" spans="1:22" s="177" customFormat="1" x14ac:dyDescent="0.2">
      <c r="A8" s="170" t="s">
        <v>111</v>
      </c>
      <c r="B8" s="178"/>
      <c r="C8" s="179"/>
      <c r="D8" s="117">
        <f t="shared" si="0"/>
        <v>0</v>
      </c>
      <c r="E8" s="180"/>
      <c r="F8" s="181"/>
      <c r="G8" s="117">
        <f t="shared" si="1"/>
        <v>0</v>
      </c>
      <c r="H8" s="173"/>
      <c r="I8" s="172"/>
      <c r="J8" s="117">
        <f t="shared" si="2"/>
        <v>0</v>
      </c>
      <c r="K8" s="182">
        <f>B8+E8+H8</f>
        <v>0</v>
      </c>
      <c r="L8" s="183">
        <f>C8+F8+I8</f>
        <v>0</v>
      </c>
      <c r="M8" s="176">
        <f>IF(K8=0,0,L8/K8)</f>
        <v>0</v>
      </c>
      <c r="N8" s="459"/>
      <c r="O8" s="218">
        <f t="shared" si="5"/>
        <v>0</v>
      </c>
      <c r="P8" s="19">
        <f>ROUND((O8+F8+I8),0)</f>
        <v>0</v>
      </c>
      <c r="Q8" s="184"/>
      <c r="R8" s="184"/>
      <c r="S8" s="184"/>
      <c r="T8" s="184"/>
    </row>
    <row r="9" spans="1:22" x14ac:dyDescent="0.2">
      <c r="A9" s="50" t="s">
        <v>112</v>
      </c>
      <c r="B9" s="44"/>
      <c r="C9" s="101"/>
      <c r="D9" s="46">
        <f t="shared" si="0"/>
        <v>0</v>
      </c>
      <c r="E9" s="47"/>
      <c r="F9" s="45"/>
      <c r="G9" s="46">
        <f t="shared" si="1"/>
        <v>0</v>
      </c>
      <c r="H9" s="49"/>
      <c r="I9" s="69"/>
      <c r="J9" s="46">
        <f t="shared" si="2"/>
        <v>0</v>
      </c>
      <c r="K9" s="141">
        <f>B9+E9+H9</f>
        <v>0</v>
      </c>
      <c r="L9" s="116">
        <f t="shared" ref="L9" si="6">C9+F9+I9</f>
        <v>0</v>
      </c>
      <c r="M9" s="117">
        <f>IF(K9=0,0,L9/K9)</f>
        <v>0</v>
      </c>
      <c r="N9" s="460"/>
      <c r="O9" s="245">
        <f t="shared" si="5"/>
        <v>0</v>
      </c>
      <c r="P9" s="19">
        <f>ROUND((O9+F9+I9),0)</f>
        <v>0</v>
      </c>
      <c r="Q9" s="142"/>
      <c r="R9" s="142"/>
      <c r="S9" s="142"/>
      <c r="T9" s="142"/>
      <c r="U9" s="4"/>
      <c r="V9" s="4"/>
    </row>
    <row r="10" spans="1:22" ht="13.5" thickBot="1" x14ac:dyDescent="0.25">
      <c r="A10" s="50" t="s">
        <v>113</v>
      </c>
      <c r="B10" s="44"/>
      <c r="C10" s="101"/>
      <c r="D10" s="46">
        <f t="shared" si="0"/>
        <v>0</v>
      </c>
      <c r="E10" s="47"/>
      <c r="F10" s="45"/>
      <c r="G10" s="46">
        <f t="shared" si="1"/>
        <v>0</v>
      </c>
      <c r="H10" s="49"/>
      <c r="I10" s="69"/>
      <c r="J10" s="46">
        <f t="shared" si="2"/>
        <v>0</v>
      </c>
      <c r="K10" s="138">
        <f>B10+E10+H10</f>
        <v>0</v>
      </c>
      <c r="L10" s="139">
        <f>C10+F10+I10</f>
        <v>0</v>
      </c>
      <c r="M10" s="140">
        <f>IF(K10=0,0,L10/K10)</f>
        <v>0</v>
      </c>
      <c r="N10" s="458"/>
      <c r="O10" s="245">
        <f t="shared" si="5"/>
        <v>0</v>
      </c>
      <c r="P10" s="19">
        <f t="shared" ref="P10" si="7">ROUND((O10+F10+I10),0)</f>
        <v>0</v>
      </c>
      <c r="Q10" s="142"/>
      <c r="R10" s="142"/>
      <c r="S10" s="142"/>
      <c r="T10" s="142"/>
    </row>
    <row r="11" spans="1:22" x14ac:dyDescent="0.2">
      <c r="A11" s="50" t="s">
        <v>158</v>
      </c>
      <c r="B11" s="44"/>
      <c r="C11" s="101"/>
      <c r="D11" s="46">
        <f t="shared" si="0"/>
        <v>0</v>
      </c>
      <c r="E11" s="47"/>
      <c r="F11" s="45"/>
      <c r="G11" s="46">
        <f t="shared" si="1"/>
        <v>0</v>
      </c>
      <c r="H11" s="49"/>
      <c r="I11" s="69"/>
      <c r="J11" s="46">
        <f t="shared" si="2"/>
        <v>0</v>
      </c>
      <c r="K11" s="134">
        <f>B11+E11+H11</f>
        <v>0</v>
      </c>
      <c r="L11" s="135">
        <f>C11+F11+I11</f>
        <v>0</v>
      </c>
      <c r="M11" s="136">
        <f t="shared" si="4"/>
        <v>0</v>
      </c>
      <c r="N11" s="456"/>
      <c r="O11" s="218">
        <f t="shared" si="5"/>
        <v>0</v>
      </c>
      <c r="P11" s="19">
        <f t="shared" ref="P11:P16" si="8">ROUND((O11+F11+I11),0)</f>
        <v>0</v>
      </c>
      <c r="Q11" s="4"/>
      <c r="R11" s="4"/>
      <c r="S11" s="4"/>
      <c r="T11" s="4"/>
    </row>
    <row r="12" spans="1:22" x14ac:dyDescent="0.2">
      <c r="A12" s="50" t="s">
        <v>98</v>
      </c>
      <c r="B12" s="44"/>
      <c r="C12" s="101"/>
      <c r="D12" s="46">
        <f t="shared" si="0"/>
        <v>0</v>
      </c>
      <c r="E12" s="47"/>
      <c r="F12" s="45"/>
      <c r="G12" s="46">
        <f t="shared" si="1"/>
        <v>0</v>
      </c>
      <c r="H12" s="49"/>
      <c r="I12" s="69"/>
      <c r="J12" s="46">
        <f t="shared" si="2"/>
        <v>0</v>
      </c>
      <c r="K12" s="137">
        <f>B12+E12+H12</f>
        <v>0</v>
      </c>
      <c r="L12" s="103">
        <f>C12+F12+I12</f>
        <v>0</v>
      </c>
      <c r="M12" s="46">
        <f>IF(K12=0,0,L12/K12)</f>
        <v>0</v>
      </c>
      <c r="N12" s="457"/>
      <c r="O12" s="218">
        <f t="shared" si="5"/>
        <v>0</v>
      </c>
      <c r="P12" s="19">
        <f t="shared" si="8"/>
        <v>0</v>
      </c>
    </row>
    <row r="13" spans="1:22" ht="13.5" thickBot="1" x14ac:dyDescent="0.25">
      <c r="A13" s="50" t="s">
        <v>99</v>
      </c>
      <c r="B13" s="44"/>
      <c r="C13" s="101"/>
      <c r="D13" s="46">
        <f>IF(B13=0,0,C13/B13)</f>
        <v>0</v>
      </c>
      <c r="E13" s="47"/>
      <c r="F13" s="45"/>
      <c r="G13" s="46">
        <f>IF(E13=0,0,F13/E13)</f>
        <v>0</v>
      </c>
      <c r="H13" s="49"/>
      <c r="I13" s="69"/>
      <c r="J13" s="46">
        <f>IF(H13=0,0,I13/H13)</f>
        <v>0</v>
      </c>
      <c r="K13" s="138">
        <f>B13+E13+H13</f>
        <v>0</v>
      </c>
      <c r="L13" s="139">
        <f>C13+F13+I13</f>
        <v>0</v>
      </c>
      <c r="M13" s="140">
        <f>IF(K13=0,0,L13/K13)</f>
        <v>0</v>
      </c>
      <c r="N13" s="458"/>
      <c r="O13" s="246">
        <f>C13-N13</f>
        <v>0</v>
      </c>
      <c r="P13" s="19">
        <f t="shared" si="8"/>
        <v>0</v>
      </c>
      <c r="Q13" s="143"/>
      <c r="R13" s="143"/>
      <c r="S13" s="143"/>
      <c r="T13" s="143"/>
      <c r="U13" s="4"/>
      <c r="V13" s="4"/>
    </row>
    <row r="14" spans="1:22" x14ac:dyDescent="0.2">
      <c r="A14" s="50" t="s">
        <v>100</v>
      </c>
      <c r="B14" s="44"/>
      <c r="C14" s="101"/>
      <c r="D14" s="46">
        <f t="shared" si="0"/>
        <v>0</v>
      </c>
      <c r="E14" s="53"/>
      <c r="F14" s="52"/>
      <c r="G14" s="46">
        <f t="shared" si="1"/>
        <v>0</v>
      </c>
      <c r="H14" s="54"/>
      <c r="I14" s="55"/>
      <c r="J14" s="46">
        <f t="shared" si="2"/>
        <v>0</v>
      </c>
      <c r="K14" s="102">
        <f t="shared" ref="K14:L15" si="9">B14+E14+H14</f>
        <v>0</v>
      </c>
      <c r="L14" s="103">
        <f t="shared" si="9"/>
        <v>0</v>
      </c>
      <c r="M14" s="46">
        <f t="shared" si="4"/>
        <v>0</v>
      </c>
      <c r="N14" s="457"/>
      <c r="O14" s="246">
        <f>C14-N14</f>
        <v>0</v>
      </c>
      <c r="P14" s="19">
        <f t="shared" si="8"/>
        <v>0</v>
      </c>
      <c r="Q14" s="143"/>
      <c r="R14" s="143"/>
      <c r="S14" s="143"/>
      <c r="T14" s="143"/>
    </row>
    <row r="15" spans="1:22" x14ac:dyDescent="0.2">
      <c r="A15" s="50" t="s">
        <v>101</v>
      </c>
      <c r="B15" s="44"/>
      <c r="C15" s="101"/>
      <c r="D15" s="46">
        <f t="shared" si="0"/>
        <v>0</v>
      </c>
      <c r="E15" s="56"/>
      <c r="F15" s="55"/>
      <c r="G15" s="46">
        <f t="shared" si="1"/>
        <v>0</v>
      </c>
      <c r="H15" s="54"/>
      <c r="I15" s="55"/>
      <c r="J15" s="46">
        <f t="shared" si="2"/>
        <v>0</v>
      </c>
      <c r="K15" s="102">
        <f>B15+E15+H15</f>
        <v>0</v>
      </c>
      <c r="L15" s="103">
        <f t="shared" si="9"/>
        <v>0</v>
      </c>
      <c r="M15" s="46">
        <f t="shared" si="4"/>
        <v>0</v>
      </c>
      <c r="N15" s="461"/>
      <c r="O15" s="246">
        <f t="shared" si="5"/>
        <v>0</v>
      </c>
      <c r="P15" s="19">
        <f t="shared" si="8"/>
        <v>0</v>
      </c>
      <c r="Q15" s="142"/>
      <c r="R15" s="142"/>
      <c r="S15" s="142"/>
      <c r="T15" s="142"/>
      <c r="V15" s="4"/>
    </row>
    <row r="16" spans="1:22" ht="13.5" thickBot="1" x14ac:dyDescent="0.25">
      <c r="A16" s="57" t="s">
        <v>114</v>
      </c>
      <c r="B16" s="44"/>
      <c r="C16" s="101"/>
      <c r="D16" s="46">
        <f t="shared" si="0"/>
        <v>0</v>
      </c>
      <c r="E16" s="756"/>
      <c r="F16" s="757"/>
      <c r="G16" s="46">
        <f t="shared" si="1"/>
        <v>0</v>
      </c>
      <c r="H16" s="758"/>
      <c r="I16" s="757"/>
      <c r="J16" s="46">
        <f t="shared" si="2"/>
        <v>0</v>
      </c>
      <c r="K16" s="102">
        <f>B16+E16+H16</f>
        <v>0</v>
      </c>
      <c r="L16" s="103">
        <f>C16+F16+I16</f>
        <v>0</v>
      </c>
      <c r="M16" s="46">
        <f>IF(K16=0,0,L16/K16)</f>
        <v>0</v>
      </c>
      <c r="N16" s="462"/>
      <c r="O16" s="246">
        <f>C16-N16</f>
        <v>0</v>
      </c>
      <c r="P16" s="19">
        <f t="shared" si="8"/>
        <v>0</v>
      </c>
      <c r="Q16" s="3"/>
      <c r="S16" s="4"/>
      <c r="T16" s="4"/>
    </row>
    <row r="17" spans="1:23" ht="13.5" thickBot="1" x14ac:dyDescent="0.25">
      <c r="A17" s="58" t="s">
        <v>39</v>
      </c>
      <c r="B17" s="265">
        <f>SUM(B5:B16)</f>
        <v>0</v>
      </c>
      <c r="C17" s="266">
        <f>SUM(C5:C16)</f>
        <v>0</v>
      </c>
      <c r="D17" s="62">
        <f>IF(B17=0,0,(C17/B17))</f>
        <v>0</v>
      </c>
      <c r="E17" s="267">
        <f>SUM(E5:E16)</f>
        <v>823</v>
      </c>
      <c r="F17" s="268">
        <f>SUM(F5:F16)</f>
        <v>222664</v>
      </c>
      <c r="G17" s="62">
        <f>IF(E17=0,0,(F17/E17))</f>
        <v>270.55164034021874</v>
      </c>
      <c r="H17" s="265">
        <f>SUM(H5:H16)</f>
        <v>4</v>
      </c>
      <c r="I17" s="268">
        <f>SUM(I5:I16)</f>
        <v>3380</v>
      </c>
      <c r="J17" s="62">
        <f>IF(H17=0,0,(I17/H17))</f>
        <v>845</v>
      </c>
      <c r="K17" s="60">
        <f>SUM(K5:K16)</f>
        <v>827</v>
      </c>
      <c r="L17" s="189">
        <f>SUM(L5:L16)</f>
        <v>226044</v>
      </c>
      <c r="M17" s="62">
        <f>IF(K17=0,0,(L17/K17))</f>
        <v>273.33010882708584</v>
      </c>
      <c r="N17" s="463">
        <f>SUM(N5:N16)</f>
        <v>236050</v>
      </c>
      <c r="O17" s="19">
        <f>C17-N17</f>
        <v>-236050</v>
      </c>
      <c r="P17" s="19">
        <f>SUM(P5:P16)</f>
        <v>-10006</v>
      </c>
      <c r="Q17" s="3"/>
      <c r="S17" s="1"/>
    </row>
    <row r="18" spans="1:23" x14ac:dyDescent="0.2">
      <c r="L18" s="1">
        <f>L17-N17</f>
        <v>-10006</v>
      </c>
      <c r="M18" s="3"/>
      <c r="N18" s="166" t="e">
        <f>N17/B17</f>
        <v>#DIV/0!</v>
      </c>
      <c r="O18" s="65"/>
      <c r="P18" s="3"/>
      <c r="R18" s="1"/>
    </row>
    <row r="19" spans="1:23" x14ac:dyDescent="0.2">
      <c r="O19" s="3"/>
    </row>
    <row r="20" spans="1:23" ht="13.5" thickBot="1" x14ac:dyDescent="0.25">
      <c r="A20" s="864" t="s">
        <v>145</v>
      </c>
      <c r="B20" s="865"/>
      <c r="C20" s="865"/>
      <c r="D20" s="865"/>
      <c r="E20" s="865"/>
      <c r="F20" s="865"/>
      <c r="G20" s="865"/>
      <c r="H20" s="865"/>
      <c r="I20" s="865"/>
      <c r="J20" s="865"/>
      <c r="K20" s="64"/>
      <c r="L20" s="64"/>
      <c r="M20" s="34"/>
      <c r="O20" s="464"/>
      <c r="P20" s="464"/>
      <c r="Q20" s="464"/>
      <c r="R20" s="464"/>
      <c r="S20" s="464"/>
    </row>
    <row r="21" spans="1:23" ht="13.5" thickBot="1" x14ac:dyDescent="0.25">
      <c r="A21" s="68" t="s">
        <v>138</v>
      </c>
      <c r="B21" s="847" t="s">
        <v>245</v>
      </c>
      <c r="C21" s="846"/>
      <c r="D21" s="846"/>
      <c r="E21" s="860" t="s">
        <v>246</v>
      </c>
      <c r="F21" s="861"/>
      <c r="G21" s="861"/>
      <c r="H21" s="465" t="s">
        <v>102</v>
      </c>
      <c r="I21" s="866" t="s">
        <v>247</v>
      </c>
      <c r="J21" s="867"/>
      <c r="K21" s="868"/>
      <c r="L21" s="854" t="s">
        <v>248</v>
      </c>
      <c r="M21" s="855"/>
      <c r="N21" s="856"/>
      <c r="O21" s="852" t="s">
        <v>249</v>
      </c>
      <c r="P21" s="853"/>
      <c r="Q21" s="148" t="s">
        <v>296</v>
      </c>
      <c r="S21" s="34"/>
      <c r="T21" s="34"/>
      <c r="U21" s="34"/>
      <c r="V21" s="34"/>
      <c r="W21" s="34"/>
    </row>
    <row r="22" spans="1:23" x14ac:dyDescent="0.2">
      <c r="A22" s="42" t="s">
        <v>109</v>
      </c>
      <c r="B22" s="144">
        <f>Srvaya!B29</f>
        <v>5222</v>
      </c>
      <c r="C22" s="175">
        <f>Srvaya!C29</f>
        <v>1458702</v>
      </c>
      <c r="D22" s="136">
        <f>IF(B22=0,0,C22/B22)</f>
        <v>279.33780160857907</v>
      </c>
      <c r="E22" s="915">
        <f>22528.36+5-B22-0.4</f>
        <v>17310.96</v>
      </c>
      <c r="F22" s="467">
        <f>5990692+2960-C22</f>
        <v>4534950</v>
      </c>
      <c r="G22" s="468">
        <f>IF(E22=0,0,F22/E22)</f>
        <v>261.9698734212314</v>
      </c>
      <c r="H22" s="456">
        <f>172581.25+104451.05-0.3</f>
        <v>277032</v>
      </c>
      <c r="I22" s="469">
        <f>ROUND((B22+E22),0)</f>
        <v>22533</v>
      </c>
      <c r="J22" s="470">
        <f t="shared" ref="J22:J29" si="10">ROUND((C22+F22+H22),0)</f>
        <v>6270684</v>
      </c>
      <c r="K22" s="471">
        <f>IF(I22=0,0,J22/I22)</f>
        <v>278.28890959925445</v>
      </c>
      <c r="L22" s="144">
        <f>3668</f>
        <v>3668</v>
      </c>
      <c r="M22" s="145">
        <v>668801</v>
      </c>
      <c r="N22" s="136">
        <f t="shared" ref="N22:N33" si="11">IF(L22=0,0,M22/L22)</f>
        <v>182.33396946564886</v>
      </c>
      <c r="O22" s="472">
        <f>ROUND((I22+L22),0)</f>
        <v>26201</v>
      </c>
      <c r="P22" s="473">
        <f>ROUND((J22+M22),0)</f>
        <v>6939485</v>
      </c>
      <c r="Q22" s="190">
        <v>6939485.2999999998</v>
      </c>
      <c r="R22" s="474">
        <f>P22-Q22</f>
        <v>-0.29999999981373549</v>
      </c>
      <c r="S22" s="34"/>
      <c r="T22" s="34"/>
      <c r="U22" s="104"/>
      <c r="V22" s="105"/>
      <c r="W22" s="67"/>
    </row>
    <row r="23" spans="1:23" x14ac:dyDescent="0.2">
      <c r="A23" s="50" t="s">
        <v>97</v>
      </c>
      <c r="B23" s="49"/>
      <c r="C23" s="172"/>
      <c r="D23" s="46">
        <f t="shared" ref="D23:D29" si="12">IF(B23=0,0,C23/B23)</f>
        <v>0</v>
      </c>
      <c r="E23" s="475"/>
      <c r="F23" s="45"/>
      <c r="G23" s="48">
        <f t="shared" ref="G23:G29" si="13">IF(E23=0,0,F23/E23)</f>
        <v>0</v>
      </c>
      <c r="H23" s="457"/>
      <c r="I23" s="476">
        <f t="shared" ref="I23:I28" si="14">ROUND((B23+E23),0)</f>
        <v>0</v>
      </c>
      <c r="J23" s="477">
        <f t="shared" si="10"/>
        <v>0</v>
      </c>
      <c r="K23" s="478">
        <f t="shared" ref="K23:K34" si="15">IF(I23=0,0,J23/I23)</f>
        <v>0</v>
      </c>
      <c r="L23" s="49"/>
      <c r="M23" s="69"/>
      <c r="N23" s="46">
        <f t="shared" si="11"/>
        <v>0</v>
      </c>
      <c r="O23" s="472">
        <f t="shared" ref="O23:P32" si="16">ROUND((I23+L23),0)</f>
        <v>0</v>
      </c>
      <c r="P23" s="473">
        <f t="shared" si="16"/>
        <v>0</v>
      </c>
      <c r="Q23" s="190"/>
      <c r="R23" s="474">
        <f t="shared" ref="R23:R29" si="17">P23-Q23</f>
        <v>0</v>
      </c>
    </row>
    <row r="24" spans="1:23" ht="13.5" thickBot="1" x14ac:dyDescent="0.25">
      <c r="A24" s="479" t="s">
        <v>110</v>
      </c>
      <c r="B24" s="146"/>
      <c r="C24" s="408"/>
      <c r="D24" s="140">
        <f>IF(B24=0,0,C24/B24)</f>
        <v>0</v>
      </c>
      <c r="E24" s="480"/>
      <c r="F24" s="481"/>
      <c r="G24" s="482">
        <f>IF(E24=0,0,F24/E24)</f>
        <v>0</v>
      </c>
      <c r="H24" s="458"/>
      <c r="I24" s="483">
        <f t="shared" si="14"/>
        <v>0</v>
      </c>
      <c r="J24" s="484">
        <f t="shared" si="10"/>
        <v>0</v>
      </c>
      <c r="K24" s="485">
        <f t="shared" si="15"/>
        <v>0</v>
      </c>
      <c r="L24" s="146"/>
      <c r="M24" s="147"/>
      <c r="N24" s="140">
        <f t="shared" si="11"/>
        <v>0</v>
      </c>
      <c r="O24" s="486">
        <f t="shared" si="16"/>
        <v>0</v>
      </c>
      <c r="P24" s="487">
        <f t="shared" si="16"/>
        <v>0</v>
      </c>
      <c r="Q24" s="190"/>
      <c r="R24" s="474">
        <f t="shared" si="17"/>
        <v>0</v>
      </c>
      <c r="U24" s="3"/>
      <c r="W24" s="3"/>
    </row>
    <row r="25" spans="1:23" x14ac:dyDescent="0.2">
      <c r="A25" s="488" t="s">
        <v>111</v>
      </c>
      <c r="B25" s="174"/>
      <c r="C25" s="175"/>
      <c r="D25" s="176">
        <f t="shared" si="12"/>
        <v>0</v>
      </c>
      <c r="E25" s="489"/>
      <c r="F25" s="490"/>
      <c r="G25" s="491">
        <f t="shared" si="13"/>
        <v>0</v>
      </c>
      <c r="H25" s="459"/>
      <c r="I25" s="469">
        <f t="shared" si="14"/>
        <v>0</v>
      </c>
      <c r="J25" s="470">
        <f t="shared" si="10"/>
        <v>0</v>
      </c>
      <c r="K25" s="492">
        <f t="shared" si="15"/>
        <v>0</v>
      </c>
      <c r="L25" s="174"/>
      <c r="M25" s="175"/>
      <c r="N25" s="176">
        <f t="shared" si="11"/>
        <v>0</v>
      </c>
      <c r="O25" s="472">
        <f t="shared" si="16"/>
        <v>0</v>
      </c>
      <c r="P25" s="473">
        <f t="shared" si="16"/>
        <v>0</v>
      </c>
      <c r="Q25" s="190"/>
      <c r="R25" s="474">
        <f t="shared" si="17"/>
        <v>0</v>
      </c>
      <c r="U25" s="3"/>
    </row>
    <row r="26" spans="1:23" x14ac:dyDescent="0.2">
      <c r="A26" s="50" t="s">
        <v>112</v>
      </c>
      <c r="B26" s="49"/>
      <c r="C26" s="69"/>
      <c r="D26" s="117">
        <f t="shared" si="12"/>
        <v>0</v>
      </c>
      <c r="E26" s="493"/>
      <c r="F26" s="181"/>
      <c r="G26" s="494">
        <f t="shared" si="13"/>
        <v>0</v>
      </c>
      <c r="H26" s="460"/>
      <c r="I26" s="495">
        <f t="shared" si="14"/>
        <v>0</v>
      </c>
      <c r="J26" s="477">
        <f t="shared" si="10"/>
        <v>0</v>
      </c>
      <c r="K26" s="478">
        <f t="shared" si="15"/>
        <v>0</v>
      </c>
      <c r="L26" s="49"/>
      <c r="M26" s="69"/>
      <c r="N26" s="117">
        <f t="shared" si="11"/>
        <v>0</v>
      </c>
      <c r="O26" s="472">
        <f t="shared" si="16"/>
        <v>0</v>
      </c>
      <c r="P26" s="473">
        <f t="shared" si="16"/>
        <v>0</v>
      </c>
      <c r="Q26" s="190"/>
      <c r="R26" s="474">
        <f t="shared" si="17"/>
        <v>0</v>
      </c>
      <c r="U26" s="3"/>
      <c r="V26" s="3"/>
    </row>
    <row r="27" spans="1:23" ht="13.5" thickBot="1" x14ac:dyDescent="0.25">
      <c r="A27" s="479" t="s">
        <v>113</v>
      </c>
      <c r="B27" s="146"/>
      <c r="C27" s="147"/>
      <c r="D27" s="140">
        <f t="shared" si="12"/>
        <v>0</v>
      </c>
      <c r="E27" s="480"/>
      <c r="F27" s="481"/>
      <c r="G27" s="482">
        <f t="shared" si="13"/>
        <v>0</v>
      </c>
      <c r="H27" s="458"/>
      <c r="I27" s="483">
        <f t="shared" si="14"/>
        <v>0</v>
      </c>
      <c r="J27" s="484">
        <f t="shared" si="10"/>
        <v>0</v>
      </c>
      <c r="K27" s="485">
        <f t="shared" si="15"/>
        <v>0</v>
      </c>
      <c r="L27" s="146"/>
      <c r="M27" s="147"/>
      <c r="N27" s="140">
        <f t="shared" si="11"/>
        <v>0</v>
      </c>
      <c r="O27" s="486">
        <f t="shared" si="16"/>
        <v>0</v>
      </c>
      <c r="P27" s="487">
        <f t="shared" si="16"/>
        <v>0</v>
      </c>
      <c r="Q27" s="190"/>
      <c r="R27" s="474">
        <f t="shared" si="17"/>
        <v>0</v>
      </c>
    </row>
    <row r="28" spans="1:23" x14ac:dyDescent="0.2">
      <c r="A28" s="42" t="s">
        <v>158</v>
      </c>
      <c r="B28" s="144"/>
      <c r="C28" s="145"/>
      <c r="D28" s="136">
        <f t="shared" si="12"/>
        <v>0</v>
      </c>
      <c r="E28" s="466"/>
      <c r="F28" s="467"/>
      <c r="G28" s="468">
        <f t="shared" si="13"/>
        <v>0</v>
      </c>
      <c r="H28" s="456"/>
      <c r="I28" s="469">
        <f t="shared" si="14"/>
        <v>0</v>
      </c>
      <c r="J28" s="470">
        <f t="shared" si="10"/>
        <v>0</v>
      </c>
      <c r="K28" s="492">
        <f t="shared" si="15"/>
        <v>0</v>
      </c>
      <c r="L28" s="144"/>
      <c r="M28" s="145"/>
      <c r="N28" s="136">
        <f t="shared" si="11"/>
        <v>0</v>
      </c>
      <c r="O28" s="472">
        <f t="shared" si="16"/>
        <v>0</v>
      </c>
      <c r="P28" s="473">
        <f t="shared" si="16"/>
        <v>0</v>
      </c>
      <c r="Q28" s="190"/>
      <c r="R28" s="474">
        <f t="shared" si="17"/>
        <v>0</v>
      </c>
    </row>
    <row r="29" spans="1:23" x14ac:dyDescent="0.2">
      <c r="A29" s="50" t="s">
        <v>98</v>
      </c>
      <c r="B29" s="49"/>
      <c r="C29" s="69"/>
      <c r="D29" s="46">
        <f t="shared" si="12"/>
        <v>0</v>
      </c>
      <c r="E29" s="475"/>
      <c r="F29" s="45"/>
      <c r="G29" s="494">
        <f t="shared" si="13"/>
        <v>0</v>
      </c>
      <c r="H29" s="457"/>
      <c r="I29" s="476">
        <f>ROUND((B29+E29),0)</f>
        <v>0</v>
      </c>
      <c r="J29" s="477">
        <f t="shared" si="10"/>
        <v>0</v>
      </c>
      <c r="K29" s="478">
        <f t="shared" si="15"/>
        <v>0</v>
      </c>
      <c r="L29" s="49"/>
      <c r="M29" s="69"/>
      <c r="N29" s="46">
        <f t="shared" si="11"/>
        <v>0</v>
      </c>
      <c r="O29" s="472">
        <f t="shared" si="16"/>
        <v>0</v>
      </c>
      <c r="P29" s="473">
        <f>ROUND((J29+M29),0)</f>
        <v>0</v>
      </c>
      <c r="Q29" s="190"/>
      <c r="R29" s="474">
        <f t="shared" si="17"/>
        <v>0</v>
      </c>
      <c r="U29" s="3"/>
      <c r="V29" s="3"/>
    </row>
    <row r="30" spans="1:23" ht="13.5" thickBot="1" x14ac:dyDescent="0.25">
      <c r="A30" s="50" t="s">
        <v>99</v>
      </c>
      <c r="B30" s="146"/>
      <c r="C30" s="147"/>
      <c r="D30" s="140">
        <f>IF(B30=0,0,C30/B30)</f>
        <v>0</v>
      </c>
      <c r="E30" s="480"/>
      <c r="F30" s="481"/>
      <c r="G30" s="494">
        <f>IF(E30=0,0,F30/E30)</f>
        <v>0</v>
      </c>
      <c r="H30" s="458"/>
      <c r="I30" s="496">
        <f>B30+E30</f>
        <v>0</v>
      </c>
      <c r="J30" s="497">
        <f>ROUND(C30+F30+H30,0)</f>
        <v>0</v>
      </c>
      <c r="K30" s="492">
        <f t="shared" si="15"/>
        <v>0</v>
      </c>
      <c r="L30" s="146"/>
      <c r="M30" s="147"/>
      <c r="N30" s="140">
        <f t="shared" si="11"/>
        <v>0</v>
      </c>
      <c r="O30" s="486">
        <f>ROUND((I30+L30),0)</f>
        <v>0</v>
      </c>
      <c r="P30" s="487">
        <f>ROUND((J30+M30),0)</f>
        <v>0</v>
      </c>
      <c r="Q30" s="190"/>
      <c r="R30" s="474">
        <f>P30-Q30</f>
        <v>0</v>
      </c>
      <c r="S30" s="3"/>
      <c r="T30" s="3"/>
    </row>
    <row r="31" spans="1:23" x14ac:dyDescent="0.2">
      <c r="A31" s="50" t="s">
        <v>100</v>
      </c>
      <c r="B31" s="49"/>
      <c r="C31" s="69"/>
      <c r="D31" s="46">
        <f>IF(B31=0,0,C31/B31)</f>
        <v>0</v>
      </c>
      <c r="E31" s="475"/>
      <c r="F31" s="45"/>
      <c r="G31" s="494">
        <f>IF(E31=0,0,F31/E31)</f>
        <v>0</v>
      </c>
      <c r="H31" s="457"/>
      <c r="I31" s="498">
        <f t="shared" ref="I31:I34" si="18">B31+E31</f>
        <v>0</v>
      </c>
      <c r="J31" s="499">
        <f>C31+F31+H31</f>
        <v>0</v>
      </c>
      <c r="K31" s="500">
        <f t="shared" si="15"/>
        <v>0</v>
      </c>
      <c r="L31" s="49"/>
      <c r="M31" s="69"/>
      <c r="N31" s="46">
        <f t="shared" si="11"/>
        <v>0</v>
      </c>
      <c r="O31" s="472">
        <f>ROUND((I31+L31),0)</f>
        <v>0</v>
      </c>
      <c r="P31" s="473">
        <f>ROUND((J31+M31),0)</f>
        <v>0</v>
      </c>
      <c r="Q31" s="190"/>
      <c r="R31" s="474">
        <f>P31-Q31</f>
        <v>0</v>
      </c>
    </row>
    <row r="32" spans="1:23" x14ac:dyDescent="0.2">
      <c r="A32" s="50" t="s">
        <v>101</v>
      </c>
      <c r="B32" s="54"/>
      <c r="C32" s="55"/>
      <c r="D32" s="46">
        <f>IF(B32=0,0,C32/B32)</f>
        <v>0</v>
      </c>
      <c r="E32" s="475"/>
      <c r="F32" s="45"/>
      <c r="G32" s="494">
        <f>IF(E32=0,0,F32/E32)</f>
        <v>0</v>
      </c>
      <c r="H32" s="461"/>
      <c r="I32" s="476">
        <f>B32+E32</f>
        <v>0</v>
      </c>
      <c r="J32" s="477">
        <f>C32+F32+H32</f>
        <v>0</v>
      </c>
      <c r="K32" s="478">
        <f t="shared" si="15"/>
        <v>0</v>
      </c>
      <c r="L32" s="54"/>
      <c r="M32" s="55"/>
      <c r="N32" s="46">
        <f t="shared" si="11"/>
        <v>0</v>
      </c>
      <c r="O32" s="472">
        <f t="shared" si="16"/>
        <v>0</v>
      </c>
      <c r="P32" s="473">
        <f>ROUND((J32+M32),0)</f>
        <v>0</v>
      </c>
      <c r="Q32" s="190"/>
      <c r="R32" s="474">
        <f>P32-Q32</f>
        <v>0</v>
      </c>
      <c r="S32" s="3"/>
    </row>
    <row r="33" spans="1:19" ht="13.5" thickBot="1" x14ac:dyDescent="0.25">
      <c r="A33" s="57" t="s">
        <v>114</v>
      </c>
      <c r="B33" s="758"/>
      <c r="C33" s="757"/>
      <c r="D33" s="46">
        <f>IF(B33=0,0,C33/B33)</f>
        <v>0</v>
      </c>
      <c r="E33" s="67"/>
      <c r="F33" s="759"/>
      <c r="G33" s="494">
        <f>IF(E33=0,0,F33/E33)</f>
        <v>0</v>
      </c>
      <c r="H33" s="462"/>
      <c r="I33" s="496">
        <f>B33+E33</f>
        <v>0</v>
      </c>
      <c r="J33" s="477">
        <f>C33+F33+H33</f>
        <v>0</v>
      </c>
      <c r="K33" s="492">
        <f t="shared" si="15"/>
        <v>0</v>
      </c>
      <c r="L33" s="758"/>
      <c r="M33" s="757"/>
      <c r="N33" s="46">
        <f t="shared" si="11"/>
        <v>0</v>
      </c>
      <c r="O33" s="472">
        <f>ROUND((I33+L33),0)</f>
        <v>0</v>
      </c>
      <c r="P33" s="473">
        <f>ROUND((J33+M33),0)</f>
        <v>0</v>
      </c>
      <c r="Q33" s="190"/>
      <c r="R33" s="474">
        <f>P33-Q33</f>
        <v>0</v>
      </c>
      <c r="S33" s="148"/>
    </row>
    <row r="34" spans="1:19" ht="13.5" thickBot="1" x14ac:dyDescent="0.25">
      <c r="A34" s="58" t="s">
        <v>39</v>
      </c>
      <c r="B34" s="501">
        <f>SUM(B22:B33)</f>
        <v>5222</v>
      </c>
      <c r="C34" s="61">
        <f>SUM(C22:C33)</f>
        <v>1458702</v>
      </c>
      <c r="D34" s="62">
        <f>IF(B34=0,0,(C34/B34))</f>
        <v>279.33780160857907</v>
      </c>
      <c r="E34" s="501">
        <f>SUM(E22:E33)</f>
        <v>17310.96</v>
      </c>
      <c r="F34" s="61">
        <f>SUM(F22:F33)</f>
        <v>4534950</v>
      </c>
      <c r="G34" s="63">
        <f>IF(E34=0,0,(F34/E34))</f>
        <v>261.9698734212314</v>
      </c>
      <c r="H34" s="463">
        <f>SUM(H22:H33)</f>
        <v>277032</v>
      </c>
      <c r="I34" s="502">
        <f t="shared" si="18"/>
        <v>22532.959999999999</v>
      </c>
      <c r="J34" s="503">
        <f>ROUND((C34+F34+H34),0)</f>
        <v>6270684</v>
      </c>
      <c r="K34" s="504">
        <f t="shared" si="15"/>
        <v>278.28940361142077</v>
      </c>
      <c r="L34" s="265">
        <f>SUM(L22:L33)</f>
        <v>3668</v>
      </c>
      <c r="M34" s="268">
        <f>SUM(M22:M33)</f>
        <v>668801</v>
      </c>
      <c r="N34" s="62">
        <f>IF(L34=0,0,(M34/L34))</f>
        <v>182.33396946564886</v>
      </c>
      <c r="O34" s="505">
        <f>SUM(O22:O33)</f>
        <v>26201</v>
      </c>
      <c r="P34" s="506">
        <f>SUM(P22:P33)</f>
        <v>6939485</v>
      </c>
      <c r="Q34" s="191">
        <f>SUM(Q22:Q33)</f>
        <v>6939485.2999999998</v>
      </c>
      <c r="R34" s="507">
        <f>SUM(R22:R33)</f>
        <v>-0.29999999981373549</v>
      </c>
    </row>
    <row r="35" spans="1:19" ht="13.5" thickBot="1" x14ac:dyDescent="0.25"/>
    <row r="36" spans="1:19" ht="13.5" thickBot="1" x14ac:dyDescent="0.25">
      <c r="A36" s="36" t="s">
        <v>138</v>
      </c>
      <c r="B36" s="845" t="s">
        <v>84</v>
      </c>
      <c r="C36" s="846"/>
      <c r="D36" s="846"/>
      <c r="E36" s="847" t="s">
        <v>83</v>
      </c>
      <c r="F36" s="846"/>
      <c r="G36" s="846"/>
      <c r="H36" s="847" t="s">
        <v>115</v>
      </c>
      <c r="I36" s="846"/>
      <c r="J36" s="851"/>
      <c r="K36" s="847" t="s">
        <v>39</v>
      </c>
      <c r="L36" s="846"/>
      <c r="M36" s="851"/>
    </row>
    <row r="37" spans="1:19" x14ac:dyDescent="0.2">
      <c r="A37" s="42" t="s">
        <v>109</v>
      </c>
      <c r="B37" s="43">
        <v>544</v>
      </c>
      <c r="C37" s="69">
        <v>144459</v>
      </c>
      <c r="D37" s="151">
        <f>IF(B37=0,0,C37/B37)</f>
        <v>265.54963235294116</v>
      </c>
      <c r="E37" s="49">
        <f>1147.7+150+18.3</f>
        <v>1316</v>
      </c>
      <c r="F37" s="69">
        <f>275565+70950+10057</f>
        <v>356572</v>
      </c>
      <c r="G37" s="151">
        <f>IF(E37=0,0,F37/E37)</f>
        <v>270.951367781155</v>
      </c>
      <c r="H37" s="49">
        <v>6124</v>
      </c>
      <c r="I37" s="69">
        <v>1399839</v>
      </c>
      <c r="J37" s="151">
        <f>IF(H37=0,0,I37/H37)</f>
        <v>228.5824624428478</v>
      </c>
      <c r="K37" s="49">
        <f>SUM(B37,E37,H37)</f>
        <v>7984</v>
      </c>
      <c r="L37" s="97">
        <f>SUM(C37,F37,I37)</f>
        <v>1900870</v>
      </c>
      <c r="M37" s="46">
        <f>IF(K37=0,0,L37/K37)</f>
        <v>238.08491983967937</v>
      </c>
    </row>
    <row r="38" spans="1:19" x14ac:dyDescent="0.2">
      <c r="A38" s="50" t="s">
        <v>97</v>
      </c>
      <c r="B38" s="43"/>
      <c r="C38" s="69"/>
      <c r="D38" s="151">
        <f t="shared" ref="D38:D48" si="19">IF(B38=0,0,C38/B38)</f>
        <v>0</v>
      </c>
      <c r="E38" s="49"/>
      <c r="F38" s="69"/>
      <c r="G38" s="151">
        <f t="shared" ref="G38:G48" si="20">IF(E38=0,0,F38/E38)</f>
        <v>0</v>
      </c>
      <c r="H38" s="49"/>
      <c r="I38" s="69"/>
      <c r="J38" s="151">
        <f t="shared" ref="J38:J48" si="21">IF(H38=0,0,I38/H38)</f>
        <v>0</v>
      </c>
      <c r="K38" s="49">
        <f t="shared" ref="K38:L47" si="22">SUM(B38,E38,H38)</f>
        <v>0</v>
      </c>
      <c r="L38" s="97">
        <f t="shared" si="22"/>
        <v>0</v>
      </c>
      <c r="M38" s="46">
        <f t="shared" ref="M38:M47" si="23">IF(K38=0,0,L38/K38)</f>
        <v>0</v>
      </c>
    </row>
    <row r="39" spans="1:19" x14ac:dyDescent="0.2">
      <c r="A39" s="50" t="s">
        <v>110</v>
      </c>
      <c r="B39" s="43"/>
      <c r="C39" s="69"/>
      <c r="D39" s="151">
        <f>IF(B39=0,0,C39/B39)</f>
        <v>0</v>
      </c>
      <c r="E39" s="49"/>
      <c r="F39" s="69"/>
      <c r="G39" s="151">
        <f t="shared" si="20"/>
        <v>0</v>
      </c>
      <c r="H39" s="49"/>
      <c r="I39" s="69"/>
      <c r="J39" s="46">
        <f t="shared" si="21"/>
        <v>0</v>
      </c>
      <c r="K39" s="49">
        <f>SUM(B39,E39,H39)</f>
        <v>0</v>
      </c>
      <c r="L39" s="97">
        <f>SUM(C39,F39,I39)</f>
        <v>0</v>
      </c>
      <c r="M39" s="46">
        <f>IF(K39=0,0,L39/K39)</f>
        <v>0</v>
      </c>
    </row>
    <row r="40" spans="1:19" x14ac:dyDescent="0.2">
      <c r="A40" s="170" t="s">
        <v>111</v>
      </c>
      <c r="B40" s="171"/>
      <c r="C40" s="172"/>
      <c r="D40" s="117">
        <f t="shared" si="19"/>
        <v>0</v>
      </c>
      <c r="E40" s="173"/>
      <c r="F40" s="172"/>
      <c r="G40" s="117">
        <f t="shared" si="20"/>
        <v>0</v>
      </c>
      <c r="H40" s="173"/>
      <c r="I40" s="172"/>
      <c r="J40" s="117">
        <f t="shared" si="21"/>
        <v>0</v>
      </c>
      <c r="K40" s="173">
        <f>SUM(B40,E40,H40)</f>
        <v>0</v>
      </c>
      <c r="L40" s="118">
        <f>SUM(C40,F40,I40)</f>
        <v>0</v>
      </c>
      <c r="M40" s="117">
        <f t="shared" si="23"/>
        <v>0</v>
      </c>
    </row>
    <row r="41" spans="1:19" x14ac:dyDescent="0.2">
      <c r="A41" s="50" t="s">
        <v>112</v>
      </c>
      <c r="B41" s="43"/>
      <c r="C41" s="69"/>
      <c r="D41" s="151">
        <f t="shared" si="19"/>
        <v>0</v>
      </c>
      <c r="E41" s="49"/>
      <c r="F41" s="69"/>
      <c r="G41" s="151">
        <f t="shared" si="20"/>
        <v>0</v>
      </c>
      <c r="H41" s="49"/>
      <c r="I41" s="69"/>
      <c r="J41" s="46">
        <f t="shared" si="21"/>
        <v>0</v>
      </c>
      <c r="K41" s="49">
        <f t="shared" ref="K41:K47" si="24">SUM(B41,E41,H41)</f>
        <v>0</v>
      </c>
      <c r="L41" s="97">
        <f t="shared" si="22"/>
        <v>0</v>
      </c>
      <c r="M41" s="46">
        <f t="shared" si="23"/>
        <v>0</v>
      </c>
    </row>
    <row r="42" spans="1:19" x14ac:dyDescent="0.2">
      <c r="A42" s="50" t="s">
        <v>113</v>
      </c>
      <c r="B42" s="43"/>
      <c r="C42" s="69"/>
      <c r="D42" s="151">
        <f t="shared" si="19"/>
        <v>0</v>
      </c>
      <c r="E42" s="49"/>
      <c r="F42" s="69"/>
      <c r="G42" s="151">
        <f t="shared" si="20"/>
        <v>0</v>
      </c>
      <c r="H42" s="49"/>
      <c r="I42" s="69"/>
      <c r="J42" s="46">
        <f t="shared" si="21"/>
        <v>0</v>
      </c>
      <c r="K42" s="49">
        <f>SUM(B42,E42,H42)</f>
        <v>0</v>
      </c>
      <c r="L42" s="97">
        <f t="shared" si="22"/>
        <v>0</v>
      </c>
      <c r="M42" s="46">
        <f t="shared" si="23"/>
        <v>0</v>
      </c>
    </row>
    <row r="43" spans="1:19" x14ac:dyDescent="0.2">
      <c r="A43" s="50" t="s">
        <v>158</v>
      </c>
      <c r="B43" s="43"/>
      <c r="C43" s="69"/>
      <c r="D43" s="151">
        <f t="shared" si="19"/>
        <v>0</v>
      </c>
      <c r="E43" s="49"/>
      <c r="F43" s="69"/>
      <c r="G43" s="151">
        <f t="shared" si="20"/>
        <v>0</v>
      </c>
      <c r="H43" s="49"/>
      <c r="I43" s="69"/>
      <c r="J43" s="46">
        <f t="shared" si="21"/>
        <v>0</v>
      </c>
      <c r="K43" s="49">
        <f>SUM(B43,E43,H43)</f>
        <v>0</v>
      </c>
      <c r="L43" s="97">
        <f t="shared" si="22"/>
        <v>0</v>
      </c>
      <c r="M43" s="46">
        <f t="shared" si="23"/>
        <v>0</v>
      </c>
    </row>
    <row r="44" spans="1:19" x14ac:dyDescent="0.2">
      <c r="A44" s="50" t="s">
        <v>98</v>
      </c>
      <c r="B44" s="43"/>
      <c r="C44" s="69"/>
      <c r="D44" s="151">
        <f t="shared" si="19"/>
        <v>0</v>
      </c>
      <c r="E44" s="49"/>
      <c r="F44" s="69"/>
      <c r="G44" s="151">
        <f t="shared" si="20"/>
        <v>0</v>
      </c>
      <c r="H44" s="49"/>
      <c r="I44" s="69"/>
      <c r="J44" s="46">
        <f t="shared" si="21"/>
        <v>0</v>
      </c>
      <c r="K44" s="49">
        <f>SUM(B44,E44,H44)</f>
        <v>0</v>
      </c>
      <c r="L44" s="97">
        <f>SUM(C44,F44,I44)</f>
        <v>0</v>
      </c>
      <c r="M44" s="46">
        <f t="shared" si="23"/>
        <v>0</v>
      </c>
    </row>
    <row r="45" spans="1:19" x14ac:dyDescent="0.2">
      <c r="A45" s="50" t="s">
        <v>99</v>
      </c>
      <c r="B45" s="43"/>
      <c r="C45" s="69"/>
      <c r="D45" s="151">
        <f>IF(B45=0,0,C45/B45)</f>
        <v>0</v>
      </c>
      <c r="E45" s="49"/>
      <c r="F45" s="69"/>
      <c r="G45" s="151">
        <f>IF(E45=0,0,F45/E45)</f>
        <v>0</v>
      </c>
      <c r="H45" s="49"/>
      <c r="I45" s="69"/>
      <c r="J45" s="46">
        <f>IF(H45=0,0,I45/H45)</f>
        <v>0</v>
      </c>
      <c r="K45" s="49">
        <f>SUM(B45,E45,H45)</f>
        <v>0</v>
      </c>
      <c r="L45" s="97">
        <f>SUM(C45,F45,I45)</f>
        <v>0</v>
      </c>
      <c r="M45" s="46">
        <f>IF(K45=0,0,L45/K45)</f>
        <v>0</v>
      </c>
    </row>
    <row r="46" spans="1:19" x14ac:dyDescent="0.2">
      <c r="A46" s="50" t="s">
        <v>100</v>
      </c>
      <c r="B46" s="51"/>
      <c r="C46" s="69"/>
      <c r="D46" s="151">
        <f t="shared" si="19"/>
        <v>0</v>
      </c>
      <c r="E46" s="54"/>
      <c r="F46" s="55"/>
      <c r="G46" s="151">
        <f t="shared" si="20"/>
        <v>0</v>
      </c>
      <c r="H46" s="54"/>
      <c r="I46" s="55"/>
      <c r="J46" s="46">
        <f t="shared" si="21"/>
        <v>0</v>
      </c>
      <c r="K46" s="49">
        <f>SUM(B46,E46,H46)</f>
        <v>0</v>
      </c>
      <c r="L46" s="97">
        <f>SUM(C46,F46,I46)</f>
        <v>0</v>
      </c>
      <c r="M46" s="46">
        <f t="shared" si="23"/>
        <v>0</v>
      </c>
    </row>
    <row r="47" spans="1:19" x14ac:dyDescent="0.2">
      <c r="A47" s="50" t="s">
        <v>101</v>
      </c>
      <c r="B47" s="51"/>
      <c r="C47" s="69"/>
      <c r="D47" s="151">
        <f t="shared" si="19"/>
        <v>0</v>
      </c>
      <c r="E47" s="54"/>
      <c r="F47" s="55"/>
      <c r="G47" s="151">
        <f t="shared" si="20"/>
        <v>0</v>
      </c>
      <c r="H47" s="54"/>
      <c r="I47" s="55"/>
      <c r="J47" s="46">
        <f t="shared" si="21"/>
        <v>0</v>
      </c>
      <c r="K47" s="49">
        <f t="shared" si="24"/>
        <v>0</v>
      </c>
      <c r="L47" s="97">
        <f t="shared" si="22"/>
        <v>0</v>
      </c>
      <c r="M47" s="46">
        <f t="shared" si="23"/>
        <v>0</v>
      </c>
    </row>
    <row r="48" spans="1:19" ht="13.5" thickBot="1" x14ac:dyDescent="0.25">
      <c r="A48" s="57" t="s">
        <v>114</v>
      </c>
      <c r="B48" s="760"/>
      <c r="C48" s="69"/>
      <c r="D48" s="151">
        <f t="shared" si="19"/>
        <v>0</v>
      </c>
      <c r="E48" s="758"/>
      <c r="F48" s="757"/>
      <c r="G48" s="151">
        <f t="shared" si="20"/>
        <v>0</v>
      </c>
      <c r="H48" s="758"/>
      <c r="I48" s="757"/>
      <c r="J48" s="46">
        <f t="shared" si="21"/>
        <v>0</v>
      </c>
      <c r="K48" s="49">
        <f>SUM(B48,E48,H48)</f>
        <v>0</v>
      </c>
      <c r="L48" s="97">
        <f>SUM(C48,F48,I48)</f>
        <v>0</v>
      </c>
      <c r="M48" s="46">
        <f>IF(K48=0,0,L48/K48)</f>
        <v>0</v>
      </c>
    </row>
    <row r="49" spans="1:13" ht="13.5" thickBot="1" x14ac:dyDescent="0.25">
      <c r="A49" s="58" t="s">
        <v>39</v>
      </c>
      <c r="B49" s="269">
        <f>SUM(B37:B48)</f>
        <v>544</v>
      </c>
      <c r="C49" s="268">
        <f>SUM(C37:C48)</f>
        <v>144459</v>
      </c>
      <c r="D49" s="62">
        <f>IF(B49=0,0,(C49/B49))</f>
        <v>265.54963235294116</v>
      </c>
      <c r="E49" s="265">
        <f>SUM(E37:E48)</f>
        <v>1316</v>
      </c>
      <c r="F49" s="268">
        <f>SUM(F37:F48)</f>
        <v>356572</v>
      </c>
      <c r="G49" s="62">
        <f>IF(E49=0,0,(F49/E49))</f>
        <v>270.951367781155</v>
      </c>
      <c r="H49" s="265">
        <f>SUM(H37:H48)</f>
        <v>6124</v>
      </c>
      <c r="I49" s="268">
        <f>SUM(I37:I48)</f>
        <v>1399839</v>
      </c>
      <c r="J49" s="62">
        <f>IF(H49=0,0,(I49/H49))</f>
        <v>228.5824624428478</v>
      </c>
      <c r="K49" s="60">
        <f>SUM(K37:K48)</f>
        <v>7984</v>
      </c>
      <c r="L49" s="61">
        <f>SUM(L37:L48)</f>
        <v>1900870</v>
      </c>
      <c r="M49" s="62">
        <f>IF(K49=0,0,(L49/K49))</f>
        <v>238.08491983967937</v>
      </c>
    </row>
    <row r="50" spans="1:13" ht="13.5" thickBot="1" x14ac:dyDescent="0.25">
      <c r="A50" s="34"/>
      <c r="B50" s="34"/>
      <c r="C50" s="34"/>
      <c r="D50" s="34"/>
      <c r="E50" s="34"/>
      <c r="F50" s="34"/>
      <c r="G50" s="34"/>
      <c r="H50" s="34"/>
      <c r="I50" s="34"/>
      <c r="J50" s="67"/>
      <c r="K50" s="66">
        <f>K49+B64</f>
        <v>9034</v>
      </c>
      <c r="L50" s="34"/>
      <c r="M50" s="34"/>
    </row>
    <row r="51" spans="1:13" ht="13.5" thickBot="1" x14ac:dyDescent="0.25">
      <c r="A51" s="68" t="s">
        <v>138</v>
      </c>
      <c r="B51" s="845" t="s">
        <v>250</v>
      </c>
      <c r="C51" s="846"/>
      <c r="D51" s="846"/>
      <c r="E51" s="845" t="s">
        <v>108</v>
      </c>
      <c r="F51" s="846"/>
      <c r="G51" s="846"/>
      <c r="H51" s="847" t="s">
        <v>39</v>
      </c>
      <c r="I51" s="846"/>
      <c r="J51" s="846"/>
      <c r="K51" s="848" t="s">
        <v>251</v>
      </c>
      <c r="L51" s="849"/>
      <c r="M51" s="850"/>
    </row>
    <row r="52" spans="1:13" x14ac:dyDescent="0.2">
      <c r="A52" s="42" t="s">
        <v>109</v>
      </c>
      <c r="B52" s="43">
        <v>1050</v>
      </c>
      <c r="C52" s="69">
        <v>239925</v>
      </c>
      <c r="D52" s="117">
        <f t="shared" ref="D52:D63" si="25">IF(B52=0,0,C52/B52)</f>
        <v>228.5</v>
      </c>
      <c r="E52" s="43">
        <v>455</v>
      </c>
      <c r="F52" s="69">
        <v>83784</v>
      </c>
      <c r="G52" s="151">
        <f t="shared" ref="G52:G63" si="26">IF(E52=0,0,F52/E52)</f>
        <v>184.14065934065934</v>
      </c>
      <c r="H52" s="49">
        <f>B52+E52</f>
        <v>1505</v>
      </c>
      <c r="I52" s="69">
        <f>C52+F52</f>
        <v>323709</v>
      </c>
      <c r="J52" s="48">
        <f t="shared" ref="J52:J63" si="27">IF(H52=0,0,I52/H52)</f>
        <v>215.0890365448505</v>
      </c>
      <c r="K52" s="137">
        <f>K37+H52</f>
        <v>9489</v>
      </c>
      <c r="L52" s="508">
        <f>ROUNDDOWN((L37+I52),0)</f>
        <v>2224579</v>
      </c>
      <c r="M52" s="46">
        <f>IF(K52=0,0,L52/K52)</f>
        <v>234.4376646643482</v>
      </c>
    </row>
    <row r="53" spans="1:13" x14ac:dyDescent="0.2">
      <c r="A53" s="50" t="s">
        <v>97</v>
      </c>
      <c r="B53" s="43"/>
      <c r="C53" s="69"/>
      <c r="D53" s="117">
        <f t="shared" si="25"/>
        <v>0</v>
      </c>
      <c r="E53" s="43"/>
      <c r="F53" s="69"/>
      <c r="G53" s="151">
        <f t="shared" si="26"/>
        <v>0</v>
      </c>
      <c r="H53" s="49">
        <f t="shared" ref="H53:I63" si="28">B53+E53</f>
        <v>0</v>
      </c>
      <c r="I53" s="69">
        <f t="shared" si="28"/>
        <v>0</v>
      </c>
      <c r="J53" s="48">
        <f t="shared" si="27"/>
        <v>0</v>
      </c>
      <c r="K53" s="495">
        <f>K38+H53</f>
        <v>0</v>
      </c>
      <c r="L53" s="509">
        <f>L38+I53</f>
        <v>0</v>
      </c>
      <c r="M53" s="46">
        <f t="shared" ref="M53:M63" si="29">IF(K53=0,0,L53/K53)</f>
        <v>0</v>
      </c>
    </row>
    <row r="54" spans="1:13" x14ac:dyDescent="0.2">
      <c r="A54" s="50" t="s">
        <v>110</v>
      </c>
      <c r="B54" s="43"/>
      <c r="C54" s="69"/>
      <c r="D54" s="117">
        <f t="shared" si="25"/>
        <v>0</v>
      </c>
      <c r="E54" s="43"/>
      <c r="F54" s="69"/>
      <c r="G54" s="151">
        <f t="shared" si="26"/>
        <v>0</v>
      </c>
      <c r="H54" s="49">
        <f t="shared" si="28"/>
        <v>0</v>
      </c>
      <c r="I54" s="69">
        <f t="shared" si="28"/>
        <v>0</v>
      </c>
      <c r="J54" s="48">
        <f t="shared" si="27"/>
        <v>0</v>
      </c>
      <c r="K54" s="495">
        <f t="shared" ref="K54:L62" si="30">K39+H54</f>
        <v>0</v>
      </c>
      <c r="L54" s="509">
        <f t="shared" si="30"/>
        <v>0</v>
      </c>
      <c r="M54" s="46">
        <f t="shared" si="29"/>
        <v>0</v>
      </c>
    </row>
    <row r="55" spans="1:13" x14ac:dyDescent="0.2">
      <c r="A55" s="50" t="s">
        <v>111</v>
      </c>
      <c r="B55" s="43"/>
      <c r="C55" s="69"/>
      <c r="D55" s="117">
        <f t="shared" si="25"/>
        <v>0</v>
      </c>
      <c r="E55" s="43"/>
      <c r="F55" s="69"/>
      <c r="G55" s="151">
        <f t="shared" si="26"/>
        <v>0</v>
      </c>
      <c r="H55" s="49">
        <f t="shared" si="28"/>
        <v>0</v>
      </c>
      <c r="I55" s="69">
        <f t="shared" si="28"/>
        <v>0</v>
      </c>
      <c r="J55" s="48">
        <f t="shared" si="27"/>
        <v>0</v>
      </c>
      <c r="K55" s="495">
        <f t="shared" si="30"/>
        <v>0</v>
      </c>
      <c r="L55" s="509">
        <f t="shared" si="30"/>
        <v>0</v>
      </c>
      <c r="M55" s="46">
        <f t="shared" si="29"/>
        <v>0</v>
      </c>
    </row>
    <row r="56" spans="1:13" x14ac:dyDescent="0.2">
      <c r="A56" s="50" t="s">
        <v>112</v>
      </c>
      <c r="B56" s="43"/>
      <c r="C56" s="69"/>
      <c r="D56" s="117">
        <f t="shared" si="25"/>
        <v>0</v>
      </c>
      <c r="E56" s="43"/>
      <c r="F56" s="69"/>
      <c r="G56" s="151">
        <f t="shared" si="26"/>
        <v>0</v>
      </c>
      <c r="H56" s="49">
        <f t="shared" si="28"/>
        <v>0</v>
      </c>
      <c r="I56" s="69">
        <f t="shared" si="28"/>
        <v>0</v>
      </c>
      <c r="J56" s="48">
        <f>IF(H56=0,0,I56/H56)</f>
        <v>0</v>
      </c>
      <c r="K56" s="495">
        <f t="shared" si="30"/>
        <v>0</v>
      </c>
      <c r="L56" s="509">
        <f>L41+I56</f>
        <v>0</v>
      </c>
      <c r="M56" s="46">
        <f>IF(K56=0,0,L56/K56)</f>
        <v>0</v>
      </c>
    </row>
    <row r="57" spans="1:13" x14ac:dyDescent="0.2">
      <c r="A57" s="50" t="s">
        <v>113</v>
      </c>
      <c r="B57" s="43"/>
      <c r="C57" s="69"/>
      <c r="D57" s="117">
        <f t="shared" si="25"/>
        <v>0</v>
      </c>
      <c r="E57" s="43"/>
      <c r="F57" s="69"/>
      <c r="G57" s="151">
        <f t="shared" si="26"/>
        <v>0</v>
      </c>
      <c r="H57" s="49">
        <f t="shared" si="28"/>
        <v>0</v>
      </c>
      <c r="I57" s="69">
        <f t="shared" si="28"/>
        <v>0</v>
      </c>
      <c r="J57" s="48">
        <f>IF(H57=0,0,I57/H57)</f>
        <v>0</v>
      </c>
      <c r="K57" s="495">
        <f t="shared" si="30"/>
        <v>0</v>
      </c>
      <c r="L57" s="509">
        <f t="shared" si="30"/>
        <v>0</v>
      </c>
      <c r="M57" s="46">
        <f t="shared" ref="M57:M62" si="31">IF(K57=0,0,L57/K57)</f>
        <v>0</v>
      </c>
    </row>
    <row r="58" spans="1:13" x14ac:dyDescent="0.2">
      <c r="A58" s="50" t="s">
        <v>158</v>
      </c>
      <c r="B58" s="43"/>
      <c r="C58" s="69"/>
      <c r="D58" s="117">
        <f t="shared" si="25"/>
        <v>0</v>
      </c>
      <c r="E58" s="43"/>
      <c r="F58" s="69"/>
      <c r="G58" s="151">
        <f t="shared" si="26"/>
        <v>0</v>
      </c>
      <c r="H58" s="49">
        <f t="shared" si="28"/>
        <v>0</v>
      </c>
      <c r="I58" s="69">
        <f t="shared" si="28"/>
        <v>0</v>
      </c>
      <c r="J58" s="48">
        <f t="shared" si="27"/>
        <v>0</v>
      </c>
      <c r="K58" s="495">
        <f t="shared" si="30"/>
        <v>0</v>
      </c>
      <c r="L58" s="509">
        <f t="shared" si="30"/>
        <v>0</v>
      </c>
      <c r="M58" s="46">
        <f t="shared" si="31"/>
        <v>0</v>
      </c>
    </row>
    <row r="59" spans="1:13" x14ac:dyDescent="0.2">
      <c r="A59" s="50" t="s">
        <v>98</v>
      </c>
      <c r="B59" s="43"/>
      <c r="C59" s="69"/>
      <c r="D59" s="117">
        <f t="shared" si="25"/>
        <v>0</v>
      </c>
      <c r="E59" s="43"/>
      <c r="F59" s="69"/>
      <c r="G59" s="151">
        <f t="shared" si="26"/>
        <v>0</v>
      </c>
      <c r="H59" s="49">
        <f t="shared" si="28"/>
        <v>0</v>
      </c>
      <c r="I59" s="69">
        <f t="shared" si="28"/>
        <v>0</v>
      </c>
      <c r="J59" s="48">
        <f t="shared" si="27"/>
        <v>0</v>
      </c>
      <c r="K59" s="495">
        <f t="shared" si="30"/>
        <v>0</v>
      </c>
      <c r="L59" s="509">
        <f t="shared" si="30"/>
        <v>0</v>
      </c>
      <c r="M59" s="46">
        <f t="shared" si="31"/>
        <v>0</v>
      </c>
    </row>
    <row r="60" spans="1:13" x14ac:dyDescent="0.2">
      <c r="A60" s="50" t="s">
        <v>99</v>
      </c>
      <c r="B60" s="43"/>
      <c r="C60" s="69"/>
      <c r="D60" s="117">
        <f t="shared" si="25"/>
        <v>0</v>
      </c>
      <c r="E60" s="43"/>
      <c r="F60" s="69"/>
      <c r="G60" s="151">
        <f t="shared" si="26"/>
        <v>0</v>
      </c>
      <c r="H60" s="49">
        <f t="shared" si="28"/>
        <v>0</v>
      </c>
      <c r="I60" s="69">
        <f>C60+F60</f>
        <v>0</v>
      </c>
      <c r="J60" s="48">
        <f t="shared" si="27"/>
        <v>0</v>
      </c>
      <c r="K60" s="119">
        <f>K45+H60</f>
        <v>0</v>
      </c>
      <c r="L60" s="22">
        <f>L45+I60</f>
        <v>0</v>
      </c>
      <c r="M60" s="46">
        <f>IF(K60=0,0,L60/K60)</f>
        <v>0</v>
      </c>
    </row>
    <row r="61" spans="1:13" x14ac:dyDescent="0.2">
      <c r="A61" s="50" t="s">
        <v>100</v>
      </c>
      <c r="B61" s="43"/>
      <c r="C61" s="69"/>
      <c r="D61" s="117">
        <f t="shared" si="25"/>
        <v>0</v>
      </c>
      <c r="E61" s="51"/>
      <c r="F61" s="69"/>
      <c r="G61" s="151">
        <f t="shared" si="26"/>
        <v>0</v>
      </c>
      <c r="H61" s="49">
        <f>B61+E61</f>
        <v>0</v>
      </c>
      <c r="I61" s="69">
        <f t="shared" si="28"/>
        <v>0</v>
      </c>
      <c r="J61" s="48">
        <f t="shared" si="27"/>
        <v>0</v>
      </c>
      <c r="K61" s="119">
        <f>K46+B61</f>
        <v>0</v>
      </c>
      <c r="L61" s="22">
        <f>L46+I61</f>
        <v>0</v>
      </c>
      <c r="M61" s="46">
        <f>IF(K61=0,0,L61/K61)</f>
        <v>0</v>
      </c>
    </row>
    <row r="62" spans="1:13" x14ac:dyDescent="0.2">
      <c r="A62" s="50" t="s">
        <v>101</v>
      </c>
      <c r="B62" s="43"/>
      <c r="C62" s="69"/>
      <c r="D62" s="117">
        <f t="shared" si="25"/>
        <v>0</v>
      </c>
      <c r="E62" s="51"/>
      <c r="F62" s="69"/>
      <c r="G62" s="151">
        <f t="shared" si="26"/>
        <v>0</v>
      </c>
      <c r="H62" s="49">
        <f t="shared" si="28"/>
        <v>0</v>
      </c>
      <c r="I62" s="69">
        <f t="shared" si="28"/>
        <v>0</v>
      </c>
      <c r="J62" s="48">
        <f t="shared" si="27"/>
        <v>0</v>
      </c>
      <c r="K62" s="119">
        <f>K47+B62</f>
        <v>0</v>
      </c>
      <c r="L62" s="22">
        <f t="shared" si="30"/>
        <v>0</v>
      </c>
      <c r="M62" s="46">
        <f t="shared" si="31"/>
        <v>0</v>
      </c>
    </row>
    <row r="63" spans="1:13" ht="13.5" thickBot="1" x14ac:dyDescent="0.25">
      <c r="A63" s="57" t="s">
        <v>114</v>
      </c>
      <c r="B63" s="43"/>
      <c r="C63" s="69"/>
      <c r="D63" s="117">
        <f t="shared" si="25"/>
        <v>0</v>
      </c>
      <c r="E63" s="760"/>
      <c r="F63" s="69"/>
      <c r="G63" s="151">
        <f t="shared" si="26"/>
        <v>0</v>
      </c>
      <c r="H63" s="49">
        <f t="shared" si="28"/>
        <v>0</v>
      </c>
      <c r="I63" s="69">
        <f>C63+F63</f>
        <v>0</v>
      </c>
      <c r="J63" s="48">
        <f t="shared" si="27"/>
        <v>0</v>
      </c>
      <c r="K63" s="119">
        <f t="shared" ref="K63" si="32">K48+B63</f>
        <v>0</v>
      </c>
      <c r="L63" s="22">
        <f>L48+I63</f>
        <v>0</v>
      </c>
      <c r="M63" s="46">
        <f t="shared" si="29"/>
        <v>0</v>
      </c>
    </row>
    <row r="64" spans="1:13" ht="13.5" thickBot="1" x14ac:dyDescent="0.25">
      <c r="A64" s="58" t="s">
        <v>39</v>
      </c>
      <c r="B64" s="59">
        <f>SUM(B52:B63)</f>
        <v>1050</v>
      </c>
      <c r="C64" s="61">
        <f>SUM(C52:C63)</f>
        <v>239925</v>
      </c>
      <c r="D64" s="62">
        <f>IF(B64=0,0,(C64/B64))</f>
        <v>228.5</v>
      </c>
      <c r="E64" s="59">
        <f>SUM(E52:E63)</f>
        <v>455</v>
      </c>
      <c r="F64" s="61">
        <f>SUM(F52:F63)</f>
        <v>83784</v>
      </c>
      <c r="G64" s="62">
        <f>IF(E64=0,0,(F64/E64))</f>
        <v>184.14065934065934</v>
      </c>
      <c r="H64" s="60">
        <f>SUM(H52:H63)</f>
        <v>1505</v>
      </c>
      <c r="I64" s="61">
        <f>SUM(I52:I63)</f>
        <v>323709</v>
      </c>
      <c r="J64" s="63">
        <f>IF(H64=0,0,(I64/H64))</f>
        <v>215.0890365448505</v>
      </c>
      <c r="K64" s="120">
        <f>SUM(K52:K63)</f>
        <v>9489</v>
      </c>
      <c r="L64" s="121">
        <f>SUM(L52:L63)</f>
        <v>2224579</v>
      </c>
      <c r="M64" s="122">
        <f>L64/K64</f>
        <v>234.4376646643482</v>
      </c>
    </row>
    <row r="66" spans="12:17" s="177" customFormat="1" x14ac:dyDescent="0.2">
      <c r="M66" s="474"/>
      <c r="O66" s="474">
        <f>M66+N66</f>
        <v>0</v>
      </c>
    </row>
    <row r="67" spans="12:17" s="177" customFormat="1" x14ac:dyDescent="0.2">
      <c r="L67" s="754"/>
      <c r="N67" s="177" t="s">
        <v>295</v>
      </c>
    </row>
    <row r="68" spans="12:17" s="177" customFormat="1" x14ac:dyDescent="0.2">
      <c r="M68" s="177" t="s">
        <v>299</v>
      </c>
      <c r="N68" s="409">
        <v>6939485.2999999998</v>
      </c>
      <c r="O68" s="474">
        <f>P34</f>
        <v>6939485</v>
      </c>
      <c r="P68" s="755">
        <f t="shared" ref="P68:P72" si="33">N68-O68</f>
        <v>0.29999999981373549</v>
      </c>
    </row>
    <row r="69" spans="12:17" s="177" customFormat="1" x14ac:dyDescent="0.2">
      <c r="M69" s="177" t="s">
        <v>294</v>
      </c>
      <c r="N69" s="474">
        <v>226044</v>
      </c>
      <c r="O69" s="474">
        <f>L17</f>
        <v>226044</v>
      </c>
      <c r="P69" s="755">
        <f t="shared" si="33"/>
        <v>0</v>
      </c>
    </row>
    <row r="70" spans="12:17" s="177" customFormat="1" x14ac:dyDescent="0.2">
      <c r="M70" s="177" t="s">
        <v>300</v>
      </c>
      <c r="N70" s="755">
        <v>2224579.14</v>
      </c>
      <c r="O70" s="755">
        <f>L64</f>
        <v>2224579</v>
      </c>
      <c r="P70" s="755">
        <f t="shared" si="33"/>
        <v>0.14000000013038516</v>
      </c>
    </row>
    <row r="71" spans="12:17" s="177" customFormat="1" x14ac:dyDescent="0.2">
      <c r="N71" s="474">
        <f>SUM(N68:N70)</f>
        <v>9390108.4399999995</v>
      </c>
      <c r="O71" s="474">
        <f>SUM(O68:O70)</f>
        <v>9390108</v>
      </c>
      <c r="P71" s="755">
        <f t="shared" si="33"/>
        <v>0.43999999947845936</v>
      </c>
    </row>
    <row r="72" spans="12:17" s="177" customFormat="1" x14ac:dyDescent="0.2">
      <c r="M72" s="177" t="s">
        <v>301</v>
      </c>
      <c r="N72" s="755">
        <v>236050</v>
      </c>
      <c r="O72" s="755">
        <f>N17</f>
        <v>236050</v>
      </c>
      <c r="P72" s="755">
        <f t="shared" si="33"/>
        <v>0</v>
      </c>
    </row>
    <row r="73" spans="12:17" s="177" customFormat="1" x14ac:dyDescent="0.2">
      <c r="N73" s="409">
        <f>N71-N72</f>
        <v>9154058.4399999995</v>
      </c>
      <c r="O73" s="409">
        <f>O71-O72</f>
        <v>9154058</v>
      </c>
      <c r="P73" s="755">
        <f>N73-O73</f>
        <v>0.43999999947845936</v>
      </c>
      <c r="Q73" s="474">
        <f>P73+R33</f>
        <v>0.43999999947845936</v>
      </c>
    </row>
    <row r="74" spans="12:17" s="177" customFormat="1" x14ac:dyDescent="0.2">
      <c r="N74" s="474"/>
    </row>
    <row r="75" spans="12:17" s="177" customFormat="1" x14ac:dyDescent="0.2"/>
    <row r="76" spans="12:17" s="177" customFormat="1" x14ac:dyDescent="0.2"/>
    <row r="77" spans="12:17" s="177" customFormat="1" x14ac:dyDescent="0.2"/>
    <row r="78" spans="12:17" s="177" customFormat="1" x14ac:dyDescent="0.2"/>
    <row r="79" spans="12:17" s="177" customFormat="1" x14ac:dyDescent="0.2"/>
    <row r="80" spans="12:17" s="177" customFormat="1" x14ac:dyDescent="0.2"/>
    <row r="81" spans="14:14" s="177" customFormat="1" x14ac:dyDescent="0.2"/>
    <row r="82" spans="14:14" x14ac:dyDescent="0.2">
      <c r="N82" s="434"/>
    </row>
    <row r="83" spans="14:14" x14ac:dyDescent="0.2">
      <c r="N83" s="434"/>
    </row>
    <row r="84" spans="14:14" x14ac:dyDescent="0.2">
      <c r="N84" s="434"/>
    </row>
  </sheetData>
  <mergeCells count="19">
    <mergeCell ref="O21:P21"/>
    <mergeCell ref="L21:N21"/>
    <mergeCell ref="K3:M3"/>
    <mergeCell ref="B21:D21"/>
    <mergeCell ref="E21:G21"/>
    <mergeCell ref="N3:N4"/>
    <mergeCell ref="B3:D3"/>
    <mergeCell ref="E3:G3"/>
    <mergeCell ref="H3:J3"/>
    <mergeCell ref="A20:J20"/>
    <mergeCell ref="I21:K21"/>
    <mergeCell ref="B51:D51"/>
    <mergeCell ref="E51:G51"/>
    <mergeCell ref="H51:J51"/>
    <mergeCell ref="K51:M51"/>
    <mergeCell ref="K36:M36"/>
    <mergeCell ref="B36:D36"/>
    <mergeCell ref="E36:G36"/>
    <mergeCell ref="H36:J36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G50"/>
  <sheetViews>
    <sheetView showZeros="0" zoomScale="86" zoomScaleNormal="86" workbookViewId="0">
      <pane xSplit="1" ySplit="1" topLeftCell="B4" activePane="bottomRight" state="frozen"/>
      <selection pane="topRight" activeCell="B1" sqref="B1"/>
      <selection pane="bottomLeft" activeCell="A2" sqref="A2"/>
      <selection pane="bottomRight" activeCell="B39" sqref="B39"/>
    </sheetView>
  </sheetViews>
  <sheetFormatPr defaultRowHeight="12.75" x14ac:dyDescent="0.2"/>
  <cols>
    <col min="1" max="1" width="33.85546875" style="148" customWidth="1"/>
    <col min="2" max="2" width="12.5703125" style="148" customWidth="1"/>
    <col min="3" max="3" width="12" style="148" customWidth="1"/>
    <col min="4" max="5" width="13.28515625" style="148" hidden="1" customWidth="1"/>
    <col min="6" max="6" width="12.7109375" style="148" hidden="1" customWidth="1"/>
    <col min="7" max="7" width="13.28515625" style="148" hidden="1" customWidth="1"/>
    <col min="8" max="8" width="12.7109375" style="148" hidden="1" customWidth="1"/>
    <col min="9" max="9" width="12.28515625" style="148" hidden="1" customWidth="1"/>
    <col min="10" max="10" width="12.5703125" style="148" hidden="1" customWidth="1"/>
    <col min="11" max="12" width="12.7109375" style="148" hidden="1" customWidth="1"/>
    <col min="13" max="13" width="12.28515625" style="148" hidden="1" customWidth="1"/>
    <col min="14" max="14" width="14.140625" style="148" customWidth="1"/>
    <col min="15" max="15" width="12.5703125" style="148" bestFit="1" customWidth="1"/>
    <col min="16" max="17" width="12.5703125" style="148" customWidth="1"/>
    <col min="18" max="18" width="35.28515625" style="148" bestFit="1" customWidth="1"/>
    <col min="19" max="19" width="11.5703125" style="148" bestFit="1" customWidth="1"/>
    <col min="20" max="20" width="10.140625" style="148" bestFit="1" customWidth="1"/>
    <col min="21" max="21" width="10.7109375" style="148" bestFit="1" customWidth="1"/>
    <col min="22" max="27" width="10.42578125" style="148" bestFit="1" customWidth="1"/>
    <col min="28" max="30" width="9.5703125" style="148" bestFit="1" customWidth="1"/>
    <col min="31" max="31" width="11.7109375" style="148" bestFit="1" customWidth="1"/>
    <col min="32" max="32" width="11" style="148" bestFit="1" customWidth="1"/>
    <col min="33" max="33" width="9.5703125" style="148" bestFit="1" customWidth="1"/>
    <col min="34" max="16384" width="9.140625" style="148"/>
  </cols>
  <sheetData>
    <row r="1" spans="1:33" x14ac:dyDescent="0.2">
      <c r="A1" s="869" t="s">
        <v>42</v>
      </c>
      <c r="B1" s="869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O1" s="362"/>
    </row>
    <row r="2" spans="1:33" ht="15" customHeight="1" thickBot="1" x14ac:dyDescent="0.25">
      <c r="A2" s="13" t="s">
        <v>37</v>
      </c>
      <c r="B2" s="363" t="s">
        <v>12</v>
      </c>
      <c r="C2" s="363" t="s">
        <v>3</v>
      </c>
      <c r="D2" s="363" t="s">
        <v>13</v>
      </c>
      <c r="E2" s="363" t="s">
        <v>14</v>
      </c>
      <c r="F2" s="363" t="s">
        <v>15</v>
      </c>
      <c r="G2" s="363" t="s">
        <v>16</v>
      </c>
      <c r="H2" s="363" t="s">
        <v>9</v>
      </c>
      <c r="I2" s="363" t="s">
        <v>4</v>
      </c>
      <c r="J2" s="363" t="s">
        <v>5</v>
      </c>
      <c r="K2" s="363" t="s">
        <v>6</v>
      </c>
      <c r="L2" s="363" t="s">
        <v>7</v>
      </c>
      <c r="M2" s="363" t="s">
        <v>8</v>
      </c>
      <c r="N2" s="29" t="s">
        <v>0</v>
      </c>
      <c r="O2" s="29" t="s">
        <v>21</v>
      </c>
      <c r="P2" s="361"/>
      <c r="S2" s="150">
        <f>'Inventory Sales'!$B$11</f>
        <v>95994</v>
      </c>
      <c r="T2" s="150">
        <f>'Inventory Sales'!$E$11</f>
        <v>0</v>
      </c>
      <c r="U2" s="150">
        <f>'Inventory Sales'!$H$11</f>
        <v>0</v>
      </c>
      <c r="V2" s="150">
        <f>'Inventory Sales'!$K$11</f>
        <v>0</v>
      </c>
      <c r="W2" s="150">
        <f>'Inventory Sales'!$N$11</f>
        <v>0</v>
      </c>
      <c r="X2" s="150">
        <f>'Inventory Sales'!$Q$11</f>
        <v>0</v>
      </c>
      <c r="Y2" s="150">
        <f>'Inventory Sales'!$T$11</f>
        <v>0</v>
      </c>
      <c r="Z2" s="150">
        <f>'Inventory Sales'!$W$11</f>
        <v>0</v>
      </c>
      <c r="AA2" s="150">
        <f>'Inventory Sales'!$Z$11</f>
        <v>0</v>
      </c>
      <c r="AB2" s="150">
        <f>'Inventory Sales'!$AC$11</f>
        <v>0</v>
      </c>
      <c r="AC2" s="150">
        <f>'Inventory Sales'!$AF$11</f>
        <v>0</v>
      </c>
      <c r="AD2" s="150">
        <f>'Inventory Sales'!$AI$11</f>
        <v>0</v>
      </c>
      <c r="AE2" s="150">
        <f>SUM(S2:AD2)</f>
        <v>95994</v>
      </c>
    </row>
    <row r="3" spans="1:33" ht="15.75" thickBot="1" x14ac:dyDescent="0.25">
      <c r="A3" s="111" t="s">
        <v>43</v>
      </c>
      <c r="B3" s="112" t="s">
        <v>2</v>
      </c>
      <c r="C3" s="112" t="s">
        <v>2</v>
      </c>
      <c r="D3" s="112" t="s">
        <v>2</v>
      </c>
      <c r="E3" s="112" t="s">
        <v>2</v>
      </c>
      <c r="F3" s="113" t="s">
        <v>2</v>
      </c>
      <c r="G3" s="112" t="s">
        <v>2</v>
      </c>
      <c r="H3" s="113" t="s">
        <v>2</v>
      </c>
      <c r="I3" s="114" t="s">
        <v>2</v>
      </c>
      <c r="J3" s="113"/>
      <c r="K3" s="114"/>
      <c r="L3" s="113"/>
      <c r="M3" s="112"/>
      <c r="N3" s="248" t="s">
        <v>2</v>
      </c>
      <c r="O3" s="364">
        <v>4</v>
      </c>
      <c r="P3" s="365"/>
      <c r="R3" s="91" t="s">
        <v>176</v>
      </c>
      <c r="S3" s="165" t="s">
        <v>12</v>
      </c>
      <c r="T3" s="155" t="s">
        <v>3</v>
      </c>
      <c r="U3" s="155" t="s">
        <v>13</v>
      </c>
      <c r="V3" s="155" t="s">
        <v>14</v>
      </c>
      <c r="W3" s="155" t="s">
        <v>15</v>
      </c>
      <c r="X3" s="155" t="s">
        <v>16</v>
      </c>
      <c r="Y3" s="155" t="s">
        <v>9</v>
      </c>
      <c r="Z3" s="155" t="s">
        <v>4</v>
      </c>
      <c r="AA3" s="155" t="s">
        <v>5</v>
      </c>
      <c r="AB3" s="155" t="s">
        <v>6</v>
      </c>
      <c r="AC3" s="155" t="s">
        <v>7</v>
      </c>
      <c r="AD3" s="155" t="s">
        <v>8</v>
      </c>
      <c r="AE3" s="167" t="s">
        <v>0</v>
      </c>
      <c r="AG3" s="258" t="s">
        <v>133</v>
      </c>
    </row>
    <row r="4" spans="1:33" ht="16.5" x14ac:dyDescent="0.2">
      <c r="A4" s="153" t="s">
        <v>25</v>
      </c>
      <c r="B4" s="262">
        <v>3225980</v>
      </c>
      <c r="C4" s="262"/>
      <c r="D4" s="263"/>
      <c r="E4" s="262"/>
      <c r="F4" s="131"/>
      <c r="G4" s="207"/>
      <c r="H4" s="132"/>
      <c r="J4" s="761"/>
      <c r="K4" s="87"/>
      <c r="L4" s="106"/>
      <c r="M4" s="87"/>
      <c r="N4" s="264">
        <f>SUM(B4:M4)</f>
        <v>3225980</v>
      </c>
      <c r="O4" s="366">
        <f>ROUND((N4/$O$3),0)</f>
        <v>806495</v>
      </c>
      <c r="P4" s="367"/>
      <c r="Q4" s="368"/>
      <c r="R4" s="187" t="s">
        <v>178</v>
      </c>
      <c r="S4" s="802">
        <v>260305</v>
      </c>
      <c r="T4" s="369"/>
      <c r="U4" s="369"/>
      <c r="V4" s="369"/>
      <c r="W4" s="369"/>
      <c r="X4" s="193"/>
      <c r="Y4" s="369"/>
      <c r="Z4" s="369"/>
      <c r="AA4" s="247"/>
      <c r="AB4" s="193"/>
      <c r="AC4" s="193"/>
      <c r="AD4" s="369"/>
      <c r="AE4" s="370">
        <f t="shared" ref="AE4:AE15" si="0">SUM(S4:AD4)</f>
        <v>260305</v>
      </c>
      <c r="AF4" s="149">
        <f t="shared" ref="AF4:AF21" si="1">AE4/$AE$2</f>
        <v>2.711679896660208</v>
      </c>
      <c r="AG4" s="368">
        <f t="shared" ref="AG4:AG15" si="2">AE4/12</f>
        <v>21692.083333333332</v>
      </c>
    </row>
    <row r="5" spans="1:33" ht="16.5" x14ac:dyDescent="0.2">
      <c r="A5" s="154" t="s">
        <v>155</v>
      </c>
      <c r="B5" s="32">
        <v>2180</v>
      </c>
      <c r="C5" s="32"/>
      <c r="D5" s="76"/>
      <c r="E5" s="115"/>
      <c r="F5" s="32"/>
      <c r="G5" s="32"/>
      <c r="H5" s="76"/>
      <c r="J5" s="76"/>
      <c r="K5" s="21"/>
      <c r="L5" s="76"/>
      <c r="M5" s="21"/>
      <c r="N5" s="128">
        <f>SUM(B5:M5)</f>
        <v>2180</v>
      </c>
      <c r="O5" s="371">
        <f>ROUND((N5/$O$3),0)</f>
        <v>545</v>
      </c>
      <c r="P5" s="149"/>
      <c r="Q5" s="368"/>
      <c r="R5" s="161" t="s">
        <v>181</v>
      </c>
      <c r="S5" s="803">
        <v>641461</v>
      </c>
      <c r="T5" s="257"/>
      <c r="U5" s="257"/>
      <c r="V5" s="257"/>
      <c r="W5" s="257"/>
      <c r="X5" s="194"/>
      <c r="Y5" s="257"/>
      <c r="Z5" s="257"/>
      <c r="AA5" s="209"/>
      <c r="AB5" s="194"/>
      <c r="AC5" s="194"/>
      <c r="AD5" s="257"/>
      <c r="AE5" s="372">
        <f t="shared" si="0"/>
        <v>641461</v>
      </c>
      <c r="AF5" s="149">
        <f t="shared" si="1"/>
        <v>6.6823030606079543</v>
      </c>
      <c r="AG5" s="368">
        <f t="shared" si="2"/>
        <v>53455.083333333336</v>
      </c>
    </row>
    <row r="6" spans="1:33" ht="17.25" thickBot="1" x14ac:dyDescent="0.25">
      <c r="A6" s="153" t="s">
        <v>26</v>
      </c>
      <c r="B6" s="373">
        <v>125000</v>
      </c>
      <c r="C6" s="373"/>
      <c r="D6" s="106"/>
      <c r="E6" s="407"/>
      <c r="F6" s="373"/>
      <c r="G6" s="373"/>
      <c r="H6" s="106"/>
      <c r="J6" s="106"/>
      <c r="K6" s="87"/>
      <c r="L6" s="106"/>
      <c r="M6" s="87"/>
      <c r="N6" s="128">
        <f>SUM(B6:M6)</f>
        <v>125000</v>
      </c>
      <c r="O6" s="371">
        <f>ROUND((N6/$O$3),0)</f>
        <v>31250</v>
      </c>
      <c r="P6" s="149"/>
      <c r="R6" s="188" t="s">
        <v>160</v>
      </c>
      <c r="S6" s="804">
        <f>B7+B8</f>
        <v>6451860</v>
      </c>
      <c r="T6" s="374"/>
      <c r="U6" s="374"/>
      <c r="V6" s="374"/>
      <c r="W6" s="374"/>
      <c r="X6" s="195"/>
      <c r="Y6" s="195"/>
      <c r="Z6" s="374"/>
      <c r="AA6" s="213"/>
      <c r="AB6" s="213"/>
      <c r="AC6" s="213"/>
      <c r="AD6" s="374"/>
      <c r="AE6" s="375">
        <f t="shared" si="0"/>
        <v>6451860</v>
      </c>
      <c r="AF6" s="19">
        <f t="shared" si="1"/>
        <v>67.211075692230764</v>
      </c>
      <c r="AG6" s="368">
        <f t="shared" si="2"/>
        <v>537655</v>
      </c>
    </row>
    <row r="7" spans="1:33" ht="16.5" x14ac:dyDescent="0.2">
      <c r="A7" s="153" t="s">
        <v>27</v>
      </c>
      <c r="B7" s="32">
        <f>1371448+4052920</f>
        <v>5424368</v>
      </c>
      <c r="C7" s="32"/>
      <c r="D7" s="76"/>
      <c r="E7" s="115"/>
      <c r="F7" s="32"/>
      <c r="G7" s="32"/>
      <c r="H7" s="208"/>
      <c r="J7" s="76"/>
      <c r="K7" s="21"/>
      <c r="L7" s="76"/>
      <c r="M7" s="32"/>
      <c r="N7" s="128">
        <f>SUM(B7:M7)</f>
        <v>5424368</v>
      </c>
      <c r="O7" s="371">
        <f>ROUND((N7/$O$3),0)</f>
        <v>1356092</v>
      </c>
      <c r="P7" s="149"/>
      <c r="R7" s="192" t="s">
        <v>177</v>
      </c>
      <c r="S7" s="802">
        <v>422294</v>
      </c>
      <c r="T7" s="369"/>
      <c r="U7" s="369"/>
      <c r="V7" s="369"/>
      <c r="W7" s="369"/>
      <c r="X7" s="193"/>
      <c r="Y7" s="369"/>
      <c r="Z7" s="369"/>
      <c r="AA7" s="247"/>
      <c r="AB7" s="193"/>
      <c r="AC7" s="193"/>
      <c r="AD7" s="369"/>
      <c r="AE7" s="376">
        <f t="shared" si="0"/>
        <v>422294</v>
      </c>
      <c r="AF7" s="149">
        <f t="shared" si="1"/>
        <v>4.3991707815071779</v>
      </c>
      <c r="AG7" s="368">
        <f t="shared" si="2"/>
        <v>35191.166666666664</v>
      </c>
    </row>
    <row r="8" spans="1:33" ht="16.5" x14ac:dyDescent="0.25">
      <c r="A8" s="153" t="s">
        <v>206</v>
      </c>
      <c r="B8" s="32">
        <v>1027492</v>
      </c>
      <c r="C8" s="32"/>
      <c r="D8" s="76"/>
      <c r="E8" s="115"/>
      <c r="F8" s="32"/>
      <c r="G8" s="32"/>
      <c r="H8" s="76"/>
      <c r="J8" s="76"/>
      <c r="K8" s="21"/>
      <c r="L8" s="76"/>
      <c r="M8" s="32"/>
      <c r="N8" s="128">
        <f t="shared" ref="N8:N10" si="3">SUM(B8:M8)</f>
        <v>1027492</v>
      </c>
      <c r="O8" s="371">
        <f t="shared" ref="O8:O20" si="4">ROUND((N8/$O$3),0)</f>
        <v>256873</v>
      </c>
      <c r="P8" s="149"/>
      <c r="Q8" s="368"/>
      <c r="R8" s="161" t="s">
        <v>161</v>
      </c>
      <c r="S8" s="803">
        <f>B20</f>
        <v>425385</v>
      </c>
      <c r="T8" s="257"/>
      <c r="U8" s="377"/>
      <c r="V8" s="257"/>
      <c r="W8" s="257"/>
      <c r="X8" s="378"/>
      <c r="Y8" s="378"/>
      <c r="Z8" s="379"/>
      <c r="AA8" s="209"/>
      <c r="AB8" s="209"/>
      <c r="AC8" s="209"/>
      <c r="AD8" s="257"/>
      <c r="AE8" s="372">
        <f t="shared" si="0"/>
        <v>425385</v>
      </c>
      <c r="AF8" s="149">
        <f t="shared" si="1"/>
        <v>4.4313707106694169</v>
      </c>
      <c r="AG8" s="368">
        <f t="shared" si="2"/>
        <v>35448.75</v>
      </c>
    </row>
    <row r="9" spans="1:33" ht="16.5" x14ac:dyDescent="0.2">
      <c r="A9" s="153" t="s">
        <v>28</v>
      </c>
      <c r="B9" s="32">
        <v>47508</v>
      </c>
      <c r="C9" s="32"/>
      <c r="D9" s="152"/>
      <c r="E9" s="115"/>
      <c r="F9" s="32"/>
      <c r="G9" s="32"/>
      <c r="H9" s="76"/>
      <c r="J9" s="76"/>
      <c r="K9" s="21"/>
      <c r="L9" s="76"/>
      <c r="M9" s="21"/>
      <c r="N9" s="128">
        <f>SUM(B9:M9)</f>
        <v>47508</v>
      </c>
      <c r="O9" s="371">
        <f t="shared" si="4"/>
        <v>11877</v>
      </c>
      <c r="P9" s="149"/>
      <c r="Q9" s="368"/>
      <c r="R9" s="162" t="s">
        <v>162</v>
      </c>
      <c r="S9" s="805">
        <f>B11</f>
        <v>55683</v>
      </c>
      <c r="T9" s="380"/>
      <c r="U9" s="380"/>
      <c r="V9" s="380"/>
      <c r="W9" s="380"/>
      <c r="X9" s="196"/>
      <c r="Y9" s="196"/>
      <c r="Z9" s="196"/>
      <c r="AA9" s="196"/>
      <c r="AB9" s="212"/>
      <c r="AC9" s="212"/>
      <c r="AD9" s="380"/>
      <c r="AE9" s="372">
        <f t="shared" si="0"/>
        <v>55683</v>
      </c>
      <c r="AF9" s="149">
        <f t="shared" si="1"/>
        <v>0.58006750421901365</v>
      </c>
      <c r="AG9" s="368">
        <f t="shared" si="2"/>
        <v>4640.25</v>
      </c>
    </row>
    <row r="10" spans="1:33" ht="16.5" x14ac:dyDescent="0.2">
      <c r="A10" s="153" t="s">
        <v>29</v>
      </c>
      <c r="B10" s="32"/>
      <c r="C10" s="32"/>
      <c r="D10" s="76"/>
      <c r="E10" s="115"/>
      <c r="F10" s="76"/>
      <c r="G10" s="32"/>
      <c r="H10" s="76"/>
      <c r="J10" s="76"/>
      <c r="K10" s="21"/>
      <c r="L10" s="76"/>
      <c r="M10" s="32"/>
      <c r="N10" s="128">
        <f t="shared" si="3"/>
        <v>0</v>
      </c>
      <c r="O10" s="371">
        <f t="shared" si="4"/>
        <v>0</v>
      </c>
      <c r="P10" s="149"/>
      <c r="R10" s="162" t="s">
        <v>163</v>
      </c>
      <c r="S10" s="805">
        <f>B16</f>
        <v>492773</v>
      </c>
      <c r="T10" s="380"/>
      <c r="U10" s="380"/>
      <c r="V10" s="380"/>
      <c r="W10" s="380"/>
      <c r="X10" s="196"/>
      <c r="Y10" s="196"/>
      <c r="Z10" s="196"/>
      <c r="AA10" s="196"/>
      <c r="AB10" s="212"/>
      <c r="AC10" s="212"/>
      <c r="AD10" s="212"/>
      <c r="AE10" s="372">
        <f t="shared" si="0"/>
        <v>492773</v>
      </c>
      <c r="AF10" s="149">
        <f t="shared" si="1"/>
        <v>5.13337291914078</v>
      </c>
      <c r="AG10" s="368">
        <f t="shared" si="2"/>
        <v>41064.416666666664</v>
      </c>
    </row>
    <row r="11" spans="1:33" ht="16.5" x14ac:dyDescent="0.25">
      <c r="A11" s="153" t="s">
        <v>30</v>
      </c>
      <c r="B11" s="32">
        <f>1357+19397+34929</f>
        <v>55683</v>
      </c>
      <c r="C11" s="32"/>
      <c r="D11" s="76"/>
      <c r="E11" s="115"/>
      <c r="F11" s="76"/>
      <c r="G11" s="32"/>
      <c r="H11" s="76"/>
      <c r="J11" s="76"/>
      <c r="K11" s="21"/>
      <c r="L11" s="76"/>
      <c r="M11" s="32"/>
      <c r="N11" s="128">
        <f>SUM(B11:M11)</f>
        <v>55683</v>
      </c>
      <c r="O11" s="371">
        <f t="shared" si="4"/>
        <v>13921</v>
      </c>
      <c r="P11" s="149"/>
      <c r="R11" s="163" t="s">
        <v>164</v>
      </c>
      <c r="S11" s="805">
        <f>B9</f>
        <v>47508</v>
      </c>
      <c r="T11" s="380"/>
      <c r="U11" s="380"/>
      <c r="V11" s="380"/>
      <c r="W11" s="380"/>
      <c r="X11" s="381"/>
      <c r="Y11" s="381"/>
      <c r="Z11" s="381"/>
      <c r="AA11" s="381"/>
      <c r="AB11" s="382"/>
      <c r="AC11" s="382"/>
      <c r="AD11" s="796"/>
      <c r="AE11" s="372">
        <f t="shared" si="0"/>
        <v>47508</v>
      </c>
      <c r="AF11" s="149">
        <f t="shared" si="1"/>
        <v>0.49490593162072627</v>
      </c>
      <c r="AG11" s="368">
        <f t="shared" si="2"/>
        <v>3959</v>
      </c>
    </row>
    <row r="12" spans="1:33" ht="16.5" x14ac:dyDescent="0.2">
      <c r="A12" s="153" t="s">
        <v>35</v>
      </c>
      <c r="B12" s="373">
        <v>14750</v>
      </c>
      <c r="C12" s="373"/>
      <c r="D12" s="106"/>
      <c r="E12" s="407"/>
      <c r="F12" s="106"/>
      <c r="G12" s="373"/>
      <c r="H12" s="106"/>
      <c r="J12" s="106"/>
      <c r="K12" s="87"/>
      <c r="L12" s="106"/>
      <c r="M12" s="87"/>
      <c r="N12" s="128">
        <f>SUM(B12:M12)</f>
        <v>14750</v>
      </c>
      <c r="O12" s="371">
        <f t="shared" si="4"/>
        <v>3688</v>
      </c>
      <c r="P12" s="149"/>
      <c r="R12" s="163" t="s">
        <v>165</v>
      </c>
      <c r="S12" s="805">
        <f>B19</f>
        <v>9746</v>
      </c>
      <c r="T12" s="380"/>
      <c r="U12" s="380"/>
      <c r="V12" s="380"/>
      <c r="W12" s="380"/>
      <c r="X12" s="206"/>
      <c r="Y12" s="206"/>
      <c r="Z12" s="206"/>
      <c r="AA12" s="206"/>
      <c r="AB12" s="383"/>
      <c r="AC12" s="383"/>
      <c r="AD12" s="212"/>
      <c r="AE12" s="372">
        <f t="shared" si="0"/>
        <v>9746</v>
      </c>
      <c r="AF12" s="149">
        <f t="shared" si="1"/>
        <v>0.1015271787820072</v>
      </c>
      <c r="AG12" s="368">
        <f t="shared" si="2"/>
        <v>812.16666666666663</v>
      </c>
    </row>
    <row r="13" spans="1:33" ht="16.5" x14ac:dyDescent="0.2">
      <c r="A13" s="153" t="s">
        <v>117</v>
      </c>
      <c r="B13" s="32"/>
      <c r="C13" s="32"/>
      <c r="D13" s="76"/>
      <c r="E13" s="115"/>
      <c r="F13" s="76"/>
      <c r="G13" s="32"/>
      <c r="H13" s="76"/>
      <c r="J13" s="76"/>
      <c r="K13" s="21"/>
      <c r="L13" s="76"/>
      <c r="M13" s="32"/>
      <c r="N13" s="128">
        <f>SUM(B13:K13)</f>
        <v>0</v>
      </c>
      <c r="O13" s="371">
        <f t="shared" si="4"/>
        <v>0</v>
      </c>
      <c r="P13" s="149"/>
      <c r="R13" s="162" t="s">
        <v>33</v>
      </c>
      <c r="S13" s="805">
        <f>B18</f>
        <v>530150</v>
      </c>
      <c r="T13" s="380"/>
      <c r="U13" s="380"/>
      <c r="V13" s="380"/>
      <c r="W13" s="380"/>
      <c r="X13" s="206"/>
      <c r="Y13" s="206"/>
      <c r="Z13" s="206"/>
      <c r="AA13" s="206"/>
      <c r="AB13" s="383"/>
      <c r="AC13" s="383"/>
      <c r="AD13" s="212"/>
      <c r="AE13" s="372">
        <f t="shared" si="0"/>
        <v>530150</v>
      </c>
      <c r="AF13" s="149">
        <f t="shared" si="1"/>
        <v>5.5227410046461234</v>
      </c>
      <c r="AG13" s="368">
        <f t="shared" si="2"/>
        <v>44179.166666666664</v>
      </c>
    </row>
    <row r="14" spans="1:33" ht="16.5" x14ac:dyDescent="0.2">
      <c r="A14" s="153" t="s">
        <v>183</v>
      </c>
      <c r="B14" s="32"/>
      <c r="C14" s="32"/>
      <c r="D14" s="76"/>
      <c r="E14" s="32"/>
      <c r="F14" s="76"/>
      <c r="G14" s="32"/>
      <c r="H14" s="76"/>
      <c r="J14" s="76"/>
      <c r="K14" s="21"/>
      <c r="L14" s="76"/>
      <c r="M14" s="32"/>
      <c r="N14" s="128">
        <f>SUM(B14:L14)</f>
        <v>0</v>
      </c>
      <c r="O14" s="371">
        <f t="shared" si="4"/>
        <v>0</v>
      </c>
      <c r="P14" s="149"/>
      <c r="R14" s="162" t="s">
        <v>166</v>
      </c>
      <c r="S14" s="805"/>
      <c r="T14" s="380"/>
      <c r="U14" s="380"/>
      <c r="V14" s="380"/>
      <c r="W14" s="380"/>
      <c r="X14" s="196"/>
      <c r="Y14" s="196"/>
      <c r="Z14" s="196"/>
      <c r="AA14" s="196"/>
      <c r="AB14" s="212"/>
      <c r="AC14" s="212"/>
      <c r="AD14" s="212"/>
      <c r="AE14" s="372">
        <f t="shared" si="0"/>
        <v>0</v>
      </c>
      <c r="AF14" s="149">
        <f t="shared" si="1"/>
        <v>0</v>
      </c>
      <c r="AG14" s="368">
        <f t="shared" si="2"/>
        <v>0</v>
      </c>
    </row>
    <row r="15" spans="1:33" ht="17.25" thickBot="1" x14ac:dyDescent="0.25">
      <c r="A15" s="153" t="s">
        <v>31</v>
      </c>
      <c r="B15" s="32"/>
      <c r="C15" s="32"/>
      <c r="D15" s="76"/>
      <c r="E15" s="32"/>
      <c r="F15" s="76"/>
      <c r="G15" s="32"/>
      <c r="H15" s="76"/>
      <c r="I15" s="21"/>
      <c r="J15" s="76"/>
      <c r="K15" s="21"/>
      <c r="L15" s="76"/>
      <c r="M15" s="32"/>
      <c r="N15" s="128">
        <f t="shared" ref="N15:N20" si="5">SUM(B15:M15)</f>
        <v>0</v>
      </c>
      <c r="O15" s="371">
        <f t="shared" si="4"/>
        <v>0</v>
      </c>
      <c r="P15" s="149"/>
      <c r="R15" s="164" t="s">
        <v>108</v>
      </c>
      <c r="S15" s="806">
        <f>B5+B12+B17</f>
        <v>33730</v>
      </c>
      <c r="T15" s="384"/>
      <c r="U15" s="384"/>
      <c r="V15" s="385"/>
      <c r="W15" s="384"/>
      <c r="X15" s="386"/>
      <c r="Y15" s="386"/>
      <c r="Z15" s="386"/>
      <c r="AA15" s="386"/>
      <c r="AB15" s="387"/>
      <c r="AC15" s="387"/>
      <c r="AD15" s="797"/>
      <c r="AE15" s="372">
        <f t="shared" si="0"/>
        <v>33730</v>
      </c>
      <c r="AF15" s="149">
        <f t="shared" si="1"/>
        <v>0.35137612767464632</v>
      </c>
      <c r="AG15" s="368">
        <f t="shared" si="2"/>
        <v>2810.8333333333335</v>
      </c>
    </row>
    <row r="16" spans="1:33" ht="13.5" thickBot="1" x14ac:dyDescent="0.25">
      <c r="A16" s="153" t="s">
        <v>135</v>
      </c>
      <c r="B16" s="32">
        <v>492773</v>
      </c>
      <c r="C16" s="32"/>
      <c r="D16" s="76"/>
      <c r="E16" s="32"/>
      <c r="F16" s="76"/>
      <c r="G16" s="115"/>
      <c r="H16" s="76"/>
      <c r="I16" s="21"/>
      <c r="J16" s="76"/>
      <c r="K16" s="21"/>
      <c r="L16" s="76"/>
      <c r="M16" s="21"/>
      <c r="N16" s="128">
        <f t="shared" si="5"/>
        <v>492773</v>
      </c>
      <c r="O16" s="371">
        <f t="shared" si="4"/>
        <v>123193</v>
      </c>
      <c r="P16" s="149"/>
      <c r="R16" s="388"/>
      <c r="S16" s="197">
        <f>SUM(S4:S15)</f>
        <v>9370895</v>
      </c>
      <c r="T16" s="198">
        <f>SUM(T4:T15)</f>
        <v>0</v>
      </c>
      <c r="U16" s="198">
        <f>SUM(U4:U15)</f>
        <v>0</v>
      </c>
      <c r="V16" s="198">
        <f>SUM(V4:V15)</f>
        <v>0</v>
      </c>
      <c r="W16" s="198">
        <f>SUM(W4:W15)</f>
        <v>0</v>
      </c>
      <c r="X16" s="199">
        <f t="shared" ref="X16:AB16" si="6">SUM(X4:X15)</f>
        <v>0</v>
      </c>
      <c r="Y16" s="199">
        <f t="shared" si="6"/>
        <v>0</v>
      </c>
      <c r="Z16" s="199">
        <f t="shared" si="6"/>
        <v>0</v>
      </c>
      <c r="AA16" s="199">
        <f t="shared" si="6"/>
        <v>0</v>
      </c>
      <c r="AB16" s="199">
        <f t="shared" si="6"/>
        <v>0</v>
      </c>
      <c r="AC16" s="199">
        <f t="shared" ref="AC16" si="7">SUM(AC4:AC15)</f>
        <v>0</v>
      </c>
      <c r="AD16" s="798">
        <f>SUM(AD4:AD15)</f>
        <v>0</v>
      </c>
      <c r="AE16" s="200">
        <f>SUM(AE4:AE15)</f>
        <v>9370895</v>
      </c>
      <c r="AF16" s="19">
        <f t="shared" si="1"/>
        <v>97.619590807758811</v>
      </c>
      <c r="AG16" s="259">
        <f>SUM(AG4:AG15)</f>
        <v>780907.91666666651</v>
      </c>
    </row>
    <row r="17" spans="1:33" ht="16.5" x14ac:dyDescent="0.2">
      <c r="A17" s="153" t="s">
        <v>32</v>
      </c>
      <c r="B17" s="32">
        <v>16800</v>
      </c>
      <c r="C17" s="32"/>
      <c r="D17" s="76"/>
      <c r="E17" s="32"/>
      <c r="F17" s="76"/>
      <c r="G17" s="32"/>
      <c r="H17" s="76"/>
      <c r="I17" s="21"/>
      <c r="J17" s="76"/>
      <c r="K17" s="21"/>
      <c r="L17" s="76"/>
      <c r="M17" s="21"/>
      <c r="N17" s="128">
        <f t="shared" si="5"/>
        <v>16800</v>
      </c>
      <c r="O17" s="371">
        <f t="shared" si="4"/>
        <v>4200</v>
      </c>
      <c r="P17" s="149"/>
      <c r="Q17" s="389"/>
      <c r="R17" s="161" t="s">
        <v>174</v>
      </c>
      <c r="S17" s="803"/>
      <c r="T17" s="257"/>
      <c r="U17" s="257"/>
      <c r="V17" s="257"/>
      <c r="W17" s="257"/>
      <c r="X17" s="194"/>
      <c r="Y17" s="194"/>
      <c r="Z17" s="194"/>
      <c r="AA17" s="209"/>
      <c r="AB17" s="209"/>
      <c r="AC17" s="209"/>
      <c r="AD17" s="209">
        <f>'Indirect Expns'!M42+'Indirect Expns'!M50</f>
        <v>0</v>
      </c>
      <c r="AE17" s="372">
        <f>SUM(S17:AD17)</f>
        <v>0</v>
      </c>
      <c r="AF17" s="149">
        <f t="shared" si="1"/>
        <v>0</v>
      </c>
      <c r="AG17" s="368">
        <f t="shared" ref="AG17:AG19" si="8">AE17/12</f>
        <v>0</v>
      </c>
    </row>
    <row r="18" spans="1:33" ht="16.5" x14ac:dyDescent="0.2">
      <c r="A18" s="153" t="s">
        <v>33</v>
      </c>
      <c r="B18" s="373">
        <f>23000+334450+172700</f>
        <v>530150</v>
      </c>
      <c r="C18" s="373"/>
      <c r="D18" s="106"/>
      <c r="E18" s="373"/>
      <c r="F18" s="106"/>
      <c r="G18" s="106"/>
      <c r="H18" s="106"/>
      <c r="I18" s="87"/>
      <c r="J18" s="106"/>
      <c r="K18" s="87"/>
      <c r="L18" s="106"/>
      <c r="M18" s="373"/>
      <c r="N18" s="128">
        <f t="shared" si="5"/>
        <v>530150</v>
      </c>
      <c r="O18" s="371">
        <f t="shared" si="4"/>
        <v>132538</v>
      </c>
      <c r="P18" s="149"/>
      <c r="Q18" s="389"/>
      <c r="R18" s="162" t="s">
        <v>172</v>
      </c>
      <c r="S18" s="805">
        <f>'Indirect Expns'!B43</f>
        <v>25280</v>
      </c>
      <c r="T18" s="380"/>
      <c r="U18" s="380"/>
      <c r="V18" s="380"/>
      <c r="W18" s="380"/>
      <c r="X18" s="206"/>
      <c r="Y18" s="206"/>
      <c r="Z18" s="206"/>
      <c r="AA18" s="210"/>
      <c r="AB18" s="210"/>
      <c r="AC18" s="210"/>
      <c r="AD18" s="210">
        <f>'Indirect Expns'!M43</f>
        <v>0</v>
      </c>
      <c r="AE18" s="372">
        <f>SUM(S18:AD18)</f>
        <v>25280</v>
      </c>
      <c r="AF18" s="149">
        <f t="shared" si="1"/>
        <v>0.26334979269537678</v>
      </c>
      <c r="AG18" s="368">
        <f t="shared" si="8"/>
        <v>2106.6666666666665</v>
      </c>
    </row>
    <row r="19" spans="1:33" ht="17.25" thickBot="1" x14ac:dyDescent="0.25">
      <c r="A19" s="153" t="s">
        <v>36</v>
      </c>
      <c r="B19" s="373">
        <v>9746</v>
      </c>
      <c r="C19" s="373"/>
      <c r="D19" s="106"/>
      <c r="E19" s="373"/>
      <c r="F19" s="106"/>
      <c r="G19" s="373"/>
      <c r="H19" s="106"/>
      <c r="I19" s="87"/>
      <c r="J19" s="106"/>
      <c r="K19" s="87"/>
      <c r="L19" s="106"/>
      <c r="M19" s="373"/>
      <c r="N19" s="128">
        <f t="shared" si="5"/>
        <v>9746</v>
      </c>
      <c r="O19" s="371">
        <f t="shared" si="4"/>
        <v>2437</v>
      </c>
      <c r="P19" s="149"/>
      <c r="Q19" s="389"/>
      <c r="R19" s="164" t="s">
        <v>171</v>
      </c>
      <c r="S19" s="806">
        <f>'Indirect Expns'!B46</f>
        <v>348690</v>
      </c>
      <c r="T19" s="390"/>
      <c r="U19" s="390"/>
      <c r="V19" s="390"/>
      <c r="W19" s="390"/>
      <c r="X19" s="391"/>
      <c r="Y19" s="391"/>
      <c r="Z19" s="391"/>
      <c r="AA19" s="211"/>
      <c r="AB19" s="211"/>
      <c r="AC19" s="211"/>
      <c r="AD19" s="211">
        <f>'Indirect Expns'!M46</f>
        <v>0</v>
      </c>
      <c r="AE19" s="372">
        <f>SUM(S19:AD19)</f>
        <v>348690</v>
      </c>
      <c r="AF19" s="149">
        <f t="shared" si="1"/>
        <v>3.6324145259078691</v>
      </c>
      <c r="AG19" s="368">
        <f t="shared" si="8"/>
        <v>29057.5</v>
      </c>
    </row>
    <row r="20" spans="1:33" ht="13.5" thickBot="1" x14ac:dyDescent="0.25">
      <c r="A20" s="153" t="s">
        <v>34</v>
      </c>
      <c r="B20" s="32">
        <f>154835+270550</f>
        <v>425385</v>
      </c>
      <c r="C20" s="32"/>
      <c r="D20" s="76"/>
      <c r="E20" s="32"/>
      <c r="F20" s="76"/>
      <c r="G20" s="32"/>
      <c r="H20" s="76"/>
      <c r="I20" s="21"/>
      <c r="J20" s="76"/>
      <c r="K20" s="21"/>
      <c r="L20" s="76"/>
      <c r="M20" s="21"/>
      <c r="N20" s="128">
        <f t="shared" si="5"/>
        <v>425385</v>
      </c>
      <c r="O20" s="371">
        <f t="shared" si="4"/>
        <v>106346</v>
      </c>
      <c r="P20" s="149"/>
      <c r="Q20" s="389"/>
      <c r="R20" s="388"/>
      <c r="S20" s="197">
        <f>SUM(S17:S19)</f>
        <v>373970</v>
      </c>
      <c r="T20" s="197">
        <f>SUM(T17:T19)</f>
        <v>0</v>
      </c>
      <c r="U20" s="198">
        <f>SUM(U17:U19)</f>
        <v>0</v>
      </c>
      <c r="V20" s="198">
        <f>SUM(V17:V19)</f>
        <v>0</v>
      </c>
      <c r="W20" s="198">
        <f>SUM(W17:W19)</f>
        <v>0</v>
      </c>
      <c r="X20" s="199">
        <f t="shared" ref="X20:Y20" si="9">SUM(X17:X19)</f>
        <v>0</v>
      </c>
      <c r="Y20" s="199">
        <f t="shared" si="9"/>
        <v>0</v>
      </c>
      <c r="Z20" s="199">
        <f t="shared" ref="Z20:AA20" si="10">SUM(Z17:Z19)</f>
        <v>0</v>
      </c>
      <c r="AA20" s="199">
        <f t="shared" si="10"/>
        <v>0</v>
      </c>
      <c r="AB20" s="199">
        <f t="shared" ref="AB20:AC20" si="11">SUM(AB17:AB19)</f>
        <v>0</v>
      </c>
      <c r="AC20" s="199">
        <f t="shared" si="11"/>
        <v>0</v>
      </c>
      <c r="AD20" s="798">
        <f>SUM(AD17:AD19)</f>
        <v>0</v>
      </c>
      <c r="AE20" s="200">
        <f>SUM(AE17:AE19)</f>
        <v>373970</v>
      </c>
      <c r="AF20" s="149">
        <f t="shared" si="1"/>
        <v>3.8957643186032462</v>
      </c>
      <c r="AG20" s="260">
        <f>SUM(AG17:AG19)</f>
        <v>31164.166666666668</v>
      </c>
    </row>
    <row r="21" spans="1:33" ht="13.5" thickBot="1" x14ac:dyDescent="0.25">
      <c r="A21" s="153" t="s">
        <v>2</v>
      </c>
      <c r="B21" s="32"/>
      <c r="C21" s="32"/>
      <c r="D21" s="83"/>
      <c r="E21" s="32"/>
      <c r="F21" s="76"/>
      <c r="G21" s="32"/>
      <c r="H21" s="76"/>
      <c r="I21" s="21"/>
      <c r="J21" s="83"/>
      <c r="K21" s="21"/>
      <c r="L21" s="76"/>
      <c r="M21" s="32"/>
      <c r="N21" s="124"/>
      <c r="O21" s="392">
        <f>+N21/$O$3</f>
        <v>0</v>
      </c>
      <c r="P21" s="149"/>
      <c r="R21" s="393"/>
      <c r="S21" s="201">
        <f>S16+S20</f>
        <v>9744865</v>
      </c>
      <c r="T21" s="201">
        <f>T16+T20</f>
        <v>0</v>
      </c>
      <c r="U21" s="201">
        <f>U16+U20</f>
        <v>0</v>
      </c>
      <c r="V21" s="201">
        <f>V16+V20</f>
        <v>0</v>
      </c>
      <c r="W21" s="201">
        <f>W16+W20</f>
        <v>0</v>
      </c>
      <c r="X21" s="202">
        <f t="shared" ref="X21:Y21" si="12">X16+X20</f>
        <v>0</v>
      </c>
      <c r="Y21" s="202">
        <f t="shared" si="12"/>
        <v>0</v>
      </c>
      <c r="Z21" s="202">
        <f t="shared" ref="Z21:AA21" si="13">Z16+Z20</f>
        <v>0</v>
      </c>
      <c r="AA21" s="202">
        <f t="shared" si="13"/>
        <v>0</v>
      </c>
      <c r="AB21" s="202">
        <f t="shared" ref="AB21:AC21" si="14">AB16+AB20</f>
        <v>0</v>
      </c>
      <c r="AC21" s="202">
        <f t="shared" si="14"/>
        <v>0</v>
      </c>
      <c r="AD21" s="799">
        <f>AD16+AD20</f>
        <v>0</v>
      </c>
      <c r="AE21" s="203">
        <f>AE16+AE20</f>
        <v>9744865</v>
      </c>
      <c r="AF21" s="19">
        <f t="shared" si="1"/>
        <v>101.51535512636207</v>
      </c>
      <c r="AG21" s="261">
        <f>AG16+AG20</f>
        <v>812072.08333333314</v>
      </c>
    </row>
    <row r="22" spans="1:33" x14ac:dyDescent="0.2">
      <c r="A22" s="125" t="s">
        <v>18</v>
      </c>
      <c r="B22" s="85">
        <f>SUM(B4:B21)</f>
        <v>11397815</v>
      </c>
      <c r="C22" s="85">
        <f t="shared" ref="C22" si="15">SUM(C4:C21)</f>
        <v>0</v>
      </c>
      <c r="D22" s="85">
        <f t="shared" ref="D22:H22" si="16">SUM(D4:D21)</f>
        <v>0</v>
      </c>
      <c r="E22" s="126">
        <f t="shared" si="16"/>
        <v>0</v>
      </c>
      <c r="F22" s="85">
        <f>SUM(F4:F21)</f>
        <v>0</v>
      </c>
      <c r="G22" s="126">
        <f t="shared" si="16"/>
        <v>0</v>
      </c>
      <c r="H22" s="85">
        <f t="shared" si="16"/>
        <v>0</v>
      </c>
      <c r="I22" s="127">
        <f>SUM(I4:I21)</f>
        <v>0</v>
      </c>
      <c r="J22" s="85">
        <f>SUM(J4:J21)</f>
        <v>0</v>
      </c>
      <c r="K22" s="127">
        <f t="shared" ref="K22:O22" si="17">SUM(K4:K21)</f>
        <v>0</v>
      </c>
      <c r="L22" s="85">
        <f t="shared" si="17"/>
        <v>0</v>
      </c>
      <c r="M22" s="126">
        <f t="shared" si="17"/>
        <v>0</v>
      </c>
      <c r="N22" s="169">
        <f t="shared" si="17"/>
        <v>11397815</v>
      </c>
      <c r="O22" s="394">
        <f t="shared" si="17"/>
        <v>2849455</v>
      </c>
      <c r="P22" s="149">
        <v>13543324.34</v>
      </c>
      <c r="Q22" s="368"/>
      <c r="S22" s="395"/>
      <c r="T22" s="395"/>
      <c r="U22" s="395"/>
      <c r="V22" s="395"/>
      <c r="W22" s="395"/>
      <c r="X22" s="204"/>
      <c r="Y22" s="395"/>
      <c r="Z22" s="395"/>
      <c r="AA22" s="396"/>
      <c r="AB22" s="397"/>
      <c r="AC22" s="397"/>
      <c r="AD22" s="395"/>
      <c r="AE22" s="205" t="s">
        <v>179</v>
      </c>
      <c r="AF22" s="19">
        <f>(AE21-AE6)/AE2</f>
        <v>34.304279434131303</v>
      </c>
    </row>
    <row r="23" spans="1:33" ht="13.5" thickBot="1" x14ac:dyDescent="0.25">
      <c r="I23" s="150"/>
      <c r="J23" s="149"/>
      <c r="K23" s="149"/>
      <c r="L23" s="149"/>
      <c r="M23" s="149"/>
      <c r="N23" s="149"/>
      <c r="O23" s="149"/>
      <c r="P23" s="149"/>
      <c r="R23" s="18" t="s">
        <v>175</v>
      </c>
      <c r="S23" s="395"/>
      <c r="T23" s="395"/>
      <c r="U23" s="395"/>
      <c r="V23" s="395"/>
      <c r="W23" s="395"/>
      <c r="X23" s="204"/>
      <c r="Y23" s="395"/>
      <c r="Z23" s="395"/>
      <c r="AA23" s="396"/>
      <c r="AB23" s="398"/>
      <c r="AC23" s="398"/>
      <c r="AD23" s="395"/>
      <c r="AE23" s="399"/>
      <c r="AF23" s="149">
        <f t="shared" ref="AF23:AF33" si="18">AE23/$AE$2</f>
        <v>0</v>
      </c>
    </row>
    <row r="24" spans="1:33" ht="15" x14ac:dyDescent="0.3">
      <c r="A24" s="148" t="s">
        <v>121</v>
      </c>
      <c r="B24" s="149">
        <f>ROUND((B22-(B25+B26+B27+B29)),0)</f>
        <v>4204754</v>
      </c>
      <c r="C24" s="149">
        <f t="shared" ref="C24:G24" si="19">ROUND((C22-(C25+C26+C27+C29)),0)</f>
        <v>0</v>
      </c>
      <c r="D24" s="149">
        <f t="shared" si="19"/>
        <v>0</v>
      </c>
      <c r="E24" s="149">
        <f t="shared" si="19"/>
        <v>0</v>
      </c>
      <c r="F24" s="149">
        <f t="shared" si="19"/>
        <v>0</v>
      </c>
      <c r="G24" s="149">
        <f t="shared" si="19"/>
        <v>0</v>
      </c>
      <c r="H24" s="149">
        <f t="shared" ref="H24:L24" si="20">ROUND((H22-(H25+H26+H27+H29)),0)</f>
        <v>0</v>
      </c>
      <c r="I24" s="149">
        <f>ROUND((I22-(I25+I26+I27+I29)),0)</f>
        <v>0</v>
      </c>
      <c r="J24" s="149">
        <f>ROUND((J22-(J25+J26+J27+J29)),0)</f>
        <v>0</v>
      </c>
      <c r="K24" s="149">
        <f>ROUND((K22-(K25+K26+K27+K29)),0)</f>
        <v>0</v>
      </c>
      <c r="L24" s="149">
        <f t="shared" si="20"/>
        <v>0</v>
      </c>
      <c r="M24" s="149">
        <f>ROUND((M22-(M25+M26+M27+M29)),0)</f>
        <v>0</v>
      </c>
      <c r="N24" s="149">
        <f>ROUND((N22-(N25+N26+N27+N29)),0)</f>
        <v>4820955</v>
      </c>
      <c r="O24" s="400">
        <f>ROUND((N24/$O$3),0)</f>
        <v>1205239</v>
      </c>
      <c r="P24" s="149"/>
      <c r="Q24" s="78"/>
      <c r="R24" s="156" t="s">
        <v>167</v>
      </c>
      <c r="S24" s="369">
        <f>B4-(S4+S5+S7+S25+S26)</f>
        <v>1005846</v>
      </c>
      <c r="T24" s="369"/>
      <c r="U24" s="369"/>
      <c r="V24" s="369"/>
      <c r="W24" s="369"/>
      <c r="X24" s="369"/>
      <c r="Y24" s="369"/>
      <c r="Z24" s="369"/>
      <c r="AA24" s="369"/>
      <c r="AB24" s="369"/>
      <c r="AC24" s="369"/>
      <c r="AD24" s="369"/>
      <c r="AE24" s="753">
        <f>N4-(AE4+AE5+AE7+AE25+AE26)</f>
        <v>1005846</v>
      </c>
      <c r="AF24" s="149">
        <f t="shared" si="18"/>
        <v>10.478217388586787</v>
      </c>
      <c r="AG24" s="368">
        <f>AE24/12</f>
        <v>83820.5</v>
      </c>
    </row>
    <row r="25" spans="1:33" ht="15" x14ac:dyDescent="0.3">
      <c r="A25" s="148" t="s">
        <v>120</v>
      </c>
      <c r="B25" s="149">
        <f>B13</f>
        <v>0</v>
      </c>
      <c r="C25" s="149">
        <f>C13</f>
        <v>0</v>
      </c>
      <c r="D25" s="401">
        <f t="shared" ref="D25:M25" si="21">D13</f>
        <v>0</v>
      </c>
      <c r="E25" s="401">
        <f t="shared" si="21"/>
        <v>0</v>
      </c>
      <c r="F25" s="401">
        <f t="shared" si="21"/>
        <v>0</v>
      </c>
      <c r="G25" s="401">
        <f t="shared" si="21"/>
        <v>0</v>
      </c>
      <c r="H25" s="401">
        <f t="shared" si="21"/>
        <v>0</v>
      </c>
      <c r="I25" s="401">
        <f>J13</f>
        <v>0</v>
      </c>
      <c r="J25" s="149"/>
      <c r="K25" s="149">
        <f>K13</f>
        <v>0</v>
      </c>
      <c r="L25" s="149">
        <f t="shared" si="21"/>
        <v>0</v>
      </c>
      <c r="M25" s="149">
        <f t="shared" si="21"/>
        <v>0</v>
      </c>
      <c r="N25" s="149">
        <f>N13</f>
        <v>0</v>
      </c>
      <c r="O25" s="402">
        <f>+N25/$O$3</f>
        <v>0</v>
      </c>
      <c r="P25" s="149"/>
      <c r="Q25" s="79"/>
      <c r="R25" s="186" t="s">
        <v>184</v>
      </c>
      <c r="S25" s="257">
        <v>371074</v>
      </c>
      <c r="T25" s="257"/>
      <c r="U25" s="257"/>
      <c r="V25" s="257"/>
      <c r="W25" s="257"/>
      <c r="X25" s="194"/>
      <c r="Y25" s="257"/>
      <c r="Z25" s="257"/>
      <c r="AA25" s="209"/>
      <c r="AB25" s="194"/>
      <c r="AC25" s="194"/>
      <c r="AD25" s="257"/>
      <c r="AE25" s="372">
        <f t="shared" ref="AE25:AE31" si="22">SUM(S25:AD25)</f>
        <v>371074</v>
      </c>
      <c r="AF25" s="149">
        <f t="shared" si="18"/>
        <v>3.8655957664020666</v>
      </c>
      <c r="AG25" s="368">
        <f t="shared" ref="AG25:AG31" si="23">AE25/12</f>
        <v>30922.833333333332</v>
      </c>
    </row>
    <row r="26" spans="1:33" ht="15.75" x14ac:dyDescent="0.3">
      <c r="A26" s="148" t="s">
        <v>41</v>
      </c>
      <c r="B26" s="762">
        <v>616201</v>
      </c>
      <c r="C26" s="762"/>
      <c r="D26" s="763"/>
      <c r="E26" s="763"/>
      <c r="F26" s="763"/>
      <c r="G26" s="764"/>
      <c r="H26" s="763"/>
      <c r="I26" s="763"/>
      <c r="J26" s="149"/>
      <c r="K26" s="149"/>
      <c r="L26" s="149"/>
      <c r="M26" s="149"/>
      <c r="N26" s="149"/>
      <c r="O26" s="402">
        <f>ROUND((N26/$O$3),0)</f>
        <v>0</v>
      </c>
      <c r="P26" s="149"/>
      <c r="Q26" s="78"/>
      <c r="R26" s="157" t="s">
        <v>168</v>
      </c>
      <c r="S26" s="380">
        <v>525000</v>
      </c>
      <c r="T26" s="380"/>
      <c r="U26" s="380"/>
      <c r="V26" s="380"/>
      <c r="W26" s="403"/>
      <c r="X26" s="381"/>
      <c r="Y26" s="403"/>
      <c r="Z26" s="403"/>
      <c r="AA26" s="210"/>
      <c r="AB26" s="210"/>
      <c r="AC26" s="210"/>
      <c r="AD26" s="380"/>
      <c r="AE26" s="372">
        <f t="shared" si="22"/>
        <v>525000</v>
      </c>
      <c r="AF26" s="149">
        <f t="shared" si="18"/>
        <v>5.4690918182386401</v>
      </c>
      <c r="AG26" s="368">
        <f t="shared" si="23"/>
        <v>43750</v>
      </c>
    </row>
    <row r="27" spans="1:33" ht="15" x14ac:dyDescent="0.3">
      <c r="A27" s="148" t="s">
        <v>24</v>
      </c>
      <c r="B27" s="149">
        <f>ROUND((B7+B8),0)</f>
        <v>6451860</v>
      </c>
      <c r="C27" s="149">
        <f t="shared" ref="C27:F27" si="24">ROUND((C7+C8),0)</f>
        <v>0</v>
      </c>
      <c r="D27" s="401">
        <f t="shared" si="24"/>
        <v>0</v>
      </c>
      <c r="E27" s="401">
        <f>ROUND((E7+E8),0)</f>
        <v>0</v>
      </c>
      <c r="F27" s="401">
        <f t="shared" si="24"/>
        <v>0</v>
      </c>
      <c r="G27" s="401">
        <f t="shared" ref="G27:L27" si="25">ROUND((G7+G8),0)</f>
        <v>0</v>
      </c>
      <c r="H27" s="149">
        <f t="shared" si="25"/>
        <v>0</v>
      </c>
      <c r="I27" s="401">
        <f>ROUND((I7+I8),0)</f>
        <v>0</v>
      </c>
      <c r="J27" s="149">
        <f>ROUND((J7+J8),0)</f>
        <v>0</v>
      </c>
      <c r="K27" s="149">
        <f t="shared" si="25"/>
        <v>0</v>
      </c>
      <c r="L27" s="149">
        <f t="shared" si="25"/>
        <v>0</v>
      </c>
      <c r="M27" s="149">
        <f>M7+M8</f>
        <v>0</v>
      </c>
      <c r="N27" s="149">
        <f>SUM(B27:M27)</f>
        <v>6451860</v>
      </c>
      <c r="O27" s="402">
        <f t="shared" ref="O27:O30" si="26">ROUND((N27/$O$3),0)</f>
        <v>1612965</v>
      </c>
      <c r="P27" s="149"/>
      <c r="Q27" s="79"/>
      <c r="R27" s="157" t="s">
        <v>26</v>
      </c>
      <c r="S27" s="380">
        <v>125000</v>
      </c>
      <c r="T27" s="380"/>
      <c r="U27" s="380"/>
      <c r="V27" s="380"/>
      <c r="W27" s="380"/>
      <c r="X27" s="206"/>
      <c r="Y27" s="206"/>
      <c r="Z27" s="206"/>
      <c r="AA27" s="380"/>
      <c r="AB27" s="380"/>
      <c r="AC27" s="380"/>
      <c r="AD27" s="380"/>
      <c r="AE27" s="372">
        <f t="shared" si="22"/>
        <v>125000</v>
      </c>
      <c r="AF27" s="149">
        <f t="shared" si="18"/>
        <v>1.3021647186282477</v>
      </c>
      <c r="AG27" s="368">
        <f t="shared" si="23"/>
        <v>10416.666666666666</v>
      </c>
    </row>
    <row r="28" spans="1:33" x14ac:dyDescent="0.2">
      <c r="A28" s="148" t="s">
        <v>19</v>
      </c>
      <c r="B28" s="19">
        <f t="shared" ref="B28:G28" si="27">SUM(B24:B27)</f>
        <v>11272815</v>
      </c>
      <c r="C28" s="19">
        <f t="shared" si="27"/>
        <v>0</v>
      </c>
      <c r="D28" s="84">
        <f t="shared" si="27"/>
        <v>0</v>
      </c>
      <c r="E28" s="84">
        <f t="shared" si="27"/>
        <v>0</v>
      </c>
      <c r="F28" s="19">
        <f t="shared" si="27"/>
        <v>0</v>
      </c>
      <c r="G28" s="84">
        <f t="shared" si="27"/>
        <v>0</v>
      </c>
      <c r="H28" s="19">
        <f t="shared" ref="H28" si="28">SUM(H24:H27)</f>
        <v>0</v>
      </c>
      <c r="I28" s="84">
        <f>SUM(I24:I27)</f>
        <v>0</v>
      </c>
      <c r="J28" s="19">
        <f>SUM(J24:J27)</f>
        <v>0</v>
      </c>
      <c r="K28" s="19">
        <f>SUM(K24:K27)</f>
        <v>0</v>
      </c>
      <c r="L28" s="19">
        <f>SUM(L24:L27)</f>
        <v>0</v>
      </c>
      <c r="M28" s="19">
        <f>SUM(M24:M27)</f>
        <v>0</v>
      </c>
      <c r="N28" s="149">
        <f>SUM(B28:M28)</f>
        <v>11272815</v>
      </c>
      <c r="O28" s="109">
        <f t="shared" si="26"/>
        <v>2818204</v>
      </c>
      <c r="P28" s="19"/>
      <c r="R28" s="158" t="s">
        <v>169</v>
      </c>
      <c r="S28" s="380">
        <f>'Indirect Expns'!B3</f>
        <v>435924</v>
      </c>
      <c r="T28" s="380"/>
      <c r="U28" s="380"/>
      <c r="V28" s="380"/>
      <c r="W28" s="380"/>
      <c r="X28" s="206"/>
      <c r="Y28" s="206"/>
      <c r="Z28" s="206"/>
      <c r="AA28" s="380"/>
      <c r="AB28" s="380"/>
      <c r="AC28" s="380"/>
      <c r="AD28" s="380"/>
      <c r="AE28" s="372">
        <f t="shared" si="22"/>
        <v>435924</v>
      </c>
      <c r="AF28" s="149">
        <f t="shared" si="18"/>
        <v>4.5411588224264019</v>
      </c>
      <c r="AG28" s="368">
        <f t="shared" si="23"/>
        <v>36327</v>
      </c>
    </row>
    <row r="29" spans="1:33" ht="15" x14ac:dyDescent="0.3">
      <c r="A29" s="148" t="s">
        <v>23</v>
      </c>
      <c r="B29" s="149">
        <f>B6</f>
        <v>125000</v>
      </c>
      <c r="C29" s="149">
        <f t="shared" ref="C29:H29" si="29">C6</f>
        <v>0</v>
      </c>
      <c r="D29" s="401">
        <f>D6</f>
        <v>0</v>
      </c>
      <c r="E29" s="401">
        <f>E6</f>
        <v>0</v>
      </c>
      <c r="F29" s="255">
        <f>F6</f>
        <v>0</v>
      </c>
      <c r="G29" s="401">
        <f>G6</f>
        <v>0</v>
      </c>
      <c r="H29" s="255">
        <f t="shared" si="29"/>
        <v>0</v>
      </c>
      <c r="I29" s="401">
        <f>I6</f>
        <v>0</v>
      </c>
      <c r="J29" s="149">
        <f>J6</f>
        <v>0</v>
      </c>
      <c r="K29" s="149">
        <f t="shared" ref="K29:M29" si="30">K6</f>
        <v>0</v>
      </c>
      <c r="L29" s="149">
        <f>L6</f>
        <v>0</v>
      </c>
      <c r="M29" s="149">
        <f t="shared" si="30"/>
        <v>0</v>
      </c>
      <c r="N29" s="149">
        <f>N6</f>
        <v>125000</v>
      </c>
      <c r="O29" s="402">
        <f t="shared" si="26"/>
        <v>31250</v>
      </c>
      <c r="P29" s="149"/>
      <c r="R29" s="157" t="s">
        <v>170</v>
      </c>
      <c r="S29" s="380">
        <f>'Indirect Expns'!B52</f>
        <v>67213</v>
      </c>
      <c r="T29" s="380"/>
      <c r="U29" s="380"/>
      <c r="V29" s="380"/>
      <c r="W29" s="380"/>
      <c r="X29" s="206"/>
      <c r="Y29" s="206"/>
      <c r="Z29" s="206"/>
      <c r="AA29" s="380"/>
      <c r="AB29" s="380"/>
      <c r="AC29" s="380"/>
      <c r="AD29" s="380"/>
      <c r="AE29" s="372">
        <f t="shared" si="22"/>
        <v>67213</v>
      </c>
      <c r="AF29" s="149">
        <f t="shared" si="18"/>
        <v>0.70017917786528328</v>
      </c>
      <c r="AG29" s="368">
        <f t="shared" si="23"/>
        <v>5601.083333333333</v>
      </c>
    </row>
    <row r="30" spans="1:33" ht="15" x14ac:dyDescent="0.3">
      <c r="A30" s="148" t="s">
        <v>0</v>
      </c>
      <c r="B30" s="19">
        <f>SUM(B28:B29)</f>
        <v>11397815</v>
      </c>
      <c r="C30" s="19">
        <f t="shared" ref="C30" si="31">SUM(C28:C29)</f>
        <v>0</v>
      </c>
      <c r="D30" s="84">
        <f>SUM(D28:D29)</f>
        <v>0</v>
      </c>
      <c r="E30" s="84">
        <f>SUM(E28:E29)</f>
        <v>0</v>
      </c>
      <c r="F30" s="19">
        <f t="shared" ref="F30:K30" si="32">SUM(F28:F29)</f>
        <v>0</v>
      </c>
      <c r="G30" s="84">
        <f>SUM(G28:G29)</f>
        <v>0</v>
      </c>
      <c r="H30" s="19">
        <f>SUM(H28:H29)</f>
        <v>0</v>
      </c>
      <c r="I30" s="84">
        <f>SUM(I28:I29)</f>
        <v>0</v>
      </c>
      <c r="J30" s="19">
        <f t="shared" si="32"/>
        <v>0</v>
      </c>
      <c r="K30" s="19">
        <f t="shared" si="32"/>
        <v>0</v>
      </c>
      <c r="L30" s="19">
        <f>SUM(L28:L29)</f>
        <v>0</v>
      </c>
      <c r="M30" s="19">
        <f>SUM(M28:M29)</f>
        <v>0</v>
      </c>
      <c r="N30" s="19">
        <f>SUM(N28:N29)</f>
        <v>11397815</v>
      </c>
      <c r="O30" s="109">
        <f t="shared" si="26"/>
        <v>2849454</v>
      </c>
      <c r="P30" s="19"/>
      <c r="R30" s="157" t="s">
        <v>209</v>
      </c>
      <c r="S30" s="380">
        <f>'Indirect Expns'!B50</f>
        <v>11281</v>
      </c>
      <c r="T30" s="380"/>
      <c r="U30" s="380"/>
      <c r="V30" s="380"/>
      <c r="W30" s="380"/>
      <c r="X30" s="380"/>
      <c r="Y30" s="380"/>
      <c r="Z30" s="380"/>
      <c r="AA30" s="380"/>
      <c r="AB30" s="380"/>
      <c r="AC30" s="380"/>
      <c r="AD30" s="380"/>
      <c r="AE30" s="372">
        <f t="shared" si="22"/>
        <v>11281</v>
      </c>
      <c r="AF30" s="149">
        <f t="shared" si="18"/>
        <v>0.11751776152676209</v>
      </c>
      <c r="AG30" s="368">
        <f t="shared" si="23"/>
        <v>940.08333333333337</v>
      </c>
    </row>
    <row r="31" spans="1:33" ht="15.75" thickBot="1" x14ac:dyDescent="0.35">
      <c r="A31" s="148" t="s">
        <v>24</v>
      </c>
      <c r="B31" s="149">
        <f t="shared" ref="B31:G31" si="33">B26+B27</f>
        <v>7068061</v>
      </c>
      <c r="C31" s="149">
        <f t="shared" si="33"/>
        <v>0</v>
      </c>
      <c r="D31" s="401">
        <f t="shared" si="33"/>
        <v>0</v>
      </c>
      <c r="E31" s="401">
        <f t="shared" si="33"/>
        <v>0</v>
      </c>
      <c r="F31" s="401">
        <f t="shared" si="33"/>
        <v>0</v>
      </c>
      <c r="G31" s="401">
        <f t="shared" si="33"/>
        <v>0</v>
      </c>
      <c r="H31" s="401">
        <f t="shared" ref="H31" si="34">H26+H27</f>
        <v>0</v>
      </c>
      <c r="I31" s="401">
        <f>I26+I27</f>
        <v>0</v>
      </c>
      <c r="J31" s="149">
        <f t="shared" ref="J31:M31" si="35">J26+J27</f>
        <v>0</v>
      </c>
      <c r="K31" s="149">
        <f t="shared" si="35"/>
        <v>0</v>
      </c>
      <c r="L31" s="149">
        <f>L26+L27</f>
        <v>0</v>
      </c>
      <c r="M31" s="149">
        <f t="shared" si="35"/>
        <v>0</v>
      </c>
      <c r="N31" s="149">
        <f>N26+N27</f>
        <v>6451860</v>
      </c>
      <c r="O31" s="404">
        <f>ROUND((N31/$O$3),0)</f>
        <v>1612965</v>
      </c>
      <c r="P31" s="149"/>
      <c r="R31" s="159" t="s">
        <v>173</v>
      </c>
      <c r="S31" s="390">
        <f>'Indirect Expns'!B44</f>
        <v>73333</v>
      </c>
      <c r="T31" s="390"/>
      <c r="U31" s="390"/>
      <c r="V31" s="390"/>
      <c r="W31" s="390"/>
      <c r="X31" s="390"/>
      <c r="Y31" s="390"/>
      <c r="Z31" s="390"/>
      <c r="AA31" s="390"/>
      <c r="AB31" s="390"/>
      <c r="AC31" s="390"/>
      <c r="AD31" s="390"/>
      <c r="AE31" s="372">
        <f t="shared" si="22"/>
        <v>73333</v>
      </c>
      <c r="AF31" s="149">
        <f t="shared" si="18"/>
        <v>0.7639331624893223</v>
      </c>
      <c r="AG31" s="368">
        <f t="shared" si="23"/>
        <v>6111.083333333333</v>
      </c>
    </row>
    <row r="32" spans="1:33" ht="13.5" thickBot="1" x14ac:dyDescent="0.25">
      <c r="D32" s="150"/>
      <c r="E32" s="150"/>
      <c r="F32" s="150"/>
      <c r="G32" s="150"/>
      <c r="H32" s="21"/>
      <c r="I32" s="150"/>
      <c r="J32" s="150"/>
      <c r="K32" s="150"/>
      <c r="L32" s="150"/>
      <c r="M32" s="150"/>
      <c r="N32" s="150"/>
      <c r="O32" s="150"/>
      <c r="P32" s="150"/>
      <c r="R32" s="405"/>
      <c r="S32" s="198">
        <f>SUM(S24:S31)</f>
        <v>2614671</v>
      </c>
      <c r="T32" s="198">
        <f>SUM(T24:T31)</f>
        <v>0</v>
      </c>
      <c r="U32" s="198">
        <f>SUM(U24:U31)</f>
        <v>0</v>
      </c>
      <c r="V32" s="198">
        <f>SUM(V24:V31)</f>
        <v>0</v>
      </c>
      <c r="W32" s="198">
        <f>SUM(W24:W31)</f>
        <v>0</v>
      </c>
      <c r="X32" s="198">
        <f t="shared" ref="X32:Y32" si="36">SUM(X24:X31)</f>
        <v>0</v>
      </c>
      <c r="Y32" s="198">
        <f t="shared" si="36"/>
        <v>0</v>
      </c>
      <c r="Z32" s="198">
        <f t="shared" ref="Z32:AB32" si="37">SUM(Z24:Z31)</f>
        <v>0</v>
      </c>
      <c r="AA32" s="198">
        <f t="shared" si="37"/>
        <v>0</v>
      </c>
      <c r="AB32" s="198">
        <f t="shared" si="37"/>
        <v>0</v>
      </c>
      <c r="AC32" s="198">
        <f t="shared" ref="AC32" si="38">SUM(AC24:AC31)</f>
        <v>0</v>
      </c>
      <c r="AD32" s="198">
        <f>SUM(AD24:AD31)</f>
        <v>0</v>
      </c>
      <c r="AE32" s="200">
        <f>SUM(AE24:AE31)</f>
        <v>2614671</v>
      </c>
      <c r="AF32" s="19">
        <f t="shared" si="18"/>
        <v>27.237858616163511</v>
      </c>
      <c r="AG32" s="259">
        <f>SUM(AG24:AG31)</f>
        <v>217889.25</v>
      </c>
    </row>
    <row r="33" spans="1:32" ht="15" x14ac:dyDescent="0.3">
      <c r="A33" s="148" t="s">
        <v>143</v>
      </c>
      <c r="B33" s="150">
        <v>7232.2</v>
      </c>
      <c r="C33" s="150"/>
      <c r="D33" s="150"/>
      <c r="E33" s="150"/>
      <c r="F33" s="150"/>
      <c r="G33" s="150"/>
      <c r="H33" s="21"/>
      <c r="I33" s="150"/>
      <c r="J33" s="150"/>
      <c r="K33" s="150"/>
      <c r="L33" s="150"/>
      <c r="M33" s="150"/>
      <c r="N33" s="150">
        <f>SUM(B33:M33)</f>
        <v>7232.2</v>
      </c>
      <c r="O33" s="150"/>
      <c r="P33" s="150"/>
      <c r="R33" s="160" t="s">
        <v>20</v>
      </c>
      <c r="S33" s="395">
        <f>S21+S32</f>
        <v>12359536</v>
      </c>
      <c r="T33" s="395">
        <f>T21+T32</f>
        <v>0</v>
      </c>
      <c r="U33" s="395">
        <f>U21+U32</f>
        <v>0</v>
      </c>
      <c r="V33" s="395">
        <f>V21+V32</f>
        <v>0</v>
      </c>
      <c r="W33" s="395">
        <f>W21+W32</f>
        <v>0</v>
      </c>
      <c r="X33" s="395">
        <f t="shared" ref="X33:Y33" si="39">X21+X32</f>
        <v>0</v>
      </c>
      <c r="Y33" s="395">
        <f t="shared" si="39"/>
        <v>0</v>
      </c>
      <c r="Z33" s="395">
        <f t="shared" ref="Z33:AB33" si="40">Z21+Z32</f>
        <v>0</v>
      </c>
      <c r="AA33" s="395">
        <f t="shared" si="40"/>
        <v>0</v>
      </c>
      <c r="AB33" s="395">
        <f t="shared" si="40"/>
        <v>0</v>
      </c>
      <c r="AC33" s="395">
        <f t="shared" ref="AC33" si="41">AC21+AC32</f>
        <v>0</v>
      </c>
      <c r="AD33" s="395">
        <f>AD21+AD32</f>
        <v>0</v>
      </c>
      <c r="AE33" s="395">
        <f>AE21+AE32</f>
        <v>12359536</v>
      </c>
      <c r="AF33" s="149">
        <f t="shared" si="18"/>
        <v>128.75321374252559</v>
      </c>
    </row>
    <row r="34" spans="1:32" x14ac:dyDescent="0.2">
      <c r="A34" s="148" t="s">
        <v>144</v>
      </c>
      <c r="B34" s="150">
        <v>76251.7</v>
      </c>
      <c r="C34" s="150"/>
      <c r="D34" s="150"/>
      <c r="E34" s="150"/>
      <c r="F34" s="150"/>
      <c r="G34" s="150"/>
      <c r="H34" s="129"/>
      <c r="I34" s="129"/>
      <c r="J34" s="406"/>
      <c r="K34" s="150"/>
      <c r="L34" s="150"/>
      <c r="M34" s="150"/>
      <c r="N34" s="150">
        <f>SUM(B34:M34)</f>
        <v>76251.7</v>
      </c>
      <c r="O34" s="150"/>
      <c r="P34" s="150"/>
      <c r="S34" s="807">
        <f>B37-S33</f>
        <v>0</v>
      </c>
    </row>
    <row r="35" spans="1:32" x14ac:dyDescent="0.2">
      <c r="A35" s="148" t="s">
        <v>146</v>
      </c>
      <c r="B35" s="150">
        <f>47678+17129</f>
        <v>64807</v>
      </c>
      <c r="C35" s="150"/>
      <c r="D35" s="368"/>
      <c r="E35" s="368"/>
      <c r="F35" s="368"/>
      <c r="G35" s="368"/>
      <c r="H35" s="368"/>
      <c r="I35" s="368"/>
      <c r="J35" s="368"/>
      <c r="K35" s="368"/>
      <c r="L35" s="368"/>
      <c r="M35" s="368"/>
      <c r="N35" s="150">
        <f>SUM(B35:M35)</f>
        <v>64807</v>
      </c>
      <c r="R35" s="148" t="s">
        <v>303</v>
      </c>
      <c r="S35" s="749">
        <f>ROUND((S21-(S36+S37+S38)),0)</f>
        <v>1943381</v>
      </c>
      <c r="T35" s="749">
        <f t="shared" ref="T35:AC35" si="42">ROUND((T21-(T36+T37+T38)),0)</f>
        <v>0</v>
      </c>
      <c r="U35" s="749">
        <f t="shared" si="42"/>
        <v>0</v>
      </c>
      <c r="V35" s="749">
        <f t="shared" si="42"/>
        <v>0</v>
      </c>
      <c r="W35" s="749">
        <f t="shared" si="42"/>
        <v>0</v>
      </c>
      <c r="X35" s="749">
        <f t="shared" si="42"/>
        <v>0</v>
      </c>
      <c r="Y35" s="749">
        <f t="shared" si="42"/>
        <v>0</v>
      </c>
      <c r="Z35" s="749">
        <f t="shared" si="42"/>
        <v>0</v>
      </c>
      <c r="AA35" s="749">
        <f t="shared" si="42"/>
        <v>0</v>
      </c>
      <c r="AB35" s="749">
        <f t="shared" si="42"/>
        <v>0</v>
      </c>
      <c r="AC35" s="749">
        <f t="shared" si="42"/>
        <v>0</v>
      </c>
      <c r="AD35" s="749">
        <f>ROUND((AD21-(AD36+AD37+AD38)),0)</f>
        <v>0</v>
      </c>
      <c r="AE35" s="749">
        <f>ROUND((AE21-(AE36+AE37+AE38)),0)</f>
        <v>2042549</v>
      </c>
    </row>
    <row r="36" spans="1:32" ht="12" customHeight="1" x14ac:dyDescent="0.2">
      <c r="A36" s="148" t="s">
        <v>22</v>
      </c>
      <c r="B36" s="368">
        <f>'Indirect Expns'!B75</f>
        <v>961721</v>
      </c>
      <c r="C36" s="368">
        <f>'Indirect Expns'!C75</f>
        <v>0</v>
      </c>
      <c r="D36" s="368">
        <f>'Indirect Expns'!D75</f>
        <v>0</v>
      </c>
      <c r="E36" s="26">
        <f>'Indirect Expns'!E75</f>
        <v>0</v>
      </c>
      <c r="F36" s="26">
        <f>'Indirect Expns'!F75</f>
        <v>0</v>
      </c>
      <c r="G36" s="26">
        <f>'Indirect Expns'!G75</f>
        <v>0</v>
      </c>
      <c r="H36" s="26">
        <f>'Indirect Expns'!H75</f>
        <v>0</v>
      </c>
      <c r="I36" s="26">
        <f>'Indirect Expns'!I75</f>
        <v>0</v>
      </c>
      <c r="J36" s="26">
        <f>'Indirect Expns'!J75</f>
        <v>0</v>
      </c>
      <c r="K36" s="26">
        <f>'Indirect Expns'!K75</f>
        <v>0</v>
      </c>
      <c r="L36" s="26">
        <f>'Indirect Expns'!L75</f>
        <v>0</v>
      </c>
      <c r="M36" s="26">
        <f>'Indirect Expns'!M75</f>
        <v>0</v>
      </c>
      <c r="N36" s="368">
        <f>'Indirect Expns'!N75</f>
        <v>961721</v>
      </c>
      <c r="R36" s="148" t="s">
        <v>304</v>
      </c>
      <c r="S36" s="749">
        <f>SUM(S4:S6)</f>
        <v>7353626</v>
      </c>
      <c r="T36" s="749">
        <f t="shared" ref="T36:AC36" si="43">SUM(T4:T6)</f>
        <v>0</v>
      </c>
      <c r="U36" s="749">
        <f t="shared" si="43"/>
        <v>0</v>
      </c>
      <c r="V36" s="749">
        <f t="shared" si="43"/>
        <v>0</v>
      </c>
      <c r="W36" s="749">
        <f t="shared" si="43"/>
        <v>0</v>
      </c>
      <c r="X36" s="749">
        <f t="shared" si="43"/>
        <v>0</v>
      </c>
      <c r="Y36" s="749">
        <f t="shared" si="43"/>
        <v>0</v>
      </c>
      <c r="Z36" s="749">
        <f t="shared" si="43"/>
        <v>0</v>
      </c>
      <c r="AA36" s="749">
        <f t="shared" si="43"/>
        <v>0</v>
      </c>
      <c r="AB36" s="749">
        <f t="shared" si="43"/>
        <v>0</v>
      </c>
      <c r="AC36" s="749">
        <f t="shared" si="43"/>
        <v>0</v>
      </c>
      <c r="AD36" s="749">
        <f>SUM(AD4:AD6)</f>
        <v>0</v>
      </c>
      <c r="AE36" s="749">
        <f>SUM(AE4:AE6)</f>
        <v>7353626</v>
      </c>
    </row>
    <row r="37" spans="1:32" x14ac:dyDescent="0.2">
      <c r="A37" s="168" t="s">
        <v>20</v>
      </c>
      <c r="B37" s="26">
        <f>B30+B36</f>
        <v>12359536</v>
      </c>
      <c r="C37" s="26">
        <f t="shared" ref="C37:K37" si="44">C30+C36</f>
        <v>0</v>
      </c>
      <c r="D37" s="26">
        <f t="shared" si="44"/>
        <v>0</v>
      </c>
      <c r="E37" s="26">
        <f t="shared" si="44"/>
        <v>0</v>
      </c>
      <c r="F37" s="26">
        <f t="shared" si="44"/>
        <v>0</v>
      </c>
      <c r="G37" s="26">
        <f t="shared" si="44"/>
        <v>0</v>
      </c>
      <c r="H37" s="26">
        <f t="shared" si="44"/>
        <v>0</v>
      </c>
      <c r="I37" s="26">
        <f t="shared" si="44"/>
        <v>0</v>
      </c>
      <c r="J37" s="26">
        <f t="shared" si="44"/>
        <v>0</v>
      </c>
      <c r="K37" s="26">
        <f t="shared" si="44"/>
        <v>0</v>
      </c>
      <c r="L37" s="26">
        <f>L30+L36</f>
        <v>0</v>
      </c>
      <c r="M37" s="26">
        <f>M30+M36</f>
        <v>0</v>
      </c>
      <c r="N37" s="26">
        <f>N30+N36</f>
        <v>12359536</v>
      </c>
      <c r="R37" s="148" t="s">
        <v>305</v>
      </c>
      <c r="S37" s="749">
        <f>99168</f>
        <v>99168</v>
      </c>
      <c r="T37" s="749"/>
      <c r="U37" s="749"/>
      <c r="V37" s="749"/>
      <c r="W37" s="749"/>
      <c r="X37" s="749"/>
      <c r="Y37" s="749"/>
      <c r="Z37" s="749"/>
      <c r="AA37" s="749"/>
      <c r="AB37" s="749"/>
      <c r="AC37" s="749"/>
      <c r="AD37" s="749"/>
      <c r="AE37" s="749">
        <f>AD37</f>
        <v>0</v>
      </c>
    </row>
    <row r="38" spans="1:32" x14ac:dyDescent="0.2">
      <c r="O38" s="149"/>
      <c r="P38" s="149"/>
      <c r="R38" s="148" t="s">
        <v>306</v>
      </c>
      <c r="S38" s="749">
        <f>ROUND((S19),0)</f>
        <v>348690</v>
      </c>
      <c r="T38" s="749"/>
      <c r="U38" s="749"/>
      <c r="V38" s="749"/>
      <c r="W38" s="749"/>
      <c r="X38" s="749"/>
      <c r="Y38" s="749"/>
      <c r="Z38" s="749"/>
      <c r="AA38" s="749"/>
      <c r="AB38" s="749"/>
      <c r="AC38" s="749"/>
      <c r="AD38" s="749"/>
      <c r="AE38" s="749">
        <f>ROUND((AE19),0)</f>
        <v>348690</v>
      </c>
    </row>
    <row r="39" spans="1:32" x14ac:dyDescent="0.2">
      <c r="A39" s="168" t="s">
        <v>106</v>
      </c>
      <c r="B39" s="148">
        <v>11397814.65</v>
      </c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>
        <v>11397814.65</v>
      </c>
      <c r="O39" s="149"/>
      <c r="P39" s="149"/>
      <c r="R39" s="750" t="s">
        <v>307</v>
      </c>
      <c r="S39" s="808">
        <f>ROUND((S32-S40),0)</f>
        <v>2489671</v>
      </c>
      <c r="T39" s="751">
        <f t="shared" ref="T39:AC39" si="45">ROUND((T32-T40),0)</f>
        <v>0</v>
      </c>
      <c r="U39" s="751">
        <f t="shared" si="45"/>
        <v>0</v>
      </c>
      <c r="V39" s="751">
        <f t="shared" si="45"/>
        <v>0</v>
      </c>
      <c r="W39" s="751">
        <f t="shared" si="45"/>
        <v>0</v>
      </c>
      <c r="X39" s="751">
        <f t="shared" si="45"/>
        <v>0</v>
      </c>
      <c r="Y39" s="751">
        <f t="shared" si="45"/>
        <v>0</v>
      </c>
      <c r="Z39" s="751">
        <f t="shared" si="45"/>
        <v>0</v>
      </c>
      <c r="AA39" s="751">
        <f t="shared" si="45"/>
        <v>0</v>
      </c>
      <c r="AB39" s="751">
        <f t="shared" si="45"/>
        <v>0</v>
      </c>
      <c r="AC39" s="751">
        <f t="shared" si="45"/>
        <v>0</v>
      </c>
      <c r="AD39" s="751">
        <f>ROUND((AD32-AD40),0)</f>
        <v>0</v>
      </c>
      <c r="AE39" s="751">
        <f>ROUND((AE32-AE40),0)</f>
        <v>2489671</v>
      </c>
    </row>
    <row r="40" spans="1:32" x14ac:dyDescent="0.2">
      <c r="B40" s="149">
        <f>B22-B39</f>
        <v>0.34999999962747097</v>
      </c>
      <c r="C40" s="149">
        <f>C22-C39</f>
        <v>0</v>
      </c>
      <c r="D40" s="149">
        <f>D22-D39</f>
        <v>0</v>
      </c>
      <c r="E40" s="149">
        <f>E22-E39</f>
        <v>0</v>
      </c>
      <c r="F40" s="149">
        <f t="shared" ref="F40:L40" si="46">F22-F39</f>
        <v>0</v>
      </c>
      <c r="G40" s="149">
        <f>G22-G39</f>
        <v>0</v>
      </c>
      <c r="H40" s="149">
        <f t="shared" si="46"/>
        <v>0</v>
      </c>
      <c r="I40" s="149">
        <f t="shared" si="46"/>
        <v>0</v>
      </c>
      <c r="J40" s="149">
        <f>J22-J39</f>
        <v>0</v>
      </c>
      <c r="K40" s="149">
        <f t="shared" si="46"/>
        <v>0</v>
      </c>
      <c r="L40" s="149">
        <f t="shared" si="46"/>
        <v>0</v>
      </c>
      <c r="N40" s="149">
        <f>N39-N22</f>
        <v>-0.34999999962747097</v>
      </c>
      <c r="R40" s="148" t="s">
        <v>23</v>
      </c>
      <c r="S40" s="749">
        <f>S27</f>
        <v>125000</v>
      </c>
      <c r="T40" s="749">
        <f t="shared" ref="T40:AC40" si="47">T27</f>
        <v>0</v>
      </c>
      <c r="U40" s="749">
        <f t="shared" si="47"/>
        <v>0</v>
      </c>
      <c r="V40" s="749">
        <f t="shared" si="47"/>
        <v>0</v>
      </c>
      <c r="W40" s="749">
        <f t="shared" si="47"/>
        <v>0</v>
      </c>
      <c r="X40" s="749">
        <f t="shared" si="47"/>
        <v>0</v>
      </c>
      <c r="Y40" s="749">
        <f t="shared" si="47"/>
        <v>0</v>
      </c>
      <c r="Z40" s="749">
        <f t="shared" si="47"/>
        <v>0</v>
      </c>
      <c r="AA40" s="749">
        <f t="shared" si="47"/>
        <v>0</v>
      </c>
      <c r="AB40" s="749">
        <f t="shared" si="47"/>
        <v>0</v>
      </c>
      <c r="AC40" s="749">
        <f t="shared" si="47"/>
        <v>0</v>
      </c>
      <c r="AD40" s="749">
        <f>AD27</f>
        <v>0</v>
      </c>
      <c r="AE40" s="749">
        <f>AE27</f>
        <v>125000</v>
      </c>
    </row>
    <row r="41" spans="1:32" x14ac:dyDescent="0.2">
      <c r="J41" s="149"/>
      <c r="N41" s="149"/>
      <c r="R41"/>
      <c r="S41" s="752">
        <f t="shared" ref="S41:AC41" si="48">SUM(S35:S40)</f>
        <v>12359536</v>
      </c>
      <c r="T41" s="752">
        <f t="shared" si="48"/>
        <v>0</v>
      </c>
      <c r="U41" s="752">
        <f t="shared" si="48"/>
        <v>0</v>
      </c>
      <c r="V41" s="752">
        <f t="shared" si="48"/>
        <v>0</v>
      </c>
      <c r="W41" s="752">
        <f t="shared" si="48"/>
        <v>0</v>
      </c>
      <c r="X41" s="752">
        <f t="shared" si="48"/>
        <v>0</v>
      </c>
      <c r="Y41" s="752">
        <f t="shared" si="48"/>
        <v>0</v>
      </c>
      <c r="Z41" s="752">
        <f t="shared" si="48"/>
        <v>0</v>
      </c>
      <c r="AA41" s="752">
        <f t="shared" si="48"/>
        <v>0</v>
      </c>
      <c r="AB41" s="752">
        <f t="shared" si="48"/>
        <v>0</v>
      </c>
      <c r="AC41" s="752">
        <f t="shared" si="48"/>
        <v>0</v>
      </c>
      <c r="AD41" s="752">
        <f>SUM(AD35:AD40)</f>
        <v>0</v>
      </c>
      <c r="AE41" s="752">
        <f>SUM(AE35:AE40)</f>
        <v>12359536</v>
      </c>
    </row>
    <row r="42" spans="1:32" x14ac:dyDescent="0.2">
      <c r="N42" s="149">
        <f>N22-N39</f>
        <v>0.34999999962747097</v>
      </c>
      <c r="R42" s="18" t="s">
        <v>308</v>
      </c>
      <c r="S42"/>
      <c r="T42"/>
      <c r="U42"/>
      <c r="V42"/>
      <c r="W42"/>
      <c r="X42"/>
      <c r="Y42"/>
      <c r="Z42"/>
      <c r="AA42"/>
      <c r="AB42"/>
      <c r="AC42"/>
      <c r="AD42"/>
      <c r="AE42"/>
    </row>
    <row r="43" spans="1:32" x14ac:dyDescent="0.2">
      <c r="R43" t="s">
        <v>309</v>
      </c>
      <c r="S43" s="749">
        <f>SUM(S24:S26)</f>
        <v>1901920</v>
      </c>
      <c r="T43" s="749">
        <f t="shared" ref="T43:AC43" si="49">SUM(T24:T26)</f>
        <v>0</v>
      </c>
      <c r="U43" s="749">
        <f t="shared" si="49"/>
        <v>0</v>
      </c>
      <c r="V43" s="749">
        <f t="shared" si="49"/>
        <v>0</v>
      </c>
      <c r="W43" s="749">
        <f t="shared" si="49"/>
        <v>0</v>
      </c>
      <c r="X43" s="749">
        <f t="shared" si="49"/>
        <v>0</v>
      </c>
      <c r="Y43" s="749">
        <f t="shared" si="49"/>
        <v>0</v>
      </c>
      <c r="Z43" s="749">
        <f t="shared" si="49"/>
        <v>0</v>
      </c>
      <c r="AA43" s="749">
        <f t="shared" si="49"/>
        <v>0</v>
      </c>
      <c r="AB43" s="749">
        <f t="shared" si="49"/>
        <v>0</v>
      </c>
      <c r="AC43" s="749">
        <f t="shared" si="49"/>
        <v>0</v>
      </c>
      <c r="AD43" s="749">
        <f>SUM(AD24:AD26)</f>
        <v>0</v>
      </c>
      <c r="AE43" s="749">
        <f>SUM(AE24:AE26)</f>
        <v>1901920</v>
      </c>
    </row>
    <row r="44" spans="1:32" x14ac:dyDescent="0.2">
      <c r="R44" t="s">
        <v>90</v>
      </c>
      <c r="S44" s="749">
        <f>SUM(S28)</f>
        <v>435924</v>
      </c>
      <c r="T44" s="749">
        <f t="shared" ref="T44:AC44" si="50">SUM(T28)</f>
        <v>0</v>
      </c>
      <c r="U44" s="749">
        <f t="shared" si="50"/>
        <v>0</v>
      </c>
      <c r="V44" s="749">
        <f t="shared" si="50"/>
        <v>0</v>
      </c>
      <c r="W44" s="749">
        <f t="shared" si="50"/>
        <v>0</v>
      </c>
      <c r="X44" s="749">
        <f t="shared" si="50"/>
        <v>0</v>
      </c>
      <c r="Y44" s="749">
        <f t="shared" si="50"/>
        <v>0</v>
      </c>
      <c r="Z44" s="749">
        <f t="shared" si="50"/>
        <v>0</v>
      </c>
      <c r="AA44" s="749">
        <f t="shared" si="50"/>
        <v>0</v>
      </c>
      <c r="AB44" s="749">
        <f t="shared" si="50"/>
        <v>0</v>
      </c>
      <c r="AC44" s="749">
        <f t="shared" si="50"/>
        <v>0</v>
      </c>
      <c r="AD44" s="749">
        <f>SUM(AD28)</f>
        <v>0</v>
      </c>
      <c r="AE44" s="749">
        <f>SUM(AE28)</f>
        <v>435924</v>
      </c>
    </row>
    <row r="45" spans="1:32" x14ac:dyDescent="0.2">
      <c r="R45" t="s">
        <v>310</v>
      </c>
      <c r="S45" s="749">
        <f>SUM(S29)</f>
        <v>67213</v>
      </c>
      <c r="T45" s="749">
        <f t="shared" ref="T45:AC45" si="51">SUM(T29)</f>
        <v>0</v>
      </c>
      <c r="U45" s="749">
        <f t="shared" si="51"/>
        <v>0</v>
      </c>
      <c r="V45" s="749">
        <f t="shared" si="51"/>
        <v>0</v>
      </c>
      <c r="W45" s="749">
        <f t="shared" si="51"/>
        <v>0</v>
      </c>
      <c r="X45" s="749">
        <f t="shared" si="51"/>
        <v>0</v>
      </c>
      <c r="Y45" s="749">
        <f t="shared" si="51"/>
        <v>0</v>
      </c>
      <c r="Z45" s="749">
        <f t="shared" si="51"/>
        <v>0</v>
      </c>
      <c r="AA45" s="749">
        <f t="shared" si="51"/>
        <v>0</v>
      </c>
      <c r="AB45" s="749">
        <f t="shared" si="51"/>
        <v>0</v>
      </c>
      <c r="AC45" s="749">
        <f t="shared" si="51"/>
        <v>0</v>
      </c>
      <c r="AD45" s="749">
        <f>SUM(AD29)</f>
        <v>0</v>
      </c>
      <c r="AE45" s="749">
        <f>SUM(AE29)</f>
        <v>67213</v>
      </c>
    </row>
    <row r="46" spans="1:32" x14ac:dyDescent="0.2">
      <c r="R46" t="s">
        <v>311</v>
      </c>
      <c r="S46" s="749">
        <f>ROUND((S27),0)</f>
        <v>125000</v>
      </c>
      <c r="T46" s="749">
        <f t="shared" ref="T46:AC46" si="52">ROUND((T16),0)</f>
        <v>0</v>
      </c>
      <c r="U46" s="749">
        <f t="shared" si="52"/>
        <v>0</v>
      </c>
      <c r="V46" s="749">
        <f t="shared" si="52"/>
        <v>0</v>
      </c>
      <c r="W46" s="749">
        <f t="shared" si="52"/>
        <v>0</v>
      </c>
      <c r="X46" s="749">
        <f t="shared" si="52"/>
        <v>0</v>
      </c>
      <c r="Y46" s="749">
        <f t="shared" si="52"/>
        <v>0</v>
      </c>
      <c r="Z46" s="749">
        <f t="shared" si="52"/>
        <v>0</v>
      </c>
      <c r="AA46" s="749">
        <f t="shared" si="52"/>
        <v>0</v>
      </c>
      <c r="AB46" s="749">
        <f t="shared" si="52"/>
        <v>0</v>
      </c>
      <c r="AC46" s="749">
        <f t="shared" si="52"/>
        <v>0</v>
      </c>
      <c r="AD46" s="749">
        <f>ROUND((AD16),0)</f>
        <v>0</v>
      </c>
      <c r="AE46" s="749">
        <f>ROUND((AE16),0)</f>
        <v>9370895</v>
      </c>
    </row>
    <row r="47" spans="1:32" x14ac:dyDescent="0.2">
      <c r="R47" t="s">
        <v>312</v>
      </c>
      <c r="S47" s="749">
        <f>SUM(S20+S30+S31)</f>
        <v>458584</v>
      </c>
      <c r="T47" s="749">
        <f t="shared" ref="T47:AC47" si="53">SUM(T20+T30+T31)</f>
        <v>0</v>
      </c>
      <c r="U47" s="749">
        <f t="shared" si="53"/>
        <v>0</v>
      </c>
      <c r="V47" s="749">
        <f t="shared" si="53"/>
        <v>0</v>
      </c>
      <c r="W47" s="749">
        <f t="shared" si="53"/>
        <v>0</v>
      </c>
      <c r="X47" s="749">
        <f t="shared" si="53"/>
        <v>0</v>
      </c>
      <c r="Y47" s="749">
        <f t="shared" si="53"/>
        <v>0</v>
      </c>
      <c r="Z47" s="749">
        <f t="shared" si="53"/>
        <v>0</v>
      </c>
      <c r="AA47" s="749">
        <f t="shared" si="53"/>
        <v>0</v>
      </c>
      <c r="AB47" s="749">
        <f t="shared" si="53"/>
        <v>0</v>
      </c>
      <c r="AC47" s="749">
        <f t="shared" si="53"/>
        <v>0</v>
      </c>
      <c r="AD47" s="749">
        <f>SUM(AD20+AD30+AD31)</f>
        <v>0</v>
      </c>
      <c r="AE47" s="749">
        <f>SUM(AE20+AE30+AE31)</f>
        <v>458584</v>
      </c>
    </row>
    <row r="48" spans="1:32" x14ac:dyDescent="0.2">
      <c r="R48"/>
      <c r="S48" s="752">
        <f>SUM(S43:S47)</f>
        <v>2988641</v>
      </c>
      <c r="T48" s="752">
        <f t="shared" ref="T48:AC48" si="54">SUM(T43:T47)</f>
        <v>0</v>
      </c>
      <c r="U48" s="752">
        <f t="shared" si="54"/>
        <v>0</v>
      </c>
      <c r="V48" s="752">
        <f t="shared" si="54"/>
        <v>0</v>
      </c>
      <c r="W48" s="752">
        <f t="shared" si="54"/>
        <v>0</v>
      </c>
      <c r="X48" s="752">
        <f t="shared" si="54"/>
        <v>0</v>
      </c>
      <c r="Y48" s="752">
        <f t="shared" si="54"/>
        <v>0</v>
      </c>
      <c r="Z48" s="752">
        <f t="shared" si="54"/>
        <v>0</v>
      </c>
      <c r="AA48" s="752">
        <f t="shared" si="54"/>
        <v>0</v>
      </c>
      <c r="AB48" s="752">
        <f t="shared" si="54"/>
        <v>0</v>
      </c>
      <c r="AC48" s="752">
        <f t="shared" si="54"/>
        <v>0</v>
      </c>
      <c r="AD48" s="752">
        <f>SUM(AD43:AD47)</f>
        <v>0</v>
      </c>
      <c r="AE48" s="752">
        <f>SUM(AE43:AE47)</f>
        <v>12234536</v>
      </c>
    </row>
    <row r="50" spans="18:31" x14ac:dyDescent="0.2">
      <c r="R50" s="168" t="s">
        <v>313</v>
      </c>
      <c r="S50" s="749">
        <f>SUM(S4:S5)+S7+SUM(S24:S26)</f>
        <v>3225980</v>
      </c>
      <c r="T50" s="749">
        <f t="shared" ref="T50:AC50" si="55">SUM(T4:T5)+T7+SUM(T24:T26)</f>
        <v>0</v>
      </c>
      <c r="U50" s="749">
        <f t="shared" si="55"/>
        <v>0</v>
      </c>
      <c r="V50" s="749">
        <f t="shared" si="55"/>
        <v>0</v>
      </c>
      <c r="W50" s="749">
        <f t="shared" si="55"/>
        <v>0</v>
      </c>
      <c r="X50" s="749">
        <f t="shared" si="55"/>
        <v>0</v>
      </c>
      <c r="Y50" s="749">
        <f t="shared" si="55"/>
        <v>0</v>
      </c>
      <c r="Z50" s="749">
        <f t="shared" si="55"/>
        <v>0</v>
      </c>
      <c r="AA50" s="749">
        <f t="shared" si="55"/>
        <v>0</v>
      </c>
      <c r="AB50" s="749">
        <f t="shared" si="55"/>
        <v>0</v>
      </c>
      <c r="AC50" s="749">
        <f t="shared" si="55"/>
        <v>0</v>
      </c>
      <c r="AD50" s="749">
        <f>SUM(AD4:AD5)+AD7+SUM(AD24:AD26)</f>
        <v>0</v>
      </c>
      <c r="AE50" s="749">
        <f>SUM(AE4:AE5)+AE7+SUM(AE24:AE26)</f>
        <v>3225980</v>
      </c>
    </row>
  </sheetData>
  <mergeCells count="1">
    <mergeCell ref="A1:B1"/>
  </mergeCells>
  <phoneticPr fontId="15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5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T81"/>
  <sheetViews>
    <sheetView showZeros="0" zoomScaleNormal="100" workbookViewId="0">
      <pane xSplit="1" ySplit="2" topLeftCell="B29" activePane="bottomRight" state="frozen"/>
      <selection pane="topRight" activeCell="B1" sqref="B1"/>
      <selection pane="bottomLeft" activeCell="A3" sqref="A3"/>
      <selection pane="bottomRight" activeCell="B57" sqref="B57"/>
    </sheetView>
  </sheetViews>
  <sheetFormatPr defaultRowHeight="12.75" x14ac:dyDescent="0.2"/>
  <cols>
    <col min="1" max="1" width="36.85546875" customWidth="1"/>
    <col min="2" max="2" width="14" customWidth="1"/>
    <col min="3" max="3" width="11.42578125" hidden="1" customWidth="1"/>
    <col min="4" max="4" width="12.85546875" hidden="1" customWidth="1"/>
    <col min="5" max="7" width="11.42578125" hidden="1" customWidth="1"/>
    <col min="8" max="8" width="11.42578125" style="148" hidden="1" customWidth="1"/>
    <col min="9" max="9" width="11.42578125" hidden="1" customWidth="1"/>
    <col min="10" max="10" width="12" hidden="1" customWidth="1"/>
    <col min="11" max="11" width="12.42578125" hidden="1" customWidth="1"/>
    <col min="12" max="12" width="12" hidden="1" customWidth="1"/>
    <col min="13" max="13" width="11.140625" hidden="1" customWidth="1"/>
    <col min="14" max="14" width="12.5703125" customWidth="1"/>
    <col min="15" max="15" width="13.7109375" bestFit="1" customWidth="1"/>
    <col min="16" max="16" width="19.42578125" bestFit="1" customWidth="1"/>
    <col min="17" max="17" width="11.85546875" bestFit="1" customWidth="1"/>
    <col min="18" max="18" width="8.42578125" bestFit="1" customWidth="1"/>
    <col min="19" max="19" width="9.85546875" bestFit="1" customWidth="1"/>
    <col min="20" max="20" width="8.42578125" bestFit="1" customWidth="1"/>
    <col min="21" max="21" width="9.85546875" bestFit="1" customWidth="1"/>
    <col min="22" max="29" width="5.7109375" bestFit="1" customWidth="1"/>
    <col min="30" max="30" width="9.85546875" bestFit="1" customWidth="1"/>
  </cols>
  <sheetData>
    <row r="1" spans="1:30" ht="16.5" thickBot="1" x14ac:dyDescent="0.25">
      <c r="A1" s="870" t="s">
        <v>44</v>
      </c>
      <c r="B1" s="870"/>
      <c r="C1" s="12"/>
      <c r="D1" s="12"/>
      <c r="E1" s="12"/>
      <c r="F1" s="12"/>
      <c r="G1" s="12"/>
      <c r="H1" s="249"/>
    </row>
    <row r="2" spans="1:30" ht="13.5" thickBot="1" x14ac:dyDescent="0.25">
      <c r="A2" s="16" t="s">
        <v>37</v>
      </c>
      <c r="B2" s="14" t="s">
        <v>12</v>
      </c>
      <c r="C2" s="14" t="s">
        <v>3</v>
      </c>
      <c r="D2" s="14" t="s">
        <v>13</v>
      </c>
      <c r="E2" s="14" t="s">
        <v>14</v>
      </c>
      <c r="F2" s="14" t="s">
        <v>15</v>
      </c>
      <c r="G2" s="14" t="s">
        <v>16</v>
      </c>
      <c r="H2" s="250" t="s">
        <v>9</v>
      </c>
      <c r="I2" s="14" t="s">
        <v>4</v>
      </c>
      <c r="J2" s="14" t="s">
        <v>5</v>
      </c>
      <c r="K2" s="14" t="s">
        <v>6</v>
      </c>
      <c r="L2" s="745" t="s">
        <v>7</v>
      </c>
      <c r="M2" s="14" t="s">
        <v>8</v>
      </c>
      <c r="N2" s="29" t="s">
        <v>39</v>
      </c>
      <c r="O2" s="3"/>
      <c r="P2" s="2"/>
      <c r="Q2" s="90" t="s">
        <v>199</v>
      </c>
      <c r="R2" s="228" t="s">
        <v>12</v>
      </c>
      <c r="S2" s="228" t="s">
        <v>3</v>
      </c>
      <c r="T2" s="228" t="s">
        <v>13</v>
      </c>
      <c r="U2" s="228" t="s">
        <v>14</v>
      </c>
      <c r="V2" s="228" t="s">
        <v>15</v>
      </c>
      <c r="W2" s="228" t="s">
        <v>16</v>
      </c>
      <c r="X2" s="228" t="s">
        <v>9</v>
      </c>
      <c r="Y2" s="228" t="s">
        <v>4</v>
      </c>
      <c r="Z2" s="228" t="s">
        <v>5</v>
      </c>
      <c r="AA2" s="228" t="s">
        <v>6</v>
      </c>
      <c r="AB2" s="228" t="s">
        <v>7</v>
      </c>
      <c r="AC2" s="228" t="s">
        <v>8</v>
      </c>
      <c r="AD2" s="229" t="s">
        <v>0</v>
      </c>
    </row>
    <row r="3" spans="1:30" ht="13.5" thickBot="1" x14ac:dyDescent="0.25">
      <c r="A3" s="70" t="s">
        <v>45</v>
      </c>
      <c r="B3" s="71">
        <f t="shared" ref="B3:J3" si="0">SUM(B4:B40)</f>
        <v>435924</v>
      </c>
      <c r="C3" s="71">
        <f t="shared" si="0"/>
        <v>0</v>
      </c>
      <c r="D3" s="71">
        <f t="shared" si="0"/>
        <v>0</v>
      </c>
      <c r="E3" s="71">
        <f>SUM(E4:E40)</f>
        <v>0</v>
      </c>
      <c r="F3" s="71">
        <f>SUM(F4:F40)</f>
        <v>0</v>
      </c>
      <c r="G3" s="33">
        <f t="shared" si="0"/>
        <v>0</v>
      </c>
      <c r="H3" s="251">
        <f t="shared" si="0"/>
        <v>0</v>
      </c>
      <c r="I3" s="33">
        <f>SUM(I4:I40)</f>
        <v>0</v>
      </c>
      <c r="J3" s="71">
        <f t="shared" si="0"/>
        <v>0</v>
      </c>
      <c r="K3" s="88">
        <f>SUM(K4:K40)</f>
        <v>0</v>
      </c>
      <c r="L3" s="71">
        <f>SUM(L4:L40)</f>
        <v>0</v>
      </c>
      <c r="M3" s="71">
        <f>SUM(M4:M40)</f>
        <v>0</v>
      </c>
      <c r="N3" s="96">
        <f t="shared" ref="N3:N40" si="1">SUM(B3:M3)</f>
        <v>435924</v>
      </c>
      <c r="Q3" s="17" t="s">
        <v>192</v>
      </c>
      <c r="R3" s="222">
        <v>29983</v>
      </c>
      <c r="S3" s="222">
        <v>33769</v>
      </c>
      <c r="T3" s="222">
        <v>39757</v>
      </c>
      <c r="U3" s="222">
        <v>69701</v>
      </c>
      <c r="V3" s="222"/>
      <c r="W3" s="222"/>
      <c r="X3" s="222"/>
      <c r="Y3" s="222"/>
      <c r="Z3" s="222"/>
      <c r="AA3" s="222"/>
      <c r="AB3" s="222"/>
      <c r="AC3" s="222"/>
      <c r="AD3" s="235">
        <f>SUM(R3:AC3)</f>
        <v>173210</v>
      </c>
    </row>
    <row r="4" spans="1:30" x14ac:dyDescent="0.2">
      <c r="A4" s="15" t="s">
        <v>46</v>
      </c>
      <c r="B4" s="32">
        <v>52033</v>
      </c>
      <c r="C4" s="108"/>
      <c r="D4" s="76"/>
      <c r="E4" s="30"/>
      <c r="F4" s="30"/>
      <c r="G4" s="30"/>
      <c r="H4" s="152"/>
      <c r="I4" s="30"/>
      <c r="J4" s="76"/>
      <c r="K4" s="21"/>
      <c r="L4" s="746"/>
      <c r="M4" s="80"/>
      <c r="N4" s="72">
        <f t="shared" si="1"/>
        <v>52033</v>
      </c>
      <c r="Q4" s="9" t="s">
        <v>193</v>
      </c>
      <c r="R4" s="219">
        <v>3097</v>
      </c>
      <c r="S4" s="219">
        <v>3094</v>
      </c>
      <c r="T4" s="219">
        <v>2859</v>
      </c>
      <c r="U4" s="219">
        <v>3000</v>
      </c>
      <c r="V4" s="219"/>
      <c r="W4" s="219"/>
      <c r="X4" s="219"/>
      <c r="Y4" s="219"/>
      <c r="Z4" s="219"/>
      <c r="AA4" s="219"/>
      <c r="AB4" s="219"/>
      <c r="AC4" s="219"/>
      <c r="AD4" s="236">
        <f t="shared" ref="AD4:AD5" si="2">SUM(R4:AC4)</f>
        <v>12050</v>
      </c>
    </row>
    <row r="5" spans="1:30" ht="13.5" thickBot="1" x14ac:dyDescent="0.25">
      <c r="A5" s="15" t="s">
        <v>191</v>
      </c>
      <c r="B5" s="32"/>
      <c r="C5" s="30"/>
      <c r="D5" s="80"/>
      <c r="E5" s="30"/>
      <c r="F5" s="30"/>
      <c r="G5" s="30"/>
      <c r="H5" s="107"/>
      <c r="I5" s="30"/>
      <c r="J5" s="76"/>
      <c r="K5" s="100"/>
      <c r="L5" s="8"/>
      <c r="M5" s="80"/>
      <c r="N5" s="72">
        <f t="shared" si="1"/>
        <v>0</v>
      </c>
      <c r="Q5" s="28" t="s">
        <v>195</v>
      </c>
      <c r="R5" s="221">
        <v>18818</v>
      </c>
      <c r="S5" s="221">
        <v>14494</v>
      </c>
      <c r="T5" s="221">
        <v>11754</v>
      </c>
      <c r="U5" s="221">
        <v>16711</v>
      </c>
      <c r="V5" s="221"/>
      <c r="W5" s="221"/>
      <c r="X5" s="221"/>
      <c r="Y5" s="221"/>
      <c r="Z5" s="221"/>
      <c r="AA5" s="221"/>
      <c r="AB5" s="221"/>
      <c r="AC5" s="221"/>
      <c r="AD5" s="237">
        <f t="shared" si="2"/>
        <v>61777</v>
      </c>
    </row>
    <row r="6" spans="1:30" ht="13.5" thickBot="1" x14ac:dyDescent="0.25">
      <c r="A6" s="15" t="s">
        <v>116</v>
      </c>
      <c r="B6" s="32"/>
      <c r="C6" s="30"/>
      <c r="D6" s="80"/>
      <c r="E6" s="30"/>
      <c r="F6" s="30"/>
      <c r="G6" s="30"/>
      <c r="H6" s="107"/>
      <c r="I6" s="30"/>
      <c r="J6" s="80"/>
      <c r="K6" s="100"/>
      <c r="L6" s="8"/>
      <c r="M6" s="80"/>
      <c r="N6" s="72">
        <f t="shared" si="1"/>
        <v>0</v>
      </c>
      <c r="Q6" s="242"/>
      <c r="R6" s="243">
        <f>SUM(R3:R5)</f>
        <v>51898</v>
      </c>
      <c r="S6" s="243">
        <f t="shared" ref="S6:AD6" si="3">SUM(S3:S5)</f>
        <v>51357</v>
      </c>
      <c r="T6" s="243">
        <f t="shared" si="3"/>
        <v>54370</v>
      </c>
      <c r="U6" s="243">
        <f t="shared" si="3"/>
        <v>89412</v>
      </c>
      <c r="V6" s="243">
        <f t="shared" si="3"/>
        <v>0</v>
      </c>
      <c r="W6" s="243">
        <f t="shared" si="3"/>
        <v>0</v>
      </c>
      <c r="X6" s="243">
        <f t="shared" si="3"/>
        <v>0</v>
      </c>
      <c r="Y6" s="243">
        <f t="shared" si="3"/>
        <v>0</v>
      </c>
      <c r="Z6" s="243">
        <f t="shared" si="3"/>
        <v>0</v>
      </c>
      <c r="AA6" s="243">
        <f t="shared" si="3"/>
        <v>0</v>
      </c>
      <c r="AB6" s="243">
        <f t="shared" si="3"/>
        <v>0</v>
      </c>
      <c r="AC6" s="243">
        <f t="shared" si="3"/>
        <v>0</v>
      </c>
      <c r="AD6" s="244">
        <f t="shared" si="3"/>
        <v>247037</v>
      </c>
    </row>
    <row r="7" spans="1:30" x14ac:dyDescent="0.2">
      <c r="A7" s="7" t="s">
        <v>47</v>
      </c>
      <c r="B7" s="32">
        <v>30000</v>
      </c>
      <c r="C7" s="115"/>
      <c r="D7" s="76"/>
      <c r="E7" s="30"/>
      <c r="F7" s="30"/>
      <c r="G7" s="30"/>
      <c r="H7" s="152"/>
      <c r="I7" s="30"/>
      <c r="J7" s="76"/>
      <c r="K7" s="21"/>
      <c r="L7" s="746"/>
      <c r="M7" s="80"/>
      <c r="N7" s="72">
        <f t="shared" si="1"/>
        <v>30000</v>
      </c>
      <c r="Q7" s="185" t="s">
        <v>194</v>
      </c>
      <c r="R7" s="230">
        <v>8341</v>
      </c>
      <c r="S7" s="230">
        <v>46772</v>
      </c>
      <c r="T7" s="230">
        <v>4400</v>
      </c>
      <c r="U7" s="230">
        <v>5996</v>
      </c>
      <c r="V7" s="230"/>
      <c r="W7" s="230"/>
      <c r="X7" s="230"/>
      <c r="Y7" s="230"/>
      <c r="Z7" s="230"/>
      <c r="AA7" s="230"/>
      <c r="AB7" s="230"/>
      <c r="AC7" s="230"/>
      <c r="AD7" s="238">
        <f t="shared" ref="AD7:AD12" si="4">SUM(R7:AC7)</f>
        <v>65509</v>
      </c>
    </row>
    <row r="8" spans="1:30" x14ac:dyDescent="0.2">
      <c r="A8" s="7" t="s">
        <v>48</v>
      </c>
      <c r="B8" s="32">
        <v>310</v>
      </c>
      <c r="C8" s="30"/>
      <c r="D8" s="76"/>
      <c r="E8" s="30"/>
      <c r="F8" s="30"/>
      <c r="G8" s="30"/>
      <c r="H8" s="152"/>
      <c r="I8" s="30"/>
      <c r="J8" s="76"/>
      <c r="K8" s="21"/>
      <c r="L8" s="8"/>
      <c r="M8" s="80"/>
      <c r="N8" s="72">
        <f t="shared" si="1"/>
        <v>310</v>
      </c>
      <c r="Q8" s="9" t="s">
        <v>201</v>
      </c>
      <c r="R8" s="219"/>
      <c r="S8" s="219"/>
      <c r="T8" s="219">
        <v>2996</v>
      </c>
      <c r="U8" s="219">
        <v>8710</v>
      </c>
      <c r="V8" s="219"/>
      <c r="W8" s="219"/>
      <c r="X8" s="219"/>
      <c r="Y8" s="219"/>
      <c r="Z8" s="219"/>
      <c r="AA8" s="219"/>
      <c r="AB8" s="219"/>
      <c r="AC8" s="219"/>
      <c r="AD8" s="236">
        <f>SUM(R8:AC8)</f>
        <v>11706</v>
      </c>
    </row>
    <row r="9" spans="1:30" ht="13.5" thickBot="1" x14ac:dyDescent="0.25">
      <c r="A9" s="7" t="s">
        <v>136</v>
      </c>
      <c r="B9" s="32"/>
      <c r="C9" s="30"/>
      <c r="D9" s="76"/>
      <c r="E9" s="30"/>
      <c r="F9" s="30"/>
      <c r="G9" s="30"/>
      <c r="H9" s="152"/>
      <c r="I9" s="30"/>
      <c r="J9" s="76"/>
      <c r="K9" s="21"/>
      <c r="L9" s="8"/>
      <c r="M9" s="80"/>
      <c r="N9" s="72">
        <f t="shared" si="1"/>
        <v>0</v>
      </c>
      <c r="Q9" s="231" t="s">
        <v>197</v>
      </c>
      <c r="R9" s="232">
        <v>2995</v>
      </c>
      <c r="S9" s="232">
        <v>5016</v>
      </c>
      <c r="T9" s="232"/>
      <c r="U9" s="232"/>
      <c r="V9" s="232"/>
      <c r="W9" s="232"/>
      <c r="X9" s="232"/>
      <c r="Y9" s="232"/>
      <c r="Z9" s="232"/>
      <c r="AA9" s="232"/>
      <c r="AB9" s="232"/>
      <c r="AC9" s="232"/>
      <c r="AD9" s="239">
        <f>SUM(R9:AC9)</f>
        <v>8011</v>
      </c>
    </row>
    <row r="10" spans="1:30" ht="13.5" thickTop="1" x14ac:dyDescent="0.2">
      <c r="A10" s="7" t="s">
        <v>49</v>
      </c>
      <c r="B10" s="32">
        <v>38983</v>
      </c>
      <c r="C10" s="30"/>
      <c r="D10" s="80"/>
      <c r="E10" s="30"/>
      <c r="F10" s="30"/>
      <c r="G10" s="30"/>
      <c r="H10" s="152"/>
      <c r="I10" s="30"/>
      <c r="J10" s="76"/>
      <c r="K10" s="100"/>
      <c r="L10" s="8"/>
      <c r="M10" s="80"/>
      <c r="N10" s="72">
        <f t="shared" si="1"/>
        <v>38983</v>
      </c>
      <c r="Q10" s="233" t="s">
        <v>200</v>
      </c>
      <c r="R10" s="234">
        <v>19530</v>
      </c>
      <c r="S10" s="234">
        <v>23438</v>
      </c>
      <c r="T10" s="234">
        <v>19376</v>
      </c>
      <c r="U10" s="234">
        <v>11020</v>
      </c>
      <c r="V10" s="234"/>
      <c r="W10" s="234"/>
      <c r="X10" s="234"/>
      <c r="Y10" s="234"/>
      <c r="Z10" s="234"/>
      <c r="AA10" s="234"/>
      <c r="AB10" s="234"/>
      <c r="AC10" s="234"/>
      <c r="AD10" s="240">
        <f t="shared" si="4"/>
        <v>73364</v>
      </c>
    </row>
    <row r="11" spans="1:30" x14ac:dyDescent="0.2">
      <c r="A11" s="7" t="s">
        <v>50</v>
      </c>
      <c r="B11" s="32">
        <v>3168</v>
      </c>
      <c r="C11" s="30"/>
      <c r="D11" s="76"/>
      <c r="E11" s="30"/>
      <c r="F11" s="30"/>
      <c r="G11" s="30"/>
      <c r="H11" s="152"/>
      <c r="I11" s="30"/>
      <c r="J11" s="76"/>
      <c r="K11" s="21"/>
      <c r="L11" s="746"/>
      <c r="M11" s="80"/>
      <c r="N11" s="72">
        <f t="shared" si="1"/>
        <v>3168</v>
      </c>
      <c r="Q11" s="9" t="s">
        <v>196</v>
      </c>
      <c r="R11" s="219">
        <v>9608</v>
      </c>
      <c r="S11" s="219">
        <v>5569</v>
      </c>
      <c r="T11" s="219"/>
      <c r="U11" s="219"/>
      <c r="V11" s="219"/>
      <c r="W11" s="219"/>
      <c r="X11" s="219"/>
      <c r="Y11" s="219"/>
      <c r="Z11" s="219"/>
      <c r="AA11" s="219"/>
      <c r="AB11" s="219"/>
      <c r="AC11" s="219"/>
      <c r="AD11" s="236">
        <f t="shared" si="4"/>
        <v>15177</v>
      </c>
    </row>
    <row r="12" spans="1:30" ht="13.5" thickBot="1" x14ac:dyDescent="0.25">
      <c r="A12" s="256" t="s">
        <v>205</v>
      </c>
      <c r="B12" s="32"/>
      <c r="C12" s="30"/>
      <c r="D12" s="80"/>
      <c r="E12" s="30"/>
      <c r="F12" s="30"/>
      <c r="G12" s="30"/>
      <c r="H12" s="152"/>
      <c r="I12" s="30"/>
      <c r="J12" s="80"/>
      <c r="K12" s="100"/>
      <c r="L12" s="746"/>
      <c r="M12" s="80"/>
      <c r="N12" s="72">
        <f t="shared" si="1"/>
        <v>0</v>
      </c>
      <c r="Q12" s="10" t="s">
        <v>198</v>
      </c>
      <c r="R12" s="220"/>
      <c r="S12" s="220"/>
      <c r="T12" s="220">
        <v>4473</v>
      </c>
      <c r="U12" s="220">
        <v>7703</v>
      </c>
      <c r="V12" s="220"/>
      <c r="W12" s="220"/>
      <c r="X12" s="220"/>
      <c r="Y12" s="220"/>
      <c r="Z12" s="220"/>
      <c r="AA12" s="220"/>
      <c r="AB12" s="220"/>
      <c r="AC12" s="220"/>
      <c r="AD12" s="241">
        <f t="shared" si="4"/>
        <v>12176</v>
      </c>
    </row>
    <row r="13" spans="1:30" ht="13.5" thickBot="1" x14ac:dyDescent="0.25">
      <c r="A13" s="7" t="s">
        <v>51</v>
      </c>
      <c r="B13" s="32"/>
      <c r="C13" s="30"/>
      <c r="D13" s="80"/>
      <c r="E13" s="30"/>
      <c r="F13" s="30"/>
      <c r="G13" s="30"/>
      <c r="H13" s="107"/>
      <c r="I13" s="30"/>
      <c r="J13" s="80"/>
      <c r="K13" s="100"/>
      <c r="L13" s="746"/>
      <c r="M13" s="80"/>
      <c r="N13" s="72">
        <f t="shared" si="1"/>
        <v>0</v>
      </c>
      <c r="Q13" s="27"/>
      <c r="R13" s="223">
        <f>SUM(R7:R12)</f>
        <v>40474</v>
      </c>
      <c r="S13" s="223">
        <f t="shared" ref="S13:AD13" si="5">SUM(S7:S12)</f>
        <v>80795</v>
      </c>
      <c r="T13" s="223">
        <f t="shared" si="5"/>
        <v>31245</v>
      </c>
      <c r="U13" s="223">
        <f t="shared" si="5"/>
        <v>33429</v>
      </c>
      <c r="V13" s="223">
        <f t="shared" si="5"/>
        <v>0</v>
      </c>
      <c r="W13" s="223">
        <f t="shared" si="5"/>
        <v>0</v>
      </c>
      <c r="X13" s="223">
        <f t="shared" si="5"/>
        <v>0</v>
      </c>
      <c r="Y13" s="223">
        <f t="shared" si="5"/>
        <v>0</v>
      </c>
      <c r="Z13" s="223">
        <f t="shared" si="5"/>
        <v>0</v>
      </c>
      <c r="AA13" s="223">
        <f t="shared" si="5"/>
        <v>0</v>
      </c>
      <c r="AB13" s="223">
        <f t="shared" si="5"/>
        <v>0</v>
      </c>
      <c r="AC13" s="223">
        <f t="shared" si="5"/>
        <v>0</v>
      </c>
      <c r="AD13" s="227">
        <f t="shared" si="5"/>
        <v>185943</v>
      </c>
    </row>
    <row r="14" spans="1:30" ht="13.5" thickBot="1" x14ac:dyDescent="0.25">
      <c r="A14" s="7" t="s">
        <v>52</v>
      </c>
      <c r="B14" s="32">
        <v>1461</v>
      </c>
      <c r="C14" s="30"/>
      <c r="D14" s="80"/>
      <c r="E14" s="30"/>
      <c r="F14" s="30"/>
      <c r="G14" s="30"/>
      <c r="H14" s="152"/>
      <c r="I14" s="30"/>
      <c r="J14" s="80"/>
      <c r="K14" s="100"/>
      <c r="L14" s="746"/>
      <c r="M14" s="76"/>
      <c r="N14" s="72">
        <f t="shared" si="1"/>
        <v>1461</v>
      </c>
      <c r="Q14" s="224"/>
      <c r="R14" s="225">
        <f>R6+R13</f>
        <v>92372</v>
      </c>
      <c r="S14" s="225">
        <f t="shared" ref="S14:AD14" si="6">S6+S13</f>
        <v>132152</v>
      </c>
      <c r="T14" s="225">
        <f t="shared" si="6"/>
        <v>85615</v>
      </c>
      <c r="U14" s="225">
        <f t="shared" si="6"/>
        <v>122841</v>
      </c>
      <c r="V14" s="225">
        <f t="shared" si="6"/>
        <v>0</v>
      </c>
      <c r="W14" s="225">
        <f t="shared" si="6"/>
        <v>0</v>
      </c>
      <c r="X14" s="225">
        <f t="shared" si="6"/>
        <v>0</v>
      </c>
      <c r="Y14" s="225">
        <f t="shared" si="6"/>
        <v>0</v>
      </c>
      <c r="Z14" s="225">
        <f t="shared" si="6"/>
        <v>0</v>
      </c>
      <c r="AA14" s="225">
        <f t="shared" si="6"/>
        <v>0</v>
      </c>
      <c r="AB14" s="225">
        <f t="shared" si="6"/>
        <v>0</v>
      </c>
      <c r="AC14" s="225">
        <f t="shared" si="6"/>
        <v>0</v>
      </c>
      <c r="AD14" s="226">
        <f t="shared" si="6"/>
        <v>432980</v>
      </c>
    </row>
    <row r="15" spans="1:30" x14ac:dyDescent="0.2">
      <c r="A15" s="7" t="s">
        <v>53</v>
      </c>
      <c r="B15" s="32"/>
      <c r="C15" s="30"/>
      <c r="D15" s="76"/>
      <c r="E15" s="30"/>
      <c r="F15" s="30"/>
      <c r="G15" s="30"/>
      <c r="H15" s="152"/>
      <c r="I15" s="30"/>
      <c r="J15" s="76"/>
      <c r="K15" s="21"/>
      <c r="L15" s="746"/>
      <c r="M15" s="80"/>
      <c r="N15" s="72">
        <f t="shared" si="1"/>
        <v>0</v>
      </c>
    </row>
    <row r="16" spans="1:30" x14ac:dyDescent="0.2">
      <c r="A16" s="7" t="s">
        <v>156</v>
      </c>
      <c r="B16" s="32"/>
      <c r="C16" s="30"/>
      <c r="D16" s="80"/>
      <c r="E16" s="30"/>
      <c r="F16" s="30"/>
      <c r="G16" s="30"/>
      <c r="H16" s="107"/>
      <c r="I16" s="30"/>
      <c r="J16" s="80"/>
      <c r="K16" s="100"/>
      <c r="L16" s="746"/>
      <c r="M16" s="80"/>
      <c r="N16" s="72">
        <f t="shared" si="1"/>
        <v>0</v>
      </c>
    </row>
    <row r="17" spans="1:16" x14ac:dyDescent="0.2">
      <c r="A17" s="7" t="s">
        <v>86</v>
      </c>
      <c r="B17" s="32"/>
      <c r="C17" s="30"/>
      <c r="D17" s="80"/>
      <c r="E17" s="30"/>
      <c r="F17" s="30"/>
      <c r="G17" s="30"/>
      <c r="H17" s="107"/>
      <c r="I17" s="30"/>
      <c r="J17" s="80"/>
      <c r="K17" s="100"/>
      <c r="L17" s="746"/>
      <c r="M17" s="80"/>
      <c r="N17" s="72">
        <f t="shared" si="1"/>
        <v>0</v>
      </c>
    </row>
    <row r="18" spans="1:16" x14ac:dyDescent="0.2">
      <c r="A18" s="7" t="s">
        <v>54</v>
      </c>
      <c r="B18" s="32"/>
      <c r="C18" s="30"/>
      <c r="D18" s="80"/>
      <c r="E18" s="30"/>
      <c r="F18" s="30"/>
      <c r="G18" s="30"/>
      <c r="H18" s="152"/>
      <c r="I18" s="30"/>
      <c r="J18" s="80"/>
      <c r="K18" s="100"/>
      <c r="L18" s="746"/>
      <c r="M18" s="80"/>
      <c r="N18" s="72">
        <f t="shared" si="1"/>
        <v>0</v>
      </c>
    </row>
    <row r="19" spans="1:16" x14ac:dyDescent="0.2">
      <c r="A19" s="7" t="s">
        <v>85</v>
      </c>
      <c r="B19" s="32"/>
      <c r="C19" s="30"/>
      <c r="D19" s="76"/>
      <c r="E19" s="30"/>
      <c r="F19" s="30"/>
      <c r="G19" s="30"/>
      <c r="H19" s="107"/>
      <c r="I19" s="30"/>
      <c r="J19" s="80"/>
      <c r="K19" s="100"/>
      <c r="L19" s="746"/>
      <c r="M19" s="80"/>
      <c r="N19" s="72">
        <f t="shared" si="1"/>
        <v>0</v>
      </c>
    </row>
    <row r="20" spans="1:16" x14ac:dyDescent="0.2">
      <c r="A20" s="7" t="s">
        <v>55</v>
      </c>
      <c r="B20" s="32">
        <v>2200</v>
      </c>
      <c r="C20" s="30"/>
      <c r="D20" s="76"/>
      <c r="E20" s="30"/>
      <c r="F20" s="30"/>
      <c r="G20" s="30"/>
      <c r="H20" s="152"/>
      <c r="I20" s="30"/>
      <c r="J20" s="76"/>
      <c r="K20" s="100"/>
      <c r="L20" s="746"/>
      <c r="M20" s="80"/>
      <c r="N20" s="72">
        <f t="shared" si="1"/>
        <v>2200</v>
      </c>
    </row>
    <row r="21" spans="1:16" x14ac:dyDescent="0.2">
      <c r="A21" s="7" t="s">
        <v>56</v>
      </c>
      <c r="B21" s="32">
        <v>5190</v>
      </c>
      <c r="C21" s="30"/>
      <c r="D21" s="76"/>
      <c r="E21" s="30"/>
      <c r="F21" s="30"/>
      <c r="G21" s="30"/>
      <c r="H21" s="152"/>
      <c r="I21" s="30"/>
      <c r="J21" s="76"/>
      <c r="K21" s="21"/>
      <c r="L21" s="746"/>
      <c r="M21" s="76"/>
      <c r="N21" s="72">
        <f t="shared" si="1"/>
        <v>5190</v>
      </c>
    </row>
    <row r="22" spans="1:16" x14ac:dyDescent="0.2">
      <c r="A22" s="7" t="s">
        <v>57</v>
      </c>
      <c r="B22" s="32">
        <f>1085.87+1357+0.13</f>
        <v>2443</v>
      </c>
      <c r="C22" s="30"/>
      <c r="D22" s="80"/>
      <c r="E22" s="30"/>
      <c r="F22" s="30"/>
      <c r="G22" s="30"/>
      <c r="H22" s="107"/>
      <c r="I22" s="30"/>
      <c r="J22" s="107"/>
      <c r="K22" s="100"/>
      <c r="L22" s="746"/>
      <c r="M22" s="80"/>
      <c r="N22" s="72">
        <f t="shared" si="1"/>
        <v>2443</v>
      </c>
    </row>
    <row r="23" spans="1:16" x14ac:dyDescent="0.2">
      <c r="A23" s="7" t="s">
        <v>58</v>
      </c>
      <c r="B23" s="32">
        <v>34615</v>
      </c>
      <c r="C23" s="30"/>
      <c r="D23" s="80"/>
      <c r="E23" s="30"/>
      <c r="F23" s="30"/>
      <c r="G23" s="30"/>
      <c r="H23" s="107"/>
      <c r="I23" s="30"/>
      <c r="J23" s="80"/>
      <c r="K23" s="100"/>
      <c r="L23" s="746"/>
      <c r="M23" s="80"/>
      <c r="N23" s="72">
        <f t="shared" si="1"/>
        <v>34615</v>
      </c>
    </row>
    <row r="24" spans="1:16" x14ac:dyDescent="0.2">
      <c r="A24" s="7" t="s">
        <v>59</v>
      </c>
      <c r="B24" s="32">
        <v>5500</v>
      </c>
      <c r="C24" s="30"/>
      <c r="D24" s="76"/>
      <c r="E24" s="30"/>
      <c r="F24" s="30"/>
      <c r="G24" s="30"/>
      <c r="H24" s="107"/>
      <c r="I24" s="30"/>
      <c r="J24" s="76"/>
      <c r="K24" s="21"/>
      <c r="L24" s="746"/>
      <c r="M24" s="80"/>
      <c r="N24" s="72">
        <f t="shared" si="1"/>
        <v>5500</v>
      </c>
    </row>
    <row r="25" spans="1:16" x14ac:dyDescent="0.2">
      <c r="A25" s="7" t="s">
        <v>60</v>
      </c>
      <c r="B25" s="32"/>
      <c r="C25" s="30"/>
      <c r="D25" s="80"/>
      <c r="E25" s="30"/>
      <c r="F25" s="30"/>
      <c r="G25" s="30"/>
      <c r="H25" s="107"/>
      <c r="I25" s="30"/>
      <c r="J25" s="80"/>
      <c r="K25" s="100"/>
      <c r="L25" s="746"/>
      <c r="M25" s="80"/>
      <c r="N25" s="72">
        <f t="shared" si="1"/>
        <v>0</v>
      </c>
      <c r="P25" s="21" t="s">
        <v>2</v>
      </c>
    </row>
    <row r="26" spans="1:16" x14ac:dyDescent="0.2">
      <c r="A26" s="7" t="s">
        <v>61</v>
      </c>
      <c r="B26" s="32"/>
      <c r="C26" s="30"/>
      <c r="D26" s="76"/>
      <c r="E26" s="30"/>
      <c r="F26" s="30"/>
      <c r="G26" s="30"/>
      <c r="H26" s="107"/>
      <c r="I26" s="30"/>
      <c r="J26" s="76"/>
      <c r="K26" s="21"/>
      <c r="L26" s="746"/>
      <c r="M26" s="76"/>
      <c r="N26" s="72">
        <f t="shared" si="1"/>
        <v>0</v>
      </c>
      <c r="P26" s="21" t="s">
        <v>2</v>
      </c>
    </row>
    <row r="27" spans="1:16" x14ac:dyDescent="0.2">
      <c r="A27" s="7" t="s">
        <v>62</v>
      </c>
      <c r="B27" s="32">
        <v>10000</v>
      </c>
      <c r="C27" s="30"/>
      <c r="D27" s="80"/>
      <c r="E27" s="30"/>
      <c r="F27" s="30"/>
      <c r="G27" s="30"/>
      <c r="H27" s="152"/>
      <c r="I27" s="30"/>
      <c r="J27" s="80"/>
      <c r="K27" s="21"/>
      <c r="L27" s="746"/>
      <c r="M27" s="80"/>
      <c r="N27" s="72">
        <f t="shared" si="1"/>
        <v>10000</v>
      </c>
      <c r="P27" s="21" t="s">
        <v>2</v>
      </c>
    </row>
    <row r="28" spans="1:16" x14ac:dyDescent="0.2">
      <c r="A28" s="7" t="s">
        <v>185</v>
      </c>
      <c r="B28" s="32"/>
      <c r="C28" s="30"/>
      <c r="D28" s="80"/>
      <c r="E28" s="30"/>
      <c r="F28" s="30"/>
      <c r="G28" s="30"/>
      <c r="H28" s="152"/>
      <c r="I28" s="30"/>
      <c r="J28" s="80"/>
      <c r="K28" s="21"/>
      <c r="L28" s="746"/>
      <c r="M28" s="80"/>
      <c r="N28" s="72">
        <f t="shared" si="1"/>
        <v>0</v>
      </c>
      <c r="P28" s="21"/>
    </row>
    <row r="29" spans="1:16" x14ac:dyDescent="0.2">
      <c r="A29" s="216" t="s">
        <v>187</v>
      </c>
      <c r="B29" s="32"/>
      <c r="C29" s="30"/>
      <c r="D29" s="80"/>
      <c r="E29" s="30"/>
      <c r="F29" s="30"/>
      <c r="G29" s="30"/>
      <c r="H29" s="152"/>
      <c r="I29" s="30"/>
      <c r="J29" s="80"/>
      <c r="K29" s="100"/>
      <c r="L29" s="746"/>
      <c r="M29" s="80"/>
      <c r="N29" s="72">
        <f t="shared" si="1"/>
        <v>0</v>
      </c>
      <c r="P29" s="21"/>
    </row>
    <row r="30" spans="1:16" x14ac:dyDescent="0.2">
      <c r="A30" s="7" t="s">
        <v>63</v>
      </c>
      <c r="B30" s="32">
        <f>11.7+0.3</f>
        <v>12</v>
      </c>
      <c r="C30" s="30"/>
      <c r="D30" s="80"/>
      <c r="E30" s="30"/>
      <c r="F30" s="30"/>
      <c r="G30" s="30"/>
      <c r="H30" s="107"/>
      <c r="I30" s="30"/>
      <c r="J30" s="80"/>
      <c r="K30" s="100"/>
      <c r="L30" s="746"/>
      <c r="M30" s="80"/>
      <c r="N30" s="72">
        <f t="shared" si="1"/>
        <v>12</v>
      </c>
      <c r="P30" s="21" t="s">
        <v>2</v>
      </c>
    </row>
    <row r="31" spans="1:16" x14ac:dyDescent="0.2">
      <c r="A31" s="7" t="s">
        <v>64</v>
      </c>
      <c r="B31" s="32"/>
      <c r="C31" s="30"/>
      <c r="D31" s="80"/>
      <c r="E31" s="30"/>
      <c r="F31" s="30"/>
      <c r="G31" s="30"/>
      <c r="H31" s="152"/>
      <c r="I31" s="30"/>
      <c r="J31" s="80"/>
      <c r="K31" s="100"/>
      <c r="L31" s="746"/>
      <c r="M31" s="80"/>
      <c r="N31" s="72">
        <f t="shared" si="1"/>
        <v>0</v>
      </c>
      <c r="P31" s="21" t="s">
        <v>118</v>
      </c>
    </row>
    <row r="32" spans="1:16" x14ac:dyDescent="0.2">
      <c r="A32" s="7" t="s">
        <v>87</v>
      </c>
      <c r="B32" s="32">
        <f>2715.58+46725+50000+0.42</f>
        <v>99441</v>
      </c>
      <c r="C32" s="30"/>
      <c r="D32" s="76"/>
      <c r="E32" s="30"/>
      <c r="F32" s="30"/>
      <c r="G32" s="30"/>
      <c r="H32" s="152"/>
      <c r="I32" s="30"/>
      <c r="J32" s="80"/>
      <c r="K32" s="21"/>
      <c r="L32" s="746"/>
      <c r="M32" s="76"/>
      <c r="N32" s="72">
        <f t="shared" si="1"/>
        <v>99441</v>
      </c>
      <c r="P32" s="21" t="s">
        <v>2</v>
      </c>
    </row>
    <row r="33" spans="1:16" x14ac:dyDescent="0.2">
      <c r="A33" s="7" t="s">
        <v>203</v>
      </c>
      <c r="B33" s="32"/>
      <c r="C33" s="30"/>
      <c r="D33" s="80"/>
      <c r="E33" s="30"/>
      <c r="F33" s="30"/>
      <c r="G33" s="30"/>
      <c r="H33" s="107"/>
      <c r="I33" s="30"/>
      <c r="J33" s="80"/>
      <c r="K33" s="100"/>
      <c r="L33" s="746"/>
      <c r="M33" s="80"/>
      <c r="N33" s="72">
        <f t="shared" si="1"/>
        <v>0</v>
      </c>
      <c r="P33" s="21" t="s">
        <v>2</v>
      </c>
    </row>
    <row r="34" spans="1:16" x14ac:dyDescent="0.2">
      <c r="A34" s="7" t="s">
        <v>65</v>
      </c>
      <c r="B34" s="32">
        <v>53513</v>
      </c>
      <c r="C34" s="30"/>
      <c r="D34" s="76"/>
      <c r="E34" s="30"/>
      <c r="F34" s="30"/>
      <c r="G34" s="30"/>
      <c r="H34" s="107"/>
      <c r="I34" s="30"/>
      <c r="J34" s="80"/>
      <c r="K34" s="100"/>
      <c r="L34" s="746"/>
      <c r="M34" s="80"/>
      <c r="N34" s="72">
        <f t="shared" si="1"/>
        <v>53513</v>
      </c>
      <c r="P34" s="21" t="s">
        <v>118</v>
      </c>
    </row>
    <row r="35" spans="1:16" x14ac:dyDescent="0.2">
      <c r="A35" s="7" t="s">
        <v>66</v>
      </c>
      <c r="B35" s="32"/>
      <c r="C35" s="30"/>
      <c r="D35" s="80"/>
      <c r="E35" s="30"/>
      <c r="F35" s="30"/>
      <c r="G35" s="30"/>
      <c r="H35" s="107"/>
      <c r="I35" s="30"/>
      <c r="J35" s="76"/>
      <c r="K35" s="100"/>
      <c r="L35" s="746"/>
      <c r="M35" s="80"/>
      <c r="N35" s="72">
        <f>SUM(B35:M35)</f>
        <v>0</v>
      </c>
      <c r="P35" s="21" t="s">
        <v>2</v>
      </c>
    </row>
    <row r="36" spans="1:16" x14ac:dyDescent="0.2">
      <c r="A36" s="7" t="s">
        <v>67</v>
      </c>
      <c r="B36" s="32">
        <f>16046.82+0.18</f>
        <v>16047</v>
      </c>
      <c r="C36" s="30"/>
      <c r="D36" s="76"/>
      <c r="E36" s="30"/>
      <c r="F36" s="30"/>
      <c r="G36" s="30"/>
      <c r="H36" s="152"/>
      <c r="I36" s="30"/>
      <c r="J36" s="76"/>
      <c r="K36" s="21"/>
      <c r="L36" s="746"/>
      <c r="M36" s="76"/>
      <c r="N36" s="72">
        <f t="shared" si="1"/>
        <v>16047</v>
      </c>
      <c r="P36" s="21" t="s">
        <v>118</v>
      </c>
    </row>
    <row r="37" spans="1:16" x14ac:dyDescent="0.2">
      <c r="A37" s="7" t="s">
        <v>68</v>
      </c>
      <c r="B37" s="32">
        <v>4008</v>
      </c>
      <c r="C37" s="30"/>
      <c r="D37" s="76"/>
      <c r="E37" s="30"/>
      <c r="F37" s="30"/>
      <c r="G37" s="30"/>
      <c r="H37" s="152"/>
      <c r="I37" s="30"/>
      <c r="J37" s="76"/>
      <c r="K37" s="21"/>
      <c r="L37" s="746"/>
      <c r="M37" s="76"/>
      <c r="N37" s="72">
        <f t="shared" si="1"/>
        <v>4008</v>
      </c>
      <c r="P37" s="21" t="s">
        <v>2</v>
      </c>
    </row>
    <row r="38" spans="1:16" x14ac:dyDescent="0.2">
      <c r="A38" s="7" t="s">
        <v>159</v>
      </c>
      <c r="B38" s="32"/>
      <c r="C38" s="30"/>
      <c r="D38" s="80"/>
      <c r="E38" s="30"/>
      <c r="F38" s="30"/>
      <c r="G38" s="30"/>
      <c r="H38" s="152"/>
      <c r="I38" s="30"/>
      <c r="J38" s="76"/>
      <c r="K38" s="100"/>
      <c r="L38" s="746"/>
      <c r="M38" s="80"/>
      <c r="N38" s="72">
        <f t="shared" si="1"/>
        <v>0</v>
      </c>
    </row>
    <row r="39" spans="1:16" x14ac:dyDescent="0.2">
      <c r="A39" s="20" t="s">
        <v>88</v>
      </c>
      <c r="B39" s="32"/>
      <c r="C39" s="30"/>
      <c r="D39" s="76"/>
      <c r="E39" s="30"/>
      <c r="F39" s="30"/>
      <c r="G39" s="30"/>
      <c r="H39" s="152"/>
      <c r="I39" s="30"/>
      <c r="J39" s="76"/>
      <c r="K39" s="21"/>
      <c r="L39" s="746"/>
      <c r="M39" s="76"/>
      <c r="N39" s="72">
        <f t="shared" si="1"/>
        <v>0</v>
      </c>
    </row>
    <row r="40" spans="1:16" ht="13.5" thickBot="1" x14ac:dyDescent="0.25">
      <c r="A40" s="7" t="s">
        <v>69</v>
      </c>
      <c r="B40" s="32">
        <f>77000</f>
        <v>77000</v>
      </c>
      <c r="C40" s="30"/>
      <c r="D40" s="76"/>
      <c r="E40" s="30"/>
      <c r="F40" s="30"/>
      <c r="G40" s="30"/>
      <c r="H40" s="152"/>
      <c r="I40" s="30"/>
      <c r="J40" s="76"/>
      <c r="K40" s="21"/>
      <c r="L40" s="747"/>
      <c r="M40" s="76"/>
      <c r="N40" s="72">
        <f t="shared" si="1"/>
        <v>77000</v>
      </c>
    </row>
    <row r="41" spans="1:16" ht="13.5" thickBot="1" x14ac:dyDescent="0.25">
      <c r="A41" s="23" t="s">
        <v>70</v>
      </c>
      <c r="B41" s="24">
        <f>SUM(B42:B51)</f>
        <v>458584</v>
      </c>
      <c r="C41" s="24">
        <f>SUM(C42:C51)</f>
        <v>0</v>
      </c>
      <c r="D41" s="31">
        <f t="shared" ref="D41" si="7">SUM(D42:D51)</f>
        <v>0</v>
      </c>
      <c r="E41" s="24">
        <f>SUM(E42:E51)</f>
        <v>0</v>
      </c>
      <c r="F41" s="24">
        <f>SUM(F42:F51)</f>
        <v>0</v>
      </c>
      <c r="G41" s="74">
        <f t="shared" ref="G41:L41" si="8">SUM(G42:G51)</f>
        <v>0</v>
      </c>
      <c r="H41" s="217">
        <f>SUM(H42:H51)</f>
        <v>0</v>
      </c>
      <c r="I41" s="74">
        <f t="shared" si="8"/>
        <v>0</v>
      </c>
      <c r="J41" s="31">
        <f>SUM(J42:J51)</f>
        <v>0</v>
      </c>
      <c r="K41" s="75">
        <f t="shared" si="8"/>
        <v>0</v>
      </c>
      <c r="L41" s="31">
        <f t="shared" si="8"/>
        <v>0</v>
      </c>
      <c r="M41" s="31">
        <f>SUM(M42:M51)</f>
        <v>0</v>
      </c>
      <c r="N41" s="98">
        <f t="shared" ref="N41:N64" si="9">SUM(B41:M41)</f>
        <v>458584</v>
      </c>
      <c r="O41" s="3"/>
      <c r="P41" s="3"/>
    </row>
    <row r="42" spans="1:16" x14ac:dyDescent="0.2">
      <c r="A42" s="7" t="s">
        <v>71</v>
      </c>
      <c r="B42" s="30"/>
      <c r="C42" s="32"/>
      <c r="D42" s="76"/>
      <c r="E42" s="32"/>
      <c r="F42" s="32"/>
      <c r="G42" s="32"/>
      <c r="H42" s="152"/>
      <c r="I42" s="32"/>
      <c r="J42" s="76"/>
      <c r="K42" s="21"/>
      <c r="L42" s="76"/>
      <c r="M42" s="76"/>
      <c r="N42" s="72">
        <f t="shared" si="9"/>
        <v>0</v>
      </c>
      <c r="O42" s="3"/>
      <c r="P42" s="3"/>
    </row>
    <row r="43" spans="1:16" x14ac:dyDescent="0.2">
      <c r="A43" s="7" t="s">
        <v>72</v>
      </c>
      <c r="B43" s="30">
        <v>25280</v>
      </c>
      <c r="C43" s="32"/>
      <c r="D43" s="76"/>
      <c r="E43" s="32"/>
      <c r="F43" s="32"/>
      <c r="G43" s="32"/>
      <c r="H43" s="152"/>
      <c r="I43" s="32"/>
      <c r="J43" s="76"/>
      <c r="K43" s="21"/>
      <c r="L43" s="76"/>
      <c r="M43" s="76"/>
      <c r="N43" s="72">
        <f t="shared" si="9"/>
        <v>25280</v>
      </c>
      <c r="O43" s="3"/>
    </row>
    <row r="44" spans="1:16" x14ac:dyDescent="0.2">
      <c r="A44" s="7" t="s">
        <v>157</v>
      </c>
      <c r="B44" s="30">
        <v>73333</v>
      </c>
      <c r="C44" s="32"/>
      <c r="D44" s="76"/>
      <c r="E44" s="32"/>
      <c r="F44" s="32"/>
      <c r="G44" s="32"/>
      <c r="H44" s="152"/>
      <c r="I44" s="32"/>
      <c r="J44" s="76"/>
      <c r="K44" s="21"/>
      <c r="L44" s="76"/>
      <c r="M44" s="76"/>
      <c r="N44" s="72">
        <f t="shared" si="9"/>
        <v>73333</v>
      </c>
      <c r="O44" s="3"/>
    </row>
    <row r="45" spans="1:16" x14ac:dyDescent="0.2">
      <c r="A45" s="7" t="s">
        <v>73</v>
      </c>
      <c r="B45" s="30"/>
      <c r="C45" s="32"/>
      <c r="D45" s="76"/>
      <c r="E45" s="32"/>
      <c r="F45" s="32"/>
      <c r="G45" s="32"/>
      <c r="H45" s="152"/>
      <c r="I45" s="32"/>
      <c r="J45" s="76"/>
      <c r="K45" s="21"/>
      <c r="L45" s="76"/>
      <c r="M45" s="76"/>
      <c r="N45" s="72">
        <f t="shared" si="9"/>
        <v>0</v>
      </c>
      <c r="O45" s="3"/>
    </row>
    <row r="46" spans="1:16" x14ac:dyDescent="0.2">
      <c r="A46" s="7" t="s">
        <v>74</v>
      </c>
      <c r="B46" s="30">
        <v>348690</v>
      </c>
      <c r="C46" s="32"/>
      <c r="D46" s="76"/>
      <c r="E46" s="32"/>
      <c r="F46" s="32"/>
      <c r="G46" s="32"/>
      <c r="H46" s="152"/>
      <c r="I46" s="32"/>
      <c r="J46" s="76"/>
      <c r="K46" s="21"/>
      <c r="L46" s="76"/>
      <c r="M46" s="76"/>
      <c r="N46" s="72">
        <f t="shared" si="9"/>
        <v>348690</v>
      </c>
      <c r="O46" s="3"/>
    </row>
    <row r="47" spans="1:16" x14ac:dyDescent="0.2">
      <c r="A47" s="7" t="s">
        <v>105</v>
      </c>
      <c r="B47" s="30"/>
      <c r="C47" s="32"/>
      <c r="D47" s="76"/>
      <c r="E47" s="32"/>
      <c r="F47" s="32"/>
      <c r="G47" s="32"/>
      <c r="H47" s="152"/>
      <c r="I47" s="32"/>
      <c r="J47" s="76"/>
      <c r="K47" s="21"/>
      <c r="L47" s="76"/>
      <c r="M47" s="76"/>
      <c r="N47" s="72">
        <f t="shared" si="9"/>
        <v>0</v>
      </c>
      <c r="O47" s="3"/>
    </row>
    <row r="48" spans="1:16" x14ac:dyDescent="0.2">
      <c r="A48" s="7" t="s">
        <v>182</v>
      </c>
      <c r="B48" s="30"/>
      <c r="C48" s="32"/>
      <c r="D48" s="76"/>
      <c r="E48" s="32"/>
      <c r="F48" s="32"/>
      <c r="G48" s="32"/>
      <c r="H48" s="152"/>
      <c r="I48" s="32"/>
      <c r="J48" s="76"/>
      <c r="K48" s="21"/>
      <c r="L48" s="76"/>
      <c r="M48" s="76"/>
      <c r="N48" s="72">
        <f t="shared" si="9"/>
        <v>0</v>
      </c>
      <c r="O48" s="3"/>
    </row>
    <row r="49" spans="1:15" x14ac:dyDescent="0.2">
      <c r="A49" s="7" t="s">
        <v>103</v>
      </c>
      <c r="B49" s="30"/>
      <c r="C49" s="32"/>
      <c r="D49" s="76"/>
      <c r="E49" s="32"/>
      <c r="F49" s="32"/>
      <c r="G49" s="32"/>
      <c r="H49" s="152"/>
      <c r="I49" s="32"/>
      <c r="J49" s="76"/>
      <c r="K49" s="21"/>
      <c r="L49" s="76"/>
      <c r="M49" s="76"/>
      <c r="N49" s="72">
        <f t="shared" si="9"/>
        <v>0</v>
      </c>
      <c r="O49" s="3"/>
    </row>
    <row r="50" spans="1:15" x14ac:dyDescent="0.2">
      <c r="A50" s="7" t="s">
        <v>180</v>
      </c>
      <c r="B50" s="30">
        <v>11281</v>
      </c>
      <c r="C50" s="32"/>
      <c r="D50" s="76"/>
      <c r="E50" s="30"/>
      <c r="F50" s="32"/>
      <c r="G50" s="32"/>
      <c r="H50" s="152"/>
      <c r="I50" s="32"/>
      <c r="J50" s="76"/>
      <c r="K50" s="21"/>
      <c r="L50" s="76"/>
      <c r="M50" s="76"/>
      <c r="N50" s="72">
        <f t="shared" si="9"/>
        <v>11281</v>
      </c>
      <c r="O50" s="3"/>
    </row>
    <row r="51" spans="1:15" ht="13.5" thickBot="1" x14ac:dyDescent="0.25">
      <c r="A51" s="7" t="s">
        <v>75</v>
      </c>
      <c r="B51" s="30"/>
      <c r="C51" s="30"/>
      <c r="D51" s="76"/>
      <c r="E51" s="76"/>
      <c r="F51" s="76"/>
      <c r="G51" s="76"/>
      <c r="H51" s="152"/>
      <c r="I51" s="32"/>
      <c r="J51" s="76"/>
      <c r="K51" s="21"/>
      <c r="L51" s="76"/>
      <c r="M51" s="76"/>
      <c r="N51" s="72">
        <f t="shared" si="9"/>
        <v>0</v>
      </c>
      <c r="O51" s="3"/>
    </row>
    <row r="52" spans="1:15" ht="13.5" thickBot="1" x14ac:dyDescent="0.25">
      <c r="A52" s="23" t="s">
        <v>76</v>
      </c>
      <c r="B52" s="24">
        <f>SUM(B53:B64)</f>
        <v>67213</v>
      </c>
      <c r="C52" s="24">
        <f t="shared" ref="C52:K52" si="10">SUM(C53:C64)</f>
        <v>0</v>
      </c>
      <c r="D52" s="24">
        <f>SUM(D53:D64)</f>
        <v>0</v>
      </c>
      <c r="E52" s="24">
        <f t="shared" si="10"/>
        <v>0</v>
      </c>
      <c r="F52" s="24">
        <f>SUM(F53:F64)</f>
        <v>0</v>
      </c>
      <c r="G52" s="74">
        <f t="shared" si="10"/>
        <v>0</v>
      </c>
      <c r="H52" s="217">
        <f>SUM(H53:H64)</f>
        <v>0</v>
      </c>
      <c r="I52" s="74">
        <f t="shared" si="10"/>
        <v>0</v>
      </c>
      <c r="J52" s="31">
        <f>SUM(J53:J64)</f>
        <v>0</v>
      </c>
      <c r="K52" s="75">
        <f t="shared" si="10"/>
        <v>0</v>
      </c>
      <c r="L52" s="31">
        <f>SUM(L53:L64)</f>
        <v>0</v>
      </c>
      <c r="M52" s="31">
        <f>SUM(M53:M64)</f>
        <v>0</v>
      </c>
      <c r="N52" s="98">
        <f t="shared" si="9"/>
        <v>67213</v>
      </c>
    </row>
    <row r="53" spans="1:15" x14ac:dyDescent="0.2">
      <c r="A53" s="7" t="s">
        <v>77</v>
      </c>
      <c r="B53" s="30"/>
      <c r="C53" s="89"/>
      <c r="D53" s="93"/>
      <c r="E53" s="21"/>
      <c r="F53" s="89"/>
      <c r="G53" s="21"/>
      <c r="H53" s="252"/>
      <c r="I53" s="86"/>
      <c r="J53" s="32"/>
      <c r="K53" s="92"/>
      <c r="L53" s="93"/>
      <c r="M53" s="94"/>
      <c r="N53" s="72">
        <f t="shared" si="9"/>
        <v>0</v>
      </c>
      <c r="O53" s="3"/>
    </row>
    <row r="54" spans="1:15" x14ac:dyDescent="0.2">
      <c r="A54" s="7" t="s">
        <v>210</v>
      </c>
      <c r="B54" s="30"/>
      <c r="C54" s="76"/>
      <c r="D54" s="94"/>
      <c r="E54" s="21"/>
      <c r="F54" s="76"/>
      <c r="G54" s="21"/>
      <c r="H54" s="152"/>
      <c r="I54" s="21"/>
      <c r="J54" s="95"/>
      <c r="K54" s="95"/>
      <c r="L54" s="94"/>
      <c r="M54" s="94"/>
      <c r="N54" s="72">
        <f t="shared" si="9"/>
        <v>0</v>
      </c>
      <c r="O54" s="3"/>
    </row>
    <row r="55" spans="1:15" x14ac:dyDescent="0.2">
      <c r="A55" s="7" t="s">
        <v>89</v>
      </c>
      <c r="B55" s="30"/>
      <c r="C55" s="76"/>
      <c r="D55" s="94"/>
      <c r="E55" s="21"/>
      <c r="F55" s="76"/>
      <c r="G55" s="21"/>
      <c r="H55" s="152"/>
      <c r="I55" s="21"/>
      <c r="J55" s="32"/>
      <c r="K55" s="95"/>
      <c r="L55" s="94"/>
      <c r="M55" s="94"/>
      <c r="N55" s="72">
        <f t="shared" si="9"/>
        <v>0</v>
      </c>
      <c r="O55" s="3"/>
    </row>
    <row r="56" spans="1:15" x14ac:dyDescent="0.2">
      <c r="A56" s="7" t="s">
        <v>78</v>
      </c>
      <c r="B56" s="30">
        <v>161</v>
      </c>
      <c r="C56" s="76"/>
      <c r="D56" s="76"/>
      <c r="E56" s="21"/>
      <c r="F56" s="76"/>
      <c r="G56" s="21"/>
      <c r="H56" s="152"/>
      <c r="I56" s="21"/>
      <c r="J56" s="115"/>
      <c r="K56" s="32"/>
      <c r="L56" s="76"/>
      <c r="M56" s="76"/>
      <c r="N56" s="72">
        <f>SUM(B56:M56)</f>
        <v>161</v>
      </c>
      <c r="O56" s="3"/>
    </row>
    <row r="57" spans="1:15" x14ac:dyDescent="0.2">
      <c r="A57" s="7" t="s">
        <v>149</v>
      </c>
      <c r="B57" s="30">
        <v>62700</v>
      </c>
      <c r="C57" s="76"/>
      <c r="D57" s="76"/>
      <c r="E57" s="21"/>
      <c r="F57" s="76"/>
      <c r="G57" s="21"/>
      <c r="H57" s="152"/>
      <c r="I57" s="21"/>
      <c r="J57" s="32"/>
      <c r="K57" s="32"/>
      <c r="L57" s="76"/>
      <c r="M57" s="76"/>
      <c r="N57" s="72">
        <f t="shared" si="9"/>
        <v>62700</v>
      </c>
      <c r="O57" s="3"/>
    </row>
    <row r="58" spans="1:15" x14ac:dyDescent="0.2">
      <c r="A58" s="7" t="s">
        <v>79</v>
      </c>
      <c r="B58" s="30"/>
      <c r="C58" s="76"/>
      <c r="D58" s="94"/>
      <c r="E58" s="21"/>
      <c r="F58" s="76"/>
      <c r="G58" s="21"/>
      <c r="H58" s="152"/>
      <c r="I58" s="21"/>
      <c r="J58" s="32"/>
      <c r="K58" s="95"/>
      <c r="L58" s="94"/>
      <c r="M58" s="94"/>
      <c r="N58" s="72">
        <f t="shared" si="9"/>
        <v>0</v>
      </c>
      <c r="O58" s="3"/>
    </row>
    <row r="59" spans="1:15" x14ac:dyDescent="0.2">
      <c r="A59" s="7" t="s">
        <v>80</v>
      </c>
      <c r="B59" s="30">
        <v>3040</v>
      </c>
      <c r="C59" s="76"/>
      <c r="D59" s="76"/>
      <c r="E59" s="21"/>
      <c r="F59" s="76"/>
      <c r="G59" s="21"/>
      <c r="H59" s="152"/>
      <c r="I59" s="21"/>
      <c r="J59" s="32"/>
      <c r="K59" s="32"/>
      <c r="L59" s="76"/>
      <c r="M59" s="94"/>
      <c r="N59" s="72">
        <f t="shared" si="9"/>
        <v>3040</v>
      </c>
      <c r="O59" s="3"/>
    </row>
    <row r="60" spans="1:15" x14ac:dyDescent="0.2">
      <c r="A60" s="7" t="s">
        <v>81</v>
      </c>
      <c r="B60" s="30"/>
      <c r="C60" s="76"/>
      <c r="D60" s="76"/>
      <c r="E60" s="21"/>
      <c r="F60" s="76"/>
      <c r="G60" s="21"/>
      <c r="H60" s="152"/>
      <c r="I60" s="21"/>
      <c r="J60" s="133"/>
      <c r="K60" s="32"/>
      <c r="L60" s="76"/>
      <c r="M60" s="76"/>
      <c r="N60" s="72">
        <f t="shared" si="9"/>
        <v>0</v>
      </c>
      <c r="O60" s="3"/>
    </row>
    <row r="61" spans="1:15" x14ac:dyDescent="0.2">
      <c r="A61" s="7" t="s">
        <v>119</v>
      </c>
      <c r="B61" s="30">
        <v>1312</v>
      </c>
      <c r="C61" s="76"/>
      <c r="D61" s="76"/>
      <c r="E61" s="21"/>
      <c r="F61" s="76"/>
      <c r="G61" s="21"/>
      <c r="H61" s="152"/>
      <c r="I61" s="21"/>
      <c r="J61" s="32"/>
      <c r="K61" s="32"/>
      <c r="L61" s="76"/>
      <c r="M61" s="76"/>
      <c r="N61" s="72">
        <f t="shared" si="9"/>
        <v>1312</v>
      </c>
      <c r="O61" s="3"/>
    </row>
    <row r="62" spans="1:15" x14ac:dyDescent="0.2">
      <c r="A62" s="7" t="s">
        <v>82</v>
      </c>
      <c r="B62" s="30"/>
      <c r="C62" s="76"/>
      <c r="D62" s="76"/>
      <c r="E62" s="21"/>
      <c r="F62" s="76"/>
      <c r="G62" s="21"/>
      <c r="H62" s="152"/>
      <c r="I62" s="21"/>
      <c r="J62" s="32"/>
      <c r="K62" s="32"/>
      <c r="L62" s="76"/>
      <c r="M62" s="76"/>
      <c r="N62" s="72">
        <f>SUM(B62:M62)</f>
        <v>0</v>
      </c>
      <c r="O62" s="3"/>
    </row>
    <row r="63" spans="1:15" x14ac:dyDescent="0.2">
      <c r="A63" s="7" t="s">
        <v>104</v>
      </c>
      <c r="B63" s="25"/>
      <c r="C63" s="72"/>
      <c r="D63" s="8"/>
      <c r="E63" s="25"/>
      <c r="F63" s="72"/>
      <c r="G63" s="25"/>
      <c r="H63" s="253"/>
      <c r="I63" s="25"/>
      <c r="J63" s="11"/>
      <c r="K63" s="11"/>
      <c r="L63" s="8"/>
      <c r="M63" s="76"/>
      <c r="N63" s="72">
        <f t="shared" si="9"/>
        <v>0</v>
      </c>
      <c r="O63" s="3"/>
    </row>
    <row r="64" spans="1:15" ht="13.5" thickBot="1" x14ac:dyDescent="0.25">
      <c r="A64" s="7" t="s">
        <v>134</v>
      </c>
      <c r="C64" s="99"/>
      <c r="D64" s="8"/>
      <c r="F64" s="8"/>
      <c r="H64" s="254"/>
      <c r="I64" s="21"/>
      <c r="J64" s="11"/>
      <c r="K64" s="11"/>
      <c r="L64" s="8"/>
      <c r="M64" s="8"/>
      <c r="N64" s="72">
        <f t="shared" si="9"/>
        <v>0</v>
      </c>
      <c r="O64" s="3"/>
    </row>
    <row r="65" spans="1:254" ht="13.5" thickBot="1" x14ac:dyDescent="0.25">
      <c r="A65" s="73" t="s">
        <v>18</v>
      </c>
      <c r="B65" s="74">
        <f>SUM(B52+B41+B3)</f>
        <v>961721</v>
      </c>
      <c r="C65" s="74">
        <f>SUM(C52+C41+C3)</f>
        <v>0</v>
      </c>
      <c r="D65" s="74">
        <f>SUM(D52+D41+D3)</f>
        <v>0</v>
      </c>
      <c r="E65" s="74">
        <f t="shared" ref="E65:M65" si="11">SUM(E52+E41+E3)</f>
        <v>0</v>
      </c>
      <c r="F65" s="74">
        <f t="shared" si="11"/>
        <v>0</v>
      </c>
      <c r="G65" s="74">
        <f t="shared" si="11"/>
        <v>0</v>
      </c>
      <c r="H65" s="74">
        <f t="shared" si="11"/>
        <v>0</v>
      </c>
      <c r="I65" s="74">
        <f>SUM(I52+I41+I3)</f>
        <v>0</v>
      </c>
      <c r="J65" s="74">
        <f t="shared" si="11"/>
        <v>0</v>
      </c>
      <c r="K65" s="74">
        <f>SUM(K52+K41+K3)</f>
        <v>0</v>
      </c>
      <c r="L65" s="74">
        <f t="shared" si="11"/>
        <v>0</v>
      </c>
      <c r="M65" s="74">
        <f t="shared" si="11"/>
        <v>0</v>
      </c>
      <c r="N65" s="31">
        <f>SUM(N52+N41+N3)</f>
        <v>961721</v>
      </c>
      <c r="O65" s="110"/>
      <c r="P65" s="3"/>
    </row>
    <row r="66" spans="1:254" x14ac:dyDescent="0.2">
      <c r="I66" s="4"/>
      <c r="M66" s="215"/>
      <c r="N66" s="214"/>
    </row>
    <row r="67" spans="1:254" x14ac:dyDescent="0.2">
      <c r="A67" s="2" t="s">
        <v>90</v>
      </c>
      <c r="B67" s="25">
        <f>ROUND((B3),0)</f>
        <v>435924</v>
      </c>
      <c r="C67" s="25">
        <f t="shared" ref="C67:G67" si="12">ROUND((C3),0)</f>
        <v>0</v>
      </c>
      <c r="D67" s="25">
        <f>ROUND((D3),0)</f>
        <v>0</v>
      </c>
      <c r="E67" s="25">
        <f>ROUND((E3),0)</f>
        <v>0</v>
      </c>
      <c r="F67" s="25">
        <f>ROUND((F3),0)</f>
        <v>0</v>
      </c>
      <c r="G67" s="25">
        <f t="shared" si="12"/>
        <v>0</v>
      </c>
      <c r="H67" s="255">
        <f>ROUND((H3),0)</f>
        <v>0</v>
      </c>
      <c r="I67" s="25">
        <f>ROUND((I3),0)</f>
        <v>0</v>
      </c>
      <c r="J67" s="25">
        <f>ROUND((J3),0)</f>
        <v>0</v>
      </c>
      <c r="K67" s="25">
        <f t="shared" ref="K67:M67" si="13">ROUND((K3),0)</f>
        <v>0</v>
      </c>
      <c r="L67" s="25">
        <f>ROUND((L3),0)</f>
        <v>0</v>
      </c>
      <c r="M67" s="25">
        <f t="shared" si="13"/>
        <v>0</v>
      </c>
      <c r="N67" s="25">
        <f>ROUND((N3),0)</f>
        <v>435924</v>
      </c>
    </row>
    <row r="68" spans="1:254" x14ac:dyDescent="0.2">
      <c r="A68" s="3" t="str">
        <f>A52</f>
        <v>Selling Expenses</v>
      </c>
      <c r="B68" s="3">
        <f>ROUND((B52),0)</f>
        <v>67213</v>
      </c>
      <c r="C68" s="3">
        <f t="shared" ref="C68:G68" si="14">ROUND((C52),0)</f>
        <v>0</v>
      </c>
      <c r="D68" s="3">
        <f>ROUND((D52),0)</f>
        <v>0</v>
      </c>
      <c r="E68" s="3">
        <f>ROUND((E52),0)</f>
        <v>0</v>
      </c>
      <c r="F68" s="3">
        <f>ROUND((F52),0)</f>
        <v>0</v>
      </c>
      <c r="G68" s="3">
        <f t="shared" si="14"/>
        <v>0</v>
      </c>
      <c r="H68" s="149">
        <f>ROUND((H52),0)</f>
        <v>0</v>
      </c>
      <c r="I68" s="3">
        <f>ROUND((I52),0)</f>
        <v>0</v>
      </c>
      <c r="J68" s="3">
        <f>ROUND((J52),0)</f>
        <v>0</v>
      </c>
      <c r="K68" s="3">
        <f t="shared" ref="K68:M68" si="15">ROUND((K52),0)</f>
        <v>0</v>
      </c>
      <c r="L68" s="3">
        <f>ROUND((L52),0)</f>
        <v>0</v>
      </c>
      <c r="M68" s="3">
        <f t="shared" si="15"/>
        <v>0</v>
      </c>
      <c r="N68" s="3">
        <f>ROUND((N52),0)</f>
        <v>67213</v>
      </c>
      <c r="O68" s="3">
        <f t="shared" ref="O68:BJ70" si="16">O42</f>
        <v>0</v>
      </c>
      <c r="P68" s="3">
        <f t="shared" si="16"/>
        <v>0</v>
      </c>
      <c r="AE68" s="3">
        <f t="shared" si="16"/>
        <v>0</v>
      </c>
      <c r="AF68" s="3">
        <f t="shared" si="16"/>
        <v>0</v>
      </c>
      <c r="AG68" s="3">
        <f t="shared" si="16"/>
        <v>0</v>
      </c>
      <c r="AH68" s="3">
        <f t="shared" si="16"/>
        <v>0</v>
      </c>
      <c r="AI68" s="3">
        <f t="shared" si="16"/>
        <v>0</v>
      </c>
      <c r="AJ68" s="3">
        <f t="shared" si="16"/>
        <v>0</v>
      </c>
      <c r="AK68" s="3">
        <f t="shared" si="16"/>
        <v>0</v>
      </c>
      <c r="AL68" s="3">
        <f t="shared" si="16"/>
        <v>0</v>
      </c>
      <c r="AM68" s="3">
        <f t="shared" si="16"/>
        <v>0</v>
      </c>
      <c r="AN68" s="3">
        <f t="shared" si="16"/>
        <v>0</v>
      </c>
      <c r="AO68" s="3">
        <f t="shared" si="16"/>
        <v>0</v>
      </c>
      <c r="AP68" s="3">
        <f t="shared" si="16"/>
        <v>0</v>
      </c>
      <c r="AQ68" s="3">
        <f t="shared" si="16"/>
        <v>0</v>
      </c>
      <c r="AR68" s="3">
        <f t="shared" si="16"/>
        <v>0</v>
      </c>
      <c r="AS68" s="3">
        <f t="shared" si="16"/>
        <v>0</v>
      </c>
      <c r="AT68" s="3">
        <f t="shared" si="16"/>
        <v>0</v>
      </c>
      <c r="AU68" s="3">
        <f t="shared" si="16"/>
        <v>0</v>
      </c>
      <c r="AV68" s="3">
        <f t="shared" si="16"/>
        <v>0</v>
      </c>
      <c r="AW68" s="3">
        <f t="shared" si="16"/>
        <v>0</v>
      </c>
      <c r="AX68" s="3">
        <f t="shared" si="16"/>
        <v>0</v>
      </c>
      <c r="AY68" s="3">
        <f t="shared" si="16"/>
        <v>0</v>
      </c>
      <c r="AZ68" s="3">
        <f t="shared" si="16"/>
        <v>0</v>
      </c>
      <c r="BA68" s="3">
        <f t="shared" si="16"/>
        <v>0</v>
      </c>
      <c r="BB68" s="3">
        <f t="shared" si="16"/>
        <v>0</v>
      </c>
      <c r="BC68" s="3">
        <f t="shared" si="16"/>
        <v>0</v>
      </c>
      <c r="BD68" s="3">
        <f t="shared" si="16"/>
        <v>0</v>
      </c>
      <c r="BE68" s="3">
        <f t="shared" si="16"/>
        <v>0</v>
      </c>
      <c r="BF68" s="3">
        <f t="shared" si="16"/>
        <v>0</v>
      </c>
      <c r="BG68" s="3">
        <f t="shared" si="16"/>
        <v>0</v>
      </c>
      <c r="BH68" s="3">
        <f t="shared" si="16"/>
        <v>0</v>
      </c>
      <c r="BI68" s="3">
        <f t="shared" si="16"/>
        <v>0</v>
      </c>
      <c r="BJ68" s="3">
        <f t="shared" si="16"/>
        <v>0</v>
      </c>
      <c r="BK68" s="3">
        <f t="shared" ref="BK68:DV68" si="17">BK42</f>
        <v>0</v>
      </c>
      <c r="BL68" s="3">
        <f t="shared" si="17"/>
        <v>0</v>
      </c>
      <c r="BM68" s="3">
        <f t="shared" si="17"/>
        <v>0</v>
      </c>
      <c r="BN68" s="3">
        <f t="shared" si="17"/>
        <v>0</v>
      </c>
      <c r="BO68" s="3">
        <f t="shared" si="17"/>
        <v>0</v>
      </c>
      <c r="BP68" s="3">
        <f t="shared" si="17"/>
        <v>0</v>
      </c>
      <c r="BQ68" s="3">
        <f t="shared" si="17"/>
        <v>0</v>
      </c>
      <c r="BR68" s="3">
        <f t="shared" si="17"/>
        <v>0</v>
      </c>
      <c r="BS68" s="3">
        <f t="shared" si="17"/>
        <v>0</v>
      </c>
      <c r="BT68" s="3">
        <f t="shared" si="17"/>
        <v>0</v>
      </c>
      <c r="BU68" s="3">
        <f t="shared" si="17"/>
        <v>0</v>
      </c>
      <c r="BV68" s="3">
        <f t="shared" si="17"/>
        <v>0</v>
      </c>
      <c r="BW68" s="3">
        <f t="shared" si="17"/>
        <v>0</v>
      </c>
      <c r="BX68" s="3">
        <f t="shared" si="17"/>
        <v>0</v>
      </c>
      <c r="BY68" s="3">
        <f t="shared" si="17"/>
        <v>0</v>
      </c>
      <c r="BZ68" s="3">
        <f t="shared" si="17"/>
        <v>0</v>
      </c>
      <c r="CA68" s="3">
        <f t="shared" si="17"/>
        <v>0</v>
      </c>
      <c r="CB68" s="3">
        <f t="shared" si="17"/>
        <v>0</v>
      </c>
      <c r="CC68" s="3">
        <f t="shared" si="17"/>
        <v>0</v>
      </c>
      <c r="CD68" s="3">
        <f t="shared" si="17"/>
        <v>0</v>
      </c>
      <c r="CE68" s="3">
        <f t="shared" si="17"/>
        <v>0</v>
      </c>
      <c r="CF68" s="3">
        <f t="shared" si="17"/>
        <v>0</v>
      </c>
      <c r="CG68" s="3">
        <f t="shared" si="17"/>
        <v>0</v>
      </c>
      <c r="CH68" s="3">
        <f t="shared" si="17"/>
        <v>0</v>
      </c>
      <c r="CI68" s="3">
        <f t="shared" si="17"/>
        <v>0</v>
      </c>
      <c r="CJ68" s="3">
        <f t="shared" si="17"/>
        <v>0</v>
      </c>
      <c r="CK68" s="3">
        <f t="shared" si="17"/>
        <v>0</v>
      </c>
      <c r="CL68" s="3">
        <f t="shared" si="17"/>
        <v>0</v>
      </c>
      <c r="CM68" s="3">
        <f t="shared" si="17"/>
        <v>0</v>
      </c>
      <c r="CN68" s="3">
        <f t="shared" si="17"/>
        <v>0</v>
      </c>
      <c r="CO68" s="3">
        <f t="shared" si="17"/>
        <v>0</v>
      </c>
      <c r="CP68" s="3">
        <f t="shared" si="17"/>
        <v>0</v>
      </c>
      <c r="CQ68" s="3">
        <f t="shared" si="17"/>
        <v>0</v>
      </c>
      <c r="CR68" s="3">
        <f t="shared" si="17"/>
        <v>0</v>
      </c>
      <c r="CS68" s="3">
        <f t="shared" si="17"/>
        <v>0</v>
      </c>
      <c r="CT68" s="3">
        <f t="shared" si="17"/>
        <v>0</v>
      </c>
      <c r="CU68" s="3">
        <f t="shared" si="17"/>
        <v>0</v>
      </c>
      <c r="CV68" s="3">
        <f t="shared" si="17"/>
        <v>0</v>
      </c>
      <c r="CW68" s="3">
        <f t="shared" si="17"/>
        <v>0</v>
      </c>
      <c r="CX68" s="3">
        <f t="shared" si="17"/>
        <v>0</v>
      </c>
      <c r="CY68" s="3">
        <f t="shared" si="17"/>
        <v>0</v>
      </c>
      <c r="CZ68" s="3">
        <f t="shared" si="17"/>
        <v>0</v>
      </c>
      <c r="DA68" s="3">
        <f t="shared" si="17"/>
        <v>0</v>
      </c>
      <c r="DB68" s="3">
        <f t="shared" si="17"/>
        <v>0</v>
      </c>
      <c r="DC68" s="3">
        <f t="shared" si="17"/>
        <v>0</v>
      </c>
      <c r="DD68" s="3">
        <f t="shared" si="17"/>
        <v>0</v>
      </c>
      <c r="DE68" s="3">
        <f t="shared" si="17"/>
        <v>0</v>
      </c>
      <c r="DF68" s="3">
        <f t="shared" si="17"/>
        <v>0</v>
      </c>
      <c r="DG68" s="3">
        <f t="shared" si="17"/>
        <v>0</v>
      </c>
      <c r="DH68" s="3">
        <f t="shared" si="17"/>
        <v>0</v>
      </c>
      <c r="DI68" s="3">
        <f t="shared" si="17"/>
        <v>0</v>
      </c>
      <c r="DJ68" s="3">
        <f t="shared" si="17"/>
        <v>0</v>
      </c>
      <c r="DK68" s="3">
        <f t="shared" si="17"/>
        <v>0</v>
      </c>
      <c r="DL68" s="3">
        <f t="shared" si="17"/>
        <v>0</v>
      </c>
      <c r="DM68" s="3">
        <f t="shared" si="17"/>
        <v>0</v>
      </c>
      <c r="DN68" s="3">
        <f t="shared" si="17"/>
        <v>0</v>
      </c>
      <c r="DO68" s="3">
        <f t="shared" si="17"/>
        <v>0</v>
      </c>
      <c r="DP68" s="3">
        <f t="shared" si="17"/>
        <v>0</v>
      </c>
      <c r="DQ68" s="3">
        <f t="shared" si="17"/>
        <v>0</v>
      </c>
      <c r="DR68" s="3">
        <f t="shared" si="17"/>
        <v>0</v>
      </c>
      <c r="DS68" s="3">
        <f t="shared" si="17"/>
        <v>0</v>
      </c>
      <c r="DT68" s="3">
        <f t="shared" si="17"/>
        <v>0</v>
      </c>
      <c r="DU68" s="3">
        <f t="shared" si="17"/>
        <v>0</v>
      </c>
      <c r="DV68" s="3">
        <f t="shared" si="17"/>
        <v>0</v>
      </c>
      <c r="DW68" s="3">
        <f t="shared" ref="DW68:GH68" si="18">DW42</f>
        <v>0</v>
      </c>
      <c r="DX68" s="3">
        <f t="shared" si="18"/>
        <v>0</v>
      </c>
      <c r="DY68" s="3">
        <f t="shared" si="18"/>
        <v>0</v>
      </c>
      <c r="DZ68" s="3">
        <f t="shared" si="18"/>
        <v>0</v>
      </c>
      <c r="EA68" s="3">
        <f t="shared" si="18"/>
        <v>0</v>
      </c>
      <c r="EB68" s="3">
        <f t="shared" si="18"/>
        <v>0</v>
      </c>
      <c r="EC68" s="3">
        <f t="shared" si="18"/>
        <v>0</v>
      </c>
      <c r="ED68" s="3">
        <f t="shared" si="18"/>
        <v>0</v>
      </c>
      <c r="EE68" s="3">
        <f t="shared" si="18"/>
        <v>0</v>
      </c>
      <c r="EF68" s="3">
        <f t="shared" si="18"/>
        <v>0</v>
      </c>
      <c r="EG68" s="3">
        <f t="shared" si="18"/>
        <v>0</v>
      </c>
      <c r="EH68" s="3">
        <f t="shared" si="18"/>
        <v>0</v>
      </c>
      <c r="EI68" s="3">
        <f t="shared" si="18"/>
        <v>0</v>
      </c>
      <c r="EJ68" s="3">
        <f t="shared" si="18"/>
        <v>0</v>
      </c>
      <c r="EK68" s="3">
        <f t="shared" si="18"/>
        <v>0</v>
      </c>
      <c r="EL68" s="3">
        <f t="shared" si="18"/>
        <v>0</v>
      </c>
      <c r="EM68" s="3">
        <f t="shared" si="18"/>
        <v>0</v>
      </c>
      <c r="EN68" s="3">
        <f t="shared" si="18"/>
        <v>0</v>
      </c>
      <c r="EO68" s="3">
        <f t="shared" si="18"/>
        <v>0</v>
      </c>
      <c r="EP68" s="3">
        <f t="shared" si="18"/>
        <v>0</v>
      </c>
      <c r="EQ68" s="3">
        <f t="shared" si="18"/>
        <v>0</v>
      </c>
      <c r="ER68" s="3">
        <f t="shared" si="18"/>
        <v>0</v>
      </c>
      <c r="ES68" s="3">
        <f t="shared" si="18"/>
        <v>0</v>
      </c>
      <c r="ET68" s="3">
        <f t="shared" si="18"/>
        <v>0</v>
      </c>
      <c r="EU68" s="3">
        <f t="shared" si="18"/>
        <v>0</v>
      </c>
      <c r="EV68" s="3">
        <f t="shared" si="18"/>
        <v>0</v>
      </c>
      <c r="EW68" s="3">
        <f t="shared" si="18"/>
        <v>0</v>
      </c>
      <c r="EX68" s="3">
        <f t="shared" si="18"/>
        <v>0</v>
      </c>
      <c r="EY68" s="3">
        <f t="shared" si="18"/>
        <v>0</v>
      </c>
      <c r="EZ68" s="3">
        <f t="shared" si="18"/>
        <v>0</v>
      </c>
      <c r="FA68" s="3">
        <f t="shared" si="18"/>
        <v>0</v>
      </c>
      <c r="FB68" s="3">
        <f t="shared" si="18"/>
        <v>0</v>
      </c>
      <c r="FC68" s="3">
        <f t="shared" si="18"/>
        <v>0</v>
      </c>
      <c r="FD68" s="3">
        <f t="shared" si="18"/>
        <v>0</v>
      </c>
      <c r="FE68" s="3">
        <f t="shared" si="18"/>
        <v>0</v>
      </c>
      <c r="FF68" s="3">
        <f t="shared" si="18"/>
        <v>0</v>
      </c>
      <c r="FG68" s="3">
        <f t="shared" si="18"/>
        <v>0</v>
      </c>
      <c r="FH68" s="3">
        <f t="shared" si="18"/>
        <v>0</v>
      </c>
      <c r="FI68" s="3">
        <f t="shared" si="18"/>
        <v>0</v>
      </c>
      <c r="FJ68" s="3">
        <f t="shared" si="18"/>
        <v>0</v>
      </c>
      <c r="FK68" s="3">
        <f t="shared" si="18"/>
        <v>0</v>
      </c>
      <c r="FL68" s="3">
        <f t="shared" si="18"/>
        <v>0</v>
      </c>
      <c r="FM68" s="3">
        <f t="shared" si="18"/>
        <v>0</v>
      </c>
      <c r="FN68" s="3">
        <f t="shared" si="18"/>
        <v>0</v>
      </c>
      <c r="FO68" s="3">
        <f t="shared" si="18"/>
        <v>0</v>
      </c>
      <c r="FP68" s="3">
        <f t="shared" si="18"/>
        <v>0</v>
      </c>
      <c r="FQ68" s="3">
        <f t="shared" si="18"/>
        <v>0</v>
      </c>
      <c r="FR68" s="3">
        <f t="shared" si="18"/>
        <v>0</v>
      </c>
      <c r="FS68" s="3">
        <f t="shared" si="18"/>
        <v>0</v>
      </c>
      <c r="FT68" s="3">
        <f t="shared" si="18"/>
        <v>0</v>
      </c>
      <c r="FU68" s="3">
        <f t="shared" si="18"/>
        <v>0</v>
      </c>
      <c r="FV68" s="3">
        <f t="shared" si="18"/>
        <v>0</v>
      </c>
      <c r="FW68" s="3">
        <f t="shared" si="18"/>
        <v>0</v>
      </c>
      <c r="FX68" s="3">
        <f t="shared" si="18"/>
        <v>0</v>
      </c>
      <c r="FY68" s="3">
        <f t="shared" si="18"/>
        <v>0</v>
      </c>
      <c r="FZ68" s="3">
        <f t="shared" si="18"/>
        <v>0</v>
      </c>
      <c r="GA68" s="3">
        <f t="shared" si="18"/>
        <v>0</v>
      </c>
      <c r="GB68" s="3">
        <f t="shared" si="18"/>
        <v>0</v>
      </c>
      <c r="GC68" s="3">
        <f t="shared" si="18"/>
        <v>0</v>
      </c>
      <c r="GD68" s="3">
        <f t="shared" si="18"/>
        <v>0</v>
      </c>
      <c r="GE68" s="3">
        <f t="shared" si="18"/>
        <v>0</v>
      </c>
      <c r="GF68" s="3">
        <f t="shared" si="18"/>
        <v>0</v>
      </c>
      <c r="GG68" s="3">
        <f t="shared" si="18"/>
        <v>0</v>
      </c>
      <c r="GH68" s="3">
        <f t="shared" si="18"/>
        <v>0</v>
      </c>
      <c r="GI68" s="3">
        <f t="shared" ref="GI68:IT68" si="19">GI42</f>
        <v>0</v>
      </c>
      <c r="GJ68" s="3">
        <f t="shared" si="19"/>
        <v>0</v>
      </c>
      <c r="GK68" s="3">
        <f t="shared" si="19"/>
        <v>0</v>
      </c>
      <c r="GL68" s="3">
        <f t="shared" si="19"/>
        <v>0</v>
      </c>
      <c r="GM68" s="3">
        <f t="shared" si="19"/>
        <v>0</v>
      </c>
      <c r="GN68" s="3">
        <f t="shared" si="19"/>
        <v>0</v>
      </c>
      <c r="GO68" s="3">
        <f t="shared" si="19"/>
        <v>0</v>
      </c>
      <c r="GP68" s="3">
        <f t="shared" si="19"/>
        <v>0</v>
      </c>
      <c r="GQ68" s="3">
        <f t="shared" si="19"/>
        <v>0</v>
      </c>
      <c r="GR68" s="3">
        <f t="shared" si="19"/>
        <v>0</v>
      </c>
      <c r="GS68" s="3">
        <f t="shared" si="19"/>
        <v>0</v>
      </c>
      <c r="GT68" s="3">
        <f t="shared" si="19"/>
        <v>0</v>
      </c>
      <c r="GU68" s="3">
        <f t="shared" si="19"/>
        <v>0</v>
      </c>
      <c r="GV68" s="3">
        <f t="shared" si="19"/>
        <v>0</v>
      </c>
      <c r="GW68" s="3">
        <f t="shared" si="19"/>
        <v>0</v>
      </c>
      <c r="GX68" s="3">
        <f t="shared" si="19"/>
        <v>0</v>
      </c>
      <c r="GY68" s="3">
        <f t="shared" si="19"/>
        <v>0</v>
      </c>
      <c r="GZ68" s="3">
        <f t="shared" si="19"/>
        <v>0</v>
      </c>
      <c r="HA68" s="3">
        <f t="shared" si="19"/>
        <v>0</v>
      </c>
      <c r="HB68" s="3">
        <f t="shared" si="19"/>
        <v>0</v>
      </c>
      <c r="HC68" s="3">
        <f t="shared" si="19"/>
        <v>0</v>
      </c>
      <c r="HD68" s="3">
        <f t="shared" si="19"/>
        <v>0</v>
      </c>
      <c r="HE68" s="3">
        <f t="shared" si="19"/>
        <v>0</v>
      </c>
      <c r="HF68" s="3">
        <f t="shared" si="19"/>
        <v>0</v>
      </c>
      <c r="HG68" s="3">
        <f t="shared" si="19"/>
        <v>0</v>
      </c>
      <c r="HH68" s="3">
        <f t="shared" si="19"/>
        <v>0</v>
      </c>
      <c r="HI68" s="3">
        <f t="shared" si="19"/>
        <v>0</v>
      </c>
      <c r="HJ68" s="3">
        <f t="shared" si="19"/>
        <v>0</v>
      </c>
      <c r="HK68" s="3">
        <f t="shared" si="19"/>
        <v>0</v>
      </c>
      <c r="HL68" s="3">
        <f t="shared" si="19"/>
        <v>0</v>
      </c>
      <c r="HM68" s="3">
        <f t="shared" si="19"/>
        <v>0</v>
      </c>
      <c r="HN68" s="3">
        <f t="shared" si="19"/>
        <v>0</v>
      </c>
      <c r="HO68" s="3">
        <f t="shared" si="19"/>
        <v>0</v>
      </c>
      <c r="HP68" s="3">
        <f t="shared" si="19"/>
        <v>0</v>
      </c>
      <c r="HQ68" s="3">
        <f t="shared" si="19"/>
        <v>0</v>
      </c>
      <c r="HR68" s="3">
        <f t="shared" si="19"/>
        <v>0</v>
      </c>
      <c r="HS68" s="3">
        <f t="shared" si="19"/>
        <v>0</v>
      </c>
      <c r="HT68" s="3">
        <f t="shared" si="19"/>
        <v>0</v>
      </c>
      <c r="HU68" s="3">
        <f t="shared" si="19"/>
        <v>0</v>
      </c>
      <c r="HV68" s="3">
        <f t="shared" si="19"/>
        <v>0</v>
      </c>
      <c r="HW68" s="3">
        <f t="shared" si="19"/>
        <v>0</v>
      </c>
      <c r="HX68" s="3">
        <f t="shared" si="19"/>
        <v>0</v>
      </c>
      <c r="HY68" s="3">
        <f t="shared" si="19"/>
        <v>0</v>
      </c>
      <c r="HZ68" s="3">
        <f t="shared" si="19"/>
        <v>0</v>
      </c>
      <c r="IA68" s="3">
        <f t="shared" si="19"/>
        <v>0</v>
      </c>
      <c r="IB68" s="3">
        <f t="shared" si="19"/>
        <v>0</v>
      </c>
      <c r="IC68" s="3">
        <f t="shared" si="19"/>
        <v>0</v>
      </c>
      <c r="ID68" s="3">
        <f t="shared" si="19"/>
        <v>0</v>
      </c>
      <c r="IE68" s="3">
        <f t="shared" si="19"/>
        <v>0</v>
      </c>
      <c r="IF68" s="3">
        <f t="shared" si="19"/>
        <v>0</v>
      </c>
      <c r="IG68" s="3">
        <f t="shared" si="19"/>
        <v>0</v>
      </c>
      <c r="IH68" s="3">
        <f t="shared" si="19"/>
        <v>0</v>
      </c>
      <c r="II68" s="3">
        <f t="shared" si="19"/>
        <v>0</v>
      </c>
      <c r="IJ68" s="3">
        <f t="shared" si="19"/>
        <v>0</v>
      </c>
      <c r="IK68" s="3">
        <f t="shared" si="19"/>
        <v>0</v>
      </c>
      <c r="IL68" s="3">
        <f t="shared" si="19"/>
        <v>0</v>
      </c>
      <c r="IM68" s="3">
        <f t="shared" si="19"/>
        <v>0</v>
      </c>
      <c r="IN68" s="3">
        <f t="shared" si="19"/>
        <v>0</v>
      </c>
      <c r="IO68" s="3">
        <f t="shared" si="19"/>
        <v>0</v>
      </c>
      <c r="IP68" s="3">
        <f t="shared" si="19"/>
        <v>0</v>
      </c>
      <c r="IQ68" s="3">
        <f t="shared" si="19"/>
        <v>0</v>
      </c>
      <c r="IR68" s="3">
        <f t="shared" si="19"/>
        <v>0</v>
      </c>
      <c r="IS68" s="3">
        <f t="shared" si="19"/>
        <v>0</v>
      </c>
      <c r="IT68" s="3">
        <f t="shared" si="19"/>
        <v>0</v>
      </c>
    </row>
    <row r="69" spans="1:254" x14ac:dyDescent="0.2">
      <c r="A69" s="25" t="s">
        <v>122</v>
      </c>
      <c r="B69" s="81">
        <f>B67+B68</f>
        <v>503137</v>
      </c>
      <c r="C69" s="81">
        <f>C67+C68</f>
        <v>0</v>
      </c>
      <c r="D69" s="81">
        <f>D67+D68</f>
        <v>0</v>
      </c>
      <c r="E69" s="81">
        <f>E67+E68</f>
        <v>0</v>
      </c>
      <c r="F69" s="81">
        <f>F67+F68</f>
        <v>0</v>
      </c>
      <c r="G69" s="81">
        <f t="shared" ref="G69" si="20">G67+G68</f>
        <v>0</v>
      </c>
      <c r="H69" s="81">
        <f>H67+H68</f>
        <v>0</v>
      </c>
      <c r="I69" s="81">
        <f>I67+I68</f>
        <v>0</v>
      </c>
      <c r="J69" s="81">
        <f>J67+J68</f>
        <v>0</v>
      </c>
      <c r="K69" s="81">
        <f>K67+K68</f>
        <v>0</v>
      </c>
      <c r="L69" s="81">
        <f>L67+L68</f>
        <v>0</v>
      </c>
      <c r="M69" s="81">
        <f t="shared" ref="M69" si="21">M67+M68</f>
        <v>0</v>
      </c>
      <c r="N69" s="81">
        <f>N67+N68</f>
        <v>503137</v>
      </c>
      <c r="O69" s="25">
        <f t="shared" ref="O69:BJ71" si="22">O45</f>
        <v>0</v>
      </c>
      <c r="P69" s="25">
        <f t="shared" si="22"/>
        <v>0</v>
      </c>
      <c r="AE69" s="25">
        <f t="shared" si="22"/>
        <v>0</v>
      </c>
      <c r="AF69" s="25">
        <f t="shared" si="22"/>
        <v>0</v>
      </c>
      <c r="AG69" s="25">
        <f t="shared" si="22"/>
        <v>0</v>
      </c>
      <c r="AH69" s="25">
        <f t="shared" si="22"/>
        <v>0</v>
      </c>
      <c r="AI69" s="25">
        <f t="shared" si="22"/>
        <v>0</v>
      </c>
      <c r="AJ69" s="25">
        <f t="shared" si="22"/>
        <v>0</v>
      </c>
      <c r="AK69" s="25">
        <f t="shared" si="22"/>
        <v>0</v>
      </c>
      <c r="AL69" s="25">
        <f t="shared" si="22"/>
        <v>0</v>
      </c>
      <c r="AM69" s="25">
        <f t="shared" si="22"/>
        <v>0</v>
      </c>
      <c r="AN69" s="25">
        <f t="shared" si="22"/>
        <v>0</v>
      </c>
      <c r="AO69" s="25">
        <f t="shared" si="22"/>
        <v>0</v>
      </c>
      <c r="AP69" s="25">
        <f t="shared" si="22"/>
        <v>0</v>
      </c>
      <c r="AQ69" s="25">
        <f t="shared" si="22"/>
        <v>0</v>
      </c>
      <c r="AR69" s="25">
        <f t="shared" si="22"/>
        <v>0</v>
      </c>
      <c r="AS69" s="25">
        <f t="shared" si="22"/>
        <v>0</v>
      </c>
      <c r="AT69" s="25">
        <f t="shared" si="22"/>
        <v>0</v>
      </c>
      <c r="AU69" s="25">
        <f t="shared" si="22"/>
        <v>0</v>
      </c>
      <c r="AV69" s="25">
        <f t="shared" si="22"/>
        <v>0</v>
      </c>
      <c r="AW69" s="25">
        <f t="shared" si="22"/>
        <v>0</v>
      </c>
      <c r="AX69" s="25">
        <f t="shared" si="22"/>
        <v>0</v>
      </c>
      <c r="AY69" s="25">
        <f t="shared" si="22"/>
        <v>0</v>
      </c>
      <c r="AZ69" s="25">
        <f t="shared" si="22"/>
        <v>0</v>
      </c>
      <c r="BA69" s="25">
        <f t="shared" si="22"/>
        <v>0</v>
      </c>
      <c r="BB69" s="25">
        <f t="shared" si="22"/>
        <v>0</v>
      </c>
      <c r="BC69" s="25">
        <f t="shared" si="22"/>
        <v>0</v>
      </c>
      <c r="BD69" s="25">
        <f t="shared" si="22"/>
        <v>0</v>
      </c>
      <c r="BE69" s="25">
        <f t="shared" si="22"/>
        <v>0</v>
      </c>
      <c r="BF69" s="25">
        <f t="shared" si="22"/>
        <v>0</v>
      </c>
      <c r="BG69" s="25">
        <f t="shared" si="22"/>
        <v>0</v>
      </c>
      <c r="BH69" s="25">
        <f t="shared" si="22"/>
        <v>0</v>
      </c>
      <c r="BI69" s="25">
        <f t="shared" si="22"/>
        <v>0</v>
      </c>
      <c r="BJ69" s="25">
        <f t="shared" si="22"/>
        <v>0</v>
      </c>
      <c r="BK69" s="25">
        <f t="shared" ref="BK69:DV69" si="23">BK45</f>
        <v>0</v>
      </c>
      <c r="BL69" s="25">
        <f t="shared" si="23"/>
        <v>0</v>
      </c>
      <c r="BM69" s="25">
        <f t="shared" si="23"/>
        <v>0</v>
      </c>
      <c r="BN69" s="25">
        <f t="shared" si="23"/>
        <v>0</v>
      </c>
      <c r="BO69" s="25">
        <f t="shared" si="23"/>
        <v>0</v>
      </c>
      <c r="BP69" s="25">
        <f t="shared" si="23"/>
        <v>0</v>
      </c>
      <c r="BQ69" s="25">
        <f t="shared" si="23"/>
        <v>0</v>
      </c>
      <c r="BR69" s="25">
        <f t="shared" si="23"/>
        <v>0</v>
      </c>
      <c r="BS69" s="25">
        <f t="shared" si="23"/>
        <v>0</v>
      </c>
      <c r="BT69" s="25">
        <f t="shared" si="23"/>
        <v>0</v>
      </c>
      <c r="BU69" s="25">
        <f t="shared" si="23"/>
        <v>0</v>
      </c>
      <c r="BV69" s="25">
        <f t="shared" si="23"/>
        <v>0</v>
      </c>
      <c r="BW69" s="25">
        <f t="shared" si="23"/>
        <v>0</v>
      </c>
      <c r="BX69" s="25">
        <f t="shared" si="23"/>
        <v>0</v>
      </c>
      <c r="BY69" s="25">
        <f t="shared" si="23"/>
        <v>0</v>
      </c>
      <c r="BZ69" s="25">
        <f t="shared" si="23"/>
        <v>0</v>
      </c>
      <c r="CA69" s="25">
        <f t="shared" si="23"/>
        <v>0</v>
      </c>
      <c r="CB69" s="25">
        <f t="shared" si="23"/>
        <v>0</v>
      </c>
      <c r="CC69" s="25">
        <f t="shared" si="23"/>
        <v>0</v>
      </c>
      <c r="CD69" s="25">
        <f t="shared" si="23"/>
        <v>0</v>
      </c>
      <c r="CE69" s="25">
        <f t="shared" si="23"/>
        <v>0</v>
      </c>
      <c r="CF69" s="25">
        <f t="shared" si="23"/>
        <v>0</v>
      </c>
      <c r="CG69" s="25">
        <f t="shared" si="23"/>
        <v>0</v>
      </c>
      <c r="CH69" s="25">
        <f t="shared" si="23"/>
        <v>0</v>
      </c>
      <c r="CI69" s="25">
        <f t="shared" si="23"/>
        <v>0</v>
      </c>
      <c r="CJ69" s="25">
        <f t="shared" si="23"/>
        <v>0</v>
      </c>
      <c r="CK69" s="25">
        <f t="shared" si="23"/>
        <v>0</v>
      </c>
      <c r="CL69" s="25">
        <f t="shared" si="23"/>
        <v>0</v>
      </c>
      <c r="CM69" s="25">
        <f t="shared" si="23"/>
        <v>0</v>
      </c>
      <c r="CN69" s="25">
        <f t="shared" si="23"/>
        <v>0</v>
      </c>
      <c r="CO69" s="25">
        <f t="shared" si="23"/>
        <v>0</v>
      </c>
      <c r="CP69" s="25">
        <f t="shared" si="23"/>
        <v>0</v>
      </c>
      <c r="CQ69" s="25">
        <f t="shared" si="23"/>
        <v>0</v>
      </c>
      <c r="CR69" s="25">
        <f t="shared" si="23"/>
        <v>0</v>
      </c>
      <c r="CS69" s="25">
        <f t="shared" si="23"/>
        <v>0</v>
      </c>
      <c r="CT69" s="25">
        <f t="shared" si="23"/>
        <v>0</v>
      </c>
      <c r="CU69" s="25">
        <f t="shared" si="23"/>
        <v>0</v>
      </c>
      <c r="CV69" s="25">
        <f t="shared" si="23"/>
        <v>0</v>
      </c>
      <c r="CW69" s="25">
        <f t="shared" si="23"/>
        <v>0</v>
      </c>
      <c r="CX69" s="25">
        <f t="shared" si="23"/>
        <v>0</v>
      </c>
      <c r="CY69" s="25">
        <f t="shared" si="23"/>
        <v>0</v>
      </c>
      <c r="CZ69" s="25">
        <f t="shared" si="23"/>
        <v>0</v>
      </c>
      <c r="DA69" s="25">
        <f t="shared" si="23"/>
        <v>0</v>
      </c>
      <c r="DB69" s="25">
        <f t="shared" si="23"/>
        <v>0</v>
      </c>
      <c r="DC69" s="25">
        <f t="shared" si="23"/>
        <v>0</v>
      </c>
      <c r="DD69" s="25">
        <f t="shared" si="23"/>
        <v>0</v>
      </c>
      <c r="DE69" s="25">
        <f t="shared" si="23"/>
        <v>0</v>
      </c>
      <c r="DF69" s="25">
        <f t="shared" si="23"/>
        <v>0</v>
      </c>
      <c r="DG69" s="25">
        <f t="shared" si="23"/>
        <v>0</v>
      </c>
      <c r="DH69" s="25">
        <f t="shared" si="23"/>
        <v>0</v>
      </c>
      <c r="DI69" s="25">
        <f t="shared" si="23"/>
        <v>0</v>
      </c>
      <c r="DJ69" s="25">
        <f t="shared" si="23"/>
        <v>0</v>
      </c>
      <c r="DK69" s="25">
        <f t="shared" si="23"/>
        <v>0</v>
      </c>
      <c r="DL69" s="25">
        <f t="shared" si="23"/>
        <v>0</v>
      </c>
      <c r="DM69" s="25">
        <f t="shared" si="23"/>
        <v>0</v>
      </c>
      <c r="DN69" s="25">
        <f t="shared" si="23"/>
        <v>0</v>
      </c>
      <c r="DO69" s="25">
        <f t="shared" si="23"/>
        <v>0</v>
      </c>
      <c r="DP69" s="25">
        <f t="shared" si="23"/>
        <v>0</v>
      </c>
      <c r="DQ69" s="25">
        <f t="shared" si="23"/>
        <v>0</v>
      </c>
      <c r="DR69" s="25">
        <f t="shared" si="23"/>
        <v>0</v>
      </c>
      <c r="DS69" s="25">
        <f t="shared" si="23"/>
        <v>0</v>
      </c>
      <c r="DT69" s="25">
        <f t="shared" si="23"/>
        <v>0</v>
      </c>
      <c r="DU69" s="25">
        <f t="shared" si="23"/>
        <v>0</v>
      </c>
      <c r="DV69" s="25">
        <f t="shared" si="23"/>
        <v>0</v>
      </c>
      <c r="DW69" s="25">
        <f t="shared" ref="DW69:GH69" si="24">DW45</f>
        <v>0</v>
      </c>
      <c r="DX69" s="25">
        <f t="shared" si="24"/>
        <v>0</v>
      </c>
      <c r="DY69" s="25">
        <f t="shared" si="24"/>
        <v>0</v>
      </c>
      <c r="DZ69" s="25">
        <f t="shared" si="24"/>
        <v>0</v>
      </c>
      <c r="EA69" s="25">
        <f t="shared" si="24"/>
        <v>0</v>
      </c>
      <c r="EB69" s="25">
        <f t="shared" si="24"/>
        <v>0</v>
      </c>
      <c r="EC69" s="25">
        <f t="shared" si="24"/>
        <v>0</v>
      </c>
      <c r="ED69" s="25">
        <f t="shared" si="24"/>
        <v>0</v>
      </c>
      <c r="EE69" s="25">
        <f t="shared" si="24"/>
        <v>0</v>
      </c>
      <c r="EF69" s="25">
        <f t="shared" si="24"/>
        <v>0</v>
      </c>
      <c r="EG69" s="25">
        <f t="shared" si="24"/>
        <v>0</v>
      </c>
      <c r="EH69" s="25">
        <f t="shared" si="24"/>
        <v>0</v>
      </c>
      <c r="EI69" s="25">
        <f t="shared" si="24"/>
        <v>0</v>
      </c>
      <c r="EJ69" s="25">
        <f t="shared" si="24"/>
        <v>0</v>
      </c>
      <c r="EK69" s="25">
        <f t="shared" si="24"/>
        <v>0</v>
      </c>
      <c r="EL69" s="25">
        <f t="shared" si="24"/>
        <v>0</v>
      </c>
      <c r="EM69" s="25">
        <f t="shared" si="24"/>
        <v>0</v>
      </c>
      <c r="EN69" s="25">
        <f t="shared" si="24"/>
        <v>0</v>
      </c>
      <c r="EO69" s="25">
        <f t="shared" si="24"/>
        <v>0</v>
      </c>
      <c r="EP69" s="25">
        <f t="shared" si="24"/>
        <v>0</v>
      </c>
      <c r="EQ69" s="25">
        <f t="shared" si="24"/>
        <v>0</v>
      </c>
      <c r="ER69" s="25">
        <f t="shared" si="24"/>
        <v>0</v>
      </c>
      <c r="ES69" s="25">
        <f t="shared" si="24"/>
        <v>0</v>
      </c>
      <c r="ET69" s="25">
        <f t="shared" si="24"/>
        <v>0</v>
      </c>
      <c r="EU69" s="25">
        <f t="shared" si="24"/>
        <v>0</v>
      </c>
      <c r="EV69" s="25">
        <f t="shared" si="24"/>
        <v>0</v>
      </c>
      <c r="EW69" s="25">
        <f t="shared" si="24"/>
        <v>0</v>
      </c>
      <c r="EX69" s="25">
        <f t="shared" si="24"/>
        <v>0</v>
      </c>
      <c r="EY69" s="25">
        <f t="shared" si="24"/>
        <v>0</v>
      </c>
      <c r="EZ69" s="25">
        <f t="shared" si="24"/>
        <v>0</v>
      </c>
      <c r="FA69" s="25">
        <f t="shared" si="24"/>
        <v>0</v>
      </c>
      <c r="FB69" s="25">
        <f t="shared" si="24"/>
        <v>0</v>
      </c>
      <c r="FC69" s="25">
        <f t="shared" si="24"/>
        <v>0</v>
      </c>
      <c r="FD69" s="25">
        <f t="shared" si="24"/>
        <v>0</v>
      </c>
      <c r="FE69" s="25">
        <f t="shared" si="24"/>
        <v>0</v>
      </c>
      <c r="FF69" s="25">
        <f t="shared" si="24"/>
        <v>0</v>
      </c>
      <c r="FG69" s="25">
        <f t="shared" si="24"/>
        <v>0</v>
      </c>
      <c r="FH69" s="25">
        <f t="shared" si="24"/>
        <v>0</v>
      </c>
      <c r="FI69" s="25">
        <f t="shared" si="24"/>
        <v>0</v>
      </c>
      <c r="FJ69" s="25">
        <f t="shared" si="24"/>
        <v>0</v>
      </c>
      <c r="FK69" s="25">
        <f t="shared" si="24"/>
        <v>0</v>
      </c>
      <c r="FL69" s="25">
        <f t="shared" si="24"/>
        <v>0</v>
      </c>
      <c r="FM69" s="25">
        <f t="shared" si="24"/>
        <v>0</v>
      </c>
      <c r="FN69" s="25">
        <f t="shared" si="24"/>
        <v>0</v>
      </c>
      <c r="FO69" s="25">
        <f t="shared" si="24"/>
        <v>0</v>
      </c>
      <c r="FP69" s="25">
        <f t="shared" si="24"/>
        <v>0</v>
      </c>
      <c r="FQ69" s="25">
        <f t="shared" si="24"/>
        <v>0</v>
      </c>
      <c r="FR69" s="25">
        <f t="shared" si="24"/>
        <v>0</v>
      </c>
      <c r="FS69" s="25">
        <f t="shared" si="24"/>
        <v>0</v>
      </c>
      <c r="FT69" s="25">
        <f t="shared" si="24"/>
        <v>0</v>
      </c>
      <c r="FU69" s="25">
        <f t="shared" si="24"/>
        <v>0</v>
      </c>
      <c r="FV69" s="25">
        <f t="shared" si="24"/>
        <v>0</v>
      </c>
      <c r="FW69" s="25">
        <f t="shared" si="24"/>
        <v>0</v>
      </c>
      <c r="FX69" s="25">
        <f t="shared" si="24"/>
        <v>0</v>
      </c>
      <c r="FY69" s="25">
        <f t="shared" si="24"/>
        <v>0</v>
      </c>
      <c r="FZ69" s="25">
        <f t="shared" si="24"/>
        <v>0</v>
      </c>
      <c r="GA69" s="25">
        <f t="shared" si="24"/>
        <v>0</v>
      </c>
      <c r="GB69" s="25">
        <f t="shared" si="24"/>
        <v>0</v>
      </c>
      <c r="GC69" s="25">
        <f t="shared" si="24"/>
        <v>0</v>
      </c>
      <c r="GD69" s="25">
        <f t="shared" si="24"/>
        <v>0</v>
      </c>
      <c r="GE69" s="25">
        <f t="shared" si="24"/>
        <v>0</v>
      </c>
      <c r="GF69" s="25">
        <f t="shared" si="24"/>
        <v>0</v>
      </c>
      <c r="GG69" s="25">
        <f t="shared" si="24"/>
        <v>0</v>
      </c>
      <c r="GH69" s="25">
        <f t="shared" si="24"/>
        <v>0</v>
      </c>
      <c r="GI69" s="25">
        <f t="shared" ref="GI69:IT69" si="25">GI45</f>
        <v>0</v>
      </c>
      <c r="GJ69" s="25">
        <f t="shared" si="25"/>
        <v>0</v>
      </c>
      <c r="GK69" s="25">
        <f t="shared" si="25"/>
        <v>0</v>
      </c>
      <c r="GL69" s="25">
        <f t="shared" si="25"/>
        <v>0</v>
      </c>
      <c r="GM69" s="25">
        <f t="shared" si="25"/>
        <v>0</v>
      </c>
      <c r="GN69" s="25">
        <f t="shared" si="25"/>
        <v>0</v>
      </c>
      <c r="GO69" s="25">
        <f t="shared" si="25"/>
        <v>0</v>
      </c>
      <c r="GP69" s="25">
        <f t="shared" si="25"/>
        <v>0</v>
      </c>
      <c r="GQ69" s="25">
        <f t="shared" si="25"/>
        <v>0</v>
      </c>
      <c r="GR69" s="25">
        <f t="shared" si="25"/>
        <v>0</v>
      </c>
      <c r="GS69" s="25">
        <f t="shared" si="25"/>
        <v>0</v>
      </c>
      <c r="GT69" s="25">
        <f t="shared" si="25"/>
        <v>0</v>
      </c>
      <c r="GU69" s="25">
        <f t="shared" si="25"/>
        <v>0</v>
      </c>
      <c r="GV69" s="25">
        <f t="shared" si="25"/>
        <v>0</v>
      </c>
      <c r="GW69" s="25">
        <f t="shared" si="25"/>
        <v>0</v>
      </c>
      <c r="GX69" s="25">
        <f t="shared" si="25"/>
        <v>0</v>
      </c>
      <c r="GY69" s="25">
        <f t="shared" si="25"/>
        <v>0</v>
      </c>
      <c r="GZ69" s="25">
        <f t="shared" si="25"/>
        <v>0</v>
      </c>
      <c r="HA69" s="25">
        <f t="shared" si="25"/>
        <v>0</v>
      </c>
      <c r="HB69" s="25">
        <f t="shared" si="25"/>
        <v>0</v>
      </c>
      <c r="HC69" s="25">
        <f t="shared" si="25"/>
        <v>0</v>
      </c>
      <c r="HD69" s="25">
        <f t="shared" si="25"/>
        <v>0</v>
      </c>
      <c r="HE69" s="25">
        <f t="shared" si="25"/>
        <v>0</v>
      </c>
      <c r="HF69" s="25">
        <f t="shared" si="25"/>
        <v>0</v>
      </c>
      <c r="HG69" s="25">
        <f t="shared" si="25"/>
        <v>0</v>
      </c>
      <c r="HH69" s="25">
        <f t="shared" si="25"/>
        <v>0</v>
      </c>
      <c r="HI69" s="25">
        <f t="shared" si="25"/>
        <v>0</v>
      </c>
      <c r="HJ69" s="25">
        <f t="shared" si="25"/>
        <v>0</v>
      </c>
      <c r="HK69" s="25">
        <f t="shared" si="25"/>
        <v>0</v>
      </c>
      <c r="HL69" s="25">
        <f t="shared" si="25"/>
        <v>0</v>
      </c>
      <c r="HM69" s="25">
        <f t="shared" si="25"/>
        <v>0</v>
      </c>
      <c r="HN69" s="25">
        <f t="shared" si="25"/>
        <v>0</v>
      </c>
      <c r="HO69" s="25">
        <f t="shared" si="25"/>
        <v>0</v>
      </c>
      <c r="HP69" s="25">
        <f t="shared" si="25"/>
        <v>0</v>
      </c>
      <c r="HQ69" s="25">
        <f t="shared" si="25"/>
        <v>0</v>
      </c>
      <c r="HR69" s="25">
        <f t="shared" si="25"/>
        <v>0</v>
      </c>
      <c r="HS69" s="25">
        <f t="shared" si="25"/>
        <v>0</v>
      </c>
      <c r="HT69" s="25">
        <f t="shared" si="25"/>
        <v>0</v>
      </c>
      <c r="HU69" s="25">
        <f t="shared" si="25"/>
        <v>0</v>
      </c>
      <c r="HV69" s="25">
        <f t="shared" si="25"/>
        <v>0</v>
      </c>
      <c r="HW69" s="25">
        <f t="shared" si="25"/>
        <v>0</v>
      </c>
      <c r="HX69" s="25">
        <f t="shared" si="25"/>
        <v>0</v>
      </c>
      <c r="HY69" s="25">
        <f t="shared" si="25"/>
        <v>0</v>
      </c>
      <c r="HZ69" s="25">
        <f t="shared" si="25"/>
        <v>0</v>
      </c>
      <c r="IA69" s="25">
        <f t="shared" si="25"/>
        <v>0</v>
      </c>
      <c r="IB69" s="25">
        <f t="shared" si="25"/>
        <v>0</v>
      </c>
      <c r="IC69" s="25">
        <f t="shared" si="25"/>
        <v>0</v>
      </c>
      <c r="ID69" s="25">
        <f t="shared" si="25"/>
        <v>0</v>
      </c>
      <c r="IE69" s="25">
        <f t="shared" si="25"/>
        <v>0</v>
      </c>
      <c r="IF69" s="25">
        <f t="shared" si="25"/>
        <v>0</v>
      </c>
      <c r="IG69" s="25">
        <f t="shared" si="25"/>
        <v>0</v>
      </c>
      <c r="IH69" s="25">
        <f t="shared" si="25"/>
        <v>0</v>
      </c>
      <c r="II69" s="25">
        <f t="shared" si="25"/>
        <v>0</v>
      </c>
      <c r="IJ69" s="25">
        <f t="shared" si="25"/>
        <v>0</v>
      </c>
      <c r="IK69" s="25">
        <f t="shared" si="25"/>
        <v>0</v>
      </c>
      <c r="IL69" s="25">
        <f t="shared" si="25"/>
        <v>0</v>
      </c>
      <c r="IM69" s="25">
        <f t="shared" si="25"/>
        <v>0</v>
      </c>
      <c r="IN69" s="25">
        <f t="shared" si="25"/>
        <v>0</v>
      </c>
      <c r="IO69" s="25">
        <f t="shared" si="25"/>
        <v>0</v>
      </c>
      <c r="IP69" s="25">
        <f t="shared" si="25"/>
        <v>0</v>
      </c>
      <c r="IQ69" s="25">
        <f t="shared" si="25"/>
        <v>0</v>
      </c>
      <c r="IR69" s="25">
        <f t="shared" si="25"/>
        <v>0</v>
      </c>
      <c r="IS69" s="25">
        <f t="shared" si="25"/>
        <v>0</v>
      </c>
      <c r="IT69" s="25">
        <f t="shared" si="25"/>
        <v>0</v>
      </c>
    </row>
    <row r="70" spans="1:254" ht="16.5" x14ac:dyDescent="0.3">
      <c r="A70" s="5" t="s">
        <v>91</v>
      </c>
      <c r="B70" s="3">
        <f>ROUND((B42+B43+B46),0)</f>
        <v>373970</v>
      </c>
      <c r="C70" s="3">
        <f>ROUND((C42+C43+C46),0)</f>
        <v>0</v>
      </c>
      <c r="D70" s="3">
        <f>ROUND((D42+D43+D46),0)</f>
        <v>0</v>
      </c>
      <c r="E70" s="3">
        <f>ROUND((E42+E43+E46),0)</f>
        <v>0</v>
      </c>
      <c r="F70" s="3">
        <f>ROUND((F42+F43+F46),0)</f>
        <v>0</v>
      </c>
      <c r="G70" s="3">
        <f t="shared" ref="G70" si="26">ROUND((G42+G43+G46),0)</f>
        <v>0</v>
      </c>
      <c r="H70" s="149">
        <f>ROUND((H42+H43+H46),0)</f>
        <v>0</v>
      </c>
      <c r="I70" s="3">
        <f>ROUND((I42+I43+I46),0)</f>
        <v>0</v>
      </c>
      <c r="J70" s="3">
        <f>ROUND((J42+J43+J46),0)</f>
        <v>0</v>
      </c>
      <c r="K70" s="3">
        <f>ROUND((K42+K43+K46),0)</f>
        <v>0</v>
      </c>
      <c r="L70" s="3">
        <f>ROUND((L42+L43+L46),0)+L49</f>
        <v>0</v>
      </c>
      <c r="M70" s="3">
        <f t="shared" ref="M70" si="27">ROUND((M42+M43+M46),0)</f>
        <v>0</v>
      </c>
      <c r="N70" s="3">
        <f>ROUND((N42+N43+N46),0)</f>
        <v>373970</v>
      </c>
      <c r="Q70" s="3">
        <f t="shared" si="16"/>
        <v>0</v>
      </c>
      <c r="R70" s="3">
        <f t="shared" si="16"/>
        <v>0</v>
      </c>
      <c r="S70" s="3">
        <f t="shared" si="16"/>
        <v>0</v>
      </c>
      <c r="T70" s="3">
        <f t="shared" si="16"/>
        <v>0</v>
      </c>
      <c r="U70" s="3">
        <f t="shared" si="16"/>
        <v>0</v>
      </c>
      <c r="V70" s="3">
        <f t="shared" si="16"/>
        <v>0</v>
      </c>
      <c r="W70" s="3">
        <f t="shared" si="16"/>
        <v>0</v>
      </c>
      <c r="X70" s="3">
        <f t="shared" si="16"/>
        <v>0</v>
      </c>
      <c r="Y70" s="3">
        <f t="shared" si="16"/>
        <v>0</v>
      </c>
      <c r="Z70" s="3">
        <f t="shared" si="16"/>
        <v>0</v>
      </c>
      <c r="AA70" s="3">
        <f t="shared" si="16"/>
        <v>0</v>
      </c>
      <c r="AB70" s="3">
        <f t="shared" si="16"/>
        <v>0</v>
      </c>
      <c r="AC70" s="3">
        <f t="shared" si="16"/>
        <v>0</v>
      </c>
      <c r="AD70" s="3">
        <f t="shared" si="16"/>
        <v>0</v>
      </c>
    </row>
    <row r="71" spans="1:254" ht="16.5" x14ac:dyDescent="0.3">
      <c r="A71" s="5" t="s">
        <v>92</v>
      </c>
      <c r="B71" s="3">
        <f>ROUND((B45),0)</f>
        <v>0</v>
      </c>
      <c r="C71" s="3">
        <f>ROUND((C45),0)</f>
        <v>0</v>
      </c>
      <c r="D71" s="3">
        <f>D49</f>
        <v>0</v>
      </c>
      <c r="E71" s="3">
        <v>0</v>
      </c>
      <c r="F71" s="3">
        <f t="shared" ref="F71:M71" si="28">ROUND((F45),0)</f>
        <v>0</v>
      </c>
      <c r="G71" s="3">
        <f t="shared" si="28"/>
        <v>0</v>
      </c>
      <c r="H71" s="149">
        <f>ROUND((H45),0)</f>
        <v>0</v>
      </c>
      <c r="I71" s="3">
        <f t="shared" si="28"/>
        <v>0</v>
      </c>
      <c r="J71" s="3">
        <f t="shared" si="28"/>
        <v>0</v>
      </c>
      <c r="K71" s="3">
        <f t="shared" si="28"/>
        <v>0</v>
      </c>
      <c r="L71" s="3">
        <f>ROUND((L45),0)</f>
        <v>0</v>
      </c>
      <c r="M71" s="3">
        <f t="shared" si="28"/>
        <v>0</v>
      </c>
      <c r="N71" s="3">
        <f>N49</f>
        <v>0</v>
      </c>
      <c r="Q71" s="25">
        <f t="shared" si="22"/>
        <v>0</v>
      </c>
      <c r="R71" s="25">
        <f t="shared" si="22"/>
        <v>0</v>
      </c>
      <c r="S71" s="25">
        <f t="shared" si="22"/>
        <v>0</v>
      </c>
      <c r="T71" s="25">
        <f t="shared" si="22"/>
        <v>0</v>
      </c>
      <c r="U71" s="25">
        <f t="shared" si="22"/>
        <v>0</v>
      </c>
      <c r="V71" s="25">
        <f t="shared" si="22"/>
        <v>0</v>
      </c>
      <c r="W71" s="25">
        <f t="shared" si="22"/>
        <v>0</v>
      </c>
      <c r="X71" s="25">
        <f t="shared" si="22"/>
        <v>0</v>
      </c>
      <c r="Y71" s="25">
        <f t="shared" si="22"/>
        <v>0</v>
      </c>
      <c r="Z71" s="25">
        <f t="shared" si="22"/>
        <v>0</v>
      </c>
      <c r="AA71" s="25">
        <f t="shared" si="22"/>
        <v>0</v>
      </c>
      <c r="AB71" s="25">
        <f t="shared" si="22"/>
        <v>0</v>
      </c>
      <c r="AC71" s="25">
        <f t="shared" si="22"/>
        <v>0</v>
      </c>
      <c r="AD71" s="25">
        <f t="shared" si="22"/>
        <v>0</v>
      </c>
    </row>
    <row r="72" spans="1:254" ht="16.5" x14ac:dyDescent="0.3">
      <c r="A72" s="5" t="s">
        <v>137</v>
      </c>
      <c r="B72" s="25">
        <f>ROUND((B48),0)</f>
        <v>0</v>
      </c>
      <c r="C72" s="25">
        <f>ROUND((C48),0)</f>
        <v>0</v>
      </c>
      <c r="D72" s="25">
        <f>ROUND((D48),0)</f>
        <v>0</v>
      </c>
      <c r="E72" s="25">
        <f>ROUND((E48),0)</f>
        <v>0</v>
      </c>
      <c r="F72" s="25">
        <f>ROUND((F48),0)</f>
        <v>0</v>
      </c>
      <c r="G72" s="25">
        <f t="shared" ref="G72" si="29">ROUND((G48),0)</f>
        <v>0</v>
      </c>
      <c r="H72" s="255">
        <v>0</v>
      </c>
      <c r="I72" s="25">
        <f>ROUND((I48),0)</f>
        <v>0</v>
      </c>
      <c r="J72" s="25">
        <f>ROUND((J48),0)</f>
        <v>0</v>
      </c>
      <c r="K72" s="25">
        <f>ROUND((K48),0)</f>
        <v>0</v>
      </c>
      <c r="L72" s="25">
        <f t="shared" ref="L72:M72" si="30">ROUND((L48),0)</f>
        <v>0</v>
      </c>
      <c r="M72" s="25">
        <f t="shared" si="30"/>
        <v>0</v>
      </c>
      <c r="N72" s="25">
        <f>ROUND((N48),0)</f>
        <v>0</v>
      </c>
    </row>
    <row r="73" spans="1:254" ht="16.5" x14ac:dyDescent="0.3">
      <c r="A73" s="5" t="s">
        <v>93</v>
      </c>
      <c r="B73" s="3">
        <f>ROUND((B44+B50+B51),0)</f>
        <v>84614</v>
      </c>
      <c r="C73" s="3">
        <f>ROUND((C44+C50+C51),0)</f>
        <v>0</v>
      </c>
      <c r="D73" s="3">
        <f>ROUND((D44+D50+D51),0)</f>
        <v>0</v>
      </c>
      <c r="E73" s="3">
        <f>ROUND((E44+E50+E51),0)</f>
        <v>0</v>
      </c>
      <c r="F73" s="3">
        <f>ROUND((F44+F50+F51),0)</f>
        <v>0</v>
      </c>
      <c r="G73" s="3">
        <f t="shared" ref="G73:M73" si="31">ROUND((G44+G50+G51),0)</f>
        <v>0</v>
      </c>
      <c r="H73" s="149">
        <f>ROUND((H44+H50+H51),0)</f>
        <v>0</v>
      </c>
      <c r="I73" s="3">
        <f>ROUND((I44+I50+I51),0)</f>
        <v>0</v>
      </c>
      <c r="J73" s="3">
        <f>ROUND((J44+J50+J51),0)</f>
        <v>0</v>
      </c>
      <c r="K73" s="3">
        <f>ROUND((K44+K50+K51),0)</f>
        <v>0</v>
      </c>
      <c r="L73" s="3">
        <f>ROUND((L44+L50+L51),0)</f>
        <v>0</v>
      </c>
      <c r="M73" s="3">
        <f t="shared" si="31"/>
        <v>0</v>
      </c>
      <c r="N73" s="3">
        <f>ROUND((N44+N50+N51),0)</f>
        <v>84614</v>
      </c>
    </row>
    <row r="74" spans="1:254" ht="16.5" x14ac:dyDescent="0.3">
      <c r="A74" s="6" t="s">
        <v>94</v>
      </c>
      <c r="B74" s="19">
        <f>SUM(B70:B73)</f>
        <v>458584</v>
      </c>
      <c r="C74" s="19">
        <f>SUM(C70:C73)</f>
        <v>0</v>
      </c>
      <c r="D74" s="19">
        <f>SUM(D70:D73)</f>
        <v>0</v>
      </c>
      <c r="E74" s="19">
        <f>SUM(E70:E73)</f>
        <v>0</v>
      </c>
      <c r="F74" s="19">
        <f>SUM(F70:F73)</f>
        <v>0</v>
      </c>
      <c r="G74" s="19">
        <f t="shared" ref="G74" si="32">SUM(G70:G73)</f>
        <v>0</v>
      </c>
      <c r="H74" s="19">
        <f>SUM(H70:H73)</f>
        <v>0</v>
      </c>
      <c r="I74" s="19">
        <f>SUM(I70:I73)</f>
        <v>0</v>
      </c>
      <c r="J74" s="19">
        <f>SUM(J70:J73)</f>
        <v>0</v>
      </c>
      <c r="K74" s="19">
        <f>SUM(K70:K73)</f>
        <v>0</v>
      </c>
      <c r="L74" s="19">
        <f>SUM(L70:L73)</f>
        <v>0</v>
      </c>
      <c r="M74" s="19">
        <f t="shared" ref="M74" si="33">SUM(M70:M73)</f>
        <v>0</v>
      </c>
      <c r="N74" s="19">
        <f>SUM(N70:N73)</f>
        <v>458584</v>
      </c>
    </row>
    <row r="75" spans="1:254" ht="16.5" x14ac:dyDescent="0.3">
      <c r="A75" s="6" t="s">
        <v>95</v>
      </c>
      <c r="B75" s="82">
        <f>B69+B74</f>
        <v>961721</v>
      </c>
      <c r="C75" s="82">
        <f>C69+C74</f>
        <v>0</v>
      </c>
      <c r="D75" s="82">
        <f>D69+D74</f>
        <v>0</v>
      </c>
      <c r="E75" s="82">
        <f>E69+E74</f>
        <v>0</v>
      </c>
      <c r="F75" s="82">
        <f>F69+F74</f>
        <v>0</v>
      </c>
      <c r="G75" s="82">
        <f t="shared" ref="G75" si="34">G69+G74</f>
        <v>0</v>
      </c>
      <c r="H75" s="82">
        <f>H69+H74</f>
        <v>0</v>
      </c>
      <c r="I75" s="82">
        <f t="shared" ref="I75:M75" si="35">I69+I74</f>
        <v>0</v>
      </c>
      <c r="J75" s="82">
        <f>J69+J74</f>
        <v>0</v>
      </c>
      <c r="K75" s="82">
        <f t="shared" si="35"/>
        <v>0</v>
      </c>
      <c r="L75" s="82">
        <f>L69+L74</f>
        <v>0</v>
      </c>
      <c r="M75" s="82">
        <f t="shared" si="35"/>
        <v>0</v>
      </c>
      <c r="N75" s="82">
        <f>N69+N74</f>
        <v>961721</v>
      </c>
      <c r="P75" s="3"/>
    </row>
    <row r="76" spans="1:254" x14ac:dyDescent="0.2">
      <c r="B76" s="130"/>
      <c r="D76" s="3"/>
      <c r="J76" s="3">
        <f>J65-J75</f>
        <v>0</v>
      </c>
      <c r="K76" s="3">
        <f>K65-K75</f>
        <v>0</v>
      </c>
      <c r="L76" s="3">
        <f>L65-L75</f>
        <v>0</v>
      </c>
      <c r="M76" s="3">
        <f>M65-M75</f>
        <v>0</v>
      </c>
    </row>
    <row r="78" spans="1:254" x14ac:dyDescent="0.2">
      <c r="A78" s="77" t="s">
        <v>106</v>
      </c>
      <c r="B78">
        <v>961720.23</v>
      </c>
      <c r="I78" s="148"/>
      <c r="J78" s="148"/>
      <c r="K78" s="148"/>
      <c r="L78" s="148"/>
      <c r="M78" s="148"/>
      <c r="N78">
        <v>961720.23</v>
      </c>
    </row>
    <row r="79" spans="1:254" x14ac:dyDescent="0.2">
      <c r="B79" s="3">
        <f t="shared" ref="B79:G79" si="36">B65-B78</f>
        <v>0.77000000001862645</v>
      </c>
      <c r="C79" s="3">
        <f t="shared" si="36"/>
        <v>0</v>
      </c>
      <c r="D79" s="3">
        <f t="shared" si="36"/>
        <v>0</v>
      </c>
      <c r="E79" s="3">
        <f t="shared" si="36"/>
        <v>0</v>
      </c>
      <c r="F79" s="3">
        <f t="shared" si="36"/>
        <v>0</v>
      </c>
      <c r="G79" s="3">
        <f t="shared" si="36"/>
        <v>0</v>
      </c>
      <c r="H79" s="149">
        <f>H65-H78</f>
        <v>0</v>
      </c>
      <c r="I79" s="3">
        <f>I65-I78</f>
        <v>0</v>
      </c>
      <c r="J79" s="3">
        <f t="shared" ref="J79" si="37">J65-J78</f>
        <v>0</v>
      </c>
      <c r="K79" s="3">
        <f>K65-K78</f>
        <v>0</v>
      </c>
      <c r="L79" s="3">
        <f>L65-L78</f>
        <v>0</v>
      </c>
      <c r="M79" s="3">
        <f>M65-M78</f>
        <v>0</v>
      </c>
      <c r="N79" s="3">
        <f>N65-N78</f>
        <v>0.77000000001862645</v>
      </c>
    </row>
    <row r="80" spans="1:254" x14ac:dyDescent="0.2">
      <c r="E80" s="3"/>
      <c r="H80" s="149"/>
      <c r="I80" s="3"/>
      <c r="N80" s="3">
        <f>K79-N79+L79</f>
        <v>-0.77000000001862645</v>
      </c>
    </row>
    <row r="81" spans="14:14" x14ac:dyDescent="0.2">
      <c r="N81" s="3"/>
    </row>
  </sheetData>
  <mergeCells count="1">
    <mergeCell ref="A1:B1"/>
  </mergeCells>
  <phoneticPr fontId="34" type="noConversion"/>
  <printOptions horizontalCentered="1"/>
  <pageMargins left="0.70866141732283472" right="0.70866141732283472" top="0.15748031496062992" bottom="0.15748031496062992" header="0.31496062992125984" footer="0.31496062992125984"/>
  <pageSetup paperSize="9" scale="1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Y46"/>
  <sheetViews>
    <sheetView showZeros="0" zoomScale="91" zoomScaleNormal="91" workbookViewId="0">
      <pane xSplit="1" topLeftCell="B1" activePane="topRight" state="frozen"/>
      <selection pane="topRight" activeCell="D15" sqref="D15"/>
    </sheetView>
  </sheetViews>
  <sheetFormatPr defaultColWidth="9.140625" defaultRowHeight="15" x14ac:dyDescent="0.3"/>
  <cols>
    <col min="1" max="1" width="43" style="270" bestFit="1" customWidth="1"/>
    <col min="2" max="2" width="11.28515625" style="270" customWidth="1"/>
    <col min="3" max="3" width="8.7109375" style="270" bestFit="1" customWidth="1"/>
    <col min="4" max="4" width="13.28515625" style="270" bestFit="1" customWidth="1"/>
    <col min="5" max="5" width="11.42578125" style="270" hidden="1" customWidth="1"/>
    <col min="6" max="6" width="8.42578125" style="270" hidden="1" customWidth="1"/>
    <col min="7" max="7" width="13.28515625" style="270" hidden="1" customWidth="1"/>
    <col min="8" max="8" width="11.28515625" style="270" hidden="1" customWidth="1"/>
    <col min="9" max="9" width="7.7109375" style="270" hidden="1" customWidth="1"/>
    <col min="10" max="10" width="13.42578125" style="270" hidden="1" customWidth="1"/>
    <col min="11" max="11" width="10.85546875" style="270" hidden="1" customWidth="1"/>
    <col min="12" max="12" width="7.42578125" style="270" hidden="1" customWidth="1"/>
    <col min="13" max="13" width="13.140625" style="270" hidden="1" customWidth="1"/>
    <col min="14" max="14" width="11.28515625" style="270" hidden="1" customWidth="1"/>
    <col min="15" max="15" width="7.7109375" style="270" hidden="1" customWidth="1"/>
    <col min="16" max="16" width="14.140625" style="270" hidden="1" customWidth="1"/>
    <col min="17" max="17" width="10.5703125" style="270" hidden="1" customWidth="1"/>
    <col min="18" max="18" width="7.7109375" style="270" hidden="1" customWidth="1"/>
    <col min="19" max="19" width="14.28515625" style="270" hidden="1" customWidth="1"/>
    <col min="20" max="20" width="11" style="270" hidden="1" customWidth="1"/>
    <col min="21" max="21" width="7.7109375" style="270" hidden="1" customWidth="1"/>
    <col min="22" max="22" width="13" style="270" hidden="1" customWidth="1"/>
    <col min="23" max="23" width="10.140625" style="270" hidden="1" customWidth="1"/>
    <col min="24" max="24" width="9.140625" style="270" hidden="1" customWidth="1"/>
    <col min="25" max="25" width="13.5703125" style="270" hidden="1" customWidth="1"/>
    <col min="26" max="26" width="10.42578125" style="270" hidden="1" customWidth="1"/>
    <col min="27" max="27" width="9.140625" style="270" hidden="1" customWidth="1"/>
    <col min="28" max="28" width="13.5703125" style="270" hidden="1" customWidth="1"/>
    <col min="29" max="29" width="13.140625" style="270" hidden="1" customWidth="1"/>
    <col min="30" max="30" width="8.85546875" style="270" hidden="1" customWidth="1"/>
    <col min="31" max="31" width="14" style="270" hidden="1" customWidth="1"/>
    <col min="32" max="32" width="12.7109375" style="270" hidden="1" customWidth="1"/>
    <col min="33" max="33" width="8.85546875" style="270" hidden="1" customWidth="1"/>
    <col min="34" max="34" width="14.28515625" style="270" hidden="1" customWidth="1"/>
    <col min="35" max="35" width="11.140625" style="270" hidden="1" customWidth="1"/>
    <col min="36" max="36" width="8.85546875" style="270" hidden="1" customWidth="1"/>
    <col min="37" max="37" width="14" style="270" hidden="1" customWidth="1"/>
    <col min="38" max="38" width="15.28515625" style="270" bestFit="1" customWidth="1"/>
    <col min="39" max="39" width="7.85546875" style="270" bestFit="1" customWidth="1"/>
    <col min="40" max="40" width="18.140625" style="270" bestFit="1" customWidth="1"/>
    <col min="41" max="41" width="15" style="270" bestFit="1" customWidth="1"/>
    <col min="42" max="42" width="17.7109375" style="270" bestFit="1" customWidth="1"/>
    <col min="43" max="43" width="15.85546875" style="270" bestFit="1" customWidth="1"/>
    <col min="44" max="44" width="15" style="270" bestFit="1" customWidth="1"/>
    <col min="45" max="45" width="9.140625" style="270"/>
    <col min="46" max="46" width="9.5703125" style="270" bestFit="1" customWidth="1"/>
    <col min="47" max="47" width="9.140625" style="270"/>
    <col min="48" max="50" width="9.7109375" style="270" bestFit="1" customWidth="1"/>
    <col min="51" max="16384" width="9.140625" style="270"/>
  </cols>
  <sheetData>
    <row r="1" spans="1:44" ht="15.75" thickBot="1" x14ac:dyDescent="0.35"/>
    <row r="2" spans="1:44" ht="17.25" thickBot="1" x14ac:dyDescent="0.35">
      <c r="A2" s="271" t="s">
        <v>37</v>
      </c>
      <c r="B2" s="873" t="s">
        <v>12</v>
      </c>
      <c r="C2" s="874"/>
      <c r="D2" s="874"/>
      <c r="E2" s="875" t="s">
        <v>3</v>
      </c>
      <c r="F2" s="874"/>
      <c r="G2" s="876"/>
      <c r="H2" s="873" t="s">
        <v>13</v>
      </c>
      <c r="I2" s="874"/>
      <c r="J2" s="874"/>
      <c r="K2" s="875" t="s">
        <v>14</v>
      </c>
      <c r="L2" s="874"/>
      <c r="M2" s="876"/>
      <c r="N2" s="873" t="s">
        <v>15</v>
      </c>
      <c r="O2" s="874"/>
      <c r="P2" s="874"/>
      <c r="Q2" s="875" t="s">
        <v>16</v>
      </c>
      <c r="R2" s="874"/>
      <c r="S2" s="876"/>
      <c r="T2" s="873" t="s">
        <v>9</v>
      </c>
      <c r="U2" s="874"/>
      <c r="V2" s="874"/>
      <c r="W2" s="875" t="s">
        <v>4</v>
      </c>
      <c r="X2" s="874"/>
      <c r="Y2" s="876"/>
      <c r="Z2" s="873" t="s">
        <v>5</v>
      </c>
      <c r="AA2" s="874"/>
      <c r="AB2" s="874"/>
      <c r="AC2" s="875" t="s">
        <v>6</v>
      </c>
      <c r="AD2" s="874"/>
      <c r="AE2" s="876"/>
      <c r="AF2" s="873" t="s">
        <v>7</v>
      </c>
      <c r="AG2" s="874"/>
      <c r="AH2" s="874"/>
      <c r="AI2" s="875" t="s">
        <v>8</v>
      </c>
      <c r="AJ2" s="874"/>
      <c r="AK2" s="876"/>
      <c r="AL2" s="893" t="s">
        <v>0</v>
      </c>
      <c r="AM2" s="874"/>
      <c r="AN2" s="876"/>
    </row>
    <row r="3" spans="1:44" ht="13.15" customHeight="1" x14ac:dyDescent="0.3">
      <c r="A3" s="871" t="s">
        <v>125</v>
      </c>
      <c r="B3" s="879" t="s">
        <v>123</v>
      </c>
      <c r="C3" s="883" t="s">
        <v>10</v>
      </c>
      <c r="D3" s="885" t="s">
        <v>124</v>
      </c>
      <c r="E3" s="887" t="s">
        <v>123</v>
      </c>
      <c r="F3" s="881" t="s">
        <v>10</v>
      </c>
      <c r="G3" s="877" t="s">
        <v>124</v>
      </c>
      <c r="H3" s="879" t="s">
        <v>123</v>
      </c>
      <c r="I3" s="881" t="s">
        <v>10</v>
      </c>
      <c r="J3" s="877" t="s">
        <v>124</v>
      </c>
      <c r="K3" s="887" t="s">
        <v>123</v>
      </c>
      <c r="L3" s="881" t="s">
        <v>10</v>
      </c>
      <c r="M3" s="877" t="s">
        <v>124</v>
      </c>
      <c r="N3" s="887" t="s">
        <v>123</v>
      </c>
      <c r="O3" s="881" t="s">
        <v>10</v>
      </c>
      <c r="P3" s="877" t="s">
        <v>124</v>
      </c>
      <c r="Q3" s="887" t="s">
        <v>123</v>
      </c>
      <c r="R3" s="881" t="s">
        <v>10</v>
      </c>
      <c r="S3" s="889" t="s">
        <v>124</v>
      </c>
      <c r="T3" s="887" t="s">
        <v>123</v>
      </c>
      <c r="U3" s="881" t="s">
        <v>10</v>
      </c>
      <c r="V3" s="889" t="s">
        <v>124</v>
      </c>
      <c r="W3" s="887" t="s">
        <v>123</v>
      </c>
      <c r="X3" s="881" t="s">
        <v>10</v>
      </c>
      <c r="Y3" s="877" t="s">
        <v>124</v>
      </c>
      <c r="Z3" s="891" t="s">
        <v>123</v>
      </c>
      <c r="AA3" s="881" t="s">
        <v>10</v>
      </c>
      <c r="AB3" s="889" t="s">
        <v>124</v>
      </c>
      <c r="AC3" s="891" t="s">
        <v>123</v>
      </c>
      <c r="AD3" s="881" t="s">
        <v>10</v>
      </c>
      <c r="AE3" s="889" t="s">
        <v>124</v>
      </c>
      <c r="AF3" s="887" t="s">
        <v>123</v>
      </c>
      <c r="AG3" s="881" t="s">
        <v>10</v>
      </c>
      <c r="AH3" s="877" t="s">
        <v>124</v>
      </c>
      <c r="AI3" s="887" t="s">
        <v>123</v>
      </c>
      <c r="AJ3" s="881" t="s">
        <v>10</v>
      </c>
      <c r="AK3" s="877" t="s">
        <v>124</v>
      </c>
      <c r="AL3" s="894" t="s">
        <v>123</v>
      </c>
      <c r="AM3" s="896" t="s">
        <v>10</v>
      </c>
      <c r="AN3" s="898" t="s">
        <v>124</v>
      </c>
      <c r="AP3" s="272"/>
      <c r="AQ3" s="272"/>
    </row>
    <row r="4" spans="1:44" ht="15.75" thickBot="1" x14ac:dyDescent="0.35">
      <c r="A4" s="872"/>
      <c r="B4" s="880"/>
      <c r="C4" s="884"/>
      <c r="D4" s="886"/>
      <c r="E4" s="888"/>
      <c r="F4" s="882"/>
      <c r="G4" s="878"/>
      <c r="H4" s="880"/>
      <c r="I4" s="882"/>
      <c r="J4" s="878"/>
      <c r="K4" s="888"/>
      <c r="L4" s="882"/>
      <c r="M4" s="878"/>
      <c r="N4" s="888"/>
      <c r="O4" s="882"/>
      <c r="P4" s="878"/>
      <c r="Q4" s="888"/>
      <c r="R4" s="882"/>
      <c r="S4" s="890"/>
      <c r="T4" s="888"/>
      <c r="U4" s="882"/>
      <c r="V4" s="890"/>
      <c r="W4" s="888"/>
      <c r="X4" s="882"/>
      <c r="Y4" s="878"/>
      <c r="Z4" s="892"/>
      <c r="AA4" s="882"/>
      <c r="AB4" s="890"/>
      <c r="AC4" s="892"/>
      <c r="AD4" s="882"/>
      <c r="AE4" s="890"/>
      <c r="AF4" s="888"/>
      <c r="AG4" s="882"/>
      <c r="AH4" s="878"/>
      <c r="AI4" s="888"/>
      <c r="AJ4" s="882"/>
      <c r="AK4" s="878"/>
      <c r="AL4" s="895"/>
      <c r="AM4" s="897"/>
      <c r="AN4" s="899"/>
      <c r="AP4" s="272"/>
    </row>
    <row r="5" spans="1:44" x14ac:dyDescent="0.3">
      <c r="A5" s="273" t="s">
        <v>107</v>
      </c>
      <c r="B5" s="421">
        <v>29736</v>
      </c>
      <c r="C5" s="274">
        <f>IF(B5=0,0,D5/B5)</f>
        <v>306.9020715630885</v>
      </c>
      <c r="D5" s="275">
        <v>9126040</v>
      </c>
      <c r="E5" s="276"/>
      <c r="F5" s="274">
        <f>IF(E5=0,0,G5/E5)</f>
        <v>0</v>
      </c>
      <c r="G5" s="278"/>
      <c r="H5" s="276"/>
      <c r="I5" s="277">
        <f>IF(H5=0,0,J5/H5)</f>
        <v>0</v>
      </c>
      <c r="J5" s="278"/>
      <c r="K5" s="276"/>
      <c r="L5" s="277">
        <f>IF(K5=0,0,M5/K5)</f>
        <v>0</v>
      </c>
      <c r="M5" s="278"/>
      <c r="N5" s="276"/>
      <c r="O5" s="274">
        <f>IF(N5=0,0,P5/N5)</f>
        <v>0</v>
      </c>
      <c r="P5" s="278"/>
      <c r="Q5" s="276"/>
      <c r="R5" s="287">
        <f>IF(Q5=0,0,S5/Q5)</f>
        <v>0</v>
      </c>
      <c r="S5" s="278"/>
      <c r="T5" s="276"/>
      <c r="U5" s="287">
        <f>IF(T5=0,0,V5/T5)</f>
        <v>0</v>
      </c>
      <c r="V5" s="278"/>
      <c r="W5" s="276"/>
      <c r="X5" s="287">
        <f t="shared" ref="X5:X10" si="0">IF(W5=0,0,Y5/W5)</f>
        <v>0</v>
      </c>
      <c r="Y5" s="278"/>
      <c r="Z5" s="276"/>
      <c r="AA5" s="287">
        <f t="shared" ref="AA5:AA10" si="1">IF(Z5=0,0,AB5/Z5)</f>
        <v>0</v>
      </c>
      <c r="AB5" s="278"/>
      <c r="AC5" s="276"/>
      <c r="AD5" s="287">
        <f>IF(AC5=0,0,AE5/AC5)</f>
        <v>0</v>
      </c>
      <c r="AE5" s="278"/>
      <c r="AF5" s="276"/>
      <c r="AG5" s="287">
        <f>IF(AF5=0,0,AH5/AF5)</f>
        <v>0</v>
      </c>
      <c r="AH5" s="278"/>
      <c r="AI5" s="765"/>
      <c r="AJ5" s="766">
        <f t="shared" ref="AJ5:AJ17" si="2">IF(AI5=0,0,AK5/AI5)</f>
        <v>0</v>
      </c>
      <c r="AK5" s="767"/>
      <c r="AL5" s="422">
        <f t="shared" ref="AL5:AL10" si="3">SUM(B5,E5,H5,K5,N5,Q5,T5,W5,Z5,AC5,AF5,AI5)</f>
        <v>29736</v>
      </c>
      <c r="AM5" s="280">
        <f>IF(AL5=0,0,AN5/AL5)</f>
        <v>306.9020715630885</v>
      </c>
      <c r="AN5" s="423">
        <f>SUM(D5,G5,J5,M5,P5,S5,V5,Y5,AB5,AE5,AH5,AK5)</f>
        <v>9126040</v>
      </c>
      <c r="AQ5" s="281"/>
      <c r="AR5" s="281"/>
    </row>
    <row r="6" spans="1:44" x14ac:dyDescent="0.3">
      <c r="A6" s="273" t="s">
        <v>126</v>
      </c>
      <c r="B6" s="282">
        <v>60203</v>
      </c>
      <c r="C6" s="279">
        <f t="shared" ref="C6:C10" si="4">IF(B6=0,0,D6/B6)</f>
        <v>284.90781190306132</v>
      </c>
      <c r="D6" s="283">
        <v>17152305</v>
      </c>
      <c r="E6" s="286"/>
      <c r="F6" s="279">
        <f>IF(E6=0,0,G6/E6)</f>
        <v>0</v>
      </c>
      <c r="G6" s="285"/>
      <c r="H6" s="424"/>
      <c r="I6" s="284">
        <f t="shared" ref="I6:I10" si="5">IF(H6=0,0,J6/H6)</f>
        <v>0</v>
      </c>
      <c r="J6" s="285"/>
      <c r="K6" s="286"/>
      <c r="L6" s="287">
        <f t="shared" ref="L6:L10" si="6">IF(K6=0,0,M6/K6)</f>
        <v>0</v>
      </c>
      <c r="M6" s="285"/>
      <c r="N6" s="286"/>
      <c r="O6" s="287">
        <f t="shared" ref="O6" si="7">IF(N6=0,0,P6/N6)</f>
        <v>0</v>
      </c>
      <c r="P6" s="285"/>
      <c r="Q6" s="286"/>
      <c r="R6" s="287">
        <f t="shared" ref="R6:R10" si="8">IF(Q6=0,0,S6/Q6)</f>
        <v>0</v>
      </c>
      <c r="S6" s="285"/>
      <c r="T6" s="286"/>
      <c r="U6" s="287">
        <f>IF(T6=0,0,V6/T6)</f>
        <v>0</v>
      </c>
      <c r="V6" s="285"/>
      <c r="W6" s="286"/>
      <c r="X6" s="287">
        <f t="shared" si="0"/>
        <v>0</v>
      </c>
      <c r="Y6" s="285"/>
      <c r="Z6" s="286"/>
      <c r="AA6" s="287">
        <f t="shared" si="1"/>
        <v>0</v>
      </c>
      <c r="AB6" s="285"/>
      <c r="AC6" s="286"/>
      <c r="AD6" s="287">
        <f t="shared" ref="AD6:AD10" si="9">IF(AC6=0,0,AE6/AC6)</f>
        <v>0</v>
      </c>
      <c r="AE6" s="285"/>
      <c r="AF6" s="286"/>
      <c r="AG6" s="287">
        <f t="shared" ref="AG6:AG10" si="10">IF(AF6=0,0,AH6/AF6)</f>
        <v>0</v>
      </c>
      <c r="AH6" s="285"/>
      <c r="AI6" s="768"/>
      <c r="AJ6" s="766">
        <f t="shared" si="2"/>
        <v>0</v>
      </c>
      <c r="AK6" s="769"/>
      <c r="AL6" s="286">
        <f t="shared" si="3"/>
        <v>60203</v>
      </c>
      <c r="AM6" s="287">
        <f t="shared" ref="AM6:AM25" si="11">IF(AL6=0,0,AN6/AL6)</f>
        <v>284.90781190306132</v>
      </c>
      <c r="AN6" s="288">
        <f>SUM(D6,G6,J6,M6,P6,S6,V6,Y6,AB6,AE6,AH6,AK6)</f>
        <v>17152305</v>
      </c>
      <c r="AP6" s="272"/>
      <c r="AQ6" s="281"/>
      <c r="AR6" s="281"/>
    </row>
    <row r="7" spans="1:44" x14ac:dyDescent="0.3">
      <c r="A7" s="289" t="s">
        <v>129</v>
      </c>
      <c r="B7" s="282"/>
      <c r="C7" s="287">
        <f t="shared" si="4"/>
        <v>0</v>
      </c>
      <c r="D7" s="283"/>
      <c r="E7" s="286"/>
      <c r="F7" s="279"/>
      <c r="G7" s="285"/>
      <c r="H7" s="286"/>
      <c r="I7" s="284">
        <f t="shared" si="5"/>
        <v>0</v>
      </c>
      <c r="J7" s="285"/>
      <c r="K7" s="286"/>
      <c r="L7" s="287">
        <f t="shared" si="6"/>
        <v>0</v>
      </c>
      <c r="M7" s="285"/>
      <c r="N7" s="286"/>
      <c r="O7" s="279"/>
      <c r="P7" s="285"/>
      <c r="Q7" s="286"/>
      <c r="R7" s="287">
        <f t="shared" si="8"/>
        <v>0</v>
      </c>
      <c r="S7" s="285"/>
      <c r="T7" s="286"/>
      <c r="U7" s="279"/>
      <c r="V7" s="285"/>
      <c r="W7" s="286"/>
      <c r="X7" s="287">
        <f t="shared" si="0"/>
        <v>0</v>
      </c>
      <c r="Y7" s="285"/>
      <c r="Z7" s="286"/>
      <c r="AA7" s="287">
        <f t="shared" si="1"/>
        <v>0</v>
      </c>
      <c r="AB7" s="285"/>
      <c r="AC7" s="286"/>
      <c r="AD7" s="287">
        <f t="shared" si="9"/>
        <v>0</v>
      </c>
      <c r="AE7" s="285"/>
      <c r="AF7" s="286"/>
      <c r="AG7" s="287">
        <f t="shared" si="10"/>
        <v>0</v>
      </c>
      <c r="AH7" s="285"/>
      <c r="AI7" s="768"/>
      <c r="AJ7" s="766">
        <f t="shared" si="2"/>
        <v>0</v>
      </c>
      <c r="AK7" s="769"/>
      <c r="AL7" s="286">
        <f t="shared" si="3"/>
        <v>0</v>
      </c>
      <c r="AM7" s="287">
        <f>IF(AL7=0,0,AN7/AL7)</f>
        <v>0</v>
      </c>
      <c r="AN7" s="288">
        <f t="shared" ref="AN7" si="12">SUM(D7,G7,J7,M7,P7,S7,V7,Y7,AB7,AE7,AH7,AK7)</f>
        <v>0</v>
      </c>
      <c r="AQ7" s="281"/>
      <c r="AR7" s="281"/>
    </row>
    <row r="8" spans="1:44" x14ac:dyDescent="0.3">
      <c r="A8" s="289" t="s">
        <v>130</v>
      </c>
      <c r="B8" s="282"/>
      <c r="C8" s="287">
        <f t="shared" si="4"/>
        <v>0</v>
      </c>
      <c r="D8" s="283"/>
      <c r="E8" s="286"/>
      <c r="F8" s="279"/>
      <c r="G8" s="285"/>
      <c r="H8" s="286"/>
      <c r="I8" s="287">
        <f t="shared" si="5"/>
        <v>0</v>
      </c>
      <c r="J8" s="285"/>
      <c r="K8" s="286"/>
      <c r="L8" s="287">
        <f t="shared" si="6"/>
        <v>0</v>
      </c>
      <c r="M8" s="285"/>
      <c r="N8" s="286"/>
      <c r="O8" s="279"/>
      <c r="P8" s="285"/>
      <c r="Q8" s="286"/>
      <c r="R8" s="287">
        <f t="shared" si="8"/>
        <v>0</v>
      </c>
      <c r="S8" s="285"/>
      <c r="T8" s="286"/>
      <c r="U8" s="287">
        <f t="shared" ref="U8:U14" si="13">IF(T8=0,0,V8/T8)</f>
        <v>0</v>
      </c>
      <c r="V8" s="285"/>
      <c r="W8" s="286"/>
      <c r="X8" s="287">
        <f t="shared" si="0"/>
        <v>0</v>
      </c>
      <c r="Y8" s="285"/>
      <c r="Z8" s="286"/>
      <c r="AA8" s="287">
        <f t="shared" si="1"/>
        <v>0</v>
      </c>
      <c r="AB8" s="285"/>
      <c r="AC8" s="286"/>
      <c r="AD8" s="287">
        <f t="shared" si="9"/>
        <v>0</v>
      </c>
      <c r="AE8" s="285"/>
      <c r="AF8" s="286"/>
      <c r="AG8" s="287">
        <f t="shared" si="10"/>
        <v>0</v>
      </c>
      <c r="AH8" s="285"/>
      <c r="AI8" s="768"/>
      <c r="AJ8" s="766">
        <f t="shared" si="2"/>
        <v>0</v>
      </c>
      <c r="AK8" s="769"/>
      <c r="AL8" s="286">
        <f t="shared" si="3"/>
        <v>0</v>
      </c>
      <c r="AM8" s="287">
        <f>IF(AL8=0,0,AN8/AL8)</f>
        <v>0</v>
      </c>
      <c r="AN8" s="288">
        <f>SUM(D8,G8,J8,M8,P8,S8,V8,Y8,AB8,AE8,AH8,AK8)</f>
        <v>0</v>
      </c>
      <c r="AQ8" s="281"/>
      <c r="AR8" s="281"/>
    </row>
    <row r="9" spans="1:44" ht="15.75" customHeight="1" x14ac:dyDescent="0.3">
      <c r="A9" s="289" t="s">
        <v>154</v>
      </c>
      <c r="B9" s="282">
        <v>5</v>
      </c>
      <c r="C9" s="279">
        <f t="shared" si="4"/>
        <v>900</v>
      </c>
      <c r="D9" s="283">
        <v>4500</v>
      </c>
      <c r="E9" s="286"/>
      <c r="F9" s="279">
        <f t="shared" ref="F9:F14" si="14">IF(E9=0,0,G9/E9)</f>
        <v>0</v>
      </c>
      <c r="G9" s="285"/>
      <c r="H9" s="286"/>
      <c r="I9" s="279">
        <f t="shared" si="5"/>
        <v>0</v>
      </c>
      <c r="J9" s="285"/>
      <c r="K9" s="286"/>
      <c r="L9" s="287">
        <f t="shared" si="6"/>
        <v>0</v>
      </c>
      <c r="M9" s="285"/>
      <c r="N9" s="286"/>
      <c r="O9" s="279">
        <f t="shared" ref="O9:O10" si="15">IF(N9=0,0,P9/N9)</f>
        <v>0</v>
      </c>
      <c r="P9" s="285"/>
      <c r="Q9" s="286"/>
      <c r="R9" s="287">
        <f t="shared" si="8"/>
        <v>0</v>
      </c>
      <c r="S9" s="285"/>
      <c r="T9" s="286"/>
      <c r="U9" s="287">
        <f t="shared" si="13"/>
        <v>0</v>
      </c>
      <c r="V9" s="285"/>
      <c r="W9" s="286"/>
      <c r="X9" s="287">
        <f t="shared" si="0"/>
        <v>0</v>
      </c>
      <c r="Y9" s="285"/>
      <c r="Z9" s="286"/>
      <c r="AA9" s="287">
        <f t="shared" si="1"/>
        <v>0</v>
      </c>
      <c r="AB9" s="285"/>
      <c r="AC9" s="286"/>
      <c r="AD9" s="287">
        <f t="shared" si="9"/>
        <v>0</v>
      </c>
      <c r="AE9" s="285"/>
      <c r="AF9" s="286"/>
      <c r="AG9" s="287">
        <f t="shared" si="10"/>
        <v>0</v>
      </c>
      <c r="AH9" s="285"/>
      <c r="AI9" s="768"/>
      <c r="AJ9" s="766">
        <f t="shared" si="2"/>
        <v>0</v>
      </c>
      <c r="AK9" s="769"/>
      <c r="AL9" s="286">
        <f t="shared" si="3"/>
        <v>5</v>
      </c>
      <c r="AM9" s="287">
        <f t="shared" si="11"/>
        <v>900</v>
      </c>
      <c r="AN9" s="288">
        <f>SUM(D9,G9,J9,M9,P9,S9,V9,Y9,AB9,AE9,AH9,AK9)</f>
        <v>4500</v>
      </c>
      <c r="AQ9" s="281"/>
      <c r="AR9" s="281"/>
    </row>
    <row r="10" spans="1:44" ht="15.75" thickBot="1" x14ac:dyDescent="0.35">
      <c r="A10" s="289" t="s">
        <v>204</v>
      </c>
      <c r="B10" s="291">
        <v>6050</v>
      </c>
      <c r="C10" s="292">
        <f t="shared" si="4"/>
        <v>179.0082644628099</v>
      </c>
      <c r="D10" s="293">
        <v>1083000</v>
      </c>
      <c r="E10" s="294"/>
      <c r="F10" s="279">
        <f t="shared" si="14"/>
        <v>0</v>
      </c>
      <c r="G10" s="295"/>
      <c r="H10" s="294"/>
      <c r="I10" s="279">
        <f t="shared" si="5"/>
        <v>0</v>
      </c>
      <c r="J10" s="295"/>
      <c r="K10" s="294"/>
      <c r="L10" s="287">
        <f t="shared" si="6"/>
        <v>0</v>
      </c>
      <c r="M10" s="295"/>
      <c r="N10" s="294"/>
      <c r="O10" s="287">
        <f t="shared" si="15"/>
        <v>0</v>
      </c>
      <c r="P10" s="295"/>
      <c r="Q10" s="294"/>
      <c r="R10" s="287">
        <f t="shared" si="8"/>
        <v>0</v>
      </c>
      <c r="S10" s="295"/>
      <c r="T10" s="294"/>
      <c r="U10" s="296">
        <f t="shared" si="13"/>
        <v>0</v>
      </c>
      <c r="V10" s="295"/>
      <c r="W10" s="294"/>
      <c r="X10" s="287">
        <f t="shared" si="0"/>
        <v>0</v>
      </c>
      <c r="Y10" s="295"/>
      <c r="Z10" s="294"/>
      <c r="AA10" s="287">
        <f t="shared" si="1"/>
        <v>0</v>
      </c>
      <c r="AB10" s="295"/>
      <c r="AC10" s="294"/>
      <c r="AD10" s="287">
        <f t="shared" si="9"/>
        <v>0</v>
      </c>
      <c r="AE10" s="295"/>
      <c r="AF10" s="294"/>
      <c r="AG10" s="287">
        <f t="shared" si="10"/>
        <v>0</v>
      </c>
      <c r="AH10" s="295"/>
      <c r="AI10" s="770"/>
      <c r="AJ10" s="766">
        <f t="shared" si="2"/>
        <v>0</v>
      </c>
      <c r="AK10" s="771"/>
      <c r="AL10" s="297">
        <f t="shared" si="3"/>
        <v>6050</v>
      </c>
      <c r="AM10" s="275">
        <f t="shared" si="11"/>
        <v>179.0082644628099</v>
      </c>
      <c r="AN10" s="425">
        <f>SUM(D10,G10,J10,M10,P10,S10,V10,Y10,AB10,AE10,AH10,AK10)</f>
        <v>1083000</v>
      </c>
      <c r="AO10" s="272"/>
      <c r="AQ10" s="281"/>
      <c r="AR10" s="281"/>
    </row>
    <row r="11" spans="1:44" ht="15.75" thickBot="1" x14ac:dyDescent="0.35">
      <c r="A11" s="298"/>
      <c r="B11" s="299">
        <f>SUM(B5:B10)</f>
        <v>95994</v>
      </c>
      <c r="C11" s="300">
        <f>IF(B11=0,0,D11/B11)</f>
        <v>285.0787028355939</v>
      </c>
      <c r="D11" s="301">
        <f>SUM(D5:D10)</f>
        <v>27365845</v>
      </c>
      <c r="E11" s="302">
        <f>SUM(E5:E10)</f>
        <v>0</v>
      </c>
      <c r="F11" s="300">
        <f t="shared" si="14"/>
        <v>0</v>
      </c>
      <c r="G11" s="303">
        <f>SUM(G5:G10)</f>
        <v>0</v>
      </c>
      <c r="H11" s="302">
        <f>SUM(H5:H10)</f>
        <v>0</v>
      </c>
      <c r="I11" s="300">
        <f>IF(H11=0,0,J11/H11)</f>
        <v>0</v>
      </c>
      <c r="J11" s="303">
        <f>SUM(J5:J10)</f>
        <v>0</v>
      </c>
      <c r="K11" s="302">
        <f>SUM(K5:K10)</f>
        <v>0</v>
      </c>
      <c r="L11" s="304">
        <f>IF(K11=0,0,M11/K11)</f>
        <v>0</v>
      </c>
      <c r="M11" s="303">
        <f>SUM(M5:M10)</f>
        <v>0</v>
      </c>
      <c r="N11" s="302">
        <f>SUM(N5:N10)</f>
        <v>0</v>
      </c>
      <c r="O11" s="300">
        <f>IF(N11=0,0,P11/N11)</f>
        <v>0</v>
      </c>
      <c r="P11" s="303">
        <f>SUM(P5:P10)</f>
        <v>0</v>
      </c>
      <c r="Q11" s="302">
        <f>SUM(Q5:Q10)</f>
        <v>0</v>
      </c>
      <c r="R11" s="300">
        <f>IF(Q11=0,0,S11/Q11)</f>
        <v>0</v>
      </c>
      <c r="S11" s="303">
        <f>SUM(S5:S10)</f>
        <v>0</v>
      </c>
      <c r="T11" s="302">
        <f>SUM(T5:T10)</f>
        <v>0</v>
      </c>
      <c r="U11" s="300">
        <f t="shared" si="13"/>
        <v>0</v>
      </c>
      <c r="V11" s="303">
        <f>SUM(V5:V10)</f>
        <v>0</v>
      </c>
      <c r="W11" s="302">
        <f>SUM(W5:W10)</f>
        <v>0</v>
      </c>
      <c r="X11" s="300">
        <f>IF(W11=0,0,Y11/W11)</f>
        <v>0</v>
      </c>
      <c r="Y11" s="303">
        <f>SUM(Y5:Y10)</f>
        <v>0</v>
      </c>
      <c r="Z11" s="302">
        <f>SUM(Z5:Z10)</f>
        <v>0</v>
      </c>
      <c r="AA11" s="300">
        <f>IF(Z11=0,0,AB11/Z11)</f>
        <v>0</v>
      </c>
      <c r="AB11" s="303">
        <f>SUM(AB5:AB10)</f>
        <v>0</v>
      </c>
      <c r="AC11" s="302">
        <f>SUM(AC5:AC10)</f>
        <v>0</v>
      </c>
      <c r="AD11" s="300">
        <f>IF(AC11=0,0,AE11/AC11)</f>
        <v>0</v>
      </c>
      <c r="AE11" s="303">
        <f>SUM(AE5:AE10)</f>
        <v>0</v>
      </c>
      <c r="AF11" s="302">
        <f>SUM(AF5:AF10)</f>
        <v>0</v>
      </c>
      <c r="AG11" s="300">
        <f>IF(AF11=0,0,AH11/AF11)</f>
        <v>0</v>
      </c>
      <c r="AH11" s="303">
        <f>SUM(AH5:AH10)</f>
        <v>0</v>
      </c>
      <c r="AI11" s="772">
        <f>SUM(AI5:AI10)</f>
        <v>0</v>
      </c>
      <c r="AJ11" s="773">
        <f>IF(AI11=0,0,AK11/AI11)</f>
        <v>0</v>
      </c>
      <c r="AK11" s="774">
        <f>SUM(AK5:AK10)</f>
        <v>0</v>
      </c>
      <c r="AL11" s="302">
        <f>SUM(AL5:AL10)</f>
        <v>95994</v>
      </c>
      <c r="AM11" s="300">
        <f>IF(AL11=0,0,AN11/AL11)</f>
        <v>285.0787028355939</v>
      </c>
      <c r="AN11" s="303">
        <f>SUM(AN5:AN10)</f>
        <v>27365845</v>
      </c>
      <c r="AQ11" s="281"/>
      <c r="AR11" s="281"/>
    </row>
    <row r="12" spans="1:44" x14ac:dyDescent="0.3">
      <c r="A12" s="289" t="s">
        <v>83</v>
      </c>
      <c r="B12" s="305">
        <v>1148</v>
      </c>
      <c r="C12" s="287">
        <f>IF(B12=0,0,D12/B12)</f>
        <v>288.71080139372822</v>
      </c>
      <c r="D12" s="306">
        <v>331440</v>
      </c>
      <c r="E12" s="307"/>
      <c r="F12" s="287">
        <f t="shared" si="14"/>
        <v>0</v>
      </c>
      <c r="G12" s="308"/>
      <c r="H12" s="307"/>
      <c r="I12" s="287">
        <f t="shared" ref="I12:I14" si="16">IF(H12=0,0,J12/H12)</f>
        <v>0</v>
      </c>
      <c r="J12" s="308"/>
      <c r="K12" s="307"/>
      <c r="L12" s="279"/>
      <c r="M12" s="308"/>
      <c r="N12" s="307"/>
      <c r="O12" s="287">
        <f>IF(N12=0,0,P12/N12)</f>
        <v>0</v>
      </c>
      <c r="P12" s="308"/>
      <c r="Q12" s="307"/>
      <c r="R12" s="287">
        <f>IF(Q12=0,0,S12/Q12)</f>
        <v>0</v>
      </c>
      <c r="S12" s="308"/>
      <c r="T12" s="314"/>
      <c r="U12" s="287">
        <f t="shared" si="13"/>
        <v>0</v>
      </c>
      <c r="V12" s="315"/>
      <c r="W12" s="307"/>
      <c r="X12" s="287">
        <f t="shared" ref="X12" si="17">IF(W12=0,0,Y12/W12)</f>
        <v>0</v>
      </c>
      <c r="Y12" s="308"/>
      <c r="Z12" s="307"/>
      <c r="AA12" s="287">
        <f t="shared" ref="AA12:AA17" si="18">IF(Z12=0,0,AB12/Z12)</f>
        <v>0</v>
      </c>
      <c r="AB12" s="308"/>
      <c r="AC12" s="307"/>
      <c r="AD12" s="287">
        <f>IF(AC12=0,0,AE12/AC12)</f>
        <v>0</v>
      </c>
      <c r="AE12" s="308"/>
      <c r="AF12" s="307"/>
      <c r="AG12" s="287">
        <f t="shared" ref="AG12:AG16" si="19">IF(AF12=0,0,AH12/AF12)</f>
        <v>0</v>
      </c>
      <c r="AH12" s="308"/>
      <c r="AI12" s="775"/>
      <c r="AJ12" s="766">
        <f t="shared" si="2"/>
        <v>0</v>
      </c>
      <c r="AK12" s="776"/>
      <c r="AL12" s="286">
        <f t="shared" ref="AL12:AL17" si="20">SUM(B12,E12,H12,K12,N12,Q12,T12,W12,Z12,AC12,AF12,AI12)</f>
        <v>1148</v>
      </c>
      <c r="AM12" s="287">
        <f>IF(AL12=0,0,AN12/AL12)</f>
        <v>288.71080139372822</v>
      </c>
      <c r="AN12" s="288">
        <f>SUM(D12,G12,J12,M12,P12,S12,V12,Y12,AB12,AE12,AH12,AK12)</f>
        <v>331440</v>
      </c>
      <c r="AP12" s="309"/>
      <c r="AQ12" s="281"/>
      <c r="AR12" s="281"/>
    </row>
    <row r="13" spans="1:44" x14ac:dyDescent="0.3">
      <c r="A13" s="289" t="s">
        <v>84</v>
      </c>
      <c r="B13" s="310">
        <v>544</v>
      </c>
      <c r="C13" s="287">
        <f>IF(B13=0,0,D13/B13)</f>
        <v>322.89154411764707</v>
      </c>
      <c r="D13" s="311">
        <v>175653</v>
      </c>
      <c r="E13" s="314"/>
      <c r="F13" s="287">
        <f t="shared" si="14"/>
        <v>0</v>
      </c>
      <c r="G13" s="315"/>
      <c r="H13" s="314"/>
      <c r="I13" s="287">
        <f t="shared" si="16"/>
        <v>0</v>
      </c>
      <c r="J13" s="315"/>
      <c r="K13" s="314"/>
      <c r="L13" s="287">
        <f t="shared" ref="L13:L14" si="21">IF(K13=0,0,M13/K13)</f>
        <v>0</v>
      </c>
      <c r="M13" s="315"/>
      <c r="N13" s="314"/>
      <c r="O13" s="279"/>
      <c r="P13" s="315"/>
      <c r="Q13" s="314"/>
      <c r="R13" s="287">
        <f>IF(Q13=0,0,S13/Q13)</f>
        <v>0</v>
      </c>
      <c r="S13" s="315"/>
      <c r="T13" s="314"/>
      <c r="U13" s="287">
        <f t="shared" si="13"/>
        <v>0</v>
      </c>
      <c r="V13" s="315"/>
      <c r="W13" s="314"/>
      <c r="X13" s="287">
        <f t="shared" ref="X13:X25" si="22">IF(W13=0,0,Y13/W13)</f>
        <v>0</v>
      </c>
      <c r="Y13" s="315"/>
      <c r="Z13" s="314"/>
      <c r="AA13" s="287">
        <f t="shared" si="18"/>
        <v>0</v>
      </c>
      <c r="AB13" s="315"/>
      <c r="AC13" s="314"/>
      <c r="AD13" s="287">
        <f>IF(AC13=0,0,AE13/AC13)</f>
        <v>0</v>
      </c>
      <c r="AE13" s="315"/>
      <c r="AF13" s="314"/>
      <c r="AG13" s="287">
        <f t="shared" si="19"/>
        <v>0</v>
      </c>
      <c r="AH13" s="315"/>
      <c r="AI13" s="777"/>
      <c r="AJ13" s="766">
        <f t="shared" si="2"/>
        <v>0</v>
      </c>
      <c r="AK13" s="778"/>
      <c r="AL13" s="286">
        <f t="shared" si="20"/>
        <v>544</v>
      </c>
      <c r="AM13" s="287">
        <f t="shared" si="11"/>
        <v>322.89154411764707</v>
      </c>
      <c r="AN13" s="288">
        <f>SUM(D13,G13,J13,M13,P13,S13,V13,Y13,AB13,AE13,AH13,AK13)</f>
        <v>175653</v>
      </c>
      <c r="AP13" s="309"/>
      <c r="AQ13" s="281"/>
      <c r="AR13" s="281"/>
    </row>
    <row r="14" spans="1:44" x14ac:dyDescent="0.3">
      <c r="A14" s="289" t="s">
        <v>127</v>
      </c>
      <c r="B14" s="310">
        <v>6124</v>
      </c>
      <c r="C14" s="287">
        <f t="shared" ref="C14:C15" si="23">IF(B14=0,0,D14/B14)</f>
        <v>247.34634225996081</v>
      </c>
      <c r="D14" s="311">
        <v>1514749</v>
      </c>
      <c r="E14" s="314"/>
      <c r="F14" s="279">
        <f t="shared" si="14"/>
        <v>0</v>
      </c>
      <c r="G14" s="315"/>
      <c r="H14" s="314"/>
      <c r="I14" s="287">
        <f t="shared" si="16"/>
        <v>0</v>
      </c>
      <c r="J14" s="315"/>
      <c r="K14" s="314"/>
      <c r="L14" s="287">
        <f t="shared" si="21"/>
        <v>0</v>
      </c>
      <c r="M14" s="315"/>
      <c r="N14" s="314"/>
      <c r="O14" s="287">
        <f>IF(N14=0,0,P14/N14)</f>
        <v>0</v>
      </c>
      <c r="P14" s="315"/>
      <c r="Q14" s="314"/>
      <c r="R14" s="287">
        <f t="shared" ref="R14:R17" si="24">IF(Q14=0,0,S14/Q14)</f>
        <v>0</v>
      </c>
      <c r="S14" s="315"/>
      <c r="T14" s="426"/>
      <c r="U14" s="427">
        <f t="shared" si="13"/>
        <v>0</v>
      </c>
      <c r="V14" s="428"/>
      <c r="W14" s="314"/>
      <c r="X14" s="287">
        <f t="shared" si="22"/>
        <v>0</v>
      </c>
      <c r="Y14" s="315"/>
      <c r="Z14" s="314"/>
      <c r="AA14" s="287">
        <f t="shared" si="18"/>
        <v>0</v>
      </c>
      <c r="AB14" s="315"/>
      <c r="AC14" s="314"/>
      <c r="AD14" s="287">
        <f t="shared" ref="AD14:AD17" si="25">IF(AC14=0,0,AE14/AC14)</f>
        <v>0</v>
      </c>
      <c r="AE14" s="315"/>
      <c r="AF14" s="314"/>
      <c r="AG14" s="287">
        <f t="shared" si="19"/>
        <v>0</v>
      </c>
      <c r="AH14" s="315"/>
      <c r="AI14" s="777"/>
      <c r="AJ14" s="766">
        <f t="shared" si="2"/>
        <v>0</v>
      </c>
      <c r="AK14" s="778"/>
      <c r="AL14" s="286">
        <f t="shared" si="20"/>
        <v>6124</v>
      </c>
      <c r="AM14" s="287">
        <f t="shared" si="11"/>
        <v>247.34634225996081</v>
      </c>
      <c r="AN14" s="288">
        <f>SUM(D14,G14,J14,M14,P14,S14,V14,Y14,AB14,AE14,AH14,AK14)</f>
        <v>1514749</v>
      </c>
      <c r="AP14" s="309"/>
      <c r="AQ14" s="281"/>
    </row>
    <row r="15" spans="1:44" x14ac:dyDescent="0.3">
      <c r="A15" s="289" t="s">
        <v>214</v>
      </c>
      <c r="B15" s="310">
        <v>455</v>
      </c>
      <c r="C15" s="279">
        <f t="shared" si="23"/>
        <v>197.64835164835165</v>
      </c>
      <c r="D15" s="311">
        <v>89930</v>
      </c>
      <c r="E15" s="314"/>
      <c r="F15" s="279"/>
      <c r="G15" s="315"/>
      <c r="H15" s="314"/>
      <c r="I15" s="279"/>
      <c r="J15" s="315"/>
      <c r="K15" s="314"/>
      <c r="L15" s="279"/>
      <c r="M15" s="315"/>
      <c r="N15" s="314"/>
      <c r="O15" s="279">
        <f t="shared" ref="O15" si="26">IF(N15=0,0,P15/N15)</f>
        <v>0</v>
      </c>
      <c r="P15" s="315"/>
      <c r="Q15" s="314"/>
      <c r="R15" s="287">
        <f t="shared" si="24"/>
        <v>0</v>
      </c>
      <c r="S15" s="315"/>
      <c r="T15" s="297"/>
      <c r="U15" s="279"/>
      <c r="V15" s="325"/>
      <c r="W15" s="314"/>
      <c r="X15" s="287">
        <f t="shared" si="22"/>
        <v>0</v>
      </c>
      <c r="Y15" s="315"/>
      <c r="Z15" s="314"/>
      <c r="AA15" s="287">
        <f t="shared" si="18"/>
        <v>0</v>
      </c>
      <c r="AB15" s="315"/>
      <c r="AC15" s="314"/>
      <c r="AD15" s="287">
        <f t="shared" si="25"/>
        <v>0</v>
      </c>
      <c r="AE15" s="315"/>
      <c r="AF15" s="314"/>
      <c r="AG15" s="279"/>
      <c r="AH15" s="315"/>
      <c r="AI15" s="777"/>
      <c r="AJ15" s="766">
        <f t="shared" si="2"/>
        <v>0</v>
      </c>
      <c r="AK15" s="778"/>
      <c r="AL15" s="286">
        <f t="shared" si="20"/>
        <v>455</v>
      </c>
      <c r="AM15" s="287">
        <f t="shared" si="11"/>
        <v>197.64835164835165</v>
      </c>
      <c r="AN15" s="288">
        <f t="shared" ref="AN15:AN17" si="27">SUM(D15,G15,J15,M15,P15,S15,V15,Y15,AB15,AE15,AH15,AK15)</f>
        <v>89930</v>
      </c>
      <c r="AO15" s="316"/>
      <c r="AP15" s="309"/>
      <c r="AQ15" s="281"/>
    </row>
    <row r="16" spans="1:44" x14ac:dyDescent="0.3">
      <c r="A16" s="289" t="s">
        <v>128</v>
      </c>
      <c r="B16" s="310">
        <v>168</v>
      </c>
      <c r="C16" s="287">
        <f>IF(B16=0,0,D16/B16)</f>
        <v>608.92857142857144</v>
      </c>
      <c r="D16" s="311">
        <v>102300</v>
      </c>
      <c r="E16" s="314"/>
      <c r="F16" s="279"/>
      <c r="G16" s="315"/>
      <c r="H16" s="314"/>
      <c r="I16" s="287">
        <f t="shared" ref="I16:I17" si="28">IF(H16=0,0,J16/H16)</f>
        <v>0</v>
      </c>
      <c r="J16" s="315"/>
      <c r="K16" s="314"/>
      <c r="L16" s="279"/>
      <c r="M16" s="315"/>
      <c r="N16" s="314"/>
      <c r="O16" s="287">
        <f t="shared" ref="O16" si="29">IF(N16=0,0,P16/N16)</f>
        <v>0</v>
      </c>
      <c r="P16" s="315"/>
      <c r="Q16" s="314"/>
      <c r="R16" s="287">
        <f t="shared" si="24"/>
        <v>0</v>
      </c>
      <c r="S16" s="315"/>
      <c r="T16" s="314"/>
      <c r="U16" s="287">
        <f>IF(T16=0,0,V16/T16)</f>
        <v>0</v>
      </c>
      <c r="V16" s="315"/>
      <c r="W16" s="314"/>
      <c r="X16" s="287">
        <f t="shared" si="22"/>
        <v>0</v>
      </c>
      <c r="Y16" s="315"/>
      <c r="Z16" s="314"/>
      <c r="AA16" s="287">
        <f t="shared" si="18"/>
        <v>0</v>
      </c>
      <c r="AB16" s="315"/>
      <c r="AC16" s="314"/>
      <c r="AD16" s="287">
        <f t="shared" si="25"/>
        <v>0</v>
      </c>
      <c r="AE16" s="315"/>
      <c r="AF16" s="314"/>
      <c r="AG16" s="287">
        <f t="shared" si="19"/>
        <v>0</v>
      </c>
      <c r="AH16" s="315"/>
      <c r="AI16" s="777"/>
      <c r="AJ16" s="766">
        <f t="shared" si="2"/>
        <v>0</v>
      </c>
      <c r="AK16" s="778"/>
      <c r="AL16" s="286">
        <f t="shared" si="20"/>
        <v>168</v>
      </c>
      <c r="AM16" s="287">
        <f t="shared" si="11"/>
        <v>608.92857142857144</v>
      </c>
      <c r="AN16" s="288">
        <f t="shared" si="27"/>
        <v>102300</v>
      </c>
      <c r="AP16" s="309"/>
      <c r="AQ16" s="272"/>
    </row>
    <row r="17" spans="1:44" ht="15.75" thickBot="1" x14ac:dyDescent="0.35">
      <c r="A17" s="289" t="s">
        <v>207</v>
      </c>
      <c r="B17" s="429">
        <v>1150</v>
      </c>
      <c r="C17" s="287">
        <f t="shared" ref="C17" si="30">IF(B17=0,0,D17/B17)</f>
        <v>250.86956521739131</v>
      </c>
      <c r="D17" s="430">
        <v>288500</v>
      </c>
      <c r="E17" s="317"/>
      <c r="F17" s="279">
        <f>IF(E17=0,0,G17/E17)</f>
        <v>0</v>
      </c>
      <c r="G17" s="318"/>
      <c r="H17" s="317"/>
      <c r="I17" s="287">
        <f t="shared" si="28"/>
        <v>0</v>
      </c>
      <c r="J17" s="318"/>
      <c r="K17" s="317"/>
      <c r="L17" s="287">
        <f t="shared" ref="L17" si="31">IF(K17=0,0,M17/K17)</f>
        <v>0</v>
      </c>
      <c r="M17" s="318"/>
      <c r="N17" s="317"/>
      <c r="O17" s="287">
        <f>IF(N17=0,0,P17/N17)</f>
        <v>0</v>
      </c>
      <c r="P17" s="318"/>
      <c r="Q17" s="317"/>
      <c r="R17" s="287">
        <f t="shared" si="24"/>
        <v>0</v>
      </c>
      <c r="S17" s="318"/>
      <c r="T17" s="317"/>
      <c r="U17" s="287">
        <f>IF(T17=0,0,V17/T17)</f>
        <v>0</v>
      </c>
      <c r="V17" s="318"/>
      <c r="W17" s="317"/>
      <c r="X17" s="287">
        <f t="shared" si="22"/>
        <v>0</v>
      </c>
      <c r="Y17" s="318"/>
      <c r="Z17" s="317"/>
      <c r="AA17" s="287">
        <f t="shared" si="18"/>
        <v>0</v>
      </c>
      <c r="AB17" s="318"/>
      <c r="AC17" s="317"/>
      <c r="AD17" s="287">
        <f t="shared" si="25"/>
        <v>0</v>
      </c>
      <c r="AE17" s="318"/>
      <c r="AF17" s="317"/>
      <c r="AG17" s="287">
        <f t="shared" ref="AG17" si="32">IF(AF17=0,0,AH17/AF17)</f>
        <v>0</v>
      </c>
      <c r="AH17" s="318"/>
      <c r="AI17" s="779"/>
      <c r="AJ17" s="766">
        <f t="shared" si="2"/>
        <v>0</v>
      </c>
      <c r="AK17" s="780"/>
      <c r="AL17" s="286">
        <f t="shared" si="20"/>
        <v>1150</v>
      </c>
      <c r="AM17" s="287">
        <f t="shared" si="11"/>
        <v>250.86956521739131</v>
      </c>
      <c r="AN17" s="288">
        <f t="shared" si="27"/>
        <v>288500</v>
      </c>
      <c r="AP17" s="309"/>
      <c r="AQ17" s="272"/>
    </row>
    <row r="18" spans="1:44" ht="15.75" thickBot="1" x14ac:dyDescent="0.35">
      <c r="A18" s="319"/>
      <c r="B18" s="431">
        <f>SUM(B12:B17)</f>
        <v>9589</v>
      </c>
      <c r="C18" s="300">
        <f>IF(B18=0,0,D18/B18)</f>
        <v>260.98362707268745</v>
      </c>
      <c r="D18" s="432">
        <f>SUM(D12:D17)</f>
        <v>2502572</v>
      </c>
      <c r="E18" s="320">
        <f>SUM(E12:E17)</f>
        <v>0</v>
      </c>
      <c r="F18" s="300">
        <f>IF(E18=0,0,G18/E18)</f>
        <v>0</v>
      </c>
      <c r="G18" s="321">
        <f>SUM(G12:G17)</f>
        <v>0</v>
      </c>
      <c r="H18" s="320">
        <f>SUM(H12:H17)</f>
        <v>0</v>
      </c>
      <c r="I18" s="300">
        <f>IF(H18=0,0,J18/H18)</f>
        <v>0</v>
      </c>
      <c r="J18" s="321">
        <f>SUM(J12:J17)</f>
        <v>0</v>
      </c>
      <c r="K18" s="320">
        <f>SUM(K12:K17)</f>
        <v>0</v>
      </c>
      <c r="L18" s="300">
        <f>IF(K18=0,0,M18/K18)</f>
        <v>0</v>
      </c>
      <c r="M18" s="321">
        <f>SUM(M12:M17)</f>
        <v>0</v>
      </c>
      <c r="N18" s="320">
        <f>SUM(N12:N17)</f>
        <v>0</v>
      </c>
      <c r="O18" s="300">
        <f>IF(N18=0,0,P18/N18)</f>
        <v>0</v>
      </c>
      <c r="P18" s="321">
        <f>SUM(P12:P17)</f>
        <v>0</v>
      </c>
      <c r="Q18" s="320">
        <f>SUM(Q12:Q17)</f>
        <v>0</v>
      </c>
      <c r="R18" s="300">
        <f>IF(Q18=0,0,S18/Q18)</f>
        <v>0</v>
      </c>
      <c r="S18" s="321">
        <f>SUM(S12:S17)</f>
        <v>0</v>
      </c>
      <c r="T18" s="320">
        <f>SUM(T12:T17)</f>
        <v>0</v>
      </c>
      <c r="U18" s="300">
        <f>IF(T18=0,0,V18/T18)</f>
        <v>0</v>
      </c>
      <c r="V18" s="321">
        <f>SUM(V12:V17)</f>
        <v>0</v>
      </c>
      <c r="W18" s="320">
        <f>SUM(W12:W17)</f>
        <v>0</v>
      </c>
      <c r="X18" s="300">
        <f>IF(W18=0,0,Y18/W18)</f>
        <v>0</v>
      </c>
      <c r="Y18" s="321">
        <f>SUM(Y12:Y17)</f>
        <v>0</v>
      </c>
      <c r="Z18" s="320">
        <f>SUM(Z12:Z17)</f>
        <v>0</v>
      </c>
      <c r="AA18" s="300">
        <f>IF(Z18=0,0,AB18/Z18)</f>
        <v>0</v>
      </c>
      <c r="AB18" s="321">
        <f>SUM(AB12:AB17)</f>
        <v>0</v>
      </c>
      <c r="AC18" s="320">
        <f>SUM(AC12:AC17)</f>
        <v>0</v>
      </c>
      <c r="AD18" s="300">
        <f>IF(AC18=0,0,AE18/AC18)</f>
        <v>0</v>
      </c>
      <c r="AE18" s="321">
        <f>SUM(AE12:AE17)</f>
        <v>0</v>
      </c>
      <c r="AF18" s="320">
        <f>SUM(AF12:AF17)</f>
        <v>0</v>
      </c>
      <c r="AG18" s="300">
        <f>IF(AF18=0,0,AH18/AF18)</f>
        <v>0</v>
      </c>
      <c r="AH18" s="321">
        <f>SUM(AH12:AH17)</f>
        <v>0</v>
      </c>
      <c r="AI18" s="781">
        <f>SUM(AI12:AI17)</f>
        <v>0</v>
      </c>
      <c r="AJ18" s="773">
        <f>IF(AI18=0,0,AK18/AI18)</f>
        <v>0</v>
      </c>
      <c r="AK18" s="782">
        <f>SUM(AK12:AK17)</f>
        <v>0</v>
      </c>
      <c r="AL18" s="320">
        <f>SUM(AL12:AL17)</f>
        <v>9589</v>
      </c>
      <c r="AM18" s="300">
        <f>IF(AL18=0,0,AN18/AL18)</f>
        <v>260.98362707268745</v>
      </c>
      <c r="AN18" s="321">
        <f>SUM(AN12:AN17)</f>
        <v>2502572</v>
      </c>
      <c r="AO18" s="272">
        <f>AL11+AL18</f>
        <v>105583</v>
      </c>
      <c r="AP18" s="309"/>
      <c r="AQ18" s="281"/>
      <c r="AR18" s="281"/>
    </row>
    <row r="19" spans="1:44" x14ac:dyDescent="0.3">
      <c r="A19" s="322" t="s">
        <v>190</v>
      </c>
      <c r="B19" s="323"/>
      <c r="C19" s="279"/>
      <c r="D19" s="324"/>
      <c r="E19" s="297"/>
      <c r="F19" s="279">
        <f t="shared" ref="F19:F21" si="33">IF(E19=0,0,G19/E19)</f>
        <v>0</v>
      </c>
      <c r="G19" s="325"/>
      <c r="H19" s="297"/>
      <c r="I19" s="279"/>
      <c r="J19" s="325"/>
      <c r="K19" s="297"/>
      <c r="L19" s="279"/>
      <c r="M19" s="325"/>
      <c r="N19" s="297"/>
      <c r="O19" s="279"/>
      <c r="P19" s="325"/>
      <c r="Q19" s="297"/>
      <c r="R19" s="287">
        <f t="shared" ref="R19:R25" si="34">IF(Q19=0,0,S19/Q19)</f>
        <v>0</v>
      </c>
      <c r="S19" s="325"/>
      <c r="T19" s="297"/>
      <c r="U19" s="279"/>
      <c r="V19" s="325"/>
      <c r="W19" s="297"/>
      <c r="X19" s="287">
        <f t="shared" si="22"/>
        <v>0</v>
      </c>
      <c r="Y19" s="325"/>
      <c r="Z19" s="297"/>
      <c r="AA19" s="287">
        <f t="shared" ref="AA19:AA23" si="35">IF(Z19=0,0,AB19/Z19)</f>
        <v>0</v>
      </c>
      <c r="AB19" s="325"/>
      <c r="AC19" s="297"/>
      <c r="AD19" s="287">
        <f t="shared" ref="AD19:AD25" si="36">IF(AC19=0,0,AE19/AC19)</f>
        <v>0</v>
      </c>
      <c r="AE19" s="325"/>
      <c r="AF19" s="297"/>
      <c r="AG19" s="287">
        <f t="shared" ref="AG19:AG25" si="37">IF(AF19=0,0,AH19/AF19)</f>
        <v>0</v>
      </c>
      <c r="AH19" s="325"/>
      <c r="AI19" s="783"/>
      <c r="AJ19" s="784">
        <f t="shared" ref="AJ19" si="38">IF(AI19=0,0,AK19/AI19)</f>
        <v>0</v>
      </c>
      <c r="AK19" s="785"/>
      <c r="AL19" s="286">
        <f t="shared" ref="AL19:AL25" si="39">SUM(B19,E19,H19,K19,N19,Q19,T19,W19,Z19,AC19,AF19,AI19)</f>
        <v>0</v>
      </c>
      <c r="AM19" s="287">
        <f t="shared" si="11"/>
        <v>0</v>
      </c>
      <c r="AN19" s="288">
        <f t="shared" ref="AN19" si="40">SUM(D19,G19,J19,M19,P19,S19,V19,Y19,AB19,AE19,AH19,AK19)</f>
        <v>0</v>
      </c>
      <c r="AR19" s="316"/>
    </row>
    <row r="20" spans="1:44" x14ac:dyDescent="0.3">
      <c r="A20" s="289" t="s">
        <v>186</v>
      </c>
      <c r="B20" s="310"/>
      <c r="C20" s="279"/>
      <c r="D20" s="311"/>
      <c r="E20" s="312"/>
      <c r="F20" s="290">
        <f t="shared" si="33"/>
        <v>0</v>
      </c>
      <c r="G20" s="313"/>
      <c r="H20" s="314"/>
      <c r="I20" s="279"/>
      <c r="J20" s="315"/>
      <c r="K20" s="314"/>
      <c r="L20" s="279"/>
      <c r="M20" s="315"/>
      <c r="N20" s="314"/>
      <c r="O20" s="279"/>
      <c r="P20" s="315"/>
      <c r="Q20" s="314"/>
      <c r="R20" s="287">
        <f t="shared" si="34"/>
        <v>0</v>
      </c>
      <c r="S20" s="315"/>
      <c r="T20" s="314"/>
      <c r="U20" s="279"/>
      <c r="V20" s="315"/>
      <c r="W20" s="314"/>
      <c r="X20" s="287">
        <f t="shared" si="22"/>
        <v>0</v>
      </c>
      <c r="Y20" s="315"/>
      <c r="Z20" s="314"/>
      <c r="AA20" s="287">
        <f t="shared" si="35"/>
        <v>0</v>
      </c>
      <c r="AB20" s="315"/>
      <c r="AC20" s="314"/>
      <c r="AD20" s="287">
        <f t="shared" si="36"/>
        <v>0</v>
      </c>
      <c r="AE20" s="315"/>
      <c r="AF20" s="314"/>
      <c r="AG20" s="287">
        <f t="shared" si="37"/>
        <v>0</v>
      </c>
      <c r="AH20" s="315"/>
      <c r="AI20" s="777"/>
      <c r="AJ20" s="784"/>
      <c r="AK20" s="778"/>
      <c r="AL20" s="286">
        <f t="shared" si="39"/>
        <v>0</v>
      </c>
      <c r="AM20" s="287">
        <f t="shared" si="11"/>
        <v>0</v>
      </c>
      <c r="AN20" s="288">
        <f t="shared" ref="AN20:AN25" si="41">SUM(D20,G20,J20,M20,P20,S20,V20,Y20,AB20,AE20,AH20,AK20)</f>
        <v>0</v>
      </c>
      <c r="AO20" s="272"/>
      <c r="AP20" s="272"/>
    </row>
    <row r="21" spans="1:44" x14ac:dyDescent="0.3">
      <c r="A21" s="289" t="s">
        <v>131</v>
      </c>
      <c r="B21" s="310">
        <v>2174</v>
      </c>
      <c r="C21" s="287">
        <f t="shared" ref="C21:C25" si="42">IF(B21=0,0,D21/B21)</f>
        <v>10</v>
      </c>
      <c r="D21" s="311">
        <v>21740</v>
      </c>
      <c r="E21" s="314"/>
      <c r="F21" s="287">
        <f t="shared" si="33"/>
        <v>0</v>
      </c>
      <c r="G21" s="315"/>
      <c r="H21" s="314"/>
      <c r="I21" s="287">
        <f t="shared" ref="I21" si="43">IF(H21=0,0,J21/H21)</f>
        <v>0</v>
      </c>
      <c r="J21" s="315"/>
      <c r="K21" s="314"/>
      <c r="L21" s="287">
        <f t="shared" ref="L21" si="44">IF(K21=0,0,M21/K21)</f>
        <v>0</v>
      </c>
      <c r="M21" s="315"/>
      <c r="N21" s="314"/>
      <c r="O21" s="287">
        <f t="shared" ref="O21" si="45">IF(N21=0,0,P21/N21)</f>
        <v>0</v>
      </c>
      <c r="P21" s="315"/>
      <c r="Q21" s="314"/>
      <c r="R21" s="287">
        <f t="shared" si="34"/>
        <v>0</v>
      </c>
      <c r="S21" s="315"/>
      <c r="T21" s="314"/>
      <c r="U21" s="287">
        <f>IF(T21=0,0,V21/T21)</f>
        <v>0</v>
      </c>
      <c r="V21" s="315"/>
      <c r="W21" s="314"/>
      <c r="X21" s="287">
        <f t="shared" si="22"/>
        <v>0</v>
      </c>
      <c r="Y21" s="315"/>
      <c r="Z21" s="314"/>
      <c r="AA21" s="287">
        <f t="shared" si="35"/>
        <v>0</v>
      </c>
      <c r="AB21" s="315"/>
      <c r="AC21" s="314"/>
      <c r="AD21" s="287">
        <f t="shared" si="36"/>
        <v>0</v>
      </c>
      <c r="AE21" s="315"/>
      <c r="AF21" s="314"/>
      <c r="AG21" s="287">
        <f t="shared" si="37"/>
        <v>0</v>
      </c>
      <c r="AH21" s="315"/>
      <c r="AI21" s="777"/>
      <c r="AJ21" s="766">
        <f t="shared" ref="AJ21:AJ25" si="46">IF(AI21=0,0,AK21/AI21)</f>
        <v>0</v>
      </c>
      <c r="AK21" s="778"/>
      <c r="AL21" s="286">
        <f t="shared" si="39"/>
        <v>2174</v>
      </c>
      <c r="AM21" s="287">
        <f t="shared" si="11"/>
        <v>10</v>
      </c>
      <c r="AN21" s="288">
        <f t="shared" si="41"/>
        <v>21740</v>
      </c>
    </row>
    <row r="22" spans="1:44" x14ac:dyDescent="0.3">
      <c r="A22" s="289" t="s">
        <v>189</v>
      </c>
      <c r="B22" s="282"/>
      <c r="C22" s="287"/>
      <c r="D22" s="283"/>
      <c r="E22" s="286"/>
      <c r="F22" s="287"/>
      <c r="G22" s="285"/>
      <c r="H22" s="286"/>
      <c r="I22" s="287"/>
      <c r="J22" s="285"/>
      <c r="K22" s="286"/>
      <c r="L22" s="287"/>
      <c r="M22" s="285"/>
      <c r="N22" s="286"/>
      <c r="O22" s="287"/>
      <c r="P22" s="285"/>
      <c r="Q22" s="286"/>
      <c r="R22" s="287">
        <f t="shared" si="34"/>
        <v>0</v>
      </c>
      <c r="S22" s="285"/>
      <c r="T22" s="286"/>
      <c r="U22" s="287"/>
      <c r="V22" s="285"/>
      <c r="W22" s="286"/>
      <c r="X22" s="287">
        <f t="shared" si="22"/>
        <v>0</v>
      </c>
      <c r="Y22" s="285"/>
      <c r="Z22" s="286"/>
      <c r="AA22" s="287">
        <f t="shared" si="35"/>
        <v>0</v>
      </c>
      <c r="AB22" s="285"/>
      <c r="AC22" s="286"/>
      <c r="AD22" s="287">
        <f t="shared" si="36"/>
        <v>0</v>
      </c>
      <c r="AE22" s="285"/>
      <c r="AF22" s="286"/>
      <c r="AG22" s="287">
        <f t="shared" si="37"/>
        <v>0</v>
      </c>
      <c r="AH22" s="285"/>
      <c r="AI22" s="768"/>
      <c r="AJ22" s="766">
        <f t="shared" si="46"/>
        <v>0</v>
      </c>
      <c r="AK22" s="769"/>
      <c r="AL22" s="286">
        <f t="shared" si="39"/>
        <v>0</v>
      </c>
      <c r="AM22" s="287">
        <f t="shared" si="11"/>
        <v>0</v>
      </c>
      <c r="AN22" s="288">
        <f t="shared" si="41"/>
        <v>0</v>
      </c>
    </row>
    <row r="23" spans="1:44" x14ac:dyDescent="0.3">
      <c r="A23" s="289" t="s">
        <v>208</v>
      </c>
      <c r="B23" s="291"/>
      <c r="C23" s="287">
        <f t="shared" si="42"/>
        <v>0</v>
      </c>
      <c r="D23" s="293"/>
      <c r="E23" s="294"/>
      <c r="F23" s="279"/>
      <c r="G23" s="295"/>
      <c r="H23" s="294"/>
      <c r="I23" s="279"/>
      <c r="J23" s="295"/>
      <c r="K23" s="294"/>
      <c r="L23" s="287">
        <f t="shared" ref="L23:L24" si="47">IF(K23=0,0,M23/K23)</f>
        <v>0</v>
      </c>
      <c r="M23" s="295"/>
      <c r="N23" s="294"/>
      <c r="O23" s="287">
        <f t="shared" ref="O23:O24" si="48">IF(N23=0,0,P23/N23)</f>
        <v>0</v>
      </c>
      <c r="P23" s="295"/>
      <c r="Q23" s="294"/>
      <c r="R23" s="287">
        <f t="shared" si="34"/>
        <v>0</v>
      </c>
      <c r="S23" s="295"/>
      <c r="T23" s="294"/>
      <c r="U23" s="279"/>
      <c r="V23" s="295"/>
      <c r="W23" s="294"/>
      <c r="X23" s="287">
        <f t="shared" si="22"/>
        <v>0</v>
      </c>
      <c r="Y23" s="295"/>
      <c r="Z23" s="294"/>
      <c r="AA23" s="287">
        <f t="shared" si="35"/>
        <v>0</v>
      </c>
      <c r="AB23" s="295"/>
      <c r="AC23" s="294"/>
      <c r="AD23" s="287">
        <f t="shared" si="36"/>
        <v>0</v>
      </c>
      <c r="AE23" s="295"/>
      <c r="AF23" s="294"/>
      <c r="AG23" s="287">
        <f t="shared" si="37"/>
        <v>0</v>
      </c>
      <c r="AH23" s="295"/>
      <c r="AI23" s="770"/>
      <c r="AJ23" s="766">
        <f t="shared" si="46"/>
        <v>0</v>
      </c>
      <c r="AK23" s="771"/>
      <c r="AL23" s="294">
        <f t="shared" si="39"/>
        <v>0</v>
      </c>
      <c r="AM23" s="279">
        <f>IF(AL23=0,0,AN23/AL23)</f>
        <v>0</v>
      </c>
      <c r="AN23" s="433">
        <f t="shared" si="41"/>
        <v>0</v>
      </c>
    </row>
    <row r="24" spans="1:44" x14ac:dyDescent="0.3">
      <c r="A24" s="289" t="s">
        <v>202</v>
      </c>
      <c r="B24" s="291"/>
      <c r="C24" s="287">
        <f t="shared" si="42"/>
        <v>0</v>
      </c>
      <c r="D24" s="293"/>
      <c r="E24" s="294"/>
      <c r="F24" s="287">
        <f t="shared" ref="F24:F25" si="49">IF(E24=0,0,G24/E24)</f>
        <v>0</v>
      </c>
      <c r="G24" s="295"/>
      <c r="H24" s="294"/>
      <c r="I24" s="287">
        <f t="shared" ref="I24" si="50">IF(H24=0,0,J24/H24)</f>
        <v>0</v>
      </c>
      <c r="J24" s="295"/>
      <c r="K24" s="294"/>
      <c r="L24" s="287">
        <f t="shared" si="47"/>
        <v>0</v>
      </c>
      <c r="M24" s="295"/>
      <c r="N24" s="294"/>
      <c r="O24" s="287">
        <f t="shared" si="48"/>
        <v>0</v>
      </c>
      <c r="P24" s="295"/>
      <c r="Q24" s="294"/>
      <c r="R24" s="287">
        <f t="shared" si="34"/>
        <v>0</v>
      </c>
      <c r="S24" s="295"/>
      <c r="T24" s="294"/>
      <c r="U24" s="287">
        <f>IF(T24=0,0,V24/T24)</f>
        <v>0</v>
      </c>
      <c r="V24" s="295"/>
      <c r="W24" s="294"/>
      <c r="X24" s="287">
        <f t="shared" si="22"/>
        <v>0</v>
      </c>
      <c r="Y24" s="295"/>
      <c r="Z24" s="294"/>
      <c r="AA24" s="287">
        <f t="shared" ref="AA24:AA25" si="51">IF(Z24=0,0,AB24/Z24)</f>
        <v>0</v>
      </c>
      <c r="AB24" s="295"/>
      <c r="AC24" s="294"/>
      <c r="AD24" s="287">
        <f t="shared" si="36"/>
        <v>0</v>
      </c>
      <c r="AE24" s="295"/>
      <c r="AF24" s="294"/>
      <c r="AG24" s="287">
        <f t="shared" si="37"/>
        <v>0</v>
      </c>
      <c r="AH24" s="295"/>
      <c r="AI24" s="770"/>
      <c r="AJ24" s="766">
        <f t="shared" si="46"/>
        <v>0</v>
      </c>
      <c r="AK24" s="771"/>
      <c r="AL24" s="294">
        <f t="shared" si="39"/>
        <v>0</v>
      </c>
      <c r="AM24" s="279">
        <f>IF(AL24=0,0,AN24/AL24)</f>
        <v>0</v>
      </c>
      <c r="AN24" s="433">
        <f t="shared" si="41"/>
        <v>0</v>
      </c>
    </row>
    <row r="25" spans="1:44" ht="15.75" thickBot="1" x14ac:dyDescent="0.35">
      <c r="A25" s="289" t="s">
        <v>1</v>
      </c>
      <c r="B25" s="291"/>
      <c r="C25" s="287">
        <f t="shared" si="42"/>
        <v>0</v>
      </c>
      <c r="D25" s="293"/>
      <c r="E25" s="294"/>
      <c r="F25" s="287">
        <f t="shared" si="49"/>
        <v>0</v>
      </c>
      <c r="G25" s="295"/>
      <c r="H25" s="294"/>
      <c r="I25" s="287">
        <f t="shared" ref="I25" si="52">IF(H25=0,0,J25/H25)</f>
        <v>0</v>
      </c>
      <c r="J25" s="295"/>
      <c r="K25" s="294"/>
      <c r="L25" s="287">
        <f t="shared" ref="L25" si="53">IF(K25=0,0,M25/K25)</f>
        <v>0</v>
      </c>
      <c r="M25" s="295"/>
      <c r="N25" s="294"/>
      <c r="O25" s="287">
        <f t="shared" ref="O25" si="54">IF(N25=0,0,P25/N25)</f>
        <v>0</v>
      </c>
      <c r="P25" s="295"/>
      <c r="Q25" s="294"/>
      <c r="R25" s="287">
        <f t="shared" si="34"/>
        <v>0</v>
      </c>
      <c r="S25" s="295"/>
      <c r="T25" s="294"/>
      <c r="U25" s="287">
        <f>IF(T25=0,0,V25/T25)</f>
        <v>0</v>
      </c>
      <c r="V25" s="295"/>
      <c r="W25" s="294"/>
      <c r="X25" s="287">
        <f t="shared" si="22"/>
        <v>0</v>
      </c>
      <c r="Y25" s="295"/>
      <c r="Z25" s="294"/>
      <c r="AA25" s="287">
        <f t="shared" si="51"/>
        <v>0</v>
      </c>
      <c r="AB25" s="295"/>
      <c r="AC25" s="294"/>
      <c r="AD25" s="287">
        <f t="shared" si="36"/>
        <v>0</v>
      </c>
      <c r="AE25" s="295"/>
      <c r="AF25" s="294"/>
      <c r="AG25" s="287">
        <f t="shared" si="37"/>
        <v>0</v>
      </c>
      <c r="AH25" s="295"/>
      <c r="AI25" s="770"/>
      <c r="AJ25" s="766">
        <f t="shared" si="46"/>
        <v>0</v>
      </c>
      <c r="AK25" s="771"/>
      <c r="AL25" s="294">
        <f t="shared" si="39"/>
        <v>0</v>
      </c>
      <c r="AM25" s="284">
        <f t="shared" si="11"/>
        <v>0</v>
      </c>
      <c r="AN25" s="433">
        <f t="shared" si="41"/>
        <v>0</v>
      </c>
      <c r="AO25" s="272">
        <f>AO18+AL25</f>
        <v>105583</v>
      </c>
    </row>
    <row r="26" spans="1:44" ht="15.75" thickBot="1" x14ac:dyDescent="0.35">
      <c r="A26" s="326"/>
      <c r="B26" s="327">
        <f>SUM(B19:B25)</f>
        <v>2174</v>
      </c>
      <c r="C26" s="300">
        <f>IF(B26=0,0,D26/B26)</f>
        <v>10</v>
      </c>
      <c r="D26" s="328">
        <f>SUM(D19:D25)</f>
        <v>21740</v>
      </c>
      <c r="E26" s="329">
        <f>SUM(E19:E25)</f>
        <v>0</v>
      </c>
      <c r="F26" s="300">
        <f>IF(E26=0,0,G26/E26)</f>
        <v>0</v>
      </c>
      <c r="G26" s="330">
        <f>SUM(G19:G25)</f>
        <v>0</v>
      </c>
      <c r="H26" s="329">
        <f>SUM(H19:H25)</f>
        <v>0</v>
      </c>
      <c r="I26" s="300">
        <f>IF(H26=0,0,J26/H26)</f>
        <v>0</v>
      </c>
      <c r="J26" s="330">
        <f>SUM(J19:J25)</f>
        <v>0</v>
      </c>
      <c r="K26" s="329">
        <f>SUM(K19:K25)</f>
        <v>0</v>
      </c>
      <c r="L26" s="300">
        <f>IF(K26=0,0,M26/K26)</f>
        <v>0</v>
      </c>
      <c r="M26" s="330">
        <f>SUM(M19:M25)</f>
        <v>0</v>
      </c>
      <c r="N26" s="329">
        <f>SUM(N19:N25)</f>
        <v>0</v>
      </c>
      <c r="O26" s="300">
        <f>IF(N26=0,0,P26/N26)</f>
        <v>0</v>
      </c>
      <c r="P26" s="330">
        <f>SUM(P19:P25)</f>
        <v>0</v>
      </c>
      <c r="Q26" s="329">
        <f>SUM(Q19:Q25)</f>
        <v>0</v>
      </c>
      <c r="R26" s="300">
        <f>IF(Q26=0,0,S26/Q26)</f>
        <v>0</v>
      </c>
      <c r="S26" s="330">
        <f>SUM(S19:S25)</f>
        <v>0</v>
      </c>
      <c r="T26" s="329">
        <f>SUM(T19:T25)</f>
        <v>0</v>
      </c>
      <c r="U26" s="300">
        <f>IF(T26=0,0,V26/T26)</f>
        <v>0</v>
      </c>
      <c r="V26" s="330">
        <f>SUM(V19:V25)</f>
        <v>0</v>
      </c>
      <c r="W26" s="329">
        <f>SUM(W19:W25)</f>
        <v>0</v>
      </c>
      <c r="X26" s="300">
        <f>IF(W26=0,0,Y26/W26)</f>
        <v>0</v>
      </c>
      <c r="Y26" s="330">
        <f>SUM(Y19:Y25)</f>
        <v>0</v>
      </c>
      <c r="Z26" s="329">
        <f>SUM(Z19:Z25)</f>
        <v>0</v>
      </c>
      <c r="AA26" s="300">
        <f>IF(Z26=0,0,AB26/Z26)</f>
        <v>0</v>
      </c>
      <c r="AB26" s="330">
        <f>SUM(AB19:AB25)</f>
        <v>0</v>
      </c>
      <c r="AC26" s="329">
        <f>SUM(AC19:AC25)</f>
        <v>0</v>
      </c>
      <c r="AD26" s="300">
        <f>IF(AC26=0,0,AE26/AC26)</f>
        <v>0</v>
      </c>
      <c r="AE26" s="330"/>
      <c r="AF26" s="329">
        <f>SUM(AF19:AF25)</f>
        <v>0</v>
      </c>
      <c r="AG26" s="300">
        <f>IF(AF26=0,0,AH26/AF26)</f>
        <v>0</v>
      </c>
      <c r="AH26" s="330">
        <f>SUM(AH19:AH25)</f>
        <v>0</v>
      </c>
      <c r="AI26" s="786">
        <f>SUM(AI19:AI25)</f>
        <v>0</v>
      </c>
      <c r="AJ26" s="773">
        <f>IF(AI26=0,0,AK26/AI26)</f>
        <v>0</v>
      </c>
      <c r="AK26" s="787">
        <f>SUM(AK19:AK25)</f>
        <v>0</v>
      </c>
      <c r="AL26" s="329">
        <f>SUM(AL19:AL25)</f>
        <v>2174</v>
      </c>
      <c r="AM26" s="300">
        <f>IF(AL26=0,0,AN26/AL26)</f>
        <v>10</v>
      </c>
      <c r="AN26" s="330">
        <f>SUM(AN19:AN25)</f>
        <v>21740</v>
      </c>
    </row>
    <row r="27" spans="1:44" ht="15.75" thickBot="1" x14ac:dyDescent="0.35">
      <c r="A27" s="331" t="s">
        <v>132</v>
      </c>
      <c r="B27" s="333">
        <f>SUM(B11,B18,B26)</f>
        <v>107757</v>
      </c>
      <c r="C27" s="300">
        <f>IF(B27=0,0,D27/B27)</f>
        <v>277.38482882782557</v>
      </c>
      <c r="D27" s="332">
        <f>SUM(D11,D18,D26)</f>
        <v>29890157</v>
      </c>
      <c r="E27" s="333">
        <f>SUM(E11,E18,E26)</f>
        <v>0</v>
      </c>
      <c r="F27" s="300">
        <f>IF(E27=0,0,G27/E27)</f>
        <v>0</v>
      </c>
      <c r="G27" s="334">
        <f>SUM(G11,G18,G26)</f>
        <v>0</v>
      </c>
      <c r="H27" s="333">
        <f>SUM(H11,H18,H26)</f>
        <v>0</v>
      </c>
      <c r="I27" s="300">
        <f>IF(H27=0,0,J27/H27)</f>
        <v>0</v>
      </c>
      <c r="J27" s="334">
        <f>SUM(J11,J18,J26)</f>
        <v>0</v>
      </c>
      <c r="K27" s="333">
        <f>SUM(K11,K18,K26)</f>
        <v>0</v>
      </c>
      <c r="L27" s="300">
        <f>IF(K27=0,0,M27/K27)</f>
        <v>0</v>
      </c>
      <c r="M27" s="334">
        <f>SUM(M11,M18,M26)</f>
        <v>0</v>
      </c>
      <c r="N27" s="333">
        <f>SUM(N11,N18,N26)</f>
        <v>0</v>
      </c>
      <c r="O27" s="300">
        <f>IF(N27=0,0,P27/N27)</f>
        <v>0</v>
      </c>
      <c r="P27" s="334">
        <f>SUM(P11,P18,P26)</f>
        <v>0</v>
      </c>
      <c r="Q27" s="333">
        <f>SUM(Q11,Q18,Q26)</f>
        <v>0</v>
      </c>
      <c r="R27" s="300">
        <f>IF(Q27=0,0,S27/Q27)</f>
        <v>0</v>
      </c>
      <c r="S27" s="334">
        <f>SUM(S11,S18,S26)</f>
        <v>0</v>
      </c>
      <c r="T27" s="333">
        <f>SUM(T11,T18,T26)</f>
        <v>0</v>
      </c>
      <c r="U27" s="300">
        <f>IF(T27=0,0,V27/T27)</f>
        <v>0</v>
      </c>
      <c r="V27" s="334">
        <f>SUM(V11,V18,V26)</f>
        <v>0</v>
      </c>
      <c r="W27" s="333">
        <f>SUM(W11,W18,W26)</f>
        <v>0</v>
      </c>
      <c r="X27" s="300">
        <f>IF(W27=0,0,Y27/W27)</f>
        <v>0</v>
      </c>
      <c r="Y27" s="334">
        <f>SUM(Y11,Y18,Y26)</f>
        <v>0</v>
      </c>
      <c r="Z27" s="333">
        <f>SUM(Z11,Z18,Z26)</f>
        <v>0</v>
      </c>
      <c r="AA27" s="300">
        <f>IF(Z27=0,0,AB27/Z27)</f>
        <v>0</v>
      </c>
      <c r="AB27" s="334">
        <f>SUM(AB11,AB18,AB26)</f>
        <v>0</v>
      </c>
      <c r="AC27" s="333">
        <f>SUM(AC11,AC18,AC26)</f>
        <v>0</v>
      </c>
      <c r="AD27" s="300">
        <f>IF(AC27=0,0,AE27/AC27)</f>
        <v>0</v>
      </c>
      <c r="AE27" s="334">
        <f>SUM(AE11,AE18,AE26)</f>
        <v>0</v>
      </c>
      <c r="AF27" s="748">
        <f>SUM(AF11,AF18,AF26)</f>
        <v>0</v>
      </c>
      <c r="AG27" s="300">
        <f>IF(AF27=0,0,AH27/AF27)</f>
        <v>0</v>
      </c>
      <c r="AH27" s="334">
        <f>SUM(AH11,AH18,AH26)</f>
        <v>0</v>
      </c>
      <c r="AI27" s="333">
        <f>SUM(AI11,AI18,AI26)</f>
        <v>0</v>
      </c>
      <c r="AJ27" s="300">
        <f>IF(AI27=0,0,AK27/AI27)</f>
        <v>0</v>
      </c>
      <c r="AK27" s="334">
        <f>SUM(AK11,AK18,AK26)</f>
        <v>0</v>
      </c>
      <c r="AL27" s="335">
        <f>SUM(AL11,AL18,AL26)</f>
        <v>107757</v>
      </c>
      <c r="AM27" s="300">
        <f>IF(AL27=0,0,AN27/AL27)</f>
        <v>277.38482882782557</v>
      </c>
      <c r="AN27" s="336">
        <f>SUM(AN11,AN18,AN26)</f>
        <v>29890157</v>
      </c>
      <c r="AO27" s="337">
        <f>AN27-AN21</f>
        <v>29868417</v>
      </c>
    </row>
    <row r="28" spans="1:44" x14ac:dyDescent="0.3">
      <c r="A28" s="338" t="s">
        <v>142</v>
      </c>
      <c r="D28" s="339">
        <v>65.459999999999994</v>
      </c>
      <c r="G28" s="340"/>
      <c r="J28" s="340"/>
      <c r="M28" s="340"/>
      <c r="P28" s="340"/>
      <c r="S28" s="340"/>
      <c r="V28" s="340"/>
      <c r="Y28" s="340"/>
      <c r="AB28" s="340"/>
      <c r="AE28" s="340"/>
      <c r="AH28" s="339"/>
      <c r="AK28" s="340"/>
      <c r="AN28" s="341">
        <f>SUM(D28,G28,J28,M28,P28,S28,V28,Y28,AB28,AE28,AH28,AK28)</f>
        <v>65.459999999999994</v>
      </c>
    </row>
    <row r="29" spans="1:44" ht="15.75" x14ac:dyDescent="0.35">
      <c r="D29" s="342">
        <f>ROUND((D27-D21),0)</f>
        <v>29868417</v>
      </c>
      <c r="E29" s="272"/>
      <c r="G29" s="342">
        <f>ROUND((G27-G21),0)</f>
        <v>0</v>
      </c>
      <c r="J29" s="342">
        <f>ROUND((J27-J21),0)</f>
        <v>0</v>
      </c>
      <c r="M29" s="342">
        <f>ROUND((M27-M21),0)</f>
        <v>0</v>
      </c>
      <c r="P29" s="342">
        <f>ROUND((P27-P21),0)</f>
        <v>0</v>
      </c>
      <c r="S29" s="342">
        <f>ROUND((S27-S21),0)</f>
        <v>0</v>
      </c>
      <c r="T29" s="272"/>
      <c r="V29" s="342">
        <f>ROUND((V27-V21),0)</f>
        <v>0</v>
      </c>
      <c r="Y29" s="342">
        <f>ROUND((Y27-Y21),0)</f>
        <v>0</v>
      </c>
      <c r="AB29" s="342">
        <f>ROUND((AB27-AB21),0)</f>
        <v>0</v>
      </c>
      <c r="AE29" s="342">
        <f>ROUND((AE27-AE21),0)</f>
        <v>0</v>
      </c>
      <c r="AH29" s="342">
        <f>ROUND((AH27-AH21),0)</f>
        <v>0</v>
      </c>
      <c r="AK29" s="342">
        <f>ROUND((AK27-AK21),0)</f>
        <v>0</v>
      </c>
      <c r="AL29" s="343">
        <f>AL11+AL18</f>
        <v>105583</v>
      </c>
      <c r="AM29" s="344">
        <f>AN29/AL29</f>
        <v>282.89039902256991</v>
      </c>
      <c r="AN29" s="345">
        <f>AN11+AN18</f>
        <v>29868417</v>
      </c>
      <c r="AO29" s="346"/>
      <c r="AP29" s="347" t="s">
        <v>151</v>
      </c>
      <c r="AQ29" s="347" t="s">
        <v>152</v>
      </c>
    </row>
    <row r="30" spans="1:44" x14ac:dyDescent="0.3">
      <c r="A30" s="348" t="s">
        <v>141</v>
      </c>
      <c r="D30" s="272">
        <v>31402963.199999999</v>
      </c>
      <c r="G30" s="272"/>
      <c r="J30" s="272"/>
      <c r="M30" s="272"/>
      <c r="P30" s="272"/>
      <c r="S30" s="272"/>
      <c r="V30" s="272"/>
      <c r="Y30" s="272"/>
      <c r="AB30" s="272"/>
      <c r="AE30" s="272"/>
      <c r="AH30" s="272"/>
      <c r="AK30" s="272"/>
      <c r="AN30" s="349">
        <f>SUM(D30,G30,J30,M30,P30,S30,V30,Y30,AB30,AE30,AH30,AK30)</f>
        <v>31402963.199999999</v>
      </c>
      <c r="AP30" s="272">
        <v>29890156.920000002</v>
      </c>
      <c r="AQ30" s="270">
        <v>107758.28</v>
      </c>
    </row>
    <row r="31" spans="1:44" x14ac:dyDescent="0.3">
      <c r="A31" s="270" t="s">
        <v>139</v>
      </c>
      <c r="D31" s="272">
        <v>1527660.28</v>
      </c>
      <c r="G31" s="272"/>
      <c r="J31" s="272"/>
      <c r="M31" s="272"/>
      <c r="P31" s="272"/>
      <c r="S31" s="272"/>
      <c r="V31" s="272"/>
      <c r="Y31" s="272"/>
      <c r="AB31" s="272"/>
      <c r="AE31" s="272"/>
      <c r="AH31" s="272"/>
      <c r="AK31" s="272"/>
      <c r="AN31" s="349">
        <f>SUM(D31,G31,J31,M31,P31,S31,V31,Y31,AB31,AE31,AH31,AK31)</f>
        <v>1527660.28</v>
      </c>
      <c r="AP31" s="350">
        <f>AN27-AP30</f>
        <v>7.9999998211860657E-2</v>
      </c>
      <c r="AQ31" s="337">
        <f>AL27-AQ30</f>
        <v>-1.2799999999988358</v>
      </c>
    </row>
    <row r="32" spans="1:44" x14ac:dyDescent="0.3">
      <c r="A32" s="270" t="s">
        <v>140</v>
      </c>
      <c r="D32" s="270">
        <v>0</v>
      </c>
      <c r="AL32" s="337"/>
      <c r="AN32" s="349">
        <f>SUM(D32,G32,J32,M32,P32,S32,V32,Y32,AB32,AE32,AH32,AK32)</f>
        <v>0</v>
      </c>
      <c r="AP32" s="337"/>
    </row>
    <row r="33" spans="1:51" x14ac:dyDescent="0.3">
      <c r="A33" s="348"/>
      <c r="D33" s="337">
        <f>D31+D32</f>
        <v>1527660.28</v>
      </c>
      <c r="G33" s="337">
        <f>G31+G32</f>
        <v>0</v>
      </c>
      <c r="J33" s="337">
        <f>J31+J32</f>
        <v>0</v>
      </c>
      <c r="M33" s="337">
        <f>M31+M32</f>
        <v>0</v>
      </c>
      <c r="P33" s="337">
        <f>P31+P32</f>
        <v>0</v>
      </c>
      <c r="S33" s="337">
        <f>S31+S32</f>
        <v>0</v>
      </c>
      <c r="V33" s="337">
        <f>V31+V32</f>
        <v>0</v>
      </c>
      <c r="Y33" s="337">
        <f>Y31+Y32</f>
        <v>0</v>
      </c>
      <c r="AB33" s="337">
        <f>AB31+AB32</f>
        <v>0</v>
      </c>
      <c r="AE33" s="337">
        <f>AE31+AE32</f>
        <v>0</v>
      </c>
      <c r="AH33" s="337">
        <f>AH31+AH32</f>
        <v>0</v>
      </c>
      <c r="AK33" s="337">
        <f>AK31+AK32</f>
        <v>0</v>
      </c>
      <c r="AN33" s="337">
        <f>SUM(AN31:AN32)</f>
        <v>1527660.28</v>
      </c>
      <c r="AQ33" s="270" t="s">
        <v>153</v>
      </c>
    </row>
    <row r="34" spans="1:51" x14ac:dyDescent="0.3">
      <c r="D34" s="351">
        <f>D30-D33</f>
        <v>29875302.919999998</v>
      </c>
      <c r="G34" s="351">
        <f>G30-G33</f>
        <v>0</v>
      </c>
      <c r="J34" s="351">
        <f>J30-J33</f>
        <v>0</v>
      </c>
      <c r="M34" s="351">
        <f>M30-M33</f>
        <v>0</v>
      </c>
      <c r="P34" s="351">
        <f>P30-P33</f>
        <v>0</v>
      </c>
      <c r="S34" s="351">
        <f>S30-S33</f>
        <v>0</v>
      </c>
      <c r="V34" s="351">
        <f>V30-V33</f>
        <v>0</v>
      </c>
      <c r="Y34" s="351">
        <f>Y30-Y33</f>
        <v>0</v>
      </c>
      <c r="AB34" s="351">
        <f>AB30-AB33</f>
        <v>0</v>
      </c>
      <c r="AE34" s="351">
        <f>AE30-AE33</f>
        <v>0</v>
      </c>
      <c r="AH34" s="351">
        <f>AH30-AH33</f>
        <v>0</v>
      </c>
      <c r="AK34" s="351">
        <f>AK30-AK33</f>
        <v>0</v>
      </c>
      <c r="AN34" s="410">
        <f>AN30-AN33</f>
        <v>29875302.919999998</v>
      </c>
      <c r="AQ34" s="337">
        <v>29875302.920000002</v>
      </c>
      <c r="AR34" s="337">
        <f>AQ34-AN34</f>
        <v>0</v>
      </c>
      <c r="AT34" s="337"/>
      <c r="AU34" s="337"/>
      <c r="AV34" s="337"/>
      <c r="AW34" s="337"/>
      <c r="AX34" s="337"/>
      <c r="AY34" s="337"/>
    </row>
    <row r="35" spans="1:51" x14ac:dyDescent="0.3">
      <c r="A35" s="270" t="s">
        <v>134</v>
      </c>
      <c r="D35" s="337">
        <v>14854</v>
      </c>
      <c r="G35" s="337"/>
      <c r="J35" s="337"/>
      <c r="M35" s="337"/>
      <c r="P35" s="337"/>
      <c r="S35" s="337"/>
      <c r="V35" s="337"/>
      <c r="Y35" s="337"/>
      <c r="AB35" s="337"/>
      <c r="AE35" s="337"/>
      <c r="AH35" s="337"/>
      <c r="AK35" s="337"/>
      <c r="AN35" s="349">
        <f>SUM(D35,G35,J35,M35,P35,S35,V35,Y35,AB35,AE35,AH35,AK35)</f>
        <v>14854</v>
      </c>
      <c r="AO35" s="272"/>
      <c r="AP35" s="316"/>
      <c r="AQ35" s="337"/>
      <c r="AR35" s="337"/>
    </row>
    <row r="36" spans="1:51" x14ac:dyDescent="0.3">
      <c r="D36" s="337">
        <f>D34+D35-D37</f>
        <v>29890156.919999998</v>
      </c>
      <c r="G36" s="337">
        <f>G34+G35-G37</f>
        <v>0</v>
      </c>
      <c r="J36" s="337">
        <f>J34+J35</f>
        <v>0</v>
      </c>
      <c r="M36" s="337">
        <f>M34+M35-M37</f>
        <v>0</v>
      </c>
      <c r="P36" s="337">
        <f>P34+P35</f>
        <v>0</v>
      </c>
      <c r="S36" s="337">
        <f>S34+S35</f>
        <v>0</v>
      </c>
      <c r="V36" s="337">
        <f>V34+V35</f>
        <v>0</v>
      </c>
      <c r="Y36" s="337">
        <f>Y34+Y35</f>
        <v>0</v>
      </c>
      <c r="AB36" s="337">
        <f>AB34+AB35</f>
        <v>0</v>
      </c>
      <c r="AE36" s="337">
        <f>AE34+AE35</f>
        <v>0</v>
      </c>
      <c r="AH36" s="337">
        <f>AH34+AH35</f>
        <v>0</v>
      </c>
      <c r="AK36" s="337">
        <f>AK34+AK35</f>
        <v>0</v>
      </c>
      <c r="AN36" s="337">
        <f>AN34+AN35</f>
        <v>29890156.919999998</v>
      </c>
      <c r="AO36" s="337">
        <f>AN27-AN36</f>
        <v>8.0000001937150955E-2</v>
      </c>
      <c r="AQ36" s="337"/>
      <c r="AR36" s="350"/>
    </row>
    <row r="37" spans="1:51" x14ac:dyDescent="0.3">
      <c r="A37" s="270" t="s">
        <v>148</v>
      </c>
      <c r="D37" s="350"/>
      <c r="G37" s="350"/>
      <c r="J37" s="350"/>
      <c r="M37" s="350"/>
      <c r="P37" s="350"/>
      <c r="S37" s="350"/>
      <c r="V37" s="350"/>
      <c r="Y37" s="350">
        <f>Y36-Y27</f>
        <v>0</v>
      </c>
      <c r="AB37" s="350">
        <f>AB36-AB27</f>
        <v>0</v>
      </c>
      <c r="AE37" s="350">
        <f>AE36-AE27</f>
        <v>0</v>
      </c>
      <c r="AH37" s="350">
        <v>42540</v>
      </c>
      <c r="AK37" s="350">
        <v>51048</v>
      </c>
      <c r="AN37" s="349">
        <f>SUM(D37,G37,J37,M37,P37,S37,V37,Y37,AB37,AE37,AH37,AK37)</f>
        <v>93588</v>
      </c>
      <c r="AO37" s="272"/>
      <c r="AP37" s="349"/>
      <c r="AQ37" s="337"/>
      <c r="AR37" s="337"/>
      <c r="AT37" s="272"/>
    </row>
    <row r="38" spans="1:51" x14ac:dyDescent="0.3">
      <c r="D38" s="350">
        <f>D27-D36</f>
        <v>8.0000001937150955E-2</v>
      </c>
      <c r="G38" s="350">
        <f>G27-G36</f>
        <v>0</v>
      </c>
      <c r="J38" s="350">
        <f>J27-J36</f>
        <v>0</v>
      </c>
      <c r="M38" s="350">
        <f>M27-M36</f>
        <v>0</v>
      </c>
      <c r="P38" s="350">
        <f>P27-P36</f>
        <v>0</v>
      </c>
      <c r="S38" s="350">
        <f>S27-S36</f>
        <v>0</v>
      </c>
      <c r="V38" s="350">
        <f>V27-V36</f>
        <v>0</v>
      </c>
      <c r="Y38" s="350">
        <f>Y27-Y36</f>
        <v>0</v>
      </c>
      <c r="AB38" s="350">
        <f>AB27-AB36</f>
        <v>0</v>
      </c>
      <c r="AE38" s="350">
        <f>AE27-AE36</f>
        <v>0</v>
      </c>
      <c r="AH38" s="350">
        <f>AH27-AH36</f>
        <v>0</v>
      </c>
      <c r="AK38" s="350">
        <f>AK27-AK36</f>
        <v>0</v>
      </c>
      <c r="AN38" s="352">
        <f>AN36-AN27</f>
        <v>-8.0000001937150955E-2</v>
      </c>
      <c r="AO38" s="272"/>
      <c r="AP38" s="349"/>
      <c r="AQ38" s="337"/>
      <c r="AR38" s="337"/>
    </row>
    <row r="39" spans="1:51" x14ac:dyDescent="0.3">
      <c r="A39" s="340" t="s">
        <v>147</v>
      </c>
      <c r="D39" s="353">
        <f>ROUND((D27-(D21+D22+D35)),0)</f>
        <v>29853563</v>
      </c>
      <c r="G39" s="353">
        <f>ROUND((G27-(G21+G35)),0)</f>
        <v>0</v>
      </c>
      <c r="J39" s="353">
        <f>ROUND((J27-(J21+J22+J35)),0)</f>
        <v>0</v>
      </c>
      <c r="M39" s="353">
        <f>ROUND((M27-(M21+M22+M35)),0)</f>
        <v>0</v>
      </c>
      <c r="P39" s="353">
        <f>ROUND((P27-(P21+P22+P35)),0)</f>
        <v>0</v>
      </c>
      <c r="S39" s="353">
        <f>ROUND((S27-(S21+S22+S35)),0)</f>
        <v>0</v>
      </c>
      <c r="V39" s="353">
        <f>ROUND((V27-(V21+V22+V35)),0)</f>
        <v>0</v>
      </c>
      <c r="Y39" s="353">
        <f>ROUND((Y27-(Y21+Y22+Y35)),0)</f>
        <v>0</v>
      </c>
      <c r="AB39" s="353">
        <f>ROUND((AB27-(AB21+AB22+AB35)),0)</f>
        <v>0</v>
      </c>
      <c r="AE39" s="353">
        <f>ROUND((AE27-(AE21+AE22+AE35)),0)</f>
        <v>0</v>
      </c>
      <c r="AH39" s="353">
        <f>ROUND((AH27-(AH21+AH22+AH35)),0)</f>
        <v>0</v>
      </c>
      <c r="AK39" s="353">
        <f>ROUND((AK27-(AK21+AK22+AK35)),0)</f>
        <v>0</v>
      </c>
      <c r="AN39" s="354">
        <f>ROUND((AN27-(AN21+AN22+AN35)),0)</f>
        <v>29853563</v>
      </c>
      <c r="AP39" s="355"/>
      <c r="AQ39" s="337"/>
      <c r="AR39" s="337"/>
    </row>
    <row r="40" spans="1:51" x14ac:dyDescent="0.3">
      <c r="AN40" s="356">
        <f>ROUND((AN39-(AN5+AN6)),0)</f>
        <v>3575218</v>
      </c>
      <c r="AP40" s="281"/>
      <c r="AR40" s="337">
        <f>AR38-AR39</f>
        <v>0</v>
      </c>
    </row>
    <row r="41" spans="1:51" ht="15.75" thickBot="1" x14ac:dyDescent="0.35">
      <c r="A41" s="357"/>
      <c r="B41" s="357"/>
      <c r="C41" s="357"/>
      <c r="D41" s="357"/>
      <c r="E41" s="357"/>
      <c r="F41" s="357"/>
      <c r="G41" s="357"/>
      <c r="H41" s="357"/>
      <c r="I41" s="357"/>
      <c r="J41" s="357"/>
      <c r="K41" s="357"/>
      <c r="L41" s="357"/>
      <c r="M41" s="357"/>
      <c r="N41" s="357"/>
      <c r="O41" s="357"/>
      <c r="P41" s="357"/>
      <c r="Q41" s="357"/>
      <c r="R41" s="357"/>
      <c r="S41" s="357"/>
      <c r="T41" s="357"/>
      <c r="U41" s="357"/>
      <c r="V41" s="357"/>
      <c r="W41" s="357"/>
      <c r="X41" s="357"/>
      <c r="Y41" s="357"/>
      <c r="Z41" s="357"/>
      <c r="AA41" s="357"/>
      <c r="AB41" s="357"/>
      <c r="AC41" s="357"/>
      <c r="AD41" s="357"/>
      <c r="AE41" s="357"/>
      <c r="AF41" s="357"/>
      <c r="AG41" s="357"/>
      <c r="AH41" s="357"/>
      <c r="AI41" s="357"/>
      <c r="AJ41" s="357"/>
      <c r="AK41" s="357"/>
      <c r="AL41" s="357"/>
      <c r="AM41" s="357"/>
      <c r="AN41" s="358">
        <f>AN36-AN27</f>
        <v>-8.0000001937150955E-2</v>
      </c>
      <c r="AP41" s="281"/>
      <c r="AQ41" s="272"/>
      <c r="AR41" s="337"/>
    </row>
    <row r="42" spans="1:51" x14ac:dyDescent="0.3">
      <c r="A42" s="272" t="s">
        <v>150</v>
      </c>
      <c r="B42" s="309">
        <f>B25</f>
        <v>0</v>
      </c>
      <c r="C42" s="272"/>
      <c r="D42" s="272">
        <f>ROUND((B25*C42),0)</f>
        <v>0</v>
      </c>
      <c r="E42" s="309">
        <f>E25</f>
        <v>0</v>
      </c>
      <c r="F42" s="272">
        <v>90.36</v>
      </c>
      <c r="G42" s="272">
        <f>ROUND((E25*F42),0)</f>
        <v>0</v>
      </c>
      <c r="H42" s="281">
        <f>H25</f>
        <v>0</v>
      </c>
      <c r="I42" s="272">
        <v>85.79</v>
      </c>
      <c r="J42" s="272">
        <f>ROUND((H25*I42),0)</f>
        <v>0</v>
      </c>
      <c r="K42" s="309">
        <f>K25</f>
        <v>0</v>
      </c>
      <c r="L42" s="272">
        <v>102.13</v>
      </c>
      <c r="M42" s="272">
        <f>ROUND((K25*L42),0)</f>
        <v>0</v>
      </c>
      <c r="N42" s="309">
        <f>N25</f>
        <v>0</v>
      </c>
      <c r="O42" s="272">
        <v>92.93</v>
      </c>
      <c r="P42" s="272">
        <f>ROUND((N25*O42),0)</f>
        <v>0</v>
      </c>
      <c r="Q42" s="309">
        <f>Q25</f>
        <v>0</v>
      </c>
      <c r="R42" s="272">
        <v>99.79</v>
      </c>
      <c r="S42" s="272">
        <f>ROUND((Q25*R42),0)</f>
        <v>0</v>
      </c>
      <c r="T42" s="309">
        <f>T25</f>
        <v>0</v>
      </c>
      <c r="U42" s="272">
        <v>96.12</v>
      </c>
      <c r="V42" s="272">
        <f>ROUND((T25*U42),0)</f>
        <v>0</v>
      </c>
      <c r="W42" s="309">
        <f>W25</f>
        <v>0</v>
      </c>
      <c r="X42" s="272">
        <v>100.88</v>
      </c>
      <c r="Y42" s="272">
        <f>ROUND((W25*X42),0)</f>
        <v>0</v>
      </c>
      <c r="Z42" s="309">
        <f>Z25</f>
        <v>0</v>
      </c>
      <c r="AA42" s="272">
        <v>97.44</v>
      </c>
      <c r="AB42" s="272">
        <f>ROUND((Z25*AA42),0)</f>
        <v>0</v>
      </c>
      <c r="AC42" s="281">
        <f>AC25</f>
        <v>0</v>
      </c>
      <c r="AD42" s="272">
        <v>96.36</v>
      </c>
      <c r="AE42" s="272">
        <f>ROUND((AC25*AD42),0)</f>
        <v>0</v>
      </c>
      <c r="AF42" s="281">
        <f>AF25</f>
        <v>0</v>
      </c>
      <c r="AG42" s="272">
        <v>98.91</v>
      </c>
      <c r="AH42" s="272">
        <f>ROUND((AF25*AG42),0)</f>
        <v>0</v>
      </c>
      <c r="AI42" s="281">
        <f>AI25</f>
        <v>0</v>
      </c>
      <c r="AJ42" s="272">
        <v>96</v>
      </c>
      <c r="AK42" s="272">
        <f>ROUND((AI25*AJ42),0)</f>
        <v>0</v>
      </c>
      <c r="AL42" s="316">
        <f>SUM(B42,E42,H42,K42,N42,Q42,T42,W42,Z42,AC42,AF42,AI42)</f>
        <v>0</v>
      </c>
      <c r="AM42" s="272"/>
      <c r="AN42" s="272">
        <f>SUM(D42,G42,J42,M42,P42,S42,V42,Y42,AB42,AE42,AH42,AK42)</f>
        <v>0</v>
      </c>
      <c r="AP42" s="272" t="s">
        <v>323</v>
      </c>
      <c r="AQ42" s="272"/>
    </row>
    <row r="43" spans="1:51" x14ac:dyDescent="0.3">
      <c r="B43" s="359"/>
      <c r="C43" s="359">
        <f>C25-C42</f>
        <v>0</v>
      </c>
      <c r="D43" s="359"/>
      <c r="E43" s="359"/>
      <c r="F43" s="359">
        <f>F25-F42</f>
        <v>-90.36</v>
      </c>
      <c r="G43" s="359"/>
      <c r="H43" s="359"/>
      <c r="I43" s="359">
        <f>I25-I42</f>
        <v>-85.79</v>
      </c>
      <c r="J43" s="359"/>
      <c r="K43" s="359"/>
      <c r="L43" s="359">
        <f>L25-L42</f>
        <v>-102.13</v>
      </c>
      <c r="M43" s="359"/>
      <c r="N43" s="359"/>
      <c r="O43" s="359">
        <f>O25-O42</f>
        <v>-92.93</v>
      </c>
      <c r="P43" s="359"/>
      <c r="Q43" s="359"/>
      <c r="R43" s="359">
        <f>R25-R42</f>
        <v>-99.79</v>
      </c>
      <c r="S43" s="359"/>
      <c r="T43" s="359"/>
      <c r="U43" s="359">
        <f>U25-U42</f>
        <v>-96.12</v>
      </c>
      <c r="V43" s="359"/>
      <c r="W43" s="359"/>
      <c r="X43" s="359">
        <f>X25-X42</f>
        <v>-100.88</v>
      </c>
      <c r="Y43" s="359"/>
      <c r="Z43" s="359"/>
      <c r="AA43" s="359">
        <f>AA25-AA42</f>
        <v>-97.44</v>
      </c>
      <c r="AB43" s="359"/>
      <c r="AC43" s="359"/>
      <c r="AD43" s="359">
        <f>AD25-AD42</f>
        <v>-96.36</v>
      </c>
      <c r="AE43" s="359"/>
      <c r="AF43" s="359"/>
      <c r="AG43" s="359">
        <f>AG25-AG42</f>
        <v>-98.91</v>
      </c>
      <c r="AH43" s="359"/>
      <c r="AI43" s="359"/>
      <c r="AJ43" s="359"/>
      <c r="AK43" s="359"/>
      <c r="AL43" s="359"/>
      <c r="AM43" s="359"/>
      <c r="AN43" s="339">
        <f>AN25-AN42</f>
        <v>0</v>
      </c>
      <c r="AP43" s="281"/>
    </row>
    <row r="44" spans="1:51" x14ac:dyDescent="0.3">
      <c r="A44" s="270" t="s">
        <v>213</v>
      </c>
      <c r="B44" s="316">
        <f>ROUND((B11-(B10)),0)</f>
        <v>89944</v>
      </c>
      <c r="C44" s="339">
        <f>D44/B44</f>
        <v>292.04828559992882</v>
      </c>
      <c r="D44" s="272">
        <f>ROUND((D11-(D10+D35)),0)</f>
        <v>26267991</v>
      </c>
      <c r="E44" s="316">
        <f>E11-(E10)</f>
        <v>0</v>
      </c>
      <c r="F44" s="339" t="e">
        <f>G44/E44</f>
        <v>#DIV/0!</v>
      </c>
      <c r="G44" s="272">
        <f>G11-(G10+G35)</f>
        <v>0</v>
      </c>
      <c r="H44" s="316">
        <f>H11-(H10)</f>
        <v>0</v>
      </c>
      <c r="I44" s="339" t="e">
        <f>J44/H44</f>
        <v>#DIV/0!</v>
      </c>
      <c r="J44" s="272">
        <f>J11-(J10+J35)</f>
        <v>0</v>
      </c>
      <c r="K44" s="316">
        <f>K11-(K10)</f>
        <v>0</v>
      </c>
      <c r="L44" s="339" t="e">
        <f>M44/K44</f>
        <v>#DIV/0!</v>
      </c>
      <c r="M44" s="272">
        <f>M11-(M10+M35)</f>
        <v>0</v>
      </c>
      <c r="N44" s="316">
        <f>N11-(N10)</f>
        <v>0</v>
      </c>
      <c r="O44" s="339" t="e">
        <f>P44/N44</f>
        <v>#DIV/0!</v>
      </c>
      <c r="P44" s="272">
        <f>P11-(P10+P35)</f>
        <v>0</v>
      </c>
      <c r="Q44" s="316">
        <f>Q11-(Q10)</f>
        <v>0</v>
      </c>
      <c r="R44" s="339" t="e">
        <f>S44/Q44</f>
        <v>#DIV/0!</v>
      </c>
      <c r="S44" s="272">
        <f>S11-(S10+S35)</f>
        <v>0</v>
      </c>
      <c r="T44" s="316">
        <f>T11-(T10)</f>
        <v>0</v>
      </c>
      <c r="U44" s="339" t="e">
        <f>V44/T44</f>
        <v>#DIV/0!</v>
      </c>
      <c r="V44" s="272">
        <f>V11-(V10+V35)</f>
        <v>0</v>
      </c>
      <c r="W44" s="316">
        <f>W11-(W10)</f>
        <v>0</v>
      </c>
      <c r="X44" s="339" t="e">
        <f>Y44/W44</f>
        <v>#DIV/0!</v>
      </c>
      <c r="Y44" s="272">
        <f>Y11-(Y10+Y35)</f>
        <v>0</v>
      </c>
      <c r="Z44" s="316">
        <f>Z11-(Z10)</f>
        <v>0</v>
      </c>
      <c r="AA44" s="339" t="e">
        <f>AB44/Z44</f>
        <v>#DIV/0!</v>
      </c>
      <c r="AB44" s="272">
        <f>AB11-(AB10+AB35)</f>
        <v>0</v>
      </c>
      <c r="AL44" s="800">
        <f t="shared" ref="AL44:AL46" si="55">SUM(B44,E44,H44,K44,N44,Q44,T44,W44,Z44,AC44,AF44,AI44)</f>
        <v>89944</v>
      </c>
      <c r="AM44" s="339">
        <f>AN44/AL44</f>
        <v>292.04828559992882</v>
      </c>
      <c r="AN44" s="272">
        <f>ROUND((AN11-(AN10+AN35)),0)</f>
        <v>26267991</v>
      </c>
      <c r="AP44" s="337"/>
    </row>
    <row r="45" spans="1:51" x14ac:dyDescent="0.3">
      <c r="A45" s="270" t="s">
        <v>322</v>
      </c>
      <c r="B45" s="316">
        <f>Purchase!I22</f>
        <v>22533</v>
      </c>
      <c r="C45" s="272">
        <f>D45/B45</f>
        <v>292.04828473793992</v>
      </c>
      <c r="D45" s="272">
        <f>ROUND((B45*C44),0)</f>
        <v>6580724</v>
      </c>
      <c r="AL45" s="800">
        <f t="shared" si="55"/>
        <v>22533</v>
      </c>
      <c r="AM45" s="272">
        <f>AN45/AL45</f>
        <v>292.04828473793992</v>
      </c>
      <c r="AN45" s="801">
        <f t="shared" ref="AN45:AN46" si="56">SUM(D45,G45,J45,M45,P45,S45,V45,Y45,AB45,AE45,AH45,AK45)</f>
        <v>6580724</v>
      </c>
      <c r="AP45" s="360"/>
    </row>
    <row r="46" spans="1:51" x14ac:dyDescent="0.3">
      <c r="A46" s="272"/>
      <c r="B46" s="316">
        <f>B44-B45</f>
        <v>67411</v>
      </c>
      <c r="C46" s="272">
        <f>D46/B46</f>
        <v>292.04828588805981</v>
      </c>
      <c r="D46" s="272">
        <f>D44-D45</f>
        <v>19687267</v>
      </c>
      <c r="AL46" s="800">
        <f t="shared" si="55"/>
        <v>67411</v>
      </c>
      <c r="AM46" s="272">
        <f>AN46/AL46</f>
        <v>292.04828588805981</v>
      </c>
      <c r="AN46" s="801">
        <f t="shared" si="56"/>
        <v>19687267</v>
      </c>
    </row>
  </sheetData>
  <mergeCells count="53">
    <mergeCell ref="AI2:AK2"/>
    <mergeCell ref="AI3:AI4"/>
    <mergeCell ref="AJ3:AJ4"/>
    <mergeCell ref="AK3:AK4"/>
    <mergeCell ref="AL2:AN2"/>
    <mergeCell ref="AL3:AL4"/>
    <mergeCell ref="AM3:AM4"/>
    <mergeCell ref="AN3:AN4"/>
    <mergeCell ref="AC3:AC4"/>
    <mergeCell ref="AD3:AD4"/>
    <mergeCell ref="AE3:AE4"/>
    <mergeCell ref="AF2:AH2"/>
    <mergeCell ref="AF3:AF4"/>
    <mergeCell ref="AG3:AG4"/>
    <mergeCell ref="AH3:AH4"/>
    <mergeCell ref="AC2:AE2"/>
    <mergeCell ref="M3:M4"/>
    <mergeCell ref="N3:N4"/>
    <mergeCell ref="O3:O4"/>
    <mergeCell ref="AB3:AB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P3:P4"/>
    <mergeCell ref="Q2:S2"/>
    <mergeCell ref="T2:V2"/>
    <mergeCell ref="W2:Y2"/>
    <mergeCell ref="Z2:AB2"/>
    <mergeCell ref="N2:P2"/>
    <mergeCell ref="A3:A4"/>
    <mergeCell ref="B2:D2"/>
    <mergeCell ref="E2:G2"/>
    <mergeCell ref="H2:J2"/>
    <mergeCell ref="K2:M2"/>
    <mergeCell ref="G3:G4"/>
    <mergeCell ref="H3:H4"/>
    <mergeCell ref="I3:I4"/>
    <mergeCell ref="J3:J4"/>
    <mergeCell ref="B3:B4"/>
    <mergeCell ref="C3:C4"/>
    <mergeCell ref="D3:D4"/>
    <mergeCell ref="E3:E4"/>
    <mergeCell ref="F3:F4"/>
    <mergeCell ref="K3:K4"/>
    <mergeCell ref="L3:L4"/>
  </mergeCells>
  <phoneticPr fontId="33" type="noConversion"/>
  <pageMargins left="0.7" right="0.7" top="0.75" bottom="0.75" header="0.3" footer="0.3"/>
  <pageSetup paperSize="9" orientation="portrait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A1E2E-B415-4F47-B95A-CF581E8671EC}">
  <dimension ref="A1:BE106"/>
  <sheetViews>
    <sheetView workbookViewId="0">
      <pane xSplit="1" topLeftCell="B1" activePane="topRight" state="frozen"/>
      <selection pane="topRight" activeCell="E21" sqref="E21"/>
    </sheetView>
  </sheetViews>
  <sheetFormatPr defaultColWidth="9.140625" defaultRowHeight="16.5" x14ac:dyDescent="0.3"/>
  <cols>
    <col min="1" max="1" width="31.140625" style="5" customWidth="1"/>
    <col min="2" max="2" width="14.28515625" style="5" bestFit="1" customWidth="1"/>
    <col min="3" max="3" width="9.28515625" style="5" bestFit="1" customWidth="1"/>
    <col min="4" max="4" width="16.42578125" style="5" bestFit="1" customWidth="1"/>
    <col min="5" max="5" width="12.42578125" style="5" bestFit="1" customWidth="1"/>
    <col min="6" max="6" width="8.7109375" style="5" bestFit="1" customWidth="1"/>
    <col min="7" max="7" width="16.85546875" style="5" bestFit="1" customWidth="1"/>
    <col min="8" max="8" width="10.85546875" style="5" hidden="1" customWidth="1"/>
    <col min="9" max="9" width="8.7109375" style="5" hidden="1" customWidth="1"/>
    <col min="10" max="10" width="16.28515625" style="5" hidden="1" customWidth="1"/>
    <col min="11" max="11" width="11.5703125" style="5" hidden="1" customWidth="1"/>
    <col min="12" max="12" width="8.5703125" style="5" hidden="1" customWidth="1"/>
    <col min="13" max="13" width="16.85546875" style="5" hidden="1" customWidth="1"/>
    <col min="14" max="14" width="11.5703125" style="5" hidden="1" customWidth="1"/>
    <col min="15" max="15" width="11.85546875" style="5" hidden="1" customWidth="1"/>
    <col min="16" max="16" width="16.85546875" style="5" hidden="1" customWidth="1"/>
    <col min="17" max="17" width="13.140625" style="5" hidden="1" customWidth="1"/>
    <col min="18" max="18" width="9.7109375" style="5" hidden="1" customWidth="1"/>
    <col min="19" max="19" width="16.7109375" style="5" hidden="1" customWidth="1"/>
    <col min="20" max="20" width="12.140625" style="5" hidden="1" customWidth="1"/>
    <col min="21" max="21" width="9.7109375" style="5" hidden="1" customWidth="1"/>
    <col min="22" max="22" width="16.5703125" style="5" hidden="1" customWidth="1"/>
    <col min="23" max="23" width="12.42578125" style="5" hidden="1" customWidth="1"/>
    <col min="24" max="24" width="8.7109375" style="5" hidden="1" customWidth="1"/>
    <col min="25" max="25" width="16.42578125" style="5" hidden="1" customWidth="1"/>
    <col min="26" max="26" width="12.42578125" style="5" hidden="1" customWidth="1"/>
    <col min="27" max="27" width="8.7109375" style="5" hidden="1" customWidth="1"/>
    <col min="28" max="28" width="16.42578125" style="5" hidden="1" customWidth="1"/>
    <col min="29" max="29" width="12.85546875" style="5" hidden="1" customWidth="1"/>
    <col min="30" max="30" width="9.85546875" style="5" hidden="1" customWidth="1"/>
    <col min="31" max="31" width="15.85546875" style="5" hidden="1" customWidth="1"/>
    <col min="32" max="32" width="11.5703125" style="5" hidden="1" customWidth="1"/>
    <col min="33" max="33" width="11.140625" style="5" hidden="1" customWidth="1"/>
    <col min="34" max="34" width="16.42578125" style="5" hidden="1" customWidth="1"/>
    <col min="35" max="35" width="11.5703125" style="5" hidden="1" customWidth="1"/>
    <col min="36" max="36" width="9.28515625" style="5" hidden="1" customWidth="1"/>
    <col min="37" max="37" width="15.7109375" style="5" hidden="1" customWidth="1"/>
    <col min="38" max="38" width="12.42578125" style="5" hidden="1" customWidth="1"/>
    <col min="39" max="39" width="10.140625" style="5" hidden="1" customWidth="1"/>
    <col min="40" max="40" width="16.42578125" style="5" hidden="1" customWidth="1"/>
    <col min="41" max="41" width="10" style="5" bestFit="1" customWidth="1"/>
    <col min="42" max="42" width="10.42578125" style="5" customWidth="1"/>
    <col min="43" max="43" width="19.28515625" style="5" bestFit="1" customWidth="1"/>
    <col min="44" max="44" width="11.28515625" style="5" hidden="1" customWidth="1"/>
    <col min="45" max="45" width="10.7109375" style="5" hidden="1" customWidth="1"/>
    <col min="46" max="46" width="17.140625" style="5" hidden="1" customWidth="1"/>
    <col min="47" max="49" width="9.140625" style="5" hidden="1" customWidth="1"/>
    <col min="50" max="50" width="10" style="5" bestFit="1" customWidth="1"/>
    <col min="51" max="51" width="8.5703125" style="5" bestFit="1" customWidth="1"/>
    <col min="52" max="52" width="9.140625" style="5"/>
    <col min="53" max="53" width="12.42578125" style="5" bestFit="1" customWidth="1"/>
    <col min="54" max="54" width="11.28515625" style="5" bestFit="1" customWidth="1"/>
    <col min="55" max="55" width="17.85546875" style="5" customWidth="1"/>
    <col min="56" max="16384" width="9.140625" style="5"/>
  </cols>
  <sheetData>
    <row r="1" spans="1:57" ht="17.25" thickBot="1" x14ac:dyDescent="0.35">
      <c r="AO1" s="841"/>
      <c r="AP1" s="841"/>
      <c r="AQ1" s="841"/>
    </row>
    <row r="2" spans="1:57" ht="17.25" thickBot="1" x14ac:dyDescent="0.35">
      <c r="A2" s="510"/>
      <c r="B2" s="842" t="s">
        <v>318</v>
      </c>
      <c r="C2" s="843"/>
      <c r="D2" s="844"/>
      <c r="E2" s="827">
        <v>46113</v>
      </c>
      <c r="F2" s="828"/>
      <c r="G2" s="829"/>
      <c r="H2" s="827">
        <v>45778</v>
      </c>
      <c r="I2" s="828"/>
      <c r="J2" s="829"/>
      <c r="K2" s="827">
        <v>45809</v>
      </c>
      <c r="L2" s="828"/>
      <c r="M2" s="829"/>
      <c r="N2" s="827">
        <v>45839</v>
      </c>
      <c r="O2" s="828"/>
      <c r="P2" s="829"/>
      <c r="Q2" s="827">
        <v>45870</v>
      </c>
      <c r="R2" s="828"/>
      <c r="S2" s="829"/>
      <c r="T2" s="827">
        <v>45901</v>
      </c>
      <c r="U2" s="828"/>
      <c r="V2" s="829"/>
      <c r="W2" s="827">
        <v>45931</v>
      </c>
      <c r="X2" s="828"/>
      <c r="Y2" s="829"/>
      <c r="Z2" s="827">
        <v>45962</v>
      </c>
      <c r="AA2" s="828"/>
      <c r="AB2" s="829"/>
      <c r="AC2" s="827">
        <v>45992</v>
      </c>
      <c r="AD2" s="828"/>
      <c r="AE2" s="829"/>
      <c r="AF2" s="827">
        <v>46023</v>
      </c>
      <c r="AG2" s="828"/>
      <c r="AH2" s="829"/>
      <c r="AI2" s="827">
        <v>46054</v>
      </c>
      <c r="AJ2" s="828"/>
      <c r="AK2" s="829"/>
      <c r="AL2" s="827">
        <v>46082</v>
      </c>
      <c r="AM2" s="828"/>
      <c r="AN2" s="829"/>
      <c r="AO2" s="838" t="s">
        <v>317</v>
      </c>
      <c r="AP2" s="839"/>
      <c r="AQ2" s="840"/>
      <c r="AR2" s="827"/>
      <c r="AS2" s="828"/>
      <c r="AT2" s="829"/>
      <c r="AU2" s="827"/>
      <c r="AV2" s="828"/>
      <c r="AW2" s="829"/>
      <c r="AX2" s="511"/>
      <c r="AY2" s="511"/>
    </row>
    <row r="3" spans="1:57" ht="15" customHeight="1" x14ac:dyDescent="0.3">
      <c r="A3" s="830" t="s">
        <v>252</v>
      </c>
      <c r="B3" s="832" t="s">
        <v>253</v>
      </c>
      <c r="C3" s="834" t="s">
        <v>254</v>
      </c>
      <c r="D3" s="836" t="s">
        <v>255</v>
      </c>
      <c r="E3" s="816" t="s">
        <v>253</v>
      </c>
      <c r="F3" s="814" t="s">
        <v>254</v>
      </c>
      <c r="G3" s="812" t="s">
        <v>255</v>
      </c>
      <c r="H3" s="816" t="s">
        <v>253</v>
      </c>
      <c r="I3" s="814" t="s">
        <v>254</v>
      </c>
      <c r="J3" s="812" t="s">
        <v>255</v>
      </c>
      <c r="K3" s="816" t="s">
        <v>253</v>
      </c>
      <c r="L3" s="814" t="s">
        <v>254</v>
      </c>
      <c r="M3" s="812" t="s">
        <v>255</v>
      </c>
      <c r="N3" s="816" t="s">
        <v>253</v>
      </c>
      <c r="O3" s="814" t="s">
        <v>254</v>
      </c>
      <c r="P3" s="812" t="s">
        <v>255</v>
      </c>
      <c r="Q3" s="816" t="s">
        <v>253</v>
      </c>
      <c r="R3" s="814" t="s">
        <v>254</v>
      </c>
      <c r="S3" s="812" t="s">
        <v>255</v>
      </c>
      <c r="T3" s="821" t="s">
        <v>253</v>
      </c>
      <c r="U3" s="814" t="s">
        <v>254</v>
      </c>
      <c r="V3" s="823" t="s">
        <v>255</v>
      </c>
      <c r="W3" s="825" t="s">
        <v>253</v>
      </c>
      <c r="X3" s="814" t="s">
        <v>254</v>
      </c>
      <c r="Y3" s="812" t="s">
        <v>255</v>
      </c>
      <c r="Z3" s="816" t="s">
        <v>253</v>
      </c>
      <c r="AA3" s="814" t="s">
        <v>254</v>
      </c>
      <c r="AB3" s="812" t="s">
        <v>255</v>
      </c>
      <c r="AC3" s="816" t="s">
        <v>253</v>
      </c>
      <c r="AD3" s="814" t="s">
        <v>254</v>
      </c>
      <c r="AE3" s="812" t="s">
        <v>255</v>
      </c>
      <c r="AF3" s="816" t="s">
        <v>253</v>
      </c>
      <c r="AG3" s="814" t="s">
        <v>254</v>
      </c>
      <c r="AH3" s="812" t="s">
        <v>255</v>
      </c>
      <c r="AI3" s="816" t="s">
        <v>253</v>
      </c>
      <c r="AJ3" s="814" t="s">
        <v>254</v>
      </c>
      <c r="AK3" s="812"/>
      <c r="AL3" s="816" t="s">
        <v>253</v>
      </c>
      <c r="AM3" s="814" t="s">
        <v>254</v>
      </c>
      <c r="AN3" s="812" t="s">
        <v>255</v>
      </c>
      <c r="AO3" s="816" t="s">
        <v>253</v>
      </c>
      <c r="AP3" s="814" t="s">
        <v>254</v>
      </c>
      <c r="AQ3" s="812" t="s">
        <v>255</v>
      </c>
      <c r="AR3" s="816" t="s">
        <v>253</v>
      </c>
      <c r="AS3" s="814" t="s">
        <v>254</v>
      </c>
      <c r="AT3" s="812" t="s">
        <v>255</v>
      </c>
      <c r="AU3" s="816" t="s">
        <v>253</v>
      </c>
      <c r="AV3" s="814" t="s">
        <v>254</v>
      </c>
      <c r="AW3" s="812" t="s">
        <v>255</v>
      </c>
      <c r="AX3" s="512"/>
      <c r="AY3" s="512"/>
    </row>
    <row r="4" spans="1:57" ht="17.25" thickBot="1" x14ac:dyDescent="0.35">
      <c r="A4" s="831"/>
      <c r="B4" s="833"/>
      <c r="C4" s="835"/>
      <c r="D4" s="837"/>
      <c r="E4" s="817"/>
      <c r="F4" s="815"/>
      <c r="G4" s="813"/>
      <c r="H4" s="817"/>
      <c r="I4" s="815"/>
      <c r="J4" s="813"/>
      <c r="K4" s="817"/>
      <c r="L4" s="815"/>
      <c r="M4" s="813"/>
      <c r="N4" s="817"/>
      <c r="O4" s="815"/>
      <c r="P4" s="813"/>
      <c r="Q4" s="817"/>
      <c r="R4" s="815"/>
      <c r="S4" s="813"/>
      <c r="T4" s="822"/>
      <c r="U4" s="815"/>
      <c r="V4" s="824"/>
      <c r="W4" s="826"/>
      <c r="X4" s="815"/>
      <c r="Y4" s="813"/>
      <c r="Z4" s="817"/>
      <c r="AA4" s="815"/>
      <c r="AB4" s="813"/>
      <c r="AC4" s="817"/>
      <c r="AD4" s="815"/>
      <c r="AE4" s="813"/>
      <c r="AF4" s="817"/>
      <c r="AG4" s="815"/>
      <c r="AH4" s="813"/>
      <c r="AI4" s="817"/>
      <c r="AJ4" s="815"/>
      <c r="AK4" s="813"/>
      <c r="AL4" s="817"/>
      <c r="AM4" s="815"/>
      <c r="AN4" s="813"/>
      <c r="AO4" s="817"/>
      <c r="AP4" s="815"/>
      <c r="AQ4" s="813"/>
      <c r="AR4" s="817"/>
      <c r="AS4" s="815"/>
      <c r="AT4" s="813"/>
      <c r="AU4" s="817"/>
      <c r="AV4" s="815"/>
      <c r="AW4" s="813"/>
      <c r="AX4" s="818" t="s">
        <v>256</v>
      </c>
      <c r="AY4" s="819"/>
      <c r="BA4" s="820" t="s">
        <v>257</v>
      </c>
      <c r="BB4" s="820"/>
      <c r="BC4" s="820"/>
      <c r="BE4" s="511" t="s">
        <v>258</v>
      </c>
    </row>
    <row r="5" spans="1:57" x14ac:dyDescent="0.3">
      <c r="A5" s="513" t="s">
        <v>259</v>
      </c>
      <c r="B5" s="514">
        <v>141140</v>
      </c>
      <c r="C5" s="515">
        <f>D5/B5+0.02</f>
        <v>121.99506730905483</v>
      </c>
      <c r="D5" s="516">
        <v>17215561</v>
      </c>
      <c r="E5" s="517">
        <v>75695</v>
      </c>
      <c r="F5" s="518">
        <f>ROUND(IF(G5=0,0,(G5/E5)),0)</f>
        <v>136</v>
      </c>
      <c r="G5" s="519">
        <v>10273379</v>
      </c>
      <c r="H5" s="517"/>
      <c r="I5" s="518">
        <f>IF(J5=0,0,(J5/H5))</f>
        <v>0</v>
      </c>
      <c r="J5" s="520"/>
      <c r="K5" s="517"/>
      <c r="L5" s="518">
        <f>IF(M5=0,0,(M5/K5))</f>
        <v>0</v>
      </c>
      <c r="M5" s="519"/>
      <c r="N5" s="517"/>
      <c r="O5" s="518">
        <f>IF(P5=0,0,(P5/N5))</f>
        <v>0</v>
      </c>
      <c r="P5" s="519"/>
      <c r="Q5" s="517"/>
      <c r="R5" s="518">
        <f>IF(S5=0,0,(S5/Q5))</f>
        <v>0</v>
      </c>
      <c r="S5" s="519"/>
      <c r="T5" s="517"/>
      <c r="U5" s="518">
        <f>IF(V5=0,0,(V5/T5))</f>
        <v>0</v>
      </c>
      <c r="V5" s="519"/>
      <c r="W5" s="517"/>
      <c r="X5" s="518">
        <f>IF(Y5=0,0,(Y5/W5))</f>
        <v>0</v>
      </c>
      <c r="Y5" s="519"/>
      <c r="Z5" s="517"/>
      <c r="AA5" s="518">
        <f>IF(AB5=0,0,(AB5/Z5))</f>
        <v>0</v>
      </c>
      <c r="AB5" s="519"/>
      <c r="AC5" s="517"/>
      <c r="AD5" s="518">
        <f>IF(AE5=0,0,(AE5/AC5))-0.07</f>
        <v>-7.0000000000000007E-2</v>
      </c>
      <c r="AE5" s="519"/>
      <c r="AF5" s="517"/>
      <c r="AG5" s="518">
        <f>IF(AH5=0,0,(AH5/AF5))+0.04</f>
        <v>0.04</v>
      </c>
      <c r="AH5" s="519"/>
      <c r="AI5" s="517"/>
      <c r="AJ5" s="518">
        <f>IF(AK5=0,0,(AK5/AI5))</f>
        <v>0</v>
      </c>
      <c r="AK5" s="519"/>
      <c r="AL5" s="517"/>
      <c r="AM5" s="518">
        <v>122</v>
      </c>
      <c r="AN5" s="519"/>
      <c r="AO5" s="517"/>
      <c r="AP5" s="518">
        <f>IF(AQ5=0,0,(AQ5/AO5))</f>
        <v>0</v>
      </c>
      <c r="AQ5" s="519"/>
      <c r="AR5" s="517">
        <f>'[1] Qty Analysis'!BE15</f>
        <v>0</v>
      </c>
      <c r="AS5" s="518"/>
      <c r="AT5" s="519">
        <f>ROUND((AS5*AR5),0)</f>
        <v>0</v>
      </c>
      <c r="AU5" s="517">
        <f>'[1] Qty Analysis'!BH15</f>
        <v>0</v>
      </c>
      <c r="AV5" s="518"/>
      <c r="AW5" s="519">
        <f>ROUND((AV5*AU5),0)</f>
        <v>0</v>
      </c>
      <c r="AX5" s="521">
        <f>Z5-B5</f>
        <v>-141140</v>
      </c>
      <c r="AY5" s="522">
        <f>AX5/B5</f>
        <v>-1</v>
      </c>
      <c r="BA5" s="523">
        <f>125000+40000</f>
        <v>165000</v>
      </c>
      <c r="BB5" s="524">
        <v>101</v>
      </c>
      <c r="BC5" s="525">
        <f>ROUND((BA5*BB5),0)</f>
        <v>16665000</v>
      </c>
      <c r="BE5" s="523">
        <v>163575</v>
      </c>
    </row>
    <row r="6" spans="1:57" x14ac:dyDescent="0.3">
      <c r="A6" s="526" t="s">
        <v>260</v>
      </c>
      <c r="B6" s="514">
        <v>2330</v>
      </c>
      <c r="C6" s="515">
        <f>D6/B6+0.04</f>
        <v>226.96532188841201</v>
      </c>
      <c r="D6" s="527">
        <v>528736</v>
      </c>
      <c r="E6" s="528">
        <v>2392</v>
      </c>
      <c r="F6" s="518">
        <f>ROUND(IF(G6=0,0,(G6/E6)),0)</f>
        <v>245</v>
      </c>
      <c r="G6" s="529">
        <v>586833</v>
      </c>
      <c r="H6" s="528"/>
      <c r="I6" s="518">
        <f>IF(J6=0,0,(J6/H6))</f>
        <v>0</v>
      </c>
      <c r="J6" s="529"/>
      <c r="K6" s="528"/>
      <c r="L6" s="518">
        <f>IF(M6=0,0,(M6/K6))</f>
        <v>0</v>
      </c>
      <c r="M6" s="529"/>
      <c r="N6" s="528"/>
      <c r="O6" s="518">
        <f>IF(P6=0,0,(P6/N6))</f>
        <v>0</v>
      </c>
      <c r="P6" s="529"/>
      <c r="Q6" s="528"/>
      <c r="R6" s="518">
        <f>IF(S6=0,0,(S6/Q6))</f>
        <v>0</v>
      </c>
      <c r="S6" s="529"/>
      <c r="T6" s="528"/>
      <c r="U6" s="518">
        <f>IF(V6=0,0,(V6/T6))</f>
        <v>0</v>
      </c>
      <c r="V6" s="529"/>
      <c r="W6" s="528"/>
      <c r="X6" s="518">
        <f>IF(Y6=0,0,(Y6/W6))</f>
        <v>0</v>
      </c>
      <c r="Y6" s="529"/>
      <c r="Z6" s="528"/>
      <c r="AA6" s="518">
        <f>IF(AB6=0,0,(AB6/Z6))</f>
        <v>0</v>
      </c>
      <c r="AB6" s="529"/>
      <c r="AC6" s="528"/>
      <c r="AD6" s="518">
        <f>IF(AE6=0,0,(AE6/AC6))-0.17</f>
        <v>-0.17</v>
      </c>
      <c r="AE6" s="529"/>
      <c r="AF6" s="528"/>
      <c r="AG6" s="518">
        <f>IF(AH6=0,0,(AH6/AF6))-0.38</f>
        <v>-0.38</v>
      </c>
      <c r="AH6" s="529"/>
      <c r="AI6" s="528"/>
      <c r="AJ6" s="518">
        <f>IF(AK6=0,0,(AK6/AI6))</f>
        <v>0</v>
      </c>
      <c r="AK6" s="529"/>
      <c r="AL6" s="528"/>
      <c r="AM6" s="518">
        <v>227</v>
      </c>
      <c r="AN6" s="529"/>
      <c r="AO6" s="528"/>
      <c r="AP6" s="518">
        <f>IF(AQ6=0,0,(AQ6/AO6))</f>
        <v>0</v>
      </c>
      <c r="AQ6" s="529"/>
      <c r="AR6" s="517">
        <f>'[1] Qty Analysis'!BE27</f>
        <v>0</v>
      </c>
      <c r="AS6" s="530"/>
      <c r="AT6" s="529">
        <f>ROUND((AS6*AR6),0)</f>
        <v>0</v>
      </c>
      <c r="AU6" s="517">
        <f>'[1] Qty Analysis'!BH27</f>
        <v>0</v>
      </c>
      <c r="AV6" s="530"/>
      <c r="AW6" s="529">
        <f>ROUND((AV6*AU6),0)</f>
        <v>0</v>
      </c>
      <c r="AX6" s="521">
        <f t="shared" ref="AX6:AX8" si="0">Z6-B6</f>
        <v>-2330</v>
      </c>
      <c r="AY6" s="522">
        <f t="shared" ref="AY6:AY8" si="1">AX6/B6</f>
        <v>-1</v>
      </c>
      <c r="BA6" s="523">
        <v>2730</v>
      </c>
      <c r="BB6" s="524">
        <v>215</v>
      </c>
      <c r="BC6" s="525">
        <f>ROUND((BA6*BB6),0)</f>
        <v>586950</v>
      </c>
      <c r="BE6" s="523">
        <v>2645</v>
      </c>
    </row>
    <row r="7" spans="1:57" ht="17.25" thickBot="1" x14ac:dyDescent="0.35">
      <c r="A7" s="531" t="s">
        <v>261</v>
      </c>
      <c r="B7" s="514">
        <v>19</v>
      </c>
      <c r="C7" s="515">
        <f>D7/B7-0.37</f>
        <v>1596.9984210526318</v>
      </c>
      <c r="D7" s="532">
        <v>30350</v>
      </c>
      <c r="E7" s="533">
        <v>21</v>
      </c>
      <c r="F7" s="534">
        <f>ROUND(IF(G7=0,0,(G7/E7)),0)</f>
        <v>1515</v>
      </c>
      <c r="G7" s="529">
        <v>31807</v>
      </c>
      <c r="H7" s="533"/>
      <c r="I7" s="534">
        <f>IF(J7=0,0,(J7/H7))</f>
        <v>0</v>
      </c>
      <c r="J7" s="529"/>
      <c r="K7" s="533"/>
      <c r="L7" s="534">
        <f>IF(M7=0,0,(M7/K7))</f>
        <v>0</v>
      </c>
      <c r="M7" s="529"/>
      <c r="N7" s="533"/>
      <c r="O7" s="518">
        <f>IF(P7=0,0,(P7/N7))</f>
        <v>0</v>
      </c>
      <c r="P7" s="529"/>
      <c r="Q7" s="533"/>
      <c r="R7" s="534">
        <f>IF(S7=0,0,(S7/Q7))</f>
        <v>0</v>
      </c>
      <c r="S7" s="529"/>
      <c r="T7" s="533"/>
      <c r="U7" s="534">
        <f>IF(V7=0,0,(V7/T7))</f>
        <v>0</v>
      </c>
      <c r="V7" s="529"/>
      <c r="W7" s="533"/>
      <c r="X7" s="534">
        <f>IF(Y7=0,0,(Y7/W7))</f>
        <v>0</v>
      </c>
      <c r="Y7" s="529"/>
      <c r="Z7" s="533"/>
      <c r="AA7" s="534">
        <f>IF(AB7=0,0,(AB7/Z7))</f>
        <v>0</v>
      </c>
      <c r="AB7" s="529"/>
      <c r="AC7" s="533"/>
      <c r="AD7" s="534">
        <f>IF(AE7=0,0,(AE7/AC7))-0.45</f>
        <v>-0.45</v>
      </c>
      <c r="AE7" s="529"/>
      <c r="AF7" s="533"/>
      <c r="AG7" s="534">
        <f>IF(AH7=0,0,(AH7/AF7))-0.38</f>
        <v>-0.38</v>
      </c>
      <c r="AH7" s="529"/>
      <c r="AI7" s="533"/>
      <c r="AJ7" s="534">
        <f>IF(AK7=0,0,(AK7/AI7))</f>
        <v>0</v>
      </c>
      <c r="AK7" s="529"/>
      <c r="AL7" s="533"/>
      <c r="AM7" s="534">
        <v>1597</v>
      </c>
      <c r="AN7" s="529"/>
      <c r="AO7" s="533"/>
      <c r="AP7" s="534">
        <f>IF(AQ7=0,0,(AQ7/AO7))</f>
        <v>0</v>
      </c>
      <c r="AQ7" s="529"/>
      <c r="AR7" s="517">
        <f>'[1] Qty Analysis'!BE39</f>
        <v>0</v>
      </c>
      <c r="AS7" s="535"/>
      <c r="AT7" s="529">
        <f>ROUND((AS7*AR7),0)</f>
        <v>0</v>
      </c>
      <c r="AU7" s="517">
        <f>'[1] Qty Analysis'!BH39</f>
        <v>0</v>
      </c>
      <c r="AV7" s="535"/>
      <c r="AW7" s="529">
        <f>ROUND((AV7*AU7),0)</f>
        <v>0</v>
      </c>
      <c r="AX7" s="521">
        <f t="shared" si="0"/>
        <v>-19</v>
      </c>
      <c r="AY7" s="522">
        <f t="shared" si="1"/>
        <v>-1</v>
      </c>
      <c r="BA7" s="523">
        <v>30</v>
      </c>
      <c r="BB7" s="524">
        <v>2280</v>
      </c>
      <c r="BC7" s="525">
        <f>ROUND((BA7*BB7),0)</f>
        <v>68400</v>
      </c>
      <c r="BE7" s="523">
        <v>45.3</v>
      </c>
    </row>
    <row r="8" spans="1:57" ht="17.25" thickBot="1" x14ac:dyDescent="0.35">
      <c r="A8" s="536" t="s">
        <v>0</v>
      </c>
      <c r="B8" s="537">
        <f>SUM(B5:B7)</f>
        <v>143489</v>
      </c>
      <c r="C8" s="538">
        <f>D8/B8</f>
        <v>123.87463150485404</v>
      </c>
      <c r="D8" s="539">
        <f>SUM(D5:D7)</f>
        <v>17774647</v>
      </c>
      <c r="E8" s="540">
        <f>SUM(E5:E7)</f>
        <v>78108</v>
      </c>
      <c r="F8" s="541">
        <f>IF(G8=0,0,(G8/E8))</f>
        <v>139.4481871255185</v>
      </c>
      <c r="G8" s="542">
        <f>SUM(G5:G7)</f>
        <v>10892019</v>
      </c>
      <c r="H8" s="540">
        <f>SUM(H5:H7)</f>
        <v>0</v>
      </c>
      <c r="I8" s="541">
        <f>IF(J8=0,0,(J8/H8))</f>
        <v>0</v>
      </c>
      <c r="J8" s="542">
        <f>SUM(J5:J7)</f>
        <v>0</v>
      </c>
      <c r="K8" s="540">
        <f>SUM(K5:K7)</f>
        <v>0</v>
      </c>
      <c r="L8" s="541">
        <f>IF(M8=0,0,(M8/K8))</f>
        <v>0</v>
      </c>
      <c r="M8" s="542">
        <f>SUM(M5:M7)</f>
        <v>0</v>
      </c>
      <c r="N8" s="540">
        <f>SUM(N5:N7)</f>
        <v>0</v>
      </c>
      <c r="O8" s="541">
        <f>IF(P8=0,0,(P8/N8))</f>
        <v>0</v>
      </c>
      <c r="P8" s="542">
        <f>SUM(P5:P7)</f>
        <v>0</v>
      </c>
      <c r="Q8" s="540">
        <f>SUM(Q5:Q7)</f>
        <v>0</v>
      </c>
      <c r="R8" s="541">
        <f>IF(S8=0,0,(S8/Q8))</f>
        <v>0</v>
      </c>
      <c r="S8" s="542">
        <f>ROUND(SUM(S5:S7),0)</f>
        <v>0</v>
      </c>
      <c r="T8" s="540">
        <f>SUM(T5:T7)</f>
        <v>0</v>
      </c>
      <c r="U8" s="541">
        <f>IF(V8=0,0,(V8/T8))</f>
        <v>0</v>
      </c>
      <c r="V8" s="542">
        <f>SUM(V5:V7)</f>
        <v>0</v>
      </c>
      <c r="W8" s="540">
        <f>SUM(W5:W7)</f>
        <v>0</v>
      </c>
      <c r="X8" s="541">
        <f>IF(Y8=0,0,(Y8/W8))</f>
        <v>0</v>
      </c>
      <c r="Y8" s="542">
        <f>SUM(Y5:Y7)</f>
        <v>0</v>
      </c>
      <c r="Z8" s="540">
        <f>SUM(Z5:Z7)</f>
        <v>0</v>
      </c>
      <c r="AA8" s="541">
        <f>IF(AB8=0,0,(AB8/Z8))</f>
        <v>0</v>
      </c>
      <c r="AB8" s="542">
        <f>SUM(AB5:AB7)</f>
        <v>0</v>
      </c>
      <c r="AC8" s="540">
        <f>SUM(AC5:AC7)</f>
        <v>0</v>
      </c>
      <c r="AD8" s="541">
        <f>IF(AE8=0,0,(AE8/AC8))</f>
        <v>0</v>
      </c>
      <c r="AE8" s="542">
        <f>SUM(AE5:AE7)</f>
        <v>0</v>
      </c>
      <c r="AF8" s="540">
        <f>SUM(AF5:AF7)</f>
        <v>0</v>
      </c>
      <c r="AG8" s="541">
        <f>IF(AH8=0,0,(AH8/AF8))</f>
        <v>0</v>
      </c>
      <c r="AH8" s="542">
        <f>SUM(AH5:AH7)</f>
        <v>0</v>
      </c>
      <c r="AI8" s="540">
        <f>SUM(AI5:AI7)</f>
        <v>0</v>
      </c>
      <c r="AJ8" s="541">
        <f>IF(AK8=0,0,(AK8/AI8))</f>
        <v>0</v>
      </c>
      <c r="AK8" s="542">
        <f>SUM(AK5:AK7)</f>
        <v>0</v>
      </c>
      <c r="AL8" s="540">
        <f>SUM(AL5:AL7)</f>
        <v>0</v>
      </c>
      <c r="AM8" s="541">
        <f>IF(AN8=0,0,(AN8/AL8))</f>
        <v>0</v>
      </c>
      <c r="AN8" s="542">
        <f>SUM(AN5:AN7)</f>
        <v>0</v>
      </c>
      <c r="AO8" s="540">
        <f>SUM(AO5:AO7)</f>
        <v>0</v>
      </c>
      <c r="AP8" s="541">
        <f>IF(AQ8=0,0,(AQ8/AO8))</f>
        <v>0</v>
      </c>
      <c r="AQ8" s="542">
        <f>SUM(AQ5:AQ7)</f>
        <v>0</v>
      </c>
      <c r="AR8" s="540">
        <f>SUM(AR5:AR7)</f>
        <v>0</v>
      </c>
      <c r="AS8" s="541"/>
      <c r="AT8" s="542">
        <f>SUM(AT5:AT7)</f>
        <v>0</v>
      </c>
      <c r="AU8" s="540">
        <f>SUM(AU5:AU7)</f>
        <v>0</v>
      </c>
      <c r="AV8" s="541"/>
      <c r="AW8" s="542">
        <f>SUM(AW5:AW7)</f>
        <v>0</v>
      </c>
      <c r="AX8" s="543">
        <f t="shared" si="0"/>
        <v>-143489</v>
      </c>
      <c r="AY8" s="544">
        <f t="shared" si="1"/>
        <v>-1</v>
      </c>
      <c r="BA8" s="545">
        <f>SUM(BA5:BA7)</f>
        <v>167760</v>
      </c>
      <c r="BB8" s="546">
        <f>BC8/BA8</f>
        <v>103.24481402002861</v>
      </c>
      <c r="BC8" s="547">
        <f>SUM(BC5:BC7)</f>
        <v>17320350</v>
      </c>
      <c r="BE8" s="545">
        <f>SUM(BE5:BE7)</f>
        <v>166265.29999999999</v>
      </c>
    </row>
    <row r="9" spans="1:57" ht="15" customHeight="1" x14ac:dyDescent="0.3">
      <c r="A9" s="513" t="s">
        <v>262</v>
      </c>
      <c r="B9" s="548"/>
      <c r="C9" s="549"/>
      <c r="D9" s="550"/>
      <c r="E9" s="517"/>
      <c r="F9" s="518"/>
      <c r="G9" s="551"/>
      <c r="H9" s="517"/>
      <c r="I9" s="518"/>
      <c r="J9" s="551"/>
      <c r="K9" s="517"/>
      <c r="L9" s="518"/>
      <c r="M9" s="551"/>
      <c r="N9" s="517"/>
      <c r="O9" s="518"/>
      <c r="P9" s="551"/>
      <c r="Q9" s="517"/>
      <c r="R9" s="518"/>
      <c r="S9" s="551"/>
      <c r="T9" s="517"/>
      <c r="U9" s="518"/>
      <c r="V9" s="551"/>
      <c r="W9" s="517"/>
      <c r="X9" s="518"/>
      <c r="Y9" s="551"/>
      <c r="Z9" s="517"/>
      <c r="AA9" s="518"/>
      <c r="AB9" s="551"/>
      <c r="AC9" s="517"/>
      <c r="AD9" s="518"/>
      <c r="AE9" s="551"/>
      <c r="AF9" s="517"/>
      <c r="AG9" s="518"/>
      <c r="AH9" s="551"/>
      <c r="AI9" s="517"/>
      <c r="AJ9" s="518"/>
      <c r="AK9" s="551"/>
      <c r="AL9" s="517"/>
      <c r="AM9" s="518"/>
      <c r="AN9" s="551"/>
      <c r="AO9" s="517"/>
      <c r="AP9" s="518"/>
      <c r="AQ9" s="551"/>
      <c r="AR9" s="517"/>
      <c r="AS9" s="518"/>
      <c r="AT9" s="551"/>
      <c r="AU9" s="517"/>
      <c r="AV9" s="518"/>
      <c r="AW9" s="551"/>
      <c r="BA9" s="523"/>
      <c r="BB9" s="524"/>
      <c r="BE9" s="523"/>
    </row>
    <row r="10" spans="1:57" x14ac:dyDescent="0.3">
      <c r="A10" s="526" t="s">
        <v>263</v>
      </c>
      <c r="B10" s="552">
        <v>37996</v>
      </c>
      <c r="C10" s="515">
        <v>167</v>
      </c>
      <c r="D10" s="529">
        <f>B10*C10</f>
        <v>6345332</v>
      </c>
      <c r="E10" s="528">
        <f>26659.9+0.1</f>
        <v>26660</v>
      </c>
      <c r="F10" s="530">
        <f>66+116</f>
        <v>182</v>
      </c>
      <c r="G10" s="529">
        <f>ROUND(E10*F10,0)</f>
        <v>4852120</v>
      </c>
      <c r="H10" s="528"/>
      <c r="I10" s="530"/>
      <c r="J10" s="529">
        <f>ROUND(H10*I10,0)</f>
        <v>0</v>
      </c>
      <c r="K10" s="528"/>
      <c r="L10" s="530"/>
      <c r="M10" s="529">
        <f>ROUND(K10*L10,0)</f>
        <v>0</v>
      </c>
      <c r="N10" s="528"/>
      <c r="O10" s="530"/>
      <c r="P10" s="529">
        <f>ROUND(N10*O10,0)</f>
        <v>0</v>
      </c>
      <c r="Q10" s="528"/>
      <c r="R10" s="530"/>
      <c r="S10" s="529"/>
      <c r="T10" s="528"/>
      <c r="U10" s="530"/>
      <c r="V10" s="529"/>
      <c r="W10" s="528"/>
      <c r="X10" s="530"/>
      <c r="Y10" s="529"/>
      <c r="Z10" s="528"/>
      <c r="AA10" s="530"/>
      <c r="AB10" s="529">
        <f>ROUND((Z10*AA10),0)</f>
        <v>0</v>
      </c>
      <c r="AC10" s="528"/>
      <c r="AD10" s="530"/>
      <c r="AE10" s="529">
        <f>ROUND((AC10*AD10),0)</f>
        <v>0</v>
      </c>
      <c r="AF10" s="528"/>
      <c r="AG10" s="530"/>
      <c r="AH10" s="529">
        <f>ROUND((AF10*AG10),0)</f>
        <v>0</v>
      </c>
      <c r="AI10" s="528"/>
      <c r="AJ10" s="530"/>
      <c r="AK10" s="529">
        <f>ROUND((AI10*AJ10),0)</f>
        <v>0</v>
      </c>
      <c r="AL10" s="528"/>
      <c r="AM10" s="530"/>
      <c r="AN10" s="529">
        <f>ROUND((AL10*AM10),0)</f>
        <v>0</v>
      </c>
      <c r="AO10" s="528"/>
      <c r="AP10" s="518">
        <f t="shared" ref="AP10:AP11" si="2">IF(AQ10=0,0,(AQ10/AO10))</f>
        <v>0</v>
      </c>
      <c r="AQ10" s="529"/>
      <c r="AR10" s="517">
        <f>'[1] Qty Analysis'!BE66</f>
        <v>0</v>
      </c>
      <c r="AS10" s="530"/>
      <c r="AT10" s="529">
        <f>ROUND((AS10*AR10),0)</f>
        <v>0</v>
      </c>
      <c r="AU10" s="517">
        <f>'[1] Qty Analysis'!BH66</f>
        <v>0</v>
      </c>
      <c r="AV10" s="530"/>
      <c r="AW10" s="529">
        <f>ROUND((AV10*AU10),0)</f>
        <v>0</v>
      </c>
      <c r="AX10" s="521">
        <f t="shared" ref="AX10:AX12" si="3">Z10-B10</f>
        <v>-37996</v>
      </c>
      <c r="AY10" s="522">
        <f t="shared" ref="AY10:AY12" si="4">AX10/B10</f>
        <v>-1</v>
      </c>
      <c r="BA10" s="523">
        <v>24480</v>
      </c>
      <c r="BB10" s="524">
        <v>163</v>
      </c>
      <c r="BC10" s="525">
        <f>ROUND((BA10*BB10),0)</f>
        <v>3990240</v>
      </c>
      <c r="BE10" s="523">
        <v>24112</v>
      </c>
    </row>
    <row r="11" spans="1:57" ht="17.25" thickBot="1" x14ac:dyDescent="0.35">
      <c r="A11" s="526" t="s">
        <v>264</v>
      </c>
      <c r="B11" s="552">
        <f>64171.5-0.5</f>
        <v>64171</v>
      </c>
      <c r="C11" s="515">
        <f>C10</f>
        <v>167</v>
      </c>
      <c r="D11" s="529">
        <f>B11*C11</f>
        <v>10716557</v>
      </c>
      <c r="E11" s="528">
        <v>50337</v>
      </c>
      <c r="F11" s="530">
        <f>F10</f>
        <v>182</v>
      </c>
      <c r="G11" s="529">
        <f>ROUND(E11*F11,0)</f>
        <v>9161334</v>
      </c>
      <c r="H11" s="528"/>
      <c r="I11" s="530">
        <f>I10</f>
        <v>0</v>
      </c>
      <c r="J11" s="529">
        <f>ROUND(H11*I11,0)</f>
        <v>0</v>
      </c>
      <c r="K11" s="528"/>
      <c r="L11" s="530">
        <f>L10</f>
        <v>0</v>
      </c>
      <c r="M11" s="529">
        <f>ROUND(K11*L11,0)</f>
        <v>0</v>
      </c>
      <c r="N11" s="528"/>
      <c r="O11" s="530"/>
      <c r="P11" s="529">
        <f>ROUND(N11*O11,0)</f>
        <v>0</v>
      </c>
      <c r="Q11" s="528"/>
      <c r="R11" s="530">
        <f>R10</f>
        <v>0</v>
      </c>
      <c r="S11" s="529"/>
      <c r="T11" s="528"/>
      <c r="U11" s="530">
        <f>U10</f>
        <v>0</v>
      </c>
      <c r="V11" s="529"/>
      <c r="W11" s="528"/>
      <c r="X11" s="530">
        <v>149</v>
      </c>
      <c r="Y11" s="529"/>
      <c r="Z11" s="528"/>
      <c r="AA11" s="530">
        <f>AA10</f>
        <v>0</v>
      </c>
      <c r="AB11" s="529">
        <f>ROUND((Z11*AA11),0)</f>
        <v>0</v>
      </c>
      <c r="AC11" s="528"/>
      <c r="AD11" s="530">
        <v>146</v>
      </c>
      <c r="AE11" s="529">
        <f>ROUND((AC11*AD11),0)</f>
        <v>0</v>
      </c>
      <c r="AF11" s="528"/>
      <c r="AG11" s="530">
        <v>147</v>
      </c>
      <c r="AH11" s="529">
        <f>ROUND((AF11*AG11),0)</f>
        <v>0</v>
      </c>
      <c r="AI11" s="528"/>
      <c r="AJ11" s="530">
        <f>AJ10</f>
        <v>0</v>
      </c>
      <c r="AK11" s="529">
        <f>ROUND((AI11*AJ11),0)</f>
        <v>0</v>
      </c>
      <c r="AL11" s="528"/>
      <c r="AM11" s="530">
        <f>AM10</f>
        <v>0</v>
      </c>
      <c r="AN11" s="529">
        <f>ROUND((AL11*AM11),0)</f>
        <v>0</v>
      </c>
      <c r="AO11" s="528"/>
      <c r="AP11" s="518">
        <f t="shared" si="2"/>
        <v>0</v>
      </c>
      <c r="AQ11" s="529"/>
      <c r="AR11" s="517">
        <f>'[1] Qty Analysis'!BE81</f>
        <v>0</v>
      </c>
      <c r="AS11" s="530"/>
      <c r="AT11" s="529">
        <f>ROUND((AS11*AR11),0)</f>
        <v>0</v>
      </c>
      <c r="AU11" s="517">
        <f>'[1] Qty Analysis'!BH81</f>
        <v>0</v>
      </c>
      <c r="AV11" s="530"/>
      <c r="AW11" s="529">
        <f>ROUND((AV11*AU11),0)</f>
        <v>0</v>
      </c>
      <c r="AX11" s="521">
        <f t="shared" si="3"/>
        <v>-64171</v>
      </c>
      <c r="AY11" s="522">
        <f t="shared" si="4"/>
        <v>-1</v>
      </c>
      <c r="BA11" s="523">
        <v>66292</v>
      </c>
      <c r="BB11" s="524">
        <v>163</v>
      </c>
      <c r="BC11" s="525">
        <f>ROUND((BA11*BB11),0)</f>
        <v>10805596</v>
      </c>
      <c r="BE11" s="523">
        <v>66292</v>
      </c>
    </row>
    <row r="12" spans="1:57" ht="17.25" thickBot="1" x14ac:dyDescent="0.35">
      <c r="A12" s="510" t="s">
        <v>0</v>
      </c>
      <c r="B12" s="537">
        <f>SUM(B10:B11)</f>
        <v>102167</v>
      </c>
      <c r="C12" s="538">
        <f>D12/B12</f>
        <v>167</v>
      </c>
      <c r="D12" s="539">
        <f>SUM(D10:D11)</f>
        <v>17061889</v>
      </c>
      <c r="E12" s="540">
        <f>SUM(E10:E11)</f>
        <v>76997</v>
      </c>
      <c r="F12" s="553">
        <f>G12/E12</f>
        <v>182</v>
      </c>
      <c r="G12" s="542">
        <f>SUM(G10:G11)</f>
        <v>14013454</v>
      </c>
      <c r="H12" s="540">
        <f>SUM(H10:H11)</f>
        <v>0</v>
      </c>
      <c r="I12" s="553"/>
      <c r="J12" s="542">
        <f>SUM(J10:J11)</f>
        <v>0</v>
      </c>
      <c r="K12" s="540">
        <f>SUM(K10:K11)</f>
        <v>0</v>
      </c>
      <c r="L12" s="553"/>
      <c r="M12" s="542">
        <f>SUM(M10:M11)</f>
        <v>0</v>
      </c>
      <c r="N12" s="540">
        <f>SUM(N10:N11)</f>
        <v>0</v>
      </c>
      <c r="O12" s="553"/>
      <c r="P12" s="542">
        <f>SUM(P10:P11)</f>
        <v>0</v>
      </c>
      <c r="Q12" s="540">
        <f>SUM(Q10:Q11)</f>
        <v>0</v>
      </c>
      <c r="R12" s="553"/>
      <c r="S12" s="542">
        <f>SUM(S10:S11)</f>
        <v>0</v>
      </c>
      <c r="T12" s="540">
        <f>SUM(T10:T11)</f>
        <v>0</v>
      </c>
      <c r="U12" s="553"/>
      <c r="V12" s="542">
        <f>SUM(V10:V11)</f>
        <v>0</v>
      </c>
      <c r="W12" s="540">
        <f>SUM(W10:W11)</f>
        <v>0</v>
      </c>
      <c r="X12" s="541">
        <f>IF(Y12=0,0,(Y12/W12))</f>
        <v>0</v>
      </c>
      <c r="Y12" s="542">
        <f>SUM(Y10:Y11)</f>
        <v>0</v>
      </c>
      <c r="Z12" s="540">
        <f>SUM(Z10:Z11)</f>
        <v>0</v>
      </c>
      <c r="AA12" s="553"/>
      <c r="AB12" s="542">
        <f>SUM(AB10:AB11)</f>
        <v>0</v>
      </c>
      <c r="AC12" s="540">
        <f>SUM(AC10:AC11)</f>
        <v>0</v>
      </c>
      <c r="AD12" s="553"/>
      <c r="AE12" s="542">
        <f>SUM(AE10:AE11)</f>
        <v>0</v>
      </c>
      <c r="AF12" s="540">
        <f>SUM(AF10:AF11)</f>
        <v>0</v>
      </c>
      <c r="AG12" s="553"/>
      <c r="AH12" s="542">
        <f>SUM(AH10:AH11)</f>
        <v>0</v>
      </c>
      <c r="AI12" s="540">
        <f>SUM(AI10:AI11)</f>
        <v>0</v>
      </c>
      <c r="AJ12" s="553"/>
      <c r="AK12" s="542">
        <f>SUM(AK10:AK11)</f>
        <v>0</v>
      </c>
      <c r="AL12" s="540">
        <f>SUM(AL10:AL11)</f>
        <v>0</v>
      </c>
      <c r="AM12" s="553"/>
      <c r="AN12" s="542">
        <f>SUM(AN10:AN11)</f>
        <v>0</v>
      </c>
      <c r="AO12" s="540">
        <f>SUM(AO10:AO11)</f>
        <v>0</v>
      </c>
      <c r="AP12" s="541">
        <f>IF(AQ12=0,0,(AQ12/AO12))</f>
        <v>0</v>
      </c>
      <c r="AQ12" s="542">
        <f>SUM(AQ10:AQ11)</f>
        <v>0</v>
      </c>
      <c r="AR12" s="540">
        <f>SUM(AR10:AR11)</f>
        <v>0</v>
      </c>
      <c r="AS12" s="553"/>
      <c r="AT12" s="542">
        <f>SUM(AT10:AT11)</f>
        <v>0</v>
      </c>
      <c r="AU12" s="540">
        <f>SUM(AU10:AU11)</f>
        <v>0</v>
      </c>
      <c r="AV12" s="553"/>
      <c r="AW12" s="542">
        <f>SUM(AW10:AW11)</f>
        <v>0</v>
      </c>
      <c r="AX12" s="543">
        <f t="shared" si="3"/>
        <v>-102167</v>
      </c>
      <c r="AY12" s="544">
        <f t="shared" si="4"/>
        <v>-1</v>
      </c>
      <c r="BA12" s="545">
        <f>SUM(BA10:BA11)</f>
        <v>90772</v>
      </c>
      <c r="BB12" s="546">
        <f>BC12/BA12</f>
        <v>163</v>
      </c>
      <c r="BC12" s="547">
        <f>SUM(BC10:BC11)</f>
        <v>14795836</v>
      </c>
      <c r="BE12" s="545">
        <f>SUM(BE10:BE11)</f>
        <v>90404</v>
      </c>
    </row>
    <row r="13" spans="1:57" ht="17.25" thickBot="1" x14ac:dyDescent="0.35">
      <c r="A13" s="554" t="s">
        <v>265</v>
      </c>
      <c r="B13" s="555"/>
      <c r="C13" s="556"/>
      <c r="D13" s="557"/>
      <c r="E13" s="540" t="s">
        <v>2</v>
      </c>
      <c r="F13" s="541"/>
      <c r="G13" s="558"/>
      <c r="H13" s="540" t="s">
        <v>2</v>
      </c>
      <c r="I13" s="541"/>
      <c r="J13" s="558"/>
      <c r="K13" s="540" t="s">
        <v>2</v>
      </c>
      <c r="L13" s="541"/>
      <c r="M13" s="558"/>
      <c r="N13" s="540" t="s">
        <v>2</v>
      </c>
      <c r="O13" s="541"/>
      <c r="P13" s="558"/>
      <c r="Q13" s="540" t="s">
        <v>2</v>
      </c>
      <c r="R13" s="541"/>
      <c r="S13" s="558"/>
      <c r="T13" s="540" t="s">
        <v>2</v>
      </c>
      <c r="U13" s="541"/>
      <c r="V13" s="558"/>
      <c r="W13" s="540" t="s">
        <v>2</v>
      </c>
      <c r="X13" s="541"/>
      <c r="Y13" s="558"/>
      <c r="Z13" s="540" t="s">
        <v>2</v>
      </c>
      <c r="AA13" s="541"/>
      <c r="AB13" s="558"/>
      <c r="AC13" s="540" t="s">
        <v>2</v>
      </c>
      <c r="AD13" s="541"/>
      <c r="AE13" s="558"/>
      <c r="AF13" s="540" t="s">
        <v>2</v>
      </c>
      <c r="AG13" s="541"/>
      <c r="AH13" s="558"/>
      <c r="AI13" s="540" t="s">
        <v>2</v>
      </c>
      <c r="AJ13" s="541"/>
      <c r="AK13" s="558"/>
      <c r="AL13" s="540" t="s">
        <v>2</v>
      </c>
      <c r="AM13" s="541"/>
      <c r="AN13" s="558"/>
      <c r="AO13" s="540" t="s">
        <v>2</v>
      </c>
      <c r="AP13" s="541"/>
      <c r="AQ13" s="558"/>
      <c r="AR13" s="540"/>
      <c r="AS13" s="541"/>
      <c r="AT13" s="558"/>
      <c r="AU13" s="540"/>
      <c r="AV13" s="541"/>
      <c r="AW13" s="558"/>
      <c r="BA13" s="523"/>
      <c r="BB13" s="524"/>
      <c r="BE13" s="523"/>
    </row>
    <row r="14" spans="1:57" x14ac:dyDescent="0.3">
      <c r="A14" s="513" t="s">
        <v>266</v>
      </c>
      <c r="B14" s="559">
        <v>200810</v>
      </c>
      <c r="C14" s="515">
        <v>238</v>
      </c>
      <c r="D14" s="560">
        <f>B14*C14</f>
        <v>47792780</v>
      </c>
      <c r="E14" s="561">
        <v>216887</v>
      </c>
      <c r="F14" s="562">
        <f>116+66+68</f>
        <v>250</v>
      </c>
      <c r="G14" s="529">
        <f>ROUND(E14*F14,0)</f>
        <v>54221750</v>
      </c>
      <c r="H14" s="561"/>
      <c r="I14" s="562">
        <v>219</v>
      </c>
      <c r="J14" s="529"/>
      <c r="K14" s="561"/>
      <c r="L14" s="562">
        <v>219</v>
      </c>
      <c r="M14" s="529"/>
      <c r="N14" s="561"/>
      <c r="O14" s="562">
        <v>218</v>
      </c>
      <c r="P14" s="529"/>
      <c r="Q14" s="561"/>
      <c r="R14" s="562">
        <v>220</v>
      </c>
      <c r="S14" s="529"/>
      <c r="T14" s="561"/>
      <c r="U14" s="562">
        <v>221</v>
      </c>
      <c r="V14" s="529"/>
      <c r="W14" s="561"/>
      <c r="X14" s="518">
        <f t="shared" ref="X14:X17" si="5">IF(Y14=0,0,(Y14/W14))</f>
        <v>0</v>
      </c>
      <c r="Y14" s="529"/>
      <c r="Z14" s="561"/>
      <c r="AA14" s="518">
        <f t="shared" ref="AA14:AA19" si="6">IF(AB14=0,0,(AB14/Z14))</f>
        <v>0</v>
      </c>
      <c r="AB14" s="529"/>
      <c r="AC14" s="561"/>
      <c r="AD14" s="518">
        <f t="shared" ref="AD14" si="7">IF(AE14=0,0,(AE14/AC14))</f>
        <v>0</v>
      </c>
      <c r="AE14" s="529"/>
      <c r="AF14" s="561"/>
      <c r="AG14" s="518">
        <f t="shared" ref="AG14:AG15" si="8">IF(AH14=0,0,(AH14/AF14))</f>
        <v>0</v>
      </c>
      <c r="AH14" s="529"/>
      <c r="AI14" s="561"/>
      <c r="AJ14" s="562">
        <v>222</v>
      </c>
      <c r="AK14" s="529"/>
      <c r="AL14" s="561"/>
      <c r="AM14" s="562">
        <v>238</v>
      </c>
      <c r="AN14" s="529"/>
      <c r="AO14" s="561"/>
      <c r="AP14" s="518">
        <f>IF(AQ14=0,0,(AQ14/AO14))</f>
        <v>0</v>
      </c>
      <c r="AQ14" s="563"/>
      <c r="AR14" s="517">
        <f>'[1] Qty Analysis'!BE101</f>
        <v>0</v>
      </c>
      <c r="AS14" s="564"/>
      <c r="AT14" s="529">
        <f>ROUND((AS14*AR14),0)</f>
        <v>0</v>
      </c>
      <c r="AU14" s="517">
        <f>'[1] Qty Analysis'!BH101</f>
        <v>0</v>
      </c>
      <c r="AV14" s="564"/>
      <c r="AW14" s="529">
        <f>ROUND((AV14*AU14),0)</f>
        <v>0</v>
      </c>
      <c r="AX14" s="521">
        <f t="shared" ref="AX14:AX17" si="9">Z14-B14</f>
        <v>-200810</v>
      </c>
      <c r="AY14" s="522">
        <f t="shared" ref="AY14:AY17" si="10">AX14/B14</f>
        <v>-1</v>
      </c>
      <c r="BA14" s="523">
        <v>289350</v>
      </c>
      <c r="BB14" s="524">
        <v>228</v>
      </c>
      <c r="BC14" s="525">
        <f>ROUND((BA14*BB14),0)</f>
        <v>65971800</v>
      </c>
      <c r="BE14" s="523"/>
    </row>
    <row r="15" spans="1:57" x14ac:dyDescent="0.3">
      <c r="A15" s="526" t="s">
        <v>267</v>
      </c>
      <c r="B15" s="552">
        <v>387</v>
      </c>
      <c r="C15" s="515">
        <f>IF(B15=0,0,(D15/B15))+0.35</f>
        <v>215.00116279069766</v>
      </c>
      <c r="D15" s="565">
        <v>83070</v>
      </c>
      <c r="E15" s="566">
        <v>387</v>
      </c>
      <c r="F15" s="518">
        <f>IF(E15=0,0,(G15/E15))-0.3</f>
        <v>240.00232558139533</v>
      </c>
      <c r="G15" s="567">
        <v>92997</v>
      </c>
      <c r="H15" s="566"/>
      <c r="I15" s="518">
        <f>IF(H15=0,0,(J15/H15))</f>
        <v>0</v>
      </c>
      <c r="J15" s="567"/>
      <c r="K15" s="566"/>
      <c r="L15" s="518">
        <f>IF(K15=0,0,(M15/K15))</f>
        <v>0</v>
      </c>
      <c r="M15" s="567"/>
      <c r="N15" s="566"/>
      <c r="O15" s="518">
        <f>IF(N15=0,0,(P15/N15))</f>
        <v>0</v>
      </c>
      <c r="P15" s="567"/>
      <c r="Q15" s="566"/>
      <c r="R15" s="518" t="e">
        <f>S15/Q15</f>
        <v>#DIV/0!</v>
      </c>
      <c r="S15" s="567"/>
      <c r="T15" s="566"/>
      <c r="U15" s="518" t="e">
        <f>V15/T15</f>
        <v>#DIV/0!</v>
      </c>
      <c r="V15" s="529"/>
      <c r="W15" s="566"/>
      <c r="X15" s="518">
        <f t="shared" si="5"/>
        <v>0</v>
      </c>
      <c r="Y15" s="529"/>
      <c r="Z15" s="566"/>
      <c r="AA15" s="518">
        <f t="shared" si="6"/>
        <v>0</v>
      </c>
      <c r="AB15" s="529"/>
      <c r="AC15" s="566"/>
      <c r="AD15" s="518">
        <f>IF(AE15=0,0,(AE15/AC15))</f>
        <v>0</v>
      </c>
      <c r="AE15" s="529"/>
      <c r="AF15" s="566"/>
      <c r="AG15" s="518">
        <f t="shared" si="8"/>
        <v>0</v>
      </c>
      <c r="AH15" s="529"/>
      <c r="AI15" s="566"/>
      <c r="AJ15" s="518">
        <v>210</v>
      </c>
      <c r="AK15" s="529"/>
      <c r="AL15" s="566"/>
      <c r="AM15" s="518">
        <v>215</v>
      </c>
      <c r="AN15" s="529"/>
      <c r="AO15" s="566"/>
      <c r="AP15" s="518">
        <f>IF(AQ15=0,0,(AQ15/AO15))</f>
        <v>0</v>
      </c>
      <c r="AQ15" s="563"/>
      <c r="AR15" s="568">
        <f>'[1] Qty Analysis'!BE122</f>
        <v>0</v>
      </c>
      <c r="AS15" s="569"/>
      <c r="AT15" s="529"/>
      <c r="AU15" s="568">
        <f>'[1] Qty Analysis'!BH122</f>
        <v>0</v>
      </c>
      <c r="AV15" s="569"/>
      <c r="AW15" s="529"/>
      <c r="AX15" s="521">
        <f t="shared" si="9"/>
        <v>-387</v>
      </c>
      <c r="AY15" s="522">
        <f t="shared" si="10"/>
        <v>-1</v>
      </c>
      <c r="BA15" s="523">
        <v>810</v>
      </c>
      <c r="BB15" s="524">
        <f>BC15/BA15</f>
        <v>214.81481481481481</v>
      </c>
      <c r="BC15" s="525">
        <v>174000</v>
      </c>
      <c r="BE15" s="523"/>
    </row>
    <row r="16" spans="1:57" x14ac:dyDescent="0.3">
      <c r="A16" s="526" t="s">
        <v>268</v>
      </c>
      <c r="B16" s="552">
        <v>172</v>
      </c>
      <c r="C16" s="515">
        <f>IF(B16=0,0,(D16/B16))+0.12</f>
        <v>240.86418604651163</v>
      </c>
      <c r="D16" s="565">
        <v>41408</v>
      </c>
      <c r="E16" s="566">
        <v>172</v>
      </c>
      <c r="F16" s="518">
        <f>IF(E16=0,0,(G16/E16))+0.41</f>
        <v>266.84604651162795</v>
      </c>
      <c r="G16" s="567">
        <v>45827</v>
      </c>
      <c r="H16" s="566"/>
      <c r="I16" s="518">
        <f t="shared" ref="I16:I19" si="11">IF(H16=0,0,(J16/H16))</f>
        <v>0</v>
      </c>
      <c r="J16" s="567"/>
      <c r="K16" s="566"/>
      <c r="L16" s="518">
        <f t="shared" ref="L16:L19" si="12">IF(K16=0,0,(M16/K16))</f>
        <v>0</v>
      </c>
      <c r="M16" s="567"/>
      <c r="N16" s="566"/>
      <c r="O16" s="518">
        <f t="shared" ref="O16:O19" si="13">IF(N16=0,0,(P16/N16))</f>
        <v>0</v>
      </c>
      <c r="P16" s="567"/>
      <c r="Q16" s="566"/>
      <c r="R16" s="518" t="e">
        <f t="shared" ref="R16:R17" si="14">S16/Q16</f>
        <v>#DIV/0!</v>
      </c>
      <c r="S16" s="567"/>
      <c r="T16" s="570"/>
      <c r="U16" s="518" t="e">
        <f>V16/T16</f>
        <v>#DIV/0!</v>
      </c>
      <c r="V16" s="571"/>
      <c r="W16" s="570"/>
      <c r="X16" s="518">
        <f t="shared" si="5"/>
        <v>0</v>
      </c>
      <c r="Y16" s="571"/>
      <c r="Z16" s="570"/>
      <c r="AA16" s="518">
        <f t="shared" si="6"/>
        <v>0</v>
      </c>
      <c r="AB16" s="571"/>
      <c r="AC16" s="570"/>
      <c r="AD16" s="518">
        <f>IF(AE16=0,0,(AE16/AC16))-0.11</f>
        <v>-0.11</v>
      </c>
      <c r="AE16" s="571"/>
      <c r="AF16" s="570"/>
      <c r="AG16" s="518">
        <f>IF(AH16=0,0,(AH16/AF16))-0.38</f>
        <v>-0.38</v>
      </c>
      <c r="AH16" s="571"/>
      <c r="AI16" s="570"/>
      <c r="AJ16" s="518">
        <v>178</v>
      </c>
      <c r="AK16" s="571"/>
      <c r="AL16" s="570"/>
      <c r="AM16" s="530">
        <v>241</v>
      </c>
      <c r="AN16" s="571"/>
      <c r="AO16" s="570"/>
      <c r="AP16" s="534"/>
      <c r="AQ16" s="572"/>
      <c r="AR16" s="568"/>
      <c r="AS16" s="573"/>
      <c r="AT16" s="574"/>
      <c r="AU16" s="568"/>
      <c r="AV16" s="573"/>
      <c r="AW16" s="574"/>
      <c r="AX16" s="521">
        <f t="shared" si="9"/>
        <v>-172</v>
      </c>
      <c r="AY16" s="522">
        <f t="shared" si="10"/>
        <v>-1</v>
      </c>
      <c r="BA16" s="523"/>
      <c r="BB16" s="524"/>
      <c r="BC16" s="525"/>
      <c r="BE16" s="523"/>
    </row>
    <row r="17" spans="1:57" x14ac:dyDescent="0.3">
      <c r="A17" s="526" t="s">
        <v>250</v>
      </c>
      <c r="B17" s="552">
        <v>446</v>
      </c>
      <c r="C17" s="515">
        <f>IF(B17=0,0,(D17/B17))+0.5</f>
        <v>229.1031390134529</v>
      </c>
      <c r="D17" s="565">
        <v>101957</v>
      </c>
      <c r="E17" s="566">
        <v>346</v>
      </c>
      <c r="F17" s="518">
        <f>IF(E17=0,0,(G17/E17))+0.5</f>
        <v>229.13294797687863</v>
      </c>
      <c r="G17" s="567">
        <v>79107</v>
      </c>
      <c r="H17" s="566"/>
      <c r="I17" s="518">
        <f t="shared" si="11"/>
        <v>0</v>
      </c>
      <c r="J17" s="567"/>
      <c r="K17" s="566"/>
      <c r="L17" s="518">
        <f t="shared" si="12"/>
        <v>0</v>
      </c>
      <c r="M17" s="567"/>
      <c r="N17" s="566"/>
      <c r="O17" s="518">
        <f t="shared" si="13"/>
        <v>0</v>
      </c>
      <c r="P17" s="567"/>
      <c r="Q17" s="566"/>
      <c r="R17" s="518" t="e">
        <f t="shared" si="14"/>
        <v>#DIV/0!</v>
      </c>
      <c r="S17" s="567"/>
      <c r="T17" s="570"/>
      <c r="U17" s="518" t="e">
        <f t="shared" ref="U17" si="15">V17/T17</f>
        <v>#DIV/0!</v>
      </c>
      <c r="V17" s="571"/>
      <c r="W17" s="570"/>
      <c r="X17" s="518">
        <f t="shared" si="5"/>
        <v>0</v>
      </c>
      <c r="Y17" s="571"/>
      <c r="Z17" s="570"/>
      <c r="AA17" s="518">
        <f t="shared" si="6"/>
        <v>0</v>
      </c>
      <c r="AB17" s="571"/>
      <c r="AC17" s="570"/>
      <c r="AD17" s="518">
        <f>IF(AE17=0,0,(AE17/AC17))+0.14</f>
        <v>0.14000000000000001</v>
      </c>
      <c r="AE17" s="571"/>
      <c r="AF17" s="570"/>
      <c r="AG17" s="518">
        <f>IF(AH17=0,0,(AH17/AF17))-0.17</f>
        <v>-0.17</v>
      </c>
      <c r="AH17" s="571"/>
      <c r="AI17" s="570"/>
      <c r="AJ17" s="530">
        <v>171</v>
      </c>
      <c r="AK17" s="571"/>
      <c r="AL17" s="570"/>
      <c r="AM17" s="518">
        <v>229</v>
      </c>
      <c r="AN17" s="571"/>
      <c r="AO17" s="570"/>
      <c r="AP17" s="530"/>
      <c r="AQ17" s="572"/>
      <c r="AR17" s="568"/>
      <c r="AS17" s="573"/>
      <c r="AT17" s="574"/>
      <c r="AU17" s="568"/>
      <c r="AV17" s="573"/>
      <c r="AW17" s="574"/>
      <c r="AX17" s="521">
        <f t="shared" si="9"/>
        <v>-446</v>
      </c>
      <c r="AY17" s="522">
        <f t="shared" si="10"/>
        <v>-1</v>
      </c>
      <c r="BA17" s="523"/>
      <c r="BB17" s="524"/>
      <c r="BC17" s="525"/>
      <c r="BE17" s="523"/>
    </row>
    <row r="18" spans="1:57" x14ac:dyDescent="0.3">
      <c r="A18" s="526" t="s">
        <v>269</v>
      </c>
      <c r="B18" s="552"/>
      <c r="C18" s="515"/>
      <c r="D18" s="565"/>
      <c r="E18" s="566"/>
      <c r="F18" s="518">
        <f t="shared" ref="F18:F21" si="16">IF(E18=0,0,(G18/E18))</f>
        <v>0</v>
      </c>
      <c r="G18" s="567"/>
      <c r="H18" s="566"/>
      <c r="I18" s="518">
        <f t="shared" si="11"/>
        <v>0</v>
      </c>
      <c r="J18" s="567"/>
      <c r="K18" s="566"/>
      <c r="L18" s="518">
        <f t="shared" si="12"/>
        <v>0</v>
      </c>
      <c r="M18" s="567"/>
      <c r="N18" s="566"/>
      <c r="O18" s="518">
        <f t="shared" si="13"/>
        <v>0</v>
      </c>
      <c r="P18" s="567"/>
      <c r="Q18" s="570"/>
      <c r="R18" s="530"/>
      <c r="S18" s="571"/>
      <c r="T18" s="570"/>
      <c r="U18" s="530"/>
      <c r="V18" s="571"/>
      <c r="W18" s="570"/>
      <c r="X18" s="518"/>
      <c r="Y18" s="571"/>
      <c r="Z18" s="570"/>
      <c r="AA18" s="518">
        <f t="shared" si="6"/>
        <v>0</v>
      </c>
      <c r="AB18" s="571"/>
      <c r="AC18" s="570"/>
      <c r="AD18" s="530"/>
      <c r="AE18" s="571"/>
      <c r="AF18" s="570"/>
      <c r="AG18" s="530"/>
      <c r="AH18" s="571"/>
      <c r="AI18" s="570"/>
      <c r="AJ18" s="518"/>
      <c r="AK18" s="571"/>
      <c r="AL18" s="570"/>
      <c r="AM18" s="530"/>
      <c r="AN18" s="571"/>
      <c r="AO18" s="570"/>
      <c r="AP18" s="530"/>
      <c r="AQ18" s="572"/>
      <c r="AR18" s="568"/>
      <c r="AS18" s="573"/>
      <c r="AT18" s="574"/>
      <c r="AU18" s="568"/>
      <c r="AV18" s="573"/>
      <c r="AW18" s="574"/>
      <c r="AX18" s="521"/>
      <c r="AY18" s="522"/>
      <c r="BA18" s="523"/>
      <c r="BB18" s="524"/>
      <c r="BC18" s="525"/>
      <c r="BE18" s="523"/>
    </row>
    <row r="19" spans="1:57" ht="17.25" thickBot="1" x14ac:dyDescent="0.35">
      <c r="A19" s="526" t="s">
        <v>270</v>
      </c>
      <c r="B19" s="552">
        <v>36</v>
      </c>
      <c r="C19" s="515">
        <f>IF(B19=0,0,(D19/B19))-0.01</f>
        <v>128.76777777777778</v>
      </c>
      <c r="D19" s="532">
        <v>4636</v>
      </c>
      <c r="E19" s="566">
        <v>36</v>
      </c>
      <c r="F19" s="518">
        <f>IF(E19=0,0,(G19/E19))-0.14</f>
        <v>186.55444444444447</v>
      </c>
      <c r="G19" s="567">
        <v>6721</v>
      </c>
      <c r="H19" s="566"/>
      <c r="I19" s="518">
        <f t="shared" si="11"/>
        <v>0</v>
      </c>
      <c r="J19" s="567"/>
      <c r="K19" s="566"/>
      <c r="L19" s="518">
        <f t="shared" si="12"/>
        <v>0</v>
      </c>
      <c r="M19" s="567"/>
      <c r="N19" s="566"/>
      <c r="O19" s="518">
        <f t="shared" si="13"/>
        <v>0</v>
      </c>
      <c r="P19" s="567"/>
      <c r="Q19" s="575"/>
      <c r="R19" s="576">
        <f>IF(S19=0,0,(S19/Q19))</f>
        <v>0</v>
      </c>
      <c r="S19" s="567"/>
      <c r="T19" s="575"/>
      <c r="U19" s="577">
        <f>IF(V19=0,0,(V19/T19))</f>
        <v>0</v>
      </c>
      <c r="V19" s="578"/>
      <c r="W19" s="575"/>
      <c r="X19" s="577">
        <f>IF(Y19=0,0,(Y19/W19))</f>
        <v>0</v>
      </c>
      <c r="Y19" s="578"/>
      <c r="Z19" s="575"/>
      <c r="AA19" s="518">
        <f t="shared" si="6"/>
        <v>0</v>
      </c>
      <c r="AB19" s="578"/>
      <c r="AC19" s="575"/>
      <c r="AD19" s="577">
        <f>IF(AE19=0,0,(AE19/AC19))-0.3</f>
        <v>-0.3</v>
      </c>
      <c r="AE19" s="578"/>
      <c r="AF19" s="575"/>
      <c r="AG19" s="577">
        <f>IF(AH19=0,0,(AH19/AF19))-0.3</f>
        <v>-0.3</v>
      </c>
      <c r="AH19" s="578"/>
      <c r="AI19" s="575"/>
      <c r="AJ19" s="577">
        <v>127</v>
      </c>
      <c r="AK19" s="578"/>
      <c r="AL19" s="575"/>
      <c r="AM19" s="577">
        <f>IF(AN19=0,0,(AN19/AL19))</f>
        <v>0</v>
      </c>
      <c r="AN19" s="578"/>
      <c r="AO19" s="575"/>
      <c r="AP19" s="577">
        <f>IF(AQ19=0,0,(AQ19/AO19))</f>
        <v>0</v>
      </c>
      <c r="AQ19" s="579"/>
      <c r="AR19" s="517"/>
      <c r="AS19" s="580"/>
      <c r="AT19" s="581"/>
      <c r="AU19" s="517"/>
      <c r="AV19" s="580"/>
      <c r="AW19" s="581"/>
      <c r="AX19" s="524"/>
      <c r="AY19" s="524"/>
      <c r="BE19" s="523"/>
    </row>
    <row r="20" spans="1:57" ht="17.25" thickBot="1" x14ac:dyDescent="0.35">
      <c r="A20" s="510" t="s">
        <v>0</v>
      </c>
      <c r="B20" s="537">
        <f>SUM(B14:B19)</f>
        <v>201851</v>
      </c>
      <c r="C20" s="538">
        <f>D20/B20</f>
        <v>237.91732515568415</v>
      </c>
      <c r="D20" s="539">
        <f>SUM(D14:D19)-1</f>
        <v>48023850</v>
      </c>
      <c r="E20" s="540">
        <f>SUM(E14:E19)</f>
        <v>217828</v>
      </c>
      <c r="F20" s="538">
        <f>G20/E20</f>
        <v>249.95134693427843</v>
      </c>
      <c r="G20" s="542">
        <f>SUM(G14:G19)</f>
        <v>54446402</v>
      </c>
      <c r="H20" s="540">
        <f>SUM(H14:H19)</f>
        <v>0</v>
      </c>
      <c r="I20" s="553"/>
      <c r="J20" s="542">
        <f>SUM(J14:J19)</f>
        <v>0</v>
      </c>
      <c r="K20" s="540">
        <f>SUM(K14:K19)</f>
        <v>0</v>
      </c>
      <c r="L20" s="553"/>
      <c r="M20" s="542">
        <f>SUM(M14:M19)</f>
        <v>0</v>
      </c>
      <c r="N20" s="540">
        <f>SUM(N14:N19)</f>
        <v>0</v>
      </c>
      <c r="O20" s="553"/>
      <c r="P20" s="542">
        <f>SUM(P14:P19)</f>
        <v>0</v>
      </c>
      <c r="Q20" s="582">
        <f>SUM(Q14:Q19)</f>
        <v>0</v>
      </c>
      <c r="R20" s="583" t="e">
        <f>S20/Q20</f>
        <v>#DIV/0!</v>
      </c>
      <c r="S20" s="584">
        <f>SUM(S14:S19)</f>
        <v>0</v>
      </c>
      <c r="T20" s="540">
        <f>SUM(T14:T19)</f>
        <v>0</v>
      </c>
      <c r="U20" s="553"/>
      <c r="V20" s="542">
        <f>SUM(V14:V19)</f>
        <v>0</v>
      </c>
      <c r="W20" s="540">
        <f>SUM(W14:W19)</f>
        <v>0</v>
      </c>
      <c r="X20" s="553"/>
      <c r="Y20" s="542">
        <f>SUM(Y14:Y19)</f>
        <v>0</v>
      </c>
      <c r="Z20" s="540">
        <f>SUM(Z14:Z19)</f>
        <v>0</v>
      </c>
      <c r="AA20" s="553"/>
      <c r="AB20" s="542">
        <f>SUM(AB14:AB19)</f>
        <v>0</v>
      </c>
      <c r="AC20" s="540">
        <f>SUM(AC14:AC19)</f>
        <v>0</v>
      </c>
      <c r="AD20" s="553"/>
      <c r="AE20" s="542">
        <f>SUM(AE14:AE19)</f>
        <v>0</v>
      </c>
      <c r="AF20" s="540">
        <f>SUM(AF14:AF19)</f>
        <v>0</v>
      </c>
      <c r="AG20" s="553"/>
      <c r="AH20" s="542">
        <f>SUM(AH14:AH19)</f>
        <v>0</v>
      </c>
      <c r="AI20" s="540">
        <f>SUM(AI14:AI19)</f>
        <v>0</v>
      </c>
      <c r="AJ20" s="553"/>
      <c r="AK20" s="542">
        <f>SUM(AK14:AK19)</f>
        <v>0</v>
      </c>
      <c r="AL20" s="540">
        <f>SUM(AL14:AL19)</f>
        <v>0</v>
      </c>
      <c r="AM20" s="553"/>
      <c r="AN20" s="542">
        <f>SUM(AN14:AN19)+0.3</f>
        <v>0.3</v>
      </c>
      <c r="AO20" s="540">
        <f>SUM(AO14:AO19)</f>
        <v>0</v>
      </c>
      <c r="AP20" s="553" t="e">
        <f>AQ20/AO20</f>
        <v>#DIV/0!</v>
      </c>
      <c r="AQ20" s="542">
        <f>SUM(AQ14:AQ19)</f>
        <v>0</v>
      </c>
      <c r="AR20" s="540">
        <f>SUM(AR14:AR19)</f>
        <v>0</v>
      </c>
      <c r="AS20" s="553"/>
      <c r="AT20" s="542">
        <f>SUM(AT14:AT19)</f>
        <v>0</v>
      </c>
      <c r="AU20" s="540">
        <f>SUM(AU14:AU19)</f>
        <v>0</v>
      </c>
      <c r="AV20" s="553"/>
      <c r="AW20" s="542">
        <f>SUM(AW14:AW19)</f>
        <v>0</v>
      </c>
      <c r="AX20" s="543">
        <f t="shared" ref="AX20" si="17">Z20-B20</f>
        <v>-201851</v>
      </c>
      <c r="AY20" s="544">
        <f t="shared" ref="AY20" si="18">AX20/B20</f>
        <v>-1</v>
      </c>
      <c r="BA20" s="545">
        <f>SUM(BA14:BA15)</f>
        <v>290160</v>
      </c>
      <c r="BB20" s="546">
        <f>BC20/BA20</f>
        <v>227.96319272125723</v>
      </c>
      <c r="BC20" s="547">
        <f>SUM(BC14:BC15)</f>
        <v>66145800</v>
      </c>
      <c r="BE20" s="523"/>
    </row>
    <row r="21" spans="1:57" x14ac:dyDescent="0.3">
      <c r="A21" s="513" t="s">
        <v>271</v>
      </c>
      <c r="B21" s="585">
        <f>SUM(B15:B19)</f>
        <v>1041</v>
      </c>
      <c r="C21" s="515">
        <f>IF(B21=0,0,(D21/B21))</f>
        <v>221.96926032660903</v>
      </c>
      <c r="D21" s="586">
        <f>SUM(D15:D19)-1</f>
        <v>231070</v>
      </c>
      <c r="E21" s="587">
        <f>SUM(E15:E19)</f>
        <v>941</v>
      </c>
      <c r="F21" s="518">
        <f t="shared" si="16"/>
        <v>238.7375132837407</v>
      </c>
      <c r="G21" s="588">
        <f>SUM(G15:G19)</f>
        <v>224652</v>
      </c>
      <c r="H21" s="587">
        <f>SUM(H15:H19)</f>
        <v>0</v>
      </c>
      <c r="I21" s="518">
        <f t="shared" ref="I21" si="19">IF(H21=0,0,(J21/H21))</f>
        <v>0</v>
      </c>
      <c r="J21" s="588">
        <f>SUM(J15:J19)</f>
        <v>0</v>
      </c>
      <c r="K21" s="587">
        <f>SUM(K15:K19)</f>
        <v>0</v>
      </c>
      <c r="L21" s="518">
        <f t="shared" ref="L21" si="20">IF(K21=0,0,(M21/K21))</f>
        <v>0</v>
      </c>
      <c r="M21" s="588">
        <f>SUM(M15:M19)</f>
        <v>0</v>
      </c>
      <c r="N21" s="587">
        <f>SUM(N15:N19)</f>
        <v>0</v>
      </c>
      <c r="O21" s="518">
        <f t="shared" ref="O21" si="21">IF(N21=0,0,(P21/N21))</f>
        <v>0</v>
      </c>
      <c r="P21" s="588">
        <f>SUM(P15:P19)</f>
        <v>0</v>
      </c>
      <c r="Q21" s="587">
        <f>SUM(Q15:Q19)</f>
        <v>0</v>
      </c>
      <c r="R21" s="518">
        <f t="shared" ref="R21" si="22">IF(Q21=0,0,(S21/Q21))</f>
        <v>0</v>
      </c>
      <c r="S21" s="588">
        <f>SUM(S15:S19)</f>
        <v>0</v>
      </c>
      <c r="T21" s="587">
        <f>SUM(T15:T19)</f>
        <v>0</v>
      </c>
      <c r="U21" s="518">
        <f t="shared" ref="U21" si="23">IF(T21=0,0,(V21/T21))</f>
        <v>0</v>
      </c>
      <c r="V21" s="588">
        <f>SUM(V15:V19)</f>
        <v>0</v>
      </c>
      <c r="W21" s="587">
        <f>SUM(W15:W19)</f>
        <v>0</v>
      </c>
      <c r="X21" s="518">
        <f t="shared" ref="X21" si="24">IF(W21=0,0,(Y21/W21))</f>
        <v>0</v>
      </c>
      <c r="Y21" s="588">
        <f>SUM(Y15:Y19)</f>
        <v>0</v>
      </c>
      <c r="Z21" s="587">
        <f>SUM(Z15:Z19)</f>
        <v>0</v>
      </c>
      <c r="AA21" s="518">
        <f t="shared" ref="AA21" si="25">IF(Z21=0,0,(AB21/Z21))</f>
        <v>0</v>
      </c>
      <c r="AB21" s="589">
        <f>SUM(AB15:AB19)</f>
        <v>0</v>
      </c>
      <c r="AC21" s="587">
        <f>SUM(AC15:AC19)</f>
        <v>0</v>
      </c>
      <c r="AD21" s="518">
        <f>IF(AC21=0,0,(AE21/AC21))-0.02</f>
        <v>-0.02</v>
      </c>
      <c r="AE21" s="589">
        <f>SUM(AE15:AE19)</f>
        <v>0</v>
      </c>
      <c r="AF21" s="587">
        <f>SUM(AF15:AF19)</f>
        <v>0</v>
      </c>
      <c r="AG21" s="518">
        <f>IF(AF21=0,0,(AH21/AF21))+0.22</f>
        <v>0.22</v>
      </c>
      <c r="AH21" s="589">
        <f>SUM(AH15:AH19)</f>
        <v>0</v>
      </c>
      <c r="AI21" s="587">
        <f>SUM(AI15:AI19)</f>
        <v>0</v>
      </c>
      <c r="AJ21" s="518">
        <v>185</v>
      </c>
      <c r="AK21" s="589"/>
      <c r="AL21" s="587">
        <f>SUM(AL15:AL19)</f>
        <v>0</v>
      </c>
      <c r="AM21" s="518">
        <f>IF(AL21=0,0,(AN21/AL21))+0.16</f>
        <v>0.16</v>
      </c>
      <c r="AN21" s="589">
        <f>SUM(AN15:AN19)</f>
        <v>0</v>
      </c>
      <c r="AO21" s="587"/>
      <c r="AP21" s="518" t="s">
        <v>272</v>
      </c>
      <c r="AQ21" s="590"/>
      <c r="AR21" s="517"/>
      <c r="AS21" s="518"/>
      <c r="AT21" s="588"/>
      <c r="AU21" s="517"/>
      <c r="AV21" s="518"/>
      <c r="AW21" s="588"/>
      <c r="AX21" s="591"/>
      <c r="AY21" s="591"/>
      <c r="BA21" s="523"/>
      <c r="BE21" s="523"/>
    </row>
    <row r="22" spans="1:57" x14ac:dyDescent="0.3">
      <c r="A22" s="526" t="s">
        <v>273</v>
      </c>
      <c r="B22" s="592"/>
      <c r="C22" s="593"/>
      <c r="D22" s="594"/>
      <c r="E22" s="528"/>
      <c r="F22" s="530"/>
      <c r="G22" s="529"/>
      <c r="H22" s="528"/>
      <c r="I22" s="530"/>
      <c r="J22" s="529"/>
      <c r="K22" s="528"/>
      <c r="L22" s="530"/>
      <c r="M22" s="529"/>
      <c r="N22" s="528"/>
      <c r="O22" s="530"/>
      <c r="P22" s="529"/>
      <c r="Q22" s="528"/>
      <c r="R22" s="530"/>
      <c r="S22" s="529"/>
      <c r="T22" s="528"/>
      <c r="U22" s="530"/>
      <c r="V22" s="529"/>
      <c r="W22" s="528"/>
      <c r="X22" s="530"/>
      <c r="Y22" s="529"/>
      <c r="Z22" s="528"/>
      <c r="AA22" s="530"/>
      <c r="AB22" s="529"/>
      <c r="AC22" s="528"/>
      <c r="AD22" s="530"/>
      <c r="AE22" s="529"/>
      <c r="AF22" s="528"/>
      <c r="AG22" s="530"/>
      <c r="AH22" s="529"/>
      <c r="AI22" s="528"/>
      <c r="AJ22" s="530"/>
      <c r="AK22" s="529"/>
      <c r="AL22" s="528"/>
      <c r="AM22" s="530"/>
      <c r="AN22" s="529"/>
      <c r="AO22" s="528"/>
      <c r="AP22" s="530" t="s">
        <v>274</v>
      </c>
      <c r="AQ22" s="595"/>
      <c r="AR22" s="517">
        <f>'[1] Qty Analysis'!BE44</f>
        <v>0</v>
      </c>
      <c r="AS22" s="530"/>
      <c r="AT22" s="529"/>
      <c r="AU22" s="517">
        <f>'[1] Qty Analysis'!BH44</f>
        <v>0</v>
      </c>
      <c r="AV22" s="530"/>
      <c r="AW22" s="529"/>
      <c r="AX22" s="524"/>
      <c r="AY22" s="524"/>
      <c r="BA22" s="523"/>
      <c r="BE22" s="523"/>
    </row>
    <row r="23" spans="1:57" ht="17.25" thickBot="1" x14ac:dyDescent="0.35">
      <c r="A23" s="596" t="s">
        <v>275</v>
      </c>
      <c r="B23" s="597"/>
      <c r="C23" s="598"/>
      <c r="D23" s="599"/>
      <c r="E23" s="600"/>
      <c r="F23" s="601"/>
      <c r="G23" s="602">
        <f>ROUND((E23*F23),0)</f>
        <v>0</v>
      </c>
      <c r="H23" s="600"/>
      <c r="I23" s="601"/>
      <c r="J23" s="602">
        <f>ROUND((H23*I23),0)</f>
        <v>0</v>
      </c>
      <c r="K23" s="600"/>
      <c r="L23" s="601"/>
      <c r="M23" s="602">
        <f>ROUND((K23*L23),0)</f>
        <v>0</v>
      </c>
      <c r="N23" s="600"/>
      <c r="O23" s="601"/>
      <c r="P23" s="602">
        <f>ROUND((N23*O23),0)</f>
        <v>0</v>
      </c>
      <c r="Q23" s="600"/>
      <c r="R23" s="601"/>
      <c r="S23" s="602">
        <f>ROUND((Q23*R23),0)</f>
        <v>0</v>
      </c>
      <c r="T23" s="600"/>
      <c r="U23" s="601"/>
      <c r="V23" s="602">
        <f>ROUND((T23*U23),0)</f>
        <v>0</v>
      </c>
      <c r="W23" s="600"/>
      <c r="X23" s="601"/>
      <c r="Y23" s="602">
        <f>ROUND((W23*X23),0)</f>
        <v>0</v>
      </c>
      <c r="Z23" s="600"/>
      <c r="AA23" s="601"/>
      <c r="AB23" s="602">
        <f>ROUND((Z23*AA23),0)</f>
        <v>0</v>
      </c>
      <c r="AC23" s="600"/>
      <c r="AD23" s="601"/>
      <c r="AE23" s="602">
        <f>ROUND((AC23*AD23),0)</f>
        <v>0</v>
      </c>
      <c r="AF23" s="600"/>
      <c r="AG23" s="601"/>
      <c r="AH23" s="602">
        <f>ROUND((AF23*AG23),0)</f>
        <v>0</v>
      </c>
      <c r="AI23" s="600"/>
      <c r="AJ23" s="601"/>
      <c r="AK23" s="602">
        <f>ROUND((AI23*AJ23),0)</f>
        <v>0</v>
      </c>
      <c r="AL23" s="600"/>
      <c r="AM23" s="601"/>
      <c r="AN23" s="602">
        <f>ROUND((AL23*AM23),0)</f>
        <v>0</v>
      </c>
      <c r="AO23" s="600"/>
      <c r="AP23" s="601"/>
      <c r="AQ23" s="602"/>
      <c r="AR23" s="600">
        <f>'[1] Qty Analysis'!BE132</f>
        <v>0</v>
      </c>
      <c r="AS23" s="601"/>
      <c r="AT23" s="602"/>
      <c r="AU23" s="600">
        <f>'[1] Qty Analysis'!BH132</f>
        <v>0</v>
      </c>
      <c r="AV23" s="601"/>
      <c r="AW23" s="602"/>
      <c r="AX23" s="524"/>
      <c r="AY23" s="524"/>
      <c r="BA23" s="523"/>
      <c r="BE23" s="523"/>
    </row>
    <row r="24" spans="1:57" ht="18" thickTop="1" thickBot="1" x14ac:dyDescent="0.35">
      <c r="A24" s="603" t="s">
        <v>0</v>
      </c>
      <c r="B24" s="604"/>
      <c r="C24" s="605"/>
      <c r="D24" s="606"/>
      <c r="E24" s="607"/>
      <c r="F24" s="534"/>
      <c r="G24" s="608"/>
      <c r="H24" s="607"/>
      <c r="I24" s="534"/>
      <c r="J24" s="608"/>
      <c r="K24" s="607"/>
      <c r="L24" s="534"/>
      <c r="M24" s="608"/>
      <c r="N24" s="607"/>
      <c r="O24" s="534"/>
      <c r="P24" s="608"/>
      <c r="Q24" s="607"/>
      <c r="R24" s="534"/>
      <c r="S24" s="608"/>
      <c r="T24" s="607"/>
      <c r="U24" s="534"/>
      <c r="V24" s="608"/>
      <c r="W24" s="607"/>
      <c r="X24" s="534"/>
      <c r="Y24" s="608"/>
      <c r="Z24" s="607"/>
      <c r="AA24" s="534"/>
      <c r="AB24" s="608"/>
      <c r="AC24" s="607"/>
      <c r="AD24" s="534"/>
      <c r="AE24" s="608"/>
      <c r="AF24" s="607"/>
      <c r="AG24" s="534"/>
      <c r="AH24" s="608"/>
      <c r="AI24" s="607"/>
      <c r="AJ24" s="534"/>
      <c r="AK24" s="608"/>
      <c r="AL24" s="607"/>
      <c r="AM24" s="534"/>
      <c r="AN24" s="608"/>
      <c r="AO24" s="607"/>
      <c r="AP24" s="534"/>
      <c r="AQ24" s="608"/>
      <c r="AR24" s="607"/>
      <c r="AS24" s="534"/>
      <c r="AT24" s="608"/>
      <c r="AU24" s="607"/>
      <c r="AV24" s="534"/>
      <c r="AW24" s="608"/>
      <c r="AX24" s="524"/>
      <c r="AY24" s="524"/>
      <c r="BA24" s="523"/>
      <c r="BE24" s="523"/>
    </row>
    <row r="25" spans="1:57" ht="17.25" thickBot="1" x14ac:dyDescent="0.35">
      <c r="A25" s="510" t="s">
        <v>18</v>
      </c>
      <c r="B25" s="609">
        <f>B20+B12+B8</f>
        <v>447507</v>
      </c>
      <c r="C25" s="610">
        <f>D25/B25</f>
        <v>185.1599773858286</v>
      </c>
      <c r="D25" s="611">
        <f>D20+D12+D8</f>
        <v>82860386</v>
      </c>
      <c r="E25" s="612">
        <f>E20+E12+E8</f>
        <v>372933</v>
      </c>
      <c r="F25" s="613">
        <f>IF(E25=0,0,G25/E25)</f>
        <v>212.7778314067138</v>
      </c>
      <c r="G25" s="614">
        <f>G20+G12+G8</f>
        <v>79351875</v>
      </c>
      <c r="H25" s="582">
        <f>H20+H12+H8</f>
        <v>0</v>
      </c>
      <c r="I25" s="541">
        <f>IF(H25=0,0,J25/H25)</f>
        <v>0</v>
      </c>
      <c r="J25" s="584">
        <f>J20+J12+J8</f>
        <v>0</v>
      </c>
      <c r="K25" s="582">
        <f>K20+K12+K8</f>
        <v>0</v>
      </c>
      <c r="L25" s="541">
        <f>IF(K25=0,0,M25/K25)</f>
        <v>0</v>
      </c>
      <c r="M25" s="584">
        <f>M20+M12+M8</f>
        <v>0</v>
      </c>
      <c r="N25" s="582">
        <f>N20+N12+N8</f>
        <v>0</v>
      </c>
      <c r="O25" s="541">
        <f>IF(N25=0,0,P25/N25)</f>
        <v>0</v>
      </c>
      <c r="P25" s="584">
        <f>P20+P12+P8</f>
        <v>0</v>
      </c>
      <c r="Q25" s="582">
        <f>Q20+Q12+Q8</f>
        <v>0</v>
      </c>
      <c r="R25" s="541">
        <f>IF(Q25=0,0,S25/Q25)</f>
        <v>0</v>
      </c>
      <c r="S25" s="584">
        <f>S20+S12+S8</f>
        <v>0</v>
      </c>
      <c r="T25" s="582">
        <f>T20+T12+T8</f>
        <v>0</v>
      </c>
      <c r="U25" s="541">
        <f>IF(T25=0,0,V25/T25)</f>
        <v>0</v>
      </c>
      <c r="V25" s="584">
        <f>V20+V12+V8</f>
        <v>0</v>
      </c>
      <c r="W25" s="582">
        <f>W20+W12+W8</f>
        <v>0</v>
      </c>
      <c r="X25" s="541">
        <f>IF(W25=0,0,Y25/W25)</f>
        <v>0</v>
      </c>
      <c r="Y25" s="584">
        <f>Y20+Y12+Y8</f>
        <v>0</v>
      </c>
      <c r="Z25" s="582">
        <f>Z20+Z12+Z8</f>
        <v>0</v>
      </c>
      <c r="AA25" s="541">
        <f>IF(Z25=0,0,AB25/Z25)</f>
        <v>0</v>
      </c>
      <c r="AB25" s="584">
        <f>AB20+AB12+AB8</f>
        <v>0</v>
      </c>
      <c r="AC25" s="582">
        <f>AC20+AC12+AC8</f>
        <v>0</v>
      </c>
      <c r="AD25" s="541">
        <f>IF(AC25=0,0,AE25/AC25)</f>
        <v>0</v>
      </c>
      <c r="AE25" s="584">
        <f>AE20+AE12+AE8</f>
        <v>0</v>
      </c>
      <c r="AF25" s="582">
        <f>AF20+AF12+AF8</f>
        <v>0</v>
      </c>
      <c r="AG25" s="541">
        <f>IF(AF25=0,0,AH25/AF25)</f>
        <v>0</v>
      </c>
      <c r="AH25" s="584">
        <f>AH20+AH12+AH8</f>
        <v>0</v>
      </c>
      <c r="AI25" s="582">
        <f>AI20+AI12+AI8</f>
        <v>0</v>
      </c>
      <c r="AJ25" s="541">
        <f>IF(AI25=0,0,AK25/AI25)</f>
        <v>0</v>
      </c>
      <c r="AK25" s="584">
        <f>AK20+AK12+AK8</f>
        <v>0</v>
      </c>
      <c r="AL25" s="582">
        <f>AL20+AL12+AL8</f>
        <v>0</v>
      </c>
      <c r="AM25" s="541">
        <f>IF(AL25=0,0,AN25/AL25)</f>
        <v>0</v>
      </c>
      <c r="AN25" s="584">
        <f>AN20+AN12+AN8</f>
        <v>0.3</v>
      </c>
      <c r="AO25" s="582">
        <f>AO20+AO12+AO8</f>
        <v>0</v>
      </c>
      <c r="AP25" s="541">
        <f>IF(AO25=0,0,AQ25/AO25)</f>
        <v>0</v>
      </c>
      <c r="AQ25" s="614">
        <f>AQ8+AQ12+AQ20</f>
        <v>0</v>
      </c>
      <c r="AR25" s="540">
        <f>AR20+AR12+AR8</f>
        <v>0</v>
      </c>
      <c r="AS25" s="553"/>
      <c r="AT25" s="542">
        <f>AT20+AT12+AT8</f>
        <v>0</v>
      </c>
      <c r="AU25" s="540">
        <f>AU20+AU12+AU8</f>
        <v>0</v>
      </c>
      <c r="AV25" s="553"/>
      <c r="AW25" s="542">
        <f>AW20+AW12+AW8</f>
        <v>0</v>
      </c>
      <c r="AX25" s="543">
        <f t="shared" ref="AX25" si="26">Z25-B25</f>
        <v>-447507</v>
      </c>
      <c r="AY25" s="544">
        <f t="shared" ref="AY25" si="27">AX25/B25</f>
        <v>-1</v>
      </c>
      <c r="BA25" s="545">
        <f>BA20+BA12+BA8</f>
        <v>548692</v>
      </c>
      <c r="BB25" s="546">
        <f>IF(BA25=0,0,BC25/BA25)</f>
        <v>179.08405079716854</v>
      </c>
      <c r="BC25" s="615">
        <f>BC20+BC12+BC8</f>
        <v>98261986</v>
      </c>
      <c r="BE25" s="523"/>
    </row>
    <row r="26" spans="1:57" ht="17.25" thickBot="1" x14ac:dyDescent="0.35">
      <c r="A26" s="616" t="s">
        <v>276</v>
      </c>
      <c r="B26" s="617">
        <f>B25-B8</f>
        <v>304018</v>
      </c>
      <c r="C26" s="538">
        <f>D26/B26</f>
        <v>214.08514956351269</v>
      </c>
      <c r="D26" s="618">
        <f>D25-D8</f>
        <v>65085739</v>
      </c>
      <c r="E26" s="582">
        <f>E25-E8</f>
        <v>294825</v>
      </c>
      <c r="F26" s="577">
        <f>IF(E26=0,0,G26/E26)</f>
        <v>232.20505723734419</v>
      </c>
      <c r="G26" s="584">
        <f>G25-G8</f>
        <v>68459856</v>
      </c>
      <c r="H26" s="582">
        <f>H25-H8</f>
        <v>0</v>
      </c>
      <c r="I26" s="577">
        <f>IF(H26=0,0,J26/H26)</f>
        <v>0</v>
      </c>
      <c r="J26" s="584">
        <f>J25-J8</f>
        <v>0</v>
      </c>
      <c r="K26" s="582">
        <f>K25-K8</f>
        <v>0</v>
      </c>
      <c r="L26" s="577">
        <f>IF(K26=0,0,M26/K26)</f>
        <v>0</v>
      </c>
      <c r="M26" s="584">
        <f>M25-M8</f>
        <v>0</v>
      </c>
      <c r="N26" s="582">
        <f>N25-N8</f>
        <v>0</v>
      </c>
      <c r="O26" s="577">
        <f>IF(N26=0,0,P26/N26)</f>
        <v>0</v>
      </c>
      <c r="P26" s="584">
        <f>P25-P8</f>
        <v>0</v>
      </c>
      <c r="Q26" s="582">
        <f>Q25-Q8</f>
        <v>0</v>
      </c>
      <c r="R26" s="577">
        <f>IF(Q26=0,0,S26/Q26)</f>
        <v>0</v>
      </c>
      <c r="S26" s="584">
        <f>S25-S8</f>
        <v>0</v>
      </c>
      <c r="T26" s="582">
        <f>T25-T8</f>
        <v>0</v>
      </c>
      <c r="U26" s="577">
        <f>IF(T26=0,0,V26/T26)</f>
        <v>0</v>
      </c>
      <c r="V26" s="584">
        <f>V25-V8</f>
        <v>0</v>
      </c>
      <c r="W26" s="582">
        <f>W25-W8</f>
        <v>0</v>
      </c>
      <c r="X26" s="577">
        <f>IF(W26=0,0,Y26/W26)</f>
        <v>0</v>
      </c>
      <c r="Y26" s="584">
        <f>Y25-Y8</f>
        <v>0</v>
      </c>
      <c r="Z26" s="582">
        <f>Z25-Z8</f>
        <v>0</v>
      </c>
      <c r="AA26" s="577">
        <f>IF(Z26=0,0,AB26/Z26)</f>
        <v>0</v>
      </c>
      <c r="AB26" s="584">
        <f>AB25-AB8</f>
        <v>0</v>
      </c>
      <c r="AC26" s="582">
        <f>AC25-AC8</f>
        <v>0</v>
      </c>
      <c r="AD26" s="577">
        <f>IF(AC26=0,0,AE26/AC26)</f>
        <v>0</v>
      </c>
      <c r="AE26" s="584">
        <f>AE25-AE8</f>
        <v>0</v>
      </c>
      <c r="AF26" s="582">
        <f>AF25-AF8</f>
        <v>0</v>
      </c>
      <c r="AG26" s="577">
        <f>IF(AF26=0,0,AH26/AF26)</f>
        <v>0</v>
      </c>
      <c r="AH26" s="584">
        <f>AH25-AH8</f>
        <v>0</v>
      </c>
      <c r="AI26" s="582">
        <f>AI25-AI8</f>
        <v>0</v>
      </c>
      <c r="AJ26" s="577">
        <f>IF(AI26=0,0,AK26/AI26)</f>
        <v>0</v>
      </c>
      <c r="AK26" s="584">
        <f>AK25-AK8</f>
        <v>0</v>
      </c>
      <c r="AL26" s="582">
        <f>AL25-AL8</f>
        <v>0</v>
      </c>
      <c r="AM26" s="577">
        <f>IF(AL26=0,0,AN26/AL26)</f>
        <v>0</v>
      </c>
      <c r="AN26" s="584">
        <f>AN25-AN8</f>
        <v>0.3</v>
      </c>
      <c r="AO26" s="582"/>
      <c r="AP26" s="619">
        <v>0.25</v>
      </c>
      <c r="AQ26" s="584">
        <f>ROUND(((AQ25+AQ21+AQ22)*25%),0)</f>
        <v>0</v>
      </c>
      <c r="AR26" s="523">
        <f>AR25-AR8</f>
        <v>0</v>
      </c>
      <c r="AS26" s="524" t="e">
        <f>AT26/AR26</f>
        <v>#DIV/0!</v>
      </c>
      <c r="AT26" s="524">
        <f>AT25-AT8</f>
        <v>0</v>
      </c>
      <c r="AU26" s="523">
        <f>AU25-AU8</f>
        <v>0</v>
      </c>
      <c r="AV26" s="524" t="e">
        <f>AW26/AU26</f>
        <v>#DIV/0!</v>
      </c>
      <c r="AW26" s="524">
        <f>AW25-AW8</f>
        <v>0</v>
      </c>
      <c r="AX26" s="524"/>
      <c r="AY26" s="524"/>
      <c r="BA26" s="620">
        <f>BA25-BA8</f>
        <v>380932</v>
      </c>
      <c r="BB26" s="606"/>
      <c r="BC26" s="621">
        <f>BC25-BC8</f>
        <v>80941636</v>
      </c>
      <c r="BE26" s="523"/>
    </row>
    <row r="27" spans="1:57" ht="18" x14ac:dyDescent="0.35">
      <c r="A27" s="622" t="s">
        <v>277</v>
      </c>
      <c r="B27" s="623"/>
      <c r="C27" s="624"/>
      <c r="D27" s="624"/>
      <c r="E27" s="625">
        <f>B26-E26</f>
        <v>9193</v>
      </c>
      <c r="F27" s="626"/>
      <c r="G27" s="626">
        <f>D26-G26</f>
        <v>-3374117</v>
      </c>
      <c r="H27" s="625">
        <f>E26-H26</f>
        <v>294825</v>
      </c>
      <c r="I27" s="627"/>
      <c r="J27" s="626">
        <f>G26-J26</f>
        <v>68459856</v>
      </c>
      <c r="K27" s="625">
        <f>H26-K26</f>
        <v>0</v>
      </c>
      <c r="L27" s="626"/>
      <c r="M27" s="626">
        <f>J26-M26</f>
        <v>0</v>
      </c>
      <c r="N27" s="625">
        <f>K26-N26</f>
        <v>0</v>
      </c>
      <c r="O27" s="626" t="e">
        <f>P27/N27</f>
        <v>#DIV/0!</v>
      </c>
      <c r="P27" s="626">
        <f>M26-P26</f>
        <v>0</v>
      </c>
      <c r="Q27" s="625">
        <f>N26-Q26</f>
        <v>0</v>
      </c>
      <c r="R27" s="626" t="e">
        <f>S27/Q27</f>
        <v>#DIV/0!</v>
      </c>
      <c r="S27" s="626">
        <f>P26-S26</f>
        <v>0</v>
      </c>
      <c r="T27" s="625">
        <f>Q26-T26</f>
        <v>0</v>
      </c>
      <c r="U27" s="626" t="e">
        <f>V27/T27</f>
        <v>#DIV/0!</v>
      </c>
      <c r="V27" s="626">
        <f>S26-V26</f>
        <v>0</v>
      </c>
      <c r="W27" s="625">
        <f>T26-W26</f>
        <v>0</v>
      </c>
      <c r="X27" s="627" t="e">
        <f>Y27/W27</f>
        <v>#DIV/0!</v>
      </c>
      <c r="Y27" s="626">
        <f>V26-Y26</f>
        <v>0</v>
      </c>
      <c r="Z27" s="625">
        <f>W26-Z26</f>
        <v>0</v>
      </c>
      <c r="AA27" s="626" t="e">
        <f>AB27/Z27</f>
        <v>#DIV/0!</v>
      </c>
      <c r="AB27" s="626">
        <f>Y26-AB26</f>
        <v>0</v>
      </c>
      <c r="AC27" s="625">
        <f>Z26-AC26</f>
        <v>0</v>
      </c>
      <c r="AD27" s="626" t="e">
        <f>AE27/AC27</f>
        <v>#DIV/0!</v>
      </c>
      <c r="AE27" s="626">
        <f>AB26-AE26</f>
        <v>0</v>
      </c>
      <c r="AF27" s="625">
        <f>AC26-AF26</f>
        <v>0</v>
      </c>
      <c r="AG27" s="626" t="e">
        <f>AH27/AF27</f>
        <v>#DIV/0!</v>
      </c>
      <c r="AH27" s="626">
        <f>AE26-AH26</f>
        <v>0</v>
      </c>
      <c r="AI27" s="628">
        <f>AF26-AI26</f>
        <v>0</v>
      </c>
      <c r="AJ27" s="626" t="e">
        <f>AK27/AI27</f>
        <v>#DIV/0!</v>
      </c>
      <c r="AK27" s="626">
        <f>AH26-AK26</f>
        <v>0</v>
      </c>
      <c r="AL27" s="625">
        <f>AL26-AI26</f>
        <v>0</v>
      </c>
      <c r="AM27" s="629" t="e">
        <f>AN27/AL27</f>
        <v>#DIV/0!</v>
      </c>
      <c r="AN27" s="626">
        <f>AK26-AN26</f>
        <v>-0.3</v>
      </c>
      <c r="AO27" s="630"/>
      <c r="AP27" s="630"/>
      <c r="AQ27" s="631">
        <f>(AQ25+AQ21+AQ22)-AQ26</f>
        <v>0</v>
      </c>
      <c r="AR27" s="625">
        <f>AO26-AR26</f>
        <v>0</v>
      </c>
      <c r="AS27" s="626" t="e">
        <f>AT27/AR27</f>
        <v>#DIV/0!</v>
      </c>
      <c r="AT27" s="626">
        <f>AQ26-AT26</f>
        <v>0</v>
      </c>
      <c r="AU27" s="625">
        <f>AR26-AU26</f>
        <v>0</v>
      </c>
      <c r="AV27" s="626" t="e">
        <f>AW27/AU27</f>
        <v>#DIV/0!</v>
      </c>
      <c r="AW27" s="626">
        <f>AT26-AW26</f>
        <v>0</v>
      </c>
      <c r="AX27" s="632"/>
      <c r="AY27" s="633"/>
      <c r="BB27" s="634" t="s">
        <v>278</v>
      </c>
      <c r="BC27" s="635">
        <f>AK26-BC26</f>
        <v>-80941636</v>
      </c>
      <c r="BE27" s="523"/>
    </row>
    <row r="28" spans="1:57" ht="18" x14ac:dyDescent="0.35">
      <c r="A28" s="636" t="s">
        <v>279</v>
      </c>
      <c r="B28" s="637"/>
      <c r="C28" s="638"/>
      <c r="D28" s="638"/>
      <c r="E28" s="639">
        <f>E27-E29</f>
        <v>9093</v>
      </c>
      <c r="F28" s="640"/>
      <c r="G28" s="640">
        <f>G27-G29</f>
        <v>-3380536</v>
      </c>
      <c r="H28" s="639">
        <f>H27-H29</f>
        <v>293884</v>
      </c>
      <c r="I28" s="640"/>
      <c r="J28" s="640">
        <f>J27-J29</f>
        <v>68235204</v>
      </c>
      <c r="K28" s="639">
        <f>K27-K29</f>
        <v>0</v>
      </c>
      <c r="L28" s="640"/>
      <c r="M28" s="640">
        <f>M27-M29</f>
        <v>0</v>
      </c>
      <c r="N28" s="639">
        <f>N27-N29</f>
        <v>0</v>
      </c>
      <c r="O28" s="640"/>
      <c r="P28" s="640">
        <f>P27-P29</f>
        <v>0</v>
      </c>
      <c r="Q28" s="639">
        <f>Q27-Q29</f>
        <v>0</v>
      </c>
      <c r="R28" s="640"/>
      <c r="S28" s="640">
        <f>S27-S29</f>
        <v>0</v>
      </c>
      <c r="T28" s="639">
        <f>T27-T29</f>
        <v>0</v>
      </c>
      <c r="U28" s="640"/>
      <c r="V28" s="640">
        <f>V27-V29</f>
        <v>0</v>
      </c>
      <c r="W28" s="639">
        <f>W27-W29</f>
        <v>0</v>
      </c>
      <c r="X28" s="640"/>
      <c r="Y28" s="640">
        <f>Y27-Y29</f>
        <v>0</v>
      </c>
      <c r="Z28" s="639">
        <f>Z27-Z29</f>
        <v>0</v>
      </c>
      <c r="AA28" s="640"/>
      <c r="AB28" s="640">
        <f>AB27-AB29</f>
        <v>0</v>
      </c>
      <c r="AC28" s="639">
        <f>AC27-AC29</f>
        <v>0</v>
      </c>
      <c r="AD28" s="640"/>
      <c r="AE28" s="640">
        <f>AE27-AE29</f>
        <v>0</v>
      </c>
      <c r="AF28" s="639"/>
      <c r="AG28" s="640"/>
      <c r="AH28" s="640">
        <f>AH27-AH29</f>
        <v>0</v>
      </c>
      <c r="AI28" s="641"/>
      <c r="AJ28" s="640"/>
      <c r="AK28" s="640">
        <f>AK27-AK29</f>
        <v>0</v>
      </c>
      <c r="AL28" s="639"/>
      <c r="AM28" s="642"/>
      <c r="AN28" s="640"/>
      <c r="AO28" s="630"/>
      <c r="AP28" s="630"/>
      <c r="AQ28" s="631"/>
      <c r="AR28" s="625"/>
      <c r="AS28" s="626"/>
      <c r="AT28" s="626"/>
      <c r="AU28" s="625"/>
      <c r="AV28" s="626"/>
      <c r="AW28" s="626"/>
      <c r="AX28" s="632"/>
      <c r="AY28" s="633"/>
      <c r="BB28" s="634"/>
      <c r="BC28" s="635"/>
      <c r="BE28" s="523"/>
    </row>
    <row r="29" spans="1:57" ht="18" x14ac:dyDescent="0.35">
      <c r="A29" s="636" t="s">
        <v>96</v>
      </c>
      <c r="B29" s="637"/>
      <c r="C29" s="638"/>
      <c r="D29" s="638"/>
      <c r="E29" s="639">
        <f>SUM(B15:B19)-SUM(E15:E19)</f>
        <v>100</v>
      </c>
      <c r="F29" s="640"/>
      <c r="G29" s="640">
        <f>SUM(D15:D19)-SUM(G15:G19)</f>
        <v>6419</v>
      </c>
      <c r="H29" s="639">
        <f>SUM(E15:E19)-SUM(H15:H19)</f>
        <v>941</v>
      </c>
      <c r="I29" s="640"/>
      <c r="J29" s="640">
        <f>SUM(G15:G19)-SUM(J15:J19)</f>
        <v>224652</v>
      </c>
      <c r="K29" s="639">
        <f>SUM(H15:H19)-SUM(K15:K19)</f>
        <v>0</v>
      </c>
      <c r="L29" s="640"/>
      <c r="M29" s="640">
        <f>SUM(J15:J19)-SUM(M15:M19)</f>
        <v>0</v>
      </c>
      <c r="N29" s="639">
        <f>SUM(K15:K19)-SUM(N15:N19)</f>
        <v>0</v>
      </c>
      <c r="O29" s="640"/>
      <c r="P29" s="640">
        <f>SUM(M15:M19)-SUM(P15:P19)</f>
        <v>0</v>
      </c>
      <c r="Q29" s="639">
        <f>SUM(N15:N19)-SUM(Q15:Q19)</f>
        <v>0</v>
      </c>
      <c r="R29" s="640"/>
      <c r="S29" s="640">
        <f>SUM(P15:P19)-SUM(S15:S19)</f>
        <v>0</v>
      </c>
      <c r="T29" s="639">
        <f>SUM(Q15:Q19)-SUM(T15:T19)</f>
        <v>0</v>
      </c>
      <c r="U29" s="640"/>
      <c r="V29" s="640">
        <f>SUM(S15:S19)-SUM(V15:V19)</f>
        <v>0</v>
      </c>
      <c r="W29" s="639">
        <f>SUM(T15:T19)-SUM(W15:W19)</f>
        <v>0</v>
      </c>
      <c r="X29" s="640"/>
      <c r="Y29" s="640">
        <f>SUM(V15:V19)-SUM(Y15:Y19)</f>
        <v>0</v>
      </c>
      <c r="Z29" s="639">
        <f>SUM(W15:W19)-SUM(Z15:Z19)</f>
        <v>0</v>
      </c>
      <c r="AA29" s="640"/>
      <c r="AB29" s="640">
        <f>SUM(Y15:Y19)-SUM(AB15:AB19)</f>
        <v>0</v>
      </c>
      <c r="AC29" s="639">
        <f>SUM(Z15:Z19)-SUM(AC15:AC19)</f>
        <v>0</v>
      </c>
      <c r="AD29" s="640"/>
      <c r="AE29" s="640">
        <f>SUM(AB15:AB19)-SUM(AE15:AE19)</f>
        <v>0</v>
      </c>
      <c r="AF29" s="639"/>
      <c r="AG29" s="640"/>
      <c r="AH29" s="640">
        <f>SUM(AE15:AE19)-SUM(AH15:AH19)</f>
        <v>0</v>
      </c>
      <c r="AI29" s="641"/>
      <c r="AJ29" s="640"/>
      <c r="AK29" s="640">
        <f>SUM(AH15:AH19)-SUM(AK15:AK19)</f>
        <v>0</v>
      </c>
      <c r="AL29" s="639"/>
      <c r="AM29" s="642"/>
      <c r="AN29" s="640"/>
      <c r="AO29" s="630"/>
      <c r="AP29" s="630"/>
      <c r="AQ29" s="631"/>
      <c r="AR29" s="625"/>
      <c r="AS29" s="626"/>
      <c r="AT29" s="626"/>
      <c r="AU29" s="625"/>
      <c r="AV29" s="626"/>
      <c r="AW29" s="626"/>
      <c r="AX29" s="632"/>
      <c r="AY29" s="633"/>
      <c r="BB29" s="634"/>
      <c r="BC29" s="635"/>
      <c r="BE29" s="523"/>
    </row>
    <row r="30" spans="1:57" x14ac:dyDescent="0.3">
      <c r="A30" s="643"/>
      <c r="B30" s="644"/>
      <c r="C30" s="643"/>
      <c r="D30" s="643"/>
      <c r="E30" s="645">
        <f>$B$26-E26</f>
        <v>9193</v>
      </c>
      <c r="F30" s="646"/>
      <c r="G30" s="647">
        <f>$D$26-G26</f>
        <v>-3374117</v>
      </c>
      <c r="H30" s="645">
        <f>$B$26-H26</f>
        <v>304018</v>
      </c>
      <c r="I30" s="646"/>
      <c r="J30" s="647">
        <f>$D$26-J26</f>
        <v>65085739</v>
      </c>
      <c r="K30" s="645">
        <f>$B$26-K26</f>
        <v>304018</v>
      </c>
      <c r="L30" s="646"/>
      <c r="M30" s="647">
        <f>$D$26-M26</f>
        <v>65085739</v>
      </c>
      <c r="N30" s="645">
        <f>$B$26-N26</f>
        <v>304018</v>
      </c>
      <c r="O30" s="646"/>
      <c r="P30" s="647">
        <f>$D$26-P26</f>
        <v>65085739</v>
      </c>
      <c r="Q30" s="645">
        <f>$B$26-Q26</f>
        <v>304018</v>
      </c>
      <c r="R30" s="646"/>
      <c r="S30" s="647">
        <f>$D$26-S26</f>
        <v>65085739</v>
      </c>
      <c r="T30" s="645">
        <f>$B$26-T26</f>
        <v>304018</v>
      </c>
      <c r="U30" s="646"/>
      <c r="V30" s="647">
        <f>$D$26-V26</f>
        <v>65085739</v>
      </c>
      <c r="W30" s="645">
        <f>$B$26-W26</f>
        <v>304018</v>
      </c>
      <c r="X30" s="646"/>
      <c r="Y30" s="647">
        <f>$D$26-Y26</f>
        <v>65085739</v>
      </c>
      <c r="Z30" s="645">
        <f>$B$26-Z26</f>
        <v>304018</v>
      </c>
      <c r="AA30" s="646"/>
      <c r="AB30" s="647">
        <f>$D$26-AB26</f>
        <v>65085739</v>
      </c>
      <c r="AC30" s="648">
        <f>T26-AC26</f>
        <v>0</v>
      </c>
      <c r="AD30" s="649"/>
      <c r="AE30" s="650">
        <f>V26-AE26</f>
        <v>0</v>
      </c>
      <c r="AF30" s="651"/>
      <c r="AG30" s="652"/>
      <c r="AH30" s="650">
        <f>Y26-AH26</f>
        <v>0</v>
      </c>
      <c r="AI30" s="651"/>
      <c r="AJ30" s="652"/>
      <c r="AK30" s="650">
        <f>AB26-AK26</f>
        <v>0</v>
      </c>
      <c r="AL30" s="645">
        <f>B26-E26</f>
        <v>9193</v>
      </c>
      <c r="AM30" s="654"/>
      <c r="AN30" s="647">
        <f>D26-G26</f>
        <v>-3374117</v>
      </c>
      <c r="AO30" s="809">
        <f>AQ25-M25</f>
        <v>0</v>
      </c>
      <c r="AP30" s="809"/>
      <c r="AQ30" s="524"/>
      <c r="AR30" s="635">
        <f>AQ8-AQ30</f>
        <v>0</v>
      </c>
      <c r="AS30" s="524" t="e">
        <f>AT30/#REF!</f>
        <v>#REF!</v>
      </c>
      <c r="AT30" s="524">
        <f>AH40-AT26</f>
        <v>0</v>
      </c>
      <c r="AU30" s="523" t="e">
        <f>AI40-AU26</f>
        <v>#VALUE!</v>
      </c>
      <c r="AV30" s="524" t="e">
        <f>AW30/AU30</f>
        <v>#VALUE!</v>
      </c>
      <c r="AW30" s="524">
        <f>AK41-AW26</f>
        <v>0</v>
      </c>
      <c r="AX30" s="524"/>
      <c r="AY30" s="524"/>
      <c r="BB30" s="634" t="s">
        <v>188</v>
      </c>
      <c r="BC30" s="635">
        <f>D26-BC26</f>
        <v>-15855897</v>
      </c>
      <c r="BE30" s="523"/>
    </row>
    <row r="31" spans="1:57" x14ac:dyDescent="0.3">
      <c r="A31" s="643" t="s">
        <v>279</v>
      </c>
      <c r="B31" s="644"/>
      <c r="C31" s="643"/>
      <c r="D31" s="643"/>
      <c r="E31" s="656">
        <f>E30-E32</f>
        <v>9093</v>
      </c>
      <c r="F31" s="657"/>
      <c r="G31" s="658">
        <f>G30-G32</f>
        <v>-3380536</v>
      </c>
      <c r="H31" s="656">
        <f>H30-H32</f>
        <v>302977</v>
      </c>
      <c r="I31" s="657"/>
      <c r="J31" s="658">
        <f>J30-J32</f>
        <v>64854668</v>
      </c>
      <c r="K31" s="656">
        <f>K30-K32</f>
        <v>302977</v>
      </c>
      <c r="L31" s="657"/>
      <c r="M31" s="658">
        <f>M30-M32</f>
        <v>64854668</v>
      </c>
      <c r="N31" s="656">
        <f>N30-N32</f>
        <v>302977</v>
      </c>
      <c r="O31" s="657"/>
      <c r="P31" s="658">
        <f>P30-P32</f>
        <v>64854668</v>
      </c>
      <c r="Q31" s="656">
        <f>Q30-Q32</f>
        <v>302977</v>
      </c>
      <c r="R31" s="657"/>
      <c r="S31" s="658">
        <f>S30-S32</f>
        <v>64854668</v>
      </c>
      <c r="T31" s="656">
        <f>T30-T32</f>
        <v>302977</v>
      </c>
      <c r="U31" s="657"/>
      <c r="V31" s="658">
        <f>V30-V32</f>
        <v>64854668</v>
      </c>
      <c r="W31" s="656">
        <f>W30-W32</f>
        <v>302977</v>
      </c>
      <c r="X31" s="657"/>
      <c r="Y31" s="658">
        <f>Y30-Y32</f>
        <v>64854668</v>
      </c>
      <c r="Z31" s="656">
        <f>Z30-Z32</f>
        <v>302977</v>
      </c>
      <c r="AA31" s="657"/>
      <c r="AB31" s="658">
        <f>AB30-AB32</f>
        <v>64854668</v>
      </c>
      <c r="AC31" s="656">
        <f>AC30-AC32</f>
        <v>-1041</v>
      </c>
      <c r="AD31" s="659"/>
      <c r="AE31" s="658">
        <f>AE30-AE32</f>
        <v>-231071</v>
      </c>
      <c r="AF31" s="656"/>
      <c r="AG31" s="659"/>
      <c r="AH31" s="658">
        <f>AH30-AH32</f>
        <v>-231071</v>
      </c>
      <c r="AI31" s="656"/>
      <c r="AJ31" s="659"/>
      <c r="AK31" s="658">
        <f>AK30-AK32</f>
        <v>-231071</v>
      </c>
      <c r="AL31" s="656"/>
      <c r="AM31" s="659"/>
      <c r="AN31" s="658"/>
      <c r="AO31" s="655"/>
      <c r="AP31" s="655"/>
      <c r="AQ31" s="524"/>
      <c r="AR31" s="635"/>
      <c r="AS31" s="524"/>
      <c r="AT31" s="524"/>
      <c r="AU31" s="523"/>
      <c r="AV31" s="524"/>
      <c r="AW31" s="524"/>
      <c r="AX31" s="524"/>
      <c r="AY31" s="524"/>
      <c r="BB31" s="634"/>
      <c r="BC31" s="635"/>
      <c r="BE31" s="523"/>
    </row>
    <row r="32" spans="1:57" x14ac:dyDescent="0.3">
      <c r="A32" s="643" t="s">
        <v>96</v>
      </c>
      <c r="B32" s="644"/>
      <c r="C32" s="643"/>
      <c r="D32" s="643"/>
      <c r="E32" s="656">
        <f>SUM($B$15:$B$19)-SUM(E15:E19)</f>
        <v>100</v>
      </c>
      <c r="F32" s="657"/>
      <c r="G32" s="658">
        <f>SUM($D$15:$D$19)-SUM(G15:G19)</f>
        <v>6419</v>
      </c>
      <c r="H32" s="656">
        <f>SUM($B$15:$B$19)-SUM(H15:H19)</f>
        <v>1041</v>
      </c>
      <c r="I32" s="657"/>
      <c r="J32" s="658">
        <f>SUM($D$15:$D$19)-SUM(J15:J19)</f>
        <v>231071</v>
      </c>
      <c r="K32" s="656">
        <f>SUM($B$15:$B$19)-SUM(K15:K19)</f>
        <v>1041</v>
      </c>
      <c r="L32" s="657"/>
      <c r="M32" s="658">
        <f>SUM($D$15:$D$19)-SUM(M15:M19)</f>
        <v>231071</v>
      </c>
      <c r="N32" s="656">
        <f>SUM($B$15:$B$19)-SUM(N15:N19)</f>
        <v>1041</v>
      </c>
      <c r="O32" s="657"/>
      <c r="P32" s="658">
        <f>SUM($D$15:$D$19)-SUM(P15:P19)</f>
        <v>231071</v>
      </c>
      <c r="Q32" s="656">
        <f>SUM($B$15:$B$19)-SUM(Q15:Q19)</f>
        <v>1041</v>
      </c>
      <c r="R32" s="657"/>
      <c r="S32" s="658">
        <f>SUM($D$15:$D$19)-SUM(S15:S19)</f>
        <v>231071</v>
      </c>
      <c r="T32" s="656">
        <f>SUM($B$15:$B$19)-SUM(T15:T19)</f>
        <v>1041</v>
      </c>
      <c r="U32" s="657"/>
      <c r="V32" s="658">
        <f>SUM($D$15:$D$19)-SUM(V15:V19)</f>
        <v>231071</v>
      </c>
      <c r="W32" s="656">
        <f>SUM($B$15:$B$19)-SUM(W15:W19)</f>
        <v>1041</v>
      </c>
      <c r="X32" s="657"/>
      <c r="Y32" s="658">
        <f>SUM($D$15:$D$19)-SUM(Y15:Y19)</f>
        <v>231071</v>
      </c>
      <c r="Z32" s="656">
        <f>SUM($B$15:$B$19)-SUM(Z15:Z19)</f>
        <v>1041</v>
      </c>
      <c r="AA32" s="657"/>
      <c r="AB32" s="658">
        <f>SUM($D$15:$D$19)-SUM(AB15:AB19)</f>
        <v>231071</v>
      </c>
      <c r="AC32" s="656">
        <f>SUM($B$15:$B$19)-SUM(AC15:AC19)</f>
        <v>1041</v>
      </c>
      <c r="AD32" s="659"/>
      <c r="AE32" s="658">
        <f>SUM($D$15:$D$19)-SUM(AE15:AE19)</f>
        <v>231071</v>
      </c>
      <c r="AF32" s="656"/>
      <c r="AG32" s="659"/>
      <c r="AH32" s="658">
        <f>SUM($D$15:$D$19)-SUM(AH15:AH19)</f>
        <v>231071</v>
      </c>
      <c r="AI32" s="656"/>
      <c r="AJ32" s="659"/>
      <c r="AK32" s="658">
        <f>SUM($D$15:$D$19)-SUM(AK15:AK19)</f>
        <v>231071</v>
      </c>
      <c r="AL32" s="656"/>
      <c r="AM32" s="659"/>
      <c r="AN32" s="658"/>
      <c r="AO32" s="655"/>
      <c r="AP32" s="655"/>
      <c r="AQ32" s="524"/>
      <c r="AR32" s="635"/>
      <c r="AS32" s="524"/>
      <c r="AT32" s="524"/>
      <c r="AU32" s="523"/>
      <c r="AV32" s="524"/>
      <c r="AW32" s="524"/>
      <c r="AX32" s="524"/>
      <c r="AY32" s="524"/>
      <c r="BB32" s="634"/>
      <c r="BC32" s="635"/>
      <c r="BE32" s="523"/>
    </row>
    <row r="33" spans="1:57" x14ac:dyDescent="0.3">
      <c r="A33" s="643"/>
      <c r="B33" s="643"/>
      <c r="C33" s="643"/>
      <c r="D33" s="643"/>
      <c r="G33" s="660"/>
      <c r="H33" s="651"/>
      <c r="I33" s="661"/>
      <c r="J33" s="662"/>
      <c r="K33" s="651"/>
      <c r="L33" s="661"/>
      <c r="M33" s="662"/>
      <c r="N33" s="651"/>
      <c r="O33" s="661"/>
      <c r="P33" s="662"/>
      <c r="Q33" s="663"/>
      <c r="R33" s="664"/>
      <c r="S33" s="664"/>
      <c r="T33" s="651"/>
      <c r="U33" s="653"/>
      <c r="V33" s="662"/>
      <c r="W33" s="651"/>
      <c r="X33" s="653"/>
      <c r="Y33" s="662"/>
      <c r="Z33" s="651"/>
      <c r="AA33" s="653"/>
      <c r="AB33" s="662"/>
      <c r="AC33" s="651"/>
      <c r="AD33" s="653"/>
      <c r="AE33" s="662"/>
      <c r="AF33" s="651"/>
      <c r="AG33" s="653"/>
      <c r="AH33" s="662"/>
      <c r="AI33" s="651"/>
      <c r="AJ33" s="653"/>
      <c r="AK33" s="665"/>
      <c r="AL33" s="666">
        <f>AC26-AL26</f>
        <v>0</v>
      </c>
      <c r="AM33" s="667"/>
      <c r="AN33" s="668">
        <f>AE26-AN26</f>
        <v>-0.3</v>
      </c>
      <c r="AO33" s="810"/>
      <c r="AP33" s="810"/>
      <c r="AQ33" s="669"/>
      <c r="AR33" s="663"/>
      <c r="AS33" s="664"/>
      <c r="AT33" s="664"/>
      <c r="BE33" s="523"/>
    </row>
    <row r="34" spans="1:57" x14ac:dyDescent="0.3">
      <c r="A34" s="643" t="s">
        <v>280</v>
      </c>
      <c r="B34" s="643"/>
      <c r="C34" s="643"/>
      <c r="D34" s="643"/>
      <c r="F34" s="524">
        <v>135</v>
      </c>
      <c r="G34" s="525">
        <f>E12*F34</f>
        <v>10394595</v>
      </c>
      <c r="H34" s="524" t="s">
        <v>2</v>
      </c>
      <c r="I34" s="524">
        <v>147</v>
      </c>
      <c r="J34" s="525">
        <f>H12*I34</f>
        <v>0</v>
      </c>
      <c r="L34" s="524">
        <v>144</v>
      </c>
      <c r="M34" s="525">
        <f>K12*L34</f>
        <v>0</v>
      </c>
      <c r="N34" s="663"/>
      <c r="O34" s="664">
        <v>147</v>
      </c>
      <c r="P34" s="525">
        <f>N12*O34</f>
        <v>0</v>
      </c>
      <c r="Q34" s="664"/>
      <c r="R34" s="664">
        <v>149</v>
      </c>
      <c r="S34" s="525">
        <f>Q12*R34</f>
        <v>0</v>
      </c>
      <c r="T34" s="524"/>
      <c r="U34" s="670">
        <v>150</v>
      </c>
      <c r="V34" s="525">
        <f>T12*U34</f>
        <v>0</v>
      </c>
      <c r="W34" s="523"/>
      <c r="X34" s="5">
        <v>100</v>
      </c>
      <c r="Y34" s="671"/>
      <c r="Z34" s="523"/>
      <c r="AA34" s="524">
        <v>101</v>
      </c>
      <c r="AB34" s="671"/>
      <c r="AD34" s="5">
        <v>96</v>
      </c>
      <c r="AE34" s="671"/>
      <c r="AG34" s="5">
        <v>100</v>
      </c>
      <c r="AH34" s="671"/>
      <c r="AJ34" s="5">
        <v>104</v>
      </c>
      <c r="AK34" s="524"/>
      <c r="AM34" s="5">
        <v>129</v>
      </c>
      <c r="AN34" s="524"/>
      <c r="AO34" s="811" t="s">
        <v>281</v>
      </c>
      <c r="AP34" s="811"/>
      <c r="AQ34" s="672">
        <v>90525848</v>
      </c>
      <c r="AR34" s="664"/>
      <c r="AS34" s="673">
        <v>78.569999999999993</v>
      </c>
      <c r="AT34" s="664">
        <f>AT12-(AR12*AR34)</f>
        <v>0</v>
      </c>
    </row>
    <row r="35" spans="1:57" x14ac:dyDescent="0.3">
      <c r="A35" s="643" t="s">
        <v>282</v>
      </c>
      <c r="B35" s="661"/>
      <c r="C35" s="643"/>
      <c r="D35" s="643"/>
      <c r="F35" s="524">
        <v>116</v>
      </c>
      <c r="G35" s="524">
        <f>E14*F35</f>
        <v>25158892</v>
      </c>
      <c r="H35" s="663" t="s">
        <v>2</v>
      </c>
      <c r="I35" s="524">
        <v>217</v>
      </c>
      <c r="J35" s="525">
        <f>H14*I35</f>
        <v>0</v>
      </c>
      <c r="L35" s="524">
        <v>214</v>
      </c>
      <c r="M35" s="525">
        <f>K14*L35</f>
        <v>0</v>
      </c>
      <c r="N35" s="663"/>
      <c r="O35" s="664">
        <v>218</v>
      </c>
      <c r="P35" s="525">
        <f>N14*O35</f>
        <v>0</v>
      </c>
      <c r="Q35" s="664"/>
      <c r="R35" s="664">
        <v>220</v>
      </c>
      <c r="S35" s="525">
        <f>Q14*R35</f>
        <v>0</v>
      </c>
      <c r="T35" s="524"/>
      <c r="U35" s="5">
        <v>221</v>
      </c>
      <c r="V35" s="525">
        <f>T14*U35</f>
        <v>0</v>
      </c>
      <c r="W35" s="523"/>
      <c r="X35" s="5">
        <v>101</v>
      </c>
      <c r="Y35" s="671"/>
      <c r="Z35" s="523"/>
      <c r="AA35" s="524">
        <v>100</v>
      </c>
      <c r="AB35" s="671"/>
      <c r="AD35" s="5">
        <v>97</v>
      </c>
      <c r="AE35" s="671"/>
      <c r="AG35" s="5">
        <v>98</v>
      </c>
      <c r="AH35" s="671"/>
      <c r="AJ35" s="5">
        <v>102</v>
      </c>
      <c r="AM35" s="670">
        <v>117</v>
      </c>
      <c r="AO35" s="811"/>
      <c r="AP35" s="811"/>
      <c r="AQ35" s="674">
        <f>V25-AQ34</f>
        <v>-90525848</v>
      </c>
      <c r="AR35" s="664"/>
      <c r="AS35" s="673">
        <v>78.25</v>
      </c>
      <c r="AT35" s="664">
        <f>AT14-(AR14*AR35)</f>
        <v>0</v>
      </c>
    </row>
    <row r="36" spans="1:57" x14ac:dyDescent="0.3">
      <c r="A36" s="643"/>
      <c r="B36" s="643"/>
      <c r="C36" s="643"/>
      <c r="D36" s="643"/>
      <c r="G36" s="524"/>
      <c r="J36" s="525">
        <f>SUM(J34:J35)</f>
        <v>0</v>
      </c>
      <c r="M36" s="675">
        <f>SUM(M34:M35)</f>
        <v>0</v>
      </c>
      <c r="P36" s="675">
        <f>SUM(P34:P35)</f>
        <v>0</v>
      </c>
      <c r="R36" s="524"/>
      <c r="S36" s="675">
        <f>SUM(S34:S35)</f>
        <v>0</v>
      </c>
      <c r="U36" s="524"/>
      <c r="V36" s="675">
        <f>SUM(V34:V35)</f>
        <v>0</v>
      </c>
      <c r="Y36" s="671"/>
      <c r="AB36" s="671"/>
      <c r="AC36" s="523"/>
      <c r="AE36" s="676"/>
      <c r="AG36" s="677"/>
      <c r="AH36" s="676"/>
      <c r="AJ36" s="670" t="e">
        <f>(AK15+AK19)/(AI15+AI19)</f>
        <v>#DIV/0!</v>
      </c>
      <c r="AS36" s="524"/>
      <c r="AT36" s="664">
        <f>SUM(AT34:AT35)</f>
        <v>0</v>
      </c>
    </row>
    <row r="37" spans="1:57" ht="18" x14ac:dyDescent="0.35">
      <c r="A37" s="678" t="s">
        <v>283</v>
      </c>
      <c r="B37" s="643"/>
      <c r="C37" s="643"/>
      <c r="D37" s="643"/>
      <c r="G37" s="679">
        <f>G25-G38</f>
        <v>29062858</v>
      </c>
      <c r="H37" s="680"/>
      <c r="I37" s="681"/>
      <c r="J37" s="679">
        <f>(J12+J14)-J36</f>
        <v>0</v>
      </c>
      <c r="K37" s="663"/>
      <c r="L37" s="682"/>
      <c r="M37" s="679">
        <f>(M12+M14)-M36</f>
        <v>0</v>
      </c>
      <c r="N37" s="663"/>
      <c r="P37" s="679">
        <f>(P12+P14)-P36</f>
        <v>0</v>
      </c>
      <c r="Q37" s="663"/>
      <c r="R37" s="677"/>
      <c r="S37" s="679">
        <f>(S12+S14)-S36</f>
        <v>0</v>
      </c>
      <c r="T37" s="663"/>
      <c r="U37" s="664"/>
      <c r="V37" s="679">
        <f>(V12+V14)-V36</f>
        <v>0</v>
      </c>
      <c r="W37" s="663"/>
      <c r="X37" s="664"/>
      <c r="Y37" s="683"/>
      <c r="Z37" s="663"/>
      <c r="AA37" s="664"/>
      <c r="AB37" s="683"/>
      <c r="AC37" s="684"/>
      <c r="AD37" s="685"/>
      <c r="AE37" s="686"/>
      <c r="AF37" s="663"/>
      <c r="AG37" s="664"/>
      <c r="AH37" s="687"/>
      <c r="AI37" s="663" t="s">
        <v>284</v>
      </c>
      <c r="AJ37" s="664">
        <f>C8-AJ8</f>
        <v>123.87463150485404</v>
      </c>
      <c r="AK37" s="683">
        <f>ROUND((AI8*AJ37),0)</f>
        <v>0</v>
      </c>
      <c r="AO37" s="688"/>
      <c r="AP37" s="6"/>
      <c r="AQ37" s="675">
        <f>AQ25+AE33-AB36</f>
        <v>0</v>
      </c>
    </row>
    <row r="38" spans="1:57" x14ac:dyDescent="0.3">
      <c r="A38" s="5" t="s">
        <v>285</v>
      </c>
      <c r="B38" s="677"/>
      <c r="C38" s="677"/>
      <c r="D38" s="677"/>
      <c r="E38" s="6"/>
      <c r="F38" s="6"/>
      <c r="G38" s="671">
        <f>G25-G14+G35</f>
        <v>50289017</v>
      </c>
      <c r="J38" s="671">
        <f>J25-J37</f>
        <v>0</v>
      </c>
      <c r="M38" s="671">
        <f>M25-M37</f>
        <v>0</v>
      </c>
      <c r="P38" s="671">
        <f>P25-P37</f>
        <v>0</v>
      </c>
      <c r="R38" s="635"/>
      <c r="S38" s="671">
        <f>S25-S37</f>
        <v>0</v>
      </c>
      <c r="U38" s="524"/>
      <c r="V38" s="671">
        <f>V25-V37</f>
        <v>0</v>
      </c>
      <c r="X38" s="524"/>
      <c r="Y38" s="683"/>
      <c r="AA38" s="524"/>
      <c r="AB38" s="683"/>
      <c r="AE38" s="683"/>
      <c r="AG38" s="524"/>
      <c r="AH38" s="683"/>
      <c r="AI38" s="5" t="s">
        <v>286</v>
      </c>
      <c r="AJ38" s="664">
        <f>C12-AJ12</f>
        <v>167</v>
      </c>
      <c r="AK38" s="683">
        <f>ROUND((AI12*AJ38),0)</f>
        <v>0</v>
      </c>
      <c r="AQ38" s="689">
        <f>AQ37-AQ34</f>
        <v>-90525848</v>
      </c>
    </row>
    <row r="39" spans="1:57" x14ac:dyDescent="0.3">
      <c r="A39" s="5" t="s">
        <v>287</v>
      </c>
      <c r="B39" s="6"/>
      <c r="C39" s="6"/>
      <c r="D39" s="6"/>
      <c r="E39" s="523"/>
      <c r="F39" s="524"/>
      <c r="G39" s="524"/>
      <c r="Q39" s="523"/>
      <c r="R39" s="635"/>
      <c r="S39" s="683"/>
      <c r="V39" s="689"/>
      <c r="Y39" s="689"/>
      <c r="AB39" s="689"/>
      <c r="AH39" s="689"/>
      <c r="AI39" s="5" t="s">
        <v>288</v>
      </c>
      <c r="AJ39" s="664">
        <f>C14-AJ14</f>
        <v>16</v>
      </c>
      <c r="AK39" s="683">
        <f>ROUND((AI14*AJ39),0)</f>
        <v>0</v>
      </c>
    </row>
    <row r="40" spans="1:57" x14ac:dyDescent="0.3">
      <c r="A40" s="678" t="s">
        <v>289</v>
      </c>
      <c r="E40" s="523"/>
      <c r="F40" s="524"/>
      <c r="G40" s="524"/>
      <c r="Q40" s="690"/>
      <c r="R40" s="691"/>
      <c r="S40" s="692"/>
      <c r="V40" s="693"/>
      <c r="Y40" s="693"/>
      <c r="AB40" s="693"/>
      <c r="AH40" s="693"/>
      <c r="AI40" s="5" t="s">
        <v>96</v>
      </c>
      <c r="AJ40" s="664"/>
      <c r="AK40" s="683">
        <f>ROUND(((AI15+AI19)*AJ40),0)</f>
        <v>0</v>
      </c>
      <c r="AQ40" s="689">
        <f>AQ38-AB39</f>
        <v>-90525848</v>
      </c>
    </row>
    <row r="41" spans="1:57" x14ac:dyDescent="0.3">
      <c r="A41" s="5" t="s">
        <v>285</v>
      </c>
      <c r="E41" s="523"/>
      <c r="F41" s="524"/>
      <c r="G41" s="524"/>
      <c r="Q41" s="523"/>
      <c r="R41" s="635"/>
      <c r="S41" s="683"/>
      <c r="V41" s="683"/>
      <c r="Y41" s="683"/>
      <c r="AB41" s="683"/>
      <c r="AH41" s="683"/>
      <c r="AJ41" s="664"/>
      <c r="AK41" s="693">
        <f>SUM(AK37:AK40)</f>
        <v>0</v>
      </c>
    </row>
    <row r="42" spans="1:57" x14ac:dyDescent="0.3">
      <c r="A42" s="5" t="s">
        <v>287</v>
      </c>
      <c r="Q42" s="523"/>
      <c r="R42" s="635"/>
      <c r="S42" s="683"/>
      <c r="T42" s="694"/>
      <c r="U42" s="694"/>
      <c r="V42" s="695"/>
      <c r="W42" s="694"/>
      <c r="X42" s="694"/>
      <c r="Y42" s="695"/>
      <c r="Z42" s="694"/>
      <c r="AA42" s="694"/>
      <c r="AB42" s="695"/>
      <c r="AF42" s="694"/>
      <c r="AG42" s="694"/>
      <c r="AH42" s="695"/>
      <c r="AI42" s="694"/>
      <c r="AJ42" s="694"/>
      <c r="AK42" s="695"/>
    </row>
    <row r="43" spans="1:57" x14ac:dyDescent="0.3">
      <c r="Q43" s="696"/>
      <c r="R43" s="674"/>
      <c r="S43" s="693"/>
      <c r="AE43" s="6"/>
      <c r="AF43" s="697"/>
      <c r="AG43" s="698"/>
      <c r="AH43" s="698"/>
    </row>
    <row r="44" spans="1:57" x14ac:dyDescent="0.3">
      <c r="Q44" s="699"/>
      <c r="S44" s="700"/>
      <c r="T44" s="523"/>
      <c r="V44" s="524"/>
      <c r="W44" s="523"/>
      <c r="Y44" s="524"/>
      <c r="Z44" s="523"/>
      <c r="AB44" s="524"/>
      <c r="AC44" s="523"/>
      <c r="AE44" s="524"/>
      <c r="AF44" s="523"/>
      <c r="AH44" s="524"/>
    </row>
    <row r="45" spans="1:57" x14ac:dyDescent="0.3">
      <c r="Q45" s="699"/>
      <c r="S45" s="700"/>
      <c r="T45" s="523"/>
      <c r="V45" s="524"/>
      <c r="W45" s="523"/>
      <c r="Y45" s="524"/>
      <c r="Z45" s="523"/>
      <c r="AB45" s="524"/>
      <c r="AC45" s="523"/>
      <c r="AE45" s="524"/>
      <c r="AF45" s="523"/>
      <c r="AH45" s="524"/>
    </row>
    <row r="46" spans="1:57" x14ac:dyDescent="0.3">
      <c r="A46" s="5" t="s">
        <v>290</v>
      </c>
      <c r="B46" s="523">
        <f>B12+B14</f>
        <v>302977</v>
      </c>
      <c r="C46" s="524">
        <f>D46/B46</f>
        <v>214.05806051284421</v>
      </c>
      <c r="D46" s="524">
        <f>D12+D14</f>
        <v>64854669</v>
      </c>
      <c r="E46" s="523">
        <f>E12+E14</f>
        <v>293884</v>
      </c>
      <c r="F46" s="524">
        <f>G46/E46</f>
        <v>232.18414068135726</v>
      </c>
      <c r="G46" s="524">
        <f>G12+G14</f>
        <v>68235204</v>
      </c>
      <c r="H46" s="523">
        <f>H12+H14</f>
        <v>0</v>
      </c>
      <c r="I46" s="524" t="e">
        <f>J46/H46</f>
        <v>#DIV/0!</v>
      </c>
      <c r="J46" s="524">
        <f>J12+J14</f>
        <v>0</v>
      </c>
      <c r="K46" s="523">
        <f>K12+K14</f>
        <v>0</v>
      </c>
      <c r="L46" s="524" t="e">
        <f>M46/K46</f>
        <v>#DIV/0!</v>
      </c>
      <c r="M46" s="524">
        <f>M12+M14</f>
        <v>0</v>
      </c>
      <c r="N46" s="523">
        <f>N12+N14</f>
        <v>0</v>
      </c>
      <c r="O46" s="524" t="e">
        <f>P46/N46</f>
        <v>#DIV/0!</v>
      </c>
      <c r="P46" s="524">
        <f>P12+P14</f>
        <v>0</v>
      </c>
      <c r="Q46" s="523">
        <f>Q12+Q14</f>
        <v>0</v>
      </c>
      <c r="R46" s="524" t="e">
        <f>S46/Q46</f>
        <v>#DIV/0!</v>
      </c>
      <c r="S46" s="524">
        <f>S12+S14</f>
        <v>0</v>
      </c>
      <c r="T46" s="523">
        <f>T12+T14</f>
        <v>0</v>
      </c>
      <c r="U46" s="524" t="e">
        <f>V46/T46</f>
        <v>#DIV/0!</v>
      </c>
      <c r="V46" s="524">
        <f>V12+V14</f>
        <v>0</v>
      </c>
      <c r="W46" s="523"/>
      <c r="X46" s="701"/>
      <c r="Y46" s="524"/>
      <c r="Z46" s="523"/>
      <c r="AA46" s="701"/>
      <c r="AB46" s="524"/>
      <c r="AC46" s="523"/>
      <c r="AD46" s="701"/>
      <c r="AE46" s="524"/>
      <c r="AF46" s="523"/>
      <c r="AG46" s="701"/>
      <c r="AH46" s="524"/>
    </row>
    <row r="47" spans="1:57" ht="17.25" thickBot="1" x14ac:dyDescent="0.35">
      <c r="A47" s="702" t="s">
        <v>291</v>
      </c>
      <c r="B47" s="703">
        <f>B15+B19</f>
        <v>423</v>
      </c>
      <c r="C47" s="704">
        <f>D47/B47</f>
        <v>207.34278959810874</v>
      </c>
      <c r="D47" s="704">
        <f>D15+D19</f>
        <v>87706</v>
      </c>
      <c r="E47" s="703">
        <f>E15+E19</f>
        <v>423</v>
      </c>
      <c r="F47" s="704">
        <f>G47/E47</f>
        <v>235.73995271867614</v>
      </c>
      <c r="G47" s="704">
        <f>G15+G19</f>
        <v>99718</v>
      </c>
      <c r="H47" s="703">
        <f>H15+H19</f>
        <v>0</v>
      </c>
      <c r="I47" s="704" t="e">
        <f>J47/H47</f>
        <v>#DIV/0!</v>
      </c>
      <c r="J47" s="704">
        <f>J15+J19</f>
        <v>0</v>
      </c>
      <c r="K47" s="703">
        <f>K15+K19</f>
        <v>0</v>
      </c>
      <c r="L47" s="704" t="e">
        <f>M47/K47</f>
        <v>#DIV/0!</v>
      </c>
      <c r="M47" s="704">
        <f>M15+M19</f>
        <v>0</v>
      </c>
      <c r="N47" s="703">
        <f>N15+N19</f>
        <v>0</v>
      </c>
      <c r="O47" s="704" t="e">
        <f>P47/N47</f>
        <v>#DIV/0!</v>
      </c>
      <c r="P47" s="704">
        <f>P15+P19</f>
        <v>0</v>
      </c>
      <c r="Q47" s="703">
        <f>Q15+Q19</f>
        <v>0</v>
      </c>
      <c r="R47" s="704" t="e">
        <f>S47/Q47</f>
        <v>#DIV/0!</v>
      </c>
      <c r="S47" s="704">
        <f>S15+S19</f>
        <v>0</v>
      </c>
      <c r="T47" s="703">
        <f>T15+T19</f>
        <v>0</v>
      </c>
      <c r="U47" s="704" t="e">
        <f>V47/T47</f>
        <v>#DIV/0!</v>
      </c>
      <c r="V47" s="704">
        <f>V15+V19</f>
        <v>0</v>
      </c>
      <c r="W47" s="523"/>
      <c r="X47" s="677"/>
      <c r="Y47" s="524"/>
      <c r="Z47" s="523"/>
      <c r="AA47" s="677"/>
      <c r="AB47" s="524"/>
      <c r="AC47" s="523"/>
      <c r="AD47" s="677"/>
      <c r="AE47" s="524"/>
      <c r="AF47" s="523"/>
      <c r="AG47" s="677"/>
      <c r="AH47" s="524"/>
    </row>
    <row r="48" spans="1:57" x14ac:dyDescent="0.3">
      <c r="A48" s="5" t="s">
        <v>0</v>
      </c>
      <c r="B48" s="523">
        <f>SUM(B46:B47)</f>
        <v>303400</v>
      </c>
      <c r="C48" s="524">
        <f>D48/B48</f>
        <v>214.04869808833223</v>
      </c>
      <c r="D48" s="524">
        <f>SUM(D46:D47)</f>
        <v>64942375</v>
      </c>
      <c r="E48" s="523">
        <f>SUM(E46:E47)</f>
        <v>294307</v>
      </c>
      <c r="F48" s="524">
        <f>G48/E48</f>
        <v>232.18925135997443</v>
      </c>
      <c r="G48" s="524">
        <f>SUM(G46:G47)</f>
        <v>68334922</v>
      </c>
      <c r="H48" s="523">
        <f>SUM(H46:H47)</f>
        <v>0</v>
      </c>
      <c r="I48" s="524" t="e">
        <f>J48/H48</f>
        <v>#DIV/0!</v>
      </c>
      <c r="J48" s="524">
        <f>SUM(J46:J47)</f>
        <v>0</v>
      </c>
      <c r="K48" s="523">
        <f>SUM(K46:K47)</f>
        <v>0</v>
      </c>
      <c r="L48" s="524" t="e">
        <f>M48/K48</f>
        <v>#DIV/0!</v>
      </c>
      <c r="M48" s="524">
        <f>SUM(M46:M47)</f>
        <v>0</v>
      </c>
      <c r="N48" s="523">
        <f>SUM(N46:N47)</f>
        <v>0</v>
      </c>
      <c r="O48" s="524" t="e">
        <f>P48/N48</f>
        <v>#DIV/0!</v>
      </c>
      <c r="P48" s="524">
        <f>SUM(P46:P47)</f>
        <v>0</v>
      </c>
      <c r="Q48" s="523">
        <f>SUM(Q46:Q47)</f>
        <v>0</v>
      </c>
      <c r="R48" s="524" t="e">
        <f>S48/Q48</f>
        <v>#DIV/0!</v>
      </c>
      <c r="S48" s="524">
        <f>SUM(S46:S47)</f>
        <v>0</v>
      </c>
      <c r="T48" s="523">
        <f>SUM(T46:T47)</f>
        <v>0</v>
      </c>
      <c r="U48" s="524" t="e">
        <f>V48/T48</f>
        <v>#DIV/0!</v>
      </c>
      <c r="V48" s="524">
        <f>SUM(V46:V47)</f>
        <v>0</v>
      </c>
      <c r="W48" s="523"/>
      <c r="X48" s="677"/>
      <c r="Y48" s="524"/>
      <c r="Z48" s="523"/>
      <c r="AA48" s="677"/>
      <c r="AB48" s="524"/>
      <c r="AC48" s="523"/>
      <c r="AD48" s="677"/>
      <c r="AE48" s="524"/>
      <c r="AF48" s="523"/>
      <c r="AG48" s="677"/>
      <c r="AH48" s="524"/>
    </row>
    <row r="49" spans="1:34" x14ac:dyDescent="0.3">
      <c r="E49" s="705"/>
      <c r="N49" s="523"/>
      <c r="O49" s="677"/>
      <c r="P49" s="683"/>
      <c r="Q49" s="523"/>
      <c r="R49" s="677"/>
      <c r="S49" s="683"/>
      <c r="T49" s="523"/>
      <c r="U49" s="677"/>
      <c r="V49" s="524"/>
      <c r="W49" s="523"/>
      <c r="X49" s="677"/>
      <c r="Y49" s="524"/>
      <c r="Z49" s="523"/>
      <c r="AA49" s="677"/>
      <c r="AB49" s="524"/>
      <c r="AC49" s="523"/>
      <c r="AD49" s="677"/>
      <c r="AE49" s="524"/>
      <c r="AF49" s="523"/>
      <c r="AG49" s="677"/>
      <c r="AH49" s="524"/>
    </row>
    <row r="50" spans="1:34" x14ac:dyDescent="0.3">
      <c r="A50" s="5" t="s">
        <v>290</v>
      </c>
      <c r="E50" s="706">
        <f>B46-E46</f>
        <v>9093</v>
      </c>
      <c r="F50" s="707"/>
      <c r="G50" s="707">
        <f>D46-G46</f>
        <v>-3380535</v>
      </c>
      <c r="H50" s="706">
        <f>E46-H46</f>
        <v>293884</v>
      </c>
      <c r="I50" s="707"/>
      <c r="J50" s="707">
        <f>G46-J46</f>
        <v>68235204</v>
      </c>
      <c r="K50" s="706">
        <f>H46-K46</f>
        <v>0</v>
      </c>
      <c r="L50" s="707"/>
      <c r="M50" s="707">
        <f>J46-M46</f>
        <v>0</v>
      </c>
      <c r="N50" s="706">
        <f>K46-N46</f>
        <v>0</v>
      </c>
      <c r="O50" s="707"/>
      <c r="P50" s="707">
        <f>M46-P46</f>
        <v>0</v>
      </c>
      <c r="Q50" s="706">
        <f>N46-Q46</f>
        <v>0</v>
      </c>
      <c r="R50" s="707"/>
      <c r="S50" s="707">
        <f>P46-S46</f>
        <v>0</v>
      </c>
      <c r="T50" s="523"/>
      <c r="V50" s="664"/>
      <c r="W50" s="523"/>
      <c r="Y50" s="524"/>
      <c r="Z50" s="523"/>
      <c r="AB50" s="524"/>
      <c r="AC50" s="523"/>
      <c r="AE50" s="524"/>
      <c r="AF50" s="523"/>
      <c r="AH50" s="524"/>
    </row>
    <row r="51" spans="1:34" ht="17.25" thickBot="1" x14ac:dyDescent="0.35">
      <c r="A51" s="702" t="s">
        <v>291</v>
      </c>
      <c r="B51" s="702"/>
      <c r="C51" s="702"/>
      <c r="D51" s="702"/>
      <c r="E51" s="708">
        <f>B47-E47</f>
        <v>0</v>
      </c>
      <c r="F51" s="709"/>
      <c r="G51" s="709">
        <f>D47-G47</f>
        <v>-12012</v>
      </c>
      <c r="H51" s="708">
        <f>E47-H47</f>
        <v>423</v>
      </c>
      <c r="I51" s="709"/>
      <c r="J51" s="709">
        <f>G47-J47</f>
        <v>99718</v>
      </c>
      <c r="K51" s="708">
        <f>H47-K47</f>
        <v>0</v>
      </c>
      <c r="L51" s="709"/>
      <c r="M51" s="709">
        <f>J47-M47</f>
        <v>0</v>
      </c>
      <c r="N51" s="708">
        <f>K47-N47</f>
        <v>0</v>
      </c>
      <c r="O51" s="709"/>
      <c r="P51" s="709">
        <f>M47-P47</f>
        <v>0</v>
      </c>
      <c r="Q51" s="708">
        <f>N47-Q47</f>
        <v>0</v>
      </c>
      <c r="R51" s="709"/>
      <c r="S51" s="709">
        <f>P47-S47</f>
        <v>0</v>
      </c>
      <c r="T51" s="523"/>
      <c r="V51" s="664"/>
      <c r="W51" s="663"/>
      <c r="X51" s="663"/>
      <c r="Y51" s="664"/>
      <c r="Z51" s="663"/>
      <c r="AA51" s="663"/>
      <c r="AB51" s="664"/>
      <c r="AC51" s="663"/>
      <c r="AD51" s="663"/>
      <c r="AE51" s="664"/>
      <c r="AF51" s="663"/>
      <c r="AG51" s="663"/>
      <c r="AH51" s="664"/>
    </row>
    <row r="52" spans="1:34" x14ac:dyDescent="0.3">
      <c r="A52" s="5" t="s">
        <v>0</v>
      </c>
      <c r="E52" s="706">
        <f>SUM(E50:E51)</f>
        <v>9093</v>
      </c>
      <c r="F52" s="707"/>
      <c r="G52" s="707">
        <f>SUM(G50:G51)</f>
        <v>-3392547</v>
      </c>
      <c r="H52" s="706">
        <f>SUM(H50:H51)</f>
        <v>294307</v>
      </c>
      <c r="I52" s="707"/>
      <c r="J52" s="707">
        <f>SUM(J50:J51)</f>
        <v>68334922</v>
      </c>
      <c r="K52" s="706">
        <f>SUM(K50:K51)</f>
        <v>0</v>
      </c>
      <c r="L52" s="707"/>
      <c r="M52" s="707">
        <f>SUM(M50:M51)</f>
        <v>0</v>
      </c>
      <c r="N52" s="706">
        <f>SUM(N50:N51)</f>
        <v>0</v>
      </c>
      <c r="O52" s="707"/>
      <c r="P52" s="707">
        <f>SUM(P50:P51)</f>
        <v>0</v>
      </c>
      <c r="Q52" s="706">
        <f>SUM(Q50:Q51)</f>
        <v>0</v>
      </c>
      <c r="R52" s="707"/>
      <c r="S52" s="707">
        <f>SUM(S50:S51)</f>
        <v>0</v>
      </c>
    </row>
    <row r="53" spans="1:34" x14ac:dyDescent="0.3">
      <c r="Z53" s="524"/>
      <c r="AC53" s="524"/>
      <c r="AF53" s="524"/>
    </row>
    <row r="54" spans="1:34" x14ac:dyDescent="0.3">
      <c r="E54" s="523"/>
      <c r="F54" s="524"/>
      <c r="G54" s="524"/>
      <c r="H54" s="523"/>
      <c r="I54" s="524"/>
      <c r="J54" s="710"/>
      <c r="K54" s="663">
        <f>B46-K46</f>
        <v>302977</v>
      </c>
      <c r="L54" s="524"/>
      <c r="M54" s="711">
        <f>D46-M46</f>
        <v>64854669</v>
      </c>
      <c r="N54" s="523"/>
      <c r="O54" s="524"/>
      <c r="P54" s="524"/>
    </row>
    <row r="55" spans="1:34" ht="17.25" thickBot="1" x14ac:dyDescent="0.35">
      <c r="E55" s="523"/>
      <c r="F55" s="524"/>
      <c r="G55" s="524"/>
      <c r="H55" s="523"/>
      <c r="I55" s="663"/>
      <c r="J55" s="710"/>
      <c r="K55" s="712">
        <f>B47-K47</f>
        <v>423</v>
      </c>
      <c r="L55" s="704"/>
      <c r="M55" s="713">
        <f>D47-M47</f>
        <v>87706</v>
      </c>
      <c r="N55" s="523"/>
      <c r="O55" s="524"/>
      <c r="P55" s="524"/>
    </row>
    <row r="56" spans="1:34" x14ac:dyDescent="0.3">
      <c r="E56" s="523"/>
      <c r="F56" s="524"/>
      <c r="G56" s="524"/>
      <c r="H56" s="523"/>
      <c r="I56" s="663"/>
      <c r="J56" s="710"/>
      <c r="K56" s="663">
        <f>SUM(K54:K55)</f>
        <v>303400</v>
      </c>
      <c r="L56" s="524"/>
      <c r="M56" s="711">
        <f>SUM(M54:M55)</f>
        <v>64942375</v>
      </c>
      <c r="N56" s="523"/>
      <c r="O56" s="524"/>
      <c r="P56" s="524"/>
    </row>
    <row r="57" spans="1:34" x14ac:dyDescent="0.3">
      <c r="A57" s="714"/>
      <c r="E57" s="523"/>
      <c r="F57" s="524"/>
      <c r="G57" s="524"/>
      <c r="H57" s="523"/>
      <c r="I57" s="663"/>
      <c r="J57" s="710"/>
      <c r="K57" s="697"/>
      <c r="L57" s="698"/>
      <c r="M57" s="715"/>
      <c r="N57" s="697"/>
      <c r="O57" s="698"/>
      <c r="P57" s="698"/>
    </row>
    <row r="58" spans="1:34" x14ac:dyDescent="0.3">
      <c r="B58" s="714"/>
      <c r="C58" s="714"/>
      <c r="D58" s="714"/>
      <c r="E58" s="523"/>
      <c r="F58" s="524"/>
      <c r="G58" s="524"/>
      <c r="H58" s="523"/>
      <c r="I58" s="663"/>
      <c r="J58" s="716"/>
      <c r="K58" s="523"/>
      <c r="L58" s="524"/>
      <c r="M58" s="717"/>
      <c r="N58" s="523"/>
      <c r="O58" s="524"/>
      <c r="P58" s="524"/>
    </row>
    <row r="59" spans="1:34" x14ac:dyDescent="0.3">
      <c r="A59" s="5" t="s">
        <v>2</v>
      </c>
      <c r="E59" s="523"/>
      <c r="F59" s="524"/>
      <c r="G59" s="524"/>
      <c r="H59" s="523"/>
      <c r="I59" s="663"/>
      <c r="J59" s="716"/>
      <c r="K59" s="523"/>
      <c r="L59" s="524"/>
      <c r="M59" s="717"/>
      <c r="N59" s="523"/>
      <c r="O59" s="524"/>
      <c r="P59" s="524"/>
    </row>
    <row r="60" spans="1:34" x14ac:dyDescent="0.3">
      <c r="A60" s="714"/>
      <c r="E60" s="523"/>
      <c r="F60" s="524"/>
      <c r="G60" s="524"/>
      <c r="H60" s="523"/>
      <c r="I60" s="663"/>
      <c r="J60" s="716"/>
      <c r="K60" s="697"/>
      <c r="L60" s="698"/>
      <c r="M60" s="718"/>
      <c r="N60" s="697"/>
      <c r="O60" s="698"/>
      <c r="P60" s="698"/>
    </row>
    <row r="61" spans="1:34" x14ac:dyDescent="0.3">
      <c r="B61" s="714"/>
      <c r="C61" s="714"/>
      <c r="D61" s="714"/>
      <c r="E61" s="523"/>
      <c r="F61" s="524"/>
      <c r="G61" s="524"/>
      <c r="H61" s="523"/>
      <c r="I61" s="663"/>
      <c r="J61" s="716"/>
      <c r="K61" s="523"/>
      <c r="L61" s="524"/>
      <c r="M61" s="717"/>
      <c r="N61" s="523"/>
      <c r="O61" s="524"/>
      <c r="P61" s="524"/>
    </row>
    <row r="62" spans="1:34" x14ac:dyDescent="0.3">
      <c r="E62" s="523"/>
      <c r="F62" s="524"/>
      <c r="G62" s="524"/>
      <c r="H62" s="523"/>
      <c r="I62" s="663"/>
      <c r="J62" s="716"/>
      <c r="K62" s="523"/>
      <c r="L62" s="524"/>
      <c r="M62" s="719"/>
      <c r="N62" s="523"/>
      <c r="O62" s="524"/>
      <c r="P62" s="524"/>
    </row>
    <row r="63" spans="1:34" x14ac:dyDescent="0.3">
      <c r="E63" s="523"/>
      <c r="F63" s="524"/>
      <c r="G63" s="524"/>
      <c r="H63" s="523"/>
      <c r="I63" s="663"/>
      <c r="J63" s="716"/>
      <c r="K63" s="523"/>
      <c r="L63" s="524"/>
      <c r="M63" s="719"/>
      <c r="N63" s="523"/>
      <c r="O63" s="524"/>
      <c r="P63" s="524"/>
    </row>
    <row r="64" spans="1:34" x14ac:dyDescent="0.3">
      <c r="A64" s="714"/>
      <c r="E64" s="523"/>
      <c r="F64" s="698"/>
      <c r="G64" s="698"/>
      <c r="H64" s="523"/>
      <c r="I64" s="663"/>
      <c r="J64" s="716"/>
      <c r="K64" s="697"/>
      <c r="L64" s="698"/>
      <c r="M64" s="718"/>
      <c r="N64" s="697"/>
      <c r="O64" s="698"/>
      <c r="P64" s="698"/>
    </row>
    <row r="65" spans="1:38" x14ac:dyDescent="0.3">
      <c r="A65" s="6"/>
      <c r="B65" s="714"/>
      <c r="C65" s="714"/>
      <c r="D65" s="714"/>
      <c r="E65" s="697"/>
      <c r="F65" s="6"/>
      <c r="G65" s="698"/>
      <c r="H65" s="523"/>
      <c r="I65" s="663"/>
      <c r="J65" s="663"/>
      <c r="K65" s="523"/>
      <c r="L65" s="524"/>
      <c r="M65" s="719"/>
    </row>
    <row r="66" spans="1:38" x14ac:dyDescent="0.3">
      <c r="B66" s="6"/>
      <c r="C66" s="6"/>
      <c r="D66" s="6"/>
      <c r="E66" s="523"/>
      <c r="F66" s="524"/>
      <c r="G66" s="524"/>
      <c r="H66" s="523"/>
      <c r="I66" s="663"/>
      <c r="K66" s="523"/>
      <c r="M66" s="719"/>
    </row>
    <row r="67" spans="1:38" x14ac:dyDescent="0.3">
      <c r="E67" s="523"/>
      <c r="G67" s="524"/>
      <c r="H67" s="523"/>
      <c r="I67" s="663"/>
      <c r="J67" s="720"/>
      <c r="K67" s="697"/>
      <c r="L67" s="721"/>
      <c r="M67" s="718"/>
      <c r="N67" s="697"/>
      <c r="O67" s="698"/>
      <c r="P67" s="698"/>
    </row>
    <row r="68" spans="1:38" x14ac:dyDescent="0.3">
      <c r="A68" s="714"/>
      <c r="E68" s="523"/>
      <c r="F68" s="524"/>
      <c r="G68" s="524"/>
      <c r="J68" s="714"/>
      <c r="K68" s="523"/>
      <c r="L68" s="524"/>
      <c r="M68" s="524"/>
      <c r="N68" s="697"/>
      <c r="O68" s="698"/>
      <c r="P68" s="698"/>
    </row>
    <row r="69" spans="1:38" x14ac:dyDescent="0.3">
      <c r="B69" s="714"/>
      <c r="C69" s="714"/>
      <c r="D69" s="714"/>
      <c r="G69" s="524"/>
      <c r="N69" s="663"/>
      <c r="O69" s="664"/>
      <c r="P69" s="664"/>
    </row>
    <row r="80" spans="1:38" x14ac:dyDescent="0.3">
      <c r="T80" s="722"/>
      <c r="W80" s="722"/>
      <c r="Z80" s="722"/>
      <c r="AC80" s="722"/>
      <c r="AF80" s="722"/>
      <c r="AI80" s="722"/>
      <c r="AL80" s="722"/>
    </row>
    <row r="81" spans="1:40" ht="14.45" customHeight="1" x14ac:dyDescent="0.3">
      <c r="Q81" s="722"/>
      <c r="T81" s="723"/>
      <c r="U81" s="723"/>
      <c r="V81" s="723"/>
      <c r="W81" s="723"/>
      <c r="X81" s="723"/>
      <c r="Y81" s="723"/>
      <c r="Z81" s="723"/>
      <c r="AA81" s="723"/>
      <c r="AB81" s="723"/>
      <c r="AC81" s="723"/>
      <c r="AD81" s="723"/>
      <c r="AE81" s="723"/>
      <c r="AF81" s="723"/>
      <c r="AG81" s="723"/>
      <c r="AH81" s="723"/>
      <c r="AI81" s="723"/>
      <c r="AJ81" s="723"/>
      <c r="AK81" s="723"/>
      <c r="AL81" s="723"/>
      <c r="AM81" s="723"/>
      <c r="AN81" s="723"/>
    </row>
    <row r="82" spans="1:40" x14ac:dyDescent="0.3">
      <c r="E82" s="722"/>
      <c r="H82" s="722"/>
      <c r="K82" s="722"/>
      <c r="N82" s="722"/>
      <c r="Q82" s="723"/>
      <c r="R82" s="723"/>
      <c r="S82" s="723"/>
      <c r="T82" s="723"/>
      <c r="U82" s="723"/>
      <c r="V82" s="723"/>
      <c r="W82" s="723"/>
      <c r="X82" s="723"/>
      <c r="Y82" s="723"/>
      <c r="Z82" s="723"/>
      <c r="AA82" s="723"/>
      <c r="AB82" s="723"/>
      <c r="AC82" s="723"/>
      <c r="AD82" s="723"/>
      <c r="AE82" s="723"/>
      <c r="AF82" s="723"/>
      <c r="AG82" s="723"/>
      <c r="AH82" s="723"/>
      <c r="AI82" s="723"/>
      <c r="AJ82" s="723"/>
      <c r="AK82" s="723"/>
      <c r="AL82" s="723"/>
      <c r="AM82" s="723"/>
      <c r="AN82" s="723"/>
    </row>
    <row r="83" spans="1:40" x14ac:dyDescent="0.3">
      <c r="A83" s="724"/>
      <c r="E83" s="723"/>
      <c r="F83" s="723"/>
      <c r="G83" s="723"/>
      <c r="H83" s="723"/>
      <c r="I83" s="723"/>
      <c r="J83" s="723"/>
      <c r="K83" s="723"/>
      <c r="L83" s="723"/>
      <c r="M83" s="723"/>
      <c r="N83" s="723"/>
      <c r="O83" s="723"/>
      <c r="P83" s="723"/>
      <c r="Q83" s="723"/>
      <c r="R83" s="723"/>
      <c r="S83" s="723"/>
      <c r="T83" s="523"/>
      <c r="U83" s="524"/>
      <c r="V83" s="524"/>
      <c r="W83" s="523"/>
      <c r="X83" s="524"/>
      <c r="Y83" s="524"/>
      <c r="Z83" s="523"/>
      <c r="AA83" s="524"/>
      <c r="AB83" s="524"/>
      <c r="AC83" s="725"/>
      <c r="AD83" s="524"/>
      <c r="AE83" s="524"/>
      <c r="AF83" s="725"/>
      <c r="AG83" s="524"/>
      <c r="AH83" s="524"/>
      <c r="AI83" s="725"/>
      <c r="AJ83" s="524"/>
      <c r="AK83" s="524"/>
      <c r="AL83" s="725"/>
      <c r="AM83" s="524"/>
      <c r="AN83" s="524"/>
    </row>
    <row r="84" spans="1:40" x14ac:dyDescent="0.3">
      <c r="A84" s="724"/>
      <c r="B84" s="726"/>
      <c r="C84" s="726"/>
      <c r="D84" s="726"/>
      <c r="E84" s="723"/>
      <c r="F84" s="723"/>
      <c r="G84" s="723"/>
      <c r="H84" s="723"/>
      <c r="I84" s="723"/>
      <c r="J84" s="723"/>
      <c r="K84" s="723"/>
      <c r="L84" s="723"/>
      <c r="M84" s="723"/>
      <c r="N84" s="723"/>
      <c r="O84" s="723"/>
      <c r="P84" s="723"/>
      <c r="Q84" s="523"/>
      <c r="R84" s="524"/>
      <c r="S84" s="524"/>
      <c r="T84" s="523"/>
      <c r="U84" s="524"/>
      <c r="V84" s="524"/>
      <c r="W84" s="523"/>
      <c r="X84" s="524"/>
      <c r="Y84" s="524"/>
      <c r="Z84" s="523"/>
      <c r="AA84" s="524"/>
      <c r="AB84" s="524"/>
      <c r="AC84" s="725"/>
      <c r="AD84" s="524"/>
      <c r="AE84" s="524"/>
      <c r="AF84" s="725"/>
      <c r="AG84" s="524"/>
      <c r="AH84" s="524"/>
      <c r="AI84" s="725"/>
      <c r="AJ84" s="524"/>
      <c r="AK84" s="524"/>
      <c r="AL84" s="725"/>
      <c r="AM84" s="524"/>
      <c r="AN84" s="524"/>
    </row>
    <row r="85" spans="1:40" x14ac:dyDescent="0.3">
      <c r="B85" s="726"/>
      <c r="C85" s="726"/>
      <c r="D85" s="726"/>
      <c r="E85" s="725"/>
      <c r="F85" s="524"/>
      <c r="G85" s="524"/>
      <c r="H85" s="725"/>
      <c r="I85" s="524"/>
      <c r="J85" s="524"/>
      <c r="K85" s="523"/>
      <c r="L85" s="524"/>
      <c r="M85" s="524"/>
      <c r="N85" s="523"/>
      <c r="O85" s="524"/>
      <c r="P85" s="524"/>
      <c r="Q85" s="523"/>
      <c r="R85" s="524"/>
      <c r="S85" s="524"/>
      <c r="T85" s="523"/>
      <c r="U85" s="524"/>
      <c r="V85" s="524"/>
      <c r="W85" s="523"/>
      <c r="X85" s="524"/>
      <c r="Y85" s="524"/>
      <c r="Z85" s="523"/>
      <c r="AA85" s="524"/>
      <c r="AB85" s="524"/>
      <c r="AC85" s="523"/>
      <c r="AD85" s="524"/>
      <c r="AE85" s="524"/>
      <c r="AF85" s="523"/>
      <c r="AG85" s="524"/>
      <c r="AH85" s="524"/>
      <c r="AI85" s="523"/>
      <c r="AJ85" s="524"/>
      <c r="AK85" s="524"/>
      <c r="AL85" s="523"/>
      <c r="AM85" s="524"/>
      <c r="AN85" s="524"/>
    </row>
    <row r="86" spans="1:40" x14ac:dyDescent="0.3">
      <c r="E86" s="725"/>
      <c r="F86" s="524"/>
      <c r="G86" s="524"/>
      <c r="H86" s="725"/>
      <c r="I86" s="524"/>
      <c r="J86" s="524"/>
      <c r="K86" s="523"/>
      <c r="L86" s="524"/>
      <c r="M86" s="524"/>
      <c r="N86" s="523"/>
      <c r="O86" s="524"/>
      <c r="P86" s="524"/>
      <c r="Q86" s="523"/>
      <c r="R86" s="524"/>
      <c r="S86" s="524"/>
      <c r="T86" s="523"/>
      <c r="U86" s="524"/>
      <c r="V86" s="524"/>
      <c r="W86" s="523"/>
      <c r="X86" s="524"/>
      <c r="Y86" s="524"/>
      <c r="Z86" s="523"/>
      <c r="AA86" s="524"/>
      <c r="AB86" s="524"/>
      <c r="AC86" s="523"/>
      <c r="AD86" s="524"/>
      <c r="AE86" s="524"/>
      <c r="AF86" s="523"/>
      <c r="AG86" s="524"/>
      <c r="AH86" s="524"/>
      <c r="AI86" s="523"/>
      <c r="AJ86" s="524"/>
      <c r="AK86" s="524"/>
      <c r="AL86" s="523"/>
      <c r="AM86" s="524"/>
      <c r="AN86" s="524"/>
    </row>
    <row r="87" spans="1:40" x14ac:dyDescent="0.3">
      <c r="E87" s="523"/>
      <c r="F87" s="524"/>
      <c r="G87" s="524"/>
      <c r="H87" s="523"/>
      <c r="I87" s="524"/>
      <c r="J87" s="524"/>
      <c r="K87" s="523"/>
      <c r="L87" s="524"/>
      <c r="M87" s="524"/>
      <c r="N87" s="523"/>
      <c r="O87" s="524"/>
      <c r="P87" s="524"/>
      <c r="Q87" s="523"/>
      <c r="R87" s="524"/>
      <c r="S87" s="524"/>
      <c r="T87" s="523"/>
      <c r="U87" s="524"/>
      <c r="W87" s="523"/>
      <c r="X87" s="524"/>
      <c r="Z87" s="523"/>
      <c r="AA87" s="524"/>
      <c r="AC87" s="523"/>
      <c r="AD87" s="524"/>
      <c r="AF87" s="523"/>
      <c r="AG87" s="524"/>
      <c r="AI87" s="523"/>
      <c r="AJ87" s="524"/>
      <c r="AL87" s="523"/>
      <c r="AM87" s="524"/>
    </row>
    <row r="88" spans="1:40" x14ac:dyDescent="0.3">
      <c r="E88" s="523"/>
      <c r="F88" s="524"/>
      <c r="G88" s="524"/>
      <c r="H88" s="523"/>
      <c r="I88" s="524"/>
      <c r="J88" s="524"/>
      <c r="K88" s="523"/>
      <c r="L88" s="524"/>
      <c r="M88" s="524"/>
      <c r="N88" s="523"/>
      <c r="O88" s="524"/>
      <c r="P88" s="524"/>
      <c r="Q88" s="523"/>
      <c r="R88" s="524"/>
      <c r="T88" s="523"/>
      <c r="U88" s="524"/>
      <c r="V88" s="524"/>
      <c r="W88" s="523"/>
      <c r="X88" s="524"/>
      <c r="Y88" s="524"/>
      <c r="Z88" s="523"/>
      <c r="AA88" s="524"/>
      <c r="AB88" s="524"/>
      <c r="AC88" s="523"/>
      <c r="AD88" s="524"/>
      <c r="AE88" s="524"/>
      <c r="AF88" s="523"/>
      <c r="AG88" s="524"/>
      <c r="AH88" s="524"/>
      <c r="AI88" s="523"/>
      <c r="AJ88" s="524"/>
      <c r="AK88" s="524"/>
      <c r="AL88" s="523"/>
      <c r="AM88" s="524"/>
      <c r="AN88" s="524"/>
    </row>
    <row r="89" spans="1:40" x14ac:dyDescent="0.3">
      <c r="E89" s="523"/>
      <c r="F89" s="524"/>
      <c r="H89" s="523"/>
      <c r="I89" s="524"/>
      <c r="K89" s="523"/>
      <c r="L89" s="524"/>
      <c r="N89" s="523"/>
      <c r="O89" s="524"/>
      <c r="Q89" s="523"/>
      <c r="R89" s="524"/>
      <c r="S89" s="524"/>
      <c r="T89" s="523"/>
      <c r="U89" s="524"/>
      <c r="V89" s="524"/>
      <c r="W89" s="523"/>
      <c r="X89" s="524"/>
      <c r="Y89" s="524"/>
      <c r="Z89" s="523"/>
      <c r="AA89" s="524"/>
      <c r="AB89" s="524"/>
      <c r="AC89" s="523"/>
      <c r="AD89" s="524"/>
      <c r="AE89" s="524"/>
      <c r="AF89" s="523"/>
      <c r="AG89" s="524"/>
      <c r="AH89" s="524"/>
      <c r="AI89" s="523"/>
      <c r="AJ89" s="524"/>
      <c r="AK89" s="524"/>
      <c r="AL89" s="523"/>
      <c r="AM89" s="524"/>
      <c r="AN89" s="524"/>
    </row>
    <row r="90" spans="1:40" x14ac:dyDescent="0.3">
      <c r="E90" s="523"/>
      <c r="F90" s="524"/>
      <c r="G90" s="524"/>
      <c r="H90" s="523"/>
      <c r="I90" s="524"/>
      <c r="J90" s="524"/>
      <c r="K90" s="523"/>
      <c r="L90" s="524"/>
      <c r="M90" s="524"/>
      <c r="N90" s="523"/>
      <c r="O90" s="524"/>
      <c r="P90" s="524"/>
      <c r="Q90" s="523"/>
      <c r="R90" s="524"/>
      <c r="S90" s="524"/>
      <c r="T90" s="523"/>
      <c r="U90" s="524"/>
      <c r="V90" s="524"/>
      <c r="W90" s="523"/>
      <c r="X90" s="524"/>
      <c r="Y90" s="524"/>
      <c r="Z90" s="523"/>
      <c r="AA90" s="524"/>
      <c r="AB90" s="524"/>
      <c r="AC90" s="523"/>
      <c r="AD90" s="524"/>
      <c r="AE90" s="524"/>
      <c r="AF90" s="523"/>
      <c r="AG90" s="524"/>
      <c r="AH90" s="524"/>
      <c r="AI90" s="523"/>
      <c r="AJ90" s="524"/>
      <c r="AK90" s="524"/>
      <c r="AL90" s="523"/>
      <c r="AM90" s="524"/>
      <c r="AN90" s="524"/>
    </row>
    <row r="91" spans="1:40" x14ac:dyDescent="0.3">
      <c r="E91" s="523"/>
      <c r="F91" s="524"/>
      <c r="G91" s="524"/>
      <c r="H91" s="523"/>
      <c r="I91" s="524"/>
      <c r="J91" s="524"/>
      <c r="K91" s="523"/>
      <c r="L91" s="524"/>
      <c r="M91" s="524"/>
      <c r="N91" s="523"/>
      <c r="O91" s="524"/>
      <c r="P91" s="524"/>
      <c r="Q91" s="523"/>
      <c r="R91" s="524"/>
      <c r="S91" s="524"/>
      <c r="T91" s="523"/>
      <c r="U91" s="524"/>
      <c r="W91" s="523"/>
      <c r="X91" s="524"/>
      <c r="Z91" s="523"/>
      <c r="AA91" s="524"/>
      <c r="AC91" s="523"/>
      <c r="AD91" s="524"/>
      <c r="AF91" s="523"/>
      <c r="AG91" s="524"/>
      <c r="AI91" s="523"/>
      <c r="AJ91" s="524"/>
      <c r="AL91" s="523"/>
      <c r="AM91" s="524"/>
    </row>
    <row r="92" spans="1:40" x14ac:dyDescent="0.3">
      <c r="E92" s="523"/>
      <c r="F92" s="524"/>
      <c r="G92" s="524"/>
      <c r="H92" s="523"/>
      <c r="I92" s="524"/>
      <c r="J92" s="524"/>
      <c r="K92" s="523"/>
      <c r="L92" s="524"/>
      <c r="M92" s="524"/>
      <c r="N92" s="523"/>
      <c r="O92" s="524"/>
      <c r="P92" s="524"/>
      <c r="Q92" s="523"/>
      <c r="R92" s="524"/>
      <c r="T92" s="523"/>
      <c r="U92" s="524"/>
      <c r="V92" s="524"/>
      <c r="W92" s="523"/>
      <c r="X92" s="524"/>
      <c r="Y92" s="524"/>
      <c r="Z92" s="523"/>
      <c r="AA92" s="524"/>
      <c r="AB92" s="524"/>
      <c r="AC92" s="523"/>
      <c r="AD92" s="524"/>
      <c r="AE92" s="524"/>
      <c r="AF92" s="523"/>
      <c r="AG92" s="524"/>
      <c r="AH92" s="524"/>
      <c r="AI92" s="523"/>
      <c r="AJ92" s="524"/>
      <c r="AK92" s="524"/>
      <c r="AL92" s="523"/>
      <c r="AM92" s="524"/>
      <c r="AN92" s="524"/>
    </row>
    <row r="93" spans="1:40" x14ac:dyDescent="0.3">
      <c r="E93" s="523"/>
      <c r="F93" s="524"/>
      <c r="H93" s="523"/>
      <c r="I93" s="524"/>
      <c r="K93" s="523"/>
      <c r="L93" s="524"/>
      <c r="N93" s="523"/>
      <c r="O93" s="524"/>
      <c r="Q93" s="523"/>
      <c r="R93" s="524"/>
      <c r="S93" s="524"/>
      <c r="T93" s="523"/>
      <c r="U93" s="524"/>
      <c r="V93" s="524"/>
      <c r="W93" s="523"/>
      <c r="X93" s="524"/>
      <c r="Y93" s="524"/>
      <c r="Z93" s="523"/>
      <c r="AA93" s="524"/>
      <c r="AB93" s="524"/>
      <c r="AC93" s="523"/>
      <c r="AD93" s="524"/>
      <c r="AE93" s="524"/>
      <c r="AF93" s="523"/>
      <c r="AG93" s="524"/>
      <c r="AH93" s="524"/>
      <c r="AI93" s="523"/>
      <c r="AJ93" s="524"/>
      <c r="AK93" s="524"/>
      <c r="AL93" s="523"/>
      <c r="AM93" s="524"/>
      <c r="AN93" s="524"/>
    </row>
    <row r="94" spans="1:40" x14ac:dyDescent="0.3">
      <c r="E94" s="523"/>
      <c r="F94" s="524"/>
      <c r="G94" s="524"/>
      <c r="H94" s="523"/>
      <c r="I94" s="524"/>
      <c r="J94" s="524"/>
      <c r="K94" s="523"/>
      <c r="L94" s="524"/>
      <c r="M94" s="524"/>
      <c r="N94" s="523"/>
      <c r="O94" s="524"/>
      <c r="P94" s="524"/>
      <c r="Q94" s="523"/>
      <c r="R94" s="524"/>
      <c r="S94" s="524"/>
      <c r="T94" s="523"/>
      <c r="U94" s="524"/>
      <c r="V94" s="524"/>
      <c r="W94" s="523"/>
      <c r="X94" s="524"/>
      <c r="Y94" s="524"/>
      <c r="Z94" s="523"/>
      <c r="AA94" s="524"/>
      <c r="AB94" s="524"/>
      <c r="AC94" s="523"/>
      <c r="AD94" s="524"/>
      <c r="AE94" s="524"/>
      <c r="AF94" s="523"/>
      <c r="AG94" s="524"/>
      <c r="AH94" s="524"/>
      <c r="AI94" s="523"/>
      <c r="AJ94" s="524"/>
      <c r="AK94" s="524"/>
      <c r="AL94" s="523"/>
      <c r="AM94" s="524"/>
      <c r="AN94" s="524"/>
    </row>
    <row r="95" spans="1:40" x14ac:dyDescent="0.3">
      <c r="E95" s="523"/>
      <c r="F95" s="524"/>
      <c r="G95" s="524"/>
      <c r="H95" s="523"/>
      <c r="I95" s="524"/>
      <c r="J95" s="524"/>
      <c r="K95" s="523"/>
      <c r="L95" s="524"/>
      <c r="M95" s="524"/>
      <c r="N95" s="523"/>
      <c r="O95" s="524"/>
      <c r="P95" s="524"/>
      <c r="Q95" s="523"/>
      <c r="R95" s="524"/>
      <c r="S95" s="524"/>
      <c r="T95" s="523"/>
      <c r="U95" s="524"/>
      <c r="V95" s="524"/>
      <c r="W95" s="725"/>
      <c r="X95" s="524"/>
      <c r="Y95" s="524"/>
      <c r="Z95" s="725"/>
      <c r="AA95" s="524"/>
      <c r="AB95" s="524"/>
      <c r="AC95" s="523"/>
      <c r="AD95" s="524"/>
      <c r="AE95" s="524"/>
      <c r="AF95" s="523"/>
      <c r="AG95" s="524"/>
      <c r="AH95" s="524"/>
      <c r="AI95" s="523"/>
      <c r="AJ95" s="524"/>
      <c r="AK95" s="524"/>
      <c r="AL95" s="523"/>
      <c r="AM95" s="524"/>
      <c r="AN95" s="524"/>
    </row>
    <row r="96" spans="1:40" x14ac:dyDescent="0.3">
      <c r="E96" s="523"/>
      <c r="F96" s="524"/>
      <c r="G96" s="524"/>
      <c r="H96" s="523"/>
      <c r="I96" s="524"/>
      <c r="J96" s="524"/>
      <c r="K96" s="523"/>
      <c r="L96" s="524"/>
      <c r="M96" s="524"/>
      <c r="N96" s="523"/>
      <c r="O96" s="524"/>
      <c r="P96" s="524"/>
      <c r="Q96" s="523"/>
      <c r="R96" s="524"/>
      <c r="S96" s="524"/>
      <c r="T96" s="523"/>
      <c r="U96" s="524"/>
      <c r="V96" s="524"/>
      <c r="W96" s="523"/>
      <c r="X96" s="524"/>
      <c r="Y96" s="524"/>
      <c r="Z96" s="523"/>
      <c r="AA96" s="524"/>
      <c r="AB96" s="524"/>
      <c r="AC96" s="523"/>
      <c r="AD96" s="524"/>
      <c r="AE96" s="524"/>
      <c r="AF96" s="523"/>
      <c r="AG96" s="524"/>
      <c r="AH96" s="524"/>
      <c r="AI96" s="523"/>
      <c r="AJ96" s="524"/>
      <c r="AK96" s="524"/>
      <c r="AL96" s="523"/>
      <c r="AM96" s="524"/>
      <c r="AN96" s="524"/>
    </row>
    <row r="97" spans="1:40" x14ac:dyDescent="0.3">
      <c r="E97" s="523"/>
      <c r="F97" s="524"/>
      <c r="G97" s="524"/>
      <c r="H97" s="523"/>
      <c r="I97" s="524"/>
      <c r="J97" s="524"/>
      <c r="K97" s="523"/>
      <c r="L97" s="524"/>
      <c r="M97" s="524"/>
      <c r="N97" s="523"/>
      <c r="O97" s="524"/>
      <c r="P97" s="524"/>
      <c r="Q97" s="523"/>
      <c r="R97" s="524"/>
      <c r="S97" s="524"/>
      <c r="T97" s="523"/>
      <c r="U97" s="524"/>
      <c r="V97" s="727"/>
      <c r="W97" s="725"/>
      <c r="X97" s="524"/>
      <c r="Y97" s="727"/>
      <c r="Z97" s="725"/>
      <c r="AA97" s="524"/>
      <c r="AB97" s="727"/>
      <c r="AC97" s="523"/>
      <c r="AD97" s="524"/>
      <c r="AE97" s="727"/>
      <c r="AF97" s="523"/>
      <c r="AG97" s="524"/>
      <c r="AH97" s="727"/>
      <c r="AI97" s="523"/>
      <c r="AJ97" s="524"/>
      <c r="AK97" s="727"/>
      <c r="AL97" s="523"/>
      <c r="AM97" s="524"/>
      <c r="AN97" s="727"/>
    </row>
    <row r="98" spans="1:40" x14ac:dyDescent="0.3">
      <c r="E98" s="523"/>
      <c r="F98" s="524"/>
      <c r="G98" s="524"/>
      <c r="H98" s="523"/>
      <c r="I98" s="524"/>
      <c r="J98" s="524"/>
      <c r="K98" s="523"/>
      <c r="L98" s="524"/>
      <c r="M98" s="524"/>
      <c r="N98" s="523"/>
      <c r="O98" s="524"/>
      <c r="P98" s="524"/>
      <c r="Q98" s="523"/>
      <c r="R98" s="524"/>
      <c r="S98" s="727"/>
      <c r="T98" s="523"/>
      <c r="U98" s="524"/>
      <c r="V98" s="524"/>
      <c r="W98" s="725"/>
      <c r="X98" s="524"/>
      <c r="Y98" s="524"/>
      <c r="Z98" s="725"/>
      <c r="AA98" s="524"/>
      <c r="AB98" s="524"/>
      <c r="AC98" s="523"/>
      <c r="AD98" s="524"/>
      <c r="AE98" s="524"/>
      <c r="AF98" s="523"/>
      <c r="AG98" s="524"/>
      <c r="AH98" s="524"/>
      <c r="AI98" s="523"/>
      <c r="AJ98" s="524"/>
      <c r="AK98" s="524"/>
      <c r="AL98" s="523"/>
      <c r="AM98" s="524"/>
      <c r="AN98" s="524"/>
    </row>
    <row r="99" spans="1:40" x14ac:dyDescent="0.3">
      <c r="E99" s="523"/>
      <c r="F99" s="524"/>
      <c r="G99" s="727"/>
      <c r="H99" s="523"/>
      <c r="I99" s="524"/>
      <c r="J99" s="727"/>
      <c r="K99" s="523"/>
      <c r="L99" s="524"/>
      <c r="M99" s="727"/>
      <c r="N99" s="523"/>
      <c r="O99" s="524"/>
      <c r="P99" s="727"/>
      <c r="Q99" s="523"/>
      <c r="R99" s="524"/>
      <c r="S99" s="524"/>
      <c r="T99" s="523"/>
      <c r="U99" s="524"/>
      <c r="V99" s="524"/>
      <c r="W99" s="725"/>
      <c r="X99" s="524"/>
      <c r="Y99" s="524"/>
      <c r="Z99" s="725"/>
      <c r="AA99" s="524"/>
      <c r="AB99" s="524"/>
      <c r="AC99" s="523"/>
      <c r="AD99" s="524"/>
      <c r="AE99" s="524"/>
      <c r="AF99" s="523"/>
      <c r="AG99" s="524"/>
      <c r="AH99" s="524"/>
      <c r="AI99" s="523"/>
      <c r="AJ99" s="524"/>
      <c r="AK99" s="524"/>
      <c r="AL99" s="523"/>
      <c r="AM99" s="524"/>
      <c r="AN99" s="524"/>
    </row>
    <row r="100" spans="1:40" x14ac:dyDescent="0.3">
      <c r="E100" s="523"/>
      <c r="F100" s="524"/>
      <c r="G100" s="524"/>
      <c r="H100" s="523"/>
      <c r="I100" s="524"/>
      <c r="J100" s="524"/>
      <c r="K100" s="523"/>
      <c r="L100" s="524"/>
      <c r="M100" s="524"/>
      <c r="N100" s="523"/>
      <c r="O100" s="524"/>
      <c r="P100" s="524"/>
      <c r="Q100" s="523"/>
      <c r="R100" s="524"/>
      <c r="S100" s="524"/>
      <c r="T100" s="523"/>
      <c r="U100" s="524"/>
      <c r="V100" s="524"/>
      <c r="W100" s="523"/>
      <c r="X100" s="524"/>
      <c r="Y100" s="524"/>
      <c r="Z100" s="523"/>
      <c r="AA100" s="524"/>
      <c r="AB100" s="524"/>
      <c r="AC100" s="523"/>
      <c r="AD100" s="524"/>
      <c r="AE100" s="524"/>
      <c r="AF100" s="523"/>
      <c r="AG100" s="524"/>
      <c r="AH100" s="524"/>
      <c r="AI100" s="523"/>
      <c r="AJ100" s="524"/>
      <c r="AK100" s="524"/>
      <c r="AL100" s="523"/>
      <c r="AM100" s="524"/>
      <c r="AN100" s="524"/>
    </row>
    <row r="101" spans="1:40" x14ac:dyDescent="0.3">
      <c r="E101" s="523"/>
      <c r="F101" s="524"/>
      <c r="G101" s="524"/>
      <c r="H101" s="523"/>
      <c r="I101" s="524"/>
      <c r="J101" s="524"/>
      <c r="K101" s="523"/>
      <c r="L101" s="524"/>
      <c r="M101" s="524"/>
      <c r="N101" s="523"/>
      <c r="O101" s="524"/>
      <c r="P101" s="524"/>
      <c r="Q101" s="523"/>
      <c r="R101" s="524"/>
      <c r="S101" s="524"/>
      <c r="T101" s="523"/>
      <c r="U101" s="524"/>
      <c r="V101" s="524"/>
      <c r="W101" s="523"/>
      <c r="X101" s="524"/>
      <c r="Y101" s="524"/>
      <c r="Z101" s="523"/>
      <c r="AA101" s="524"/>
      <c r="AB101" s="524"/>
      <c r="AC101" s="523"/>
      <c r="AD101" s="524"/>
      <c r="AE101" s="524"/>
      <c r="AF101" s="523"/>
      <c r="AG101" s="524"/>
      <c r="AH101" s="524"/>
      <c r="AI101" s="523"/>
      <c r="AJ101" s="524"/>
      <c r="AK101" s="524"/>
      <c r="AL101" s="523"/>
      <c r="AM101" s="524"/>
      <c r="AN101" s="524"/>
    </row>
    <row r="102" spans="1:40" x14ac:dyDescent="0.3">
      <c r="E102" s="523"/>
      <c r="F102" s="524"/>
      <c r="G102" s="524"/>
      <c r="H102" s="523"/>
      <c r="I102" s="524"/>
      <c r="J102" s="524"/>
      <c r="K102" s="523"/>
      <c r="L102" s="524"/>
      <c r="M102" s="524"/>
      <c r="N102" s="523"/>
      <c r="O102" s="524"/>
      <c r="P102" s="524"/>
      <c r="Q102" s="523"/>
      <c r="R102" s="524"/>
      <c r="S102" s="524"/>
      <c r="T102" s="523"/>
      <c r="U102" s="524"/>
      <c r="V102" s="524"/>
      <c r="W102" s="523"/>
      <c r="X102" s="524"/>
      <c r="Y102" s="524"/>
      <c r="Z102" s="523"/>
      <c r="AA102" s="524"/>
      <c r="AB102" s="524"/>
      <c r="AC102" s="523"/>
      <c r="AD102" s="524"/>
      <c r="AE102" s="524"/>
      <c r="AF102" s="523"/>
      <c r="AG102" s="524"/>
      <c r="AH102" s="524"/>
      <c r="AI102" s="523"/>
      <c r="AJ102" s="524"/>
      <c r="AK102" s="524"/>
      <c r="AL102" s="523"/>
      <c r="AM102" s="524"/>
      <c r="AN102" s="524"/>
    </row>
    <row r="103" spans="1:40" ht="18" x14ac:dyDescent="0.35">
      <c r="E103" s="523"/>
      <c r="F103" s="524"/>
      <c r="G103" s="524"/>
      <c r="H103" s="523"/>
      <c r="I103" s="524"/>
      <c r="J103" s="524"/>
      <c r="K103" s="523"/>
      <c r="L103" s="524"/>
      <c r="M103" s="524"/>
      <c r="N103" s="523"/>
      <c r="O103" s="524"/>
      <c r="P103" s="524"/>
      <c r="Q103" s="523"/>
      <c r="R103" s="524"/>
      <c r="S103" s="524"/>
      <c r="T103" s="728"/>
      <c r="U103" s="630"/>
      <c r="V103" s="630"/>
      <c r="W103" s="728"/>
      <c r="X103" s="630"/>
      <c r="Y103" s="630"/>
      <c r="Z103" s="728"/>
      <c r="AA103" s="630"/>
      <c r="AB103" s="630"/>
      <c r="AC103" s="630"/>
      <c r="AD103" s="630"/>
      <c r="AE103" s="630"/>
      <c r="AF103" s="630"/>
      <c r="AG103" s="630"/>
      <c r="AH103" s="630"/>
      <c r="AI103" s="630"/>
      <c r="AJ103" s="630"/>
      <c r="AK103" s="630"/>
      <c r="AL103" s="630"/>
      <c r="AM103" s="630"/>
      <c r="AN103" s="630"/>
    </row>
    <row r="104" spans="1:40" ht="18" x14ac:dyDescent="0.35">
      <c r="A104" s="6"/>
      <c r="E104" s="523"/>
      <c r="F104" s="524"/>
      <c r="G104" s="524"/>
      <c r="H104" s="523"/>
      <c r="I104" s="524"/>
      <c r="J104" s="524"/>
      <c r="K104" s="523"/>
      <c r="L104" s="524"/>
      <c r="M104" s="524"/>
      <c r="N104" s="523"/>
      <c r="O104" s="524"/>
      <c r="P104" s="524"/>
      <c r="Q104" s="728"/>
      <c r="R104" s="630"/>
      <c r="S104" s="630"/>
    </row>
    <row r="105" spans="1:40" ht="18" x14ac:dyDescent="0.35">
      <c r="A105" s="643"/>
      <c r="B105" s="6"/>
      <c r="C105" s="6"/>
      <c r="D105" s="6"/>
      <c r="E105" s="728"/>
      <c r="F105" s="630"/>
      <c r="G105" s="630"/>
      <c r="H105" s="728"/>
      <c r="I105" s="630"/>
      <c r="J105" s="630"/>
      <c r="K105" s="728"/>
      <c r="L105" s="630"/>
      <c r="M105" s="630"/>
      <c r="N105" s="728"/>
      <c r="O105" s="630"/>
      <c r="P105" s="630"/>
    </row>
    <row r="106" spans="1:40" x14ac:dyDescent="0.3">
      <c r="B106" s="643"/>
      <c r="C106" s="643"/>
      <c r="D106" s="643"/>
    </row>
  </sheetData>
  <mergeCells count="72">
    <mergeCell ref="AR2:AT2"/>
    <mergeCell ref="AO1:AQ1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O3:O4"/>
    <mergeCell ref="AU2:AW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AC2:AE2"/>
    <mergeCell ref="AF2:AH2"/>
    <mergeCell ref="AI2:AK2"/>
    <mergeCell ref="AL2:AN2"/>
    <mergeCell ref="AO2:AQ2"/>
    <mergeCell ref="J3:J4"/>
    <mergeCell ref="K3:K4"/>
    <mergeCell ref="L3:L4"/>
    <mergeCell ref="M3:M4"/>
    <mergeCell ref="N3:N4"/>
    <mergeCell ref="AA3:AA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M3:AM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N3:AN4"/>
    <mergeCell ref="AO3:AO4"/>
    <mergeCell ref="AP3:AP4"/>
    <mergeCell ref="AQ3:AQ4"/>
    <mergeCell ref="AR3:AR4"/>
    <mergeCell ref="AU3:AU4"/>
    <mergeCell ref="AV3:AV4"/>
    <mergeCell ref="AW3:AW4"/>
    <mergeCell ref="AX4:AY4"/>
    <mergeCell ref="BA4:BC4"/>
    <mergeCell ref="AO30:AP30"/>
    <mergeCell ref="AO33:AP33"/>
    <mergeCell ref="AO34:AP34"/>
    <mergeCell ref="AO35:AP35"/>
    <mergeCell ref="AT3:AT4"/>
    <mergeCell ref="AS3:AS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024BB-F1D4-4F73-A85F-448AC60950C4}">
  <dimension ref="A1:AB32"/>
  <sheetViews>
    <sheetView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A29" sqref="AA29"/>
    </sheetView>
  </sheetViews>
  <sheetFormatPr defaultRowHeight="12.75" x14ac:dyDescent="0.2"/>
  <cols>
    <col min="1" max="1" width="29.7109375" customWidth="1"/>
    <col min="2" max="2" width="13.140625" bestFit="1" customWidth="1"/>
    <col min="3" max="3" width="11.5703125" bestFit="1" customWidth="1"/>
    <col min="4" max="4" width="11.85546875" hidden="1" customWidth="1"/>
    <col min="5" max="5" width="10" hidden="1" customWidth="1"/>
    <col min="6" max="6" width="11.42578125" hidden="1" customWidth="1"/>
    <col min="7" max="7" width="10.42578125" hidden="1" customWidth="1"/>
    <col min="8" max="8" width="12" hidden="1" customWidth="1"/>
    <col min="9" max="9" width="11.140625" hidden="1" customWidth="1"/>
    <col min="10" max="10" width="11.5703125" hidden="1" customWidth="1"/>
    <col min="11" max="11" width="10.5703125" hidden="1" customWidth="1"/>
    <col min="12" max="12" width="12" hidden="1" customWidth="1"/>
    <col min="13" max="13" width="11.140625" hidden="1" customWidth="1"/>
    <col min="14" max="14" width="13.28515625" hidden="1" customWidth="1"/>
    <col min="15" max="15" width="12.28515625" hidden="1" customWidth="1"/>
    <col min="16" max="16" width="11.7109375" hidden="1" customWidth="1"/>
    <col min="17" max="17" width="10.85546875" hidden="1" customWidth="1"/>
    <col min="18" max="18" width="11.7109375" hidden="1" customWidth="1"/>
    <col min="19" max="19" width="10.85546875" hidden="1" customWidth="1"/>
    <col min="20" max="20" width="12.5703125" hidden="1" customWidth="1"/>
    <col min="21" max="21" width="10.85546875" hidden="1" customWidth="1"/>
    <col min="22" max="22" width="12.5703125" hidden="1" customWidth="1"/>
    <col min="23" max="23" width="10.85546875" hidden="1" customWidth="1"/>
    <col min="24" max="24" width="12.5703125" hidden="1" customWidth="1"/>
    <col min="25" max="25" width="16.140625" hidden="1" customWidth="1"/>
    <col min="26" max="26" width="14.85546875" customWidth="1"/>
    <col min="27" max="27" width="12.42578125" bestFit="1" customWidth="1"/>
  </cols>
  <sheetData>
    <row r="1" spans="1:28" ht="15.75" x14ac:dyDescent="0.2">
      <c r="A1" s="913" t="s">
        <v>215</v>
      </c>
      <c r="B1" s="913"/>
      <c r="C1" s="913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28" x14ac:dyDescent="0.2">
      <c r="A2" s="869" t="s">
        <v>216</v>
      </c>
      <c r="B2" s="869"/>
      <c r="C2" s="869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3" spans="1:28" x14ac:dyDescent="0.2">
      <c r="A3" s="869" t="s">
        <v>217</v>
      </c>
      <c r="B3" s="869"/>
      <c r="C3" s="869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</row>
    <row r="4" spans="1:28" x14ac:dyDescent="0.2">
      <c r="A4" s="869" t="s">
        <v>218</v>
      </c>
      <c r="B4" s="869"/>
      <c r="C4" s="869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28" x14ac:dyDescent="0.2">
      <c r="A5" s="914" t="s">
        <v>219</v>
      </c>
      <c r="B5" s="914"/>
      <c r="C5" s="914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28" ht="15.75" x14ac:dyDescent="0.2">
      <c r="A6" s="870" t="s">
        <v>220</v>
      </c>
      <c r="B6" s="870"/>
      <c r="C6" s="870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spans="1:28" ht="13.5" thickBot="1" x14ac:dyDescent="0.25">
      <c r="A7" s="869" t="s">
        <v>221</v>
      </c>
      <c r="B7" s="869"/>
      <c r="C7" s="869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spans="1:28" x14ac:dyDescent="0.2">
      <c r="A8" s="735" t="s">
        <v>37</v>
      </c>
      <c r="B8" s="906" t="s">
        <v>320</v>
      </c>
      <c r="C8" s="907"/>
      <c r="D8" s="908" t="s">
        <v>222</v>
      </c>
      <c r="E8" s="909"/>
      <c r="F8" s="906" t="s">
        <v>223</v>
      </c>
      <c r="G8" s="907"/>
      <c r="H8" s="910" t="s">
        <v>224</v>
      </c>
      <c r="I8" s="909"/>
      <c r="J8" s="911" t="s">
        <v>225</v>
      </c>
      <c r="K8" s="907"/>
      <c r="L8" s="910" t="s">
        <v>226</v>
      </c>
      <c r="M8" s="909"/>
      <c r="N8" s="911" t="s">
        <v>227</v>
      </c>
      <c r="O8" s="911"/>
      <c r="P8" s="900" t="s">
        <v>244</v>
      </c>
      <c r="Q8" s="901"/>
      <c r="R8" s="900" t="s">
        <v>292</v>
      </c>
      <c r="S8" s="901"/>
      <c r="T8" s="900" t="s">
        <v>297</v>
      </c>
      <c r="U8" s="901"/>
      <c r="V8" s="900" t="s">
        <v>302</v>
      </c>
      <c r="W8" s="901"/>
      <c r="X8" s="900" t="s">
        <v>314</v>
      </c>
      <c r="Y8" s="901"/>
      <c r="Z8" s="900" t="s">
        <v>321</v>
      </c>
      <c r="AA8" s="901"/>
    </row>
    <row r="9" spans="1:28" ht="12.75" customHeight="1" x14ac:dyDescent="0.2">
      <c r="A9" s="736" t="s">
        <v>228</v>
      </c>
      <c r="B9" s="902" t="s">
        <v>229</v>
      </c>
      <c r="C9" s="903"/>
      <c r="D9" s="902" t="s">
        <v>229</v>
      </c>
      <c r="E9" s="903"/>
      <c r="F9" s="902" t="s">
        <v>229</v>
      </c>
      <c r="G9" s="903"/>
      <c r="H9" s="912" t="s">
        <v>229</v>
      </c>
      <c r="I9" s="903"/>
      <c r="J9" s="912" t="s">
        <v>229</v>
      </c>
      <c r="K9" s="903"/>
      <c r="L9" s="912" t="s">
        <v>229</v>
      </c>
      <c r="M9" s="903"/>
      <c r="N9" s="912" t="s">
        <v>229</v>
      </c>
      <c r="O9" s="912"/>
      <c r="P9" s="902" t="s">
        <v>229</v>
      </c>
      <c r="Q9" s="903"/>
      <c r="R9" s="902" t="s">
        <v>229</v>
      </c>
      <c r="S9" s="903"/>
      <c r="T9" s="902" t="s">
        <v>229</v>
      </c>
      <c r="U9" s="903"/>
      <c r="V9" s="902" t="s">
        <v>229</v>
      </c>
      <c r="W9" s="903"/>
      <c r="X9" s="902" t="s">
        <v>229</v>
      </c>
      <c r="Y9" s="903"/>
      <c r="Z9" s="904" t="s">
        <v>229</v>
      </c>
      <c r="AA9" s="905"/>
    </row>
    <row r="10" spans="1:28" x14ac:dyDescent="0.2">
      <c r="A10" s="737" t="s">
        <v>228</v>
      </c>
      <c r="B10" s="411" t="s">
        <v>230</v>
      </c>
      <c r="C10" s="412" t="s">
        <v>11</v>
      </c>
      <c r="D10" s="411" t="s">
        <v>230</v>
      </c>
      <c r="E10" s="412" t="s">
        <v>11</v>
      </c>
      <c r="F10" s="411" t="s">
        <v>230</v>
      </c>
      <c r="G10" s="412" t="s">
        <v>11</v>
      </c>
      <c r="H10" s="413" t="s">
        <v>230</v>
      </c>
      <c r="I10" s="412" t="s">
        <v>11</v>
      </c>
      <c r="J10" s="413" t="s">
        <v>230</v>
      </c>
      <c r="K10" s="412" t="s">
        <v>11</v>
      </c>
      <c r="L10" s="413" t="s">
        <v>230</v>
      </c>
      <c r="M10" s="412" t="s">
        <v>11</v>
      </c>
      <c r="N10" s="413" t="s">
        <v>230</v>
      </c>
      <c r="O10" s="448" t="s">
        <v>11</v>
      </c>
      <c r="P10" s="451" t="s">
        <v>230</v>
      </c>
      <c r="Q10" s="412" t="s">
        <v>11</v>
      </c>
      <c r="R10" s="451" t="s">
        <v>230</v>
      </c>
      <c r="S10" s="412" t="s">
        <v>11</v>
      </c>
      <c r="T10" s="451" t="s">
        <v>230</v>
      </c>
      <c r="U10" s="412" t="s">
        <v>11</v>
      </c>
      <c r="V10" s="451" t="s">
        <v>230</v>
      </c>
      <c r="W10" s="412" t="s">
        <v>11</v>
      </c>
      <c r="X10" s="451" t="s">
        <v>230</v>
      </c>
      <c r="Y10" s="412" t="s">
        <v>11</v>
      </c>
      <c r="Z10" s="451" t="s">
        <v>230</v>
      </c>
      <c r="AA10" s="412" t="s">
        <v>11</v>
      </c>
    </row>
    <row r="11" spans="1:28" x14ac:dyDescent="0.2">
      <c r="A11" s="790" t="s">
        <v>293</v>
      </c>
      <c r="B11" s="733"/>
      <c r="C11" s="791"/>
      <c r="D11" s="731"/>
      <c r="E11" s="730"/>
      <c r="F11" s="729"/>
      <c r="G11" s="730"/>
      <c r="H11" s="731"/>
      <c r="I11" s="730"/>
      <c r="J11" s="731"/>
      <c r="K11" s="730"/>
      <c r="L11" s="731"/>
      <c r="M11" s="730"/>
      <c r="N11" s="731"/>
      <c r="O11" s="732"/>
      <c r="P11" s="733"/>
      <c r="Q11" s="734"/>
      <c r="R11" s="452"/>
      <c r="S11" s="445"/>
      <c r="T11" s="741"/>
      <c r="U11" s="742"/>
      <c r="V11" s="741"/>
      <c r="W11" s="742"/>
      <c r="X11" s="741"/>
      <c r="Y11" s="742"/>
      <c r="Z11" s="739">
        <f>B11+D11+F11+H11+J11+L11+N11+P11+R11+T11+V11+X11</f>
        <v>0</v>
      </c>
      <c r="AA11" s="740">
        <f>C11+E11+G11+I11+K11+M11+O11+Q11+S11+U11+W11+Y11</f>
        <v>0</v>
      </c>
    </row>
    <row r="12" spans="1:28" s="434" customFormat="1" x14ac:dyDescent="0.2">
      <c r="A12" s="790" t="s">
        <v>231</v>
      </c>
      <c r="B12" s="793"/>
      <c r="C12" s="792"/>
      <c r="D12" s="441"/>
      <c r="E12" s="437"/>
      <c r="F12" s="444"/>
      <c r="G12" s="443"/>
      <c r="H12" s="441"/>
      <c r="I12" s="437"/>
      <c r="J12" s="442"/>
      <c r="K12" s="443"/>
      <c r="L12" s="441"/>
      <c r="M12" s="437"/>
      <c r="N12" s="440"/>
      <c r="O12" s="115"/>
      <c r="P12" s="452"/>
      <c r="Q12" s="445"/>
      <c r="R12" s="452"/>
      <c r="S12" s="445"/>
      <c r="T12" s="741"/>
      <c r="U12" s="436"/>
      <c r="V12" s="741"/>
      <c r="W12" s="436"/>
      <c r="X12" s="741"/>
      <c r="Y12" s="436"/>
      <c r="Z12" s="739">
        <f t="shared" ref="Z12:Z15" si="0">B12+D12+F12+H12+J12+L12+N12+P12+R12+T12+V12+X12</f>
        <v>0</v>
      </c>
      <c r="AA12" s="740">
        <f t="shared" ref="AA12:AA26" si="1">C12+E12+G12+I12+K12+M12+O12+Q12+S12+U12+W12+Y12</f>
        <v>0</v>
      </c>
      <c r="AB12" s="148"/>
    </row>
    <row r="13" spans="1:28" s="434" customFormat="1" x14ac:dyDescent="0.2">
      <c r="A13" s="790" t="s">
        <v>232</v>
      </c>
      <c r="B13" s="452"/>
      <c r="C13" s="152"/>
      <c r="D13" s="441"/>
      <c r="E13" s="437"/>
      <c r="F13" s="435"/>
      <c r="G13" s="436"/>
      <c r="H13" s="438"/>
      <c r="I13" s="439"/>
      <c r="J13" s="440"/>
      <c r="K13" s="436"/>
      <c r="L13" s="438"/>
      <c r="M13" s="439"/>
      <c r="N13" s="440"/>
      <c r="O13" s="115"/>
      <c r="P13" s="452"/>
      <c r="Q13" s="445"/>
      <c r="R13" s="452"/>
      <c r="S13" s="445"/>
      <c r="T13" s="741"/>
      <c r="U13" s="436"/>
      <c r="V13" s="741"/>
      <c r="W13" s="436"/>
      <c r="X13" s="741"/>
      <c r="Y13" s="436"/>
      <c r="Z13" s="739">
        <f t="shared" si="0"/>
        <v>0</v>
      </c>
      <c r="AA13" s="740">
        <f t="shared" si="1"/>
        <v>0</v>
      </c>
      <c r="AB13" s="148"/>
    </row>
    <row r="14" spans="1:28" x14ac:dyDescent="0.2">
      <c r="A14" s="790" t="s">
        <v>233</v>
      </c>
      <c r="B14" s="794">
        <v>2933.5</v>
      </c>
      <c r="C14" s="76">
        <v>856936</v>
      </c>
      <c r="D14" s="438"/>
      <c r="E14" s="439"/>
      <c r="F14" s="435"/>
      <c r="G14" s="436"/>
      <c r="H14" s="441"/>
      <c r="I14" s="437"/>
      <c r="J14" s="442"/>
      <c r="K14" s="443"/>
      <c r="L14" s="441"/>
      <c r="M14" s="437"/>
      <c r="N14" s="442"/>
      <c r="O14" s="449"/>
      <c r="P14" s="453"/>
      <c r="Q14" s="446"/>
      <c r="R14" s="453"/>
      <c r="S14" s="446"/>
      <c r="T14" s="255"/>
      <c r="U14" s="743"/>
      <c r="V14" s="255"/>
      <c r="W14" s="743"/>
      <c r="X14" s="255"/>
      <c r="Y14" s="743"/>
      <c r="Z14" s="739">
        <f>B14+D14+F14+H14+J14+L14+N14+P14+R14+T14+V14+X14</f>
        <v>2933.5</v>
      </c>
      <c r="AA14" s="740">
        <f>C14+E14+G14+I14+K14+M14+O14+Q14+S14+U14+W14+Y14</f>
        <v>856936</v>
      </c>
      <c r="AB14" s="148"/>
    </row>
    <row r="15" spans="1:28" x14ac:dyDescent="0.2">
      <c r="A15" s="790" t="s">
        <v>234</v>
      </c>
      <c r="B15" s="793"/>
      <c r="C15" s="792"/>
      <c r="D15" s="441"/>
      <c r="E15" s="437"/>
      <c r="F15" s="444"/>
      <c r="G15" s="443"/>
      <c r="H15" s="441"/>
      <c r="I15" s="437"/>
      <c r="J15" s="442"/>
      <c r="K15" s="443"/>
      <c r="L15" s="438"/>
      <c r="M15" s="439"/>
      <c r="N15" s="440"/>
      <c r="O15" s="115"/>
      <c r="P15" s="453"/>
      <c r="Q15" s="446"/>
      <c r="R15" s="453"/>
      <c r="S15" s="446"/>
      <c r="T15" s="741"/>
      <c r="U15" s="436"/>
      <c r="V15" s="741"/>
      <c r="W15" s="436"/>
      <c r="X15" s="741"/>
      <c r="Y15" s="436"/>
      <c r="Z15" s="739">
        <f t="shared" si="0"/>
        <v>0</v>
      </c>
      <c r="AA15" s="740">
        <f t="shared" si="1"/>
        <v>0</v>
      </c>
      <c r="AB15" s="148"/>
    </row>
    <row r="16" spans="1:28" s="434" customFormat="1" x14ac:dyDescent="0.2">
      <c r="A16" s="790" t="s">
        <v>235</v>
      </c>
      <c r="B16" s="794">
        <v>1352</v>
      </c>
      <c r="C16" s="76">
        <v>380496</v>
      </c>
      <c r="D16" s="441"/>
      <c r="E16" s="437"/>
      <c r="F16" s="444"/>
      <c r="G16" s="443"/>
      <c r="H16" s="441"/>
      <c r="I16" s="437"/>
      <c r="J16" s="440"/>
      <c r="K16" s="436"/>
      <c r="L16" s="438"/>
      <c r="M16" s="439"/>
      <c r="N16" s="440"/>
      <c r="O16" s="115"/>
      <c r="P16" s="452"/>
      <c r="Q16" s="445"/>
      <c r="R16" s="452"/>
      <c r="S16" s="445"/>
      <c r="T16" s="741"/>
      <c r="U16" s="436"/>
      <c r="V16" s="741"/>
      <c r="W16" s="436"/>
      <c r="X16" s="741"/>
      <c r="Y16" s="436"/>
      <c r="Z16" s="739">
        <f t="shared" ref="Z16:Z28" si="2">B16+D16+F16+H16+J16+L16+N16+P16+R16+T16+V16+X16</f>
        <v>1352</v>
      </c>
      <c r="AA16" s="740">
        <f t="shared" si="1"/>
        <v>380496</v>
      </c>
      <c r="AB16" s="148"/>
    </row>
    <row r="17" spans="1:28" s="434" customFormat="1" x14ac:dyDescent="0.2">
      <c r="A17" s="790" t="s">
        <v>236</v>
      </c>
      <c r="B17" s="794">
        <v>110.5</v>
      </c>
      <c r="C17" s="76">
        <v>24420</v>
      </c>
      <c r="D17" s="441"/>
      <c r="E17" s="437"/>
      <c r="F17" s="444"/>
      <c r="G17" s="443"/>
      <c r="H17" s="441"/>
      <c r="I17" s="437"/>
      <c r="J17" s="442"/>
      <c r="K17" s="443"/>
      <c r="L17" s="438"/>
      <c r="M17" s="439"/>
      <c r="N17" s="440"/>
      <c r="O17" s="115"/>
      <c r="P17" s="452"/>
      <c r="Q17" s="445"/>
      <c r="R17" s="452"/>
      <c r="S17" s="445"/>
      <c r="T17" s="741"/>
      <c r="U17" s="436"/>
      <c r="V17" s="741"/>
      <c r="W17" s="436"/>
      <c r="X17" s="741"/>
      <c r="Y17" s="436"/>
      <c r="Z17" s="739">
        <f t="shared" si="2"/>
        <v>110.5</v>
      </c>
      <c r="AA17" s="740">
        <f t="shared" si="1"/>
        <v>24420</v>
      </c>
      <c r="AB17" s="148"/>
    </row>
    <row r="18" spans="1:28" s="434" customFormat="1" x14ac:dyDescent="0.2">
      <c r="A18" s="790" t="s">
        <v>315</v>
      </c>
      <c r="B18" s="793"/>
      <c r="C18" s="792"/>
      <c r="D18" s="441"/>
      <c r="E18" s="437"/>
      <c r="F18" s="444"/>
      <c r="G18" s="443"/>
      <c r="H18" s="441"/>
      <c r="I18" s="437"/>
      <c r="J18" s="442"/>
      <c r="K18" s="443"/>
      <c r="L18" s="438"/>
      <c r="M18" s="439"/>
      <c r="N18" s="440"/>
      <c r="O18" s="115"/>
      <c r="P18" s="452"/>
      <c r="Q18" s="445"/>
      <c r="R18" s="452"/>
      <c r="S18" s="445"/>
      <c r="T18" s="741"/>
      <c r="U18" s="436"/>
      <c r="V18" s="741"/>
      <c r="W18" s="436"/>
      <c r="X18" s="741"/>
      <c r="Y18" s="436"/>
      <c r="Z18" s="739">
        <f t="shared" si="2"/>
        <v>0</v>
      </c>
      <c r="AA18" s="740">
        <f t="shared" si="1"/>
        <v>0</v>
      </c>
      <c r="AB18" s="148"/>
    </row>
    <row r="19" spans="1:28" s="434" customFormat="1" x14ac:dyDescent="0.2">
      <c r="A19" s="790" t="s">
        <v>316</v>
      </c>
      <c r="B19" s="794">
        <v>455.5</v>
      </c>
      <c r="C19" s="76">
        <v>103840</v>
      </c>
      <c r="D19" s="441"/>
      <c r="E19" s="437"/>
      <c r="F19" s="444"/>
      <c r="G19" s="443"/>
      <c r="H19" s="441"/>
      <c r="I19" s="437"/>
      <c r="J19" s="442"/>
      <c r="K19" s="443"/>
      <c r="L19" s="438"/>
      <c r="M19" s="439"/>
      <c r="N19" s="440"/>
      <c r="O19" s="115"/>
      <c r="P19" s="452"/>
      <c r="Q19" s="445"/>
      <c r="R19" s="452"/>
      <c r="S19" s="445"/>
      <c r="T19" s="741"/>
      <c r="U19" s="436"/>
      <c r="V19" s="741"/>
      <c r="W19" s="436"/>
      <c r="X19" s="741"/>
      <c r="Y19" s="436"/>
      <c r="Z19" s="739">
        <f t="shared" si="2"/>
        <v>455.5</v>
      </c>
      <c r="AA19" s="740">
        <f t="shared" si="1"/>
        <v>103840</v>
      </c>
      <c r="AB19" s="148"/>
    </row>
    <row r="20" spans="1:28" s="434" customFormat="1" x14ac:dyDescent="0.2">
      <c r="A20" s="790" t="s">
        <v>298</v>
      </c>
      <c r="B20" s="793"/>
      <c r="C20" s="792"/>
      <c r="D20" s="441"/>
      <c r="E20" s="437"/>
      <c r="F20" s="444"/>
      <c r="G20" s="443"/>
      <c r="H20" s="441"/>
      <c r="I20" s="437"/>
      <c r="J20" s="442"/>
      <c r="K20" s="443"/>
      <c r="L20" s="438"/>
      <c r="M20" s="439"/>
      <c r="N20" s="440"/>
      <c r="O20" s="115"/>
      <c r="P20" s="452"/>
      <c r="Q20" s="445"/>
      <c r="R20" s="452"/>
      <c r="S20" s="445"/>
      <c r="T20" s="741"/>
      <c r="U20" s="436"/>
      <c r="V20" s="741"/>
      <c r="W20" s="436"/>
      <c r="X20" s="741"/>
      <c r="Y20" s="436"/>
      <c r="Z20" s="739">
        <f t="shared" si="2"/>
        <v>0</v>
      </c>
      <c r="AA20" s="740">
        <f t="shared" si="1"/>
        <v>0</v>
      </c>
      <c r="AB20" s="148"/>
    </row>
    <row r="21" spans="1:28" s="434" customFormat="1" x14ac:dyDescent="0.2">
      <c r="A21" s="790" t="s">
        <v>237</v>
      </c>
      <c r="B21" s="793"/>
      <c r="C21" s="792"/>
      <c r="D21" s="441"/>
      <c r="E21" s="437"/>
      <c r="F21" s="444"/>
      <c r="G21" s="443"/>
      <c r="H21" s="438"/>
      <c r="I21" s="439"/>
      <c r="J21" s="440"/>
      <c r="K21" s="436"/>
      <c r="L21" s="438"/>
      <c r="M21" s="439"/>
      <c r="N21" s="440"/>
      <c r="O21" s="115"/>
      <c r="P21" s="452"/>
      <c r="Q21" s="445"/>
      <c r="R21" s="452"/>
      <c r="S21" s="445"/>
      <c r="T21" s="741"/>
      <c r="U21" s="436"/>
      <c r="V21" s="741"/>
      <c r="W21" s="436"/>
      <c r="X21" s="741"/>
      <c r="Y21" s="436"/>
      <c r="Z21" s="739">
        <f t="shared" si="2"/>
        <v>0</v>
      </c>
      <c r="AA21" s="740">
        <f t="shared" si="1"/>
        <v>0</v>
      </c>
      <c r="AB21" s="148"/>
    </row>
    <row r="22" spans="1:28" s="434" customFormat="1" x14ac:dyDescent="0.2">
      <c r="A22" s="790" t="s">
        <v>238</v>
      </c>
      <c r="B22" s="794">
        <v>167.5</v>
      </c>
      <c r="C22" s="76">
        <v>40090</v>
      </c>
      <c r="D22" s="438"/>
      <c r="E22" s="439"/>
      <c r="F22" s="435"/>
      <c r="G22" s="436"/>
      <c r="H22" s="441"/>
      <c r="I22" s="437"/>
      <c r="J22" s="442"/>
      <c r="K22" s="443"/>
      <c r="L22" s="441"/>
      <c r="M22" s="437"/>
      <c r="N22" s="440"/>
      <c r="O22" s="115"/>
      <c r="P22" s="452"/>
      <c r="Q22" s="445"/>
      <c r="R22" s="452"/>
      <c r="S22" s="445"/>
      <c r="T22" s="741"/>
      <c r="U22" s="436"/>
      <c r="V22" s="741"/>
      <c r="W22" s="436"/>
      <c r="X22" s="741"/>
      <c r="Y22" s="436"/>
      <c r="Z22" s="739">
        <f t="shared" si="2"/>
        <v>167.5</v>
      </c>
      <c r="AA22" s="740">
        <f>C22+E22+G22+I22+K22+M22+O22+Q22+S22+U22+W22+Y22</f>
        <v>40090</v>
      </c>
      <c r="AB22" s="148"/>
    </row>
    <row r="23" spans="1:28" s="434" customFormat="1" x14ac:dyDescent="0.2">
      <c r="A23" s="790" t="s">
        <v>239</v>
      </c>
      <c r="B23" s="793"/>
      <c r="C23" s="792"/>
      <c r="D23" s="441"/>
      <c r="E23" s="437"/>
      <c r="F23" s="444"/>
      <c r="G23" s="443"/>
      <c r="H23" s="441"/>
      <c r="I23" s="437"/>
      <c r="J23" s="440"/>
      <c r="K23" s="436"/>
      <c r="L23" s="438"/>
      <c r="M23" s="439"/>
      <c r="N23" s="440"/>
      <c r="O23" s="115"/>
      <c r="P23" s="452"/>
      <c r="Q23" s="445"/>
      <c r="R23" s="452"/>
      <c r="S23" s="445"/>
      <c r="T23" s="741"/>
      <c r="U23" s="436"/>
      <c r="V23" s="741"/>
      <c r="W23" s="436"/>
      <c r="X23" s="741"/>
      <c r="Y23" s="436"/>
      <c r="Z23" s="739">
        <f t="shared" si="2"/>
        <v>0</v>
      </c>
      <c r="AA23" s="740">
        <f t="shared" si="1"/>
        <v>0</v>
      </c>
      <c r="AB23" s="148"/>
    </row>
    <row r="24" spans="1:28" x14ac:dyDescent="0.2">
      <c r="A24" s="790" t="s">
        <v>240</v>
      </c>
      <c r="B24" s="793"/>
      <c r="C24" s="792"/>
      <c r="D24" s="441"/>
      <c r="E24" s="437"/>
      <c r="F24" s="435"/>
      <c r="G24" s="436"/>
      <c r="H24" s="438"/>
      <c r="I24" s="439"/>
      <c r="J24" s="440"/>
      <c r="K24" s="436"/>
      <c r="L24" s="441"/>
      <c r="M24" s="437"/>
      <c r="N24" s="442"/>
      <c r="O24" s="449"/>
      <c r="P24" s="453"/>
      <c r="Q24" s="446"/>
      <c r="R24" s="453"/>
      <c r="S24" s="446"/>
      <c r="T24" s="255"/>
      <c r="U24" s="743"/>
      <c r="V24" s="255"/>
      <c r="W24" s="743"/>
      <c r="X24" s="255"/>
      <c r="Y24" s="743"/>
      <c r="Z24" s="739">
        <f t="shared" si="2"/>
        <v>0</v>
      </c>
      <c r="AA24" s="740">
        <f t="shared" si="1"/>
        <v>0</v>
      </c>
      <c r="AB24" s="148"/>
    </row>
    <row r="25" spans="1:28" s="434" customFormat="1" x14ac:dyDescent="0.2">
      <c r="A25" s="790" t="s">
        <v>241</v>
      </c>
      <c r="B25" s="793"/>
      <c r="C25" s="792"/>
      <c r="D25" s="441"/>
      <c r="E25" s="437"/>
      <c r="F25" s="435"/>
      <c r="G25" s="436"/>
      <c r="H25" s="438"/>
      <c r="I25" s="439"/>
      <c r="J25" s="442"/>
      <c r="K25" s="443"/>
      <c r="L25" s="441"/>
      <c r="M25" s="437"/>
      <c r="N25" s="440"/>
      <c r="O25" s="115"/>
      <c r="P25" s="452"/>
      <c r="Q25" s="445"/>
      <c r="R25" s="452"/>
      <c r="S25" s="445"/>
      <c r="T25" s="741"/>
      <c r="U25" s="436"/>
      <c r="V25" s="741"/>
      <c r="W25" s="436"/>
      <c r="X25" s="741"/>
      <c r="Y25" s="436"/>
      <c r="Z25" s="739">
        <f t="shared" si="2"/>
        <v>0</v>
      </c>
      <c r="AA25" s="740">
        <f t="shared" si="1"/>
        <v>0</v>
      </c>
      <c r="AB25" s="148"/>
    </row>
    <row r="26" spans="1:28" x14ac:dyDescent="0.2">
      <c r="A26" s="790" t="s">
        <v>242</v>
      </c>
      <c r="B26" s="793"/>
      <c r="C26" s="792"/>
      <c r="D26" s="441"/>
      <c r="E26" s="437"/>
      <c r="F26" s="435"/>
      <c r="G26" s="436"/>
      <c r="H26" s="438"/>
      <c r="I26" s="439"/>
      <c r="J26" s="440"/>
      <c r="K26" s="436"/>
      <c r="L26" s="441"/>
      <c r="M26" s="437"/>
      <c r="N26" s="442"/>
      <c r="O26" s="449"/>
      <c r="P26" s="453"/>
      <c r="Q26" s="446"/>
      <c r="R26" s="453"/>
      <c r="S26" s="446"/>
      <c r="T26" s="255"/>
      <c r="U26" s="743"/>
      <c r="V26" s="255"/>
      <c r="W26" s="743"/>
      <c r="X26" s="255"/>
      <c r="Y26" s="743"/>
      <c r="Z26" s="739">
        <f t="shared" si="2"/>
        <v>0</v>
      </c>
      <c r="AA26" s="740">
        <f t="shared" si="1"/>
        <v>0</v>
      </c>
      <c r="AB26" s="148"/>
    </row>
    <row r="27" spans="1:28" x14ac:dyDescent="0.2">
      <c r="A27" s="790" t="s">
        <v>243</v>
      </c>
      <c r="B27" s="793"/>
      <c r="C27" s="792"/>
      <c r="D27" s="441"/>
      <c r="E27" s="437"/>
      <c r="F27" s="444"/>
      <c r="G27" s="443"/>
      <c r="H27" s="441"/>
      <c r="I27" s="437"/>
      <c r="J27" s="440"/>
      <c r="K27" s="436"/>
      <c r="L27" s="438"/>
      <c r="M27" s="439"/>
      <c r="N27" s="442"/>
      <c r="O27" s="449"/>
      <c r="P27" s="453"/>
      <c r="Q27" s="446"/>
      <c r="R27" s="453"/>
      <c r="S27" s="446"/>
      <c r="T27" s="255"/>
      <c r="U27" s="744"/>
      <c r="V27" s="255"/>
      <c r="W27" s="744"/>
      <c r="X27" s="255"/>
      <c r="Y27" s="744"/>
      <c r="Z27" s="739">
        <f t="shared" si="2"/>
        <v>0</v>
      </c>
      <c r="AA27" s="740">
        <f>C27+E27+G27+I27+K27+M27+O27+Q27+S27+U27+W27+Y27</f>
        <v>0</v>
      </c>
      <c r="AB27" s="148"/>
    </row>
    <row r="28" spans="1:28" x14ac:dyDescent="0.2">
      <c r="A28" s="788" t="s">
        <v>319</v>
      </c>
      <c r="B28" s="795">
        <v>203</v>
      </c>
      <c r="C28" s="83">
        <v>52920</v>
      </c>
      <c r="D28" s="441"/>
      <c r="E28" s="437"/>
      <c r="F28" s="444"/>
      <c r="G28" s="443"/>
      <c r="H28" s="441"/>
      <c r="I28" s="437"/>
      <c r="J28" s="440"/>
      <c r="K28" s="436"/>
      <c r="L28" s="438"/>
      <c r="M28" s="439"/>
      <c r="N28" s="442"/>
      <c r="O28" s="449"/>
      <c r="P28" s="453"/>
      <c r="Q28" s="446"/>
      <c r="R28" s="453"/>
      <c r="S28" s="446"/>
      <c r="T28" s="255"/>
      <c r="U28" s="789"/>
      <c r="V28" s="255"/>
      <c r="W28" s="789"/>
      <c r="X28" s="255"/>
      <c r="Y28" s="789"/>
      <c r="Z28" s="739">
        <f t="shared" si="2"/>
        <v>203</v>
      </c>
      <c r="AA28" s="740">
        <f>C28+E28+G28+I28+K28+M28+O28+Q28+S28+U28+W28+Y28</f>
        <v>52920</v>
      </c>
      <c r="AB28" s="148"/>
    </row>
    <row r="29" spans="1:28" ht="13.5" thickBot="1" x14ac:dyDescent="0.25">
      <c r="A29" s="738" t="s">
        <v>18</v>
      </c>
      <c r="B29" s="414">
        <v>5222</v>
      </c>
      <c r="C29" s="415">
        <v>1458702</v>
      </c>
      <c r="D29" s="416">
        <v>3898</v>
      </c>
      <c r="E29" s="417">
        <v>863540</v>
      </c>
      <c r="F29" s="414">
        <v>7345</v>
      </c>
      <c r="G29" s="415">
        <v>1761078</v>
      </c>
      <c r="H29" s="418">
        <v>4223.5</v>
      </c>
      <c r="I29" s="417">
        <v>1008061.5</v>
      </c>
      <c r="J29" s="419">
        <v>9190</v>
      </c>
      <c r="K29" s="415">
        <v>2114093.1</v>
      </c>
      <c r="L29" s="418">
        <v>8506</v>
      </c>
      <c r="M29" s="417">
        <v>1883382.75</v>
      </c>
      <c r="N29" s="419">
        <v>10656</v>
      </c>
      <c r="O29" s="450">
        <v>2328966</v>
      </c>
      <c r="P29" s="454">
        <v>7326.5</v>
      </c>
      <c r="Q29" s="447">
        <v>1589661</v>
      </c>
      <c r="R29" s="454">
        <f t="shared" ref="R29:U29" si="3">SUM(R11:R27)</f>
        <v>0</v>
      </c>
      <c r="S29" s="447">
        <f t="shared" si="3"/>
        <v>0</v>
      </c>
      <c r="T29" s="454">
        <f t="shared" si="3"/>
        <v>0</v>
      </c>
      <c r="U29" s="447">
        <f t="shared" si="3"/>
        <v>0</v>
      </c>
      <c r="V29" s="454">
        <f t="shared" ref="V29:W29" si="4">SUM(V11:V27)</f>
        <v>0</v>
      </c>
      <c r="W29" s="447">
        <f t="shared" si="4"/>
        <v>0</v>
      </c>
      <c r="X29" s="454">
        <f>SUM(X11:X27)</f>
        <v>0</v>
      </c>
      <c r="Y29" s="447">
        <f>SUM(Y11:Y27)</f>
        <v>0</v>
      </c>
      <c r="Z29" s="454">
        <f>SUM(Z11:Z28)</f>
        <v>5222</v>
      </c>
      <c r="AA29" s="447">
        <f>SUM(AA11:AA28)</f>
        <v>1458702</v>
      </c>
    </row>
    <row r="31" spans="1:28" x14ac:dyDescent="0.2">
      <c r="B31" s="420">
        <v>5222</v>
      </c>
      <c r="C31" s="3">
        <v>1458702</v>
      </c>
    </row>
    <row r="32" spans="1:28" x14ac:dyDescent="0.2">
      <c r="B32" s="3">
        <f>Z29-B31</f>
        <v>0</v>
      </c>
      <c r="C32" s="3">
        <f>C31-AA29</f>
        <v>0</v>
      </c>
    </row>
  </sheetData>
  <mergeCells count="33">
    <mergeCell ref="A1:C1"/>
    <mergeCell ref="A2:C2"/>
    <mergeCell ref="A3:C3"/>
    <mergeCell ref="A4:C4"/>
    <mergeCell ref="A5:C5"/>
    <mergeCell ref="H8:I8"/>
    <mergeCell ref="L8:M8"/>
    <mergeCell ref="N8:O8"/>
    <mergeCell ref="B9:C9"/>
    <mergeCell ref="D9:E9"/>
    <mergeCell ref="F9:G9"/>
    <mergeCell ref="H9:I9"/>
    <mergeCell ref="J9:K9"/>
    <mergeCell ref="L9:M9"/>
    <mergeCell ref="N9:O9"/>
    <mergeCell ref="J8:K8"/>
    <mergeCell ref="A6:C6"/>
    <mergeCell ref="A7:C7"/>
    <mergeCell ref="B8:C8"/>
    <mergeCell ref="D8:E8"/>
    <mergeCell ref="F8:G8"/>
    <mergeCell ref="R8:S8"/>
    <mergeCell ref="R9:S9"/>
    <mergeCell ref="P9:Q9"/>
    <mergeCell ref="Z9:AA9"/>
    <mergeCell ref="Z8:AA8"/>
    <mergeCell ref="P8:Q8"/>
    <mergeCell ref="T8:U8"/>
    <mergeCell ref="T9:U9"/>
    <mergeCell ref="V8:W8"/>
    <mergeCell ref="V9:W9"/>
    <mergeCell ref="X8:Y8"/>
    <mergeCell ref="X9:Y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Purchase</vt:lpstr>
      <vt:lpstr>Direct Expns</vt:lpstr>
      <vt:lpstr>Indirect Expns</vt:lpstr>
      <vt:lpstr>Inventory Sales</vt:lpstr>
      <vt:lpstr>Stock Valuation (FIFO)</vt:lpstr>
      <vt:lpstr>Srvaya</vt:lpstr>
      <vt:lpstr>'Direct Expns'!Print_Area</vt:lpstr>
      <vt:lpstr>'Indirect Expns'!Print_Area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Sudhir Prabhu</cp:lastModifiedBy>
  <cp:lastPrinted>2025-10-01T08:46:12Z</cp:lastPrinted>
  <dcterms:created xsi:type="dcterms:W3CDTF">1996-10-14T23:33:28Z</dcterms:created>
  <dcterms:modified xsi:type="dcterms:W3CDTF">2026-05-18T10:22:36Z</dcterms:modified>
</cp:coreProperties>
</file>